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Entr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Annual" sheetId="3" state="visible" r:id="rId3"/>
    <sheet xmlns:r="http://schemas.openxmlformats.org/officeDocument/2006/relationships" name="LookU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1">
    <font>
      <name val="Calibri"/>
      <family val="2"/>
      <color theme="1"/>
      <sz val="11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FFFFFF"/>
      <sz val="9"/>
    </font>
    <font>
      <name val="Arial"/>
      <b val="1"/>
      <color rgb="FF1A5276"/>
      <sz val="9"/>
    </font>
    <font>
      <name val="Arial"/>
      <b val="1"/>
      <color rgb="FF145A32"/>
      <sz val="9"/>
    </font>
    <font>
      <name val="Arial"/>
      <b val="1"/>
      <sz val="10"/>
    </font>
    <font>
      <name val="Arial"/>
      <i val="1"/>
      <color rgb="FF145A32"/>
      <sz val="10"/>
    </font>
    <font>
      <name val="Arial"/>
      <b val="1"/>
      <color rgb="FFFFFFFF"/>
      <sz val="13"/>
    </font>
    <font>
      <name val="Arial"/>
      <b val="1"/>
      <color rgb="FF1B4F72"/>
      <sz val="10"/>
    </font>
  </fonts>
  <fills count="2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2E86AB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E8F8F5"/>
      </patternFill>
    </fill>
    <fill>
      <patternFill patternType="solid">
        <fgColor rgb="FF117A65"/>
      </patternFill>
    </fill>
    <fill>
      <patternFill patternType="solid">
        <fgColor rgb="FF7D6608"/>
      </patternFill>
    </fill>
    <fill>
      <patternFill patternType="solid">
        <fgColor rgb="FF2874A6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0E6655"/>
      </patternFill>
    </fill>
    <fill>
      <patternFill patternType="solid">
        <fgColor rgb="FF884EA0"/>
      </patternFill>
    </fill>
    <fill>
      <patternFill patternType="solid">
        <fgColor rgb="FF6E2F1A"/>
      </patternFill>
    </fill>
    <fill>
      <patternFill patternType="solid">
        <fgColor rgb="FF1C2833"/>
      </patternFill>
    </fill>
    <fill>
      <patternFill patternType="solid">
        <fgColor rgb="FF922B21"/>
      </patternFill>
    </fill>
    <fill>
      <patternFill patternType="solid">
        <fgColor rgb="FF1D8348"/>
      </patternFill>
    </fill>
    <fill>
      <patternFill patternType="solid">
        <fgColor rgb="FF196F3D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FFF0FBF7"/>
      </patternFill>
    </fill>
    <fill>
      <patternFill patternType="solid">
        <fgColor rgb="FFF8FBFD"/>
      </patternFill>
    </fill>
    <fill>
      <patternFill patternType="solid">
        <fgColor rgb="FFD0E8F5"/>
      </patternFill>
    </fill>
    <fill>
      <patternFill patternType="solid">
        <fgColor rgb="FFD6EAF8"/>
      </patternFill>
    </fill>
  </fills>
  <borders count="6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/>
      <right/>
      <top/>
      <bottom style="thin">
        <color rgb="FFBFC9CA"/>
      </bottom>
      <diagonal/>
    </border>
    <border>
      <left/>
      <right/>
      <top style="thin">
        <color rgb="FFBFC9CA"/>
      </top>
      <bottom style="thin">
        <color rgb="FFBFC9CA"/>
      </bottom>
      <diagonal/>
    </border>
    <border>
      <left/>
      <right/>
      <top style="thin">
        <color rgb="FFBFC9CA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5" borderId="1" pivotButton="0" quotePrefix="0" xfId="0"/>
    <xf numFmtId="0" fontId="4" fillId="1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3" fontId="3" fillId="20" borderId="1" applyAlignment="1" pivotButton="0" quotePrefix="0" xfId="0">
      <alignment horizontal="right" vertical="center"/>
    </xf>
    <xf numFmtId="3" fontId="8" fillId="21" borderId="1" applyAlignment="1" pivotButton="0" quotePrefix="0" xfId="0">
      <alignment horizontal="right" vertical="center"/>
    </xf>
    <xf numFmtId="164" fontId="8" fillId="21" borderId="1" applyAlignment="1" pivotButton="0" quotePrefix="0" xfId="0">
      <alignment horizontal="right" vertical="center"/>
    </xf>
    <xf numFmtId="165" fontId="8" fillId="21" borderId="1" applyAlignment="1" pivotButton="0" quotePrefix="0" xfId="0">
      <alignment horizontal="right" vertical="center"/>
    </xf>
    <xf numFmtId="0" fontId="7" fillId="22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  <xf numFmtId="3" fontId="3" fillId="22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/>
    </xf>
    <xf numFmtId="3" fontId="10" fillId="23" borderId="1" applyAlignment="1" pivotButton="0" quotePrefix="0" xfId="0">
      <alignment horizontal="right" vertical="center"/>
    </xf>
    <xf numFmtId="0" fontId="3" fillId="22" borderId="1" applyAlignment="1" pivotButton="0" quotePrefix="0" xfId="0">
      <alignment horizontal="left" vertical="center"/>
    </xf>
    <xf numFmtId="3" fontId="10" fillId="24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10" fillId="2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20" borderId="1" pivotButton="0" quotePrefix="0" xfId="0"/>
    <xf numFmtId="0" fontId="0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4" fillId="16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1A5276"/>
      <rgbColor rgb="FF7D6608"/>
      <rgbColor rgb="FF800080"/>
      <rgbColor rgb="FF117A65"/>
      <rgbColor rgb="FFBFC9CA"/>
      <rgbColor rgb="FF808080"/>
      <rgbColor rgb="FF9999FF"/>
      <rgbColor rgb="FF6C3483"/>
      <rgbColor rgb="FFF0FBF7"/>
      <rgbColor rgb="FFE8F8F5"/>
      <rgbColor rgb="FF660066"/>
      <rgbColor rgb="FFFF8080"/>
      <rgbColor rgb="FF2874A6"/>
      <rgbColor rgb="FFD0E8F5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D6EAF8"/>
      <rgbColor rgb="FFEBF5FB"/>
      <rgbColor rgb="FFF2F3F4"/>
      <rgbColor rgb="FF99CCFF"/>
      <rgbColor rgb="FFFF99CC"/>
      <rgbColor rgb="FFCC99FF"/>
      <rgbColor rgb="FFF8FBFD"/>
      <rgbColor rgb="FF2E86AB"/>
      <rgbColor rgb="FF33CCCC"/>
      <rgbColor rgb="FF99CC00"/>
      <rgbColor rgb="FFFFCC00"/>
      <rgbColor rgb="FFFF9900"/>
      <rgbColor rgb="FFFF6600"/>
      <rgbColor rgb="FF884EA0"/>
      <rgbColor rgb="FF969696"/>
      <rgbColor rgb="FF154360"/>
      <rgbColor rgb="FF1D8348"/>
      <rgbColor rgb="FF145A32"/>
      <rgbColor rgb="FF6E2F1A"/>
      <rgbColor rgb="FF922B21"/>
      <rgbColor rgb="FF993366"/>
      <rgbColor rgb="FF1B4F72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398"/>
  <sheetViews>
    <sheetView showGridLines="0" tabSelected="1" workbookViewId="0">
      <selection activeCell="HA400" sqref="HA400"/>
    </sheetView>
  </sheetViews>
  <sheetFormatPr baseColWidth="8" defaultColWidth="8.6640625" defaultRowHeight="14.4"/>
  <cols>
    <col width="9.33203125" customWidth="1" style="47" min="1" max="1"/>
    <col width="11.5546875" customWidth="1" style="47" min="2" max="2"/>
    <col width="9.88671875" customWidth="1" style="47" min="3" max="3"/>
    <col width="5" customWidth="1" style="47" min="4" max="4"/>
    <col width="5.77734375" customWidth="1" style="47" min="5" max="5"/>
    <col width="9.77734375" customWidth="1" style="47" min="6" max="6"/>
    <col width="6.88671875" customWidth="1" style="47" min="7" max="7"/>
    <col width="11.88671875" customWidth="1" style="47" min="8" max="8"/>
    <col width="8.44140625" customWidth="1" style="47" min="9" max="9"/>
    <col width="11.88671875" customWidth="1" style="47" min="10" max="10"/>
    <col width="9.5546875" customWidth="1" style="47" min="11" max="11"/>
    <col width="10" customWidth="1" style="47" min="12" max="12"/>
    <col width="14.33203125" customWidth="1" style="47" min="13" max="13"/>
    <col width="8.44140625" customWidth="1" style="47" min="14" max="14"/>
    <col width="11.109375" customWidth="1" style="47" min="15" max="15"/>
    <col width="9.5546875" customWidth="1" style="47" min="16" max="16"/>
    <col width="10" customWidth="1" style="47" min="17" max="17"/>
    <col width="14.33203125" customWidth="1" style="47" min="18" max="18"/>
    <col width="14.109375" customWidth="1" style="47" min="19" max="19"/>
    <col width="11.77734375" customWidth="1" style="47" min="20" max="20"/>
    <col width="6.88671875" customWidth="1" style="47" min="21" max="21"/>
    <col width="9.88671875" customWidth="1" style="47" min="22" max="23"/>
    <col width="12" customWidth="1" style="47" min="24" max="25"/>
    <col width="10.44140625" customWidth="1" style="47" min="26" max="27"/>
    <col width="8.88671875" customWidth="1" style="47" min="28" max="28"/>
    <col width="12" customWidth="1" style="47" min="29" max="29"/>
    <col width="7.6640625" customWidth="1" style="47" min="30" max="30"/>
    <col width="10.77734375" customWidth="1" style="47" min="31" max="31"/>
    <col width="11.109375" customWidth="1" style="47" min="32" max="32"/>
    <col width="9.77734375" customWidth="1" style="47" min="33" max="33"/>
    <col width="11.109375" customWidth="1" style="47" min="34" max="34"/>
    <col width="9.44140625" customWidth="1" style="47" min="35" max="35"/>
    <col width="11.21875" customWidth="1" style="47" min="36" max="36"/>
    <col width="11.5546875" customWidth="1" style="47" min="37" max="37"/>
    <col width="11.88671875" customWidth="1" style="47" min="38" max="38"/>
    <col width="9.88671875" customWidth="1" style="47" min="39" max="39"/>
    <col width="10.33203125" customWidth="1" style="47" min="40" max="40"/>
    <col width="8.77734375" customWidth="1" style="47" min="41" max="41"/>
    <col width="10.33203125" customWidth="1" style="47" min="42" max="42"/>
    <col width="10.88671875" customWidth="1" style="47" min="43" max="43"/>
    <col width="10.109375" customWidth="1" style="47" min="44" max="44"/>
    <col width="10.5546875" customWidth="1" style="47" min="45" max="45"/>
    <col width="10.109375" customWidth="1" style="47" min="46" max="46"/>
    <col width="14.77734375" customWidth="1" style="47" min="47" max="47"/>
    <col width="11.109375" customWidth="1" style="47" min="48" max="48"/>
    <col width="9.88671875" customWidth="1" style="47" min="49" max="49"/>
    <col width="9.33203125" customWidth="1" style="47" min="50" max="50"/>
    <col width="9.77734375" customWidth="1" style="47" min="51" max="51"/>
    <col width="9.21875" customWidth="1" style="47" min="52" max="52"/>
    <col width="10.44140625" customWidth="1" style="47" min="53" max="53"/>
    <col width="9.33203125" customWidth="1" style="47" min="54" max="55"/>
    <col width="11.5546875" customWidth="1" style="47" min="56" max="56"/>
    <col width="11" customWidth="1" style="47" min="57" max="57"/>
    <col width="9.88671875" customWidth="1" style="47" min="58" max="58"/>
    <col width="10.44140625" customWidth="1" style="47" min="59" max="59"/>
    <col width="9.33203125" customWidth="1" style="47" min="60" max="60"/>
    <col width="8.33203125" customWidth="1" style="47" min="61" max="61"/>
    <col width="11.5546875" customWidth="1" style="47" min="62" max="62"/>
    <col width="11" customWidth="1" style="47" min="63" max="63"/>
    <col width="9.88671875" customWidth="1" style="47" min="64" max="64"/>
    <col width="10.44140625" customWidth="1" style="47" min="65" max="65"/>
    <col width="10.33203125" customWidth="1" style="47" min="66" max="67"/>
    <col width="11.5546875" customWidth="1" style="47" min="68" max="68"/>
    <col width="11" customWidth="1" style="47" min="69" max="69"/>
    <col width="10.33203125" customWidth="1" style="47" min="70" max="70"/>
    <col width="10.44140625" customWidth="1" style="47" min="71" max="71"/>
    <col width="9.33203125" customWidth="1" style="47" min="72" max="72"/>
    <col width="9.21875" customWidth="1" style="47" min="73" max="73"/>
    <col width="11.5546875" customWidth="1" style="47" min="74" max="74"/>
    <col width="11" customWidth="1" style="47" min="75" max="75"/>
    <col width="9.88671875" customWidth="1" style="47" min="76" max="76"/>
    <col width="10.44140625" customWidth="1" style="47" min="77" max="77"/>
    <col width="14.88671875" customWidth="1" style="47" min="78" max="78"/>
    <col width="14.5546875" customWidth="1" style="47" min="79" max="79"/>
    <col width="9.88671875" customWidth="1" style="47" min="80" max="80"/>
    <col width="7.44140625" customWidth="1" style="47" min="81" max="81"/>
    <col width="11.6640625" customWidth="1" style="47" min="82" max="86"/>
    <col width="8.44140625" customWidth="1" style="47" min="87" max="87"/>
    <col width="10" customWidth="1" style="47" min="88" max="89"/>
    <col width="11.88671875" customWidth="1" style="47" min="90" max="90"/>
    <col width="11.6640625" customWidth="1" style="47" min="91" max="91"/>
    <col width="8.44140625" customWidth="1" style="47" min="92" max="92"/>
    <col width="10" customWidth="1" style="47" min="93" max="94"/>
    <col width="11.109375" customWidth="1" style="47" min="95" max="95"/>
    <col width="11.6640625" customWidth="1" style="47" min="96" max="97"/>
    <col width="11.88671875" customWidth="1" style="47" min="98" max="98"/>
    <col width="10.109375" customWidth="1" style="47" min="99" max="99"/>
    <col width="9.21875" customWidth="1" style="47" min="100" max="101"/>
    <col width="10.44140625" customWidth="1" style="47" min="102" max="102"/>
    <col width="10" customWidth="1" style="47" min="103" max="106"/>
    <col width="12" customWidth="1" style="47" min="107" max="111"/>
    <col width="10.88671875" customWidth="1" style="47" min="112" max="116"/>
    <col width="11" customWidth="1" style="47" min="117" max="121"/>
    <col width="10.44140625" customWidth="1" style="47" min="122" max="122"/>
    <col width="14.109375" customWidth="1" style="47" min="123" max="123"/>
    <col width="10.109375" customWidth="1" style="47" min="124" max="126"/>
    <col width="9" customWidth="1" style="47" min="127" max="134"/>
    <col width="9.88671875" customWidth="1" style="47" min="135" max="139"/>
    <col width="7.44140625" customWidth="1" style="47" min="140" max="145"/>
    <col width="8.33203125" customWidth="1" style="47" min="146" max="148"/>
    <col width="8.21875" customWidth="1" style="47" min="149" max="154"/>
    <col width="10.33203125" customWidth="1" style="47" min="155" max="158"/>
    <col width="7.88671875" customWidth="1" style="47" min="159" max="160"/>
    <col width="8.77734375" customWidth="1" style="47" min="161" max="162"/>
    <col width="19.109375" customWidth="1" style="47" min="163" max="163"/>
    <col width="10.5546875" customWidth="1" style="47" min="164" max="164"/>
    <col width="10.44140625" customWidth="1" style="47" min="165" max="165"/>
    <col width="11.33203125" customWidth="1" style="47" min="166" max="166"/>
    <col width="11.6640625" customWidth="1" style="47" min="167" max="167"/>
    <col width="8.33203125" customWidth="1" style="47" min="168" max="172"/>
    <col width="14.88671875" customWidth="1" style="47" min="173" max="173"/>
    <col width="11.109375" customWidth="1" style="47" min="174" max="174"/>
    <col width="10.109375" customWidth="1" style="47" min="175" max="175"/>
    <col width="9.109375" customWidth="1" style="47" min="176" max="176"/>
    <col width="11.6640625" customWidth="1" style="47" min="177" max="177"/>
    <col width="14.44140625" customWidth="1" style="47" min="178" max="178"/>
    <col width="11.21875" customWidth="1" style="47" min="179" max="179"/>
    <col width="11.109375" customWidth="1" style="47" min="180" max="180"/>
    <col width="10.109375" customWidth="1" style="47" min="181" max="181"/>
    <col width="11.6640625" customWidth="1" style="47" min="182" max="182"/>
    <col width="14.44140625" customWidth="1" style="47" min="183" max="183"/>
    <col width="11.77734375" customWidth="1" style="47" min="184" max="184"/>
    <col width="11.109375" customWidth="1" style="47" min="185" max="185"/>
    <col width="10.109375" customWidth="1" style="47" min="186" max="186"/>
    <col width="12" customWidth="1" style="47" min="187" max="187"/>
    <col width="9.109375" customWidth="1" style="47" min="188" max="188"/>
    <col width="14.77734375" customWidth="1" style="47" min="189" max="189"/>
    <col width="11.21875" customWidth="1" style="47" min="190" max="190"/>
    <col width="11.109375" customWidth="1" style="47" min="191" max="191"/>
    <col width="12" customWidth="1" style="47" min="192" max="192"/>
    <col width="10.109375" customWidth="1" style="47" min="193" max="193"/>
    <col width="14.77734375" customWidth="1" style="47" min="194" max="194"/>
    <col width="12.6640625" customWidth="1" style="47" min="195" max="195"/>
    <col width="10.109375" customWidth="1" style="47" min="196" max="196"/>
    <col width="10" customWidth="1" style="47" min="197" max="199"/>
    <col width="13" customWidth="1" style="47" min="200" max="200"/>
    <col width="11" customWidth="1" style="47" min="201" max="204"/>
    <col width="11.44140625" customWidth="1" style="47" min="205" max="205"/>
    <col width="11.77734375" customWidth="1" style="47" min="206" max="206"/>
    <col width="12.6640625" customWidth="1" style="47" min="207" max="207"/>
    <col width="11.6640625" customWidth="1" style="47" min="208" max="208"/>
    <col width="13.44140625" customWidth="1" style="47" min="209" max="209"/>
    <col width="9.88671875" customWidth="1" style="47" min="210" max="210"/>
    <col width="9.5546875" customWidth="1" style="47" min="211" max="211"/>
    <col width="11.88671875" customWidth="1" style="47" min="212" max="212"/>
    <col width="10.77734375" customWidth="1" style="47" min="213" max="213"/>
    <col width="8.5546875" customWidth="1" style="47" min="214" max="215"/>
    <col width="8.88671875" customWidth="1" style="47" min="216" max="216"/>
    <col width="7.44140625" customWidth="1" style="47" min="217" max="217"/>
    <col width="9.88671875" customWidth="1" style="47" min="218" max="218"/>
    <col width="10.6640625" customWidth="1" style="47" min="219" max="219"/>
    <col width="8.33203125" customWidth="1" style="47" min="220" max="220"/>
    <col width="7.33203125" customWidth="1" style="47" min="221" max="221"/>
    <col width="8.77734375" customWidth="1" style="47" min="222" max="222"/>
  </cols>
  <sheetData>
    <row r="1" ht="19.5" customHeight="1" s="47">
      <c r="A1" s="29" t="inlineStr">
        <is>
          <t>RECORD DIMENSIONS</t>
        </is>
      </c>
      <c r="B1" s="30" t="n"/>
      <c r="C1" s="30" t="n"/>
      <c r="D1" s="30" t="n"/>
      <c r="E1" s="30" t="n"/>
      <c r="F1" s="30" t="n"/>
      <c r="G1" s="30" t="n"/>
      <c r="H1" s="43" t="inlineStr">
        <is>
          <t>WATER PRODUCTION &amp; NRW</t>
        </is>
      </c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3" t="inlineStr">
        <is>
          <t>TREATMENT CHEMICALS</t>
        </is>
      </c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4" t="inlineStr">
        <is>
          <t>POWER</t>
        </is>
      </c>
      <c r="AK1" s="30" t="n"/>
      <c r="AL1" s="30" t="n"/>
      <c r="AM1" s="30" t="n"/>
      <c r="AN1" s="34" t="inlineStr">
        <is>
          <t>TRANSPORT &amp; OPERATIONS</t>
        </is>
      </c>
      <c r="AO1" s="30" t="n"/>
      <c r="AP1" s="30" t="n"/>
      <c r="AQ1" s="30" t="n"/>
      <c r="AR1" s="30" t="n"/>
      <c r="AS1" s="30" t="n"/>
      <c r="AT1" s="30" t="n"/>
      <c r="AU1" s="30" t="n"/>
      <c r="AV1" s="30" t="n"/>
      <c r="AW1" s="30" t="n"/>
      <c r="AX1" s="36" t="inlineStr">
        <is>
          <t>STAFFING</t>
        </is>
      </c>
      <c r="AY1" s="30" t="n"/>
      <c r="AZ1" s="30" t="n"/>
      <c r="BA1" s="42" t="inlineStr">
        <is>
          <t>CONNECTIONS — INDIVIDUAL</t>
        </is>
      </c>
      <c r="BB1" s="30" t="n"/>
      <c r="BC1" s="30" t="n"/>
      <c r="BD1" s="30" t="n"/>
      <c r="BE1" s="30" t="n"/>
      <c r="BF1" s="30" t="n"/>
      <c r="BG1" s="42" t="inlineStr">
        <is>
          <t>CONNECTIONS — INSTITUTIONAL</t>
        </is>
      </c>
      <c r="BH1" s="30" t="n"/>
      <c r="BI1" s="30" t="n"/>
      <c r="BJ1" s="30" t="n"/>
      <c r="BK1" s="30" t="n"/>
      <c r="BL1" s="30" t="n"/>
      <c r="BM1" s="42" t="inlineStr">
        <is>
          <t>CONNECTIONS — COMMERCIAL</t>
        </is>
      </c>
      <c r="BN1" s="30" t="n"/>
      <c r="BO1" s="30" t="n"/>
      <c r="BP1" s="30" t="n"/>
      <c r="BQ1" s="30" t="n"/>
      <c r="BR1" s="30" t="n"/>
      <c r="BS1" s="42" t="inlineStr">
        <is>
          <t>CONNECTIONS — CWP</t>
        </is>
      </c>
      <c r="BT1" s="30" t="n"/>
      <c r="BU1" s="30" t="n"/>
      <c r="BV1" s="30" t="n"/>
      <c r="BW1" s="30" t="n"/>
      <c r="BX1" s="30" t="n"/>
      <c r="BY1" s="39" t="inlineStr">
        <is>
          <t>AGGREGATED CONNECTIONS</t>
        </is>
      </c>
      <c r="BZ1" s="30" t="n"/>
      <c r="CA1" s="30" t="n"/>
      <c r="CB1" s="30" t="n"/>
      <c r="CC1" s="37" t="inlineStr">
        <is>
          <t>METERS &amp; DISCONNECTIONS</t>
        </is>
      </c>
      <c r="CD1" s="30" t="n"/>
      <c r="CE1" s="30" t="n"/>
      <c r="CF1" s="30" t="n"/>
      <c r="CG1" s="30" t="n"/>
      <c r="CH1" s="30" t="n"/>
      <c r="CI1" s="37" t="inlineStr">
        <is>
          <t>ACTIVE CONSUMERS</t>
        </is>
      </c>
      <c r="CJ1" s="30" t="n"/>
      <c r="CK1" s="30" t="n"/>
      <c r="CL1" s="30" t="n"/>
      <c r="CM1" s="30" t="n"/>
      <c r="CN1" s="30" t="n"/>
      <c r="CO1" s="30" t="n"/>
      <c r="CP1" s="30" t="n"/>
      <c r="CQ1" s="30" t="n"/>
      <c r="CR1" s="30" t="n"/>
      <c r="CS1" s="30" t="n"/>
      <c r="CT1" s="30" t="n"/>
      <c r="CU1" s="37" t="inlineStr">
        <is>
          <t>POPULATION</t>
        </is>
      </c>
      <c r="CV1" s="30" t="n"/>
      <c r="CW1" s="30" t="n"/>
      <c r="CX1" s="33" t="inlineStr">
        <is>
          <t>STUCK METERS — INSTITUTIONAL</t>
        </is>
      </c>
      <c r="CY1" s="30" t="n"/>
      <c r="CZ1" s="30" t="n"/>
      <c r="DA1" s="30" t="n"/>
      <c r="DB1" s="30" t="n"/>
      <c r="DC1" s="33" t="inlineStr">
        <is>
          <t>STUCK METERS — COMMERCIAL</t>
        </is>
      </c>
      <c r="DD1" s="30" t="n"/>
      <c r="DE1" s="30" t="n"/>
      <c r="DF1" s="30" t="n"/>
      <c r="DG1" s="30" t="n"/>
      <c r="DH1" s="33" t="inlineStr">
        <is>
          <t>STUCK METERS — CWP</t>
        </is>
      </c>
      <c r="DI1" s="30" t="n"/>
      <c r="DJ1" s="30" t="n"/>
      <c r="DK1" s="30" t="n"/>
      <c r="DL1" s="30" t="n"/>
      <c r="DM1" s="33" t="inlineStr">
        <is>
          <t>STUCK METERS — INDIVIDUAL</t>
        </is>
      </c>
      <c r="DN1" s="30" t="n"/>
      <c r="DO1" s="30" t="n"/>
      <c r="DP1" s="30" t="n"/>
      <c r="DQ1" s="30" t="n"/>
      <c r="DR1" s="35" t="inlineStr">
        <is>
          <t>AGGREGATED STUCK METERS</t>
        </is>
      </c>
      <c r="DS1" s="30" t="n"/>
      <c r="DT1" s="30" t="n"/>
      <c r="DU1" s="30" t="n"/>
      <c r="DV1" s="30" t="n"/>
      <c r="DW1" s="38" t="inlineStr">
        <is>
          <t>PIPE BREAKDOWNS — PVC</t>
        </is>
      </c>
      <c r="DX1" s="30" t="n"/>
      <c r="DY1" s="30" t="n"/>
      <c r="DZ1" s="30" t="n"/>
      <c r="EA1" s="30" t="n"/>
      <c r="EB1" s="30" t="n"/>
      <c r="EC1" s="30" t="n"/>
      <c r="ED1" s="30" t="n"/>
      <c r="EE1" s="30" t="n"/>
      <c r="EF1" s="30" t="n"/>
      <c r="EG1" s="30" t="n"/>
      <c r="EH1" s="30" t="n"/>
      <c r="EI1" s="30" t="n"/>
      <c r="EJ1" s="38" t="inlineStr">
        <is>
          <t>PIPE BREAKDOWNS — GI</t>
        </is>
      </c>
      <c r="EK1" s="30" t="n"/>
      <c r="EL1" s="30" t="n"/>
      <c r="EM1" s="30" t="n"/>
      <c r="EN1" s="30" t="n"/>
      <c r="EO1" s="30" t="n"/>
      <c r="EP1" s="30" t="n"/>
      <c r="EQ1" s="30" t="n"/>
      <c r="ER1" s="30" t="n"/>
      <c r="ES1" s="38" t="inlineStr">
        <is>
          <t>PIPE BREAKDOWNS — DI</t>
        </is>
      </c>
      <c r="ET1" s="30" t="n"/>
      <c r="EU1" s="30" t="n"/>
      <c r="EV1" s="30" t="n"/>
      <c r="EW1" s="30" t="n"/>
      <c r="EX1" s="30" t="n"/>
      <c r="EY1" s="38" t="inlineStr">
        <is>
          <t>PIPE BREAKDOWNS — HDPE &amp; AC</t>
        </is>
      </c>
      <c r="EZ1" s="30" t="n"/>
      <c r="FA1" s="30" t="n"/>
      <c r="FB1" s="30" t="n"/>
      <c r="FC1" s="30" t="n"/>
      <c r="FD1" s="30" t="n"/>
      <c r="FE1" s="30" t="n"/>
      <c r="FF1" s="30" t="n"/>
      <c r="FG1" s="2" t="inlineStr">
        <is>
          <t>TOTAL BREAKDOWNS</t>
        </is>
      </c>
      <c r="FH1" s="31" t="inlineStr">
        <is>
          <t>PUMPS &amp; SUPPLY HOURS</t>
        </is>
      </c>
      <c r="FI1" s="30" t="n"/>
      <c r="FJ1" s="30" t="n"/>
      <c r="FK1" s="30" t="n"/>
      <c r="FL1" s="41" t="inlineStr">
        <is>
          <t>DEVELOPMENT LINES</t>
        </is>
      </c>
      <c r="FM1" s="30" t="n"/>
      <c r="FN1" s="30" t="n"/>
      <c r="FO1" s="30" t="n"/>
      <c r="FP1" s="30" t="n"/>
      <c r="FQ1" s="30" t="n"/>
      <c r="FR1" s="32" t="inlineStr">
        <is>
          <t>CASH COLLECTED</t>
        </is>
      </c>
      <c r="FS1" s="30" t="n"/>
      <c r="FT1" s="30" t="n"/>
      <c r="FU1" s="30" t="n"/>
      <c r="FV1" s="30" t="n"/>
      <c r="FW1" s="30" t="n"/>
      <c r="FX1" s="30" t="n"/>
      <c r="FY1" s="30" t="n"/>
      <c r="FZ1" s="30" t="n"/>
      <c r="GA1" s="30" t="n"/>
      <c r="GB1" s="30" t="n"/>
      <c r="GC1" s="32" t="inlineStr">
        <is>
          <t>AMOUNTS BILLED</t>
        </is>
      </c>
      <c r="GD1" s="30" t="n"/>
      <c r="GE1" s="30" t="n"/>
      <c r="GF1" s="30" t="n"/>
      <c r="GG1" s="30" t="n"/>
      <c r="GH1" s="30" t="n"/>
      <c r="GI1" s="30" t="n"/>
      <c r="GJ1" s="30" t="n"/>
      <c r="GK1" s="30" t="n"/>
      <c r="GL1" s="30" t="n"/>
      <c r="GM1" s="30" t="n"/>
      <c r="GN1" s="32" t="inlineStr">
        <is>
          <t>SERVICE CHARGES</t>
        </is>
      </c>
      <c r="GO1" s="30" t="n"/>
      <c r="GP1" s="30" t="n"/>
      <c r="GQ1" s="30" t="n"/>
      <c r="GR1" s="30" t="n"/>
      <c r="GS1" s="32" t="inlineStr">
        <is>
          <t>METER RENTAL</t>
        </is>
      </c>
      <c r="GT1" s="30" t="n"/>
      <c r="GU1" s="30" t="n"/>
      <c r="GV1" s="30" t="n"/>
      <c r="GW1" s="30" t="n"/>
      <c r="GX1" s="31" t="inlineStr">
        <is>
          <t>FINANCIAL KPIs</t>
        </is>
      </c>
      <c r="GY1" s="30" t="n"/>
      <c r="GZ1" s="30" t="n"/>
      <c r="HA1" s="30" t="n"/>
      <c r="HB1" s="30" t="n"/>
      <c r="HC1" s="30" t="n"/>
      <c r="HD1" s="30" t="n"/>
      <c r="HE1" s="40" t="inlineStr">
        <is>
          <t>CONNECTION PERFORMANCE</t>
        </is>
      </c>
      <c r="HF1" s="30" t="n"/>
      <c r="HG1" s="30" t="n"/>
      <c r="HH1" s="30" t="n"/>
      <c r="HI1" s="30" t="n"/>
      <c r="HJ1" s="30" t="n"/>
      <c r="HK1" s="30" t="n"/>
      <c r="HL1" s="40" t="inlineStr">
        <is>
          <t>QUERY PERFORMANCE</t>
        </is>
      </c>
      <c r="HM1" s="30" t="n"/>
      <c r="HN1" s="30" t="n"/>
    </row>
    <row r="2" ht="49.5" customHeight="1" s="47">
      <c r="A2" s="3" t="inlineStr">
        <is>
          <t>Zone</t>
        </is>
      </c>
      <c r="B2" s="3" t="inlineStr">
        <is>
          <t>Scheme</t>
        </is>
      </c>
      <c r="C2" s="3" t="inlineStr">
        <is>
          <t>Fiscal Year</t>
        </is>
      </c>
      <c r="D2" s="3" t="inlineStr">
        <is>
          <t>Year</t>
        </is>
      </c>
      <c r="E2" s="3" t="inlineStr">
        <is>
          <t>Month No.</t>
        </is>
      </c>
      <c r="F2" s="3" t="inlineStr">
        <is>
          <t>Month</t>
        </is>
      </c>
      <c r="G2" s="3" t="inlineStr">
        <is>
          <t>Quarter</t>
        </is>
      </c>
      <c r="H2" s="4" t="inlineStr">
        <is>
          <t>Volume Produced (m³)</t>
        </is>
      </c>
      <c r="I2" s="4" t="inlineStr">
        <is>
          <t>Vol Billed Individual Postpaid</t>
        </is>
      </c>
      <c r="J2" s="4" t="inlineStr">
        <is>
          <t>Vol Billed CWP Postpaid</t>
        </is>
      </c>
      <c r="K2" s="4" t="inlineStr">
        <is>
          <t>Vol Billed Institutions Postpaid</t>
        </is>
      </c>
      <c r="L2" s="4" t="inlineStr">
        <is>
          <t>Vol Billed Commercial Postpaid</t>
        </is>
      </c>
      <c r="M2" s="5" t="inlineStr">
        <is>
          <t>TOTAL Vol Billed Postpaid</t>
        </is>
      </c>
      <c r="N2" s="4" t="inlineStr">
        <is>
          <t>Vol Billed Individual Prepaid</t>
        </is>
      </c>
      <c r="O2" s="4" t="inlineStr">
        <is>
          <t>Vol Billed CWP Prepaid</t>
        </is>
      </c>
      <c r="P2" s="4" t="inlineStr">
        <is>
          <t>Vol Billed Institutions Prepaid</t>
        </is>
      </c>
      <c r="Q2" s="4" t="inlineStr">
        <is>
          <t>Vol Billed Commercial Prepaid</t>
        </is>
      </c>
      <c r="R2" s="5" t="inlineStr">
        <is>
          <t>TOTAL Vol Billed Prepaid</t>
        </is>
      </c>
      <c r="S2" s="5" t="inlineStr">
        <is>
          <t>TOTAL Revenue Water m³</t>
        </is>
      </c>
      <c r="T2" s="4" t="inlineStr">
        <is>
          <t>Non-Revenue Water m³</t>
        </is>
      </c>
      <c r="U2" s="5" t="inlineStr">
        <is>
          <t>% NRW</t>
        </is>
      </c>
      <c r="V2" s="4" t="inlineStr">
        <is>
          <t>Chlorine kg</t>
        </is>
      </c>
      <c r="W2" s="5" t="inlineStr">
        <is>
          <t>Chlorine kg per m³</t>
        </is>
      </c>
      <c r="X2" s="4" t="inlineStr">
        <is>
          <t>Alum Sulphate kg</t>
        </is>
      </c>
      <c r="Y2" s="5" t="inlineStr">
        <is>
          <t>Alum Sulphate kg per m³</t>
        </is>
      </c>
      <c r="Z2" s="4" t="inlineStr">
        <is>
          <t>Soda Ash kg</t>
        </is>
      </c>
      <c r="AA2" s="5" t="inlineStr">
        <is>
          <t>Soda Ash kg per m³</t>
        </is>
      </c>
      <c r="AB2" s="4" t="inlineStr">
        <is>
          <t>Algae Floc litres</t>
        </is>
      </c>
      <c r="AC2" s="5" t="inlineStr">
        <is>
          <t>Algae Floc per m³</t>
        </is>
      </c>
      <c r="AD2" s="4" t="inlineStr">
        <is>
          <t>Sud Floc litres</t>
        </is>
      </c>
      <c r="AE2" s="5" t="inlineStr">
        <is>
          <t>Sud Floc per m³</t>
        </is>
      </c>
      <c r="AF2" s="4" t="inlineStr">
        <is>
          <t>Potassium Permanganate kg</t>
        </is>
      </c>
      <c r="AG2" s="5" t="inlineStr">
        <is>
          <t>KMnO4 per m³</t>
        </is>
      </c>
      <c r="AH2" s="4" t="inlineStr">
        <is>
          <t>Cost of Chemicals MWK</t>
        </is>
      </c>
      <c r="AI2" s="5" t="inlineStr">
        <is>
          <t>Chem Cost per m³</t>
        </is>
      </c>
      <c r="AJ2" s="4" t="inlineStr">
        <is>
          <t>Power Usage kWh</t>
        </is>
      </c>
      <c r="AK2" s="5" t="inlineStr">
        <is>
          <t>Power per m³</t>
        </is>
      </c>
      <c r="AL2" s="4" t="inlineStr">
        <is>
          <t>Cost of Power MWK</t>
        </is>
      </c>
      <c r="AM2" s="5" t="inlineStr">
        <is>
          <t>Power Cost per m³</t>
        </is>
      </c>
      <c r="AN2" s="4" t="inlineStr">
        <is>
          <t>Distances Covered km</t>
        </is>
      </c>
      <c r="AO2" s="4" t="inlineStr">
        <is>
          <t>Fuel Used litres</t>
        </is>
      </c>
      <c r="AP2" s="4" t="inlineStr">
        <is>
          <t>Cost of Fuel MWK</t>
        </is>
      </c>
      <c r="AQ2" s="4" t="inlineStr">
        <is>
          <t>Maintenance MWK</t>
        </is>
      </c>
      <c r="AR2" s="4" t="inlineStr">
        <is>
          <t>Staff Costs MWK</t>
        </is>
      </c>
      <c r="AS2" s="4" t="inlineStr">
        <is>
          <t>Wages MWK</t>
        </is>
      </c>
      <c r="AT2" s="4" t="inlineStr">
        <is>
          <t>Other Overhead MWK</t>
        </is>
      </c>
      <c r="AU2" s="5" t="inlineStr">
        <is>
          <t>TOTAL Operating Costs MWK</t>
        </is>
      </c>
      <c r="AV2" s="5" t="inlineStr">
        <is>
          <t>OpCost per m³ Produced</t>
        </is>
      </c>
      <c r="AW2" s="5" t="inlineStr">
        <is>
          <t>OpCost per m³ Billed</t>
        </is>
      </c>
      <c r="AX2" s="4" t="inlineStr">
        <is>
          <t>Permanent Staff</t>
        </is>
      </c>
      <c r="AY2" s="5" t="inlineStr">
        <is>
          <t>Staff per 1000m³ 12h</t>
        </is>
      </c>
      <c r="AZ2" s="4" t="inlineStr">
        <is>
          <t>Temporary Staff</t>
        </is>
      </c>
      <c r="BA2" s="4" t="inlineStr">
        <is>
          <t>Indiv Conn BroughtFwd</t>
        </is>
      </c>
      <c r="BB2" s="4" t="inlineStr">
        <is>
          <t>Indiv Conn Applied PP</t>
        </is>
      </c>
      <c r="BC2" s="4" t="inlineStr">
        <is>
          <t>Indiv Conn Done PP</t>
        </is>
      </c>
      <c r="BD2" s="4" t="inlineStr">
        <is>
          <t>Indiv Conn Done Prepaid</t>
        </is>
      </c>
      <c r="BE2" s="5" t="inlineStr">
        <is>
          <t>Indiv Conn TOTAL Done</t>
        </is>
      </c>
      <c r="BF2" s="5" t="inlineStr">
        <is>
          <t>Indiv Conn CarriedFwd</t>
        </is>
      </c>
      <c r="BG2" s="4" t="inlineStr">
        <is>
          <t>Inst Conn BroughtFwd</t>
        </is>
      </c>
      <c r="BH2" s="4" t="inlineStr">
        <is>
          <t>Inst Conn Applied PP</t>
        </is>
      </c>
      <c r="BI2" s="4" t="inlineStr">
        <is>
          <t>Inst Conn Done PP</t>
        </is>
      </c>
      <c r="BJ2" s="4" t="inlineStr">
        <is>
          <t>Inst Conn Done Prepaid</t>
        </is>
      </c>
      <c r="BK2" s="5" t="inlineStr">
        <is>
          <t>Inst Conn TOTAL Done</t>
        </is>
      </c>
      <c r="BL2" s="5" t="inlineStr">
        <is>
          <t>Inst Conn CarriedFwd</t>
        </is>
      </c>
      <c r="BM2" s="4" t="inlineStr">
        <is>
          <t>Comm Conn BroughtFwd</t>
        </is>
      </c>
      <c r="BN2" s="4" t="inlineStr">
        <is>
          <t>Comm Conn Applied PP</t>
        </is>
      </c>
      <c r="BO2" s="4" t="inlineStr">
        <is>
          <t>Comm Conn Done PP</t>
        </is>
      </c>
      <c r="BP2" s="4" t="inlineStr">
        <is>
          <t>Comm Conn Done Prepaid</t>
        </is>
      </c>
      <c r="BQ2" s="5" t="inlineStr">
        <is>
          <t>Comm Conn TOTAL Done</t>
        </is>
      </c>
      <c r="BR2" s="5" t="inlineStr">
        <is>
          <t>Comm Conn CarriedFwd</t>
        </is>
      </c>
      <c r="BS2" s="4" t="inlineStr">
        <is>
          <t>CWP Conn BroughtFwd</t>
        </is>
      </c>
      <c r="BT2" s="4" t="inlineStr">
        <is>
          <t>CWP Conn Applied PP</t>
        </is>
      </c>
      <c r="BU2" s="4" t="inlineStr">
        <is>
          <t>CWP Conn Done PP</t>
        </is>
      </c>
      <c r="BV2" s="4" t="inlineStr">
        <is>
          <t>CWP Conn Done Prepaid</t>
        </is>
      </c>
      <c r="BW2" s="5" t="inlineStr">
        <is>
          <t>CWP Conn TOTAL Done</t>
        </is>
      </c>
      <c r="BX2" s="5" t="inlineStr">
        <is>
          <t>CWP Conn CarriedFwd</t>
        </is>
      </c>
      <c r="BY2" s="5" t="inlineStr">
        <is>
          <t>ALL Conn BroughtFwd</t>
        </is>
      </c>
      <c r="BZ2" s="5" t="inlineStr">
        <is>
          <t>ALL Conn Applied</t>
        </is>
      </c>
      <c r="CA2" s="5" t="inlineStr">
        <is>
          <t>ALL Conn TOTAL Done</t>
        </is>
      </c>
      <c r="CB2" s="5" t="inlineStr">
        <is>
          <t>ALL Conn CarriedFwd</t>
        </is>
      </c>
      <c r="CC2" s="4" t="inlineStr">
        <is>
          <t>Prepaid Meters Installed</t>
        </is>
      </c>
      <c r="CD2" s="4" t="inlineStr">
        <is>
          <t>Disconnected Individual</t>
        </is>
      </c>
      <c r="CE2" s="4" t="inlineStr">
        <is>
          <t>Disconnected Institutional</t>
        </is>
      </c>
      <c r="CF2" s="4" t="inlineStr">
        <is>
          <t>Disconnected Commercial</t>
        </is>
      </c>
      <c r="CG2" s="4" t="inlineStr">
        <is>
          <t>Disconnected CWP</t>
        </is>
      </c>
      <c r="CH2" s="5" t="inlineStr">
        <is>
          <t>TOTAL Disconnected</t>
        </is>
      </c>
      <c r="CI2" s="4" t="inlineStr">
        <is>
          <t>Active Postpaid Individual</t>
        </is>
      </c>
      <c r="CJ2" s="4" t="inlineStr">
        <is>
          <t>Active Postpaid Institutional</t>
        </is>
      </c>
      <c r="CK2" s="4" t="inlineStr">
        <is>
          <t>Active Postpaid Commercial</t>
        </is>
      </c>
      <c r="CL2" s="4" t="inlineStr">
        <is>
          <t>Active Postpaid CWP</t>
        </is>
      </c>
      <c r="CM2" s="5" t="inlineStr">
        <is>
          <t>TOTAL Active Postpaid</t>
        </is>
      </c>
      <c r="CN2" s="4" t="inlineStr">
        <is>
          <t>Active Prepaid Individual</t>
        </is>
      </c>
      <c r="CO2" s="4" t="inlineStr">
        <is>
          <t>Active Prepaid Institutional</t>
        </is>
      </c>
      <c r="CP2" s="4" t="inlineStr">
        <is>
          <t>Active Prepaid Commercial</t>
        </is>
      </c>
      <c r="CQ2" s="4" t="inlineStr">
        <is>
          <t>Active Prepaid CWP</t>
        </is>
      </c>
      <c r="CR2" s="5" t="inlineStr">
        <is>
          <t>TOTAL Active Prepaid</t>
        </is>
      </c>
      <c r="CS2" s="5" t="inlineStr">
        <is>
          <t>TOTAL Active Customers</t>
        </is>
      </c>
      <c r="CT2" s="4" t="inlineStr">
        <is>
          <t>Total Metered Consumers</t>
        </is>
      </c>
      <c r="CU2" s="4" t="inlineStr">
        <is>
          <t>Population Supply Area</t>
        </is>
      </c>
      <c r="CV2" s="4" t="inlineStr">
        <is>
          <t>Population Supplied</t>
        </is>
      </c>
      <c r="CW2" s="5" t="inlineStr">
        <is>
          <t>Pct Population Supplied</t>
        </is>
      </c>
      <c r="CX2" s="4" t="inlineStr">
        <is>
          <t>Inst StuckM BroughtFwd</t>
        </is>
      </c>
      <c r="CY2" s="4" t="inlineStr">
        <is>
          <t>Inst StuckM New</t>
        </is>
      </c>
      <c r="CZ2" s="4" t="inlineStr">
        <is>
          <t>Inst StuckM Repaired</t>
        </is>
      </c>
      <c r="DA2" s="4" t="inlineStr">
        <is>
          <t>Inst StuckM Replaced</t>
        </is>
      </c>
      <c r="DB2" s="5" t="inlineStr">
        <is>
          <t>Inst StuckM CarriedFwd</t>
        </is>
      </c>
      <c r="DC2" s="4" t="inlineStr">
        <is>
          <t>Comm StuckM BroughtFwd</t>
        </is>
      </c>
      <c r="DD2" s="4" t="inlineStr">
        <is>
          <t>Comm StuckM New</t>
        </is>
      </c>
      <c r="DE2" s="4" t="inlineStr">
        <is>
          <t>Comm StuckM Repaired</t>
        </is>
      </c>
      <c r="DF2" s="4" t="inlineStr">
        <is>
          <t>Comm StuckM Replaced</t>
        </is>
      </c>
      <c r="DG2" s="5" t="inlineStr">
        <is>
          <t>Comm StuckM CarriedFwd</t>
        </is>
      </c>
      <c r="DH2" s="4" t="inlineStr">
        <is>
          <t>CWP StuckM BroughtFwd</t>
        </is>
      </c>
      <c r="DI2" s="4" t="inlineStr">
        <is>
          <t>CWP StuckM New</t>
        </is>
      </c>
      <c r="DJ2" s="4" t="inlineStr">
        <is>
          <t>CWP StuckM Repaired</t>
        </is>
      </c>
      <c r="DK2" s="4" t="inlineStr">
        <is>
          <t>CWP StuckM Replaced</t>
        </is>
      </c>
      <c r="DL2" s="5" t="inlineStr">
        <is>
          <t>CWP StuckM CarriedFwd</t>
        </is>
      </c>
      <c r="DM2" s="4" t="inlineStr">
        <is>
          <t>Indiv StuckM BroughtFwd</t>
        </is>
      </c>
      <c r="DN2" s="4" t="inlineStr">
        <is>
          <t>Indiv StuckM New</t>
        </is>
      </c>
      <c r="DO2" s="4" t="inlineStr">
        <is>
          <t>Indiv StuckM Repaired</t>
        </is>
      </c>
      <c r="DP2" s="4" t="inlineStr">
        <is>
          <t>Indiv StuckM Replaced</t>
        </is>
      </c>
      <c r="DQ2" s="5" t="inlineStr">
        <is>
          <t>Indiv StuckM CarriedFwd</t>
        </is>
      </c>
      <c r="DR2" s="5" t="inlineStr">
        <is>
          <t>ALL StuckM BroughtFwd</t>
        </is>
      </c>
      <c r="DS2" s="5" t="inlineStr">
        <is>
          <t>ALL StuckM New</t>
        </is>
      </c>
      <c r="DT2" s="5" t="inlineStr">
        <is>
          <t>ALL StuckM Repaired</t>
        </is>
      </c>
      <c r="DU2" s="5" t="inlineStr">
        <is>
          <t>ALL StuckM Replaced</t>
        </is>
      </c>
      <c r="DV2" s="5" t="inlineStr">
        <is>
          <t>ALL StuckM CarriedFwd</t>
        </is>
      </c>
      <c r="DW2" s="4" t="inlineStr">
        <is>
          <t>PVC 20mm</t>
        </is>
      </c>
      <c r="DX2" s="4" t="inlineStr">
        <is>
          <t>PVC 25mm</t>
        </is>
      </c>
      <c r="DY2" s="4" t="inlineStr">
        <is>
          <t>PVC 32mm</t>
        </is>
      </c>
      <c r="DZ2" s="4" t="inlineStr">
        <is>
          <t>PVC 40mm</t>
        </is>
      </c>
      <c r="EA2" s="4" t="inlineStr">
        <is>
          <t>PVC 50mm</t>
        </is>
      </c>
      <c r="EB2" s="4" t="inlineStr">
        <is>
          <t>PVC 63mm</t>
        </is>
      </c>
      <c r="EC2" s="4" t="inlineStr">
        <is>
          <t>PVC 75mm</t>
        </is>
      </c>
      <c r="ED2" s="4" t="inlineStr">
        <is>
          <t>PVC 90mm</t>
        </is>
      </c>
      <c r="EE2" s="4" t="inlineStr">
        <is>
          <t>PVC 110mm</t>
        </is>
      </c>
      <c r="EF2" s="4" t="inlineStr">
        <is>
          <t>PVC 160mm</t>
        </is>
      </c>
      <c r="EG2" s="4" t="inlineStr">
        <is>
          <t>PVC 200mm</t>
        </is>
      </c>
      <c r="EH2" s="4" t="inlineStr">
        <is>
          <t>PVC 250mm</t>
        </is>
      </c>
      <c r="EI2" s="4" t="inlineStr">
        <is>
          <t>PVC 315mm</t>
        </is>
      </c>
      <c r="EJ2" s="4" t="inlineStr">
        <is>
          <t>GI 15mm</t>
        </is>
      </c>
      <c r="EK2" s="4" t="inlineStr">
        <is>
          <t>GI 20mm</t>
        </is>
      </c>
      <c r="EL2" s="4" t="inlineStr">
        <is>
          <t>GI 25mm</t>
        </is>
      </c>
      <c r="EM2" s="4" t="inlineStr">
        <is>
          <t>GI 40mm</t>
        </is>
      </c>
      <c r="EN2" s="4" t="inlineStr">
        <is>
          <t>GI 50mm</t>
        </is>
      </c>
      <c r="EO2" s="4" t="inlineStr">
        <is>
          <t>GI 75mm</t>
        </is>
      </c>
      <c r="EP2" s="4" t="inlineStr">
        <is>
          <t>GI 100mm</t>
        </is>
      </c>
      <c r="EQ2" s="4" t="inlineStr">
        <is>
          <t>GI 150mm</t>
        </is>
      </c>
      <c r="ER2" s="4" t="inlineStr">
        <is>
          <t>GI 200mm</t>
        </is>
      </c>
      <c r="ES2" s="4" t="inlineStr">
        <is>
          <t>DI 150mm</t>
        </is>
      </c>
      <c r="ET2" s="4" t="inlineStr">
        <is>
          <t>DI 200mm</t>
        </is>
      </c>
      <c r="EU2" s="4" t="inlineStr">
        <is>
          <t>DI 250mm</t>
        </is>
      </c>
      <c r="EV2" s="4" t="inlineStr">
        <is>
          <t>DI 300mm</t>
        </is>
      </c>
      <c r="EW2" s="4" t="inlineStr">
        <is>
          <t>DI 350mm</t>
        </is>
      </c>
      <c r="EX2" s="4" t="inlineStr">
        <is>
          <t>DI 525mm</t>
        </is>
      </c>
      <c r="EY2" s="4" t="inlineStr">
        <is>
          <t>HDPE 20mm</t>
        </is>
      </c>
      <c r="EZ2" s="4" t="inlineStr">
        <is>
          <t>HDPE 25mm</t>
        </is>
      </c>
      <c r="FA2" s="4" t="inlineStr">
        <is>
          <t>HDPE 32mm</t>
        </is>
      </c>
      <c r="FB2" s="4" t="inlineStr">
        <is>
          <t>HDPE 50mm</t>
        </is>
      </c>
      <c r="FC2" s="4" t="inlineStr">
        <is>
          <t>AC 50mm</t>
        </is>
      </c>
      <c r="FD2" s="4" t="inlineStr">
        <is>
          <t>AC 75mm</t>
        </is>
      </c>
      <c r="FE2" s="4" t="inlineStr">
        <is>
          <t>AC 100mm</t>
        </is>
      </c>
      <c r="FF2" s="4" t="inlineStr">
        <is>
          <t>AC 150mm</t>
        </is>
      </c>
      <c r="FG2" s="5" t="inlineStr">
        <is>
          <t>TOTAL Pipe Breakdowns</t>
        </is>
      </c>
      <c r="FH2" s="4" t="inlineStr">
        <is>
          <t>Pump Breakdowns</t>
        </is>
      </c>
      <c r="FI2" s="4" t="inlineStr">
        <is>
          <t>Pump Hours Lost</t>
        </is>
      </c>
      <c r="FJ2" s="4" t="inlineStr">
        <is>
          <t>Normal Supply Hours</t>
        </is>
      </c>
      <c r="FK2" s="4" t="inlineStr">
        <is>
          <t>Power Failure Hours</t>
        </is>
      </c>
      <c r="FL2" s="4" t="inlineStr">
        <is>
          <t>DevLines 32mm</t>
        </is>
      </c>
      <c r="FM2" s="4" t="inlineStr">
        <is>
          <t>DevLines 50mm</t>
        </is>
      </c>
      <c r="FN2" s="4" t="inlineStr">
        <is>
          <t>DevLines 63mm</t>
        </is>
      </c>
      <c r="FO2" s="4" t="inlineStr">
        <is>
          <t>DevLines 90mm</t>
        </is>
      </c>
      <c r="FP2" s="4" t="inlineStr">
        <is>
          <t>DevLines 110mm</t>
        </is>
      </c>
      <c r="FQ2" s="5" t="inlineStr">
        <is>
          <t>TOTAL Dev Lines Done</t>
        </is>
      </c>
      <c r="FR2" s="4" t="inlineStr">
        <is>
          <t>Cash Coll Indiv PP</t>
        </is>
      </c>
      <c r="FS2" s="4" t="inlineStr">
        <is>
          <t>Cash Coll CWP PP</t>
        </is>
      </c>
      <c r="FT2" s="4" t="inlineStr">
        <is>
          <t>Cash Coll Comm PP</t>
        </is>
      </c>
      <c r="FU2" s="4" t="inlineStr">
        <is>
          <t>Cash Coll Inst PP</t>
        </is>
      </c>
      <c r="FV2" s="5" t="inlineStr">
        <is>
          <t>TOTAL Cash Coll PP</t>
        </is>
      </c>
      <c r="FW2" s="4" t="inlineStr">
        <is>
          <t>Cash Coll Indiv Prepaid</t>
        </is>
      </c>
      <c r="FX2" s="4" t="inlineStr">
        <is>
          <t>Cash Coll CWP Prepaid</t>
        </is>
      </c>
      <c r="FY2" s="4" t="inlineStr">
        <is>
          <t>Cash Coll Comm Prepaid</t>
        </is>
      </c>
      <c r="FZ2" s="4" t="inlineStr">
        <is>
          <t>Cash Coll Inst Prepaid</t>
        </is>
      </c>
      <c r="GA2" s="5" t="inlineStr">
        <is>
          <t>TOTAL Cash Coll Prepaid</t>
        </is>
      </c>
      <c r="GB2" s="5" t="inlineStr">
        <is>
          <t>TOTAL Cash Collected</t>
        </is>
      </c>
      <c r="GC2" s="4" t="inlineStr">
        <is>
          <t>Amt Billed Indiv PP</t>
        </is>
      </c>
      <c r="GD2" s="4" t="inlineStr">
        <is>
          <t>Amt Billed CWP PP</t>
        </is>
      </c>
      <c r="GE2" s="4" t="inlineStr">
        <is>
          <t>Amt Billed Inst PP</t>
        </is>
      </c>
      <c r="GF2" s="4" t="inlineStr">
        <is>
          <t>Amt Billed Comm PP</t>
        </is>
      </c>
      <c r="GG2" s="5" t="inlineStr">
        <is>
          <t>TOTAL Amt Billed PP</t>
        </is>
      </c>
      <c r="GH2" s="4" t="inlineStr">
        <is>
          <t>Amt Billed Indiv Prepaid</t>
        </is>
      </c>
      <c r="GI2" s="4" t="inlineStr">
        <is>
          <t>Amt Billed CWP Prepaid</t>
        </is>
      </c>
      <c r="GJ2" s="4" t="inlineStr">
        <is>
          <t>Amt Billed Inst Prepaid</t>
        </is>
      </c>
      <c r="GK2" s="4" t="inlineStr">
        <is>
          <t>Amt Billed Comm Prepaid</t>
        </is>
      </c>
      <c r="GL2" s="5" t="inlineStr">
        <is>
          <t>TOTAL Amt Billed Prepaid</t>
        </is>
      </c>
      <c r="GM2" s="5" t="inlineStr">
        <is>
          <t>TOTAL Amount Billed</t>
        </is>
      </c>
      <c r="GN2" s="4" t="inlineStr">
        <is>
          <t>Svc Charge Individual</t>
        </is>
      </c>
      <c r="GO2" s="4" t="inlineStr">
        <is>
          <t>Svc Charge CWP</t>
        </is>
      </c>
      <c r="GP2" s="4" t="inlineStr">
        <is>
          <t>Svc Charge Institutions</t>
        </is>
      </c>
      <c r="GQ2" s="4" t="inlineStr">
        <is>
          <t>Svc Charge Commercial</t>
        </is>
      </c>
      <c r="GR2" s="5" t="inlineStr">
        <is>
          <t>TOTAL Service Charge</t>
        </is>
      </c>
      <c r="GS2" s="4" t="inlineStr">
        <is>
          <t>Meter Rental Individual</t>
        </is>
      </c>
      <c r="GT2" s="4" t="inlineStr">
        <is>
          <t>Meter Rental CWP</t>
        </is>
      </c>
      <c r="GU2" s="4" t="inlineStr">
        <is>
          <t>Meter Rental Institutions</t>
        </is>
      </c>
      <c r="GV2" s="4" t="inlineStr">
        <is>
          <t>Meter Rental Commercial</t>
        </is>
      </c>
      <c r="GW2" s="5" t="inlineStr">
        <is>
          <t>TOTAL Meter Rental</t>
        </is>
      </c>
      <c r="GX2" s="5" t="inlineStr">
        <is>
          <t>TOTAL Sales MWK</t>
        </is>
      </c>
      <c r="GY2" s="4" t="inlineStr">
        <is>
          <t>Private Debtors MWK</t>
        </is>
      </c>
      <c r="GZ2" s="4" t="inlineStr">
        <is>
          <t>Public Debtors MWK</t>
        </is>
      </c>
      <c r="HA2" s="5" t="inlineStr">
        <is>
          <t>TOTAL Debtors MWK</t>
        </is>
      </c>
      <c r="HB2" s="5" t="inlineStr">
        <is>
          <t>OpCost per Sales</t>
        </is>
      </c>
      <c r="HC2" s="5" t="inlineStr">
        <is>
          <t>Cash Collection Rate</t>
        </is>
      </c>
      <c r="HD2" s="5" t="inlineStr">
        <is>
          <t>Collection per Total Sales</t>
        </is>
      </c>
      <c r="HE2" s="4" t="inlineStr">
        <is>
          <t>Cust Applied Connection</t>
        </is>
      </c>
      <c r="HF2" s="4" t="inlineStr">
        <is>
          <t>Days to Quotation</t>
        </is>
      </c>
      <c r="HG2" s="4" t="inlineStr">
        <is>
          <t>Cust Fully Paid</t>
        </is>
      </c>
      <c r="HH2" s="4" t="inlineStr">
        <is>
          <t>Paid-up Applicants</t>
        </is>
      </c>
      <c r="HI2" s="4" t="inlineStr">
        <is>
          <t>Days to Connect</t>
        </is>
      </c>
      <c r="HJ2" s="5" t="inlineStr">
        <is>
          <t>Connection Days</t>
        </is>
      </c>
      <c r="HK2" s="5" t="inlineStr">
        <is>
          <t>Connectivity Rate</t>
        </is>
      </c>
      <c r="HL2" s="4" t="inlineStr">
        <is>
          <t>Queries Received</t>
        </is>
      </c>
      <c r="HM2" s="4" t="inlineStr">
        <is>
          <t>Time to Resolve Queries</t>
        </is>
      </c>
      <c r="HN2" s="5" t="inlineStr">
        <is>
          <t>Response Time avg</t>
        </is>
      </c>
    </row>
    <row r="3">
      <c r="A3" s="6" t="inlineStr">
        <is>
          <t>Liwonde</t>
        </is>
      </c>
      <c r="B3" s="6" t="inlineStr">
        <is>
          <t>Balaka</t>
        </is>
      </c>
      <c r="C3" s="7" t="inlineStr">
        <is>
          <t>FY2025/26</t>
        </is>
      </c>
      <c r="D3" s="7" t="n">
        <v>2025</v>
      </c>
      <c r="E3" s="7" t="n">
        <v>4</v>
      </c>
      <c r="F3" s="7" t="inlineStr">
        <is>
          <t>April</t>
        </is>
      </c>
      <c r="G3" s="7" t="inlineStr">
        <is>
          <t>Q1</t>
        </is>
      </c>
      <c r="H3" s="8" t="n">
        <v>53275</v>
      </c>
      <c r="I3" s="8" t="n">
        <v>24957</v>
      </c>
      <c r="J3" s="8" t="n">
        <v>958</v>
      </c>
      <c r="K3" s="8" t="n">
        <v>90</v>
      </c>
      <c r="L3" s="8" t="n">
        <v>11</v>
      </c>
      <c r="M3" s="9">
        <f>SUM(I3,J3,K3,L3)</f>
        <v/>
      </c>
      <c r="N3" s="8" t="n">
        <v>9562.599999999989</v>
      </c>
      <c r="O3" s="8" t="n">
        <v>43.4</v>
      </c>
      <c r="P3" s="8" t="n">
        <v>1612.1</v>
      </c>
      <c r="Q3" s="8" t="n">
        <v>353.8</v>
      </c>
      <c r="R3" s="9">
        <f>SUM(N3,O3,P3,Q3)</f>
        <v/>
      </c>
      <c r="S3" s="9">
        <f>M3+R3</f>
        <v/>
      </c>
      <c r="T3" s="8" t="n">
        <v>15687.1</v>
      </c>
      <c r="U3" s="10">
        <f>IF(H3=0,"",T3/H3)</f>
        <v/>
      </c>
      <c r="V3" s="8" t="n">
        <v>86</v>
      </c>
      <c r="W3" s="11">
        <f>IF(H3=0,"",V3/H3)</f>
        <v/>
      </c>
      <c r="X3" s="8" t="n">
        <v>0</v>
      </c>
      <c r="Y3" s="11">
        <f>IF(H3=0,"",X3/H3)</f>
        <v/>
      </c>
      <c r="Z3" s="8" t="n">
        <v>0</v>
      </c>
      <c r="AA3" s="11">
        <f>IF(H3=0,"",Z3/H3)</f>
        <v/>
      </c>
      <c r="AB3" s="8" t="n">
        <v>0</v>
      </c>
      <c r="AC3" s="11">
        <f>IF(H3=0,"",AB3/H3)</f>
        <v/>
      </c>
      <c r="AD3" s="8" t="n">
        <v>0</v>
      </c>
      <c r="AE3" s="11">
        <f>IF(H3=0,"",AD3/H3)</f>
        <v/>
      </c>
      <c r="AF3" s="8" t="n">
        <v>0</v>
      </c>
      <c r="AG3" s="11">
        <f>IF(H3=0,"",AF3/H3)</f>
        <v/>
      </c>
      <c r="AH3" s="8" t="n">
        <v>303174.94</v>
      </c>
      <c r="AI3" s="9">
        <f>IF(H3=0,"",AH3/H3)</f>
        <v/>
      </c>
      <c r="AJ3" s="8" t="n">
        <v>28941.5</v>
      </c>
      <c r="AK3" s="11">
        <f>IF(H3=0,"",AJ3/H3)</f>
        <v/>
      </c>
      <c r="AL3" s="8" t="n">
        <v>4857706.61625</v>
      </c>
      <c r="AM3" s="9">
        <f>IF(H3=0,"",AL3/H3)</f>
        <v/>
      </c>
      <c r="AN3" s="8" t="n">
        <v>3192</v>
      </c>
      <c r="AO3" s="8" t="n">
        <v>120</v>
      </c>
      <c r="AP3" s="8" t="n">
        <v>327600</v>
      </c>
      <c r="AQ3" s="8" t="n">
        <v>0</v>
      </c>
      <c r="AR3" s="8" t="n">
        <v>17284771.38</v>
      </c>
      <c r="AS3" s="8" t="n">
        <v>4389039.26</v>
      </c>
      <c r="AT3" s="8" t="n">
        <v>5018013.69</v>
      </c>
      <c r="AU3" s="9">
        <f>AH3+AL3+AP3+AQ3+AR3+AS3+AT3</f>
        <v/>
      </c>
      <c r="AV3" s="9">
        <f>IF(H3=0,"",AU3/H3)</f>
        <v/>
      </c>
      <c r="AW3" s="9">
        <f>IF(S3=0,"",AU3/S3)</f>
        <v/>
      </c>
      <c r="AX3" s="8" t="n">
        <v>14</v>
      </c>
      <c r="AY3" s="9">
        <f>IF(H3=0,"",AX3/(H3/1000/12))</f>
        <v/>
      </c>
      <c r="AZ3" s="8" t="n">
        <v>20</v>
      </c>
      <c r="BA3" s="8" t="n">
        <v>407</v>
      </c>
      <c r="BB3" s="8" t="n">
        <v>34</v>
      </c>
      <c r="BC3" s="8" t="n">
        <v>48</v>
      </c>
      <c r="BD3" s="8" t="n">
        <v>0</v>
      </c>
      <c r="BE3" s="9">
        <f>BC3+BD3</f>
        <v/>
      </c>
      <c r="BF3" s="9">
        <f>BA3+BB3-BE3</f>
        <v/>
      </c>
      <c r="BG3" s="8" t="n">
        <v>0</v>
      </c>
      <c r="BH3" s="8" t="n">
        <v>0</v>
      </c>
      <c r="BI3" s="8" t="n">
        <v>0</v>
      </c>
      <c r="BJ3" s="8" t="n">
        <v>0</v>
      </c>
      <c r="BK3" s="9">
        <f>BI3+BJ3</f>
        <v/>
      </c>
      <c r="BL3" s="9">
        <f>BG3+BH3-BK3</f>
        <v/>
      </c>
      <c r="BM3" s="8" t="n">
        <v>0</v>
      </c>
      <c r="BN3" s="8" t="n">
        <v>0</v>
      </c>
      <c r="BO3" s="8" t="n">
        <v>0</v>
      </c>
      <c r="BP3" s="8" t="n">
        <v>0</v>
      </c>
      <c r="BQ3" s="9">
        <f>BO3+BP3</f>
        <v/>
      </c>
      <c r="BR3" s="9">
        <f>BM3+BN3-BQ3</f>
        <v/>
      </c>
      <c r="BS3" s="8" t="n">
        <v>0</v>
      </c>
      <c r="BT3" s="8" t="n">
        <v>0</v>
      </c>
      <c r="BU3" s="8" t="n">
        <v>0</v>
      </c>
      <c r="BV3" s="8" t="n">
        <v>0</v>
      </c>
      <c r="BW3" s="9">
        <f>BU3+BV3</f>
        <v/>
      </c>
      <c r="BX3" s="9">
        <f>BS3+BT3-BW3</f>
        <v/>
      </c>
      <c r="BY3" s="9">
        <f>BA3+BG3+BM3+BS3</f>
        <v/>
      </c>
      <c r="BZ3" s="9">
        <f>BB3+BH3+BN3+BT3</f>
        <v/>
      </c>
      <c r="CA3" s="9">
        <f>BE3+BK3+BQ3+BW3</f>
        <v/>
      </c>
      <c r="CB3" s="9">
        <f>BF3+BL3+BR3+BX3</f>
        <v/>
      </c>
      <c r="CC3" s="8" t="n">
        <v>61</v>
      </c>
      <c r="CD3" s="8" t="n">
        <v>2565</v>
      </c>
      <c r="CE3" s="8" t="n">
        <v>49</v>
      </c>
      <c r="CF3" s="8" t="n">
        <v>95</v>
      </c>
      <c r="CG3" s="8" t="n">
        <v>20</v>
      </c>
      <c r="CH3" s="9">
        <f>CD3+CE3+CF3+CG3</f>
        <v/>
      </c>
      <c r="CI3" s="8" t="n">
        <v>3360</v>
      </c>
      <c r="CJ3" s="8" t="n">
        <v>12</v>
      </c>
      <c r="CK3" s="8" t="n">
        <v>1</v>
      </c>
      <c r="CL3" s="8" t="n">
        <v>11</v>
      </c>
      <c r="CM3" s="9">
        <f>CI3+CJ3+CK3+CL3</f>
        <v/>
      </c>
      <c r="CN3" s="8" t="n">
        <v>1543</v>
      </c>
      <c r="CO3" s="8" t="n">
        <v>74</v>
      </c>
      <c r="CP3" s="8" t="n">
        <v>70</v>
      </c>
      <c r="CQ3" s="8" t="n">
        <v>3</v>
      </c>
      <c r="CR3" s="9">
        <f>CN3+CO3+CP3+CQ3</f>
        <v/>
      </c>
      <c r="CS3" s="9">
        <f>CM3+CR3</f>
        <v/>
      </c>
      <c r="CT3" s="8" t="n">
        <v>7803</v>
      </c>
      <c r="CU3" s="8" t="n">
        <v>41026</v>
      </c>
      <c r="CV3" s="8" t="n">
        <v>34872</v>
      </c>
      <c r="CW3" s="10">
        <f>IF(CU3=0,"",CV3/CU3)</f>
        <v/>
      </c>
      <c r="CX3" s="8" t="n"/>
      <c r="CY3" s="8" t="n"/>
      <c r="CZ3" s="8" t="n"/>
      <c r="DA3" s="8" t="n"/>
      <c r="DB3" s="9">
        <f>CX3+CY3-CZ3-DA3</f>
        <v/>
      </c>
      <c r="DC3" s="8" t="n">
        <v>0</v>
      </c>
      <c r="DD3" s="8" t="n">
        <v>0</v>
      </c>
      <c r="DE3" s="8" t="n">
        <v>0</v>
      </c>
      <c r="DF3" s="8" t="n">
        <v>0</v>
      </c>
      <c r="DG3" s="9">
        <f>DC3+DD3-DE3-DF3</f>
        <v/>
      </c>
      <c r="DH3" s="8" t="n">
        <v>0</v>
      </c>
      <c r="DI3" s="8" t="n">
        <v>0</v>
      </c>
      <c r="DJ3" s="8" t="n">
        <v>0</v>
      </c>
      <c r="DK3" s="8" t="n">
        <v>0</v>
      </c>
      <c r="DL3" s="9">
        <f>DH3+DI3-DJ3-DK3</f>
        <v/>
      </c>
      <c r="DM3" s="8" t="n">
        <v>376</v>
      </c>
      <c r="DN3" s="8" t="n">
        <v>0</v>
      </c>
      <c r="DO3" s="8" t="n">
        <v>46</v>
      </c>
      <c r="DP3" s="8" t="n">
        <v>0</v>
      </c>
      <c r="DQ3" s="9">
        <f>DM3+DN3-DO3-DP3</f>
        <v/>
      </c>
      <c r="DR3" s="9">
        <f>CX3+DC3+DH3+DM3</f>
        <v/>
      </c>
      <c r="DS3" s="9">
        <f>CY3+DD3+DI3+DN3</f>
        <v/>
      </c>
      <c r="DT3" s="9">
        <f>CZ3+DE3+DJ3+DO3</f>
        <v/>
      </c>
      <c r="DU3" s="9">
        <f>DA3+DF3+DK3+DP3</f>
        <v/>
      </c>
      <c r="DV3" s="9">
        <f>DB3+DG3+DL3+DQ3</f>
        <v/>
      </c>
      <c r="DW3" s="8" t="n">
        <v>91</v>
      </c>
      <c r="DX3" s="8" t="n">
        <v>52</v>
      </c>
      <c r="DY3" s="8" t="n">
        <v>24</v>
      </c>
      <c r="DZ3" s="8" t="n">
        <v>0</v>
      </c>
      <c r="EA3" s="8" t="n">
        <v>2</v>
      </c>
      <c r="EB3" s="8" t="n">
        <v>7</v>
      </c>
      <c r="EC3" s="8" t="n">
        <v>0</v>
      </c>
      <c r="ED3" s="8" t="n">
        <v>1</v>
      </c>
      <c r="EE3" s="8" t="n">
        <v>3</v>
      </c>
      <c r="EF3" s="8" t="n">
        <v>0</v>
      </c>
      <c r="EG3" s="8" t="n">
        <v>0</v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  <c r="ER3" s="8" t="n">
        <v>0</v>
      </c>
      <c r="ES3" s="8" t="n">
        <v>0</v>
      </c>
      <c r="ET3" s="8" t="n">
        <v>0</v>
      </c>
      <c r="EU3" s="8" t="n">
        <v>0</v>
      </c>
      <c r="EV3" s="8" t="n">
        <v>0</v>
      </c>
      <c r="EW3" s="8" t="n">
        <v>0</v>
      </c>
      <c r="EX3" s="8" t="n">
        <v>0</v>
      </c>
      <c r="EY3" s="8" t="n">
        <v>0</v>
      </c>
      <c r="EZ3" s="8" t="n">
        <v>0</v>
      </c>
      <c r="FA3" s="8" t="n">
        <v>0</v>
      </c>
      <c r="FB3" s="8" t="n">
        <v>0</v>
      </c>
      <c r="FC3" s="8" t="n">
        <v>0</v>
      </c>
      <c r="FD3" s="8" t="n">
        <v>0</v>
      </c>
      <c r="FE3" s="8" t="n">
        <v>0</v>
      </c>
      <c r="FF3" s="8" t="n">
        <v>0</v>
      </c>
      <c r="FG3" s="9">
        <f>SUM(DW3,DX3,DY3,DZ3,EA3,EB3,EC3,ED3,EE3,EF3,EG3,EH3,EI3,EJ3,EK3,EL3,EM3,EN3,EO3,EP3,EQ3,ER3,ES3,ET3,EU3,EV3,EW3,EX3,EY3,EZ3,FA3,FB3,FC3,FD3,FE3,FF3)</f>
        <v/>
      </c>
      <c r="FH3" s="8" t="n">
        <v>0</v>
      </c>
      <c r="FI3" s="8" t="n">
        <v>0</v>
      </c>
      <c r="FJ3" s="8" t="n">
        <v>72</v>
      </c>
      <c r="FK3" s="8" t="n">
        <v>504</v>
      </c>
      <c r="FL3" s="8" t="n">
        <v>0</v>
      </c>
      <c r="FM3" s="8" t="n">
        <v>0</v>
      </c>
      <c r="FN3" s="8" t="n">
        <v>0</v>
      </c>
      <c r="FO3" s="8" t="n">
        <v>0</v>
      </c>
      <c r="FP3" s="8" t="n">
        <v>0</v>
      </c>
      <c r="FQ3" s="9">
        <f>FL3+FM3+FN3+FO3+FP3</f>
        <v/>
      </c>
      <c r="FR3" s="8" t="n">
        <v>17408596.22</v>
      </c>
      <c r="FS3" s="8" t="n">
        <v>178300</v>
      </c>
      <c r="FT3" s="8" t="n">
        <v>16000</v>
      </c>
      <c r="FU3" s="8" t="n">
        <v>26000</v>
      </c>
      <c r="FV3" s="9">
        <f>FR3+FS3+FT3+FU3</f>
        <v/>
      </c>
      <c r="FW3" s="8" t="n">
        <v>12283137.7</v>
      </c>
      <c r="FX3" s="8" t="n">
        <v>9324.639999999999</v>
      </c>
      <c r="FY3" s="8" t="n">
        <v>1687222.81</v>
      </c>
      <c r="FZ3" s="8" t="n">
        <v>4930154.25</v>
      </c>
      <c r="GA3" s="9">
        <f>FW3+FX3+FY3+FZ3</f>
        <v/>
      </c>
      <c r="GB3" s="9">
        <f>FV3+GA3</f>
        <v/>
      </c>
      <c r="GC3" s="8" t="n">
        <v>24219711.5</v>
      </c>
      <c r="GD3" s="8" t="n">
        <v>183246.24</v>
      </c>
      <c r="GE3" s="8" t="n">
        <v>280474.64</v>
      </c>
      <c r="GF3" s="8" t="n">
        <v>32821.45</v>
      </c>
      <c r="GG3" s="9">
        <f>GC3+GD3+GE3+GF3</f>
        <v/>
      </c>
      <c r="GH3" s="8" t="n">
        <v>11979413.08000001</v>
      </c>
      <c r="GI3" s="8" t="n">
        <v>9324.639999999999</v>
      </c>
      <c r="GJ3" s="8" t="n">
        <v>4896554.25</v>
      </c>
      <c r="GK3" s="8" t="n">
        <v>1660222.81</v>
      </c>
      <c r="GL3" s="9">
        <f>GH3+GI3+GJ3+GK3</f>
        <v/>
      </c>
      <c r="GM3" s="9">
        <f>GG3+GL3</f>
        <v/>
      </c>
      <c r="GN3" s="8" t="n">
        <v>1792290.4</v>
      </c>
      <c r="GO3" s="8" t="n">
        <v>2104.08</v>
      </c>
      <c r="GP3" s="8" t="n">
        <v>40723.68</v>
      </c>
      <c r="GQ3" s="8" t="n">
        <v>4637.34</v>
      </c>
      <c r="GR3" s="9">
        <f>GN3+GO3+GP3+GQ3</f>
        <v/>
      </c>
      <c r="GS3" s="8" t="n">
        <v>3000480</v>
      </c>
      <c r="GT3" s="8" t="n">
        <v>9823</v>
      </c>
      <c r="GU3" s="8" t="n">
        <v>10716</v>
      </c>
      <c r="GV3" s="8" t="n">
        <v>893</v>
      </c>
      <c r="GW3" s="9">
        <f>GS3+GT3+GU3+GV3</f>
        <v/>
      </c>
      <c r="GX3" s="9">
        <f>GM3+GR3+GW3</f>
        <v/>
      </c>
      <c r="GY3" s="8" t="n">
        <v>316123530.960001</v>
      </c>
      <c r="GZ3" s="8" t="n">
        <v>4644828.04</v>
      </c>
      <c r="HA3" s="9">
        <f>GY3+GZ3</f>
        <v/>
      </c>
      <c r="HB3" s="9">
        <f>IF(GX3=0,"",AU3/GX3)</f>
        <v/>
      </c>
      <c r="HC3" s="10">
        <f>IF((GX3+GY3)=0,"",GB3/(GX3+GY3))</f>
        <v/>
      </c>
      <c r="HD3" s="9">
        <f>IF(GX3=0,"",GB3/GX3)</f>
        <v/>
      </c>
      <c r="HE3" s="8" t="n">
        <v>34</v>
      </c>
      <c r="HF3" s="8" t="n">
        <v>1</v>
      </c>
      <c r="HG3" s="8" t="n">
        <v>393</v>
      </c>
      <c r="HH3" s="8" t="n">
        <v>34</v>
      </c>
      <c r="HI3" s="8" t="n">
        <v>20</v>
      </c>
      <c r="HJ3" s="9">
        <f>HF3+HI3</f>
        <v/>
      </c>
      <c r="HK3" s="10">
        <f>IF(HE3=0,"",HH3/HE3)</f>
        <v/>
      </c>
      <c r="HL3" s="8" t="n">
        <v>12</v>
      </c>
      <c r="HM3" s="8" t="n">
        <v>30</v>
      </c>
      <c r="HN3" s="11">
        <f>IF(HL3=0,"",HM3/HL3)</f>
        <v/>
      </c>
    </row>
    <row r="4">
      <c r="A4" s="12" t="inlineStr">
        <is>
          <t>Liwonde</t>
        </is>
      </c>
      <c r="B4" s="12" t="inlineStr">
        <is>
          <t>Balaka</t>
        </is>
      </c>
      <c r="C4" s="13" t="inlineStr">
        <is>
          <t>FY2025/26</t>
        </is>
      </c>
      <c r="D4" s="13" t="n">
        <v>2025</v>
      </c>
      <c r="E4" s="13" t="n">
        <v>5</v>
      </c>
      <c r="F4" s="13" t="inlineStr">
        <is>
          <t>May</t>
        </is>
      </c>
      <c r="G4" s="13" t="inlineStr">
        <is>
          <t>Q1</t>
        </is>
      </c>
      <c r="H4" s="14" t="n">
        <v>41589</v>
      </c>
      <c r="I4" s="14" t="n">
        <v>17592</v>
      </c>
      <c r="J4" s="14" t="n">
        <v>714</v>
      </c>
      <c r="K4" s="14" t="n">
        <v>80</v>
      </c>
      <c r="L4" s="14" t="n">
        <v>4</v>
      </c>
      <c r="M4" s="15">
        <f>SUM(I4,J4,K4,L4)</f>
        <v/>
      </c>
      <c r="N4" s="14" t="n">
        <v>9832.700000000001</v>
      </c>
      <c r="O4" s="14" t="n">
        <v>118.2</v>
      </c>
      <c r="P4" s="14" t="n">
        <v>720.8</v>
      </c>
      <c r="Q4" s="14" t="n">
        <v>595.6</v>
      </c>
      <c r="R4" s="15">
        <f>SUM(N4,O4,P4,Q4)</f>
        <v/>
      </c>
      <c r="S4" s="15">
        <f>M4+R4</f>
        <v/>
      </c>
      <c r="T4" s="14" t="n">
        <v>11931.7</v>
      </c>
      <c r="U4" s="16">
        <f>IF(H4=0,"",T4/H4)</f>
        <v/>
      </c>
      <c r="V4" s="14" t="n">
        <v>110</v>
      </c>
      <c r="W4" s="17">
        <f>IF(H4=0,"",V4/H4)</f>
        <v/>
      </c>
      <c r="X4" s="14" t="n">
        <v>0</v>
      </c>
      <c r="Y4" s="17">
        <f>IF(H4=0,"",X4/H4)</f>
        <v/>
      </c>
      <c r="Z4" s="14" t="n">
        <v>0</v>
      </c>
      <c r="AA4" s="17">
        <f>IF(H4=0,"",Z4/H4)</f>
        <v/>
      </c>
      <c r="AB4" s="14" t="n">
        <v>0</v>
      </c>
      <c r="AC4" s="17">
        <f>IF(H4=0,"",AB4/H4)</f>
        <v/>
      </c>
      <c r="AD4" s="14" t="n">
        <v>0</v>
      </c>
      <c r="AE4" s="17">
        <f>IF(H4=0,"",AD4/H4)</f>
        <v/>
      </c>
      <c r="AF4" s="14" t="n">
        <v>0</v>
      </c>
      <c r="AG4" s="17">
        <f>IF(H4=0,"",AF4/H4)</f>
        <v/>
      </c>
      <c r="AH4" s="14" t="n">
        <v>387781.9</v>
      </c>
      <c r="AI4" s="15">
        <f>IF(H4=0,"",AH4/H4)</f>
        <v/>
      </c>
      <c r="AJ4" s="14" t="n">
        <v>32525.4</v>
      </c>
      <c r="AK4" s="17">
        <f>IF(H4=0,"",AJ4/H4)</f>
        <v/>
      </c>
      <c r="AL4" s="14" t="n">
        <v>5456854.0585</v>
      </c>
      <c r="AM4" s="15">
        <f>IF(H4=0,"",AL4/H4)</f>
        <v/>
      </c>
      <c r="AN4" s="14" t="n">
        <v>4415</v>
      </c>
      <c r="AO4" s="14" t="n">
        <v>166</v>
      </c>
      <c r="AP4" s="14" t="n">
        <v>453844</v>
      </c>
      <c r="AQ4" s="14" t="n">
        <v>0</v>
      </c>
      <c r="AR4" s="14" t="n">
        <v>17895362.13</v>
      </c>
      <c r="AS4" s="14" t="n">
        <v>3972300.8</v>
      </c>
      <c r="AT4" s="14" t="n">
        <v>5293286.24</v>
      </c>
      <c r="AU4" s="15">
        <f>AH4+AL4+AP4+AQ4+AR4+AS4+AT4</f>
        <v/>
      </c>
      <c r="AV4" s="15">
        <f>IF(H4=0,"",AU4/H4)</f>
        <v/>
      </c>
      <c r="AW4" s="15">
        <f>IF(S4=0,"",AU4/S4)</f>
        <v/>
      </c>
      <c r="AX4" s="14" t="n">
        <v>14</v>
      </c>
      <c r="AY4" s="15">
        <f>IF(H4=0,"",AX4/(H4/1000/12))</f>
        <v/>
      </c>
      <c r="AZ4" s="14" t="n">
        <v>20</v>
      </c>
      <c r="BA4" s="14" t="n">
        <v>393</v>
      </c>
      <c r="BB4" s="14" t="n">
        <v>38</v>
      </c>
      <c r="BC4" s="14" t="n">
        <v>32</v>
      </c>
      <c r="BD4" s="14" t="n">
        <v>0</v>
      </c>
      <c r="BE4" s="15">
        <f>BC4+BD4</f>
        <v/>
      </c>
      <c r="BF4" s="15">
        <f>BA4+BB4-BE4</f>
        <v/>
      </c>
      <c r="BG4" s="14" t="n">
        <v>0</v>
      </c>
      <c r="BH4" s="14" t="n">
        <v>0</v>
      </c>
      <c r="BI4" s="14" t="n">
        <v>0</v>
      </c>
      <c r="BJ4" s="14" t="n">
        <v>0</v>
      </c>
      <c r="BK4" s="15">
        <f>BI4+BJ4</f>
        <v/>
      </c>
      <c r="BL4" s="15">
        <f>BG4+BH4-BK4</f>
        <v/>
      </c>
      <c r="BM4" s="14" t="n">
        <v>0</v>
      </c>
      <c r="BN4" s="14" t="n">
        <v>0</v>
      </c>
      <c r="BO4" s="14" t="n">
        <v>0</v>
      </c>
      <c r="BP4" s="14" t="n">
        <v>0</v>
      </c>
      <c r="BQ4" s="15">
        <f>BO4+BP4</f>
        <v/>
      </c>
      <c r="BR4" s="15">
        <f>BM4+BN4-BQ4</f>
        <v/>
      </c>
      <c r="BS4" s="14" t="n">
        <v>0</v>
      </c>
      <c r="BT4" s="14" t="n">
        <v>0</v>
      </c>
      <c r="BU4" s="14" t="n">
        <v>0</v>
      </c>
      <c r="BV4" s="14" t="n">
        <v>0</v>
      </c>
      <c r="BW4" s="15">
        <f>BU4+BV4</f>
        <v/>
      </c>
      <c r="BX4" s="15">
        <f>BS4+BT4-BW4</f>
        <v/>
      </c>
      <c r="BY4" s="15">
        <f>BA4+BG4+BM4+BS4</f>
        <v/>
      </c>
      <c r="BZ4" s="15">
        <f>BB4+BH4+BN4+BT4</f>
        <v/>
      </c>
      <c r="CA4" s="15">
        <f>BE4+BK4+BQ4+BW4</f>
        <v/>
      </c>
      <c r="CB4" s="15">
        <f>BF4+BL4+BR4+BX4</f>
        <v/>
      </c>
      <c r="CC4" s="14" t="n">
        <v>72</v>
      </c>
      <c r="CD4" s="14" t="n">
        <v>2601</v>
      </c>
      <c r="CE4" s="14" t="n">
        <v>49</v>
      </c>
      <c r="CF4" s="14" t="n">
        <v>99</v>
      </c>
      <c r="CG4" s="14" t="n">
        <v>20</v>
      </c>
      <c r="CH4" s="15">
        <f>CD4+CE4+CF4+CG4</f>
        <v/>
      </c>
      <c r="CI4" s="14" t="n">
        <v>3347</v>
      </c>
      <c r="CJ4" s="14" t="n">
        <v>13</v>
      </c>
      <c r="CK4" s="14" t="n">
        <v>1</v>
      </c>
      <c r="CL4" s="14" t="n">
        <v>11</v>
      </c>
      <c r="CM4" s="15">
        <f>CI4+CJ4+CK4+CL4</f>
        <v/>
      </c>
      <c r="CN4" s="14" t="n">
        <v>1554</v>
      </c>
      <c r="CO4" s="14" t="n">
        <v>73</v>
      </c>
      <c r="CP4" s="14" t="n">
        <v>70</v>
      </c>
      <c r="CQ4" s="14" t="n">
        <v>3</v>
      </c>
      <c r="CR4" s="15">
        <f>CN4+CO4+CP4+CQ4</f>
        <v/>
      </c>
      <c r="CS4" s="15">
        <f>CM4+CR4</f>
        <v/>
      </c>
      <c r="CT4" s="14" t="n">
        <v>7841</v>
      </c>
      <c r="CU4" s="14" t="n">
        <v>41118</v>
      </c>
      <c r="CV4" s="14" t="n">
        <v>34127</v>
      </c>
      <c r="CW4" s="16">
        <f>IF(CU4=0,"",CV4/CU4)</f>
        <v/>
      </c>
      <c r="CX4" s="14" t="n"/>
      <c r="CY4" s="14" t="n"/>
      <c r="CZ4" s="14" t="n"/>
      <c r="DA4" s="14" t="n"/>
      <c r="DB4" s="15">
        <f>CX4+CY4-CZ4-DA4</f>
        <v/>
      </c>
      <c r="DC4" s="14" t="n">
        <v>0</v>
      </c>
      <c r="DD4" s="14" t="n">
        <v>0</v>
      </c>
      <c r="DE4" s="14" t="n">
        <v>0</v>
      </c>
      <c r="DF4" s="14" t="n">
        <v>0</v>
      </c>
      <c r="DG4" s="15">
        <f>DC4+DD4-DE4-DF4</f>
        <v/>
      </c>
      <c r="DH4" s="14" t="n">
        <v>0</v>
      </c>
      <c r="DI4" s="14" t="n">
        <v>0</v>
      </c>
      <c r="DJ4" s="14" t="n">
        <v>0</v>
      </c>
      <c r="DK4" s="14" t="n">
        <v>0</v>
      </c>
      <c r="DL4" s="15">
        <f>DH4+DI4-DJ4-DK4</f>
        <v/>
      </c>
      <c r="DM4" s="14" t="n">
        <v>330</v>
      </c>
      <c r="DN4" s="14" t="n">
        <v>18</v>
      </c>
      <c r="DO4" s="14" t="n">
        <v>0</v>
      </c>
      <c r="DP4" s="14" t="n">
        <v>0</v>
      </c>
      <c r="DQ4" s="15">
        <f>DM4+DN4-DO4-DP4</f>
        <v/>
      </c>
      <c r="DR4" s="15">
        <f>CX4+DC4+DH4+DM4</f>
        <v/>
      </c>
      <c r="DS4" s="15">
        <f>CY4+DD4+DI4+DN4</f>
        <v/>
      </c>
      <c r="DT4" s="15">
        <f>CZ4+DE4+DJ4+DO4</f>
        <v/>
      </c>
      <c r="DU4" s="15">
        <f>DA4+DF4+DK4+DP4</f>
        <v/>
      </c>
      <c r="DV4" s="15">
        <f>DB4+DG4+DL4+DQ4</f>
        <v/>
      </c>
      <c r="DW4" s="14" t="n">
        <v>111</v>
      </c>
      <c r="DX4" s="14" t="n">
        <v>94</v>
      </c>
      <c r="DY4" s="14" t="n">
        <v>17</v>
      </c>
      <c r="DZ4" s="14" t="n">
        <v>0</v>
      </c>
      <c r="EA4" s="14" t="n">
        <v>6</v>
      </c>
      <c r="EB4" s="14" t="n">
        <v>7</v>
      </c>
      <c r="EC4" s="14" t="n">
        <v>0</v>
      </c>
      <c r="ED4" s="14" t="n">
        <v>0</v>
      </c>
      <c r="EE4" s="14" t="n">
        <v>0</v>
      </c>
      <c r="EF4" s="14" t="n">
        <v>0</v>
      </c>
      <c r="EG4" s="14" t="n">
        <v>0</v>
      </c>
      <c r="EH4" s="14" t="n">
        <v>0</v>
      </c>
      <c r="EI4" s="14" t="n">
        <v>0</v>
      </c>
      <c r="EJ4" s="14" t="n">
        <v>0</v>
      </c>
      <c r="EK4" s="14" t="n">
        <v>0</v>
      </c>
      <c r="EL4" s="14" t="n">
        <v>0</v>
      </c>
      <c r="EM4" s="14" t="n">
        <v>0</v>
      </c>
      <c r="EN4" s="14" t="n">
        <v>0</v>
      </c>
      <c r="EO4" s="14" t="n">
        <v>0</v>
      </c>
      <c r="EP4" s="14" t="n">
        <v>0</v>
      </c>
      <c r="EQ4" s="14" t="n">
        <v>0</v>
      </c>
      <c r="ER4" s="14" t="n">
        <v>0</v>
      </c>
      <c r="ES4" s="14" t="n">
        <v>0</v>
      </c>
      <c r="ET4" s="14" t="n">
        <v>0</v>
      </c>
      <c r="EU4" s="14" t="n">
        <v>0</v>
      </c>
      <c r="EV4" s="14" t="n">
        <v>0</v>
      </c>
      <c r="EW4" s="14" t="n">
        <v>0</v>
      </c>
      <c r="EX4" s="14" t="n">
        <v>0</v>
      </c>
      <c r="EY4" s="14" t="n">
        <v>0</v>
      </c>
      <c r="EZ4" s="14" t="n">
        <v>0</v>
      </c>
      <c r="FA4" s="14" t="n">
        <v>0</v>
      </c>
      <c r="FB4" s="14" t="n">
        <v>0</v>
      </c>
      <c r="FC4" s="14" t="n">
        <v>0</v>
      </c>
      <c r="FD4" s="14" t="n">
        <v>0</v>
      </c>
      <c r="FE4" s="14" t="n">
        <v>0</v>
      </c>
      <c r="FF4" s="14" t="n">
        <v>0</v>
      </c>
      <c r="FG4" s="15">
        <f>SUM(DW4,DX4,DY4,DZ4,EA4,EB4,EC4,ED4,EE4,EF4,EG4,EH4,EI4,EJ4,EK4,EL4,EM4,EN4,EO4,EP4,EQ4,ER4,ES4,ET4,EU4,EV4,EW4,EX4,EY4,EZ4,FA4,FB4,FC4,FD4,FE4,FF4)</f>
        <v/>
      </c>
      <c r="FH4" s="14" t="n">
        <v>0</v>
      </c>
      <c r="FI4" s="14" t="n">
        <v>0</v>
      </c>
      <c r="FJ4" s="14" t="n">
        <v>520</v>
      </c>
      <c r="FK4" s="14" t="n">
        <v>7</v>
      </c>
      <c r="FL4" s="14" t="n">
        <v>0</v>
      </c>
      <c r="FM4" s="14" t="n">
        <v>0</v>
      </c>
      <c r="FN4" s="14" t="n">
        <v>0</v>
      </c>
      <c r="FO4" s="14" t="n">
        <v>0</v>
      </c>
      <c r="FP4" s="14" t="n">
        <v>0</v>
      </c>
      <c r="FQ4" s="15">
        <f>FL4+FM4+FN4+FO4+FP4</f>
        <v/>
      </c>
      <c r="FR4" s="14" t="n">
        <v>37173791.26</v>
      </c>
      <c r="FS4" s="14" t="n">
        <v>175400</v>
      </c>
      <c r="FT4" s="14" t="n">
        <v>0</v>
      </c>
      <c r="FU4" s="14" t="n">
        <v>52800</v>
      </c>
      <c r="FV4" s="15">
        <f>FR4+FS4+FT4+FU4</f>
        <v/>
      </c>
      <c r="FW4" s="14" t="n">
        <v>12632085.33</v>
      </c>
      <c r="FX4" s="14" t="n">
        <v>25100</v>
      </c>
      <c r="FY4" s="14" t="n">
        <v>2809910.11</v>
      </c>
      <c r="FZ4" s="14" t="n">
        <v>2466546.38</v>
      </c>
      <c r="GA4" s="15">
        <f>FW4+FX4+FY4+FZ4</f>
        <v/>
      </c>
      <c r="GB4" s="15">
        <f>FV4+GA4</f>
        <v/>
      </c>
      <c r="GC4" s="14" t="n">
        <v>18210957.9800003</v>
      </c>
      <c r="GD4" s="14" t="n">
        <v>136573.92</v>
      </c>
      <c r="GE4" s="14" t="n">
        <v>262007.18</v>
      </c>
      <c r="GF4" s="14" t="n">
        <v>8410.99</v>
      </c>
      <c r="GG4" s="15">
        <f>GC4+GD4+GE4+GF4</f>
        <v/>
      </c>
      <c r="GH4" s="14" t="n">
        <v>12288690.50000002</v>
      </c>
      <c r="GI4" s="14" t="n">
        <v>25100</v>
      </c>
      <c r="GJ4" s="14" t="n">
        <v>2185987.28</v>
      </c>
      <c r="GK4" s="14" t="n">
        <v>2797200.9</v>
      </c>
      <c r="GL4" s="15">
        <f>GH4+GI4+GJ4+GK4</f>
        <v/>
      </c>
      <c r="GM4" s="15">
        <f>GG4+GL4</f>
        <v/>
      </c>
      <c r="GN4" s="14" t="n">
        <v>1788460.65999998</v>
      </c>
      <c r="GO4" s="14" t="n">
        <v>2104.08</v>
      </c>
      <c r="GP4" s="14" t="n">
        <v>44117.32</v>
      </c>
      <c r="GQ4" s="14" t="n">
        <v>4637.34</v>
      </c>
      <c r="GR4" s="15">
        <f>GN4+GO4+GP4+GQ4</f>
        <v/>
      </c>
      <c r="GS4" s="14" t="n">
        <v>2988871</v>
      </c>
      <c r="GT4" s="14" t="n">
        <v>9823</v>
      </c>
      <c r="GU4" s="14" t="n">
        <v>11609</v>
      </c>
      <c r="GV4" s="14" t="n">
        <v>893</v>
      </c>
      <c r="GW4" s="15">
        <f>GS4+GT4+GU4+GV4</f>
        <v/>
      </c>
      <c r="GX4" s="15">
        <f>GM4+GR4+GW4</f>
        <v/>
      </c>
      <c r="GY4" s="14" t="n">
        <v>301974446.739999</v>
      </c>
      <c r="GZ4" s="14" t="n">
        <v>4837013.46</v>
      </c>
      <c r="HA4" s="15">
        <f>GY4+GZ4</f>
        <v/>
      </c>
      <c r="HB4" s="15">
        <f>IF(GX4=0,"",AU4/GX4)</f>
        <v/>
      </c>
      <c r="HC4" s="16">
        <f>IF((GX4+GY4)=0,"",GB4/(GX4+GY4))</f>
        <v/>
      </c>
      <c r="HD4" s="15">
        <f>IF(GX4=0,"",GB4/GX4)</f>
        <v/>
      </c>
      <c r="HE4" s="14" t="n">
        <v>38</v>
      </c>
      <c r="HF4" s="14" t="n">
        <v>1</v>
      </c>
      <c r="HG4" s="14" t="n">
        <v>399</v>
      </c>
      <c r="HH4" s="14" t="n">
        <v>38</v>
      </c>
      <c r="HI4" s="14" t="n">
        <v>20</v>
      </c>
      <c r="HJ4" s="15">
        <f>HF4+HI4</f>
        <v/>
      </c>
      <c r="HK4" s="16">
        <f>IF(HE4=0,"",HH4/HE4)</f>
        <v/>
      </c>
      <c r="HL4" s="14" t="n">
        <v>15</v>
      </c>
      <c r="HM4" s="14" t="n">
        <v>30</v>
      </c>
      <c r="HN4" s="17">
        <f>IF(HL4=0,"",HM4/HL4)</f>
        <v/>
      </c>
    </row>
    <row r="5">
      <c r="A5" s="6" t="inlineStr">
        <is>
          <t>Liwonde</t>
        </is>
      </c>
      <c r="B5" s="6" t="inlineStr">
        <is>
          <t>Balaka</t>
        </is>
      </c>
      <c r="C5" s="7" t="inlineStr">
        <is>
          <t>FY2025/26</t>
        </is>
      </c>
      <c r="D5" s="7" t="n">
        <v>2025</v>
      </c>
      <c r="E5" s="7" t="n">
        <v>6</v>
      </c>
      <c r="F5" s="7" t="inlineStr">
        <is>
          <t>June</t>
        </is>
      </c>
      <c r="G5" s="7" t="inlineStr">
        <is>
          <t>Q1</t>
        </is>
      </c>
      <c r="H5" s="8" t="n">
        <v>45200</v>
      </c>
      <c r="I5" s="8" t="n">
        <v>17881</v>
      </c>
      <c r="J5" s="8" t="n">
        <v>633</v>
      </c>
      <c r="K5" s="8" t="n">
        <v>84</v>
      </c>
      <c r="L5" s="8" t="n">
        <v>0</v>
      </c>
      <c r="M5" s="9">
        <f>SUM(I5,J5,K5,L5)</f>
        <v/>
      </c>
      <c r="N5" s="8" t="n">
        <v>11195.3</v>
      </c>
      <c r="O5" s="8" t="n">
        <v>125.7</v>
      </c>
      <c r="P5" s="8" t="n">
        <v>569.1</v>
      </c>
      <c r="Q5" s="8" t="n">
        <v>700.1</v>
      </c>
      <c r="R5" s="9">
        <f>SUM(N5,O5,P5,Q5)</f>
        <v/>
      </c>
      <c r="S5" s="9">
        <f>M5+R5</f>
        <v/>
      </c>
      <c r="T5" s="8" t="n">
        <v>14011.8</v>
      </c>
      <c r="U5" s="10">
        <f>IF(H5=0,"",T5/H5)</f>
        <v/>
      </c>
      <c r="V5" s="8" t="n">
        <v>128</v>
      </c>
      <c r="W5" s="11">
        <f>IF(H5=0,"",V5/H5)</f>
        <v/>
      </c>
      <c r="X5" s="8" t="n">
        <v>0</v>
      </c>
      <c r="Y5" s="11">
        <f>IF(H5=0,"",X5/H5)</f>
        <v/>
      </c>
      <c r="Z5" s="8" t="n">
        <v>0</v>
      </c>
      <c r="AA5" s="11">
        <f>IF(H5=0,"",Z5/H5)</f>
        <v/>
      </c>
      <c r="AB5" s="8" t="n">
        <v>0</v>
      </c>
      <c r="AC5" s="11">
        <f>IF(H5=0,"",AB5/H5)</f>
        <v/>
      </c>
      <c r="AD5" s="8" t="n">
        <v>0</v>
      </c>
      <c r="AE5" s="11">
        <f>IF(H5=0,"",AD5/H5)</f>
        <v/>
      </c>
      <c r="AF5" s="8" t="n">
        <v>0</v>
      </c>
      <c r="AG5" s="11">
        <f>IF(H5=0,"",AF5/H5)</f>
        <v/>
      </c>
      <c r="AH5" s="8" t="n">
        <v>451237.12</v>
      </c>
      <c r="AI5" s="9">
        <f>IF(H5=0,"",AH5/H5)</f>
        <v/>
      </c>
      <c r="AJ5" s="8" t="n">
        <v>23254.6</v>
      </c>
      <c r="AK5" s="11">
        <f>IF(H5=0,"",AJ5/H5)</f>
        <v/>
      </c>
      <c r="AL5" s="8" t="n">
        <v>3906984.8915</v>
      </c>
      <c r="AM5" s="9">
        <f>IF(H5=0,"",AL5/H5)</f>
        <v/>
      </c>
      <c r="AN5" s="8" t="n">
        <v>7525</v>
      </c>
      <c r="AO5" s="8" t="n">
        <v>282</v>
      </c>
      <c r="AP5" s="8" t="n">
        <v>769860</v>
      </c>
      <c r="AQ5" s="8" t="n">
        <v>0</v>
      </c>
      <c r="AR5" s="8" t="n">
        <v>17883496.8</v>
      </c>
      <c r="AS5" s="8" t="n">
        <v>4462572.32</v>
      </c>
      <c r="AT5" s="8" t="n">
        <v>10710322.16</v>
      </c>
      <c r="AU5" s="9">
        <f>AH5+AL5+AP5+AQ5+AR5+AS5+AT5</f>
        <v/>
      </c>
      <c r="AV5" s="9">
        <f>IF(H5=0,"",AU5/H5)</f>
        <v/>
      </c>
      <c r="AW5" s="9">
        <f>IF(S5=0,"",AU5/S5)</f>
        <v/>
      </c>
      <c r="AX5" s="8" t="n">
        <v>14</v>
      </c>
      <c r="AY5" s="9">
        <f>IF(H5=0,"",AX5/(H5/1000/12))</f>
        <v/>
      </c>
      <c r="AZ5" s="8" t="n">
        <v>20</v>
      </c>
      <c r="BA5" s="8" t="n">
        <v>399</v>
      </c>
      <c r="BB5" s="8" t="n">
        <v>43</v>
      </c>
      <c r="BC5" s="8" t="n">
        <v>33</v>
      </c>
      <c r="BD5" s="8" t="n">
        <v>0</v>
      </c>
      <c r="BE5" s="9">
        <f>BC5+BD5</f>
        <v/>
      </c>
      <c r="BF5" s="9">
        <f>BA5+BB5-BE5</f>
        <v/>
      </c>
      <c r="BG5" s="8" t="n">
        <v>0</v>
      </c>
      <c r="BH5" s="8" t="n">
        <v>0</v>
      </c>
      <c r="BI5" s="8" t="n">
        <v>0</v>
      </c>
      <c r="BJ5" s="8" t="n">
        <v>0</v>
      </c>
      <c r="BK5" s="9">
        <f>BI5+BJ5</f>
        <v/>
      </c>
      <c r="BL5" s="9">
        <f>BG5+BH5-BK5</f>
        <v/>
      </c>
      <c r="BM5" s="8" t="n">
        <v>0</v>
      </c>
      <c r="BN5" s="8" t="n">
        <v>0</v>
      </c>
      <c r="BO5" s="8" t="n">
        <v>0</v>
      </c>
      <c r="BP5" s="8" t="n">
        <v>0</v>
      </c>
      <c r="BQ5" s="9">
        <f>BO5+BP5</f>
        <v/>
      </c>
      <c r="BR5" s="9">
        <f>BM5+BN5-BQ5</f>
        <v/>
      </c>
      <c r="BS5" s="8" t="n">
        <v>0</v>
      </c>
      <c r="BT5" s="8" t="n">
        <v>0</v>
      </c>
      <c r="BU5" s="8" t="n">
        <v>0</v>
      </c>
      <c r="BV5" s="8" t="n">
        <v>0</v>
      </c>
      <c r="BW5" s="9">
        <f>BU5+BV5</f>
        <v/>
      </c>
      <c r="BX5" s="9">
        <f>BS5+BT5-BW5</f>
        <v/>
      </c>
      <c r="BY5" s="9">
        <f>BA5+BG5+BM5+BS5</f>
        <v/>
      </c>
      <c r="BZ5" s="9">
        <f>BB5+BH5+BN5+BT5</f>
        <v/>
      </c>
      <c r="CA5" s="9">
        <f>BE5+BK5+BQ5+BW5</f>
        <v/>
      </c>
      <c r="CB5" s="9">
        <f>BF5+BL5+BR5+BX5</f>
        <v/>
      </c>
      <c r="CC5" s="8" t="n">
        <v>65</v>
      </c>
      <c r="CD5" s="8" t="n">
        <v>2569</v>
      </c>
      <c r="CE5" s="8" t="n">
        <v>51</v>
      </c>
      <c r="CF5" s="8" t="n">
        <v>99</v>
      </c>
      <c r="CG5" s="8" t="n">
        <v>20</v>
      </c>
      <c r="CH5" s="9">
        <f>CD5+CE5+CF5+CG5</f>
        <v/>
      </c>
      <c r="CI5" s="8" t="n">
        <v>3054</v>
      </c>
      <c r="CJ5" s="8" t="n">
        <v>9</v>
      </c>
      <c r="CK5" s="8" t="n">
        <v>1</v>
      </c>
      <c r="CL5" s="8" t="n">
        <v>11</v>
      </c>
      <c r="CM5" s="9">
        <f>CI5+CJ5+CK5+CL5</f>
        <v/>
      </c>
      <c r="CN5" s="8" t="n">
        <v>1726</v>
      </c>
      <c r="CO5" s="8" t="n">
        <v>75</v>
      </c>
      <c r="CP5" s="8" t="n">
        <v>71</v>
      </c>
      <c r="CQ5" s="8" t="n">
        <v>3</v>
      </c>
      <c r="CR5" s="9">
        <f>CN5+CO5+CP5+CQ5</f>
        <v/>
      </c>
      <c r="CS5" s="9">
        <f>CM5+CR5</f>
        <v/>
      </c>
      <c r="CT5" s="8" t="n">
        <v>7689</v>
      </c>
      <c r="CU5" s="8" t="n">
        <v>41203</v>
      </c>
      <c r="CV5" s="8" t="n">
        <v>35022.55</v>
      </c>
      <c r="CW5" s="10">
        <f>IF(CU5=0,"",CV5/CU5)</f>
        <v/>
      </c>
      <c r="CX5" s="8" t="n"/>
      <c r="CY5" s="8" t="n"/>
      <c r="CZ5" s="8" t="n"/>
      <c r="DA5" s="8" t="n"/>
      <c r="DB5" s="9">
        <f>CX5+CY5-CZ5-DA5</f>
        <v/>
      </c>
      <c r="DC5" s="8" t="n">
        <v>0</v>
      </c>
      <c r="DD5" s="8" t="n">
        <v>0</v>
      </c>
      <c r="DE5" s="8" t="n">
        <v>0</v>
      </c>
      <c r="DF5" s="8" t="n">
        <v>0</v>
      </c>
      <c r="DG5" s="9">
        <f>DC5+DD5-DE5-DF5</f>
        <v/>
      </c>
      <c r="DH5" s="8" t="n">
        <v>0</v>
      </c>
      <c r="DI5" s="8" t="n">
        <v>0</v>
      </c>
      <c r="DJ5" s="8" t="n">
        <v>0</v>
      </c>
      <c r="DK5" s="8" t="n">
        <v>0</v>
      </c>
      <c r="DL5" s="9">
        <f>DH5+DI5-DJ5-DK5</f>
        <v/>
      </c>
      <c r="DM5" s="8" t="n">
        <v>348</v>
      </c>
      <c r="DN5" s="8" t="n">
        <v>0</v>
      </c>
      <c r="DO5" s="8" t="n">
        <v>0</v>
      </c>
      <c r="DP5" s="8" t="n">
        <v>73</v>
      </c>
      <c r="DQ5" s="9">
        <f>DM5+DN5-DO5-DP5</f>
        <v/>
      </c>
      <c r="DR5" s="9">
        <f>CX5+DC5+DH5+DM5</f>
        <v/>
      </c>
      <c r="DS5" s="9">
        <f>CY5+DD5+DI5+DN5</f>
        <v/>
      </c>
      <c r="DT5" s="9">
        <f>CZ5+DE5+DJ5+DO5</f>
        <v/>
      </c>
      <c r="DU5" s="9">
        <f>DA5+DF5+DK5+DP5</f>
        <v/>
      </c>
      <c r="DV5" s="9">
        <f>DB5+DG5+DL5+DQ5</f>
        <v/>
      </c>
      <c r="DW5" s="8" t="n">
        <v>89</v>
      </c>
      <c r="DX5" s="8" t="n">
        <v>82</v>
      </c>
      <c r="DY5" s="8" t="n">
        <v>12</v>
      </c>
      <c r="DZ5" s="8" t="n">
        <v>1</v>
      </c>
      <c r="EA5" s="8" t="n">
        <v>3</v>
      </c>
      <c r="EB5" s="8" t="n">
        <v>8</v>
      </c>
      <c r="EC5" s="8" t="n">
        <v>2</v>
      </c>
      <c r="ED5" s="8" t="n">
        <v>0</v>
      </c>
      <c r="EE5" s="8" t="n">
        <v>2</v>
      </c>
      <c r="EF5" s="8" t="n">
        <v>0</v>
      </c>
      <c r="EG5" s="8" t="n">
        <v>0</v>
      </c>
      <c r="EH5" s="8" t="n">
        <v>0</v>
      </c>
      <c r="EI5" s="8" t="n">
        <v>0</v>
      </c>
      <c r="EJ5" s="8" t="n">
        <v>0</v>
      </c>
      <c r="EK5" s="8" t="n">
        <v>0</v>
      </c>
      <c r="EL5" s="8" t="n">
        <v>0</v>
      </c>
      <c r="EM5" s="8" t="n">
        <v>0</v>
      </c>
      <c r="EN5" s="8" t="n">
        <v>0</v>
      </c>
      <c r="EO5" s="8" t="n">
        <v>0</v>
      </c>
      <c r="EP5" s="8" t="n">
        <v>0</v>
      </c>
      <c r="EQ5" s="8" t="n">
        <v>0</v>
      </c>
      <c r="ER5" s="8" t="n">
        <v>0</v>
      </c>
      <c r="ES5" s="8" t="n">
        <v>0</v>
      </c>
      <c r="ET5" s="8" t="n">
        <v>0</v>
      </c>
      <c r="EU5" s="8" t="n">
        <v>0</v>
      </c>
      <c r="EV5" s="8" t="n">
        <v>0</v>
      </c>
      <c r="EW5" s="8" t="n">
        <v>0</v>
      </c>
      <c r="EX5" s="8" t="n">
        <v>0</v>
      </c>
      <c r="EY5" s="8" t="n">
        <v>0</v>
      </c>
      <c r="EZ5" s="8" t="n">
        <v>0</v>
      </c>
      <c r="FA5" s="8" t="n">
        <v>0</v>
      </c>
      <c r="FB5" s="8" t="n">
        <v>0</v>
      </c>
      <c r="FC5" s="8" t="n">
        <v>0</v>
      </c>
      <c r="FD5" s="8" t="n">
        <v>0</v>
      </c>
      <c r="FE5" s="8" t="n">
        <v>0</v>
      </c>
      <c r="FF5" s="8" t="n">
        <v>0</v>
      </c>
      <c r="FG5" s="9">
        <f>SUM(DW5,DX5,DY5,DZ5,EA5,EB5,EC5,ED5,EE5,EF5,EG5,EH5,EI5,EJ5,EK5,EL5,EM5,EN5,EO5,EP5,EQ5,ER5,ES5,ET5,EU5,EV5,EW5,EX5,EY5,EZ5,FA5,FB5,FC5,FD5,FE5,FF5)</f>
        <v/>
      </c>
      <c r="FH5" s="8" t="n">
        <v>0</v>
      </c>
      <c r="FI5" s="8" t="n">
        <v>0</v>
      </c>
      <c r="FJ5" s="8" t="n">
        <v>504</v>
      </c>
      <c r="FK5" s="8" t="n">
        <v>36</v>
      </c>
      <c r="FL5" s="8" t="n">
        <v>0</v>
      </c>
      <c r="FM5" s="8" t="n">
        <v>0</v>
      </c>
      <c r="FN5" s="8" t="n">
        <v>0</v>
      </c>
      <c r="FO5" s="8" t="n">
        <v>0</v>
      </c>
      <c r="FP5" s="8" t="n">
        <v>0</v>
      </c>
      <c r="FQ5" s="9">
        <f>FL5+FM5+FN5+FO5+FP5</f>
        <v/>
      </c>
      <c r="FR5" s="8" t="n">
        <v>56748775.4</v>
      </c>
      <c r="FS5" s="8" t="n">
        <v>315300</v>
      </c>
      <c r="FT5" s="8" t="n">
        <v>38600</v>
      </c>
      <c r="FU5" s="8" t="n">
        <v>301267.22</v>
      </c>
      <c r="FV5" s="9">
        <f>FR5+FS5+FT5+FU5</f>
        <v/>
      </c>
      <c r="FW5" s="8" t="n">
        <v>14435291.93000001</v>
      </c>
      <c r="FX5" s="8" t="n">
        <v>26845.88</v>
      </c>
      <c r="FY5" s="8" t="n">
        <v>3326633.11</v>
      </c>
      <c r="FZ5" s="8" t="n">
        <v>2412218.54</v>
      </c>
      <c r="GA5" s="9">
        <f>FW5+FX5+FY5+FZ5</f>
        <v/>
      </c>
      <c r="GB5" s="9">
        <f>FV5+GA5</f>
        <v/>
      </c>
      <c r="GC5" s="8" t="n">
        <v>17754700.49</v>
      </c>
      <c r="GD5" s="8" t="n">
        <v>121080.24</v>
      </c>
      <c r="GE5" s="8" t="n">
        <v>266087.19</v>
      </c>
      <c r="GF5" s="8" t="n">
        <v>8410.99</v>
      </c>
      <c r="GG5" s="9">
        <f>GC5+GD5+GE5+GF5</f>
        <v/>
      </c>
      <c r="GH5" s="8" t="n">
        <v>14014136.87000001</v>
      </c>
      <c r="GI5" s="8" t="n">
        <v>26845.88</v>
      </c>
      <c r="GJ5" s="8" t="n">
        <v>2119718.54</v>
      </c>
      <c r="GK5" s="8" t="n">
        <v>3274923.9</v>
      </c>
      <c r="GL5" s="9">
        <f>GH5+GI5+GJ5+GK5</f>
        <v/>
      </c>
      <c r="GM5" s="9">
        <f>GG5+GL5</f>
        <v/>
      </c>
      <c r="GN5" s="8" t="n">
        <v>1626263.34</v>
      </c>
      <c r="GO5" s="8" t="n">
        <v>2104.08</v>
      </c>
      <c r="GP5" s="8" t="n">
        <v>30542.76</v>
      </c>
      <c r="GQ5" s="8" t="n">
        <v>4637.34</v>
      </c>
      <c r="GR5" s="9">
        <f>GN5+GO5+GP5+GQ5</f>
        <v/>
      </c>
      <c r="GS5" s="8" t="n">
        <v>2727222</v>
      </c>
      <c r="GT5" s="8" t="n">
        <v>9823</v>
      </c>
      <c r="GU5" s="8" t="n">
        <v>8037</v>
      </c>
      <c r="GV5" s="8" t="n">
        <v>893</v>
      </c>
      <c r="GW5" s="9">
        <f>GS5+GT5+GU5+GV5</f>
        <v/>
      </c>
      <c r="GX5" s="9">
        <f>GM5+GR5+GW5</f>
        <v/>
      </c>
      <c r="GY5" s="8" t="n">
        <v>271226008.19</v>
      </c>
      <c r="GZ5" s="8" t="n">
        <v>2343196</v>
      </c>
      <c r="HA5" s="9">
        <f>GY5+GZ5</f>
        <v/>
      </c>
      <c r="HB5" s="9">
        <f>IF(GX5=0,"",AU5/GX5)</f>
        <v/>
      </c>
      <c r="HC5" s="10">
        <f>IF((GX5+GY5)=0,"",GB5/(GX5+GY5))</f>
        <v/>
      </c>
      <c r="HD5" s="9">
        <f>IF(GX5=0,"",GB5/GX5)</f>
        <v/>
      </c>
      <c r="HE5" s="8" t="n">
        <v>43</v>
      </c>
      <c r="HF5" s="8" t="n">
        <v>1</v>
      </c>
      <c r="HG5" s="8" t="n">
        <v>409</v>
      </c>
      <c r="HH5" s="8" t="n">
        <v>43</v>
      </c>
      <c r="HI5" s="8" t="n">
        <v>20</v>
      </c>
      <c r="HJ5" s="9">
        <f>HF5+HI5</f>
        <v/>
      </c>
      <c r="HK5" s="10">
        <f>IF(HE5=0,"",HH5/HE5)</f>
        <v/>
      </c>
      <c r="HL5" s="8" t="n">
        <v>12</v>
      </c>
      <c r="HM5" s="8" t="n">
        <v>30</v>
      </c>
      <c r="HN5" s="11">
        <f>IF(HL5=0,"",HM5/HL5)</f>
        <v/>
      </c>
    </row>
    <row r="6">
      <c r="A6" s="12" t="inlineStr">
        <is>
          <t>Liwonde</t>
        </is>
      </c>
      <c r="B6" s="12" t="inlineStr">
        <is>
          <t>Balaka</t>
        </is>
      </c>
      <c r="C6" s="13" t="inlineStr">
        <is>
          <t>FY2025/26</t>
        </is>
      </c>
      <c r="D6" s="13" t="n">
        <v>2025</v>
      </c>
      <c r="E6" s="13" t="n">
        <v>7</v>
      </c>
      <c r="F6" s="13" t="inlineStr">
        <is>
          <t>July</t>
        </is>
      </c>
      <c r="G6" s="13" t="inlineStr">
        <is>
          <t>Q2</t>
        </is>
      </c>
      <c r="H6" s="14" t="n">
        <v>62022</v>
      </c>
      <c r="I6" s="14" t="n">
        <v>25332</v>
      </c>
      <c r="J6" s="14" t="n">
        <v>1028</v>
      </c>
      <c r="K6" s="14" t="n">
        <v>101</v>
      </c>
      <c r="L6" s="14" t="n">
        <v>56</v>
      </c>
      <c r="M6" s="15">
        <f>SUM(I6,J6,K6,L6)</f>
        <v/>
      </c>
      <c r="N6" s="14" t="n">
        <v>14278.3000000001</v>
      </c>
      <c r="O6" s="14" t="n">
        <v>267.7</v>
      </c>
      <c r="P6" s="14" t="n">
        <v>1069</v>
      </c>
      <c r="Q6" s="14" t="n">
        <v>597.6</v>
      </c>
      <c r="R6" s="15">
        <f>SUM(N6,O6,P6,Q6)</f>
        <v/>
      </c>
      <c r="S6" s="15">
        <f>M6+R6</f>
        <v/>
      </c>
      <c r="T6" s="14" t="n">
        <v>19292.3999999999</v>
      </c>
      <c r="U6" s="16">
        <f>IF(H6=0,"",T6/H6)</f>
        <v/>
      </c>
      <c r="V6" s="14" t="n">
        <v>200</v>
      </c>
      <c r="W6" s="17">
        <f>IF(H6=0,"",V6/H6)</f>
        <v/>
      </c>
      <c r="X6" s="14" t="n">
        <v>0</v>
      </c>
      <c r="Y6" s="17">
        <f>IF(H6=0,"",X6/H6)</f>
        <v/>
      </c>
      <c r="Z6" s="14" t="n">
        <v>0</v>
      </c>
      <c r="AA6" s="17">
        <f>IF(H6=0,"",Z6/H6)</f>
        <v/>
      </c>
      <c r="AB6" s="14" t="n">
        <v>0</v>
      </c>
      <c r="AC6" s="17">
        <f>IF(H6=0,"",AB6/H6)</f>
        <v/>
      </c>
      <c r="AD6" s="14" t="n">
        <v>0</v>
      </c>
      <c r="AE6" s="17">
        <f>IF(H6=0,"",AD6/H6)</f>
        <v/>
      </c>
      <c r="AF6" s="14" t="n">
        <v>0</v>
      </c>
      <c r="AG6" s="17">
        <f>IF(H6=0,"",AF6/H6)</f>
        <v/>
      </c>
      <c r="AH6" s="14" t="n">
        <v>705058</v>
      </c>
      <c r="AI6" s="15">
        <f>IF(H6=0,"",AH6/H6)</f>
        <v/>
      </c>
      <c r="AJ6" s="14" t="n">
        <v>20456</v>
      </c>
      <c r="AK6" s="17">
        <f>IF(H6=0,"",AJ6/H6)</f>
        <v/>
      </c>
      <c r="AL6" s="14" t="n">
        <v>3439121.94</v>
      </c>
      <c r="AM6" s="15">
        <f>IF(H6=0,"",AL6/H6)</f>
        <v/>
      </c>
      <c r="AN6" s="14" t="n">
        <v>5432</v>
      </c>
      <c r="AO6" s="14" t="n">
        <v>198</v>
      </c>
      <c r="AP6" s="14" t="n">
        <v>540540</v>
      </c>
      <c r="AQ6" s="14" t="n">
        <v>0</v>
      </c>
      <c r="AR6" s="14" t="n">
        <v>17883496.8</v>
      </c>
      <c r="AS6" s="14" t="n">
        <v>4854203.2</v>
      </c>
      <c r="AT6" s="14" t="n">
        <v>5255000</v>
      </c>
      <c r="AU6" s="15">
        <f>AH6+AL6+AP6+AQ6+AR6+AS6+AT6</f>
        <v/>
      </c>
      <c r="AV6" s="15">
        <f>IF(H6=0,"",AU6/H6)</f>
        <v/>
      </c>
      <c r="AW6" s="15">
        <f>IF(S6=0,"",AU6/S6)</f>
        <v/>
      </c>
      <c r="AX6" s="14" t="n">
        <v>14</v>
      </c>
      <c r="AY6" s="15">
        <f>IF(H6=0,"",AX6/(H6/1000/12))</f>
        <v/>
      </c>
      <c r="AZ6" s="14" t="n">
        <v>20</v>
      </c>
      <c r="BA6" s="14" t="n">
        <v>409</v>
      </c>
      <c r="BB6" s="14" t="n">
        <v>59</v>
      </c>
      <c r="BC6" s="14" t="n">
        <v>61</v>
      </c>
      <c r="BD6" s="14" t="n">
        <v>0</v>
      </c>
      <c r="BE6" s="15">
        <f>BC6+BD6</f>
        <v/>
      </c>
      <c r="BF6" s="15">
        <f>BA6+BB6-BE6</f>
        <v/>
      </c>
      <c r="BG6" s="14" t="n">
        <v>0</v>
      </c>
      <c r="BH6" s="14" t="n">
        <v>0</v>
      </c>
      <c r="BI6" s="14" t="n">
        <v>0</v>
      </c>
      <c r="BJ6" s="14" t="n">
        <v>0</v>
      </c>
      <c r="BK6" s="15">
        <f>BI6+BJ6</f>
        <v/>
      </c>
      <c r="BL6" s="15">
        <f>BG6+BH6-BK6</f>
        <v/>
      </c>
      <c r="BM6" s="14" t="n">
        <v>0</v>
      </c>
      <c r="BN6" s="14" t="n">
        <v>0</v>
      </c>
      <c r="BO6" s="14" t="n">
        <v>0</v>
      </c>
      <c r="BP6" s="14" t="n">
        <v>0</v>
      </c>
      <c r="BQ6" s="15">
        <f>BO6+BP6</f>
        <v/>
      </c>
      <c r="BR6" s="15">
        <f>BM6+BN6-BQ6</f>
        <v/>
      </c>
      <c r="BS6" s="14" t="n">
        <v>0</v>
      </c>
      <c r="BT6" s="14" t="n">
        <v>0</v>
      </c>
      <c r="BU6" s="14" t="n">
        <v>0</v>
      </c>
      <c r="BV6" s="14" t="n">
        <v>0</v>
      </c>
      <c r="BW6" s="15">
        <f>BU6+BV6</f>
        <v/>
      </c>
      <c r="BX6" s="15">
        <f>BS6+BT6-BW6</f>
        <v/>
      </c>
      <c r="BY6" s="15">
        <f>BA6+BG6+BM6+BS6</f>
        <v/>
      </c>
      <c r="BZ6" s="15">
        <f>BB6+BH6+BN6+BT6</f>
        <v/>
      </c>
      <c r="CA6" s="15">
        <f>BE6+BK6+BQ6+BW6</f>
        <v/>
      </c>
      <c r="CB6" s="15">
        <f>BF6+BL6+BR6+BX6</f>
        <v/>
      </c>
      <c r="CC6" s="14" t="n">
        <v>121</v>
      </c>
      <c r="CD6" s="14" t="n">
        <v>2642</v>
      </c>
      <c r="CE6" s="14" t="n">
        <v>51</v>
      </c>
      <c r="CF6" s="14" t="n">
        <v>99</v>
      </c>
      <c r="CG6" s="14" t="n">
        <v>19</v>
      </c>
      <c r="CH6" s="15">
        <f>CD6+CE6+CF6+CG6</f>
        <v/>
      </c>
      <c r="CI6" s="14" t="n">
        <v>3156</v>
      </c>
      <c r="CJ6" s="14" t="n">
        <v>9</v>
      </c>
      <c r="CK6" s="14" t="n">
        <v>1</v>
      </c>
      <c r="CL6" s="14" t="n">
        <v>11</v>
      </c>
      <c r="CM6" s="15">
        <f>CI6+CJ6+CK6+CL6</f>
        <v/>
      </c>
      <c r="CN6" s="14" t="n">
        <v>1795</v>
      </c>
      <c r="CO6" s="14" t="n">
        <v>75</v>
      </c>
      <c r="CP6" s="14" t="n">
        <v>71</v>
      </c>
      <c r="CQ6" s="14" t="n">
        <v>4</v>
      </c>
      <c r="CR6" s="15">
        <f>CN6+CO6+CP6+CQ6</f>
        <v/>
      </c>
      <c r="CS6" s="15">
        <f>CM6+CR6</f>
        <v/>
      </c>
      <c r="CT6" s="14" t="n">
        <v>7933</v>
      </c>
      <c r="CU6" s="14" t="n">
        <v>41615.03</v>
      </c>
      <c r="CV6" s="14" t="n">
        <v>35373.23</v>
      </c>
      <c r="CW6" s="16">
        <f>IF(CU6=0,"",CV6/CU6)</f>
        <v/>
      </c>
      <c r="CX6" s="14" t="n"/>
      <c r="CY6" s="14" t="n"/>
      <c r="CZ6" s="14" t="n"/>
      <c r="DA6" s="14" t="n"/>
      <c r="DB6" s="15">
        <f>CX6+CY6-CZ6-DA6</f>
        <v/>
      </c>
      <c r="DC6" s="14" t="n">
        <v>0</v>
      </c>
      <c r="DD6" s="14" t="n">
        <v>0</v>
      </c>
      <c r="DE6" s="14" t="n">
        <v>0</v>
      </c>
      <c r="DF6" s="14" t="n">
        <v>0</v>
      </c>
      <c r="DG6" s="15">
        <f>DC6+DD6-DE6-DF6</f>
        <v/>
      </c>
      <c r="DH6" s="14" t="n">
        <v>0</v>
      </c>
      <c r="DI6" s="14" t="n">
        <v>0</v>
      </c>
      <c r="DJ6" s="14" t="n">
        <v>0</v>
      </c>
      <c r="DK6" s="14" t="n">
        <v>0</v>
      </c>
      <c r="DL6" s="15">
        <f>DH6+DI6-DJ6-DK6</f>
        <v/>
      </c>
      <c r="DM6" s="14" t="n">
        <v>275</v>
      </c>
      <c r="DN6" s="14" t="n">
        <v>0</v>
      </c>
      <c r="DO6" s="14" t="n">
        <v>0</v>
      </c>
      <c r="DP6" s="14" t="n">
        <v>32</v>
      </c>
      <c r="DQ6" s="15">
        <f>DM6+DN6-DO6-DP6</f>
        <v/>
      </c>
      <c r="DR6" s="15">
        <f>CX6+DC6+DH6+DM6</f>
        <v/>
      </c>
      <c r="DS6" s="15">
        <f>CY6+DD6+DI6+DN6</f>
        <v/>
      </c>
      <c r="DT6" s="15">
        <f>CZ6+DE6+DJ6+DO6</f>
        <v/>
      </c>
      <c r="DU6" s="15">
        <f>DA6+DF6+DK6+DP6</f>
        <v/>
      </c>
      <c r="DV6" s="15">
        <f>DB6+DG6+DL6+DQ6</f>
        <v/>
      </c>
      <c r="DW6" s="14" t="n">
        <v>104</v>
      </c>
      <c r="DX6" s="14" t="n">
        <v>75</v>
      </c>
      <c r="DY6" s="14" t="n">
        <v>10</v>
      </c>
      <c r="DZ6" s="14" t="n">
        <v>1</v>
      </c>
      <c r="EA6" s="14" t="n">
        <v>2</v>
      </c>
      <c r="EB6" s="14" t="n">
        <v>3</v>
      </c>
      <c r="EC6" s="14" t="n">
        <v>0</v>
      </c>
      <c r="ED6" s="14" t="n">
        <v>0</v>
      </c>
      <c r="EE6" s="14" t="n">
        <v>1</v>
      </c>
      <c r="EF6" s="14" t="n">
        <v>0</v>
      </c>
      <c r="EG6" s="14" t="n">
        <v>0</v>
      </c>
      <c r="EH6" s="14" t="n">
        <v>0</v>
      </c>
      <c r="EI6" s="14" t="n">
        <v>0</v>
      </c>
      <c r="EJ6" s="14" t="n">
        <v>0</v>
      </c>
      <c r="EK6" s="14" t="n">
        <v>0</v>
      </c>
      <c r="EL6" s="14" t="n">
        <v>0</v>
      </c>
      <c r="EM6" s="14" t="n">
        <v>0</v>
      </c>
      <c r="EN6" s="14" t="n">
        <v>0</v>
      </c>
      <c r="EO6" s="14" t="n">
        <v>0</v>
      </c>
      <c r="EP6" s="14" t="n">
        <v>0</v>
      </c>
      <c r="EQ6" s="14" t="n">
        <v>0</v>
      </c>
      <c r="ER6" s="14" t="n">
        <v>0</v>
      </c>
      <c r="ES6" s="14" t="n">
        <v>0</v>
      </c>
      <c r="ET6" s="14" t="n">
        <v>0</v>
      </c>
      <c r="EU6" s="14" t="n">
        <v>0</v>
      </c>
      <c r="EV6" s="14" t="n">
        <v>0</v>
      </c>
      <c r="EW6" s="14" t="n">
        <v>0</v>
      </c>
      <c r="EX6" s="14" t="n">
        <v>0</v>
      </c>
      <c r="EY6" s="14" t="n">
        <v>0</v>
      </c>
      <c r="EZ6" s="14" t="n">
        <v>0</v>
      </c>
      <c r="FA6" s="14" t="n">
        <v>0</v>
      </c>
      <c r="FB6" s="14" t="n">
        <v>0</v>
      </c>
      <c r="FC6" s="14" t="n">
        <v>0</v>
      </c>
      <c r="FD6" s="14" t="n">
        <v>0</v>
      </c>
      <c r="FE6" s="14" t="n">
        <v>0</v>
      </c>
      <c r="FF6" s="14" t="n">
        <v>0</v>
      </c>
      <c r="FG6" s="15">
        <f>SUM(DW6,DX6,DY6,DZ6,EA6,EB6,EC6,ED6,EE6,EF6,EG6,EH6,EI6,EJ6,EK6,EL6,EM6,EN6,EO6,EP6,EQ6,ER6,ES6,ET6,EU6,EV6,EW6,EX6,EY6,EZ6,FA6,FB6,FC6,FD6,FE6,FF6)</f>
        <v/>
      </c>
      <c r="FH6" s="14" t="n">
        <v>0</v>
      </c>
      <c r="FI6" s="14" t="n">
        <v>0</v>
      </c>
      <c r="FJ6" s="14" t="n">
        <v>520</v>
      </c>
      <c r="FK6" s="14" t="n">
        <v>5</v>
      </c>
      <c r="FL6" s="14" t="n">
        <v>0</v>
      </c>
      <c r="FM6" s="14" t="n">
        <v>0</v>
      </c>
      <c r="FN6" s="14" t="n">
        <v>0</v>
      </c>
      <c r="FO6" s="14" t="n">
        <v>0</v>
      </c>
      <c r="FP6" s="14" t="n">
        <v>0</v>
      </c>
      <c r="FQ6" s="15">
        <f>FL6+FM6+FN6+FO6+FP6</f>
        <v/>
      </c>
      <c r="FR6" s="14" t="n">
        <v>23307259.92</v>
      </c>
      <c r="FS6" s="14" t="n">
        <v>263000</v>
      </c>
      <c r="FT6" s="14" t="n">
        <v>61000</v>
      </c>
      <c r="FU6" s="14" t="n">
        <v>89200</v>
      </c>
      <c r="FV6" s="15">
        <f>FR6+FS6+FT6+FU6</f>
        <v/>
      </c>
      <c r="FW6" s="14" t="n">
        <v>18306154.3500001</v>
      </c>
      <c r="FX6" s="14" t="n">
        <v>56900</v>
      </c>
      <c r="FY6" s="14" t="n">
        <v>2836450</v>
      </c>
      <c r="FZ6" s="14" t="n">
        <v>3510164.78</v>
      </c>
      <c r="GA6" s="15">
        <f>FW6+FX6+FY6+FZ6</f>
        <v/>
      </c>
      <c r="GB6" s="15">
        <f>FV6+GA6</f>
        <v/>
      </c>
      <c r="GC6" s="14" t="n">
        <v>23938309.83</v>
      </c>
      <c r="GD6" s="14" t="n">
        <v>196635.84</v>
      </c>
      <c r="GE6" s="14" t="n">
        <v>313271.24</v>
      </c>
      <c r="GF6" s="14" t="n">
        <v>254121.01</v>
      </c>
      <c r="GG6" s="15">
        <f>GC6+GD6+GE6+GF6</f>
        <v/>
      </c>
      <c r="GH6" s="14" t="n">
        <v>17872550.31000009</v>
      </c>
      <c r="GI6" s="14" t="n">
        <v>56900</v>
      </c>
      <c r="GJ6" s="14" t="n">
        <v>3229537.61</v>
      </c>
      <c r="GK6" s="14" t="n">
        <v>2752750</v>
      </c>
      <c r="GL6" s="15">
        <f>GH6+GI6+GJ6+GK6</f>
        <v/>
      </c>
      <c r="GM6" s="15">
        <f>GG6+GL6</f>
        <v/>
      </c>
      <c r="GN6" s="14" t="n">
        <v>1682555.67</v>
      </c>
      <c r="GO6" s="14" t="n">
        <v>2104.08</v>
      </c>
      <c r="GP6" s="14" t="n">
        <v>30542.76</v>
      </c>
      <c r="GQ6" s="14" t="n">
        <v>4637.34</v>
      </c>
      <c r="GR6" s="15">
        <f>GN6+GO6+GP6+GQ6</f>
        <v/>
      </c>
      <c r="GS6" s="14" t="n">
        <v>2818308</v>
      </c>
      <c r="GT6" s="14" t="n">
        <v>9823</v>
      </c>
      <c r="GU6" s="14" t="n">
        <v>8037</v>
      </c>
      <c r="GV6" s="14" t="n">
        <v>893</v>
      </c>
      <c r="GW6" s="15">
        <f>GS6+GT6+GU6+GV6</f>
        <v/>
      </c>
      <c r="GX6" s="15">
        <f>GM6+GR6+GW6</f>
        <v/>
      </c>
      <c r="GY6" s="14" t="n">
        <v>277127665.789999</v>
      </c>
      <c r="GZ6" s="14" t="n">
        <v>2663026.79</v>
      </c>
      <c r="HA6" s="15">
        <f>GY6+GZ6</f>
        <v/>
      </c>
      <c r="HB6" s="15">
        <f>IF(GX6=0,"",AU6/GX6)</f>
        <v/>
      </c>
      <c r="HC6" s="16">
        <f>IF((GX6+GY6)=0,"",GB6/(GX6+GY6))</f>
        <v/>
      </c>
      <c r="HD6" s="15">
        <f>IF(GX6=0,"",GB6/GX6)</f>
        <v/>
      </c>
      <c r="HE6" s="14" t="n">
        <v>59</v>
      </c>
      <c r="HF6" s="14" t="n">
        <v>1</v>
      </c>
      <c r="HG6" s="14" t="n">
        <v>407</v>
      </c>
      <c r="HH6" s="14" t="n">
        <v>59</v>
      </c>
      <c r="HI6" s="14" t="n">
        <v>20</v>
      </c>
      <c r="HJ6" s="15">
        <f>HF6+HI6</f>
        <v/>
      </c>
      <c r="HK6" s="16">
        <f>IF(HE6=0,"",HH6/HE6)</f>
        <v/>
      </c>
      <c r="HL6" s="14" t="n">
        <v>14</v>
      </c>
      <c r="HM6" s="14" t="n">
        <v>30</v>
      </c>
      <c r="HN6" s="17">
        <f>IF(HL6=0,"",HM6/HL6)</f>
        <v/>
      </c>
    </row>
    <row r="7">
      <c r="A7" s="6" t="inlineStr">
        <is>
          <t>Liwonde</t>
        </is>
      </c>
      <c r="B7" s="6" t="inlineStr">
        <is>
          <t>Balaka</t>
        </is>
      </c>
      <c r="C7" s="7" t="inlineStr">
        <is>
          <t>FY2025/26</t>
        </is>
      </c>
      <c r="D7" s="7" t="n">
        <v>2025</v>
      </c>
      <c r="E7" s="7" t="n">
        <v>8</v>
      </c>
      <c r="F7" s="7" t="inlineStr">
        <is>
          <t>August</t>
        </is>
      </c>
      <c r="G7" s="7" t="inlineStr">
        <is>
          <t>Q2</t>
        </is>
      </c>
      <c r="H7" s="8" t="n">
        <v>50958</v>
      </c>
      <c r="I7" s="8" t="n">
        <v>19421</v>
      </c>
      <c r="J7" s="8" t="n">
        <v>772</v>
      </c>
      <c r="K7" s="8" t="n">
        <v>96</v>
      </c>
      <c r="L7" s="8" t="n">
        <v>11</v>
      </c>
      <c r="M7" s="9">
        <f>SUM(I7,J7,K7,L7)</f>
        <v/>
      </c>
      <c r="N7" s="8" t="n">
        <v>13978.2</v>
      </c>
      <c r="O7" s="8" t="n">
        <v>356.5</v>
      </c>
      <c r="P7" s="8" t="n">
        <v>822.6</v>
      </c>
      <c r="Q7" s="8" t="n">
        <v>603.5</v>
      </c>
      <c r="R7" s="9">
        <f>SUM(N7,O7,P7,Q7)</f>
        <v/>
      </c>
      <c r="S7" s="9">
        <f>M7+R7</f>
        <v/>
      </c>
      <c r="T7" s="8" t="n">
        <v>14897.2</v>
      </c>
      <c r="U7" s="10">
        <f>IF(H7=0,"",T7/H7)</f>
        <v/>
      </c>
      <c r="V7" s="8" t="n">
        <v>128</v>
      </c>
      <c r="W7" s="11">
        <f>IF(H7=0,"",V7/H7)</f>
        <v/>
      </c>
      <c r="X7" s="8" t="n">
        <v>0</v>
      </c>
      <c r="Y7" s="11">
        <f>IF(H7=0,"",X7/H7)</f>
        <v/>
      </c>
      <c r="Z7" s="8" t="n">
        <v>0</v>
      </c>
      <c r="AA7" s="11">
        <f>IF(H7=0,"",Z7/H7)</f>
        <v/>
      </c>
      <c r="AB7" s="8" t="n">
        <v>0</v>
      </c>
      <c r="AC7" s="11">
        <f>IF(H7=0,"",AB7/H7)</f>
        <v/>
      </c>
      <c r="AD7" s="8" t="n">
        <v>0</v>
      </c>
      <c r="AE7" s="11">
        <f>IF(H7=0,"",AD7/H7)</f>
        <v/>
      </c>
      <c r="AF7" s="8" t="n">
        <v>0</v>
      </c>
      <c r="AG7" s="11">
        <f>IF(H7=0,"",AF7/H7)</f>
        <v/>
      </c>
      <c r="AH7" s="8" t="n">
        <v>451237.12</v>
      </c>
      <c r="AI7" s="9">
        <f>IF(H7=0,"",AH7/H7)</f>
        <v/>
      </c>
      <c r="AJ7" s="8" t="n">
        <v>56715</v>
      </c>
      <c r="AK7" s="11">
        <f>IF(H7=0,"",AJ7/H7)</f>
        <v/>
      </c>
      <c r="AL7" s="8" t="n">
        <v>9500810.9125</v>
      </c>
      <c r="AM7" s="9">
        <f>IF(H7=0,"",AL7/H7)</f>
        <v/>
      </c>
      <c r="AN7" s="8" t="n">
        <v>5843.51515151515</v>
      </c>
      <c r="AO7" s="8" t="n">
        <v>213</v>
      </c>
      <c r="AP7" s="8" t="n">
        <v>581490</v>
      </c>
      <c r="AQ7" s="8" t="n">
        <v>0</v>
      </c>
      <c r="AR7" s="8" t="n">
        <v>17703746</v>
      </c>
      <c r="AS7" s="8" t="n">
        <v>4932611.6</v>
      </c>
      <c r="AT7" s="8" t="n">
        <v>8078460</v>
      </c>
      <c r="AU7" s="9">
        <f>AH7+AL7+AP7+AQ7+AR7+AS7+AT7</f>
        <v/>
      </c>
      <c r="AV7" s="9">
        <f>IF(H7=0,"",AU7/H7)</f>
        <v/>
      </c>
      <c r="AW7" s="9">
        <f>IF(S7=0,"",AU7/S7)</f>
        <v/>
      </c>
      <c r="AX7" s="8" t="n">
        <v>14</v>
      </c>
      <c r="AY7" s="9">
        <f>IF(H7=0,"",AX7/(H7/1000/12))</f>
        <v/>
      </c>
      <c r="AZ7" s="8" t="n">
        <v>20</v>
      </c>
      <c r="BA7" s="8" t="n">
        <v>407</v>
      </c>
      <c r="BB7" s="8" t="n">
        <v>63</v>
      </c>
      <c r="BC7" s="8" t="n">
        <v>54</v>
      </c>
      <c r="BD7" s="8" t="n">
        <v>0</v>
      </c>
      <c r="BE7" s="9">
        <f>BC7+BD7</f>
        <v/>
      </c>
      <c r="BF7" s="9">
        <f>BA7+BB7-BE7</f>
        <v/>
      </c>
      <c r="BG7" s="8" t="n">
        <v>0</v>
      </c>
      <c r="BH7" s="8" t="n">
        <v>0</v>
      </c>
      <c r="BI7" s="8" t="n">
        <v>0</v>
      </c>
      <c r="BJ7" s="8" t="n">
        <v>0</v>
      </c>
      <c r="BK7" s="9">
        <f>BI7+BJ7</f>
        <v/>
      </c>
      <c r="BL7" s="9">
        <f>BG7+BH7-BK7</f>
        <v/>
      </c>
      <c r="BM7" s="8" t="n">
        <v>0</v>
      </c>
      <c r="BN7" s="8" t="n">
        <v>0</v>
      </c>
      <c r="BO7" s="8" t="n">
        <v>0</v>
      </c>
      <c r="BP7" s="8" t="n">
        <v>0</v>
      </c>
      <c r="BQ7" s="9">
        <f>BO7+BP7</f>
        <v/>
      </c>
      <c r="BR7" s="9">
        <f>BM7+BN7-BQ7</f>
        <v/>
      </c>
      <c r="BS7" s="8" t="n">
        <v>0</v>
      </c>
      <c r="BT7" s="8" t="n">
        <v>0</v>
      </c>
      <c r="BU7" s="8" t="n">
        <v>0</v>
      </c>
      <c r="BV7" s="8" t="n">
        <v>0</v>
      </c>
      <c r="BW7" s="9">
        <f>BU7+BV7</f>
        <v/>
      </c>
      <c r="BX7" s="9">
        <f>BS7+BT7-BW7</f>
        <v/>
      </c>
      <c r="BY7" s="9">
        <f>BA7+BG7+BM7+BS7</f>
        <v/>
      </c>
      <c r="BZ7" s="9">
        <f>BB7+BH7+BN7+BT7</f>
        <v/>
      </c>
      <c r="CA7" s="9">
        <f>BE7+BK7+BQ7+BW7</f>
        <v/>
      </c>
      <c r="CB7" s="9">
        <f>BF7+BL7+BR7+BX7</f>
        <v/>
      </c>
      <c r="CC7" s="8" t="n">
        <v>62</v>
      </c>
      <c r="CD7" s="8" t="n">
        <v>2554</v>
      </c>
      <c r="CE7" s="8" t="n">
        <v>50</v>
      </c>
      <c r="CF7" s="8" t="n">
        <v>98</v>
      </c>
      <c r="CG7" s="8" t="n">
        <v>18</v>
      </c>
      <c r="CH7" s="9">
        <f>CD7+CE7+CF7+CG7</f>
        <v/>
      </c>
      <c r="CI7" s="8" t="n">
        <v>2958</v>
      </c>
      <c r="CJ7" s="8" t="n">
        <v>9</v>
      </c>
      <c r="CK7" s="8" t="n">
        <v>2</v>
      </c>
      <c r="CL7" s="8" t="n">
        <v>11</v>
      </c>
      <c r="CM7" s="9">
        <f>CI7+CJ7+CK7+CL7</f>
        <v/>
      </c>
      <c r="CN7" s="8" t="n">
        <v>2135</v>
      </c>
      <c r="CO7" s="8" t="n">
        <v>76</v>
      </c>
      <c r="CP7" s="8" t="n">
        <v>71</v>
      </c>
      <c r="CQ7" s="8" t="n">
        <v>5</v>
      </c>
      <c r="CR7" s="9">
        <f>CN7+CO7+CP7+CQ7</f>
        <v/>
      </c>
      <c r="CS7" s="9">
        <f>CM7+CR7</f>
        <v/>
      </c>
      <c r="CT7" s="8" t="n">
        <v>7987</v>
      </c>
      <c r="CU7" s="8" t="n">
        <v>41615.03</v>
      </c>
      <c r="CV7" s="8" t="n">
        <v>35726.96</v>
      </c>
      <c r="CW7" s="10">
        <f>IF(CU7=0,"",CV7/CU7)</f>
        <v/>
      </c>
      <c r="CX7" s="8" t="n"/>
      <c r="CY7" s="8" t="n"/>
      <c r="CZ7" s="8" t="n"/>
      <c r="DA7" s="8" t="n"/>
      <c r="DB7" s="9">
        <f>CX7+CY7-CZ7-DA7</f>
        <v/>
      </c>
      <c r="DC7" s="8" t="n">
        <v>0</v>
      </c>
      <c r="DD7" s="8" t="n">
        <v>0</v>
      </c>
      <c r="DE7" s="8" t="n">
        <v>0</v>
      </c>
      <c r="DF7" s="8" t="n">
        <v>0</v>
      </c>
      <c r="DG7" s="9">
        <f>DC7+DD7-DE7-DF7</f>
        <v/>
      </c>
      <c r="DH7" s="8" t="n">
        <v>0</v>
      </c>
      <c r="DI7" s="8" t="n">
        <v>0</v>
      </c>
      <c r="DJ7" s="8" t="n">
        <v>0</v>
      </c>
      <c r="DK7" s="8" t="n">
        <v>0</v>
      </c>
      <c r="DL7" s="9">
        <f>DH7+DI7-DJ7-DK7</f>
        <v/>
      </c>
      <c r="DM7" s="8" t="n">
        <v>243</v>
      </c>
      <c r="DN7" s="8" t="n">
        <v>0</v>
      </c>
      <c r="DO7" s="8" t="n">
        <v>0</v>
      </c>
      <c r="DP7" s="8" t="n">
        <v>67</v>
      </c>
      <c r="DQ7" s="9">
        <f>DM7+DN7-DO7-DP7</f>
        <v/>
      </c>
      <c r="DR7" s="9">
        <f>CX7+DC7+DH7+DM7</f>
        <v/>
      </c>
      <c r="DS7" s="9">
        <f>CY7+DD7+DI7+DN7</f>
        <v/>
      </c>
      <c r="DT7" s="9">
        <f>CZ7+DE7+DJ7+DO7</f>
        <v/>
      </c>
      <c r="DU7" s="9">
        <f>DA7+DF7+DK7+DP7</f>
        <v/>
      </c>
      <c r="DV7" s="9">
        <f>DB7+DG7+DL7+DQ7</f>
        <v/>
      </c>
      <c r="DW7" s="8" t="n">
        <v>147</v>
      </c>
      <c r="DX7" s="8" t="n">
        <v>64</v>
      </c>
      <c r="DY7" s="8" t="n">
        <v>12</v>
      </c>
      <c r="DZ7" s="8" t="n">
        <v>0</v>
      </c>
      <c r="EA7" s="8" t="n">
        <v>0</v>
      </c>
      <c r="EB7" s="8" t="n">
        <v>9</v>
      </c>
      <c r="EC7" s="8" t="n">
        <v>0</v>
      </c>
      <c r="ED7" s="8" t="n">
        <v>0</v>
      </c>
      <c r="EE7" s="8" t="n">
        <v>1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0</v>
      </c>
      <c r="EX7" s="8" t="n">
        <v>0</v>
      </c>
      <c r="EY7" s="8" t="n">
        <v>0</v>
      </c>
      <c r="EZ7" s="8" t="n">
        <v>0</v>
      </c>
      <c r="FA7" s="8" t="n">
        <v>0</v>
      </c>
      <c r="FB7" s="8" t="n">
        <v>0</v>
      </c>
      <c r="FC7" s="8" t="n">
        <v>0</v>
      </c>
      <c r="FD7" s="8" t="n">
        <v>0</v>
      </c>
      <c r="FE7" s="8" t="n">
        <v>0</v>
      </c>
      <c r="FF7" s="8" t="n">
        <v>0</v>
      </c>
      <c r="FG7" s="9">
        <f>SUM(DW7,DX7,DY7,DZ7,EA7,EB7,EC7,ED7,EE7,EF7,EG7,EH7,EI7,EJ7,EK7,EL7,EM7,EN7,EO7,EP7,EQ7,ER7,ES7,ET7,EU7,EV7,EW7,EX7,EY7,EZ7,FA7,FB7,FC7,FD7,FE7,FF7)</f>
        <v/>
      </c>
      <c r="FH7" s="8" t="n">
        <v>0</v>
      </c>
      <c r="FI7" s="8" t="n">
        <v>0</v>
      </c>
      <c r="FJ7" s="8" t="n">
        <v>504</v>
      </c>
      <c r="FK7" s="8" t="n">
        <v>3</v>
      </c>
      <c r="FL7" s="8" t="n">
        <v>0</v>
      </c>
      <c r="FM7" s="8" t="n">
        <v>0</v>
      </c>
      <c r="FN7" s="8" t="n">
        <v>0</v>
      </c>
      <c r="FO7" s="8" t="n">
        <v>0</v>
      </c>
      <c r="FP7" s="8" t="n">
        <v>0</v>
      </c>
      <c r="FQ7" s="9">
        <f>FL7+FM7+FN7+FO7+FP7</f>
        <v/>
      </c>
      <c r="FR7" s="8" t="n">
        <v>27549690.96</v>
      </c>
      <c r="FS7" s="8" t="n">
        <v>210800</v>
      </c>
      <c r="FT7" s="8" t="n">
        <v>67.22</v>
      </c>
      <c r="FU7" s="8" t="n">
        <v>104867.22</v>
      </c>
      <c r="FV7" s="9">
        <f>FR7+FS7+FT7+FU7</f>
        <v/>
      </c>
      <c r="FW7" s="8" t="n">
        <v>18757805.72</v>
      </c>
      <c r="FX7" s="8" t="n">
        <v>83000</v>
      </c>
      <c r="FY7" s="8" t="n">
        <v>2867900</v>
      </c>
      <c r="FZ7" s="8" t="n">
        <v>2799507</v>
      </c>
      <c r="GA7" s="9">
        <f>FW7+FX7+FY7+FZ7</f>
        <v/>
      </c>
      <c r="GB7" s="9">
        <f>FV7+GA7</f>
        <v/>
      </c>
      <c r="GC7" s="8" t="n">
        <v>18832106.12</v>
      </c>
      <c r="GD7" s="8" t="n">
        <v>147668.16</v>
      </c>
      <c r="GE7" s="8" t="n">
        <v>283790.6</v>
      </c>
      <c r="GF7" s="8" t="n">
        <v>30364.54</v>
      </c>
      <c r="GG7" s="9">
        <f>GC7+GD7+GE7+GF7</f>
        <v/>
      </c>
      <c r="GH7" s="8" t="n">
        <v>17520114.16000003</v>
      </c>
      <c r="GI7" s="8" t="n">
        <v>75740</v>
      </c>
      <c r="GJ7" s="8" t="n">
        <v>2486071.82</v>
      </c>
      <c r="GK7" s="8" t="n">
        <v>2760500</v>
      </c>
      <c r="GL7" s="9">
        <f>GH7+GI7+GJ7+GK7</f>
        <v/>
      </c>
      <c r="GM7" s="9">
        <f>GG7+GL7</f>
        <v/>
      </c>
      <c r="GN7" s="8" t="n">
        <v>1587694.07</v>
      </c>
      <c r="GO7" s="8" t="n">
        <v>2104.08</v>
      </c>
      <c r="GP7" s="8" t="n">
        <v>30542.76</v>
      </c>
      <c r="GQ7" s="8" t="n">
        <v>9274.68</v>
      </c>
      <c r="GR7" s="9">
        <f>GN7+GO7+GP7+GQ7</f>
        <v/>
      </c>
      <c r="GS7" s="8" t="n">
        <v>2637029</v>
      </c>
      <c r="GT7" s="8" t="n">
        <v>9823</v>
      </c>
      <c r="GU7" s="8" t="n">
        <v>8037</v>
      </c>
      <c r="GV7" s="8" t="n">
        <v>1786</v>
      </c>
      <c r="GW7" s="9">
        <f>GS7+GT7+GU7+GV7</f>
        <v/>
      </c>
      <c r="GX7" s="9">
        <f>GM7+GR7+GW7</f>
        <v/>
      </c>
      <c r="GY7" s="8" t="n">
        <v>270397099.84</v>
      </c>
      <c r="GZ7" s="8" t="n">
        <v>2952170.94</v>
      </c>
      <c r="HA7" s="9">
        <f>GY7+GZ7</f>
        <v/>
      </c>
      <c r="HB7" s="9">
        <f>IF(GX7=0,"",AU7/GX7)</f>
        <v/>
      </c>
      <c r="HC7" s="10">
        <f>IF((GX7+GY7)=0,"",GB7/(GX7+GY7))</f>
        <v/>
      </c>
      <c r="HD7" s="9">
        <f>IF(GX7=0,"",GB7/GX7)</f>
        <v/>
      </c>
      <c r="HE7" s="8" t="n">
        <v>63</v>
      </c>
      <c r="HF7" s="8" t="n">
        <v>1</v>
      </c>
      <c r="HG7" s="8" t="n">
        <v>416</v>
      </c>
      <c r="HH7" s="8" t="n">
        <v>63</v>
      </c>
      <c r="HI7" s="8" t="n">
        <v>20</v>
      </c>
      <c r="HJ7" s="9">
        <f>HF7+HI7</f>
        <v/>
      </c>
      <c r="HK7" s="10">
        <f>IF(HE7=0,"",HH7/HE7)</f>
        <v/>
      </c>
      <c r="HL7" s="8" t="n">
        <v>15</v>
      </c>
      <c r="HM7" s="8" t="n">
        <v>30</v>
      </c>
      <c r="HN7" s="11">
        <f>IF(HL7=0,"",HM7/HL7)</f>
        <v/>
      </c>
    </row>
    <row r="8">
      <c r="A8" s="12" t="inlineStr">
        <is>
          <t>Liwonde</t>
        </is>
      </c>
      <c r="B8" s="12" t="inlineStr">
        <is>
          <t>Balaka</t>
        </is>
      </c>
      <c r="C8" s="13" t="inlineStr">
        <is>
          <t>FY2025/26</t>
        </is>
      </c>
      <c r="D8" s="13" t="n">
        <v>2025</v>
      </c>
      <c r="E8" s="13" t="n">
        <v>9</v>
      </c>
      <c r="F8" s="13" t="inlineStr">
        <is>
          <t>September</t>
        </is>
      </c>
      <c r="G8" s="13" t="inlineStr">
        <is>
          <t>Q2</t>
        </is>
      </c>
      <c r="H8" s="14" t="n">
        <v>65681</v>
      </c>
      <c r="I8" s="14" t="n">
        <v>25495</v>
      </c>
      <c r="J8" s="14" t="n">
        <v>1147</v>
      </c>
      <c r="K8" s="14" t="n">
        <v>115</v>
      </c>
      <c r="L8" s="14" t="n">
        <v>6</v>
      </c>
      <c r="M8" s="15">
        <f>SUM(I8,J8,K8,L8)</f>
        <v/>
      </c>
      <c r="N8" s="14" t="n">
        <v>16674.6</v>
      </c>
      <c r="O8" s="14" t="n">
        <v>446.5</v>
      </c>
      <c r="P8" s="14" t="n">
        <v>1097.7</v>
      </c>
      <c r="Q8" s="14" t="n">
        <v>513.5</v>
      </c>
      <c r="R8" s="15">
        <f>SUM(N8,O8,P8,Q8)</f>
        <v/>
      </c>
      <c r="S8" s="15">
        <f>M8+R8</f>
        <v/>
      </c>
      <c r="T8" s="14" t="n">
        <v>20185.7</v>
      </c>
      <c r="U8" s="16">
        <f>IF(H8=0,"",T8/H8)</f>
        <v/>
      </c>
      <c r="V8" s="14" t="n">
        <v>130</v>
      </c>
      <c r="W8" s="17">
        <f>IF(H8=0,"",V8/H8)</f>
        <v/>
      </c>
      <c r="X8" s="14" t="n">
        <v>0</v>
      </c>
      <c r="Y8" s="17">
        <f>IF(H8=0,"",X8/H8)</f>
        <v/>
      </c>
      <c r="Z8" s="14" t="n">
        <v>0</v>
      </c>
      <c r="AA8" s="17">
        <f>IF(H8=0,"",Z8/H8)</f>
        <v/>
      </c>
      <c r="AB8" s="14" t="n">
        <v>0</v>
      </c>
      <c r="AC8" s="17">
        <f>IF(H8=0,"",AB8/H8)</f>
        <v/>
      </c>
      <c r="AD8" s="14" t="n">
        <v>0</v>
      </c>
      <c r="AE8" s="17">
        <f>IF(H8=0,"",AD8/H8)</f>
        <v/>
      </c>
      <c r="AF8" s="14" t="n">
        <v>0</v>
      </c>
      <c r="AG8" s="17">
        <f>IF(H8=0,"",AF8/H8)</f>
        <v/>
      </c>
      <c r="AH8" s="14" t="n">
        <v>458287.7</v>
      </c>
      <c r="AI8" s="15">
        <f>IF(H8=0,"",AH8/H8)</f>
        <v/>
      </c>
      <c r="AJ8" s="14" t="n">
        <v>25713.7</v>
      </c>
      <c r="AK8" s="17">
        <f>IF(H8=0,"",AJ8/H8)</f>
        <v/>
      </c>
      <c r="AL8" s="14" t="n">
        <v>4318091.08175</v>
      </c>
      <c r="AM8" s="15">
        <f>IF(H8=0,"",AL8/H8)</f>
        <v/>
      </c>
      <c r="AN8" s="14" t="n">
        <v>5426</v>
      </c>
      <c r="AO8" s="14" t="n">
        <v>375.008571428571</v>
      </c>
      <c r="AP8" s="14" t="n">
        <v>1312530</v>
      </c>
      <c r="AQ8" s="14" t="n">
        <v>0</v>
      </c>
      <c r="AR8" s="14" t="n">
        <v>16664235.78</v>
      </c>
      <c r="AS8" s="14" t="n">
        <v>6601328.16</v>
      </c>
      <c r="AT8" s="14" t="n">
        <v>1657762.08</v>
      </c>
      <c r="AU8" s="15">
        <f>AH8+AL8+AP8+AQ8+AR8+AS8+AT8</f>
        <v/>
      </c>
      <c r="AV8" s="15">
        <f>IF(H8=0,"",AU8/H8)</f>
        <v/>
      </c>
      <c r="AW8" s="15">
        <f>IF(S8=0,"",AU8/S8)</f>
        <v/>
      </c>
      <c r="AX8" s="14" t="n">
        <v>14</v>
      </c>
      <c r="AY8" s="15">
        <f>IF(H8=0,"",AX8/(H8/1000/12))</f>
        <v/>
      </c>
      <c r="AZ8" s="14" t="n">
        <v>39</v>
      </c>
      <c r="BA8" s="14" t="n">
        <v>416</v>
      </c>
      <c r="BB8" s="14" t="n">
        <v>48</v>
      </c>
      <c r="BC8" s="14" t="n">
        <v>42</v>
      </c>
      <c r="BD8" s="14" t="n">
        <v>0</v>
      </c>
      <c r="BE8" s="15">
        <f>BC8+BD8</f>
        <v/>
      </c>
      <c r="BF8" s="15">
        <f>BA8+BB8-BE8</f>
        <v/>
      </c>
      <c r="BG8" s="14" t="n">
        <v>0</v>
      </c>
      <c r="BH8" s="14" t="n">
        <v>0</v>
      </c>
      <c r="BI8" s="14" t="n">
        <v>0</v>
      </c>
      <c r="BJ8" s="14" t="n">
        <v>0</v>
      </c>
      <c r="BK8" s="15">
        <f>BI8+BJ8</f>
        <v/>
      </c>
      <c r="BL8" s="15">
        <f>BG8+BH8-BK8</f>
        <v/>
      </c>
      <c r="BM8" s="14" t="n">
        <v>0</v>
      </c>
      <c r="BN8" s="14" t="n">
        <v>0</v>
      </c>
      <c r="BO8" s="14" t="n">
        <v>0</v>
      </c>
      <c r="BP8" s="14" t="n">
        <v>0</v>
      </c>
      <c r="BQ8" s="15">
        <f>BO8+BP8</f>
        <v/>
      </c>
      <c r="BR8" s="15">
        <f>BM8+BN8-BQ8</f>
        <v/>
      </c>
      <c r="BS8" s="14" t="n">
        <v>0</v>
      </c>
      <c r="BT8" s="14" t="n">
        <v>0</v>
      </c>
      <c r="BU8" s="14" t="n">
        <v>0</v>
      </c>
      <c r="BV8" s="14" t="n">
        <v>0</v>
      </c>
      <c r="BW8" s="15">
        <f>BU8+BV8</f>
        <v/>
      </c>
      <c r="BX8" s="15">
        <f>BS8+BT8-BW8</f>
        <v/>
      </c>
      <c r="BY8" s="15">
        <f>BA8+BG8+BM8+BS8</f>
        <v/>
      </c>
      <c r="BZ8" s="15">
        <f>BB8+BH8+BN8+BT8</f>
        <v/>
      </c>
      <c r="CA8" s="15">
        <f>BE8+BK8+BQ8+BW8</f>
        <v/>
      </c>
      <c r="CB8" s="15">
        <f>BF8+BL8+BR8+BX8</f>
        <v/>
      </c>
      <c r="CC8" s="14" t="n">
        <v>45</v>
      </c>
      <c r="CD8" s="14" t="n">
        <v>2508</v>
      </c>
      <c r="CE8" s="14" t="n">
        <v>50</v>
      </c>
      <c r="CF8" s="14" t="n">
        <v>98</v>
      </c>
      <c r="CG8" s="14" t="n">
        <v>18</v>
      </c>
      <c r="CH8" s="15">
        <f>CD8+CE8+CF8+CG8</f>
        <v/>
      </c>
      <c r="CI8" s="14" t="n">
        <v>2946</v>
      </c>
      <c r="CJ8" s="14" t="n">
        <v>9</v>
      </c>
      <c r="CK8" s="14" t="n">
        <v>1</v>
      </c>
      <c r="CL8" s="14" t="n">
        <v>11</v>
      </c>
      <c r="CM8" s="15">
        <f>CI8+CJ8+CK8+CL8</f>
        <v/>
      </c>
      <c r="CN8" s="14" t="n">
        <v>2382</v>
      </c>
      <c r="CO8" s="14" t="n">
        <v>76</v>
      </c>
      <c r="CP8" s="14" t="n">
        <v>72</v>
      </c>
      <c r="CQ8" s="14" t="n">
        <v>5</v>
      </c>
      <c r="CR8" s="15">
        <f>CN8+CO8+CP8+CQ8</f>
        <v/>
      </c>
      <c r="CS8" s="15">
        <f>CM8+CR8</f>
        <v/>
      </c>
      <c r="CT8" s="14" t="n">
        <v>8176</v>
      </c>
      <c r="CU8" s="14" t="n">
        <v>41615.03</v>
      </c>
      <c r="CV8" s="14" t="n">
        <v>36441.54</v>
      </c>
      <c r="CW8" s="16">
        <f>IF(CU8=0,"",CV8/CU8)</f>
        <v/>
      </c>
      <c r="CX8" s="14" t="n"/>
      <c r="CY8" s="14" t="n"/>
      <c r="CZ8" s="14" t="n"/>
      <c r="DA8" s="14" t="n"/>
      <c r="DB8" s="15">
        <f>CX8+CY8-CZ8-DA8</f>
        <v/>
      </c>
      <c r="DC8" s="14" t="n">
        <v>0</v>
      </c>
      <c r="DD8" s="14" t="n">
        <v>0</v>
      </c>
      <c r="DE8" s="14" t="n">
        <v>0</v>
      </c>
      <c r="DF8" s="14" t="n">
        <v>0</v>
      </c>
      <c r="DG8" s="15">
        <f>DC8+DD8-DE8-DF8</f>
        <v/>
      </c>
      <c r="DH8" s="14" t="n">
        <v>0</v>
      </c>
      <c r="DI8" s="14" t="n">
        <v>0</v>
      </c>
      <c r="DJ8" s="14" t="n">
        <v>0</v>
      </c>
      <c r="DK8" s="14" t="n">
        <v>0</v>
      </c>
      <c r="DL8" s="15">
        <f>DH8+DI8-DJ8-DK8</f>
        <v/>
      </c>
      <c r="DM8" s="14" t="n">
        <v>176</v>
      </c>
      <c r="DN8" s="14" t="n">
        <v>12</v>
      </c>
      <c r="DO8" s="14" t="n">
        <v>0</v>
      </c>
      <c r="DP8" s="14" t="n">
        <v>0</v>
      </c>
      <c r="DQ8" s="15">
        <f>DM8+DN8-DO8-DP8</f>
        <v/>
      </c>
      <c r="DR8" s="15">
        <f>CX8+DC8+DH8+DM8</f>
        <v/>
      </c>
      <c r="DS8" s="15">
        <f>CY8+DD8+DI8+DN8</f>
        <v/>
      </c>
      <c r="DT8" s="15">
        <f>CZ8+DE8+DJ8+DO8</f>
        <v/>
      </c>
      <c r="DU8" s="15">
        <f>DA8+DF8+DK8+DP8</f>
        <v/>
      </c>
      <c r="DV8" s="15">
        <f>DB8+DG8+DL8+DQ8</f>
        <v/>
      </c>
      <c r="DW8" s="14" t="n">
        <v>111</v>
      </c>
      <c r="DX8" s="14" t="n">
        <v>68</v>
      </c>
      <c r="DY8" s="14" t="n">
        <v>9</v>
      </c>
      <c r="DZ8" s="14" t="n">
        <v>1</v>
      </c>
      <c r="EA8" s="14" t="n">
        <v>4</v>
      </c>
      <c r="EB8" s="14" t="n">
        <v>10</v>
      </c>
      <c r="EC8" s="14" t="n">
        <v>1</v>
      </c>
      <c r="ED8" s="14" t="n">
        <v>0</v>
      </c>
      <c r="EE8" s="14" t="n">
        <v>1</v>
      </c>
      <c r="EF8" s="14" t="n">
        <v>3</v>
      </c>
      <c r="EG8" s="14" t="n">
        <v>4</v>
      </c>
      <c r="EH8" s="14" t="n">
        <v>0</v>
      </c>
      <c r="EI8" s="14" t="n">
        <v>0</v>
      </c>
      <c r="EJ8" s="14" t="n">
        <v>0</v>
      </c>
      <c r="EK8" s="14" t="n">
        <v>0</v>
      </c>
      <c r="EL8" s="14" t="n">
        <v>0</v>
      </c>
      <c r="EM8" s="14" t="n">
        <v>0</v>
      </c>
      <c r="EN8" s="14" t="n">
        <v>0</v>
      </c>
      <c r="EO8" s="14" t="n">
        <v>0</v>
      </c>
      <c r="EP8" s="14" t="n">
        <v>0</v>
      </c>
      <c r="EQ8" s="14" t="n">
        <v>0</v>
      </c>
      <c r="ER8" s="14" t="n">
        <v>0</v>
      </c>
      <c r="ES8" s="14" t="n">
        <v>0</v>
      </c>
      <c r="ET8" s="14" t="n">
        <v>0</v>
      </c>
      <c r="EU8" s="14" t="n">
        <v>0</v>
      </c>
      <c r="EV8" s="14" t="n">
        <v>0</v>
      </c>
      <c r="EW8" s="14" t="n">
        <v>0</v>
      </c>
      <c r="EX8" s="14" t="n">
        <v>0</v>
      </c>
      <c r="EY8" s="14" t="n">
        <v>0</v>
      </c>
      <c r="EZ8" s="14" t="n">
        <v>0</v>
      </c>
      <c r="FA8" s="14" t="n">
        <v>0</v>
      </c>
      <c r="FB8" s="14" t="n">
        <v>0</v>
      </c>
      <c r="FC8" s="14" t="n">
        <v>0</v>
      </c>
      <c r="FD8" s="14" t="n">
        <v>0</v>
      </c>
      <c r="FE8" s="14" t="n">
        <v>0</v>
      </c>
      <c r="FF8" s="14" t="n">
        <v>0</v>
      </c>
      <c r="FG8" s="15">
        <f>SUM(DW8,DX8,DY8,DZ8,EA8,EB8,EC8,ED8,EE8,EF8,EG8,EH8,EI8,EJ8,EK8,EL8,EM8,EN8,EO8,EP8,EQ8,ER8,ES8,ET8,EU8,EV8,EW8,EX8,EY8,EZ8,FA8,FB8,FC8,FD8,FE8,FF8)</f>
        <v/>
      </c>
      <c r="FH8" s="14" t="n">
        <v>0</v>
      </c>
      <c r="FI8" s="14" t="n">
        <v>0</v>
      </c>
      <c r="FJ8" s="14" t="n">
        <v>520</v>
      </c>
      <c r="FK8" s="14" t="n">
        <v>3</v>
      </c>
      <c r="FL8" s="14" t="n">
        <v>0</v>
      </c>
      <c r="FM8" s="14" t="n">
        <v>0</v>
      </c>
      <c r="FN8" s="14" t="n">
        <v>0</v>
      </c>
      <c r="FO8" s="14" t="n">
        <v>0</v>
      </c>
      <c r="FP8" s="14" t="n">
        <v>0</v>
      </c>
      <c r="FQ8" s="15">
        <f>FL8+FM8+FN8+FO8+FP8</f>
        <v/>
      </c>
      <c r="FR8" s="14" t="n">
        <v>21691980.35</v>
      </c>
      <c r="FS8" s="14" t="n">
        <v>176267.22</v>
      </c>
      <c r="FT8" s="14" t="n">
        <v>350067.22</v>
      </c>
      <c r="FU8" s="14" t="n">
        <v>67000</v>
      </c>
      <c r="FV8" s="15">
        <f>FR8+FS8+FT8+FU8</f>
        <v/>
      </c>
      <c r="FW8" s="14" t="n">
        <v>26130021.61</v>
      </c>
      <c r="FX8" s="14" t="n">
        <v>154524.64</v>
      </c>
      <c r="FY8" s="14" t="n">
        <v>2554072.81</v>
      </c>
      <c r="FZ8" s="14" t="n">
        <v>3803513.85</v>
      </c>
      <c r="GA8" s="15">
        <f>FW8+FX8+FY8+FZ8</f>
        <v/>
      </c>
      <c r="GB8" s="15">
        <f>FV8+GA8</f>
        <v/>
      </c>
      <c r="GC8" s="14" t="n">
        <v>24186378.67</v>
      </c>
      <c r="GD8" s="14" t="n">
        <v>219398.16</v>
      </c>
      <c r="GE8" s="14" t="n">
        <v>364727.96</v>
      </c>
      <c r="GF8" s="14" t="n">
        <v>15182.27</v>
      </c>
      <c r="GG8" s="15">
        <f>GC8+GD8+GE8+GF8</f>
        <v/>
      </c>
      <c r="GH8" s="14" t="n">
        <v>20822944.67000001</v>
      </c>
      <c r="GI8" s="14" t="n">
        <v>94988.87</v>
      </c>
      <c r="GJ8" s="14" t="n">
        <v>3314638.17</v>
      </c>
      <c r="GK8" s="14" t="n">
        <v>2436112.81</v>
      </c>
      <c r="GL8" s="15">
        <f>GH8+GI8+GJ8+GK8</f>
        <v/>
      </c>
      <c r="GM8" s="15">
        <f>GG8+GL8</f>
        <v/>
      </c>
      <c r="GN8" s="14" t="n">
        <v>1584702.28</v>
      </c>
      <c r="GO8" s="14" t="n">
        <v>2104.08</v>
      </c>
      <c r="GP8" s="14" t="n">
        <v>30542.76</v>
      </c>
      <c r="GQ8" s="14" t="n">
        <v>4637.34</v>
      </c>
      <c r="GR8" s="15">
        <f>GN8+GO8+GP8+GQ8</f>
        <v/>
      </c>
      <c r="GS8" s="14" t="n">
        <v>2630778</v>
      </c>
      <c r="GT8" s="14" t="n">
        <v>9823</v>
      </c>
      <c r="GU8" s="14" t="n">
        <v>8037</v>
      </c>
      <c r="GV8" s="14" t="n">
        <v>893</v>
      </c>
      <c r="GW8" s="15">
        <f>GS8+GT8+GU8+GV8</f>
        <v/>
      </c>
      <c r="GX8" s="15">
        <f>GM8+GR8+GW8</f>
        <v/>
      </c>
      <c r="GY8" s="14" t="n">
        <v>276344663.43</v>
      </c>
      <c r="GZ8" s="14" t="n">
        <v>3372797.08</v>
      </c>
      <c r="HA8" s="15">
        <f>GY8+GZ8</f>
        <v/>
      </c>
      <c r="HB8" s="15">
        <f>IF(GX8=0,"",AU8/GX8)</f>
        <v/>
      </c>
      <c r="HC8" s="16">
        <f>IF((GX8+GY8)=0,"",GB8/(GX8+GY8))</f>
        <v/>
      </c>
      <c r="HD8" s="15">
        <f>IF(GX8=0,"",GB8/GX8)</f>
        <v/>
      </c>
      <c r="HE8" s="14" t="n">
        <v>48</v>
      </c>
      <c r="HF8" s="14" t="n">
        <v>1</v>
      </c>
      <c r="HG8" s="14" t="n">
        <v>422</v>
      </c>
      <c r="HH8" s="14" t="n">
        <v>48</v>
      </c>
      <c r="HI8" s="14" t="n">
        <v>20</v>
      </c>
      <c r="HJ8" s="15">
        <f>HF8+HI8</f>
        <v/>
      </c>
      <c r="HK8" s="16">
        <f>IF(HE8=0,"",HH8/HE8)</f>
        <v/>
      </c>
      <c r="HL8" s="14" t="n">
        <v>40</v>
      </c>
      <c r="HM8" s="14" t="n">
        <v>30</v>
      </c>
      <c r="HN8" s="17">
        <f>IF(HL8=0,"",HM8/HL8)</f>
        <v/>
      </c>
    </row>
    <row r="9">
      <c r="A9" s="6" t="inlineStr">
        <is>
          <t>Liwonde</t>
        </is>
      </c>
      <c r="B9" s="6" t="inlineStr">
        <is>
          <t>Balaka</t>
        </is>
      </c>
      <c r="C9" s="7" t="inlineStr">
        <is>
          <t>FY2025/26</t>
        </is>
      </c>
      <c r="D9" s="7" t="n">
        <v>2025</v>
      </c>
      <c r="E9" s="7" t="n">
        <v>10</v>
      </c>
      <c r="F9" s="7" t="inlineStr">
        <is>
          <t>October</t>
        </is>
      </c>
      <c r="G9" s="7" t="inlineStr">
        <is>
          <t>Q3</t>
        </is>
      </c>
      <c r="H9" s="8" t="n">
        <v>46567</v>
      </c>
      <c r="I9" s="8" t="n">
        <v>17150</v>
      </c>
      <c r="J9" s="8" t="n">
        <v>809</v>
      </c>
      <c r="K9" s="8" t="n">
        <v>93</v>
      </c>
      <c r="L9" s="8" t="n">
        <v>2</v>
      </c>
      <c r="M9" s="9">
        <f>SUM(I9,J9,K9,L9)</f>
        <v/>
      </c>
      <c r="N9" s="8" t="n">
        <v>12658</v>
      </c>
      <c r="O9" s="8" t="n">
        <v>386.9</v>
      </c>
      <c r="P9" s="8" t="n">
        <v>1415.9</v>
      </c>
      <c r="Q9" s="8" t="n">
        <v>453.7</v>
      </c>
      <c r="R9" s="9">
        <f>SUM(N9,O9,P9,Q9)</f>
        <v/>
      </c>
      <c r="S9" s="9">
        <f>M9+R9</f>
        <v/>
      </c>
      <c r="T9" s="8" t="n">
        <v>13598.5</v>
      </c>
      <c r="U9" s="10">
        <f>IF(H9=0,"",T9/H9)</f>
        <v/>
      </c>
      <c r="V9" s="8" t="n">
        <v>82</v>
      </c>
      <c r="W9" s="11">
        <f>IF(H9=0,"",V9/H9)</f>
        <v/>
      </c>
      <c r="X9" s="8" t="n">
        <v>0</v>
      </c>
      <c r="Y9" s="11">
        <f>IF(H9=0,"",X9/H9)</f>
        <v/>
      </c>
      <c r="Z9" s="8" t="n">
        <v>0</v>
      </c>
      <c r="AA9" s="11">
        <f>IF(H9=0,"",Z9/H9)</f>
        <v/>
      </c>
      <c r="AB9" s="8" t="n">
        <v>0</v>
      </c>
      <c r="AC9" s="11">
        <f>IF(H9=0,"",AB9/H9)</f>
        <v/>
      </c>
      <c r="AD9" s="8" t="n">
        <v>0</v>
      </c>
      <c r="AE9" s="11">
        <f>IF(H9=0,"",AD9/H9)</f>
        <v/>
      </c>
      <c r="AF9" s="8" t="n">
        <v>0</v>
      </c>
      <c r="AG9" s="11">
        <f>IF(H9=0,"",AF9/H9)</f>
        <v/>
      </c>
      <c r="AH9" s="8" t="n">
        <v>289073.78</v>
      </c>
      <c r="AI9" s="9">
        <f>IF(H9=0,"",AH9/H9)</f>
        <v/>
      </c>
      <c r="AJ9" s="8" t="n">
        <v>14255</v>
      </c>
      <c r="AK9" s="11">
        <f>IF(H9=0,"",AJ9/H9)</f>
        <v/>
      </c>
      <c r="AL9" s="8" t="n">
        <v>2402454.2625</v>
      </c>
      <c r="AM9" s="9">
        <f>IF(H9=0,"",AL9/H9)</f>
        <v/>
      </c>
      <c r="AN9" s="8" t="n">
        <v>4123.66574478298</v>
      </c>
      <c r="AO9" s="8" t="n">
        <v>285</v>
      </c>
      <c r="AP9" s="8" t="n">
        <v>778050</v>
      </c>
      <c r="AQ9" s="8" t="n">
        <v>0</v>
      </c>
      <c r="AR9" s="8" t="n">
        <v>0</v>
      </c>
      <c r="AS9" s="8" t="n">
        <v>6654152.48</v>
      </c>
      <c r="AT9" s="8" t="n">
        <v>1624766.84</v>
      </c>
      <c r="AU9" s="9">
        <f>AH9+AL9+AP9+AQ9+AR9+AS9+AT9</f>
        <v/>
      </c>
      <c r="AV9" s="9">
        <f>IF(H9=0,"",AU9/H9)</f>
        <v/>
      </c>
      <c r="AW9" s="9">
        <f>IF(S9=0,"",AU9/S9)</f>
        <v/>
      </c>
      <c r="AX9" s="8" t="n">
        <v>14</v>
      </c>
      <c r="AY9" s="9">
        <f>IF(H9=0,"",AX9/(H9/1000/12))</f>
        <v/>
      </c>
      <c r="AZ9" s="8" t="n">
        <v>42</v>
      </c>
      <c r="BA9" s="8" t="n">
        <v>422</v>
      </c>
      <c r="BB9" s="8" t="n">
        <v>41</v>
      </c>
      <c r="BC9" s="8" t="n">
        <v>46</v>
      </c>
      <c r="BD9" s="8" t="n">
        <v>0</v>
      </c>
      <c r="BE9" s="9">
        <f>BC9+BD9</f>
        <v/>
      </c>
      <c r="BF9" s="9">
        <f>BA9+BB9-BE9</f>
        <v/>
      </c>
      <c r="BG9" s="8" t="n">
        <v>0</v>
      </c>
      <c r="BH9" s="8" t="n">
        <v>0</v>
      </c>
      <c r="BI9" s="8" t="n">
        <v>0</v>
      </c>
      <c r="BJ9" s="8" t="n">
        <v>0</v>
      </c>
      <c r="BK9" s="9">
        <f>BI9+BJ9</f>
        <v/>
      </c>
      <c r="BL9" s="9">
        <f>BG9+BH9-BK9</f>
        <v/>
      </c>
      <c r="BM9" s="8" t="n">
        <v>0</v>
      </c>
      <c r="BN9" s="8" t="n">
        <v>0</v>
      </c>
      <c r="BO9" s="8" t="n">
        <v>0</v>
      </c>
      <c r="BP9" s="8" t="n">
        <v>0</v>
      </c>
      <c r="BQ9" s="9">
        <f>BO9+BP9</f>
        <v/>
      </c>
      <c r="BR9" s="9">
        <f>BM9+BN9-BQ9</f>
        <v/>
      </c>
      <c r="BS9" s="8" t="n">
        <v>0</v>
      </c>
      <c r="BT9" s="8" t="n">
        <v>0</v>
      </c>
      <c r="BU9" s="8" t="n">
        <v>0</v>
      </c>
      <c r="BV9" s="8" t="n">
        <v>0</v>
      </c>
      <c r="BW9" s="9">
        <f>BU9+BV9</f>
        <v/>
      </c>
      <c r="BX9" s="9">
        <f>BS9+BT9-BW9</f>
        <v/>
      </c>
      <c r="BY9" s="9">
        <f>BA9+BG9+BM9+BS9</f>
        <v/>
      </c>
      <c r="BZ9" s="9">
        <f>BB9+BH9+BN9+BT9</f>
        <v/>
      </c>
      <c r="CA9" s="9">
        <f>BE9+BK9+BQ9+BW9</f>
        <v/>
      </c>
      <c r="CB9" s="9">
        <f>BF9+BL9+BR9+BX9</f>
        <v/>
      </c>
      <c r="CC9" s="8" t="n">
        <v>35</v>
      </c>
      <c r="CD9" s="8" t="n">
        <v>2520</v>
      </c>
      <c r="CE9" s="8" t="n">
        <v>50</v>
      </c>
      <c r="CF9" s="8" t="n">
        <v>97</v>
      </c>
      <c r="CG9" s="8" t="n">
        <v>18</v>
      </c>
      <c r="CH9" s="9">
        <f>CD9+CE9+CF9+CG9</f>
        <v/>
      </c>
      <c r="CI9" s="8" t="n">
        <v>2980</v>
      </c>
      <c r="CJ9" s="8" t="n">
        <v>8</v>
      </c>
      <c r="CK9" s="8" t="n">
        <v>1</v>
      </c>
      <c r="CL9" s="8" t="n">
        <v>11</v>
      </c>
      <c r="CM9" s="9">
        <f>CI9+CJ9+CK9+CL9</f>
        <v/>
      </c>
      <c r="CN9" s="8" t="n">
        <v>2382</v>
      </c>
      <c r="CO9" s="8" t="n">
        <v>77</v>
      </c>
      <c r="CP9" s="8" t="n">
        <v>73</v>
      </c>
      <c r="CQ9" s="8" t="n">
        <v>5</v>
      </c>
      <c r="CR9" s="9">
        <f>CN9+CO9+CP9+CQ9</f>
        <v/>
      </c>
      <c r="CS9" s="9">
        <f>CM9+CR9</f>
        <v/>
      </c>
      <c r="CT9" s="8" t="n">
        <v>8222</v>
      </c>
      <c r="CU9" s="8" t="n">
        <v>41823.11</v>
      </c>
      <c r="CV9" s="8" t="n">
        <v>36623.75</v>
      </c>
      <c r="CW9" s="10">
        <f>IF(CU9=0,"",CV9/CU9)</f>
        <v/>
      </c>
      <c r="CX9" s="8" t="n"/>
      <c r="CY9" s="8" t="n"/>
      <c r="CZ9" s="8" t="n"/>
      <c r="DA9" s="8" t="n"/>
      <c r="DB9" s="9">
        <f>CX9+CY9-CZ9-DA9</f>
        <v/>
      </c>
      <c r="DC9" s="8" t="n">
        <v>0</v>
      </c>
      <c r="DD9" s="8" t="n">
        <v>0</v>
      </c>
      <c r="DE9" s="8" t="n">
        <v>0</v>
      </c>
      <c r="DF9" s="8" t="n">
        <v>0</v>
      </c>
      <c r="DG9" s="9">
        <f>DC9+DD9-DE9-DF9</f>
        <v/>
      </c>
      <c r="DH9" s="8" t="n">
        <v>0</v>
      </c>
      <c r="DI9" s="8" t="n">
        <v>0</v>
      </c>
      <c r="DJ9" s="8" t="n">
        <v>0</v>
      </c>
      <c r="DK9" s="8" t="n">
        <v>0</v>
      </c>
      <c r="DL9" s="9">
        <f>DH9+DI9-DJ9-DK9</f>
        <v/>
      </c>
      <c r="DM9" s="8" t="n">
        <v>188</v>
      </c>
      <c r="DN9" s="8" t="n">
        <v>5</v>
      </c>
      <c r="DO9" s="8" t="n">
        <v>0</v>
      </c>
      <c r="DP9" s="8" t="n">
        <v>0</v>
      </c>
      <c r="DQ9" s="9">
        <f>DM9+DN9-DO9-DP9</f>
        <v/>
      </c>
      <c r="DR9" s="9">
        <f>CX9+DC9+DH9+DM9</f>
        <v/>
      </c>
      <c r="DS9" s="9">
        <f>CY9+DD9+DI9+DN9</f>
        <v/>
      </c>
      <c r="DT9" s="9">
        <f>CZ9+DE9+DJ9+DO9</f>
        <v/>
      </c>
      <c r="DU9" s="9">
        <f>DA9+DF9+DK9+DP9</f>
        <v/>
      </c>
      <c r="DV9" s="9">
        <f>DB9+DG9+DL9+DQ9</f>
        <v/>
      </c>
      <c r="DW9" s="8" t="n">
        <v>84</v>
      </c>
      <c r="DX9" s="8" t="n">
        <v>42</v>
      </c>
      <c r="DY9" s="8" t="n">
        <v>8</v>
      </c>
      <c r="DZ9" s="8" t="n">
        <v>1</v>
      </c>
      <c r="EA9" s="8" t="n">
        <v>5</v>
      </c>
      <c r="EB9" s="8" t="n">
        <v>7</v>
      </c>
      <c r="EC9" s="8" t="n">
        <v>0</v>
      </c>
      <c r="ED9" s="8" t="n">
        <v>0</v>
      </c>
      <c r="EE9" s="8" t="n">
        <v>1</v>
      </c>
      <c r="EF9" s="8" t="n">
        <v>0</v>
      </c>
      <c r="EG9" s="8" t="n">
        <v>1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0</v>
      </c>
      <c r="EO9" s="8" t="n">
        <v>0</v>
      </c>
      <c r="EP9" s="8" t="n">
        <v>0</v>
      </c>
      <c r="EQ9" s="8" t="n">
        <v>0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  <c r="EX9" s="8" t="n">
        <v>0</v>
      </c>
      <c r="EY9" s="8" t="n">
        <v>0</v>
      </c>
      <c r="EZ9" s="8" t="n">
        <v>0</v>
      </c>
      <c r="FA9" s="8" t="n">
        <v>0</v>
      </c>
      <c r="FB9" s="8" t="n">
        <v>0</v>
      </c>
      <c r="FC9" s="8" t="n">
        <v>0</v>
      </c>
      <c r="FD9" s="8" t="n">
        <v>0</v>
      </c>
      <c r="FE9" s="8" t="n">
        <v>0</v>
      </c>
      <c r="FF9" s="8" t="n">
        <v>0</v>
      </c>
      <c r="FG9" s="9">
        <f>SUM(DW9,DX9,DY9,DZ9,EA9,EB9,EC9,ED9,EE9,EF9,EG9,EH9,EI9,EJ9,EK9,EL9,EM9,EN9,EO9,EP9,EQ9,ER9,ES9,ET9,EU9,EV9,EW9,EX9,EY9,EZ9,FA9,FB9,FC9,FD9,FE9,FF9)</f>
        <v/>
      </c>
      <c r="FH9" s="8" t="n">
        <v>0</v>
      </c>
      <c r="FI9" s="8" t="n">
        <v>0</v>
      </c>
      <c r="FJ9" s="8" t="n">
        <v>372</v>
      </c>
      <c r="FK9" s="8" t="n">
        <v>10</v>
      </c>
      <c r="FL9" s="8" t="n">
        <v>0</v>
      </c>
      <c r="FM9" s="8" t="n">
        <v>0</v>
      </c>
      <c r="FN9" s="8" t="n">
        <v>0</v>
      </c>
      <c r="FO9" s="8" t="n">
        <v>0</v>
      </c>
      <c r="FP9" s="8" t="n">
        <v>0</v>
      </c>
      <c r="FQ9" s="9">
        <f>FL9+FM9+FN9+FO9+FP9</f>
        <v/>
      </c>
      <c r="FR9" s="8" t="n">
        <v>17523447.91</v>
      </c>
      <c r="FS9" s="8" t="n">
        <v>148100</v>
      </c>
      <c r="FT9" s="8" t="n">
        <v>28900</v>
      </c>
      <c r="FU9" s="8" t="n">
        <v>0</v>
      </c>
      <c r="FV9" s="9">
        <f>FR9+FS9+FT9+FU9</f>
        <v/>
      </c>
      <c r="FW9" s="8" t="n">
        <v>19671907.16</v>
      </c>
      <c r="FX9" s="8" t="n">
        <v>103500</v>
      </c>
      <c r="FY9" s="8" t="n">
        <v>2239345.62</v>
      </c>
      <c r="FZ9" s="8" t="n">
        <v>4819623.95</v>
      </c>
      <c r="GA9" s="9">
        <f>FW9+FX9+FY9+FZ9</f>
        <v/>
      </c>
      <c r="GB9" s="9">
        <f>FV9+GA9</f>
        <v/>
      </c>
      <c r="GC9" s="8" t="n">
        <v>17807809.38</v>
      </c>
      <c r="GD9" s="8" t="n">
        <v>154745.52</v>
      </c>
      <c r="GE9" s="8" t="n">
        <v>277155.22</v>
      </c>
      <c r="GF9" s="8" t="n">
        <v>8410.99</v>
      </c>
      <c r="GG9" s="9">
        <f>GC9+GD9+GE9+GF9</f>
        <v/>
      </c>
      <c r="GH9" s="8" t="n">
        <v>15820117.34000001</v>
      </c>
      <c r="GI9" s="8" t="n">
        <v>82260</v>
      </c>
      <c r="GJ9" s="8" t="n">
        <v>4303436.54</v>
      </c>
      <c r="GK9" s="8" t="n">
        <v>2122875.78</v>
      </c>
      <c r="GL9" s="9">
        <f>GH9+GI9+GJ9+GK9</f>
        <v/>
      </c>
      <c r="GM9" s="9">
        <f>GG9+GL9</f>
        <v/>
      </c>
      <c r="GN9" s="8" t="n">
        <v>1606705.64</v>
      </c>
      <c r="GO9" s="8" t="n">
        <v>2104.08</v>
      </c>
      <c r="GP9" s="8" t="n">
        <v>27149.12</v>
      </c>
      <c r="GQ9" s="8" t="n">
        <v>4637.34</v>
      </c>
      <c r="GR9" s="9">
        <f>GN9+GO9+GP9+GQ9</f>
        <v/>
      </c>
      <c r="GS9" s="8" t="n">
        <v>2661140</v>
      </c>
      <c r="GT9" s="8" t="n">
        <v>9823</v>
      </c>
      <c r="GU9" s="8" t="n">
        <v>7144</v>
      </c>
      <c r="GV9" s="8" t="n">
        <v>893</v>
      </c>
      <c r="GW9" s="9">
        <f>GS9+GT9+GU9+GV9</f>
        <v/>
      </c>
      <c r="GX9" s="9">
        <f>GM9+GR9+GW9</f>
        <v/>
      </c>
      <c r="GY9" s="8" t="n">
        <v>240642247.14</v>
      </c>
      <c r="GZ9" s="8" t="n">
        <v>3665086.08</v>
      </c>
      <c r="HA9" s="9">
        <f>GY9+GZ9</f>
        <v/>
      </c>
      <c r="HB9" s="9">
        <f>IF(GX9=0,"",AU9/GX9)</f>
        <v/>
      </c>
      <c r="HC9" s="10">
        <f>IF((GX9+GY9)=0,"",GB9/(GX9+GY9))</f>
        <v/>
      </c>
      <c r="HD9" s="9">
        <f>IF(GX9=0,"",GB9/GX9)</f>
        <v/>
      </c>
      <c r="HE9" s="8" t="n">
        <v>41</v>
      </c>
      <c r="HF9" s="8" t="n">
        <v>1</v>
      </c>
      <c r="HG9" s="8" t="n">
        <v>417</v>
      </c>
      <c r="HH9" s="8" t="n">
        <v>41</v>
      </c>
      <c r="HI9" s="8" t="n">
        <v>20</v>
      </c>
      <c r="HJ9" s="9">
        <f>HF9+HI9</f>
        <v/>
      </c>
      <c r="HK9" s="10">
        <f>IF(HE9=0,"",HH9/HE9)</f>
        <v/>
      </c>
      <c r="HL9" s="8" t="n">
        <v>13</v>
      </c>
      <c r="HM9" s="8" t="n">
        <v>30</v>
      </c>
      <c r="HN9" s="11">
        <f>IF(HL9=0,"",HM9/HL9)</f>
        <v/>
      </c>
    </row>
    <row r="10">
      <c r="A10" s="12" t="inlineStr">
        <is>
          <t>Liwonde</t>
        </is>
      </c>
      <c r="B10" s="12" t="inlineStr">
        <is>
          <t>Balaka</t>
        </is>
      </c>
      <c r="C10" s="13" t="inlineStr">
        <is>
          <t>FY2025/26</t>
        </is>
      </c>
      <c r="D10" s="13" t="n">
        <v>2025</v>
      </c>
      <c r="E10" s="13" t="n">
        <v>11</v>
      </c>
      <c r="F10" s="13" t="inlineStr">
        <is>
          <t>November</t>
        </is>
      </c>
      <c r="G10" s="13" t="inlineStr">
        <is>
          <t>Q3</t>
        </is>
      </c>
      <c r="H10" s="14" t="n">
        <v>49897</v>
      </c>
      <c r="I10" s="14" t="n">
        <v>18041</v>
      </c>
      <c r="J10" s="14" t="n">
        <v>738</v>
      </c>
      <c r="K10" s="14" t="n">
        <v>70</v>
      </c>
      <c r="L10" s="14" t="n">
        <v>7</v>
      </c>
      <c r="M10" s="15">
        <f>SUM(I10,J10,K10,L10)</f>
        <v/>
      </c>
      <c r="N10" s="14" t="n">
        <v>13870.4</v>
      </c>
      <c r="O10" s="14" t="n">
        <v>126</v>
      </c>
      <c r="P10" s="14" t="n">
        <v>1261.7</v>
      </c>
      <c r="Q10" s="14" t="n">
        <v>489.8</v>
      </c>
      <c r="R10" s="15">
        <f>SUM(N10,O10,P10,Q10)</f>
        <v/>
      </c>
      <c r="S10" s="15">
        <f>M10+R10</f>
        <v/>
      </c>
      <c r="T10" s="14" t="n">
        <v>15293.1</v>
      </c>
      <c r="U10" s="16">
        <f>IF(H10=0,"",T10/H10)</f>
        <v/>
      </c>
      <c r="V10" s="14" t="n">
        <v>108</v>
      </c>
      <c r="W10" s="17">
        <f>IF(H10=0,"",V10/H10)</f>
        <v/>
      </c>
      <c r="X10" s="14" t="n">
        <v>0</v>
      </c>
      <c r="Y10" s="17">
        <f>IF(H10=0,"",X10/H10)</f>
        <v/>
      </c>
      <c r="Z10" s="14" t="n">
        <v>0</v>
      </c>
      <c r="AA10" s="17">
        <f>IF(H10=0,"",Z10/H10)</f>
        <v/>
      </c>
      <c r="AB10" s="14" t="n">
        <v>0</v>
      </c>
      <c r="AC10" s="17">
        <f>IF(H10=0,"",AB10/H10)</f>
        <v/>
      </c>
      <c r="AD10" s="14" t="n">
        <v>0</v>
      </c>
      <c r="AE10" s="17">
        <f>IF(H10=0,"",AD10/H10)</f>
        <v/>
      </c>
      <c r="AF10" s="14" t="n">
        <v>0</v>
      </c>
      <c r="AG10" s="17">
        <f>IF(H10=0,"",AF10/H10)</f>
        <v/>
      </c>
      <c r="AH10" s="14" t="n">
        <v>380731.32</v>
      </c>
      <c r="AI10" s="15">
        <f>IF(H10=0,"",AH10/H10)</f>
        <v/>
      </c>
      <c r="AJ10" s="14" t="n">
        <v>22349</v>
      </c>
      <c r="AK10" s="17">
        <f>IF(H10=0,"",AJ10/H10)</f>
        <v/>
      </c>
      <c r="AL10" s="14" t="n">
        <v>3755588.9475</v>
      </c>
      <c r="AM10" s="15">
        <f>IF(H10=0,"",AL10/H10)</f>
        <v/>
      </c>
      <c r="AN10" s="14" t="n">
        <v>5234</v>
      </c>
      <c r="AO10" s="14" t="n">
        <v>220</v>
      </c>
      <c r="AP10" s="14" t="n">
        <v>770000</v>
      </c>
      <c r="AQ10" s="14" t="n">
        <v>0</v>
      </c>
      <c r="AR10" s="14" t="n">
        <v>17028073.12</v>
      </c>
      <c r="AS10" s="14" t="n">
        <v>6654152.48</v>
      </c>
      <c r="AT10" s="14" t="n">
        <v>7454346.56</v>
      </c>
      <c r="AU10" s="15">
        <f>AH10+AL10+AP10+AQ10+AR10+AS10+AT10</f>
        <v/>
      </c>
      <c r="AV10" s="15">
        <f>IF(H10=0,"",AU10/H10)</f>
        <v/>
      </c>
      <c r="AW10" s="15">
        <f>IF(S10=0,"",AU10/S10)</f>
        <v/>
      </c>
      <c r="AX10" s="14" t="n">
        <v>14</v>
      </c>
      <c r="AY10" s="15">
        <f>IF(H10=0,"",AX10/(H10/1000/12))</f>
        <v/>
      </c>
      <c r="AZ10" s="14" t="n">
        <v>47</v>
      </c>
      <c r="BA10" s="14" t="n">
        <v>417</v>
      </c>
      <c r="BB10" s="14" t="n">
        <v>27</v>
      </c>
      <c r="BC10" s="14" t="n">
        <v>32</v>
      </c>
      <c r="BD10" s="14" t="n">
        <v>0</v>
      </c>
      <c r="BE10" s="15">
        <f>BC10+BD10</f>
        <v/>
      </c>
      <c r="BF10" s="15">
        <f>BA10+BB10-BE10</f>
        <v/>
      </c>
      <c r="BG10" s="14" t="n">
        <v>0</v>
      </c>
      <c r="BH10" s="14" t="n">
        <v>0</v>
      </c>
      <c r="BI10" s="14" t="n">
        <v>0</v>
      </c>
      <c r="BJ10" s="14" t="n">
        <v>0</v>
      </c>
      <c r="BK10" s="15">
        <f>BI10+BJ10</f>
        <v/>
      </c>
      <c r="BL10" s="15">
        <f>BG10+BH10-BK10</f>
        <v/>
      </c>
      <c r="BM10" s="14" t="n">
        <v>0</v>
      </c>
      <c r="BN10" s="14" t="n">
        <v>0</v>
      </c>
      <c r="BO10" s="14" t="n">
        <v>0</v>
      </c>
      <c r="BP10" s="14" t="n">
        <v>0</v>
      </c>
      <c r="BQ10" s="15">
        <f>BO10+BP10</f>
        <v/>
      </c>
      <c r="BR10" s="15">
        <f>BM10+BN10-BQ10</f>
        <v/>
      </c>
      <c r="BS10" s="14" t="n">
        <v>0</v>
      </c>
      <c r="BT10" s="14" t="n">
        <v>0</v>
      </c>
      <c r="BU10" s="14" t="n">
        <v>0</v>
      </c>
      <c r="BV10" s="14" t="n">
        <v>0</v>
      </c>
      <c r="BW10" s="15">
        <f>BU10+BV10</f>
        <v/>
      </c>
      <c r="BX10" s="15">
        <f>BS10+BT10-BW10</f>
        <v/>
      </c>
      <c r="BY10" s="15">
        <f>BA10+BG10+BM10+BS10</f>
        <v/>
      </c>
      <c r="BZ10" s="15">
        <f>BB10+BH10+BN10+BT10</f>
        <v/>
      </c>
      <c r="CA10" s="15">
        <f>BE10+BK10+BQ10+BW10</f>
        <v/>
      </c>
      <c r="CB10" s="15">
        <f>BF10+BL10+BR10+BX10</f>
        <v/>
      </c>
      <c r="CC10" s="14" t="n">
        <v>42</v>
      </c>
      <c r="CD10" s="14" t="n">
        <v>2694</v>
      </c>
      <c r="CE10" s="14" t="n">
        <v>50</v>
      </c>
      <c r="CF10" s="14" t="n">
        <v>97</v>
      </c>
      <c r="CG10" s="14" t="n">
        <v>18</v>
      </c>
      <c r="CH10" s="15">
        <f>CD10+CE10+CF10+CG10</f>
        <v/>
      </c>
      <c r="CI10" s="14" t="n">
        <v>2962</v>
      </c>
      <c r="CJ10" s="14" t="n">
        <v>8</v>
      </c>
      <c r="CK10" s="14" t="n">
        <v>2</v>
      </c>
      <c r="CL10" s="14" t="n">
        <v>11</v>
      </c>
      <c r="CM10" s="15">
        <f>CI10+CJ10+CK10+CL10</f>
        <v/>
      </c>
      <c r="CN10" s="14" t="n">
        <v>2257</v>
      </c>
      <c r="CO10" s="14" t="n">
        <v>77</v>
      </c>
      <c r="CP10" s="14" t="n">
        <v>73</v>
      </c>
      <c r="CQ10" s="14" t="n">
        <v>5</v>
      </c>
      <c r="CR10" s="15">
        <f>CN10+CO10+CP10+CQ10</f>
        <v/>
      </c>
      <c r="CS10" s="15">
        <f>CM10+CR10</f>
        <v/>
      </c>
      <c r="CT10" s="14" t="n">
        <v>8254</v>
      </c>
      <c r="CU10" s="14" t="n">
        <v>42241.3411</v>
      </c>
      <c r="CV10" s="14" t="n">
        <v>38017.20699</v>
      </c>
      <c r="CW10" s="16">
        <f>IF(CU10=0,"",CV10/CU10)</f>
        <v/>
      </c>
      <c r="CX10" s="14" t="n"/>
      <c r="CY10" s="14" t="n"/>
      <c r="CZ10" s="14" t="n"/>
      <c r="DA10" s="14" t="n"/>
      <c r="DB10" s="15">
        <f>CX10+CY10-CZ10-DA10</f>
        <v/>
      </c>
      <c r="DC10" s="14" t="n">
        <v>0</v>
      </c>
      <c r="DD10" s="14" t="n">
        <v>0</v>
      </c>
      <c r="DE10" s="14" t="n">
        <v>0</v>
      </c>
      <c r="DF10" s="14" t="n">
        <v>0</v>
      </c>
      <c r="DG10" s="15">
        <f>DC10+DD10-DE10-DF10</f>
        <v/>
      </c>
      <c r="DH10" s="14" t="n">
        <v>0</v>
      </c>
      <c r="DI10" s="14" t="n">
        <v>0</v>
      </c>
      <c r="DJ10" s="14" t="n">
        <v>0</v>
      </c>
      <c r="DK10" s="14" t="n">
        <v>0</v>
      </c>
      <c r="DL10" s="15">
        <f>DH10+DI10-DJ10-DK10</f>
        <v/>
      </c>
      <c r="DM10" s="14" t="n">
        <v>193</v>
      </c>
      <c r="DN10" s="14" t="n">
        <v>0</v>
      </c>
      <c r="DO10" s="14" t="n">
        <v>0</v>
      </c>
      <c r="DP10" s="14" t="n">
        <v>1</v>
      </c>
      <c r="DQ10" s="15">
        <f>DM10+DN10-DO10-DP10</f>
        <v/>
      </c>
      <c r="DR10" s="15">
        <f>CX10+DC10+DH10+DM10</f>
        <v/>
      </c>
      <c r="DS10" s="15">
        <f>CY10+DD10+DI10+DN10</f>
        <v/>
      </c>
      <c r="DT10" s="15">
        <f>CZ10+DE10+DJ10+DO10</f>
        <v/>
      </c>
      <c r="DU10" s="15">
        <f>DA10+DF10+DK10+DP10</f>
        <v/>
      </c>
      <c r="DV10" s="15">
        <f>DB10+DG10+DL10+DQ10</f>
        <v/>
      </c>
      <c r="DW10" s="14" t="n">
        <v>128</v>
      </c>
      <c r="DX10" s="14" t="n">
        <v>50</v>
      </c>
      <c r="DY10" s="14" t="n">
        <v>13</v>
      </c>
      <c r="DZ10" s="14" t="n">
        <v>1</v>
      </c>
      <c r="EA10" s="14" t="n">
        <v>5</v>
      </c>
      <c r="EB10" s="14" t="n">
        <v>8</v>
      </c>
      <c r="EC10" s="14" t="n">
        <v>0</v>
      </c>
      <c r="ED10" s="14" t="n">
        <v>1</v>
      </c>
      <c r="EE10" s="14" t="n">
        <v>2</v>
      </c>
      <c r="EF10" s="14" t="n">
        <v>2</v>
      </c>
      <c r="EG10" s="14" t="n">
        <v>0</v>
      </c>
      <c r="EH10" s="14" t="n">
        <v>0</v>
      </c>
      <c r="EI10" s="14" t="n">
        <v>0</v>
      </c>
      <c r="EJ10" s="14" t="n">
        <v>0</v>
      </c>
      <c r="EK10" s="14" t="n">
        <v>0</v>
      </c>
      <c r="EL10" s="14" t="n">
        <v>0</v>
      </c>
      <c r="EM10" s="14" t="n">
        <v>0</v>
      </c>
      <c r="EN10" s="14" t="n">
        <v>0</v>
      </c>
      <c r="EO10" s="14" t="n">
        <v>0</v>
      </c>
      <c r="EP10" s="14" t="n">
        <v>0</v>
      </c>
      <c r="EQ10" s="14" t="n">
        <v>0</v>
      </c>
      <c r="ER10" s="14" t="n">
        <v>0</v>
      </c>
      <c r="ES10" s="14" t="n">
        <v>0</v>
      </c>
      <c r="ET10" s="14" t="n">
        <v>0</v>
      </c>
      <c r="EU10" s="14" t="n">
        <v>0</v>
      </c>
      <c r="EV10" s="14" t="n">
        <v>0</v>
      </c>
      <c r="EW10" s="14" t="n">
        <v>0</v>
      </c>
      <c r="EX10" s="14" t="n">
        <v>0</v>
      </c>
      <c r="EY10" s="14" t="n">
        <v>0</v>
      </c>
      <c r="EZ10" s="14" t="n">
        <v>0</v>
      </c>
      <c r="FA10" s="14" t="n">
        <v>0</v>
      </c>
      <c r="FB10" s="14" t="n">
        <v>0</v>
      </c>
      <c r="FC10" s="14" t="n">
        <v>0</v>
      </c>
      <c r="FD10" s="14" t="n">
        <v>0</v>
      </c>
      <c r="FE10" s="14" t="n">
        <v>0</v>
      </c>
      <c r="FF10" s="14" t="n">
        <v>0</v>
      </c>
      <c r="FG10" s="15">
        <f>SUM(DW10,DX10,DY10,DZ10,EA10,EB10,EC10,ED10,EE10,EF10,EG10,EH10,EI10,EJ10,EK10,EL10,EM10,EN10,EO10,EP10,EQ10,ER10,ES10,ET10,EU10,EV10,EW10,EX10,EY10,EZ10,FA10,FB10,FC10,FD10,FE10,FF10)</f>
        <v/>
      </c>
      <c r="FH10" s="14" t="n">
        <v>0</v>
      </c>
      <c r="FI10" s="14" t="n">
        <v>0</v>
      </c>
      <c r="FJ10" s="14" t="n">
        <v>520</v>
      </c>
      <c r="FK10" s="14" t="n">
        <v>30</v>
      </c>
      <c r="FL10" s="14" t="n">
        <v>0</v>
      </c>
      <c r="FM10" s="14" t="n">
        <v>0</v>
      </c>
      <c r="FN10" s="14" t="n">
        <v>0</v>
      </c>
      <c r="FO10" s="14" t="n">
        <v>0</v>
      </c>
      <c r="FP10" s="14" t="n">
        <v>0</v>
      </c>
      <c r="FQ10" s="15">
        <f>FL10+FM10+FN10+FO10+FP10</f>
        <v/>
      </c>
      <c r="FR10" s="14" t="n">
        <v>19268979.99</v>
      </c>
      <c r="FS10" s="14" t="n">
        <v>91000</v>
      </c>
      <c r="FT10" s="14" t="n">
        <v>0</v>
      </c>
      <c r="FU10" s="14" t="n">
        <v>0</v>
      </c>
      <c r="FV10" s="15">
        <f>FR10+FS10+FT10+FU10</f>
        <v/>
      </c>
      <c r="FW10" s="14" t="n">
        <v>23183278.64</v>
      </c>
      <c r="FX10" s="14" t="n">
        <v>26700</v>
      </c>
      <c r="FY10" s="14" t="n">
        <v>2530375</v>
      </c>
      <c r="FZ10" s="14" t="n">
        <v>4358291.14999999</v>
      </c>
      <c r="GA10" s="15">
        <f>FW10+FX10+FY10+FZ10</f>
        <v/>
      </c>
      <c r="GB10" s="15">
        <f>FV10+GA10</f>
        <v/>
      </c>
      <c r="GC10" s="14" t="n">
        <v>17976586.17</v>
      </c>
      <c r="GD10" s="14" t="n">
        <v>141164.64</v>
      </c>
      <c r="GE10" s="14" t="n">
        <v>207889.96</v>
      </c>
      <c r="GF10" s="14" t="n">
        <v>20207.62</v>
      </c>
      <c r="GG10" s="15">
        <f>GC10+GD10+GE10+GF10</f>
        <v/>
      </c>
      <c r="GH10" s="14" t="n">
        <v>17342171.59000003</v>
      </c>
      <c r="GI10" s="14" t="n">
        <v>26700</v>
      </c>
      <c r="GJ10" s="14" t="n">
        <v>3796225.73</v>
      </c>
      <c r="GK10" s="14" t="n">
        <v>2257321.61</v>
      </c>
      <c r="GL10" s="15">
        <f>GH10+GI10+GJ10+GK10</f>
        <v/>
      </c>
      <c r="GM10" s="15">
        <f>GG10+GL10</f>
        <v/>
      </c>
      <c r="GN10" s="14" t="n">
        <v>1596633.68</v>
      </c>
      <c r="GO10" s="14" t="n">
        <v>2104.08</v>
      </c>
      <c r="GP10" s="14" t="n">
        <v>27149.12</v>
      </c>
      <c r="GQ10" s="14" t="n">
        <v>9274.68</v>
      </c>
      <c r="GR10" s="15">
        <f>GN10+GO10+GP10+GQ10</f>
        <v/>
      </c>
      <c r="GS10" s="14" t="n">
        <v>2645066</v>
      </c>
      <c r="GT10" s="14" t="n">
        <v>9823</v>
      </c>
      <c r="GU10" s="14" t="n">
        <v>7144</v>
      </c>
      <c r="GV10" s="14" t="n">
        <v>1786</v>
      </c>
      <c r="GW10" s="15">
        <f>GS10+GT10+GU10+GV10</f>
        <v/>
      </c>
      <c r="GX10" s="15">
        <f>GM10+GR10+GW10</f>
        <v/>
      </c>
      <c r="GY10" s="14" t="n">
        <v>173948288.69</v>
      </c>
      <c r="GZ10" s="14" t="n">
        <v>3213544.59</v>
      </c>
      <c r="HA10" s="15">
        <f>GY10+GZ10</f>
        <v/>
      </c>
      <c r="HB10" s="15">
        <f>IF(GX10=0,"",AU10/GX10)</f>
        <v/>
      </c>
      <c r="HC10" s="16">
        <f>IF((GX10+GY10)=0,"",GB10/(GX10+GY10))</f>
        <v/>
      </c>
      <c r="HD10" s="15">
        <f>IF(GX10=0,"",GB10/GX10)</f>
        <v/>
      </c>
      <c r="HE10" s="14" t="n">
        <v>27</v>
      </c>
      <c r="HF10" s="14" t="n">
        <v>1</v>
      </c>
      <c r="HG10" s="14" t="n">
        <v>412</v>
      </c>
      <c r="HH10" s="14" t="n">
        <v>27</v>
      </c>
      <c r="HI10" s="14" t="n">
        <v>32</v>
      </c>
      <c r="HJ10" s="15">
        <f>HF10+HI10</f>
        <v/>
      </c>
      <c r="HK10" s="16">
        <f>IF(HE10=0,"",HH10/HE10)</f>
        <v/>
      </c>
      <c r="HL10" s="14" t="n">
        <v>40</v>
      </c>
      <c r="HM10" s="14" t="n">
        <v>7</v>
      </c>
      <c r="HN10" s="17">
        <f>IF(HL10=0,"",HM10/HL10)</f>
        <v/>
      </c>
    </row>
    <row r="11">
      <c r="A11" s="6" t="inlineStr">
        <is>
          <t>Liwonde</t>
        </is>
      </c>
      <c r="B11" s="6" t="inlineStr">
        <is>
          <t>Balaka</t>
        </is>
      </c>
      <c r="C11" s="7" t="inlineStr">
        <is>
          <t>FY2025/26</t>
        </is>
      </c>
      <c r="D11" s="7" t="n">
        <v>2025</v>
      </c>
      <c r="E11" s="7" t="n">
        <v>12</v>
      </c>
      <c r="F11" s="7" t="inlineStr">
        <is>
          <t>December</t>
        </is>
      </c>
      <c r="G11" s="7" t="inlineStr">
        <is>
          <t>Q3</t>
        </is>
      </c>
      <c r="H11" s="8" t="n">
        <v>50365</v>
      </c>
      <c r="I11" s="8" t="n">
        <v>17458</v>
      </c>
      <c r="J11" s="8" t="n">
        <v>660</v>
      </c>
      <c r="K11" s="8" t="n">
        <v>80</v>
      </c>
      <c r="L11" s="8" t="n">
        <v>9</v>
      </c>
      <c r="M11" s="9">
        <f>SUM(I11,J11,K11,L11)</f>
        <v/>
      </c>
      <c r="N11" s="8" t="n">
        <v>15062.8</v>
      </c>
      <c r="O11" s="8" t="n">
        <v>123.3</v>
      </c>
      <c r="P11" s="8" t="n">
        <v>830.9</v>
      </c>
      <c r="Q11" s="8" t="n">
        <v>451.3</v>
      </c>
      <c r="R11" s="9">
        <f>SUM(N11,O11,P11,Q11)</f>
        <v/>
      </c>
      <c r="S11" s="9">
        <f>M11+R11</f>
        <v/>
      </c>
      <c r="T11" s="8" t="n">
        <v>15689.7</v>
      </c>
      <c r="U11" s="10">
        <f>IF(H11=0,"",T11/H11)</f>
        <v/>
      </c>
      <c r="V11" s="8" t="n">
        <v>110</v>
      </c>
      <c r="W11" s="11">
        <f>IF(H11=0,"",V11/H11)</f>
        <v/>
      </c>
      <c r="X11" s="8" t="n">
        <v>0</v>
      </c>
      <c r="Y11" s="11">
        <f>IF(H11=0,"",X11/H11)</f>
        <v/>
      </c>
      <c r="Z11" s="8" t="n">
        <v>0</v>
      </c>
      <c r="AA11" s="11">
        <f>IF(H11=0,"",Z11/H11)</f>
        <v/>
      </c>
      <c r="AB11" s="8" t="n">
        <v>0</v>
      </c>
      <c r="AC11" s="11">
        <f>IF(H11=0,"",AB11/H11)</f>
        <v/>
      </c>
      <c r="AD11" s="8" t="n">
        <v>0</v>
      </c>
      <c r="AE11" s="11">
        <f>IF(H11=0,"",AD11/H11)</f>
        <v/>
      </c>
      <c r="AF11" s="8" t="n">
        <v>0</v>
      </c>
      <c r="AG11" s="11">
        <f>IF(H11=0,"",AF11/H11)</f>
        <v/>
      </c>
      <c r="AH11" s="8" t="n">
        <v>387781.9</v>
      </c>
      <c r="AI11" s="9">
        <f>IF(H11=0,"",AH11/H11)</f>
        <v/>
      </c>
      <c r="AJ11" s="8" t="n">
        <v>21444</v>
      </c>
      <c r="AK11" s="11">
        <f>IF(H11=0,"",AJ11/H11)</f>
        <v/>
      </c>
      <c r="AL11" s="8" t="n">
        <v>3604293.31</v>
      </c>
      <c r="AM11" s="9">
        <f>IF(H11=0,"",AL11/H11)</f>
        <v/>
      </c>
      <c r="AN11" s="8" t="n">
        <v>5332</v>
      </c>
      <c r="AO11" s="8" t="n">
        <v>215</v>
      </c>
      <c r="AP11" s="8" t="n">
        <v>752500</v>
      </c>
      <c r="AQ11" s="8" t="n">
        <v>0</v>
      </c>
      <c r="AR11" s="8" t="n">
        <v>17248877.33</v>
      </c>
      <c r="AS11" s="8" t="n">
        <v>8030642.96</v>
      </c>
      <c r="AT11" s="8" t="n">
        <v>5002000</v>
      </c>
      <c r="AU11" s="9">
        <f>AH11+AL11+AP11+AQ11+AR11+AS11+AT11</f>
        <v/>
      </c>
      <c r="AV11" s="9">
        <f>IF(H11=0,"",AU11/H11)</f>
        <v/>
      </c>
      <c r="AW11" s="9">
        <f>IF(S11=0,"",AU11/S11)</f>
        <v/>
      </c>
      <c r="AX11" s="8" t="n">
        <v>15</v>
      </c>
      <c r="AY11" s="9">
        <f>IF(H11=0,"",AX11/(H11/1000/12))</f>
        <v/>
      </c>
      <c r="AZ11" s="8" t="n">
        <v>47</v>
      </c>
      <c r="BA11" s="8" t="n">
        <v>412</v>
      </c>
      <c r="BB11" s="8" t="n">
        <v>23</v>
      </c>
      <c r="BC11" s="8" t="n">
        <v>31</v>
      </c>
      <c r="BD11" s="8" t="n">
        <v>0</v>
      </c>
      <c r="BE11" s="9">
        <f>BC11+BD11</f>
        <v/>
      </c>
      <c r="BF11" s="9">
        <f>BA11+BB11-BE11</f>
        <v/>
      </c>
      <c r="BG11" s="8" t="n">
        <v>0</v>
      </c>
      <c r="BH11" s="8" t="n">
        <v>0</v>
      </c>
      <c r="BI11" s="8" t="n">
        <v>0</v>
      </c>
      <c r="BJ11" s="8" t="n">
        <v>0</v>
      </c>
      <c r="BK11" s="9">
        <f>BI11+BJ11</f>
        <v/>
      </c>
      <c r="BL11" s="9">
        <f>BG11+BH11-BK11</f>
        <v/>
      </c>
      <c r="BM11" s="8" t="n">
        <v>0</v>
      </c>
      <c r="BN11" s="8" t="n">
        <v>0</v>
      </c>
      <c r="BO11" s="8" t="n">
        <v>0</v>
      </c>
      <c r="BP11" s="8" t="n">
        <v>0</v>
      </c>
      <c r="BQ11" s="9">
        <f>BO11+BP11</f>
        <v/>
      </c>
      <c r="BR11" s="9">
        <f>BM11+BN11-BQ11</f>
        <v/>
      </c>
      <c r="BS11" s="8" t="n">
        <v>0</v>
      </c>
      <c r="BT11" s="8" t="n">
        <v>0</v>
      </c>
      <c r="BU11" s="8" t="n">
        <v>0</v>
      </c>
      <c r="BV11" s="8" t="n">
        <v>0</v>
      </c>
      <c r="BW11" s="9">
        <f>BU11+BV11</f>
        <v/>
      </c>
      <c r="BX11" s="9">
        <f>BS11+BT11-BW11</f>
        <v/>
      </c>
      <c r="BY11" s="9">
        <f>BA11+BG11+BM11+BS11</f>
        <v/>
      </c>
      <c r="BZ11" s="9">
        <f>BB11+BH11+BN11+BT11</f>
        <v/>
      </c>
      <c r="CA11" s="9">
        <f>BE11+BK11+BQ11+BW11</f>
        <v/>
      </c>
      <c r="CB11" s="9">
        <f>BF11+BL11+BR11+BX11</f>
        <v/>
      </c>
      <c r="CC11" s="8" t="n">
        <v>15</v>
      </c>
      <c r="CD11" s="8" t="n">
        <v>2683</v>
      </c>
      <c r="CE11" s="8" t="n">
        <v>49</v>
      </c>
      <c r="CF11" s="8" t="n">
        <v>96</v>
      </c>
      <c r="CG11" s="8" t="n">
        <v>18</v>
      </c>
      <c r="CH11" s="9">
        <f>CD11+CE11+CF11+CG11</f>
        <v/>
      </c>
      <c r="CI11" s="8" t="n">
        <v>2964</v>
      </c>
      <c r="CJ11" s="8" t="n">
        <v>8</v>
      </c>
      <c r="CK11" s="8" t="n">
        <v>2</v>
      </c>
      <c r="CL11" s="8" t="n">
        <v>11</v>
      </c>
      <c r="CM11" s="9">
        <f>CI11+CJ11+CK11+CL11</f>
        <v/>
      </c>
      <c r="CN11" s="8" t="n">
        <v>2306</v>
      </c>
      <c r="CO11" s="8" t="n">
        <v>78</v>
      </c>
      <c r="CP11" s="8" t="n">
        <v>73</v>
      </c>
      <c r="CQ11" s="8" t="n">
        <v>5</v>
      </c>
      <c r="CR11" s="9">
        <f>CN11+CO11+CP11+CQ11</f>
        <v/>
      </c>
      <c r="CS11" s="9">
        <f>CM11+CR11</f>
        <v/>
      </c>
      <c r="CT11" s="8" t="n">
        <v>8293</v>
      </c>
      <c r="CU11" s="8" t="n">
        <v>46253</v>
      </c>
      <c r="CV11" s="8" t="n">
        <v>38017</v>
      </c>
      <c r="CW11" s="10">
        <f>IF(CU11=0,"",CV11/CU11)</f>
        <v/>
      </c>
      <c r="CX11" s="8" t="n"/>
      <c r="CY11" s="8" t="n"/>
      <c r="CZ11" s="8" t="n"/>
      <c r="DA11" s="8" t="n"/>
      <c r="DB11" s="9">
        <f>CX11+CY11-CZ11-DA11</f>
        <v/>
      </c>
      <c r="DC11" s="8" t="n">
        <v>0</v>
      </c>
      <c r="DD11" s="8" t="n">
        <v>0</v>
      </c>
      <c r="DE11" s="8" t="n">
        <v>0</v>
      </c>
      <c r="DF11" s="8" t="n">
        <v>0</v>
      </c>
      <c r="DG11" s="9">
        <f>DC11+DD11-DE11-DF11</f>
        <v/>
      </c>
      <c r="DH11" s="8" t="n">
        <v>0</v>
      </c>
      <c r="DI11" s="8" t="n">
        <v>0</v>
      </c>
      <c r="DJ11" s="8" t="n">
        <v>0</v>
      </c>
      <c r="DK11" s="8" t="n">
        <v>0</v>
      </c>
      <c r="DL11" s="9">
        <f>DH11+DI11-DJ11-DK11</f>
        <v/>
      </c>
      <c r="DM11" s="8" t="n">
        <v>192</v>
      </c>
      <c r="DN11" s="8" t="n">
        <v>10</v>
      </c>
      <c r="DO11" s="8" t="n">
        <v>5</v>
      </c>
      <c r="DP11" s="8" t="n">
        <v>3</v>
      </c>
      <c r="DQ11" s="9">
        <f>DM11+DN11-DO11-DP11</f>
        <v/>
      </c>
      <c r="DR11" s="9">
        <f>CX11+DC11+DH11+DM11</f>
        <v/>
      </c>
      <c r="DS11" s="9">
        <f>CY11+DD11+DI11+DN11</f>
        <v/>
      </c>
      <c r="DT11" s="9">
        <f>CZ11+DE11+DJ11+DO11</f>
        <v/>
      </c>
      <c r="DU11" s="9">
        <f>DA11+DF11+DK11+DP11</f>
        <v/>
      </c>
      <c r="DV11" s="9">
        <f>DB11+DG11+DL11+DQ11</f>
        <v/>
      </c>
      <c r="DW11" s="8" t="n">
        <v>71</v>
      </c>
      <c r="DX11" s="8" t="n">
        <v>29</v>
      </c>
      <c r="DY11" s="8" t="n">
        <v>5</v>
      </c>
      <c r="DZ11" s="8" t="n">
        <v>0</v>
      </c>
      <c r="EA11" s="8" t="n">
        <v>3</v>
      </c>
      <c r="EB11" s="8" t="n">
        <v>4</v>
      </c>
      <c r="EC11" s="8" t="n">
        <v>0</v>
      </c>
      <c r="ED11" s="8" t="n">
        <v>0</v>
      </c>
      <c r="EE11" s="8" t="n">
        <v>4</v>
      </c>
      <c r="EF11" s="8" t="n">
        <v>4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8" t="n">
        <v>0</v>
      </c>
      <c r="EN11" s="8" t="n">
        <v>0</v>
      </c>
      <c r="EO11" s="8" t="n">
        <v>0</v>
      </c>
      <c r="EP11" s="8" t="n">
        <v>0</v>
      </c>
      <c r="EQ11" s="8" t="n">
        <v>0</v>
      </c>
      <c r="ER11" s="8" t="n">
        <v>0</v>
      </c>
      <c r="ES11" s="8" t="n">
        <v>0</v>
      </c>
      <c r="ET11" s="8" t="n">
        <v>0</v>
      </c>
      <c r="EU11" s="8" t="n">
        <v>0</v>
      </c>
      <c r="EV11" s="8" t="n">
        <v>0</v>
      </c>
      <c r="EW11" s="8" t="n">
        <v>0</v>
      </c>
      <c r="EX11" s="8" t="n">
        <v>0</v>
      </c>
      <c r="EY11" s="8" t="n">
        <v>0</v>
      </c>
      <c r="EZ11" s="8" t="n">
        <v>0</v>
      </c>
      <c r="FA11" s="8" t="n">
        <v>0</v>
      </c>
      <c r="FB11" s="8" t="n">
        <v>0</v>
      </c>
      <c r="FC11" s="8" t="n">
        <v>0</v>
      </c>
      <c r="FD11" s="8" t="n">
        <v>0</v>
      </c>
      <c r="FE11" s="8" t="n">
        <v>0</v>
      </c>
      <c r="FF11" s="8" t="n">
        <v>0</v>
      </c>
      <c r="FG11" s="9">
        <f>SUM(DW11,DX11,DY11,DZ11,EA11,EB11,EC11,ED11,EE11,EF11,EG11,EH11,EI11,EJ11,EK11,EL11,EM11,EN11,EO11,EP11,EQ11,ER11,ES11,ET11,EU11,EV11,EW11,EX11,EY11,EZ11,FA11,FB11,FC11,FD11,FE11,FF11)</f>
        <v/>
      </c>
      <c r="FH11" s="8" t="n">
        <v>0</v>
      </c>
      <c r="FI11" s="8" t="n">
        <v>0</v>
      </c>
      <c r="FJ11" s="8" t="n">
        <v>644</v>
      </c>
      <c r="FK11" s="8" t="n">
        <v>88</v>
      </c>
      <c r="FL11" s="8" t="n">
        <v>0</v>
      </c>
      <c r="FM11" s="8" t="n">
        <v>0</v>
      </c>
      <c r="FN11" s="8" t="n">
        <v>18</v>
      </c>
      <c r="FO11" s="8" t="n">
        <v>0</v>
      </c>
      <c r="FP11" s="8" t="n">
        <v>180</v>
      </c>
      <c r="FQ11" s="9">
        <f>FL11+FM11+FN11+FO11+FP11</f>
        <v/>
      </c>
      <c r="FR11" s="8" t="n">
        <v>30042506.01</v>
      </c>
      <c r="FS11" s="8" t="n">
        <v>130400</v>
      </c>
      <c r="FT11" s="8" t="n">
        <v>65850</v>
      </c>
      <c r="FU11" s="8" t="n">
        <v>32000</v>
      </c>
      <c r="FV11" s="9">
        <f>FR11+FS11+FT11+FU11</f>
        <v/>
      </c>
      <c r="FW11" s="8" t="n">
        <v>23832533.76000002</v>
      </c>
      <c r="FX11" s="8" t="n">
        <v>26200</v>
      </c>
      <c r="FY11" s="8" t="n">
        <v>2181528.09</v>
      </c>
      <c r="FZ11" s="8" t="n">
        <v>2906763.79</v>
      </c>
      <c r="GA11" s="9">
        <f>FW11+FX11+FY11+FZ11</f>
        <v/>
      </c>
      <c r="GB11" s="9">
        <f>FV11+GA11</f>
        <v/>
      </c>
      <c r="GC11" s="8" t="n">
        <v>17732945.98</v>
      </c>
      <c r="GD11" s="8" t="n">
        <v>126244.8</v>
      </c>
      <c r="GE11" s="8" t="n">
        <v>228676.05</v>
      </c>
      <c r="GF11" s="8" t="n">
        <v>20207.62</v>
      </c>
      <c r="GG11" s="9">
        <f>GC11+GD11+GE11+GF11</f>
        <v/>
      </c>
      <c r="GH11" s="8" t="n">
        <v>18795694.94000001</v>
      </c>
      <c r="GI11" s="8" t="n">
        <v>26200</v>
      </c>
      <c r="GJ11" s="8" t="n">
        <v>2489367.88</v>
      </c>
      <c r="GK11" s="8" t="n">
        <v>2055485.72</v>
      </c>
      <c r="GL11" s="9">
        <f>GH11+GI11+GJ11+GK11</f>
        <v/>
      </c>
      <c r="GM11" s="9">
        <f>GG11+GL11</f>
        <v/>
      </c>
      <c r="GN11" s="8" t="n">
        <v>1598112.25</v>
      </c>
      <c r="GO11" s="8" t="n">
        <v>2104.08</v>
      </c>
      <c r="GP11" s="8" t="n">
        <v>27149.12</v>
      </c>
      <c r="GQ11" s="8" t="n">
        <v>9274.68</v>
      </c>
      <c r="GR11" s="9">
        <f>GN11+GO11+GP11+GQ11</f>
        <v/>
      </c>
      <c r="GS11" s="8" t="n">
        <v>2646852</v>
      </c>
      <c r="GT11" s="8" t="n">
        <v>9823</v>
      </c>
      <c r="GU11" s="8" t="n">
        <v>7144</v>
      </c>
      <c r="GV11" s="8" t="n">
        <v>1786</v>
      </c>
      <c r="GW11" s="9">
        <f>GS11+GT11+GU11+GV11</f>
        <v/>
      </c>
      <c r="GX11" s="9">
        <f>GM11+GR11+GW11</f>
        <v/>
      </c>
      <c r="GY11" s="8" t="n">
        <v>167835184.95</v>
      </c>
      <c r="GZ11" s="8" t="n">
        <v>3443415.56</v>
      </c>
      <c r="HA11" s="9">
        <f>GY11+GZ11</f>
        <v/>
      </c>
      <c r="HB11" s="9">
        <f>IF(GX11=0,"",AU11/GX11)</f>
        <v/>
      </c>
      <c r="HC11" s="10">
        <f>IF((GX11+GY11)=0,"",GB11/(GX11+GY11))</f>
        <v/>
      </c>
      <c r="HD11" s="9">
        <f>IF(GX11=0,"",GB11/GX11)</f>
        <v/>
      </c>
      <c r="HE11" s="8" t="n">
        <v>23</v>
      </c>
      <c r="HF11" s="8" t="n">
        <v>1</v>
      </c>
      <c r="HG11" s="8" t="n">
        <v>404</v>
      </c>
      <c r="HH11" s="8" t="n">
        <v>23</v>
      </c>
      <c r="HI11" s="8" t="n">
        <v>20</v>
      </c>
      <c r="HJ11" s="9">
        <f>HF11+HI11</f>
        <v/>
      </c>
      <c r="HK11" s="10">
        <f>IF(HE11=0,"",HH11/HE11)</f>
        <v/>
      </c>
      <c r="HL11" s="8" t="n">
        <v>45</v>
      </c>
      <c r="HM11" s="8" t="n">
        <v>7</v>
      </c>
      <c r="HN11" s="11">
        <f>IF(HL11=0,"",HM11/HL11)</f>
        <v/>
      </c>
    </row>
    <row r="12">
      <c r="A12" s="12" t="inlineStr">
        <is>
          <t>Liwonde</t>
        </is>
      </c>
      <c r="B12" s="12" t="inlineStr">
        <is>
          <t>Balaka</t>
        </is>
      </c>
      <c r="C12" s="13" t="inlineStr">
        <is>
          <t>FY2025/26</t>
        </is>
      </c>
      <c r="D12" s="13" t="n">
        <v>2026</v>
      </c>
      <c r="E12" s="13" t="n">
        <v>1</v>
      </c>
      <c r="F12" s="13" t="inlineStr">
        <is>
          <t>January</t>
        </is>
      </c>
      <c r="G12" s="13" t="inlineStr">
        <is>
          <t>Q4</t>
        </is>
      </c>
      <c r="H12" s="14" t="n">
        <v>47566</v>
      </c>
      <c r="I12" s="14" t="n">
        <v>15995</v>
      </c>
      <c r="J12" s="14" t="n">
        <v>666</v>
      </c>
      <c r="K12" s="14" t="n">
        <v>103</v>
      </c>
      <c r="L12" s="14" t="n">
        <v>10</v>
      </c>
      <c r="M12" s="15" t="n">
        <v>16774</v>
      </c>
      <c r="N12" s="14" t="n">
        <v>13862.7</v>
      </c>
      <c r="O12" s="14" t="n">
        <v>280.9</v>
      </c>
      <c r="P12" s="14" t="n">
        <v>962.7</v>
      </c>
      <c r="Q12" s="14" t="n">
        <v>564.9</v>
      </c>
      <c r="R12" s="15" t="n">
        <v>15671.2</v>
      </c>
      <c r="S12" s="15" t="n">
        <v>32445.2</v>
      </c>
      <c r="T12" s="14" t="n">
        <v>15120.8</v>
      </c>
      <c r="U12" s="16" t="n">
        <v>0.3178909304965732</v>
      </c>
      <c r="V12" s="14" t="n">
        <v>42</v>
      </c>
      <c r="W12" s="17" t="n">
        <v>0.8829836437791699</v>
      </c>
      <c r="X12" s="14" t="n">
        <v>0</v>
      </c>
      <c r="Y12" s="17" t="n">
        <v>0</v>
      </c>
      <c r="Z12" s="14" t="n">
        <v>0</v>
      </c>
      <c r="AA12" s="17" t="n">
        <v>0</v>
      </c>
      <c r="AB12" s="14" t="n">
        <v>0</v>
      </c>
      <c r="AC12" s="17" t="n">
        <v>0</v>
      </c>
      <c r="AD12" s="14" t="n">
        <v>0</v>
      </c>
      <c r="AE12" s="17" t="n">
        <v>0</v>
      </c>
      <c r="AF12" s="14" t="n">
        <v>0</v>
      </c>
      <c r="AG12" s="17" t="n">
        <v>0</v>
      </c>
      <c r="AH12" s="14" t="n">
        <v>148062.18</v>
      </c>
      <c r="AI12" s="15" t="n">
        <v>3.11277340957827</v>
      </c>
      <c r="AJ12" s="14" t="n">
        <v>22345</v>
      </c>
      <c r="AK12" s="17" t="n">
        <v>0.4697683219106084</v>
      </c>
      <c r="AL12" s="14" t="n">
        <v>3754920.2375</v>
      </c>
      <c r="AM12" s="15" t="n">
        <v>78.94126555733087</v>
      </c>
      <c r="AN12" s="14" t="n">
        <v>6789</v>
      </c>
      <c r="AO12" s="14" t="n">
        <v>115</v>
      </c>
      <c r="AP12" s="14" t="n">
        <v>575000</v>
      </c>
      <c r="AQ12" s="14" t="n">
        <v>0</v>
      </c>
      <c r="AR12" s="14" t="n">
        <v>17248877.33</v>
      </c>
      <c r="AS12" s="14" t="n">
        <v>7732934.48</v>
      </c>
      <c r="AT12" s="14" t="n">
        <v>1654402.5</v>
      </c>
      <c r="AU12" s="15" t="n">
        <v>31114196.7275</v>
      </c>
      <c r="AV12" s="15" t="n">
        <v>654.1268285645209</v>
      </c>
      <c r="AW12" s="15" t="n">
        <v>958.9768818654222</v>
      </c>
      <c r="AX12" s="14" t="n">
        <v>14</v>
      </c>
      <c r="AY12" s="15" t="n">
        <v>9.124164319051424</v>
      </c>
      <c r="AZ12" s="14" t="n">
        <v>50</v>
      </c>
      <c r="BA12" s="14" t="n">
        <v>404</v>
      </c>
      <c r="BB12" s="14" t="n">
        <v>27</v>
      </c>
      <c r="BC12" s="14" t="n">
        <v>23</v>
      </c>
      <c r="BD12" s="14" t="n">
        <v>0</v>
      </c>
      <c r="BE12" s="15" t="n">
        <v>23</v>
      </c>
      <c r="BF12" s="15" t="n">
        <v>408</v>
      </c>
      <c r="BG12" s="14" t="n">
        <v>0</v>
      </c>
      <c r="BH12" s="14" t="n">
        <v>0</v>
      </c>
      <c r="BI12" s="14" t="n">
        <v>0</v>
      </c>
      <c r="BJ12" s="14" t="n">
        <v>0</v>
      </c>
      <c r="BK12" s="15" t="n">
        <v>0</v>
      </c>
      <c r="BL12" s="15" t="n">
        <v>0</v>
      </c>
      <c r="BM12" s="14" t="n">
        <v>0</v>
      </c>
      <c r="BN12" s="14" t="n">
        <v>0</v>
      </c>
      <c r="BO12" s="14" t="n">
        <v>0</v>
      </c>
      <c r="BP12" s="14" t="n">
        <v>0</v>
      </c>
      <c r="BQ12" s="15" t="n">
        <v>0</v>
      </c>
      <c r="BR12" s="15" t="n">
        <v>0</v>
      </c>
      <c r="BS12" s="14" t="n">
        <v>0</v>
      </c>
      <c r="BT12" s="14" t="n">
        <v>0</v>
      </c>
      <c r="BU12" s="14" t="n">
        <v>0</v>
      </c>
      <c r="BV12" s="14" t="n">
        <v>0</v>
      </c>
      <c r="BW12" s="15" t="n">
        <v>0</v>
      </c>
      <c r="BX12" s="15" t="n">
        <v>0</v>
      </c>
      <c r="BY12" s="15" t="n">
        <v>404</v>
      </c>
      <c r="BZ12" s="15" t="n">
        <v>27</v>
      </c>
      <c r="CA12" s="15" t="n">
        <v>23</v>
      </c>
      <c r="CB12" s="15" t="n">
        <v>408</v>
      </c>
      <c r="CC12" s="14" t="n">
        <v>23</v>
      </c>
      <c r="CD12" s="14" t="n">
        <v>2740</v>
      </c>
      <c r="CE12" s="14" t="n">
        <v>51</v>
      </c>
      <c r="CF12" s="14" t="n">
        <v>95</v>
      </c>
      <c r="CG12" s="14" t="n">
        <v>18</v>
      </c>
      <c r="CH12" s="15" t="n">
        <v>2904</v>
      </c>
      <c r="CI12" s="14" t="n">
        <v>2903</v>
      </c>
      <c r="CJ12" s="14" t="n">
        <v>6</v>
      </c>
      <c r="CK12" s="14" t="n">
        <v>3</v>
      </c>
      <c r="CL12" s="14" t="n">
        <v>10</v>
      </c>
      <c r="CM12" s="15" t="n">
        <v>2922</v>
      </c>
      <c r="CN12" s="14" t="n">
        <v>2333</v>
      </c>
      <c r="CO12" s="14" t="n">
        <v>78</v>
      </c>
      <c r="CP12" s="14" t="n">
        <v>74</v>
      </c>
      <c r="CQ12" s="14" t="n">
        <v>5</v>
      </c>
      <c r="CR12" s="15" t="n">
        <v>2490</v>
      </c>
      <c r="CS12" s="15" t="n">
        <v>5412</v>
      </c>
      <c r="CT12" s="14" t="n">
        <v>8316</v>
      </c>
      <c r="CU12" s="14" t="n">
        <v>46484</v>
      </c>
      <c r="CV12" s="14" t="n">
        <v>38207</v>
      </c>
      <c r="CW12" s="16" t="n">
        <v>0.8219387316065743</v>
      </c>
      <c r="CX12" s="14" t="n">
        <v>0</v>
      </c>
      <c r="CY12" s="14" t="n">
        <v>0</v>
      </c>
      <c r="CZ12" s="14" t="n">
        <v>0</v>
      </c>
      <c r="DA12" s="14" t="n">
        <v>0</v>
      </c>
      <c r="DB12" s="15" t="n">
        <v>0</v>
      </c>
      <c r="DC12" s="14" t="n">
        <v>0</v>
      </c>
      <c r="DD12" s="14" t="n">
        <v>0</v>
      </c>
      <c r="DE12" s="14" t="n">
        <v>0</v>
      </c>
      <c r="DF12" s="14" t="n">
        <v>0</v>
      </c>
      <c r="DG12" s="15" t="n">
        <v>0</v>
      </c>
      <c r="DH12" s="14" t="n">
        <v>0</v>
      </c>
      <c r="DI12" s="14" t="n">
        <v>0</v>
      </c>
      <c r="DJ12" s="14" t="n">
        <v>0</v>
      </c>
      <c r="DK12" s="14" t="n">
        <v>0</v>
      </c>
      <c r="DL12" s="15" t="n">
        <v>0</v>
      </c>
      <c r="DM12" s="14" t="n">
        <v>194</v>
      </c>
      <c r="DN12" s="14" t="n">
        <v>25</v>
      </c>
      <c r="DO12" s="14" t="n">
        <v>5</v>
      </c>
      <c r="DP12" s="14" t="n">
        <v>3</v>
      </c>
      <c r="DQ12" s="15" t="n">
        <v>211</v>
      </c>
      <c r="DR12" s="15" t="n">
        <v>194</v>
      </c>
      <c r="DS12" s="15" t="n">
        <v>25</v>
      </c>
      <c r="DT12" s="15" t="n">
        <v>5</v>
      </c>
      <c r="DU12" s="15" t="n">
        <v>3</v>
      </c>
      <c r="DV12" s="15" t="n">
        <v>211</v>
      </c>
      <c r="DW12" s="14" t="n">
        <v>115</v>
      </c>
      <c r="DX12" s="14" t="n">
        <v>67</v>
      </c>
      <c r="DY12" s="14" t="n">
        <v>23</v>
      </c>
      <c r="DZ12" s="14" t="n">
        <v>6</v>
      </c>
      <c r="EA12" s="14" t="n">
        <v>14</v>
      </c>
      <c r="EB12" s="14" t="n">
        <v>0</v>
      </c>
      <c r="EC12" s="14" t="n">
        <v>0</v>
      </c>
      <c r="ED12" s="14" t="n">
        <v>0</v>
      </c>
      <c r="EE12" s="14" t="n">
        <v>0</v>
      </c>
      <c r="EF12" s="14" t="n">
        <v>0</v>
      </c>
      <c r="EG12" s="14" t="n">
        <v>0</v>
      </c>
      <c r="EH12" s="14" t="n">
        <v>0</v>
      </c>
      <c r="EI12" s="14" t="n">
        <v>0</v>
      </c>
      <c r="EJ12" s="14" t="n">
        <v>0</v>
      </c>
      <c r="EK12" s="14" t="n">
        <v>0</v>
      </c>
      <c r="EL12" s="14" t="n">
        <v>0</v>
      </c>
      <c r="EM12" s="14" t="n">
        <v>0</v>
      </c>
      <c r="EN12" s="14" t="n">
        <v>0</v>
      </c>
      <c r="EO12" s="14" t="n">
        <v>0</v>
      </c>
      <c r="EP12" s="14" t="n">
        <v>0</v>
      </c>
      <c r="EQ12" s="14" t="n">
        <v>0</v>
      </c>
      <c r="ER12" s="14" t="n">
        <v>0</v>
      </c>
      <c r="ES12" s="14" t="n">
        <v>0</v>
      </c>
      <c r="ET12" s="14" t="n">
        <v>0</v>
      </c>
      <c r="EU12" s="14" t="n">
        <v>0</v>
      </c>
      <c r="EV12" s="14" t="n">
        <v>0</v>
      </c>
      <c r="EW12" s="14" t="n">
        <v>0</v>
      </c>
      <c r="EX12" s="14" t="n">
        <v>0</v>
      </c>
      <c r="EY12" s="14" t="n">
        <v>0</v>
      </c>
      <c r="EZ12" s="14" t="n">
        <v>0</v>
      </c>
      <c r="FA12" s="14" t="n">
        <v>0</v>
      </c>
      <c r="FB12" s="14" t="n">
        <v>0</v>
      </c>
      <c r="FC12" s="14" t="n">
        <v>0</v>
      </c>
      <c r="FD12" s="14" t="n">
        <v>0</v>
      </c>
      <c r="FE12" s="14" t="n">
        <v>0</v>
      </c>
      <c r="FF12" s="14" t="n">
        <v>0</v>
      </c>
      <c r="FG12" s="15" t="n">
        <v>225</v>
      </c>
      <c r="FH12" s="14" t="n">
        <v>0</v>
      </c>
      <c r="FI12" s="14" t="n">
        <v>0</v>
      </c>
      <c r="FJ12" s="14" t="n">
        <v>468</v>
      </c>
      <c r="FK12" s="14" t="n">
        <v>54</v>
      </c>
      <c r="FL12" s="14" t="n">
        <v>0</v>
      </c>
      <c r="FM12" s="14" t="n">
        <v>372</v>
      </c>
      <c r="FN12" s="14" t="n">
        <v>0</v>
      </c>
      <c r="FO12" s="14" t="n">
        <v>66</v>
      </c>
      <c r="FP12" s="14" t="n">
        <v>0</v>
      </c>
      <c r="FQ12" s="15" t="n">
        <v>438</v>
      </c>
      <c r="FR12" s="14" t="n">
        <v>24140238.98</v>
      </c>
      <c r="FS12" s="14" t="n">
        <v>184000</v>
      </c>
      <c r="FT12" s="14" t="n">
        <v>14000</v>
      </c>
      <c r="FU12" s="14" t="n">
        <v>77000</v>
      </c>
      <c r="FV12" s="15" t="n">
        <v>24415238.98</v>
      </c>
      <c r="FW12" s="14" t="n">
        <v>20269195.03</v>
      </c>
      <c r="FX12" s="14" t="n">
        <v>81700</v>
      </c>
      <c r="FY12" s="14" t="n">
        <v>2720500</v>
      </c>
      <c r="FZ12" s="14" t="n">
        <v>3334136.33</v>
      </c>
      <c r="GA12" s="15" t="n">
        <v>26405531.36</v>
      </c>
      <c r="GB12" s="15" t="n">
        <v>50820770.34</v>
      </c>
      <c r="GC12" s="14" t="n">
        <v>16119351.05</v>
      </c>
      <c r="GD12" s="14" t="n">
        <v>127392.48</v>
      </c>
      <c r="GE12" s="14" t="n">
        <v>324859.8</v>
      </c>
      <c r="GF12" s="14" t="n">
        <v>32004.25</v>
      </c>
      <c r="GG12" s="15" t="n">
        <v>16603607.58</v>
      </c>
      <c r="GH12" s="14" t="n">
        <v>17307497.23000001</v>
      </c>
      <c r="GI12" s="14" t="n">
        <v>59680</v>
      </c>
      <c r="GJ12" s="14" t="n">
        <v>2925000.31</v>
      </c>
      <c r="GK12" s="14" t="n">
        <v>2671960</v>
      </c>
      <c r="GL12" s="15" t="n">
        <v>22964137.54000001</v>
      </c>
      <c r="GM12" s="15" t="n">
        <v>39567745.12</v>
      </c>
      <c r="GN12" s="14" t="n">
        <v>1566227.62</v>
      </c>
      <c r="GO12" s="14" t="n">
        <v>1912.8</v>
      </c>
      <c r="GP12" s="14" t="n">
        <v>20361.84</v>
      </c>
      <c r="GQ12" s="14" t="n">
        <v>13912.02</v>
      </c>
      <c r="GR12" s="15" t="n">
        <v>1602414.28</v>
      </c>
      <c r="GS12" s="14" t="n">
        <v>2592379</v>
      </c>
      <c r="GT12" s="14" t="n">
        <v>8930</v>
      </c>
      <c r="GU12" s="14" t="n">
        <v>5358</v>
      </c>
      <c r="GV12" s="14" t="n">
        <v>2679</v>
      </c>
      <c r="GW12" s="15" t="n">
        <v>2609346</v>
      </c>
      <c r="GX12" s="15" t="n">
        <v>43779505.40000001</v>
      </c>
      <c r="GY12" s="14" t="n">
        <v>121756651.55</v>
      </c>
      <c r="GZ12" s="14" t="n">
        <v>1757068.59</v>
      </c>
      <c r="HA12" s="15" t="n">
        <v>123513720.14</v>
      </c>
      <c r="HB12" s="15" t="n">
        <v>43779505.40000001</v>
      </c>
      <c r="HC12" s="16" t="n">
        <v>121756651.55</v>
      </c>
      <c r="HD12" s="15" t="n">
        <v>1757068.59</v>
      </c>
      <c r="HE12" s="14" t="n">
        <v>27</v>
      </c>
      <c r="HF12" s="14" t="n">
        <v>1</v>
      </c>
      <c r="HG12" s="14" t="n">
        <v>408</v>
      </c>
      <c r="HH12" s="14" t="n">
        <v>27</v>
      </c>
      <c r="HI12" s="14" t="n">
        <v>20</v>
      </c>
      <c r="HJ12" s="15" t="n">
        <v>0.7407407407407407</v>
      </c>
      <c r="HK12" s="16" t="n">
        <v>5.637254901960785</v>
      </c>
      <c r="HL12" s="14" t="n">
        <v>20</v>
      </c>
      <c r="HM12" s="14" t="n">
        <v>15</v>
      </c>
      <c r="HN12" s="17" t="n">
        <v>1.333333333333333</v>
      </c>
    </row>
    <row r="13">
      <c r="A13" s="6" t="inlineStr">
        <is>
          <t>Liwonde</t>
        </is>
      </c>
      <c r="B13" s="6" t="inlineStr">
        <is>
          <t>Balaka</t>
        </is>
      </c>
      <c r="C13" s="7" t="inlineStr">
        <is>
          <t>FY2025/26</t>
        </is>
      </c>
      <c r="D13" s="7" t="n">
        <v>2026</v>
      </c>
      <c r="E13" s="7" t="n">
        <v>2</v>
      </c>
      <c r="F13" s="7" t="inlineStr">
        <is>
          <t>February</t>
        </is>
      </c>
      <c r="G13" s="7" t="inlineStr">
        <is>
          <t>Q4</t>
        </is>
      </c>
      <c r="H13" s="8" t="n">
        <v>48213</v>
      </c>
      <c r="I13" s="8" t="n">
        <v>19774</v>
      </c>
      <c r="J13" s="8" t="n">
        <v>366</v>
      </c>
      <c r="K13" s="8" t="n">
        <v>56</v>
      </c>
      <c r="L13" s="8" t="n">
        <v>10</v>
      </c>
      <c r="M13" s="9">
        <f>SUM(I13,J13,K13,L13)</f>
        <v/>
      </c>
      <c r="N13" s="8" t="n">
        <v>11339.5</v>
      </c>
      <c r="O13" s="8" t="n">
        <v>128.9</v>
      </c>
      <c r="P13" s="8" t="n">
        <v>639.2</v>
      </c>
      <c r="Q13" s="8" t="n">
        <v>1003.5</v>
      </c>
      <c r="R13" s="9">
        <f>SUM(N13,O13,P13,Q13)</f>
        <v/>
      </c>
      <c r="S13" s="9">
        <f>M13+R13</f>
        <v/>
      </c>
      <c r="T13" s="8" t="n">
        <v>14895.9</v>
      </c>
      <c r="U13" s="10">
        <f>IF(H13=0,"",T13/H13)</f>
        <v/>
      </c>
      <c r="V13" s="8" t="n">
        <v>112</v>
      </c>
      <c r="W13" s="11">
        <f>IF(H13=0,"",V13/H13)</f>
        <v/>
      </c>
      <c r="X13" s="8" t="n">
        <v>0</v>
      </c>
      <c r="Y13" s="11">
        <f>IF(H13=0,"",X13/H13)</f>
        <v/>
      </c>
      <c r="Z13" s="8" t="n">
        <v>0</v>
      </c>
      <c r="AA13" s="11">
        <f>IF(H13=0,"",Z13/H13)</f>
        <v/>
      </c>
      <c r="AB13" s="8" t="n">
        <v>0</v>
      </c>
      <c r="AC13" s="11">
        <f>IF(H13=0,"",AB13/H13)</f>
        <v/>
      </c>
      <c r="AD13" s="8" t="n">
        <v>0</v>
      </c>
      <c r="AE13" s="11">
        <f>IF(H13=0,"",AD13/H13)</f>
        <v/>
      </c>
      <c r="AF13" s="8" t="n">
        <v>0</v>
      </c>
      <c r="AG13" s="11">
        <f>IF(H13=0,"",AF13/H13)</f>
        <v/>
      </c>
      <c r="AH13" s="8" t="n">
        <v>394832.48</v>
      </c>
      <c r="AI13" s="9">
        <f>IF(H13=0,"",AH13/H13)</f>
        <v/>
      </c>
      <c r="AJ13" s="8" t="n">
        <v>12203</v>
      </c>
      <c r="AK13" s="11">
        <f>IF(H13=0,"",AJ13/H13)</f>
        <v/>
      </c>
      <c r="AL13" s="8" t="n">
        <v>2059406.0325</v>
      </c>
      <c r="AM13" s="9">
        <f>IF(H13=0,"",AL13/H13)</f>
        <v/>
      </c>
      <c r="AN13" s="8" t="n">
        <v>6342</v>
      </c>
      <c r="AO13" s="8" t="n">
        <v>112</v>
      </c>
      <c r="AP13" s="8" t="n">
        <v>560000</v>
      </c>
      <c r="AQ13" s="8" t="n">
        <v>0</v>
      </c>
      <c r="AR13" s="8" t="n">
        <v>18768051.49</v>
      </c>
      <c r="AS13" s="8" t="n">
        <v>0</v>
      </c>
      <c r="AT13" s="8" t="n">
        <v>5351000</v>
      </c>
      <c r="AU13" s="9">
        <f>AH13+AL13+AP13+AQ13+AR13+AS13+AT13</f>
        <v/>
      </c>
      <c r="AV13" s="9">
        <f>IF(H13=0,"",AU13/H13)</f>
        <v/>
      </c>
      <c r="AW13" s="9">
        <f>IF(S13=0,"",AU13/S13)</f>
        <v/>
      </c>
      <c r="AX13" s="8" t="n">
        <v>14</v>
      </c>
      <c r="AY13" s="9">
        <f>IF(H13=0,"",AX13/(H13/1000/12))</f>
        <v/>
      </c>
      <c r="AZ13" s="8" t="n">
        <v>50</v>
      </c>
      <c r="BA13" s="8" t="n">
        <v>408</v>
      </c>
      <c r="BB13" s="8" t="n">
        <v>35</v>
      </c>
      <c r="BC13" s="8" t="n">
        <v>30</v>
      </c>
      <c r="BD13" s="8" t="n">
        <v>0</v>
      </c>
      <c r="BE13" s="9">
        <f>BC13+BD13</f>
        <v/>
      </c>
      <c r="BF13" s="9">
        <f>BA13+BB13-BE13</f>
        <v/>
      </c>
      <c r="BG13" s="8" t="n">
        <v>0</v>
      </c>
      <c r="BH13" s="8" t="n">
        <v>0</v>
      </c>
      <c r="BI13" s="8" t="n">
        <v>0</v>
      </c>
      <c r="BJ13" s="8" t="n">
        <v>0</v>
      </c>
      <c r="BK13" s="9">
        <f>BI13+BJ13</f>
        <v/>
      </c>
      <c r="BL13" s="9">
        <f>BG13+BH13-BK13</f>
        <v/>
      </c>
      <c r="BM13" s="8" t="n">
        <v>0</v>
      </c>
      <c r="BN13" s="8" t="n">
        <v>0</v>
      </c>
      <c r="BO13" s="8" t="n">
        <v>0</v>
      </c>
      <c r="BP13" s="8" t="n">
        <v>0</v>
      </c>
      <c r="BQ13" s="9">
        <f>BO13+BP13</f>
        <v/>
      </c>
      <c r="BR13" s="9">
        <f>BM13+BN13-BQ13</f>
        <v/>
      </c>
      <c r="BS13" s="8" t="n">
        <v>0</v>
      </c>
      <c r="BT13" s="8" t="n">
        <v>0</v>
      </c>
      <c r="BU13" s="8" t="n">
        <v>0</v>
      </c>
      <c r="BV13" s="8" t="n">
        <v>0</v>
      </c>
      <c r="BW13" s="9">
        <f>BU13+BV13</f>
        <v/>
      </c>
      <c r="BX13" s="9">
        <f>BS13+BT13-BW13</f>
        <v/>
      </c>
      <c r="BY13" s="9">
        <f>BA13+BG13+BM13+BS13</f>
        <v/>
      </c>
      <c r="BZ13" s="9">
        <f>BB13+BH13+BN13+BT13</f>
        <v/>
      </c>
      <c r="CA13" s="9">
        <f>BE13+BK13+BQ13+BW13</f>
        <v/>
      </c>
      <c r="CB13" s="9">
        <f>BF13+BL13+BR13+BX13</f>
        <v/>
      </c>
      <c r="CC13" s="8" t="n">
        <v>33</v>
      </c>
      <c r="CD13" s="8" t="n">
        <v>2696</v>
      </c>
      <c r="CE13" s="8" t="n">
        <v>51</v>
      </c>
      <c r="CF13" s="8" t="n">
        <v>95</v>
      </c>
      <c r="CG13" s="8" t="n">
        <v>18</v>
      </c>
      <c r="CH13" s="9">
        <f>CD13+CE13+CF13+CG13</f>
        <v/>
      </c>
      <c r="CI13" s="8" t="n">
        <v>2948</v>
      </c>
      <c r="CJ13" s="8" t="n">
        <v>6</v>
      </c>
      <c r="CK13" s="8" t="n">
        <v>3</v>
      </c>
      <c r="CL13" s="8" t="n">
        <v>10</v>
      </c>
      <c r="CM13" s="9">
        <f>CI13+CJ13+CK13+CL13</f>
        <v/>
      </c>
      <c r="CN13" s="8" t="n">
        <v>2362</v>
      </c>
      <c r="CO13" s="8" t="n">
        <v>78</v>
      </c>
      <c r="CP13" s="8" t="n">
        <v>74</v>
      </c>
      <c r="CQ13" s="8" t="n">
        <v>5</v>
      </c>
      <c r="CR13" s="9">
        <f>CN13+CO13+CP13+CQ13</f>
        <v/>
      </c>
      <c r="CS13" s="9">
        <f>CM13+CR13</f>
        <v/>
      </c>
      <c r="CT13" s="8" t="n">
        <v>8346</v>
      </c>
      <c r="CU13" s="8" t="n">
        <v>46948</v>
      </c>
      <c r="CV13" s="8" t="n">
        <v>38589</v>
      </c>
      <c r="CW13" s="10">
        <f>IF(CU13=0,"",CV13/CU13)</f>
        <v/>
      </c>
      <c r="CX13" s="8" t="n"/>
      <c r="CY13" s="8" t="n"/>
      <c r="CZ13" s="8" t="n"/>
      <c r="DA13" s="8" t="n"/>
      <c r="DB13" s="9">
        <f>CX13+CY13-CZ13-DA13</f>
        <v/>
      </c>
      <c r="DC13" s="8" t="n">
        <v>0</v>
      </c>
      <c r="DD13" s="8" t="n">
        <v>0</v>
      </c>
      <c r="DE13" s="8" t="n">
        <v>0</v>
      </c>
      <c r="DF13" s="8" t="n">
        <v>0</v>
      </c>
      <c r="DG13" s="9">
        <f>DC13+DD13-DE13-DF13</f>
        <v/>
      </c>
      <c r="DH13" s="8" t="n">
        <v>0</v>
      </c>
      <c r="DI13" s="8" t="n">
        <v>0</v>
      </c>
      <c r="DJ13" s="8" t="n">
        <v>0</v>
      </c>
      <c r="DK13" s="8" t="n">
        <v>0</v>
      </c>
      <c r="DL13" s="9">
        <f>DH13+DI13-DJ13-DK13</f>
        <v/>
      </c>
      <c r="DM13" s="8" t="n">
        <v>211</v>
      </c>
      <c r="DN13" s="8" t="n">
        <v>60</v>
      </c>
      <c r="DO13" s="8" t="n">
        <v>0</v>
      </c>
      <c r="DP13" s="8" t="n">
        <v>0</v>
      </c>
      <c r="DQ13" s="9">
        <f>DM13+DN13-DO13-DP13</f>
        <v/>
      </c>
      <c r="DR13" s="9">
        <f>CX13+DC13+DH13+DM13</f>
        <v/>
      </c>
      <c r="DS13" s="9">
        <f>CY13+DD13+DI13+DN13</f>
        <v/>
      </c>
      <c r="DT13" s="9">
        <f>CZ13+DE13+DJ13+DO13</f>
        <v/>
      </c>
      <c r="DU13" s="9">
        <f>DA13+DF13+DK13+DP13</f>
        <v/>
      </c>
      <c r="DV13" s="9">
        <f>DB13+DG13+DL13+DQ13</f>
        <v/>
      </c>
      <c r="DW13" s="8" t="n">
        <v>76</v>
      </c>
      <c r="DX13" s="8" t="n">
        <v>50</v>
      </c>
      <c r="DY13" s="8" t="n">
        <v>24</v>
      </c>
      <c r="DZ13" s="8" t="n">
        <v>2</v>
      </c>
      <c r="EA13" s="8" t="n">
        <v>3</v>
      </c>
      <c r="EB13" s="8" t="n">
        <v>4</v>
      </c>
      <c r="EC13" s="8" t="n">
        <v>0</v>
      </c>
      <c r="ED13" s="8" t="n">
        <v>0</v>
      </c>
      <c r="EE13" s="8" t="n">
        <v>2</v>
      </c>
      <c r="EF13" s="8" t="n">
        <v>0</v>
      </c>
      <c r="EG13" s="8" t="n">
        <v>2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8" t="n">
        <v>0</v>
      </c>
      <c r="EY13" s="8" t="n">
        <v>0</v>
      </c>
      <c r="EZ13" s="8" t="n">
        <v>0</v>
      </c>
      <c r="FA13" s="8" t="n">
        <v>0</v>
      </c>
      <c r="FB13" s="8" t="n">
        <v>0</v>
      </c>
      <c r="FC13" s="8" t="n">
        <v>0</v>
      </c>
      <c r="FD13" s="8" t="n">
        <v>0</v>
      </c>
      <c r="FE13" s="8" t="n">
        <v>0</v>
      </c>
      <c r="FF13" s="8" t="n">
        <v>0</v>
      </c>
      <c r="FG13" s="9">
        <f>SUM(DW13,DX13,DY13,DZ13,EA13,EB13,EC13,ED13,EE13,EF13,EG13,EH13,EI13,EJ13,EK13,EL13,EM13,EN13,EO13,EP13,EQ13,ER13,ES13,ET13,EU13,EV13,EW13,EX13,EY13,EZ13,FA13,FB13,FC13,FD13,FE13,FF13)</f>
        <v/>
      </c>
      <c r="FH13" s="8" t="n">
        <v>0</v>
      </c>
      <c r="FI13" s="8" t="n">
        <v>0</v>
      </c>
      <c r="FJ13" s="8" t="n">
        <v>540</v>
      </c>
      <c r="FK13" s="8" t="n">
        <v>62</v>
      </c>
      <c r="FL13" s="8" t="n">
        <v>0</v>
      </c>
      <c r="FM13" s="8" t="n">
        <v>356</v>
      </c>
      <c r="FN13" s="8" t="n">
        <v>0</v>
      </c>
      <c r="FO13" s="8" t="n">
        <v>24</v>
      </c>
      <c r="FP13" s="8" t="n">
        <v>0</v>
      </c>
      <c r="FQ13" s="9">
        <f>FL13+FM13+FN13+FO13+FP13</f>
        <v/>
      </c>
      <c r="FR13" s="8" t="n">
        <v>15822772.59</v>
      </c>
      <c r="FS13" s="8" t="n">
        <v>104000</v>
      </c>
      <c r="FT13" s="8" t="n">
        <v>34700</v>
      </c>
      <c r="FU13" s="8" t="n">
        <v>364867.22</v>
      </c>
      <c r="FV13" s="9">
        <f>FR13+FS13+FT13+FU13</f>
        <v/>
      </c>
      <c r="FW13" s="8" t="n">
        <v>15836709.49</v>
      </c>
      <c r="FX13" s="8" t="n">
        <v>42260</v>
      </c>
      <c r="FY13" s="8" t="n">
        <v>4763717.47</v>
      </c>
      <c r="FZ13" s="8" t="n">
        <v>1951714.6</v>
      </c>
      <c r="GA13" s="9">
        <f>FW13+FX13+FY13+FZ13</f>
        <v/>
      </c>
      <c r="GB13" s="9">
        <f>FV13+GA13</f>
        <v/>
      </c>
      <c r="GC13" s="8" t="n">
        <v>20211627.75</v>
      </c>
      <c r="GD13" s="8" t="n">
        <v>70008.48</v>
      </c>
      <c r="GE13" s="8" t="n">
        <v>137731.6</v>
      </c>
      <c r="GF13" s="8" t="n">
        <v>25232.97</v>
      </c>
      <c r="GG13" s="9">
        <f>GC13+GD13+GE13+GF13</f>
        <v/>
      </c>
      <c r="GH13" s="8" t="n">
        <v>14156304.25000001</v>
      </c>
      <c r="GI13" s="8" t="n">
        <v>27380</v>
      </c>
      <c r="GJ13" s="8" t="n">
        <v>1942714.6</v>
      </c>
      <c r="GK13" s="8" t="n">
        <v>4743083.41</v>
      </c>
      <c r="GL13" s="9">
        <f>GH13+GI13+GJ13+GK13</f>
        <v/>
      </c>
      <c r="GM13" s="9">
        <f>GG13+GL13</f>
        <v/>
      </c>
      <c r="GN13" s="8" t="n">
        <v>1586020.47</v>
      </c>
      <c r="GO13" s="8" t="n">
        <v>1912.8</v>
      </c>
      <c r="GP13" s="8" t="n">
        <v>20361.84</v>
      </c>
      <c r="GQ13" s="8" t="n">
        <v>13912.02</v>
      </c>
      <c r="GR13" s="9">
        <f>GN13+GO13+GP13+GQ13</f>
        <v/>
      </c>
      <c r="GS13" s="8" t="n">
        <v>2632564</v>
      </c>
      <c r="GT13" s="8" t="n">
        <v>8930</v>
      </c>
      <c r="GU13" s="8" t="n">
        <v>5358</v>
      </c>
      <c r="GV13" s="8" t="n">
        <v>2679</v>
      </c>
      <c r="GW13" s="9">
        <f>GS13+GT13+GU13+GV13</f>
        <v/>
      </c>
      <c r="GX13" s="9">
        <f>GM13+GR13+GW13</f>
        <v/>
      </c>
      <c r="GY13" s="8" t="n">
        <v>131300996.03</v>
      </c>
      <c r="GZ13" s="8" t="n">
        <v>1920766.6</v>
      </c>
      <c r="HA13" s="9">
        <f>GY13+GZ13</f>
        <v/>
      </c>
      <c r="HB13" s="9">
        <f>IF(GX13=0,"",AU13/GX13)</f>
        <v/>
      </c>
      <c r="HC13" s="10">
        <f>IF((GX13+GY13)=0,"",GB13/(GX13+GY13))</f>
        <v/>
      </c>
      <c r="HD13" s="9">
        <f>IF(GX13=0,"",GB13/GX13)</f>
        <v/>
      </c>
      <c r="HE13" s="8" t="n">
        <v>33</v>
      </c>
      <c r="HF13" s="8" t="n">
        <v>1</v>
      </c>
      <c r="HG13" s="8" t="n">
        <v>413</v>
      </c>
      <c r="HH13" s="8" t="n">
        <v>35</v>
      </c>
      <c r="HI13" s="8" t="n">
        <v>20</v>
      </c>
      <c r="HJ13" s="9">
        <f>HF13+HI13</f>
        <v/>
      </c>
      <c r="HK13" s="10">
        <f>IF(HE13=0,"",HH13/HE13)</f>
        <v/>
      </c>
      <c r="HL13" s="8" t="n">
        <v>16</v>
      </c>
      <c r="HM13" s="8" t="n">
        <v>15</v>
      </c>
      <c r="HN13" s="11">
        <f>IF(HL13=0,"",HM13/HL13)</f>
        <v/>
      </c>
    </row>
    <row r="14">
      <c r="A14" s="12" t="inlineStr">
        <is>
          <t>Liwonde</t>
        </is>
      </c>
      <c r="B14" s="12" t="inlineStr">
        <is>
          <t>Balaka</t>
        </is>
      </c>
      <c r="C14" s="13" t="inlineStr">
        <is>
          <t>FY2025/26</t>
        </is>
      </c>
      <c r="D14" s="13" t="n">
        <v>2026</v>
      </c>
      <c r="E14" s="13" t="n">
        <v>3</v>
      </c>
      <c r="F14" s="13" t="inlineStr">
        <is>
          <t>March</t>
        </is>
      </c>
      <c r="G14" s="13" t="inlineStr">
        <is>
          <t>Q4</t>
        </is>
      </c>
      <c r="H14" s="14" t="n">
        <v>48339</v>
      </c>
      <c r="I14" s="14" t="n">
        <v>17560</v>
      </c>
      <c r="J14" s="14" t="n">
        <v>489</v>
      </c>
      <c r="K14" s="14" t="n">
        <v>66</v>
      </c>
      <c r="L14" s="14" t="n">
        <v>4</v>
      </c>
      <c r="M14" s="15">
        <f>SUM(I14,J14,K14,L14)</f>
        <v/>
      </c>
      <c r="N14" s="14" t="n">
        <v>14183.8</v>
      </c>
      <c r="O14" s="14" t="n">
        <v>214</v>
      </c>
      <c r="P14" s="14" t="n">
        <v>943.3</v>
      </c>
      <c r="Q14" s="14" t="n">
        <v>318</v>
      </c>
      <c r="R14" s="15">
        <f>SUM(N14,O14,P14,Q14)</f>
        <v/>
      </c>
      <c r="S14" s="15">
        <f>M14+R14</f>
        <v/>
      </c>
      <c r="T14" s="14" t="n">
        <v>14560.9</v>
      </c>
      <c r="U14" s="16">
        <f>IF(H14=0,"",T14/H14)</f>
        <v/>
      </c>
      <c r="V14" s="14" t="n">
        <v>46</v>
      </c>
      <c r="W14" s="17">
        <f>IF(H14=0,"",V14/H14)</f>
        <v/>
      </c>
      <c r="X14" s="14" t="n">
        <v>0</v>
      </c>
      <c r="Y14" s="17">
        <f>IF(H14=0,"",X14/H14)</f>
        <v/>
      </c>
      <c r="Z14" s="14" t="n">
        <v>0</v>
      </c>
      <c r="AA14" s="17">
        <f>IF(H14=0,"",Z14/H14)</f>
        <v/>
      </c>
      <c r="AB14" s="14" t="n">
        <v>0</v>
      </c>
      <c r="AC14" s="17">
        <f>IF(H14=0,"",AB14/H14)</f>
        <v/>
      </c>
      <c r="AD14" s="14" t="n">
        <v>0</v>
      </c>
      <c r="AE14" s="17">
        <f>IF(H14=0,"",AD14/H14)</f>
        <v/>
      </c>
      <c r="AF14" s="14" t="n">
        <v>0</v>
      </c>
      <c r="AG14" s="17">
        <f>IF(H14=0,"",AF14/H14)</f>
        <v/>
      </c>
      <c r="AH14" s="14" t="n">
        <v>162163.34</v>
      </c>
      <c r="AI14" s="15">
        <f>IF(H14=0,"",AH14/H14)</f>
        <v/>
      </c>
      <c r="AJ14" s="14" t="n">
        <v>27325</v>
      </c>
      <c r="AK14" s="17">
        <f>IF(H14=0,"",AJ14/H14)</f>
        <v/>
      </c>
      <c r="AL14" s="14" t="n">
        <v>19339</v>
      </c>
      <c r="AM14" s="15">
        <f>IF(H14=0,"",AL14/H14)</f>
        <v/>
      </c>
      <c r="AN14" s="14" t="n">
        <v>6542</v>
      </c>
      <c r="AO14" s="14" t="n">
        <v>200</v>
      </c>
      <c r="AP14" s="14" t="n">
        <v>1000000</v>
      </c>
      <c r="AQ14" s="14" t="n">
        <v>0</v>
      </c>
      <c r="AR14" s="14" t="n">
        <v>17872104.03</v>
      </c>
      <c r="AS14" s="14" t="n">
        <v>6951595.76</v>
      </c>
      <c r="AT14" s="14" t="n">
        <v>175400</v>
      </c>
      <c r="AU14" s="15">
        <f>AH14+AL14+AP14+AQ14+AR14+AS14+AT14</f>
        <v/>
      </c>
      <c r="AV14" s="15">
        <f>IF(H14=0,"",AU14/H14)</f>
        <v/>
      </c>
      <c r="AW14" s="15">
        <f>IF(S14=0,"",AU14/S14)</f>
        <v/>
      </c>
      <c r="AX14" s="14" t="n">
        <v>14</v>
      </c>
      <c r="AY14" s="15">
        <f>IF(H14=0,"",AX14/(H14/1000/12))</f>
        <v/>
      </c>
      <c r="AZ14" s="14" t="n">
        <v>50</v>
      </c>
      <c r="BA14" s="14" t="n">
        <v>413</v>
      </c>
      <c r="BB14" s="14" t="n">
        <v>30</v>
      </c>
      <c r="BC14" s="14" t="n">
        <v>24</v>
      </c>
      <c r="BD14" s="14" t="n">
        <v>0</v>
      </c>
      <c r="BE14" s="15">
        <f>BC14+BD14</f>
        <v/>
      </c>
      <c r="BF14" s="15">
        <f>BA14+BB14-BE14</f>
        <v/>
      </c>
      <c r="BG14" s="14" t="n">
        <v>0</v>
      </c>
      <c r="BH14" s="14" t="n">
        <v>0</v>
      </c>
      <c r="BI14" s="14" t="n">
        <v>0</v>
      </c>
      <c r="BJ14" s="14" t="n">
        <v>0</v>
      </c>
      <c r="BK14" s="15">
        <f>BI14+BJ14</f>
        <v/>
      </c>
      <c r="BL14" s="15">
        <f>BG14+BH14-BK14</f>
        <v/>
      </c>
      <c r="BM14" s="14" t="n">
        <v>0</v>
      </c>
      <c r="BN14" s="14" t="n">
        <v>0</v>
      </c>
      <c r="BO14" s="14" t="n">
        <v>0</v>
      </c>
      <c r="BP14" s="14" t="n">
        <v>0</v>
      </c>
      <c r="BQ14" s="15">
        <f>BO14+BP14</f>
        <v/>
      </c>
      <c r="BR14" s="15">
        <f>BM14+BN14-BQ14</f>
        <v/>
      </c>
      <c r="BS14" s="14" t="n">
        <v>0</v>
      </c>
      <c r="BT14" s="14" t="n">
        <v>0</v>
      </c>
      <c r="BU14" s="14" t="n">
        <v>0</v>
      </c>
      <c r="BV14" s="14" t="n">
        <v>0</v>
      </c>
      <c r="BW14" s="15">
        <f>BU14+BV14</f>
        <v/>
      </c>
      <c r="BX14" s="15">
        <f>BS14+BT14-BW14</f>
        <v/>
      </c>
      <c r="BY14" s="15">
        <f>BA14+BG14+BM14+BS14</f>
        <v/>
      </c>
      <c r="BZ14" s="15">
        <f>BB14+BH14+BN14+BT14</f>
        <v/>
      </c>
      <c r="CA14" s="15">
        <f>BE14+BK14+BQ14+BW14</f>
        <v/>
      </c>
      <c r="CB14" s="15">
        <f>BF14+BL14+BR14+BX14</f>
        <v/>
      </c>
      <c r="CC14" s="14" t="n">
        <v>15</v>
      </c>
      <c r="CD14" s="14" t="n">
        <v>2544</v>
      </c>
      <c r="CE14" s="14" t="n">
        <v>62</v>
      </c>
      <c r="CF14" s="14" t="n">
        <v>94</v>
      </c>
      <c r="CG14" s="14" t="n">
        <v>19</v>
      </c>
      <c r="CH14" s="15">
        <f>CD14+CE14+CF14+CG14</f>
        <v/>
      </c>
      <c r="CI14" s="14" t="n">
        <v>3166</v>
      </c>
      <c r="CJ14" s="14" t="n">
        <v>6</v>
      </c>
      <c r="CK14" s="14" t="n">
        <v>2</v>
      </c>
      <c r="CL14" s="14" t="n">
        <v>10</v>
      </c>
      <c r="CM14" s="15">
        <f>CI14+CJ14+CK14+CL14</f>
        <v/>
      </c>
      <c r="CN14" s="14" t="n">
        <v>2390</v>
      </c>
      <c r="CO14" s="14" t="n">
        <v>67</v>
      </c>
      <c r="CP14" s="14" t="n">
        <v>75</v>
      </c>
      <c r="CQ14" s="14" t="n">
        <v>5</v>
      </c>
      <c r="CR14" s="15">
        <f>CN14+CO14+CP14+CQ14</f>
        <v/>
      </c>
      <c r="CS14" s="15">
        <f>CM14+CR14</f>
        <v/>
      </c>
      <c r="CT14" s="14" t="n">
        <v>8440</v>
      </c>
      <c r="CU14" s="14" t="n">
        <v>47417</v>
      </c>
      <c r="CV14" s="14" t="n">
        <v>38974</v>
      </c>
      <c r="CW14" s="16">
        <f>IF(CU14=0,"",CV14/CU14)</f>
        <v/>
      </c>
      <c r="CX14" s="14" t="n"/>
      <c r="CY14" s="14" t="n"/>
      <c r="CZ14" s="14" t="n"/>
      <c r="DA14" s="14" t="n"/>
      <c r="DB14" s="15">
        <f>CX14+CY14-CZ14-DA14</f>
        <v/>
      </c>
      <c r="DC14" s="14" t="n">
        <v>0</v>
      </c>
      <c r="DD14" s="14" t="n">
        <v>0</v>
      </c>
      <c r="DE14" s="14" t="n">
        <v>0</v>
      </c>
      <c r="DF14" s="14" t="n">
        <v>0</v>
      </c>
      <c r="DG14" s="15">
        <f>DC14+DD14-DE14-DF14</f>
        <v/>
      </c>
      <c r="DH14" s="14" t="n">
        <v>0</v>
      </c>
      <c r="DI14" s="14" t="n">
        <v>0</v>
      </c>
      <c r="DJ14" s="14" t="n">
        <v>0</v>
      </c>
      <c r="DK14" s="14" t="n">
        <v>0</v>
      </c>
      <c r="DL14" s="15">
        <f>DH14+DI14-DJ14-DK14</f>
        <v/>
      </c>
      <c r="DM14" s="14" t="n">
        <v>271</v>
      </c>
      <c r="DN14" s="14" t="n">
        <v>36</v>
      </c>
      <c r="DO14" s="14" t="n">
        <v>0</v>
      </c>
      <c r="DP14" s="14" t="n">
        <v>0</v>
      </c>
      <c r="DQ14" s="15">
        <f>DM14+DN14-DO14-DP14</f>
        <v/>
      </c>
      <c r="DR14" s="15">
        <f>CX14+DC14+DH14+DM14</f>
        <v/>
      </c>
      <c r="DS14" s="15">
        <f>CY14+DD14+DI14+DN14</f>
        <v/>
      </c>
      <c r="DT14" s="15">
        <f>CZ14+DE14+DJ14+DO14</f>
        <v/>
      </c>
      <c r="DU14" s="15">
        <f>DA14+DF14+DK14+DP14</f>
        <v/>
      </c>
      <c r="DV14" s="15">
        <f>DB14+DG14+DL14+DQ14</f>
        <v/>
      </c>
      <c r="DW14" s="14" t="n">
        <v>61</v>
      </c>
      <c r="DX14" s="14" t="n">
        <v>31</v>
      </c>
      <c r="DY14" s="14" t="n">
        <v>12</v>
      </c>
      <c r="DZ14" s="14" t="n">
        <v>2</v>
      </c>
      <c r="EA14" s="14" t="n">
        <v>0</v>
      </c>
      <c r="EB14" s="14" t="n">
        <v>7</v>
      </c>
      <c r="EC14" s="14" t="n">
        <v>0</v>
      </c>
      <c r="ED14" s="14" t="n">
        <v>0</v>
      </c>
      <c r="EE14" s="14" t="n">
        <v>0</v>
      </c>
      <c r="EF14" s="14" t="n">
        <v>0</v>
      </c>
      <c r="EG14" s="14" t="n">
        <v>0</v>
      </c>
      <c r="EH14" s="14" t="n">
        <v>0</v>
      </c>
      <c r="EI14" s="14" t="n">
        <v>0</v>
      </c>
      <c r="EJ14" s="14" t="n">
        <v>0</v>
      </c>
      <c r="EK14" s="14" t="n">
        <v>0</v>
      </c>
      <c r="EL14" s="14" t="n">
        <v>0</v>
      </c>
      <c r="EM14" s="14" t="n">
        <v>0</v>
      </c>
      <c r="EN14" s="14" t="n">
        <v>0</v>
      </c>
      <c r="EO14" s="14" t="n">
        <v>0</v>
      </c>
      <c r="EP14" s="14" t="n">
        <v>0</v>
      </c>
      <c r="EQ14" s="14" t="n">
        <v>0</v>
      </c>
      <c r="ER14" s="14" t="n">
        <v>0</v>
      </c>
      <c r="ES14" s="14" t="n">
        <v>0</v>
      </c>
      <c r="ET14" s="14" t="n">
        <v>0</v>
      </c>
      <c r="EU14" s="14" t="n">
        <v>0</v>
      </c>
      <c r="EV14" s="14" t="n">
        <v>0</v>
      </c>
      <c r="EW14" s="14" t="n">
        <v>0</v>
      </c>
      <c r="EX14" s="14" t="n">
        <v>0</v>
      </c>
      <c r="EY14" s="14" t="n">
        <v>0</v>
      </c>
      <c r="EZ14" s="14" t="n">
        <v>0</v>
      </c>
      <c r="FA14" s="14" t="n">
        <v>0</v>
      </c>
      <c r="FB14" s="14" t="n">
        <v>0</v>
      </c>
      <c r="FC14" s="14" t="n">
        <v>0</v>
      </c>
      <c r="FD14" s="14" t="n">
        <v>0</v>
      </c>
      <c r="FE14" s="14" t="n">
        <v>0</v>
      </c>
      <c r="FF14" s="14" t="n">
        <v>0</v>
      </c>
      <c r="FG14" s="15">
        <f>SUM(DW14,DX14,DY14,DZ14,EA14,EB14,EC14,ED14,EE14,EF14,EG14,EH14,EI14,EJ14,EK14,EL14,EM14,EN14,EO14,EP14,EQ14,ER14,ES14,ET14,EU14,EV14,EW14,EX14,EY14,EZ14,FA14,FB14,FC14,FD14,FE14,FF14)</f>
        <v/>
      </c>
      <c r="FH14" s="14" t="n">
        <v>0</v>
      </c>
      <c r="FI14" s="14" t="n">
        <v>0</v>
      </c>
      <c r="FJ14" s="14" t="n">
        <v>480</v>
      </c>
      <c r="FK14" s="14" t="n">
        <v>52</v>
      </c>
      <c r="FL14" s="14" t="n">
        <v>390</v>
      </c>
      <c r="FM14" s="14" t="n">
        <v>0</v>
      </c>
      <c r="FN14" s="14" t="n">
        <v>0</v>
      </c>
      <c r="FO14" s="14" t="n">
        <v>0</v>
      </c>
      <c r="FP14" s="14" t="n">
        <v>150</v>
      </c>
      <c r="FQ14" s="15">
        <f>FL14+FM14+FN14+FO14+FP14</f>
        <v/>
      </c>
      <c r="FR14" s="14" t="n">
        <v>25246524.48</v>
      </c>
      <c r="FS14" s="14" t="n">
        <v>63100</v>
      </c>
      <c r="FT14" s="14" t="n">
        <v>60000</v>
      </c>
      <c r="FU14" s="14" t="n">
        <v>247867.22</v>
      </c>
      <c r="FV14" s="15">
        <f>FR14+FS14+FT14+FU14</f>
        <v/>
      </c>
      <c r="FW14" s="14" t="n">
        <v>19444708.24</v>
      </c>
      <c r="FX14" s="14" t="n">
        <v>62580</v>
      </c>
      <c r="FY14" s="14" t="n">
        <v>1542422.81</v>
      </c>
      <c r="FZ14" s="14" t="n">
        <v>2898400</v>
      </c>
      <c r="GA14" s="15">
        <f>FW14+FX14+FY14+FZ14</f>
        <v/>
      </c>
      <c r="GB14" s="15">
        <f>FV14+GA14</f>
        <v/>
      </c>
      <c r="GC14" s="14" t="n">
        <v>17559719.66</v>
      </c>
      <c r="GD14" s="14" t="n">
        <v>93535.92</v>
      </c>
      <c r="GE14" s="14" t="n">
        <v>175575.51</v>
      </c>
      <c r="GF14" s="14" t="n">
        <v>16821.98</v>
      </c>
      <c r="GG14" s="15">
        <f>GC14+GD14+GE14+GF14</f>
        <v/>
      </c>
      <c r="GH14" s="14" t="n">
        <v>17700982.00000003</v>
      </c>
      <c r="GI14" s="14" t="n">
        <v>45486</v>
      </c>
      <c r="GJ14" s="14" t="n">
        <v>2867320</v>
      </c>
      <c r="GK14" s="14" t="n">
        <v>1503002.81</v>
      </c>
      <c r="GL14" s="15">
        <f>GH14+GI14+GJ14+GK14</f>
        <v/>
      </c>
      <c r="GM14" s="15">
        <f>GG14+GL14</f>
        <v/>
      </c>
      <c r="GN14" s="14" t="n">
        <v>1554802.79</v>
      </c>
      <c r="GO14" s="14" t="n">
        <v>1912.8</v>
      </c>
      <c r="GP14" s="14" t="n">
        <v>20361.84</v>
      </c>
      <c r="GQ14" s="14" t="n">
        <v>9274.68</v>
      </c>
      <c r="GR14" s="15">
        <f>GN14+GO14+GP14+GQ14</f>
        <v/>
      </c>
      <c r="GS14" s="14" t="n">
        <v>2578984</v>
      </c>
      <c r="GT14" s="14" t="n">
        <v>8930</v>
      </c>
      <c r="GU14" s="14" t="n">
        <v>5358</v>
      </c>
      <c r="GV14" s="14" t="n">
        <v>1786</v>
      </c>
      <c r="GW14" s="15">
        <f>GS14+GT14+GU14+GV14</f>
        <v/>
      </c>
      <c r="GX14" s="15">
        <f>GM14+GR14+GW14</f>
        <v/>
      </c>
      <c r="GY14" s="14" t="n">
        <v>126418964.03</v>
      </c>
      <c r="GZ14" s="14" t="n">
        <v>1202893.75</v>
      </c>
      <c r="HA14" s="15">
        <f>GY14+GZ14</f>
        <v/>
      </c>
      <c r="HB14" s="15">
        <f>IF(GX14=0,"",AU14/GX14)</f>
        <v/>
      </c>
      <c r="HC14" s="16">
        <f>IF((GX14+GY14)=0,"",GB14/(GX14+GY14))</f>
        <v/>
      </c>
      <c r="HD14" s="15">
        <f>IF(GX14=0,"",GB14/GX14)</f>
        <v/>
      </c>
      <c r="HE14" s="14" t="n">
        <v>30</v>
      </c>
      <c r="HF14" s="14" t="n">
        <v>1</v>
      </c>
      <c r="HG14" s="14" t="n">
        <v>419</v>
      </c>
      <c r="HH14" s="14" t="n">
        <v>30</v>
      </c>
      <c r="HI14" s="14" t="n">
        <v>20</v>
      </c>
      <c r="HJ14" s="15">
        <f>HF14+HI14</f>
        <v/>
      </c>
      <c r="HK14" s="16">
        <f>IF(HE14=0,"",HH14/HE14)</f>
        <v/>
      </c>
      <c r="HL14" s="14" t="n">
        <v>20</v>
      </c>
      <c r="HM14" s="14" t="n">
        <v>15</v>
      </c>
      <c r="HN14" s="17">
        <f>IF(HL14=0,"",HM14/HL14)</f>
        <v/>
      </c>
    </row>
    <row r="15">
      <c r="A15" s="6" t="inlineStr">
        <is>
          <t>Liwonde</t>
        </is>
      </c>
      <c r="B15" s="6" t="inlineStr">
        <is>
          <t>Liwonde</t>
        </is>
      </c>
      <c r="C15" s="7" t="inlineStr">
        <is>
          <t>FY2025/26</t>
        </is>
      </c>
      <c r="D15" s="7" t="n">
        <v>2025</v>
      </c>
      <c r="E15" s="7" t="n">
        <v>4</v>
      </c>
      <c r="F15" s="7" t="inlineStr">
        <is>
          <t>April</t>
        </is>
      </c>
      <c r="G15" s="7" t="inlineStr">
        <is>
          <t>Q1</t>
        </is>
      </c>
      <c r="H15" s="8" t="n">
        <v>64376</v>
      </c>
      <c r="I15" s="8" t="n">
        <v>30208</v>
      </c>
      <c r="J15" s="8" t="n">
        <v>970</v>
      </c>
      <c r="K15" s="8" t="n">
        <v>936</v>
      </c>
      <c r="L15" s="8" t="n">
        <v>353</v>
      </c>
      <c r="M15" s="9">
        <f>SUM(I15,J15,K15,L15)</f>
        <v/>
      </c>
      <c r="N15" s="8" t="n">
        <v>11071.6</v>
      </c>
      <c r="O15" s="8" t="n">
        <v>0</v>
      </c>
      <c r="P15" s="8" t="n">
        <v>977.6</v>
      </c>
      <c r="Q15" s="8" t="n">
        <v>1886.7</v>
      </c>
      <c r="R15" s="9">
        <f>SUM(N15,O15,P15,Q15)</f>
        <v/>
      </c>
      <c r="S15" s="9">
        <f>M15+R15</f>
        <v/>
      </c>
      <c r="T15" s="8" t="n">
        <v>17973.1</v>
      </c>
      <c r="U15" s="10">
        <f>IF(H15=0,"",T15/H15)</f>
        <v/>
      </c>
      <c r="V15" s="8" t="n">
        <v>276</v>
      </c>
      <c r="W15" s="11">
        <f>IF(H15=0,"",V15/H15)</f>
        <v/>
      </c>
      <c r="X15" s="8" t="n">
        <v>658</v>
      </c>
      <c r="Y15" s="11">
        <f>IF(H15=0,"",X15/H15)</f>
        <v/>
      </c>
      <c r="Z15" s="8" t="n">
        <v>0</v>
      </c>
      <c r="AA15" s="11">
        <f>IF(H15=0,"",Z15/H15)</f>
        <v/>
      </c>
      <c r="AB15" s="8" t="n">
        <v>0</v>
      </c>
      <c r="AC15" s="11">
        <f>IF(H15=0,"",AB15/H15)</f>
        <v/>
      </c>
      <c r="AD15" s="8" t="n">
        <v>0</v>
      </c>
      <c r="AE15" s="11">
        <f>IF(H15=0,"",AD15/H15)</f>
        <v/>
      </c>
      <c r="AF15" s="8" t="n">
        <v>0</v>
      </c>
      <c r="AG15" s="11">
        <f>IF(H15=0,"",AF15/H15)</f>
        <v/>
      </c>
      <c r="AH15" s="8" t="n">
        <v>1670466.76476</v>
      </c>
      <c r="AI15" s="9">
        <f>IF(H15=0,"",AH15/H15)</f>
        <v/>
      </c>
      <c r="AJ15" s="8" t="n">
        <v>56715</v>
      </c>
      <c r="AK15" s="11">
        <f>IF(H15=0,"",AJ15/H15)</f>
        <v/>
      </c>
      <c r="AL15" s="8" t="n">
        <v>9500810.9125</v>
      </c>
      <c r="AM15" s="9">
        <f>IF(H15=0,"",AL15/H15)</f>
        <v/>
      </c>
      <c r="AN15" s="8" t="n">
        <v>2712</v>
      </c>
      <c r="AO15" s="8" t="n">
        <v>300</v>
      </c>
      <c r="AP15" s="8" t="n">
        <v>441000</v>
      </c>
      <c r="AQ15" s="8" t="n">
        <v>0</v>
      </c>
      <c r="AR15" s="8" t="n">
        <v>15500412.58</v>
      </c>
      <c r="AS15" s="8" t="n">
        <v>3913343.38</v>
      </c>
      <c r="AT15" s="8" t="n">
        <v>7391853.63</v>
      </c>
      <c r="AU15" s="9">
        <f>AH15+AL15+AP15+AQ15+AR15+AS15+AT15</f>
        <v/>
      </c>
      <c r="AV15" s="9">
        <f>IF(H15=0,"",AU15/H15)</f>
        <v/>
      </c>
      <c r="AW15" s="9">
        <f>IF(S15=0,"",AU15/S15)</f>
        <v/>
      </c>
      <c r="AX15" s="8" t="n">
        <v>24</v>
      </c>
      <c r="AY15" s="9">
        <f>IF(H15=0,"",AX15/(H15/1000/12))</f>
        <v/>
      </c>
      <c r="AZ15" s="8" t="n">
        <v>26</v>
      </c>
      <c r="BA15" s="8" t="n">
        <v>678</v>
      </c>
      <c r="BB15" s="8" t="n">
        <v>42</v>
      </c>
      <c r="BC15" s="8" t="n">
        <v>0</v>
      </c>
      <c r="BD15" s="8" t="n">
        <v>36</v>
      </c>
      <c r="BE15" s="9">
        <f>BC15+BD15</f>
        <v/>
      </c>
      <c r="BF15" s="9">
        <f>BA15+BB15-BE15</f>
        <v/>
      </c>
      <c r="BG15" s="8" t="n">
        <v>0</v>
      </c>
      <c r="BH15" s="8" t="n">
        <v>0</v>
      </c>
      <c r="BI15" s="8" t="n">
        <v>0</v>
      </c>
      <c r="BJ15" s="8" t="n">
        <v>0</v>
      </c>
      <c r="BK15" s="9">
        <f>BI15+BJ15</f>
        <v/>
      </c>
      <c r="BL15" s="9">
        <f>BG15+BH15-BK15</f>
        <v/>
      </c>
      <c r="BM15" s="8" t="n">
        <v>0</v>
      </c>
      <c r="BN15" s="8" t="n">
        <v>0</v>
      </c>
      <c r="BO15" s="8" t="n">
        <v>0</v>
      </c>
      <c r="BP15" s="8" t="n">
        <v>0</v>
      </c>
      <c r="BQ15" s="9">
        <f>BO15+BP15</f>
        <v/>
      </c>
      <c r="BR15" s="9">
        <f>BM15+BN15-BQ15</f>
        <v/>
      </c>
      <c r="BS15" s="8" t="n">
        <v>0</v>
      </c>
      <c r="BT15" s="8" t="n">
        <v>0</v>
      </c>
      <c r="BU15" s="8" t="n">
        <v>0</v>
      </c>
      <c r="BV15" s="8" t="n">
        <v>0</v>
      </c>
      <c r="BW15" s="9">
        <f>BU15+BV15</f>
        <v/>
      </c>
      <c r="BX15" s="9">
        <f>BS15+BT15-BW15</f>
        <v/>
      </c>
      <c r="BY15" s="9">
        <f>BA15+BG15+BM15+BS15</f>
        <v/>
      </c>
      <c r="BZ15" s="9">
        <f>BB15+BH15+BN15+BT15</f>
        <v/>
      </c>
      <c r="CA15" s="9">
        <f>BE15+BK15+BQ15+BW15</f>
        <v/>
      </c>
      <c r="CB15" s="9">
        <f>BF15+BL15+BR15+BX15</f>
        <v/>
      </c>
      <c r="CC15" s="8" t="n">
        <v>36</v>
      </c>
      <c r="CD15" s="8" t="n">
        <v>1458</v>
      </c>
      <c r="CE15" s="8" t="n">
        <v>33</v>
      </c>
      <c r="CF15" s="8" t="n">
        <v>20</v>
      </c>
      <c r="CG15" s="8" t="n">
        <v>15</v>
      </c>
      <c r="CH15" s="9">
        <f>CD15+CE15+CF15+CG15</f>
        <v/>
      </c>
      <c r="CI15" s="8" t="n">
        <v>2896</v>
      </c>
      <c r="CJ15" s="8" t="n">
        <v>14</v>
      </c>
      <c r="CK15" s="8" t="n">
        <v>9</v>
      </c>
      <c r="CL15" s="8" t="n">
        <v>13</v>
      </c>
      <c r="CM15" s="9">
        <f>CI15+CJ15+CK15+CL15</f>
        <v/>
      </c>
      <c r="CN15" s="8" t="n">
        <v>1128</v>
      </c>
      <c r="CO15" s="8" t="n">
        <v>105</v>
      </c>
      <c r="CP15" s="8" t="n">
        <v>186</v>
      </c>
      <c r="CQ15" s="8" t="n">
        <v>0</v>
      </c>
      <c r="CR15" s="9">
        <f>CN15+CO15+CP15+CQ15</f>
        <v/>
      </c>
      <c r="CS15" s="9">
        <f>CM15+CR15</f>
        <v/>
      </c>
      <c r="CT15" s="8" t="n">
        <v>5877</v>
      </c>
      <c r="CU15" s="8" t="n">
        <v>33916</v>
      </c>
      <c r="CV15" s="8" t="n">
        <v>30524.4</v>
      </c>
      <c r="CW15" s="10">
        <f>IF(CU15=0,"",CV15/CU15)</f>
        <v/>
      </c>
      <c r="CX15" s="8" t="n"/>
      <c r="CY15" s="8" t="n"/>
      <c r="CZ15" s="8" t="n"/>
      <c r="DA15" s="8" t="n"/>
      <c r="DB15" s="9">
        <f>CX15+CY15-CZ15-DA15</f>
        <v/>
      </c>
      <c r="DC15" s="8" t="n">
        <v>0</v>
      </c>
      <c r="DD15" s="8" t="n">
        <v>0</v>
      </c>
      <c r="DE15" s="8" t="n">
        <v>0</v>
      </c>
      <c r="DF15" s="8" t="n">
        <v>0</v>
      </c>
      <c r="DG15" s="9">
        <f>DC15+DD15-DE15-DF15</f>
        <v/>
      </c>
      <c r="DH15" s="8" t="n">
        <v>0</v>
      </c>
      <c r="DI15" s="8" t="n">
        <v>0</v>
      </c>
      <c r="DJ15" s="8" t="n">
        <v>0</v>
      </c>
      <c r="DK15" s="8" t="n">
        <v>0</v>
      </c>
      <c r="DL15" s="9">
        <f>DH15+DI15-DJ15-DK15</f>
        <v/>
      </c>
      <c r="DM15" s="8" t="n">
        <v>293</v>
      </c>
      <c r="DN15" s="8" t="n">
        <v>0</v>
      </c>
      <c r="DO15" s="8" t="n">
        <v>0</v>
      </c>
      <c r="DP15" s="8" t="n">
        <v>39</v>
      </c>
      <c r="DQ15" s="9">
        <f>DM15+DN15-DO15-DP15</f>
        <v/>
      </c>
      <c r="DR15" s="9">
        <f>CX15+DC15+DH15+DM15</f>
        <v/>
      </c>
      <c r="DS15" s="9">
        <f>CY15+DD15+DI15+DN15</f>
        <v/>
      </c>
      <c r="DT15" s="9">
        <f>CZ15+DE15+DJ15+DO15</f>
        <v/>
      </c>
      <c r="DU15" s="9">
        <f>DA15+DF15+DK15+DP15</f>
        <v/>
      </c>
      <c r="DV15" s="9">
        <f>DB15+DG15+DL15+DQ15</f>
        <v/>
      </c>
      <c r="DW15" s="8" t="n">
        <v>94</v>
      </c>
      <c r="DX15" s="8" t="n">
        <v>28</v>
      </c>
      <c r="DY15" s="8" t="n">
        <v>14</v>
      </c>
      <c r="DZ15" s="8" t="n">
        <v>4</v>
      </c>
      <c r="EA15" s="8" t="n">
        <v>2</v>
      </c>
      <c r="EB15" s="8" t="n">
        <v>8</v>
      </c>
      <c r="EC15" s="8" t="n">
        <v>0</v>
      </c>
      <c r="ED15" s="8" t="n">
        <v>4</v>
      </c>
      <c r="EE15" s="8" t="n">
        <v>18</v>
      </c>
      <c r="EF15" s="8" t="n">
        <v>9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8" t="n">
        <v>0</v>
      </c>
      <c r="EN15" s="8" t="n">
        <v>0</v>
      </c>
      <c r="EO15" s="8" t="n">
        <v>0</v>
      </c>
      <c r="EP15" s="8" t="n">
        <v>0</v>
      </c>
      <c r="EQ15" s="8" t="n">
        <v>0</v>
      </c>
      <c r="ER15" s="8" t="n">
        <v>0</v>
      </c>
      <c r="ES15" s="8" t="n">
        <v>0</v>
      </c>
      <c r="ET15" s="8" t="n">
        <v>0</v>
      </c>
      <c r="EU15" s="8" t="n">
        <v>0</v>
      </c>
      <c r="EV15" s="8" t="n">
        <v>0</v>
      </c>
      <c r="EW15" s="8" t="n">
        <v>0</v>
      </c>
      <c r="EX15" s="8" t="n">
        <v>0</v>
      </c>
      <c r="EY15" s="8" t="n">
        <v>0</v>
      </c>
      <c r="EZ15" s="8" t="n">
        <v>0</v>
      </c>
      <c r="FA15" s="8" t="n">
        <v>0</v>
      </c>
      <c r="FB15" s="8" t="n">
        <v>0</v>
      </c>
      <c r="FC15" s="8" t="n">
        <v>0</v>
      </c>
      <c r="FD15" s="8" t="n">
        <v>0</v>
      </c>
      <c r="FE15" s="8" t="n">
        <v>0</v>
      </c>
      <c r="FF15" s="8" t="n">
        <v>0</v>
      </c>
      <c r="FG15" s="9">
        <f>SUM(DW15,DX15,DY15,DZ15,EA15,EB15,EC15,ED15,EE15,EF15,EG15,EH15,EI15,EJ15,EK15,EL15,EM15,EN15,EO15,EP15,EQ15,ER15,ES15,ET15,EU15,EV15,EW15,EX15,EY15,EZ15,FA15,FB15,FC15,FD15,FE15,FF15)</f>
        <v/>
      </c>
      <c r="FH15" s="8" t="n">
        <v>1</v>
      </c>
      <c r="FI15" s="8" t="n">
        <v>56</v>
      </c>
      <c r="FJ15" s="8" t="n">
        <v>720</v>
      </c>
      <c r="FK15" s="8" t="n">
        <v>0</v>
      </c>
      <c r="FL15" s="8" t="n">
        <v>0</v>
      </c>
      <c r="FM15" s="8" t="n">
        <v>0</v>
      </c>
      <c r="FN15" s="8" t="n">
        <v>0</v>
      </c>
      <c r="FO15" s="8" t="n">
        <v>0</v>
      </c>
      <c r="FP15" s="8" t="n">
        <v>0</v>
      </c>
      <c r="FQ15" s="9">
        <f>FL15+FM15+FN15+FO15+FP15</f>
        <v/>
      </c>
      <c r="FR15" s="8" t="n">
        <v>22564673.44</v>
      </c>
      <c r="FS15" s="8" t="n">
        <v>32500</v>
      </c>
      <c r="FT15" s="8" t="n">
        <v>4754131.31</v>
      </c>
      <c r="FU15" s="8" t="n">
        <v>5141655.81</v>
      </c>
      <c r="FV15" s="9">
        <f>FR15+FS15+FT15+FU15</f>
        <v/>
      </c>
      <c r="FW15" s="8" t="n">
        <v>13947464.58</v>
      </c>
      <c r="FX15" s="8" t="n">
        <v>0</v>
      </c>
      <c r="FY15" s="8" t="n">
        <v>9263418.09</v>
      </c>
      <c r="FZ15" s="8" t="n">
        <v>3163124.8</v>
      </c>
      <c r="GA15" s="9">
        <f>FW15+FX15+FY15+FZ15</f>
        <v/>
      </c>
      <c r="GB15" s="9">
        <f>FV15+GA15</f>
        <v/>
      </c>
      <c r="GC15" s="8" t="n">
        <v>27814108.51</v>
      </c>
      <c r="GD15" s="8" t="n">
        <v>185541.6</v>
      </c>
      <c r="GE15" s="8" t="n">
        <v>3178071.64</v>
      </c>
      <c r="GF15" s="8" t="n">
        <v>1654100.61</v>
      </c>
      <c r="GG15" s="9">
        <f>GC15+GD15+GE15+GF15</f>
        <v/>
      </c>
      <c r="GH15" s="8" t="n">
        <v>13814124.93999999</v>
      </c>
      <c r="GI15" s="8" t="n">
        <v>0</v>
      </c>
      <c r="GJ15" s="8" t="n">
        <v>2971124.8</v>
      </c>
      <c r="GK15" s="8" t="n">
        <v>8921850.390000001</v>
      </c>
      <c r="GL15" s="9">
        <f>GH15+GI15+GJ15+GK15</f>
        <v/>
      </c>
      <c r="GM15" s="9">
        <f>GG15+GL15</f>
        <v/>
      </c>
      <c r="GN15" s="8" t="n">
        <v>1551321.15</v>
      </c>
      <c r="GO15" s="8" t="n">
        <v>2486.64</v>
      </c>
      <c r="GP15" s="8" t="n">
        <v>47510.96</v>
      </c>
      <c r="GQ15" s="8" t="n">
        <v>41736.06</v>
      </c>
      <c r="GR15" s="9">
        <f>GN15+GO15+GP15+GQ15</f>
        <v/>
      </c>
      <c r="GS15" s="8" t="n">
        <v>2586128</v>
      </c>
      <c r="GT15" s="8" t="n">
        <v>11609</v>
      </c>
      <c r="GU15" s="8" t="n">
        <v>12502</v>
      </c>
      <c r="GV15" s="8" t="n">
        <v>8037</v>
      </c>
      <c r="GW15" s="9">
        <f>GS15+GT15+GU15+GV15</f>
        <v/>
      </c>
      <c r="GX15" s="9">
        <f>GM15+GR15+GW15</f>
        <v/>
      </c>
      <c r="GY15" s="8" t="n">
        <v>226342545.1</v>
      </c>
      <c r="GZ15" s="8" t="n">
        <v>8416922.300000001</v>
      </c>
      <c r="HA15" s="9">
        <f>GY15+GZ15</f>
        <v/>
      </c>
      <c r="HB15" s="9">
        <f>IF(GX15=0,"",AU15/GX15)</f>
        <v/>
      </c>
      <c r="HC15" s="10">
        <f>IF((GX15+GY15)=0,"",GB15/(GX15+GY15))</f>
        <v/>
      </c>
      <c r="HD15" s="9">
        <f>IF(GX15=0,"",GB15/GX15)</f>
        <v/>
      </c>
      <c r="HE15" s="8" t="n">
        <v>42</v>
      </c>
      <c r="HF15" s="8" t="n">
        <v>20</v>
      </c>
      <c r="HG15" s="8" t="n">
        <v>684</v>
      </c>
      <c r="HH15" s="8" t="n">
        <v>42</v>
      </c>
      <c r="HI15" s="8" t="n">
        <v>20</v>
      </c>
      <c r="HJ15" s="9">
        <f>HF15+HI15</f>
        <v/>
      </c>
      <c r="HK15" s="10">
        <f>IF(HE15=0,"",HH15/HE15)</f>
        <v/>
      </c>
      <c r="HL15" s="8" t="n">
        <v>12</v>
      </c>
      <c r="HM15" s="8" t="n">
        <v>30</v>
      </c>
      <c r="HN15" s="11">
        <f>IF(HL15=0,"",HM15/HL15)</f>
        <v/>
      </c>
    </row>
    <row r="16">
      <c r="A16" s="12" t="inlineStr">
        <is>
          <t>Liwonde</t>
        </is>
      </c>
      <c r="B16" s="12" t="inlineStr">
        <is>
          <t>Liwonde</t>
        </is>
      </c>
      <c r="C16" s="13" t="inlineStr">
        <is>
          <t>FY2025/26</t>
        </is>
      </c>
      <c r="D16" s="13" t="n">
        <v>2025</v>
      </c>
      <c r="E16" s="13" t="n">
        <v>5</v>
      </c>
      <c r="F16" s="13" t="inlineStr">
        <is>
          <t>May</t>
        </is>
      </c>
      <c r="G16" s="13" t="inlineStr">
        <is>
          <t>Q1</t>
        </is>
      </c>
      <c r="H16" s="14" t="n">
        <v>60718</v>
      </c>
      <c r="I16" s="14" t="n">
        <v>23130</v>
      </c>
      <c r="J16" s="14" t="n">
        <v>476</v>
      </c>
      <c r="K16" s="14" t="n">
        <v>617</v>
      </c>
      <c r="L16" s="14" t="n">
        <v>290</v>
      </c>
      <c r="M16" s="15">
        <f>SUM(I16,J16,K16,L16)</f>
        <v/>
      </c>
      <c r="N16" s="14" t="n">
        <v>11701.7</v>
      </c>
      <c r="O16" s="14" t="n">
        <v>0</v>
      </c>
      <c r="P16" s="14" t="n">
        <v>4927.5</v>
      </c>
      <c r="Q16" s="14" t="n">
        <v>1757.4</v>
      </c>
      <c r="R16" s="15">
        <f>SUM(N16,O16,P16,Q16)</f>
        <v/>
      </c>
      <c r="S16" s="15">
        <f>M16+R16</f>
        <v/>
      </c>
      <c r="T16" s="14" t="n">
        <v>17818.4</v>
      </c>
      <c r="U16" s="16">
        <f>IF(H16=0,"",T16/H16)</f>
        <v/>
      </c>
      <c r="V16" s="14" t="n">
        <v>324</v>
      </c>
      <c r="W16" s="17">
        <f>IF(H16=0,"",V16/H16)</f>
        <v/>
      </c>
      <c r="X16" s="14" t="n">
        <v>225</v>
      </c>
      <c r="Y16" s="17">
        <f>IF(H16=0,"",X16/H16)</f>
        <v/>
      </c>
      <c r="Z16" s="14" t="n">
        <v>0</v>
      </c>
      <c r="AA16" s="17">
        <f>IF(H16=0,"",Z16/H16)</f>
        <v/>
      </c>
      <c r="AB16" s="14" t="n">
        <v>336</v>
      </c>
      <c r="AC16" s="17">
        <f>IF(H16=0,"",AB16/H16)</f>
        <v/>
      </c>
      <c r="AD16" s="14" t="n">
        <v>0</v>
      </c>
      <c r="AE16" s="17">
        <f>IF(H16=0,"",AD16/H16)</f>
        <v/>
      </c>
      <c r="AF16" s="14" t="n">
        <v>0</v>
      </c>
      <c r="AG16" s="17">
        <f>IF(H16=0,"",AF16/H16)</f>
        <v/>
      </c>
      <c r="AH16" s="14" t="n">
        <v>2632876.1283</v>
      </c>
      <c r="AI16" s="15">
        <f>IF(H16=0,"",AH16/H16)</f>
        <v/>
      </c>
      <c r="AJ16" s="14" t="n">
        <v>55348.8</v>
      </c>
      <c r="AK16" s="17">
        <f>IF(H16=0,"",AJ16/H16)</f>
        <v/>
      </c>
      <c r="AL16" s="14" t="n">
        <v>9272413.012000002</v>
      </c>
      <c r="AM16" s="15">
        <f>IF(H16=0,"",AL16/H16)</f>
        <v/>
      </c>
      <c r="AN16" s="14" t="n">
        <v>2559</v>
      </c>
      <c r="AO16" s="14" t="n">
        <v>436</v>
      </c>
      <c r="AP16" s="14" t="n">
        <v>1192024</v>
      </c>
      <c r="AQ16" s="14" t="n">
        <v>0</v>
      </c>
      <c r="AR16" s="14" t="n">
        <v>15993838.8</v>
      </c>
      <c r="AS16" s="14" t="n">
        <v>4019251.08</v>
      </c>
      <c r="AT16" s="14" t="n">
        <v>293286.24</v>
      </c>
      <c r="AU16" s="15">
        <f>AH16+AL16+AP16+AQ16+AR16+AS16+AT16</f>
        <v/>
      </c>
      <c r="AV16" s="15">
        <f>IF(H16=0,"",AU16/H16)</f>
        <v/>
      </c>
      <c r="AW16" s="15">
        <f>IF(S16=0,"",AU16/S16)</f>
        <v/>
      </c>
      <c r="AX16" s="14" t="n">
        <v>24</v>
      </c>
      <c r="AY16" s="15">
        <f>IF(H16=0,"",AX16/(H16/1000/12))</f>
        <v/>
      </c>
      <c r="AZ16" s="14" t="n">
        <v>46</v>
      </c>
      <c r="BA16" s="14" t="n">
        <v>684</v>
      </c>
      <c r="BB16" s="14" t="n">
        <v>22</v>
      </c>
      <c r="BC16" s="14" t="n">
        <v>0</v>
      </c>
      <c r="BD16" s="14" t="n">
        <v>20</v>
      </c>
      <c r="BE16" s="15">
        <f>BC16+BD16</f>
        <v/>
      </c>
      <c r="BF16" s="15">
        <f>BA16+BB16-BE16</f>
        <v/>
      </c>
      <c r="BG16" s="14" t="n">
        <v>0</v>
      </c>
      <c r="BH16" s="14" t="n">
        <v>0</v>
      </c>
      <c r="BI16" s="14" t="n">
        <v>0</v>
      </c>
      <c r="BJ16" s="14" t="n">
        <v>0</v>
      </c>
      <c r="BK16" s="15">
        <f>BI16+BJ16</f>
        <v/>
      </c>
      <c r="BL16" s="15">
        <f>BG16+BH16-BK16</f>
        <v/>
      </c>
      <c r="BM16" s="14" t="n">
        <v>0</v>
      </c>
      <c r="BN16" s="14" t="n">
        <v>0</v>
      </c>
      <c r="BO16" s="14" t="n">
        <v>0</v>
      </c>
      <c r="BP16" s="14" t="n">
        <v>0</v>
      </c>
      <c r="BQ16" s="15">
        <f>BO16+BP16</f>
        <v/>
      </c>
      <c r="BR16" s="15">
        <f>BM16+BN16-BQ16</f>
        <v/>
      </c>
      <c r="BS16" s="14" t="n">
        <v>0</v>
      </c>
      <c r="BT16" s="14" t="n">
        <v>0</v>
      </c>
      <c r="BU16" s="14" t="n">
        <v>0</v>
      </c>
      <c r="BV16" s="14" t="n">
        <v>0</v>
      </c>
      <c r="BW16" s="15">
        <f>BU16+BV16</f>
        <v/>
      </c>
      <c r="BX16" s="15">
        <f>BS16+BT16-BW16</f>
        <v/>
      </c>
      <c r="BY16" s="15">
        <f>BA16+BG16+BM16+BS16</f>
        <v/>
      </c>
      <c r="BZ16" s="15">
        <f>BB16+BH16+BN16+BT16</f>
        <v/>
      </c>
      <c r="CA16" s="15">
        <f>BE16+BK16+BQ16+BW16</f>
        <v/>
      </c>
      <c r="CB16" s="15">
        <f>BF16+BL16+BR16+BX16</f>
        <v/>
      </c>
      <c r="CC16" s="14" t="n">
        <v>20</v>
      </c>
      <c r="CD16" s="14" t="n">
        <v>1504</v>
      </c>
      <c r="CE16" s="14" t="n">
        <v>33</v>
      </c>
      <c r="CF16" s="14" t="n">
        <v>20</v>
      </c>
      <c r="CG16" s="14" t="n">
        <v>15</v>
      </c>
      <c r="CH16" s="15">
        <f>CD16+CE16+CF16+CG16</f>
        <v/>
      </c>
      <c r="CI16" s="14" t="n">
        <v>2855</v>
      </c>
      <c r="CJ16" s="14" t="n">
        <v>12</v>
      </c>
      <c r="CK16" s="14" t="n">
        <v>7</v>
      </c>
      <c r="CL16" s="14" t="n">
        <v>12</v>
      </c>
      <c r="CM16" s="15">
        <f>CI16+CJ16+CK16+CL16</f>
        <v/>
      </c>
      <c r="CN16" s="14" t="n">
        <v>1148</v>
      </c>
      <c r="CO16" s="14" t="n">
        <v>105</v>
      </c>
      <c r="CP16" s="14" t="n">
        <v>186</v>
      </c>
      <c r="CQ16" s="14" t="n">
        <v>0</v>
      </c>
      <c r="CR16" s="15">
        <f>CN16+CO16+CP16+CQ16</f>
        <v/>
      </c>
      <c r="CS16" s="15">
        <f>CM16+CR16</f>
        <v/>
      </c>
      <c r="CT16" s="14" t="n">
        <v>5897</v>
      </c>
      <c r="CU16" s="14" t="n">
        <v>33991</v>
      </c>
      <c r="CV16" s="14" t="n">
        <v>30591</v>
      </c>
      <c r="CW16" s="16">
        <f>IF(CU16=0,"",CV16/CU16)</f>
        <v/>
      </c>
      <c r="CX16" s="14" t="n"/>
      <c r="CY16" s="14" t="n"/>
      <c r="CZ16" s="14" t="n"/>
      <c r="DA16" s="14" t="n"/>
      <c r="DB16" s="15">
        <f>CX16+CY16-CZ16-DA16</f>
        <v/>
      </c>
      <c r="DC16" s="14" t="n">
        <v>0</v>
      </c>
      <c r="DD16" s="14" t="n">
        <v>0</v>
      </c>
      <c r="DE16" s="14" t="n">
        <v>0</v>
      </c>
      <c r="DF16" s="14" t="n">
        <v>0</v>
      </c>
      <c r="DG16" s="15">
        <f>DC16+DD16-DE16-DF16</f>
        <v/>
      </c>
      <c r="DH16" s="14" t="n">
        <v>0</v>
      </c>
      <c r="DI16" s="14" t="n">
        <v>0</v>
      </c>
      <c r="DJ16" s="14" t="n">
        <v>0</v>
      </c>
      <c r="DK16" s="14" t="n">
        <v>0</v>
      </c>
      <c r="DL16" s="15">
        <f>DH16+DI16-DJ16-DK16</f>
        <v/>
      </c>
      <c r="DM16" s="14" t="n">
        <v>254</v>
      </c>
      <c r="DN16" s="14" t="n">
        <v>18</v>
      </c>
      <c r="DO16" s="14" t="n">
        <v>0</v>
      </c>
      <c r="DP16" s="14" t="n">
        <v>4</v>
      </c>
      <c r="DQ16" s="15">
        <f>DM16+DN16-DO16-DP16</f>
        <v/>
      </c>
      <c r="DR16" s="15">
        <f>CX16+DC16+DH16+DM16</f>
        <v/>
      </c>
      <c r="DS16" s="15">
        <f>CY16+DD16+DI16+DN16</f>
        <v/>
      </c>
      <c r="DT16" s="15">
        <f>CZ16+DE16+DJ16+DO16</f>
        <v/>
      </c>
      <c r="DU16" s="15">
        <f>DA16+DF16+DK16+DP16</f>
        <v/>
      </c>
      <c r="DV16" s="15">
        <f>DB16+DG16+DL16+DQ16</f>
        <v/>
      </c>
      <c r="DW16" s="14" t="n">
        <v>91</v>
      </c>
      <c r="DX16" s="14" t="n">
        <v>52</v>
      </c>
      <c r="DY16" s="14" t="n">
        <v>6</v>
      </c>
      <c r="DZ16" s="14" t="n">
        <v>6</v>
      </c>
      <c r="EA16" s="14" t="n">
        <v>3</v>
      </c>
      <c r="EB16" s="14" t="n">
        <v>3</v>
      </c>
      <c r="EC16" s="14" t="n">
        <v>0</v>
      </c>
      <c r="ED16" s="14" t="n">
        <v>12</v>
      </c>
      <c r="EE16" s="14" t="n">
        <v>9</v>
      </c>
      <c r="EF16" s="14" t="n">
        <v>13</v>
      </c>
      <c r="EG16" s="14" t="n">
        <v>0</v>
      </c>
      <c r="EH16" s="14" t="n">
        <v>0</v>
      </c>
      <c r="EI16" s="14" t="n">
        <v>1</v>
      </c>
      <c r="EJ16" s="14" t="n">
        <v>0</v>
      </c>
      <c r="EK16" s="14" t="n">
        <v>0</v>
      </c>
      <c r="EL16" s="14" t="n">
        <v>0</v>
      </c>
      <c r="EM16" s="14" t="n">
        <v>0</v>
      </c>
      <c r="EN16" s="14" t="n">
        <v>0</v>
      </c>
      <c r="EO16" s="14" t="n">
        <v>0</v>
      </c>
      <c r="EP16" s="14" t="n">
        <v>0</v>
      </c>
      <c r="EQ16" s="14" t="n">
        <v>0</v>
      </c>
      <c r="ER16" s="14" t="n">
        <v>0</v>
      </c>
      <c r="ES16" s="14" t="n">
        <v>0</v>
      </c>
      <c r="ET16" s="14" t="n">
        <v>0</v>
      </c>
      <c r="EU16" s="14" t="n">
        <v>0</v>
      </c>
      <c r="EV16" s="14" t="n">
        <v>0</v>
      </c>
      <c r="EW16" s="14" t="n">
        <v>0</v>
      </c>
      <c r="EX16" s="14" t="n">
        <v>0</v>
      </c>
      <c r="EY16" s="14" t="n">
        <v>0</v>
      </c>
      <c r="EZ16" s="14" t="n">
        <v>0</v>
      </c>
      <c r="FA16" s="14" t="n">
        <v>0</v>
      </c>
      <c r="FB16" s="14" t="n">
        <v>0</v>
      </c>
      <c r="FC16" s="14" t="n">
        <v>0</v>
      </c>
      <c r="FD16" s="14" t="n">
        <v>0</v>
      </c>
      <c r="FE16" s="14" t="n">
        <v>0</v>
      </c>
      <c r="FF16" s="14" t="n">
        <v>0</v>
      </c>
      <c r="FG16" s="15">
        <f>SUM(DW16,DX16,DY16,DZ16,EA16,EB16,EC16,ED16,EE16,EF16,EG16,EH16,EI16,EJ16,EK16,EL16,EM16,EN16,EO16,EP16,EQ16,ER16,ES16,ET16,EU16,EV16,EW16,EX16,EY16,EZ16,FA16,FB16,FC16,FD16,FE16,FF16)</f>
        <v/>
      </c>
      <c r="FH16" s="14" t="n">
        <v>0</v>
      </c>
      <c r="FI16" s="14" t="n">
        <v>0</v>
      </c>
      <c r="FJ16" s="14" t="n">
        <v>720</v>
      </c>
      <c r="FK16" s="14" t="n">
        <v>0</v>
      </c>
      <c r="FL16" s="14" t="n">
        <v>0</v>
      </c>
      <c r="FM16" s="14" t="n">
        <v>0</v>
      </c>
      <c r="FN16" s="14" t="n">
        <v>0</v>
      </c>
      <c r="FO16" s="14" t="n">
        <v>500</v>
      </c>
      <c r="FP16" s="14" t="n">
        <v>0</v>
      </c>
      <c r="FQ16" s="15">
        <f>FL16+FM16+FN16+FO16+FP16</f>
        <v/>
      </c>
      <c r="FR16" s="14" t="n">
        <v>36178586.62</v>
      </c>
      <c r="FS16" s="14" t="n">
        <v>57000</v>
      </c>
      <c r="FT16" s="14" t="n">
        <v>2247970</v>
      </c>
      <c r="FU16" s="14" t="n">
        <v>94867.22</v>
      </c>
      <c r="FV16" s="15">
        <f>FR16+FS16+FT16+FU16</f>
        <v/>
      </c>
      <c r="FW16" s="14" t="n">
        <v>14753004.85</v>
      </c>
      <c r="FX16" s="14" t="n">
        <v>0</v>
      </c>
      <c r="FY16" s="14" t="n">
        <v>8492989.640000001</v>
      </c>
      <c r="FZ16" s="14" t="n">
        <v>15057333</v>
      </c>
      <c r="GA16" s="15">
        <f>FW16+FX16+FY16+FZ16</f>
        <v/>
      </c>
      <c r="GB16" s="15">
        <f>FV16+GA16</f>
        <v/>
      </c>
      <c r="GC16" s="14" t="n">
        <v>21883103.99</v>
      </c>
      <c r="GD16" s="14" t="n">
        <v>91049.28</v>
      </c>
      <c r="GE16" s="14" t="n">
        <v>2083115.36</v>
      </c>
      <c r="GF16" s="14" t="n">
        <v>1273569.61</v>
      </c>
      <c r="GG16" s="15">
        <f>GC16+GD16+GE16+GF16</f>
        <v/>
      </c>
      <c r="GH16" s="14" t="n">
        <v>14633439.35</v>
      </c>
      <c r="GI16" s="14" t="n">
        <v>0</v>
      </c>
      <c r="GJ16" s="14" t="n">
        <v>14902773.9</v>
      </c>
      <c r="GK16" s="14" t="n">
        <v>8286889.64</v>
      </c>
      <c r="GL16" s="15">
        <f>GH16+GI16+GJ16+GK16</f>
        <v/>
      </c>
      <c r="GM16" s="15">
        <f>GG16+GL16</f>
        <v/>
      </c>
      <c r="GN16" s="14" t="n">
        <v>1528918.01</v>
      </c>
      <c r="GO16" s="14" t="n">
        <v>2295.36</v>
      </c>
      <c r="GP16" s="14" t="n">
        <v>40723.68</v>
      </c>
      <c r="GQ16" s="14" t="n">
        <v>32461.38</v>
      </c>
      <c r="GR16" s="15">
        <f>GN16+GO16+GP16+GQ16</f>
        <v/>
      </c>
      <c r="GS16" s="14" t="n">
        <v>2549515</v>
      </c>
      <c r="GT16" s="14" t="n">
        <v>10716</v>
      </c>
      <c r="GU16" s="14" t="n">
        <v>10716</v>
      </c>
      <c r="GV16" s="14" t="n">
        <v>6251</v>
      </c>
      <c r="GW16" s="15">
        <f>GS16+GT16+GU16+GV16</f>
        <v/>
      </c>
      <c r="GX16" s="15">
        <f>GM16+GR16+GW16</f>
        <v/>
      </c>
      <c r="GY16" s="14" t="n">
        <v>215036695.409997</v>
      </c>
      <c r="GZ16" s="14" t="n">
        <v>10616782.82</v>
      </c>
      <c r="HA16" s="15">
        <f>GY16+GZ16</f>
        <v/>
      </c>
      <c r="HB16" s="15">
        <f>IF(GX16=0,"",AU16/GX16)</f>
        <v/>
      </c>
      <c r="HC16" s="16">
        <f>IF((GX16+GY16)=0,"",GB16/(GX16+GY16))</f>
        <v/>
      </c>
      <c r="HD16" s="15">
        <f>IF(GX16=0,"",GB16/GX16)</f>
        <v/>
      </c>
      <c r="HE16" s="14" t="n">
        <v>22</v>
      </c>
      <c r="HF16" s="14" t="n">
        <v>1</v>
      </c>
      <c r="HG16" s="14" t="n">
        <v>686</v>
      </c>
      <c r="HH16" s="14" t="n">
        <v>22</v>
      </c>
      <c r="HI16" s="14" t="n">
        <v>20</v>
      </c>
      <c r="HJ16" s="15">
        <f>HF16+HI16</f>
        <v/>
      </c>
      <c r="HK16" s="16">
        <f>IF(HE16=0,"",HH16/HE16)</f>
        <v/>
      </c>
      <c r="HL16" s="14" t="n">
        <v>14</v>
      </c>
      <c r="HM16" s="14" t="n">
        <v>30</v>
      </c>
      <c r="HN16" s="17">
        <f>IF(HL16=0,"",HM16/HL16)</f>
        <v/>
      </c>
    </row>
    <row r="17">
      <c r="A17" s="6" t="inlineStr">
        <is>
          <t>Liwonde</t>
        </is>
      </c>
      <c r="B17" s="6" t="inlineStr">
        <is>
          <t>Liwonde</t>
        </is>
      </c>
      <c r="C17" s="7" t="inlineStr">
        <is>
          <t>FY2025/26</t>
        </is>
      </c>
      <c r="D17" s="7" t="n">
        <v>2025</v>
      </c>
      <c r="E17" s="7" t="n">
        <v>6</v>
      </c>
      <c r="F17" s="7" t="inlineStr">
        <is>
          <t>June</t>
        </is>
      </c>
      <c r="G17" s="7" t="inlineStr">
        <is>
          <t>Q1</t>
        </is>
      </c>
      <c r="H17" s="8" t="n">
        <v>54718</v>
      </c>
      <c r="I17" s="8" t="n">
        <v>18981</v>
      </c>
      <c r="J17" s="8" t="n">
        <v>423</v>
      </c>
      <c r="K17" s="8" t="n">
        <v>494</v>
      </c>
      <c r="L17" s="8" t="n">
        <v>191</v>
      </c>
      <c r="M17" s="9">
        <f>SUM(I17,J17,K17,L17)</f>
        <v/>
      </c>
      <c r="N17" s="8" t="n">
        <v>12704.8</v>
      </c>
      <c r="O17" s="8" t="n">
        <v>0</v>
      </c>
      <c r="P17" s="8" t="n">
        <v>3456.1</v>
      </c>
      <c r="Q17" s="8" t="n">
        <v>1590.8</v>
      </c>
      <c r="R17" s="9">
        <f>SUM(N17,O17,P17,Q17)</f>
        <v/>
      </c>
      <c r="S17" s="9">
        <f>M17+R17</f>
        <v/>
      </c>
      <c r="T17" s="8" t="n">
        <v>16877.3</v>
      </c>
      <c r="U17" s="10">
        <f>IF(H17=0,"",T17/H17)</f>
        <v/>
      </c>
      <c r="V17" s="8" t="n">
        <v>276</v>
      </c>
      <c r="W17" s="11">
        <f>IF(H17=0,"",V17/H17)</f>
        <v/>
      </c>
      <c r="X17" s="8" t="n">
        <v>0</v>
      </c>
      <c r="Y17" s="11">
        <f>IF(H17=0,"",X17/H17)</f>
        <v/>
      </c>
      <c r="Z17" s="8" t="n">
        <v>0</v>
      </c>
      <c r="AA17" s="11">
        <f>IF(H17=0,"",Z17/H17)</f>
        <v/>
      </c>
      <c r="AB17" s="8" t="n">
        <v>432</v>
      </c>
      <c r="AC17" s="11">
        <f>IF(H17=0,"",AB17/H17)</f>
        <v/>
      </c>
      <c r="AD17" s="8" t="n">
        <v>0</v>
      </c>
      <c r="AE17" s="11">
        <f>IF(H17=0,"",AD17/H17)</f>
        <v/>
      </c>
      <c r="AF17" s="8" t="n">
        <v>0</v>
      </c>
      <c r="AG17" s="11">
        <f>IF(H17=0,"",AF17/H17)</f>
        <v/>
      </c>
      <c r="AH17" s="8" t="n">
        <v>2582925.5856</v>
      </c>
      <c r="AI17" s="9">
        <f>IF(H17=0,"",AH17/H17)</f>
        <v/>
      </c>
      <c r="AJ17" s="8" t="n">
        <v>71480</v>
      </c>
      <c r="AK17" s="11">
        <f>IF(H17=0,"",AJ17/H17)</f>
        <v/>
      </c>
      <c r="AL17" s="8" t="n">
        <v>11969186.7</v>
      </c>
      <c r="AM17" s="9">
        <f>IF(H17=0,"",AL17/H17)</f>
        <v/>
      </c>
      <c r="AN17" s="8" t="n">
        <v>2274</v>
      </c>
      <c r="AO17" s="8" t="n">
        <v>294</v>
      </c>
      <c r="AP17" s="8" t="n">
        <v>803796</v>
      </c>
      <c r="AQ17" s="8" t="n">
        <v>0</v>
      </c>
      <c r="AR17" s="8" t="n">
        <v>16837531.72</v>
      </c>
      <c r="AS17" s="8" t="n">
        <v>5358554.32</v>
      </c>
      <c r="AT17" s="8" t="n">
        <v>19454059.48</v>
      </c>
      <c r="AU17" s="9">
        <f>AH17+AL17+AP17+AQ17+AR17+AS17+AT17</f>
        <v/>
      </c>
      <c r="AV17" s="9">
        <f>IF(H17=0,"",AU17/H17)</f>
        <v/>
      </c>
      <c r="AW17" s="9">
        <f>IF(S17=0,"",AU17/S17)</f>
        <v/>
      </c>
      <c r="AX17" s="8" t="n">
        <v>24</v>
      </c>
      <c r="AY17" s="9">
        <f>IF(H17=0,"",AX17/(H17/1000/12))</f>
        <v/>
      </c>
      <c r="AZ17" s="8" t="n">
        <v>46</v>
      </c>
      <c r="BA17" s="8" t="n">
        <v>686</v>
      </c>
      <c r="BB17" s="8" t="n">
        <v>48</v>
      </c>
      <c r="BC17" s="8" t="n">
        <v>0</v>
      </c>
      <c r="BD17" s="8" t="n">
        <v>22</v>
      </c>
      <c r="BE17" s="9">
        <f>BC17+BD17</f>
        <v/>
      </c>
      <c r="BF17" s="9">
        <f>BA17+BB17-BE17</f>
        <v/>
      </c>
      <c r="BG17" s="8" t="n">
        <v>0</v>
      </c>
      <c r="BH17" s="8" t="n">
        <v>0</v>
      </c>
      <c r="BI17" s="8" t="n">
        <v>0</v>
      </c>
      <c r="BJ17" s="8" t="n">
        <v>0</v>
      </c>
      <c r="BK17" s="9">
        <f>BI17+BJ17</f>
        <v/>
      </c>
      <c r="BL17" s="9">
        <f>BG17+BH17-BK17</f>
        <v/>
      </c>
      <c r="BM17" s="8" t="n">
        <v>0</v>
      </c>
      <c r="BN17" s="8" t="n">
        <v>0</v>
      </c>
      <c r="BO17" s="8" t="n">
        <v>0</v>
      </c>
      <c r="BP17" s="8" t="n">
        <v>0</v>
      </c>
      <c r="BQ17" s="9">
        <f>BO17+BP17</f>
        <v/>
      </c>
      <c r="BR17" s="9">
        <f>BM17+BN17-BQ17</f>
        <v/>
      </c>
      <c r="BS17" s="8" t="n">
        <v>0</v>
      </c>
      <c r="BT17" s="8" t="n">
        <v>0</v>
      </c>
      <c r="BU17" s="8" t="n">
        <v>0</v>
      </c>
      <c r="BV17" s="8" t="n">
        <v>0</v>
      </c>
      <c r="BW17" s="9">
        <f>BU17+BV17</f>
        <v/>
      </c>
      <c r="BX17" s="9">
        <f>BS17+BT17-BW17</f>
        <v/>
      </c>
      <c r="BY17" s="9">
        <f>BA17+BG17+BM17+BS17</f>
        <v/>
      </c>
      <c r="BZ17" s="9">
        <f>BB17+BH17+BN17+BT17</f>
        <v/>
      </c>
      <c r="CA17" s="9">
        <f>BE17+BK17+BQ17+BW17</f>
        <v/>
      </c>
      <c r="CB17" s="9">
        <f>BF17+BL17+BR17+BX17</f>
        <v/>
      </c>
      <c r="CC17" s="8" t="n">
        <v>63</v>
      </c>
      <c r="CD17" s="8" t="n">
        <v>1689</v>
      </c>
      <c r="CE17" s="8" t="n">
        <v>33</v>
      </c>
      <c r="CF17" s="8" t="n">
        <v>20</v>
      </c>
      <c r="CG17" s="8" t="n">
        <v>15</v>
      </c>
      <c r="CH17" s="9">
        <f>CD17+CE17+CF17+CG17</f>
        <v/>
      </c>
      <c r="CI17" s="8" t="n">
        <v>2604</v>
      </c>
      <c r="CJ17" s="8" t="n">
        <v>10</v>
      </c>
      <c r="CK17" s="8" t="n">
        <v>6</v>
      </c>
      <c r="CL17" s="8" t="n">
        <v>7</v>
      </c>
      <c r="CM17" s="9">
        <f>CI17+CJ17+CK17+CL17</f>
        <v/>
      </c>
      <c r="CN17" s="8" t="n">
        <v>1383</v>
      </c>
      <c r="CO17" s="8" t="n">
        <v>44</v>
      </c>
      <c r="CP17" s="8" t="n">
        <v>108</v>
      </c>
      <c r="CQ17" s="8" t="n">
        <v>0</v>
      </c>
      <c r="CR17" s="9">
        <f>CN17+CO17+CP17+CQ17</f>
        <v/>
      </c>
      <c r="CS17" s="9">
        <f>CM17+CR17</f>
        <v/>
      </c>
      <c r="CT17" s="8" t="n">
        <v>5919</v>
      </c>
      <c r="CU17" s="8" t="n">
        <v>34068</v>
      </c>
      <c r="CV17" s="8" t="n">
        <v>30591</v>
      </c>
      <c r="CW17" s="10">
        <f>IF(CU17=0,"",CV17/CU17)</f>
        <v/>
      </c>
      <c r="CX17" s="8" t="n"/>
      <c r="CY17" s="8" t="n"/>
      <c r="CZ17" s="8" t="n"/>
      <c r="DA17" s="8" t="n"/>
      <c r="DB17" s="9">
        <f>CX17+CY17-CZ17-DA17</f>
        <v/>
      </c>
      <c r="DC17" s="8" t="n">
        <v>0</v>
      </c>
      <c r="DD17" s="8" t="n">
        <v>0</v>
      </c>
      <c r="DE17" s="8" t="n">
        <v>0</v>
      </c>
      <c r="DF17" s="8" t="n">
        <v>0</v>
      </c>
      <c r="DG17" s="9">
        <f>DC17+DD17-DE17-DF17</f>
        <v/>
      </c>
      <c r="DH17" s="8" t="n">
        <v>0</v>
      </c>
      <c r="DI17" s="8" t="n">
        <v>0</v>
      </c>
      <c r="DJ17" s="8" t="n">
        <v>0</v>
      </c>
      <c r="DK17" s="8" t="n">
        <v>0</v>
      </c>
      <c r="DL17" s="9">
        <f>DH17+DI17-DJ17-DK17</f>
        <v/>
      </c>
      <c r="DM17" s="8" t="n">
        <v>268</v>
      </c>
      <c r="DN17" s="8" t="n">
        <v>3</v>
      </c>
      <c r="DO17" s="8" t="n">
        <v>0</v>
      </c>
      <c r="DP17" s="8" t="n">
        <v>0</v>
      </c>
      <c r="DQ17" s="9">
        <f>DM17+DN17-DO17-DP17</f>
        <v/>
      </c>
      <c r="DR17" s="9">
        <f>CX17+DC17+DH17+DM17</f>
        <v/>
      </c>
      <c r="DS17" s="9">
        <f>CY17+DD17+DI17+DN17</f>
        <v/>
      </c>
      <c r="DT17" s="9">
        <f>CZ17+DE17+DJ17+DO17</f>
        <v/>
      </c>
      <c r="DU17" s="9">
        <f>DA17+DF17+DK17+DP17</f>
        <v/>
      </c>
      <c r="DV17" s="9">
        <f>DB17+DG17+DL17+DQ17</f>
        <v/>
      </c>
      <c r="DW17" s="8" t="n">
        <v>72</v>
      </c>
      <c r="DX17" s="8" t="n">
        <v>44</v>
      </c>
      <c r="DY17" s="8" t="n">
        <v>28</v>
      </c>
      <c r="DZ17" s="8" t="n">
        <v>2</v>
      </c>
      <c r="EA17" s="8" t="n">
        <v>2</v>
      </c>
      <c r="EB17" s="8" t="n">
        <v>5</v>
      </c>
      <c r="EC17" s="8" t="n">
        <v>2</v>
      </c>
      <c r="ED17" s="8" t="n">
        <v>6</v>
      </c>
      <c r="EE17" s="8" t="n">
        <v>9</v>
      </c>
      <c r="EF17" s="8" t="n">
        <v>2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8" t="n">
        <v>0</v>
      </c>
      <c r="EN17" s="8" t="n">
        <v>0</v>
      </c>
      <c r="EO17" s="8" t="n">
        <v>0</v>
      </c>
      <c r="EP17" s="8" t="n">
        <v>0</v>
      </c>
      <c r="EQ17" s="8" t="n">
        <v>0</v>
      </c>
      <c r="ER17" s="8" t="n">
        <v>0</v>
      </c>
      <c r="ES17" s="8" t="n">
        <v>0</v>
      </c>
      <c r="ET17" s="8" t="n">
        <v>0</v>
      </c>
      <c r="EU17" s="8" t="n">
        <v>0</v>
      </c>
      <c r="EV17" s="8" t="n">
        <v>0</v>
      </c>
      <c r="EW17" s="8" t="n">
        <v>0</v>
      </c>
      <c r="EX17" s="8" t="n">
        <v>0</v>
      </c>
      <c r="EY17" s="8" t="n">
        <v>0</v>
      </c>
      <c r="EZ17" s="8" t="n">
        <v>0</v>
      </c>
      <c r="FA17" s="8" t="n">
        <v>0</v>
      </c>
      <c r="FB17" s="8" t="n">
        <v>0</v>
      </c>
      <c r="FC17" s="8" t="n">
        <v>0</v>
      </c>
      <c r="FD17" s="8" t="n">
        <v>0</v>
      </c>
      <c r="FE17" s="8" t="n">
        <v>0</v>
      </c>
      <c r="FF17" s="8" t="n">
        <v>0</v>
      </c>
      <c r="FG17" s="9">
        <f>SUM(DW17,DX17,DY17,DZ17,EA17,EB17,EC17,ED17,EE17,EF17,EG17,EH17,EI17,EJ17,EK17,EL17,EM17,EN17,EO17,EP17,EQ17,ER17,ES17,ET17,EU17,EV17,EW17,EX17,EY17,EZ17,FA17,FB17,FC17,FD17,FE17,FF17)</f>
        <v/>
      </c>
      <c r="FH17" s="8" t="n">
        <v>0</v>
      </c>
      <c r="FI17" s="8" t="n">
        <v>0</v>
      </c>
      <c r="FJ17" s="8" t="n">
        <v>644</v>
      </c>
      <c r="FK17" s="8" t="n">
        <v>21</v>
      </c>
      <c r="FL17" s="8" t="n">
        <v>0</v>
      </c>
      <c r="FM17" s="8" t="n">
        <v>0</v>
      </c>
      <c r="FN17" s="8" t="n">
        <v>0</v>
      </c>
      <c r="FO17" s="8" t="n">
        <v>0</v>
      </c>
      <c r="FP17" s="8" t="n">
        <v>0</v>
      </c>
      <c r="FQ17" s="9">
        <f>FL17+FM17+FN17+FO17+FP17</f>
        <v/>
      </c>
      <c r="FR17" s="8" t="n">
        <v>55231037.0799999</v>
      </c>
      <c r="FS17" s="8" t="n">
        <v>337100</v>
      </c>
      <c r="FT17" s="8" t="n">
        <v>1875470</v>
      </c>
      <c r="FU17" s="8" t="n">
        <v>295934.44</v>
      </c>
      <c r="FV17" s="9">
        <f>FR17+FS17+FT17+FU17</f>
        <v/>
      </c>
      <c r="FW17" s="8" t="n">
        <v>16014953.61</v>
      </c>
      <c r="FX17" s="8" t="n">
        <v>0</v>
      </c>
      <c r="FY17" s="8" t="n">
        <v>7768191</v>
      </c>
      <c r="FZ17" s="8" t="n">
        <v>10438909.4</v>
      </c>
      <c r="GA17" s="9">
        <f>FW17+FX17+FY17+FZ17</f>
        <v/>
      </c>
      <c r="GB17" s="9">
        <f>FV17+GA17</f>
        <v/>
      </c>
      <c r="GC17" s="8" t="n">
        <v>17723557.82</v>
      </c>
      <c r="GD17" s="8" t="n">
        <v>80911.44</v>
      </c>
      <c r="GE17" s="8" t="n">
        <v>1664197.55</v>
      </c>
      <c r="GF17" s="8" t="n">
        <v>824838.04</v>
      </c>
      <c r="GG17" s="9">
        <f>GC17+GD17+GE17+GF17</f>
        <v/>
      </c>
      <c r="GH17" s="8" t="n">
        <v>15919638.83999998</v>
      </c>
      <c r="GI17" s="8" t="n">
        <v>0</v>
      </c>
      <c r="GJ17" s="8" t="n">
        <v>10395380.33</v>
      </c>
      <c r="GK17" s="8" t="n">
        <v>7454188.66</v>
      </c>
      <c r="GL17" s="9">
        <f>GH17+GI17+GJ17+GK17</f>
        <v/>
      </c>
      <c r="GM17" s="9">
        <f>GG17+GL17</f>
        <v/>
      </c>
      <c r="GN17" s="8" t="n">
        <v>1395340.86</v>
      </c>
      <c r="GO17" s="8" t="n">
        <v>1338.96</v>
      </c>
      <c r="GP17" s="8" t="n">
        <v>33936.4</v>
      </c>
      <c r="GQ17" s="8" t="n">
        <v>27824.04</v>
      </c>
      <c r="GR17" s="9">
        <f>GN17+GO17+GP17+GQ17</f>
        <v/>
      </c>
      <c r="GS17" s="8" t="n">
        <v>2325372</v>
      </c>
      <c r="GT17" s="8" t="n">
        <v>6251</v>
      </c>
      <c r="GU17" s="8" t="n">
        <v>8930</v>
      </c>
      <c r="GV17" s="8" t="n">
        <v>5358</v>
      </c>
      <c r="GW17" s="9">
        <f>GS17+GT17+GU17+GV17</f>
        <v/>
      </c>
      <c r="GX17" s="9">
        <f>GM17+GR17+GW17</f>
        <v/>
      </c>
      <c r="GY17" s="8" t="n">
        <v>181298808.6</v>
      </c>
      <c r="GZ17" s="8" t="n">
        <v>7705017.93</v>
      </c>
      <c r="HA17" s="9">
        <f>GY17+GZ17</f>
        <v/>
      </c>
      <c r="HB17" s="9">
        <f>IF(GX17=0,"",AU17/GX17)</f>
        <v/>
      </c>
      <c r="HC17" s="10">
        <f>IF((GX17+GY17)=0,"",GB17/(GX17+GY17))</f>
        <v/>
      </c>
      <c r="HD17" s="9">
        <f>IF(GX17=0,"",GB17/GX17)</f>
        <v/>
      </c>
      <c r="HE17" s="8" t="n">
        <v>48</v>
      </c>
      <c r="HF17" s="8" t="n">
        <v>1</v>
      </c>
      <c r="HG17" s="8" t="n">
        <v>712</v>
      </c>
      <c r="HH17" s="8" t="n">
        <v>48</v>
      </c>
      <c r="HI17" s="8" t="n">
        <v>20</v>
      </c>
      <c r="HJ17" s="9">
        <f>HF17+HI17</f>
        <v/>
      </c>
      <c r="HK17" s="10">
        <f>IF(HE17=0,"",HH17/HE17)</f>
        <v/>
      </c>
      <c r="HL17" s="8" t="n">
        <v>16</v>
      </c>
      <c r="HM17" s="8" t="n">
        <v>30</v>
      </c>
      <c r="HN17" s="11">
        <f>IF(HL17=0,"",HM17/HL17)</f>
        <v/>
      </c>
    </row>
    <row r="18">
      <c r="A18" s="12" t="inlineStr">
        <is>
          <t>Liwonde</t>
        </is>
      </c>
      <c r="B18" s="12" t="inlineStr">
        <is>
          <t>Liwonde</t>
        </is>
      </c>
      <c r="C18" s="13" t="inlineStr">
        <is>
          <t>FY2025/26</t>
        </is>
      </c>
      <c r="D18" s="13" t="n">
        <v>2025</v>
      </c>
      <c r="E18" s="13" t="n">
        <v>7</v>
      </c>
      <c r="F18" s="13" t="inlineStr">
        <is>
          <t>July</t>
        </is>
      </c>
      <c r="G18" s="13" t="inlineStr">
        <is>
          <t>Q2</t>
        </is>
      </c>
      <c r="H18" s="14" t="n">
        <v>75207</v>
      </c>
      <c r="I18" s="14" t="n">
        <v>28705</v>
      </c>
      <c r="J18" s="14" t="n">
        <v>650</v>
      </c>
      <c r="K18" s="14" t="n">
        <v>651</v>
      </c>
      <c r="L18" s="14" t="n">
        <v>339</v>
      </c>
      <c r="M18" s="15">
        <f>SUM(I18,J18,K18,L18)</f>
        <v/>
      </c>
      <c r="N18" s="14" t="n">
        <v>15473.4</v>
      </c>
      <c r="O18" s="14" t="n">
        <v>0</v>
      </c>
      <c r="P18" s="14" t="n">
        <v>1749.2</v>
      </c>
      <c r="Q18" s="14" t="n">
        <v>5209.7</v>
      </c>
      <c r="R18" s="15">
        <f>SUM(N18,O18,P18,Q18)</f>
        <v/>
      </c>
      <c r="S18" s="15">
        <f>M18+R18</f>
        <v/>
      </c>
      <c r="T18" s="14" t="n">
        <v>22429.7</v>
      </c>
      <c r="U18" s="16">
        <f>IF(H18=0,"",T18/H18)</f>
        <v/>
      </c>
      <c r="V18" s="14" t="n">
        <v>369</v>
      </c>
      <c r="W18" s="17">
        <f>IF(H18=0,"",V18/H18)</f>
        <v/>
      </c>
      <c r="X18" s="14" t="n">
        <v>0</v>
      </c>
      <c r="Y18" s="17">
        <f>IF(H18=0,"",X18/H18)</f>
        <v/>
      </c>
      <c r="Z18" s="14" t="n">
        <v>0</v>
      </c>
      <c r="AA18" s="17">
        <f>IF(H18=0,"",Z18/H18)</f>
        <v/>
      </c>
      <c r="AB18" s="14" t="n">
        <v>480</v>
      </c>
      <c r="AC18" s="17">
        <f>IF(H18=0,"",AB18/H18)</f>
        <v/>
      </c>
      <c r="AD18" s="14" t="n">
        <v>0</v>
      </c>
      <c r="AE18" s="17">
        <f>IF(H18=0,"",AD18/H18)</f>
        <v/>
      </c>
      <c r="AF18" s="14" t="n">
        <v>0</v>
      </c>
      <c r="AG18" s="17">
        <f>IF(H18=0,"",AF18/H18)</f>
        <v/>
      </c>
      <c r="AH18" s="14" t="n">
        <v>3089660.394</v>
      </c>
      <c r="AI18" s="15">
        <f>IF(H18=0,"",AH18/H18)</f>
        <v/>
      </c>
      <c r="AJ18" s="14" t="n">
        <v>57800</v>
      </c>
      <c r="AK18" s="17">
        <f>IF(H18=0,"",AJ18/H18)</f>
        <v/>
      </c>
      <c r="AL18" s="14" t="n">
        <v>9682198.5</v>
      </c>
      <c r="AM18" s="15">
        <f>IF(H18=0,"",AL18/H18)</f>
        <v/>
      </c>
      <c r="AN18" s="14" t="n">
        <v>2592</v>
      </c>
      <c r="AO18" s="14" t="n">
        <v>513</v>
      </c>
      <c r="AP18" s="14" t="n">
        <v>1402542</v>
      </c>
      <c r="AQ18" s="14" t="n">
        <v>0</v>
      </c>
      <c r="AR18" s="14" t="n">
        <v>16837531.72</v>
      </c>
      <c r="AS18" s="14" t="n">
        <v>7820653.44</v>
      </c>
      <c r="AT18" s="14" t="n">
        <v>156000</v>
      </c>
      <c r="AU18" s="15">
        <f>AH18+AL18+AP18+AQ18+AR18+AS18+AT18</f>
        <v/>
      </c>
      <c r="AV18" s="15">
        <f>IF(H18=0,"",AU18/H18)</f>
        <v/>
      </c>
      <c r="AW18" s="15">
        <f>IF(S18=0,"",AU18/S18)</f>
        <v/>
      </c>
      <c r="AX18" s="14" t="n">
        <v>26</v>
      </c>
      <c r="AY18" s="15">
        <f>IF(H18=0,"",AX18/(H18/1000/12))</f>
        <v/>
      </c>
      <c r="AZ18" s="14" t="n">
        <v>45</v>
      </c>
      <c r="BA18" s="14" t="n">
        <v>712</v>
      </c>
      <c r="BB18" s="14" t="n">
        <v>52</v>
      </c>
      <c r="BC18" s="14" t="n">
        <v>0</v>
      </c>
      <c r="BD18" s="14" t="n">
        <v>9</v>
      </c>
      <c r="BE18" s="15">
        <f>BC18+BD18</f>
        <v/>
      </c>
      <c r="BF18" s="15">
        <f>BA18+BB18-BE18</f>
        <v/>
      </c>
      <c r="BG18" s="14" t="n">
        <v>0</v>
      </c>
      <c r="BH18" s="14" t="n">
        <v>0</v>
      </c>
      <c r="BI18" s="14" t="n">
        <v>0</v>
      </c>
      <c r="BJ18" s="14" t="n">
        <v>0</v>
      </c>
      <c r="BK18" s="15">
        <f>BI18+BJ18</f>
        <v/>
      </c>
      <c r="BL18" s="15">
        <f>BG18+BH18-BK18</f>
        <v/>
      </c>
      <c r="BM18" s="14" t="n">
        <v>0</v>
      </c>
      <c r="BN18" s="14" t="n">
        <v>0</v>
      </c>
      <c r="BO18" s="14" t="n">
        <v>0</v>
      </c>
      <c r="BP18" s="14" t="n">
        <v>0</v>
      </c>
      <c r="BQ18" s="15">
        <f>BO18+BP18</f>
        <v/>
      </c>
      <c r="BR18" s="15">
        <f>BM18+BN18-BQ18</f>
        <v/>
      </c>
      <c r="BS18" s="14" t="n">
        <v>0</v>
      </c>
      <c r="BT18" s="14" t="n">
        <v>0</v>
      </c>
      <c r="BU18" s="14" t="n">
        <v>0</v>
      </c>
      <c r="BV18" s="14" t="n">
        <v>0</v>
      </c>
      <c r="BW18" s="15">
        <f>BU18+BV18</f>
        <v/>
      </c>
      <c r="BX18" s="15">
        <f>BS18+BT18-BW18</f>
        <v/>
      </c>
      <c r="BY18" s="15">
        <f>BA18+BG18+BM18+BS18</f>
        <v/>
      </c>
      <c r="BZ18" s="15">
        <f>BB18+BH18+BN18+BT18</f>
        <v/>
      </c>
      <c r="CA18" s="15">
        <f>BE18+BK18+BQ18+BW18</f>
        <v/>
      </c>
      <c r="CB18" s="15">
        <f>BF18+BL18+BR18+BX18</f>
        <v/>
      </c>
      <c r="CC18" s="14" t="n">
        <v>54</v>
      </c>
      <c r="CD18" s="14" t="n">
        <v>1689</v>
      </c>
      <c r="CE18" s="14" t="n">
        <v>33</v>
      </c>
      <c r="CF18" s="14" t="n">
        <v>20</v>
      </c>
      <c r="CG18" s="14" t="n">
        <v>15</v>
      </c>
      <c r="CH18" s="15">
        <f>CD18+CE18+CF18+CG18</f>
        <v/>
      </c>
      <c r="CI18" s="14" t="n">
        <v>2674</v>
      </c>
      <c r="CJ18" s="14" t="n">
        <v>9</v>
      </c>
      <c r="CK18" s="14" t="n">
        <v>7</v>
      </c>
      <c r="CL18" s="14" t="n">
        <v>7</v>
      </c>
      <c r="CM18" s="15">
        <f>CI18+CJ18+CK18+CL18</f>
        <v/>
      </c>
      <c r="CN18" s="14" t="n">
        <v>1437</v>
      </c>
      <c r="CO18" s="14" t="n">
        <v>37</v>
      </c>
      <c r="CP18" s="14" t="n">
        <v>122</v>
      </c>
      <c r="CQ18" s="14" t="n">
        <v>0</v>
      </c>
      <c r="CR18" s="15">
        <f>CN18+CO18+CP18+CQ18</f>
        <v/>
      </c>
      <c r="CS18" s="15">
        <f>CM18+CR18</f>
        <v/>
      </c>
      <c r="CT18" s="14" t="n">
        <v>6050</v>
      </c>
      <c r="CU18" s="14" t="n">
        <v>34068</v>
      </c>
      <c r="CV18" s="14" t="n">
        <v>30591</v>
      </c>
      <c r="CW18" s="16">
        <f>IF(CU18=0,"",CV18/CU18)</f>
        <v/>
      </c>
      <c r="CX18" s="14" t="n"/>
      <c r="CY18" s="14" t="n"/>
      <c r="CZ18" s="14" t="n"/>
      <c r="DA18" s="14" t="n"/>
      <c r="DB18" s="15">
        <f>CX18+CY18-CZ18-DA18</f>
        <v/>
      </c>
      <c r="DC18" s="14" t="n">
        <v>0</v>
      </c>
      <c r="DD18" s="14" t="n">
        <v>0</v>
      </c>
      <c r="DE18" s="14" t="n">
        <v>0</v>
      </c>
      <c r="DF18" s="14" t="n">
        <v>0</v>
      </c>
      <c r="DG18" s="15">
        <f>DC18+DD18-DE18-DF18</f>
        <v/>
      </c>
      <c r="DH18" s="14" t="n">
        <v>0</v>
      </c>
      <c r="DI18" s="14" t="n">
        <v>0</v>
      </c>
      <c r="DJ18" s="14" t="n">
        <v>0</v>
      </c>
      <c r="DK18" s="14" t="n">
        <v>0</v>
      </c>
      <c r="DL18" s="15">
        <f>DH18+DI18-DJ18-DK18</f>
        <v/>
      </c>
      <c r="DM18" s="14" t="n">
        <v>271</v>
      </c>
      <c r="DN18" s="14" t="n">
        <v>0</v>
      </c>
      <c r="DO18" s="14" t="n">
        <v>0</v>
      </c>
      <c r="DP18" s="14" t="n">
        <v>0</v>
      </c>
      <c r="DQ18" s="15">
        <f>DM18+DN18-DO18-DP18</f>
        <v/>
      </c>
      <c r="DR18" s="15">
        <f>CX18+DC18+DH18+DM18</f>
        <v/>
      </c>
      <c r="DS18" s="15">
        <f>CY18+DD18+DI18+DN18</f>
        <v/>
      </c>
      <c r="DT18" s="15">
        <f>CZ18+DE18+DJ18+DO18</f>
        <v/>
      </c>
      <c r="DU18" s="15">
        <f>DA18+DF18+DK18+DP18</f>
        <v/>
      </c>
      <c r="DV18" s="15">
        <f>DB18+DG18+DL18+DQ18</f>
        <v/>
      </c>
      <c r="DW18" s="14" t="n">
        <v>84</v>
      </c>
      <c r="DX18" s="14" t="n">
        <v>39</v>
      </c>
      <c r="DY18" s="14" t="n">
        <v>16</v>
      </c>
      <c r="DZ18" s="14" t="n">
        <v>0</v>
      </c>
      <c r="EA18" s="14" t="n">
        <v>2</v>
      </c>
      <c r="EB18" s="14" t="n">
        <v>2</v>
      </c>
      <c r="EC18" s="14" t="n">
        <v>0</v>
      </c>
      <c r="ED18" s="14" t="n">
        <v>2</v>
      </c>
      <c r="EE18" s="14" t="n">
        <v>7</v>
      </c>
      <c r="EF18" s="14" t="n">
        <v>3</v>
      </c>
      <c r="EG18" s="14" t="n">
        <v>0</v>
      </c>
      <c r="EH18" s="14" t="n">
        <v>0</v>
      </c>
      <c r="EI18" s="14" t="n">
        <v>0</v>
      </c>
      <c r="EJ18" s="14" t="n">
        <v>0</v>
      </c>
      <c r="EK18" s="14" t="n">
        <v>0</v>
      </c>
      <c r="EL18" s="14" t="n">
        <v>0</v>
      </c>
      <c r="EM18" s="14" t="n">
        <v>0</v>
      </c>
      <c r="EN18" s="14" t="n">
        <v>0</v>
      </c>
      <c r="EO18" s="14" t="n">
        <v>0</v>
      </c>
      <c r="EP18" s="14" t="n">
        <v>0</v>
      </c>
      <c r="EQ18" s="14" t="n">
        <v>0</v>
      </c>
      <c r="ER18" s="14" t="n">
        <v>0</v>
      </c>
      <c r="ES18" s="14" t="n">
        <v>0</v>
      </c>
      <c r="ET18" s="14" t="n">
        <v>0</v>
      </c>
      <c r="EU18" s="14" t="n">
        <v>0</v>
      </c>
      <c r="EV18" s="14" t="n">
        <v>0</v>
      </c>
      <c r="EW18" s="14" t="n">
        <v>0</v>
      </c>
      <c r="EX18" s="14" t="n">
        <v>0</v>
      </c>
      <c r="EY18" s="14" t="n">
        <v>0</v>
      </c>
      <c r="EZ18" s="14" t="n">
        <v>0</v>
      </c>
      <c r="FA18" s="14" t="n">
        <v>0</v>
      </c>
      <c r="FB18" s="14" t="n">
        <v>0</v>
      </c>
      <c r="FC18" s="14" t="n">
        <v>0</v>
      </c>
      <c r="FD18" s="14" t="n">
        <v>0</v>
      </c>
      <c r="FE18" s="14" t="n">
        <v>0</v>
      </c>
      <c r="FF18" s="14" t="n">
        <v>0</v>
      </c>
      <c r="FG18" s="15">
        <f>SUM(DW18,DX18,DY18,DZ18,EA18,EB18,EC18,ED18,EE18,EF18,EG18,EH18,EI18,EJ18,EK18,EL18,EM18,EN18,EO18,EP18,EQ18,ER18,ES18,ET18,EU18,EV18,EW18,EX18,EY18,EZ18,FA18,FB18,FC18,FD18,FE18,FF18)</f>
        <v/>
      </c>
      <c r="FH18" s="14" t="n">
        <v>1</v>
      </c>
      <c r="FI18" s="14" t="n">
        <v>120</v>
      </c>
      <c r="FJ18" s="14" t="n">
        <v>540</v>
      </c>
      <c r="FK18" s="14" t="n">
        <v>72</v>
      </c>
      <c r="FL18" s="14" t="n">
        <v>0</v>
      </c>
      <c r="FM18" s="14" t="n">
        <v>0</v>
      </c>
      <c r="FN18" s="14" t="n">
        <v>0</v>
      </c>
      <c r="FO18" s="14" t="n">
        <v>0</v>
      </c>
      <c r="FP18" s="14" t="n">
        <v>0</v>
      </c>
      <c r="FQ18" s="15">
        <f>FL18+FM18+FN18+FO18+FP18</f>
        <v/>
      </c>
      <c r="FR18" s="14" t="n">
        <v>21704845.23</v>
      </c>
      <c r="FS18" s="14" t="n">
        <v>61600</v>
      </c>
      <c r="FT18" s="14" t="n">
        <v>1536440</v>
      </c>
      <c r="FU18" s="14" t="n">
        <v>117500</v>
      </c>
      <c r="FV18" s="15">
        <f>FR18+FS18+FT18+FU18</f>
        <v/>
      </c>
      <c r="FW18" s="14" t="n">
        <v>19554710.52</v>
      </c>
      <c r="FX18" s="14" t="n">
        <v>0</v>
      </c>
      <c r="FY18" s="14" t="n">
        <v>24809868.54</v>
      </c>
      <c r="FZ18" s="14" t="n">
        <v>5286447.4</v>
      </c>
      <c r="GA18" s="15">
        <f>FW18+FX18+FY18+FZ18</f>
        <v/>
      </c>
      <c r="GB18" s="15">
        <f>FV18+GA18</f>
        <v/>
      </c>
      <c r="GC18" s="14" t="n">
        <v>26356470.11</v>
      </c>
      <c r="GD18" s="14" t="n">
        <v>124332</v>
      </c>
      <c r="GE18" s="14" t="n">
        <v>2204247.67</v>
      </c>
      <c r="GF18" s="14" t="n">
        <v>1586676.21</v>
      </c>
      <c r="GG18" s="15">
        <f>GC18+GD18+GE18+GF18</f>
        <v/>
      </c>
      <c r="GH18" s="14" t="n">
        <v>19397922.29000002</v>
      </c>
      <c r="GI18" s="14" t="n">
        <v>0</v>
      </c>
      <c r="GJ18" s="14" t="n">
        <v>5280447.4</v>
      </c>
      <c r="GK18" s="14" t="n">
        <v>24536558.74</v>
      </c>
      <c r="GL18" s="15">
        <f>GH18+GI18+GJ18+GK18</f>
        <v/>
      </c>
      <c r="GM18" s="15">
        <f>GG18+GL18</f>
        <v/>
      </c>
      <c r="GN18" s="14" t="n">
        <v>1434754.93</v>
      </c>
      <c r="GO18" s="14" t="n">
        <v>1338.96</v>
      </c>
      <c r="GP18" s="14" t="n">
        <v>30542.76</v>
      </c>
      <c r="GQ18" s="14" t="n">
        <v>32461.38</v>
      </c>
      <c r="GR18" s="15">
        <f>GN18+GO18+GP18+GQ18</f>
        <v/>
      </c>
      <c r="GS18" s="14" t="n">
        <v>2387882</v>
      </c>
      <c r="GT18" s="14" t="n">
        <v>6251</v>
      </c>
      <c r="GU18" s="14" t="n">
        <v>8037</v>
      </c>
      <c r="GV18" s="14" t="n">
        <v>6251</v>
      </c>
      <c r="GW18" s="15">
        <f>GS18+GT18+GU18+GV18</f>
        <v/>
      </c>
      <c r="GX18" s="15">
        <f>GM18+GR18+GW18</f>
        <v/>
      </c>
      <c r="GY18" s="14" t="n">
        <v>191882856.439998</v>
      </c>
      <c r="GZ18" s="14" t="n">
        <v>8175151.42</v>
      </c>
      <c r="HA18" s="15">
        <f>GY18+GZ18</f>
        <v/>
      </c>
      <c r="HB18" s="15">
        <f>IF(GX18=0,"",AU18/GX18)</f>
        <v/>
      </c>
      <c r="HC18" s="16">
        <f>IF((GX18+GY18)=0,"",GB18/(GX18+GY18))</f>
        <v/>
      </c>
      <c r="HD18" s="15">
        <f>IF(GX18=0,"",GB18/GX18)</f>
        <v/>
      </c>
      <c r="HE18" s="14" t="n">
        <v>52</v>
      </c>
      <c r="HF18" s="14" t="n">
        <v>1</v>
      </c>
      <c r="HG18" s="14" t="n">
        <v>755</v>
      </c>
      <c r="HH18" s="14" t="n">
        <v>52</v>
      </c>
      <c r="HI18" s="14" t="n">
        <v>20</v>
      </c>
      <c r="HJ18" s="15">
        <f>HF18+HI18</f>
        <v/>
      </c>
      <c r="HK18" s="16">
        <f>IF(HE18=0,"",HH18/HE18)</f>
        <v/>
      </c>
      <c r="HL18" s="14" t="n">
        <v>14</v>
      </c>
      <c r="HM18" s="14" t="n">
        <v>30</v>
      </c>
      <c r="HN18" s="17">
        <f>IF(HL18=0,"",HM18/HL18)</f>
        <v/>
      </c>
    </row>
    <row r="19">
      <c r="A19" s="6" t="inlineStr">
        <is>
          <t>Liwonde</t>
        </is>
      </c>
      <c r="B19" s="6" t="inlineStr">
        <is>
          <t>Liwonde</t>
        </is>
      </c>
      <c r="C19" s="7" t="inlineStr">
        <is>
          <t>FY2025/26</t>
        </is>
      </c>
      <c r="D19" s="7" t="n">
        <v>2025</v>
      </c>
      <c r="E19" s="7" t="n">
        <v>8</v>
      </c>
      <c r="F19" s="7" t="inlineStr">
        <is>
          <t>August</t>
        </is>
      </c>
      <c r="G19" s="7" t="inlineStr">
        <is>
          <t>Q2</t>
        </is>
      </c>
      <c r="H19" s="8" t="n">
        <v>65442</v>
      </c>
      <c r="I19" s="8" t="n">
        <v>24392</v>
      </c>
      <c r="J19" s="8" t="n">
        <v>540</v>
      </c>
      <c r="K19" s="8" t="n">
        <v>373</v>
      </c>
      <c r="L19" s="8" t="n">
        <v>119</v>
      </c>
      <c r="M19" s="9">
        <f>SUM(I19,J19,K19,L19)</f>
        <v/>
      </c>
      <c r="N19" s="8" t="n">
        <v>14811.4</v>
      </c>
      <c r="O19" s="8" t="n">
        <v>0</v>
      </c>
      <c r="P19" s="8" t="n">
        <v>3236.7</v>
      </c>
      <c r="Q19" s="8" t="n">
        <v>1938.7</v>
      </c>
      <c r="R19" s="9">
        <f>SUM(N19,O19,P19,Q19)</f>
        <v/>
      </c>
      <c r="S19" s="9">
        <f>M19+R19</f>
        <v/>
      </c>
      <c r="T19" s="8" t="n">
        <v>20031.2</v>
      </c>
      <c r="U19" s="10">
        <f>IF(H19=0,"",T19/H19)</f>
        <v/>
      </c>
      <c r="V19" s="8" t="n">
        <v>348</v>
      </c>
      <c r="W19" s="11">
        <f>IF(H19=0,"",V19/H19)</f>
        <v/>
      </c>
      <c r="X19" s="8" t="n">
        <v>0</v>
      </c>
      <c r="Y19" s="11">
        <f>IF(H19=0,"",X19/H19)</f>
        <v/>
      </c>
      <c r="Z19" s="8" t="n">
        <v>0</v>
      </c>
      <c r="AA19" s="11">
        <f>IF(H19=0,"",Z19/H19)</f>
        <v/>
      </c>
      <c r="AB19" s="8" t="n">
        <v>228</v>
      </c>
      <c r="AC19" s="11">
        <f>IF(H19=0,"",AB19/H19)</f>
        <v/>
      </c>
      <c r="AD19" s="8" t="n">
        <v>0</v>
      </c>
      <c r="AE19" s="11">
        <f>IF(H19=0,"",AD19/H19)</f>
        <v/>
      </c>
      <c r="AF19" s="8" t="n">
        <v>0</v>
      </c>
      <c r="AG19" s="11">
        <f>IF(H19=0,"",AF19/H19)</f>
        <v/>
      </c>
      <c r="AH19" s="8" t="n">
        <v>2076494.4024</v>
      </c>
      <c r="AI19" s="9">
        <f>IF(H19=0,"",AH19/H19)</f>
        <v/>
      </c>
      <c r="AJ19" s="8" t="n">
        <v>56715</v>
      </c>
      <c r="AK19" s="11">
        <f>IF(H19=0,"",AJ19/H19)</f>
        <v/>
      </c>
      <c r="AL19" s="8" t="n">
        <v>9500810.9125</v>
      </c>
      <c r="AM19" s="9">
        <f>IF(H19=0,"",AL19/H19)</f>
        <v/>
      </c>
      <c r="AN19" s="8" t="n">
        <v>1908</v>
      </c>
      <c r="AO19" s="8" t="n">
        <v>580</v>
      </c>
      <c r="AP19" s="8" t="n">
        <v>1585720</v>
      </c>
      <c r="AQ19" s="8" t="n">
        <v>0</v>
      </c>
      <c r="AR19" s="8" t="n">
        <v>16622298.06</v>
      </c>
      <c r="AS19" s="8" t="n">
        <v>7793633.2</v>
      </c>
      <c r="AT19" s="8" t="n">
        <v>2545700</v>
      </c>
      <c r="AU19" s="9">
        <f>AH19+AL19+AP19+AQ19+AR19+AS19+AT19</f>
        <v/>
      </c>
      <c r="AV19" s="9">
        <f>IF(H19=0,"",AU19/H19)</f>
        <v/>
      </c>
      <c r="AW19" s="9">
        <f>IF(S19=0,"",AU19/S19)</f>
        <v/>
      </c>
      <c r="AX19" s="8" t="n">
        <v>25</v>
      </c>
      <c r="AY19" s="9">
        <f>IF(H19=0,"",AX19/(H19/1000/12))</f>
        <v/>
      </c>
      <c r="AZ19" s="8" t="n">
        <v>53</v>
      </c>
      <c r="BA19" s="8" t="n">
        <v>755</v>
      </c>
      <c r="BB19" s="8" t="n">
        <v>76</v>
      </c>
      <c r="BC19" s="8" t="n">
        <v>0</v>
      </c>
      <c r="BD19" s="8" t="n">
        <v>22</v>
      </c>
      <c r="BE19" s="9">
        <f>BC19+BD19</f>
        <v/>
      </c>
      <c r="BF19" s="9">
        <f>BA19+BB19-BE19</f>
        <v/>
      </c>
      <c r="BG19" s="8" t="n">
        <v>0</v>
      </c>
      <c r="BH19" s="8" t="n">
        <v>0</v>
      </c>
      <c r="BI19" s="8" t="n">
        <v>0</v>
      </c>
      <c r="BJ19" s="8" t="n">
        <v>0</v>
      </c>
      <c r="BK19" s="9">
        <f>BI19+BJ19</f>
        <v/>
      </c>
      <c r="BL19" s="9">
        <f>BG19+BH19-BK19</f>
        <v/>
      </c>
      <c r="BM19" s="8" t="n">
        <v>0</v>
      </c>
      <c r="BN19" s="8" t="n">
        <v>0</v>
      </c>
      <c r="BO19" s="8" t="n">
        <v>0</v>
      </c>
      <c r="BP19" s="8" t="n">
        <v>0</v>
      </c>
      <c r="BQ19" s="9">
        <f>BO19+BP19</f>
        <v/>
      </c>
      <c r="BR19" s="9">
        <f>BM19+BN19-BQ19</f>
        <v/>
      </c>
      <c r="BS19" s="8" t="n">
        <v>0</v>
      </c>
      <c r="BT19" s="8" t="n">
        <v>0</v>
      </c>
      <c r="BU19" s="8" t="n">
        <v>0</v>
      </c>
      <c r="BV19" s="8" t="n">
        <v>0</v>
      </c>
      <c r="BW19" s="9">
        <f>BU19+BV19</f>
        <v/>
      </c>
      <c r="BX19" s="9">
        <f>BS19+BT19-BW19</f>
        <v/>
      </c>
      <c r="BY19" s="9">
        <f>BA19+BG19+BM19+BS19</f>
        <v/>
      </c>
      <c r="BZ19" s="9">
        <f>BB19+BH19+BN19+BT19</f>
        <v/>
      </c>
      <c r="CA19" s="9">
        <f>BE19+BK19+BQ19+BW19</f>
        <v/>
      </c>
      <c r="CB19" s="9">
        <f>BF19+BL19+BR19+BX19</f>
        <v/>
      </c>
      <c r="CC19" s="8" t="n">
        <v>43</v>
      </c>
      <c r="CD19" s="8" t="n">
        <v>1662</v>
      </c>
      <c r="CE19" s="8" t="n">
        <v>33</v>
      </c>
      <c r="CF19" s="8" t="n">
        <v>20</v>
      </c>
      <c r="CG19" s="8" t="n">
        <v>15</v>
      </c>
      <c r="CH19" s="9">
        <f>CD19+CE19+CF19+CG19</f>
        <v/>
      </c>
      <c r="CI19" s="8" t="n">
        <v>2649</v>
      </c>
      <c r="CJ19" s="8" t="n">
        <v>8</v>
      </c>
      <c r="CK19" s="8" t="n">
        <v>5</v>
      </c>
      <c r="CL19" s="8" t="n">
        <v>9</v>
      </c>
      <c r="CM19" s="9">
        <f>CI19+CJ19+CK19+CL19</f>
        <v/>
      </c>
      <c r="CN19" s="8" t="n">
        <v>1511</v>
      </c>
      <c r="CO19" s="8" t="n">
        <v>45</v>
      </c>
      <c r="CP19" s="8" t="n">
        <v>114</v>
      </c>
      <c r="CQ19" s="8" t="n">
        <v>1</v>
      </c>
      <c r="CR19" s="9">
        <f>CN19+CO19+CP19+CQ19</f>
        <v/>
      </c>
      <c r="CS19" s="9">
        <f>CM19+CR19</f>
        <v/>
      </c>
      <c r="CT19" s="8" t="n">
        <v>6072</v>
      </c>
      <c r="CU19" s="8" t="n">
        <v>34408.68</v>
      </c>
      <c r="CV19" s="8" t="n">
        <v>31202.82</v>
      </c>
      <c r="CW19" s="10">
        <f>IF(CU19=0,"",CV19/CU19)</f>
        <v/>
      </c>
      <c r="CX19" s="8" t="n"/>
      <c r="CY19" s="8" t="n"/>
      <c r="CZ19" s="8" t="n"/>
      <c r="DA19" s="8" t="n"/>
      <c r="DB19" s="9">
        <f>CX19+CY19-CZ19-DA19</f>
        <v/>
      </c>
      <c r="DC19" s="8" t="n">
        <v>0</v>
      </c>
      <c r="DD19" s="8" t="n">
        <v>0</v>
      </c>
      <c r="DE19" s="8" t="n">
        <v>0</v>
      </c>
      <c r="DF19" s="8" t="n">
        <v>0</v>
      </c>
      <c r="DG19" s="9">
        <f>DC19+DD19-DE19-DF19</f>
        <v/>
      </c>
      <c r="DH19" s="8" t="n">
        <v>0</v>
      </c>
      <c r="DI19" s="8" t="n">
        <v>0</v>
      </c>
      <c r="DJ19" s="8" t="n">
        <v>0</v>
      </c>
      <c r="DK19" s="8" t="n">
        <v>0</v>
      </c>
      <c r="DL19" s="9">
        <f>DH19+DI19-DJ19-DK19</f>
        <v/>
      </c>
      <c r="DM19" s="8" t="n">
        <v>271</v>
      </c>
      <c r="DN19" s="8" t="n">
        <v>0</v>
      </c>
      <c r="DO19" s="8" t="n">
        <v>0</v>
      </c>
      <c r="DP19" s="8" t="n">
        <v>0</v>
      </c>
      <c r="DQ19" s="9">
        <f>DM19+DN19-DO19-DP19</f>
        <v/>
      </c>
      <c r="DR19" s="9">
        <f>CX19+DC19+DH19+DM19</f>
        <v/>
      </c>
      <c r="DS19" s="9">
        <f>CY19+DD19+DI19+DN19</f>
        <v/>
      </c>
      <c r="DT19" s="9">
        <f>CZ19+DE19+DJ19+DO19</f>
        <v/>
      </c>
      <c r="DU19" s="9">
        <f>DA19+DF19+DK19+DP19</f>
        <v/>
      </c>
      <c r="DV19" s="9">
        <f>DB19+DG19+DL19+DQ19</f>
        <v/>
      </c>
      <c r="DW19" s="8" t="n">
        <v>65</v>
      </c>
      <c r="DX19" s="8" t="n">
        <v>25</v>
      </c>
      <c r="DY19" s="8" t="n">
        <v>14</v>
      </c>
      <c r="DZ19" s="8" t="n">
        <v>7</v>
      </c>
      <c r="EA19" s="8" t="n">
        <v>5</v>
      </c>
      <c r="EB19" s="8" t="n">
        <v>6</v>
      </c>
      <c r="EC19" s="8" t="n">
        <v>0</v>
      </c>
      <c r="ED19" s="8" t="n">
        <v>2</v>
      </c>
      <c r="EE19" s="8" t="n">
        <v>1</v>
      </c>
      <c r="EF19" s="8" t="n">
        <v>1</v>
      </c>
      <c r="EG19" s="8" t="n">
        <v>1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  <c r="EX19" s="8" t="n">
        <v>0</v>
      </c>
      <c r="EY19" s="8" t="n">
        <v>0</v>
      </c>
      <c r="EZ19" s="8" t="n">
        <v>0</v>
      </c>
      <c r="FA19" s="8" t="n">
        <v>0</v>
      </c>
      <c r="FB19" s="8" t="n">
        <v>0</v>
      </c>
      <c r="FC19" s="8" t="n">
        <v>0</v>
      </c>
      <c r="FD19" s="8" t="n">
        <v>0</v>
      </c>
      <c r="FE19" s="8" t="n">
        <v>0</v>
      </c>
      <c r="FF19" s="8" t="n">
        <v>0</v>
      </c>
      <c r="FG19" s="9">
        <f>SUM(DW19,DX19,DY19,DZ19,EA19,EB19,EC19,ED19,EE19,EF19,EG19,EH19,EI19,EJ19,EK19,EL19,EM19,EN19,EO19,EP19,EQ19,ER19,ES19,ET19,EU19,EV19,EW19,EX19,EY19,EZ19,FA19,FB19,FC19,FD19,FE19,FF19)</f>
        <v/>
      </c>
      <c r="FH19" s="8" t="n">
        <v>1</v>
      </c>
      <c r="FI19" s="8" t="n">
        <v>6</v>
      </c>
      <c r="FJ19" s="8" t="n">
        <v>670</v>
      </c>
      <c r="FK19" s="8" t="n">
        <v>74</v>
      </c>
      <c r="FL19" s="8" t="n">
        <v>0</v>
      </c>
      <c r="FM19" s="8" t="n">
        <v>0</v>
      </c>
      <c r="FN19" s="8" t="n">
        <v>0</v>
      </c>
      <c r="FO19" s="8" t="n">
        <v>0</v>
      </c>
      <c r="FP19" s="8" t="n">
        <v>0</v>
      </c>
      <c r="FQ19" s="9">
        <f>FL19+FM19+FN19+FO19+FP19</f>
        <v/>
      </c>
      <c r="FR19" s="8" t="n">
        <v>28177388.98</v>
      </c>
      <c r="FS19" s="8" t="n">
        <v>210867.22</v>
      </c>
      <c r="FT19" s="8" t="n">
        <v>1417507.22</v>
      </c>
      <c r="FU19" s="8" t="n">
        <v>233000</v>
      </c>
      <c r="FV19" s="9">
        <f>FR19+FS19+FT19+FU19</f>
        <v/>
      </c>
      <c r="FW19" s="8" t="n">
        <v>19264988.48</v>
      </c>
      <c r="FX19" s="8" t="n">
        <v>1500</v>
      </c>
      <c r="FY19" s="8" t="n">
        <v>9513496.18</v>
      </c>
      <c r="FZ19" s="8" t="n">
        <v>9738987.09</v>
      </c>
      <c r="GA19" s="9">
        <f>FW19+FX19+FY19+FZ19</f>
        <v/>
      </c>
      <c r="GB19" s="9">
        <f>FV19+GA19</f>
        <v/>
      </c>
      <c r="GC19" s="8" t="n">
        <v>22381745.38</v>
      </c>
      <c r="GD19" s="8" t="n">
        <v>103291.2</v>
      </c>
      <c r="GE19" s="8" t="n">
        <v>1234495.27</v>
      </c>
      <c r="GF19" s="8" t="n">
        <v>519295.25</v>
      </c>
      <c r="GG19" s="9">
        <f>GC19+GD19+GE19+GF19</f>
        <v/>
      </c>
      <c r="GH19" s="8" t="n">
        <v>18567798.16000002</v>
      </c>
      <c r="GI19" s="8" t="n">
        <v>600</v>
      </c>
      <c r="GJ19" s="8" t="n">
        <v>9737787.09</v>
      </c>
      <c r="GK19" s="8" t="n">
        <v>9054878.83</v>
      </c>
      <c r="GL19" s="9">
        <f>GH19+GI19+GJ19+GK19</f>
        <v/>
      </c>
      <c r="GM19" s="9">
        <f>GG19+GL19</f>
        <v/>
      </c>
      <c r="GN19" s="8" t="n">
        <v>1420537.29</v>
      </c>
      <c r="GO19" s="8" t="n">
        <v>1721.52</v>
      </c>
      <c r="GP19" s="8" t="n">
        <v>27149.12</v>
      </c>
      <c r="GQ19" s="8" t="n">
        <v>23186.7</v>
      </c>
      <c r="GR19" s="9">
        <f>GN19+GO19+GP19+GQ19</f>
        <v/>
      </c>
      <c r="GS19" s="8" t="n">
        <v>2365557</v>
      </c>
      <c r="GT19" s="8" t="n">
        <v>8037</v>
      </c>
      <c r="GU19" s="8" t="n">
        <v>7144</v>
      </c>
      <c r="GV19" s="8" t="n">
        <v>4465</v>
      </c>
      <c r="GW19" s="9">
        <f>GS19+GT19+GU19+GV19</f>
        <v/>
      </c>
      <c r="GX19" s="9">
        <f>GM19+GR19+GW19</f>
        <v/>
      </c>
      <c r="GY19" s="8" t="n">
        <v>186349517.93</v>
      </c>
      <c r="GZ19" s="8" t="n">
        <v>11513609.67</v>
      </c>
      <c r="HA19" s="9">
        <f>GY19+GZ19</f>
        <v/>
      </c>
      <c r="HB19" s="9">
        <f>IF(GX19=0,"",AU19/GX19)</f>
        <v/>
      </c>
      <c r="HC19" s="10">
        <f>IF((GX19+GY19)=0,"",GB19/(GX19+GY19))</f>
        <v/>
      </c>
      <c r="HD19" s="9">
        <f>IF(GX19=0,"",GB19/GX19)</f>
        <v/>
      </c>
      <c r="HE19" s="8" t="n">
        <v>76</v>
      </c>
      <c r="HF19" s="8" t="n">
        <v>1</v>
      </c>
      <c r="HG19" s="8" t="n">
        <v>809</v>
      </c>
      <c r="HH19" s="8" t="n">
        <v>76</v>
      </c>
      <c r="HI19" s="8" t="n">
        <v>20</v>
      </c>
      <c r="HJ19" s="9">
        <f>HF19+HI19</f>
        <v/>
      </c>
      <c r="HK19" s="10">
        <f>IF(HE19=0,"",HH19/HE19)</f>
        <v/>
      </c>
      <c r="HL19" s="8" t="n">
        <v>9</v>
      </c>
      <c r="HM19" s="8" t="n">
        <v>30</v>
      </c>
      <c r="HN19" s="11">
        <f>IF(HL19=0,"",HM19/HL19)</f>
        <v/>
      </c>
    </row>
    <row r="20">
      <c r="A20" s="12" t="inlineStr">
        <is>
          <t>Liwonde</t>
        </is>
      </c>
      <c r="B20" s="12" t="inlineStr">
        <is>
          <t>Liwonde</t>
        </is>
      </c>
      <c r="C20" s="13" t="inlineStr">
        <is>
          <t>FY2025/26</t>
        </is>
      </c>
      <c r="D20" s="13" t="n">
        <v>2025</v>
      </c>
      <c r="E20" s="13" t="n">
        <v>9</v>
      </c>
      <c r="F20" s="13" t="inlineStr">
        <is>
          <t>September</t>
        </is>
      </c>
      <c r="G20" s="13" t="inlineStr">
        <is>
          <t>Q2</t>
        </is>
      </c>
      <c r="H20" s="14" t="n">
        <v>79532</v>
      </c>
      <c r="I20" s="14" t="n">
        <v>30922</v>
      </c>
      <c r="J20" s="14" t="n">
        <v>819</v>
      </c>
      <c r="K20" s="14" t="n">
        <v>474</v>
      </c>
      <c r="L20" s="14" t="n">
        <v>155</v>
      </c>
      <c r="M20" s="15">
        <f>SUM(I20,J20,K20,L20)</f>
        <v/>
      </c>
      <c r="N20" s="14" t="n">
        <v>19401.1</v>
      </c>
      <c r="O20" s="14" t="n">
        <v>0</v>
      </c>
      <c r="P20" s="14" t="n">
        <v>1207.1</v>
      </c>
      <c r="Q20" s="14" t="n">
        <v>2262.3</v>
      </c>
      <c r="R20" s="15">
        <f>SUM(N20,O20,P20,Q20)</f>
        <v/>
      </c>
      <c r="S20" s="15">
        <f>M20+R20</f>
        <v/>
      </c>
      <c r="T20" s="14" t="n">
        <v>24291.5</v>
      </c>
      <c r="U20" s="16">
        <f>IF(H20=0,"",T20/H20)</f>
        <v/>
      </c>
      <c r="V20" s="14" t="n">
        <v>348</v>
      </c>
      <c r="W20" s="17">
        <f>IF(H20=0,"",V20/H20)</f>
        <v/>
      </c>
      <c r="X20" s="14" t="n">
        <v>0</v>
      </c>
      <c r="Y20" s="17">
        <f>IF(H20=0,"",X20/H20)</f>
        <v/>
      </c>
      <c r="Z20" s="14" t="n">
        <v>0</v>
      </c>
      <c r="AA20" s="17">
        <f>IF(H20=0,"",Z20/H20)</f>
        <v/>
      </c>
      <c r="AB20" s="14" t="n">
        <v>435</v>
      </c>
      <c r="AC20" s="17">
        <f>IF(H20=0,"",AB20/H20)</f>
        <v/>
      </c>
      <c r="AD20" s="14" t="n">
        <v>0</v>
      </c>
      <c r="AE20" s="17">
        <f>IF(H20=0,"",AD20/H20)</f>
        <v/>
      </c>
      <c r="AF20" s="14" t="n">
        <v>0</v>
      </c>
      <c r="AG20" s="17">
        <f>IF(H20=0,"",AF20/H20)</f>
        <v/>
      </c>
      <c r="AH20" s="14" t="n">
        <v>2847926.643</v>
      </c>
      <c r="AI20" s="15">
        <f>IF(H20=0,"",AH20/H20)</f>
        <v/>
      </c>
      <c r="AJ20" s="14" t="n">
        <v>51921</v>
      </c>
      <c r="AK20" s="17">
        <f>IF(H20=0,"",AJ20/H20)</f>
        <v/>
      </c>
      <c r="AL20" s="14" t="n">
        <v>8699361.977500001</v>
      </c>
      <c r="AM20" s="15">
        <f>IF(H20=0,"",AL20/H20)</f>
        <v/>
      </c>
      <c r="AN20" s="14" t="n">
        <v>1610</v>
      </c>
      <c r="AO20" s="14" t="n">
        <v>220</v>
      </c>
      <c r="AP20" s="14" t="n">
        <v>601480</v>
      </c>
      <c r="AQ20" s="14" t="n">
        <v>0</v>
      </c>
      <c r="AR20" s="14" t="n">
        <v>16155162.28</v>
      </c>
      <c r="AS20" s="14" t="n">
        <v>9349269.439999999</v>
      </c>
      <c r="AT20" s="14" t="n">
        <v>16955302.08</v>
      </c>
      <c r="AU20" s="15">
        <f>AH20+AL20+AP20+AQ20+AR20+AS20+AT20</f>
        <v/>
      </c>
      <c r="AV20" s="15">
        <f>IF(H20=0,"",AU20/H20)</f>
        <v/>
      </c>
      <c r="AW20" s="15">
        <f>IF(S20=0,"",AU20/S20)</f>
        <v/>
      </c>
      <c r="AX20" s="14" t="n">
        <v>25</v>
      </c>
      <c r="AY20" s="15">
        <f>IF(H20=0,"",AX20/(H20/1000/12))</f>
        <v/>
      </c>
      <c r="AZ20" s="14" t="n">
        <v>53</v>
      </c>
      <c r="BA20" s="14" t="n">
        <v>809</v>
      </c>
      <c r="BB20" s="14" t="n">
        <v>57</v>
      </c>
      <c r="BC20" s="14" t="n">
        <v>0</v>
      </c>
      <c r="BD20" s="14" t="n">
        <v>32</v>
      </c>
      <c r="BE20" s="15">
        <f>BC20+BD20</f>
        <v/>
      </c>
      <c r="BF20" s="15">
        <f>BA20+BB20-BE20</f>
        <v/>
      </c>
      <c r="BG20" s="14" t="n">
        <v>0</v>
      </c>
      <c r="BH20" s="14" t="n">
        <v>0</v>
      </c>
      <c r="BI20" s="14" t="n">
        <v>0</v>
      </c>
      <c r="BJ20" s="14" t="n">
        <v>0</v>
      </c>
      <c r="BK20" s="15">
        <f>BI20+BJ20</f>
        <v/>
      </c>
      <c r="BL20" s="15">
        <f>BG20+BH20-BK20</f>
        <v/>
      </c>
      <c r="BM20" s="14" t="n">
        <v>0</v>
      </c>
      <c r="BN20" s="14" t="n">
        <v>0</v>
      </c>
      <c r="BO20" s="14" t="n">
        <v>0</v>
      </c>
      <c r="BP20" s="14" t="n">
        <v>0</v>
      </c>
      <c r="BQ20" s="15">
        <f>BO20+BP20</f>
        <v/>
      </c>
      <c r="BR20" s="15">
        <f>BM20+BN20-BQ20</f>
        <v/>
      </c>
      <c r="BS20" s="14" t="n">
        <v>0</v>
      </c>
      <c r="BT20" s="14" t="n">
        <v>0</v>
      </c>
      <c r="BU20" s="14" t="n">
        <v>0</v>
      </c>
      <c r="BV20" s="14" t="n">
        <v>0</v>
      </c>
      <c r="BW20" s="15">
        <f>BU20+BV20</f>
        <v/>
      </c>
      <c r="BX20" s="15">
        <f>BS20+BT20-BW20</f>
        <v/>
      </c>
      <c r="BY20" s="15">
        <f>BA20+BG20+BM20+BS20</f>
        <v/>
      </c>
      <c r="BZ20" s="15">
        <f>BB20+BH20+BN20+BT20</f>
        <v/>
      </c>
      <c r="CA20" s="15">
        <f>BE20+BK20+BQ20+BW20</f>
        <v/>
      </c>
      <c r="CB20" s="15">
        <f>BF20+BL20+BR20+BX20</f>
        <v/>
      </c>
      <c r="CC20" s="14" t="n">
        <v>32</v>
      </c>
      <c r="CD20" s="14" t="n">
        <v>1662</v>
      </c>
      <c r="CE20" s="14" t="n">
        <v>33</v>
      </c>
      <c r="CF20" s="14" t="n">
        <v>20</v>
      </c>
      <c r="CG20" s="14" t="n">
        <v>15</v>
      </c>
      <c r="CH20" s="15">
        <f>CD20+CE20+CF20+CG20</f>
        <v/>
      </c>
      <c r="CI20" s="14" t="n">
        <v>2631</v>
      </c>
      <c r="CJ20" s="14" t="n">
        <v>7</v>
      </c>
      <c r="CK20" s="14" t="n">
        <v>4</v>
      </c>
      <c r="CL20" s="14" t="n">
        <v>10</v>
      </c>
      <c r="CM20" s="15">
        <f>CI20+CJ20+CK20+CL20</f>
        <v/>
      </c>
      <c r="CN20" s="14" t="n">
        <v>1543</v>
      </c>
      <c r="CO20" s="14" t="n">
        <v>45</v>
      </c>
      <c r="CP20" s="14" t="n">
        <v>114</v>
      </c>
      <c r="CQ20" s="14" t="n">
        <v>1</v>
      </c>
      <c r="CR20" s="15">
        <f>CN20+CO20+CP20+CQ20</f>
        <v/>
      </c>
      <c r="CS20" s="15">
        <f>CM20+CR20</f>
        <v/>
      </c>
      <c r="CT20" s="14" t="n">
        <v>6085</v>
      </c>
      <c r="CU20" s="14" t="n">
        <v>34753</v>
      </c>
      <c r="CV20" s="14" t="n">
        <v>31515</v>
      </c>
      <c r="CW20" s="16">
        <f>IF(CU20=0,"",CV20/CU20)</f>
        <v/>
      </c>
      <c r="CX20" s="14" t="n"/>
      <c r="CY20" s="14" t="n"/>
      <c r="CZ20" s="14" t="n"/>
      <c r="DA20" s="14" t="n"/>
      <c r="DB20" s="15">
        <f>CX20+CY20-CZ20-DA20</f>
        <v/>
      </c>
      <c r="DC20" s="14" t="n">
        <v>0</v>
      </c>
      <c r="DD20" s="14" t="n">
        <v>0</v>
      </c>
      <c r="DE20" s="14" t="n">
        <v>0</v>
      </c>
      <c r="DF20" s="14" t="n">
        <v>0</v>
      </c>
      <c r="DG20" s="15">
        <f>DC20+DD20-DE20-DF20</f>
        <v/>
      </c>
      <c r="DH20" s="14" t="n">
        <v>0</v>
      </c>
      <c r="DI20" s="14" t="n">
        <v>0</v>
      </c>
      <c r="DJ20" s="14" t="n">
        <v>0</v>
      </c>
      <c r="DK20" s="14" t="n">
        <v>0</v>
      </c>
      <c r="DL20" s="15">
        <f>DH20+DI20-DJ20-DK20</f>
        <v/>
      </c>
      <c r="DM20" s="14" t="n">
        <v>244</v>
      </c>
      <c r="DN20" s="14" t="n">
        <v>0</v>
      </c>
      <c r="DO20" s="14" t="n">
        <v>0</v>
      </c>
      <c r="DP20" s="14" t="n">
        <v>12</v>
      </c>
      <c r="DQ20" s="15">
        <f>DM20+DN20-DO20-DP20</f>
        <v/>
      </c>
      <c r="DR20" s="15">
        <f>CX20+DC20+DH20+DM20</f>
        <v/>
      </c>
      <c r="DS20" s="15">
        <f>CY20+DD20+DI20+DN20</f>
        <v/>
      </c>
      <c r="DT20" s="15">
        <f>CZ20+DE20+DJ20+DO20</f>
        <v/>
      </c>
      <c r="DU20" s="15">
        <f>DA20+DF20+DK20+DP20</f>
        <v/>
      </c>
      <c r="DV20" s="15">
        <f>DB20+DG20+DL20+DQ20</f>
        <v/>
      </c>
      <c r="DW20" s="14" t="n">
        <v>82</v>
      </c>
      <c r="DX20" s="14" t="n">
        <v>30</v>
      </c>
      <c r="DY20" s="14" t="n">
        <v>18</v>
      </c>
      <c r="DZ20" s="14" t="n">
        <v>7</v>
      </c>
      <c r="EA20" s="14" t="n">
        <v>6</v>
      </c>
      <c r="EB20" s="14" t="n">
        <v>10</v>
      </c>
      <c r="EC20" s="14" t="n">
        <v>0</v>
      </c>
      <c r="ED20" s="14" t="n">
        <v>6</v>
      </c>
      <c r="EE20" s="14" t="n">
        <v>1</v>
      </c>
      <c r="EF20" s="14" t="n">
        <v>0</v>
      </c>
      <c r="EG20" s="14" t="n">
        <v>0</v>
      </c>
      <c r="EH20" s="14" t="n">
        <v>0</v>
      </c>
      <c r="EI20" s="14" t="n">
        <v>0</v>
      </c>
      <c r="EJ20" s="14" t="n">
        <v>5</v>
      </c>
      <c r="EK20" s="14" t="n">
        <v>0</v>
      </c>
      <c r="EL20" s="14" t="n">
        <v>0</v>
      </c>
      <c r="EM20" s="14" t="n">
        <v>0</v>
      </c>
      <c r="EN20" s="14" t="n">
        <v>0</v>
      </c>
      <c r="EO20" s="14" t="n">
        <v>0</v>
      </c>
      <c r="EP20" s="14" t="n">
        <v>0</v>
      </c>
      <c r="EQ20" s="14" t="n">
        <v>0</v>
      </c>
      <c r="ER20" s="14" t="n">
        <v>0</v>
      </c>
      <c r="ES20" s="14" t="n">
        <v>0</v>
      </c>
      <c r="ET20" s="14" t="n">
        <v>0</v>
      </c>
      <c r="EU20" s="14" t="n">
        <v>0</v>
      </c>
      <c r="EV20" s="14" t="n">
        <v>0</v>
      </c>
      <c r="EW20" s="14" t="n">
        <v>0</v>
      </c>
      <c r="EX20" s="14" t="n">
        <v>0</v>
      </c>
      <c r="EY20" s="14" t="n">
        <v>0</v>
      </c>
      <c r="EZ20" s="14" t="n">
        <v>0</v>
      </c>
      <c r="FA20" s="14" t="n">
        <v>0</v>
      </c>
      <c r="FB20" s="14" t="n">
        <v>0</v>
      </c>
      <c r="FC20" s="14" t="n">
        <v>0</v>
      </c>
      <c r="FD20" s="14" t="n">
        <v>0</v>
      </c>
      <c r="FE20" s="14" t="n">
        <v>0</v>
      </c>
      <c r="FF20" s="14" t="n">
        <v>0</v>
      </c>
      <c r="FG20" s="15">
        <f>SUM(DW20,DX20,DY20,DZ20,EA20,EB20,EC20,ED20,EE20,EF20,EG20,EH20,EI20,EJ20,EK20,EL20,EM20,EN20,EO20,EP20,EQ20,ER20,ES20,ET20,EU20,EV20,EW20,EX20,EY20,EZ20,FA20,FB20,FC20,FD20,FE20,FF20)</f>
        <v/>
      </c>
      <c r="FH20" s="14" t="n">
        <v>1</v>
      </c>
      <c r="FI20" s="14" t="n">
        <v>80</v>
      </c>
      <c r="FJ20" s="14" t="n">
        <v>620</v>
      </c>
      <c r="FK20" s="14" t="n">
        <v>20</v>
      </c>
      <c r="FL20" s="14" t="n">
        <v>0</v>
      </c>
      <c r="FM20" s="14" t="n">
        <v>0</v>
      </c>
      <c r="FN20" s="14" t="n">
        <v>0</v>
      </c>
      <c r="FO20" s="14" t="n">
        <v>0</v>
      </c>
      <c r="FP20" s="14" t="n">
        <v>0</v>
      </c>
      <c r="FQ20" s="15">
        <f>FL20+FM20+FN20+FO20+FP20</f>
        <v/>
      </c>
      <c r="FR20" s="14" t="n">
        <v>23204888.82</v>
      </c>
      <c r="FS20" s="14" t="n">
        <v>141300</v>
      </c>
      <c r="FT20" s="14" t="n">
        <v>661540</v>
      </c>
      <c r="FU20" s="14" t="n">
        <v>7671857.56</v>
      </c>
      <c r="FV20" s="15">
        <f>FR20+FS20+FT20+FU20</f>
        <v/>
      </c>
      <c r="FW20" s="14" t="n">
        <v>25015887.6999999</v>
      </c>
      <c r="FX20" s="14" t="n">
        <v>2000</v>
      </c>
      <c r="FY20" s="14" t="n">
        <v>10996858.4</v>
      </c>
      <c r="FZ20" s="14" t="n">
        <v>3675049.16</v>
      </c>
      <c r="GA20" s="15">
        <f>FW20+FX20+FY20+FZ20</f>
        <v/>
      </c>
      <c r="GB20" s="15">
        <f>FV20+GA20</f>
        <v/>
      </c>
      <c r="GC20" s="14" t="n">
        <v>28378726.63</v>
      </c>
      <c r="GD20" s="14" t="n">
        <v>156658.32</v>
      </c>
      <c r="GE20" s="14" t="n">
        <v>1594442.69</v>
      </c>
      <c r="GF20" s="14" t="n">
        <v>702883.86</v>
      </c>
      <c r="GG20" s="15">
        <f>GC20+GD20+GE20+GF20</f>
        <v/>
      </c>
      <c r="GH20" s="14" t="n">
        <v>24201037.16999992</v>
      </c>
      <c r="GI20" s="14" t="n">
        <v>800</v>
      </c>
      <c r="GJ20" s="14" t="n">
        <v>3669049.16</v>
      </c>
      <c r="GK20" s="14" t="n">
        <v>10692907.67</v>
      </c>
      <c r="GL20" s="15">
        <f>GH20+GI20+GJ20+GK20</f>
        <v/>
      </c>
      <c r="GM20" s="15">
        <f>GG20+GL20</f>
        <v/>
      </c>
      <c r="GN20" s="14" t="n">
        <v>1410503.69</v>
      </c>
      <c r="GO20" s="14" t="n">
        <v>1912.8</v>
      </c>
      <c r="GP20" s="14" t="n">
        <v>23755.48</v>
      </c>
      <c r="GQ20" s="14" t="n">
        <v>18549.36</v>
      </c>
      <c r="GR20" s="15">
        <f>GN20+GO20+GP20+GQ20</f>
        <v/>
      </c>
      <c r="GS20" s="14" t="n">
        <v>2349483</v>
      </c>
      <c r="GT20" s="14" t="n">
        <v>8930</v>
      </c>
      <c r="GU20" s="14" t="n">
        <v>6251</v>
      </c>
      <c r="GV20" s="14" t="n">
        <v>3572</v>
      </c>
      <c r="GW20" s="15">
        <f>GS20+GT20+GU20+GV20</f>
        <v/>
      </c>
      <c r="GX20" s="15">
        <f>GM20+GR20+GW20</f>
        <v/>
      </c>
      <c r="GY20" s="14" t="n">
        <v>195125766.95</v>
      </c>
      <c r="GZ20" s="14" t="n">
        <v>5845359.98</v>
      </c>
      <c r="HA20" s="15">
        <f>GY20+GZ20</f>
        <v/>
      </c>
      <c r="HB20" s="15">
        <f>IF(GX20=0,"",AU20/GX20)</f>
        <v/>
      </c>
      <c r="HC20" s="16">
        <f>IF((GX20+GY20)=0,"",GB20/(GX20+GY20))</f>
        <v/>
      </c>
      <c r="HD20" s="15">
        <f>IF(GX20=0,"",GB20/GX20)</f>
        <v/>
      </c>
      <c r="HE20" s="14" t="n">
        <v>57</v>
      </c>
      <c r="HF20" s="14" t="n">
        <v>1</v>
      </c>
      <c r="HG20" s="14" t="n">
        <v>834</v>
      </c>
      <c r="HH20" s="14" t="n">
        <v>57</v>
      </c>
      <c r="HI20" s="14" t="n">
        <v>20</v>
      </c>
      <c r="HJ20" s="15">
        <f>HF20+HI20</f>
        <v/>
      </c>
      <c r="HK20" s="16">
        <f>IF(HE20=0,"",HH20/HE20)</f>
        <v/>
      </c>
      <c r="HL20" s="14" t="n">
        <v>18</v>
      </c>
      <c r="HM20" s="14" t="n">
        <v>30</v>
      </c>
      <c r="HN20" s="17">
        <f>IF(HL20=0,"",HM20/HL20)</f>
        <v/>
      </c>
    </row>
    <row r="21">
      <c r="A21" s="6" t="inlineStr">
        <is>
          <t>Liwonde</t>
        </is>
      </c>
      <c r="B21" s="6" t="inlineStr">
        <is>
          <t>Liwonde</t>
        </is>
      </c>
      <c r="C21" s="7" t="inlineStr">
        <is>
          <t>FY2025/26</t>
        </is>
      </c>
      <c r="D21" s="7" t="n">
        <v>2025</v>
      </c>
      <c r="E21" s="7" t="n">
        <v>10</v>
      </c>
      <c r="F21" s="7" t="inlineStr">
        <is>
          <t>October</t>
        </is>
      </c>
      <c r="G21" s="7" t="inlineStr">
        <is>
          <t>Q3</t>
        </is>
      </c>
      <c r="H21" s="8" t="n">
        <v>69610</v>
      </c>
      <c r="I21" s="8" t="n">
        <v>23928</v>
      </c>
      <c r="J21" s="8" t="n">
        <v>606</v>
      </c>
      <c r="K21" s="8" t="n">
        <v>291</v>
      </c>
      <c r="L21" s="8" t="n">
        <v>13</v>
      </c>
      <c r="M21" s="9">
        <f>SUM(I21,J21,K21,L21)</f>
        <v/>
      </c>
      <c r="N21" s="8" t="n">
        <v>19995.9</v>
      </c>
      <c r="O21" s="8" t="n">
        <v>0</v>
      </c>
      <c r="P21" s="8" t="n">
        <v>2473.2</v>
      </c>
      <c r="Q21" s="8" t="n">
        <v>1755.6</v>
      </c>
      <c r="R21" s="9">
        <f>SUM(N21,O21,P21,Q21)</f>
        <v/>
      </c>
      <c r="S21" s="9">
        <f>M21+R21</f>
        <v/>
      </c>
      <c r="T21" s="8" t="n">
        <v>20547.3</v>
      </c>
      <c r="U21" s="10">
        <f>IF(H21=0,"",T21/H21)</f>
        <v/>
      </c>
      <c r="V21" s="8" t="n">
        <v>338</v>
      </c>
      <c r="W21" s="11">
        <f>IF(H21=0,"",V21/H21)</f>
        <v/>
      </c>
      <c r="X21" s="8" t="n">
        <v>0</v>
      </c>
      <c r="Y21" s="11">
        <f>IF(H21=0,"",X21/H21)</f>
        <v/>
      </c>
      <c r="Z21" s="8" t="n">
        <v>0</v>
      </c>
      <c r="AA21" s="11">
        <f>IF(H21=0,"",Z21/H21)</f>
        <v/>
      </c>
      <c r="AB21" s="8" t="n">
        <v>0</v>
      </c>
      <c r="AC21" s="11">
        <f>IF(H21=0,"",AB21/H21)</f>
        <v/>
      </c>
      <c r="AD21" s="8" t="n">
        <v>0</v>
      </c>
      <c r="AE21" s="11">
        <f>IF(H21=0,"",AD21/H21)</f>
        <v/>
      </c>
      <c r="AF21" s="8" t="n">
        <v>0</v>
      </c>
      <c r="AG21" s="11">
        <f>IF(H21=0,"",AF21/H21)</f>
        <v/>
      </c>
      <c r="AH21" s="8" t="n">
        <v>1191548.02</v>
      </c>
      <c r="AI21" s="9">
        <f>IF(H21=0,"",AH21/H21)</f>
        <v/>
      </c>
      <c r="AJ21" s="8" t="n">
        <v>54690</v>
      </c>
      <c r="AK21" s="11">
        <f>IF(H21=0,"",AJ21/H21)</f>
        <v/>
      </c>
      <c r="AL21" s="8" t="n">
        <v>9162276.475</v>
      </c>
      <c r="AM21" s="9">
        <f>IF(H21=0,"",AL21/H21)</f>
        <v/>
      </c>
      <c r="AN21" s="8" t="n">
        <v>2459</v>
      </c>
      <c r="AO21" s="8" t="n">
        <v>252</v>
      </c>
      <c r="AP21" s="8" t="n">
        <v>688968</v>
      </c>
      <c r="AQ21" s="8" t="n">
        <v>0</v>
      </c>
      <c r="AR21" s="8" t="n">
        <v>0</v>
      </c>
      <c r="AS21" s="8" t="n">
        <v>8484854.880000001</v>
      </c>
      <c r="AT21" s="8" t="n">
        <v>3671766.85</v>
      </c>
      <c r="AU21" s="9">
        <f>AH21+AL21+AP21+AQ21+AR21+AS21+AT21</f>
        <v/>
      </c>
      <c r="AV21" s="9">
        <f>IF(H21=0,"",AU21/H21)</f>
        <v/>
      </c>
      <c r="AW21" s="9">
        <f>IF(S21=0,"",AU21/S21)</f>
        <v/>
      </c>
      <c r="AX21" s="8" t="n">
        <v>25</v>
      </c>
      <c r="AY21" s="9">
        <f>IF(H21=0,"",AX21/(H21/1000/12))</f>
        <v/>
      </c>
      <c r="AZ21" s="8" t="n">
        <v>55</v>
      </c>
      <c r="BA21" s="8" t="n">
        <v>834</v>
      </c>
      <c r="BB21" s="8" t="n">
        <v>69</v>
      </c>
      <c r="BC21" s="8" t="n">
        <v>24</v>
      </c>
      <c r="BD21" s="8" t="n">
        <v>37</v>
      </c>
      <c r="BE21" s="9">
        <f>BC21+BD21</f>
        <v/>
      </c>
      <c r="BF21" s="9">
        <f>BA21+BB21-BE21</f>
        <v/>
      </c>
      <c r="BG21" s="8" t="n">
        <v>0</v>
      </c>
      <c r="BH21" s="8" t="n">
        <v>0</v>
      </c>
      <c r="BI21" s="8" t="n">
        <v>0</v>
      </c>
      <c r="BJ21" s="8" t="n">
        <v>0</v>
      </c>
      <c r="BK21" s="9">
        <f>BI21+BJ21</f>
        <v/>
      </c>
      <c r="BL21" s="9">
        <f>BG21+BH21-BK21</f>
        <v/>
      </c>
      <c r="BM21" s="8" t="n">
        <v>0</v>
      </c>
      <c r="BN21" s="8" t="n">
        <v>0</v>
      </c>
      <c r="BO21" s="8" t="n">
        <v>0</v>
      </c>
      <c r="BP21" s="8" t="n">
        <v>0</v>
      </c>
      <c r="BQ21" s="9">
        <f>BO21+BP21</f>
        <v/>
      </c>
      <c r="BR21" s="9">
        <f>BM21+BN21-BQ21</f>
        <v/>
      </c>
      <c r="BS21" s="8" t="n">
        <v>0</v>
      </c>
      <c r="BT21" s="8" t="n">
        <v>0</v>
      </c>
      <c r="BU21" s="8" t="n">
        <v>0</v>
      </c>
      <c r="BV21" s="8" t="n">
        <v>0</v>
      </c>
      <c r="BW21" s="9">
        <f>BU21+BV21</f>
        <v/>
      </c>
      <c r="BX21" s="9">
        <f>BS21+BT21-BW21</f>
        <v/>
      </c>
      <c r="BY21" s="9">
        <f>BA21+BG21+BM21+BS21</f>
        <v/>
      </c>
      <c r="BZ21" s="9">
        <f>BB21+BH21+BN21+BT21</f>
        <v/>
      </c>
      <c r="CA21" s="9">
        <f>BE21+BK21+BQ21+BW21</f>
        <v/>
      </c>
      <c r="CB21" s="9">
        <f>BF21+BL21+BR21+BX21</f>
        <v/>
      </c>
      <c r="CC21" s="8" t="n">
        <v>45</v>
      </c>
      <c r="CD21" s="8" t="n">
        <v>1701</v>
      </c>
      <c r="CE21" s="8" t="n">
        <v>33</v>
      </c>
      <c r="CF21" s="8" t="n">
        <v>20</v>
      </c>
      <c r="CG21" s="8" t="n">
        <v>15</v>
      </c>
      <c r="CH21" s="9">
        <f>CD21+CE21+CF21+CG21</f>
        <v/>
      </c>
      <c r="CI21" s="8" t="n">
        <v>2553</v>
      </c>
      <c r="CJ21" s="8" t="n">
        <v>8</v>
      </c>
      <c r="CK21" s="8" t="n">
        <v>5</v>
      </c>
      <c r="CL21" s="8" t="n">
        <v>10</v>
      </c>
      <c r="CM21" s="9">
        <f>CI21+CJ21+CK21+CL21</f>
        <v/>
      </c>
      <c r="CN21" s="8" t="n">
        <v>1604</v>
      </c>
      <c r="CO21" s="8" t="n">
        <v>45</v>
      </c>
      <c r="CP21" s="8" t="n">
        <v>114</v>
      </c>
      <c r="CQ21" s="8" t="n">
        <v>1</v>
      </c>
      <c r="CR21" s="9">
        <f>CN21+CO21+CP21+CQ21</f>
        <v/>
      </c>
      <c r="CS21" s="9">
        <f>CM21+CR21</f>
        <v/>
      </c>
      <c r="CT21" s="8" t="n">
        <v>6109</v>
      </c>
      <c r="CU21" s="8" t="n">
        <v>35100</v>
      </c>
      <c r="CV21" s="8" t="n">
        <v>32643</v>
      </c>
      <c r="CW21" s="10">
        <f>IF(CU21=0,"",CV21/CU21)</f>
        <v/>
      </c>
      <c r="CX21" s="8" t="n"/>
      <c r="CY21" s="8" t="n"/>
      <c r="CZ21" s="8" t="n"/>
      <c r="DA21" s="8" t="n"/>
      <c r="DB21" s="9">
        <f>CX21+CY21-CZ21-DA21</f>
        <v/>
      </c>
      <c r="DC21" s="8" t="n">
        <v>0</v>
      </c>
      <c r="DD21" s="8" t="n">
        <v>0</v>
      </c>
      <c r="DE21" s="8" t="n">
        <v>0</v>
      </c>
      <c r="DF21" s="8" t="n">
        <v>0</v>
      </c>
      <c r="DG21" s="9">
        <f>DC21+DD21-DE21-DF21</f>
        <v/>
      </c>
      <c r="DH21" s="8" t="n">
        <v>0</v>
      </c>
      <c r="DI21" s="8" t="n">
        <v>0</v>
      </c>
      <c r="DJ21" s="8" t="n">
        <v>0</v>
      </c>
      <c r="DK21" s="8" t="n">
        <v>0</v>
      </c>
      <c r="DL21" s="9">
        <f>DH21+DI21-DJ21-DK21</f>
        <v/>
      </c>
      <c r="DM21" s="8" t="n">
        <v>232</v>
      </c>
      <c r="DN21" s="8" t="n">
        <v>85</v>
      </c>
      <c r="DO21" s="8" t="n">
        <v>0</v>
      </c>
      <c r="DP21" s="8" t="n">
        <v>0</v>
      </c>
      <c r="DQ21" s="9">
        <f>DM21+DN21-DO21-DP21</f>
        <v/>
      </c>
      <c r="DR21" s="9">
        <f>CX21+DC21+DH21+DM21</f>
        <v/>
      </c>
      <c r="DS21" s="9">
        <f>CY21+DD21+DI21+DN21</f>
        <v/>
      </c>
      <c r="DT21" s="9">
        <f>CZ21+DE21+DJ21+DO21</f>
        <v/>
      </c>
      <c r="DU21" s="9">
        <f>DA21+DF21+DK21+DP21</f>
        <v/>
      </c>
      <c r="DV21" s="9">
        <f>DB21+DG21+DL21+DQ21</f>
        <v/>
      </c>
      <c r="DW21" s="8" t="n">
        <v>59</v>
      </c>
      <c r="DX21" s="8" t="n">
        <v>20</v>
      </c>
      <c r="DY21" s="8" t="n">
        <v>17</v>
      </c>
      <c r="DZ21" s="8" t="n">
        <v>0</v>
      </c>
      <c r="EA21" s="8" t="n">
        <v>4</v>
      </c>
      <c r="EB21" s="8" t="n">
        <v>3</v>
      </c>
      <c r="EC21" s="8" t="n">
        <v>1</v>
      </c>
      <c r="ED21" s="8" t="n">
        <v>1</v>
      </c>
      <c r="EE21" s="8" t="n">
        <v>4</v>
      </c>
      <c r="EF21" s="8" t="n">
        <v>2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  <c r="ER21" s="8" t="n">
        <v>0</v>
      </c>
      <c r="ES21" s="8" t="n">
        <v>0</v>
      </c>
      <c r="ET21" s="8" t="n">
        <v>0</v>
      </c>
      <c r="EU21" s="8" t="n">
        <v>0</v>
      </c>
      <c r="EV21" s="8" t="n">
        <v>0</v>
      </c>
      <c r="EW21" s="8" t="n">
        <v>0</v>
      </c>
      <c r="EX21" s="8" t="n">
        <v>0</v>
      </c>
      <c r="EY21" s="8" t="n">
        <v>0</v>
      </c>
      <c r="EZ21" s="8" t="n">
        <v>0</v>
      </c>
      <c r="FA21" s="8" t="n">
        <v>0</v>
      </c>
      <c r="FB21" s="8" t="n">
        <v>0</v>
      </c>
      <c r="FC21" s="8" t="n">
        <v>0</v>
      </c>
      <c r="FD21" s="8" t="n">
        <v>0</v>
      </c>
      <c r="FE21" s="8" t="n">
        <v>0</v>
      </c>
      <c r="FF21" s="8" t="n">
        <v>0</v>
      </c>
      <c r="FG21" s="9">
        <f>SUM(DW21,DX21,DY21,DZ21,EA21,EB21,EC21,ED21,EE21,EF21,EG21,EH21,EI21,EJ21,EK21,EL21,EM21,EN21,EO21,EP21,EQ21,ER21,ES21,ET21,EU21,EV21,EW21,EX21,EY21,EZ21,FA21,FB21,FC21,FD21,FE21,FF21)</f>
        <v/>
      </c>
      <c r="FH21" s="8" t="n">
        <v>0</v>
      </c>
      <c r="FI21" s="8" t="n">
        <v>0</v>
      </c>
      <c r="FJ21" s="8" t="n">
        <v>595</v>
      </c>
      <c r="FK21" s="8" t="n">
        <v>74</v>
      </c>
      <c r="FL21" s="8" t="n">
        <v>0</v>
      </c>
      <c r="FM21" s="8" t="n">
        <v>0</v>
      </c>
      <c r="FN21" s="8" t="n">
        <v>0</v>
      </c>
      <c r="FO21" s="8" t="n">
        <v>0</v>
      </c>
      <c r="FP21" s="8" t="n">
        <v>1158</v>
      </c>
      <c r="FQ21" s="9">
        <f>FL21+FM21+FN21+FO21+FP21</f>
        <v/>
      </c>
      <c r="FR21" s="8" t="n">
        <v>25387468.02</v>
      </c>
      <c r="FS21" s="8" t="n">
        <v>170700</v>
      </c>
      <c r="FT21" s="8" t="n">
        <v>1183440</v>
      </c>
      <c r="FU21" s="8" t="n">
        <v>30500</v>
      </c>
      <c r="FV21" s="9">
        <f>FR21+FS21+FT21+FU21</f>
        <v/>
      </c>
      <c r="FW21" s="8" t="n">
        <v>26037364.77</v>
      </c>
      <c r="FX21" s="8" t="n">
        <v>0</v>
      </c>
      <c r="FY21" s="8" t="n">
        <v>8115189.33</v>
      </c>
      <c r="FZ21" s="8" t="n">
        <v>7541179.2</v>
      </c>
      <c r="GA21" s="9">
        <f>FW21+FX21+FY21+FZ21</f>
        <v/>
      </c>
      <c r="GB21" s="9">
        <f>FV21+GA21</f>
        <v/>
      </c>
      <c r="GC21" s="8" t="n">
        <v>22010634.99</v>
      </c>
      <c r="GD21" s="8" t="n">
        <v>115915.68</v>
      </c>
      <c r="GE21" s="8" t="n">
        <v>978630.3199999999</v>
      </c>
      <c r="GF21" s="8" t="n">
        <v>48826.23</v>
      </c>
      <c r="GG21" s="9">
        <f>GC21+GD21+GE21+GF21</f>
        <v/>
      </c>
      <c r="GH21" s="8" t="n">
        <v>25007847.03999997</v>
      </c>
      <c r="GI21" s="8" t="n">
        <v>0</v>
      </c>
      <c r="GJ21" s="8" t="n">
        <v>7499121.83</v>
      </c>
      <c r="GK21" s="8" t="n">
        <v>7801188.94</v>
      </c>
      <c r="GL21" s="9">
        <f>GH21+GI21+GJ21+GK21</f>
        <v/>
      </c>
      <c r="GM21" s="9">
        <f>GG21+GL21</f>
        <v/>
      </c>
      <c r="GN21" s="8" t="n">
        <v>1358330.17</v>
      </c>
      <c r="GO21" s="8" t="n">
        <v>1912.8</v>
      </c>
      <c r="GP21" s="8" t="n">
        <v>27149.12</v>
      </c>
      <c r="GQ21" s="8" t="n">
        <v>23186.7</v>
      </c>
      <c r="GR21" s="9">
        <f>GN21+GO21+GP21+GQ21</f>
        <v/>
      </c>
      <c r="GS21" s="8" t="n">
        <v>2279829</v>
      </c>
      <c r="GT21" s="8" t="n">
        <v>8930</v>
      </c>
      <c r="GU21" s="8" t="n">
        <v>7144</v>
      </c>
      <c r="GV21" s="8" t="n">
        <v>4465</v>
      </c>
      <c r="GW21" s="9">
        <f>GS21+GT21+GU21+GV21</f>
        <v/>
      </c>
      <c r="GX21" s="9">
        <f>GM21+GR21+GW21</f>
        <v/>
      </c>
      <c r="GY21" s="8" t="n">
        <v>194517557.02</v>
      </c>
      <c r="GZ21" s="8" t="n">
        <v>6961042.01</v>
      </c>
      <c r="HA21" s="9">
        <f>GY21+GZ21</f>
        <v/>
      </c>
      <c r="HB21" s="9">
        <f>IF(GX21=0,"",AU21/GX21)</f>
        <v/>
      </c>
      <c r="HC21" s="10">
        <f>IF((GX21+GY21)=0,"",GB21/(GX21+GY21))</f>
        <v/>
      </c>
      <c r="HD21" s="9">
        <f>IF(GX21=0,"",GB21/GX21)</f>
        <v/>
      </c>
      <c r="HE21" s="8" t="n">
        <v>69</v>
      </c>
      <c r="HF21" s="8" t="n">
        <v>1</v>
      </c>
      <c r="HG21" s="8" t="n">
        <v>842</v>
      </c>
      <c r="HH21" s="8" t="n">
        <v>69</v>
      </c>
      <c r="HI21" s="8" t="n">
        <v>20</v>
      </c>
      <c r="HJ21" s="9">
        <f>HF21+HI21</f>
        <v/>
      </c>
      <c r="HK21" s="10">
        <f>IF(HE21=0,"",HH21/HE21)</f>
        <v/>
      </c>
      <c r="HL21" s="8" t="n">
        <v>17</v>
      </c>
      <c r="HM21" s="8" t="n">
        <v>30</v>
      </c>
      <c r="HN21" s="11">
        <f>IF(HL21=0,"",HM21/HL21)</f>
        <v/>
      </c>
    </row>
    <row r="22">
      <c r="A22" s="12" t="inlineStr">
        <is>
          <t>Liwonde</t>
        </is>
      </c>
      <c r="B22" s="12" t="inlineStr">
        <is>
          <t>Liwonde</t>
        </is>
      </c>
      <c r="C22" s="13" t="inlineStr">
        <is>
          <t>FY2025/26</t>
        </is>
      </c>
      <c r="D22" s="13" t="n">
        <v>2025</v>
      </c>
      <c r="E22" s="13" t="n">
        <v>11</v>
      </c>
      <c r="F22" s="13" t="inlineStr">
        <is>
          <t>November</t>
        </is>
      </c>
      <c r="G22" s="13" t="inlineStr">
        <is>
          <t>Q3</t>
        </is>
      </c>
      <c r="H22" s="14" t="n">
        <v>68078</v>
      </c>
      <c r="I22" s="14" t="n">
        <v>24485</v>
      </c>
      <c r="J22" s="14" t="n">
        <v>742</v>
      </c>
      <c r="K22" s="14" t="n">
        <v>532</v>
      </c>
      <c r="L22" s="14" t="n">
        <v>93</v>
      </c>
      <c r="M22" s="15">
        <f>SUM(I22,J22,K22,L22)</f>
        <v/>
      </c>
      <c r="N22" s="14" t="n">
        <v>20022.3</v>
      </c>
      <c r="O22" s="14" t="n">
        <v>0</v>
      </c>
      <c r="P22" s="14" t="n">
        <v>1449.6</v>
      </c>
      <c r="Q22" s="14" t="n">
        <v>0</v>
      </c>
      <c r="R22" s="15">
        <f>SUM(N22,O22,P22,Q22)</f>
        <v/>
      </c>
      <c r="S22" s="15">
        <f>M22+R22</f>
        <v/>
      </c>
      <c r="T22" s="14" t="n">
        <v>20754.1</v>
      </c>
      <c r="U22" s="16">
        <f>IF(H22=0,"",T22/H22)</f>
        <v/>
      </c>
      <c r="V22" s="14" t="n">
        <v>348</v>
      </c>
      <c r="W22" s="17">
        <f>IF(H22=0,"",V22/H22)</f>
        <v/>
      </c>
      <c r="X22" s="14" t="n">
        <v>90</v>
      </c>
      <c r="Y22" s="17">
        <f>IF(H22=0,"",X22/H22)</f>
        <v/>
      </c>
      <c r="Z22" s="14" t="n">
        <v>0</v>
      </c>
      <c r="AA22" s="17">
        <f>IF(H22=0,"",Z22/H22)</f>
        <v/>
      </c>
      <c r="AB22" s="14" t="n">
        <v>368</v>
      </c>
      <c r="AC22" s="17">
        <f>IF(H22=0,"",AB22/H22)</f>
        <v/>
      </c>
      <c r="AD22" s="14" t="n">
        <v>0</v>
      </c>
      <c r="AE22" s="17">
        <f>IF(H22=0,"",AD22/H22)</f>
        <v/>
      </c>
      <c r="AF22" s="14" t="n">
        <v>0</v>
      </c>
      <c r="AG22" s="17">
        <f>IF(H22=0,"",AF22/H22)</f>
        <v/>
      </c>
      <c r="AH22" s="14" t="n">
        <v>2693636.9342</v>
      </c>
      <c r="AI22" s="15">
        <f>IF(H22=0,"",AH22/H22)</f>
        <v/>
      </c>
      <c r="AJ22" s="14" t="n">
        <v>72598</v>
      </c>
      <c r="AK22" s="17">
        <f>IF(H22=0,"",AJ22/H22)</f>
        <v/>
      </c>
      <c r="AL22" s="14" t="n">
        <v>12156091.145</v>
      </c>
      <c r="AM22" s="15">
        <f>IF(H22=0,"",AL22/H22)</f>
        <v/>
      </c>
      <c r="AN22" s="14" t="n">
        <v>2589</v>
      </c>
      <c r="AO22" s="14" t="n">
        <v>342</v>
      </c>
      <c r="AP22" s="14" t="n">
        <v>1197000</v>
      </c>
      <c r="AQ22" s="14" t="n">
        <v>0</v>
      </c>
      <c r="AR22" s="14" t="n">
        <v>16385259.02</v>
      </c>
      <c r="AS22" s="14" t="n">
        <v>8484854.880000001</v>
      </c>
      <c r="AT22" s="14" t="n">
        <v>4725040.12</v>
      </c>
      <c r="AU22" s="15">
        <f>AH22+AL22+AP22+AQ22+AR22+AS22+AT22</f>
        <v/>
      </c>
      <c r="AV22" s="15">
        <f>IF(H22=0,"",AU22/H22)</f>
        <v/>
      </c>
      <c r="AW22" s="15">
        <f>IF(S22=0,"",AU22/S22)</f>
        <v/>
      </c>
      <c r="AX22" s="14" t="n">
        <v>25</v>
      </c>
      <c r="AY22" s="15">
        <f>IF(H22=0,"",AX22/(H22/1000/12))</f>
        <v/>
      </c>
      <c r="AZ22" s="14" t="n">
        <v>57</v>
      </c>
      <c r="BA22" s="14" t="n">
        <v>842</v>
      </c>
      <c r="BB22" s="14" t="n">
        <v>44</v>
      </c>
      <c r="BC22" s="14" t="n">
        <v>17</v>
      </c>
      <c r="BD22" s="14" t="n">
        <v>36</v>
      </c>
      <c r="BE22" s="15">
        <f>BC22+BD22</f>
        <v/>
      </c>
      <c r="BF22" s="15">
        <f>BA22+BB22-BE22</f>
        <v/>
      </c>
      <c r="BG22" s="14" t="n">
        <v>0</v>
      </c>
      <c r="BH22" s="14" t="n">
        <v>0</v>
      </c>
      <c r="BI22" s="14" t="n">
        <v>0</v>
      </c>
      <c r="BJ22" s="14" t="n">
        <v>0</v>
      </c>
      <c r="BK22" s="15">
        <f>BI22+BJ22</f>
        <v/>
      </c>
      <c r="BL22" s="15">
        <f>BG22+BH22-BK22</f>
        <v/>
      </c>
      <c r="BM22" s="14" t="n">
        <v>0</v>
      </c>
      <c r="BN22" s="14" t="n">
        <v>0</v>
      </c>
      <c r="BO22" s="14" t="n">
        <v>0</v>
      </c>
      <c r="BP22" s="14" t="n">
        <v>0</v>
      </c>
      <c r="BQ22" s="15">
        <f>BO22+BP22</f>
        <v/>
      </c>
      <c r="BR22" s="15">
        <f>BM22+BN22-BQ22</f>
        <v/>
      </c>
      <c r="BS22" s="14" t="n">
        <v>0</v>
      </c>
      <c r="BT22" s="14" t="n">
        <v>0</v>
      </c>
      <c r="BU22" s="14" t="n">
        <v>0</v>
      </c>
      <c r="BV22" s="14" t="n">
        <v>0</v>
      </c>
      <c r="BW22" s="15">
        <f>BU22+BV22</f>
        <v/>
      </c>
      <c r="BX22" s="15">
        <f>BS22+BT22-BW22</f>
        <v/>
      </c>
      <c r="BY22" s="15">
        <f>BA22+BG22+BM22+BS22</f>
        <v/>
      </c>
      <c r="BZ22" s="15">
        <f>BB22+BH22+BN22+BT22</f>
        <v/>
      </c>
      <c r="CA22" s="15">
        <f>BE22+BK22+BQ22+BW22</f>
        <v/>
      </c>
      <c r="CB22" s="15">
        <f>BF22+BL22+BR22+BX22</f>
        <v/>
      </c>
      <c r="CC22" s="14" t="n">
        <v>36</v>
      </c>
      <c r="CD22" s="14" t="n">
        <v>1701</v>
      </c>
      <c r="CE22" s="14" t="n">
        <v>33</v>
      </c>
      <c r="CF22" s="14" t="n">
        <v>20</v>
      </c>
      <c r="CG22" s="14" t="n">
        <v>15</v>
      </c>
      <c r="CH22" s="15">
        <f>CD22+CE22+CF22+CG22</f>
        <v/>
      </c>
      <c r="CI22" s="14" t="n">
        <v>2544</v>
      </c>
      <c r="CJ22" s="14" t="n">
        <v>9</v>
      </c>
      <c r="CK22" s="14" t="n">
        <v>5</v>
      </c>
      <c r="CL22" s="14" t="n">
        <v>11</v>
      </c>
      <c r="CM22" s="15">
        <f>CI22+CJ22+CK22+CL22</f>
        <v/>
      </c>
      <c r="CN22" s="14" t="n">
        <v>1636</v>
      </c>
      <c r="CO22" s="14" t="n">
        <v>45</v>
      </c>
      <c r="CP22" s="14" t="n">
        <v>114</v>
      </c>
      <c r="CQ22" s="14" t="n">
        <v>1</v>
      </c>
      <c r="CR22" s="15">
        <f>CN22+CO22+CP22+CQ22</f>
        <v/>
      </c>
      <c r="CS22" s="15">
        <f>CM22+CR22</f>
        <v/>
      </c>
      <c r="CT22" s="14" t="n">
        <v>6134</v>
      </c>
      <c r="CU22" s="14" t="n">
        <v>35451</v>
      </c>
      <c r="CV22" s="14" t="n">
        <v>32969.43</v>
      </c>
      <c r="CW22" s="16">
        <f>IF(CU22=0,"",CV22/CU22)</f>
        <v/>
      </c>
      <c r="CX22" s="14" t="n"/>
      <c r="CY22" s="14" t="n"/>
      <c r="CZ22" s="14" t="n"/>
      <c r="DA22" s="14" t="n"/>
      <c r="DB22" s="15">
        <f>CX22+CY22-CZ22-DA22</f>
        <v/>
      </c>
      <c r="DC22" s="14" t="n">
        <v>0</v>
      </c>
      <c r="DD22" s="14" t="n">
        <v>0</v>
      </c>
      <c r="DE22" s="14" t="n">
        <v>0</v>
      </c>
      <c r="DF22" s="14" t="n">
        <v>0</v>
      </c>
      <c r="DG22" s="15">
        <f>DC22+DD22-DE22-DF22</f>
        <v/>
      </c>
      <c r="DH22" s="14" t="n">
        <v>0</v>
      </c>
      <c r="DI22" s="14" t="n">
        <v>0</v>
      </c>
      <c r="DJ22" s="14" t="n">
        <v>0</v>
      </c>
      <c r="DK22" s="14" t="n">
        <v>0</v>
      </c>
      <c r="DL22" s="15">
        <f>DH22+DI22-DJ22-DK22</f>
        <v/>
      </c>
      <c r="DM22" s="14" t="n">
        <v>317</v>
      </c>
      <c r="DN22" s="14" t="n">
        <v>22</v>
      </c>
      <c r="DO22" s="14" t="n">
        <v>0</v>
      </c>
      <c r="DP22" s="14" t="n">
        <v>0</v>
      </c>
      <c r="DQ22" s="15">
        <f>DM22+DN22-DO22-DP22</f>
        <v/>
      </c>
      <c r="DR22" s="15">
        <f>CX22+DC22+DH22+DM22</f>
        <v/>
      </c>
      <c r="DS22" s="15">
        <f>CY22+DD22+DI22+DN22</f>
        <v/>
      </c>
      <c r="DT22" s="15">
        <f>CZ22+DE22+DJ22+DO22</f>
        <v/>
      </c>
      <c r="DU22" s="15">
        <f>DA22+DF22+DK22+DP22</f>
        <v/>
      </c>
      <c r="DV22" s="15">
        <f>DB22+DG22+DL22+DQ22</f>
        <v/>
      </c>
      <c r="DW22" s="14" t="n">
        <v>66</v>
      </c>
      <c r="DX22" s="14" t="n">
        <v>35</v>
      </c>
      <c r="DY22" s="14" t="n">
        <v>11</v>
      </c>
      <c r="DZ22" s="14" t="n">
        <v>1</v>
      </c>
      <c r="EA22" s="14" t="n">
        <v>3</v>
      </c>
      <c r="EB22" s="14" t="n">
        <v>0</v>
      </c>
      <c r="EC22" s="14" t="n">
        <v>1</v>
      </c>
      <c r="ED22" s="14" t="n">
        <v>1</v>
      </c>
      <c r="EE22" s="14" t="n">
        <v>3</v>
      </c>
      <c r="EF22" s="14" t="n">
        <v>3</v>
      </c>
      <c r="EG22" s="14" t="n">
        <v>0</v>
      </c>
      <c r="EH22" s="14" t="n">
        <v>0</v>
      </c>
      <c r="EI22" s="14" t="n">
        <v>0</v>
      </c>
      <c r="EJ22" s="14" t="n">
        <v>0</v>
      </c>
      <c r="EK22" s="14" t="n">
        <v>0</v>
      </c>
      <c r="EL22" s="14" t="n">
        <v>0</v>
      </c>
      <c r="EM22" s="14" t="n">
        <v>0</v>
      </c>
      <c r="EN22" s="14" t="n">
        <v>0</v>
      </c>
      <c r="EO22" s="14" t="n">
        <v>0</v>
      </c>
      <c r="EP22" s="14" t="n">
        <v>0</v>
      </c>
      <c r="EQ22" s="14" t="n">
        <v>0</v>
      </c>
      <c r="ER22" s="14" t="n">
        <v>0</v>
      </c>
      <c r="ES22" s="14" t="n">
        <v>0</v>
      </c>
      <c r="ET22" s="14" t="n">
        <v>0</v>
      </c>
      <c r="EU22" s="14" t="n">
        <v>0</v>
      </c>
      <c r="EV22" s="14" t="n">
        <v>0</v>
      </c>
      <c r="EW22" s="14" t="n">
        <v>0</v>
      </c>
      <c r="EX22" s="14" t="n">
        <v>0</v>
      </c>
      <c r="EY22" s="14" t="n">
        <v>0</v>
      </c>
      <c r="EZ22" s="14" t="n">
        <v>0</v>
      </c>
      <c r="FA22" s="14" t="n">
        <v>0</v>
      </c>
      <c r="FB22" s="14" t="n">
        <v>0</v>
      </c>
      <c r="FC22" s="14" t="n">
        <v>0</v>
      </c>
      <c r="FD22" s="14" t="n">
        <v>0</v>
      </c>
      <c r="FE22" s="14" t="n">
        <v>0</v>
      </c>
      <c r="FF22" s="14" t="n">
        <v>0</v>
      </c>
      <c r="FG22" s="15">
        <f>SUM(DW22,DX22,DY22,DZ22,EA22,EB22,EC22,ED22,EE22,EF22,EG22,EH22,EI22,EJ22,EK22,EL22,EM22,EN22,EO22,EP22,EQ22,ER22,ES22,ET22,EU22,EV22,EW22,EX22,EY22,EZ22,FA22,FB22,FC22,FD22,FE22,FF22)</f>
        <v/>
      </c>
      <c r="FH22" s="14" t="n">
        <v>0</v>
      </c>
      <c r="FI22" s="14" t="n">
        <v>50</v>
      </c>
      <c r="FJ22" s="14" t="n">
        <v>744</v>
      </c>
      <c r="FK22" s="14" t="n">
        <v>124</v>
      </c>
      <c r="FL22" s="14" t="n">
        <v>0</v>
      </c>
      <c r="FM22" s="14" t="n">
        <v>0</v>
      </c>
      <c r="FN22" s="14" t="n">
        <v>0</v>
      </c>
      <c r="FO22" s="14" t="n">
        <v>0</v>
      </c>
      <c r="FP22" s="14" t="n">
        <v>792</v>
      </c>
      <c r="FQ22" s="15">
        <f>FL22+FM22+FN22+FO22+FP22</f>
        <v/>
      </c>
      <c r="FR22" s="14" t="n">
        <v>22317439.09</v>
      </c>
      <c r="FS22" s="14" t="n">
        <v>32000</v>
      </c>
      <c r="FT22" s="14" t="n">
        <v>371940</v>
      </c>
      <c r="FU22" s="14" t="n">
        <v>2353043.95</v>
      </c>
      <c r="FV22" s="15">
        <f>FR22+FS22+FT22+FU22</f>
        <v/>
      </c>
      <c r="FW22" s="14" t="n">
        <v>25943365.82</v>
      </c>
      <c r="FX22" s="14" t="n">
        <v>13900</v>
      </c>
      <c r="FY22" s="14" t="n">
        <v>9554361.380000001</v>
      </c>
      <c r="FZ22" s="14" t="n">
        <v>4432735</v>
      </c>
      <c r="GA22" s="15">
        <f>FW22+FX22+FY22+FZ22</f>
        <v/>
      </c>
      <c r="GB22" s="15">
        <f>FV22+GA22</f>
        <v/>
      </c>
      <c r="GC22" s="14" t="n">
        <v>22452052.43</v>
      </c>
      <c r="GD22" s="14" t="n">
        <v>141929.76</v>
      </c>
      <c r="GE22" s="14" t="n">
        <v>1799775.8</v>
      </c>
      <c r="GF22" s="14" t="n">
        <v>399814.05</v>
      </c>
      <c r="GG22" s="15">
        <f>GC22+GD22+GE22+GF22</f>
        <v/>
      </c>
      <c r="GH22" s="14" t="n">
        <v>25125924.40000002</v>
      </c>
      <c r="GI22" s="14" t="n">
        <v>12880</v>
      </c>
      <c r="GJ22" s="14" t="n">
        <v>4376520.4</v>
      </c>
      <c r="GK22" s="14" t="n">
        <v>9240877.419999998</v>
      </c>
      <c r="GL22" s="15">
        <f>GH22+GI22+GJ22+GK22</f>
        <v/>
      </c>
      <c r="GM22" s="15">
        <f>GG22+GL22</f>
        <v/>
      </c>
      <c r="GN22" s="14" t="n">
        <v>1353364.79</v>
      </c>
      <c r="GO22" s="14" t="n">
        <v>2104.08</v>
      </c>
      <c r="GP22" s="14" t="n">
        <v>30542.76</v>
      </c>
      <c r="GQ22" s="14" t="n">
        <v>23186.7</v>
      </c>
      <c r="GR22" s="15">
        <f>GN22+GO22+GP22+GQ22</f>
        <v/>
      </c>
      <c r="GS22" s="14" t="n">
        <v>2271792</v>
      </c>
      <c r="GT22" s="14" t="n">
        <v>9823</v>
      </c>
      <c r="GU22" s="14" t="n">
        <v>8037</v>
      </c>
      <c r="GV22" s="14" t="n">
        <v>4465</v>
      </c>
      <c r="GW22" s="15">
        <f>GS22+GT22+GU22+GV22</f>
        <v/>
      </c>
      <c r="GX22" s="15">
        <f>GM22+GR22+GW22</f>
        <v/>
      </c>
      <c r="GY22" s="14" t="n">
        <v>154191936.71</v>
      </c>
      <c r="GZ22" s="14" t="n">
        <v>6518549.21</v>
      </c>
      <c r="HA22" s="15">
        <f>GY22+GZ22</f>
        <v/>
      </c>
      <c r="HB22" s="15">
        <f>IF(GX22=0,"",AU22/GX22)</f>
        <v/>
      </c>
      <c r="HC22" s="16">
        <f>IF((GX22+GY22)=0,"",GB22/(GX22+GY22))</f>
        <v/>
      </c>
      <c r="HD22" s="15">
        <f>IF(GX22=0,"",GB22/GX22)</f>
        <v/>
      </c>
      <c r="HE22" s="14" t="n">
        <v>44</v>
      </c>
      <c r="HF22" s="14" t="n">
        <v>1</v>
      </c>
      <c r="HG22" s="14" t="n">
        <v>833</v>
      </c>
      <c r="HH22" s="14" t="n">
        <v>44</v>
      </c>
      <c r="HI22" s="14" t="n">
        <v>44</v>
      </c>
      <c r="HJ22" s="15">
        <f>HF22+HI22</f>
        <v/>
      </c>
      <c r="HK22" s="16">
        <f>IF(HE22=0,"",HH22/HE22)</f>
        <v/>
      </c>
      <c r="HL22" s="14" t="n">
        <v>18</v>
      </c>
      <c r="HM22" s="14" t="n">
        <v>30</v>
      </c>
      <c r="HN22" s="17">
        <f>IF(HL22=0,"",HM22/HL22)</f>
        <v/>
      </c>
    </row>
    <row r="23">
      <c r="A23" s="6" t="inlineStr">
        <is>
          <t>Liwonde</t>
        </is>
      </c>
      <c r="B23" s="6" t="inlineStr">
        <is>
          <t>Liwonde</t>
        </is>
      </c>
      <c r="C23" s="7" t="inlineStr">
        <is>
          <t>FY2025/26</t>
        </is>
      </c>
      <c r="D23" s="7" t="n">
        <v>2025</v>
      </c>
      <c r="E23" s="7" t="n">
        <v>12</v>
      </c>
      <c r="F23" s="7" t="inlineStr">
        <is>
          <t>December</t>
        </is>
      </c>
      <c r="G23" s="7" t="inlineStr">
        <is>
          <t>Q3</t>
        </is>
      </c>
      <c r="H23" s="8" t="n">
        <v>60265</v>
      </c>
      <c r="I23" s="8" t="n">
        <v>22047</v>
      </c>
      <c r="J23" s="8" t="n">
        <v>338</v>
      </c>
      <c r="K23" s="8" t="n">
        <v>313</v>
      </c>
      <c r="L23" s="8" t="n">
        <v>146</v>
      </c>
      <c r="M23" s="9">
        <f>SUM(I23,J23,K23,L23)</f>
        <v/>
      </c>
      <c r="N23" s="8" t="n">
        <v>15879.7</v>
      </c>
      <c r="O23" s="8" t="n">
        <v>0</v>
      </c>
      <c r="P23" s="8" t="n">
        <v>2083.4</v>
      </c>
      <c r="Q23" s="8" t="n">
        <v>1766</v>
      </c>
      <c r="R23" s="9">
        <f>SUM(N23,O23,P23,Q23)</f>
        <v/>
      </c>
      <c r="S23" s="9">
        <f>M23+R23</f>
        <v/>
      </c>
      <c r="T23" s="8" t="n">
        <v>17691.9</v>
      </c>
      <c r="U23" s="10">
        <f>IF(H23=0,"",T23/H23)</f>
        <v/>
      </c>
      <c r="V23" s="8" t="n">
        <v>370</v>
      </c>
      <c r="W23" s="11">
        <f>IF(H23=0,"",V23/H23)</f>
        <v/>
      </c>
      <c r="X23" s="8" t="n">
        <v>0</v>
      </c>
      <c r="Y23" s="11">
        <f>IF(H23=0,"",X23/H23)</f>
        <v/>
      </c>
      <c r="Z23" s="8" t="n">
        <v>0</v>
      </c>
      <c r="AA23" s="11">
        <f>IF(H23=0,"",Z23/H23)</f>
        <v/>
      </c>
      <c r="AB23" s="8" t="n">
        <v>522</v>
      </c>
      <c r="AC23" s="11">
        <f>IF(H23=0,"",AB23/H23)</f>
        <v/>
      </c>
      <c r="AD23" s="8" t="n">
        <v>0</v>
      </c>
      <c r="AE23" s="11">
        <f>IF(H23=0,"",AD23/H23)</f>
        <v/>
      </c>
      <c r="AF23" s="8" t="n">
        <v>0</v>
      </c>
      <c r="AG23" s="11">
        <f>IF(H23=0,"",AF23/H23)</f>
        <v/>
      </c>
      <c r="AH23" s="8" t="n">
        <v>3249708.1676</v>
      </c>
      <c r="AI23" s="9">
        <f>IF(H23=0,"",AH23/H23)</f>
        <v/>
      </c>
      <c r="AJ23" s="8" t="n">
        <v>48883</v>
      </c>
      <c r="AK23" s="11">
        <f>IF(H23=0,"",AJ23/H23)</f>
        <v/>
      </c>
      <c r="AL23" s="8" t="n">
        <v>8191476.7325</v>
      </c>
      <c r="AM23" s="9">
        <f>IF(H23=0,"",AL23/H23)</f>
        <v/>
      </c>
      <c r="AN23" s="8" t="n">
        <v>2672</v>
      </c>
      <c r="AO23" s="8" t="n">
        <v>351</v>
      </c>
      <c r="AP23" s="8" t="n">
        <v>1228500</v>
      </c>
      <c r="AQ23" s="8" t="n">
        <v>0</v>
      </c>
      <c r="AR23" s="8" t="n">
        <v>17248877.33</v>
      </c>
      <c r="AS23" s="8" t="n">
        <v>8030642.96</v>
      </c>
      <c r="AT23" s="8" t="n">
        <v>2000</v>
      </c>
      <c r="AU23" s="9">
        <f>AH23+AL23+AP23+AQ23+AR23+AS23+AT23</f>
        <v/>
      </c>
      <c r="AV23" s="9">
        <f>IF(H23=0,"",AU23/H23)</f>
        <v/>
      </c>
      <c r="AW23" s="9">
        <f>IF(S23=0,"",AU23/S23)</f>
        <v/>
      </c>
      <c r="AX23" s="8" t="n">
        <v>19</v>
      </c>
      <c r="AY23" s="9">
        <f>IF(H23=0,"",AX23/(H23/1000/12))</f>
        <v/>
      </c>
      <c r="AZ23" s="8" t="n">
        <v>60</v>
      </c>
      <c r="BA23" s="8" t="n">
        <v>833</v>
      </c>
      <c r="BB23" s="8" t="n">
        <v>19</v>
      </c>
      <c r="BC23" s="8" t="n">
        <v>32</v>
      </c>
      <c r="BD23" s="8" t="n">
        <v>7</v>
      </c>
      <c r="BE23" s="9">
        <f>BC23+BD23</f>
        <v/>
      </c>
      <c r="BF23" s="9">
        <f>BA23+BB23-BE23</f>
        <v/>
      </c>
      <c r="BG23" s="8" t="n">
        <v>0</v>
      </c>
      <c r="BH23" s="8" t="n">
        <v>0</v>
      </c>
      <c r="BI23" s="8" t="n">
        <v>0</v>
      </c>
      <c r="BJ23" s="8" t="n">
        <v>0</v>
      </c>
      <c r="BK23" s="9">
        <f>BI23+BJ23</f>
        <v/>
      </c>
      <c r="BL23" s="9">
        <f>BG23+BH23-BK23</f>
        <v/>
      </c>
      <c r="BM23" s="8" t="n">
        <v>0</v>
      </c>
      <c r="BN23" s="8" t="n">
        <v>0</v>
      </c>
      <c r="BO23" s="8" t="n">
        <v>0</v>
      </c>
      <c r="BP23" s="8" t="n">
        <v>0</v>
      </c>
      <c r="BQ23" s="9">
        <f>BO23+BP23</f>
        <v/>
      </c>
      <c r="BR23" s="9">
        <f>BM23+BN23-BQ23</f>
        <v/>
      </c>
      <c r="BS23" s="8" t="n">
        <v>0</v>
      </c>
      <c r="BT23" s="8" t="n">
        <v>0</v>
      </c>
      <c r="BU23" s="8" t="n">
        <v>0</v>
      </c>
      <c r="BV23" s="8" t="n">
        <v>0</v>
      </c>
      <c r="BW23" s="9">
        <f>BU23+BV23</f>
        <v/>
      </c>
      <c r="BX23" s="9">
        <f>BS23+BT23-BW23</f>
        <v/>
      </c>
      <c r="BY23" s="9">
        <f>BA23+BG23+BM23+BS23</f>
        <v/>
      </c>
      <c r="BZ23" s="9">
        <f>BB23+BH23+BN23+BT23</f>
        <v/>
      </c>
      <c r="CA23" s="9">
        <f>BE23+BK23+BQ23+BW23</f>
        <v/>
      </c>
      <c r="CB23" s="9">
        <f>BF23+BL23+BR23+BX23</f>
        <v/>
      </c>
      <c r="CC23" s="8" t="n">
        <v>7</v>
      </c>
      <c r="CD23" s="8" t="n">
        <v>1698</v>
      </c>
      <c r="CE23" s="8" t="n">
        <v>33</v>
      </c>
      <c r="CF23" s="8" t="n">
        <v>20</v>
      </c>
      <c r="CG23" s="8" t="n">
        <v>15</v>
      </c>
      <c r="CH23" s="9">
        <f>CD23+CE23+CF23+CG23</f>
        <v/>
      </c>
      <c r="CI23" s="8" t="n">
        <v>2587</v>
      </c>
      <c r="CJ23" s="8" t="n">
        <v>9</v>
      </c>
      <c r="CK23" s="8" t="n">
        <v>4</v>
      </c>
      <c r="CL23" s="8" t="n">
        <v>11</v>
      </c>
      <c r="CM23" s="9">
        <f>CI23+CJ23+CK23+CL23</f>
        <v/>
      </c>
      <c r="CN23" s="8" t="n">
        <v>1636</v>
      </c>
      <c r="CO23" s="8" t="n">
        <v>45</v>
      </c>
      <c r="CP23" s="8" t="n">
        <v>114</v>
      </c>
      <c r="CQ23" s="8" t="n">
        <v>1</v>
      </c>
      <c r="CR23" s="9">
        <f>CN23+CO23+CP23+CQ23</f>
        <v/>
      </c>
      <c r="CS23" s="9">
        <f>CM23+CR23</f>
        <v/>
      </c>
      <c r="CT23" s="8" t="n">
        <v>6173</v>
      </c>
      <c r="CU23" s="8" t="n">
        <v>42663.75</v>
      </c>
      <c r="CV23" s="8" t="n">
        <v>38397.38</v>
      </c>
      <c r="CW23" s="10">
        <f>IF(CU23=0,"",CV23/CU23)</f>
        <v/>
      </c>
      <c r="CX23" s="8" t="n"/>
      <c r="CY23" s="8" t="n"/>
      <c r="CZ23" s="8" t="n"/>
      <c r="DA23" s="8" t="n"/>
      <c r="DB23" s="9">
        <f>CX23+CY23-CZ23-DA23</f>
        <v/>
      </c>
      <c r="DC23" s="8" t="n">
        <v>0</v>
      </c>
      <c r="DD23" s="8" t="n">
        <v>0</v>
      </c>
      <c r="DE23" s="8" t="n">
        <v>0</v>
      </c>
      <c r="DF23" s="8" t="n">
        <v>0</v>
      </c>
      <c r="DG23" s="9">
        <f>DC23+DD23-DE23-DF23</f>
        <v/>
      </c>
      <c r="DH23" s="8" t="n">
        <v>0</v>
      </c>
      <c r="DI23" s="8" t="n">
        <v>0</v>
      </c>
      <c r="DJ23" s="8" t="n">
        <v>0</v>
      </c>
      <c r="DK23" s="8" t="n">
        <v>0</v>
      </c>
      <c r="DL23" s="9">
        <f>DH23+DI23-DJ23-DK23</f>
        <v/>
      </c>
      <c r="DM23" s="8" t="n">
        <v>339</v>
      </c>
      <c r="DN23" s="8" t="n">
        <v>10</v>
      </c>
      <c r="DO23" s="8" t="n">
        <v>4</v>
      </c>
      <c r="DP23" s="8" t="n">
        <v>3</v>
      </c>
      <c r="DQ23" s="9">
        <f>DM23+DN23-DO23-DP23</f>
        <v/>
      </c>
      <c r="DR23" s="9">
        <f>CX23+DC23+DH23+DM23</f>
        <v/>
      </c>
      <c r="DS23" s="9">
        <f>CY23+DD23+DI23+DN23</f>
        <v/>
      </c>
      <c r="DT23" s="9">
        <f>CZ23+DE23+DJ23+DO23</f>
        <v/>
      </c>
      <c r="DU23" s="9">
        <f>DA23+DF23+DK23+DP23</f>
        <v/>
      </c>
      <c r="DV23" s="9">
        <f>DB23+DG23+DL23+DQ23</f>
        <v/>
      </c>
      <c r="DW23" s="8" t="n">
        <v>71</v>
      </c>
      <c r="DX23" s="8" t="n">
        <v>29</v>
      </c>
      <c r="DY23" s="8" t="n">
        <v>5</v>
      </c>
      <c r="DZ23" s="8" t="n">
        <v>0</v>
      </c>
      <c r="EA23" s="8" t="n">
        <v>3</v>
      </c>
      <c r="EB23" s="8" t="n">
        <v>4</v>
      </c>
      <c r="EC23" s="8" t="n">
        <v>0</v>
      </c>
      <c r="ED23" s="8" t="n">
        <v>0</v>
      </c>
      <c r="EE23" s="8" t="n">
        <v>4</v>
      </c>
      <c r="EF23" s="8" t="n">
        <v>4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  <c r="EX23" s="8" t="n">
        <v>0</v>
      </c>
      <c r="EY23" s="8" t="n">
        <v>0</v>
      </c>
      <c r="EZ23" s="8" t="n">
        <v>0</v>
      </c>
      <c r="FA23" s="8" t="n">
        <v>0</v>
      </c>
      <c r="FB23" s="8" t="n">
        <v>0</v>
      </c>
      <c r="FC23" s="8" t="n">
        <v>0</v>
      </c>
      <c r="FD23" s="8" t="n">
        <v>0</v>
      </c>
      <c r="FE23" s="8" t="n">
        <v>0</v>
      </c>
      <c r="FF23" s="8" t="n">
        <v>0</v>
      </c>
      <c r="FG23" s="9">
        <f>SUM(DW23,DX23,DY23,DZ23,EA23,EB23,EC23,ED23,EE23,EF23,EG23,EH23,EI23,EJ23,EK23,EL23,EM23,EN23,EO23,EP23,EQ23,ER23,ES23,ET23,EU23,EV23,EW23,EX23,EY23,EZ23,FA23,FB23,FC23,FD23,FE23,FF23)</f>
        <v/>
      </c>
      <c r="FH23" s="8" t="n">
        <v>0</v>
      </c>
      <c r="FI23" s="8" t="n">
        <v>20</v>
      </c>
      <c r="FJ23" s="8" t="n">
        <v>680</v>
      </c>
      <c r="FK23" s="8" t="n">
        <v>32</v>
      </c>
      <c r="FL23" s="8" t="n">
        <v>0</v>
      </c>
      <c r="FM23" s="8" t="n">
        <v>0</v>
      </c>
      <c r="FN23" s="8" t="n">
        <v>210</v>
      </c>
      <c r="FO23" s="8" t="n">
        <v>0</v>
      </c>
      <c r="FP23" s="8" t="n">
        <v>180</v>
      </c>
      <c r="FQ23" s="9">
        <f>FL23+FM23+FN23+FO23+FP23</f>
        <v/>
      </c>
      <c r="FR23" s="8" t="n">
        <v>27447376.1</v>
      </c>
      <c r="FS23" s="8" t="n">
        <v>142550</v>
      </c>
      <c r="FT23" s="8" t="n">
        <v>442340</v>
      </c>
      <c r="FU23" s="8" t="n">
        <v>48400</v>
      </c>
      <c r="FV23" s="9">
        <f>FR23+FS23+FT23+FU23</f>
        <v/>
      </c>
      <c r="FW23" s="8" t="n">
        <v>20590855.72</v>
      </c>
      <c r="FX23" s="8" t="n">
        <v>29200</v>
      </c>
      <c r="FY23" s="8" t="n">
        <v>9183650</v>
      </c>
      <c r="FZ23" s="8" t="n">
        <v>6262200</v>
      </c>
      <c r="GA23" s="9">
        <f>FW23+FX23+FY23+FZ23</f>
        <v/>
      </c>
      <c r="GB23" s="9">
        <f>FV23+GA23</f>
        <v/>
      </c>
      <c r="GC23" s="8" t="n">
        <v>20640651.89</v>
      </c>
      <c r="GD23" s="8" t="n">
        <v>64652.64</v>
      </c>
      <c r="GE23" s="8" t="n">
        <v>1029095.41</v>
      </c>
      <c r="GF23" s="8" t="n">
        <v>659676.34</v>
      </c>
      <c r="GG23" s="9">
        <f>GC23+GD23+GE23+GF23</f>
        <v/>
      </c>
      <c r="GH23" s="8" t="n">
        <v>19934967.10999999</v>
      </c>
      <c r="GI23" s="8" t="n">
        <v>15100</v>
      </c>
      <c r="GJ23" s="8" t="n">
        <v>6261000</v>
      </c>
      <c r="GK23" s="8" t="n">
        <v>8233600</v>
      </c>
      <c r="GL23" s="9">
        <f>GH23+GI23+GJ23+GK23</f>
        <v/>
      </c>
      <c r="GM23" s="9">
        <f>GG23+GL23</f>
        <v/>
      </c>
      <c r="GN23" s="8" t="n">
        <v>1377021.64</v>
      </c>
      <c r="GO23" s="8" t="n">
        <v>2104.08</v>
      </c>
      <c r="GP23" s="8" t="n">
        <v>30542.76</v>
      </c>
      <c r="GQ23" s="8" t="n">
        <v>18549.36</v>
      </c>
      <c r="GR23" s="9">
        <f>GN23+GO23+GP23+GQ23</f>
        <v/>
      </c>
      <c r="GS23" s="8" t="n">
        <v>2310191</v>
      </c>
      <c r="GT23" s="8" t="n">
        <v>9823</v>
      </c>
      <c r="GU23" s="8" t="n">
        <v>8037</v>
      </c>
      <c r="GV23" s="8" t="n">
        <v>3572</v>
      </c>
      <c r="GW23" s="9">
        <f>GS23+GT23+GU23+GV23</f>
        <v/>
      </c>
      <c r="GX23" s="9">
        <f>GM23+GR23+GW23</f>
        <v/>
      </c>
      <c r="GY23" s="8" t="n">
        <v>152774245.04</v>
      </c>
      <c r="GZ23" s="8" t="n">
        <v>7741535.28</v>
      </c>
      <c r="HA23" s="9">
        <f>GY23+GZ23</f>
        <v/>
      </c>
      <c r="HB23" s="9">
        <f>IF(GX23=0,"",AU23/GX23)</f>
        <v/>
      </c>
      <c r="HC23" s="10">
        <f>IF((GX23+GY23)=0,"",GB23/(GX23+GY23))</f>
        <v/>
      </c>
      <c r="HD23" s="9">
        <f>IF(GX23=0,"",GB23/GX23)</f>
        <v/>
      </c>
      <c r="HE23" s="8" t="n">
        <v>19</v>
      </c>
      <c r="HF23" s="8" t="n">
        <v>1</v>
      </c>
      <c r="HG23" s="8" t="n">
        <v>813</v>
      </c>
      <c r="HH23" s="8" t="n">
        <v>19</v>
      </c>
      <c r="HI23" s="8" t="n">
        <v>30</v>
      </c>
      <c r="HJ23" s="9">
        <f>HF23+HI23</f>
        <v/>
      </c>
      <c r="HK23" s="10">
        <f>IF(HE23=0,"",HH23/HE23)</f>
        <v/>
      </c>
      <c r="HL23" s="8" t="n">
        <v>15</v>
      </c>
      <c r="HM23" s="8" t="n">
        <v>30</v>
      </c>
      <c r="HN23" s="11">
        <f>IF(HL23=0,"",HM23/HL23)</f>
        <v/>
      </c>
    </row>
    <row r="24">
      <c r="A24" s="12" t="inlineStr">
        <is>
          <t>Liwonde</t>
        </is>
      </c>
      <c r="B24" s="12" t="inlineStr">
        <is>
          <t>Liwonde</t>
        </is>
      </c>
      <c r="C24" s="13" t="inlineStr">
        <is>
          <t>FY2025/26</t>
        </is>
      </c>
      <c r="D24" s="13" t="n">
        <v>2026</v>
      </c>
      <c r="E24" s="13" t="n">
        <v>1</v>
      </c>
      <c r="F24" s="13" t="inlineStr">
        <is>
          <t>January</t>
        </is>
      </c>
      <c r="G24" s="13" t="inlineStr">
        <is>
          <t>Q4</t>
        </is>
      </c>
      <c r="H24" s="14" t="n">
        <v>65878</v>
      </c>
      <c r="I24" s="14" t="n">
        <v>24213</v>
      </c>
      <c r="J24" s="14" t="n">
        <v>481</v>
      </c>
      <c r="K24" s="14" t="n">
        <v>279</v>
      </c>
      <c r="L24" s="14" t="n">
        <v>164</v>
      </c>
      <c r="M24" s="15" t="n">
        <v>25137</v>
      </c>
      <c r="N24" s="14" t="n">
        <v>17790</v>
      </c>
      <c r="O24" s="14" t="n">
        <v>10.6</v>
      </c>
      <c r="P24" s="14" t="n">
        <v>711.1</v>
      </c>
      <c r="Q24" s="14" t="n">
        <v>2669.2</v>
      </c>
      <c r="R24" s="15" t="n">
        <v>21180.9</v>
      </c>
      <c r="S24" s="15" t="n">
        <v>46317.89999999999</v>
      </c>
      <c r="T24" s="14" t="n">
        <v>19560.10000000001</v>
      </c>
      <c r="U24" s="16" t="n">
        <v>0.2969139925316495</v>
      </c>
      <c r="V24" s="14" t="n">
        <v>384</v>
      </c>
      <c r="W24" s="17" t="n">
        <v>5.828956556058168</v>
      </c>
      <c r="X24" s="14" t="n">
        <v>0</v>
      </c>
      <c r="Y24" s="17" t="n">
        <v>0</v>
      </c>
      <c r="Z24" s="14" t="n">
        <v>0</v>
      </c>
      <c r="AA24" s="17" t="n">
        <v>0</v>
      </c>
      <c r="AB24" s="14" t="n">
        <v>709</v>
      </c>
      <c r="AC24" s="17" t="n">
        <v>10.76231822459698</v>
      </c>
      <c r="AD24" s="14" t="n">
        <v>0</v>
      </c>
      <c r="AE24" s="17" t="n">
        <v>0</v>
      </c>
      <c r="AF24" s="14" t="n">
        <v>0</v>
      </c>
      <c r="AG24" s="17" t="n">
        <v>0</v>
      </c>
      <c r="AH24" s="14" t="n">
        <v>3995959.9522</v>
      </c>
      <c r="AI24" s="15" t="n">
        <v>60.65697125292207</v>
      </c>
      <c r="AJ24" s="14" t="n">
        <v>66276</v>
      </c>
      <c r="AK24" s="17" t="n">
        <v>1.006041470597165</v>
      </c>
      <c r="AL24" s="14" t="n">
        <v>11099194.99</v>
      </c>
      <c r="AM24" s="15" t="n">
        <v>168.4810557393971</v>
      </c>
      <c r="AN24" s="14" t="n">
        <v>2732</v>
      </c>
      <c r="AO24" s="14" t="n">
        <v>120</v>
      </c>
      <c r="AP24" s="14" t="n">
        <v>420000</v>
      </c>
      <c r="AQ24" s="14" t="n">
        <v>0</v>
      </c>
      <c r="AR24" s="14" t="n">
        <v>0</v>
      </c>
      <c r="AS24" s="14" t="n">
        <v>6479315.92</v>
      </c>
      <c r="AT24" s="14" t="n">
        <v>7683365.92</v>
      </c>
      <c r="AU24" s="15" t="n">
        <v>29677836.7822</v>
      </c>
      <c r="AV24" s="15" t="n">
        <v>450.4969304198671</v>
      </c>
      <c r="AW24" s="15" t="n">
        <v>640.7422785186722</v>
      </c>
      <c r="AX24" s="14" t="n">
        <v>26</v>
      </c>
      <c r="AY24" s="15" t="n">
        <v>12.23473693797626</v>
      </c>
      <c r="AZ24" s="14" t="n">
        <v>60</v>
      </c>
      <c r="BA24" s="14" t="n">
        <v>813</v>
      </c>
      <c r="BB24" s="14" t="n">
        <v>33</v>
      </c>
      <c r="BC24" s="14" t="n">
        <v>28</v>
      </c>
      <c r="BD24" s="14" t="n">
        <v>0</v>
      </c>
      <c r="BE24" s="15" t="n">
        <v>28</v>
      </c>
      <c r="BF24" s="15" t="n">
        <v>818</v>
      </c>
      <c r="BG24" s="14" t="n">
        <v>0</v>
      </c>
      <c r="BH24" s="14" t="n">
        <v>0</v>
      </c>
      <c r="BI24" s="14" t="n">
        <v>0</v>
      </c>
      <c r="BJ24" s="14" t="n">
        <v>0</v>
      </c>
      <c r="BK24" s="15" t="n">
        <v>0</v>
      </c>
      <c r="BL24" s="15" t="n">
        <v>0</v>
      </c>
      <c r="BM24" s="14" t="n">
        <v>0</v>
      </c>
      <c r="BN24" s="14" t="n">
        <v>0</v>
      </c>
      <c r="BO24" s="14" t="n">
        <v>0</v>
      </c>
      <c r="BP24" s="14" t="n">
        <v>0</v>
      </c>
      <c r="BQ24" s="15" t="n">
        <v>0</v>
      </c>
      <c r="BR24" s="15" t="n">
        <v>0</v>
      </c>
      <c r="BS24" s="14" t="n">
        <v>0</v>
      </c>
      <c r="BT24" s="14" t="n">
        <v>0</v>
      </c>
      <c r="BU24" s="14" t="n">
        <v>0</v>
      </c>
      <c r="BV24" s="14" t="n">
        <v>0</v>
      </c>
      <c r="BW24" s="15" t="n">
        <v>0</v>
      </c>
      <c r="BX24" s="15" t="n">
        <v>0</v>
      </c>
      <c r="BY24" s="15" t="n">
        <v>813</v>
      </c>
      <c r="BZ24" s="15" t="n">
        <v>33</v>
      </c>
      <c r="CA24" s="15" t="n">
        <v>28</v>
      </c>
      <c r="CB24" s="15" t="n">
        <v>818</v>
      </c>
      <c r="CC24" s="14" t="n">
        <v>21</v>
      </c>
      <c r="CD24" s="14" t="n">
        <v>1689</v>
      </c>
      <c r="CE24" s="14" t="n">
        <v>33</v>
      </c>
      <c r="CF24" s="14" t="n">
        <v>20</v>
      </c>
      <c r="CG24" s="14" t="n">
        <v>15</v>
      </c>
      <c r="CH24" s="15" t="n">
        <v>1757</v>
      </c>
      <c r="CI24" s="14" t="n">
        <v>2623</v>
      </c>
      <c r="CJ24" s="14" t="n">
        <v>9</v>
      </c>
      <c r="CK24" s="14" t="n">
        <v>5</v>
      </c>
      <c r="CL24" s="14" t="n">
        <v>11</v>
      </c>
      <c r="CM24" s="15" t="n">
        <v>2648</v>
      </c>
      <c r="CN24" s="14" t="n">
        <v>1636</v>
      </c>
      <c r="CO24" s="14" t="n">
        <v>45</v>
      </c>
      <c r="CP24" s="14" t="n">
        <v>114</v>
      </c>
      <c r="CQ24" s="14" t="n">
        <v>1</v>
      </c>
      <c r="CR24" s="15" t="n">
        <v>1796</v>
      </c>
      <c r="CS24" s="15" t="n">
        <v>4444</v>
      </c>
      <c r="CT24" s="14" t="n">
        <v>6201</v>
      </c>
      <c r="CU24" s="14" t="n">
        <v>42877</v>
      </c>
      <c r="CV24" s="14" t="n">
        <v>38588</v>
      </c>
      <c r="CW24" s="16" t="n">
        <v>0.8999696807146023</v>
      </c>
      <c r="CX24" s="14" t="n">
        <v>0</v>
      </c>
      <c r="CY24" s="14" t="n">
        <v>0</v>
      </c>
      <c r="CZ24" s="14" t="n">
        <v>0</v>
      </c>
      <c r="DA24" s="14" t="n">
        <v>0</v>
      </c>
      <c r="DB24" s="15" t="n">
        <v>0</v>
      </c>
      <c r="DC24" s="14" t="n">
        <v>0</v>
      </c>
      <c r="DD24" s="14" t="n">
        <v>0</v>
      </c>
      <c r="DE24" s="14" t="n">
        <v>0</v>
      </c>
      <c r="DF24" s="14" t="n">
        <v>0</v>
      </c>
      <c r="DG24" s="15" t="n">
        <v>0</v>
      </c>
      <c r="DH24" s="14" t="n">
        <v>0</v>
      </c>
      <c r="DI24" s="14" t="n">
        <v>0</v>
      </c>
      <c r="DJ24" s="14" t="n">
        <v>0</v>
      </c>
      <c r="DK24" s="14" t="n">
        <v>0</v>
      </c>
      <c r="DL24" s="15" t="n">
        <v>0</v>
      </c>
      <c r="DM24" s="14" t="n">
        <v>342</v>
      </c>
      <c r="DN24" s="14" t="n">
        <v>0</v>
      </c>
      <c r="DO24" s="14" t="n">
        <v>0</v>
      </c>
      <c r="DP24" s="14" t="n">
        <v>0</v>
      </c>
      <c r="DQ24" s="15" t="n">
        <v>342</v>
      </c>
      <c r="DR24" s="15" t="n">
        <v>342</v>
      </c>
      <c r="DS24" s="15" t="n">
        <v>0</v>
      </c>
      <c r="DT24" s="15" t="n">
        <v>0</v>
      </c>
      <c r="DU24" s="15" t="n">
        <v>0</v>
      </c>
      <c r="DV24" s="15" t="n">
        <v>342</v>
      </c>
      <c r="DW24" s="14" t="n">
        <v>70</v>
      </c>
      <c r="DX24" s="14" t="n">
        <v>32</v>
      </c>
      <c r="DY24" s="14" t="n">
        <v>16</v>
      </c>
      <c r="DZ24" s="14" t="n">
        <v>9</v>
      </c>
      <c r="EA24" s="14" t="n">
        <v>5</v>
      </c>
      <c r="EB24" s="14" t="n">
        <v>6</v>
      </c>
      <c r="EC24" s="14" t="n">
        <v>0</v>
      </c>
      <c r="ED24" s="14" t="n">
        <v>1</v>
      </c>
      <c r="EE24" s="14" t="n">
        <v>5</v>
      </c>
      <c r="EF24" s="14" t="n">
        <v>2</v>
      </c>
      <c r="EG24" s="14" t="n">
        <v>0</v>
      </c>
      <c r="EH24" s="14" t="n">
        <v>0</v>
      </c>
      <c r="EI24" s="14" t="n">
        <v>0</v>
      </c>
      <c r="EJ24" s="14" t="n">
        <v>0</v>
      </c>
      <c r="EK24" s="14" t="n">
        <v>0</v>
      </c>
      <c r="EL24" s="14" t="n">
        <v>0</v>
      </c>
      <c r="EM24" s="14" t="n">
        <v>0</v>
      </c>
      <c r="EN24" s="14" t="n">
        <v>0</v>
      </c>
      <c r="EO24" s="14" t="n">
        <v>0</v>
      </c>
      <c r="EP24" s="14" t="n">
        <v>0</v>
      </c>
      <c r="EQ24" s="14" t="n">
        <v>0</v>
      </c>
      <c r="ER24" s="14" t="n">
        <v>0</v>
      </c>
      <c r="ES24" s="14" t="n">
        <v>0</v>
      </c>
      <c r="ET24" s="14" t="n">
        <v>0</v>
      </c>
      <c r="EU24" s="14" t="n">
        <v>0</v>
      </c>
      <c r="EV24" s="14" t="n">
        <v>0</v>
      </c>
      <c r="EW24" s="14" t="n">
        <v>0</v>
      </c>
      <c r="EX24" s="14" t="n">
        <v>0</v>
      </c>
      <c r="EY24" s="14" t="n">
        <v>0</v>
      </c>
      <c r="EZ24" s="14" t="n">
        <v>0</v>
      </c>
      <c r="FA24" s="14" t="n">
        <v>0</v>
      </c>
      <c r="FB24" s="14" t="n">
        <v>0</v>
      </c>
      <c r="FC24" s="14" t="n">
        <v>0</v>
      </c>
      <c r="FD24" s="14" t="n">
        <v>0</v>
      </c>
      <c r="FE24" s="14" t="n">
        <v>0</v>
      </c>
      <c r="FF24" s="14" t="n">
        <v>0</v>
      </c>
      <c r="FG24" s="15" t="n">
        <v>146</v>
      </c>
      <c r="FH24" s="14" t="n">
        <v>0</v>
      </c>
      <c r="FI24" s="14" t="n">
        <v>47</v>
      </c>
      <c r="FJ24" s="14" t="n">
        <v>744</v>
      </c>
      <c r="FK24" s="14" t="n">
        <v>0</v>
      </c>
      <c r="FL24" s="14" t="n">
        <v>0</v>
      </c>
      <c r="FM24" s="14" t="n">
        <v>0</v>
      </c>
      <c r="FN24" s="14" t="n">
        <v>0</v>
      </c>
      <c r="FO24" s="14" t="n">
        <v>0</v>
      </c>
      <c r="FP24" s="14" t="n">
        <v>30</v>
      </c>
      <c r="FQ24" s="15" t="n">
        <v>30</v>
      </c>
      <c r="FR24" s="14" t="n">
        <v>26361814.15</v>
      </c>
      <c r="FS24" s="14" t="n">
        <v>161800</v>
      </c>
      <c r="FT24" s="14" t="n">
        <v>1290880</v>
      </c>
      <c r="FU24" s="14" t="n">
        <v>3095033.48</v>
      </c>
      <c r="FV24" s="15" t="n">
        <v>30909527.63</v>
      </c>
      <c r="FW24" s="14" t="n">
        <v>22981929.2</v>
      </c>
      <c r="FX24" s="14" t="n">
        <v>5600</v>
      </c>
      <c r="FY24" s="14" t="n">
        <v>12720637.26</v>
      </c>
      <c r="FZ24" s="14" t="n">
        <v>2173463.7</v>
      </c>
      <c r="GA24" s="15" t="n">
        <v>37881630.16</v>
      </c>
      <c r="GB24" s="15" t="n">
        <v>68791157.79000001</v>
      </c>
      <c r="GC24" s="14" t="n">
        <v>22361248.36</v>
      </c>
      <c r="GD24" s="14" t="n">
        <v>92005.67999999999</v>
      </c>
      <c r="GE24" s="14" t="n">
        <v>912375.87</v>
      </c>
      <c r="GF24" s="14" t="n">
        <v>718880.03</v>
      </c>
      <c r="GG24" s="15" t="n">
        <v>24084509.94</v>
      </c>
      <c r="GH24" s="14" t="n">
        <v>22184431.44</v>
      </c>
      <c r="GI24" s="14" t="n">
        <v>2240</v>
      </c>
      <c r="GJ24" s="14" t="n">
        <v>2160885.51</v>
      </c>
      <c r="GK24" s="14" t="n">
        <v>12621697.26</v>
      </c>
      <c r="GL24" s="15" t="n">
        <v>36969254.20999999</v>
      </c>
      <c r="GM24" s="15" t="n">
        <v>61053764.14999999</v>
      </c>
      <c r="GN24" s="14" t="n">
        <v>1396802.97</v>
      </c>
      <c r="GO24" s="14" t="n">
        <v>2104.08</v>
      </c>
      <c r="GP24" s="14" t="n">
        <v>30542.76</v>
      </c>
      <c r="GQ24" s="14" t="n">
        <v>23186.7</v>
      </c>
      <c r="GR24" s="15" t="n">
        <v>1452636.51</v>
      </c>
      <c r="GS24" s="14" t="n">
        <v>2342339</v>
      </c>
      <c r="GT24" s="14" t="n">
        <v>9823</v>
      </c>
      <c r="GU24" s="14" t="n">
        <v>8037</v>
      </c>
      <c r="GV24" s="14" t="n">
        <v>4465</v>
      </c>
      <c r="GW24" s="15" t="n">
        <v>2364664</v>
      </c>
      <c r="GX24" s="15" t="n">
        <v>64871064.65999999</v>
      </c>
      <c r="GY24" s="14" t="n">
        <v>110775438.779999</v>
      </c>
      <c r="GZ24" s="14" t="n">
        <v>2520798.68</v>
      </c>
      <c r="HA24" s="15" t="n">
        <v>113296237.459999</v>
      </c>
      <c r="HB24" s="15" t="n">
        <v>64871064.65999999</v>
      </c>
      <c r="HC24" s="16" t="n">
        <v>110775438.779999</v>
      </c>
      <c r="HD24" s="15" t="n">
        <v>2520798.68</v>
      </c>
      <c r="HE24" s="14" t="n">
        <v>28</v>
      </c>
      <c r="HF24" s="14" t="n">
        <v>1</v>
      </c>
      <c r="HG24" s="14" t="n">
        <v>818</v>
      </c>
      <c r="HH24" s="14" t="n">
        <v>33</v>
      </c>
      <c r="HI24" s="14" t="n">
        <v>30</v>
      </c>
      <c r="HJ24" s="15" t="n">
        <v>0.9090909090909091</v>
      </c>
      <c r="HK24" s="16" t="n">
        <v>3.422982885085574</v>
      </c>
      <c r="HL24" s="14" t="n">
        <v>13</v>
      </c>
      <c r="HM24" s="14" t="n">
        <v>30</v>
      </c>
      <c r="HN24" s="17" t="n">
        <v>0.4333333333333333</v>
      </c>
    </row>
    <row r="25">
      <c r="A25" s="6" t="inlineStr">
        <is>
          <t>Liwonde</t>
        </is>
      </c>
      <c r="B25" s="6" t="inlineStr">
        <is>
          <t>Liwonde</t>
        </is>
      </c>
      <c r="C25" s="7" t="inlineStr">
        <is>
          <t>FY2025/26</t>
        </is>
      </c>
      <c r="D25" s="7" t="n">
        <v>2026</v>
      </c>
      <c r="E25" s="7" t="n">
        <v>2</v>
      </c>
      <c r="F25" s="7" t="inlineStr">
        <is>
          <t>February</t>
        </is>
      </c>
      <c r="G25" s="7" t="inlineStr">
        <is>
          <t>Q4</t>
        </is>
      </c>
      <c r="H25" s="8" t="n">
        <v>57839</v>
      </c>
      <c r="I25" s="8" t="n">
        <v>22432</v>
      </c>
      <c r="J25" s="8" t="n">
        <v>472</v>
      </c>
      <c r="K25" s="8" t="n">
        <v>394</v>
      </c>
      <c r="L25" s="8" t="n">
        <v>34</v>
      </c>
      <c r="M25" s="9">
        <f>SUM(I25,J25,K25,L25)</f>
        <v/>
      </c>
      <c r="N25" s="8" t="n">
        <v>14953.5</v>
      </c>
      <c r="O25" s="8" t="n">
        <v>8.5</v>
      </c>
      <c r="P25" s="8" t="n">
        <v>567.9</v>
      </c>
      <c r="Q25" s="8" t="n">
        <v>1714.1</v>
      </c>
      <c r="R25" s="9">
        <f>SUM(N25,O25,P25,Q25)</f>
        <v/>
      </c>
      <c r="S25" s="9">
        <f>M25+R25</f>
        <v/>
      </c>
      <c r="T25" s="8" t="n">
        <v>17263</v>
      </c>
      <c r="U25" s="10">
        <f>IF(H25=0,"",T25/H25)</f>
        <v/>
      </c>
      <c r="V25" s="8" t="n">
        <v>308</v>
      </c>
      <c r="W25" s="11">
        <f>IF(H25=0,"",V25/H25)</f>
        <v/>
      </c>
      <c r="X25" s="8" t="n">
        <v>25</v>
      </c>
      <c r="Y25" s="11">
        <f>IF(H25=0,"",X25/H25)</f>
        <v/>
      </c>
      <c r="Z25" s="8" t="n">
        <v>0</v>
      </c>
      <c r="AA25" s="11">
        <f>IF(H25=0,"",Z25/H25)</f>
        <v/>
      </c>
      <c r="AB25" s="8" t="n">
        <v>471</v>
      </c>
      <c r="AC25" s="11">
        <f>IF(H25=0,"",AB25/H25)</f>
        <v/>
      </c>
      <c r="AD25" s="8" t="n">
        <v>0</v>
      </c>
      <c r="AE25" s="11">
        <f>IF(H25=0,"",AD25/H25)</f>
        <v/>
      </c>
      <c r="AF25" s="8" t="n">
        <v>0</v>
      </c>
      <c r="AG25" s="11">
        <f>IF(H25=0,"",AF25/H25)</f>
        <v/>
      </c>
      <c r="AH25" s="8" t="n">
        <v>2867577.4273</v>
      </c>
      <c r="AI25" s="9">
        <f>IF(H25=0,"",AH25/H25)</f>
        <v/>
      </c>
      <c r="AJ25" s="8" t="n">
        <v>64745.7627118644</v>
      </c>
      <c r="AK25" s="11">
        <f>IF(H25=0,"",AJ25/H25)</f>
        <v/>
      </c>
      <c r="AL25" s="8" t="n">
        <v>10843373.74576271</v>
      </c>
      <c r="AM25" s="9">
        <f>IF(H25=0,"",AL25/H25)</f>
        <v/>
      </c>
      <c r="AN25" s="8" t="n">
        <v>1516</v>
      </c>
      <c r="AO25" s="8" t="n">
        <v>210</v>
      </c>
      <c r="AP25" s="8" t="n">
        <v>735000</v>
      </c>
      <c r="AQ25" s="8" t="n">
        <v>0</v>
      </c>
      <c r="AR25" s="8" t="n">
        <v>18768051.49</v>
      </c>
      <c r="AS25" s="8" t="n">
        <v>0</v>
      </c>
      <c r="AT25" s="8" t="n">
        <v>5351000</v>
      </c>
      <c r="AU25" s="9">
        <f>AH25+AL25+AP25+AQ25+AR25+AS25+AT25</f>
        <v/>
      </c>
      <c r="AV25" s="9">
        <f>IF(H25=0,"",AU25/H25)</f>
        <v/>
      </c>
      <c r="AW25" s="9">
        <f>IF(S25=0,"",AU25/S25)</f>
        <v/>
      </c>
      <c r="AX25" s="8" t="n">
        <v>26</v>
      </c>
      <c r="AY25" s="9">
        <f>IF(H25=0,"",AX25/(H25/1000/12))</f>
        <v/>
      </c>
      <c r="AZ25" s="8" t="n">
        <v>50</v>
      </c>
      <c r="BA25" s="8" t="n">
        <v>818</v>
      </c>
      <c r="BB25" s="8" t="n">
        <v>42</v>
      </c>
      <c r="BC25" s="8" t="n">
        <v>28</v>
      </c>
      <c r="BD25" s="8" t="n">
        <v>0</v>
      </c>
      <c r="BE25" s="9">
        <f>BC25+BD25</f>
        <v/>
      </c>
      <c r="BF25" s="9">
        <f>BA25+BB25-BE25</f>
        <v/>
      </c>
      <c r="BG25" s="8" t="n">
        <v>0</v>
      </c>
      <c r="BH25" s="8" t="n">
        <v>0</v>
      </c>
      <c r="BI25" s="8" t="n">
        <v>0</v>
      </c>
      <c r="BJ25" s="8" t="n">
        <v>0</v>
      </c>
      <c r="BK25" s="9">
        <f>BI25+BJ25</f>
        <v/>
      </c>
      <c r="BL25" s="9">
        <f>BG25+BH25-BK25</f>
        <v/>
      </c>
      <c r="BM25" s="8" t="n">
        <v>0</v>
      </c>
      <c r="BN25" s="8" t="n">
        <v>0</v>
      </c>
      <c r="BO25" s="8" t="n">
        <v>0</v>
      </c>
      <c r="BP25" s="8" t="n">
        <v>0</v>
      </c>
      <c r="BQ25" s="9">
        <f>BO25+BP25</f>
        <v/>
      </c>
      <c r="BR25" s="9">
        <f>BM25+BN25-BQ25</f>
        <v/>
      </c>
      <c r="BS25" s="8" t="n">
        <v>0</v>
      </c>
      <c r="BT25" s="8" t="n">
        <v>0</v>
      </c>
      <c r="BU25" s="8" t="n">
        <v>0</v>
      </c>
      <c r="BV25" s="8" t="n">
        <v>0</v>
      </c>
      <c r="BW25" s="9">
        <f>BU25+BV25</f>
        <v/>
      </c>
      <c r="BX25" s="9">
        <f>BS25+BT25-BW25</f>
        <v/>
      </c>
      <c r="BY25" s="9">
        <f>BA25+BG25+BM25+BS25</f>
        <v/>
      </c>
      <c r="BZ25" s="9">
        <f>BB25+BH25+BN25+BT25</f>
        <v/>
      </c>
      <c r="CA25" s="9">
        <f>BE25+BK25+BQ25+BW25</f>
        <v/>
      </c>
      <c r="CB25" s="9">
        <f>BF25+BL25+BR25+BX25</f>
        <v/>
      </c>
      <c r="CC25" s="8" t="n">
        <v>0</v>
      </c>
      <c r="CD25" s="8" t="n">
        <v>1690</v>
      </c>
      <c r="CE25" s="8" t="n">
        <v>33</v>
      </c>
      <c r="CF25" s="8" t="n">
        <v>20</v>
      </c>
      <c r="CG25" s="8" t="n">
        <v>15</v>
      </c>
      <c r="CH25" s="9">
        <f>CD25+CE25+CF25+CG25</f>
        <v/>
      </c>
      <c r="CI25" s="8" t="n">
        <v>2650</v>
      </c>
      <c r="CJ25" s="8" t="n">
        <v>9</v>
      </c>
      <c r="CK25" s="8" t="n">
        <v>5</v>
      </c>
      <c r="CL25" s="8" t="n">
        <v>11</v>
      </c>
      <c r="CM25" s="9">
        <f>CI25+CJ25+CK25+CL25</f>
        <v/>
      </c>
      <c r="CN25" s="8" t="n">
        <v>1636</v>
      </c>
      <c r="CO25" s="8" t="n">
        <v>45</v>
      </c>
      <c r="CP25" s="8" t="n">
        <v>114</v>
      </c>
      <c r="CQ25" s="8" t="n">
        <v>1</v>
      </c>
      <c r="CR25" s="9">
        <f>CN25+CO25+CP25+CQ25</f>
        <v/>
      </c>
      <c r="CS25" s="9">
        <f>CM25+CR25</f>
        <v/>
      </c>
      <c r="CT25" s="8" t="n">
        <v>6229</v>
      </c>
      <c r="CU25" s="8" t="n">
        <v>43305.77</v>
      </c>
      <c r="CV25" s="8" t="n">
        <v>38973.88</v>
      </c>
      <c r="CW25" s="10">
        <f>IF(CU25=0,"",CV25/CU25)</f>
        <v/>
      </c>
      <c r="CX25" s="8" t="n"/>
      <c r="CY25" s="8" t="n"/>
      <c r="CZ25" s="8" t="n"/>
      <c r="DA25" s="8" t="n"/>
      <c r="DB25" s="9">
        <f>CX25+CY25-CZ25-DA25</f>
        <v/>
      </c>
      <c r="DC25" s="8" t="n">
        <v>0</v>
      </c>
      <c r="DD25" s="8" t="n">
        <v>0</v>
      </c>
      <c r="DE25" s="8" t="n">
        <v>0</v>
      </c>
      <c r="DF25" s="8" t="n">
        <v>0</v>
      </c>
      <c r="DG25" s="9">
        <f>DC25+DD25-DE25-DF25</f>
        <v/>
      </c>
      <c r="DH25" s="8" t="n">
        <v>0</v>
      </c>
      <c r="DI25" s="8" t="n">
        <v>0</v>
      </c>
      <c r="DJ25" s="8" t="n">
        <v>0</v>
      </c>
      <c r="DK25" s="8" t="n">
        <v>0</v>
      </c>
      <c r="DL25" s="9">
        <f>DH25+DI25-DJ25-DK25</f>
        <v/>
      </c>
      <c r="DM25" s="8" t="n">
        <v>342</v>
      </c>
      <c r="DN25" s="8" t="n">
        <v>0</v>
      </c>
      <c r="DO25" s="8" t="n">
        <v>0</v>
      </c>
      <c r="DP25" s="8" t="n">
        <v>0</v>
      </c>
      <c r="DQ25" s="9">
        <f>DM25+DN25-DO25-DP25</f>
        <v/>
      </c>
      <c r="DR25" s="9">
        <f>CX25+DC25+DH25+DM25</f>
        <v/>
      </c>
      <c r="DS25" s="9">
        <f>CY25+DD25+DI25+DN25</f>
        <v/>
      </c>
      <c r="DT25" s="9">
        <f>CZ25+DE25+DJ25+DO25</f>
        <v/>
      </c>
      <c r="DU25" s="9">
        <f>DA25+DF25+DK25+DP25</f>
        <v/>
      </c>
      <c r="DV25" s="9">
        <f>DB25+DG25+DL25+DQ25</f>
        <v/>
      </c>
      <c r="DW25" s="8" t="n">
        <v>73</v>
      </c>
      <c r="DX25" s="8" t="n">
        <v>29</v>
      </c>
      <c r="DY25" s="8" t="n">
        <v>10</v>
      </c>
      <c r="DZ25" s="8" t="n">
        <v>2</v>
      </c>
      <c r="EA25" s="8" t="n">
        <v>7</v>
      </c>
      <c r="EB25" s="8" t="n">
        <v>3</v>
      </c>
      <c r="EC25" s="8" t="n">
        <v>0</v>
      </c>
      <c r="ED25" s="8" t="n">
        <v>2</v>
      </c>
      <c r="EE25" s="8" t="n">
        <v>3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  <c r="EY25" s="8" t="n">
        <v>0</v>
      </c>
      <c r="EZ25" s="8" t="n">
        <v>0</v>
      </c>
      <c r="FA25" s="8" t="n">
        <v>0</v>
      </c>
      <c r="FB25" s="8" t="n">
        <v>0</v>
      </c>
      <c r="FC25" s="8" t="n">
        <v>0</v>
      </c>
      <c r="FD25" s="8" t="n">
        <v>0</v>
      </c>
      <c r="FE25" s="8" t="n">
        <v>0</v>
      </c>
      <c r="FF25" s="8" t="n">
        <v>0</v>
      </c>
      <c r="FG25" s="9">
        <f>SUM(DW25,DX25,DY25,DZ25,EA25,EB25,EC25,ED25,EE25,EF25,EG25,EH25,EI25,EJ25,EK25,EL25,EM25,EN25,EO25,EP25,EQ25,ER25,ES25,ET25,EU25,EV25,EW25,EX25,EY25,EZ25,FA25,FB25,FC25,FD25,FE25,FF25)</f>
        <v/>
      </c>
      <c r="FH25" s="8" t="n">
        <v>0</v>
      </c>
      <c r="FI25" s="8" t="n">
        <v>22</v>
      </c>
      <c r="FJ25" s="8" t="n">
        <v>608</v>
      </c>
      <c r="FK25" s="8" t="n">
        <v>40</v>
      </c>
      <c r="FL25" s="8" t="n">
        <v>0</v>
      </c>
      <c r="FM25" s="8" t="n">
        <v>0</v>
      </c>
      <c r="FN25" s="8" t="n">
        <v>0</v>
      </c>
      <c r="FO25" s="8" t="n">
        <v>360</v>
      </c>
      <c r="FP25" s="8" t="n">
        <v>310</v>
      </c>
      <c r="FQ25" s="9">
        <f>FL25+FM25+FN25+FO25+FP25</f>
        <v/>
      </c>
      <c r="FR25" s="8" t="n">
        <v>23361897.85</v>
      </c>
      <c r="FS25" s="8" t="n">
        <v>79178</v>
      </c>
      <c r="FT25" s="8" t="n">
        <v>1004540</v>
      </c>
      <c r="FU25" s="8" t="n">
        <v>123000</v>
      </c>
      <c r="FV25" s="9">
        <f>FR25+FS25+FT25+FU25</f>
        <v/>
      </c>
      <c r="FW25" s="8" t="n">
        <v>20364654.55</v>
      </c>
      <c r="FX25" s="8" t="n">
        <v>4500</v>
      </c>
      <c r="FY25" s="8" t="n">
        <v>8409408.41</v>
      </c>
      <c r="FZ25" s="8" t="n">
        <v>1812394</v>
      </c>
      <c r="GA25" s="9">
        <f>FW25+FX25+FY25+FZ25</f>
        <v/>
      </c>
      <c r="GB25" s="9">
        <f>FV25+GA25</f>
        <v/>
      </c>
      <c r="GC25" s="8" t="n">
        <v>21051798.21</v>
      </c>
      <c r="GD25" s="8" t="n">
        <v>90284.16</v>
      </c>
      <c r="GE25" s="8" t="n">
        <v>1313750.25</v>
      </c>
      <c r="GF25" s="8" t="n">
        <v>105840.39</v>
      </c>
      <c r="GG25" s="9">
        <f>GC25+GD25+GE25+GF25</f>
        <v/>
      </c>
      <c r="GH25" s="8" t="n">
        <v>18655880.16</v>
      </c>
      <c r="GI25" s="8" t="n">
        <v>1800</v>
      </c>
      <c r="GJ25" s="8" t="n">
        <v>1725754</v>
      </c>
      <c r="GK25" s="8" t="n">
        <v>8097074.970000001</v>
      </c>
      <c r="GL25" s="9">
        <f>GH25+GI25+GJ25+GK25</f>
        <v/>
      </c>
      <c r="GM25" s="9">
        <f>GG25+GL25</f>
        <v/>
      </c>
      <c r="GN25" s="8" t="n">
        <v>1411352.23</v>
      </c>
      <c r="GO25" s="8" t="n">
        <v>2104.08</v>
      </c>
      <c r="GP25" s="8" t="n">
        <v>30542.76</v>
      </c>
      <c r="GQ25" s="8" t="n">
        <v>23186.7</v>
      </c>
      <c r="GR25" s="9">
        <f>GN25+GO25+GP25+GQ25</f>
        <v/>
      </c>
      <c r="GS25" s="8" t="n">
        <v>2366450</v>
      </c>
      <c r="GT25" s="8" t="n">
        <v>9823</v>
      </c>
      <c r="GU25" s="8" t="n">
        <v>8037</v>
      </c>
      <c r="GV25" s="8" t="n">
        <v>4465</v>
      </c>
      <c r="GW25" s="9">
        <f>GS25+GT25+GU25+GV25</f>
        <v/>
      </c>
      <c r="GX25" s="9">
        <f>GM25+GR25+GW25</f>
        <v/>
      </c>
      <c r="GY25" s="8" t="n">
        <v>111298327.07</v>
      </c>
      <c r="GZ25" s="8" t="n">
        <v>4181108.32</v>
      </c>
      <c r="HA25" s="9">
        <f>GY25+GZ25</f>
        <v/>
      </c>
      <c r="HB25" s="9">
        <f>IF(GX25=0,"",AU25/GX25)</f>
        <v/>
      </c>
      <c r="HC25" s="10">
        <f>IF((GX25+GY25)=0,"",GB25/(GX25+GY25))</f>
        <v/>
      </c>
      <c r="HD25" s="9">
        <f>IF(GX25=0,"",GB25/GX25)</f>
        <v/>
      </c>
      <c r="HE25" s="8" t="n">
        <v>42</v>
      </c>
      <c r="HF25" s="8" t="n">
        <v>1</v>
      </c>
      <c r="HG25" s="8" t="n">
        <v>832</v>
      </c>
      <c r="HH25" s="8" t="n">
        <v>42</v>
      </c>
      <c r="HI25" s="8" t="n">
        <v>30</v>
      </c>
      <c r="HJ25" s="9">
        <f>HF25+HI25</f>
        <v/>
      </c>
      <c r="HK25" s="10">
        <f>IF(HE25=0,"",HH25/HE25)</f>
        <v/>
      </c>
      <c r="HL25" s="8" t="n">
        <v>10</v>
      </c>
      <c r="HM25" s="8" t="n">
        <v>30</v>
      </c>
      <c r="HN25" s="11">
        <f>IF(HL25=0,"",HM25/HL25)</f>
        <v/>
      </c>
    </row>
    <row r="26">
      <c r="A26" s="12" t="inlineStr">
        <is>
          <t>Liwonde</t>
        </is>
      </c>
      <c r="B26" s="12" t="inlineStr">
        <is>
          <t>Liwonde</t>
        </is>
      </c>
      <c r="C26" s="13" t="inlineStr">
        <is>
          <t>FY2025/26</t>
        </is>
      </c>
      <c r="D26" s="13" t="n">
        <v>2026</v>
      </c>
      <c r="E26" s="13" t="n">
        <v>3</v>
      </c>
      <c r="F26" s="13" t="inlineStr">
        <is>
          <t>March</t>
        </is>
      </c>
      <c r="G26" s="13" t="inlineStr">
        <is>
          <t>Q4</t>
        </is>
      </c>
      <c r="H26" s="14" t="n">
        <v>62352</v>
      </c>
      <c r="I26" s="14" t="n">
        <v>23896</v>
      </c>
      <c r="J26" s="14" t="n">
        <v>413</v>
      </c>
      <c r="K26" s="14" t="n">
        <v>259</v>
      </c>
      <c r="L26" s="14" t="n">
        <v>34</v>
      </c>
      <c r="M26" s="15">
        <f>SUM(I26,J26,K26,L26)</f>
        <v/>
      </c>
      <c r="N26" s="14" t="n">
        <v>15442.6</v>
      </c>
      <c r="O26" s="14" t="n">
        <v>17.1</v>
      </c>
      <c r="P26" s="14" t="n">
        <v>1051.7</v>
      </c>
      <c r="Q26" s="14" t="n">
        <v>1905.1</v>
      </c>
      <c r="R26" s="15">
        <f>SUM(N26,O26,P26,Q26)</f>
        <v/>
      </c>
      <c r="S26" s="15">
        <f>M26+R26</f>
        <v/>
      </c>
      <c r="T26" s="14" t="n">
        <v>19333.5</v>
      </c>
      <c r="U26" s="16">
        <f>IF(H26=0,"",T26/H26)</f>
        <v/>
      </c>
      <c r="V26" s="14" t="n">
        <v>372</v>
      </c>
      <c r="W26" s="17">
        <f>IF(H26=0,"",V26/H26)</f>
        <v/>
      </c>
      <c r="X26" s="14" t="n">
        <v>985</v>
      </c>
      <c r="Y26" s="17">
        <f>IF(H26=0,"",X26/H26)</f>
        <v/>
      </c>
      <c r="Z26" s="14" t="n">
        <v>0</v>
      </c>
      <c r="AA26" s="17">
        <f>IF(H26=0,"",Z26/H26)</f>
        <v/>
      </c>
      <c r="AB26" s="14" t="n">
        <v>0</v>
      </c>
      <c r="AC26" s="17">
        <f>IF(H26=0,"",AB26/H26)</f>
        <v/>
      </c>
      <c r="AD26" s="14" t="n">
        <v>0</v>
      </c>
      <c r="AE26" s="17">
        <f>IF(H26=0,"",AD26/H26)</f>
        <v/>
      </c>
      <c r="AF26" s="14" t="n">
        <v>0</v>
      </c>
      <c r="AG26" s="17">
        <f>IF(H26=0,"",AF26/H26)</f>
        <v/>
      </c>
      <c r="AH26" s="14" t="n">
        <v>2355517.9467</v>
      </c>
      <c r="AI26" s="15">
        <f>IF(H26=0,"",AH26/H26)</f>
        <v/>
      </c>
      <c r="AJ26" s="14" t="n">
        <v>55635</v>
      </c>
      <c r="AK26" s="17">
        <f>IF(H26=0,"",AJ26/H26)</f>
        <v/>
      </c>
      <c r="AL26" s="14" t="n">
        <v>19339</v>
      </c>
      <c r="AM26" s="15">
        <f>IF(H26=0,"",AL26/H26)</f>
        <v/>
      </c>
      <c r="AN26" s="14" t="n">
        <v>2029</v>
      </c>
      <c r="AO26" s="14" t="n">
        <v>240</v>
      </c>
      <c r="AP26" s="14" t="n">
        <v>840000</v>
      </c>
      <c r="AQ26" s="14" t="n">
        <v>0</v>
      </c>
      <c r="AR26" s="14" t="n">
        <v>17418536.25</v>
      </c>
      <c r="AS26" s="14" t="n">
        <v>6951595.76</v>
      </c>
      <c r="AT26" s="14" t="n">
        <v>1754000</v>
      </c>
      <c r="AU26" s="15">
        <f>AH26+AL26+AP26+AQ26+AR26+AS26+AT26</f>
        <v/>
      </c>
      <c r="AV26" s="15">
        <f>IF(H26=0,"",AU26/H26)</f>
        <v/>
      </c>
      <c r="AW26" s="15">
        <f>IF(S26=0,"",AU26/S26)</f>
        <v/>
      </c>
      <c r="AX26" s="14" t="n">
        <v>26</v>
      </c>
      <c r="AY26" s="15">
        <f>IF(H26=0,"",AX26/(H26/1000/12))</f>
        <v/>
      </c>
      <c r="AZ26" s="14" t="n">
        <v>50</v>
      </c>
      <c r="BA26" s="14" t="n">
        <v>832</v>
      </c>
      <c r="BB26" s="14" t="n">
        <v>51</v>
      </c>
      <c r="BC26" s="14" t="n">
        <v>24</v>
      </c>
      <c r="BD26" s="14" t="n">
        <v>2</v>
      </c>
      <c r="BE26" s="15">
        <f>BC26+BD26</f>
        <v/>
      </c>
      <c r="BF26" s="15">
        <f>BA26+BB26-BE26</f>
        <v/>
      </c>
      <c r="BG26" s="14" t="n">
        <v>0</v>
      </c>
      <c r="BH26" s="14" t="n">
        <v>0</v>
      </c>
      <c r="BI26" s="14" t="n">
        <v>0</v>
      </c>
      <c r="BJ26" s="14" t="n">
        <v>0</v>
      </c>
      <c r="BK26" s="15">
        <f>BI26+BJ26</f>
        <v/>
      </c>
      <c r="BL26" s="15">
        <f>BG26+BH26-BK26</f>
        <v/>
      </c>
      <c r="BM26" s="14" t="n">
        <v>0</v>
      </c>
      <c r="BN26" s="14" t="n">
        <v>0</v>
      </c>
      <c r="BO26" s="14" t="n">
        <v>0</v>
      </c>
      <c r="BP26" s="14" t="n">
        <v>0</v>
      </c>
      <c r="BQ26" s="15">
        <f>BO26+BP26</f>
        <v/>
      </c>
      <c r="BR26" s="15">
        <f>BM26+BN26-BQ26</f>
        <v/>
      </c>
      <c r="BS26" s="14" t="n">
        <v>0</v>
      </c>
      <c r="BT26" s="14" t="n">
        <v>0</v>
      </c>
      <c r="BU26" s="14" t="n">
        <v>0</v>
      </c>
      <c r="BV26" s="14" t="n">
        <v>0</v>
      </c>
      <c r="BW26" s="15">
        <f>BU26+BV26</f>
        <v/>
      </c>
      <c r="BX26" s="15">
        <f>BS26+BT26-BW26</f>
        <v/>
      </c>
      <c r="BY26" s="15">
        <f>BA26+BG26+BM26+BS26</f>
        <v/>
      </c>
      <c r="BZ26" s="15">
        <f>BB26+BH26+BN26+BT26</f>
        <v/>
      </c>
      <c r="CA26" s="15">
        <f>BE26+BK26+BQ26+BW26</f>
        <v/>
      </c>
      <c r="CB26" s="15">
        <f>BF26+BL26+BR26+BX26</f>
        <v/>
      </c>
      <c r="CC26" s="14" t="n">
        <v>2</v>
      </c>
      <c r="CD26" s="14" t="n">
        <v>1684</v>
      </c>
      <c r="CE26" s="14" t="n">
        <v>33</v>
      </c>
      <c r="CF26" s="14" t="n">
        <v>20</v>
      </c>
      <c r="CG26" s="14" t="n">
        <v>15</v>
      </c>
      <c r="CH26" s="15">
        <f>CD26+CE26+CF26+CG26</f>
        <v/>
      </c>
      <c r="CI26" s="14" t="n">
        <v>2677</v>
      </c>
      <c r="CJ26" s="14" t="n">
        <v>9</v>
      </c>
      <c r="CK26" s="14" t="n">
        <v>8</v>
      </c>
      <c r="CL26" s="14" t="n">
        <v>11</v>
      </c>
      <c r="CM26" s="15">
        <f>CI26+CJ26+CK26+CL26</f>
        <v/>
      </c>
      <c r="CN26" s="14" t="n">
        <v>1636</v>
      </c>
      <c r="CO26" s="14" t="n">
        <v>45</v>
      </c>
      <c r="CP26" s="14" t="n">
        <v>114</v>
      </c>
      <c r="CQ26" s="14" t="n">
        <v>1</v>
      </c>
      <c r="CR26" s="15">
        <f>CN26+CO26+CP26+CQ26</f>
        <v/>
      </c>
      <c r="CS26" s="15">
        <f>CM26+CR26</f>
        <v/>
      </c>
      <c r="CT26" s="14" t="n">
        <v>6253</v>
      </c>
      <c r="CU26" s="14" t="n">
        <v>43739</v>
      </c>
      <c r="CV26" s="14" t="n">
        <v>39363</v>
      </c>
      <c r="CW26" s="16">
        <f>IF(CU26=0,"",CV26/CU26)</f>
        <v/>
      </c>
      <c r="CX26" s="14" t="n"/>
      <c r="CY26" s="14" t="n"/>
      <c r="CZ26" s="14" t="n"/>
      <c r="DA26" s="14" t="n"/>
      <c r="DB26" s="15">
        <f>CX26+CY26-CZ26-DA26</f>
        <v/>
      </c>
      <c r="DC26" s="14" t="n">
        <v>0</v>
      </c>
      <c r="DD26" s="14" t="n">
        <v>0</v>
      </c>
      <c r="DE26" s="14" t="n">
        <v>0</v>
      </c>
      <c r="DF26" s="14" t="n">
        <v>0</v>
      </c>
      <c r="DG26" s="15">
        <f>DC26+DD26-DE26-DF26</f>
        <v/>
      </c>
      <c r="DH26" s="14" t="n">
        <v>0</v>
      </c>
      <c r="DI26" s="14" t="n">
        <v>0</v>
      </c>
      <c r="DJ26" s="14" t="n">
        <v>0</v>
      </c>
      <c r="DK26" s="14" t="n">
        <v>0</v>
      </c>
      <c r="DL26" s="15">
        <f>DH26+DI26-DJ26-DK26</f>
        <v/>
      </c>
      <c r="DM26" s="14" t="n">
        <v>342</v>
      </c>
      <c r="DN26" s="14" t="n">
        <v>0</v>
      </c>
      <c r="DO26" s="14" t="n">
        <v>0</v>
      </c>
      <c r="DP26" s="14" t="n">
        <v>0</v>
      </c>
      <c r="DQ26" s="15">
        <f>DM26+DN26-DO26-DP26</f>
        <v/>
      </c>
      <c r="DR26" s="15">
        <f>CX26+DC26+DH26+DM26</f>
        <v/>
      </c>
      <c r="DS26" s="15">
        <f>CY26+DD26+DI26+DN26</f>
        <v/>
      </c>
      <c r="DT26" s="15">
        <f>CZ26+DE26+DJ26+DO26</f>
        <v/>
      </c>
      <c r="DU26" s="15">
        <f>DA26+DF26+DK26+DP26</f>
        <v/>
      </c>
      <c r="DV26" s="15">
        <f>DB26+DG26+DL26+DQ26</f>
        <v/>
      </c>
      <c r="DW26" s="14" t="n">
        <v>40</v>
      </c>
      <c r="DX26" s="14" t="n">
        <v>12</v>
      </c>
      <c r="DY26" s="14" t="n">
        <v>8</v>
      </c>
      <c r="DZ26" s="14" t="n">
        <v>3</v>
      </c>
      <c r="EA26" s="14" t="n">
        <v>5</v>
      </c>
      <c r="EB26" s="14" t="n">
        <v>3</v>
      </c>
      <c r="EC26" s="14" t="n">
        <v>0</v>
      </c>
      <c r="ED26" s="14" t="n">
        <v>1</v>
      </c>
      <c r="EE26" s="14" t="n">
        <v>5</v>
      </c>
      <c r="EF26" s="14" t="n">
        <v>1</v>
      </c>
      <c r="EG26" s="14" t="n">
        <v>0</v>
      </c>
      <c r="EH26" s="14" t="n">
        <v>0</v>
      </c>
      <c r="EI26" s="14" t="n">
        <v>0</v>
      </c>
      <c r="EJ26" s="14" t="n">
        <v>0</v>
      </c>
      <c r="EK26" s="14" t="n">
        <v>0</v>
      </c>
      <c r="EL26" s="14" t="n">
        <v>0</v>
      </c>
      <c r="EM26" s="14" t="n">
        <v>0</v>
      </c>
      <c r="EN26" s="14" t="n">
        <v>0</v>
      </c>
      <c r="EO26" s="14" t="n">
        <v>0</v>
      </c>
      <c r="EP26" s="14" t="n">
        <v>0</v>
      </c>
      <c r="EQ26" s="14" t="n">
        <v>0</v>
      </c>
      <c r="ER26" s="14" t="n">
        <v>0</v>
      </c>
      <c r="ES26" s="14" t="n">
        <v>0</v>
      </c>
      <c r="ET26" s="14" t="n">
        <v>0</v>
      </c>
      <c r="EU26" s="14" t="n">
        <v>0</v>
      </c>
      <c r="EV26" s="14" t="n">
        <v>0</v>
      </c>
      <c r="EW26" s="14" t="n">
        <v>0</v>
      </c>
      <c r="EX26" s="14" t="n">
        <v>0</v>
      </c>
      <c r="EY26" s="14" t="n">
        <v>0</v>
      </c>
      <c r="EZ26" s="14" t="n">
        <v>0</v>
      </c>
      <c r="FA26" s="14" t="n">
        <v>0</v>
      </c>
      <c r="FB26" s="14" t="n">
        <v>0</v>
      </c>
      <c r="FC26" s="14" t="n">
        <v>0</v>
      </c>
      <c r="FD26" s="14" t="n">
        <v>0</v>
      </c>
      <c r="FE26" s="14" t="n">
        <v>0</v>
      </c>
      <c r="FF26" s="14" t="n">
        <v>0</v>
      </c>
      <c r="FG26" s="15">
        <f>SUM(DW26,DX26,DY26,DZ26,EA26,EB26,EC26,ED26,EE26,EF26,EG26,EH26,EI26,EJ26,EK26,EL26,EM26,EN26,EO26,EP26,EQ26,ER26,ES26,ET26,EU26,EV26,EW26,EX26,EY26,EZ26,FA26,FB26,FC26,FD26,FE26,FF26)</f>
        <v/>
      </c>
      <c r="FH26" s="14" t="n">
        <v>0</v>
      </c>
      <c r="FI26" s="14" t="n">
        <v>0</v>
      </c>
      <c r="FJ26" s="14" t="n">
        <v>744</v>
      </c>
      <c r="FK26" s="14" t="n">
        <v>12</v>
      </c>
      <c r="FL26" s="14" t="n">
        <v>30</v>
      </c>
      <c r="FM26" s="14" t="n">
        <v>0</v>
      </c>
      <c r="FN26" s="14" t="n">
        <v>122</v>
      </c>
      <c r="FO26" s="14" t="n">
        <v>0</v>
      </c>
      <c r="FP26" s="14" t="n">
        <v>0</v>
      </c>
      <c r="FQ26" s="15">
        <f>FL26+FM26+FN26+FO26+FP26</f>
        <v/>
      </c>
      <c r="FR26" s="14" t="n">
        <v>30088422.03</v>
      </c>
      <c r="FS26" s="14" t="n">
        <v>95121</v>
      </c>
      <c r="FT26" s="14" t="n">
        <v>402940</v>
      </c>
      <c r="FU26" s="14" t="n">
        <v>254600</v>
      </c>
      <c r="FV26" s="15">
        <f>FR26+FS26+FT26+FU26</f>
        <v/>
      </c>
      <c r="FW26" s="14" t="n">
        <v>21755861.19</v>
      </c>
      <c r="FX26" s="14" t="n">
        <v>9000</v>
      </c>
      <c r="FY26" s="14" t="n">
        <v>9967207.119999999</v>
      </c>
      <c r="FZ26" s="14" t="n">
        <v>3254854.05</v>
      </c>
      <c r="GA26" s="15">
        <f>FW26+FX26+FY26+FZ26</f>
        <v/>
      </c>
      <c r="GB26" s="15">
        <f>FV26+GA26</f>
        <v/>
      </c>
      <c r="GC26" s="14" t="n">
        <v>22589533.81</v>
      </c>
      <c r="GD26" s="14" t="n">
        <v>78998.64</v>
      </c>
      <c r="GE26" s="14" t="n">
        <v>858634.86</v>
      </c>
      <c r="GF26" s="14" t="n">
        <v>138555.62</v>
      </c>
      <c r="GG26" s="15">
        <f>GC26+GD26+GE26+GF26</f>
        <v/>
      </c>
      <c r="GH26" s="14" t="n">
        <v>19271306.10000001</v>
      </c>
      <c r="GI26" s="14" t="n">
        <v>3600</v>
      </c>
      <c r="GJ26" s="14" t="n">
        <v>3198022.94</v>
      </c>
      <c r="GK26" s="14" t="n">
        <v>9007103.24</v>
      </c>
      <c r="GL26" s="15">
        <f>GH26+GI26+GJ26+GK26</f>
        <v/>
      </c>
      <c r="GM26" s="15">
        <f>GG26+GL26</f>
        <v/>
      </c>
      <c r="GN26" s="14" t="n">
        <v>1425840.48</v>
      </c>
      <c r="GO26" s="14" t="n">
        <v>2104.08</v>
      </c>
      <c r="GP26" s="14" t="n">
        <v>30542.76</v>
      </c>
      <c r="GQ26" s="14" t="n">
        <v>37098.72</v>
      </c>
      <c r="GR26" s="15">
        <f>GN26+GO26+GP26+GQ26</f>
        <v/>
      </c>
      <c r="GS26" s="14" t="n">
        <v>2390561</v>
      </c>
      <c r="GT26" s="14" t="n">
        <v>9823</v>
      </c>
      <c r="GU26" s="14" t="n">
        <v>8037</v>
      </c>
      <c r="GV26" s="14" t="n">
        <v>7144</v>
      </c>
      <c r="GW26" s="15">
        <f>GS26+GT26+GU26+GV26</f>
        <v/>
      </c>
      <c r="GX26" s="15">
        <f>GM26+GR26+GW26</f>
        <v/>
      </c>
      <c r="GY26" s="14" t="n">
        <v>103326660.39</v>
      </c>
      <c r="GZ26" s="14" t="n">
        <v>3135234.72</v>
      </c>
      <c r="HA26" s="15">
        <f>GY26+GZ26</f>
        <v/>
      </c>
      <c r="HB26" s="15">
        <f>IF(GX26=0,"",AU26/GX26)</f>
        <v/>
      </c>
      <c r="HC26" s="16">
        <f>IF((GX26+GY26)=0,"",GB26/(GX26+GY26))</f>
        <v/>
      </c>
      <c r="HD26" s="15">
        <f>IF(GX26=0,"",GB26/GX26)</f>
        <v/>
      </c>
      <c r="HE26" s="14" t="n">
        <v>51</v>
      </c>
      <c r="HF26" s="14" t="n">
        <v>1</v>
      </c>
      <c r="HG26" s="14" t="n">
        <v>857</v>
      </c>
      <c r="HH26" s="14" t="n">
        <v>51</v>
      </c>
      <c r="HI26" s="14" t="n">
        <v>30</v>
      </c>
      <c r="HJ26" s="15">
        <f>HF26+HI26</f>
        <v/>
      </c>
      <c r="HK26" s="16">
        <f>IF(HE26=0,"",HH26/HE26)</f>
        <v/>
      </c>
      <c r="HL26" s="14" t="n">
        <v>17</v>
      </c>
      <c r="HM26" s="14" t="n">
        <v>30</v>
      </c>
      <c r="HN26" s="17">
        <f>IF(HL26=0,"",HM26/HL26)</f>
        <v/>
      </c>
    </row>
    <row r="27">
      <c r="A27" s="6" t="inlineStr">
        <is>
          <t>Liwonde</t>
        </is>
      </c>
      <c r="B27" s="6" t="inlineStr">
        <is>
          <t>Machinga</t>
        </is>
      </c>
      <c r="C27" s="7" t="inlineStr">
        <is>
          <t>FY2025/26</t>
        </is>
      </c>
      <c r="D27" s="7" t="n">
        <v>2025</v>
      </c>
      <c r="E27" s="7" t="n">
        <v>4</v>
      </c>
      <c r="F27" s="7" t="inlineStr">
        <is>
          <t>April</t>
        </is>
      </c>
      <c r="G27" s="7" t="inlineStr">
        <is>
          <t>Q1</t>
        </is>
      </c>
      <c r="H27" s="8" t="n">
        <v>1641</v>
      </c>
      <c r="I27" s="8" t="n">
        <v>69</v>
      </c>
      <c r="J27" s="8" t="n">
        <v>0</v>
      </c>
      <c r="K27" s="8" t="n">
        <v>32</v>
      </c>
      <c r="L27" s="8" t="n">
        <v>0</v>
      </c>
      <c r="M27" s="9">
        <f>SUM(I27,J27,K27,L27)</f>
        <v/>
      </c>
      <c r="N27" s="8" t="n">
        <v>1274.8</v>
      </c>
      <c r="O27" s="8" t="n">
        <v>0</v>
      </c>
      <c r="P27" s="8" t="n">
        <v>2</v>
      </c>
      <c r="Q27" s="8" t="n">
        <v>16.9</v>
      </c>
      <c r="R27" s="9">
        <f>SUM(N27,O27,P27,Q27)</f>
        <v/>
      </c>
      <c r="S27" s="9">
        <f>M27+R27</f>
        <v/>
      </c>
      <c r="T27" s="8" t="n">
        <v>246.3</v>
      </c>
      <c r="U27" s="10">
        <f>IF(H27=0,"",T27/H27)</f>
        <v/>
      </c>
      <c r="V27" s="8" t="n">
        <v>9</v>
      </c>
      <c r="W27" s="11">
        <f>IF(H27=0,"",V27/H27)</f>
        <v/>
      </c>
      <c r="X27" s="8" t="n">
        <v>0</v>
      </c>
      <c r="Y27" s="11">
        <f>IF(H27=0,"",X27/H27)</f>
        <v/>
      </c>
      <c r="Z27" s="8" t="n">
        <v>0</v>
      </c>
      <c r="AA27" s="11">
        <f>IF(H27=0,"",Z27/H27)</f>
        <v/>
      </c>
      <c r="AB27" s="8" t="n">
        <v>0</v>
      </c>
      <c r="AC27" s="11">
        <f>IF(H27=0,"",AB27/H27)</f>
        <v/>
      </c>
      <c r="AD27" s="8" t="n">
        <v>0</v>
      </c>
      <c r="AE27" s="11">
        <f>IF(H27=0,"",AD27/H27)</f>
        <v/>
      </c>
      <c r="AF27" s="8" t="n">
        <v>0</v>
      </c>
      <c r="AG27" s="11">
        <f>IF(H27=0,"",AF27/H27)</f>
        <v/>
      </c>
      <c r="AH27" s="8" t="n">
        <v>31727.61</v>
      </c>
      <c r="AI27" s="9">
        <f>IF(H27=0,"",AH27/H27)</f>
        <v/>
      </c>
      <c r="AJ27" s="8" t="n">
        <v>760</v>
      </c>
      <c r="AK27" s="11">
        <f>IF(H27=0,"",AJ27/H27)</f>
        <v/>
      </c>
      <c r="AL27" s="8" t="n">
        <v>146393.9</v>
      </c>
      <c r="AM27" s="9">
        <f>IF(H27=0,"",AL27/H27)</f>
        <v/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718108.71</v>
      </c>
      <c r="AS27" s="8" t="n">
        <v>720000.3199999999</v>
      </c>
      <c r="AT27" s="8" t="n">
        <v>596480</v>
      </c>
      <c r="AU27" s="9">
        <f>AH27+AL27+AP27+AQ27+AR27+AS27+AT27</f>
        <v/>
      </c>
      <c r="AV27" s="9">
        <f>IF(H27=0,"",AU27/H27)</f>
        <v/>
      </c>
      <c r="AW27" s="9">
        <f>IF(S27=0,"",AU27/S27)</f>
        <v/>
      </c>
      <c r="AX27" s="8" t="n">
        <v>3</v>
      </c>
      <c r="AY27" s="9">
        <f>IF(H27=0,"",AX27/(H27/1000/12))</f>
        <v/>
      </c>
      <c r="AZ27" s="8" t="n">
        <v>8</v>
      </c>
      <c r="BA27" s="8" t="n">
        <v>2</v>
      </c>
      <c r="BB27" s="8" t="n">
        <v>2</v>
      </c>
      <c r="BC27" s="8" t="n">
        <v>0</v>
      </c>
      <c r="BD27" s="8" t="n">
        <v>2</v>
      </c>
      <c r="BE27" s="9">
        <f>BC27+BD27</f>
        <v/>
      </c>
      <c r="BF27" s="9">
        <f>BA27+BB27-BE27</f>
        <v/>
      </c>
      <c r="BG27" s="8" t="n">
        <v>0</v>
      </c>
      <c r="BH27" s="8" t="n">
        <v>0</v>
      </c>
      <c r="BI27" s="8" t="n">
        <v>0</v>
      </c>
      <c r="BJ27" s="8" t="n">
        <v>0</v>
      </c>
      <c r="BK27" s="9">
        <f>BI27+BJ27</f>
        <v/>
      </c>
      <c r="BL27" s="9">
        <f>BG27+BH27-BK27</f>
        <v/>
      </c>
      <c r="BM27" s="8" t="n">
        <v>0</v>
      </c>
      <c r="BN27" s="8" t="n">
        <v>0</v>
      </c>
      <c r="BO27" s="8" t="n">
        <v>0</v>
      </c>
      <c r="BP27" s="8" t="n">
        <v>0</v>
      </c>
      <c r="BQ27" s="9">
        <f>BO27+BP27</f>
        <v/>
      </c>
      <c r="BR27" s="9">
        <f>BM27+BN27-BQ27</f>
        <v/>
      </c>
      <c r="BS27" s="8" t="n">
        <v>0</v>
      </c>
      <c r="BT27" s="8" t="n">
        <v>0</v>
      </c>
      <c r="BU27" s="8" t="n">
        <v>0</v>
      </c>
      <c r="BV27" s="8" t="n">
        <v>0</v>
      </c>
      <c r="BW27" s="9">
        <f>BU27+BV27</f>
        <v/>
      </c>
      <c r="BX27" s="9">
        <f>BS27+BT27-BW27</f>
        <v/>
      </c>
      <c r="BY27" s="9">
        <f>BA27+BG27+BM27+BS27</f>
        <v/>
      </c>
      <c r="BZ27" s="9">
        <f>BB27+BH27+BN27+BT27</f>
        <v/>
      </c>
      <c r="CA27" s="9">
        <f>BE27+BK27+BQ27+BW27</f>
        <v/>
      </c>
      <c r="CB27" s="9">
        <f>BF27+BL27+BR27+BX27</f>
        <v/>
      </c>
      <c r="CC27" s="8" t="n">
        <v>12</v>
      </c>
      <c r="CD27" s="8" t="n">
        <v>0</v>
      </c>
      <c r="CE27" s="8" t="n">
        <v>0</v>
      </c>
      <c r="CF27" s="8" t="n">
        <v>0</v>
      </c>
      <c r="CG27" s="8" t="n">
        <v>0</v>
      </c>
      <c r="CH27" s="9">
        <f>CD27+CE27+CF27+CG27</f>
        <v/>
      </c>
      <c r="CI27" s="8" t="n">
        <v>12</v>
      </c>
      <c r="CJ27" s="8" t="n">
        <v>1</v>
      </c>
      <c r="CK27" s="8" t="n">
        <v>0</v>
      </c>
      <c r="CL27" s="8" t="n">
        <v>0</v>
      </c>
      <c r="CM27" s="9">
        <f>CI27+CJ27+CK27+CL27</f>
        <v/>
      </c>
      <c r="CN27" s="8" t="n">
        <v>376</v>
      </c>
      <c r="CO27" s="8" t="n">
        <v>3</v>
      </c>
      <c r="CP27" s="8" t="n">
        <v>6</v>
      </c>
      <c r="CQ27" s="8" t="n">
        <v>0</v>
      </c>
      <c r="CR27" s="9">
        <f>CN27+CO27+CP27+CQ27</f>
        <v/>
      </c>
      <c r="CS27" s="9">
        <f>CM27+CR27</f>
        <v/>
      </c>
      <c r="CT27" s="8" t="n">
        <v>398</v>
      </c>
      <c r="CU27" s="8" t="n">
        <v>1420</v>
      </c>
      <c r="CV27" s="8" t="n">
        <v>1065</v>
      </c>
      <c r="CW27" s="10">
        <f>IF(CU27=0,"",CV27/CU27)</f>
        <v/>
      </c>
      <c r="CX27" s="8" t="n"/>
      <c r="CY27" s="8" t="n"/>
      <c r="CZ27" s="8" t="n"/>
      <c r="DA27" s="8" t="n"/>
      <c r="DB27" s="9">
        <f>CX27+CY27-CZ27-DA27</f>
        <v/>
      </c>
      <c r="DC27" s="8" t="n">
        <v>0</v>
      </c>
      <c r="DD27" s="8" t="n">
        <v>0</v>
      </c>
      <c r="DE27" s="8" t="n">
        <v>0</v>
      </c>
      <c r="DF27" s="8" t="n">
        <v>0</v>
      </c>
      <c r="DG27" s="9">
        <f>DC27+DD27-DE27-DF27</f>
        <v/>
      </c>
      <c r="DH27" s="8" t="n">
        <v>0</v>
      </c>
      <c r="DI27" s="8" t="n">
        <v>0</v>
      </c>
      <c r="DJ27" s="8" t="n">
        <v>0</v>
      </c>
      <c r="DK27" s="8" t="n">
        <v>0</v>
      </c>
      <c r="DL27" s="9">
        <f>DH27+DI27-DJ27-DK27</f>
        <v/>
      </c>
      <c r="DM27" s="8" t="n">
        <v>0</v>
      </c>
      <c r="DN27" s="8" t="n">
        <v>0</v>
      </c>
      <c r="DO27" s="8" t="n">
        <v>0</v>
      </c>
      <c r="DP27" s="8" t="n">
        <v>0</v>
      </c>
      <c r="DQ27" s="9">
        <f>DM27+DN27-DO27-DP27</f>
        <v/>
      </c>
      <c r="DR27" s="9">
        <f>CX27+DC27+DH27+DM27</f>
        <v/>
      </c>
      <c r="DS27" s="9">
        <f>CY27+DD27+DI27+DN27</f>
        <v/>
      </c>
      <c r="DT27" s="9">
        <f>CZ27+DE27+DJ27+DO27</f>
        <v/>
      </c>
      <c r="DU27" s="9">
        <f>DA27+DF27+DK27+DP27</f>
        <v/>
      </c>
      <c r="DV27" s="9">
        <f>DB27+DG27+DL27+DQ27</f>
        <v/>
      </c>
      <c r="DW27" s="8" t="n">
        <v>13</v>
      </c>
      <c r="DX27" s="8" t="n">
        <v>8</v>
      </c>
      <c r="DY27" s="8" t="n">
        <v>9</v>
      </c>
      <c r="DZ27" s="8" t="n">
        <v>3</v>
      </c>
      <c r="EA27" s="8" t="n">
        <v>2</v>
      </c>
      <c r="EB27" s="8" t="n">
        <v>4</v>
      </c>
      <c r="EC27" s="8" t="n">
        <v>0</v>
      </c>
      <c r="ED27" s="8" t="n">
        <v>2</v>
      </c>
      <c r="EE27" s="8" t="n">
        <v>1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3</v>
      </c>
      <c r="EK27" s="8" t="n">
        <v>1</v>
      </c>
      <c r="EL27" s="8" t="n">
        <v>0</v>
      </c>
      <c r="EM27" s="8" t="n">
        <v>0</v>
      </c>
      <c r="EN27" s="8" t="n">
        <v>2</v>
      </c>
      <c r="EO27" s="8" t="n">
        <v>0</v>
      </c>
      <c r="EP27" s="8" t="n">
        <v>0</v>
      </c>
      <c r="EQ27" s="8" t="n">
        <v>0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  <c r="EX27" s="8" t="n">
        <v>0</v>
      </c>
      <c r="EY27" s="8" t="n">
        <v>0</v>
      </c>
      <c r="EZ27" s="8" t="n">
        <v>0</v>
      </c>
      <c r="FA27" s="8" t="n">
        <v>0</v>
      </c>
      <c r="FB27" s="8" t="n">
        <v>0</v>
      </c>
      <c r="FC27" s="8" t="n">
        <v>0</v>
      </c>
      <c r="FD27" s="8" t="n">
        <v>0</v>
      </c>
      <c r="FE27" s="8" t="n">
        <v>0</v>
      </c>
      <c r="FF27" s="8" t="n">
        <v>0</v>
      </c>
      <c r="FG27" s="9">
        <f>SUM(DW27,DX27,DY27,DZ27,EA27,EB27,EC27,ED27,EE27,EF27,EG27,EH27,EI27,EJ27,EK27,EL27,EM27,EN27,EO27,EP27,EQ27,ER27,ES27,ET27,EU27,EV27,EW27,EX27,EY27,EZ27,FA27,FB27,FC27,FD27,FE27,FF27)</f>
        <v/>
      </c>
      <c r="FH27" s="8" t="n">
        <v>1</v>
      </c>
      <c r="FI27" s="8" t="n">
        <v>0</v>
      </c>
      <c r="FJ27" s="8" t="n">
        <v>0</v>
      </c>
      <c r="FK27" s="8" t="n">
        <v>39</v>
      </c>
      <c r="FL27" s="8" t="n">
        <v>0</v>
      </c>
      <c r="FM27" s="8" t="n">
        <v>0</v>
      </c>
      <c r="FN27" s="8" t="n">
        <v>0</v>
      </c>
      <c r="FO27" s="8" t="n">
        <v>0</v>
      </c>
      <c r="FP27" s="8" t="n">
        <v>0</v>
      </c>
      <c r="FQ27" s="9">
        <f>FL27+FM27+FN27+FO27+FP27</f>
        <v/>
      </c>
      <c r="FR27" s="8" t="n">
        <v>49800</v>
      </c>
      <c r="FS27" s="8" t="n">
        <v>0</v>
      </c>
      <c r="FT27" s="8" t="n">
        <v>0</v>
      </c>
      <c r="FU27" s="8" t="n">
        <v>0</v>
      </c>
      <c r="FV27" s="9">
        <f>FR27+FS27+FT27+FU27</f>
        <v/>
      </c>
      <c r="FW27" s="8" t="n">
        <v>2505983.04</v>
      </c>
      <c r="FX27" s="8" t="n">
        <v>0</v>
      </c>
      <c r="FY27" s="8" t="n">
        <v>80000</v>
      </c>
      <c r="FZ27" s="8" t="n">
        <v>8000</v>
      </c>
      <c r="GA27" s="9">
        <f>FW27+FX27+FY27+FZ27</f>
        <v/>
      </c>
      <c r="GB27" s="9">
        <f>FV27+GA27</f>
        <v/>
      </c>
      <c r="GC27" s="8" t="n">
        <v>66118.59</v>
      </c>
      <c r="GD27" s="8" t="n">
        <v>0</v>
      </c>
      <c r="GE27" s="8" t="n">
        <v>98236.19</v>
      </c>
      <c r="GF27" s="8" t="n">
        <v>0</v>
      </c>
      <c r="GG27" s="9">
        <f>GC27+GD27+GE27+GF27</f>
        <v/>
      </c>
      <c r="GH27" s="8" t="n">
        <v>1597739.04</v>
      </c>
      <c r="GI27" s="8" t="n">
        <v>0</v>
      </c>
      <c r="GJ27" s="8" t="n">
        <v>6200</v>
      </c>
      <c r="GK27" s="8" t="n">
        <v>80000</v>
      </c>
      <c r="GL27" s="9">
        <f>GH27+GI27+GJ27+GK27</f>
        <v/>
      </c>
      <c r="GM27" s="9">
        <f>GG27+GL27</f>
        <v/>
      </c>
      <c r="GN27" s="8" t="n">
        <v>6661.18</v>
      </c>
      <c r="GO27" s="8" t="n">
        <v>0</v>
      </c>
      <c r="GP27" s="8" t="n">
        <v>3393.64</v>
      </c>
      <c r="GQ27" s="8" t="n">
        <v>0</v>
      </c>
      <c r="GR27" s="9">
        <f>GN27+GO27+GP27+GQ27</f>
        <v/>
      </c>
      <c r="GS27" s="8" t="n">
        <v>10716</v>
      </c>
      <c r="GT27" s="8" t="n">
        <v>0</v>
      </c>
      <c r="GU27" s="8" t="n">
        <v>893</v>
      </c>
      <c r="GV27" s="8" t="n">
        <v>0</v>
      </c>
      <c r="GW27" s="9">
        <f>GS27+GT27+GU27+GV27</f>
        <v/>
      </c>
      <c r="GX27" s="9">
        <f>GM27+GR27+GW27</f>
        <v/>
      </c>
      <c r="GY27" s="8" t="n">
        <v>18501501.11</v>
      </c>
      <c r="GZ27" s="8" t="n">
        <v>1096482.98</v>
      </c>
      <c r="HA27" s="9">
        <f>GY27+GZ27</f>
        <v/>
      </c>
      <c r="HB27" s="9">
        <f>IF(GX27=0,"",AU27/GX27)</f>
        <v/>
      </c>
      <c r="HC27" s="10">
        <f>IF((GX27+GY27)=0,"",GB27/(GX27+GY27))</f>
        <v/>
      </c>
      <c r="HD27" s="9">
        <f>IF(GX27=0,"",GB27/GX27)</f>
        <v/>
      </c>
      <c r="HE27" s="8" t="n">
        <v>2</v>
      </c>
      <c r="HF27" s="8" t="n">
        <v>1</v>
      </c>
      <c r="HG27" s="8" t="n">
        <v>2</v>
      </c>
      <c r="HH27" s="8" t="n">
        <v>2</v>
      </c>
      <c r="HI27" s="8" t="n">
        <v>15</v>
      </c>
      <c r="HJ27" s="9">
        <f>HF27+HI27</f>
        <v/>
      </c>
      <c r="HK27" s="10">
        <f>IF(HE27=0,"",HH27/HE27)</f>
        <v/>
      </c>
      <c r="HL27" s="8" t="n">
        <v>23</v>
      </c>
      <c r="HM27" s="8" t="n">
        <v>2</v>
      </c>
      <c r="HN27" s="11">
        <f>IF(HL27=0,"",HM27/HL27)</f>
        <v/>
      </c>
    </row>
    <row r="28">
      <c r="A28" s="12" t="inlineStr">
        <is>
          <t>Liwonde</t>
        </is>
      </c>
      <c r="B28" s="12" t="inlineStr">
        <is>
          <t>Machinga</t>
        </is>
      </c>
      <c r="C28" s="13" t="inlineStr">
        <is>
          <t>FY2025/26</t>
        </is>
      </c>
      <c r="D28" s="13" t="n">
        <v>2025</v>
      </c>
      <c r="E28" s="13" t="n">
        <v>5</v>
      </c>
      <c r="F28" s="13" t="inlineStr">
        <is>
          <t>May</t>
        </is>
      </c>
      <c r="G28" s="13" t="inlineStr">
        <is>
          <t>Q1</t>
        </is>
      </c>
      <c r="H28" s="14" t="n">
        <v>1921</v>
      </c>
      <c r="I28" s="14" t="n">
        <v>16</v>
      </c>
      <c r="J28" s="14" t="n">
        <v>0</v>
      </c>
      <c r="K28" s="14" t="n">
        <v>10</v>
      </c>
      <c r="L28" s="14" t="n">
        <v>0</v>
      </c>
      <c r="M28" s="15">
        <f>SUM(I28,J28,K28,L28)</f>
        <v/>
      </c>
      <c r="N28" s="14" t="n">
        <v>1352.9</v>
      </c>
      <c r="O28" s="14" t="n">
        <v>0</v>
      </c>
      <c r="P28" s="14" t="n">
        <v>13</v>
      </c>
      <c r="Q28" s="14" t="n">
        <v>0</v>
      </c>
      <c r="R28" s="15">
        <f>SUM(N28,O28,P28,Q28)</f>
        <v/>
      </c>
      <c r="S28" s="15">
        <f>M28+R28</f>
        <v/>
      </c>
      <c r="T28" s="14" t="n">
        <v>529.1</v>
      </c>
      <c r="U28" s="16">
        <f>IF(H28=0,"",T28/H28)</f>
        <v/>
      </c>
      <c r="V28" s="14" t="n">
        <v>11</v>
      </c>
      <c r="W28" s="17">
        <f>IF(H28=0,"",V28/H28)</f>
        <v/>
      </c>
      <c r="X28" s="14" t="n">
        <v>0</v>
      </c>
      <c r="Y28" s="17">
        <f>IF(H28=0,"",X28/H28)</f>
        <v/>
      </c>
      <c r="Z28" s="14" t="n">
        <v>0</v>
      </c>
      <c r="AA28" s="17">
        <f>IF(H28=0,"",Z28/H28)</f>
        <v/>
      </c>
      <c r="AB28" s="14" t="n">
        <v>0</v>
      </c>
      <c r="AC28" s="17">
        <f>IF(H28=0,"",AB28/H28)</f>
        <v/>
      </c>
      <c r="AD28" s="14" t="n">
        <v>0</v>
      </c>
      <c r="AE28" s="17">
        <f>IF(H28=0,"",AD28/H28)</f>
        <v/>
      </c>
      <c r="AF28" s="14" t="n">
        <v>0</v>
      </c>
      <c r="AG28" s="17">
        <f>IF(H28=0,"",AF28/H28)</f>
        <v/>
      </c>
      <c r="AH28" s="14" t="n">
        <v>38778.19</v>
      </c>
      <c r="AI28" s="15">
        <f>IF(H28=0,"",AH28/H28)</f>
        <v/>
      </c>
      <c r="AJ28" s="14" t="n">
        <v>2306.80507</v>
      </c>
      <c r="AK28" s="17">
        <f>IF(H28=0,"",AJ28/H28)</f>
        <v/>
      </c>
      <c r="AL28" s="14" t="n">
        <v>404984.904589925</v>
      </c>
      <c r="AM28" s="15">
        <f>IF(H28=0,"",AL28/H28)</f>
        <v/>
      </c>
      <c r="AN28" s="14" t="n">
        <v>0</v>
      </c>
      <c r="AO28" s="14" t="n">
        <v>0</v>
      </c>
      <c r="AP28" s="14" t="n">
        <v>0</v>
      </c>
      <c r="AQ28" s="14" t="n">
        <v>0</v>
      </c>
      <c r="AR28" s="14" t="n">
        <v>718108.71</v>
      </c>
      <c r="AS28" s="14" t="n">
        <v>720000.3199999999</v>
      </c>
      <c r="AT28" s="14" t="n">
        <v>293286.24</v>
      </c>
      <c r="AU28" s="15">
        <f>AH28+AL28+AP28+AQ28+AR28+AS28+AT28</f>
        <v/>
      </c>
      <c r="AV28" s="15">
        <f>IF(H28=0,"",AU28/H28)</f>
        <v/>
      </c>
      <c r="AW28" s="15">
        <f>IF(S28=0,"",AU28/S28)</f>
        <v/>
      </c>
      <c r="AX28" s="14" t="n">
        <v>3</v>
      </c>
      <c r="AY28" s="15">
        <f>IF(H28=0,"",AX28/(H28/1000/12))</f>
        <v/>
      </c>
      <c r="AZ28" s="14" t="n">
        <v>8</v>
      </c>
      <c r="BA28" s="14" t="n">
        <v>2</v>
      </c>
      <c r="BB28" s="14" t="n">
        <v>3</v>
      </c>
      <c r="BC28" s="14" t="n">
        <v>0</v>
      </c>
      <c r="BD28" s="14" t="n">
        <v>0</v>
      </c>
      <c r="BE28" s="15">
        <f>BC28+BD28</f>
        <v/>
      </c>
      <c r="BF28" s="15">
        <f>BA28+BB28-BE28</f>
        <v/>
      </c>
      <c r="BG28" s="14" t="n">
        <v>0</v>
      </c>
      <c r="BH28" s="14" t="n">
        <v>0</v>
      </c>
      <c r="BI28" s="14" t="n">
        <v>0</v>
      </c>
      <c r="BJ28" s="14" t="n">
        <v>0</v>
      </c>
      <c r="BK28" s="15">
        <f>BI28+BJ28</f>
        <v/>
      </c>
      <c r="BL28" s="15">
        <f>BG28+BH28-BK28</f>
        <v/>
      </c>
      <c r="BM28" s="14" t="n">
        <v>0</v>
      </c>
      <c r="BN28" s="14" t="n">
        <v>0</v>
      </c>
      <c r="BO28" s="14" t="n">
        <v>0</v>
      </c>
      <c r="BP28" s="14" t="n">
        <v>0</v>
      </c>
      <c r="BQ28" s="15">
        <f>BO28+BP28</f>
        <v/>
      </c>
      <c r="BR28" s="15">
        <f>BM28+BN28-BQ28</f>
        <v/>
      </c>
      <c r="BS28" s="14" t="n">
        <v>0</v>
      </c>
      <c r="BT28" s="14" t="n">
        <v>0</v>
      </c>
      <c r="BU28" s="14" t="n">
        <v>0</v>
      </c>
      <c r="BV28" s="14" t="n">
        <v>0</v>
      </c>
      <c r="BW28" s="15">
        <f>BU28+BV28</f>
        <v/>
      </c>
      <c r="BX28" s="15">
        <f>BS28+BT28-BW28</f>
        <v/>
      </c>
      <c r="BY28" s="15">
        <f>BA28+BG28+BM28+BS28</f>
        <v/>
      </c>
      <c r="BZ28" s="15">
        <f>BB28+BH28+BN28+BT28</f>
        <v/>
      </c>
      <c r="CA28" s="15">
        <f>BE28+BK28+BQ28+BW28</f>
        <v/>
      </c>
      <c r="CB28" s="15">
        <f>BF28+BL28+BR28+BX28</f>
        <v/>
      </c>
      <c r="CC28" s="14" t="n">
        <v>0</v>
      </c>
      <c r="CD28" s="14" t="n">
        <v>0</v>
      </c>
      <c r="CE28" s="14" t="n">
        <v>0</v>
      </c>
      <c r="CF28" s="14" t="n">
        <v>0</v>
      </c>
      <c r="CG28" s="14" t="n">
        <v>0</v>
      </c>
      <c r="CH28" s="15">
        <f>CD28+CE28+CF28+CG28</f>
        <v/>
      </c>
      <c r="CI28" s="14" t="n">
        <v>2</v>
      </c>
      <c r="CJ28" s="14" t="n">
        <v>1</v>
      </c>
      <c r="CK28" s="14" t="n">
        <v>0</v>
      </c>
      <c r="CL28" s="14" t="n">
        <v>0</v>
      </c>
      <c r="CM28" s="15">
        <f>CI28+CJ28+CK28+CL28</f>
        <v/>
      </c>
      <c r="CN28" s="14" t="n">
        <v>376</v>
      </c>
      <c r="CO28" s="14" t="n">
        <v>3</v>
      </c>
      <c r="CP28" s="14" t="n">
        <v>6</v>
      </c>
      <c r="CQ28" s="14" t="n">
        <v>0</v>
      </c>
      <c r="CR28" s="15">
        <f>CN28+CO28+CP28+CQ28</f>
        <v/>
      </c>
      <c r="CS28" s="15">
        <f>CM28+CR28</f>
        <v/>
      </c>
      <c r="CT28" s="14" t="n">
        <v>388</v>
      </c>
      <c r="CU28" s="14" t="n">
        <v>1425</v>
      </c>
      <c r="CV28" s="14" t="n">
        <v>1065</v>
      </c>
      <c r="CW28" s="16">
        <f>IF(CU28=0,"",CV28/CU28)</f>
        <v/>
      </c>
      <c r="CX28" s="14" t="n"/>
      <c r="CY28" s="14" t="n"/>
      <c r="CZ28" s="14" t="n"/>
      <c r="DA28" s="14" t="n"/>
      <c r="DB28" s="15">
        <f>CX28+CY28-CZ28-DA28</f>
        <v/>
      </c>
      <c r="DC28" s="14" t="n">
        <v>0</v>
      </c>
      <c r="DD28" s="14" t="n">
        <v>0</v>
      </c>
      <c r="DE28" s="14" t="n">
        <v>0</v>
      </c>
      <c r="DF28" s="14" t="n">
        <v>0</v>
      </c>
      <c r="DG28" s="15">
        <f>DC28+DD28-DE28-DF28</f>
        <v/>
      </c>
      <c r="DH28" s="14" t="n">
        <v>0</v>
      </c>
      <c r="DI28" s="14" t="n">
        <v>0</v>
      </c>
      <c r="DJ28" s="14" t="n">
        <v>0</v>
      </c>
      <c r="DK28" s="14" t="n">
        <v>0</v>
      </c>
      <c r="DL28" s="15">
        <f>DH28+DI28-DJ28-DK28</f>
        <v/>
      </c>
      <c r="DM28" s="14" t="n">
        <v>0</v>
      </c>
      <c r="DN28" s="14" t="n">
        <v>0</v>
      </c>
      <c r="DO28" s="14" t="n">
        <v>0</v>
      </c>
      <c r="DP28" s="14" t="n">
        <v>0</v>
      </c>
      <c r="DQ28" s="15">
        <f>DM28+DN28-DO28-DP28</f>
        <v/>
      </c>
      <c r="DR28" s="15">
        <f>CX28+DC28+DH28+DM28</f>
        <v/>
      </c>
      <c r="DS28" s="15">
        <f>CY28+DD28+DI28+DN28</f>
        <v/>
      </c>
      <c r="DT28" s="15">
        <f>CZ28+DE28+DJ28+DO28</f>
        <v/>
      </c>
      <c r="DU28" s="15">
        <f>DA28+DF28+DK28+DP28</f>
        <v/>
      </c>
      <c r="DV28" s="15">
        <f>DB28+DG28+DL28+DQ28</f>
        <v/>
      </c>
      <c r="DW28" s="14" t="n">
        <v>15</v>
      </c>
      <c r="DX28" s="14" t="n">
        <v>8</v>
      </c>
      <c r="DY28" s="14" t="n">
        <v>13</v>
      </c>
      <c r="DZ28" s="14" t="n">
        <v>6</v>
      </c>
      <c r="EA28" s="14" t="n">
        <v>3</v>
      </c>
      <c r="EB28" s="14" t="n">
        <v>3</v>
      </c>
      <c r="EC28" s="14" t="n">
        <v>0</v>
      </c>
      <c r="ED28" s="14" t="n">
        <v>2</v>
      </c>
      <c r="EE28" s="14" t="n">
        <v>0</v>
      </c>
      <c r="EF28" s="14" t="n">
        <v>0</v>
      </c>
      <c r="EG28" s="14" t="n">
        <v>0</v>
      </c>
      <c r="EH28" s="14" t="n">
        <v>0</v>
      </c>
      <c r="EI28" s="14" t="n">
        <v>0</v>
      </c>
      <c r="EJ28" s="14" t="n">
        <v>1</v>
      </c>
      <c r="EK28" s="14" t="n">
        <v>0</v>
      </c>
      <c r="EL28" s="14" t="n">
        <v>0</v>
      </c>
      <c r="EM28" s="14" t="n">
        <v>0</v>
      </c>
      <c r="EN28" s="14" t="n">
        <v>3</v>
      </c>
      <c r="EO28" s="14" t="n">
        <v>0</v>
      </c>
      <c r="EP28" s="14" t="n">
        <v>0</v>
      </c>
      <c r="EQ28" s="14" t="n">
        <v>0</v>
      </c>
      <c r="ER28" s="14" t="n">
        <v>0</v>
      </c>
      <c r="ES28" s="14" t="n">
        <v>0</v>
      </c>
      <c r="ET28" s="14" t="n">
        <v>0</v>
      </c>
      <c r="EU28" s="14" t="n">
        <v>0</v>
      </c>
      <c r="EV28" s="14" t="n">
        <v>0</v>
      </c>
      <c r="EW28" s="14" t="n">
        <v>0</v>
      </c>
      <c r="EX28" s="14" t="n">
        <v>0</v>
      </c>
      <c r="EY28" s="14" t="n">
        <v>0</v>
      </c>
      <c r="EZ28" s="14" t="n">
        <v>0</v>
      </c>
      <c r="FA28" s="14" t="n">
        <v>0</v>
      </c>
      <c r="FB28" s="14" t="n">
        <v>0</v>
      </c>
      <c r="FC28" s="14" t="n">
        <v>0</v>
      </c>
      <c r="FD28" s="14" t="n">
        <v>0</v>
      </c>
      <c r="FE28" s="14" t="n">
        <v>0</v>
      </c>
      <c r="FF28" s="14" t="n">
        <v>0</v>
      </c>
      <c r="FG28" s="15">
        <f>SUM(DW28,DX28,DY28,DZ28,EA28,EB28,EC28,ED28,EE28,EF28,EG28,EH28,EI28,EJ28,EK28,EL28,EM28,EN28,EO28,EP28,EQ28,ER28,ES28,ET28,EU28,EV28,EW28,EX28,EY28,EZ28,FA28,FB28,FC28,FD28,FE28,FF28)</f>
        <v/>
      </c>
      <c r="FH28" s="14" t="n">
        <v>1</v>
      </c>
      <c r="FI28" s="14" t="n">
        <v>0</v>
      </c>
      <c r="FJ28" s="14" t="n">
        <v>0</v>
      </c>
      <c r="FK28" s="14" t="n">
        <v>50</v>
      </c>
      <c r="FL28" s="14" t="n">
        <v>0</v>
      </c>
      <c r="FM28" s="14" t="n">
        <v>0</v>
      </c>
      <c r="FN28" s="14" t="n">
        <v>0</v>
      </c>
      <c r="FO28" s="14" t="n">
        <v>0</v>
      </c>
      <c r="FP28" s="14" t="n">
        <v>0</v>
      </c>
      <c r="FQ28" s="15">
        <f>FL28+FM28+FN28+FO28+FP28</f>
        <v/>
      </c>
      <c r="FR28" s="14" t="n">
        <v>124800</v>
      </c>
      <c r="FS28" s="14" t="n">
        <v>0</v>
      </c>
      <c r="FT28" s="14" t="n">
        <v>0</v>
      </c>
      <c r="FU28" s="14" t="n">
        <v>0</v>
      </c>
      <c r="FV28" s="15">
        <f>FR28+FS28+FT28+FU28</f>
        <v/>
      </c>
      <c r="FW28" s="14" t="n">
        <v>2316627.04</v>
      </c>
      <c r="FX28" s="14" t="n">
        <v>0</v>
      </c>
      <c r="FY28" s="14" t="n">
        <v>15000</v>
      </c>
      <c r="FZ28" s="14" t="n">
        <v>40000</v>
      </c>
      <c r="GA28" s="15">
        <f>FW28+FX28+FY28+FZ28</f>
        <v/>
      </c>
      <c r="GB28" s="15">
        <f>FV28+GA28</f>
        <v/>
      </c>
      <c r="GC28" s="14" t="n">
        <v>13718.12</v>
      </c>
      <c r="GD28" s="14" t="n">
        <v>0</v>
      </c>
      <c r="GE28" s="14" t="n">
        <v>24383.95</v>
      </c>
      <c r="GF28" s="14" t="n">
        <v>0</v>
      </c>
      <c r="GG28" s="15">
        <f>GC28+GD28+GE28+GF28</f>
        <v/>
      </c>
      <c r="GH28" s="14" t="n">
        <v>1711548.33</v>
      </c>
      <c r="GI28" s="14" t="n">
        <v>0</v>
      </c>
      <c r="GJ28" s="14" t="n">
        <v>39774.41</v>
      </c>
      <c r="GK28" s="14" t="n">
        <v>15000</v>
      </c>
      <c r="GL28" s="15">
        <f>GH28+GI28+GJ28+GK28</f>
        <v/>
      </c>
      <c r="GM28" s="15">
        <f>GG28+GL28</f>
        <v/>
      </c>
      <c r="GN28" s="14" t="n">
        <v>1089.86</v>
      </c>
      <c r="GO28" s="14" t="n">
        <v>0</v>
      </c>
      <c r="GP28" s="14" t="n">
        <v>3393.64</v>
      </c>
      <c r="GQ28" s="14" t="n">
        <v>0</v>
      </c>
      <c r="GR28" s="15">
        <f>GN28+GO28+GP28+GQ28</f>
        <v/>
      </c>
      <c r="GS28" s="14" t="n">
        <v>1786</v>
      </c>
      <c r="GT28" s="14" t="n">
        <v>0</v>
      </c>
      <c r="GU28" s="14" t="n">
        <v>893</v>
      </c>
      <c r="GV28" s="14" t="n">
        <v>0</v>
      </c>
      <c r="GW28" s="15">
        <f>GS28+GT28+GU28+GV28</f>
        <v/>
      </c>
      <c r="GX28" s="15">
        <f>GM28+GR28+GW28</f>
        <v/>
      </c>
      <c r="GY28" s="14" t="n">
        <v>18386757.5</v>
      </c>
      <c r="GZ28" s="14" t="n">
        <v>1131691.16</v>
      </c>
      <c r="HA28" s="15">
        <f>GY28+GZ28</f>
        <v/>
      </c>
      <c r="HB28" s="15">
        <f>IF(GX28=0,"",AU28/GX28)</f>
        <v/>
      </c>
      <c r="HC28" s="16">
        <f>IF((GX28+GY28)=0,"",GB28/(GX28+GY28))</f>
        <v/>
      </c>
      <c r="HD28" s="15">
        <f>IF(GX28=0,"",GB28/GX28)</f>
        <v/>
      </c>
      <c r="HE28" s="14" t="n">
        <v>3</v>
      </c>
      <c r="HF28" s="14" t="n">
        <v>1</v>
      </c>
      <c r="HG28" s="14" t="n">
        <v>5</v>
      </c>
      <c r="HH28" s="14" t="n">
        <v>3</v>
      </c>
      <c r="HI28" s="14" t="n">
        <v>15</v>
      </c>
      <c r="HJ28" s="15">
        <f>HF28+HI28</f>
        <v/>
      </c>
      <c r="HK28" s="16">
        <f>IF(HE28=0,"",HH28/HE28)</f>
        <v/>
      </c>
      <c r="HL28" s="14" t="n">
        <v>16</v>
      </c>
      <c r="HM28" s="14" t="n">
        <v>4</v>
      </c>
      <c r="HN28" s="17">
        <f>IF(HL28=0,"",HM28/HL28)</f>
        <v/>
      </c>
    </row>
    <row r="29">
      <c r="A29" s="6" t="inlineStr">
        <is>
          <t>Liwonde</t>
        </is>
      </c>
      <c r="B29" s="6" t="inlineStr">
        <is>
          <t>Machinga</t>
        </is>
      </c>
      <c r="C29" s="7" t="inlineStr">
        <is>
          <t>FY2025/26</t>
        </is>
      </c>
      <c r="D29" s="7" t="n">
        <v>2025</v>
      </c>
      <c r="E29" s="7" t="n">
        <v>6</v>
      </c>
      <c r="F29" s="7" t="inlineStr">
        <is>
          <t>June</t>
        </is>
      </c>
      <c r="G29" s="7" t="inlineStr">
        <is>
          <t>Q1</t>
        </is>
      </c>
      <c r="H29" s="8" t="n">
        <v>1922</v>
      </c>
      <c r="I29" s="8" t="n">
        <v>33</v>
      </c>
      <c r="J29" s="8" t="n">
        <v>0</v>
      </c>
      <c r="K29" s="8" t="n">
        <v>13</v>
      </c>
      <c r="L29" s="8" t="n">
        <v>0</v>
      </c>
      <c r="M29" s="9">
        <f>SUM(I29,J29,K29,L29)</f>
        <v/>
      </c>
      <c r="N29" s="8" t="n">
        <v>1498</v>
      </c>
      <c r="O29" s="8" t="n">
        <v>0</v>
      </c>
      <c r="P29" s="8" t="n">
        <v>2.3</v>
      </c>
      <c r="Q29" s="8" t="n">
        <v>4.2</v>
      </c>
      <c r="R29" s="9">
        <f>SUM(N29,O29,P29,Q29)</f>
        <v/>
      </c>
      <c r="S29" s="9">
        <f>M29+R29</f>
        <v/>
      </c>
      <c r="T29" s="8" t="n">
        <v>371.5</v>
      </c>
      <c r="U29" s="10">
        <f>IF(H29=0,"",T29/H29)</f>
        <v/>
      </c>
      <c r="V29" s="8" t="n">
        <v>7</v>
      </c>
      <c r="W29" s="11">
        <f>IF(H29=0,"",V29/H29)</f>
        <v/>
      </c>
      <c r="X29" s="8" t="n">
        <v>0</v>
      </c>
      <c r="Y29" s="11">
        <f>IF(H29=0,"",X29/H29)</f>
        <v/>
      </c>
      <c r="Z29" s="8" t="n">
        <v>0</v>
      </c>
      <c r="AA29" s="11">
        <f>IF(H29=0,"",Z29/H29)</f>
        <v/>
      </c>
      <c r="AB29" s="8" t="n">
        <v>0</v>
      </c>
      <c r="AC29" s="11">
        <f>IF(H29=0,"",AB29/H29)</f>
        <v/>
      </c>
      <c r="AD29" s="8" t="n">
        <v>0</v>
      </c>
      <c r="AE29" s="11">
        <f>IF(H29=0,"",AD29/H29)</f>
        <v/>
      </c>
      <c r="AF29" s="8" t="n">
        <v>0</v>
      </c>
      <c r="AG29" s="11">
        <f>IF(H29=0,"",AF29/H29)</f>
        <v/>
      </c>
      <c r="AH29" s="8" t="n">
        <v>24677.03</v>
      </c>
      <c r="AI29" s="9">
        <f>IF(H29=0,"",AH29/H29)</f>
        <v/>
      </c>
      <c r="AJ29" s="8" t="n">
        <v>4000</v>
      </c>
      <c r="AK29" s="11">
        <f>IF(H29=0,"",AJ29/H29)</f>
        <v/>
      </c>
      <c r="AL29" s="8" t="n">
        <v>688049</v>
      </c>
      <c r="AM29" s="9">
        <f>IF(H29=0,"",AL29/H29)</f>
        <v/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712768.63</v>
      </c>
      <c r="AS29" s="8" t="n">
        <v>1008001.28</v>
      </c>
      <c r="AT29" s="8" t="n">
        <v>0</v>
      </c>
      <c r="AU29" s="9">
        <f>AH29+AL29+AP29+AQ29+AR29+AS29+AT29</f>
        <v/>
      </c>
      <c r="AV29" s="9">
        <f>IF(H29=0,"",AU29/H29)</f>
        <v/>
      </c>
      <c r="AW29" s="9">
        <f>IF(S29=0,"",AU29/S29)</f>
        <v/>
      </c>
      <c r="AX29" s="8" t="n">
        <v>3</v>
      </c>
      <c r="AY29" s="9">
        <f>IF(H29=0,"",AX29/(H29/1000/12))</f>
        <v/>
      </c>
      <c r="AZ29" s="8" t="n">
        <v>8</v>
      </c>
      <c r="BA29" s="8" t="n">
        <v>5</v>
      </c>
      <c r="BB29" s="8" t="n">
        <v>5</v>
      </c>
      <c r="BC29" s="8" t="n">
        <v>0</v>
      </c>
      <c r="BD29" s="8" t="n">
        <v>4</v>
      </c>
      <c r="BE29" s="9">
        <f>BC29+BD29</f>
        <v/>
      </c>
      <c r="BF29" s="9">
        <f>BA29+BB29-BE29</f>
        <v/>
      </c>
      <c r="BG29" s="8" t="n">
        <v>0</v>
      </c>
      <c r="BH29" s="8" t="n">
        <v>0</v>
      </c>
      <c r="BI29" s="8" t="n">
        <v>0</v>
      </c>
      <c r="BJ29" s="8" t="n">
        <v>0</v>
      </c>
      <c r="BK29" s="9">
        <f>BI29+BJ29</f>
        <v/>
      </c>
      <c r="BL29" s="9">
        <f>BG29+BH29-BK29</f>
        <v/>
      </c>
      <c r="BM29" s="8" t="n">
        <v>0</v>
      </c>
      <c r="BN29" s="8" t="n">
        <v>0</v>
      </c>
      <c r="BO29" s="8" t="n">
        <v>0</v>
      </c>
      <c r="BP29" s="8" t="n">
        <v>0</v>
      </c>
      <c r="BQ29" s="9">
        <f>BO29+BP29</f>
        <v/>
      </c>
      <c r="BR29" s="9">
        <f>BM29+BN29-BQ29</f>
        <v/>
      </c>
      <c r="BS29" s="8" t="n">
        <v>0</v>
      </c>
      <c r="BT29" s="8" t="n">
        <v>0</v>
      </c>
      <c r="BU29" s="8" t="n">
        <v>0</v>
      </c>
      <c r="BV29" s="8" t="n">
        <v>0</v>
      </c>
      <c r="BW29" s="9">
        <f>BU29+BV29</f>
        <v/>
      </c>
      <c r="BX29" s="9">
        <f>BS29+BT29-BW29</f>
        <v/>
      </c>
      <c r="BY29" s="9">
        <f>BA29+BG29+BM29+BS29</f>
        <v/>
      </c>
      <c r="BZ29" s="9">
        <f>BB29+BH29+BN29+BT29</f>
        <v/>
      </c>
      <c r="CA29" s="9">
        <f>BE29+BK29+BQ29+BW29</f>
        <v/>
      </c>
      <c r="CB29" s="9">
        <f>BF29+BL29+BR29+BX29</f>
        <v/>
      </c>
      <c r="CC29" s="8" t="n">
        <v>8</v>
      </c>
      <c r="CD29" s="8" t="n">
        <v>223</v>
      </c>
      <c r="CE29" s="8" t="n">
        <v>0</v>
      </c>
      <c r="CF29" s="8" t="n">
        <v>0</v>
      </c>
      <c r="CG29" s="8" t="n">
        <v>0</v>
      </c>
      <c r="CH29" s="9">
        <f>CD29+CE29+CF29+CG29</f>
        <v/>
      </c>
      <c r="CI29" s="8" t="n">
        <v>33</v>
      </c>
      <c r="CJ29" s="8" t="n">
        <v>13</v>
      </c>
      <c r="CK29" s="8" t="n">
        <v>0</v>
      </c>
      <c r="CL29" s="8" t="n">
        <v>0</v>
      </c>
      <c r="CM29" s="9">
        <f>CI29+CJ29+CK29+CL29</f>
        <v/>
      </c>
      <c r="CN29" s="8" t="n">
        <v>376</v>
      </c>
      <c r="CO29" s="8" t="n">
        <v>2.3</v>
      </c>
      <c r="CP29" s="8" t="n">
        <v>4.2</v>
      </c>
      <c r="CQ29" s="8" t="n">
        <v>0</v>
      </c>
      <c r="CR29" s="9">
        <f>CN29+CO29+CP29+CQ29</f>
        <v/>
      </c>
      <c r="CS29" s="9">
        <f>CM29+CR29</f>
        <v/>
      </c>
      <c r="CT29" s="8" t="n">
        <v>651.5</v>
      </c>
      <c r="CU29" s="8" t="n">
        <v>1428</v>
      </c>
      <c r="CV29" s="8" t="n">
        <v>999.6</v>
      </c>
      <c r="CW29" s="10">
        <f>IF(CU29=0,"",CV29/CU29)</f>
        <v/>
      </c>
      <c r="CX29" s="8" t="n"/>
      <c r="CY29" s="8" t="n"/>
      <c r="CZ29" s="8" t="n"/>
      <c r="DA29" s="8" t="n"/>
      <c r="DB29" s="9">
        <f>CX29+CY29-CZ29-DA29</f>
        <v/>
      </c>
      <c r="DC29" s="8" t="n">
        <v>0</v>
      </c>
      <c r="DD29" s="8" t="n">
        <v>0</v>
      </c>
      <c r="DE29" s="8" t="n">
        <v>0</v>
      </c>
      <c r="DF29" s="8" t="n">
        <v>0</v>
      </c>
      <c r="DG29" s="9">
        <f>DC29+DD29-DE29-DF29</f>
        <v/>
      </c>
      <c r="DH29" s="8" t="n">
        <v>0</v>
      </c>
      <c r="DI29" s="8" t="n">
        <v>0</v>
      </c>
      <c r="DJ29" s="8" t="n">
        <v>0</v>
      </c>
      <c r="DK29" s="8" t="n">
        <v>0</v>
      </c>
      <c r="DL29" s="9">
        <f>DH29+DI29-DJ29-DK29</f>
        <v/>
      </c>
      <c r="DM29" s="8" t="n">
        <v>0</v>
      </c>
      <c r="DN29" s="8" t="n">
        <v>0</v>
      </c>
      <c r="DO29" s="8" t="n">
        <v>0</v>
      </c>
      <c r="DP29" s="8" t="n">
        <v>0</v>
      </c>
      <c r="DQ29" s="9">
        <f>DM29+DN29-DO29-DP29</f>
        <v/>
      </c>
      <c r="DR29" s="9">
        <f>CX29+DC29+DH29+DM29</f>
        <v/>
      </c>
      <c r="DS29" s="9">
        <f>CY29+DD29+DI29+DN29</f>
        <v/>
      </c>
      <c r="DT29" s="9">
        <f>CZ29+DE29+DJ29+DO29</f>
        <v/>
      </c>
      <c r="DU29" s="9">
        <f>DA29+DF29+DK29+DP29</f>
        <v/>
      </c>
      <c r="DV29" s="9">
        <f>DB29+DG29+DL29+DQ29</f>
        <v/>
      </c>
      <c r="DW29" s="8" t="n">
        <v>16</v>
      </c>
      <c r="DX29" s="8" t="n">
        <v>11</v>
      </c>
      <c r="DY29" s="8" t="n">
        <v>6</v>
      </c>
      <c r="DZ29" s="8" t="n">
        <v>4</v>
      </c>
      <c r="EA29" s="8" t="n">
        <v>3</v>
      </c>
      <c r="EB29" s="8" t="n">
        <v>2</v>
      </c>
      <c r="EC29" s="8" t="n">
        <v>0</v>
      </c>
      <c r="ED29" s="8" t="n">
        <v>1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3</v>
      </c>
      <c r="EK29" s="8" t="n">
        <v>2</v>
      </c>
      <c r="EL29" s="8" t="n">
        <v>0</v>
      </c>
      <c r="EM29" s="8" t="n">
        <v>0</v>
      </c>
      <c r="EN29" s="8" t="n">
        <v>2</v>
      </c>
      <c r="EO29" s="8" t="n">
        <v>0</v>
      </c>
      <c r="EP29" s="8" t="n">
        <v>0</v>
      </c>
      <c r="EQ29" s="8" t="n">
        <v>0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  <c r="EX29" s="8" t="n">
        <v>0</v>
      </c>
      <c r="EY29" s="8" t="n">
        <v>0</v>
      </c>
      <c r="EZ29" s="8" t="n">
        <v>0</v>
      </c>
      <c r="FA29" s="8" t="n">
        <v>0</v>
      </c>
      <c r="FB29" s="8" t="n">
        <v>0</v>
      </c>
      <c r="FC29" s="8" t="n">
        <v>0</v>
      </c>
      <c r="FD29" s="8" t="n">
        <v>0</v>
      </c>
      <c r="FE29" s="8" t="n">
        <v>0</v>
      </c>
      <c r="FF29" s="8" t="n">
        <v>0</v>
      </c>
      <c r="FG29" s="9">
        <f>SUM(DW29,DX29,DY29,DZ29,EA29,EB29,EC29,ED29,EE29,EF29,EG29,EH29,EI29,EJ29,EK29,EL29,EM29,EN29,EO29,EP29,EQ29,ER29,ES29,ET29,EU29,EV29,EW29,EX29,EY29,EZ29,FA29,FB29,FC29,FD29,FE29,FF29)</f>
        <v/>
      </c>
      <c r="FH29" s="8" t="n">
        <v>1</v>
      </c>
      <c r="FI29" s="8" t="n">
        <v>0</v>
      </c>
      <c r="FJ29" s="8" t="n">
        <v>0</v>
      </c>
      <c r="FK29" s="8" t="n">
        <v>36</v>
      </c>
      <c r="FL29" s="8" t="n">
        <v>0</v>
      </c>
      <c r="FM29" s="8" t="n">
        <v>0</v>
      </c>
      <c r="FN29" s="8" t="n">
        <v>0</v>
      </c>
      <c r="FO29" s="8" t="n">
        <v>0</v>
      </c>
      <c r="FP29" s="8" t="n">
        <v>0</v>
      </c>
      <c r="FQ29" s="9">
        <f>FL29+FM29+FN29+FO29+FP29</f>
        <v/>
      </c>
      <c r="FR29" s="8" t="n">
        <v>178250</v>
      </c>
      <c r="FS29" s="8" t="n">
        <v>0</v>
      </c>
      <c r="FT29" s="8" t="n">
        <v>0</v>
      </c>
      <c r="FU29" s="8" t="n">
        <v>0</v>
      </c>
      <c r="FV29" s="9">
        <f>FR29+FS29+FT29+FU29</f>
        <v/>
      </c>
      <c r="FW29" s="8" t="n">
        <v>2315477.12</v>
      </c>
      <c r="FX29" s="8" t="n">
        <v>0</v>
      </c>
      <c r="FY29" s="8" t="n">
        <v>20000</v>
      </c>
      <c r="FZ29" s="8" t="n">
        <v>6800</v>
      </c>
      <c r="GA29" s="9">
        <f>FW29+FX29+FY29+FZ29</f>
        <v/>
      </c>
      <c r="GB29" s="9">
        <f>FV29+GA29</f>
        <v/>
      </c>
      <c r="GC29" s="8" t="n">
        <v>31400.7</v>
      </c>
      <c r="GD29" s="8" t="n">
        <v>0</v>
      </c>
      <c r="GE29" s="8" t="n">
        <v>33408.7</v>
      </c>
      <c r="GF29" s="8" t="n">
        <v>0</v>
      </c>
      <c r="GG29" s="9">
        <f>GC29+GD29+GE29+GF29</f>
        <v/>
      </c>
      <c r="GH29" s="8" t="n">
        <v>1882430.42</v>
      </c>
      <c r="GI29" s="8" t="n">
        <v>0</v>
      </c>
      <c r="GJ29" s="8" t="n">
        <v>6800</v>
      </c>
      <c r="GK29" s="8" t="n">
        <v>20000</v>
      </c>
      <c r="GL29" s="9">
        <f>GH29+GI29+GJ29+GK29</f>
        <v/>
      </c>
      <c r="GM29" s="9">
        <f>GG29+GL29</f>
        <v/>
      </c>
      <c r="GN29" s="8" t="n">
        <v>1859.65</v>
      </c>
      <c r="GO29" s="8" t="n">
        <v>0</v>
      </c>
      <c r="GP29" s="8" t="n">
        <v>3393.64</v>
      </c>
      <c r="GQ29" s="8" t="n">
        <v>0</v>
      </c>
      <c r="GR29" s="9">
        <f>GN29+GO29+GP29+GQ29</f>
        <v/>
      </c>
      <c r="GS29" s="8" t="n">
        <v>2679</v>
      </c>
      <c r="GT29" s="8" t="n">
        <v>0</v>
      </c>
      <c r="GU29" s="8" t="n">
        <v>893</v>
      </c>
      <c r="GV29" s="8" t="n">
        <v>0</v>
      </c>
      <c r="GW29" s="9">
        <f>GS29+GT29+GU29+GV29</f>
        <v/>
      </c>
      <c r="GX29" s="9">
        <f>GM29+GR29+GW29</f>
        <v/>
      </c>
      <c r="GY29" s="8" t="n">
        <v>17886441.83</v>
      </c>
      <c r="GZ29" s="8" t="n">
        <v>244132.86</v>
      </c>
      <c r="HA29" s="9">
        <f>GY29+GZ29</f>
        <v/>
      </c>
      <c r="HB29" s="9">
        <f>IF(GX29=0,"",AU29/GX29)</f>
        <v/>
      </c>
      <c r="HC29" s="10">
        <f>IF((GX29+GY29)=0,"",GB29/(GX29+GY29))</f>
        <v/>
      </c>
      <c r="HD29" s="9">
        <f>IF(GX29=0,"",GB29/GX29)</f>
        <v/>
      </c>
      <c r="HE29" s="8" t="n">
        <v>5</v>
      </c>
      <c r="HF29" s="8" t="n">
        <v>1</v>
      </c>
      <c r="HG29" s="8" t="n">
        <v>6</v>
      </c>
      <c r="HH29" s="8" t="n">
        <v>5</v>
      </c>
      <c r="HI29" s="8" t="n">
        <v>15</v>
      </c>
      <c r="HJ29" s="9">
        <f>HF29+HI29</f>
        <v/>
      </c>
      <c r="HK29" s="10">
        <f>IF(HE29=0,"",HH29/HE29)</f>
        <v/>
      </c>
      <c r="HL29" s="8" t="n">
        <v>9</v>
      </c>
      <c r="HM29" s="8" t="n">
        <v>2</v>
      </c>
      <c r="HN29" s="11">
        <f>IF(HL29=0,"",HM29/HL29)</f>
        <v/>
      </c>
    </row>
    <row r="30">
      <c r="A30" s="12" t="inlineStr">
        <is>
          <t>Liwonde</t>
        </is>
      </c>
      <c r="B30" s="12" t="inlineStr">
        <is>
          <t>Machinga</t>
        </is>
      </c>
      <c r="C30" s="13" t="inlineStr">
        <is>
          <t>FY2025/26</t>
        </is>
      </c>
      <c r="D30" s="13" t="n">
        <v>2025</v>
      </c>
      <c r="E30" s="13" t="n">
        <v>7</v>
      </c>
      <c r="F30" s="13" t="inlineStr">
        <is>
          <t>July</t>
        </is>
      </c>
      <c r="G30" s="13" t="inlineStr">
        <is>
          <t>Q2</t>
        </is>
      </c>
      <c r="H30" s="14" t="n">
        <v>2216</v>
      </c>
      <c r="I30" s="14" t="n">
        <v>43</v>
      </c>
      <c r="J30" s="14" t="n">
        <v>0</v>
      </c>
      <c r="K30" s="14" t="n">
        <v>8</v>
      </c>
      <c r="L30" s="14" t="n">
        <v>0</v>
      </c>
      <c r="M30" s="15">
        <f>SUM(I30,J30,K30,L30)</f>
        <v/>
      </c>
      <c r="N30" s="14" t="n">
        <v>1615.1</v>
      </c>
      <c r="O30" s="14" t="n">
        <v>0</v>
      </c>
      <c r="P30" s="14" t="n">
        <v>338.8</v>
      </c>
      <c r="Q30" s="14" t="n">
        <v>4.1</v>
      </c>
      <c r="R30" s="15">
        <f>SUM(N30,O30,P30,Q30)</f>
        <v/>
      </c>
      <c r="S30" s="15">
        <f>M30+R30</f>
        <v/>
      </c>
      <c r="T30" s="14" t="n">
        <v>207</v>
      </c>
      <c r="U30" s="16">
        <f>IF(H30=0,"",T30/H30)</f>
        <v/>
      </c>
      <c r="V30" s="14" t="n">
        <v>8</v>
      </c>
      <c r="W30" s="17">
        <f>IF(H30=0,"",V30/H30)</f>
        <v/>
      </c>
      <c r="X30" s="14" t="n">
        <v>0</v>
      </c>
      <c r="Y30" s="17">
        <f>IF(H30=0,"",X30/H30)</f>
        <v/>
      </c>
      <c r="Z30" s="14" t="n">
        <v>0</v>
      </c>
      <c r="AA30" s="17">
        <f>IF(H30=0,"",Z30/H30)</f>
        <v/>
      </c>
      <c r="AB30" s="14" t="n">
        <v>0</v>
      </c>
      <c r="AC30" s="17">
        <f>IF(H30=0,"",AB30/H30)</f>
        <v/>
      </c>
      <c r="AD30" s="14" t="n">
        <v>0</v>
      </c>
      <c r="AE30" s="17">
        <f>IF(H30=0,"",AD30/H30)</f>
        <v/>
      </c>
      <c r="AF30" s="14" t="n">
        <v>0</v>
      </c>
      <c r="AG30" s="17">
        <f>IF(H30=0,"",AF30/H30)</f>
        <v/>
      </c>
      <c r="AH30" s="14" t="n">
        <v>28202.32</v>
      </c>
      <c r="AI30" s="15">
        <f>IF(H30=0,"",AH30/H30)</f>
        <v/>
      </c>
      <c r="AJ30" s="14" t="n">
        <v>2400</v>
      </c>
      <c r="AK30" s="17">
        <f>IF(H30=0,"",AJ30/H30)</f>
        <v/>
      </c>
      <c r="AL30" s="14" t="n">
        <v>420565</v>
      </c>
      <c r="AM30" s="15">
        <f>IF(H30=0,"",AL30/H30)</f>
        <v/>
      </c>
      <c r="AN30" s="14" t="n">
        <v>0</v>
      </c>
      <c r="AO30" s="14" t="n">
        <v>0</v>
      </c>
      <c r="AP30" s="14" t="n">
        <v>0</v>
      </c>
      <c r="AQ30" s="14" t="n">
        <v>0</v>
      </c>
      <c r="AR30" s="14" t="n">
        <v>712768.63</v>
      </c>
      <c r="AS30" s="14" t="n">
        <v>1008001.28</v>
      </c>
      <c r="AT30" s="14" t="n">
        <v>0</v>
      </c>
      <c r="AU30" s="15">
        <f>AH30+AL30+AP30+AQ30+AR30+AS30+AT30</f>
        <v/>
      </c>
      <c r="AV30" s="15">
        <f>IF(H30=0,"",AU30/H30)</f>
        <v/>
      </c>
      <c r="AW30" s="15">
        <f>IF(S30=0,"",AU30/S30)</f>
        <v/>
      </c>
      <c r="AX30" s="14" t="n">
        <v>3</v>
      </c>
      <c r="AY30" s="15">
        <f>IF(H30=0,"",AX30/(H30/1000/12))</f>
        <v/>
      </c>
      <c r="AZ30" s="14" t="n">
        <v>8</v>
      </c>
      <c r="BA30" s="14" t="n">
        <v>6</v>
      </c>
      <c r="BB30" s="14" t="n">
        <v>3</v>
      </c>
      <c r="BC30" s="14" t="n">
        <v>0</v>
      </c>
      <c r="BD30" s="14" t="n">
        <v>3</v>
      </c>
      <c r="BE30" s="15">
        <f>BC30+BD30</f>
        <v/>
      </c>
      <c r="BF30" s="15">
        <f>BA30+BB30-BE30</f>
        <v/>
      </c>
      <c r="BG30" s="14" t="n">
        <v>0</v>
      </c>
      <c r="BH30" s="14" t="n">
        <v>0</v>
      </c>
      <c r="BI30" s="14" t="n">
        <v>0</v>
      </c>
      <c r="BJ30" s="14" t="n">
        <v>0</v>
      </c>
      <c r="BK30" s="15">
        <f>BI30+BJ30</f>
        <v/>
      </c>
      <c r="BL30" s="15">
        <f>BG30+BH30-BK30</f>
        <v/>
      </c>
      <c r="BM30" s="14" t="n">
        <v>0</v>
      </c>
      <c r="BN30" s="14" t="n">
        <v>0</v>
      </c>
      <c r="BO30" s="14" t="n">
        <v>0</v>
      </c>
      <c r="BP30" s="14" t="n">
        <v>0</v>
      </c>
      <c r="BQ30" s="15">
        <f>BO30+BP30</f>
        <v/>
      </c>
      <c r="BR30" s="15">
        <f>BM30+BN30-BQ30</f>
        <v/>
      </c>
      <c r="BS30" s="14" t="n">
        <v>0</v>
      </c>
      <c r="BT30" s="14" t="n">
        <v>0</v>
      </c>
      <c r="BU30" s="14" t="n">
        <v>0</v>
      </c>
      <c r="BV30" s="14" t="n">
        <v>0</v>
      </c>
      <c r="BW30" s="15">
        <f>BU30+BV30</f>
        <v/>
      </c>
      <c r="BX30" s="15">
        <f>BS30+BT30-BW30</f>
        <v/>
      </c>
      <c r="BY30" s="15">
        <f>BA30+BG30+BM30+BS30</f>
        <v/>
      </c>
      <c r="BZ30" s="15">
        <f>BB30+BH30+BN30+BT30</f>
        <v/>
      </c>
      <c r="CA30" s="15">
        <f>BE30+BK30+BQ30+BW30</f>
        <v/>
      </c>
      <c r="CB30" s="15">
        <f>BF30+BL30+BR30+BX30</f>
        <v/>
      </c>
      <c r="CC30" s="14" t="n">
        <v>3</v>
      </c>
      <c r="CD30" s="14" t="n">
        <v>223</v>
      </c>
      <c r="CE30" s="14" t="n">
        <v>0</v>
      </c>
      <c r="CF30" s="14" t="n">
        <v>0</v>
      </c>
      <c r="CG30" s="14" t="n">
        <v>0</v>
      </c>
      <c r="CH30" s="15">
        <f>CD30+CE30+CF30+CG30</f>
        <v/>
      </c>
      <c r="CI30" s="14" t="n">
        <v>43</v>
      </c>
      <c r="CJ30" s="14" t="n">
        <v>8</v>
      </c>
      <c r="CK30" s="14" t="n">
        <v>0</v>
      </c>
      <c r="CL30" s="14" t="n">
        <v>0</v>
      </c>
      <c r="CM30" s="15">
        <f>CI30+CJ30+CK30+CL30</f>
        <v/>
      </c>
      <c r="CN30" s="14" t="n">
        <v>376</v>
      </c>
      <c r="CO30" s="14" t="n">
        <v>2</v>
      </c>
      <c r="CP30" s="14" t="n">
        <v>4.1</v>
      </c>
      <c r="CQ30" s="14" t="n">
        <v>0</v>
      </c>
      <c r="CR30" s="15">
        <f>CN30+CO30+CP30+CQ30</f>
        <v/>
      </c>
      <c r="CS30" s="15">
        <f>CM30+CR30</f>
        <v/>
      </c>
      <c r="CT30" s="14" t="n">
        <v>656.1</v>
      </c>
      <c r="CU30" s="14" t="n">
        <v>1453</v>
      </c>
      <c r="CV30" s="14" t="n">
        <v>1241</v>
      </c>
      <c r="CW30" s="16">
        <f>IF(CU30=0,"",CV30/CU30)</f>
        <v/>
      </c>
      <c r="CX30" s="14" t="n"/>
      <c r="CY30" s="14" t="n"/>
      <c r="CZ30" s="14" t="n"/>
      <c r="DA30" s="14" t="n"/>
      <c r="DB30" s="15">
        <f>CX30+CY30-CZ30-DA30</f>
        <v/>
      </c>
      <c r="DC30" s="14" t="n">
        <v>0</v>
      </c>
      <c r="DD30" s="14" t="n">
        <v>0</v>
      </c>
      <c r="DE30" s="14" t="n">
        <v>0</v>
      </c>
      <c r="DF30" s="14" t="n">
        <v>0</v>
      </c>
      <c r="DG30" s="15">
        <f>DC30+DD30-DE30-DF30</f>
        <v/>
      </c>
      <c r="DH30" s="14" t="n">
        <v>0</v>
      </c>
      <c r="DI30" s="14" t="n">
        <v>0</v>
      </c>
      <c r="DJ30" s="14" t="n">
        <v>0</v>
      </c>
      <c r="DK30" s="14" t="n">
        <v>0</v>
      </c>
      <c r="DL30" s="15">
        <f>DH30+DI30-DJ30-DK30</f>
        <v/>
      </c>
      <c r="DM30" s="14" t="n">
        <v>0</v>
      </c>
      <c r="DN30" s="14" t="n">
        <v>0</v>
      </c>
      <c r="DO30" s="14" t="n">
        <v>0</v>
      </c>
      <c r="DP30" s="14" t="n">
        <v>0</v>
      </c>
      <c r="DQ30" s="15">
        <f>DM30+DN30-DO30-DP30</f>
        <v/>
      </c>
      <c r="DR30" s="15">
        <f>CX30+DC30+DH30+DM30</f>
        <v/>
      </c>
      <c r="DS30" s="15">
        <f>CY30+DD30+DI30+DN30</f>
        <v/>
      </c>
      <c r="DT30" s="15">
        <f>CZ30+DE30+DJ30+DO30</f>
        <v/>
      </c>
      <c r="DU30" s="15">
        <f>DA30+DF30+DK30+DP30</f>
        <v/>
      </c>
      <c r="DV30" s="15">
        <f>DB30+DG30+DL30+DQ30</f>
        <v/>
      </c>
      <c r="DW30" s="14" t="n">
        <v>12</v>
      </c>
      <c r="DX30" s="14" t="n">
        <v>10</v>
      </c>
      <c r="DY30" s="14" t="n">
        <v>7</v>
      </c>
      <c r="DZ30" s="14" t="n">
        <v>4</v>
      </c>
      <c r="EA30" s="14" t="n">
        <v>5</v>
      </c>
      <c r="EB30" s="14" t="n">
        <v>3</v>
      </c>
      <c r="EC30" s="14" t="n">
        <v>0</v>
      </c>
      <c r="ED30" s="14" t="n">
        <v>2</v>
      </c>
      <c r="EE30" s="14" t="n">
        <v>1</v>
      </c>
      <c r="EF30" s="14" t="n">
        <v>0</v>
      </c>
      <c r="EG30" s="14" t="n">
        <v>0</v>
      </c>
      <c r="EH30" s="14" t="n">
        <v>0</v>
      </c>
      <c r="EI30" s="14" t="n">
        <v>0</v>
      </c>
      <c r="EJ30" s="14" t="n">
        <v>2</v>
      </c>
      <c r="EK30" s="14" t="n">
        <v>1</v>
      </c>
      <c r="EL30" s="14" t="n">
        <v>0</v>
      </c>
      <c r="EM30" s="14" t="n">
        <v>0</v>
      </c>
      <c r="EN30" s="14" t="n">
        <v>2</v>
      </c>
      <c r="EO30" s="14" t="n">
        <v>0</v>
      </c>
      <c r="EP30" s="14" t="n">
        <v>0</v>
      </c>
      <c r="EQ30" s="14" t="n">
        <v>0</v>
      </c>
      <c r="ER30" s="14" t="n">
        <v>0</v>
      </c>
      <c r="ES30" s="14" t="n">
        <v>0</v>
      </c>
      <c r="ET30" s="14" t="n">
        <v>0</v>
      </c>
      <c r="EU30" s="14" t="n">
        <v>0</v>
      </c>
      <c r="EV30" s="14" t="n">
        <v>0</v>
      </c>
      <c r="EW30" s="14" t="n">
        <v>0</v>
      </c>
      <c r="EX30" s="14" t="n">
        <v>0</v>
      </c>
      <c r="EY30" s="14" t="n">
        <v>0</v>
      </c>
      <c r="EZ30" s="14" t="n">
        <v>0</v>
      </c>
      <c r="FA30" s="14" t="n">
        <v>0</v>
      </c>
      <c r="FB30" s="14" t="n">
        <v>0</v>
      </c>
      <c r="FC30" s="14" t="n">
        <v>0</v>
      </c>
      <c r="FD30" s="14" t="n">
        <v>0</v>
      </c>
      <c r="FE30" s="14" t="n">
        <v>0</v>
      </c>
      <c r="FF30" s="14" t="n">
        <v>0</v>
      </c>
      <c r="FG30" s="15">
        <f>SUM(DW30,DX30,DY30,DZ30,EA30,EB30,EC30,ED30,EE30,EF30,EG30,EH30,EI30,EJ30,EK30,EL30,EM30,EN30,EO30,EP30,EQ30,ER30,ES30,ET30,EU30,EV30,EW30,EX30,EY30,EZ30,FA30,FB30,FC30,FD30,FE30,FF30)</f>
        <v/>
      </c>
      <c r="FH30" s="14" t="n">
        <v>1</v>
      </c>
      <c r="FI30" s="14" t="n">
        <v>0</v>
      </c>
      <c r="FJ30" s="14" t="n">
        <v>648</v>
      </c>
      <c r="FK30" s="14" t="n">
        <v>72</v>
      </c>
      <c r="FL30" s="14" t="n">
        <v>0</v>
      </c>
      <c r="FM30" s="14" t="n">
        <v>0</v>
      </c>
      <c r="FN30" s="14" t="n">
        <v>0</v>
      </c>
      <c r="FO30" s="14" t="n">
        <v>0</v>
      </c>
      <c r="FP30" s="14" t="n">
        <v>0</v>
      </c>
      <c r="FQ30" s="15">
        <f>FL30+FM30+FN30+FO30+FP30</f>
        <v/>
      </c>
      <c r="FR30" s="14" t="n">
        <v>80300</v>
      </c>
      <c r="FS30" s="14" t="n">
        <v>0</v>
      </c>
      <c r="FT30" s="14" t="n">
        <v>0</v>
      </c>
      <c r="FU30" s="14" t="n">
        <v>0</v>
      </c>
      <c r="FV30" s="15">
        <f>FR30+FS30+FT30+FU30</f>
        <v/>
      </c>
      <c r="FW30" s="14" t="n">
        <v>2394150</v>
      </c>
      <c r="FX30" s="14" t="n">
        <v>0</v>
      </c>
      <c r="FY30" s="14" t="n">
        <v>19500</v>
      </c>
      <c r="FZ30" s="14" t="n">
        <v>1030000</v>
      </c>
      <c r="GA30" s="15">
        <f>FW30+FX30+FY30+FZ30</f>
        <v/>
      </c>
      <c r="GB30" s="15">
        <f>FV30+GA30</f>
        <v/>
      </c>
      <c r="GC30" s="14" t="n">
        <v>42183.11</v>
      </c>
      <c r="GD30" s="14" t="n">
        <v>0</v>
      </c>
      <c r="GE30" s="14" t="n">
        <v>19059.63</v>
      </c>
      <c r="GF30" s="14" t="n">
        <v>0</v>
      </c>
      <c r="GG30" s="15">
        <f>GC30+GD30+GE30+GF30</f>
        <v/>
      </c>
      <c r="GH30" s="14" t="n">
        <v>2031701.56</v>
      </c>
      <c r="GI30" s="14" t="n">
        <v>0</v>
      </c>
      <c r="GJ30" s="14" t="n">
        <v>1030000</v>
      </c>
      <c r="GK30" s="14" t="n">
        <v>19500</v>
      </c>
      <c r="GL30" s="15">
        <f>GH30+GI30+GJ30+GK30</f>
        <v/>
      </c>
      <c r="GM30" s="15">
        <f>GG30+GL30</f>
        <v/>
      </c>
      <c r="GN30" s="14" t="n">
        <v>2404.58</v>
      </c>
      <c r="GO30" s="14" t="n">
        <v>0</v>
      </c>
      <c r="GP30" s="14" t="n">
        <v>3393.64</v>
      </c>
      <c r="GQ30" s="14" t="n">
        <v>0</v>
      </c>
      <c r="GR30" s="15">
        <f>GN30+GO30+GP30+GQ30</f>
        <v/>
      </c>
      <c r="GS30" s="14" t="n">
        <v>3572</v>
      </c>
      <c r="GT30" s="14" t="n">
        <v>0</v>
      </c>
      <c r="GU30" s="14" t="n">
        <v>893</v>
      </c>
      <c r="GV30" s="14" t="n">
        <v>0</v>
      </c>
      <c r="GW30" s="15">
        <f>GS30+GT30+GU30+GV30</f>
        <v/>
      </c>
      <c r="GX30" s="15">
        <f>GM30+GR30+GW30</f>
        <v/>
      </c>
      <c r="GY30" s="14" t="n">
        <v>17863876.92</v>
      </c>
      <c r="GZ30" s="14" t="n">
        <v>273137.02</v>
      </c>
      <c r="HA30" s="15">
        <f>GY30+GZ30</f>
        <v/>
      </c>
      <c r="HB30" s="15">
        <f>IF(GX30=0,"",AU30/GX30)</f>
        <v/>
      </c>
      <c r="HC30" s="16">
        <f>IF((GX30+GY30)=0,"",GB30/(GX30+GY30))</f>
        <v/>
      </c>
      <c r="HD30" s="15">
        <f>IF(GX30=0,"",GB30/GX30)</f>
        <v/>
      </c>
      <c r="HE30" s="14" t="n">
        <v>3</v>
      </c>
      <c r="HF30" s="14" t="n">
        <v>1</v>
      </c>
      <c r="HG30" s="14" t="n">
        <v>6</v>
      </c>
      <c r="HH30" s="14" t="n">
        <v>3</v>
      </c>
      <c r="HI30" s="14" t="n">
        <v>15</v>
      </c>
      <c r="HJ30" s="15">
        <f>HF30+HI30</f>
        <v/>
      </c>
      <c r="HK30" s="16">
        <f>IF(HE30=0,"",HH30/HE30)</f>
        <v/>
      </c>
      <c r="HL30" s="14" t="n">
        <v>18</v>
      </c>
      <c r="HM30" s="14" t="n">
        <v>6</v>
      </c>
      <c r="HN30" s="17">
        <f>IF(HL30=0,"",HM30/HL30)</f>
        <v/>
      </c>
    </row>
    <row r="31">
      <c r="A31" s="6" t="inlineStr">
        <is>
          <t>Liwonde</t>
        </is>
      </c>
      <c r="B31" s="6" t="inlineStr">
        <is>
          <t>Machinga</t>
        </is>
      </c>
      <c r="C31" s="7" t="inlineStr">
        <is>
          <t>FY2025/26</t>
        </is>
      </c>
      <c r="D31" s="7" t="n">
        <v>2025</v>
      </c>
      <c r="E31" s="7" t="n">
        <v>8</v>
      </c>
      <c r="F31" s="7" t="inlineStr">
        <is>
          <t>August</t>
        </is>
      </c>
      <c r="G31" s="7" t="inlineStr">
        <is>
          <t>Q2</t>
        </is>
      </c>
      <c r="H31" s="8" t="n">
        <v>1967</v>
      </c>
      <c r="I31" s="8" t="n">
        <v>30</v>
      </c>
      <c r="J31" s="8" t="n">
        <v>0</v>
      </c>
      <c r="K31" s="8" t="n">
        <v>6</v>
      </c>
      <c r="L31" s="8" t="n">
        <v>0</v>
      </c>
      <c r="M31" s="9">
        <f>SUM(I31,J31,K31,L31)</f>
        <v/>
      </c>
      <c r="N31" s="8" t="n">
        <v>1637.4</v>
      </c>
      <c r="O31" s="8" t="n">
        <v>0</v>
      </c>
      <c r="P31" s="8" t="n">
        <v>3.3</v>
      </c>
      <c r="Q31" s="8" t="n">
        <v>0</v>
      </c>
      <c r="R31" s="9">
        <f>SUM(N31,O31,P31,Q31)</f>
        <v/>
      </c>
      <c r="S31" s="9">
        <f>M31+R31</f>
        <v/>
      </c>
      <c r="T31" s="8" t="n">
        <v>290.3</v>
      </c>
      <c r="U31" s="10">
        <f>IF(H31=0,"",T31/H31)</f>
        <v/>
      </c>
      <c r="V31" s="8" t="n">
        <v>7</v>
      </c>
      <c r="W31" s="11">
        <f>IF(H31=0,"",V31/H31)</f>
        <v/>
      </c>
      <c r="X31" s="8" t="n">
        <v>0</v>
      </c>
      <c r="Y31" s="11">
        <f>IF(H31=0,"",X31/H31)</f>
        <v/>
      </c>
      <c r="Z31" s="8" t="n">
        <v>0</v>
      </c>
      <c r="AA31" s="11">
        <f>IF(H31=0,"",Z31/H31)</f>
        <v/>
      </c>
      <c r="AB31" s="8" t="n">
        <v>0</v>
      </c>
      <c r="AC31" s="11">
        <f>IF(H31=0,"",AB31/H31)</f>
        <v/>
      </c>
      <c r="AD31" s="8" t="n">
        <v>0</v>
      </c>
      <c r="AE31" s="11">
        <f>IF(H31=0,"",AD31/H31)</f>
        <v/>
      </c>
      <c r="AF31" s="8" t="n">
        <v>0</v>
      </c>
      <c r="AG31" s="11">
        <f>IF(H31=0,"",AF31/H31)</f>
        <v/>
      </c>
      <c r="AH31" s="8" t="n">
        <v>24677.03</v>
      </c>
      <c r="AI31" s="9">
        <f>IF(H31=0,"",AH31/H31)</f>
        <v/>
      </c>
      <c r="AJ31" s="8" t="n">
        <v>5200</v>
      </c>
      <c r="AK31" s="11">
        <f>IF(H31=0,"",AJ31/H31)</f>
        <v/>
      </c>
      <c r="AL31" s="8" t="n">
        <v>888662</v>
      </c>
      <c r="AM31" s="9">
        <f>IF(H31=0,"",AL31/H31)</f>
        <v/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712768.63</v>
      </c>
      <c r="AS31" s="8" t="n">
        <v>1008001.28</v>
      </c>
      <c r="AT31" s="8" t="n">
        <v>0</v>
      </c>
      <c r="AU31" s="9">
        <f>AH31+AL31+AP31+AQ31+AR31+AS31+AT31</f>
        <v/>
      </c>
      <c r="AV31" s="9">
        <f>IF(H31=0,"",AU31/H31)</f>
        <v/>
      </c>
      <c r="AW31" s="9">
        <f>IF(S31=0,"",AU31/S31)</f>
        <v/>
      </c>
      <c r="AX31" s="8" t="n">
        <v>0</v>
      </c>
      <c r="AY31" s="9">
        <f>IF(H31=0,"",AX31/(H31/1000/12))</f>
        <v/>
      </c>
      <c r="AZ31" s="8" t="n">
        <v>8</v>
      </c>
      <c r="BA31" s="8" t="n">
        <v>6</v>
      </c>
      <c r="BB31" s="8" t="n">
        <v>7</v>
      </c>
      <c r="BC31" s="8" t="n">
        <v>7</v>
      </c>
      <c r="BD31" s="8" t="n">
        <v>0</v>
      </c>
      <c r="BE31" s="9">
        <f>BC31+BD31</f>
        <v/>
      </c>
      <c r="BF31" s="9">
        <f>BA31+BB31-BE31</f>
        <v/>
      </c>
      <c r="BG31" s="8" t="n">
        <v>0</v>
      </c>
      <c r="BH31" s="8" t="n">
        <v>0</v>
      </c>
      <c r="BI31" s="8" t="n">
        <v>0</v>
      </c>
      <c r="BJ31" s="8" t="n">
        <v>0</v>
      </c>
      <c r="BK31" s="9">
        <f>BI31+BJ31</f>
        <v/>
      </c>
      <c r="BL31" s="9">
        <f>BG31+BH31-BK31</f>
        <v/>
      </c>
      <c r="BM31" s="8" t="n">
        <v>0</v>
      </c>
      <c r="BN31" s="8" t="n">
        <v>0</v>
      </c>
      <c r="BO31" s="8" t="n">
        <v>0</v>
      </c>
      <c r="BP31" s="8" t="n">
        <v>0</v>
      </c>
      <c r="BQ31" s="9">
        <f>BO31+BP31</f>
        <v/>
      </c>
      <c r="BR31" s="9">
        <f>BM31+BN31-BQ31</f>
        <v/>
      </c>
      <c r="BS31" s="8" t="n">
        <v>0</v>
      </c>
      <c r="BT31" s="8" t="n">
        <v>0</v>
      </c>
      <c r="BU31" s="8" t="n">
        <v>0</v>
      </c>
      <c r="BV31" s="8" t="n">
        <v>0</v>
      </c>
      <c r="BW31" s="9">
        <f>BU31+BV31</f>
        <v/>
      </c>
      <c r="BX31" s="9">
        <f>BS31+BT31-BW31</f>
        <v/>
      </c>
      <c r="BY31" s="9">
        <f>BA31+BG31+BM31+BS31</f>
        <v/>
      </c>
      <c r="BZ31" s="9">
        <f>BB31+BH31+BN31+BT31</f>
        <v/>
      </c>
      <c r="CA31" s="9">
        <f>BE31+BK31+BQ31+BW31</f>
        <v/>
      </c>
      <c r="CB31" s="9">
        <f>BF31+BL31+BR31+BX31</f>
        <v/>
      </c>
      <c r="CC31" s="8" t="n">
        <v>6</v>
      </c>
      <c r="CD31" s="8" t="n">
        <v>223</v>
      </c>
      <c r="CE31" s="8" t="n">
        <v>0</v>
      </c>
      <c r="CF31" s="8" t="n">
        <v>0</v>
      </c>
      <c r="CG31" s="8" t="n">
        <v>0</v>
      </c>
      <c r="CH31" s="9">
        <f>CD31+CE31+CF31+CG31</f>
        <v/>
      </c>
      <c r="CI31" s="8" t="n">
        <v>10</v>
      </c>
      <c r="CJ31" s="8" t="n">
        <v>0</v>
      </c>
      <c r="CK31" s="8" t="n">
        <v>0</v>
      </c>
      <c r="CL31" s="8" t="n">
        <v>0</v>
      </c>
      <c r="CM31" s="9">
        <f>CI31+CJ31+CK31+CL31</f>
        <v/>
      </c>
      <c r="CN31" s="8" t="n">
        <v>320</v>
      </c>
      <c r="CO31" s="8" t="n">
        <v>14</v>
      </c>
      <c r="CP31" s="8" t="n">
        <v>27</v>
      </c>
      <c r="CQ31" s="8" t="n">
        <v>0</v>
      </c>
      <c r="CR31" s="9">
        <f>CN31+CO31+CP31+CQ31</f>
        <v/>
      </c>
      <c r="CS31" s="9">
        <f>CM31+CR31</f>
        <v/>
      </c>
      <c r="CT31" s="8" t="n">
        <v>594</v>
      </c>
      <c r="CU31" s="8" t="n">
        <v>1453</v>
      </c>
      <c r="CV31" s="8" t="n">
        <v>1253</v>
      </c>
      <c r="CW31" s="10">
        <f>IF(CU31=0,"",CV31/CU31)</f>
        <v/>
      </c>
      <c r="CX31" s="8" t="n"/>
      <c r="CY31" s="8" t="n"/>
      <c r="CZ31" s="8" t="n"/>
      <c r="DA31" s="8" t="n"/>
      <c r="DB31" s="9">
        <f>CX31+CY31-CZ31-DA31</f>
        <v/>
      </c>
      <c r="DC31" s="8" t="n">
        <v>0</v>
      </c>
      <c r="DD31" s="8" t="n">
        <v>0</v>
      </c>
      <c r="DE31" s="8" t="n">
        <v>0</v>
      </c>
      <c r="DF31" s="8" t="n">
        <v>0</v>
      </c>
      <c r="DG31" s="9">
        <f>DC31+DD31-DE31-DF31</f>
        <v/>
      </c>
      <c r="DH31" s="8" t="n">
        <v>0</v>
      </c>
      <c r="DI31" s="8" t="n">
        <v>0</v>
      </c>
      <c r="DJ31" s="8" t="n">
        <v>0</v>
      </c>
      <c r="DK31" s="8" t="n">
        <v>0</v>
      </c>
      <c r="DL31" s="9">
        <f>DH31+DI31-DJ31-DK31</f>
        <v/>
      </c>
      <c r="DM31" s="8" t="n">
        <v>0</v>
      </c>
      <c r="DN31" s="8" t="n">
        <v>0</v>
      </c>
      <c r="DO31" s="8" t="n">
        <v>0</v>
      </c>
      <c r="DP31" s="8" t="n">
        <v>0</v>
      </c>
      <c r="DQ31" s="9">
        <f>DM31+DN31-DO31-DP31</f>
        <v/>
      </c>
      <c r="DR31" s="9">
        <f>CX31+DC31+DH31+DM31</f>
        <v/>
      </c>
      <c r="DS31" s="9">
        <f>CY31+DD31+DI31+DN31</f>
        <v/>
      </c>
      <c r="DT31" s="9">
        <f>CZ31+DE31+DJ31+DO31</f>
        <v/>
      </c>
      <c r="DU31" s="9">
        <f>DA31+DF31+DK31+DP31</f>
        <v/>
      </c>
      <c r="DV31" s="9">
        <f>DB31+DG31+DL31+DQ31</f>
        <v/>
      </c>
      <c r="DW31" s="8" t="n">
        <v>19</v>
      </c>
      <c r="DX31" s="8" t="n">
        <v>12</v>
      </c>
      <c r="DY31" s="8" t="n">
        <v>7</v>
      </c>
      <c r="DZ31" s="8" t="n">
        <v>5</v>
      </c>
      <c r="EA31" s="8" t="n">
        <v>1</v>
      </c>
      <c r="EB31" s="8" t="n">
        <v>2</v>
      </c>
      <c r="EC31" s="8" t="n">
        <v>0</v>
      </c>
      <c r="ED31" s="8" t="n">
        <v>1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3</v>
      </c>
      <c r="EK31" s="8" t="n">
        <v>2</v>
      </c>
      <c r="EL31" s="8" t="n">
        <v>0</v>
      </c>
      <c r="EM31" s="8" t="n">
        <v>0</v>
      </c>
      <c r="EN31" s="8" t="n">
        <v>3</v>
      </c>
      <c r="EO31" s="8" t="n">
        <v>0</v>
      </c>
      <c r="EP31" s="8" t="n">
        <v>0</v>
      </c>
      <c r="EQ31" s="8" t="n">
        <v>0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  <c r="EX31" s="8" t="n">
        <v>0</v>
      </c>
      <c r="EY31" s="8" t="n">
        <v>0</v>
      </c>
      <c r="EZ31" s="8" t="n">
        <v>0</v>
      </c>
      <c r="FA31" s="8" t="n">
        <v>0</v>
      </c>
      <c r="FB31" s="8" t="n">
        <v>0</v>
      </c>
      <c r="FC31" s="8" t="n">
        <v>0</v>
      </c>
      <c r="FD31" s="8" t="n">
        <v>0</v>
      </c>
      <c r="FE31" s="8" t="n">
        <v>0</v>
      </c>
      <c r="FF31" s="8" t="n">
        <v>0</v>
      </c>
      <c r="FG31" s="9">
        <f>SUM(DW31,DX31,DY31,DZ31,EA31,EB31,EC31,ED31,EE31,EF31,EG31,EH31,EI31,EJ31,EK31,EL31,EM31,EN31,EO31,EP31,EQ31,ER31,ES31,ET31,EU31,EV31,EW31,EX31,EY31,EZ31,FA31,FB31,FC31,FD31,FE31,FF31)</f>
        <v/>
      </c>
      <c r="FH31" s="8" t="n">
        <v>1</v>
      </c>
      <c r="FI31" s="8" t="n">
        <v>0</v>
      </c>
      <c r="FJ31" s="8" t="n">
        <v>0</v>
      </c>
      <c r="FK31" s="8" t="n">
        <v>48</v>
      </c>
      <c r="FL31" s="8" t="n">
        <v>0</v>
      </c>
      <c r="FM31" s="8" t="n">
        <v>0</v>
      </c>
      <c r="FN31" s="8" t="n">
        <v>0</v>
      </c>
      <c r="FO31" s="8" t="n">
        <v>0</v>
      </c>
      <c r="FP31" s="8" t="n">
        <v>0</v>
      </c>
      <c r="FQ31" s="9">
        <f>FL31+FM31+FN31+FO31+FP31</f>
        <v/>
      </c>
      <c r="FR31" s="8" t="n">
        <v>77208.02</v>
      </c>
      <c r="FS31" s="8" t="n">
        <v>0</v>
      </c>
      <c r="FT31" s="8" t="n">
        <v>0</v>
      </c>
      <c r="FU31" s="8" t="n">
        <v>0</v>
      </c>
      <c r="FV31" s="9">
        <f>FR31+FS31+FT31+FU31</f>
        <v/>
      </c>
      <c r="FW31" s="8" t="n">
        <v>2275291.56</v>
      </c>
      <c r="FX31" s="8" t="n">
        <v>0</v>
      </c>
      <c r="FY31" s="8" t="n">
        <v>2000</v>
      </c>
      <c r="FZ31" s="8" t="n">
        <v>10000</v>
      </c>
      <c r="GA31" s="9">
        <f>FW31+FX31+FY31+FZ31</f>
        <v/>
      </c>
      <c r="GB31" s="9">
        <f>FV31+GA31</f>
        <v/>
      </c>
      <c r="GC31" s="8" t="n">
        <v>39595.68</v>
      </c>
      <c r="GD31" s="8" t="n">
        <v>0</v>
      </c>
      <c r="GE31" s="8" t="n">
        <v>13735.31</v>
      </c>
      <c r="GF31" s="8" t="n">
        <v>0</v>
      </c>
      <c r="GG31" s="9">
        <f>GC31+GD31+GE31+GF31</f>
        <v/>
      </c>
      <c r="GH31" s="8" t="n">
        <v>2060561.21</v>
      </c>
      <c r="GI31" s="8" t="n">
        <v>0</v>
      </c>
      <c r="GJ31" s="8" t="n">
        <v>10000</v>
      </c>
      <c r="GK31" s="8" t="n">
        <v>2000</v>
      </c>
      <c r="GL31" s="9">
        <f>GH31+GI31+GJ31+GK31</f>
        <v/>
      </c>
      <c r="GM31" s="9">
        <f>GG31+GL31</f>
        <v/>
      </c>
      <c r="GN31" s="8" t="n">
        <v>5674.16</v>
      </c>
      <c r="GO31" s="8" t="n">
        <v>0</v>
      </c>
      <c r="GP31" s="8" t="n">
        <v>3393.64</v>
      </c>
      <c r="GQ31" s="8" t="n">
        <v>0</v>
      </c>
      <c r="GR31" s="9">
        <f>GN31+GO31+GP31+GQ31</f>
        <v/>
      </c>
      <c r="GS31" s="8" t="n">
        <v>8930</v>
      </c>
      <c r="GT31" s="8" t="n">
        <v>0</v>
      </c>
      <c r="GU31" s="8" t="n">
        <v>893</v>
      </c>
      <c r="GV31" s="8" t="n">
        <v>0</v>
      </c>
      <c r="GW31" s="9">
        <f>GS31+GT31+GU31+GV31</f>
        <v/>
      </c>
      <c r="GX31" s="9">
        <f>GM31+GR31+GW31</f>
        <v/>
      </c>
      <c r="GY31" s="8" t="n">
        <v>17833007.34</v>
      </c>
      <c r="GZ31" s="8" t="n">
        <v>295937.16</v>
      </c>
      <c r="HA31" s="9">
        <f>GY31+GZ31</f>
        <v/>
      </c>
      <c r="HB31" s="9">
        <f>IF(GX31=0,"",AU31/GX31)</f>
        <v/>
      </c>
      <c r="HC31" s="10">
        <f>IF((GX31+GY31)=0,"",GB31/(GX31+GY31))</f>
        <v/>
      </c>
      <c r="HD31" s="9">
        <f>IF(GX31=0,"",GB31/GX31)</f>
        <v/>
      </c>
      <c r="HE31" s="8" t="n">
        <v>7</v>
      </c>
      <c r="HF31" s="8" t="n">
        <v>1</v>
      </c>
      <c r="HG31" s="8" t="n">
        <v>6</v>
      </c>
      <c r="HH31" s="8" t="n">
        <v>7</v>
      </c>
      <c r="HI31" s="8" t="n">
        <v>15</v>
      </c>
      <c r="HJ31" s="9">
        <f>HF31+HI31</f>
        <v/>
      </c>
      <c r="HK31" s="10">
        <f>IF(HE31=0,"",HH31/HE31)</f>
        <v/>
      </c>
      <c r="HL31" s="8" t="n">
        <v>24</v>
      </c>
      <c r="HM31" s="8" t="n">
        <v>4</v>
      </c>
      <c r="HN31" s="11">
        <f>IF(HL31=0,"",HM31/HL31)</f>
        <v/>
      </c>
    </row>
    <row r="32">
      <c r="A32" s="12" t="inlineStr">
        <is>
          <t>Liwonde</t>
        </is>
      </c>
      <c r="B32" s="12" t="inlineStr">
        <is>
          <t>Machinga</t>
        </is>
      </c>
      <c r="C32" s="13" t="inlineStr">
        <is>
          <t>FY2025/26</t>
        </is>
      </c>
      <c r="D32" s="13" t="n">
        <v>2025</v>
      </c>
      <c r="E32" s="13" t="n">
        <v>9</v>
      </c>
      <c r="F32" s="13" t="inlineStr">
        <is>
          <t>September</t>
        </is>
      </c>
      <c r="G32" s="13" t="inlineStr">
        <is>
          <t>Q2</t>
        </is>
      </c>
      <c r="H32" s="14" t="n">
        <v>2860</v>
      </c>
      <c r="I32" s="14" t="n">
        <v>27</v>
      </c>
      <c r="J32" s="14" t="n">
        <v>0</v>
      </c>
      <c r="K32" s="14" t="n">
        <v>21</v>
      </c>
      <c r="L32" s="14" t="n">
        <v>0</v>
      </c>
      <c r="M32" s="15">
        <f>SUM(I32,J32,K32,L32)</f>
        <v/>
      </c>
      <c r="N32" s="14" t="n">
        <v>1860.5</v>
      </c>
      <c r="O32" s="14" t="n">
        <v>0</v>
      </c>
      <c r="P32" s="14" t="n">
        <v>14.2</v>
      </c>
      <c r="Q32" s="14" t="n">
        <v>32.5</v>
      </c>
      <c r="R32" s="15">
        <f>SUM(N32,O32,P32,Q32)</f>
        <v/>
      </c>
      <c r="S32" s="15">
        <f>M32+R32</f>
        <v/>
      </c>
      <c r="T32" s="14" t="n">
        <v>904.8</v>
      </c>
      <c r="U32" s="16">
        <f>IF(H32=0,"",T32/H32)</f>
        <v/>
      </c>
      <c r="V32" s="14" t="n">
        <v>7</v>
      </c>
      <c r="W32" s="17">
        <f>IF(H32=0,"",V32/H32)</f>
        <v/>
      </c>
      <c r="X32" s="14" t="n">
        <v>0</v>
      </c>
      <c r="Y32" s="17">
        <f>IF(H32=0,"",X32/H32)</f>
        <v/>
      </c>
      <c r="Z32" s="14" t="n">
        <v>0</v>
      </c>
      <c r="AA32" s="17">
        <f>IF(H32=0,"",Z32/H32)</f>
        <v/>
      </c>
      <c r="AB32" s="14" t="n">
        <v>0</v>
      </c>
      <c r="AC32" s="17">
        <f>IF(H32=0,"",AB32/H32)</f>
        <v/>
      </c>
      <c r="AD32" s="14" t="n">
        <v>0</v>
      </c>
      <c r="AE32" s="17">
        <f>IF(H32=0,"",AD32/H32)</f>
        <v/>
      </c>
      <c r="AF32" s="14" t="n">
        <v>0</v>
      </c>
      <c r="AG32" s="17">
        <f>IF(H32=0,"",AF32/H32)</f>
        <v/>
      </c>
      <c r="AH32" s="14" t="n">
        <v>24677.03</v>
      </c>
      <c r="AI32" s="15">
        <f>IF(H32=0,"",AH32/H32)</f>
        <v/>
      </c>
      <c r="AJ32" s="14" t="n">
        <v>5100</v>
      </c>
      <c r="AK32" s="17">
        <f>IF(H32=0,"",AJ32/H32)</f>
        <v/>
      </c>
      <c r="AL32" s="14" t="n">
        <v>871944.25</v>
      </c>
      <c r="AM32" s="15">
        <f>IF(H32=0,"",AL32/H32)</f>
        <v/>
      </c>
      <c r="AN32" s="14" t="n">
        <v>0</v>
      </c>
      <c r="AO32" s="14" t="n">
        <v>0</v>
      </c>
      <c r="AP32" s="14" t="n">
        <v>0</v>
      </c>
      <c r="AQ32" s="14" t="n">
        <v>0</v>
      </c>
      <c r="AR32" s="14" t="n">
        <v>712768.63</v>
      </c>
      <c r="AS32" s="14" t="n">
        <v>1008001.28</v>
      </c>
      <c r="AT32" s="14" t="n">
        <v>97762.08</v>
      </c>
      <c r="AU32" s="15">
        <f>AH32+AL32+AP32+AQ32+AR32+AS32+AT32</f>
        <v/>
      </c>
      <c r="AV32" s="15">
        <f>IF(H32=0,"",AU32/H32)</f>
        <v/>
      </c>
      <c r="AW32" s="15">
        <f>IF(S32=0,"",AU32/S32)</f>
        <v/>
      </c>
      <c r="AX32" s="14" t="n">
        <v>3</v>
      </c>
      <c r="AY32" s="15">
        <f>IF(H32=0,"",AX32/(H32/1000/12))</f>
        <v/>
      </c>
      <c r="AZ32" s="14" t="n">
        <v>8</v>
      </c>
      <c r="BA32" s="14" t="n">
        <v>6</v>
      </c>
      <c r="BB32" s="14" t="n">
        <v>6</v>
      </c>
      <c r="BC32" s="14" t="n">
        <v>0</v>
      </c>
      <c r="BD32" s="14" t="n">
        <v>8</v>
      </c>
      <c r="BE32" s="15">
        <f>BC32+BD32</f>
        <v/>
      </c>
      <c r="BF32" s="15">
        <f>BA32+BB32-BE32</f>
        <v/>
      </c>
      <c r="BG32" s="14" t="n">
        <v>0</v>
      </c>
      <c r="BH32" s="14" t="n">
        <v>0</v>
      </c>
      <c r="BI32" s="14" t="n">
        <v>0</v>
      </c>
      <c r="BJ32" s="14" t="n">
        <v>0</v>
      </c>
      <c r="BK32" s="15">
        <f>BI32+BJ32</f>
        <v/>
      </c>
      <c r="BL32" s="15">
        <f>BG32+BH32-BK32</f>
        <v/>
      </c>
      <c r="BM32" s="14" t="n">
        <v>0</v>
      </c>
      <c r="BN32" s="14" t="n">
        <v>0</v>
      </c>
      <c r="BO32" s="14" t="n">
        <v>0</v>
      </c>
      <c r="BP32" s="14" t="n">
        <v>0</v>
      </c>
      <c r="BQ32" s="15">
        <f>BO32+BP32</f>
        <v/>
      </c>
      <c r="BR32" s="15">
        <f>BM32+BN32-BQ32</f>
        <v/>
      </c>
      <c r="BS32" s="14" t="n">
        <v>0</v>
      </c>
      <c r="BT32" s="14" t="n">
        <v>0</v>
      </c>
      <c r="BU32" s="14" t="n">
        <v>0</v>
      </c>
      <c r="BV32" s="14" t="n">
        <v>0</v>
      </c>
      <c r="BW32" s="15">
        <f>BU32+BV32</f>
        <v/>
      </c>
      <c r="BX32" s="15">
        <f>BS32+BT32-BW32</f>
        <v/>
      </c>
      <c r="BY32" s="15">
        <f>BA32+BG32+BM32+BS32</f>
        <v/>
      </c>
      <c r="BZ32" s="15">
        <f>BB32+BH32+BN32+BT32</f>
        <v/>
      </c>
      <c r="CA32" s="15">
        <f>BE32+BK32+BQ32+BW32</f>
        <v/>
      </c>
      <c r="CB32" s="15">
        <f>BF32+BL32+BR32+BX32</f>
        <v/>
      </c>
      <c r="CC32" s="14" t="n">
        <v>6</v>
      </c>
      <c r="CD32" s="14" t="n">
        <v>213</v>
      </c>
      <c r="CE32" s="14" t="n">
        <v>5</v>
      </c>
      <c r="CF32" s="14" t="n">
        <v>3</v>
      </c>
      <c r="CG32" s="14" t="n">
        <v>0</v>
      </c>
      <c r="CH32" s="15">
        <f>CD32+CE32+CF32+CG32</f>
        <v/>
      </c>
      <c r="CI32" s="14" t="n">
        <v>6</v>
      </c>
      <c r="CJ32" s="14" t="n">
        <v>1</v>
      </c>
      <c r="CK32" s="14" t="n">
        <v>0</v>
      </c>
      <c r="CL32" s="14" t="n">
        <v>0</v>
      </c>
      <c r="CM32" s="15">
        <f>CI32+CJ32+CK32+CL32</f>
        <v/>
      </c>
      <c r="CN32" s="14" t="n">
        <v>334</v>
      </c>
      <c r="CO32" s="14" t="n">
        <v>14</v>
      </c>
      <c r="CP32" s="14" t="n">
        <v>27</v>
      </c>
      <c r="CQ32" s="14" t="n">
        <v>0</v>
      </c>
      <c r="CR32" s="15">
        <f>CN32+CO32+CP32+CQ32</f>
        <v/>
      </c>
      <c r="CS32" s="15">
        <f>CM32+CR32</f>
        <v/>
      </c>
      <c r="CT32" s="14" t="n">
        <v>603</v>
      </c>
      <c r="CU32" s="14" t="n">
        <v>1463</v>
      </c>
      <c r="CV32" s="14" t="n">
        <v>1270</v>
      </c>
      <c r="CW32" s="16">
        <f>IF(CU32=0,"",CV32/CU32)</f>
        <v/>
      </c>
      <c r="CX32" s="14" t="n"/>
      <c r="CY32" s="14" t="n"/>
      <c r="CZ32" s="14" t="n"/>
      <c r="DA32" s="14" t="n"/>
      <c r="DB32" s="15">
        <f>CX32+CY32-CZ32-DA32</f>
        <v/>
      </c>
      <c r="DC32" s="14" t="n">
        <v>0</v>
      </c>
      <c r="DD32" s="14" t="n">
        <v>0</v>
      </c>
      <c r="DE32" s="14" t="n">
        <v>0</v>
      </c>
      <c r="DF32" s="14" t="n">
        <v>0</v>
      </c>
      <c r="DG32" s="15">
        <f>DC32+DD32-DE32-DF32</f>
        <v/>
      </c>
      <c r="DH32" s="14" t="n">
        <v>0</v>
      </c>
      <c r="DI32" s="14" t="n">
        <v>0</v>
      </c>
      <c r="DJ32" s="14" t="n">
        <v>0</v>
      </c>
      <c r="DK32" s="14" t="n">
        <v>0</v>
      </c>
      <c r="DL32" s="15">
        <f>DH32+DI32-DJ32-DK32</f>
        <v/>
      </c>
      <c r="DM32" s="14" t="n">
        <v>0</v>
      </c>
      <c r="DN32" s="14" t="n">
        <v>0</v>
      </c>
      <c r="DO32" s="14" t="n">
        <v>0</v>
      </c>
      <c r="DP32" s="14" t="n">
        <v>0</v>
      </c>
      <c r="DQ32" s="15">
        <f>DM32+DN32-DO32-DP32</f>
        <v/>
      </c>
      <c r="DR32" s="15">
        <f>CX32+DC32+DH32+DM32</f>
        <v/>
      </c>
      <c r="DS32" s="15">
        <f>CY32+DD32+DI32+DN32</f>
        <v/>
      </c>
      <c r="DT32" s="15">
        <f>CZ32+DE32+DJ32+DO32</f>
        <v/>
      </c>
      <c r="DU32" s="15">
        <f>DA32+DF32+DK32+DP32</f>
        <v/>
      </c>
      <c r="DV32" s="15">
        <f>DB32+DG32+DL32+DQ32</f>
        <v/>
      </c>
      <c r="DW32" s="14" t="n">
        <v>14</v>
      </c>
      <c r="DX32" s="14" t="n">
        <v>7</v>
      </c>
      <c r="DY32" s="14" t="n">
        <v>8</v>
      </c>
      <c r="DZ32" s="14" t="n">
        <v>3</v>
      </c>
      <c r="EA32" s="14" t="n">
        <v>5</v>
      </c>
      <c r="EB32" s="14" t="n">
        <v>2</v>
      </c>
      <c r="EC32" s="14" t="n">
        <v>0</v>
      </c>
      <c r="ED32" s="14" t="n">
        <v>0</v>
      </c>
      <c r="EE32" s="14" t="n">
        <v>0</v>
      </c>
      <c r="EF32" s="14" t="n">
        <v>0</v>
      </c>
      <c r="EG32" s="14" t="n">
        <v>0</v>
      </c>
      <c r="EH32" s="14" t="n">
        <v>0</v>
      </c>
      <c r="EI32" s="14" t="n">
        <v>0</v>
      </c>
      <c r="EJ32" s="14" t="n">
        <v>2</v>
      </c>
      <c r="EK32" s="14" t="n">
        <v>1</v>
      </c>
      <c r="EL32" s="14" t="n">
        <v>0</v>
      </c>
      <c r="EM32" s="14" t="n">
        <v>0</v>
      </c>
      <c r="EN32" s="14" t="n">
        <v>3</v>
      </c>
      <c r="EO32" s="14" t="n">
        <v>0</v>
      </c>
      <c r="EP32" s="14" t="n">
        <v>0</v>
      </c>
      <c r="EQ32" s="14" t="n">
        <v>0</v>
      </c>
      <c r="ER32" s="14" t="n">
        <v>0</v>
      </c>
      <c r="ES32" s="14" t="n">
        <v>0</v>
      </c>
      <c r="ET32" s="14" t="n">
        <v>0</v>
      </c>
      <c r="EU32" s="14" t="n">
        <v>0</v>
      </c>
      <c r="EV32" s="14" t="n">
        <v>0</v>
      </c>
      <c r="EW32" s="14" t="n">
        <v>0</v>
      </c>
      <c r="EX32" s="14" t="n">
        <v>0</v>
      </c>
      <c r="EY32" s="14" t="n">
        <v>0</v>
      </c>
      <c r="EZ32" s="14" t="n">
        <v>0</v>
      </c>
      <c r="FA32" s="14" t="n">
        <v>0</v>
      </c>
      <c r="FB32" s="14" t="n">
        <v>0</v>
      </c>
      <c r="FC32" s="14" t="n">
        <v>0</v>
      </c>
      <c r="FD32" s="14" t="n">
        <v>0</v>
      </c>
      <c r="FE32" s="14" t="n">
        <v>0</v>
      </c>
      <c r="FF32" s="14" t="n">
        <v>0</v>
      </c>
      <c r="FG32" s="15">
        <f>SUM(DW32,DX32,DY32,DZ32,EA32,EB32,EC32,ED32,EE32,EF32,EG32,EH32,EI32,EJ32,EK32,EL32,EM32,EN32,EO32,EP32,EQ32,ER32,ES32,ET32,EU32,EV32,EW32,EX32,EY32,EZ32,FA32,FB32,FC32,FD32,FE32,FF32)</f>
        <v/>
      </c>
      <c r="FH32" s="14" t="n">
        <v>1</v>
      </c>
      <c r="FI32" s="14" t="n">
        <v>0</v>
      </c>
      <c r="FJ32" s="14" t="n">
        <v>0</v>
      </c>
      <c r="FK32" s="14" t="n">
        <v>72</v>
      </c>
      <c r="FL32" s="14" t="n">
        <v>0</v>
      </c>
      <c r="FM32" s="14" t="n">
        <v>0</v>
      </c>
      <c r="FN32" s="14" t="n">
        <v>0</v>
      </c>
      <c r="FO32" s="14" t="n">
        <v>0</v>
      </c>
      <c r="FP32" s="14" t="n">
        <v>0</v>
      </c>
      <c r="FQ32" s="15">
        <f>FL32+FM32+FN32+FO32+FP32</f>
        <v/>
      </c>
      <c r="FR32" s="14" t="n">
        <v>29800</v>
      </c>
      <c r="FS32" s="14" t="n">
        <v>0</v>
      </c>
      <c r="FT32" s="14" t="n">
        <v>0</v>
      </c>
      <c r="FU32" s="14" t="n">
        <v>0</v>
      </c>
      <c r="FV32" s="15">
        <f>FR32+FS32+FT32+FU32</f>
        <v/>
      </c>
      <c r="FW32" s="14" t="n">
        <v>2460893.76</v>
      </c>
      <c r="FX32" s="14" t="n">
        <v>0</v>
      </c>
      <c r="FY32" s="14" t="n">
        <v>154000</v>
      </c>
      <c r="FZ32" s="14" t="n">
        <v>48000</v>
      </c>
      <c r="GA32" s="15">
        <f>FW32+FX32+FY32+FZ32</f>
        <v/>
      </c>
      <c r="GB32" s="15">
        <f>FV32+GA32</f>
        <v/>
      </c>
      <c r="GC32" s="14" t="n">
        <v>28838.56</v>
      </c>
      <c r="GD32" s="14" t="n">
        <v>0</v>
      </c>
      <c r="GE32" s="14" t="n">
        <v>60182.02</v>
      </c>
      <c r="GF32" s="14" t="n">
        <v>0</v>
      </c>
      <c r="GG32" s="15">
        <f>GC32+GD32+GE32+GF32</f>
        <v/>
      </c>
      <c r="GH32" s="14" t="n">
        <v>2320471.550000001</v>
      </c>
      <c r="GI32" s="14" t="n">
        <v>0</v>
      </c>
      <c r="GJ32" s="14" t="n">
        <v>43200</v>
      </c>
      <c r="GK32" s="14" t="n">
        <v>154000</v>
      </c>
      <c r="GL32" s="15">
        <f>GH32+GI32+GJ32+GK32</f>
        <v/>
      </c>
      <c r="GM32" s="15">
        <f>GG32+GL32</f>
        <v/>
      </c>
      <c r="GN32" s="14" t="n">
        <v>3494.44</v>
      </c>
      <c r="GO32" s="14" t="n">
        <v>0</v>
      </c>
      <c r="GP32" s="14" t="n">
        <v>3393.64</v>
      </c>
      <c r="GQ32" s="14" t="n">
        <v>0</v>
      </c>
      <c r="GR32" s="15">
        <f>GN32+GO32+GP32+GQ32</f>
        <v/>
      </c>
      <c r="GS32" s="14" t="n">
        <v>5358</v>
      </c>
      <c r="GT32" s="14" t="n">
        <v>0</v>
      </c>
      <c r="GU32" s="14" t="n">
        <v>893</v>
      </c>
      <c r="GV32" s="14" t="n">
        <v>0</v>
      </c>
      <c r="GW32" s="15">
        <f>GS32+GT32+GU32+GV32</f>
        <v/>
      </c>
      <c r="GX32" s="15">
        <f>GM32+GR32+GW32</f>
        <v/>
      </c>
      <c r="GY32" s="14" t="n">
        <v>17831880.62</v>
      </c>
      <c r="GZ32" s="14" t="n">
        <v>366063.71</v>
      </c>
      <c r="HA32" s="15">
        <f>GY32+GZ32</f>
        <v/>
      </c>
      <c r="HB32" s="15">
        <f>IF(GX32=0,"",AU32/GX32)</f>
        <v/>
      </c>
      <c r="HC32" s="16">
        <f>IF((GX32+GY32)=0,"",GB32/(GX32+GY32))</f>
        <v/>
      </c>
      <c r="HD32" s="15">
        <f>IF(GX32=0,"",GB32/GX32)</f>
        <v/>
      </c>
      <c r="HE32" s="14" t="n">
        <v>5</v>
      </c>
      <c r="HF32" s="14" t="n">
        <v>1</v>
      </c>
      <c r="HG32" s="14" t="n">
        <v>4</v>
      </c>
      <c r="HH32" s="14" t="n">
        <v>6</v>
      </c>
      <c r="HI32" s="14" t="n">
        <v>15</v>
      </c>
      <c r="HJ32" s="15">
        <f>HF32+HI32</f>
        <v/>
      </c>
      <c r="HK32" s="16">
        <f>IF(HE32=0,"",HH32/HE32)</f>
        <v/>
      </c>
      <c r="HL32" s="14" t="n">
        <v>26</v>
      </c>
      <c r="HM32" s="14" t="n">
        <v>30</v>
      </c>
      <c r="HN32" s="17">
        <f>IF(HL32=0,"",HM32/HL32)</f>
        <v/>
      </c>
    </row>
    <row r="33">
      <c r="A33" s="6" t="inlineStr">
        <is>
          <t>Liwonde</t>
        </is>
      </c>
      <c r="B33" s="6" t="inlineStr">
        <is>
          <t>Machinga</t>
        </is>
      </c>
      <c r="C33" s="7" t="inlineStr">
        <is>
          <t>FY2025/26</t>
        </is>
      </c>
      <c r="D33" s="7" t="n">
        <v>2025</v>
      </c>
      <c r="E33" s="7" t="n">
        <v>10</v>
      </c>
      <c r="F33" s="7" t="inlineStr">
        <is>
          <t>October</t>
        </is>
      </c>
      <c r="G33" s="7" t="inlineStr">
        <is>
          <t>Q3</t>
        </is>
      </c>
      <c r="H33" s="8" t="n">
        <v>2573</v>
      </c>
      <c r="I33" s="8" t="n">
        <v>52</v>
      </c>
      <c r="J33" s="8" t="n">
        <v>0</v>
      </c>
      <c r="K33" s="8" t="n">
        <v>24</v>
      </c>
      <c r="L33" s="8" t="n">
        <v>0</v>
      </c>
      <c r="M33" s="9">
        <f>SUM(I33,J33,K33,L33)</f>
        <v/>
      </c>
      <c r="N33" s="8" t="n">
        <v>1705</v>
      </c>
      <c r="O33" s="8" t="n">
        <v>0</v>
      </c>
      <c r="P33" s="8" t="n">
        <v>403</v>
      </c>
      <c r="Q33" s="8" t="n">
        <v>35</v>
      </c>
      <c r="R33" s="9">
        <f>SUM(N33,O33,P33,Q33)</f>
        <v/>
      </c>
      <c r="S33" s="9">
        <f>M33+R33</f>
        <v/>
      </c>
      <c r="T33" s="8" t="n">
        <v>354</v>
      </c>
      <c r="U33" s="10">
        <f>IF(H33=0,"",T33/H33)</f>
        <v/>
      </c>
      <c r="V33" s="8" t="n">
        <v>8</v>
      </c>
      <c r="W33" s="11">
        <f>IF(H33=0,"",V33/H33)</f>
        <v/>
      </c>
      <c r="X33" s="8" t="n">
        <v>0</v>
      </c>
      <c r="Y33" s="11">
        <f>IF(H33=0,"",X33/H33)</f>
        <v/>
      </c>
      <c r="Z33" s="8" t="n">
        <v>0</v>
      </c>
      <c r="AA33" s="11">
        <f>IF(H33=0,"",Z33/H33)</f>
        <v/>
      </c>
      <c r="AB33" s="8" t="n">
        <v>0</v>
      </c>
      <c r="AC33" s="11">
        <f>IF(H33=0,"",AB33/H33)</f>
        <v/>
      </c>
      <c r="AD33" s="8" t="n">
        <v>0</v>
      </c>
      <c r="AE33" s="11">
        <f>IF(H33=0,"",AD33/H33)</f>
        <v/>
      </c>
      <c r="AF33" s="8" t="n">
        <v>0</v>
      </c>
      <c r="AG33" s="11">
        <f>IF(H33=0,"",AF33/H33)</f>
        <v/>
      </c>
      <c r="AH33" s="8" t="n">
        <v>28202.32</v>
      </c>
      <c r="AI33" s="9">
        <f>IF(H33=0,"",AH33/H33)</f>
        <v/>
      </c>
      <c r="AJ33" s="8" t="n">
        <v>5300</v>
      </c>
      <c r="AK33" s="11">
        <f>IF(H33=0,"",AJ33/H33)</f>
        <v/>
      </c>
      <c r="AL33" s="8" t="n">
        <v>905379.75</v>
      </c>
      <c r="AM33" s="9">
        <f>IF(H33=0,"",AL33/H33)</f>
        <v/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1008001.28</v>
      </c>
      <c r="AT33" s="8" t="n">
        <v>98000</v>
      </c>
      <c r="AU33" s="9">
        <f>AH33+AL33+AP33+AQ33+AR33+AS33+AT33</f>
        <v/>
      </c>
      <c r="AV33" s="9">
        <f>IF(H33=0,"",AU33/H33)</f>
        <v/>
      </c>
      <c r="AW33" s="9">
        <f>IF(S33=0,"",AU33/S33)</f>
        <v/>
      </c>
      <c r="AX33" s="8" t="n">
        <v>3</v>
      </c>
      <c r="AY33" s="9">
        <f>IF(H33=0,"",AX33/(H33/1000/12))</f>
        <v/>
      </c>
      <c r="AZ33" s="8" t="n">
        <v>8</v>
      </c>
      <c r="BA33" s="8" t="n">
        <v>4</v>
      </c>
      <c r="BB33" s="8" t="n">
        <v>4</v>
      </c>
      <c r="BC33" s="8" t="n">
        <v>0</v>
      </c>
      <c r="BD33" s="8" t="n">
        <v>4</v>
      </c>
      <c r="BE33" s="9">
        <f>BC33+BD33</f>
        <v/>
      </c>
      <c r="BF33" s="9">
        <f>BA33+BB33-BE33</f>
        <v/>
      </c>
      <c r="BG33" s="8" t="n">
        <v>0</v>
      </c>
      <c r="BH33" s="8" t="n">
        <v>0</v>
      </c>
      <c r="BI33" s="8" t="n">
        <v>0</v>
      </c>
      <c r="BJ33" s="8" t="n">
        <v>0</v>
      </c>
      <c r="BK33" s="9">
        <f>BI33+BJ33</f>
        <v/>
      </c>
      <c r="BL33" s="9">
        <f>BG33+BH33-BK33</f>
        <v/>
      </c>
      <c r="BM33" s="8" t="n">
        <v>0</v>
      </c>
      <c r="BN33" s="8" t="n">
        <v>0</v>
      </c>
      <c r="BO33" s="8" t="n">
        <v>0</v>
      </c>
      <c r="BP33" s="8" t="n">
        <v>0</v>
      </c>
      <c r="BQ33" s="9">
        <f>BO33+BP33</f>
        <v/>
      </c>
      <c r="BR33" s="9">
        <f>BM33+BN33-BQ33</f>
        <v/>
      </c>
      <c r="BS33" s="8" t="n">
        <v>0</v>
      </c>
      <c r="BT33" s="8" t="n">
        <v>0</v>
      </c>
      <c r="BU33" s="8" t="n">
        <v>0</v>
      </c>
      <c r="BV33" s="8" t="n">
        <v>0</v>
      </c>
      <c r="BW33" s="9">
        <f>BU33+BV33</f>
        <v/>
      </c>
      <c r="BX33" s="9">
        <f>BS33+BT33-BW33</f>
        <v/>
      </c>
      <c r="BY33" s="9">
        <f>BA33+BG33+BM33+BS33</f>
        <v/>
      </c>
      <c r="BZ33" s="9">
        <f>BB33+BH33+BN33+BT33</f>
        <v/>
      </c>
      <c r="CA33" s="9">
        <f>BE33+BK33+BQ33+BW33</f>
        <v/>
      </c>
      <c r="CB33" s="9">
        <f>BF33+BL33+BR33+BX33</f>
        <v/>
      </c>
      <c r="CC33" s="8" t="n">
        <v>7</v>
      </c>
      <c r="CD33" s="8" t="n">
        <v>213</v>
      </c>
      <c r="CE33" s="8" t="n">
        <v>5</v>
      </c>
      <c r="CF33" s="8" t="n">
        <v>3</v>
      </c>
      <c r="CG33" s="8" t="n">
        <v>0</v>
      </c>
      <c r="CH33" s="9">
        <f>CD33+CE33+CF33+CG33</f>
        <v/>
      </c>
      <c r="CI33" s="8" t="n">
        <v>4</v>
      </c>
      <c r="CJ33" s="8" t="n">
        <v>0</v>
      </c>
      <c r="CK33" s="8" t="n">
        <v>0</v>
      </c>
      <c r="CL33" s="8" t="n">
        <v>0</v>
      </c>
      <c r="CM33" s="9">
        <f>CI33+CJ33+CK33+CL33</f>
        <v/>
      </c>
      <c r="CN33" s="8" t="n">
        <v>341</v>
      </c>
      <c r="CO33" s="8" t="n">
        <v>14</v>
      </c>
      <c r="CP33" s="8" t="n">
        <v>27</v>
      </c>
      <c r="CQ33" s="8" t="n">
        <v>0</v>
      </c>
      <c r="CR33" s="9">
        <f>CN33+CO33+CP33+CQ33</f>
        <v/>
      </c>
      <c r="CS33" s="9">
        <f>CM33+CR33</f>
        <v/>
      </c>
      <c r="CT33" s="8" t="n">
        <v>607</v>
      </c>
      <c r="CU33" s="8" t="n">
        <v>1470</v>
      </c>
      <c r="CV33" s="8" t="n">
        <v>1276</v>
      </c>
      <c r="CW33" s="10">
        <f>IF(CU33=0,"",CV33/CU33)</f>
        <v/>
      </c>
      <c r="CX33" s="8" t="n"/>
      <c r="CY33" s="8" t="n"/>
      <c r="CZ33" s="8" t="n"/>
      <c r="DA33" s="8" t="n"/>
      <c r="DB33" s="9">
        <f>CX33+CY33-CZ33-DA33</f>
        <v/>
      </c>
      <c r="DC33" s="8" t="n">
        <v>0</v>
      </c>
      <c r="DD33" s="8" t="n">
        <v>0</v>
      </c>
      <c r="DE33" s="8" t="n">
        <v>0</v>
      </c>
      <c r="DF33" s="8" t="n">
        <v>0</v>
      </c>
      <c r="DG33" s="9">
        <f>DC33+DD33-DE33-DF33</f>
        <v/>
      </c>
      <c r="DH33" s="8" t="n">
        <v>0</v>
      </c>
      <c r="DI33" s="8" t="n">
        <v>0</v>
      </c>
      <c r="DJ33" s="8" t="n">
        <v>0</v>
      </c>
      <c r="DK33" s="8" t="n">
        <v>0</v>
      </c>
      <c r="DL33" s="9">
        <f>DH33+DI33-DJ33-DK33</f>
        <v/>
      </c>
      <c r="DM33" s="8" t="n">
        <v>0</v>
      </c>
      <c r="DN33" s="8" t="n">
        <v>0</v>
      </c>
      <c r="DO33" s="8" t="n">
        <v>0</v>
      </c>
      <c r="DP33" s="8" t="n">
        <v>0</v>
      </c>
      <c r="DQ33" s="9">
        <f>DM33+DN33-DO33-DP33</f>
        <v/>
      </c>
      <c r="DR33" s="9">
        <f>CX33+DC33+DH33+DM33</f>
        <v/>
      </c>
      <c r="DS33" s="9">
        <f>CY33+DD33+DI33+DN33</f>
        <v/>
      </c>
      <c r="DT33" s="9">
        <f>CZ33+DE33+DJ33+DO33</f>
        <v/>
      </c>
      <c r="DU33" s="9">
        <f>DA33+DF33+DK33+DP33</f>
        <v/>
      </c>
      <c r="DV33" s="9">
        <f>DB33+DG33+DL33+DQ33</f>
        <v/>
      </c>
      <c r="DW33" s="8" t="n">
        <v>16</v>
      </c>
      <c r="DX33" s="8" t="n">
        <v>11</v>
      </c>
      <c r="DY33" s="8" t="n">
        <v>7</v>
      </c>
      <c r="DZ33" s="8" t="n">
        <v>2</v>
      </c>
      <c r="EA33" s="8" t="n">
        <v>2</v>
      </c>
      <c r="EB33" s="8" t="n">
        <v>3</v>
      </c>
      <c r="EC33" s="8" t="n">
        <v>1</v>
      </c>
      <c r="ED33" s="8" t="n">
        <v>1</v>
      </c>
      <c r="EE33" s="8" t="n">
        <v>3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3</v>
      </c>
      <c r="EK33" s="8" t="n">
        <v>1</v>
      </c>
      <c r="EL33" s="8" t="n">
        <v>1</v>
      </c>
      <c r="EM33" s="8" t="n">
        <v>0</v>
      </c>
      <c r="EN33" s="8" t="n">
        <v>2</v>
      </c>
      <c r="EO33" s="8" t="n">
        <v>0</v>
      </c>
      <c r="EP33" s="8" t="n">
        <v>0</v>
      </c>
      <c r="EQ33" s="8" t="n">
        <v>0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  <c r="EX33" s="8" t="n">
        <v>0</v>
      </c>
      <c r="EY33" s="8" t="n">
        <v>0</v>
      </c>
      <c r="EZ33" s="8" t="n">
        <v>0</v>
      </c>
      <c r="FA33" s="8" t="n">
        <v>0</v>
      </c>
      <c r="FB33" s="8" t="n">
        <v>0</v>
      </c>
      <c r="FC33" s="8" t="n">
        <v>0</v>
      </c>
      <c r="FD33" s="8" t="n">
        <v>0</v>
      </c>
      <c r="FE33" s="8" t="n">
        <v>0</v>
      </c>
      <c r="FF33" s="8" t="n">
        <v>0</v>
      </c>
      <c r="FG33" s="9">
        <f>SUM(DW33,DX33,DY33,DZ33,EA33,EB33,EC33,ED33,EE33,EF33,EG33,EH33,EI33,EJ33,EK33,EL33,EM33,EN33,EO33,EP33,EQ33,ER33,ES33,ET33,EU33,EV33,EW33,EX33,EY33,EZ33,FA33,FB33,FC33,FD33,FE33,FF33)</f>
        <v/>
      </c>
      <c r="FH33" s="8" t="n">
        <v>1</v>
      </c>
      <c r="FI33" s="8" t="n">
        <v>0</v>
      </c>
      <c r="FJ33" s="8" t="n">
        <v>0</v>
      </c>
      <c r="FK33" s="8" t="n">
        <v>132</v>
      </c>
      <c r="FL33" s="8" t="n">
        <v>0</v>
      </c>
      <c r="FM33" s="8" t="n">
        <v>0</v>
      </c>
      <c r="FN33" s="8" t="n">
        <v>0</v>
      </c>
      <c r="FO33" s="8" t="n">
        <v>0</v>
      </c>
      <c r="FP33" s="8" t="n">
        <v>0</v>
      </c>
      <c r="FQ33" s="9">
        <f>FL33+FM33+FN33+FO33+FP33</f>
        <v/>
      </c>
      <c r="FR33" s="8" t="n">
        <v>99867.22</v>
      </c>
      <c r="FS33" s="8" t="n">
        <v>0</v>
      </c>
      <c r="FT33" s="8" t="n">
        <v>0</v>
      </c>
      <c r="FU33" s="8" t="n">
        <v>0</v>
      </c>
      <c r="FV33" s="9">
        <f>FR33+FS33+FT33+FU33</f>
        <v/>
      </c>
      <c r="FW33" s="8" t="n">
        <v>2225112.4</v>
      </c>
      <c r="FX33" s="8" t="n">
        <v>0</v>
      </c>
      <c r="FY33" s="8" t="n">
        <v>165000</v>
      </c>
      <c r="FZ33" s="8" t="n">
        <v>1231200</v>
      </c>
      <c r="GA33" s="9">
        <f>FW33+FX33+FY33+FZ33</f>
        <v/>
      </c>
      <c r="GB33" s="9">
        <f>FV33+GA33</f>
        <v/>
      </c>
      <c r="GC33" s="8" t="n">
        <v>46485.77</v>
      </c>
      <c r="GD33" s="8" t="n">
        <v>0</v>
      </c>
      <c r="GE33" s="8" t="n">
        <v>70560.42999999999</v>
      </c>
      <c r="GF33" s="8" t="n">
        <v>0</v>
      </c>
      <c r="GG33" s="9">
        <f>GC33+GD33+GE33+GF33</f>
        <v/>
      </c>
      <c r="GH33" s="8" t="n">
        <v>2125328.14</v>
      </c>
      <c r="GI33" s="8" t="n">
        <v>0</v>
      </c>
      <c r="GJ33" s="8" t="n">
        <v>1224200</v>
      </c>
      <c r="GK33" s="8" t="n">
        <v>165000</v>
      </c>
      <c r="GL33" s="9">
        <f>GH33+GI33+GJ33+GK33</f>
        <v/>
      </c>
      <c r="GM33" s="9">
        <f>GG33+GL33</f>
        <v/>
      </c>
      <c r="GN33" s="8" t="n">
        <v>1859.65</v>
      </c>
      <c r="GO33" s="8" t="n">
        <v>0</v>
      </c>
      <c r="GP33" s="8" t="n">
        <v>3393.64</v>
      </c>
      <c r="GQ33" s="8" t="n">
        <v>0</v>
      </c>
      <c r="GR33" s="9">
        <f>GN33+GO33+GP33+GQ33</f>
        <v/>
      </c>
      <c r="GS33" s="8" t="n">
        <v>2679</v>
      </c>
      <c r="GT33" s="8" t="n">
        <v>0</v>
      </c>
      <c r="GU33" s="8" t="n">
        <v>893</v>
      </c>
      <c r="GV33" s="8" t="n">
        <v>0</v>
      </c>
      <c r="GW33" s="9">
        <f>GS33+GT33+GU33+GV33</f>
        <v/>
      </c>
      <c r="GX33" s="9">
        <f>GM33+GR33+GW33</f>
        <v/>
      </c>
      <c r="GY33" s="8" t="n">
        <v>17772066.03</v>
      </c>
      <c r="GZ33" s="8" t="n">
        <v>451882.05</v>
      </c>
      <c r="HA33" s="9">
        <f>GY33+GZ33</f>
        <v/>
      </c>
      <c r="HB33" s="9">
        <f>IF(GX33=0,"",AU33/GX33)</f>
        <v/>
      </c>
      <c r="HC33" s="10">
        <f>IF((GX33+GY33)=0,"",GB33/(GX33+GY33))</f>
        <v/>
      </c>
      <c r="HD33" s="9">
        <f>IF(GX33=0,"",GB33/GX33)</f>
        <v/>
      </c>
      <c r="HE33" s="8" t="n">
        <v>4</v>
      </c>
      <c r="HF33" s="8" t="n">
        <v>1</v>
      </c>
      <c r="HG33" s="8" t="n">
        <v>4</v>
      </c>
      <c r="HH33" s="8" t="n">
        <v>4</v>
      </c>
      <c r="HI33" s="8" t="n">
        <v>15</v>
      </c>
      <c r="HJ33" s="9">
        <f>HF33+HI33</f>
        <v/>
      </c>
      <c r="HK33" s="10">
        <f>IF(HE33=0,"",HH33/HE33)</f>
        <v/>
      </c>
      <c r="HL33" s="8" t="n">
        <v>12</v>
      </c>
      <c r="HM33" s="8" t="n">
        <v>3</v>
      </c>
      <c r="HN33" s="11">
        <f>IF(HL33=0,"",HM33/HL33)</f>
        <v/>
      </c>
    </row>
    <row r="34">
      <c r="A34" s="12" t="inlineStr">
        <is>
          <t>Liwonde</t>
        </is>
      </c>
      <c r="B34" s="12" t="inlineStr">
        <is>
          <t>Machinga</t>
        </is>
      </c>
      <c r="C34" s="13" t="inlineStr">
        <is>
          <t>FY2025/26</t>
        </is>
      </c>
      <c r="D34" s="13" t="n">
        <v>2025</v>
      </c>
      <c r="E34" s="13" t="n">
        <v>11</v>
      </c>
      <c r="F34" s="13" t="inlineStr">
        <is>
          <t>November</t>
        </is>
      </c>
      <c r="G34" s="13" t="inlineStr">
        <is>
          <t>Q3</t>
        </is>
      </c>
      <c r="H34" s="14" t="n">
        <v>2812</v>
      </c>
      <c r="I34" s="14" t="n">
        <v>36</v>
      </c>
      <c r="J34" s="14" t="n">
        <v>0</v>
      </c>
      <c r="K34" s="14" t="n">
        <v>68</v>
      </c>
      <c r="L34" s="14" t="n">
        <v>0</v>
      </c>
      <c r="M34" s="15">
        <f>SUM(I34,J34,K34,L34)</f>
        <v/>
      </c>
      <c r="N34" s="14" t="n">
        <v>1592.2</v>
      </c>
      <c r="O34" s="14" t="n">
        <v>0</v>
      </c>
      <c r="P34" s="14" t="n">
        <v>335.5</v>
      </c>
      <c r="Q34" s="14" t="n">
        <v>29</v>
      </c>
      <c r="R34" s="15">
        <f>SUM(N34,O34,P34,Q34)</f>
        <v/>
      </c>
      <c r="S34" s="15">
        <f>M34+R34</f>
        <v/>
      </c>
      <c r="T34" s="14" t="n">
        <v>751.3</v>
      </c>
      <c r="U34" s="16">
        <f>IF(H34=0,"",T34/H34)</f>
        <v/>
      </c>
      <c r="V34" s="14" t="n">
        <v>7</v>
      </c>
      <c r="W34" s="17">
        <f>IF(H34=0,"",V34/H34)</f>
        <v/>
      </c>
      <c r="X34" s="14" t="n">
        <v>0</v>
      </c>
      <c r="Y34" s="17">
        <f>IF(H34=0,"",X34/H34)</f>
        <v/>
      </c>
      <c r="Z34" s="14" t="n">
        <v>0</v>
      </c>
      <c r="AA34" s="17">
        <f>IF(H34=0,"",Z34/H34)</f>
        <v/>
      </c>
      <c r="AB34" s="14" t="n">
        <v>0</v>
      </c>
      <c r="AC34" s="17">
        <f>IF(H34=0,"",AB34/H34)</f>
        <v/>
      </c>
      <c r="AD34" s="14" t="n">
        <v>0</v>
      </c>
      <c r="AE34" s="17">
        <f>IF(H34=0,"",AD34/H34)</f>
        <v/>
      </c>
      <c r="AF34" s="14" t="n">
        <v>0</v>
      </c>
      <c r="AG34" s="17">
        <f>IF(H34=0,"",AF34/H34)</f>
        <v/>
      </c>
      <c r="AH34" s="14" t="n">
        <v>24677.03</v>
      </c>
      <c r="AI34" s="15">
        <f>IF(H34=0,"",AH34/H34)</f>
        <v/>
      </c>
      <c r="AJ34" s="14" t="n">
        <v>5000</v>
      </c>
      <c r="AK34" s="17">
        <f>IF(H34=0,"",AJ34/H34)</f>
        <v/>
      </c>
      <c r="AL34" s="14" t="n">
        <v>855226.5</v>
      </c>
      <c r="AM34" s="15">
        <f>IF(H34=0,"",AL34/H34)</f>
        <v/>
      </c>
      <c r="AN34" s="14" t="n">
        <v>0</v>
      </c>
      <c r="AO34" s="14" t="n">
        <v>0</v>
      </c>
      <c r="AP34" s="14" t="n">
        <v>0</v>
      </c>
      <c r="AQ34" s="14" t="n">
        <v>0</v>
      </c>
      <c r="AR34" s="14" t="n">
        <v>712768.63</v>
      </c>
      <c r="AS34" s="14" t="n">
        <v>1008001.28</v>
      </c>
      <c r="AT34" s="14" t="n">
        <v>0</v>
      </c>
      <c r="AU34" s="15">
        <f>AH34+AL34+AP34+AQ34+AR34+AS34+AT34</f>
        <v/>
      </c>
      <c r="AV34" s="15">
        <f>IF(H34=0,"",AU34/H34)</f>
        <v/>
      </c>
      <c r="AW34" s="15">
        <f>IF(S34=0,"",AU34/S34)</f>
        <v/>
      </c>
      <c r="AX34" s="14" t="n">
        <v>3</v>
      </c>
      <c r="AY34" s="15">
        <f>IF(H34=0,"",AX34/(H34/1000/12))</f>
        <v/>
      </c>
      <c r="AZ34" s="14" t="n">
        <v>8</v>
      </c>
      <c r="BA34" s="14" t="n">
        <v>4</v>
      </c>
      <c r="BB34" s="14" t="n">
        <v>4</v>
      </c>
      <c r="BC34" s="14" t="n">
        <v>0</v>
      </c>
      <c r="BD34" s="14" t="n">
        <v>4</v>
      </c>
      <c r="BE34" s="15">
        <f>BC34+BD34</f>
        <v/>
      </c>
      <c r="BF34" s="15">
        <f>BA34+BB34-BE34</f>
        <v/>
      </c>
      <c r="BG34" s="14" t="n">
        <v>0</v>
      </c>
      <c r="BH34" s="14" t="n">
        <v>0</v>
      </c>
      <c r="BI34" s="14" t="n">
        <v>0</v>
      </c>
      <c r="BJ34" s="14" t="n">
        <v>0</v>
      </c>
      <c r="BK34" s="15">
        <f>BI34+BJ34</f>
        <v/>
      </c>
      <c r="BL34" s="15">
        <f>BG34+BH34-BK34</f>
        <v/>
      </c>
      <c r="BM34" s="14" t="n">
        <v>0</v>
      </c>
      <c r="BN34" s="14" t="n">
        <v>0</v>
      </c>
      <c r="BO34" s="14" t="n">
        <v>0</v>
      </c>
      <c r="BP34" s="14" t="n">
        <v>0</v>
      </c>
      <c r="BQ34" s="15">
        <f>BO34+BP34</f>
        <v/>
      </c>
      <c r="BR34" s="15">
        <f>BM34+BN34-BQ34</f>
        <v/>
      </c>
      <c r="BS34" s="14" t="n">
        <v>0</v>
      </c>
      <c r="BT34" s="14" t="n">
        <v>0</v>
      </c>
      <c r="BU34" s="14" t="n">
        <v>0</v>
      </c>
      <c r="BV34" s="14" t="n">
        <v>0</v>
      </c>
      <c r="BW34" s="15">
        <f>BU34+BV34</f>
        <v/>
      </c>
      <c r="BX34" s="15">
        <f>BS34+BT34-BW34</f>
        <v/>
      </c>
      <c r="BY34" s="15">
        <f>BA34+BG34+BM34+BS34</f>
        <v/>
      </c>
      <c r="BZ34" s="15">
        <f>BB34+BH34+BN34+BT34</f>
        <v/>
      </c>
      <c r="CA34" s="15">
        <f>BE34+BK34+BQ34+BW34</f>
        <v/>
      </c>
      <c r="CB34" s="15">
        <f>BF34+BL34+BR34+BX34</f>
        <v/>
      </c>
      <c r="CC34" s="14" t="n">
        <v>4</v>
      </c>
      <c r="CD34" s="14" t="n">
        <v>211</v>
      </c>
      <c r="CE34" s="14" t="n">
        <v>5</v>
      </c>
      <c r="CF34" s="14" t="n">
        <v>3</v>
      </c>
      <c r="CG34" s="14" t="n">
        <v>0</v>
      </c>
      <c r="CH34" s="15">
        <f>CD34+CE34+CF34+CG34</f>
        <v/>
      </c>
      <c r="CI34" s="14" t="n">
        <v>4</v>
      </c>
      <c r="CJ34" s="14" t="n">
        <v>1</v>
      </c>
      <c r="CK34" s="14" t="n">
        <v>0</v>
      </c>
      <c r="CL34" s="14" t="n">
        <v>0</v>
      </c>
      <c r="CM34" s="15">
        <f>CI34+CJ34+CK34+CL34</f>
        <v/>
      </c>
      <c r="CN34" s="14" t="n">
        <v>345</v>
      </c>
      <c r="CO34" s="14" t="n">
        <v>14</v>
      </c>
      <c r="CP34" s="14" t="n">
        <v>27</v>
      </c>
      <c r="CQ34" s="14" t="n">
        <v>0</v>
      </c>
      <c r="CR34" s="15">
        <f>CN34+CO34+CP34+CQ34</f>
        <v/>
      </c>
      <c r="CS34" s="15">
        <f>CM34+CR34</f>
        <v/>
      </c>
      <c r="CT34" s="14" t="n">
        <v>610</v>
      </c>
      <c r="CU34" s="14" t="n">
        <v>1485.0232</v>
      </c>
      <c r="CV34" s="14" t="n">
        <v>1289.1135</v>
      </c>
      <c r="CW34" s="16">
        <f>IF(CU34=0,"",CV34/CU34)</f>
        <v/>
      </c>
      <c r="CX34" s="14" t="n"/>
      <c r="CY34" s="14" t="n"/>
      <c r="CZ34" s="14" t="n"/>
      <c r="DA34" s="14" t="n"/>
      <c r="DB34" s="15">
        <f>CX34+CY34-CZ34-DA34</f>
        <v/>
      </c>
      <c r="DC34" s="14" t="n">
        <v>0</v>
      </c>
      <c r="DD34" s="14" t="n">
        <v>0</v>
      </c>
      <c r="DE34" s="14" t="n">
        <v>0</v>
      </c>
      <c r="DF34" s="14" t="n">
        <v>0</v>
      </c>
      <c r="DG34" s="15">
        <f>DC34+DD34-DE34-DF34</f>
        <v/>
      </c>
      <c r="DH34" s="14" t="n">
        <v>0</v>
      </c>
      <c r="DI34" s="14" t="n">
        <v>0</v>
      </c>
      <c r="DJ34" s="14" t="n">
        <v>0</v>
      </c>
      <c r="DK34" s="14" t="n">
        <v>0</v>
      </c>
      <c r="DL34" s="15">
        <f>DH34+DI34-DJ34-DK34</f>
        <v/>
      </c>
      <c r="DM34" s="14" t="n">
        <v>0</v>
      </c>
      <c r="DN34" s="14" t="n">
        <v>0</v>
      </c>
      <c r="DO34" s="14" t="n">
        <v>0</v>
      </c>
      <c r="DP34" s="14" t="n">
        <v>0</v>
      </c>
      <c r="DQ34" s="15">
        <f>DM34+DN34-DO34-DP34</f>
        <v/>
      </c>
      <c r="DR34" s="15">
        <f>CX34+DC34+DH34+DM34</f>
        <v/>
      </c>
      <c r="DS34" s="15">
        <f>CY34+DD34+DI34+DN34</f>
        <v/>
      </c>
      <c r="DT34" s="15">
        <f>CZ34+DE34+DJ34+DO34</f>
        <v/>
      </c>
      <c r="DU34" s="15">
        <f>DA34+DF34+DK34+DP34</f>
        <v/>
      </c>
      <c r="DV34" s="15">
        <f>DB34+DG34+DL34+DQ34</f>
        <v/>
      </c>
      <c r="DW34" s="14" t="n">
        <v>28</v>
      </c>
      <c r="DX34" s="14" t="n">
        <v>11</v>
      </c>
      <c r="DY34" s="14" t="n">
        <v>4</v>
      </c>
      <c r="DZ34" s="14" t="n">
        <v>7</v>
      </c>
      <c r="EA34" s="14" t="n">
        <v>3</v>
      </c>
      <c r="EB34" s="14" t="n">
        <v>2</v>
      </c>
      <c r="EC34" s="14" t="n">
        <v>0</v>
      </c>
      <c r="ED34" s="14" t="n">
        <v>1</v>
      </c>
      <c r="EE34" s="14" t="n">
        <v>1</v>
      </c>
      <c r="EF34" s="14" t="n">
        <v>0</v>
      </c>
      <c r="EG34" s="14" t="n">
        <v>0</v>
      </c>
      <c r="EH34" s="14" t="n">
        <v>0</v>
      </c>
      <c r="EI34" s="14" t="n">
        <v>0</v>
      </c>
      <c r="EJ34" s="14" t="n">
        <v>1</v>
      </c>
      <c r="EK34" s="14" t="n">
        <v>2</v>
      </c>
      <c r="EL34" s="14" t="n">
        <v>0</v>
      </c>
      <c r="EM34" s="14" t="n">
        <v>0</v>
      </c>
      <c r="EN34" s="14" t="n">
        <v>1</v>
      </c>
      <c r="EO34" s="14" t="n">
        <v>0</v>
      </c>
      <c r="EP34" s="14" t="n">
        <v>0</v>
      </c>
      <c r="EQ34" s="14" t="n">
        <v>0</v>
      </c>
      <c r="ER34" s="14" t="n">
        <v>0</v>
      </c>
      <c r="ES34" s="14" t="n">
        <v>0</v>
      </c>
      <c r="ET34" s="14" t="n">
        <v>0</v>
      </c>
      <c r="EU34" s="14" t="n">
        <v>0</v>
      </c>
      <c r="EV34" s="14" t="n">
        <v>0</v>
      </c>
      <c r="EW34" s="14" t="n">
        <v>0</v>
      </c>
      <c r="EX34" s="14" t="n">
        <v>0</v>
      </c>
      <c r="EY34" s="14" t="n">
        <v>0</v>
      </c>
      <c r="EZ34" s="14" t="n">
        <v>0</v>
      </c>
      <c r="FA34" s="14" t="n">
        <v>0</v>
      </c>
      <c r="FB34" s="14" t="n">
        <v>0</v>
      </c>
      <c r="FC34" s="14" t="n">
        <v>0</v>
      </c>
      <c r="FD34" s="14" t="n">
        <v>0</v>
      </c>
      <c r="FE34" s="14" t="n">
        <v>0</v>
      </c>
      <c r="FF34" s="14" t="n">
        <v>0</v>
      </c>
      <c r="FG34" s="15">
        <f>SUM(DW34,DX34,DY34,DZ34,EA34,EB34,EC34,ED34,EE34,EF34,EG34,EH34,EI34,EJ34,EK34,EL34,EM34,EN34,EO34,EP34,EQ34,ER34,ES34,ET34,EU34,EV34,EW34,EX34,EY34,EZ34,FA34,FB34,FC34,FD34,FE34,FF34)</f>
        <v/>
      </c>
      <c r="FH34" s="14" t="n">
        <v>1</v>
      </c>
      <c r="FI34" s="14" t="n">
        <v>0</v>
      </c>
      <c r="FJ34" s="14" t="n">
        <v>0</v>
      </c>
      <c r="FK34" s="14" t="n">
        <v>48</v>
      </c>
      <c r="FL34" s="14" t="n">
        <v>0</v>
      </c>
      <c r="FM34" s="14" t="n">
        <v>0</v>
      </c>
      <c r="FN34" s="14" t="n">
        <v>0</v>
      </c>
      <c r="FO34" s="14" t="n">
        <v>0</v>
      </c>
      <c r="FP34" s="14" t="n">
        <v>0</v>
      </c>
      <c r="FQ34" s="15">
        <f>FL34+FM34+FN34+FO34+FP34</f>
        <v/>
      </c>
      <c r="FR34" s="14" t="n">
        <v>0</v>
      </c>
      <c r="FS34" s="14" t="n">
        <v>0</v>
      </c>
      <c r="FT34" s="14" t="n">
        <v>0</v>
      </c>
      <c r="FU34" s="14" t="n">
        <v>0</v>
      </c>
      <c r="FV34" s="15">
        <f>FR34+FS34+FT34+FU34</f>
        <v/>
      </c>
      <c r="FW34" s="14" t="n">
        <v>2207515.35</v>
      </c>
      <c r="FX34" s="14" t="n">
        <v>0</v>
      </c>
      <c r="FY34" s="14" t="n">
        <v>145000</v>
      </c>
      <c r="FZ34" s="14" t="n">
        <v>1020000</v>
      </c>
      <c r="GA34" s="15">
        <f>FW34+FX34+FY34+FZ34</f>
        <v/>
      </c>
      <c r="GB34" s="15">
        <f>FV34+GA34</f>
        <v/>
      </c>
      <c r="GC34" s="14" t="n">
        <v>32415.19</v>
      </c>
      <c r="GD34" s="14" t="n">
        <v>0</v>
      </c>
      <c r="GE34" s="14" t="n">
        <v>222777.11</v>
      </c>
      <c r="GF34" s="14" t="n">
        <v>0</v>
      </c>
      <c r="GG34" s="15">
        <f>GC34+GD34+GE34+GF34</f>
        <v/>
      </c>
      <c r="GH34" s="14" t="n">
        <v>2001713.64</v>
      </c>
      <c r="GI34" s="14" t="n">
        <v>0</v>
      </c>
      <c r="GJ34" s="14" t="n">
        <v>1020000</v>
      </c>
      <c r="GK34" s="14" t="n">
        <v>136000</v>
      </c>
      <c r="GL34" s="15">
        <f>GH34+GI34+GJ34+GK34</f>
        <v/>
      </c>
      <c r="GM34" s="15">
        <f>GG34+GL34</f>
        <v/>
      </c>
      <c r="GN34" s="14" t="n">
        <v>2404.58</v>
      </c>
      <c r="GO34" s="14" t="n">
        <v>0</v>
      </c>
      <c r="GP34" s="14" t="n">
        <v>3393.64</v>
      </c>
      <c r="GQ34" s="14" t="n">
        <v>0</v>
      </c>
      <c r="GR34" s="15">
        <f>GN34+GO34+GP34+GQ34</f>
        <v/>
      </c>
      <c r="GS34" s="14" t="n">
        <v>3572</v>
      </c>
      <c r="GT34" s="14" t="n">
        <v>0</v>
      </c>
      <c r="GU34" s="14" t="n">
        <v>893</v>
      </c>
      <c r="GV34" s="14" t="n">
        <v>0</v>
      </c>
      <c r="GW34" s="15">
        <f>GS34+GT34+GU34+GV34</f>
        <v/>
      </c>
      <c r="GX34" s="15">
        <f>GM34+GR34+GW34</f>
        <v/>
      </c>
      <c r="GY34" s="14" t="n">
        <v>12913992.06</v>
      </c>
      <c r="GZ34" s="14" t="n">
        <v>643457</v>
      </c>
      <c r="HA34" s="15">
        <f>GY34+GZ34</f>
        <v/>
      </c>
      <c r="HB34" s="15">
        <f>IF(GX34=0,"",AU34/GX34)</f>
        <v/>
      </c>
      <c r="HC34" s="16">
        <f>IF((GX34+GY34)=0,"",GB34/(GX34+GY34))</f>
        <v/>
      </c>
      <c r="HD34" s="15">
        <f>IF(GX34=0,"",GB34/GX34)</f>
        <v/>
      </c>
      <c r="HE34" s="14" t="n">
        <v>4</v>
      </c>
      <c r="HF34" s="14" t="n">
        <v>1</v>
      </c>
      <c r="HG34" s="14" t="n">
        <v>4</v>
      </c>
      <c r="HH34" s="14" t="n">
        <v>4</v>
      </c>
      <c r="HI34" s="14" t="n">
        <v>4</v>
      </c>
      <c r="HJ34" s="15">
        <f>HF34+HI34</f>
        <v/>
      </c>
      <c r="HK34" s="16">
        <f>IF(HE34=0,"",HH34/HE34)</f>
        <v/>
      </c>
      <c r="HL34" s="14" t="n">
        <v>20</v>
      </c>
      <c r="HM34" s="14" t="n">
        <v>5</v>
      </c>
      <c r="HN34" s="17">
        <f>IF(HL34=0,"",HM34/HL34)</f>
        <v/>
      </c>
    </row>
    <row r="35">
      <c r="A35" s="6" t="inlineStr">
        <is>
          <t>Liwonde</t>
        </is>
      </c>
      <c r="B35" s="6" t="inlineStr">
        <is>
          <t>Machinga</t>
        </is>
      </c>
      <c r="C35" s="7" t="inlineStr">
        <is>
          <t>FY2025/26</t>
        </is>
      </c>
      <c r="D35" s="7" t="n">
        <v>2025</v>
      </c>
      <c r="E35" s="7" t="n">
        <v>12</v>
      </c>
      <c r="F35" s="7" t="inlineStr">
        <is>
          <t>December</t>
        </is>
      </c>
      <c r="G35" s="7" t="inlineStr">
        <is>
          <t>Q3</t>
        </is>
      </c>
      <c r="H35" s="8" t="n">
        <v>2123</v>
      </c>
      <c r="I35" s="8" t="n">
        <v>67</v>
      </c>
      <c r="J35" s="8" t="n">
        <v>0</v>
      </c>
      <c r="K35" s="8" t="n">
        <v>5</v>
      </c>
      <c r="L35" s="8" t="n">
        <v>0</v>
      </c>
      <c r="M35" s="9">
        <f>SUM(I35,J35,K35,L35)</f>
        <v/>
      </c>
      <c r="N35" s="8" t="n">
        <v>1510.2</v>
      </c>
      <c r="O35" s="8" t="n">
        <v>0</v>
      </c>
      <c r="P35" s="8" t="n">
        <v>13.1</v>
      </c>
      <c r="Q35" s="8" t="n">
        <v>28</v>
      </c>
      <c r="R35" s="9">
        <f>SUM(N35,O35,P35,Q35)</f>
        <v/>
      </c>
      <c r="S35" s="9">
        <f>M35+R35</f>
        <v/>
      </c>
      <c r="T35" s="8" t="n">
        <v>499.7</v>
      </c>
      <c r="U35" s="10">
        <f>IF(H35=0,"",T35/H35)</f>
        <v/>
      </c>
      <c r="V35" s="8" t="n">
        <v>8</v>
      </c>
      <c r="W35" s="11">
        <f>IF(H35=0,"",V35/H35)</f>
        <v/>
      </c>
      <c r="X35" s="8" t="n">
        <v>0</v>
      </c>
      <c r="Y35" s="11">
        <f>IF(H35=0,"",X35/H35)</f>
        <v/>
      </c>
      <c r="Z35" s="8" t="n">
        <v>0</v>
      </c>
      <c r="AA35" s="11">
        <f>IF(H35=0,"",Z35/H35)</f>
        <v/>
      </c>
      <c r="AB35" s="8" t="n">
        <v>0</v>
      </c>
      <c r="AC35" s="11">
        <f>IF(H35=0,"",AB35/H35)</f>
        <v/>
      </c>
      <c r="AD35" s="8" t="n">
        <v>0</v>
      </c>
      <c r="AE35" s="11">
        <f>IF(H35=0,"",AD35/H35)</f>
        <v/>
      </c>
      <c r="AF35" s="8" t="n">
        <v>0</v>
      </c>
      <c r="AG35" s="11">
        <f>IF(H35=0,"",AF35/H35)</f>
        <v/>
      </c>
      <c r="AH35" s="8" t="n">
        <v>28202.32</v>
      </c>
      <c r="AI35" s="9">
        <f>IF(H35=0,"",AH35/H35)</f>
        <v/>
      </c>
      <c r="AJ35" s="8" t="n">
        <v>5100</v>
      </c>
      <c r="AK35" s="11">
        <f>IF(H35=0,"",AJ35/H35)</f>
        <v/>
      </c>
      <c r="AL35" s="8" t="n">
        <v>871944.25</v>
      </c>
      <c r="AM35" s="9">
        <f>IF(H35=0,"",AL35/H35)</f>
        <v/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712768.63</v>
      </c>
      <c r="AS35" s="8" t="n">
        <v>1008001.28</v>
      </c>
      <c r="AT35" s="8" t="n">
        <v>0</v>
      </c>
      <c r="AU35" s="9">
        <f>AH35+AL35+AP35+AQ35+AR35+AS35+AT35</f>
        <v/>
      </c>
      <c r="AV35" s="9">
        <f>IF(H35=0,"",AU35/H35)</f>
        <v/>
      </c>
      <c r="AW35" s="9">
        <f>IF(S35=0,"",AU35/S35)</f>
        <v/>
      </c>
      <c r="AX35" s="8" t="n">
        <v>3</v>
      </c>
      <c r="AY35" s="9">
        <f>IF(H35=0,"",AX35/(H35/1000/12))</f>
        <v/>
      </c>
      <c r="AZ35" s="8" t="n">
        <v>8</v>
      </c>
      <c r="BA35" s="8" t="n">
        <v>4</v>
      </c>
      <c r="BB35" s="8" t="n">
        <v>3</v>
      </c>
      <c r="BC35" s="8" t="n">
        <v>0</v>
      </c>
      <c r="BD35" s="8" t="n">
        <v>2</v>
      </c>
      <c r="BE35" s="9">
        <f>BC35+BD35</f>
        <v/>
      </c>
      <c r="BF35" s="9">
        <f>BA35+BB35-BE35</f>
        <v/>
      </c>
      <c r="BG35" s="8" t="n">
        <v>0</v>
      </c>
      <c r="BH35" s="8" t="n">
        <v>0</v>
      </c>
      <c r="BI35" s="8" t="n">
        <v>0</v>
      </c>
      <c r="BJ35" s="8" t="n">
        <v>0</v>
      </c>
      <c r="BK35" s="9">
        <f>BI35+BJ35</f>
        <v/>
      </c>
      <c r="BL35" s="9">
        <f>BG35+BH35-BK35</f>
        <v/>
      </c>
      <c r="BM35" s="8" t="n">
        <v>0</v>
      </c>
      <c r="BN35" s="8" t="n">
        <v>0</v>
      </c>
      <c r="BO35" s="8" t="n">
        <v>0</v>
      </c>
      <c r="BP35" s="8" t="n">
        <v>0</v>
      </c>
      <c r="BQ35" s="9">
        <f>BO35+BP35</f>
        <v/>
      </c>
      <c r="BR35" s="9">
        <f>BM35+BN35-BQ35</f>
        <v/>
      </c>
      <c r="BS35" s="8" t="n">
        <v>0</v>
      </c>
      <c r="BT35" s="8" t="n">
        <v>0</v>
      </c>
      <c r="BU35" s="8" t="n">
        <v>0</v>
      </c>
      <c r="BV35" s="8" t="n">
        <v>0</v>
      </c>
      <c r="BW35" s="9">
        <f>BU35+BV35</f>
        <v/>
      </c>
      <c r="BX35" s="9">
        <f>BS35+BT35-BW35</f>
        <v/>
      </c>
      <c r="BY35" s="9">
        <f>BA35+BG35+BM35+BS35</f>
        <v/>
      </c>
      <c r="BZ35" s="9">
        <f>BB35+BH35+BN35+BT35</f>
        <v/>
      </c>
      <c r="CA35" s="9">
        <f>BE35+BK35+BQ35+BW35</f>
        <v/>
      </c>
      <c r="CB35" s="9">
        <f>BF35+BL35+BR35+BX35</f>
        <v/>
      </c>
      <c r="CC35" s="8" t="n">
        <v>2</v>
      </c>
      <c r="CD35" s="8" t="n">
        <v>211</v>
      </c>
      <c r="CE35" s="8" t="n">
        <v>5</v>
      </c>
      <c r="CF35" s="8" t="n">
        <v>3</v>
      </c>
      <c r="CG35" s="8" t="n">
        <v>0</v>
      </c>
      <c r="CH35" s="9">
        <f>CD35+CE35+CF35+CG35</f>
        <v/>
      </c>
      <c r="CI35" s="8" t="n">
        <v>5</v>
      </c>
      <c r="CJ35" s="8" t="n">
        <v>1</v>
      </c>
      <c r="CK35" s="8" t="n">
        <v>0</v>
      </c>
      <c r="CL35" s="8" t="n">
        <v>0</v>
      </c>
      <c r="CM35" s="9">
        <f>CI35+CJ35+CK35+CL35</f>
        <v/>
      </c>
      <c r="CN35" s="8" t="n">
        <v>347</v>
      </c>
      <c r="CO35" s="8" t="n">
        <v>14</v>
      </c>
      <c r="CP35" s="8" t="n">
        <v>27</v>
      </c>
      <c r="CQ35" s="8" t="n">
        <v>0</v>
      </c>
      <c r="CR35" s="9">
        <f>CN35+CO35+CP35+CQ35</f>
        <v/>
      </c>
      <c r="CS35" s="9">
        <f>CM35+CR35</f>
        <v/>
      </c>
      <c r="CT35" s="8" t="n">
        <v>613</v>
      </c>
      <c r="CU35" s="8" t="n">
        <v>1499.85</v>
      </c>
      <c r="CV35" s="8" t="n">
        <v>1301.89</v>
      </c>
      <c r="CW35" s="10">
        <f>IF(CU35=0,"",CV35/CU35)</f>
        <v/>
      </c>
      <c r="CX35" s="8" t="n"/>
      <c r="CY35" s="8" t="n"/>
      <c r="CZ35" s="8" t="n"/>
      <c r="DA35" s="8" t="n"/>
      <c r="DB35" s="9">
        <f>CX35+CY35-CZ35-DA35</f>
        <v/>
      </c>
      <c r="DC35" s="8" t="n">
        <v>0</v>
      </c>
      <c r="DD35" s="8" t="n">
        <v>0</v>
      </c>
      <c r="DE35" s="8" t="n">
        <v>0</v>
      </c>
      <c r="DF35" s="8" t="n">
        <v>0</v>
      </c>
      <c r="DG35" s="9">
        <f>DC35+DD35-DE35-DF35</f>
        <v/>
      </c>
      <c r="DH35" s="8" t="n">
        <v>0</v>
      </c>
      <c r="DI35" s="8" t="n">
        <v>0</v>
      </c>
      <c r="DJ35" s="8" t="n">
        <v>0</v>
      </c>
      <c r="DK35" s="8" t="n">
        <v>0</v>
      </c>
      <c r="DL35" s="9">
        <f>DH35+DI35-DJ35-DK35</f>
        <v/>
      </c>
      <c r="DM35" s="8" t="n">
        <v>0</v>
      </c>
      <c r="DN35" s="8" t="n">
        <v>0</v>
      </c>
      <c r="DO35" s="8" t="n">
        <v>0</v>
      </c>
      <c r="DP35" s="8" t="n">
        <v>0</v>
      </c>
      <c r="DQ35" s="9">
        <f>DM35+DN35-DO35-DP35</f>
        <v/>
      </c>
      <c r="DR35" s="9">
        <f>CX35+DC35+DH35+DM35</f>
        <v/>
      </c>
      <c r="DS35" s="9">
        <f>CY35+DD35+DI35+DN35</f>
        <v/>
      </c>
      <c r="DT35" s="9">
        <f>CZ35+DE35+DJ35+DO35</f>
        <v/>
      </c>
      <c r="DU35" s="9">
        <f>DA35+DF35+DK35+DP35</f>
        <v/>
      </c>
      <c r="DV35" s="9">
        <f>DB35+DG35+DL35+DQ35</f>
        <v/>
      </c>
      <c r="DW35" s="8" t="n">
        <v>16</v>
      </c>
      <c r="DX35" s="8" t="n">
        <v>12</v>
      </c>
      <c r="DY35" s="8" t="n">
        <v>7</v>
      </c>
      <c r="DZ35" s="8" t="n">
        <v>5</v>
      </c>
      <c r="EA35" s="8" t="n">
        <v>4</v>
      </c>
      <c r="EB35" s="8" t="n">
        <v>3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  <c r="EY35" s="8" t="n">
        <v>0</v>
      </c>
      <c r="EZ35" s="8" t="n">
        <v>0</v>
      </c>
      <c r="FA35" s="8" t="n">
        <v>0</v>
      </c>
      <c r="FB35" s="8" t="n">
        <v>0</v>
      </c>
      <c r="FC35" s="8" t="n">
        <v>0</v>
      </c>
      <c r="FD35" s="8" t="n">
        <v>0</v>
      </c>
      <c r="FE35" s="8" t="n">
        <v>0</v>
      </c>
      <c r="FF35" s="8" t="n">
        <v>0</v>
      </c>
      <c r="FG35" s="9">
        <f>SUM(DW35,DX35,DY35,DZ35,EA35,EB35,EC35,ED35,EE35,EF35,EG35,EH35,EI35,EJ35,EK35,EL35,EM35,EN35,EO35,EP35,EQ35,ER35,ES35,ET35,EU35,EV35,EW35,EX35,EY35,EZ35,FA35,FB35,FC35,FD35,FE35,FF35)</f>
        <v/>
      </c>
      <c r="FH35" s="8" t="n">
        <v>1</v>
      </c>
      <c r="FI35" s="8" t="n">
        <v>0</v>
      </c>
      <c r="FJ35" s="8" t="n">
        <v>0</v>
      </c>
      <c r="FK35" s="8" t="n">
        <v>24</v>
      </c>
      <c r="FL35" s="8" t="n">
        <v>0</v>
      </c>
      <c r="FM35" s="8" t="n">
        <v>0</v>
      </c>
      <c r="FN35" s="8" t="n">
        <v>0</v>
      </c>
      <c r="FO35" s="8" t="n">
        <v>0</v>
      </c>
      <c r="FP35" s="8" t="n">
        <v>0</v>
      </c>
      <c r="FQ35" s="9">
        <f>FL35+FM35+FN35+FO35+FP35</f>
        <v/>
      </c>
      <c r="FR35" s="8" t="n">
        <v>56000</v>
      </c>
      <c r="FS35" s="8" t="n">
        <v>0</v>
      </c>
      <c r="FT35" s="8" t="n">
        <v>0</v>
      </c>
      <c r="FU35" s="8" t="n">
        <v>0</v>
      </c>
      <c r="FV35" s="9">
        <f>FR35+FS35+FT35+FU35</f>
        <v/>
      </c>
      <c r="FW35" s="8" t="n">
        <v>2196867.64</v>
      </c>
      <c r="FX35" s="8" t="n">
        <v>0</v>
      </c>
      <c r="FY35" s="8" t="n">
        <v>143000</v>
      </c>
      <c r="FZ35" s="8" t="n">
        <v>42500</v>
      </c>
      <c r="GA35" s="9">
        <f>FW35+FX35+FY35+FZ35</f>
        <v/>
      </c>
      <c r="GB35" s="9">
        <f>FV35+GA35</f>
        <v/>
      </c>
      <c r="GC35" s="8" t="n">
        <v>59531.74</v>
      </c>
      <c r="GD35" s="8" t="n">
        <v>0</v>
      </c>
      <c r="GE35" s="8" t="n">
        <v>11073.15</v>
      </c>
      <c r="GF35" s="8" t="n">
        <v>0</v>
      </c>
      <c r="GG35" s="9">
        <f>GC35+GD35+GE35+GF35</f>
        <v/>
      </c>
      <c r="GH35" s="8" t="n">
        <v>1901276.49</v>
      </c>
      <c r="GI35" s="8" t="n">
        <v>0</v>
      </c>
      <c r="GJ35" s="8" t="n">
        <v>39500</v>
      </c>
      <c r="GK35" s="8" t="n">
        <v>133303.54</v>
      </c>
      <c r="GL35" s="9">
        <f>GH35+GI35+GJ35+GK35</f>
        <v/>
      </c>
      <c r="GM35" s="9">
        <f>GG35+GL35</f>
        <v/>
      </c>
      <c r="GN35" s="8" t="n">
        <v>3010.52</v>
      </c>
      <c r="GO35" s="8" t="n">
        <v>0</v>
      </c>
      <c r="GP35" s="8" t="n">
        <v>3393.64</v>
      </c>
      <c r="GQ35" s="8" t="n">
        <v>0</v>
      </c>
      <c r="GR35" s="9">
        <f>GN35+GO35+GP35+GQ35</f>
        <v/>
      </c>
      <c r="GS35" s="8" t="n">
        <v>4465</v>
      </c>
      <c r="GT35" s="8" t="n">
        <v>0</v>
      </c>
      <c r="GU35" s="8" t="n">
        <v>893</v>
      </c>
      <c r="GV35" s="8" t="n">
        <v>0</v>
      </c>
      <c r="GW35" s="9">
        <f>GS35+GT35+GU35+GV35</f>
        <v/>
      </c>
      <c r="GX35" s="9">
        <f>GM35+GR35+GW35</f>
        <v/>
      </c>
      <c r="GY35" s="8" t="n">
        <v>12915822.63</v>
      </c>
      <c r="GZ35" s="8" t="n">
        <v>667994.29</v>
      </c>
      <c r="HA35" s="9">
        <f>GY35+GZ35</f>
        <v/>
      </c>
      <c r="HB35" s="9">
        <f>IF(GX35=0,"",AU35/GX35)</f>
        <v/>
      </c>
      <c r="HC35" s="10">
        <f>IF((GX35+GY35)=0,"",GB35/(GX35+GY35))</f>
        <v/>
      </c>
      <c r="HD35" s="9">
        <f>IF(GX35=0,"",GB35/GX35)</f>
        <v/>
      </c>
      <c r="HE35" s="8" t="n">
        <v>4</v>
      </c>
      <c r="HF35" s="8" t="n">
        <v>1</v>
      </c>
      <c r="HG35" s="8" t="n">
        <v>5</v>
      </c>
      <c r="HH35" s="8" t="n">
        <v>3</v>
      </c>
      <c r="HI35" s="8" t="n">
        <v>1</v>
      </c>
      <c r="HJ35" s="9">
        <f>HF35+HI35</f>
        <v/>
      </c>
      <c r="HK35" s="10">
        <f>IF(HE35=0,"",HH35/HE35)</f>
        <v/>
      </c>
      <c r="HL35" s="8" t="n">
        <v>24</v>
      </c>
      <c r="HM35" s="8" t="n">
        <v>6</v>
      </c>
      <c r="HN35" s="11">
        <f>IF(HL35=0,"",HM35/HL35)</f>
        <v/>
      </c>
    </row>
    <row r="36">
      <c r="A36" s="12" t="inlineStr">
        <is>
          <t>Liwonde</t>
        </is>
      </c>
      <c r="B36" s="12" t="inlineStr">
        <is>
          <t>Machinga</t>
        </is>
      </c>
      <c r="C36" s="13" t="inlineStr">
        <is>
          <t>FY2025/26</t>
        </is>
      </c>
      <c r="D36" s="13" t="n">
        <v>2026</v>
      </c>
      <c r="E36" s="13" t="n">
        <v>1</v>
      </c>
      <c r="F36" s="13" t="inlineStr">
        <is>
          <t>January</t>
        </is>
      </c>
      <c r="G36" s="13" t="inlineStr">
        <is>
          <t>Q4</t>
        </is>
      </c>
      <c r="H36" s="14" t="n">
        <v>2234</v>
      </c>
      <c r="I36" s="14" t="n">
        <v>44</v>
      </c>
      <c r="J36" s="14" t="n">
        <v>0</v>
      </c>
      <c r="K36" s="14" t="n">
        <v>6</v>
      </c>
      <c r="L36" s="14" t="n">
        <v>0</v>
      </c>
      <c r="M36" s="9">
        <f>SUM(I36,J36,K36,L36)</f>
        <v/>
      </c>
      <c r="N36" s="14" t="n">
        <v>1659.3</v>
      </c>
      <c r="O36" s="14" t="n">
        <v>0</v>
      </c>
      <c r="P36" s="14" t="n">
        <v>12.2</v>
      </c>
      <c r="Q36" s="14" t="n">
        <v>64</v>
      </c>
      <c r="R36" s="9">
        <f>SUM(N36,O36,P36,Q36)</f>
        <v/>
      </c>
      <c r="S36" s="9">
        <f>M36+R36</f>
        <v/>
      </c>
      <c r="T36" s="14" t="n">
        <v>448.5</v>
      </c>
      <c r="U36" s="16" t="n">
        <v>0.2007609668755595</v>
      </c>
      <c r="V36" s="14" t="n">
        <v>10</v>
      </c>
      <c r="W36" s="17" t="n">
        <v>4.476275738585497</v>
      </c>
      <c r="X36" s="14" t="n">
        <v>0</v>
      </c>
      <c r="Y36" s="17" t="n">
        <v>0</v>
      </c>
      <c r="Z36" s="14" t="n">
        <v>0</v>
      </c>
      <c r="AA36" s="17" t="n">
        <v>0</v>
      </c>
      <c r="AB36" s="14" t="n">
        <v>0</v>
      </c>
      <c r="AC36" s="17" t="n">
        <v>0</v>
      </c>
      <c r="AD36" s="14" t="n">
        <v>0</v>
      </c>
      <c r="AE36" s="17" t="n">
        <v>0</v>
      </c>
      <c r="AF36" s="14" t="n">
        <v>0</v>
      </c>
      <c r="AG36" s="17" t="n">
        <v>0</v>
      </c>
      <c r="AH36" s="14" t="n">
        <v>35252.9</v>
      </c>
      <c r="AI36" s="15" t="n">
        <v>15.78017009847807</v>
      </c>
      <c r="AJ36" s="14" t="n">
        <v>5200</v>
      </c>
      <c r="AK36" s="17" t="n">
        <v>2.327663384064458</v>
      </c>
      <c r="AL36" s="14" t="n">
        <v>888662</v>
      </c>
      <c r="AM36" s="15" t="n">
        <v>397.7896150402865</v>
      </c>
      <c r="AN36" s="14" t="n">
        <v>0</v>
      </c>
      <c r="AO36" s="14" t="n">
        <v>0</v>
      </c>
      <c r="AP36" s="14" t="n">
        <v>0</v>
      </c>
      <c r="AQ36" s="14" t="n">
        <v>0</v>
      </c>
      <c r="AR36" s="14" t="n">
        <v>0</v>
      </c>
      <c r="AS36" s="14" t="n">
        <v>1008001.28</v>
      </c>
      <c r="AT36" s="14" t="n">
        <v>466000</v>
      </c>
      <c r="AU36" s="15" t="n">
        <v>2397916.18</v>
      </c>
      <c r="AV36" s="15" t="n">
        <v>1073.373401969561</v>
      </c>
      <c r="AW36" s="15" t="n">
        <v>1342.994220106413</v>
      </c>
      <c r="AX36" s="14" t="n">
        <v>3</v>
      </c>
      <c r="AY36" s="15" t="n">
        <v>41.62936436884512</v>
      </c>
      <c r="AZ36" s="14" t="n">
        <v>8</v>
      </c>
      <c r="BA36" s="14" t="n">
        <v>5</v>
      </c>
      <c r="BB36" s="14" t="n">
        <v>3</v>
      </c>
      <c r="BC36" s="14" t="n">
        <v>3</v>
      </c>
      <c r="BD36" s="14" t="n">
        <v>0</v>
      </c>
      <c r="BE36" s="15" t="n">
        <v>3</v>
      </c>
      <c r="BF36" s="15" t="n">
        <v>5</v>
      </c>
      <c r="BG36" s="14" t="n">
        <v>0</v>
      </c>
      <c r="BH36" s="14" t="n">
        <v>0</v>
      </c>
      <c r="BI36" s="14" t="n">
        <v>0</v>
      </c>
      <c r="BJ36" s="14" t="n">
        <v>0</v>
      </c>
      <c r="BK36" s="15" t="n">
        <v>0</v>
      </c>
      <c r="BL36" s="15" t="n">
        <v>0</v>
      </c>
      <c r="BM36" s="14" t="n">
        <v>0</v>
      </c>
      <c r="BN36" s="14" t="n">
        <v>0</v>
      </c>
      <c r="BO36" s="14" t="n">
        <v>0</v>
      </c>
      <c r="BP36" s="14" t="n">
        <v>0</v>
      </c>
      <c r="BQ36" s="15" t="n">
        <v>0</v>
      </c>
      <c r="BR36" s="15" t="n">
        <v>0</v>
      </c>
      <c r="BS36" s="14" t="n">
        <v>0</v>
      </c>
      <c r="BT36" s="14" t="n">
        <v>0</v>
      </c>
      <c r="BU36" s="14" t="n">
        <v>0</v>
      </c>
      <c r="BV36" s="14" t="n">
        <v>0</v>
      </c>
      <c r="BW36" s="15" t="n">
        <v>0</v>
      </c>
      <c r="BX36" s="15" t="n">
        <v>0</v>
      </c>
      <c r="BY36" s="15" t="n">
        <v>5</v>
      </c>
      <c r="BZ36" s="15" t="n">
        <v>3</v>
      </c>
      <c r="CA36" s="15" t="n">
        <v>3</v>
      </c>
      <c r="CB36" s="15" t="n">
        <v>5</v>
      </c>
      <c r="CC36" s="14" t="n">
        <v>0</v>
      </c>
      <c r="CD36" s="14" t="n">
        <v>211</v>
      </c>
      <c r="CE36" s="14" t="n">
        <v>5</v>
      </c>
      <c r="CF36" s="14" t="n">
        <v>3</v>
      </c>
      <c r="CG36" s="14" t="n">
        <v>0</v>
      </c>
      <c r="CH36" s="15" t="n">
        <v>219</v>
      </c>
      <c r="CI36" s="14" t="n">
        <v>9</v>
      </c>
      <c r="CJ36" s="14" t="n">
        <v>0</v>
      </c>
      <c r="CK36" s="14" t="n">
        <v>0</v>
      </c>
      <c r="CL36" s="14" t="n">
        <v>0</v>
      </c>
      <c r="CM36" s="15" t="n">
        <v>9</v>
      </c>
      <c r="CN36" s="14" t="n">
        <v>347</v>
      </c>
      <c r="CO36" s="14" t="n">
        <v>14</v>
      </c>
      <c r="CP36" s="14" t="n">
        <v>27</v>
      </c>
      <c r="CQ36" s="14" t="n">
        <v>0</v>
      </c>
      <c r="CR36" s="15" t="n">
        <v>388</v>
      </c>
      <c r="CS36" s="15" t="n">
        <v>397</v>
      </c>
      <c r="CT36" s="14" t="n">
        <v>616</v>
      </c>
      <c r="CU36" s="14" t="n">
        <v>1507</v>
      </c>
      <c r="CV36" s="14" t="n">
        <v>1308</v>
      </c>
      <c r="CW36" s="16" t="n">
        <v>0.8679495686794957</v>
      </c>
      <c r="CX36" s="14" t="n">
        <v>0</v>
      </c>
      <c r="CY36" s="14" t="n">
        <v>0</v>
      </c>
      <c r="CZ36" s="14" t="n">
        <v>0</v>
      </c>
      <c r="DA36" s="14" t="n">
        <v>0</v>
      </c>
      <c r="DB36" s="15" t="n">
        <v>0</v>
      </c>
      <c r="DC36" s="14" t="n">
        <v>0</v>
      </c>
      <c r="DD36" s="14" t="n">
        <v>0</v>
      </c>
      <c r="DE36" s="14" t="n">
        <v>0</v>
      </c>
      <c r="DF36" s="14" t="n">
        <v>0</v>
      </c>
      <c r="DG36" s="15" t="n">
        <v>0</v>
      </c>
      <c r="DH36" s="14" t="n">
        <v>0</v>
      </c>
      <c r="DI36" s="14" t="n">
        <v>0</v>
      </c>
      <c r="DJ36" s="14" t="n">
        <v>0</v>
      </c>
      <c r="DK36" s="14" t="n">
        <v>0</v>
      </c>
      <c r="DL36" s="15" t="n">
        <v>0</v>
      </c>
      <c r="DM36" s="14" t="n">
        <v>0</v>
      </c>
      <c r="DN36" s="14" t="n">
        <v>0</v>
      </c>
      <c r="DO36" s="14" t="n">
        <v>0</v>
      </c>
      <c r="DP36" s="14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4" t="n">
        <v>15</v>
      </c>
      <c r="DX36" s="14" t="n">
        <v>9</v>
      </c>
      <c r="DY36" s="14" t="n">
        <v>6</v>
      </c>
      <c r="DZ36" s="14" t="n">
        <v>3</v>
      </c>
      <c r="EA36" s="14" t="n">
        <v>5</v>
      </c>
      <c r="EB36" s="14" t="n">
        <v>3</v>
      </c>
      <c r="EC36" s="14" t="n">
        <v>0</v>
      </c>
      <c r="ED36" s="14" t="n">
        <v>0</v>
      </c>
      <c r="EE36" s="14" t="n">
        <v>2</v>
      </c>
      <c r="EF36" s="14" t="n">
        <v>0</v>
      </c>
      <c r="EG36" s="14" t="n">
        <v>0</v>
      </c>
      <c r="EH36" s="14" t="n">
        <v>0</v>
      </c>
      <c r="EI36" s="14" t="n">
        <v>0</v>
      </c>
      <c r="EJ36" s="14" t="n">
        <v>1</v>
      </c>
      <c r="EK36" s="14" t="n">
        <v>2</v>
      </c>
      <c r="EL36" s="14" t="n">
        <v>0</v>
      </c>
      <c r="EM36" s="14" t="n">
        <v>0</v>
      </c>
      <c r="EN36" s="14" t="n">
        <v>2</v>
      </c>
      <c r="EO36" s="14" t="n">
        <v>0</v>
      </c>
      <c r="EP36" s="14" t="n">
        <v>0</v>
      </c>
      <c r="EQ36" s="14" t="n">
        <v>0</v>
      </c>
      <c r="ER36" s="14" t="n">
        <v>0</v>
      </c>
      <c r="ES36" s="14" t="n">
        <v>0</v>
      </c>
      <c r="ET36" s="14" t="n">
        <v>0</v>
      </c>
      <c r="EU36" s="14" t="n">
        <v>0</v>
      </c>
      <c r="EV36" s="14" t="n">
        <v>0</v>
      </c>
      <c r="EW36" s="14" t="n">
        <v>0</v>
      </c>
      <c r="EX36" s="14" t="n">
        <v>0</v>
      </c>
      <c r="EY36" s="14" t="n">
        <v>0</v>
      </c>
      <c r="EZ36" s="14" t="n">
        <v>0</v>
      </c>
      <c r="FA36" s="14" t="n">
        <v>0</v>
      </c>
      <c r="FB36" s="14" t="n">
        <v>0</v>
      </c>
      <c r="FC36" s="14" t="n">
        <v>0</v>
      </c>
      <c r="FD36" s="14" t="n">
        <v>0</v>
      </c>
      <c r="FE36" s="14" t="n">
        <v>0</v>
      </c>
      <c r="FF36" s="14" t="n">
        <v>0</v>
      </c>
      <c r="FG36" s="15" t="n">
        <v>48</v>
      </c>
      <c r="FH36" s="14" t="n">
        <v>1</v>
      </c>
      <c r="FI36" s="14" t="n">
        <v>0</v>
      </c>
      <c r="FJ36" s="14" t="n">
        <v>0</v>
      </c>
      <c r="FK36" s="14" t="n">
        <v>96</v>
      </c>
      <c r="FL36" s="14" t="n">
        <v>0</v>
      </c>
      <c r="FM36" s="14" t="n">
        <v>0</v>
      </c>
      <c r="FN36" s="14" t="n">
        <v>0</v>
      </c>
      <c r="FO36" s="14" t="n">
        <v>0</v>
      </c>
      <c r="FP36" s="14" t="n">
        <v>0</v>
      </c>
      <c r="FQ36" s="15" t="n">
        <v>0</v>
      </c>
      <c r="FR36" s="14" t="n">
        <v>0</v>
      </c>
      <c r="FS36" s="14" t="n">
        <v>0</v>
      </c>
      <c r="FT36" s="14" t="n">
        <v>0</v>
      </c>
      <c r="FU36" s="14" t="n">
        <v>0</v>
      </c>
      <c r="FV36" s="15" t="n">
        <v>0</v>
      </c>
      <c r="FW36" s="14" t="n">
        <v>2237101</v>
      </c>
      <c r="FX36" s="14" t="n">
        <v>0</v>
      </c>
      <c r="FY36" s="14" t="n">
        <v>304000</v>
      </c>
      <c r="FZ36" s="14" t="n">
        <v>42200</v>
      </c>
      <c r="GA36" s="15" t="n">
        <v>2583301</v>
      </c>
      <c r="GB36" s="15" t="n">
        <v>2583301</v>
      </c>
      <c r="GC36" s="14" t="n">
        <v>40153.95</v>
      </c>
      <c r="GD36" s="14" t="n">
        <v>0</v>
      </c>
      <c r="GE36" s="14" t="n">
        <v>13735.31</v>
      </c>
      <c r="GF36" s="14" t="n">
        <v>0</v>
      </c>
      <c r="GG36" s="15" t="n">
        <v>53889.25999999999</v>
      </c>
      <c r="GH36" s="14" t="n">
        <v>2071227.7</v>
      </c>
      <c r="GI36" s="14" t="n">
        <v>0</v>
      </c>
      <c r="GJ36" s="14" t="n">
        <v>37400</v>
      </c>
      <c r="GK36" s="14" t="n">
        <v>304000</v>
      </c>
      <c r="GL36" s="15" t="n">
        <v>2412627.7</v>
      </c>
      <c r="GM36" s="15" t="n">
        <v>2466516.96</v>
      </c>
      <c r="GN36" s="14" t="n">
        <v>3010.52</v>
      </c>
      <c r="GO36" s="14" t="n">
        <v>0</v>
      </c>
      <c r="GP36" s="14" t="n">
        <v>3393.64</v>
      </c>
      <c r="GQ36" s="14" t="n">
        <v>0</v>
      </c>
      <c r="GR36" s="15" t="n">
        <v>6404.16</v>
      </c>
      <c r="GS36" s="14" t="n">
        <v>4465</v>
      </c>
      <c r="GT36" s="14" t="n">
        <v>0</v>
      </c>
      <c r="GU36" s="14" t="n">
        <v>893</v>
      </c>
      <c r="GV36" s="14" t="n">
        <v>0</v>
      </c>
      <c r="GW36" s="15" t="n">
        <v>5358</v>
      </c>
      <c r="GX36" s="15" t="n">
        <v>2478279.12</v>
      </c>
      <c r="GY36" s="14" t="n">
        <v>11589497.29</v>
      </c>
      <c r="GZ36" s="14" t="n">
        <v>185952.69</v>
      </c>
      <c r="HA36" s="15" t="n">
        <v>11775449.98</v>
      </c>
      <c r="HB36" s="15" t="n">
        <v>2478279.12</v>
      </c>
      <c r="HC36" s="16" t="n">
        <v>11589497.29</v>
      </c>
      <c r="HD36" s="15" t="n">
        <v>185952.69</v>
      </c>
      <c r="HE36" s="14" t="n">
        <v>4</v>
      </c>
      <c r="HF36" s="14" t="n">
        <v>1</v>
      </c>
      <c r="HG36" s="14" t="n">
        <v>5</v>
      </c>
      <c r="HH36" s="14" t="n">
        <v>3</v>
      </c>
      <c r="HI36" s="14" t="n">
        <v>1</v>
      </c>
      <c r="HJ36" s="15" t="n">
        <v>0</v>
      </c>
      <c r="HK36" s="16" t="n">
        <v>60</v>
      </c>
      <c r="HL36" s="14" t="n">
        <v>8</v>
      </c>
      <c r="HM36" s="14" t="n">
        <v>2</v>
      </c>
      <c r="HN36" s="17" t="n">
        <v>4</v>
      </c>
    </row>
    <row r="37">
      <c r="A37" s="6" t="inlineStr">
        <is>
          <t>Liwonde</t>
        </is>
      </c>
      <c r="B37" s="6" t="inlineStr">
        <is>
          <t>Machinga</t>
        </is>
      </c>
      <c r="C37" s="7" t="inlineStr">
        <is>
          <t>FY2025/26</t>
        </is>
      </c>
      <c r="D37" s="7" t="n">
        <v>2026</v>
      </c>
      <c r="E37" s="7" t="n">
        <v>2</v>
      </c>
      <c r="F37" s="7" t="inlineStr">
        <is>
          <t>February</t>
        </is>
      </c>
      <c r="G37" s="7" t="inlineStr">
        <is>
          <t>Q4</t>
        </is>
      </c>
      <c r="H37" s="8" t="n">
        <v>2145</v>
      </c>
      <c r="I37" s="8" t="n">
        <v>83</v>
      </c>
      <c r="J37" s="8" t="n">
        <v>0</v>
      </c>
      <c r="K37" s="8" t="n">
        <v>10</v>
      </c>
      <c r="L37" s="8" t="n">
        <v>0</v>
      </c>
      <c r="M37" s="9">
        <f>SUM(I37,J37,K37,L37)</f>
        <v/>
      </c>
      <c r="N37" s="8" t="n">
        <v>1365.6</v>
      </c>
      <c r="O37" s="8" t="n">
        <v>0</v>
      </c>
      <c r="P37" s="8" t="n">
        <v>85</v>
      </c>
      <c r="Q37" s="8" t="n">
        <v>35</v>
      </c>
      <c r="R37" s="9">
        <f>SUM(N37,O37,P37,Q37)</f>
        <v/>
      </c>
      <c r="S37" s="9">
        <f>M37+R37</f>
        <v/>
      </c>
      <c r="T37" s="8" t="n">
        <v>566.4000000000001</v>
      </c>
      <c r="U37" s="10">
        <f>IF(H37=0,"",T37/H37)</f>
        <v/>
      </c>
      <c r="V37" s="8" t="n">
        <v>9</v>
      </c>
      <c r="W37" s="11">
        <f>IF(H37=0,"",V37/H37)</f>
        <v/>
      </c>
      <c r="X37" s="8" t="n">
        <v>0</v>
      </c>
      <c r="Y37" s="11">
        <f>IF(H37=0,"",X37/H37)</f>
        <v/>
      </c>
      <c r="Z37" s="8" t="n">
        <v>0</v>
      </c>
      <c r="AA37" s="11">
        <f>IF(H37=0,"",Z37/H37)</f>
        <v/>
      </c>
      <c r="AB37" s="8" t="n">
        <v>0</v>
      </c>
      <c r="AC37" s="11">
        <f>IF(H37=0,"",AB37/H37)</f>
        <v/>
      </c>
      <c r="AD37" s="8" t="n">
        <v>0</v>
      </c>
      <c r="AE37" s="11">
        <f>IF(H37=0,"",AD37/H37)</f>
        <v/>
      </c>
      <c r="AF37" s="8" t="n">
        <v>0</v>
      </c>
      <c r="AG37" s="11">
        <f>IF(H37=0,"",AF37/H37)</f>
        <v/>
      </c>
      <c r="AH37" s="8" t="n">
        <v>31727.61</v>
      </c>
      <c r="AI37" s="9">
        <f>IF(H37=0,"",AH37/H37)</f>
        <v/>
      </c>
      <c r="AJ37" s="8" t="n">
        <v>860</v>
      </c>
      <c r="AK37" s="11">
        <f>IF(H37=0,"",AJ37/H37)</f>
        <v/>
      </c>
      <c r="AL37" s="8" t="n">
        <v>163111.65</v>
      </c>
      <c r="AM37" s="9">
        <f>IF(H37=0,"",AL37/H37)</f>
        <v/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712768.63</v>
      </c>
      <c r="AS37" s="8" t="n">
        <v>0</v>
      </c>
      <c r="AT37" s="8" t="n">
        <v>79000</v>
      </c>
      <c r="AU37" s="9">
        <f>AH37+AL37+AP37+AQ37+AR37+AS37+AT37</f>
        <v/>
      </c>
      <c r="AV37" s="9">
        <f>IF(H37=0,"",AU37/H37)</f>
        <v/>
      </c>
      <c r="AW37" s="9">
        <f>IF(S37=0,"",AU37/S37)</f>
        <v/>
      </c>
      <c r="AX37" s="8" t="n">
        <v>3</v>
      </c>
      <c r="AY37" s="9">
        <f>IF(H37=0,"",AX37/(H37/1000/12))</f>
        <v/>
      </c>
      <c r="AZ37" s="8" t="n">
        <v>8</v>
      </c>
      <c r="BA37" s="8" t="n">
        <v>5</v>
      </c>
      <c r="BB37" s="8" t="n">
        <v>7</v>
      </c>
      <c r="BC37" s="8" t="n">
        <v>8</v>
      </c>
      <c r="BD37" s="8" t="n">
        <v>0</v>
      </c>
      <c r="BE37" s="9">
        <f>BC37+BD37</f>
        <v/>
      </c>
      <c r="BF37" s="9">
        <f>BA37+BB37-BE37</f>
        <v/>
      </c>
      <c r="BG37" s="8" t="n">
        <v>0</v>
      </c>
      <c r="BH37" s="8" t="n">
        <v>0</v>
      </c>
      <c r="BI37" s="8" t="n">
        <v>0</v>
      </c>
      <c r="BJ37" s="8" t="n">
        <v>0</v>
      </c>
      <c r="BK37" s="9">
        <f>BI37+BJ37</f>
        <v/>
      </c>
      <c r="BL37" s="9">
        <f>BG37+BH37-BK37</f>
        <v/>
      </c>
      <c r="BM37" s="8" t="n">
        <v>0</v>
      </c>
      <c r="BN37" s="8" t="n">
        <v>0</v>
      </c>
      <c r="BO37" s="8" t="n">
        <v>0</v>
      </c>
      <c r="BP37" s="8" t="n">
        <v>0</v>
      </c>
      <c r="BQ37" s="9">
        <f>BO37+BP37</f>
        <v/>
      </c>
      <c r="BR37" s="9">
        <f>BM37+BN37-BQ37</f>
        <v/>
      </c>
      <c r="BS37" s="8" t="n">
        <v>0</v>
      </c>
      <c r="BT37" s="8" t="n">
        <v>0</v>
      </c>
      <c r="BU37" s="8" t="n">
        <v>0</v>
      </c>
      <c r="BV37" s="8" t="n">
        <v>0</v>
      </c>
      <c r="BW37" s="9">
        <f>BU37+BV37</f>
        <v/>
      </c>
      <c r="BX37" s="9">
        <f>BS37+BT37-BW37</f>
        <v/>
      </c>
      <c r="BY37" s="9">
        <f>BA37+BG37+BM37+BS37</f>
        <v/>
      </c>
      <c r="BZ37" s="9">
        <f>BB37+BH37+BN37+BT37</f>
        <v/>
      </c>
      <c r="CA37" s="9">
        <f>BE37+BK37+BQ37+BW37</f>
        <v/>
      </c>
      <c r="CB37" s="9">
        <f>BF37+BL37+BR37+BX37</f>
        <v/>
      </c>
      <c r="CC37" s="8" t="n">
        <v>8</v>
      </c>
      <c r="CD37" s="8" t="n">
        <v>211</v>
      </c>
      <c r="CE37" s="8" t="n">
        <v>5</v>
      </c>
      <c r="CF37" s="8" t="n">
        <v>3</v>
      </c>
      <c r="CG37" s="8" t="n">
        <v>0</v>
      </c>
      <c r="CH37" s="9">
        <f>CD37+CE37+CF37+CG37</f>
        <v/>
      </c>
      <c r="CI37" s="8" t="n">
        <v>17</v>
      </c>
      <c r="CJ37" s="8" t="n">
        <v>0</v>
      </c>
      <c r="CK37" s="8" t="n">
        <v>0</v>
      </c>
      <c r="CL37" s="8" t="n">
        <v>0</v>
      </c>
      <c r="CM37" s="9">
        <f>CI37+CJ37+CK37+CL37</f>
        <v/>
      </c>
      <c r="CN37" s="8" t="n">
        <v>347</v>
      </c>
      <c r="CO37" s="8" t="n">
        <v>14</v>
      </c>
      <c r="CP37" s="8" t="n">
        <v>27</v>
      </c>
      <c r="CQ37" s="8" t="n">
        <v>0</v>
      </c>
      <c r="CR37" s="9">
        <f>CN37+CO37+CP37+CQ37</f>
        <v/>
      </c>
      <c r="CS37" s="9">
        <f>CM37+CR37</f>
        <v/>
      </c>
      <c r="CT37" s="8" t="n">
        <v>624</v>
      </c>
      <c r="CU37" s="8" t="n">
        <v>1522.07</v>
      </c>
      <c r="CV37" s="8" t="n">
        <v>1321</v>
      </c>
      <c r="CW37" s="10">
        <f>IF(CU37=0,"",CV37/CU37)</f>
        <v/>
      </c>
      <c r="CX37" s="8" t="n"/>
      <c r="CY37" s="8" t="n"/>
      <c r="CZ37" s="8" t="n"/>
      <c r="DA37" s="8" t="n"/>
      <c r="DB37" s="9">
        <f>CX37+CY37-CZ37-DA37</f>
        <v/>
      </c>
      <c r="DC37" s="8" t="n">
        <v>0</v>
      </c>
      <c r="DD37" s="8" t="n">
        <v>0</v>
      </c>
      <c r="DE37" s="8" t="n">
        <v>0</v>
      </c>
      <c r="DF37" s="8" t="n">
        <v>0</v>
      </c>
      <c r="DG37" s="9">
        <f>DC37+DD37-DE37-DF37</f>
        <v/>
      </c>
      <c r="DH37" s="8" t="n">
        <v>0</v>
      </c>
      <c r="DI37" s="8" t="n">
        <v>0</v>
      </c>
      <c r="DJ37" s="8" t="n">
        <v>0</v>
      </c>
      <c r="DK37" s="8" t="n">
        <v>0</v>
      </c>
      <c r="DL37" s="9">
        <f>DH37+DI37-DJ37-DK37</f>
        <v/>
      </c>
      <c r="DM37" s="8" t="n">
        <v>0</v>
      </c>
      <c r="DN37" s="8" t="n">
        <v>0</v>
      </c>
      <c r="DO37" s="8" t="n">
        <v>0</v>
      </c>
      <c r="DP37" s="8" t="n">
        <v>0</v>
      </c>
      <c r="DQ37" s="9">
        <f>DM37+DN37-DO37-DP37</f>
        <v/>
      </c>
      <c r="DR37" s="9">
        <f>CX37+DC37+DH37+DM37</f>
        <v/>
      </c>
      <c r="DS37" s="9">
        <f>CY37+DD37+DI37+DN37</f>
        <v/>
      </c>
      <c r="DT37" s="9">
        <f>CZ37+DE37+DJ37+DO37</f>
        <v/>
      </c>
      <c r="DU37" s="9">
        <f>DA37+DF37+DK37+DP37</f>
        <v/>
      </c>
      <c r="DV37" s="9">
        <f>DB37+DG37+DL37+DQ37</f>
        <v/>
      </c>
      <c r="DW37" s="8" t="n">
        <v>11</v>
      </c>
      <c r="DX37" s="8" t="n">
        <v>7</v>
      </c>
      <c r="DY37" s="8" t="n">
        <v>7</v>
      </c>
      <c r="DZ37" s="8" t="n">
        <v>3</v>
      </c>
      <c r="EA37" s="8" t="n">
        <v>2</v>
      </c>
      <c r="EB37" s="8" t="n">
        <v>2</v>
      </c>
      <c r="EC37" s="8" t="n">
        <v>0</v>
      </c>
      <c r="ED37" s="8" t="n">
        <v>1</v>
      </c>
      <c r="EE37" s="8" t="n">
        <v>1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3</v>
      </c>
      <c r="EK37" s="8" t="n">
        <v>1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  <c r="EY37" s="8" t="n">
        <v>0</v>
      </c>
      <c r="EZ37" s="8" t="n">
        <v>0</v>
      </c>
      <c r="FA37" s="8" t="n">
        <v>0</v>
      </c>
      <c r="FB37" s="8" t="n">
        <v>0</v>
      </c>
      <c r="FC37" s="8" t="n">
        <v>0</v>
      </c>
      <c r="FD37" s="8" t="n">
        <v>0</v>
      </c>
      <c r="FE37" s="8" t="n">
        <v>0</v>
      </c>
      <c r="FF37" s="8" t="n">
        <v>0</v>
      </c>
      <c r="FG37" s="9">
        <f>SUM(DW37,DX37,DY37,DZ37,EA37,EB37,EC37,ED37,EE37,EF37,EG37,EH37,EI37,EJ37,EK37,EL37,EM37,EN37,EO37,EP37,EQ37,ER37,ES37,ET37,EU37,EV37,EW37,EX37,EY37,EZ37,FA37,FB37,FC37,FD37,FE37,FF37)</f>
        <v/>
      </c>
      <c r="FH37" s="8" t="n">
        <v>1</v>
      </c>
      <c r="FI37" s="8" t="n">
        <v>0</v>
      </c>
      <c r="FJ37" s="8" t="n">
        <v>0</v>
      </c>
      <c r="FK37" s="8" t="n">
        <v>102</v>
      </c>
      <c r="FL37" s="8" t="n">
        <v>0</v>
      </c>
      <c r="FM37" s="8" t="n">
        <v>0</v>
      </c>
      <c r="FN37" s="8" t="n">
        <v>0</v>
      </c>
      <c r="FO37" s="8" t="n">
        <v>0</v>
      </c>
      <c r="FP37" s="8" t="n">
        <v>0</v>
      </c>
      <c r="FQ37" s="9">
        <f>FL37+FM37+FN37+FO37+FP37</f>
        <v/>
      </c>
      <c r="FR37" s="8" t="n">
        <v>0</v>
      </c>
      <c r="FS37" s="8" t="n">
        <v>0</v>
      </c>
      <c r="FT37" s="8" t="n">
        <v>0</v>
      </c>
      <c r="FU37" s="8" t="n">
        <v>0</v>
      </c>
      <c r="FV37" s="9">
        <f>FR37+FS37+FT37+FU37</f>
        <v/>
      </c>
      <c r="FW37" s="8" t="n">
        <v>1825909</v>
      </c>
      <c r="FX37" s="8" t="n">
        <v>0</v>
      </c>
      <c r="FY37" s="8" t="n">
        <v>173000</v>
      </c>
      <c r="FZ37" s="8" t="n">
        <v>412000</v>
      </c>
      <c r="GA37" s="9">
        <f>FW37+FX37+FY37+FZ37</f>
        <v/>
      </c>
      <c r="GB37" s="9">
        <f>FV37+GA37</f>
        <v/>
      </c>
      <c r="GC37" s="8" t="n">
        <v>78565.39999999999</v>
      </c>
      <c r="GD37" s="8" t="n">
        <v>0</v>
      </c>
      <c r="GE37" s="8" t="n">
        <v>24383.95</v>
      </c>
      <c r="GF37" s="8" t="n">
        <v>0</v>
      </c>
      <c r="GG37" s="9">
        <f>GC37+GD37+GE37+GF37</f>
        <v/>
      </c>
      <c r="GH37" s="8" t="n">
        <v>1704088.19</v>
      </c>
      <c r="GI37" s="8" t="n">
        <v>0</v>
      </c>
      <c r="GJ37" s="8" t="n">
        <v>258925.65</v>
      </c>
      <c r="GK37" s="8" t="n">
        <v>164000</v>
      </c>
      <c r="GL37" s="9">
        <f>GH37+GI37+GJ37+GK37</f>
        <v/>
      </c>
      <c r="GM37" s="9">
        <f>GG37+GL37</f>
        <v/>
      </c>
      <c r="GN37" s="8" t="n">
        <v>3555.45</v>
      </c>
      <c r="GO37" s="8" t="n">
        <v>0</v>
      </c>
      <c r="GP37" s="8" t="n">
        <v>3393.64</v>
      </c>
      <c r="GQ37" s="8" t="n">
        <v>0</v>
      </c>
      <c r="GR37" s="9">
        <f>GN37+GO37+GP37+GQ37</f>
        <v/>
      </c>
      <c r="GS37" s="8" t="n">
        <v>5358</v>
      </c>
      <c r="GT37" s="8" t="n">
        <v>0</v>
      </c>
      <c r="GU37" s="8" t="n">
        <v>893</v>
      </c>
      <c r="GV37" s="8" t="n">
        <v>0</v>
      </c>
      <c r="GW37" s="9">
        <f>GS37+GT37+GU37+GV37</f>
        <v/>
      </c>
      <c r="GX37" s="9">
        <f>GM37+GR37+GW37</f>
        <v/>
      </c>
      <c r="GY37" s="8" t="n">
        <v>11668679.15</v>
      </c>
      <c r="GZ37" s="8" t="n">
        <v>222920.27</v>
      </c>
      <c r="HA37" s="9">
        <f>GY37+GZ37</f>
        <v/>
      </c>
      <c r="HB37" s="9">
        <f>IF(GX37=0,"",AU37/GX37)</f>
        <v/>
      </c>
      <c r="HC37" s="10">
        <f>IF((GX37+GY37)=0,"",GB37/(GX37+GY37))</f>
        <v/>
      </c>
      <c r="HD37" s="9">
        <f>IF(GX37=0,"",GB37/GX37)</f>
        <v/>
      </c>
      <c r="HE37" s="8" t="n">
        <v>4</v>
      </c>
      <c r="HF37" s="8" t="n">
        <v>1</v>
      </c>
      <c r="HG37" s="8" t="n">
        <v>4</v>
      </c>
      <c r="HH37" s="8" t="n">
        <v>7</v>
      </c>
      <c r="HI37" s="8" t="n">
        <v>1</v>
      </c>
      <c r="HJ37" s="9">
        <f>HF37+HI37</f>
        <v/>
      </c>
      <c r="HK37" s="10">
        <f>IF(HE37=0,"",HH37/HE37)</f>
        <v/>
      </c>
      <c r="HL37" s="8" t="n">
        <v>12</v>
      </c>
      <c r="HM37" s="8" t="n">
        <v>3</v>
      </c>
      <c r="HN37" s="11">
        <f>IF(HL37=0,"",HM37/HL37)</f>
        <v/>
      </c>
    </row>
    <row r="38">
      <c r="A38" s="12" t="inlineStr">
        <is>
          <t>Liwonde</t>
        </is>
      </c>
      <c r="B38" s="12" t="inlineStr">
        <is>
          <t>Machinga</t>
        </is>
      </c>
      <c r="C38" s="13" t="inlineStr">
        <is>
          <t>FY2025/26</t>
        </is>
      </c>
      <c r="D38" s="13" t="n">
        <v>2026</v>
      </c>
      <c r="E38" s="13" t="n">
        <v>3</v>
      </c>
      <c r="F38" s="13" t="inlineStr">
        <is>
          <t>March</t>
        </is>
      </c>
      <c r="G38" s="13" t="inlineStr">
        <is>
          <t>Q4</t>
        </is>
      </c>
      <c r="H38" s="14" t="n">
        <v>2085</v>
      </c>
      <c r="I38" s="14" t="n">
        <v>63</v>
      </c>
      <c r="J38" s="14" t="n">
        <v>0</v>
      </c>
      <c r="K38" s="14" t="n">
        <v>10</v>
      </c>
      <c r="L38" s="14" t="n">
        <v>0</v>
      </c>
      <c r="M38" s="15">
        <f>SUM(I38,J38,K38,L38)</f>
        <v/>
      </c>
      <c r="N38" s="14" t="n">
        <v>1242</v>
      </c>
      <c r="O38" s="14" t="n">
        <v>0</v>
      </c>
      <c r="P38" s="14" t="n">
        <v>131</v>
      </c>
      <c r="Q38" s="14" t="n">
        <v>35</v>
      </c>
      <c r="R38" s="15">
        <f>SUM(N38,O38,P38,Q38)</f>
        <v/>
      </c>
      <c r="S38" s="15">
        <f>M38+R38</f>
        <v/>
      </c>
      <c r="T38" s="14" t="n">
        <v>604</v>
      </c>
      <c r="U38" s="16">
        <f>IF(H38=0,"",T38/H38)</f>
        <v/>
      </c>
      <c r="V38" s="14" t="n">
        <v>10</v>
      </c>
      <c r="W38" s="17">
        <f>IF(H38=0,"",V38/H38)</f>
        <v/>
      </c>
      <c r="X38" s="14" t="n">
        <v>0</v>
      </c>
      <c r="Y38" s="17">
        <f>IF(H38=0,"",X38/H38)</f>
        <v/>
      </c>
      <c r="Z38" s="14" t="n">
        <v>0</v>
      </c>
      <c r="AA38" s="17">
        <f>IF(H38=0,"",Z38/H38)</f>
        <v/>
      </c>
      <c r="AB38" s="14" t="n">
        <v>0</v>
      </c>
      <c r="AC38" s="17">
        <f>IF(H38=0,"",AB38/H38)</f>
        <v/>
      </c>
      <c r="AD38" s="14" t="n">
        <v>0</v>
      </c>
      <c r="AE38" s="17">
        <f>IF(H38=0,"",AD38/H38)</f>
        <v/>
      </c>
      <c r="AF38" s="14" t="n">
        <v>0</v>
      </c>
      <c r="AG38" s="17">
        <f>IF(H38=0,"",AF38/H38)</f>
        <v/>
      </c>
      <c r="AH38" s="14" t="n">
        <v>35252.9</v>
      </c>
      <c r="AI38" s="15">
        <f>IF(H38=0,"",AH38/H38)</f>
        <v/>
      </c>
      <c r="AJ38" s="14" t="n">
        <v>4900</v>
      </c>
      <c r="AK38" s="17">
        <f>IF(H38=0,"",AJ38/H38)</f>
        <v/>
      </c>
      <c r="AL38" s="14" t="n">
        <v>19339</v>
      </c>
      <c r="AM38" s="15">
        <f>IF(H38=0,"",AL38/H38)</f>
        <v/>
      </c>
      <c r="AN38" s="14" t="n">
        <v>0</v>
      </c>
      <c r="AO38" s="14" t="n">
        <v>0</v>
      </c>
      <c r="AP38" s="14" t="n">
        <v>0</v>
      </c>
      <c r="AQ38" s="14" t="n">
        <v>0</v>
      </c>
      <c r="AR38" s="14" t="n">
        <v>712768.63</v>
      </c>
      <c r="AS38" s="14" t="n">
        <v>0</v>
      </c>
      <c r="AT38" s="14" t="n">
        <v>0</v>
      </c>
      <c r="AU38" s="15">
        <f>AH38+AL38+AP38+AQ38+AR38+AS38+AT38</f>
        <v/>
      </c>
      <c r="AV38" s="15">
        <f>IF(H38=0,"",AU38/H38)</f>
        <v/>
      </c>
      <c r="AW38" s="15">
        <f>IF(S38=0,"",AU38/S38)</f>
        <v/>
      </c>
      <c r="AX38" s="14" t="n">
        <v>3</v>
      </c>
      <c r="AY38" s="15">
        <f>IF(H38=0,"",AX38/(H38/1000/12))</f>
        <v/>
      </c>
      <c r="AZ38" s="14" t="n">
        <v>8</v>
      </c>
      <c r="BA38" s="14" t="n">
        <v>4</v>
      </c>
      <c r="BB38" s="14" t="n">
        <v>4</v>
      </c>
      <c r="BC38" s="14" t="n">
        <v>4</v>
      </c>
      <c r="BD38" s="14" t="n">
        <v>0</v>
      </c>
      <c r="BE38" s="15">
        <f>BC38+BD38</f>
        <v/>
      </c>
      <c r="BF38" s="15">
        <f>BA38+BB38-BE38</f>
        <v/>
      </c>
      <c r="BG38" s="14" t="n">
        <v>0</v>
      </c>
      <c r="BH38" s="14" t="n">
        <v>0</v>
      </c>
      <c r="BI38" s="14" t="n">
        <v>0</v>
      </c>
      <c r="BJ38" s="14" t="n">
        <v>0</v>
      </c>
      <c r="BK38" s="15">
        <f>BI38+BJ38</f>
        <v/>
      </c>
      <c r="BL38" s="15">
        <f>BG38+BH38-BK38</f>
        <v/>
      </c>
      <c r="BM38" s="14" t="n">
        <v>0</v>
      </c>
      <c r="BN38" s="14" t="n">
        <v>0</v>
      </c>
      <c r="BO38" s="14" t="n">
        <v>0</v>
      </c>
      <c r="BP38" s="14" t="n">
        <v>0</v>
      </c>
      <c r="BQ38" s="15">
        <f>BO38+BP38</f>
        <v/>
      </c>
      <c r="BR38" s="15">
        <f>BM38+BN38-BQ38</f>
        <v/>
      </c>
      <c r="BS38" s="14" t="n">
        <v>0</v>
      </c>
      <c r="BT38" s="14" t="n">
        <v>0</v>
      </c>
      <c r="BU38" s="14" t="n">
        <v>0</v>
      </c>
      <c r="BV38" s="14" t="n">
        <v>0</v>
      </c>
      <c r="BW38" s="15">
        <f>BU38+BV38</f>
        <v/>
      </c>
      <c r="BX38" s="15">
        <f>BS38+BT38-BW38</f>
        <v/>
      </c>
      <c r="BY38" s="15">
        <f>BA38+BG38+BM38+BS38</f>
        <v/>
      </c>
      <c r="BZ38" s="15">
        <f>BB38+BH38+BN38+BT38</f>
        <v/>
      </c>
      <c r="CA38" s="15">
        <f>BE38+BK38+BQ38+BW38</f>
        <v/>
      </c>
      <c r="CB38" s="15">
        <f>BF38+BL38+BR38+BX38</f>
        <v/>
      </c>
      <c r="CC38" s="14" t="n">
        <v>0</v>
      </c>
      <c r="CD38" s="14" t="n">
        <v>214</v>
      </c>
      <c r="CE38" s="14" t="n">
        <v>5</v>
      </c>
      <c r="CF38" s="14" t="n">
        <v>3</v>
      </c>
      <c r="CG38" s="14" t="n">
        <v>0</v>
      </c>
      <c r="CH38" s="15">
        <f>CD38+CE38+CF38+CG38</f>
        <v/>
      </c>
      <c r="CI38" s="14" t="n">
        <v>17</v>
      </c>
      <c r="CJ38" s="14" t="n">
        <v>1</v>
      </c>
      <c r="CK38" s="14" t="n">
        <v>0</v>
      </c>
      <c r="CL38" s="14" t="n">
        <v>0</v>
      </c>
      <c r="CM38" s="15">
        <f>CI38+CJ38+CK38+CL38</f>
        <v/>
      </c>
      <c r="CN38" s="14" t="n">
        <v>347</v>
      </c>
      <c r="CO38" s="14" t="n">
        <v>14</v>
      </c>
      <c r="CP38" s="14" t="n">
        <v>27</v>
      </c>
      <c r="CQ38" s="14" t="n">
        <v>0</v>
      </c>
      <c r="CR38" s="15">
        <f>CN38+CO38+CP38+CQ38</f>
        <v/>
      </c>
      <c r="CS38" s="15">
        <f>CM38+CR38</f>
        <v/>
      </c>
      <c r="CT38" s="14" t="n">
        <v>628</v>
      </c>
      <c r="CU38" s="14" t="n">
        <v>1537</v>
      </c>
      <c r="CV38" s="14" t="n">
        <v>1334</v>
      </c>
      <c r="CW38" s="16">
        <f>IF(CU38=0,"",CV38/CU38)</f>
        <v/>
      </c>
      <c r="CX38" s="14" t="n"/>
      <c r="CY38" s="14" t="n"/>
      <c r="CZ38" s="14" t="n"/>
      <c r="DA38" s="14" t="n"/>
      <c r="DB38" s="15">
        <f>CX38+CY38-CZ38-DA38</f>
        <v/>
      </c>
      <c r="DC38" s="14" t="n">
        <v>0</v>
      </c>
      <c r="DD38" s="14" t="n">
        <v>0</v>
      </c>
      <c r="DE38" s="14" t="n">
        <v>0</v>
      </c>
      <c r="DF38" s="14" t="n">
        <v>0</v>
      </c>
      <c r="DG38" s="15">
        <f>DC38+DD38-DE38-DF38</f>
        <v/>
      </c>
      <c r="DH38" s="14" t="n">
        <v>0</v>
      </c>
      <c r="DI38" s="14" t="n">
        <v>0</v>
      </c>
      <c r="DJ38" s="14" t="n">
        <v>0</v>
      </c>
      <c r="DK38" s="14" t="n">
        <v>0</v>
      </c>
      <c r="DL38" s="15">
        <f>DH38+DI38-DJ38-DK38</f>
        <v/>
      </c>
      <c r="DM38" s="14" t="n">
        <v>0</v>
      </c>
      <c r="DN38" s="14" t="n">
        <v>0</v>
      </c>
      <c r="DO38" s="14" t="n">
        <v>0</v>
      </c>
      <c r="DP38" s="14" t="n">
        <v>0</v>
      </c>
      <c r="DQ38" s="15">
        <f>DM38+DN38-DO38-DP38</f>
        <v/>
      </c>
      <c r="DR38" s="15">
        <f>CX38+DC38+DH38+DM38</f>
        <v/>
      </c>
      <c r="DS38" s="15">
        <f>CY38+DD38+DI38+DN38</f>
        <v/>
      </c>
      <c r="DT38" s="15">
        <f>CZ38+DE38+DJ38+DO38</f>
        <v/>
      </c>
      <c r="DU38" s="15">
        <f>DA38+DF38+DK38+DP38</f>
        <v/>
      </c>
      <c r="DV38" s="15">
        <f>DB38+DG38+DL38+DQ38</f>
        <v/>
      </c>
      <c r="DW38" s="14" t="n">
        <v>13</v>
      </c>
      <c r="DX38" s="14" t="n">
        <v>8</v>
      </c>
      <c r="DY38" s="14" t="n">
        <v>8</v>
      </c>
      <c r="DZ38" s="14" t="n">
        <v>3</v>
      </c>
      <c r="EA38" s="14" t="n">
        <v>2</v>
      </c>
      <c r="EB38" s="14" t="n">
        <v>4</v>
      </c>
      <c r="EC38" s="14" t="n">
        <v>0</v>
      </c>
      <c r="ED38" s="14" t="n">
        <v>2</v>
      </c>
      <c r="EE38" s="14" t="n">
        <v>0</v>
      </c>
      <c r="EF38" s="14" t="n">
        <v>0</v>
      </c>
      <c r="EG38" s="14" t="n">
        <v>0</v>
      </c>
      <c r="EH38" s="14" t="n">
        <v>0</v>
      </c>
      <c r="EI38" s="14" t="n">
        <v>0</v>
      </c>
      <c r="EJ38" s="14" t="n">
        <v>0</v>
      </c>
      <c r="EK38" s="14" t="n">
        <v>0</v>
      </c>
      <c r="EL38" s="14" t="n">
        <v>0</v>
      </c>
      <c r="EM38" s="14" t="n">
        <v>0</v>
      </c>
      <c r="EN38" s="14" t="n">
        <v>0</v>
      </c>
      <c r="EO38" s="14" t="n">
        <v>0</v>
      </c>
      <c r="EP38" s="14" t="n">
        <v>0</v>
      </c>
      <c r="EQ38" s="14" t="n">
        <v>0</v>
      </c>
      <c r="ER38" s="14" t="n">
        <v>0</v>
      </c>
      <c r="ES38" s="14" t="n">
        <v>0</v>
      </c>
      <c r="ET38" s="14" t="n">
        <v>0</v>
      </c>
      <c r="EU38" s="14" t="n">
        <v>0</v>
      </c>
      <c r="EV38" s="14" t="n">
        <v>0</v>
      </c>
      <c r="EW38" s="14" t="n">
        <v>0</v>
      </c>
      <c r="EX38" s="14" t="n">
        <v>0</v>
      </c>
      <c r="EY38" s="14" t="n">
        <v>0</v>
      </c>
      <c r="EZ38" s="14" t="n">
        <v>0</v>
      </c>
      <c r="FA38" s="14" t="n">
        <v>0</v>
      </c>
      <c r="FB38" s="14" t="n">
        <v>0</v>
      </c>
      <c r="FC38" s="14" t="n">
        <v>0</v>
      </c>
      <c r="FD38" s="14" t="n">
        <v>0</v>
      </c>
      <c r="FE38" s="14" t="n">
        <v>0</v>
      </c>
      <c r="FF38" s="14" t="n">
        <v>0</v>
      </c>
      <c r="FG38" s="15">
        <f>SUM(DW38,DX38,DY38,DZ38,EA38,EB38,EC38,ED38,EE38,EF38,EG38,EH38,EI38,EJ38,EK38,EL38,EM38,EN38,EO38,EP38,EQ38,ER38,ES38,ET38,EU38,EV38,EW38,EX38,EY38,EZ38,FA38,FB38,FC38,FD38,FE38,FF38)</f>
        <v/>
      </c>
      <c r="FH38" s="14" t="n">
        <v>1</v>
      </c>
      <c r="FI38" s="14" t="n">
        <v>0</v>
      </c>
      <c r="FJ38" s="14" t="n">
        <v>0</v>
      </c>
      <c r="FK38" s="14" t="n">
        <v>124</v>
      </c>
      <c r="FL38" s="14" t="n">
        <v>0</v>
      </c>
      <c r="FM38" s="14" t="n">
        <v>0</v>
      </c>
      <c r="FN38" s="14" t="n">
        <v>0</v>
      </c>
      <c r="FO38" s="14" t="n">
        <v>0</v>
      </c>
      <c r="FP38" s="14" t="n">
        <v>0</v>
      </c>
      <c r="FQ38" s="15">
        <f>FL38+FM38+FN38+FO38+FP38</f>
        <v/>
      </c>
      <c r="FR38" s="14" t="n">
        <v>0</v>
      </c>
      <c r="FS38" s="14" t="n">
        <v>0</v>
      </c>
      <c r="FT38" s="14" t="n">
        <v>0</v>
      </c>
      <c r="FU38" s="14" t="n">
        <v>0</v>
      </c>
      <c r="FV38" s="15">
        <f>FR38+FS38+FT38+FU38</f>
        <v/>
      </c>
      <c r="FW38" s="14" t="n">
        <v>1615206</v>
      </c>
      <c r="FX38" s="14" t="n">
        <v>0</v>
      </c>
      <c r="FY38" s="14" t="n">
        <v>168200</v>
      </c>
      <c r="FZ38" s="14" t="n">
        <v>398500</v>
      </c>
      <c r="GA38" s="15">
        <f>FW38+FX38+FY38+FZ38</f>
        <v/>
      </c>
      <c r="GB38" s="15">
        <f>FV38+GA38</f>
        <v/>
      </c>
      <c r="GC38" s="14" t="n">
        <v>97855.46000000001</v>
      </c>
      <c r="GD38" s="14" t="n">
        <v>0</v>
      </c>
      <c r="GE38" s="14" t="n">
        <v>24383.95</v>
      </c>
      <c r="GF38" s="14" t="n">
        <v>0</v>
      </c>
      <c r="GG38" s="15">
        <f>GC38+GD38+GE38+GF38</f>
        <v/>
      </c>
      <c r="GH38" s="14" t="n">
        <v>1548148.02</v>
      </c>
      <c r="GI38" s="14" t="n">
        <v>0</v>
      </c>
      <c r="GJ38" s="14" t="n">
        <v>398500</v>
      </c>
      <c r="GK38" s="14" t="n">
        <v>168200</v>
      </c>
      <c r="GL38" s="15">
        <f>GH38+GI38+GJ38+GK38</f>
        <v/>
      </c>
      <c r="GM38" s="15">
        <f>GG38+GL38</f>
        <v/>
      </c>
      <c r="GN38" s="14" t="n">
        <v>7747.33</v>
      </c>
      <c r="GO38" s="14" t="n">
        <v>0</v>
      </c>
      <c r="GP38" s="14" t="n">
        <v>3393.64</v>
      </c>
      <c r="GQ38" s="14" t="n">
        <v>0</v>
      </c>
      <c r="GR38" s="15">
        <f>GN38+GO38+GP38+GQ38</f>
        <v/>
      </c>
      <c r="GS38" s="14" t="n">
        <v>15181</v>
      </c>
      <c r="GT38" s="14" t="n">
        <v>0</v>
      </c>
      <c r="GU38" s="14" t="n">
        <v>893</v>
      </c>
      <c r="GV38" s="14" t="n">
        <v>0</v>
      </c>
      <c r="GW38" s="15">
        <f>GS38+GT38+GU38+GV38</f>
        <v/>
      </c>
      <c r="GX38" s="15">
        <f>GM38+GR38+GW38</f>
        <v/>
      </c>
      <c r="GY38" s="14" t="n">
        <v>11621972.09</v>
      </c>
      <c r="GZ38" s="14" t="n">
        <v>313246.89</v>
      </c>
      <c r="HA38" s="15">
        <f>GY38+GZ38</f>
        <v/>
      </c>
      <c r="HB38" s="15">
        <f>IF(GX38=0,"",AU38/GX38)</f>
        <v/>
      </c>
      <c r="HC38" s="16">
        <f>IF((GX38+GY38)=0,"",GB38/(GX38+GY38))</f>
        <v/>
      </c>
      <c r="HD38" s="15">
        <f>IF(GX38=0,"",GB38/GX38)</f>
        <v/>
      </c>
      <c r="HE38" s="14" t="n">
        <v>4</v>
      </c>
      <c r="HF38" s="14" t="n">
        <v>1</v>
      </c>
      <c r="HG38" s="14" t="n">
        <v>4</v>
      </c>
      <c r="HH38" s="14" t="n">
        <v>4</v>
      </c>
      <c r="HI38" s="14" t="n">
        <v>1</v>
      </c>
      <c r="HJ38" s="15">
        <f>HF38+HI38</f>
        <v/>
      </c>
      <c r="HK38" s="16">
        <f>IF(HE38=0,"",HH38/HE38)</f>
        <v/>
      </c>
      <c r="HL38" s="14" t="n">
        <v>20</v>
      </c>
      <c r="HM38" s="14" t="n">
        <v>5</v>
      </c>
      <c r="HN38" s="17">
        <f>IF(HL38=0,"",HM38/HL38)</f>
        <v/>
      </c>
    </row>
    <row r="39">
      <c r="A39" s="6" t="inlineStr">
        <is>
          <t>Liwonde</t>
        </is>
      </c>
      <c r="B39" s="6" t="inlineStr">
        <is>
          <t>Ntaja</t>
        </is>
      </c>
      <c r="C39" s="7" t="inlineStr">
        <is>
          <t>FY2025/26</t>
        </is>
      </c>
      <c r="D39" s="7" t="n">
        <v>2025</v>
      </c>
      <c r="E39" s="7" t="n">
        <v>4</v>
      </c>
      <c r="F39" s="7" t="inlineStr">
        <is>
          <t>April</t>
        </is>
      </c>
      <c r="G39" s="7" t="inlineStr">
        <is>
          <t>Q1</t>
        </is>
      </c>
      <c r="H39" s="8" t="n">
        <v>3511</v>
      </c>
      <c r="I39" s="8" t="n">
        <v>10</v>
      </c>
      <c r="J39" s="8" t="n">
        <v>0</v>
      </c>
      <c r="K39" s="8" t="n">
        <v>3</v>
      </c>
      <c r="L39" s="8" t="n">
        <v>0</v>
      </c>
      <c r="M39" s="9">
        <f>SUM(I39,J39,K39,L39)</f>
        <v/>
      </c>
      <c r="N39" s="8" t="n">
        <v>3010.2</v>
      </c>
      <c r="O39" s="8" t="n">
        <v>143.5</v>
      </c>
      <c r="P39" s="8" t="n">
        <v>57.8</v>
      </c>
      <c r="Q39" s="8" t="n">
        <v>48.2</v>
      </c>
      <c r="R39" s="9">
        <f>SUM(N39,O39,P39,Q39)</f>
        <v/>
      </c>
      <c r="S39" s="9">
        <f>M39+R39</f>
        <v/>
      </c>
      <c r="T39" s="8" t="n">
        <v>238.300000000003</v>
      </c>
      <c r="U39" s="10">
        <f>IF(H39=0,"",T39/H39)</f>
        <v/>
      </c>
      <c r="V39" s="8" t="n">
        <v>14</v>
      </c>
      <c r="W39" s="11">
        <f>IF(H39=0,"",V39/H39)</f>
        <v/>
      </c>
      <c r="X39" s="8" t="n">
        <v>0</v>
      </c>
      <c r="Y39" s="11">
        <f>IF(H39=0,"",X39/H39)</f>
        <v/>
      </c>
      <c r="Z39" s="8" t="n">
        <v>0</v>
      </c>
      <c r="AA39" s="11">
        <f>IF(H39=0,"",Z39/H39)</f>
        <v/>
      </c>
      <c r="AB39" s="8" t="n">
        <v>0</v>
      </c>
      <c r="AC39" s="11">
        <f>IF(H39=0,"",AB39/H39)</f>
        <v/>
      </c>
      <c r="AD39" s="8" t="n">
        <v>0</v>
      </c>
      <c r="AE39" s="11">
        <f>IF(H39=0,"",AD39/H39)</f>
        <v/>
      </c>
      <c r="AF39" s="8" t="n">
        <v>0</v>
      </c>
      <c r="AG39" s="11">
        <f>IF(H39=0,"",AF39/H39)</f>
        <v/>
      </c>
      <c r="AH39" s="8" t="n">
        <v>49354.06</v>
      </c>
      <c r="AI39" s="9">
        <f>IF(H39=0,"",AH39/H39)</f>
        <v/>
      </c>
      <c r="AJ39" s="8" t="n">
        <v>4910</v>
      </c>
      <c r="AK39" s="11">
        <f>IF(H39=0,"",AJ39/H39)</f>
        <v/>
      </c>
      <c r="AL39" s="8" t="n">
        <v>840180.525</v>
      </c>
      <c r="AM39" s="9">
        <f>IF(H39=0,"",AL39/H39)</f>
        <v/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2606300.2</v>
      </c>
      <c r="AS39" s="8" t="n">
        <v>432692.5</v>
      </c>
      <c r="AT39" s="8" t="n">
        <v>25000</v>
      </c>
      <c r="AU39" s="9">
        <f>AH39+AL39+AP39+AQ39+AR39+AS39+AT39</f>
        <v/>
      </c>
      <c r="AV39" s="9">
        <f>IF(H39=0,"",AU39/H39)</f>
        <v/>
      </c>
      <c r="AW39" s="9">
        <f>IF(S39=0,"",AU39/S39)</f>
        <v/>
      </c>
      <c r="AX39" s="8" t="n">
        <v>6</v>
      </c>
      <c r="AY39" s="9">
        <f>IF(H39=0,"",AX39/(H39/1000/12))</f>
        <v/>
      </c>
      <c r="AZ39" s="8" t="n">
        <v>5</v>
      </c>
      <c r="BA39" s="8" t="n">
        <v>23</v>
      </c>
      <c r="BB39" s="8" t="n">
        <v>8</v>
      </c>
      <c r="BC39" s="8" t="n">
        <v>0</v>
      </c>
      <c r="BD39" s="8" t="n">
        <v>10</v>
      </c>
      <c r="BE39" s="9">
        <f>BC39+BD39</f>
        <v/>
      </c>
      <c r="BF39" s="9">
        <f>BA39+BB39-BE39</f>
        <v/>
      </c>
      <c r="BG39" s="8" t="n">
        <v>0</v>
      </c>
      <c r="BH39" s="8" t="n">
        <v>1</v>
      </c>
      <c r="BI39" s="8" t="n">
        <v>0</v>
      </c>
      <c r="BJ39" s="8" t="n">
        <v>1</v>
      </c>
      <c r="BK39" s="9">
        <f>BI39+BJ39</f>
        <v/>
      </c>
      <c r="BL39" s="9">
        <f>BG39+BH39-BK39</f>
        <v/>
      </c>
      <c r="BM39" s="8" t="n">
        <v>0</v>
      </c>
      <c r="BN39" s="8" t="n">
        <v>0</v>
      </c>
      <c r="BO39" s="8" t="n">
        <v>0</v>
      </c>
      <c r="BP39" s="8" t="n">
        <v>0</v>
      </c>
      <c r="BQ39" s="9">
        <f>BO39+BP39</f>
        <v/>
      </c>
      <c r="BR39" s="9">
        <f>BM39+BN39-BQ39</f>
        <v/>
      </c>
      <c r="BS39" s="8" t="n">
        <v>0</v>
      </c>
      <c r="BT39" s="8" t="n">
        <v>0</v>
      </c>
      <c r="BU39" s="8" t="n">
        <v>0</v>
      </c>
      <c r="BV39" s="8" t="n">
        <v>0</v>
      </c>
      <c r="BW39" s="9">
        <f>BU39+BV39</f>
        <v/>
      </c>
      <c r="BX39" s="9">
        <f>BS39+BT39-BW39</f>
        <v/>
      </c>
      <c r="BY39" s="9">
        <f>BA39+BG39+BM39+BS39</f>
        <v/>
      </c>
      <c r="BZ39" s="9">
        <f>BB39+BH39+BN39+BT39</f>
        <v/>
      </c>
      <c r="CA39" s="9">
        <f>BE39+BK39+BQ39+BW39</f>
        <v/>
      </c>
      <c r="CB39" s="9">
        <f>BF39+BL39+BR39+BX39</f>
        <v/>
      </c>
      <c r="CC39" s="8" t="n">
        <v>11</v>
      </c>
      <c r="CD39" s="8" t="n">
        <v>2</v>
      </c>
      <c r="CE39" s="8" t="n">
        <v>1</v>
      </c>
      <c r="CF39" s="8" t="n">
        <v>2</v>
      </c>
      <c r="CG39" s="8" t="n">
        <v>0</v>
      </c>
      <c r="CH39" s="9">
        <f>CD39+CE39+CF39+CG39</f>
        <v/>
      </c>
      <c r="CI39" s="8" t="n">
        <v>2</v>
      </c>
      <c r="CJ39" s="8" t="n">
        <v>1</v>
      </c>
      <c r="CK39" s="8" t="n">
        <v>0</v>
      </c>
      <c r="CL39" s="8" t="n">
        <v>0</v>
      </c>
      <c r="CM39" s="9">
        <f>CI39+CJ39+CK39+CL39</f>
        <v/>
      </c>
      <c r="CN39" s="8" t="n">
        <v>534</v>
      </c>
      <c r="CO39" s="8" t="n">
        <v>20</v>
      </c>
      <c r="CP39" s="8" t="n">
        <v>16</v>
      </c>
      <c r="CQ39" s="8" t="n">
        <v>3</v>
      </c>
      <c r="CR39" s="9">
        <f>CN39+CO39+CP39+CQ39</f>
        <v/>
      </c>
      <c r="CS39" s="9">
        <f>CM39+CR39</f>
        <v/>
      </c>
      <c r="CT39" s="8" t="n">
        <v>581</v>
      </c>
      <c r="CU39" s="8" t="n">
        <v>4200</v>
      </c>
      <c r="CV39" s="8" t="n">
        <v>2940</v>
      </c>
      <c r="CW39" s="10">
        <f>IF(CU39=0,"",CV39/CU39)</f>
        <v/>
      </c>
      <c r="CX39" s="8" t="n"/>
      <c r="CY39" s="8" t="n"/>
      <c r="CZ39" s="8" t="n"/>
      <c r="DA39" s="8" t="n"/>
      <c r="DB39" s="9">
        <f>CX39+CY39-CZ39-DA39</f>
        <v/>
      </c>
      <c r="DC39" s="8" t="n">
        <v>0</v>
      </c>
      <c r="DD39" s="8" t="n">
        <v>0</v>
      </c>
      <c r="DE39" s="8" t="n">
        <v>0</v>
      </c>
      <c r="DF39" s="8" t="n">
        <v>0</v>
      </c>
      <c r="DG39" s="9">
        <f>DC39+DD39-DE39-DF39</f>
        <v/>
      </c>
      <c r="DH39" s="8" t="n">
        <v>0</v>
      </c>
      <c r="DI39" s="8" t="n">
        <v>0</v>
      </c>
      <c r="DJ39" s="8" t="n">
        <v>0</v>
      </c>
      <c r="DK39" s="8" t="n">
        <v>0</v>
      </c>
      <c r="DL39" s="9">
        <f>DH39+DI39-DJ39-DK39</f>
        <v/>
      </c>
      <c r="DM39" s="8" t="n">
        <v>0</v>
      </c>
      <c r="DN39" s="8" t="n">
        <v>8</v>
      </c>
      <c r="DO39" s="8" t="n">
        <v>8</v>
      </c>
      <c r="DP39" s="8" t="n">
        <v>0</v>
      </c>
      <c r="DQ39" s="9">
        <f>DM39+DN39-DO39-DP39</f>
        <v/>
      </c>
      <c r="DR39" s="9">
        <f>CX39+DC39+DH39+DM39</f>
        <v/>
      </c>
      <c r="DS39" s="9">
        <f>CY39+DD39+DI39+DN39</f>
        <v/>
      </c>
      <c r="DT39" s="9">
        <f>CZ39+DE39+DJ39+DO39</f>
        <v/>
      </c>
      <c r="DU39" s="9">
        <f>DA39+DF39+DK39+DP39</f>
        <v/>
      </c>
      <c r="DV39" s="9">
        <f>DB39+DG39+DL39+DQ39</f>
        <v/>
      </c>
      <c r="DW39" s="8" t="n">
        <v>105</v>
      </c>
      <c r="DX39" s="8" t="n">
        <v>13</v>
      </c>
      <c r="DY39" s="8" t="n">
        <v>15</v>
      </c>
      <c r="DZ39" s="8" t="n">
        <v>0</v>
      </c>
      <c r="EA39" s="8" t="n">
        <v>3</v>
      </c>
      <c r="EB39" s="8" t="n">
        <v>3</v>
      </c>
      <c r="EC39" s="8" t="n">
        <v>0</v>
      </c>
      <c r="ED39" s="8" t="n">
        <v>0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3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  <c r="ER39" s="8" t="n">
        <v>0</v>
      </c>
      <c r="ES39" s="8" t="n">
        <v>0</v>
      </c>
      <c r="ET39" s="8" t="n">
        <v>0</v>
      </c>
      <c r="EU39" s="8" t="n">
        <v>0</v>
      </c>
      <c r="EV39" s="8" t="n">
        <v>0</v>
      </c>
      <c r="EW39" s="8" t="n">
        <v>0</v>
      </c>
      <c r="EX39" s="8" t="n">
        <v>0</v>
      </c>
      <c r="EY39" s="8" t="n">
        <v>0</v>
      </c>
      <c r="EZ39" s="8" t="n">
        <v>0</v>
      </c>
      <c r="FA39" s="8" t="n">
        <v>0</v>
      </c>
      <c r="FB39" s="8" t="n">
        <v>0</v>
      </c>
      <c r="FC39" s="8" t="n">
        <v>0</v>
      </c>
      <c r="FD39" s="8" t="n">
        <v>0</v>
      </c>
      <c r="FE39" s="8" t="n">
        <v>0</v>
      </c>
      <c r="FF39" s="8" t="n">
        <v>0</v>
      </c>
      <c r="FG39" s="9">
        <f>SUM(DW39,DX39,DY39,DZ39,EA39,EB39,EC39,ED39,EE39,EF39,EG39,EH39,EI39,EJ39,EK39,EL39,EM39,EN39,EO39,EP39,EQ39,ER39,ES39,ET39,EU39,EV39,EW39,EX39,EY39,EZ39,FA39,FB39,FC39,FD39,FE39,FF39)</f>
        <v/>
      </c>
      <c r="FH39" s="8" t="n">
        <v>1</v>
      </c>
      <c r="FI39" s="8" t="n">
        <v>168</v>
      </c>
      <c r="FJ39" s="8" t="n">
        <v>720</v>
      </c>
      <c r="FK39" s="8" t="n">
        <v>98</v>
      </c>
      <c r="FL39" s="8" t="n">
        <v>0</v>
      </c>
      <c r="FM39" s="8" t="n">
        <v>0</v>
      </c>
      <c r="FN39" s="8" t="n">
        <v>0</v>
      </c>
      <c r="FO39" s="8" t="n">
        <v>0</v>
      </c>
      <c r="FP39" s="8" t="n">
        <v>0</v>
      </c>
      <c r="FQ39" s="9">
        <f>FL39+FM39+FN39+FO39+FP39</f>
        <v/>
      </c>
      <c r="FR39" s="8" t="n">
        <v>0</v>
      </c>
      <c r="FS39" s="8" t="n">
        <v>0</v>
      </c>
      <c r="FT39" s="8" t="n">
        <v>0</v>
      </c>
      <c r="FU39" s="8" t="n">
        <v>0</v>
      </c>
      <c r="FV39" s="9">
        <f>FR39+FS39+FT39+FU39</f>
        <v/>
      </c>
      <c r="FW39" s="8" t="n">
        <v>4030427.910000002</v>
      </c>
      <c r="FX39" s="8" t="n">
        <v>30500</v>
      </c>
      <c r="FY39" s="8" t="n">
        <v>247664.04</v>
      </c>
      <c r="FZ39" s="8" t="n">
        <v>176153.94</v>
      </c>
      <c r="GA39" s="9">
        <f>FW39+FX39+FY39+FZ39</f>
        <v/>
      </c>
      <c r="GB39" s="9">
        <f>FV39+GA39</f>
        <v/>
      </c>
      <c r="GC39" s="8" t="n">
        <v>9319.620000000001</v>
      </c>
      <c r="GD39" s="8" t="n">
        <v>0</v>
      </c>
      <c r="GE39" s="8" t="n">
        <v>8410.99</v>
      </c>
      <c r="GF39" s="8" t="n">
        <v>0</v>
      </c>
      <c r="GG39" s="9">
        <f>GC39+GD39+GE39+GF39</f>
        <v/>
      </c>
      <c r="GH39" s="8" t="n">
        <v>3750514.6</v>
      </c>
      <c r="GI39" s="8" t="n">
        <v>30500</v>
      </c>
      <c r="GJ39" s="8" t="n">
        <v>175553.94</v>
      </c>
      <c r="GK39" s="8" t="n">
        <v>228482.38</v>
      </c>
      <c r="GL39" s="9">
        <f>GH39+GI39+GJ39+GK39</f>
        <v/>
      </c>
      <c r="GM39" s="9">
        <f>GG39+GL39</f>
        <v/>
      </c>
      <c r="GN39" s="8" t="n">
        <v>1089.86</v>
      </c>
      <c r="GO39" s="8" t="n">
        <v>0</v>
      </c>
      <c r="GP39" s="8" t="n">
        <v>3393.64</v>
      </c>
      <c r="GQ39" s="8" t="n">
        <v>0</v>
      </c>
      <c r="GR39" s="9">
        <f>GN39+GO39+GP39+GQ39</f>
        <v/>
      </c>
      <c r="GS39" s="8" t="n">
        <v>1786</v>
      </c>
      <c r="GT39" s="8" t="n">
        <v>0</v>
      </c>
      <c r="GU39" s="8" t="n">
        <v>893</v>
      </c>
      <c r="GV39" s="8" t="n">
        <v>0</v>
      </c>
      <c r="GW39" s="9">
        <f>GS39+GT39+GU39+GV39</f>
        <v/>
      </c>
      <c r="GX39" s="9">
        <f>GM39+GR39+GW39</f>
        <v/>
      </c>
      <c r="GY39" s="8" t="n">
        <v>0</v>
      </c>
      <c r="GZ39" s="8" t="n">
        <v>0</v>
      </c>
      <c r="HA39" s="9">
        <f>GY39+GZ39</f>
        <v/>
      </c>
      <c r="HB39" s="9">
        <f>IF(GX39=0,"",AU39/GX39)</f>
        <v/>
      </c>
      <c r="HC39" s="10">
        <f>IF((GX39+GY39)=0,"",GB39/(GX39+GY39))</f>
        <v/>
      </c>
      <c r="HD39" s="9">
        <f>IF(GX39=0,"",GB39/GX39)</f>
        <v/>
      </c>
      <c r="HE39" s="8" t="n">
        <v>8</v>
      </c>
      <c r="HF39" s="8" t="n">
        <v>2</v>
      </c>
      <c r="HG39" s="8" t="n">
        <v>21</v>
      </c>
      <c r="HH39" s="8" t="n">
        <v>9</v>
      </c>
      <c r="HI39" s="8" t="n">
        <v>30</v>
      </c>
      <c r="HJ39" s="9">
        <f>HF39+HI39</f>
        <v/>
      </c>
      <c r="HK39" s="10">
        <f>IF(HE39=0,"",HH39/HE39)</f>
        <v/>
      </c>
      <c r="HL39" s="8" t="n">
        <v>8</v>
      </c>
      <c r="HM39" s="8" t="n">
        <v>2</v>
      </c>
      <c r="HN39" s="11">
        <f>IF(HL39=0,"",HM39/HL39)</f>
        <v/>
      </c>
    </row>
    <row r="40">
      <c r="A40" s="12" t="inlineStr">
        <is>
          <t>Liwonde</t>
        </is>
      </c>
      <c r="B40" s="12" t="inlineStr">
        <is>
          <t>Ntaja</t>
        </is>
      </c>
      <c r="C40" s="13" t="inlineStr">
        <is>
          <t>FY2025/26</t>
        </is>
      </c>
      <c r="D40" s="13" t="n">
        <v>2025</v>
      </c>
      <c r="E40" s="13" t="n">
        <v>5</v>
      </c>
      <c r="F40" s="13" t="inlineStr">
        <is>
          <t>May</t>
        </is>
      </c>
      <c r="G40" s="13" t="inlineStr">
        <is>
          <t>Q1</t>
        </is>
      </c>
      <c r="H40" s="14" t="n">
        <v>3880</v>
      </c>
      <c r="I40" s="14" t="n">
        <v>7</v>
      </c>
      <c r="J40" s="14" t="n">
        <v>0</v>
      </c>
      <c r="K40" s="14" t="n">
        <v>6</v>
      </c>
      <c r="L40" s="14" t="n">
        <v>0</v>
      </c>
      <c r="M40" s="15">
        <f>SUM(I40,J40,K40,L40)</f>
        <v/>
      </c>
      <c r="N40" s="14" t="n">
        <v>3323.6</v>
      </c>
      <c r="O40" s="14" t="n">
        <v>163.3</v>
      </c>
      <c r="P40" s="14" t="n">
        <v>45</v>
      </c>
      <c r="Q40" s="14" t="n">
        <v>68.7</v>
      </c>
      <c r="R40" s="15">
        <f>SUM(N40,O40,P40,Q40)</f>
        <v/>
      </c>
      <c r="S40" s="15">
        <f>M40+R40</f>
        <v/>
      </c>
      <c r="T40" s="14" t="n">
        <v>266.4</v>
      </c>
      <c r="U40" s="16">
        <f>IF(H40=0,"",T40/H40)</f>
        <v/>
      </c>
      <c r="V40" s="14" t="n">
        <v>9</v>
      </c>
      <c r="W40" s="17">
        <f>IF(H40=0,"",V40/H40)</f>
        <v/>
      </c>
      <c r="X40" s="14" t="n">
        <v>0</v>
      </c>
      <c r="Y40" s="17">
        <f>IF(H40=0,"",X40/H40)</f>
        <v/>
      </c>
      <c r="Z40" s="14" t="n">
        <v>0</v>
      </c>
      <c r="AA40" s="17">
        <f>IF(H40=0,"",Z40/H40)</f>
        <v/>
      </c>
      <c r="AB40" s="14" t="n">
        <v>0</v>
      </c>
      <c r="AC40" s="17">
        <f>IF(H40=0,"",AB40/H40)</f>
        <v/>
      </c>
      <c r="AD40" s="14" t="n">
        <v>0</v>
      </c>
      <c r="AE40" s="17">
        <f>IF(H40=0,"",AD40/H40)</f>
        <v/>
      </c>
      <c r="AF40" s="14" t="n">
        <v>0</v>
      </c>
      <c r="AG40" s="17">
        <f>IF(H40=0,"",AF40/H40)</f>
        <v/>
      </c>
      <c r="AH40" s="14" t="n">
        <v>31727.61</v>
      </c>
      <c r="AI40" s="15">
        <f>IF(H40=0,"",AH40/H40)</f>
        <v/>
      </c>
      <c r="AJ40" s="14" t="n">
        <v>4431</v>
      </c>
      <c r="AK40" s="17">
        <f>IF(H40=0,"",AJ40/H40)</f>
        <v/>
      </c>
      <c r="AL40" s="14" t="n">
        <v>760102.5024999999</v>
      </c>
      <c r="AM40" s="15">
        <f>IF(H40=0,"",AL40/H40)</f>
        <v/>
      </c>
      <c r="AN40" s="14" t="n">
        <v>0</v>
      </c>
      <c r="AO40" s="14" t="n">
        <v>0</v>
      </c>
      <c r="AP40" s="14" t="n">
        <v>0</v>
      </c>
      <c r="AQ40" s="14" t="n">
        <v>0</v>
      </c>
      <c r="AR40" s="14" t="n">
        <v>2766432.42</v>
      </c>
      <c r="AS40" s="14" t="n">
        <v>429230.96</v>
      </c>
      <c r="AT40" s="14" t="n">
        <v>0</v>
      </c>
      <c r="AU40" s="15">
        <f>AH40+AL40+AP40+AQ40+AR40+AS40+AT40</f>
        <v/>
      </c>
      <c r="AV40" s="15">
        <f>IF(H40=0,"",AU40/H40)</f>
        <v/>
      </c>
      <c r="AW40" s="15">
        <f>IF(S40=0,"",AU40/S40)</f>
        <v/>
      </c>
      <c r="AX40" s="14" t="n">
        <v>6</v>
      </c>
      <c r="AY40" s="15">
        <f>IF(H40=0,"",AX40/(H40/1000/12))</f>
        <v/>
      </c>
      <c r="AZ40" s="14" t="n">
        <v>5</v>
      </c>
      <c r="BA40" s="14" t="n">
        <v>21</v>
      </c>
      <c r="BB40" s="14" t="n">
        <v>11</v>
      </c>
      <c r="BC40" s="14" t="n">
        <v>0</v>
      </c>
      <c r="BD40" s="14" t="n">
        <v>12</v>
      </c>
      <c r="BE40" s="15">
        <f>BC40+BD40</f>
        <v/>
      </c>
      <c r="BF40" s="15">
        <f>BA40+BB40-BE40</f>
        <v/>
      </c>
      <c r="BG40" s="14" t="n">
        <v>0</v>
      </c>
      <c r="BH40" s="14" t="n">
        <v>0</v>
      </c>
      <c r="BI40" s="14" t="n">
        <v>0</v>
      </c>
      <c r="BJ40" s="14" t="n">
        <v>0</v>
      </c>
      <c r="BK40" s="15">
        <f>BI40+BJ40</f>
        <v/>
      </c>
      <c r="BL40" s="15">
        <f>BG40+BH40-BK40</f>
        <v/>
      </c>
      <c r="BM40" s="14" t="n">
        <v>0</v>
      </c>
      <c r="BN40" s="14" t="n">
        <v>0</v>
      </c>
      <c r="BO40" s="14" t="n">
        <v>0</v>
      </c>
      <c r="BP40" s="14" t="n">
        <v>0</v>
      </c>
      <c r="BQ40" s="15">
        <f>BO40+BP40</f>
        <v/>
      </c>
      <c r="BR40" s="15">
        <f>BM40+BN40-BQ40</f>
        <v/>
      </c>
      <c r="BS40" s="14" t="n">
        <v>0</v>
      </c>
      <c r="BT40" s="14" t="n">
        <v>0</v>
      </c>
      <c r="BU40" s="14" t="n">
        <v>0</v>
      </c>
      <c r="BV40" s="14" t="n">
        <v>0</v>
      </c>
      <c r="BW40" s="15">
        <f>BU40+BV40</f>
        <v/>
      </c>
      <c r="BX40" s="15">
        <f>BS40+BT40-BW40</f>
        <v/>
      </c>
      <c r="BY40" s="15">
        <f>BA40+BG40+BM40+BS40</f>
        <v/>
      </c>
      <c r="BZ40" s="15">
        <f>BB40+BH40+BN40+BT40</f>
        <v/>
      </c>
      <c r="CA40" s="15">
        <f>BE40+BK40+BQ40+BW40</f>
        <v/>
      </c>
      <c r="CB40" s="15">
        <f>BF40+BL40+BR40+BX40</f>
        <v/>
      </c>
      <c r="CC40" s="14" t="n">
        <v>12</v>
      </c>
      <c r="CD40" s="14" t="n">
        <v>1</v>
      </c>
      <c r="CE40" s="14" t="n">
        <v>1</v>
      </c>
      <c r="CF40" s="14" t="n">
        <v>2</v>
      </c>
      <c r="CG40" s="14" t="n">
        <v>0</v>
      </c>
      <c r="CH40" s="15">
        <f>CD40+CE40+CF40+CG40</f>
        <v/>
      </c>
      <c r="CI40" s="14" t="n">
        <v>2</v>
      </c>
      <c r="CJ40" s="14" t="n">
        <v>1</v>
      </c>
      <c r="CK40" s="14" t="n">
        <v>0</v>
      </c>
      <c r="CL40" s="14" t="n">
        <v>0</v>
      </c>
      <c r="CM40" s="15">
        <f>CI40+CJ40+CK40+CL40</f>
        <v/>
      </c>
      <c r="CN40" s="14" t="n">
        <v>547</v>
      </c>
      <c r="CO40" s="14" t="n">
        <v>20</v>
      </c>
      <c r="CP40" s="14" t="n">
        <v>15</v>
      </c>
      <c r="CQ40" s="14" t="n">
        <v>3</v>
      </c>
      <c r="CR40" s="15">
        <f>CN40+CO40+CP40+CQ40</f>
        <v/>
      </c>
      <c r="CS40" s="15">
        <f>CM40+CR40</f>
        <v/>
      </c>
      <c r="CT40" s="14" t="n">
        <v>592</v>
      </c>
      <c r="CU40" s="14" t="n">
        <v>4200</v>
      </c>
      <c r="CV40" s="14" t="n">
        <v>2940</v>
      </c>
      <c r="CW40" s="16">
        <f>IF(CU40=0,"",CV40/CU40)</f>
        <v/>
      </c>
      <c r="CX40" s="14" t="n"/>
      <c r="CY40" s="14" t="n"/>
      <c r="CZ40" s="14" t="n"/>
      <c r="DA40" s="14" t="n"/>
      <c r="DB40" s="15">
        <f>CX40+CY40-CZ40-DA40</f>
        <v/>
      </c>
      <c r="DC40" s="14" t="n">
        <v>0</v>
      </c>
      <c r="DD40" s="14" t="n">
        <v>0</v>
      </c>
      <c r="DE40" s="14" t="n">
        <v>0</v>
      </c>
      <c r="DF40" s="14" t="n">
        <v>0</v>
      </c>
      <c r="DG40" s="15">
        <f>DC40+DD40-DE40-DF40</f>
        <v/>
      </c>
      <c r="DH40" s="14" t="n">
        <v>0</v>
      </c>
      <c r="DI40" s="14" t="n">
        <v>0</v>
      </c>
      <c r="DJ40" s="14" t="n">
        <v>0</v>
      </c>
      <c r="DK40" s="14" t="n">
        <v>0</v>
      </c>
      <c r="DL40" s="15">
        <f>DH40+DI40-DJ40-DK40</f>
        <v/>
      </c>
      <c r="DM40" s="14" t="n">
        <v>0</v>
      </c>
      <c r="DN40" s="14" t="n">
        <v>4</v>
      </c>
      <c r="DO40" s="14" t="n">
        <v>2</v>
      </c>
      <c r="DP40" s="14" t="n">
        <v>2</v>
      </c>
      <c r="DQ40" s="15">
        <f>DM40+DN40-DO40-DP40</f>
        <v/>
      </c>
      <c r="DR40" s="15">
        <f>CX40+DC40+DH40+DM40</f>
        <v/>
      </c>
      <c r="DS40" s="15">
        <f>CY40+DD40+DI40+DN40</f>
        <v/>
      </c>
      <c r="DT40" s="15">
        <f>CZ40+DE40+DJ40+DO40</f>
        <v/>
      </c>
      <c r="DU40" s="15">
        <f>DA40+DF40+DK40+DP40</f>
        <v/>
      </c>
      <c r="DV40" s="15">
        <f>DB40+DG40+DL40+DQ40</f>
        <v/>
      </c>
      <c r="DW40" s="14" t="n">
        <v>113</v>
      </c>
      <c r="DX40" s="14" t="n">
        <v>10</v>
      </c>
      <c r="DY40" s="14" t="n">
        <v>6</v>
      </c>
      <c r="DZ40" s="14" t="n">
        <v>1</v>
      </c>
      <c r="EA40" s="14" t="n">
        <v>2</v>
      </c>
      <c r="EB40" s="14" t="n">
        <v>1</v>
      </c>
      <c r="EC40" s="14" t="n">
        <v>0</v>
      </c>
      <c r="ED40" s="14" t="n">
        <v>0</v>
      </c>
      <c r="EE40" s="14" t="n">
        <v>0</v>
      </c>
      <c r="EF40" s="14" t="n">
        <v>1</v>
      </c>
      <c r="EG40" s="14" t="n">
        <v>0</v>
      </c>
      <c r="EH40" s="14" t="n">
        <v>0</v>
      </c>
      <c r="EI40" s="14" t="n">
        <v>0</v>
      </c>
      <c r="EJ40" s="14" t="n">
        <v>1</v>
      </c>
      <c r="EK40" s="14" t="n">
        <v>0</v>
      </c>
      <c r="EL40" s="14" t="n">
        <v>0</v>
      </c>
      <c r="EM40" s="14" t="n">
        <v>0</v>
      </c>
      <c r="EN40" s="14" t="n">
        <v>0</v>
      </c>
      <c r="EO40" s="14" t="n">
        <v>0</v>
      </c>
      <c r="EP40" s="14" t="n">
        <v>0</v>
      </c>
      <c r="EQ40" s="14" t="n">
        <v>0</v>
      </c>
      <c r="ER40" s="14" t="n">
        <v>0</v>
      </c>
      <c r="ES40" s="14" t="n">
        <v>0</v>
      </c>
      <c r="ET40" s="14" t="n">
        <v>0</v>
      </c>
      <c r="EU40" s="14" t="n">
        <v>0</v>
      </c>
      <c r="EV40" s="14" t="n">
        <v>0</v>
      </c>
      <c r="EW40" s="14" t="n">
        <v>0</v>
      </c>
      <c r="EX40" s="14" t="n">
        <v>0</v>
      </c>
      <c r="EY40" s="14" t="n">
        <v>0</v>
      </c>
      <c r="EZ40" s="14" t="n">
        <v>0</v>
      </c>
      <c r="FA40" s="14" t="n">
        <v>0</v>
      </c>
      <c r="FB40" s="14" t="n">
        <v>0</v>
      </c>
      <c r="FC40" s="14" t="n">
        <v>0</v>
      </c>
      <c r="FD40" s="14" t="n">
        <v>0</v>
      </c>
      <c r="FE40" s="14" t="n">
        <v>0</v>
      </c>
      <c r="FF40" s="14" t="n">
        <v>0</v>
      </c>
      <c r="FG40" s="15">
        <f>SUM(DW40,DX40,DY40,DZ40,EA40,EB40,EC40,ED40,EE40,EF40,EG40,EH40,EI40,EJ40,EK40,EL40,EM40,EN40,EO40,EP40,EQ40,ER40,ES40,ET40,EU40,EV40,EW40,EX40,EY40,EZ40,FA40,FB40,FC40,FD40,FE40,FF40)</f>
        <v/>
      </c>
      <c r="FH40" s="14" t="n">
        <v>0</v>
      </c>
      <c r="FI40" s="14" t="n">
        <v>0</v>
      </c>
      <c r="FJ40" s="14" t="n">
        <v>464</v>
      </c>
      <c r="FK40" s="14" t="n">
        <v>121</v>
      </c>
      <c r="FL40" s="14" t="n">
        <v>0</v>
      </c>
      <c r="FM40" s="14" t="n">
        <v>0</v>
      </c>
      <c r="FN40" s="14" t="n">
        <v>0</v>
      </c>
      <c r="FO40" s="14" t="n">
        <v>0</v>
      </c>
      <c r="FP40" s="14" t="n">
        <v>0</v>
      </c>
      <c r="FQ40" s="15">
        <f>FL40+FM40+FN40+FO40+FP40</f>
        <v/>
      </c>
      <c r="FR40" s="14" t="n">
        <v>0</v>
      </c>
      <c r="FS40" s="14" t="n">
        <v>0</v>
      </c>
      <c r="FT40" s="14" t="n">
        <v>0</v>
      </c>
      <c r="FU40" s="14" t="n">
        <v>0</v>
      </c>
      <c r="FV40" s="15">
        <f>FR40+FS40+FT40+FU40</f>
        <v/>
      </c>
      <c r="FW40" s="14" t="n">
        <v>4359874.28</v>
      </c>
      <c r="FX40" s="14" t="n">
        <v>34700</v>
      </c>
      <c r="FY40" s="14" t="n">
        <v>366177</v>
      </c>
      <c r="FZ40" s="14" t="n">
        <v>137300</v>
      </c>
      <c r="GA40" s="15">
        <f>FW40+FX40+FY40+FZ40</f>
        <v/>
      </c>
      <c r="GB40" s="15">
        <f>FV40+GA40</f>
        <v/>
      </c>
      <c r="GC40" s="14" t="n">
        <v>6680.52</v>
      </c>
      <c r="GD40" s="14" t="n">
        <v>0</v>
      </c>
      <c r="GE40" s="14" t="n">
        <v>13735.31</v>
      </c>
      <c r="GF40" s="14" t="n">
        <v>0</v>
      </c>
      <c r="GG40" s="15">
        <f>GC40+GD40+GE40+GF40</f>
        <v/>
      </c>
      <c r="GH40" s="14" t="n">
        <v>4190697.22</v>
      </c>
      <c r="GI40" s="14" t="n">
        <v>34700</v>
      </c>
      <c r="GJ40" s="14" t="n">
        <v>136700</v>
      </c>
      <c r="GK40" s="14" t="n">
        <v>326378.46</v>
      </c>
      <c r="GL40" s="15">
        <f>GH40+GI40+GJ40+GK40</f>
        <v/>
      </c>
      <c r="GM40" s="15">
        <f>GG40+GL40</f>
        <v/>
      </c>
      <c r="GN40" s="14" t="n">
        <v>1089.86</v>
      </c>
      <c r="GO40" s="14" t="n">
        <v>0</v>
      </c>
      <c r="GP40" s="14" t="n">
        <v>3393.64</v>
      </c>
      <c r="GQ40" s="14" t="n">
        <v>0</v>
      </c>
      <c r="GR40" s="15">
        <f>GN40+GO40+GP40+GQ40</f>
        <v/>
      </c>
      <c r="GS40" s="14" t="n">
        <v>1786</v>
      </c>
      <c r="GT40" s="14" t="n">
        <v>0</v>
      </c>
      <c r="GU40" s="14" t="n">
        <v>893</v>
      </c>
      <c r="GV40" s="14" t="n">
        <v>0</v>
      </c>
      <c r="GW40" s="15">
        <f>GS40+GT40+GU40+GV40</f>
        <v/>
      </c>
      <c r="GX40" s="15">
        <f>GM40+GR40+GW40</f>
        <v/>
      </c>
      <c r="GY40" s="14" t="n">
        <v>0</v>
      </c>
      <c r="GZ40" s="14" t="n">
        <v>0</v>
      </c>
      <c r="HA40" s="15">
        <f>GY40+GZ40</f>
        <v/>
      </c>
      <c r="HB40" s="15">
        <f>IF(GX40=0,"",AU40/GX40)</f>
        <v/>
      </c>
      <c r="HC40" s="16">
        <f>IF((GX40+GY40)=0,"",GB40/(GX40+GY40))</f>
        <v/>
      </c>
      <c r="HD40" s="15">
        <f>IF(GX40=0,"",GB40/GX40)</f>
        <v/>
      </c>
      <c r="HE40" s="14" t="n">
        <v>19</v>
      </c>
      <c r="HF40" s="14" t="n">
        <v>3</v>
      </c>
      <c r="HG40" s="14" t="n">
        <v>20</v>
      </c>
      <c r="HH40" s="14" t="n">
        <v>11</v>
      </c>
      <c r="HI40" s="14" t="n">
        <v>30</v>
      </c>
      <c r="HJ40" s="15">
        <f>HF40+HI40</f>
        <v/>
      </c>
      <c r="HK40" s="16">
        <f>IF(HE40=0,"",HH40/HE40)</f>
        <v/>
      </c>
      <c r="HL40" s="14" t="n">
        <v>12</v>
      </c>
      <c r="HM40" s="14" t="n">
        <v>2</v>
      </c>
      <c r="HN40" s="17">
        <f>IF(HL40=0,"",HM40/HL40)</f>
        <v/>
      </c>
    </row>
    <row r="41">
      <c r="A41" s="6" t="inlineStr">
        <is>
          <t>Liwonde</t>
        </is>
      </c>
      <c r="B41" s="6" t="inlineStr">
        <is>
          <t>Ntaja</t>
        </is>
      </c>
      <c r="C41" s="7" t="inlineStr">
        <is>
          <t>FY2025/26</t>
        </is>
      </c>
      <c r="D41" s="7" t="n">
        <v>2025</v>
      </c>
      <c r="E41" s="7" t="n">
        <v>6</v>
      </c>
      <c r="F41" s="7" t="inlineStr">
        <is>
          <t>June</t>
        </is>
      </c>
      <c r="G41" s="7" t="inlineStr">
        <is>
          <t>Q1</t>
        </is>
      </c>
      <c r="H41" s="8" t="n">
        <v>4209</v>
      </c>
      <c r="I41" s="8" t="n">
        <v>10</v>
      </c>
      <c r="J41" s="8" t="n">
        <v>0</v>
      </c>
      <c r="K41" s="8" t="n">
        <v>8</v>
      </c>
      <c r="L41" s="8" t="n">
        <v>0</v>
      </c>
      <c r="M41" s="9">
        <f>SUM(I41,J41,K41,L41)</f>
        <v/>
      </c>
      <c r="N41" s="8" t="n">
        <v>3568.5</v>
      </c>
      <c r="O41" s="8" t="n">
        <v>200</v>
      </c>
      <c r="P41" s="8" t="n">
        <v>38.6</v>
      </c>
      <c r="Q41" s="8" t="n">
        <v>40.6</v>
      </c>
      <c r="R41" s="9">
        <f>SUM(N41,O41,P41,Q41)</f>
        <v/>
      </c>
      <c r="S41" s="9">
        <f>M41+R41</f>
        <v/>
      </c>
      <c r="T41" s="8" t="n">
        <v>343.3</v>
      </c>
      <c r="U41" s="10">
        <f>IF(H41=0,"",T41/H41)</f>
        <v/>
      </c>
      <c r="V41" s="8" t="n">
        <v>9</v>
      </c>
      <c r="W41" s="11">
        <f>IF(H41=0,"",V41/H41)</f>
        <v/>
      </c>
      <c r="X41" s="8" t="n">
        <v>0</v>
      </c>
      <c r="Y41" s="11">
        <f>IF(H41=0,"",X41/H41)</f>
        <v/>
      </c>
      <c r="Z41" s="8" t="n">
        <v>0</v>
      </c>
      <c r="AA41" s="11">
        <f>IF(H41=0,"",Z41/H41)</f>
        <v/>
      </c>
      <c r="AB41" s="8" t="n">
        <v>0</v>
      </c>
      <c r="AC41" s="11">
        <f>IF(H41=0,"",AB41/H41)</f>
        <v/>
      </c>
      <c r="AD41" s="8" t="n">
        <v>0</v>
      </c>
      <c r="AE41" s="11">
        <f>IF(H41=0,"",AD41/H41)</f>
        <v/>
      </c>
      <c r="AF41" s="8" t="n">
        <v>0</v>
      </c>
      <c r="AG41" s="11">
        <f>IF(H41=0,"",AF41/H41)</f>
        <v/>
      </c>
      <c r="AH41" s="8" t="n">
        <v>31727.61</v>
      </c>
      <c r="AI41" s="9">
        <f>IF(H41=0,"",AH41/H41)</f>
        <v/>
      </c>
      <c r="AJ41" s="8" t="n">
        <v>4511</v>
      </c>
      <c r="AK41" s="11">
        <f>IF(H41=0,"",AJ41/H41)</f>
        <v/>
      </c>
      <c r="AL41" s="8" t="n">
        <v>773476.7025</v>
      </c>
      <c r="AM41" s="9">
        <f>IF(H41=0,"",AL41/H41)</f>
        <v/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24996337.22</v>
      </c>
      <c r="AS41" s="8" t="n">
        <v>615462.3199999999</v>
      </c>
      <c r="AT41" s="8" t="n">
        <v>0</v>
      </c>
      <c r="AU41" s="9">
        <f>AH41+AL41+AP41+AQ41+AR41+AS41+AT41</f>
        <v/>
      </c>
      <c r="AV41" s="9">
        <f>IF(H41=0,"",AU41/H41)</f>
        <v/>
      </c>
      <c r="AW41" s="9">
        <f>IF(S41=0,"",AU41/S41)</f>
        <v/>
      </c>
      <c r="AX41" s="8" t="n">
        <v>6</v>
      </c>
      <c r="AY41" s="9">
        <f>IF(H41=0,"",AX41/(H41/1000/12))</f>
        <v/>
      </c>
      <c r="AZ41" s="8" t="n">
        <v>5</v>
      </c>
      <c r="BA41" s="8" t="n">
        <v>20</v>
      </c>
      <c r="BB41" s="8" t="n">
        <v>45</v>
      </c>
      <c r="BC41" s="8" t="n">
        <v>0</v>
      </c>
      <c r="BD41" s="8" t="n">
        <v>0</v>
      </c>
      <c r="BE41" s="9">
        <f>BC41+BD41</f>
        <v/>
      </c>
      <c r="BF41" s="9">
        <f>BA41+BB41-BE41</f>
        <v/>
      </c>
      <c r="BG41" s="8" t="n">
        <v>0</v>
      </c>
      <c r="BH41" s="8" t="n">
        <v>0</v>
      </c>
      <c r="BI41" s="8" t="n">
        <v>0</v>
      </c>
      <c r="BJ41" s="8" t="n">
        <v>0</v>
      </c>
      <c r="BK41" s="9">
        <f>BI41+BJ41</f>
        <v/>
      </c>
      <c r="BL41" s="9">
        <f>BG41+BH41-BK41</f>
        <v/>
      </c>
      <c r="BM41" s="8" t="n">
        <v>0</v>
      </c>
      <c r="BN41" s="8" t="n">
        <v>0</v>
      </c>
      <c r="BO41" s="8" t="n">
        <v>0</v>
      </c>
      <c r="BP41" s="8" t="n">
        <v>0</v>
      </c>
      <c r="BQ41" s="9">
        <f>BO41+BP41</f>
        <v/>
      </c>
      <c r="BR41" s="9">
        <f>BM41+BN41-BQ41</f>
        <v/>
      </c>
      <c r="BS41" s="8" t="n">
        <v>0</v>
      </c>
      <c r="BT41" s="8" t="n">
        <v>0</v>
      </c>
      <c r="BU41" s="8" t="n">
        <v>0</v>
      </c>
      <c r="BV41" s="8" t="n">
        <v>0</v>
      </c>
      <c r="BW41" s="9">
        <f>BU41+BV41</f>
        <v/>
      </c>
      <c r="BX41" s="9">
        <f>BS41+BT41-BW41</f>
        <v/>
      </c>
      <c r="BY41" s="9">
        <f>BA41+BG41+BM41+BS41</f>
        <v/>
      </c>
      <c r="BZ41" s="9">
        <f>BB41+BH41+BN41+BT41</f>
        <v/>
      </c>
      <c r="CA41" s="9">
        <f>BE41+BK41+BQ41+BW41</f>
        <v/>
      </c>
      <c r="CB41" s="9">
        <f>BF41+BL41+BR41+BX41</f>
        <v/>
      </c>
      <c r="CC41" s="8" t="n">
        <v>0</v>
      </c>
      <c r="CD41" s="8" t="n">
        <v>1</v>
      </c>
      <c r="CE41" s="8" t="n">
        <v>1</v>
      </c>
      <c r="CF41" s="8" t="n">
        <v>2</v>
      </c>
      <c r="CG41" s="8" t="n">
        <v>0</v>
      </c>
      <c r="CH41" s="9">
        <f>CD41+CE41+CF41+CG41</f>
        <v/>
      </c>
      <c r="CI41" s="8" t="n">
        <v>1</v>
      </c>
      <c r="CJ41" s="8" t="n">
        <v>2</v>
      </c>
      <c r="CK41" s="8" t="n">
        <v>0</v>
      </c>
      <c r="CL41" s="8" t="n">
        <v>0</v>
      </c>
      <c r="CM41" s="9">
        <f>CI41+CJ41+CK41+CL41</f>
        <v/>
      </c>
      <c r="CN41" s="8" t="n">
        <v>567</v>
      </c>
      <c r="CO41" s="8" t="n">
        <v>20</v>
      </c>
      <c r="CP41" s="8" t="n">
        <v>15</v>
      </c>
      <c r="CQ41" s="8" t="n">
        <v>3</v>
      </c>
      <c r="CR41" s="9">
        <f>CN41+CO41+CP41+CQ41</f>
        <v/>
      </c>
      <c r="CS41" s="9">
        <f>CM41+CR41</f>
        <v/>
      </c>
      <c r="CT41" s="8" t="n">
        <v>612</v>
      </c>
      <c r="CU41" s="8" t="n">
        <v>4200</v>
      </c>
      <c r="CV41" s="8" t="n">
        <v>2940</v>
      </c>
      <c r="CW41" s="10">
        <f>IF(CU41=0,"",CV41/CU41)</f>
        <v/>
      </c>
      <c r="CX41" s="8" t="n"/>
      <c r="CY41" s="8" t="n"/>
      <c r="CZ41" s="8" t="n"/>
      <c r="DA41" s="8" t="n"/>
      <c r="DB41" s="9">
        <f>CX41+CY41-CZ41-DA41</f>
        <v/>
      </c>
      <c r="DC41" s="8" t="n">
        <v>0</v>
      </c>
      <c r="DD41" s="8" t="n">
        <v>0</v>
      </c>
      <c r="DE41" s="8" t="n">
        <v>0</v>
      </c>
      <c r="DF41" s="8" t="n">
        <v>0</v>
      </c>
      <c r="DG41" s="9">
        <f>DC41+DD41-DE41-DF41</f>
        <v/>
      </c>
      <c r="DH41" s="8" t="n">
        <v>0</v>
      </c>
      <c r="DI41" s="8" t="n">
        <v>0</v>
      </c>
      <c r="DJ41" s="8" t="n">
        <v>0</v>
      </c>
      <c r="DK41" s="8" t="n">
        <v>0</v>
      </c>
      <c r="DL41" s="9">
        <f>DH41+DI41-DJ41-DK41</f>
        <v/>
      </c>
      <c r="DM41" s="8" t="n">
        <v>0</v>
      </c>
      <c r="DN41" s="8" t="n">
        <v>6</v>
      </c>
      <c r="DO41" s="8" t="n">
        <v>5</v>
      </c>
      <c r="DP41" s="8" t="n">
        <v>1</v>
      </c>
      <c r="DQ41" s="9">
        <f>DM41+DN41-DO41-DP41</f>
        <v/>
      </c>
      <c r="DR41" s="9">
        <f>CX41+DC41+DH41+DM41</f>
        <v/>
      </c>
      <c r="DS41" s="9">
        <f>CY41+DD41+DI41+DN41</f>
        <v/>
      </c>
      <c r="DT41" s="9">
        <f>CZ41+DE41+DJ41+DO41</f>
        <v/>
      </c>
      <c r="DU41" s="9">
        <f>DA41+DF41+DK41+DP41</f>
        <v/>
      </c>
      <c r="DV41" s="9">
        <f>DB41+DG41+DL41+DQ41</f>
        <v/>
      </c>
      <c r="DW41" s="8" t="n">
        <v>77</v>
      </c>
      <c r="DX41" s="8" t="n">
        <v>15</v>
      </c>
      <c r="DY41" s="8" t="n">
        <v>9</v>
      </c>
      <c r="DZ41" s="8" t="n">
        <v>0</v>
      </c>
      <c r="EA41" s="8" t="n">
        <v>3</v>
      </c>
      <c r="EB41" s="8" t="n">
        <v>0</v>
      </c>
      <c r="EC41" s="8" t="n">
        <v>0</v>
      </c>
      <c r="ED41" s="8" t="n">
        <v>1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0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  <c r="EX41" s="8" t="n">
        <v>0</v>
      </c>
      <c r="EY41" s="8" t="n">
        <v>0</v>
      </c>
      <c r="EZ41" s="8" t="n">
        <v>0</v>
      </c>
      <c r="FA41" s="8" t="n">
        <v>0</v>
      </c>
      <c r="FB41" s="8" t="n">
        <v>0</v>
      </c>
      <c r="FC41" s="8" t="n">
        <v>0</v>
      </c>
      <c r="FD41" s="8" t="n">
        <v>0</v>
      </c>
      <c r="FE41" s="8" t="n">
        <v>0</v>
      </c>
      <c r="FF41" s="8" t="n">
        <v>0</v>
      </c>
      <c r="FG41" s="9">
        <f>SUM(DW41,DX41,DY41,DZ41,EA41,EB41,EC41,ED41,EE41,EF41,EG41,EH41,EI41,EJ41,EK41,EL41,EM41,EN41,EO41,EP41,EQ41,ER41,ES41,ET41,EU41,EV41,EW41,EX41,EY41,EZ41,FA41,FB41,FC41,FD41,FE41,FF41)</f>
        <v/>
      </c>
      <c r="FH41" s="8" t="n">
        <v>0</v>
      </c>
      <c r="FI41" s="8" t="n">
        <v>0</v>
      </c>
      <c r="FJ41" s="8" t="n">
        <v>720</v>
      </c>
      <c r="FK41" s="8" t="n">
        <v>148</v>
      </c>
      <c r="FL41" s="8" t="n">
        <v>0</v>
      </c>
      <c r="FM41" s="8" t="n">
        <v>0</v>
      </c>
      <c r="FN41" s="8" t="n">
        <v>0</v>
      </c>
      <c r="FO41" s="8" t="n">
        <v>0</v>
      </c>
      <c r="FP41" s="8" t="n">
        <v>0</v>
      </c>
      <c r="FQ41" s="9">
        <f>FL41+FM41+FN41+FO41+FP41</f>
        <v/>
      </c>
      <c r="FR41" s="8" t="n">
        <v>0</v>
      </c>
      <c r="FS41" s="8" t="n">
        <v>0</v>
      </c>
      <c r="FT41" s="8" t="n">
        <v>0</v>
      </c>
      <c r="FU41" s="8" t="n">
        <v>0</v>
      </c>
      <c r="FV41" s="9">
        <f>FR41+FS41+FT41+FU41</f>
        <v/>
      </c>
      <c r="FW41" s="8" t="n">
        <v>4669512.16</v>
      </c>
      <c r="FX41" s="8" t="n">
        <v>42500</v>
      </c>
      <c r="FY41" s="8" t="n">
        <v>191200</v>
      </c>
      <c r="FZ41" s="8" t="n">
        <v>118415</v>
      </c>
      <c r="GA41" s="9">
        <f>FW41+FX41+FY41+FZ41</f>
        <v/>
      </c>
      <c r="GB41" s="9">
        <f>FV41+GA41</f>
        <v/>
      </c>
      <c r="GC41" s="8" t="n">
        <v>11079.02</v>
      </c>
      <c r="GD41" s="8" t="n">
        <v>0</v>
      </c>
      <c r="GE41" s="8" t="n">
        <v>19059.63</v>
      </c>
      <c r="GF41" s="8" t="n">
        <v>0</v>
      </c>
      <c r="GG41" s="9">
        <f>GC41+GD41+GE41+GF41</f>
        <v/>
      </c>
      <c r="GH41" s="8" t="n">
        <v>4521318.369999995</v>
      </c>
      <c r="GI41" s="8" t="n">
        <v>42500</v>
      </c>
      <c r="GJ41" s="8" t="n">
        <v>117215</v>
      </c>
      <c r="GK41" s="8" t="n">
        <v>191200</v>
      </c>
      <c r="GL41" s="9">
        <f>GH41+GI41+GJ41+GK41</f>
        <v/>
      </c>
      <c r="GM41" s="9">
        <f>GG41+GL41</f>
        <v/>
      </c>
      <c r="GN41" s="8" t="n">
        <v>1089.86</v>
      </c>
      <c r="GO41" s="8" t="n">
        <v>0</v>
      </c>
      <c r="GP41" s="8" t="n">
        <v>3393.64</v>
      </c>
      <c r="GQ41" s="8" t="n">
        <v>0</v>
      </c>
      <c r="GR41" s="9">
        <f>GN41+GO41+GP41+GQ41</f>
        <v/>
      </c>
      <c r="GS41" s="8" t="n">
        <v>1786</v>
      </c>
      <c r="GT41" s="8" t="n">
        <v>0</v>
      </c>
      <c r="GU41" s="8" t="n">
        <v>893</v>
      </c>
      <c r="GV41" s="8" t="n">
        <v>0</v>
      </c>
      <c r="GW41" s="9">
        <f>GS41+GT41+GU41+GV41</f>
        <v/>
      </c>
      <c r="GX41" s="9">
        <f>GM41+GR41+GW41</f>
        <v/>
      </c>
      <c r="GY41" s="8" t="n">
        <v>593245.55</v>
      </c>
      <c r="GZ41" s="8" t="n">
        <v>0</v>
      </c>
      <c r="HA41" s="9">
        <f>GY41+GZ41</f>
        <v/>
      </c>
      <c r="HB41" s="9">
        <f>IF(GX41=0,"",AU41/GX41)</f>
        <v/>
      </c>
      <c r="HC41" s="10">
        <f>IF((GX41+GY41)=0,"",GB41/(GX41+GY41))</f>
        <v/>
      </c>
      <c r="HD41" s="9">
        <f>IF(GX41=0,"",GB41/GX41)</f>
        <v/>
      </c>
      <c r="HE41" s="8" t="n">
        <v>61</v>
      </c>
      <c r="HF41" s="8" t="n">
        <v>3</v>
      </c>
      <c r="HG41" s="8" t="n">
        <v>65</v>
      </c>
      <c r="HH41" s="8" t="n">
        <v>45</v>
      </c>
      <c r="HI41" s="8" t="n">
        <v>0</v>
      </c>
      <c r="HJ41" s="9">
        <f>HF41+HI41</f>
        <v/>
      </c>
      <c r="HK41" s="10">
        <f>IF(HE41=0,"",HH41/HE41)</f>
        <v/>
      </c>
      <c r="HL41" s="8" t="n">
        <v>28</v>
      </c>
      <c r="HM41" s="8" t="n">
        <v>5</v>
      </c>
      <c r="HN41" s="11">
        <f>IF(HL41=0,"",HM41/HL41)</f>
        <v/>
      </c>
    </row>
    <row r="42">
      <c r="A42" s="12" t="inlineStr">
        <is>
          <t>Liwonde</t>
        </is>
      </c>
      <c r="B42" s="12" t="inlineStr">
        <is>
          <t>Ntaja</t>
        </is>
      </c>
      <c r="C42" s="13" t="inlineStr">
        <is>
          <t>FY2025/26</t>
        </is>
      </c>
      <c r="D42" s="13" t="n">
        <v>2025</v>
      </c>
      <c r="E42" s="13" t="n">
        <v>7</v>
      </c>
      <c r="F42" s="13" t="inlineStr">
        <is>
          <t>July</t>
        </is>
      </c>
      <c r="G42" s="13" t="inlineStr">
        <is>
          <t>Q2</t>
        </is>
      </c>
      <c r="H42" s="14" t="n">
        <v>3827</v>
      </c>
      <c r="I42" s="14" t="n">
        <v>15</v>
      </c>
      <c r="J42" s="14" t="n">
        <v>0</v>
      </c>
      <c r="K42" s="14" t="n">
        <v>3</v>
      </c>
      <c r="L42" s="14" t="n">
        <v>0</v>
      </c>
      <c r="M42" s="15">
        <f>SUM(I42,J42,K42,L42)</f>
        <v/>
      </c>
      <c r="N42" s="14" t="n">
        <v>3235.4</v>
      </c>
      <c r="O42" s="14" t="n">
        <v>80.5</v>
      </c>
      <c r="P42" s="14" t="n">
        <v>44.2</v>
      </c>
      <c r="Q42" s="14" t="n">
        <v>50.4</v>
      </c>
      <c r="R42" s="15">
        <f>SUM(N42,O42,P42,Q42)</f>
        <v/>
      </c>
      <c r="S42" s="15">
        <f>M42+R42</f>
        <v/>
      </c>
      <c r="T42" s="14" t="n">
        <v>398.5</v>
      </c>
      <c r="U42" s="16">
        <f>IF(H42=0,"",T42/H42)</f>
        <v/>
      </c>
      <c r="V42" s="14" t="n">
        <v>9</v>
      </c>
      <c r="W42" s="17">
        <f>IF(H42=0,"",V42/H42)</f>
        <v/>
      </c>
      <c r="X42" s="14" t="n">
        <v>0</v>
      </c>
      <c r="Y42" s="17">
        <f>IF(H42=0,"",X42/H42)</f>
        <v/>
      </c>
      <c r="Z42" s="14" t="n">
        <v>0</v>
      </c>
      <c r="AA42" s="17">
        <f>IF(H42=0,"",Z42/H42)</f>
        <v/>
      </c>
      <c r="AB42" s="14" t="n">
        <v>0</v>
      </c>
      <c r="AC42" s="17">
        <f>IF(H42=0,"",AB42/H42)</f>
        <v/>
      </c>
      <c r="AD42" s="14" t="n">
        <v>0</v>
      </c>
      <c r="AE42" s="17">
        <f>IF(H42=0,"",AD42/H42)</f>
        <v/>
      </c>
      <c r="AF42" s="14" t="n">
        <v>0</v>
      </c>
      <c r="AG42" s="17">
        <f>IF(H42=0,"",AF42/H42)</f>
        <v/>
      </c>
      <c r="AH42" s="14" t="n">
        <v>31727.61</v>
      </c>
      <c r="AI42" s="15">
        <f>IF(H42=0,"",AH42/H42)</f>
        <v/>
      </c>
      <c r="AJ42" s="14" t="n">
        <v>4400</v>
      </c>
      <c r="AK42" s="17">
        <f>IF(H42=0,"",AJ42/H42)</f>
        <v/>
      </c>
      <c r="AL42" s="14" t="n">
        <v>754920</v>
      </c>
      <c r="AM42" s="15">
        <f>IF(H42=0,"",AL42/H42)</f>
        <v/>
      </c>
      <c r="AN42" s="14" t="n">
        <v>0</v>
      </c>
      <c r="AO42" s="14" t="n">
        <v>0</v>
      </c>
      <c r="AP42" s="14" t="n">
        <v>0</v>
      </c>
      <c r="AQ42" s="14" t="n">
        <v>0</v>
      </c>
      <c r="AR42" s="14" t="n">
        <v>2496337.22</v>
      </c>
      <c r="AS42" s="14" t="n">
        <v>630000.8</v>
      </c>
      <c r="AT42" s="14" t="n">
        <v>0</v>
      </c>
      <c r="AU42" s="15">
        <f>AH42+AL42+AP42+AQ42+AR42+AS42+AT42</f>
        <v/>
      </c>
      <c r="AV42" s="15">
        <f>IF(H42=0,"",AU42/H42)</f>
        <v/>
      </c>
      <c r="AW42" s="15">
        <f>IF(S42=0,"",AU42/S42)</f>
        <v/>
      </c>
      <c r="AX42" s="14" t="n">
        <v>6</v>
      </c>
      <c r="AY42" s="15">
        <f>IF(H42=0,"",AX42/(H42/1000/12))</f>
        <v/>
      </c>
      <c r="AZ42" s="14" t="n">
        <v>5</v>
      </c>
      <c r="BA42" s="14" t="n">
        <v>45</v>
      </c>
      <c r="BB42" s="14" t="n">
        <v>22</v>
      </c>
      <c r="BC42" s="14" t="n">
        <v>0</v>
      </c>
      <c r="BD42" s="14" t="n">
        <v>25</v>
      </c>
      <c r="BE42" s="15">
        <f>BC42+BD42</f>
        <v/>
      </c>
      <c r="BF42" s="15">
        <f>BA42+BB42-BE42</f>
        <v/>
      </c>
      <c r="BG42" s="14" t="n">
        <v>3</v>
      </c>
      <c r="BH42" s="14" t="n">
        <v>0</v>
      </c>
      <c r="BI42" s="14" t="n">
        <v>0</v>
      </c>
      <c r="BJ42" s="14" t="n">
        <v>0</v>
      </c>
      <c r="BK42" s="15">
        <f>BI42+BJ42</f>
        <v/>
      </c>
      <c r="BL42" s="15">
        <f>BG42+BH42-BK42</f>
        <v/>
      </c>
      <c r="BM42" s="14" t="n">
        <v>0</v>
      </c>
      <c r="BN42" s="14" t="n">
        <v>1</v>
      </c>
      <c r="BO42" s="14" t="n">
        <v>0</v>
      </c>
      <c r="BP42" s="14" t="n">
        <v>1</v>
      </c>
      <c r="BQ42" s="15">
        <f>BO42+BP42</f>
        <v/>
      </c>
      <c r="BR42" s="15">
        <f>BM42+BN42-BQ42</f>
        <v/>
      </c>
      <c r="BS42" s="14" t="n">
        <v>0</v>
      </c>
      <c r="BT42" s="14" t="n">
        <v>0</v>
      </c>
      <c r="BU42" s="14" t="n">
        <v>0</v>
      </c>
      <c r="BV42" s="14" t="n">
        <v>0</v>
      </c>
      <c r="BW42" s="15">
        <f>BU42+BV42</f>
        <v/>
      </c>
      <c r="BX42" s="15">
        <f>BS42+BT42-BW42</f>
        <v/>
      </c>
      <c r="BY42" s="15">
        <f>BA42+BG42+BM42+BS42</f>
        <v/>
      </c>
      <c r="BZ42" s="15">
        <f>BB42+BH42+BN42+BT42</f>
        <v/>
      </c>
      <c r="CA42" s="15">
        <f>BE42+BK42+BQ42+BW42</f>
        <v/>
      </c>
      <c r="CB42" s="15">
        <f>BF42+BL42+BR42+BX42</f>
        <v/>
      </c>
      <c r="CC42" s="14" t="n">
        <v>28</v>
      </c>
      <c r="CD42" s="14" t="n">
        <v>1</v>
      </c>
      <c r="CE42" s="14" t="n">
        <v>1</v>
      </c>
      <c r="CF42" s="14" t="n">
        <v>2</v>
      </c>
      <c r="CG42" s="14" t="n">
        <v>0</v>
      </c>
      <c r="CH42" s="15">
        <f>CD42+CE42+CF42+CG42</f>
        <v/>
      </c>
      <c r="CI42" s="14" t="n">
        <v>1</v>
      </c>
      <c r="CJ42" s="14" t="n">
        <v>2</v>
      </c>
      <c r="CK42" s="14" t="n">
        <v>0</v>
      </c>
      <c r="CL42" s="14" t="n">
        <v>0</v>
      </c>
      <c r="CM42" s="15">
        <f>CI42+CJ42+CK42+CL42</f>
        <v/>
      </c>
      <c r="CN42" s="14" t="n">
        <v>592</v>
      </c>
      <c r="CO42" s="14" t="n">
        <v>20</v>
      </c>
      <c r="CP42" s="14" t="n">
        <v>16</v>
      </c>
      <c r="CQ42" s="14" t="n">
        <v>3</v>
      </c>
      <c r="CR42" s="15">
        <f>CN42+CO42+CP42+CQ42</f>
        <v/>
      </c>
      <c r="CS42" s="15">
        <f>CM42+CR42</f>
        <v/>
      </c>
      <c r="CT42" s="14" t="n">
        <v>638</v>
      </c>
      <c r="CU42" s="14" t="n">
        <v>4220</v>
      </c>
      <c r="CV42" s="14" t="n">
        <v>2940</v>
      </c>
      <c r="CW42" s="16">
        <f>IF(CU42=0,"",CV42/CU42)</f>
        <v/>
      </c>
      <c r="CX42" s="14" t="n"/>
      <c r="CY42" s="14" t="n"/>
      <c r="CZ42" s="14" t="n"/>
      <c r="DA42" s="14" t="n"/>
      <c r="DB42" s="15">
        <f>CX42+CY42-CZ42-DA42</f>
        <v/>
      </c>
      <c r="DC42" s="14" t="n">
        <v>0</v>
      </c>
      <c r="DD42" s="14" t="n">
        <v>0</v>
      </c>
      <c r="DE42" s="14" t="n">
        <v>0</v>
      </c>
      <c r="DF42" s="14" t="n">
        <v>0</v>
      </c>
      <c r="DG42" s="15">
        <f>DC42+DD42-DE42-DF42</f>
        <v/>
      </c>
      <c r="DH42" s="14" t="n">
        <v>0</v>
      </c>
      <c r="DI42" s="14" t="n">
        <v>0</v>
      </c>
      <c r="DJ42" s="14" t="n">
        <v>0</v>
      </c>
      <c r="DK42" s="14" t="n">
        <v>0</v>
      </c>
      <c r="DL42" s="15">
        <f>DH42+DI42-DJ42-DK42</f>
        <v/>
      </c>
      <c r="DM42" s="14" t="n">
        <v>0</v>
      </c>
      <c r="DN42" s="14" t="n">
        <v>4</v>
      </c>
      <c r="DO42" s="14" t="n">
        <v>1</v>
      </c>
      <c r="DP42" s="14" t="n">
        <v>3</v>
      </c>
      <c r="DQ42" s="15">
        <f>DM42+DN42-DO42-DP42</f>
        <v/>
      </c>
      <c r="DR42" s="15">
        <f>CX42+DC42+DH42+DM42</f>
        <v/>
      </c>
      <c r="DS42" s="15">
        <f>CY42+DD42+DI42+DN42</f>
        <v/>
      </c>
      <c r="DT42" s="15">
        <f>CZ42+DE42+DJ42+DO42</f>
        <v/>
      </c>
      <c r="DU42" s="15">
        <f>DA42+DF42+DK42+DP42</f>
        <v/>
      </c>
      <c r="DV42" s="15">
        <f>DB42+DG42+DL42+DQ42</f>
        <v/>
      </c>
      <c r="DW42" s="14" t="n">
        <v>58</v>
      </c>
      <c r="DX42" s="14" t="n">
        <v>5</v>
      </c>
      <c r="DY42" s="14" t="n">
        <v>3</v>
      </c>
      <c r="DZ42" s="14" t="n">
        <v>0</v>
      </c>
      <c r="EA42" s="14" t="n">
        <v>0</v>
      </c>
      <c r="EB42" s="14" t="n">
        <v>0</v>
      </c>
      <c r="EC42" s="14" t="n">
        <v>0</v>
      </c>
      <c r="ED42" s="14" t="n">
        <v>1</v>
      </c>
      <c r="EE42" s="14" t="n">
        <v>0</v>
      </c>
      <c r="EF42" s="14" t="n">
        <v>0</v>
      </c>
      <c r="EG42" s="14" t="n">
        <v>0</v>
      </c>
      <c r="EH42" s="14" t="n">
        <v>0</v>
      </c>
      <c r="EI42" s="14" t="n">
        <v>0</v>
      </c>
      <c r="EJ42" s="14" t="n">
        <v>0</v>
      </c>
      <c r="EK42" s="14" t="n">
        <v>0</v>
      </c>
      <c r="EL42" s="14" t="n">
        <v>0</v>
      </c>
      <c r="EM42" s="14" t="n">
        <v>0</v>
      </c>
      <c r="EN42" s="14" t="n">
        <v>0</v>
      </c>
      <c r="EO42" s="14" t="n">
        <v>0</v>
      </c>
      <c r="EP42" s="14" t="n">
        <v>0</v>
      </c>
      <c r="EQ42" s="14" t="n">
        <v>0</v>
      </c>
      <c r="ER42" s="14" t="n">
        <v>0</v>
      </c>
      <c r="ES42" s="14" t="n">
        <v>0</v>
      </c>
      <c r="ET42" s="14" t="n">
        <v>0</v>
      </c>
      <c r="EU42" s="14" t="n">
        <v>0</v>
      </c>
      <c r="EV42" s="14" t="n">
        <v>0</v>
      </c>
      <c r="EW42" s="14" t="n">
        <v>0</v>
      </c>
      <c r="EX42" s="14" t="n">
        <v>0</v>
      </c>
      <c r="EY42" s="14" t="n">
        <v>0</v>
      </c>
      <c r="EZ42" s="14" t="n">
        <v>0</v>
      </c>
      <c r="FA42" s="14" t="n">
        <v>0</v>
      </c>
      <c r="FB42" s="14" t="n">
        <v>0</v>
      </c>
      <c r="FC42" s="14" t="n">
        <v>0</v>
      </c>
      <c r="FD42" s="14" t="n">
        <v>0</v>
      </c>
      <c r="FE42" s="14" t="n">
        <v>0</v>
      </c>
      <c r="FF42" s="14" t="n">
        <v>0</v>
      </c>
      <c r="FG42" s="15">
        <f>SUM(DW42,DX42,DY42,DZ42,EA42,EB42,EC42,ED42,EE42,EF42,EG42,EH42,EI42,EJ42,EK42,EL42,EM42,EN42,EO42,EP42,EQ42,ER42,ES42,ET42,EU42,EV42,EW42,EX42,EY42,EZ42,FA42,FB42,FC42,FD42,FE42,FF42)</f>
        <v/>
      </c>
      <c r="FH42" s="14" t="n">
        <v>0</v>
      </c>
      <c r="FI42" s="14" t="n">
        <v>0</v>
      </c>
      <c r="FJ42" s="14" t="n">
        <v>720</v>
      </c>
      <c r="FK42" s="14" t="n">
        <v>158</v>
      </c>
      <c r="FL42" s="14" t="n">
        <v>0</v>
      </c>
      <c r="FM42" s="14" t="n">
        <v>0</v>
      </c>
      <c r="FN42" s="14" t="n">
        <v>0</v>
      </c>
      <c r="FO42" s="14" t="n">
        <v>0</v>
      </c>
      <c r="FP42" s="14" t="n">
        <v>0</v>
      </c>
      <c r="FQ42" s="15">
        <f>FL42+FM42+FN42+FO42+FP42</f>
        <v/>
      </c>
      <c r="FR42" s="14" t="n">
        <v>0</v>
      </c>
      <c r="FS42" s="14" t="n">
        <v>0</v>
      </c>
      <c r="FT42" s="14" t="n">
        <v>0</v>
      </c>
      <c r="FU42" s="14" t="n">
        <v>0</v>
      </c>
      <c r="FV42" s="15">
        <f>FR42+FS42+FT42+FU42</f>
        <v/>
      </c>
      <c r="FW42" s="14" t="n">
        <v>4182405.16</v>
      </c>
      <c r="FX42" s="14" t="n">
        <v>17100</v>
      </c>
      <c r="FY42" s="14" t="n">
        <v>237024.64</v>
      </c>
      <c r="FZ42" s="14" t="n">
        <v>133400</v>
      </c>
      <c r="GA42" s="15">
        <f>FW42+FX42+FY42+FZ42</f>
        <v/>
      </c>
      <c r="GB42" s="15">
        <f>FV42+GA42</f>
        <v/>
      </c>
      <c r="GC42" s="14" t="n">
        <v>12873.6</v>
      </c>
      <c r="GD42" s="14" t="n">
        <v>0</v>
      </c>
      <c r="GE42" s="14" t="n">
        <v>8410.99</v>
      </c>
      <c r="GF42" s="14" t="n">
        <v>0</v>
      </c>
      <c r="GG42" s="15">
        <f>GC42+GD42+GE42+GF42</f>
        <v/>
      </c>
      <c r="GH42" s="14" t="n">
        <v>4083798.870000002</v>
      </c>
      <c r="GI42" s="14" t="n">
        <v>17100</v>
      </c>
      <c r="GJ42" s="14" t="n">
        <v>133400</v>
      </c>
      <c r="GK42" s="14" t="n">
        <v>237024.64</v>
      </c>
      <c r="GL42" s="15">
        <f>GH42+GI42+GJ42+GK42</f>
        <v/>
      </c>
      <c r="GM42" s="15">
        <f>GG42+GL42</f>
        <v/>
      </c>
      <c r="GN42" s="14" t="n">
        <v>1089.86</v>
      </c>
      <c r="GO42" s="14" t="n">
        <v>0</v>
      </c>
      <c r="GP42" s="14" t="n">
        <v>3393.64</v>
      </c>
      <c r="GQ42" s="14" t="n">
        <v>0</v>
      </c>
      <c r="GR42" s="15">
        <f>GN42+GO42+GP42+GQ42</f>
        <v/>
      </c>
      <c r="GS42" s="14" t="n">
        <v>1786</v>
      </c>
      <c r="GT42" s="14" t="n">
        <v>0</v>
      </c>
      <c r="GU42" s="14" t="n">
        <v>893</v>
      </c>
      <c r="GV42" s="14" t="n">
        <v>0</v>
      </c>
      <c r="GW42" s="15">
        <f>GS42+GT42+GU42+GV42</f>
        <v/>
      </c>
      <c r="GX42" s="15">
        <f>GM42+GR42+GW42</f>
        <v/>
      </c>
      <c r="GY42" s="14" t="n">
        <v>621692.64</v>
      </c>
      <c r="GZ42" s="14" t="n">
        <v>0</v>
      </c>
      <c r="HA42" s="15">
        <f>GY42+GZ42</f>
        <v/>
      </c>
      <c r="HB42" s="15">
        <f>IF(GX42=0,"",AU42/GX42)</f>
        <v/>
      </c>
      <c r="HC42" s="16">
        <f>IF((GX42+GY42)=0,"",GB42/(GX42+GY42))</f>
        <v/>
      </c>
      <c r="HD42" s="15">
        <f>IF(GX42=0,"",GB42/GX42)</f>
        <v/>
      </c>
      <c r="HE42" s="14" t="n">
        <v>30</v>
      </c>
      <c r="HF42" s="14" t="n">
        <v>3</v>
      </c>
      <c r="HG42" s="14" t="n">
        <v>45</v>
      </c>
      <c r="HH42" s="14" t="n">
        <v>23</v>
      </c>
      <c r="HI42" s="14" t="n">
        <v>30</v>
      </c>
      <c r="HJ42" s="15">
        <f>HF42+HI42</f>
        <v/>
      </c>
      <c r="HK42" s="16">
        <f>IF(HE42=0,"",HH42/HE42)</f>
        <v/>
      </c>
      <c r="HL42" s="14" t="n">
        <v>22</v>
      </c>
      <c r="HM42" s="14" t="n">
        <v>5</v>
      </c>
      <c r="HN42" s="17">
        <f>IF(HL42=0,"",HM42/HL42)</f>
        <v/>
      </c>
    </row>
    <row r="43">
      <c r="A43" s="6" t="inlineStr">
        <is>
          <t>Liwonde</t>
        </is>
      </c>
      <c r="B43" s="6" t="inlineStr">
        <is>
          <t>Ntaja</t>
        </is>
      </c>
      <c r="C43" s="7" t="inlineStr">
        <is>
          <t>FY2025/26</t>
        </is>
      </c>
      <c r="D43" s="7" t="n">
        <v>2025</v>
      </c>
      <c r="E43" s="7" t="n">
        <v>8</v>
      </c>
      <c r="F43" s="7" t="inlineStr">
        <is>
          <t>August</t>
        </is>
      </c>
      <c r="G43" s="7" t="inlineStr">
        <is>
          <t>Q2</t>
        </is>
      </c>
      <c r="H43" s="8" t="n">
        <v>3820</v>
      </c>
      <c r="I43" s="8" t="n">
        <v>17</v>
      </c>
      <c r="J43" s="8" t="n">
        <v>0</v>
      </c>
      <c r="K43" s="8" t="n">
        <v>3</v>
      </c>
      <c r="L43" s="8" t="n">
        <v>0</v>
      </c>
      <c r="M43" s="9">
        <f>SUM(I43,J43,K43,L43)</f>
        <v/>
      </c>
      <c r="N43" s="8" t="n">
        <v>3300.9</v>
      </c>
      <c r="O43" s="8" t="n">
        <v>92.7</v>
      </c>
      <c r="P43" s="8" t="n">
        <v>35.6</v>
      </c>
      <c r="Q43" s="8" t="n">
        <v>32.5</v>
      </c>
      <c r="R43" s="9">
        <f>SUM(N43,O43,P43,Q43)</f>
        <v/>
      </c>
      <c r="S43" s="9">
        <f>M43+R43</f>
        <v/>
      </c>
      <c r="T43" s="8" t="n">
        <v>338.3</v>
      </c>
      <c r="U43" s="10">
        <f>IF(H43=0,"",T43/H43)</f>
        <v/>
      </c>
      <c r="V43" s="8" t="n">
        <v>9</v>
      </c>
      <c r="W43" s="11">
        <f>IF(H43=0,"",V43/H43)</f>
        <v/>
      </c>
      <c r="X43" s="8" t="n">
        <v>0</v>
      </c>
      <c r="Y43" s="11">
        <f>IF(H43=0,"",X43/H43)</f>
        <v/>
      </c>
      <c r="Z43" s="8" t="n">
        <v>0</v>
      </c>
      <c r="AA43" s="11">
        <f>IF(H43=0,"",Z43/H43)</f>
        <v/>
      </c>
      <c r="AB43" s="8" t="n">
        <v>0</v>
      </c>
      <c r="AC43" s="11">
        <f>IF(H43=0,"",AB43/H43)</f>
        <v/>
      </c>
      <c r="AD43" s="8" t="n">
        <v>0</v>
      </c>
      <c r="AE43" s="11">
        <f>IF(H43=0,"",AD43/H43)</f>
        <v/>
      </c>
      <c r="AF43" s="8" t="n">
        <v>0</v>
      </c>
      <c r="AG43" s="11">
        <f>IF(H43=0,"",AF43/H43)</f>
        <v/>
      </c>
      <c r="AH43" s="8" t="n">
        <v>31727.61</v>
      </c>
      <c r="AI43" s="9">
        <f>IF(H43=0,"",AH43/H43)</f>
        <v/>
      </c>
      <c r="AJ43" s="8" t="n">
        <v>3912</v>
      </c>
      <c r="AK43" s="11">
        <f>IF(H43=0,"",AJ43/H43)</f>
        <v/>
      </c>
      <c r="AL43" s="8" t="n">
        <v>673337.38</v>
      </c>
      <c r="AM43" s="9">
        <f>IF(H43=0,"",AL43/H43)</f>
        <v/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2552411.72</v>
      </c>
      <c r="AS43" s="8" t="n">
        <v>625154.64</v>
      </c>
      <c r="AT43" s="8" t="n">
        <v>0</v>
      </c>
      <c r="AU43" s="9">
        <f>AH43+AL43+AP43+AQ43+AR43+AS43+AT43</f>
        <v/>
      </c>
      <c r="AV43" s="9">
        <f>IF(H43=0,"",AU43/H43)</f>
        <v/>
      </c>
      <c r="AW43" s="9">
        <f>IF(S43=0,"",AU43/S43)</f>
        <v/>
      </c>
      <c r="AX43" s="8" t="n">
        <v>6</v>
      </c>
      <c r="AY43" s="9">
        <f>IF(H43=0,"",AX43/(H43/1000/12))</f>
        <v/>
      </c>
      <c r="AZ43" s="8" t="n">
        <v>5</v>
      </c>
      <c r="BA43" s="8" t="n">
        <v>42</v>
      </c>
      <c r="BB43" s="8" t="n">
        <v>18</v>
      </c>
      <c r="BC43" s="8" t="n">
        <v>0</v>
      </c>
      <c r="BD43" s="8" t="n">
        <v>30</v>
      </c>
      <c r="BE43" s="9">
        <f>BC43+BD43</f>
        <v/>
      </c>
      <c r="BF43" s="9">
        <f>BA43+BB43-BE43</f>
        <v/>
      </c>
      <c r="BG43" s="8" t="n">
        <v>3</v>
      </c>
      <c r="BH43" s="8" t="n">
        <v>0</v>
      </c>
      <c r="BI43" s="8" t="n">
        <v>0</v>
      </c>
      <c r="BJ43" s="8" t="n">
        <v>0</v>
      </c>
      <c r="BK43" s="9">
        <f>BI43+BJ43</f>
        <v/>
      </c>
      <c r="BL43" s="9">
        <f>BG43+BH43-BK43</f>
        <v/>
      </c>
      <c r="BM43" s="8" t="n">
        <v>0</v>
      </c>
      <c r="BN43" s="8" t="n">
        <v>0</v>
      </c>
      <c r="BO43" s="8" t="n">
        <v>0</v>
      </c>
      <c r="BP43" s="8" t="n">
        <v>0</v>
      </c>
      <c r="BQ43" s="9">
        <f>BO43+BP43</f>
        <v/>
      </c>
      <c r="BR43" s="9">
        <f>BM43+BN43-BQ43</f>
        <v/>
      </c>
      <c r="BS43" s="8" t="n">
        <v>0</v>
      </c>
      <c r="BT43" s="8" t="n">
        <v>0</v>
      </c>
      <c r="BU43" s="8" t="n">
        <v>0</v>
      </c>
      <c r="BV43" s="8" t="n">
        <v>0</v>
      </c>
      <c r="BW43" s="9">
        <f>BU43+BV43</f>
        <v/>
      </c>
      <c r="BX43" s="9">
        <f>BS43+BT43-BW43</f>
        <v/>
      </c>
      <c r="BY43" s="9">
        <f>BA43+BG43+BM43+BS43</f>
        <v/>
      </c>
      <c r="BZ43" s="9">
        <f>BB43+BH43+BN43+BT43</f>
        <v/>
      </c>
      <c r="CA43" s="9">
        <f>BE43+BK43+BQ43+BW43</f>
        <v/>
      </c>
      <c r="CB43" s="9">
        <f>BF43+BL43+BR43+BX43</f>
        <v/>
      </c>
      <c r="CC43" s="8" t="n">
        <v>30</v>
      </c>
      <c r="CD43" s="8" t="n">
        <v>0</v>
      </c>
      <c r="CE43" s="8" t="n">
        <v>0</v>
      </c>
      <c r="CF43" s="8" t="n">
        <v>2</v>
      </c>
      <c r="CG43" s="8" t="n">
        <v>0</v>
      </c>
      <c r="CH43" s="9">
        <f>CD43+CE43+CF43+CG43</f>
        <v/>
      </c>
      <c r="CI43" s="8" t="n">
        <v>1</v>
      </c>
      <c r="CJ43" s="8" t="n">
        <v>2</v>
      </c>
      <c r="CK43" s="8" t="n">
        <v>0</v>
      </c>
      <c r="CL43" s="8" t="n">
        <v>0</v>
      </c>
      <c r="CM43" s="9">
        <f>CI43+CJ43+CK43+CL43</f>
        <v/>
      </c>
      <c r="CN43" s="8" t="n">
        <v>623</v>
      </c>
      <c r="CO43" s="8" t="n">
        <v>21</v>
      </c>
      <c r="CP43" s="8" t="n">
        <v>17</v>
      </c>
      <c r="CQ43" s="8" t="n">
        <v>3</v>
      </c>
      <c r="CR43" s="9">
        <f>CN43+CO43+CP43+CQ43</f>
        <v/>
      </c>
      <c r="CS43" s="9">
        <f>CM43+CR43</f>
        <v/>
      </c>
      <c r="CT43" s="8" t="n">
        <v>669</v>
      </c>
      <c r="CU43" s="8" t="n">
        <v>4220</v>
      </c>
      <c r="CV43" s="8" t="n">
        <v>2955</v>
      </c>
      <c r="CW43" s="10">
        <f>IF(CU43=0,"",CV43/CU43)</f>
        <v/>
      </c>
      <c r="CX43" s="8" t="n"/>
      <c r="CY43" s="8" t="n"/>
      <c r="CZ43" s="8" t="n"/>
      <c r="DA43" s="8" t="n"/>
      <c r="DB43" s="9">
        <f>CX43+CY43-CZ43-DA43</f>
        <v/>
      </c>
      <c r="DC43" s="8" t="n">
        <v>0</v>
      </c>
      <c r="DD43" s="8" t="n">
        <v>1</v>
      </c>
      <c r="DE43" s="8" t="n">
        <v>0</v>
      </c>
      <c r="DF43" s="8" t="n">
        <v>1</v>
      </c>
      <c r="DG43" s="9">
        <f>DC43+DD43-DE43-DF43</f>
        <v/>
      </c>
      <c r="DH43" s="8" t="n">
        <v>0</v>
      </c>
      <c r="DI43" s="8" t="n">
        <v>0</v>
      </c>
      <c r="DJ43" s="8" t="n">
        <v>0</v>
      </c>
      <c r="DK43" s="8" t="n">
        <v>0</v>
      </c>
      <c r="DL43" s="9">
        <f>DH43+DI43-DJ43-DK43</f>
        <v/>
      </c>
      <c r="DM43" s="8" t="n">
        <v>0</v>
      </c>
      <c r="DN43" s="8" t="n">
        <v>4</v>
      </c>
      <c r="DO43" s="8" t="n">
        <v>2</v>
      </c>
      <c r="DP43" s="8" t="n">
        <v>2</v>
      </c>
      <c r="DQ43" s="9">
        <f>DM43+DN43-DO43-DP43</f>
        <v/>
      </c>
      <c r="DR43" s="9">
        <f>CX43+DC43+DH43+DM43</f>
        <v/>
      </c>
      <c r="DS43" s="9">
        <f>CY43+DD43+DI43+DN43</f>
        <v/>
      </c>
      <c r="DT43" s="9">
        <f>CZ43+DE43+DJ43+DO43</f>
        <v/>
      </c>
      <c r="DU43" s="9">
        <f>DA43+DF43+DK43+DP43</f>
        <v/>
      </c>
      <c r="DV43" s="9">
        <f>DB43+DG43+DL43+DQ43</f>
        <v/>
      </c>
      <c r="DW43" s="8" t="n">
        <v>35</v>
      </c>
      <c r="DX43" s="8" t="n">
        <v>4</v>
      </c>
      <c r="DY43" s="8" t="n">
        <v>6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  <c r="EX43" s="8" t="n">
        <v>0</v>
      </c>
      <c r="EY43" s="8" t="n">
        <v>0</v>
      </c>
      <c r="EZ43" s="8" t="n">
        <v>0</v>
      </c>
      <c r="FA43" s="8" t="n">
        <v>0</v>
      </c>
      <c r="FB43" s="8" t="n">
        <v>0</v>
      </c>
      <c r="FC43" s="8" t="n">
        <v>0</v>
      </c>
      <c r="FD43" s="8" t="n">
        <v>0</v>
      </c>
      <c r="FE43" s="8" t="n">
        <v>0</v>
      </c>
      <c r="FF43" s="8" t="n">
        <v>0</v>
      </c>
      <c r="FG43" s="9">
        <f>SUM(DW43,DX43,DY43,DZ43,EA43,EB43,EC43,ED43,EE43,EF43,EG43,EH43,EI43,EJ43,EK43,EL43,EM43,EN43,EO43,EP43,EQ43,ER43,ES43,ET43,EU43,EV43,EW43,EX43,EY43,EZ43,FA43,FB43,FC43,FD43,FE43,FF43)</f>
        <v/>
      </c>
      <c r="FH43" s="8" t="n">
        <v>0</v>
      </c>
      <c r="FI43" s="8" t="n">
        <v>0</v>
      </c>
      <c r="FJ43" s="8" t="n">
        <v>288</v>
      </c>
      <c r="FK43" s="8" t="n">
        <v>149</v>
      </c>
      <c r="FL43" s="8" t="n">
        <v>0</v>
      </c>
      <c r="FM43" s="8" t="n">
        <v>0</v>
      </c>
      <c r="FN43" s="8" t="n">
        <v>0</v>
      </c>
      <c r="FO43" s="8" t="n">
        <v>0</v>
      </c>
      <c r="FP43" s="8" t="n">
        <v>0</v>
      </c>
      <c r="FQ43" s="9">
        <f>FL43+FM43+FN43+FO43+FP43</f>
        <v/>
      </c>
      <c r="FR43" s="8" t="n">
        <v>0</v>
      </c>
      <c r="FS43" s="8" t="n">
        <v>0</v>
      </c>
      <c r="FT43" s="8" t="n">
        <v>0</v>
      </c>
      <c r="FU43" s="8" t="n">
        <v>0</v>
      </c>
      <c r="FV43" s="9">
        <f>FR43+FS43+FT43+FU43</f>
        <v/>
      </c>
      <c r="FW43" s="8" t="n">
        <v>4225893.76</v>
      </c>
      <c r="FX43" s="8" t="n">
        <v>19700</v>
      </c>
      <c r="FY43" s="8" t="n">
        <v>155318.43</v>
      </c>
      <c r="FZ43" s="8" t="n">
        <v>115900</v>
      </c>
      <c r="GA43" s="9">
        <f>FW43+FX43+FY43+FZ43</f>
        <v/>
      </c>
      <c r="GB43" s="9">
        <f>FV43+GA43</f>
        <v/>
      </c>
      <c r="GC43" s="8" t="n">
        <v>15618.24</v>
      </c>
      <c r="GD43" s="8" t="n">
        <v>0</v>
      </c>
      <c r="GE43" s="8" t="n">
        <v>8410.99</v>
      </c>
      <c r="GF43" s="8" t="n">
        <v>0</v>
      </c>
      <c r="GG43" s="9">
        <f>GC43+GD43+GE43+GF43</f>
        <v/>
      </c>
      <c r="GH43" s="8" t="n">
        <v>4141173.760000004</v>
      </c>
      <c r="GI43" s="8" t="n">
        <v>19700</v>
      </c>
      <c r="GJ43" s="8" t="n">
        <v>108100</v>
      </c>
      <c r="GK43" s="8" t="n">
        <v>155318.43</v>
      </c>
      <c r="GL43" s="9">
        <f>GH43+GI43+GJ43+GK43</f>
        <v/>
      </c>
      <c r="GM43" s="9">
        <f>GG43+GL43</f>
        <v/>
      </c>
      <c r="GN43" s="8" t="n">
        <v>1089.86</v>
      </c>
      <c r="GO43" s="8" t="n">
        <v>0</v>
      </c>
      <c r="GP43" s="8" t="n">
        <v>3393.64</v>
      </c>
      <c r="GQ43" s="8" t="n">
        <v>0</v>
      </c>
      <c r="GR43" s="9">
        <f>GN43+GO43+GP43+GQ43</f>
        <v/>
      </c>
      <c r="GS43" s="8" t="n">
        <v>1786</v>
      </c>
      <c r="GT43" s="8" t="n">
        <v>0</v>
      </c>
      <c r="GU43" s="8" t="n">
        <v>893</v>
      </c>
      <c r="GV43" s="8" t="n">
        <v>0</v>
      </c>
      <c r="GW43" s="9">
        <f>GS43+GT43+GU43+GV43</f>
        <v/>
      </c>
      <c r="GX43" s="9">
        <f>GM43+GR43+GW43</f>
        <v/>
      </c>
      <c r="GY43" s="8" t="n">
        <v>408488.65</v>
      </c>
      <c r="GZ43" s="8" t="n">
        <v>244395.72</v>
      </c>
      <c r="HA43" s="9">
        <f>GY43+GZ43</f>
        <v/>
      </c>
      <c r="HB43" s="9">
        <f>IF(GX43=0,"",AU43/GX43)</f>
        <v/>
      </c>
      <c r="HC43" s="10">
        <f>IF((GX43+GY43)=0,"",GB43/(GX43+GY43))</f>
        <v/>
      </c>
      <c r="HD43" s="9">
        <f>IF(GX43=0,"",GB43/GX43)</f>
        <v/>
      </c>
      <c r="HE43" s="8" t="n">
        <v>28</v>
      </c>
      <c r="HF43" s="8" t="n">
        <v>1</v>
      </c>
      <c r="HG43" s="8" t="n">
        <v>33</v>
      </c>
      <c r="HH43" s="8" t="n">
        <v>18</v>
      </c>
      <c r="HI43" s="8" t="n">
        <v>14</v>
      </c>
      <c r="HJ43" s="9">
        <f>HF43+HI43</f>
        <v/>
      </c>
      <c r="HK43" s="10">
        <f>IF(HE43=0,"",HH43/HE43)</f>
        <v/>
      </c>
      <c r="HL43" s="8" t="n">
        <v>10</v>
      </c>
      <c r="HM43" s="8" t="n">
        <v>2</v>
      </c>
      <c r="HN43" s="11">
        <f>IF(HL43=0,"",HM43/HL43)</f>
        <v/>
      </c>
    </row>
    <row r="44">
      <c r="A44" s="12" t="inlineStr">
        <is>
          <t>Liwonde</t>
        </is>
      </c>
      <c r="B44" s="12" t="inlineStr">
        <is>
          <t>Ntaja</t>
        </is>
      </c>
      <c r="C44" s="13" t="inlineStr">
        <is>
          <t>FY2025/26</t>
        </is>
      </c>
      <c r="D44" s="13" t="n">
        <v>2025</v>
      </c>
      <c r="E44" s="13" t="n">
        <v>9</v>
      </c>
      <c r="F44" s="13" t="inlineStr">
        <is>
          <t>September</t>
        </is>
      </c>
      <c r="G44" s="13" t="inlineStr">
        <is>
          <t>Q2</t>
        </is>
      </c>
      <c r="H44" s="14" t="n">
        <v>3400</v>
      </c>
      <c r="I44" s="14" t="n">
        <v>13</v>
      </c>
      <c r="J44" s="14" t="n">
        <v>0</v>
      </c>
      <c r="K44" s="14" t="n">
        <v>2</v>
      </c>
      <c r="L44" s="14" t="n">
        <v>0</v>
      </c>
      <c r="M44" s="15">
        <f>SUM(I44,J44,K44,L44)</f>
        <v/>
      </c>
      <c r="N44" s="14" t="n">
        <v>3078.2</v>
      </c>
      <c r="O44" s="14" t="n">
        <v>54.1</v>
      </c>
      <c r="P44" s="14" t="n">
        <v>86.40000000000001</v>
      </c>
      <c r="Q44" s="14" t="n">
        <v>61.2</v>
      </c>
      <c r="R44" s="15">
        <f>SUM(N44,O44,P44,Q44)</f>
        <v/>
      </c>
      <c r="S44" s="15">
        <f>M44+R44</f>
        <v/>
      </c>
      <c r="T44" s="14" t="n">
        <v>105.1</v>
      </c>
      <c r="U44" s="16">
        <f>IF(H44=0,"",T44/H44)</f>
        <v/>
      </c>
      <c r="V44" s="14" t="n">
        <v>9</v>
      </c>
      <c r="W44" s="17">
        <f>IF(H44=0,"",V44/H44)</f>
        <v/>
      </c>
      <c r="X44" s="14" t="n">
        <v>0</v>
      </c>
      <c r="Y44" s="17">
        <f>IF(H44=0,"",X44/H44)</f>
        <v/>
      </c>
      <c r="Z44" s="14" t="n">
        <v>0</v>
      </c>
      <c r="AA44" s="17">
        <f>IF(H44=0,"",Z44/H44)</f>
        <v/>
      </c>
      <c r="AB44" s="14" t="n">
        <v>0</v>
      </c>
      <c r="AC44" s="17">
        <f>IF(H44=0,"",AB44/H44)</f>
        <v/>
      </c>
      <c r="AD44" s="14" t="n">
        <v>0</v>
      </c>
      <c r="AE44" s="17">
        <f>IF(H44=0,"",AD44/H44)</f>
        <v/>
      </c>
      <c r="AF44" s="14" t="n">
        <v>0</v>
      </c>
      <c r="AG44" s="17">
        <f>IF(H44=0,"",AF44/H44)</f>
        <v/>
      </c>
      <c r="AH44" s="14" t="n">
        <v>31727.61</v>
      </c>
      <c r="AI44" s="15">
        <f>IF(H44=0,"",AH44/H44)</f>
        <v/>
      </c>
      <c r="AJ44" s="14" t="n">
        <v>3634</v>
      </c>
      <c r="AK44" s="17">
        <f>IF(H44=0,"",AJ44/H44)</f>
        <v/>
      </c>
      <c r="AL44" s="14" t="n">
        <v>626862.035</v>
      </c>
      <c r="AM44" s="15">
        <f>IF(H44=0,"",AL44/H44)</f>
        <v/>
      </c>
      <c r="AN44" s="14" t="n">
        <v>0</v>
      </c>
      <c r="AO44" s="14" t="n">
        <v>0</v>
      </c>
      <c r="AP44" s="14" t="n">
        <v>0</v>
      </c>
      <c r="AQ44" s="14" t="n">
        <v>0</v>
      </c>
      <c r="AR44" s="14" t="n">
        <v>2702468.52</v>
      </c>
      <c r="AS44" s="14" t="n">
        <v>615462.3199999999</v>
      </c>
      <c r="AT44" s="14" t="n">
        <v>0</v>
      </c>
      <c r="AU44" s="15">
        <f>AH44+AL44+AP44+AQ44+AR44+AS44+AT44</f>
        <v/>
      </c>
      <c r="AV44" s="15">
        <f>IF(H44=0,"",AU44/H44)</f>
        <v/>
      </c>
      <c r="AW44" s="15">
        <f>IF(S44=0,"",AU44/S44)</f>
        <v/>
      </c>
      <c r="AX44" s="14" t="n">
        <v>6</v>
      </c>
      <c r="AY44" s="15">
        <f>IF(H44=0,"",AX44/(H44/1000/12))</f>
        <v/>
      </c>
      <c r="AZ44" s="14" t="n">
        <v>5</v>
      </c>
      <c r="BA44" s="14" t="n">
        <v>30</v>
      </c>
      <c r="BB44" s="14" t="n">
        <v>11</v>
      </c>
      <c r="BC44" s="14" t="n">
        <v>0</v>
      </c>
      <c r="BD44" s="14" t="n">
        <v>14</v>
      </c>
      <c r="BE44" s="15">
        <f>BC44+BD44</f>
        <v/>
      </c>
      <c r="BF44" s="15">
        <f>BA44+BB44-BE44</f>
        <v/>
      </c>
      <c r="BG44" s="14" t="n">
        <v>3</v>
      </c>
      <c r="BH44" s="14" t="n">
        <v>0</v>
      </c>
      <c r="BI44" s="14" t="n">
        <v>0</v>
      </c>
      <c r="BJ44" s="14" t="n">
        <v>0</v>
      </c>
      <c r="BK44" s="15">
        <f>BI44+BJ44</f>
        <v/>
      </c>
      <c r="BL44" s="15">
        <f>BG44+BH44-BK44</f>
        <v/>
      </c>
      <c r="BM44" s="14" t="n">
        <v>0</v>
      </c>
      <c r="BN44" s="14" t="n">
        <v>0</v>
      </c>
      <c r="BO44" s="14" t="n">
        <v>0</v>
      </c>
      <c r="BP44" s="14" t="n">
        <v>0</v>
      </c>
      <c r="BQ44" s="15">
        <f>BO44+BP44</f>
        <v/>
      </c>
      <c r="BR44" s="15">
        <f>BM44+BN44-BQ44</f>
        <v/>
      </c>
      <c r="BS44" s="14" t="n">
        <v>0</v>
      </c>
      <c r="BT44" s="14" t="n">
        <v>0</v>
      </c>
      <c r="BU44" s="14" t="n">
        <v>0</v>
      </c>
      <c r="BV44" s="14" t="n">
        <v>0</v>
      </c>
      <c r="BW44" s="15">
        <f>BU44+BV44</f>
        <v/>
      </c>
      <c r="BX44" s="15">
        <f>BS44+BT44-BW44</f>
        <v/>
      </c>
      <c r="BY44" s="15">
        <f>BA44+BG44+BM44+BS44</f>
        <v/>
      </c>
      <c r="BZ44" s="15">
        <f>BB44+BH44+BN44+BT44</f>
        <v/>
      </c>
      <c r="CA44" s="15">
        <f>BE44+BK44+BQ44+BW44</f>
        <v/>
      </c>
      <c r="CB44" s="15">
        <f>BF44+BL44+BR44+BX44</f>
        <v/>
      </c>
      <c r="CC44" s="14" t="n">
        <v>14</v>
      </c>
      <c r="CD44" s="14" t="n">
        <v>0</v>
      </c>
      <c r="CE44" s="14" t="n">
        <v>0</v>
      </c>
      <c r="CF44" s="14" t="n">
        <v>2</v>
      </c>
      <c r="CG44" s="14" t="n">
        <v>0</v>
      </c>
      <c r="CH44" s="15">
        <f>CD44+CE44+CF44+CG44</f>
        <v/>
      </c>
      <c r="CI44" s="14" t="n">
        <v>1</v>
      </c>
      <c r="CJ44" s="14" t="n">
        <v>2</v>
      </c>
      <c r="CK44" s="14" t="n">
        <v>0</v>
      </c>
      <c r="CL44" s="14" t="n">
        <v>0</v>
      </c>
      <c r="CM44" s="15">
        <f>CI44+CJ44+CK44+CL44</f>
        <v/>
      </c>
      <c r="CN44" s="14" t="n">
        <v>637</v>
      </c>
      <c r="CO44" s="14" t="n">
        <v>21</v>
      </c>
      <c r="CP44" s="14" t="n">
        <v>17</v>
      </c>
      <c r="CQ44" s="14" t="n">
        <v>3</v>
      </c>
      <c r="CR44" s="15">
        <f>CN44+CO44+CP44+CQ44</f>
        <v/>
      </c>
      <c r="CS44" s="15">
        <f>CM44+CR44</f>
        <v/>
      </c>
      <c r="CT44" s="14" t="n">
        <v>683</v>
      </c>
      <c r="CU44" s="14" t="n">
        <v>4220</v>
      </c>
      <c r="CV44" s="14" t="n">
        <v>2807.25</v>
      </c>
      <c r="CW44" s="16">
        <f>IF(CU44=0,"",CV44/CU44)</f>
        <v/>
      </c>
      <c r="CX44" s="14" t="n"/>
      <c r="CY44" s="14" t="n"/>
      <c r="CZ44" s="14" t="n"/>
      <c r="DA44" s="14" t="n"/>
      <c r="DB44" s="15">
        <f>CX44+CY44-CZ44-DA44</f>
        <v/>
      </c>
      <c r="DC44" s="14" t="n">
        <v>0</v>
      </c>
      <c r="DD44" s="14" t="n">
        <v>0</v>
      </c>
      <c r="DE44" s="14" t="n">
        <v>0</v>
      </c>
      <c r="DF44" s="14" t="n">
        <v>0</v>
      </c>
      <c r="DG44" s="15">
        <f>DC44+DD44-DE44-DF44</f>
        <v/>
      </c>
      <c r="DH44" s="14" t="n">
        <v>0</v>
      </c>
      <c r="DI44" s="14" t="n">
        <v>0</v>
      </c>
      <c r="DJ44" s="14" t="n">
        <v>0</v>
      </c>
      <c r="DK44" s="14" t="n">
        <v>0</v>
      </c>
      <c r="DL44" s="15">
        <f>DH44+DI44-DJ44-DK44</f>
        <v/>
      </c>
      <c r="DM44" s="14" t="n">
        <v>0</v>
      </c>
      <c r="DN44" s="14" t="n">
        <v>1</v>
      </c>
      <c r="DO44" s="14" t="n">
        <v>0</v>
      </c>
      <c r="DP44" s="14" t="n">
        <v>1</v>
      </c>
      <c r="DQ44" s="15">
        <f>DM44+DN44-DO44-DP44</f>
        <v/>
      </c>
      <c r="DR44" s="15">
        <f>CX44+DC44+DH44+DM44</f>
        <v/>
      </c>
      <c r="DS44" s="15">
        <f>CY44+DD44+DI44+DN44</f>
        <v/>
      </c>
      <c r="DT44" s="15">
        <f>CZ44+DE44+DJ44+DO44</f>
        <v/>
      </c>
      <c r="DU44" s="15">
        <f>DA44+DF44+DK44+DP44</f>
        <v/>
      </c>
      <c r="DV44" s="15">
        <f>DB44+DG44+DL44+DQ44</f>
        <v/>
      </c>
      <c r="DW44" s="14" t="n">
        <v>36</v>
      </c>
      <c r="DX44" s="14" t="n">
        <v>5</v>
      </c>
      <c r="DY44" s="14" t="n">
        <v>7</v>
      </c>
      <c r="DZ44" s="14" t="n">
        <v>0</v>
      </c>
      <c r="EA44" s="14" t="n">
        <v>0</v>
      </c>
      <c r="EB44" s="14" t="n">
        <v>1</v>
      </c>
      <c r="EC44" s="14" t="n">
        <v>1</v>
      </c>
      <c r="ED44" s="14" t="n">
        <v>0</v>
      </c>
      <c r="EE44" s="14" t="n">
        <v>0</v>
      </c>
      <c r="EF44" s="14" t="n">
        <v>1</v>
      </c>
      <c r="EG44" s="14" t="n">
        <v>0</v>
      </c>
      <c r="EH44" s="14" t="n">
        <v>0</v>
      </c>
      <c r="EI44" s="14" t="n">
        <v>0</v>
      </c>
      <c r="EJ44" s="14" t="n">
        <v>0</v>
      </c>
      <c r="EK44" s="14" t="n">
        <v>0</v>
      </c>
      <c r="EL44" s="14" t="n">
        <v>0</v>
      </c>
      <c r="EM44" s="14" t="n">
        <v>0</v>
      </c>
      <c r="EN44" s="14" t="n">
        <v>0</v>
      </c>
      <c r="EO44" s="14" t="n">
        <v>0</v>
      </c>
      <c r="EP44" s="14" t="n">
        <v>0</v>
      </c>
      <c r="EQ44" s="14" t="n">
        <v>0</v>
      </c>
      <c r="ER44" s="14" t="n">
        <v>0</v>
      </c>
      <c r="ES44" s="14" t="n">
        <v>0</v>
      </c>
      <c r="ET44" s="14" t="n">
        <v>0</v>
      </c>
      <c r="EU44" s="14" t="n">
        <v>0</v>
      </c>
      <c r="EV44" s="14" t="n">
        <v>0</v>
      </c>
      <c r="EW44" s="14" t="n">
        <v>0</v>
      </c>
      <c r="EX44" s="14" t="n">
        <v>0</v>
      </c>
      <c r="EY44" s="14" t="n">
        <v>0</v>
      </c>
      <c r="EZ44" s="14" t="n">
        <v>0</v>
      </c>
      <c r="FA44" s="14" t="n">
        <v>0</v>
      </c>
      <c r="FB44" s="14" t="n">
        <v>0</v>
      </c>
      <c r="FC44" s="14" t="n">
        <v>0</v>
      </c>
      <c r="FD44" s="14" t="n">
        <v>0</v>
      </c>
      <c r="FE44" s="14" t="n">
        <v>0</v>
      </c>
      <c r="FF44" s="14" t="n">
        <v>0</v>
      </c>
      <c r="FG44" s="15">
        <f>SUM(DW44,DX44,DY44,DZ44,EA44,EB44,EC44,ED44,EE44,EF44,EG44,EH44,EI44,EJ44,EK44,EL44,EM44,EN44,EO44,EP44,EQ44,ER44,ES44,ET44,EU44,EV44,EW44,EX44,EY44,EZ44,FA44,FB44,FC44,FD44,FE44,FF44)</f>
        <v/>
      </c>
      <c r="FH44" s="14" t="n">
        <v>0</v>
      </c>
      <c r="FI44" s="14" t="n">
        <v>0</v>
      </c>
      <c r="FJ44" s="14" t="n">
        <v>720</v>
      </c>
      <c r="FK44" s="14" t="n">
        <v>170</v>
      </c>
      <c r="FL44" s="14" t="n">
        <v>0</v>
      </c>
      <c r="FM44" s="14" t="n">
        <v>0</v>
      </c>
      <c r="FN44" s="14" t="n">
        <v>0</v>
      </c>
      <c r="FO44" s="14" t="n">
        <v>0</v>
      </c>
      <c r="FP44" s="14" t="n">
        <v>0</v>
      </c>
      <c r="FQ44" s="15">
        <f>FL44+FM44+FN44+FO44+FP44</f>
        <v/>
      </c>
      <c r="FR44" s="14" t="n">
        <v>0</v>
      </c>
      <c r="FS44" s="14" t="n">
        <v>0</v>
      </c>
      <c r="FT44" s="14" t="n">
        <v>0</v>
      </c>
      <c r="FU44" s="14" t="n">
        <v>0</v>
      </c>
      <c r="FV44" s="15">
        <f>FR44+FS44+FT44+FU44</f>
        <v/>
      </c>
      <c r="FW44" s="14" t="n">
        <v>3912616.88</v>
      </c>
      <c r="FX44" s="14" t="n">
        <v>11500</v>
      </c>
      <c r="FY44" s="14" t="n">
        <v>292200</v>
      </c>
      <c r="FZ44" s="14" t="n">
        <v>263439.4</v>
      </c>
      <c r="GA44" s="15">
        <f>FW44+FX44+FY44+FZ44</f>
        <v/>
      </c>
      <c r="GB44" s="15">
        <f>FV44+GA44</f>
        <v/>
      </c>
      <c r="GC44" s="14" t="n">
        <v>13788.48</v>
      </c>
      <c r="GD44" s="14" t="n">
        <v>0</v>
      </c>
      <c r="GE44" s="14" t="n">
        <v>8410.99</v>
      </c>
      <c r="GF44" s="14" t="n">
        <v>0</v>
      </c>
      <c r="GG44" s="15">
        <f>GC44+GD44+GE44+GF44</f>
        <v/>
      </c>
      <c r="GH44" s="14" t="n">
        <v>3832541.760000002</v>
      </c>
      <c r="GI44" s="14" t="n">
        <v>11500</v>
      </c>
      <c r="GJ44" s="14" t="n">
        <v>262839.4</v>
      </c>
      <c r="GK44" s="14" t="n">
        <v>292200</v>
      </c>
      <c r="GL44" s="15">
        <f>GH44+GI44+GJ44+GK44</f>
        <v/>
      </c>
      <c r="GM44" s="15">
        <f>GG44+GL44</f>
        <v/>
      </c>
      <c r="GN44" s="14" t="n">
        <v>1089.86</v>
      </c>
      <c r="GO44" s="14" t="n">
        <v>0</v>
      </c>
      <c r="GP44" s="14" t="n">
        <v>3393.64</v>
      </c>
      <c r="GQ44" s="14" t="n">
        <v>0</v>
      </c>
      <c r="GR44" s="15">
        <f>GN44+GO44+GP44+GQ44</f>
        <v/>
      </c>
      <c r="GS44" s="14" t="n">
        <v>1786</v>
      </c>
      <c r="GT44" s="14" t="n">
        <v>0</v>
      </c>
      <c r="GU44" s="14" t="n">
        <v>893</v>
      </c>
      <c r="GV44" s="14" t="n">
        <v>0</v>
      </c>
      <c r="GW44" s="15">
        <f>GS44+GT44+GU44+GV44</f>
        <v/>
      </c>
      <c r="GX44" s="15">
        <f>GM44+GR44+GW44</f>
        <v/>
      </c>
      <c r="GY44" s="14" t="n">
        <v>408488.65</v>
      </c>
      <c r="GZ44" s="14" t="n">
        <v>244395.72</v>
      </c>
      <c r="HA44" s="15">
        <f>GY44+GZ44</f>
        <v/>
      </c>
      <c r="HB44" s="15">
        <f>IF(GX44=0,"",AU44/GX44)</f>
        <v/>
      </c>
      <c r="HC44" s="16">
        <f>IF((GX44+GY44)=0,"",GB44/(GX44+GY44))</f>
        <v/>
      </c>
      <c r="HD44" s="15">
        <f>IF(GX44=0,"",GB44/GX44)</f>
        <v/>
      </c>
      <c r="HE44" s="14" t="n">
        <v>20</v>
      </c>
      <c r="HF44" s="14" t="n">
        <v>1</v>
      </c>
      <c r="HG44" s="14" t="n">
        <v>30</v>
      </c>
      <c r="HH44" s="14" t="n">
        <v>11</v>
      </c>
      <c r="HI44" s="14" t="n">
        <v>14</v>
      </c>
      <c r="HJ44" s="15">
        <f>HF44+HI44</f>
        <v/>
      </c>
      <c r="HK44" s="16">
        <f>IF(HE44=0,"",HH44/HE44)</f>
        <v/>
      </c>
      <c r="HL44" s="14" t="n">
        <v>28</v>
      </c>
      <c r="HM44" s="14" t="n">
        <v>2</v>
      </c>
      <c r="HN44" s="17">
        <f>IF(HL44=0,"",HM44/HL44)</f>
        <v/>
      </c>
    </row>
    <row r="45">
      <c r="A45" s="6" t="inlineStr">
        <is>
          <t>Liwonde</t>
        </is>
      </c>
      <c r="B45" s="6" t="inlineStr">
        <is>
          <t>Ntaja</t>
        </is>
      </c>
      <c r="C45" s="7" t="inlineStr">
        <is>
          <t>FY2025/26</t>
        </is>
      </c>
      <c r="D45" s="7" t="n">
        <v>2025</v>
      </c>
      <c r="E45" s="7" t="n">
        <v>10</v>
      </c>
      <c r="F45" s="7" t="inlineStr">
        <is>
          <t>October</t>
        </is>
      </c>
      <c r="G45" s="7" t="inlineStr">
        <is>
          <t>Q3</t>
        </is>
      </c>
      <c r="H45" s="8" t="n">
        <v>2850</v>
      </c>
      <c r="I45" s="8" t="n">
        <v>4</v>
      </c>
      <c r="J45" s="8" t="n">
        <v>0</v>
      </c>
      <c r="K45" s="8" t="n">
        <v>1</v>
      </c>
      <c r="L45" s="8" t="n">
        <v>0</v>
      </c>
      <c r="M45" s="9">
        <f>SUM(I45,J45,K45,L45)</f>
        <v/>
      </c>
      <c r="N45" s="8" t="n">
        <v>2527.3</v>
      </c>
      <c r="O45" s="8" t="n">
        <v>40</v>
      </c>
      <c r="P45" s="8" t="n">
        <v>73.8</v>
      </c>
      <c r="Q45" s="8" t="n">
        <v>42.7</v>
      </c>
      <c r="R45" s="9">
        <f>SUM(N45,O45,P45,Q45)</f>
        <v/>
      </c>
      <c r="S45" s="9">
        <f>M45+R45</f>
        <v/>
      </c>
      <c r="T45" s="8" t="n">
        <v>161.2</v>
      </c>
      <c r="U45" s="10">
        <f>IF(H45=0,"",T45/H45)</f>
        <v/>
      </c>
      <c r="V45" s="8" t="n">
        <v>6</v>
      </c>
      <c r="W45" s="11">
        <f>IF(H45=0,"",V45/H45)</f>
        <v/>
      </c>
      <c r="X45" s="8" t="n">
        <v>0</v>
      </c>
      <c r="Y45" s="11">
        <f>IF(H45=0,"",X45/H45)</f>
        <v/>
      </c>
      <c r="Z45" s="8" t="n">
        <v>0</v>
      </c>
      <c r="AA45" s="11">
        <f>IF(H45=0,"",Z45/H45)</f>
        <v/>
      </c>
      <c r="AB45" s="8" t="n">
        <v>0</v>
      </c>
      <c r="AC45" s="11">
        <f>IF(H45=0,"",AB45/H45)</f>
        <v/>
      </c>
      <c r="AD45" s="8" t="n">
        <v>0</v>
      </c>
      <c r="AE45" s="11">
        <f>IF(H45=0,"",AD45/H45)</f>
        <v/>
      </c>
      <c r="AF45" s="8" t="n">
        <v>0</v>
      </c>
      <c r="AG45" s="11">
        <f>IF(H45=0,"",AF45/H45)</f>
        <v/>
      </c>
      <c r="AH45" s="8" t="n">
        <v>21151.74</v>
      </c>
      <c r="AI45" s="9">
        <f>IF(H45=0,"",AH45/H45)</f>
        <v/>
      </c>
      <c r="AJ45" s="8" t="n">
        <v>2627</v>
      </c>
      <c r="AK45" s="11">
        <f>IF(H45=0,"",AJ45/H45)</f>
        <v/>
      </c>
      <c r="AL45" s="8" t="n">
        <v>458514.2925</v>
      </c>
      <c r="AM45" s="9">
        <f>IF(H45=0,"",AL45/H45)</f>
        <v/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625154.64</v>
      </c>
      <c r="AT45" s="8" t="n">
        <v>110000</v>
      </c>
      <c r="AU45" s="9">
        <f>AH45+AL45+AP45+AQ45+AR45+AS45+AT45</f>
        <v/>
      </c>
      <c r="AV45" s="9">
        <f>IF(H45=0,"",AU45/H45)</f>
        <v/>
      </c>
      <c r="AW45" s="9">
        <f>IF(S45=0,"",AU45/S45)</f>
        <v/>
      </c>
      <c r="AX45" s="8" t="n">
        <v>6</v>
      </c>
      <c r="AY45" s="9">
        <f>IF(H45=0,"",AX45/(H45/1000/12))</f>
        <v/>
      </c>
      <c r="AZ45" s="8" t="n">
        <v>5</v>
      </c>
      <c r="BA45" s="8" t="n">
        <v>27</v>
      </c>
      <c r="BB45" s="8" t="n">
        <v>10</v>
      </c>
      <c r="BC45" s="8" t="n">
        <v>0</v>
      </c>
      <c r="BD45" s="8" t="n">
        <v>16</v>
      </c>
      <c r="BE45" s="9">
        <f>BC45+BD45</f>
        <v/>
      </c>
      <c r="BF45" s="9">
        <f>BA45+BB45-BE45</f>
        <v/>
      </c>
      <c r="BG45" s="8" t="n">
        <v>3</v>
      </c>
      <c r="BH45" s="8" t="n">
        <v>0</v>
      </c>
      <c r="BI45" s="8" t="n">
        <v>0</v>
      </c>
      <c r="BJ45" s="8" t="n">
        <v>0</v>
      </c>
      <c r="BK45" s="9">
        <f>BI45+BJ45</f>
        <v/>
      </c>
      <c r="BL45" s="9">
        <f>BG45+BH45-BK45</f>
        <v/>
      </c>
      <c r="BM45" s="8" t="n">
        <v>0</v>
      </c>
      <c r="BN45" s="8" t="n">
        <v>0</v>
      </c>
      <c r="BO45" s="8" t="n">
        <v>0</v>
      </c>
      <c r="BP45" s="8" t="n">
        <v>0</v>
      </c>
      <c r="BQ45" s="9">
        <f>BO45+BP45</f>
        <v/>
      </c>
      <c r="BR45" s="9">
        <f>BM45+BN45-BQ45</f>
        <v/>
      </c>
      <c r="BS45" s="8" t="n">
        <v>0</v>
      </c>
      <c r="BT45" s="8" t="n">
        <v>0</v>
      </c>
      <c r="BU45" s="8" t="n">
        <v>0</v>
      </c>
      <c r="BV45" s="8" t="n">
        <v>0</v>
      </c>
      <c r="BW45" s="9">
        <f>BU45+BV45</f>
        <v/>
      </c>
      <c r="BX45" s="9">
        <f>BS45+BT45-BW45</f>
        <v/>
      </c>
      <c r="BY45" s="9">
        <f>BA45+BG45+BM45+BS45</f>
        <v/>
      </c>
      <c r="BZ45" s="9">
        <f>BB45+BH45+BN45+BT45</f>
        <v/>
      </c>
      <c r="CA45" s="9">
        <f>BE45+BK45+BQ45+BW45</f>
        <v/>
      </c>
      <c r="CB45" s="9">
        <f>BF45+BL45+BR45+BX45</f>
        <v/>
      </c>
      <c r="CC45" s="8" t="n">
        <v>16</v>
      </c>
      <c r="CD45" s="8" t="n">
        <v>0</v>
      </c>
      <c r="CE45" s="8" t="n">
        <v>0</v>
      </c>
      <c r="CF45" s="8" t="n">
        <v>2</v>
      </c>
      <c r="CG45" s="8" t="n">
        <v>0</v>
      </c>
      <c r="CH45" s="9">
        <f>CD45+CE45+CF45+CG45</f>
        <v/>
      </c>
      <c r="CI45" s="8" t="n">
        <v>1</v>
      </c>
      <c r="CJ45" s="8" t="n">
        <v>2</v>
      </c>
      <c r="CK45" s="8" t="n">
        <v>0</v>
      </c>
      <c r="CL45" s="8" t="n">
        <v>0</v>
      </c>
      <c r="CM45" s="9">
        <f>CI45+CJ45+CK45+CL45</f>
        <v/>
      </c>
      <c r="CN45" s="8" t="n">
        <v>653</v>
      </c>
      <c r="CO45" s="8" t="n">
        <v>21</v>
      </c>
      <c r="CP45" s="8" t="n">
        <v>17</v>
      </c>
      <c r="CQ45" s="8" t="n">
        <v>3</v>
      </c>
      <c r="CR45" s="9">
        <f>CN45+CO45+CP45+CQ45</f>
        <v/>
      </c>
      <c r="CS45" s="9">
        <f>CM45+CR45</f>
        <v/>
      </c>
      <c r="CT45" s="8" t="n">
        <v>699</v>
      </c>
      <c r="CU45" s="8" t="n">
        <v>4241.1</v>
      </c>
      <c r="CV45" s="8" t="n">
        <v>2821.04</v>
      </c>
      <c r="CW45" s="10">
        <f>IF(CU45=0,"",CV45/CU45)</f>
        <v/>
      </c>
      <c r="CX45" s="8" t="n"/>
      <c r="CY45" s="8" t="n"/>
      <c r="CZ45" s="8" t="n"/>
      <c r="DA45" s="8" t="n"/>
      <c r="DB45" s="9">
        <f>CX45+CY45-CZ45-DA45</f>
        <v/>
      </c>
      <c r="DC45" s="8" t="n">
        <v>0</v>
      </c>
      <c r="DD45" s="8" t="n">
        <v>0</v>
      </c>
      <c r="DE45" s="8" t="n">
        <v>0</v>
      </c>
      <c r="DF45" s="8" t="n">
        <v>0</v>
      </c>
      <c r="DG45" s="9">
        <f>DC45+DD45-DE45-DF45</f>
        <v/>
      </c>
      <c r="DH45" s="8" t="n">
        <v>0</v>
      </c>
      <c r="DI45" s="8" t="n">
        <v>0</v>
      </c>
      <c r="DJ45" s="8" t="n">
        <v>0</v>
      </c>
      <c r="DK45" s="8" t="n">
        <v>0</v>
      </c>
      <c r="DL45" s="9">
        <f>DH45+DI45-DJ45-DK45</f>
        <v/>
      </c>
      <c r="DM45" s="8" t="n">
        <v>0</v>
      </c>
      <c r="DN45" s="8" t="n">
        <v>4</v>
      </c>
      <c r="DO45" s="8" t="n">
        <v>3</v>
      </c>
      <c r="DP45" s="8" t="n">
        <v>1</v>
      </c>
      <c r="DQ45" s="9">
        <f>DM45+DN45-DO45-DP45</f>
        <v/>
      </c>
      <c r="DR45" s="9">
        <f>CX45+DC45+DH45+DM45</f>
        <v/>
      </c>
      <c r="DS45" s="9">
        <f>CY45+DD45+DI45+DN45</f>
        <v/>
      </c>
      <c r="DT45" s="9">
        <f>CZ45+DE45+DJ45+DO45</f>
        <v/>
      </c>
      <c r="DU45" s="9">
        <f>DA45+DF45+DK45+DP45</f>
        <v/>
      </c>
      <c r="DV45" s="9">
        <f>DB45+DG45+DL45+DQ45</f>
        <v/>
      </c>
      <c r="DW45" s="8" t="n">
        <v>18</v>
      </c>
      <c r="DX45" s="8" t="n">
        <v>6</v>
      </c>
      <c r="DY45" s="8" t="n">
        <v>4</v>
      </c>
      <c r="DZ45" s="8" t="n">
        <v>0</v>
      </c>
      <c r="EA45" s="8" t="n">
        <v>2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  <c r="EX45" s="8" t="n">
        <v>0</v>
      </c>
      <c r="EY45" s="8" t="n">
        <v>0</v>
      </c>
      <c r="EZ45" s="8" t="n">
        <v>0</v>
      </c>
      <c r="FA45" s="8" t="n">
        <v>0</v>
      </c>
      <c r="FB45" s="8" t="n">
        <v>0</v>
      </c>
      <c r="FC45" s="8" t="n">
        <v>0</v>
      </c>
      <c r="FD45" s="8" t="n">
        <v>0</v>
      </c>
      <c r="FE45" s="8" t="n">
        <v>0</v>
      </c>
      <c r="FF45" s="8" t="n">
        <v>0</v>
      </c>
      <c r="FG45" s="9">
        <f>SUM(DW45,DX45,DY45,DZ45,EA45,EB45,EC45,ED45,EE45,EF45,EG45,EH45,EI45,EJ45,EK45,EL45,EM45,EN45,EO45,EP45,EQ45,ER45,ES45,ET45,EU45,EV45,EW45,EX45,EY45,EZ45,FA45,FB45,FC45,FD45,FE45,FF45)</f>
        <v/>
      </c>
      <c r="FH45" s="8" t="n">
        <v>1</v>
      </c>
      <c r="FI45" s="8" t="n">
        <v>264</v>
      </c>
      <c r="FJ45" s="8" t="n">
        <v>720</v>
      </c>
      <c r="FK45" s="8" t="n">
        <v>192</v>
      </c>
      <c r="FL45" s="8" t="n">
        <v>0</v>
      </c>
      <c r="FM45" s="8" t="n">
        <v>0</v>
      </c>
      <c r="FN45" s="8" t="n">
        <v>0</v>
      </c>
      <c r="FO45" s="8" t="n">
        <v>0</v>
      </c>
      <c r="FP45" s="8" t="n">
        <v>0</v>
      </c>
      <c r="FQ45" s="9">
        <f>FL45+FM45+FN45+FO45+FP45</f>
        <v/>
      </c>
      <c r="FR45" s="8" t="n">
        <v>3000</v>
      </c>
      <c r="FS45" s="8" t="n">
        <v>0</v>
      </c>
      <c r="FT45" s="8" t="n">
        <v>0</v>
      </c>
      <c r="FU45" s="8" t="n">
        <v>0</v>
      </c>
      <c r="FV45" s="9">
        <f>FR45+FS45+FT45+FU45</f>
        <v/>
      </c>
      <c r="FW45" s="8" t="n">
        <v>3166862.16</v>
      </c>
      <c r="FX45" s="8" t="n">
        <v>8500</v>
      </c>
      <c r="FY45" s="8" t="n">
        <v>201800</v>
      </c>
      <c r="FZ45" s="8" t="n">
        <v>224200</v>
      </c>
      <c r="GA45" s="9">
        <f>FW45+FX45+FY45+FZ45</f>
        <v/>
      </c>
      <c r="GB45" s="9">
        <f>FV45+GA45</f>
        <v/>
      </c>
      <c r="GC45" s="8" t="n">
        <v>6680.52</v>
      </c>
      <c r="GD45" s="8" t="n">
        <v>0</v>
      </c>
      <c r="GE45" s="8" t="n">
        <v>8410.99</v>
      </c>
      <c r="GF45" s="8" t="n">
        <v>0</v>
      </c>
      <c r="GG45" s="9">
        <f>GC45+GD45+GE45+GF45</f>
        <v/>
      </c>
      <c r="GH45" s="8" t="n">
        <v>3147072.570000002</v>
      </c>
      <c r="GI45" s="8" t="n">
        <v>8500</v>
      </c>
      <c r="GJ45" s="8" t="n">
        <v>224200</v>
      </c>
      <c r="GK45" s="8" t="n">
        <v>201800</v>
      </c>
      <c r="GL45" s="9">
        <f>GH45+GI45+GJ45+GK45</f>
        <v/>
      </c>
      <c r="GM45" s="9">
        <f>GG45+GL45</f>
        <v/>
      </c>
      <c r="GN45" s="8" t="n">
        <v>1089.86</v>
      </c>
      <c r="GO45" s="8" t="n">
        <v>0</v>
      </c>
      <c r="GP45" s="8" t="n">
        <v>3393.64</v>
      </c>
      <c r="GQ45" s="8" t="n">
        <v>0</v>
      </c>
      <c r="GR45" s="9">
        <f>GN45+GO45+GP45+GQ45</f>
        <v/>
      </c>
      <c r="GS45" s="8" t="n">
        <v>1786</v>
      </c>
      <c r="GT45" s="8" t="n">
        <v>0</v>
      </c>
      <c r="GU45" s="8" t="n">
        <v>893</v>
      </c>
      <c r="GV45" s="8" t="n">
        <v>0</v>
      </c>
      <c r="GW45" s="9">
        <f>GS45+GT45+GU45+GV45</f>
        <v/>
      </c>
      <c r="GX45" s="9">
        <f>GM45+GR45+GW45</f>
        <v/>
      </c>
      <c r="GY45" s="8" t="n">
        <v>405448.65</v>
      </c>
      <c r="GZ45" s="8" t="n">
        <v>296011.7</v>
      </c>
      <c r="HA45" s="9">
        <f>GY45+GZ45</f>
        <v/>
      </c>
      <c r="HB45" s="9">
        <f>IF(GX45=0,"",AU45/GX45)</f>
        <v/>
      </c>
      <c r="HC45" s="10">
        <f>IF((GX45+GY45)=0,"",GB45/(GX45+GY45))</f>
        <v/>
      </c>
      <c r="HD45" s="9">
        <f>IF(GX45=0,"",GB45/GX45)</f>
        <v/>
      </c>
      <c r="HE45" s="8" t="n">
        <v>18</v>
      </c>
      <c r="HF45" s="8" t="n">
        <v>1</v>
      </c>
      <c r="HG45" s="8" t="n">
        <v>24</v>
      </c>
      <c r="HH45" s="8" t="n">
        <v>10</v>
      </c>
      <c r="HI45" s="8" t="n">
        <v>14</v>
      </c>
      <c r="HJ45" s="9">
        <f>HF45+HI45</f>
        <v/>
      </c>
      <c r="HK45" s="10">
        <f>IF(HE45=0,"",HH45/HE45)</f>
        <v/>
      </c>
      <c r="HL45" s="8" t="n">
        <v>60</v>
      </c>
      <c r="HM45" s="8" t="n">
        <v>6</v>
      </c>
      <c r="HN45" s="11">
        <f>IF(HL45=0,"",HM45/HL45)</f>
        <v/>
      </c>
    </row>
    <row r="46">
      <c r="A46" s="12" t="inlineStr">
        <is>
          <t>Liwonde</t>
        </is>
      </c>
      <c r="B46" s="12" t="inlineStr">
        <is>
          <t>Ntaja</t>
        </is>
      </c>
      <c r="C46" s="13" t="inlineStr">
        <is>
          <t>FY2025/26</t>
        </is>
      </c>
      <c r="D46" s="13" t="n">
        <v>2025</v>
      </c>
      <c r="E46" s="13" t="n">
        <v>11</v>
      </c>
      <c r="F46" s="13" t="inlineStr">
        <is>
          <t>November</t>
        </is>
      </c>
      <c r="G46" s="13" t="inlineStr">
        <is>
          <t>Q3</t>
        </is>
      </c>
      <c r="H46" s="14" t="n">
        <v>2810</v>
      </c>
      <c r="I46" s="14" t="n">
        <v>6</v>
      </c>
      <c r="J46" s="14" t="n">
        <v>0</v>
      </c>
      <c r="K46" s="14" t="n">
        <v>2</v>
      </c>
      <c r="L46" s="14" t="n">
        <v>0</v>
      </c>
      <c r="M46" s="15">
        <f>SUM(I46,J46,K46,L46)</f>
        <v/>
      </c>
      <c r="N46" s="14" t="n">
        <v>2304.5</v>
      </c>
      <c r="O46" s="14" t="n">
        <v>53.2</v>
      </c>
      <c r="P46" s="14" t="n">
        <v>23.1</v>
      </c>
      <c r="Q46" s="14" t="n">
        <v>15</v>
      </c>
      <c r="R46" s="15">
        <f>SUM(N46,O46,P46,Q46)</f>
        <v/>
      </c>
      <c r="S46" s="15">
        <f>M46+R46</f>
        <v/>
      </c>
      <c r="T46" s="14" t="n">
        <v>406.2</v>
      </c>
      <c r="U46" s="16">
        <f>IF(H46=0,"",T46/H46)</f>
        <v/>
      </c>
      <c r="V46" s="14" t="n">
        <v>6</v>
      </c>
      <c r="W46" s="17">
        <f>IF(H46=0,"",V46/H46)</f>
        <v/>
      </c>
      <c r="X46" s="14" t="n">
        <v>0</v>
      </c>
      <c r="Y46" s="17">
        <f>IF(H46=0,"",X46/H46)</f>
        <v/>
      </c>
      <c r="Z46" s="14" t="n">
        <v>0</v>
      </c>
      <c r="AA46" s="17">
        <f>IF(H46=0,"",Z46/H46)</f>
        <v/>
      </c>
      <c r="AB46" s="14" t="n">
        <v>0</v>
      </c>
      <c r="AC46" s="17">
        <f>IF(H46=0,"",AB46/H46)</f>
        <v/>
      </c>
      <c r="AD46" s="14" t="n">
        <v>0</v>
      </c>
      <c r="AE46" s="17">
        <f>IF(H46=0,"",AD46/H46)</f>
        <v/>
      </c>
      <c r="AF46" s="14" t="n">
        <v>0</v>
      </c>
      <c r="AG46" s="17">
        <f>IF(H46=0,"",AF46/H46)</f>
        <v/>
      </c>
      <c r="AH46" s="14" t="n">
        <v>21151.74</v>
      </c>
      <c r="AI46" s="15">
        <f>IF(H46=0,"",AH46/H46)</f>
        <v/>
      </c>
      <c r="AJ46" s="14" t="n">
        <v>2726</v>
      </c>
      <c r="AK46" s="17">
        <f>IF(H46=0,"",AJ46/H46)</f>
        <v/>
      </c>
      <c r="AL46" s="14" t="n">
        <v>475064.865</v>
      </c>
      <c r="AM46" s="15">
        <f>IF(H46=0,"",AL46/H46)</f>
        <v/>
      </c>
      <c r="AN46" s="14" t="n">
        <v>0</v>
      </c>
      <c r="AO46" s="14" t="n">
        <v>0</v>
      </c>
      <c r="AP46" s="14" t="n">
        <v>0</v>
      </c>
      <c r="AQ46" s="14" t="n">
        <v>0</v>
      </c>
      <c r="AR46" s="14" t="n">
        <v>2536578.92</v>
      </c>
      <c r="AS46" s="14" t="n">
        <v>625154.64</v>
      </c>
      <c r="AT46" s="14" t="n">
        <v>0</v>
      </c>
      <c r="AU46" s="15">
        <f>AH46+AL46+AP46+AQ46+AR46+AS46+AT46</f>
        <v/>
      </c>
      <c r="AV46" s="15">
        <f>IF(H46=0,"",AU46/H46)</f>
        <v/>
      </c>
      <c r="AW46" s="15">
        <f>IF(S46=0,"",AU46/S46)</f>
        <v/>
      </c>
      <c r="AX46" s="14" t="n">
        <v>6</v>
      </c>
      <c r="AY46" s="15">
        <f>IF(H46=0,"",AX46/(H46/1000/12))</f>
        <v/>
      </c>
      <c r="AZ46" s="14" t="n">
        <v>5</v>
      </c>
      <c r="BA46" s="14" t="n">
        <v>21</v>
      </c>
      <c r="BB46" s="14" t="n">
        <v>2</v>
      </c>
      <c r="BC46" s="14" t="n">
        <v>0</v>
      </c>
      <c r="BD46" s="14" t="n">
        <v>6</v>
      </c>
      <c r="BE46" s="15">
        <f>BC46+BD46</f>
        <v/>
      </c>
      <c r="BF46" s="15">
        <f>BA46+BB46-BE46</f>
        <v/>
      </c>
      <c r="BG46" s="14" t="n">
        <v>3</v>
      </c>
      <c r="BH46" s="14" t="n">
        <v>0</v>
      </c>
      <c r="BI46" s="14" t="n">
        <v>0</v>
      </c>
      <c r="BJ46" s="14" t="n">
        <v>0</v>
      </c>
      <c r="BK46" s="15">
        <f>BI46+BJ46</f>
        <v/>
      </c>
      <c r="BL46" s="15">
        <f>BG46+BH46-BK46</f>
        <v/>
      </c>
      <c r="BM46" s="14" t="n">
        <v>0</v>
      </c>
      <c r="BN46" s="14" t="n">
        <v>0</v>
      </c>
      <c r="BO46" s="14" t="n">
        <v>0</v>
      </c>
      <c r="BP46" s="14" t="n">
        <v>0</v>
      </c>
      <c r="BQ46" s="15">
        <f>BO46+BP46</f>
        <v/>
      </c>
      <c r="BR46" s="15">
        <f>BM46+BN46-BQ46</f>
        <v/>
      </c>
      <c r="BS46" s="14" t="n">
        <v>0</v>
      </c>
      <c r="BT46" s="14" t="n">
        <v>0</v>
      </c>
      <c r="BU46" s="14" t="n">
        <v>0</v>
      </c>
      <c r="BV46" s="14" t="n">
        <v>0</v>
      </c>
      <c r="BW46" s="15">
        <f>BU46+BV46</f>
        <v/>
      </c>
      <c r="BX46" s="15">
        <f>BS46+BT46-BW46</f>
        <v/>
      </c>
      <c r="BY46" s="15">
        <f>BA46+BG46+BM46+BS46</f>
        <v/>
      </c>
      <c r="BZ46" s="15">
        <f>BB46+BH46+BN46+BT46</f>
        <v/>
      </c>
      <c r="CA46" s="15">
        <f>BE46+BK46+BQ46+BW46</f>
        <v/>
      </c>
      <c r="CB46" s="15">
        <f>BF46+BL46+BR46+BX46</f>
        <v/>
      </c>
      <c r="CC46" s="14" t="n">
        <v>6</v>
      </c>
      <c r="CD46" s="14" t="n">
        <v>0</v>
      </c>
      <c r="CE46" s="14" t="n">
        <v>0</v>
      </c>
      <c r="CF46" s="14" t="n">
        <v>2</v>
      </c>
      <c r="CG46" s="14" t="n">
        <v>0</v>
      </c>
      <c r="CH46" s="15">
        <f>CD46+CE46+CF46+CG46</f>
        <v/>
      </c>
      <c r="CI46" s="14" t="n">
        <v>1</v>
      </c>
      <c r="CJ46" s="14" t="n">
        <v>2</v>
      </c>
      <c r="CK46" s="14" t="n">
        <v>0</v>
      </c>
      <c r="CL46" s="14" t="n">
        <v>0</v>
      </c>
      <c r="CM46" s="15">
        <f>CI46+CJ46+CK46+CL46</f>
        <v/>
      </c>
      <c r="CN46" s="14" t="n">
        <v>659</v>
      </c>
      <c r="CO46" s="14" t="n">
        <v>21</v>
      </c>
      <c r="CP46" s="14" t="n">
        <v>17</v>
      </c>
      <c r="CQ46" s="14" t="n">
        <v>3</v>
      </c>
      <c r="CR46" s="15">
        <f>CN46+CO46+CP46+CQ46</f>
        <v/>
      </c>
      <c r="CS46" s="15">
        <f>CM46+CR46</f>
        <v/>
      </c>
      <c r="CT46" s="14" t="n">
        <v>705</v>
      </c>
      <c r="CU46" s="14" t="n">
        <v>4283.511</v>
      </c>
      <c r="CV46" s="14" t="n">
        <v>2849.2504</v>
      </c>
      <c r="CW46" s="16">
        <f>IF(CU46=0,"",CV46/CU46)</f>
        <v/>
      </c>
      <c r="CX46" s="14" t="n"/>
      <c r="CY46" s="14" t="n"/>
      <c r="CZ46" s="14" t="n"/>
      <c r="DA46" s="14" t="n"/>
      <c r="DB46" s="15">
        <f>CX46+CY46-CZ46-DA46</f>
        <v/>
      </c>
      <c r="DC46" s="14" t="n">
        <v>0</v>
      </c>
      <c r="DD46" s="14" t="n">
        <v>0</v>
      </c>
      <c r="DE46" s="14" t="n">
        <v>0</v>
      </c>
      <c r="DF46" s="14" t="n">
        <v>0</v>
      </c>
      <c r="DG46" s="15">
        <f>DC46+DD46-DE46-DF46</f>
        <v/>
      </c>
      <c r="DH46" s="14" t="n">
        <v>0</v>
      </c>
      <c r="DI46" s="14" t="n">
        <v>0</v>
      </c>
      <c r="DJ46" s="14" t="n">
        <v>0</v>
      </c>
      <c r="DK46" s="14" t="n">
        <v>0</v>
      </c>
      <c r="DL46" s="15">
        <f>DH46+DI46-DJ46-DK46</f>
        <v/>
      </c>
      <c r="DM46" s="14" t="n">
        <v>0</v>
      </c>
      <c r="DN46" s="14" t="n">
        <v>2</v>
      </c>
      <c r="DO46" s="14" t="n">
        <v>0</v>
      </c>
      <c r="DP46" s="14" t="n">
        <v>2</v>
      </c>
      <c r="DQ46" s="15">
        <f>DM46+DN46-DO46-DP46</f>
        <v/>
      </c>
      <c r="DR46" s="15">
        <f>CX46+DC46+DH46+DM46</f>
        <v/>
      </c>
      <c r="DS46" s="15">
        <f>CY46+DD46+DI46+DN46</f>
        <v/>
      </c>
      <c r="DT46" s="15">
        <f>CZ46+DE46+DJ46+DO46</f>
        <v/>
      </c>
      <c r="DU46" s="15">
        <f>DA46+DF46+DK46+DP46</f>
        <v/>
      </c>
      <c r="DV46" s="15">
        <f>DB46+DG46+DL46+DQ46</f>
        <v/>
      </c>
      <c r="DW46" s="14" t="n">
        <v>23</v>
      </c>
      <c r="DX46" s="14" t="n">
        <v>3</v>
      </c>
      <c r="DY46" s="14" t="n">
        <v>1</v>
      </c>
      <c r="DZ46" s="14" t="n">
        <v>0</v>
      </c>
      <c r="EA46" s="14" t="n">
        <v>3</v>
      </c>
      <c r="EB46" s="14" t="n">
        <v>0</v>
      </c>
      <c r="EC46" s="14" t="n">
        <v>0</v>
      </c>
      <c r="ED46" s="14" t="n">
        <v>0</v>
      </c>
      <c r="EE46" s="14" t="n">
        <v>0</v>
      </c>
      <c r="EF46" s="14" t="n">
        <v>0</v>
      </c>
      <c r="EG46" s="14" t="n">
        <v>0</v>
      </c>
      <c r="EH46" s="14" t="n">
        <v>0</v>
      </c>
      <c r="EI46" s="14" t="n">
        <v>0</v>
      </c>
      <c r="EJ46" s="14" t="n">
        <v>0</v>
      </c>
      <c r="EK46" s="14" t="n">
        <v>0</v>
      </c>
      <c r="EL46" s="14" t="n">
        <v>0</v>
      </c>
      <c r="EM46" s="14" t="n">
        <v>0</v>
      </c>
      <c r="EN46" s="14" t="n">
        <v>0</v>
      </c>
      <c r="EO46" s="14" t="n">
        <v>0</v>
      </c>
      <c r="EP46" s="14" t="n">
        <v>0</v>
      </c>
      <c r="EQ46" s="14" t="n">
        <v>0</v>
      </c>
      <c r="ER46" s="14" t="n">
        <v>0</v>
      </c>
      <c r="ES46" s="14" t="n">
        <v>0</v>
      </c>
      <c r="ET46" s="14" t="n">
        <v>0</v>
      </c>
      <c r="EU46" s="14" t="n">
        <v>0</v>
      </c>
      <c r="EV46" s="14" t="n">
        <v>0</v>
      </c>
      <c r="EW46" s="14" t="n">
        <v>0</v>
      </c>
      <c r="EX46" s="14" t="n">
        <v>0</v>
      </c>
      <c r="EY46" s="14" t="n">
        <v>0</v>
      </c>
      <c r="EZ46" s="14" t="n">
        <v>0</v>
      </c>
      <c r="FA46" s="14" t="n">
        <v>0</v>
      </c>
      <c r="FB46" s="14" t="n">
        <v>0</v>
      </c>
      <c r="FC46" s="14" t="n">
        <v>0</v>
      </c>
      <c r="FD46" s="14" t="n">
        <v>0</v>
      </c>
      <c r="FE46" s="14" t="n">
        <v>0</v>
      </c>
      <c r="FF46" s="14" t="n">
        <v>0</v>
      </c>
      <c r="FG46" s="15">
        <f>SUM(DW46,DX46,DY46,DZ46,EA46,EB46,EC46,ED46,EE46,EF46,EG46,EH46,EI46,EJ46,EK46,EL46,EM46,EN46,EO46,EP46,EQ46,ER46,ES46,ET46,EU46,EV46,EW46,EX46,EY46,EZ46,FA46,FB46,FC46,FD46,FE46,FF46)</f>
        <v/>
      </c>
      <c r="FH46" s="14" t="n">
        <v>0</v>
      </c>
      <c r="FI46" s="14" t="n">
        <v>0</v>
      </c>
      <c r="FJ46" s="14" t="n">
        <v>720</v>
      </c>
      <c r="FK46" s="14" t="n">
        <v>151</v>
      </c>
      <c r="FL46" s="14" t="n">
        <v>0</v>
      </c>
      <c r="FM46" s="14" t="n">
        <v>0</v>
      </c>
      <c r="FN46" s="14" t="n">
        <v>0</v>
      </c>
      <c r="FO46" s="14" t="n">
        <v>0</v>
      </c>
      <c r="FP46" s="14" t="n">
        <v>0</v>
      </c>
      <c r="FQ46" s="15">
        <f>FL46+FM46+FN46+FO46+FP46</f>
        <v/>
      </c>
      <c r="FR46" s="14" t="n">
        <v>3000</v>
      </c>
      <c r="FS46" s="14" t="n">
        <v>0</v>
      </c>
      <c r="FT46" s="14" t="n">
        <v>0</v>
      </c>
      <c r="FU46" s="14" t="n">
        <v>0</v>
      </c>
      <c r="FV46" s="15">
        <f>FR46+FS46+FT46+FU46</f>
        <v/>
      </c>
      <c r="FW46" s="14" t="n">
        <v>2918232.85</v>
      </c>
      <c r="FX46" s="14" t="n">
        <v>11300</v>
      </c>
      <c r="FY46" s="14" t="n">
        <v>72000</v>
      </c>
      <c r="FZ46" s="14" t="n">
        <v>70200</v>
      </c>
      <c r="GA46" s="15">
        <f>FW46+FX46+FY46+FZ46</f>
        <v/>
      </c>
      <c r="GB46" s="15">
        <f>FV46+GA46</f>
        <v/>
      </c>
      <c r="GC46" s="14" t="n">
        <v>8439.92</v>
      </c>
      <c r="GD46" s="14" t="n">
        <v>0</v>
      </c>
      <c r="GE46" s="14" t="n">
        <v>8410.99</v>
      </c>
      <c r="GF46" s="14" t="n">
        <v>0</v>
      </c>
      <c r="GG46" s="15">
        <f>GC46+GD46+GE46+GF46</f>
        <v/>
      </c>
      <c r="GH46" s="14" t="n">
        <v>2884808.07</v>
      </c>
      <c r="GI46" s="14" t="n">
        <v>11300</v>
      </c>
      <c r="GJ46" s="14" t="n">
        <v>70200</v>
      </c>
      <c r="GK46" s="14" t="n">
        <v>72000</v>
      </c>
      <c r="GL46" s="15">
        <f>GH46+GI46+GJ46+GK46</f>
        <v/>
      </c>
      <c r="GM46" s="15">
        <f>GG46+GL46</f>
        <v/>
      </c>
      <c r="GN46" s="14" t="n">
        <v>1089.86</v>
      </c>
      <c r="GO46" s="14" t="n">
        <v>0</v>
      </c>
      <c r="GP46" s="14" t="n">
        <v>3393.64</v>
      </c>
      <c r="GQ46" s="14" t="n">
        <v>0</v>
      </c>
      <c r="GR46" s="15">
        <f>GN46+GO46+GP46+GQ46</f>
        <v/>
      </c>
      <c r="GS46" s="14" t="n">
        <v>1786</v>
      </c>
      <c r="GT46" s="14" t="n">
        <v>0</v>
      </c>
      <c r="GU46" s="14" t="n">
        <v>893</v>
      </c>
      <c r="GV46" s="14" t="n">
        <v>0</v>
      </c>
      <c r="GW46" s="15">
        <f>GS46+GT46+GU46+GV46</f>
        <v/>
      </c>
      <c r="GX46" s="15">
        <f>GM46+GR46+GW46</f>
        <v/>
      </c>
      <c r="GY46" s="14" t="n">
        <v>448876.44</v>
      </c>
      <c r="GZ46" s="14" t="n">
        <v>320025.11</v>
      </c>
      <c r="HA46" s="15">
        <f>GY46+GZ46</f>
        <v/>
      </c>
      <c r="HB46" s="15">
        <f>IF(GX46=0,"",AU46/GX46)</f>
        <v/>
      </c>
      <c r="HC46" s="16">
        <f>IF((GX46+GY46)=0,"",GB46/(GX46+GY46))</f>
        <v/>
      </c>
      <c r="HD46" s="15">
        <f>IF(GX46=0,"",GB46/GX46)</f>
        <v/>
      </c>
      <c r="HE46" s="14" t="n">
        <v>6</v>
      </c>
      <c r="HF46" s="14" t="n">
        <v>1</v>
      </c>
      <c r="HG46" s="14" t="n">
        <v>20</v>
      </c>
      <c r="HH46" s="14" t="n">
        <v>2</v>
      </c>
      <c r="HI46" s="14" t="n">
        <v>14</v>
      </c>
      <c r="HJ46" s="15">
        <f>HF46+HI46</f>
        <v/>
      </c>
      <c r="HK46" s="16">
        <f>IF(HE46=0,"",HH46/HE46)</f>
        <v/>
      </c>
      <c r="HL46" s="14" t="n">
        <v>60</v>
      </c>
      <c r="HM46" s="14" t="n">
        <v>6</v>
      </c>
      <c r="HN46" s="17">
        <f>IF(HL46=0,"",HM46/HL46)</f>
        <v/>
      </c>
    </row>
    <row r="47">
      <c r="A47" s="6" t="inlineStr">
        <is>
          <t>Liwonde</t>
        </is>
      </c>
      <c r="B47" s="6" t="inlineStr">
        <is>
          <t>Ntaja</t>
        </is>
      </c>
      <c r="C47" s="7" t="inlineStr">
        <is>
          <t>FY2025/26</t>
        </is>
      </c>
      <c r="D47" s="7" t="n">
        <v>2025</v>
      </c>
      <c r="E47" s="7" t="n">
        <v>12</v>
      </c>
      <c r="F47" s="7" t="inlineStr">
        <is>
          <t>December</t>
        </is>
      </c>
      <c r="G47" s="7" t="inlineStr">
        <is>
          <t>Q3</t>
        </is>
      </c>
      <c r="H47" s="8" t="n">
        <v>2580</v>
      </c>
      <c r="I47" s="8" t="n">
        <v>4</v>
      </c>
      <c r="J47" s="8" t="n">
        <v>3</v>
      </c>
      <c r="K47" s="8" t="n">
        <v>0</v>
      </c>
      <c r="L47" s="8" t="n">
        <v>0</v>
      </c>
      <c r="M47" s="9">
        <f>SUM(I47,J47,K47,L47)</f>
        <v/>
      </c>
      <c r="N47" s="8" t="n">
        <v>2320.5</v>
      </c>
      <c r="O47" s="8" t="n">
        <v>9.5</v>
      </c>
      <c r="P47" s="8" t="n">
        <v>0</v>
      </c>
      <c r="Q47" s="8" t="n">
        <v>0</v>
      </c>
      <c r="R47" s="9">
        <f>SUM(N47,O47,P47,Q47)</f>
        <v/>
      </c>
      <c r="S47" s="9">
        <f>M47+R47</f>
        <v/>
      </c>
      <c r="T47" s="8" t="n">
        <v>243</v>
      </c>
      <c r="U47" s="10">
        <f>IF(H47=0,"",T47/H47)</f>
        <v/>
      </c>
      <c r="V47" s="8" t="n">
        <v>6</v>
      </c>
      <c r="W47" s="11">
        <f>IF(H47=0,"",V47/H47)</f>
        <v/>
      </c>
      <c r="X47" s="8" t="n">
        <v>0</v>
      </c>
      <c r="Y47" s="11">
        <f>IF(H47=0,"",X47/H47)</f>
        <v/>
      </c>
      <c r="Z47" s="8" t="n">
        <v>0</v>
      </c>
      <c r="AA47" s="11">
        <f>IF(H47=0,"",Z47/H47)</f>
        <v/>
      </c>
      <c r="AB47" s="8" t="n">
        <v>0</v>
      </c>
      <c r="AC47" s="11">
        <f>IF(H47=0,"",AB47/H47)</f>
        <v/>
      </c>
      <c r="AD47" s="8" t="n">
        <v>0</v>
      </c>
      <c r="AE47" s="11">
        <f>IF(H47=0,"",AD47/H47)</f>
        <v/>
      </c>
      <c r="AF47" s="8" t="n">
        <v>0</v>
      </c>
      <c r="AG47" s="11">
        <f>IF(H47=0,"",AF47/H47)</f>
        <v/>
      </c>
      <c r="AH47" s="8" t="n">
        <v>21151.74</v>
      </c>
      <c r="AI47" s="9">
        <f>IF(H47=0,"",AH47/H47)</f>
        <v/>
      </c>
      <c r="AJ47" s="8" t="n">
        <v>3720</v>
      </c>
      <c r="AK47" s="11">
        <f>IF(H47=0,"",AJ47/H47)</f>
        <v/>
      </c>
      <c r="AL47" s="8" t="n">
        <v>641239.3</v>
      </c>
      <c r="AM47" s="9">
        <f>IF(H47=0,"",AL47/H47)</f>
        <v/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2888042.22</v>
      </c>
      <c r="AS47" s="8" t="n">
        <v>504000.64</v>
      </c>
      <c r="AT47" s="8" t="n">
        <v>0</v>
      </c>
      <c r="AU47" s="9">
        <f>AH47+AL47+AP47+AQ47+AR47+AS47+AT47</f>
        <v/>
      </c>
      <c r="AV47" s="9">
        <f>IF(H47=0,"",AU47/H47)</f>
        <v/>
      </c>
      <c r="AW47" s="9">
        <f>IF(S47=0,"",AU47/S47)</f>
        <v/>
      </c>
      <c r="AX47" s="8" t="n">
        <v>6</v>
      </c>
      <c r="AY47" s="9">
        <f>IF(H47=0,"",AX47/(H47/1000/12))</f>
        <v/>
      </c>
      <c r="AZ47" s="8" t="n">
        <v>5</v>
      </c>
      <c r="BA47" s="8" t="n">
        <v>17</v>
      </c>
      <c r="BB47" s="8" t="n">
        <v>1</v>
      </c>
      <c r="BC47" s="8" t="n">
        <v>0</v>
      </c>
      <c r="BD47" s="8" t="n">
        <v>3</v>
      </c>
      <c r="BE47" s="9">
        <f>BC47+BD47</f>
        <v/>
      </c>
      <c r="BF47" s="9">
        <f>BA47+BB47-BE47</f>
        <v/>
      </c>
      <c r="BG47" s="8" t="n">
        <v>3</v>
      </c>
      <c r="BH47" s="8" t="n">
        <v>0</v>
      </c>
      <c r="BI47" s="8" t="n">
        <v>0</v>
      </c>
      <c r="BJ47" s="8" t="n">
        <v>0</v>
      </c>
      <c r="BK47" s="9">
        <f>BI47+BJ47</f>
        <v/>
      </c>
      <c r="BL47" s="9">
        <f>BG47+BH47-BK47</f>
        <v/>
      </c>
      <c r="BM47" s="8" t="n">
        <v>0</v>
      </c>
      <c r="BN47" s="8" t="n">
        <v>0</v>
      </c>
      <c r="BO47" s="8" t="n">
        <v>0</v>
      </c>
      <c r="BP47" s="8" t="n">
        <v>0</v>
      </c>
      <c r="BQ47" s="9">
        <f>BO47+BP47</f>
        <v/>
      </c>
      <c r="BR47" s="9">
        <f>BM47+BN47-BQ47</f>
        <v/>
      </c>
      <c r="BS47" s="8" t="n">
        <v>0</v>
      </c>
      <c r="BT47" s="8" t="n">
        <v>0</v>
      </c>
      <c r="BU47" s="8" t="n">
        <v>0</v>
      </c>
      <c r="BV47" s="8" t="n">
        <v>0</v>
      </c>
      <c r="BW47" s="9">
        <f>BU47+BV47</f>
        <v/>
      </c>
      <c r="BX47" s="9">
        <f>BS47+BT47-BW47</f>
        <v/>
      </c>
      <c r="BY47" s="9">
        <f>BA47+BG47+BM47+BS47</f>
        <v/>
      </c>
      <c r="BZ47" s="9">
        <f>BB47+BH47+BN47+BT47</f>
        <v/>
      </c>
      <c r="CA47" s="9">
        <f>BE47+BK47+BQ47+BW47</f>
        <v/>
      </c>
      <c r="CB47" s="9">
        <f>BF47+BL47+BR47+BX47</f>
        <v/>
      </c>
      <c r="CC47" s="8" t="n">
        <v>3</v>
      </c>
      <c r="CD47" s="8" t="n">
        <v>0</v>
      </c>
      <c r="CE47" s="8" t="n">
        <v>0</v>
      </c>
      <c r="CF47" s="8" t="n">
        <v>3</v>
      </c>
      <c r="CG47" s="8" t="n">
        <v>0</v>
      </c>
      <c r="CH47" s="9">
        <f>CD47+CE47+CF47+CG47</f>
        <v/>
      </c>
      <c r="CI47" s="8" t="n">
        <v>1</v>
      </c>
      <c r="CJ47" s="8" t="n">
        <v>2</v>
      </c>
      <c r="CK47" s="8" t="n">
        <v>0</v>
      </c>
      <c r="CL47" s="8" t="n">
        <v>0</v>
      </c>
      <c r="CM47" s="9">
        <f>CI47+CJ47+CK47+CL47</f>
        <v/>
      </c>
      <c r="CN47" s="8" t="n">
        <v>662</v>
      </c>
      <c r="CO47" s="8" t="n">
        <v>21</v>
      </c>
      <c r="CP47" s="8" t="n">
        <v>17</v>
      </c>
      <c r="CQ47" s="8" t="n">
        <v>3</v>
      </c>
      <c r="CR47" s="9">
        <f>CN47+CO47+CP47+CQ47</f>
        <v/>
      </c>
      <c r="CS47" s="9">
        <f>CM47+CR47</f>
        <v/>
      </c>
      <c r="CT47" s="8" t="n">
        <v>709</v>
      </c>
      <c r="CU47" s="8" t="n">
        <v>4326.84</v>
      </c>
      <c r="CV47" s="8" t="n">
        <v>2877.49</v>
      </c>
      <c r="CW47" s="10">
        <f>IF(CU47=0,"",CV47/CU47)</f>
        <v/>
      </c>
      <c r="CX47" s="8" t="n"/>
      <c r="CY47" s="8" t="n"/>
      <c r="CZ47" s="8" t="n"/>
      <c r="DA47" s="8" t="n"/>
      <c r="DB47" s="9">
        <f>CX47+CY47-CZ47-DA47</f>
        <v/>
      </c>
      <c r="DC47" s="8" t="n">
        <v>0</v>
      </c>
      <c r="DD47" s="8" t="n">
        <v>0</v>
      </c>
      <c r="DE47" s="8" t="n">
        <v>0</v>
      </c>
      <c r="DF47" s="8" t="n">
        <v>0</v>
      </c>
      <c r="DG47" s="9">
        <f>DC47+DD47-DE47-DF47</f>
        <v/>
      </c>
      <c r="DH47" s="8" t="n">
        <v>0</v>
      </c>
      <c r="DI47" s="8" t="n">
        <v>0</v>
      </c>
      <c r="DJ47" s="8" t="n">
        <v>0</v>
      </c>
      <c r="DK47" s="8" t="n">
        <v>0</v>
      </c>
      <c r="DL47" s="9">
        <f>DH47+DI47-DJ47-DK47</f>
        <v/>
      </c>
      <c r="DM47" s="8" t="n">
        <v>0</v>
      </c>
      <c r="DN47" s="8" t="n">
        <v>3</v>
      </c>
      <c r="DO47" s="8" t="n">
        <v>2</v>
      </c>
      <c r="DP47" s="8" t="n">
        <v>1</v>
      </c>
      <c r="DQ47" s="9">
        <f>DM47+DN47-DO47-DP47</f>
        <v/>
      </c>
      <c r="DR47" s="9">
        <f>CX47+DC47+DH47+DM47</f>
        <v/>
      </c>
      <c r="DS47" s="9">
        <f>CY47+DD47+DI47+DN47</f>
        <v/>
      </c>
      <c r="DT47" s="9">
        <f>CZ47+DE47+DJ47+DO47</f>
        <v/>
      </c>
      <c r="DU47" s="9">
        <f>DA47+DF47+DK47+DP47</f>
        <v/>
      </c>
      <c r="DV47" s="9">
        <f>DB47+DG47+DL47+DQ47</f>
        <v/>
      </c>
      <c r="DW47" s="8" t="n">
        <v>56</v>
      </c>
      <c r="DX47" s="8" t="n">
        <v>6</v>
      </c>
      <c r="DY47" s="8" t="n">
        <v>5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  <c r="EY47" s="8" t="n">
        <v>0</v>
      </c>
      <c r="EZ47" s="8" t="n">
        <v>0</v>
      </c>
      <c r="FA47" s="8" t="n">
        <v>0</v>
      </c>
      <c r="FB47" s="8" t="n">
        <v>0</v>
      </c>
      <c r="FC47" s="8" t="n">
        <v>0</v>
      </c>
      <c r="FD47" s="8" t="n">
        <v>0</v>
      </c>
      <c r="FE47" s="8" t="n">
        <v>0</v>
      </c>
      <c r="FF47" s="8" t="n">
        <v>0</v>
      </c>
      <c r="FG47" s="9">
        <f>SUM(DW47,DX47,DY47,DZ47,EA47,EB47,EC47,ED47,EE47,EF47,EG47,EH47,EI47,EJ47,EK47,EL47,EM47,EN47,EO47,EP47,EQ47,ER47,ES47,ET47,EU47,EV47,EW47,EX47,EY47,EZ47,FA47,FB47,FC47,FD47,FE47,FF47)</f>
        <v/>
      </c>
      <c r="FH47" s="8" t="n">
        <v>1</v>
      </c>
      <c r="FI47" s="8" t="n">
        <v>312</v>
      </c>
      <c r="FJ47" s="8" t="n">
        <v>720</v>
      </c>
      <c r="FK47" s="8" t="n">
        <v>179</v>
      </c>
      <c r="FL47" s="8" t="n">
        <v>0</v>
      </c>
      <c r="FM47" s="8" t="n">
        <v>0</v>
      </c>
      <c r="FN47" s="8" t="n">
        <v>0</v>
      </c>
      <c r="FO47" s="8" t="n">
        <v>0</v>
      </c>
      <c r="FP47" s="8" t="n">
        <v>0</v>
      </c>
      <c r="FQ47" s="9">
        <f>FL47+FM47+FN47+FO47+FP47</f>
        <v/>
      </c>
      <c r="FR47" s="8" t="n">
        <v>0</v>
      </c>
      <c r="FS47" s="8" t="n">
        <v>0</v>
      </c>
      <c r="FT47" s="8" t="n">
        <v>0</v>
      </c>
      <c r="FU47" s="8" t="n">
        <v>0</v>
      </c>
      <c r="FV47" s="9">
        <f>FR47+FS47+FT47+FU47</f>
        <v/>
      </c>
      <c r="FW47" s="8" t="n">
        <v>3146565.9</v>
      </c>
      <c r="FX47" s="8" t="n">
        <v>2000</v>
      </c>
      <c r="FY47" s="8" t="n">
        <v>97400</v>
      </c>
      <c r="FZ47" s="8" t="n">
        <v>25500</v>
      </c>
      <c r="GA47" s="9">
        <f>FW47+FX47+FY47+FZ47</f>
        <v/>
      </c>
      <c r="GB47" s="9">
        <f>FV47+GA47</f>
        <v/>
      </c>
      <c r="GC47" s="8" t="n">
        <v>6680.52</v>
      </c>
      <c r="GD47" s="8" t="n">
        <v>0</v>
      </c>
      <c r="GE47" s="8" t="n">
        <v>8410.99</v>
      </c>
      <c r="GF47" s="8" t="n">
        <v>0</v>
      </c>
      <c r="GG47" s="9">
        <f>GC47+GD47+GE47+GF47</f>
        <v/>
      </c>
      <c r="GH47" s="8" t="n">
        <v>2905065.9</v>
      </c>
      <c r="GI47" s="8" t="n">
        <v>2000</v>
      </c>
      <c r="GJ47" s="8" t="n">
        <v>25500</v>
      </c>
      <c r="GK47" s="8" t="n">
        <v>97400</v>
      </c>
      <c r="GL47" s="9">
        <f>GH47+GI47+GJ47+GK47</f>
        <v/>
      </c>
      <c r="GM47" s="9">
        <f>GG47+GL47</f>
        <v/>
      </c>
      <c r="GN47" s="8" t="n">
        <v>1089.86</v>
      </c>
      <c r="GO47" s="8" t="n">
        <v>0</v>
      </c>
      <c r="GP47" s="8" t="n">
        <v>3393.64</v>
      </c>
      <c r="GQ47" s="8" t="n">
        <v>0</v>
      </c>
      <c r="GR47" s="9">
        <f>GN47+GO47+GP47+GQ47</f>
        <v/>
      </c>
      <c r="GS47" s="8" t="n">
        <v>1786</v>
      </c>
      <c r="GT47" s="8" t="n">
        <v>0</v>
      </c>
      <c r="GU47" s="8" t="n">
        <v>893</v>
      </c>
      <c r="GV47" s="8" t="n">
        <v>0</v>
      </c>
      <c r="GW47" s="9">
        <f>GS47+GT47+GU47+GV47</f>
        <v/>
      </c>
      <c r="GX47" s="9">
        <f>GM47+GR47+GW47</f>
        <v/>
      </c>
      <c r="GY47" s="8" t="n">
        <v>444876.44</v>
      </c>
      <c r="GZ47" s="8" t="n">
        <v>342279.12</v>
      </c>
      <c r="HA47" s="9">
        <f>GY47+GZ47</f>
        <v/>
      </c>
      <c r="HB47" s="9">
        <f>IF(GX47=0,"",AU47/GX47)</f>
        <v/>
      </c>
      <c r="HC47" s="10">
        <f>IF((GX47+GY47)=0,"",GB47/(GX47+GY47))</f>
        <v/>
      </c>
      <c r="HD47" s="9">
        <f>IF(GX47=0,"",GB47/GX47)</f>
        <v/>
      </c>
      <c r="HE47" s="8" t="n">
        <v>3</v>
      </c>
      <c r="HF47" s="8" t="n">
        <v>1</v>
      </c>
      <c r="HG47" s="8" t="n">
        <v>18</v>
      </c>
      <c r="HH47" s="8" t="n">
        <v>1</v>
      </c>
      <c r="HI47" s="8" t="n">
        <v>0</v>
      </c>
      <c r="HJ47" s="9">
        <f>HF47+HI47</f>
        <v/>
      </c>
      <c r="HK47" s="10">
        <f>IF(HE47=0,"",HH47/HE47)</f>
        <v/>
      </c>
      <c r="HL47" s="8" t="n">
        <v>28</v>
      </c>
      <c r="HM47" s="8" t="n">
        <v>4</v>
      </c>
      <c r="HN47" s="11">
        <f>IF(HL47=0,"",HM47/HL47)</f>
        <v/>
      </c>
    </row>
    <row r="48">
      <c r="A48" s="12" t="inlineStr">
        <is>
          <t>Liwonde</t>
        </is>
      </c>
      <c r="B48" s="12" t="inlineStr">
        <is>
          <t>Ntaja</t>
        </is>
      </c>
      <c r="C48" s="13" t="inlineStr">
        <is>
          <t>FY2025/26</t>
        </is>
      </c>
      <c r="D48" s="13" t="n">
        <v>2026</v>
      </c>
      <c r="E48" s="13" t="n">
        <v>1</v>
      </c>
      <c r="F48" s="13" t="inlineStr">
        <is>
          <t>January</t>
        </is>
      </c>
      <c r="G48" s="13" t="inlineStr">
        <is>
          <t>Q4</t>
        </is>
      </c>
      <c r="H48" s="14" t="n">
        <v>3204</v>
      </c>
      <c r="I48" s="14" t="n">
        <v>5</v>
      </c>
      <c r="J48" s="14" t="n">
        <v>0</v>
      </c>
      <c r="K48" s="14" t="n">
        <v>1</v>
      </c>
      <c r="L48" s="14" t="n">
        <v>0</v>
      </c>
      <c r="M48" s="15" t="n">
        <v>6</v>
      </c>
      <c r="N48" s="14" t="n">
        <v>2770.9</v>
      </c>
      <c r="O48" s="14" t="n">
        <v>87.09999999999999</v>
      </c>
      <c r="P48" s="14" t="n">
        <v>61.5</v>
      </c>
      <c r="Q48" s="14" t="n">
        <v>24.5</v>
      </c>
      <c r="R48" s="15" t="n">
        <v>2944</v>
      </c>
      <c r="S48" s="15" t="n">
        <v>2950</v>
      </c>
      <c r="T48" s="14" t="n">
        <v>254</v>
      </c>
      <c r="U48" s="16" t="n">
        <v>0.07927590511860175</v>
      </c>
      <c r="V48" s="14" t="n">
        <v>8</v>
      </c>
      <c r="W48" s="17" t="n">
        <v>2.496878901373283</v>
      </c>
      <c r="X48" s="14" t="n">
        <v>0</v>
      </c>
      <c r="Y48" s="17" t="n">
        <v>0</v>
      </c>
      <c r="Z48" s="14" t="n">
        <v>0</v>
      </c>
      <c r="AA48" s="17" t="n">
        <v>0</v>
      </c>
      <c r="AB48" s="14" t="n">
        <v>0</v>
      </c>
      <c r="AC48" s="17" t="n">
        <v>0</v>
      </c>
      <c r="AD48" s="14" t="n">
        <v>0</v>
      </c>
      <c r="AE48" s="17" t="n">
        <v>0</v>
      </c>
      <c r="AF48" s="14" t="n">
        <v>0</v>
      </c>
      <c r="AG48" s="17" t="n">
        <v>0</v>
      </c>
      <c r="AH48" s="14" t="n">
        <v>28202.32</v>
      </c>
      <c r="AI48" s="15" t="n">
        <v>8.802222222222222</v>
      </c>
      <c r="AJ48" s="14" t="n">
        <v>4301</v>
      </c>
      <c r="AK48" s="17" t="n">
        <v>1.342384519350811</v>
      </c>
      <c r="AL48" s="14" t="n">
        <v>738369.4275</v>
      </c>
      <c r="AM48" s="15" t="n">
        <v>230.4523806179775</v>
      </c>
      <c r="AN48" s="14" t="n">
        <v>0</v>
      </c>
      <c r="AO48" s="14" t="n">
        <v>0</v>
      </c>
      <c r="AP48" s="14" t="n">
        <v>0</v>
      </c>
      <c r="AQ48" s="14" t="n">
        <v>0</v>
      </c>
      <c r="AR48" s="14" t="n">
        <v>0</v>
      </c>
      <c r="AS48" s="14" t="n">
        <v>494308.32</v>
      </c>
      <c r="AT48" s="14" t="n">
        <v>0</v>
      </c>
      <c r="AU48" s="15" t="n">
        <v>1260880.0675</v>
      </c>
      <c r="AV48" s="15" t="n">
        <v>393.5331047128589</v>
      </c>
      <c r="AW48" s="15" t="n">
        <v>427.4169720338983</v>
      </c>
      <c r="AX48" s="14" t="n">
        <v>6</v>
      </c>
      <c r="AY48" s="15" t="n">
        <v>58.05243445692884</v>
      </c>
      <c r="AZ48" s="14" t="n">
        <v>4</v>
      </c>
      <c r="BA48" s="14" t="n">
        <v>15</v>
      </c>
      <c r="BB48" s="14" t="n">
        <v>0</v>
      </c>
      <c r="BC48" s="14" t="n">
        <v>0</v>
      </c>
      <c r="BD48" s="14" t="n">
        <v>2</v>
      </c>
      <c r="BE48" s="15" t="n">
        <v>2</v>
      </c>
      <c r="BF48" s="15" t="n">
        <v>13</v>
      </c>
      <c r="BG48" s="14" t="n">
        <v>3</v>
      </c>
      <c r="BH48" s="14" t="n">
        <v>0</v>
      </c>
      <c r="BI48" s="14" t="n">
        <v>0</v>
      </c>
      <c r="BJ48" s="14" t="n">
        <v>0</v>
      </c>
      <c r="BK48" s="15" t="n">
        <v>0</v>
      </c>
      <c r="BL48" s="15" t="n">
        <v>3</v>
      </c>
      <c r="BM48" s="14" t="n">
        <v>0</v>
      </c>
      <c r="BN48" s="14" t="n">
        <v>0</v>
      </c>
      <c r="BO48" s="14" t="n">
        <v>0</v>
      </c>
      <c r="BP48" s="14" t="n">
        <v>0</v>
      </c>
      <c r="BQ48" s="15" t="n">
        <v>0</v>
      </c>
      <c r="BR48" s="15" t="n">
        <v>0</v>
      </c>
      <c r="BS48" s="14" t="n">
        <v>0</v>
      </c>
      <c r="BT48" s="14" t="n">
        <v>0</v>
      </c>
      <c r="BU48" s="14" t="n">
        <v>0</v>
      </c>
      <c r="BV48" s="14" t="n">
        <v>0</v>
      </c>
      <c r="BW48" s="15" t="n">
        <v>0</v>
      </c>
      <c r="BX48" s="15" t="n">
        <v>0</v>
      </c>
      <c r="BY48" s="15" t="n">
        <v>18</v>
      </c>
      <c r="BZ48" s="15" t="n">
        <v>0</v>
      </c>
      <c r="CA48" s="15" t="n">
        <v>2</v>
      </c>
      <c r="CB48" s="15" t="n">
        <v>16</v>
      </c>
      <c r="CC48" s="14" t="n">
        <v>2</v>
      </c>
      <c r="CD48" s="14" t="n">
        <v>0</v>
      </c>
      <c r="CE48" s="14" t="n">
        <v>0</v>
      </c>
      <c r="CF48" s="14" t="n">
        <v>3</v>
      </c>
      <c r="CG48" s="14" t="n">
        <v>0</v>
      </c>
      <c r="CH48" s="15" t="n">
        <v>3</v>
      </c>
      <c r="CI48" s="14" t="n">
        <v>1</v>
      </c>
      <c r="CJ48" s="14" t="n">
        <v>2</v>
      </c>
      <c r="CK48" s="14" t="n">
        <v>0</v>
      </c>
      <c r="CL48" s="14" t="n">
        <v>0</v>
      </c>
      <c r="CM48" s="15" t="n">
        <v>3</v>
      </c>
      <c r="CN48" s="14" t="n">
        <v>664</v>
      </c>
      <c r="CO48" s="14" t="n">
        <v>21</v>
      </c>
      <c r="CP48" s="14" t="n">
        <v>17</v>
      </c>
      <c r="CQ48" s="14" t="n">
        <v>3</v>
      </c>
      <c r="CR48" s="15" t="n">
        <v>705</v>
      </c>
      <c r="CS48" s="15" t="n">
        <v>708</v>
      </c>
      <c r="CT48" s="14" t="n">
        <v>711</v>
      </c>
      <c r="CU48" s="14" t="n">
        <v>4348</v>
      </c>
      <c r="CV48" s="14" t="n">
        <v>2891</v>
      </c>
      <c r="CW48" s="16" t="n">
        <v>0.6649034038638455</v>
      </c>
      <c r="CX48" s="14" t="n">
        <v>0</v>
      </c>
      <c r="CY48" s="14" t="n">
        <v>0</v>
      </c>
      <c r="CZ48" s="14" t="n">
        <v>0</v>
      </c>
      <c r="DA48" s="14" t="n">
        <v>0</v>
      </c>
      <c r="DB48" s="15" t="n">
        <v>0</v>
      </c>
      <c r="DC48" s="14" t="n">
        <v>0</v>
      </c>
      <c r="DD48" s="14" t="n">
        <v>0</v>
      </c>
      <c r="DE48" s="14" t="n">
        <v>0</v>
      </c>
      <c r="DF48" s="14" t="n">
        <v>0</v>
      </c>
      <c r="DG48" s="15" t="n">
        <v>0</v>
      </c>
      <c r="DH48" s="14" t="n">
        <v>0</v>
      </c>
      <c r="DI48" s="14" t="n">
        <v>0</v>
      </c>
      <c r="DJ48" s="14" t="n">
        <v>0</v>
      </c>
      <c r="DK48" s="14" t="n">
        <v>0</v>
      </c>
      <c r="DL48" s="15" t="n">
        <v>0</v>
      </c>
      <c r="DM48" s="14" t="n">
        <v>0</v>
      </c>
      <c r="DN48" s="14" t="n">
        <v>0</v>
      </c>
      <c r="DO48" s="14" t="n">
        <v>0</v>
      </c>
      <c r="DP48" s="14" t="n">
        <v>0</v>
      </c>
      <c r="DQ48" s="15" t="n">
        <v>0</v>
      </c>
      <c r="DR48" s="15" t="n">
        <v>0</v>
      </c>
      <c r="DS48" s="15" t="n">
        <v>0</v>
      </c>
      <c r="DT48" s="15" t="n">
        <v>0</v>
      </c>
      <c r="DU48" s="15" t="n">
        <v>0</v>
      </c>
      <c r="DV48" s="15" t="n">
        <v>0</v>
      </c>
      <c r="DW48" s="14" t="n">
        <v>63</v>
      </c>
      <c r="DX48" s="14" t="n">
        <v>6</v>
      </c>
      <c r="DY48" s="14" t="n">
        <v>4</v>
      </c>
      <c r="DZ48" s="14" t="n">
        <v>2</v>
      </c>
      <c r="EA48" s="14" t="n">
        <v>4</v>
      </c>
      <c r="EB48" s="14" t="n">
        <v>0</v>
      </c>
      <c r="EC48" s="14" t="n">
        <v>0</v>
      </c>
      <c r="ED48" s="14" t="n">
        <v>0</v>
      </c>
      <c r="EE48" s="14" t="n">
        <v>0</v>
      </c>
      <c r="EF48" s="14" t="n">
        <v>0</v>
      </c>
      <c r="EG48" s="14" t="n">
        <v>0</v>
      </c>
      <c r="EH48" s="14" t="n">
        <v>0</v>
      </c>
      <c r="EI48" s="14" t="n">
        <v>0</v>
      </c>
      <c r="EJ48" s="14" t="n">
        <v>0</v>
      </c>
      <c r="EK48" s="14" t="n">
        <v>0</v>
      </c>
      <c r="EL48" s="14" t="n">
        <v>0</v>
      </c>
      <c r="EM48" s="14" t="n">
        <v>0</v>
      </c>
      <c r="EN48" s="14" t="n">
        <v>0</v>
      </c>
      <c r="EO48" s="14" t="n">
        <v>0</v>
      </c>
      <c r="EP48" s="14" t="n">
        <v>0</v>
      </c>
      <c r="EQ48" s="14" t="n">
        <v>0</v>
      </c>
      <c r="ER48" s="14" t="n">
        <v>0</v>
      </c>
      <c r="ES48" s="14" t="n">
        <v>0</v>
      </c>
      <c r="ET48" s="14" t="n">
        <v>0</v>
      </c>
      <c r="EU48" s="14" t="n">
        <v>0</v>
      </c>
      <c r="EV48" s="14" t="n">
        <v>0</v>
      </c>
      <c r="EW48" s="14" t="n">
        <v>0</v>
      </c>
      <c r="EX48" s="14" t="n">
        <v>0</v>
      </c>
      <c r="EY48" s="14" t="n">
        <v>0</v>
      </c>
      <c r="EZ48" s="14" t="n">
        <v>0</v>
      </c>
      <c r="FA48" s="14" t="n">
        <v>0</v>
      </c>
      <c r="FB48" s="14" t="n">
        <v>0</v>
      </c>
      <c r="FC48" s="14" t="n">
        <v>0</v>
      </c>
      <c r="FD48" s="14" t="n">
        <v>0</v>
      </c>
      <c r="FE48" s="14" t="n">
        <v>0</v>
      </c>
      <c r="FF48" s="14" t="n">
        <v>0</v>
      </c>
      <c r="FG48" s="15" t="n">
        <v>79</v>
      </c>
      <c r="FH48" s="14" t="n">
        <v>1</v>
      </c>
      <c r="FI48" s="14" t="n">
        <v>720</v>
      </c>
      <c r="FJ48" s="14" t="n">
        <v>720</v>
      </c>
      <c r="FK48" s="14" t="n">
        <v>96</v>
      </c>
      <c r="FL48" s="14" t="n">
        <v>0</v>
      </c>
      <c r="FM48" s="14" t="n">
        <v>0</v>
      </c>
      <c r="FN48" s="14" t="n">
        <v>0</v>
      </c>
      <c r="FO48" s="14" t="n">
        <v>0</v>
      </c>
      <c r="FP48" s="14" t="n">
        <v>0</v>
      </c>
      <c r="FQ48" s="15" t="n">
        <v>0</v>
      </c>
      <c r="FR48" s="14" t="n">
        <v>0</v>
      </c>
      <c r="FS48" s="14" t="n">
        <v>0</v>
      </c>
      <c r="FT48" s="14" t="n">
        <v>0</v>
      </c>
      <c r="FU48" s="14" t="n">
        <v>0</v>
      </c>
      <c r="FV48" s="15" t="n">
        <v>0</v>
      </c>
      <c r="FW48" s="14" t="n">
        <v>3495380</v>
      </c>
      <c r="FX48" s="14" t="n">
        <v>18500</v>
      </c>
      <c r="FY48" s="14" t="n">
        <v>116700</v>
      </c>
      <c r="FZ48" s="14" t="n">
        <v>186400</v>
      </c>
      <c r="GA48" s="15" t="n">
        <v>3816980</v>
      </c>
      <c r="GB48" s="15" t="n">
        <v>3816980</v>
      </c>
      <c r="GC48" s="14" t="n">
        <v>7560.22</v>
      </c>
      <c r="GD48" s="14" t="n">
        <v>0</v>
      </c>
      <c r="GE48" s="14" t="n">
        <v>8410.99</v>
      </c>
      <c r="GF48" s="14" t="n">
        <v>0</v>
      </c>
      <c r="GG48" s="15" t="n">
        <v>15971.21</v>
      </c>
      <c r="GH48" s="14" t="n">
        <v>3452567.41</v>
      </c>
      <c r="GI48" s="14" t="n">
        <v>18500</v>
      </c>
      <c r="GJ48" s="14" t="n">
        <v>186366.08</v>
      </c>
      <c r="GK48" s="14" t="n">
        <v>116700</v>
      </c>
      <c r="GL48" s="15" t="n">
        <v>3774133.49</v>
      </c>
      <c r="GM48" s="15" t="n">
        <v>3790104.7</v>
      </c>
      <c r="GN48" s="14" t="n">
        <v>1089.86</v>
      </c>
      <c r="GO48" s="14" t="n">
        <v>0</v>
      </c>
      <c r="GP48" s="14" t="n">
        <v>3393.64</v>
      </c>
      <c r="GQ48" s="14" t="n">
        <v>0</v>
      </c>
      <c r="GR48" s="15" t="n">
        <v>4483.5</v>
      </c>
      <c r="GS48" s="14" t="n">
        <v>1786</v>
      </c>
      <c r="GT48" s="14" t="n">
        <v>0</v>
      </c>
      <c r="GU48" s="14" t="n">
        <v>893</v>
      </c>
      <c r="GV48" s="14" t="n">
        <v>0</v>
      </c>
      <c r="GW48" s="15" t="n">
        <v>2679</v>
      </c>
      <c r="GX48" s="15" t="n">
        <v>3797267.2</v>
      </c>
      <c r="GY48" s="14" t="n">
        <v>444876.44</v>
      </c>
      <c r="GZ48" s="14" t="n">
        <v>232433.45</v>
      </c>
      <c r="HA48" s="15" t="n">
        <v>677309.89</v>
      </c>
      <c r="HB48" s="15" t="n">
        <v>3797267.2</v>
      </c>
      <c r="HC48" s="16" t="n">
        <v>444876.44</v>
      </c>
      <c r="HD48" s="15" t="n">
        <v>232433.45</v>
      </c>
      <c r="HE48" s="14" t="n">
        <v>11</v>
      </c>
      <c r="HF48" s="14" t="n">
        <v>1</v>
      </c>
      <c r="HG48" s="14" t="n">
        <v>16</v>
      </c>
      <c r="HH48" s="14" t="n">
        <v>0</v>
      </c>
      <c r="HI48" s="14" t="n">
        <v>0</v>
      </c>
      <c r="HJ48" s="15" t="n"/>
      <c r="HK48" s="16" t="n">
        <v>0</v>
      </c>
      <c r="HL48" s="14" t="n">
        <v>30</v>
      </c>
      <c r="HM48" s="14" t="n">
        <v>3</v>
      </c>
      <c r="HN48" s="17" t="n">
        <v>10</v>
      </c>
    </row>
    <row r="49">
      <c r="A49" s="6" t="inlineStr">
        <is>
          <t>Liwonde</t>
        </is>
      </c>
      <c r="B49" s="6" t="inlineStr">
        <is>
          <t>Ntaja</t>
        </is>
      </c>
      <c r="C49" s="7" t="inlineStr">
        <is>
          <t>FY2025/26</t>
        </is>
      </c>
      <c r="D49" s="7" t="n">
        <v>2026</v>
      </c>
      <c r="E49" s="7" t="n">
        <v>2</v>
      </c>
      <c r="F49" s="7" t="inlineStr">
        <is>
          <t>February</t>
        </is>
      </c>
      <c r="G49" s="7" t="inlineStr">
        <is>
          <t>Q4</t>
        </is>
      </c>
      <c r="H49" s="8" t="n">
        <v>3033</v>
      </c>
      <c r="I49" s="8" t="n">
        <v>6</v>
      </c>
      <c r="J49" s="8" t="n">
        <v>0</v>
      </c>
      <c r="K49" s="8" t="n">
        <v>4</v>
      </c>
      <c r="L49" s="8" t="n">
        <v>0</v>
      </c>
      <c r="M49" s="9">
        <f>SUM(I49,J49,K49,L49)</f>
        <v/>
      </c>
      <c r="N49" s="8" t="n">
        <v>2517.3</v>
      </c>
      <c r="O49" s="8" t="n">
        <v>131.8</v>
      </c>
      <c r="P49" s="8" t="n">
        <v>57.7</v>
      </c>
      <c r="Q49" s="8" t="n">
        <v>39.4</v>
      </c>
      <c r="R49" s="9">
        <f>SUM(N49,O49,P49,Q49)</f>
        <v/>
      </c>
      <c r="S49" s="9">
        <f>M49+R49</f>
        <v/>
      </c>
      <c r="T49" s="8" t="n">
        <v>276.7999999999997</v>
      </c>
      <c r="U49" s="10">
        <f>IF(H49=0,"",T49/H49)</f>
        <v/>
      </c>
      <c r="V49" s="8" t="n">
        <v>8</v>
      </c>
      <c r="W49" s="11">
        <f>IF(H49=0,"",V49/H49)</f>
        <v/>
      </c>
      <c r="X49" s="8" t="n">
        <v>0</v>
      </c>
      <c r="Y49" s="11">
        <f>IF(H49=0,"",X49/H49)</f>
        <v/>
      </c>
      <c r="Z49" s="8" t="n">
        <v>0</v>
      </c>
      <c r="AA49" s="11">
        <f>IF(H49=0,"",Z49/H49)</f>
        <v/>
      </c>
      <c r="AB49" s="8" t="n">
        <v>0</v>
      </c>
      <c r="AC49" s="11">
        <f>IF(H49=0,"",AB49/H49)</f>
        <v/>
      </c>
      <c r="AD49" s="8" t="n">
        <v>0</v>
      </c>
      <c r="AE49" s="11">
        <f>IF(H49=0,"",AD49/H49)</f>
        <v/>
      </c>
      <c r="AF49" s="8" t="n">
        <v>0</v>
      </c>
      <c r="AG49" s="11">
        <f>IF(H49=0,"",AF49/H49)</f>
        <v/>
      </c>
      <c r="AH49" s="8" t="n">
        <v>28202.32</v>
      </c>
      <c r="AI49" s="9">
        <f>IF(H49=0,"",AH49/H49)</f>
        <v/>
      </c>
      <c r="AJ49" s="8" t="n">
        <v>2884</v>
      </c>
      <c r="AK49" s="11">
        <f>IF(H49=0,"",AJ49/H49)</f>
        <v/>
      </c>
      <c r="AL49" s="8" t="n">
        <v>501478.91</v>
      </c>
      <c r="AM49" s="9">
        <f>IF(H49=0,"",AL49/H49)</f>
        <v/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2570883.32</v>
      </c>
      <c r="AS49" s="8" t="n">
        <v>0</v>
      </c>
      <c r="AT49" s="8" t="n">
        <v>0</v>
      </c>
      <c r="AU49" s="9">
        <f>AH49+AL49+AP49+AQ49+AR49+AS49+AT49</f>
        <v/>
      </c>
      <c r="AV49" s="9">
        <f>IF(H49=0,"",AU49/H49)</f>
        <v/>
      </c>
      <c r="AW49" s="9">
        <f>IF(S49=0,"",AU49/S49)</f>
        <v/>
      </c>
      <c r="AX49" s="8" t="n">
        <v>5</v>
      </c>
      <c r="AY49" s="9">
        <f>IF(H49=0,"",AX49/(H49/1000/12))</f>
        <v/>
      </c>
      <c r="AZ49" s="8" t="n">
        <v>5</v>
      </c>
      <c r="BA49" s="8" t="n">
        <v>13</v>
      </c>
      <c r="BB49" s="8" t="n">
        <v>2</v>
      </c>
      <c r="BC49" s="8" t="n">
        <v>0</v>
      </c>
      <c r="BD49" s="8" t="n">
        <v>0</v>
      </c>
      <c r="BE49" s="9">
        <f>BC49+BD49</f>
        <v/>
      </c>
      <c r="BF49" s="9">
        <f>BA49+BB49-BE49</f>
        <v/>
      </c>
      <c r="BG49" s="8" t="n">
        <v>3</v>
      </c>
      <c r="BH49" s="8" t="n">
        <v>0</v>
      </c>
      <c r="BI49" s="8" t="n">
        <v>0</v>
      </c>
      <c r="BJ49" s="8" t="n">
        <v>0</v>
      </c>
      <c r="BK49" s="9">
        <f>BI49+BJ49</f>
        <v/>
      </c>
      <c r="BL49" s="9">
        <f>BG49+BH49-BK49</f>
        <v/>
      </c>
      <c r="BM49" s="8" t="n">
        <v>0</v>
      </c>
      <c r="BN49" s="8" t="n">
        <v>0</v>
      </c>
      <c r="BO49" s="8" t="n">
        <v>0</v>
      </c>
      <c r="BP49" s="8" t="n">
        <v>0</v>
      </c>
      <c r="BQ49" s="9">
        <f>BO49+BP49</f>
        <v/>
      </c>
      <c r="BR49" s="9">
        <f>BM49+BN49-BQ49</f>
        <v/>
      </c>
      <c r="BS49" s="8" t="n">
        <v>0</v>
      </c>
      <c r="BT49" s="8" t="n">
        <v>0</v>
      </c>
      <c r="BU49" s="8" t="n">
        <v>0</v>
      </c>
      <c r="BV49" s="8" t="n">
        <v>0</v>
      </c>
      <c r="BW49" s="9">
        <f>BU49+BV49</f>
        <v/>
      </c>
      <c r="BX49" s="9">
        <f>BS49+BT49-BW49</f>
        <v/>
      </c>
      <c r="BY49" s="9">
        <f>BA49+BG49+BM49+BS49</f>
        <v/>
      </c>
      <c r="BZ49" s="9">
        <f>BB49+BH49+BN49+BT49</f>
        <v/>
      </c>
      <c r="CA49" s="9">
        <f>BE49+BK49+BQ49+BW49</f>
        <v/>
      </c>
      <c r="CB49" s="9">
        <f>BF49+BL49+BR49+BX49</f>
        <v/>
      </c>
      <c r="CC49" s="8" t="n">
        <v>0</v>
      </c>
      <c r="CD49" s="8" t="n">
        <v>0</v>
      </c>
      <c r="CE49" s="8" t="n">
        <v>0</v>
      </c>
      <c r="CF49" s="8" t="n">
        <v>3</v>
      </c>
      <c r="CG49" s="8" t="n">
        <v>0</v>
      </c>
      <c r="CH49" s="9">
        <f>CD49+CE49+CF49+CG49</f>
        <v/>
      </c>
      <c r="CI49" s="8" t="n">
        <v>1</v>
      </c>
      <c r="CJ49" s="8" t="n">
        <v>2</v>
      </c>
      <c r="CK49" s="8" t="n">
        <v>0</v>
      </c>
      <c r="CL49" s="8" t="n">
        <v>0</v>
      </c>
      <c r="CM49" s="9">
        <f>CI49+CJ49+CK49+CL49</f>
        <v/>
      </c>
      <c r="CN49" s="8" t="n">
        <v>664</v>
      </c>
      <c r="CO49" s="8" t="n">
        <v>21</v>
      </c>
      <c r="CP49" s="8" t="n">
        <v>17</v>
      </c>
      <c r="CQ49" s="8" t="n">
        <v>3</v>
      </c>
      <c r="CR49" s="9">
        <f>CN49+CO49+CP49+CQ49</f>
        <v/>
      </c>
      <c r="CS49" s="9">
        <f>CM49+CR49</f>
        <v/>
      </c>
      <c r="CT49" s="8" t="n">
        <v>711</v>
      </c>
      <c r="CU49" s="8" t="n">
        <v>4261</v>
      </c>
      <c r="CV49" s="8" t="n">
        <v>2833</v>
      </c>
      <c r="CW49" s="10">
        <f>IF(CU49=0,"",CV49/CU49)</f>
        <v/>
      </c>
      <c r="CX49" s="8" t="n"/>
      <c r="CY49" s="8" t="n"/>
      <c r="CZ49" s="8" t="n"/>
      <c r="DA49" s="8" t="n"/>
      <c r="DB49" s="9">
        <f>CX49+CY49-CZ49-DA49</f>
        <v/>
      </c>
      <c r="DC49" s="8" t="n">
        <v>0</v>
      </c>
      <c r="DD49" s="8" t="n">
        <v>0</v>
      </c>
      <c r="DE49" s="8" t="n">
        <v>0</v>
      </c>
      <c r="DF49" s="8" t="n">
        <v>0</v>
      </c>
      <c r="DG49" s="9">
        <f>DC49+DD49-DE49-DF49</f>
        <v/>
      </c>
      <c r="DH49" s="8" t="n">
        <v>0</v>
      </c>
      <c r="DI49" s="8" t="n">
        <v>0</v>
      </c>
      <c r="DJ49" s="8" t="n">
        <v>0</v>
      </c>
      <c r="DK49" s="8" t="n">
        <v>0</v>
      </c>
      <c r="DL49" s="9">
        <f>DH49+DI49-DJ49-DK49</f>
        <v/>
      </c>
      <c r="DM49" s="8" t="n">
        <v>0</v>
      </c>
      <c r="DN49" s="8" t="n">
        <v>0</v>
      </c>
      <c r="DO49" s="8" t="n">
        <v>0</v>
      </c>
      <c r="DP49" s="8" t="n">
        <v>0</v>
      </c>
      <c r="DQ49" s="9">
        <f>DM49+DN49-DO49-DP49</f>
        <v/>
      </c>
      <c r="DR49" s="9">
        <f>CX49+DC49+DH49+DM49</f>
        <v/>
      </c>
      <c r="DS49" s="9">
        <f>CY49+DD49+DI49+DN49</f>
        <v/>
      </c>
      <c r="DT49" s="9">
        <f>CZ49+DE49+DJ49+DO49</f>
        <v/>
      </c>
      <c r="DU49" s="9">
        <f>DA49+DF49+DK49+DP49</f>
        <v/>
      </c>
      <c r="DV49" s="9">
        <f>DB49+DG49+DL49+DQ49</f>
        <v/>
      </c>
      <c r="DW49" s="8" t="n">
        <v>51</v>
      </c>
      <c r="DX49" s="8" t="n">
        <v>6</v>
      </c>
      <c r="DY49" s="8" t="n">
        <v>3</v>
      </c>
      <c r="DZ49" s="8" t="n">
        <v>2</v>
      </c>
      <c r="EA49" s="8" t="n">
        <v>1</v>
      </c>
      <c r="EB49" s="8" t="n">
        <v>0</v>
      </c>
      <c r="EC49" s="8" t="n">
        <v>0</v>
      </c>
      <c r="ED49" s="8" t="n">
        <v>1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  <c r="EY49" s="8" t="n">
        <v>0</v>
      </c>
      <c r="EZ49" s="8" t="n">
        <v>0</v>
      </c>
      <c r="FA49" s="8" t="n">
        <v>0</v>
      </c>
      <c r="FB49" s="8" t="n">
        <v>0</v>
      </c>
      <c r="FC49" s="8" t="n">
        <v>0</v>
      </c>
      <c r="FD49" s="8" t="n">
        <v>0</v>
      </c>
      <c r="FE49" s="8" t="n">
        <v>0</v>
      </c>
      <c r="FF49" s="8" t="n">
        <v>0</v>
      </c>
      <c r="FG49" s="9">
        <f>SUM(DW49,DX49,DY49,DZ49,EA49,EB49,EC49,ED49,EE49,EF49,EG49,EH49,EI49,EJ49,EK49,EL49,EM49,EN49,EO49,EP49,EQ49,ER49,ES49,ET49,EU49,EV49,EW49,EX49,EY49,EZ49,FA49,FB49,FC49,FD49,FE49,FF49)</f>
        <v/>
      </c>
      <c r="FH49" s="8" t="n">
        <v>1</v>
      </c>
      <c r="FI49" s="8" t="n">
        <v>600</v>
      </c>
      <c r="FJ49" s="8" t="n">
        <v>720</v>
      </c>
      <c r="FK49" s="8" t="n">
        <v>56</v>
      </c>
      <c r="FL49" s="8" t="n">
        <v>0</v>
      </c>
      <c r="FM49" s="8" t="n">
        <v>0</v>
      </c>
      <c r="FN49" s="8" t="n">
        <v>0</v>
      </c>
      <c r="FO49" s="8" t="n">
        <v>0</v>
      </c>
      <c r="FP49" s="8" t="n">
        <v>0</v>
      </c>
      <c r="FQ49" s="9">
        <f>FL49+FM49+FN49+FO49+FP49</f>
        <v/>
      </c>
      <c r="FR49" s="8" t="n">
        <v>0</v>
      </c>
      <c r="FS49" s="8" t="n">
        <v>0</v>
      </c>
      <c r="FT49" s="8" t="n">
        <v>0</v>
      </c>
      <c r="FU49" s="8" t="n">
        <v>0</v>
      </c>
      <c r="FV49" s="9">
        <f>FR49+FS49+FT49+FU49</f>
        <v/>
      </c>
      <c r="FW49" s="8" t="n">
        <v>3159978.8</v>
      </c>
      <c r="FX49" s="8" t="n">
        <v>28000</v>
      </c>
      <c r="FY49" s="8" t="n">
        <v>186600</v>
      </c>
      <c r="FZ49" s="8" t="n">
        <v>176100</v>
      </c>
      <c r="GA49" s="9">
        <f>FW49+FX49+FY49+FZ49</f>
        <v/>
      </c>
      <c r="GB49" s="9">
        <f>FV49+GA49</f>
        <v/>
      </c>
      <c r="GC49" s="8" t="n">
        <v>7560.22</v>
      </c>
      <c r="GD49" s="8" t="n">
        <v>0</v>
      </c>
      <c r="GE49" s="8" t="n">
        <v>8410.99</v>
      </c>
      <c r="GF49" s="8" t="n">
        <v>0</v>
      </c>
      <c r="GG49" s="9">
        <f>GC49+GD49+GE49+GF49</f>
        <v/>
      </c>
      <c r="GH49" s="8" t="n">
        <v>3135558.800000002</v>
      </c>
      <c r="GI49" s="8" t="n">
        <v>28000</v>
      </c>
      <c r="GJ49" s="8" t="n">
        <v>175500</v>
      </c>
      <c r="GK49" s="8" t="n">
        <v>186600</v>
      </c>
      <c r="GL49" s="9">
        <f>GH49+GI49+GJ49+GK49</f>
        <v/>
      </c>
      <c r="GM49" s="9">
        <f>GG49+GL49</f>
        <v/>
      </c>
      <c r="GN49" s="8" t="n">
        <v>1089.86</v>
      </c>
      <c r="GO49" s="8" t="n">
        <v>0</v>
      </c>
      <c r="GP49" s="8" t="n">
        <v>3393.64</v>
      </c>
      <c r="GQ49" s="8" t="n">
        <v>0</v>
      </c>
      <c r="GR49" s="9">
        <f>GN49+GO49+GP49+GQ49</f>
        <v/>
      </c>
      <c r="GS49" s="8" t="n">
        <v>1786</v>
      </c>
      <c r="GT49" s="8" t="n">
        <v>0</v>
      </c>
      <c r="GU49" s="8" t="n">
        <v>893</v>
      </c>
      <c r="GV49" s="8" t="n">
        <v>0</v>
      </c>
      <c r="GW49" s="9">
        <f>GS49+GT49+GU49+GV49</f>
        <v/>
      </c>
      <c r="GX49" s="9">
        <f>GM49+GR49+GW49</f>
        <v/>
      </c>
      <c r="GY49" s="8" t="n">
        <v>444876.44</v>
      </c>
      <c r="GZ49" s="8" t="n">
        <v>255567.16</v>
      </c>
      <c r="HA49" s="9">
        <f>GY49+GZ49</f>
        <v/>
      </c>
      <c r="HB49" s="9">
        <f>IF(GX49=0,"",AU49/GX49)</f>
        <v/>
      </c>
      <c r="HC49" s="10">
        <f>IF((GX49+GY49)=0,"",GB49/(GX49+GY49))</f>
        <v/>
      </c>
      <c r="HD49" s="9">
        <f>IF(GX49=0,"",GB49/GX49)</f>
        <v/>
      </c>
      <c r="HE49" s="8" t="n">
        <v>2</v>
      </c>
      <c r="HF49" s="8" t="n">
        <v>1</v>
      </c>
      <c r="HG49" s="8" t="n">
        <v>18</v>
      </c>
      <c r="HH49" s="8" t="n">
        <v>2</v>
      </c>
      <c r="HI49" s="8" t="n">
        <v>0</v>
      </c>
      <c r="HJ49" s="9">
        <f>HF49+HI49</f>
        <v/>
      </c>
      <c r="HK49" s="10">
        <f>IF(HE49=0,"",HH49/HE49)</f>
        <v/>
      </c>
      <c r="HL49" s="8" t="n">
        <v>19</v>
      </c>
      <c r="HM49" s="8" t="n">
        <v>3</v>
      </c>
      <c r="HN49" s="11">
        <f>IF(HL49=0,"",HM49/HL49)</f>
        <v/>
      </c>
    </row>
    <row r="50">
      <c r="A50" s="12" t="inlineStr">
        <is>
          <t>Liwonde</t>
        </is>
      </c>
      <c r="B50" s="12" t="inlineStr">
        <is>
          <t>Ntaja</t>
        </is>
      </c>
      <c r="C50" s="13" t="inlineStr">
        <is>
          <t>FY2025/26</t>
        </is>
      </c>
      <c r="D50" s="13" t="n">
        <v>2026</v>
      </c>
      <c r="E50" s="13" t="n">
        <v>3</v>
      </c>
      <c r="F50" s="13" t="inlineStr">
        <is>
          <t>March</t>
        </is>
      </c>
      <c r="G50" s="13" t="inlineStr">
        <is>
          <t>Q4</t>
        </is>
      </c>
      <c r="H50" s="14" t="n">
        <v>2612</v>
      </c>
      <c r="I50" s="14" t="n">
        <v>4</v>
      </c>
      <c r="J50" s="14" t="n">
        <v>0</v>
      </c>
      <c r="K50" s="14" t="n">
        <v>1</v>
      </c>
      <c r="L50" s="14" t="n">
        <v>0</v>
      </c>
      <c r="M50" s="15">
        <f>SUM(I50,J50,K50,L50)</f>
        <v/>
      </c>
      <c r="N50" s="14" t="n">
        <v>2214.5</v>
      </c>
      <c r="O50" s="14" t="n">
        <v>9.4</v>
      </c>
      <c r="P50" s="14" t="n">
        <v>67.90000000000001</v>
      </c>
      <c r="Q50" s="14" t="n">
        <v>56.2</v>
      </c>
      <c r="R50" s="15">
        <f>SUM(N50,O50,P50,Q50)</f>
        <v/>
      </c>
      <c r="S50" s="15">
        <f>M50+R50</f>
        <v/>
      </c>
      <c r="T50" s="14" t="n">
        <v>259</v>
      </c>
      <c r="U50" s="16">
        <f>IF(H50=0,"",T50/H50)</f>
        <v/>
      </c>
      <c r="V50" s="14" t="n">
        <v>8</v>
      </c>
      <c r="W50" s="17">
        <f>IF(H50=0,"",V50/H50)</f>
        <v/>
      </c>
      <c r="X50" s="14" t="n">
        <v>0</v>
      </c>
      <c r="Y50" s="17">
        <f>IF(H50=0,"",X50/H50)</f>
        <v/>
      </c>
      <c r="Z50" s="14" t="n">
        <v>0</v>
      </c>
      <c r="AA50" s="17">
        <f>IF(H50=0,"",Z50/H50)</f>
        <v/>
      </c>
      <c r="AB50" s="14" t="n">
        <v>0</v>
      </c>
      <c r="AC50" s="17">
        <f>IF(H50=0,"",AB50/H50)</f>
        <v/>
      </c>
      <c r="AD50" s="14" t="n">
        <v>0</v>
      </c>
      <c r="AE50" s="17">
        <f>IF(H50=0,"",AD50/H50)</f>
        <v/>
      </c>
      <c r="AF50" s="14" t="n">
        <v>0</v>
      </c>
      <c r="AG50" s="17">
        <f>IF(H50=0,"",AF50/H50)</f>
        <v/>
      </c>
      <c r="AH50" s="14" t="n">
        <v>28202.32</v>
      </c>
      <c r="AI50" s="15">
        <f>IF(H50=0,"",AH50/H50)</f>
        <v/>
      </c>
      <c r="AJ50" s="14" t="n">
        <v>3390</v>
      </c>
      <c r="AK50" s="17">
        <f>IF(H50=0,"",AJ50/H50)</f>
        <v/>
      </c>
      <c r="AL50" s="14" t="n">
        <v>19339</v>
      </c>
      <c r="AM50" s="15">
        <f>IF(H50=0,"",AL50/H50)</f>
        <v/>
      </c>
      <c r="AN50" s="14" t="n">
        <v>0</v>
      </c>
      <c r="AO50" s="14" t="n">
        <v>0</v>
      </c>
      <c r="AP50" s="14" t="n">
        <v>0</v>
      </c>
      <c r="AQ50" s="14" t="n">
        <v>0</v>
      </c>
      <c r="AR50" s="14" t="n">
        <v>2512829.72</v>
      </c>
      <c r="AS50" s="14" t="n">
        <v>0</v>
      </c>
      <c r="AT50" s="14" t="n">
        <v>0</v>
      </c>
      <c r="AU50" s="15">
        <f>AH50+AL50+AP50+AQ50+AR50+AS50+AT50</f>
        <v/>
      </c>
      <c r="AV50" s="15">
        <f>IF(H50=0,"",AU50/H50)</f>
        <v/>
      </c>
      <c r="AW50" s="15">
        <f>IF(S50=0,"",AU50/S50)</f>
        <v/>
      </c>
      <c r="AX50" s="14" t="n">
        <v>5</v>
      </c>
      <c r="AY50" s="15">
        <f>IF(H50=0,"",AX50/(H50/1000/12))</f>
        <v/>
      </c>
      <c r="AZ50" s="14" t="n">
        <v>5</v>
      </c>
      <c r="BA50" s="14" t="n">
        <v>15</v>
      </c>
      <c r="BB50" s="14" t="n">
        <v>3</v>
      </c>
      <c r="BC50" s="14" t="n">
        <v>0</v>
      </c>
      <c r="BD50" s="14" t="n">
        <v>3</v>
      </c>
      <c r="BE50" s="15">
        <f>BC50+BD50</f>
        <v/>
      </c>
      <c r="BF50" s="15">
        <f>BA50+BB50-BE50</f>
        <v/>
      </c>
      <c r="BG50" s="14" t="n">
        <v>3</v>
      </c>
      <c r="BH50" s="14" t="n">
        <v>0</v>
      </c>
      <c r="BI50" s="14" t="n">
        <v>0</v>
      </c>
      <c r="BJ50" s="14" t="n">
        <v>0</v>
      </c>
      <c r="BK50" s="15">
        <f>BI50+BJ50</f>
        <v/>
      </c>
      <c r="BL50" s="15">
        <f>BG50+BH50-BK50</f>
        <v/>
      </c>
      <c r="BM50" s="14" t="n">
        <v>0</v>
      </c>
      <c r="BN50" s="14" t="n">
        <v>0</v>
      </c>
      <c r="BO50" s="14" t="n">
        <v>0</v>
      </c>
      <c r="BP50" s="14" t="n">
        <v>0</v>
      </c>
      <c r="BQ50" s="15">
        <f>BO50+BP50</f>
        <v/>
      </c>
      <c r="BR50" s="15">
        <f>BM50+BN50-BQ50</f>
        <v/>
      </c>
      <c r="BS50" s="14" t="n">
        <v>0</v>
      </c>
      <c r="BT50" s="14" t="n">
        <v>0</v>
      </c>
      <c r="BU50" s="14" t="n">
        <v>0</v>
      </c>
      <c r="BV50" s="14" t="n">
        <v>0</v>
      </c>
      <c r="BW50" s="15">
        <f>BU50+BV50</f>
        <v/>
      </c>
      <c r="BX50" s="15">
        <f>BS50+BT50-BW50</f>
        <v/>
      </c>
      <c r="BY50" s="15">
        <f>BA50+BG50+BM50+BS50</f>
        <v/>
      </c>
      <c r="BZ50" s="15">
        <f>BB50+BH50+BN50+BT50</f>
        <v/>
      </c>
      <c r="CA50" s="15">
        <f>BE50+BK50+BQ50+BW50</f>
        <v/>
      </c>
      <c r="CB50" s="15">
        <f>BF50+BL50+BR50+BX50</f>
        <v/>
      </c>
      <c r="CC50" s="14" t="n">
        <v>0</v>
      </c>
      <c r="CD50" s="14" t="n">
        <v>0</v>
      </c>
      <c r="CE50" s="14" t="n">
        <v>0</v>
      </c>
      <c r="CF50" s="14" t="n">
        <v>3</v>
      </c>
      <c r="CG50" s="14" t="n">
        <v>0</v>
      </c>
      <c r="CH50" s="15">
        <f>CD50+CE50+CF50+CG50</f>
        <v/>
      </c>
      <c r="CI50" s="14" t="n">
        <v>1</v>
      </c>
      <c r="CJ50" s="14" t="n">
        <v>2</v>
      </c>
      <c r="CK50" s="14" t="n">
        <v>0</v>
      </c>
      <c r="CL50" s="14" t="n">
        <v>0</v>
      </c>
      <c r="CM50" s="15">
        <f>CI50+CJ50+CK50+CL50</f>
        <v/>
      </c>
      <c r="CN50" s="14" t="n">
        <v>667</v>
      </c>
      <c r="CO50" s="14" t="n">
        <v>21</v>
      </c>
      <c r="CP50" s="14" t="n">
        <v>17</v>
      </c>
      <c r="CQ50" s="14" t="n">
        <v>3</v>
      </c>
      <c r="CR50" s="15">
        <f>CN50+CO50+CP50+CQ50</f>
        <v/>
      </c>
      <c r="CS50" s="15">
        <f>CM50+CR50</f>
        <v/>
      </c>
      <c r="CT50" s="14" t="n">
        <v>714</v>
      </c>
      <c r="CU50" s="14" t="n">
        <v>4303</v>
      </c>
      <c r="CV50" s="14" t="n">
        <v>2861</v>
      </c>
      <c r="CW50" s="16">
        <f>IF(CU50=0,"",CV50/CU50)</f>
        <v/>
      </c>
      <c r="CX50" s="14" t="n"/>
      <c r="CY50" s="14" t="n"/>
      <c r="CZ50" s="14" t="n"/>
      <c r="DA50" s="14" t="n"/>
      <c r="DB50" s="15">
        <f>CX50+CY50-CZ50-DA50</f>
        <v/>
      </c>
      <c r="DC50" s="14" t="n">
        <v>0</v>
      </c>
      <c r="DD50" s="14" t="n">
        <v>0</v>
      </c>
      <c r="DE50" s="14" t="n">
        <v>0</v>
      </c>
      <c r="DF50" s="14" t="n">
        <v>0</v>
      </c>
      <c r="DG50" s="15">
        <f>DC50+DD50-DE50-DF50</f>
        <v/>
      </c>
      <c r="DH50" s="14" t="n">
        <v>0</v>
      </c>
      <c r="DI50" s="14" t="n">
        <v>0</v>
      </c>
      <c r="DJ50" s="14" t="n">
        <v>0</v>
      </c>
      <c r="DK50" s="14" t="n">
        <v>0</v>
      </c>
      <c r="DL50" s="15">
        <f>DH50+DI50-DJ50-DK50</f>
        <v/>
      </c>
      <c r="DM50" s="14" t="n">
        <v>0</v>
      </c>
      <c r="DN50" s="14" t="n">
        <v>0</v>
      </c>
      <c r="DO50" s="14" t="n">
        <v>0</v>
      </c>
      <c r="DP50" s="14" t="n">
        <v>0</v>
      </c>
      <c r="DQ50" s="15">
        <f>DM50+DN50-DO50-DP50</f>
        <v/>
      </c>
      <c r="DR50" s="15">
        <f>CX50+DC50+DH50+DM50</f>
        <v/>
      </c>
      <c r="DS50" s="15">
        <f>CY50+DD50+DI50+DN50</f>
        <v/>
      </c>
      <c r="DT50" s="15">
        <f>CZ50+DE50+DJ50+DO50</f>
        <v/>
      </c>
      <c r="DU50" s="15">
        <f>DA50+DF50+DK50+DP50</f>
        <v/>
      </c>
      <c r="DV50" s="15">
        <f>DB50+DG50+DL50+DQ50</f>
        <v/>
      </c>
      <c r="DW50" s="14" t="n">
        <v>55</v>
      </c>
      <c r="DX50" s="14" t="n">
        <v>11</v>
      </c>
      <c r="DY50" s="14" t="n">
        <v>3</v>
      </c>
      <c r="DZ50" s="14" t="n">
        <v>2</v>
      </c>
      <c r="EA50" s="14" t="n">
        <v>2</v>
      </c>
      <c r="EB50" s="14" t="n">
        <v>0</v>
      </c>
      <c r="EC50" s="14" t="n">
        <v>0</v>
      </c>
      <c r="ED50" s="14" t="n">
        <v>1</v>
      </c>
      <c r="EE50" s="14" t="n">
        <v>0</v>
      </c>
      <c r="EF50" s="14" t="n">
        <v>0</v>
      </c>
      <c r="EG50" s="14" t="n">
        <v>0</v>
      </c>
      <c r="EH50" s="14" t="n">
        <v>0</v>
      </c>
      <c r="EI50" s="14" t="n">
        <v>0</v>
      </c>
      <c r="EJ50" s="14" t="n">
        <v>0</v>
      </c>
      <c r="EK50" s="14" t="n">
        <v>0</v>
      </c>
      <c r="EL50" s="14" t="n">
        <v>0</v>
      </c>
      <c r="EM50" s="14" t="n">
        <v>0</v>
      </c>
      <c r="EN50" s="14" t="n">
        <v>0</v>
      </c>
      <c r="EO50" s="14" t="n">
        <v>0</v>
      </c>
      <c r="EP50" s="14" t="n">
        <v>0</v>
      </c>
      <c r="EQ50" s="14" t="n">
        <v>0</v>
      </c>
      <c r="ER50" s="14" t="n">
        <v>0</v>
      </c>
      <c r="ES50" s="14" t="n">
        <v>0</v>
      </c>
      <c r="ET50" s="14" t="n">
        <v>0</v>
      </c>
      <c r="EU50" s="14" t="n">
        <v>0</v>
      </c>
      <c r="EV50" s="14" t="n">
        <v>0</v>
      </c>
      <c r="EW50" s="14" t="n">
        <v>0</v>
      </c>
      <c r="EX50" s="14" t="n">
        <v>0</v>
      </c>
      <c r="EY50" s="14" t="n">
        <v>0</v>
      </c>
      <c r="EZ50" s="14" t="n">
        <v>0</v>
      </c>
      <c r="FA50" s="14" t="n">
        <v>0</v>
      </c>
      <c r="FB50" s="14" t="n">
        <v>0</v>
      </c>
      <c r="FC50" s="14" t="n">
        <v>0</v>
      </c>
      <c r="FD50" s="14" t="n">
        <v>0</v>
      </c>
      <c r="FE50" s="14" t="n">
        <v>0</v>
      </c>
      <c r="FF50" s="14" t="n">
        <v>0</v>
      </c>
      <c r="FG50" s="15">
        <f>SUM(DW50,DX50,DY50,DZ50,EA50,EB50,EC50,ED50,EE50,EF50,EG50,EH50,EI50,EJ50,EK50,EL50,EM50,EN50,EO50,EP50,EQ50,ER50,ES50,ET50,EU50,EV50,EW50,EX50,EY50,EZ50,FA50,FB50,FC50,FD50,FE50,FF50)</f>
        <v/>
      </c>
      <c r="FH50" s="14" t="n">
        <v>0</v>
      </c>
      <c r="FI50" s="14" t="n">
        <v>0</v>
      </c>
      <c r="FJ50" s="14" t="n">
        <v>720</v>
      </c>
      <c r="FK50" s="14" t="n">
        <v>119</v>
      </c>
      <c r="FL50" s="14" t="n">
        <v>0</v>
      </c>
      <c r="FM50" s="14" t="n">
        <v>0</v>
      </c>
      <c r="FN50" s="14" t="n">
        <v>0</v>
      </c>
      <c r="FO50" s="14" t="n">
        <v>0</v>
      </c>
      <c r="FP50" s="14" t="n">
        <v>0</v>
      </c>
      <c r="FQ50" s="15">
        <f>FL50+FM50+FN50+FO50+FP50</f>
        <v/>
      </c>
      <c r="FR50" s="14" t="n">
        <v>0</v>
      </c>
      <c r="FS50" s="14" t="n">
        <v>0</v>
      </c>
      <c r="FT50" s="14" t="n">
        <v>0</v>
      </c>
      <c r="FU50" s="14" t="n">
        <v>0</v>
      </c>
      <c r="FV50" s="15">
        <f>FR50+FS50+FT50+FU50</f>
        <v/>
      </c>
      <c r="FW50" s="14" t="n">
        <v>2785030</v>
      </c>
      <c r="FX50" s="14" t="n">
        <v>2000</v>
      </c>
      <c r="FY50" s="14" t="n">
        <v>265500</v>
      </c>
      <c r="FZ50" s="14" t="n">
        <v>206600</v>
      </c>
      <c r="GA50" s="15">
        <f>FW50+FX50+FY50+FZ50</f>
        <v/>
      </c>
      <c r="GB50" s="15">
        <f>FV50+GA50</f>
        <v/>
      </c>
      <c r="GC50" s="14" t="n">
        <v>2759255.87</v>
      </c>
      <c r="GD50" s="14" t="n">
        <v>0</v>
      </c>
      <c r="GE50" s="14" t="n">
        <v>206600</v>
      </c>
      <c r="GF50" s="14" t="n">
        <v>265500</v>
      </c>
      <c r="GG50" s="15">
        <f>GC50+GD50+GE50+GF50</f>
        <v/>
      </c>
      <c r="GH50" s="14" t="n">
        <v>2759255.87</v>
      </c>
      <c r="GI50" s="14" t="n">
        <v>2000</v>
      </c>
      <c r="GJ50" s="14" t="n">
        <v>206600</v>
      </c>
      <c r="GK50" s="14" t="n">
        <v>265500</v>
      </c>
      <c r="GL50" s="15">
        <f>GH50+GI50+GJ50+GK50</f>
        <v/>
      </c>
      <c r="GM50" s="15">
        <f>GG50+GL50</f>
        <v/>
      </c>
      <c r="GN50" s="14" t="n">
        <v>1089.86</v>
      </c>
      <c r="GO50" s="14" t="n">
        <v>0</v>
      </c>
      <c r="GP50" s="14" t="n">
        <v>3393.64</v>
      </c>
      <c r="GQ50" s="14" t="n">
        <v>0</v>
      </c>
      <c r="GR50" s="15">
        <f>GN50+GO50+GP50+GQ50</f>
        <v/>
      </c>
      <c r="GS50" s="14" t="n">
        <v>1786</v>
      </c>
      <c r="GT50" s="14" t="n">
        <v>0</v>
      </c>
      <c r="GU50" s="14" t="n">
        <v>893</v>
      </c>
      <c r="GV50" s="14" t="n">
        <v>0</v>
      </c>
      <c r="GW50" s="15">
        <f>GS50+GT50+GU50+GV50</f>
        <v/>
      </c>
      <c r="GX50" s="15">
        <f>GM50+GR50+GW50</f>
        <v/>
      </c>
      <c r="GY50" s="14" t="n">
        <v>670270.15</v>
      </c>
      <c r="GZ50" s="14" t="n">
        <v>17475.82</v>
      </c>
      <c r="HA50" s="15">
        <f>GY50+GZ50</f>
        <v/>
      </c>
      <c r="HB50" s="15">
        <f>IF(GX50=0,"",AU50/GX50)</f>
        <v/>
      </c>
      <c r="HC50" s="16">
        <f>IF((GX50+GY50)=0,"",GB50/(GX50+GY50))</f>
        <v/>
      </c>
      <c r="HD50" s="15">
        <f>IF(GX50=0,"",GB50/GX50)</f>
        <v/>
      </c>
      <c r="HE50" s="14" t="n">
        <v>10</v>
      </c>
      <c r="HF50" s="14" t="n">
        <v>1</v>
      </c>
      <c r="HG50" s="14" t="n">
        <v>18</v>
      </c>
      <c r="HH50" s="14" t="n">
        <v>3</v>
      </c>
      <c r="HI50" s="14" t="n">
        <v>14</v>
      </c>
      <c r="HJ50" s="15">
        <f>HF50+HI50</f>
        <v/>
      </c>
      <c r="HK50" s="16">
        <f>IF(HE50=0,"",HH50/HE50)</f>
        <v/>
      </c>
      <c r="HL50" s="14" t="n">
        <v>23</v>
      </c>
      <c r="HM50" s="14" t="n">
        <v>3</v>
      </c>
      <c r="HN50" s="17">
        <f>IF(HL50=0,"",HM50/HL50)</f>
        <v/>
      </c>
    </row>
    <row r="51">
      <c r="A51" s="6" t="inlineStr">
        <is>
          <t>Mangochi</t>
        </is>
      </c>
      <c r="B51" s="6" t="inlineStr">
        <is>
          <t>Mangochi</t>
        </is>
      </c>
      <c r="C51" s="7" t="inlineStr">
        <is>
          <t>FY2025/26</t>
        </is>
      </c>
      <c r="D51" s="7" t="n">
        <v>2025</v>
      </c>
      <c r="E51" s="7" t="n">
        <v>4</v>
      </c>
      <c r="F51" s="7" t="inlineStr">
        <is>
          <t>April</t>
        </is>
      </c>
      <c r="G51" s="7" t="inlineStr">
        <is>
          <t>Q1</t>
        </is>
      </c>
      <c r="H51" s="8" t="n">
        <v>121625</v>
      </c>
      <c r="I51" s="8" t="n">
        <v>50468</v>
      </c>
      <c r="J51" s="8" t="n">
        <v>0</v>
      </c>
      <c r="K51" s="8" t="n">
        <v>193</v>
      </c>
      <c r="L51" s="8" t="n">
        <v>0</v>
      </c>
      <c r="M51" s="9">
        <f>SUM(I51,J51,K51,L51)</f>
        <v/>
      </c>
      <c r="N51" s="8" t="n">
        <v>17179.5</v>
      </c>
      <c r="O51" s="8" t="n">
        <v>3825.4</v>
      </c>
      <c r="P51" s="8" t="n">
        <v>7141.5</v>
      </c>
      <c r="Q51" s="8" t="n">
        <v>2594</v>
      </c>
      <c r="R51" s="9">
        <f>SUM(N51,O51,P51,Q51)</f>
        <v/>
      </c>
      <c r="S51" s="9">
        <f>M51+R51</f>
        <v/>
      </c>
      <c r="T51" s="8" t="n">
        <v>40223.6</v>
      </c>
      <c r="U51" s="10">
        <f>IF(H51=0,"",T51/H51)</f>
        <v/>
      </c>
      <c r="V51" s="8" t="n">
        <v>350</v>
      </c>
      <c r="W51" s="11">
        <f>IF(H51=0,"",V51/H51)</f>
        <v/>
      </c>
      <c r="X51" s="8" t="n">
        <v>0</v>
      </c>
      <c r="Y51" s="11">
        <f>IF(H51=0,"",X51/H51)</f>
        <v/>
      </c>
      <c r="Z51" s="8" t="n">
        <v>0</v>
      </c>
      <c r="AA51" s="11">
        <f>IF(H51=0,"",Z51/H51)</f>
        <v/>
      </c>
      <c r="AB51" s="8" t="n">
        <v>0</v>
      </c>
      <c r="AC51" s="11">
        <f>IF(H51=0,"",AB51/H51)</f>
        <v/>
      </c>
      <c r="AD51" s="8" t="n">
        <v>0</v>
      </c>
      <c r="AE51" s="11">
        <f>IF(H51=0,"",AD51/H51)</f>
        <v/>
      </c>
      <c r="AF51" s="8" t="n">
        <v>0</v>
      </c>
      <c r="AG51" s="11">
        <f>IF(H51=0,"",AF51/H51)</f>
        <v/>
      </c>
      <c r="AH51" s="8" t="n">
        <v>8375185</v>
      </c>
      <c r="AI51" s="9">
        <f>IF(H51=0,"",AH51/H51)</f>
        <v/>
      </c>
      <c r="AJ51" s="8" t="n">
        <v>42853.11</v>
      </c>
      <c r="AK51" s="11">
        <f>IF(H51=0,"",AJ51/H51)</f>
        <v/>
      </c>
      <c r="AL51" s="8" t="n">
        <v>7183414.797025</v>
      </c>
      <c r="AM51" s="9">
        <f>IF(H51=0,"",AL51/H51)</f>
        <v/>
      </c>
      <c r="AN51" s="8" t="n">
        <v>7060</v>
      </c>
      <c r="AO51" s="8" t="n">
        <v>625.91</v>
      </c>
      <c r="AP51" s="8" t="n">
        <v>1711237.94</v>
      </c>
      <c r="AQ51" s="8" t="n">
        <v>0</v>
      </c>
      <c r="AR51" s="8" t="n">
        <v>30379529.59</v>
      </c>
      <c r="AS51" s="8" t="n">
        <v>3518439.06</v>
      </c>
      <c r="AT51" s="8" t="n">
        <v>2246300</v>
      </c>
      <c r="AU51" s="9">
        <f>AH51+AL51+AP51+AQ51+AR51+AS51+AT51</f>
        <v/>
      </c>
      <c r="AV51" s="9">
        <f>IF(H51=0,"",AU51/H51)</f>
        <v/>
      </c>
      <c r="AW51" s="9">
        <f>IF(S51=0,"",AU51/S51)</f>
        <v/>
      </c>
      <c r="AX51" s="8" t="n">
        <v>25</v>
      </c>
      <c r="AY51" s="9">
        <f>IF(H51=0,"",AX51/(H51/1000/12))</f>
        <v/>
      </c>
      <c r="AZ51" s="8" t="n">
        <v>29</v>
      </c>
      <c r="BA51" s="8" t="n">
        <v>1515</v>
      </c>
      <c r="BB51" s="8" t="n">
        <v>144</v>
      </c>
      <c r="BC51" s="8" t="n">
        <v>0</v>
      </c>
      <c r="BD51" s="8" t="n">
        <v>77</v>
      </c>
      <c r="BE51" s="9">
        <f>BC51+BD51</f>
        <v/>
      </c>
      <c r="BF51" s="9">
        <f>BA51+BB51-BE51</f>
        <v/>
      </c>
      <c r="BG51" s="8" t="n">
        <v>4</v>
      </c>
      <c r="BH51" s="8" t="n">
        <v>0</v>
      </c>
      <c r="BI51" s="8" t="n">
        <v>0</v>
      </c>
      <c r="BJ51" s="8" t="n">
        <v>0</v>
      </c>
      <c r="BK51" s="9">
        <f>BI51+BJ51</f>
        <v/>
      </c>
      <c r="BL51" s="9">
        <f>BG51+BH51-BK51</f>
        <v/>
      </c>
      <c r="BM51" s="8" t="n">
        <v>16</v>
      </c>
      <c r="BN51" s="8" t="n">
        <v>2</v>
      </c>
      <c r="BO51" s="8" t="n">
        <v>0</v>
      </c>
      <c r="BP51" s="8" t="n">
        <v>4</v>
      </c>
      <c r="BQ51" s="9">
        <f>BO51+BP51</f>
        <v/>
      </c>
      <c r="BR51" s="9">
        <f>BM51+BN51-BQ51</f>
        <v/>
      </c>
      <c r="BS51" s="8" t="n">
        <v>0</v>
      </c>
      <c r="BT51" s="8" t="n">
        <v>0</v>
      </c>
      <c r="BU51" s="8" t="n">
        <v>0</v>
      </c>
      <c r="BV51" s="8" t="n">
        <v>0</v>
      </c>
      <c r="BW51" s="9">
        <f>BU51+BV51</f>
        <v/>
      </c>
      <c r="BX51" s="9">
        <f>BS51+BT51-BW51</f>
        <v/>
      </c>
      <c r="BY51" s="9">
        <f>BA51+BG51+BM51+BS51</f>
        <v/>
      </c>
      <c r="BZ51" s="9">
        <f>BB51+BH51+BN51+BT51</f>
        <v/>
      </c>
      <c r="CA51" s="9">
        <f>BE51+BK51+BQ51+BW51</f>
        <v/>
      </c>
      <c r="CB51" s="9">
        <f>BF51+BL51+BR51+BX51</f>
        <v/>
      </c>
      <c r="CC51" s="8" t="n">
        <v>77</v>
      </c>
      <c r="CD51" s="8" t="n">
        <v>2329</v>
      </c>
      <c r="CE51" s="8" t="n">
        <v>3</v>
      </c>
      <c r="CF51" s="8" t="n">
        <v>203</v>
      </c>
      <c r="CG51" s="8" t="n">
        <v>10</v>
      </c>
      <c r="CH51" s="9">
        <f>CD51+CE51+CF51+CG51</f>
        <v/>
      </c>
      <c r="CI51" s="8" t="n">
        <v>4079</v>
      </c>
      <c r="CJ51" s="8" t="n">
        <v>4</v>
      </c>
      <c r="CK51" s="8" t="n">
        <v>0</v>
      </c>
      <c r="CL51" s="8" t="n">
        <v>0</v>
      </c>
      <c r="CM51" s="9">
        <f>CI51+CJ51+CK51+CL51</f>
        <v/>
      </c>
      <c r="CN51" s="8" t="n">
        <v>2997</v>
      </c>
      <c r="CO51" s="8" t="n">
        <v>148</v>
      </c>
      <c r="CP51" s="8" t="n">
        <v>402</v>
      </c>
      <c r="CQ51" s="8" t="n">
        <v>68</v>
      </c>
      <c r="CR51" s="9">
        <f>CN51+CO51+CP51+CQ51</f>
        <v/>
      </c>
      <c r="CS51" s="9">
        <f>CM51+CR51</f>
        <v/>
      </c>
      <c r="CT51" s="8" t="n">
        <v>10243</v>
      </c>
      <c r="CU51" s="8" t="n">
        <v>51306</v>
      </c>
      <c r="CV51" s="8" t="n">
        <v>47099</v>
      </c>
      <c r="CW51" s="10">
        <f>IF(CU51=0,"",CV51/CU51)</f>
        <v/>
      </c>
      <c r="CX51" s="8" t="n"/>
      <c r="CY51" s="8" t="n"/>
      <c r="CZ51" s="8" t="n"/>
      <c r="DA51" s="8" t="n"/>
      <c r="DB51" s="9">
        <f>CX51+CY51-CZ51-DA51</f>
        <v/>
      </c>
      <c r="DC51" s="8" t="n">
        <v>0</v>
      </c>
      <c r="DD51" s="8" t="n">
        <v>0</v>
      </c>
      <c r="DE51" s="8" t="n">
        <v>0</v>
      </c>
      <c r="DF51" s="8" t="n">
        <v>0</v>
      </c>
      <c r="DG51" s="9">
        <f>DC51+DD51-DE51-DF51</f>
        <v/>
      </c>
      <c r="DH51" s="8" t="n">
        <v>0</v>
      </c>
      <c r="DI51" s="8" t="n">
        <v>0</v>
      </c>
      <c r="DJ51" s="8" t="n">
        <v>0</v>
      </c>
      <c r="DK51" s="8" t="n">
        <v>0</v>
      </c>
      <c r="DL51" s="9">
        <f>DH51+DI51-DJ51-DK51</f>
        <v/>
      </c>
      <c r="DM51" s="8" t="n">
        <v>151</v>
      </c>
      <c r="DN51" s="8" t="n">
        <v>7</v>
      </c>
      <c r="DO51" s="8" t="n">
        <v>0</v>
      </c>
      <c r="DP51" s="8" t="n">
        <v>0</v>
      </c>
      <c r="DQ51" s="9">
        <f>DM51+DN51-DO51-DP51</f>
        <v/>
      </c>
      <c r="DR51" s="9">
        <f>CX51+DC51+DH51+DM51</f>
        <v/>
      </c>
      <c r="DS51" s="9">
        <f>CY51+DD51+DI51+DN51</f>
        <v/>
      </c>
      <c r="DT51" s="9">
        <f>CZ51+DE51+DJ51+DO51</f>
        <v/>
      </c>
      <c r="DU51" s="9">
        <f>DA51+DF51+DK51+DP51</f>
        <v/>
      </c>
      <c r="DV51" s="9">
        <f>DB51+DG51+DL51+DQ51</f>
        <v/>
      </c>
      <c r="DW51" s="8" t="n">
        <v>83</v>
      </c>
      <c r="DX51" s="8" t="n">
        <v>42</v>
      </c>
      <c r="DY51" s="8" t="n">
        <v>18</v>
      </c>
      <c r="DZ51" s="8" t="n">
        <v>11</v>
      </c>
      <c r="EA51" s="8" t="n">
        <v>8</v>
      </c>
      <c r="EB51" s="8" t="n">
        <v>5</v>
      </c>
      <c r="EC51" s="8" t="n">
        <v>2</v>
      </c>
      <c r="ED51" s="8" t="n">
        <v>1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9</v>
      </c>
      <c r="EK51" s="8" t="n">
        <v>6</v>
      </c>
      <c r="EL51" s="8" t="n">
        <v>1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  <c r="EX51" s="8" t="n">
        <v>0</v>
      </c>
      <c r="EY51" s="8" t="n">
        <v>0</v>
      </c>
      <c r="EZ51" s="8" t="n">
        <v>0</v>
      </c>
      <c r="FA51" s="8" t="n">
        <v>0</v>
      </c>
      <c r="FB51" s="8" t="n">
        <v>0</v>
      </c>
      <c r="FC51" s="8" t="n">
        <v>0</v>
      </c>
      <c r="FD51" s="8" t="n">
        <v>0</v>
      </c>
      <c r="FE51" s="8" t="n">
        <v>0</v>
      </c>
      <c r="FF51" s="8" t="n">
        <v>0</v>
      </c>
      <c r="FG51" s="9">
        <f>SUM(DW51,DX51,DY51,DZ51,EA51,EB51,EC51,ED51,EE51,EF51,EG51,EH51,EI51,EJ51,EK51,EL51,EM51,EN51,EO51,EP51,EQ51,ER51,ES51,ET51,EU51,EV51,EW51,EX51,EY51,EZ51,FA51,FB51,FC51,FD51,FE51,FF51)</f>
        <v/>
      </c>
      <c r="FH51" s="8" t="n">
        <v>7</v>
      </c>
      <c r="FI51" s="8" t="n">
        <v>563</v>
      </c>
      <c r="FJ51" s="8" t="n">
        <v>0</v>
      </c>
      <c r="FK51" s="8" t="n">
        <v>108</v>
      </c>
      <c r="FL51" s="8" t="n">
        <v>0</v>
      </c>
      <c r="FM51" s="8" t="n">
        <v>0</v>
      </c>
      <c r="FN51" s="8" t="n">
        <v>0</v>
      </c>
      <c r="FO51" s="8" t="n">
        <v>0</v>
      </c>
      <c r="FP51" s="8" t="n">
        <v>0</v>
      </c>
      <c r="FQ51" s="9">
        <f>FL51+FM51+FN51+FO51+FP51</f>
        <v/>
      </c>
      <c r="FR51" s="8" t="n">
        <v>46196454.64</v>
      </c>
      <c r="FS51" s="8" t="n">
        <v>0</v>
      </c>
      <c r="FT51" s="8" t="n">
        <v>0</v>
      </c>
      <c r="FU51" s="8" t="n">
        <v>0</v>
      </c>
      <c r="FV51" s="9">
        <f>FR51+FS51+FT51+FU51</f>
        <v/>
      </c>
      <c r="FW51" s="8" t="n">
        <v>21896688</v>
      </c>
      <c r="FX51" s="8" t="n">
        <v>817055</v>
      </c>
      <c r="FY51" s="8" t="n">
        <v>12566345.8</v>
      </c>
      <c r="FZ51" s="8" t="n">
        <v>21722776</v>
      </c>
      <c r="GA51" s="9">
        <f>FW51+FX51+FY51+FZ51</f>
        <v/>
      </c>
      <c r="GB51" s="9">
        <f>FV51+GA51</f>
        <v/>
      </c>
      <c r="GC51" s="8" t="n">
        <v>45911688</v>
      </c>
      <c r="GD51" s="8" t="n">
        <v>0</v>
      </c>
      <c r="GE51" s="8" t="n">
        <v>631769.21</v>
      </c>
      <c r="GF51" s="8" t="n">
        <v>0</v>
      </c>
      <c r="GG51" s="9">
        <f>GC51+GD51+GE51+GF51</f>
        <v/>
      </c>
      <c r="GH51" s="8" t="n">
        <v>21842010.11</v>
      </c>
      <c r="GI51" s="8" t="n">
        <v>813155</v>
      </c>
      <c r="GJ51" s="8" t="n">
        <v>21697776</v>
      </c>
      <c r="GK51" s="8" t="n">
        <v>12162733.72</v>
      </c>
      <c r="GL51" s="9">
        <f>GH51+GI51+GJ51+GK51</f>
        <v/>
      </c>
      <c r="GM51" s="9">
        <f>GG51+GL51</f>
        <v/>
      </c>
      <c r="GN51" s="8" t="n">
        <v>2215377</v>
      </c>
      <c r="GO51" s="8" t="n">
        <v>0</v>
      </c>
      <c r="GP51" s="8" t="n">
        <v>13574.56</v>
      </c>
      <c r="GQ51" s="8" t="n">
        <v>0</v>
      </c>
      <c r="GR51" s="9">
        <f>GN51+GO51+GP51+GQ51</f>
        <v/>
      </c>
      <c r="GS51" s="8" t="n">
        <v>3642547</v>
      </c>
      <c r="GT51" s="8" t="n">
        <v>0</v>
      </c>
      <c r="GU51" s="8" t="n">
        <v>3572</v>
      </c>
      <c r="GV51" s="8" t="n">
        <v>0</v>
      </c>
      <c r="GW51" s="9">
        <f>GS51+GT51+GU51+GV51</f>
        <v/>
      </c>
      <c r="GX51" s="9">
        <f>GM51+GR51+GW51</f>
        <v/>
      </c>
      <c r="GY51" s="8" t="n">
        <v>185350244.3199992</v>
      </c>
      <c r="GZ51" s="8" t="n">
        <v>443183956.8199996</v>
      </c>
      <c r="HA51" s="9">
        <f>GY51+GZ51</f>
        <v/>
      </c>
      <c r="HB51" s="9">
        <f>IF(GX51=0,"",AU51/GX51)</f>
        <v/>
      </c>
      <c r="HC51" s="10">
        <f>IF((GX51+GY51)=0,"",GB51/(GX51+GY51))</f>
        <v/>
      </c>
      <c r="HD51" s="9">
        <f>IF(GX51=0,"",GB51/GX51)</f>
        <v/>
      </c>
      <c r="HE51" s="8" t="n">
        <v>0</v>
      </c>
      <c r="HF51" s="8" t="n">
        <v>1</v>
      </c>
      <c r="HG51" s="8" t="n">
        <v>1600</v>
      </c>
      <c r="HH51" s="8" t="n">
        <v>146</v>
      </c>
      <c r="HI51" s="8" t="n">
        <v>11364</v>
      </c>
      <c r="HJ51" s="9">
        <f>HF51+HI51</f>
        <v/>
      </c>
      <c r="HK51" s="10">
        <f>IF(HE51=0,"",HH51/HE51)</f>
        <v/>
      </c>
      <c r="HL51" s="8" t="n">
        <v>19</v>
      </c>
      <c r="HM51" s="8" t="n">
        <v>0</v>
      </c>
      <c r="HN51" s="11">
        <f>IF(HL51=0,"",HM51/HL51)</f>
        <v/>
      </c>
    </row>
    <row r="52">
      <c r="A52" s="12" t="inlineStr">
        <is>
          <t>Mangochi</t>
        </is>
      </c>
      <c r="B52" s="12" t="inlineStr">
        <is>
          <t>Mangochi</t>
        </is>
      </c>
      <c r="C52" s="13" t="inlineStr">
        <is>
          <t>FY2025/26</t>
        </is>
      </c>
      <c r="D52" s="13" t="n">
        <v>2025</v>
      </c>
      <c r="E52" s="13" t="n">
        <v>5</v>
      </c>
      <c r="F52" s="13" t="inlineStr">
        <is>
          <t>May</t>
        </is>
      </c>
      <c r="G52" s="13" t="inlineStr">
        <is>
          <t>Q1</t>
        </is>
      </c>
      <c r="H52" s="14" t="n">
        <v>129093</v>
      </c>
      <c r="I52" s="14" t="n">
        <v>59315</v>
      </c>
      <c r="J52" s="14" t="n">
        <v>0</v>
      </c>
      <c r="K52" s="14" t="n">
        <v>130</v>
      </c>
      <c r="L52" s="14" t="n">
        <v>0</v>
      </c>
      <c r="M52" s="15">
        <f>SUM(I52,J52,K52,L52)</f>
        <v/>
      </c>
      <c r="N52" s="14" t="n">
        <v>18803.9</v>
      </c>
      <c r="O52" s="14" t="n">
        <v>4278.2</v>
      </c>
      <c r="P52" s="14" t="n">
        <v>4180.1</v>
      </c>
      <c r="Q52" s="14" t="n">
        <v>1790.1</v>
      </c>
      <c r="R52" s="15">
        <f>SUM(N52,O52,P52,Q52)</f>
        <v/>
      </c>
      <c r="S52" s="15">
        <f>M52+R52</f>
        <v/>
      </c>
      <c r="T52" s="14" t="n">
        <v>40595.7</v>
      </c>
      <c r="U52" s="16">
        <f>IF(H52=0,"",T52/H52)</f>
        <v/>
      </c>
      <c r="V52" s="14" t="n">
        <v>350</v>
      </c>
      <c r="W52" s="17">
        <f>IF(H52=0,"",V52/H52)</f>
        <v/>
      </c>
      <c r="X52" s="14" t="n">
        <v>0</v>
      </c>
      <c r="Y52" s="17">
        <f>IF(H52=0,"",X52/H52)</f>
        <v/>
      </c>
      <c r="Z52" s="14" t="n">
        <v>0</v>
      </c>
      <c r="AA52" s="17">
        <f>IF(H52=0,"",Z52/H52)</f>
        <v/>
      </c>
      <c r="AB52" s="14" t="n">
        <v>0</v>
      </c>
      <c r="AC52" s="17">
        <f>IF(H52=0,"",AB52/H52)</f>
        <v/>
      </c>
      <c r="AD52" s="14" t="n">
        <v>0</v>
      </c>
      <c r="AE52" s="17">
        <f>IF(H52=0,"",AD52/H52)</f>
        <v/>
      </c>
      <c r="AF52" s="14" t="n">
        <v>0</v>
      </c>
      <c r="AG52" s="17">
        <f>IF(H52=0,"",AF52/H52)</f>
        <v/>
      </c>
      <c r="AH52" s="14" t="n">
        <v>8375185</v>
      </c>
      <c r="AI52" s="15">
        <f>IF(H52=0,"",AH52/H52)</f>
        <v/>
      </c>
      <c r="AJ52" s="14" t="n">
        <v>47291.89</v>
      </c>
      <c r="AK52" s="17">
        <f>IF(H52=0,"",AJ52/H52)</f>
        <v/>
      </c>
      <c r="AL52" s="14" t="n">
        <v>7925478.940475</v>
      </c>
      <c r="AM52" s="15">
        <f>IF(H52=0,"",AL52/H52)</f>
        <v/>
      </c>
      <c r="AN52" s="14" t="n">
        <v>4691</v>
      </c>
      <c r="AO52" s="14" t="n">
        <v>324.66</v>
      </c>
      <c r="AP52" s="14" t="n">
        <v>888550</v>
      </c>
      <c r="AQ52" s="14" t="n">
        <v>0</v>
      </c>
      <c r="AR52" s="14" t="n">
        <v>31556135.65</v>
      </c>
      <c r="AS52" s="14" t="n">
        <v>3612116.99</v>
      </c>
      <c r="AT52" s="14" t="n">
        <v>2253550</v>
      </c>
      <c r="AU52" s="15">
        <f>AH52+AL52+AP52+AQ52+AR52+AS52+AT52</f>
        <v/>
      </c>
      <c r="AV52" s="15">
        <f>IF(H52=0,"",AU52/H52)</f>
        <v/>
      </c>
      <c r="AW52" s="15">
        <f>IF(S52=0,"",AU52/S52)</f>
        <v/>
      </c>
      <c r="AX52" s="14" t="n">
        <v>25</v>
      </c>
      <c r="AY52" s="15">
        <f>IF(H52=0,"",AX52/(H52/1000/12))</f>
        <v/>
      </c>
      <c r="AZ52" s="14" t="n">
        <v>29</v>
      </c>
      <c r="BA52" s="14" t="n">
        <v>1582</v>
      </c>
      <c r="BB52" s="14" t="n">
        <v>146</v>
      </c>
      <c r="BC52" s="14" t="n">
        <v>0</v>
      </c>
      <c r="BD52" s="14" t="n">
        <v>88</v>
      </c>
      <c r="BE52" s="15">
        <f>BC52+BD52</f>
        <v/>
      </c>
      <c r="BF52" s="15">
        <f>BA52+BB52-BE52</f>
        <v/>
      </c>
      <c r="BG52" s="14" t="n">
        <v>4</v>
      </c>
      <c r="BH52" s="14" t="n">
        <v>0</v>
      </c>
      <c r="BI52" s="14" t="n">
        <v>0</v>
      </c>
      <c r="BJ52" s="14" t="n">
        <v>0</v>
      </c>
      <c r="BK52" s="15">
        <f>BI52+BJ52</f>
        <v/>
      </c>
      <c r="BL52" s="15">
        <f>BG52+BH52-BK52</f>
        <v/>
      </c>
      <c r="BM52" s="14" t="n">
        <v>18</v>
      </c>
      <c r="BN52" s="14" t="n">
        <v>5</v>
      </c>
      <c r="BO52" s="14" t="n">
        <v>0</v>
      </c>
      <c r="BP52" s="14" t="n">
        <v>1</v>
      </c>
      <c r="BQ52" s="15">
        <f>BO52+BP52</f>
        <v/>
      </c>
      <c r="BR52" s="15">
        <f>BM52+BN52-BQ52</f>
        <v/>
      </c>
      <c r="BS52" s="14" t="n">
        <v>0</v>
      </c>
      <c r="BT52" s="14" t="n">
        <v>0</v>
      </c>
      <c r="BU52" s="14" t="n">
        <v>0</v>
      </c>
      <c r="BV52" s="14" t="n">
        <v>0</v>
      </c>
      <c r="BW52" s="15">
        <f>BU52+BV52</f>
        <v/>
      </c>
      <c r="BX52" s="15">
        <f>BS52+BT52-BW52</f>
        <v/>
      </c>
      <c r="BY52" s="15">
        <f>BA52+BG52+BM52+BS52</f>
        <v/>
      </c>
      <c r="BZ52" s="15">
        <f>BB52+BH52+BN52+BT52</f>
        <v/>
      </c>
      <c r="CA52" s="15">
        <f>BE52+BK52+BQ52+BW52</f>
        <v/>
      </c>
      <c r="CB52" s="15">
        <f>BF52+BL52+BR52+BX52</f>
        <v/>
      </c>
      <c r="CC52" s="14" t="n">
        <v>89</v>
      </c>
      <c r="CD52" s="14" t="n">
        <v>2316</v>
      </c>
      <c r="CE52" s="14" t="n">
        <v>58</v>
      </c>
      <c r="CF52" s="14" t="n">
        <v>124</v>
      </c>
      <c r="CG52" s="14" t="n">
        <v>10</v>
      </c>
      <c r="CH52" s="15">
        <f>CD52+CE52+CF52+CG52</f>
        <v/>
      </c>
      <c r="CI52" s="14" t="n">
        <v>4110</v>
      </c>
      <c r="CJ52" s="14" t="n">
        <v>4</v>
      </c>
      <c r="CK52" s="14" t="n">
        <v>0</v>
      </c>
      <c r="CL52" s="14" t="n">
        <v>0</v>
      </c>
      <c r="CM52" s="15">
        <f>CI52+CJ52+CK52+CL52</f>
        <v/>
      </c>
      <c r="CN52" s="14" t="n">
        <v>3075</v>
      </c>
      <c r="CO52" s="14" t="n">
        <v>148</v>
      </c>
      <c r="CP52" s="14" t="n">
        <v>403</v>
      </c>
      <c r="CQ52" s="14" t="n">
        <v>68</v>
      </c>
      <c r="CR52" s="15">
        <f>CN52+CO52+CP52+CQ52</f>
        <v/>
      </c>
      <c r="CS52" s="15">
        <f>CM52+CR52</f>
        <v/>
      </c>
      <c r="CT52" s="14" t="n">
        <v>10316</v>
      </c>
      <c r="CU52" s="14" t="n">
        <v>51381</v>
      </c>
      <c r="CV52" s="14" t="n">
        <v>47524</v>
      </c>
      <c r="CW52" s="16">
        <f>IF(CU52=0,"",CV52/CU52)</f>
        <v/>
      </c>
      <c r="CX52" s="14" t="n"/>
      <c r="CY52" s="14" t="n"/>
      <c r="CZ52" s="14" t="n"/>
      <c r="DA52" s="14" t="n"/>
      <c r="DB52" s="15">
        <f>CX52+CY52-CZ52-DA52</f>
        <v/>
      </c>
      <c r="DC52" s="14" t="n">
        <v>0</v>
      </c>
      <c r="DD52" s="14" t="n">
        <v>0</v>
      </c>
      <c r="DE52" s="14" t="n">
        <v>0</v>
      </c>
      <c r="DF52" s="14" t="n">
        <v>0</v>
      </c>
      <c r="DG52" s="15">
        <f>DC52+DD52-DE52-DF52</f>
        <v/>
      </c>
      <c r="DH52" s="14" t="n">
        <v>0</v>
      </c>
      <c r="DI52" s="14" t="n">
        <v>0</v>
      </c>
      <c r="DJ52" s="14" t="n">
        <v>0</v>
      </c>
      <c r="DK52" s="14" t="n">
        <v>0</v>
      </c>
      <c r="DL52" s="15">
        <f>DH52+DI52-DJ52-DK52</f>
        <v/>
      </c>
      <c r="DM52" s="14" t="n">
        <v>158</v>
      </c>
      <c r="DN52" s="14" t="n">
        <v>7</v>
      </c>
      <c r="DO52" s="14" t="n">
        <v>0</v>
      </c>
      <c r="DP52" s="14" t="n">
        <v>0</v>
      </c>
      <c r="DQ52" s="15">
        <f>DM52+DN52-DO52-DP52</f>
        <v/>
      </c>
      <c r="DR52" s="15">
        <f>CX52+DC52+DH52+DM52</f>
        <v/>
      </c>
      <c r="DS52" s="15">
        <f>CY52+DD52+DI52+DN52</f>
        <v/>
      </c>
      <c r="DT52" s="15">
        <f>CZ52+DE52+DJ52+DO52</f>
        <v/>
      </c>
      <c r="DU52" s="15">
        <f>DA52+DF52+DK52+DP52</f>
        <v/>
      </c>
      <c r="DV52" s="15">
        <f>DB52+DG52+DL52+DQ52</f>
        <v/>
      </c>
      <c r="DW52" s="14" t="n">
        <v>86</v>
      </c>
      <c r="DX52" s="14" t="n">
        <v>53</v>
      </c>
      <c r="DY52" s="14" t="n">
        <v>20</v>
      </c>
      <c r="DZ52" s="14" t="n">
        <v>14</v>
      </c>
      <c r="EA52" s="14" t="n">
        <v>13</v>
      </c>
      <c r="EB52" s="14" t="n">
        <v>4</v>
      </c>
      <c r="EC52" s="14" t="n">
        <v>0</v>
      </c>
      <c r="ED52" s="14" t="n">
        <v>3</v>
      </c>
      <c r="EE52" s="14" t="n">
        <v>0</v>
      </c>
      <c r="EF52" s="14" t="n">
        <v>3</v>
      </c>
      <c r="EG52" s="14" t="n">
        <v>0</v>
      </c>
      <c r="EH52" s="14" t="n">
        <v>0</v>
      </c>
      <c r="EI52" s="14" t="n">
        <v>0</v>
      </c>
      <c r="EJ52" s="14" t="n">
        <v>12</v>
      </c>
      <c r="EK52" s="14" t="n">
        <v>7</v>
      </c>
      <c r="EL52" s="14" t="n">
        <v>0</v>
      </c>
      <c r="EM52" s="14" t="n">
        <v>0</v>
      </c>
      <c r="EN52" s="14" t="n">
        <v>0</v>
      </c>
      <c r="EO52" s="14" t="n">
        <v>0</v>
      </c>
      <c r="EP52" s="14" t="n">
        <v>0</v>
      </c>
      <c r="EQ52" s="14" t="n">
        <v>1</v>
      </c>
      <c r="ER52" s="14" t="n">
        <v>0</v>
      </c>
      <c r="ES52" s="14" t="n">
        <v>0</v>
      </c>
      <c r="ET52" s="14" t="n">
        <v>0</v>
      </c>
      <c r="EU52" s="14" t="n">
        <v>0</v>
      </c>
      <c r="EV52" s="14" t="n">
        <v>0</v>
      </c>
      <c r="EW52" s="14" t="n">
        <v>0</v>
      </c>
      <c r="EX52" s="14" t="n">
        <v>0</v>
      </c>
      <c r="EY52" s="14" t="n">
        <v>0</v>
      </c>
      <c r="EZ52" s="14" t="n">
        <v>0</v>
      </c>
      <c r="FA52" s="14" t="n">
        <v>0</v>
      </c>
      <c r="FB52" s="14" t="n">
        <v>0</v>
      </c>
      <c r="FC52" s="14" t="n">
        <v>0</v>
      </c>
      <c r="FD52" s="14" t="n">
        <v>0</v>
      </c>
      <c r="FE52" s="14" t="n">
        <v>0</v>
      </c>
      <c r="FF52" s="14" t="n">
        <v>0</v>
      </c>
      <c r="FG52" s="15">
        <f>SUM(DW52,DX52,DY52,DZ52,EA52,EB52,EC52,ED52,EE52,EF52,EG52,EH52,EI52,EJ52,EK52,EL52,EM52,EN52,EO52,EP52,EQ52,ER52,ES52,ET52,EU52,EV52,EW52,EX52,EY52,EZ52,FA52,FB52,FC52,FD52,FE52,FF52)</f>
        <v/>
      </c>
      <c r="FH52" s="14" t="n">
        <v>6</v>
      </c>
      <c r="FI52" s="14" t="n">
        <v>662</v>
      </c>
      <c r="FJ52" s="14" t="n">
        <v>22</v>
      </c>
      <c r="FK52" s="14" t="n">
        <v>64.75</v>
      </c>
      <c r="FL52" s="14" t="n">
        <v>0</v>
      </c>
      <c r="FM52" s="14" t="n">
        <v>0</v>
      </c>
      <c r="FN52" s="14" t="n">
        <v>0</v>
      </c>
      <c r="FO52" s="14" t="n">
        <v>0</v>
      </c>
      <c r="FP52" s="14" t="n">
        <v>0</v>
      </c>
      <c r="FQ52" s="15">
        <f>FL52+FM52+FN52+FO52+FP52</f>
        <v/>
      </c>
      <c r="FR52" s="14" t="n">
        <v>64335797</v>
      </c>
      <c r="FS52" s="14" t="n">
        <v>193901.66</v>
      </c>
      <c r="FT52" s="14" t="n">
        <v>18567.22</v>
      </c>
      <c r="FU52" s="14" t="n">
        <v>0</v>
      </c>
      <c r="FV52" s="15">
        <f>FR52+FS52+FT52+FU52</f>
        <v/>
      </c>
      <c r="FW52" s="14" t="n">
        <v>25322673</v>
      </c>
      <c r="FX52" s="14" t="n">
        <v>916350</v>
      </c>
      <c r="FY52" s="14" t="n">
        <v>8683750</v>
      </c>
      <c r="FZ52" s="14" t="n">
        <v>12700421</v>
      </c>
      <c r="GA52" s="15">
        <f>FW52+FX52+FY52+FZ52</f>
        <v/>
      </c>
      <c r="GB52" s="15">
        <f>FV52+GA52</f>
        <v/>
      </c>
      <c r="GC52" s="14" t="n">
        <v>44918275</v>
      </c>
      <c r="GD52" s="14" t="n">
        <v>0</v>
      </c>
      <c r="GE52" s="14" t="n">
        <v>406903.66</v>
      </c>
      <c r="GF52" s="14" t="n">
        <v>0</v>
      </c>
      <c r="GG52" s="15">
        <f>GC52+GD52+GE52+GF52</f>
        <v/>
      </c>
      <c r="GH52" s="14" t="n">
        <v>25280853.05</v>
      </c>
      <c r="GI52" s="14" t="n">
        <v>909385.3199999999</v>
      </c>
      <c r="GJ52" s="14" t="n">
        <v>12700421</v>
      </c>
      <c r="GK52" s="14" t="n">
        <v>8391748.870000001</v>
      </c>
      <c r="GL52" s="15">
        <f>GH52+GI52+GJ52+GK52</f>
        <v/>
      </c>
      <c r="GM52" s="15">
        <f>GG52+GL52</f>
        <v/>
      </c>
      <c r="GN52" s="14" t="n">
        <v>2232800</v>
      </c>
      <c r="GO52" s="14" t="n">
        <v>0</v>
      </c>
      <c r="GP52" s="14" t="n">
        <v>13574.56</v>
      </c>
      <c r="GQ52" s="14" t="n">
        <v>0</v>
      </c>
      <c r="GR52" s="15">
        <f>GN52+GO52+GP52+GQ52</f>
        <v/>
      </c>
      <c r="GS52" s="14" t="n">
        <v>3670230</v>
      </c>
      <c r="GT52" s="14" t="n">
        <v>0</v>
      </c>
      <c r="GU52" s="14" t="n">
        <v>3572</v>
      </c>
      <c r="GV52" s="14" t="n">
        <v>0</v>
      </c>
      <c r="GW52" s="15">
        <f>GS52+GT52+GU52+GV52</f>
        <v/>
      </c>
      <c r="GX52" s="15">
        <f>GM52+GR52+GW52</f>
        <v/>
      </c>
      <c r="GY52" s="14" t="n">
        <v>180619710.1400005</v>
      </c>
      <c r="GZ52" s="14" t="n">
        <v>434611581.2799999</v>
      </c>
      <c r="HA52" s="15">
        <f>GY52+GZ52</f>
        <v/>
      </c>
      <c r="HB52" s="15">
        <f>IF(GX52=0,"",AU52/GX52)</f>
        <v/>
      </c>
      <c r="HC52" s="16">
        <f>IF((GX52+GY52)=0,"",GB52/(GX52+GY52))</f>
        <v/>
      </c>
      <c r="HD52" s="15">
        <f>IF(GX52=0,"",GB52/GX52)</f>
        <v/>
      </c>
      <c r="HE52" s="14" t="n">
        <v>1666</v>
      </c>
      <c r="HF52" s="14" t="n">
        <v>1</v>
      </c>
      <c r="HG52" s="14" t="n">
        <v>1666</v>
      </c>
      <c r="HH52" s="14" t="n">
        <v>151</v>
      </c>
      <c r="HI52" s="14" t="n">
        <v>14777</v>
      </c>
      <c r="HJ52" s="15">
        <f>HF52+HI52</f>
        <v/>
      </c>
      <c r="HK52" s="16">
        <f>IF(HE52=0,"",HH52/HE52)</f>
        <v/>
      </c>
      <c r="HL52" s="14" t="n">
        <v>38</v>
      </c>
      <c r="HM52" s="14" t="n">
        <v>3</v>
      </c>
      <c r="HN52" s="17">
        <f>IF(HL52=0,"",HM52/HL52)</f>
        <v/>
      </c>
    </row>
    <row r="53">
      <c r="A53" s="6" t="inlineStr">
        <is>
          <t>Mangochi</t>
        </is>
      </c>
      <c r="B53" s="6" t="inlineStr">
        <is>
          <t>Mangochi</t>
        </is>
      </c>
      <c r="C53" s="7" t="inlineStr">
        <is>
          <t>FY2025/26</t>
        </is>
      </c>
      <c r="D53" s="7" t="n">
        <v>2025</v>
      </c>
      <c r="E53" s="7" t="n">
        <v>6</v>
      </c>
      <c r="F53" s="7" t="inlineStr">
        <is>
          <t>June</t>
        </is>
      </c>
      <c r="G53" s="7" t="inlineStr">
        <is>
          <t>Q1</t>
        </is>
      </c>
      <c r="H53" s="8" t="n">
        <v>163707</v>
      </c>
      <c r="I53" s="8" t="n">
        <v>75001</v>
      </c>
      <c r="J53" s="8" t="n">
        <v>0</v>
      </c>
      <c r="K53" s="8" t="n">
        <v>254</v>
      </c>
      <c r="L53" s="8" t="n">
        <v>0</v>
      </c>
      <c r="M53" s="9">
        <f>SUM(I53,J53,K53,L53)</f>
        <v/>
      </c>
      <c r="N53" s="8" t="n">
        <v>18415.2</v>
      </c>
      <c r="O53" s="8" t="n">
        <v>4947.5</v>
      </c>
      <c r="P53" s="8" t="n">
        <v>2750</v>
      </c>
      <c r="Q53" s="8" t="n">
        <v>2308.7</v>
      </c>
      <c r="R53" s="9">
        <f>SUM(N53,O53,P53,Q53)</f>
        <v/>
      </c>
      <c r="S53" s="9">
        <f>M53+R53</f>
        <v/>
      </c>
      <c r="T53" s="8" t="n">
        <v>60030.6</v>
      </c>
      <c r="U53" s="10">
        <f>IF(H53=0,"",T53/H53)</f>
        <v/>
      </c>
      <c r="V53" s="8" t="n">
        <v>270</v>
      </c>
      <c r="W53" s="11">
        <f>IF(H53=0,"",V53/H53)</f>
        <v/>
      </c>
      <c r="X53" s="8" t="n">
        <v>0</v>
      </c>
      <c r="Y53" s="11">
        <f>IF(H53=0,"",X53/H53)</f>
        <v/>
      </c>
      <c r="Z53" s="8" t="n">
        <v>0</v>
      </c>
      <c r="AA53" s="11">
        <f>IF(H53=0,"",Z53/H53)</f>
        <v/>
      </c>
      <c r="AB53" s="8" t="n">
        <v>0</v>
      </c>
      <c r="AC53" s="11">
        <f>IF(H53=0,"",AB53/H53)</f>
        <v/>
      </c>
      <c r="AD53" s="8" t="n">
        <v>0</v>
      </c>
      <c r="AE53" s="11">
        <f>IF(H53=0,"",AD53/H53)</f>
        <v/>
      </c>
      <c r="AF53" s="8" t="n">
        <v>0</v>
      </c>
      <c r="AG53" s="11">
        <f>IF(H53=0,"",AF53/H53)</f>
        <v/>
      </c>
      <c r="AH53" s="8" t="n">
        <v>6460857</v>
      </c>
      <c r="AI53" s="9">
        <f>IF(H53=0,"",AH53/H53)</f>
        <v/>
      </c>
      <c r="AJ53" s="8" t="n">
        <v>49898.34</v>
      </c>
      <c r="AK53" s="11">
        <f>IF(H53=0,"",AJ53/H53)</f>
        <v/>
      </c>
      <c r="AL53" s="8" t="n">
        <v>8361218.73535</v>
      </c>
      <c r="AM53" s="9">
        <f>IF(H53=0,"",AL53/H53)</f>
        <v/>
      </c>
      <c r="AN53" s="8" t="n">
        <v>386</v>
      </c>
      <c r="AO53" s="8" t="n">
        <v>291.21</v>
      </c>
      <c r="AP53" s="8" t="n">
        <v>796168.02</v>
      </c>
      <c r="AQ53" s="8" t="n">
        <v>0</v>
      </c>
      <c r="AR53" s="8" t="n">
        <v>29055452.4</v>
      </c>
      <c r="AS53" s="8" t="n">
        <v>4268319.44</v>
      </c>
      <c r="AT53" s="8" t="n">
        <v>2245900</v>
      </c>
      <c r="AU53" s="9">
        <f>AH53+AL53+AP53+AQ53+AR53+AS53+AT53</f>
        <v/>
      </c>
      <c r="AV53" s="9">
        <f>IF(H53=0,"",AU53/H53)</f>
        <v/>
      </c>
      <c r="AW53" s="9">
        <f>IF(S53=0,"",AU53/S53)</f>
        <v/>
      </c>
      <c r="AX53" s="8" t="n">
        <v>24</v>
      </c>
      <c r="AY53" s="9">
        <f>IF(H53=0,"",AX53/(H53/1000/12))</f>
        <v/>
      </c>
      <c r="AZ53" s="8" t="n">
        <v>29</v>
      </c>
      <c r="BA53" s="8" t="n">
        <v>1640</v>
      </c>
      <c r="BB53" s="8" t="n">
        <v>144</v>
      </c>
      <c r="BC53" s="8" t="n">
        <v>0</v>
      </c>
      <c r="BD53" s="8" t="n">
        <v>57</v>
      </c>
      <c r="BE53" s="9">
        <f>BC53+BD53</f>
        <v/>
      </c>
      <c r="BF53" s="9">
        <f>BA53+BB53-BE53</f>
        <v/>
      </c>
      <c r="BG53" s="8" t="n">
        <v>4</v>
      </c>
      <c r="BH53" s="8" t="n">
        <v>0</v>
      </c>
      <c r="BI53" s="8" t="n">
        <v>0</v>
      </c>
      <c r="BJ53" s="8" t="n">
        <v>0</v>
      </c>
      <c r="BK53" s="9">
        <f>BI53+BJ53</f>
        <v/>
      </c>
      <c r="BL53" s="9">
        <f>BG53+BH53-BK53</f>
        <v/>
      </c>
      <c r="BM53" s="8" t="n">
        <v>22</v>
      </c>
      <c r="BN53" s="8" t="n">
        <v>0</v>
      </c>
      <c r="BO53" s="8" t="n">
        <v>0</v>
      </c>
      <c r="BP53" s="8" t="n">
        <v>8</v>
      </c>
      <c r="BQ53" s="9">
        <f>BO53+BP53</f>
        <v/>
      </c>
      <c r="BR53" s="9">
        <f>BM53+BN53-BQ53</f>
        <v/>
      </c>
      <c r="BS53" s="8" t="n">
        <v>0</v>
      </c>
      <c r="BT53" s="8" t="n">
        <v>0</v>
      </c>
      <c r="BU53" s="8" t="n">
        <v>0</v>
      </c>
      <c r="BV53" s="8" t="n">
        <v>0</v>
      </c>
      <c r="BW53" s="9">
        <f>BU53+BV53</f>
        <v/>
      </c>
      <c r="BX53" s="9">
        <f>BS53+BT53-BW53</f>
        <v/>
      </c>
      <c r="BY53" s="9">
        <f>BA53+BG53+BM53+BS53</f>
        <v/>
      </c>
      <c r="BZ53" s="9">
        <f>BB53+BH53+BN53+BT53</f>
        <v/>
      </c>
      <c r="CA53" s="9">
        <f>BE53+BK53+BQ53+BW53</f>
        <v/>
      </c>
      <c r="CB53" s="9">
        <f>BF53+BL53+BR53+BX53</f>
        <v/>
      </c>
      <c r="CC53" s="8" t="n">
        <v>65</v>
      </c>
      <c r="CD53" s="8" t="n">
        <v>2257</v>
      </c>
      <c r="CE53" s="8" t="n">
        <v>57</v>
      </c>
      <c r="CF53" s="8" t="n">
        <v>124</v>
      </c>
      <c r="CG53" s="8" t="n">
        <v>9</v>
      </c>
      <c r="CH53" s="9">
        <f>CD53+CE53+CF53+CG53</f>
        <v/>
      </c>
      <c r="CI53" s="8" t="n">
        <v>4299</v>
      </c>
      <c r="CJ53" s="8" t="n">
        <v>4</v>
      </c>
      <c r="CK53" s="8" t="n">
        <v>0</v>
      </c>
      <c r="CL53" s="8" t="n">
        <v>0</v>
      </c>
      <c r="CM53" s="9">
        <f>CI53+CJ53+CK53+CL53</f>
        <v/>
      </c>
      <c r="CN53" s="8" t="n">
        <v>3132</v>
      </c>
      <c r="CO53" s="8" t="n">
        <v>148</v>
      </c>
      <c r="CP53" s="8" t="n">
        <v>411</v>
      </c>
      <c r="CQ53" s="8" t="n">
        <v>68</v>
      </c>
      <c r="CR53" s="9">
        <f>CN53+CO53+CP53+CQ53</f>
        <v/>
      </c>
      <c r="CS53" s="9">
        <f>CM53+CR53</f>
        <v/>
      </c>
      <c r="CT53" s="8" t="n">
        <v>10509</v>
      </c>
      <c r="CU53" s="8" t="n">
        <v>51456</v>
      </c>
      <c r="CV53" s="8" t="n">
        <v>47809</v>
      </c>
      <c r="CW53" s="10">
        <f>IF(CU53=0,"",CV53/CU53)</f>
        <v/>
      </c>
      <c r="CX53" s="8" t="n"/>
      <c r="CY53" s="8" t="n"/>
      <c r="CZ53" s="8" t="n"/>
      <c r="DA53" s="8" t="n"/>
      <c r="DB53" s="9">
        <f>CX53+CY53-CZ53-DA53</f>
        <v/>
      </c>
      <c r="DC53" s="8" t="n">
        <v>0</v>
      </c>
      <c r="DD53" s="8" t="n">
        <v>0</v>
      </c>
      <c r="DE53" s="8" t="n">
        <v>0</v>
      </c>
      <c r="DF53" s="8" t="n">
        <v>0</v>
      </c>
      <c r="DG53" s="9">
        <f>DC53+DD53-DE53-DF53</f>
        <v/>
      </c>
      <c r="DH53" s="8" t="n">
        <v>0</v>
      </c>
      <c r="DI53" s="8" t="n">
        <v>0</v>
      </c>
      <c r="DJ53" s="8" t="n">
        <v>0</v>
      </c>
      <c r="DK53" s="8" t="n">
        <v>0</v>
      </c>
      <c r="DL53" s="9">
        <f>DH53+DI53-DJ53-DK53</f>
        <v/>
      </c>
      <c r="DM53" s="8" t="n">
        <v>165</v>
      </c>
      <c r="DN53" s="8" t="n">
        <v>6</v>
      </c>
      <c r="DO53" s="8" t="n">
        <v>0</v>
      </c>
      <c r="DP53" s="8" t="n">
        <v>0</v>
      </c>
      <c r="DQ53" s="9">
        <f>DM53+DN53-DO53-DP53</f>
        <v/>
      </c>
      <c r="DR53" s="9">
        <f>CX53+DC53+DH53+DM53</f>
        <v/>
      </c>
      <c r="DS53" s="9">
        <f>CY53+DD53+DI53+DN53</f>
        <v/>
      </c>
      <c r="DT53" s="9">
        <f>CZ53+DE53+DJ53+DO53</f>
        <v/>
      </c>
      <c r="DU53" s="9">
        <f>DA53+DF53+DK53+DP53</f>
        <v/>
      </c>
      <c r="DV53" s="9">
        <f>DB53+DG53+DL53+DQ53</f>
        <v/>
      </c>
      <c r="DW53" s="8" t="n">
        <v>90</v>
      </c>
      <c r="DX53" s="8" t="n">
        <v>52</v>
      </c>
      <c r="DY53" s="8" t="n">
        <v>24</v>
      </c>
      <c r="DZ53" s="8" t="n">
        <v>12</v>
      </c>
      <c r="EA53" s="8" t="n">
        <v>8</v>
      </c>
      <c r="EB53" s="8" t="n">
        <v>5</v>
      </c>
      <c r="EC53" s="8" t="n">
        <v>2</v>
      </c>
      <c r="ED53" s="8" t="n">
        <v>1</v>
      </c>
      <c r="EE53" s="8" t="n">
        <v>0</v>
      </c>
      <c r="EF53" s="8" t="n">
        <v>1</v>
      </c>
      <c r="EG53" s="8" t="n">
        <v>1</v>
      </c>
      <c r="EH53" s="8" t="n">
        <v>0</v>
      </c>
      <c r="EI53" s="8" t="n">
        <v>0</v>
      </c>
      <c r="EJ53" s="8" t="n">
        <v>10</v>
      </c>
      <c r="EK53" s="8" t="n">
        <v>6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  <c r="EX53" s="8" t="n">
        <v>0</v>
      </c>
      <c r="EY53" s="8" t="n">
        <v>0</v>
      </c>
      <c r="EZ53" s="8" t="n">
        <v>0</v>
      </c>
      <c r="FA53" s="8" t="n">
        <v>0</v>
      </c>
      <c r="FB53" s="8" t="n">
        <v>0</v>
      </c>
      <c r="FC53" s="8" t="n">
        <v>0</v>
      </c>
      <c r="FD53" s="8" t="n">
        <v>0</v>
      </c>
      <c r="FE53" s="8" t="n">
        <v>0</v>
      </c>
      <c r="FF53" s="8" t="n">
        <v>0</v>
      </c>
      <c r="FG53" s="9">
        <f>SUM(DW53,DX53,DY53,DZ53,EA53,EB53,EC53,ED53,EE53,EF53,EG53,EH53,EI53,EJ53,EK53,EL53,EM53,EN53,EO53,EP53,EQ53,ER53,ES53,ET53,EU53,EV53,EW53,EX53,EY53,EZ53,FA53,FB53,FC53,FD53,FE53,FF53)</f>
        <v/>
      </c>
      <c r="FH53" s="8" t="n">
        <v>6</v>
      </c>
      <c r="FI53" s="8" t="n">
        <v>637.25</v>
      </c>
      <c r="FJ53" s="8" t="n">
        <v>0</v>
      </c>
      <c r="FK53" s="8" t="n">
        <v>17.25</v>
      </c>
      <c r="FL53" s="8" t="n">
        <v>0</v>
      </c>
      <c r="FM53" s="8" t="n">
        <v>0</v>
      </c>
      <c r="FN53" s="8" t="n">
        <v>0</v>
      </c>
      <c r="FO53" s="8" t="n">
        <v>0</v>
      </c>
      <c r="FP53" s="8" t="n">
        <v>0</v>
      </c>
      <c r="FQ53" s="9">
        <f>FL53+FM53+FN53+FO53+FP53</f>
        <v/>
      </c>
      <c r="FR53" s="8" t="n">
        <v>182367865</v>
      </c>
      <c r="FS53" s="8" t="n">
        <v>294867.22</v>
      </c>
      <c r="FT53" s="8" t="n">
        <v>0</v>
      </c>
      <c r="FU53" s="8" t="n">
        <v>70200</v>
      </c>
      <c r="FV53" s="9">
        <f>FR53+FS53+FT53+FU53</f>
        <v/>
      </c>
      <c r="FW53" s="8" t="n">
        <v>22961055</v>
      </c>
      <c r="FX53" s="8" t="n">
        <v>1051600</v>
      </c>
      <c r="FY53" s="8" t="n">
        <v>10934502</v>
      </c>
      <c r="FZ53" s="8" t="n">
        <v>8310100</v>
      </c>
      <c r="GA53" s="9">
        <f>FW53+FX53+FY53+FZ53</f>
        <v/>
      </c>
      <c r="GB53" s="9">
        <f>FV53+GA53</f>
        <v/>
      </c>
      <c r="GC53" s="8" t="n">
        <v>34522633</v>
      </c>
      <c r="GD53" s="8" t="n">
        <v>0</v>
      </c>
      <c r="GE53" s="8" t="n">
        <v>823308.52</v>
      </c>
      <c r="GF53" s="8" t="n">
        <v>0</v>
      </c>
      <c r="GG53" s="9">
        <f>GC53+GD53+GE53+GF53</f>
        <v/>
      </c>
      <c r="GH53" s="8" t="n">
        <v>22966459.98</v>
      </c>
      <c r="GI53" s="8" t="n">
        <v>1051600</v>
      </c>
      <c r="GJ53" s="8" t="n">
        <v>8310100</v>
      </c>
      <c r="GK53" s="8" t="n">
        <v>10791664.11</v>
      </c>
      <c r="GL53" s="9">
        <f>GH53+GI53+GJ53+GK53</f>
        <v/>
      </c>
      <c r="GM53" s="9">
        <f>GG53+GL53</f>
        <v/>
      </c>
      <c r="GN53" s="8" t="n">
        <v>2040081</v>
      </c>
      <c r="GO53" s="8" t="n">
        <v>0</v>
      </c>
      <c r="GP53" s="8" t="n">
        <v>20361.84</v>
      </c>
      <c r="GQ53" s="8" t="n">
        <v>0</v>
      </c>
      <c r="GR53" s="9">
        <f>GN53+GO53+GP53+GQ53</f>
        <v/>
      </c>
      <c r="GS53" s="8" t="n">
        <v>3355001</v>
      </c>
      <c r="GT53" s="8" t="n">
        <v>0</v>
      </c>
      <c r="GU53" s="8" t="n">
        <v>5358</v>
      </c>
      <c r="GV53" s="8" t="n">
        <v>0</v>
      </c>
      <c r="GW53" s="9">
        <f>GS53+GT53+GU53+GV53</f>
        <v/>
      </c>
      <c r="GX53" s="9">
        <f>GM53+GR53+GW53</f>
        <v/>
      </c>
      <c r="GY53" s="8" t="n">
        <v>72844644.22000057</v>
      </c>
      <c r="GZ53" s="8" t="n">
        <v>420536441.1499998</v>
      </c>
      <c r="HA53" s="9">
        <f>GY53+GZ53</f>
        <v/>
      </c>
      <c r="HB53" s="9">
        <f>IF(GX53=0,"",AU53/GX53)</f>
        <v/>
      </c>
      <c r="HC53" s="10">
        <f>IF((GX53+GY53)=0,"",GB53/(GX53+GY53))</f>
        <v/>
      </c>
      <c r="HD53" s="9">
        <f>IF(GX53=0,"",GB53/GX53)</f>
        <v/>
      </c>
      <c r="HE53" s="8" t="n">
        <v>1753</v>
      </c>
      <c r="HF53" s="8" t="n">
        <v>1</v>
      </c>
      <c r="HG53" s="8" t="n">
        <v>1745</v>
      </c>
      <c r="HH53" s="8" t="n">
        <v>144</v>
      </c>
      <c r="HI53" s="8" t="n">
        <v>11792</v>
      </c>
      <c r="HJ53" s="9">
        <f>HF53+HI53</f>
        <v/>
      </c>
      <c r="HK53" s="10">
        <f>IF(HE53=0,"",HH53/HE53)</f>
        <v/>
      </c>
      <c r="HL53" s="8" t="n">
        <v>38</v>
      </c>
      <c r="HM53" s="8" t="n">
        <v>6</v>
      </c>
      <c r="HN53" s="11">
        <f>IF(HL53=0,"",HM53/HL53)</f>
        <v/>
      </c>
    </row>
    <row r="54">
      <c r="A54" s="12" t="inlineStr">
        <is>
          <t>Mangochi</t>
        </is>
      </c>
      <c r="B54" s="12" t="inlineStr">
        <is>
          <t>Mangochi</t>
        </is>
      </c>
      <c r="C54" s="13" t="inlineStr">
        <is>
          <t>FY2025/26</t>
        </is>
      </c>
      <c r="D54" s="13" t="n">
        <v>2025</v>
      </c>
      <c r="E54" s="13" t="n">
        <v>7</v>
      </c>
      <c r="F54" s="13" t="inlineStr">
        <is>
          <t>July</t>
        </is>
      </c>
      <c r="G54" s="13" t="inlineStr">
        <is>
          <t>Q2</t>
        </is>
      </c>
      <c r="H54" s="14" t="n">
        <v>164857</v>
      </c>
      <c r="I54" s="14" t="n">
        <v>64837</v>
      </c>
      <c r="J54" s="14" t="n">
        <v>0</v>
      </c>
      <c r="K54" s="14" t="n">
        <v>221</v>
      </c>
      <c r="L54" s="14" t="n">
        <v>0</v>
      </c>
      <c r="M54" s="15">
        <f>SUM(I54,J54,K54,L54)</f>
        <v/>
      </c>
      <c r="N54" s="14" t="n">
        <v>30127</v>
      </c>
      <c r="O54" s="14" t="n">
        <v>5305.6</v>
      </c>
      <c r="P54" s="14" t="n">
        <v>4390.5</v>
      </c>
      <c r="Q54" s="14" t="n">
        <v>3451</v>
      </c>
      <c r="R54" s="15">
        <f>SUM(N54,O54,P54,Q54)</f>
        <v/>
      </c>
      <c r="S54" s="15">
        <f>M54+R54</f>
        <v/>
      </c>
      <c r="T54" s="14" t="n">
        <v>56524.9</v>
      </c>
      <c r="U54" s="16">
        <f>IF(H54=0,"",T54/H54)</f>
        <v/>
      </c>
      <c r="V54" s="14" t="n">
        <v>252</v>
      </c>
      <c r="W54" s="17">
        <f>IF(H54=0,"",V54/H54)</f>
        <v/>
      </c>
      <c r="X54" s="14" t="n">
        <v>0</v>
      </c>
      <c r="Y54" s="17">
        <f>IF(H54=0,"",X54/H54)</f>
        <v/>
      </c>
      <c r="Z54" s="14" t="n">
        <v>0</v>
      </c>
      <c r="AA54" s="17">
        <f>IF(H54=0,"",Z54/H54)</f>
        <v/>
      </c>
      <c r="AB54" s="14" t="n">
        <v>0</v>
      </c>
      <c r="AC54" s="17">
        <f>IF(H54=0,"",AB54/H54)</f>
        <v/>
      </c>
      <c r="AD54" s="14" t="n">
        <v>0</v>
      </c>
      <c r="AE54" s="17">
        <f>IF(H54=0,"",AD54/H54)</f>
        <v/>
      </c>
      <c r="AF54" s="14" t="n">
        <v>0</v>
      </c>
      <c r="AG54" s="17">
        <f>IF(H54=0,"",AF54/H54)</f>
        <v/>
      </c>
      <c r="AH54" s="14" t="n">
        <v>6030133.2</v>
      </c>
      <c r="AI54" s="15">
        <f>IF(H54=0,"",AH54/H54)</f>
        <v/>
      </c>
      <c r="AJ54" s="14" t="n">
        <v>46701.2</v>
      </c>
      <c r="AK54" s="17">
        <f>IF(H54=0,"",AJ54/H54)</f>
        <v/>
      </c>
      <c r="AL54" s="14" t="n">
        <v>7826728.863</v>
      </c>
      <c r="AM54" s="15">
        <f>IF(H54=0,"",AL54/H54)</f>
        <v/>
      </c>
      <c r="AN54" s="14" t="n">
        <v>1324</v>
      </c>
      <c r="AO54" s="14" t="n">
        <v>101</v>
      </c>
      <c r="AP54" s="14" t="n">
        <v>490807.68</v>
      </c>
      <c r="AQ54" s="14" t="n">
        <v>0</v>
      </c>
      <c r="AR54" s="14" t="n">
        <v>29055752.4</v>
      </c>
      <c r="AS54" s="14" t="n">
        <v>4386683.46</v>
      </c>
      <c r="AT54" s="14" t="n">
        <v>2822180</v>
      </c>
      <c r="AU54" s="15">
        <f>AH54+AL54+AP54+AQ54+AR54+AS54+AT54</f>
        <v/>
      </c>
      <c r="AV54" s="15">
        <f>IF(H54=0,"",AU54/H54)</f>
        <v/>
      </c>
      <c r="AW54" s="15">
        <f>IF(S54=0,"",AU54/S54)</f>
        <v/>
      </c>
      <c r="AX54" s="14" t="n">
        <v>24</v>
      </c>
      <c r="AY54" s="15">
        <f>IF(H54=0,"",AX54/(H54/1000/12))</f>
        <v/>
      </c>
      <c r="AZ54" s="14" t="n">
        <v>28</v>
      </c>
      <c r="BA54" s="14" t="n">
        <v>1727</v>
      </c>
      <c r="BB54" s="14" t="n">
        <v>151</v>
      </c>
      <c r="BC54" s="14" t="n">
        <v>0</v>
      </c>
      <c r="BD54" s="14" t="n">
        <v>49</v>
      </c>
      <c r="BE54" s="15">
        <f>BC54+BD54</f>
        <v/>
      </c>
      <c r="BF54" s="15">
        <f>BA54+BB54-BE54</f>
        <v/>
      </c>
      <c r="BG54" s="14" t="n">
        <v>4</v>
      </c>
      <c r="BH54" s="14" t="n">
        <v>2</v>
      </c>
      <c r="BI54" s="14" t="n">
        <v>0</v>
      </c>
      <c r="BJ54" s="14" t="n">
        <v>1</v>
      </c>
      <c r="BK54" s="15">
        <f>BI54+BJ54</f>
        <v/>
      </c>
      <c r="BL54" s="15">
        <f>BG54+BH54-BK54</f>
        <v/>
      </c>
      <c r="BM54" s="14" t="n">
        <v>14</v>
      </c>
      <c r="BN54" s="14" t="n">
        <v>6</v>
      </c>
      <c r="BO54" s="14" t="n">
        <v>0</v>
      </c>
      <c r="BP54" s="14" t="n">
        <v>0</v>
      </c>
      <c r="BQ54" s="15">
        <f>BO54+BP54</f>
        <v/>
      </c>
      <c r="BR54" s="15">
        <f>BM54+BN54-BQ54</f>
        <v/>
      </c>
      <c r="BS54" s="14" t="n">
        <v>0</v>
      </c>
      <c r="BT54" s="14" t="n">
        <v>0</v>
      </c>
      <c r="BU54" s="14" t="n">
        <v>0</v>
      </c>
      <c r="BV54" s="14" t="n">
        <v>0</v>
      </c>
      <c r="BW54" s="15">
        <f>BU54+BV54</f>
        <v/>
      </c>
      <c r="BX54" s="15">
        <f>BS54+BT54-BW54</f>
        <v/>
      </c>
      <c r="BY54" s="15">
        <f>BA54+BG54+BM54+BS54</f>
        <v/>
      </c>
      <c r="BZ54" s="15">
        <f>BB54+BH54+BN54+BT54</f>
        <v/>
      </c>
      <c r="CA54" s="15">
        <f>BE54+BK54+BQ54+BW54</f>
        <v/>
      </c>
      <c r="CB54" s="15">
        <f>BF54+BL54+BR54+BX54</f>
        <v/>
      </c>
      <c r="CC54" s="14" t="n">
        <v>50</v>
      </c>
      <c r="CD54" s="14" t="n">
        <v>2490</v>
      </c>
      <c r="CE54" s="14" t="n">
        <v>58</v>
      </c>
      <c r="CF54" s="14" t="n">
        <v>124</v>
      </c>
      <c r="CG54" s="14" t="n">
        <v>10</v>
      </c>
      <c r="CH54" s="15">
        <f>CD54+CE54+CF54+CG54</f>
        <v/>
      </c>
      <c r="CI54" s="14" t="n">
        <v>4063</v>
      </c>
      <c r="CJ54" s="14" t="n">
        <v>5</v>
      </c>
      <c r="CK54" s="14" t="n">
        <v>0</v>
      </c>
      <c r="CL54" s="14" t="n">
        <v>0</v>
      </c>
      <c r="CM54" s="15">
        <f>CI54+CJ54+CK54+CL54</f>
        <v/>
      </c>
      <c r="CN54" s="14" t="n">
        <v>3194</v>
      </c>
      <c r="CO54" s="14" t="n">
        <v>155</v>
      </c>
      <c r="CP54" s="14" t="n">
        <v>418</v>
      </c>
      <c r="CQ54" s="14" t="n">
        <v>72</v>
      </c>
      <c r="CR54" s="15">
        <f>CN54+CO54+CP54+CQ54</f>
        <v/>
      </c>
      <c r="CS54" s="15">
        <f>CM54+CR54</f>
        <v/>
      </c>
      <c r="CT54" s="14" t="n">
        <v>10589</v>
      </c>
      <c r="CU54" s="14" t="n">
        <v>51531</v>
      </c>
      <c r="CV54" s="14" t="n">
        <v>48099</v>
      </c>
      <c r="CW54" s="16">
        <f>IF(CU54=0,"",CV54/CU54)</f>
        <v/>
      </c>
      <c r="CX54" s="14" t="n"/>
      <c r="CY54" s="14" t="n"/>
      <c r="CZ54" s="14" t="n"/>
      <c r="DA54" s="14" t="n"/>
      <c r="DB54" s="15">
        <f>CX54+CY54-CZ54-DA54</f>
        <v/>
      </c>
      <c r="DC54" s="14" t="n">
        <v>0</v>
      </c>
      <c r="DD54" s="14" t="n">
        <v>0</v>
      </c>
      <c r="DE54" s="14" t="n">
        <v>0</v>
      </c>
      <c r="DF54" s="14" t="n">
        <v>0</v>
      </c>
      <c r="DG54" s="15">
        <f>DC54+DD54-DE54-DF54</f>
        <v/>
      </c>
      <c r="DH54" s="14" t="n">
        <v>0</v>
      </c>
      <c r="DI54" s="14" t="n">
        <v>0</v>
      </c>
      <c r="DJ54" s="14" t="n">
        <v>0</v>
      </c>
      <c r="DK54" s="14" t="n">
        <v>0</v>
      </c>
      <c r="DL54" s="15">
        <f>DH54+DI54-DJ54-DK54</f>
        <v/>
      </c>
      <c r="DM54" s="14" t="n">
        <v>171</v>
      </c>
      <c r="DN54" s="14" t="n">
        <v>21</v>
      </c>
      <c r="DO54" s="14" t="n">
        <v>0</v>
      </c>
      <c r="DP54" s="14" t="n">
        <v>0</v>
      </c>
      <c r="DQ54" s="15">
        <f>DM54+DN54-DO54-DP54</f>
        <v/>
      </c>
      <c r="DR54" s="15">
        <f>CX54+DC54+DH54+DM54</f>
        <v/>
      </c>
      <c r="DS54" s="15">
        <f>CY54+DD54+DI54+DN54</f>
        <v/>
      </c>
      <c r="DT54" s="15">
        <f>CZ54+DE54+DJ54+DO54</f>
        <v/>
      </c>
      <c r="DU54" s="15">
        <f>DA54+DF54+DK54+DP54</f>
        <v/>
      </c>
      <c r="DV54" s="15">
        <f>DB54+DG54+DL54+DQ54</f>
        <v/>
      </c>
      <c r="DW54" s="14" t="n">
        <v>86</v>
      </c>
      <c r="DX54" s="14" t="n">
        <v>55</v>
      </c>
      <c r="DY54" s="14" t="n">
        <v>24</v>
      </c>
      <c r="DZ54" s="14" t="n">
        <v>17</v>
      </c>
      <c r="EA54" s="14" t="n">
        <v>9</v>
      </c>
      <c r="EB54" s="14" t="n">
        <v>7</v>
      </c>
      <c r="EC54" s="14" t="n">
        <v>2</v>
      </c>
      <c r="ED54" s="14" t="n">
        <v>3</v>
      </c>
      <c r="EE54" s="14" t="n">
        <v>1</v>
      </c>
      <c r="EF54" s="14" t="n">
        <v>0</v>
      </c>
      <c r="EG54" s="14" t="n">
        <v>0</v>
      </c>
      <c r="EH54" s="14" t="n">
        <v>0</v>
      </c>
      <c r="EI54" s="14" t="n">
        <v>0</v>
      </c>
      <c r="EJ54" s="14" t="n">
        <v>12</v>
      </c>
      <c r="EK54" s="14" t="n">
        <v>9</v>
      </c>
      <c r="EL54" s="14" t="n">
        <v>0</v>
      </c>
      <c r="EM54" s="14" t="n">
        <v>0</v>
      </c>
      <c r="EN54" s="14" t="n">
        <v>0</v>
      </c>
      <c r="EO54" s="14" t="n">
        <v>0</v>
      </c>
      <c r="EP54" s="14" t="n">
        <v>0</v>
      </c>
      <c r="EQ54" s="14" t="n">
        <v>0</v>
      </c>
      <c r="ER54" s="14" t="n">
        <v>0</v>
      </c>
      <c r="ES54" s="14" t="n">
        <v>0</v>
      </c>
      <c r="ET54" s="14" t="n">
        <v>0</v>
      </c>
      <c r="EU54" s="14" t="n">
        <v>0</v>
      </c>
      <c r="EV54" s="14" t="n">
        <v>0</v>
      </c>
      <c r="EW54" s="14" t="n">
        <v>0</v>
      </c>
      <c r="EX54" s="14" t="n">
        <v>0</v>
      </c>
      <c r="EY54" s="14" t="n">
        <v>0</v>
      </c>
      <c r="EZ54" s="14" t="n">
        <v>0</v>
      </c>
      <c r="FA54" s="14" t="n">
        <v>0</v>
      </c>
      <c r="FB54" s="14" t="n">
        <v>0</v>
      </c>
      <c r="FC54" s="14" t="n">
        <v>0</v>
      </c>
      <c r="FD54" s="14" t="n">
        <v>0</v>
      </c>
      <c r="FE54" s="14" t="n">
        <v>0</v>
      </c>
      <c r="FF54" s="14" t="n">
        <v>0</v>
      </c>
      <c r="FG54" s="15">
        <f>SUM(DW54,DX54,DY54,DZ54,EA54,EB54,EC54,ED54,EE54,EF54,EG54,EH54,EI54,EJ54,EK54,EL54,EM54,EN54,EO54,EP54,EQ54,ER54,ES54,ET54,EU54,EV54,EW54,EX54,EY54,EZ54,FA54,FB54,FC54,FD54,FE54,FF54)</f>
        <v/>
      </c>
      <c r="FH54" s="14" t="n">
        <v>6</v>
      </c>
      <c r="FI54" s="14" t="n">
        <v>592</v>
      </c>
      <c r="FJ54" s="14" t="n">
        <v>22</v>
      </c>
      <c r="FK54" s="14" t="n">
        <v>28</v>
      </c>
      <c r="FL54" s="14" t="n">
        <v>0</v>
      </c>
      <c r="FM54" s="14" t="n">
        <v>0</v>
      </c>
      <c r="FN54" s="14" t="n">
        <v>0</v>
      </c>
      <c r="FO54" s="14" t="n">
        <v>0</v>
      </c>
      <c r="FP54" s="14" t="n">
        <v>0</v>
      </c>
      <c r="FQ54" s="15">
        <f>FL54+FM54+FN54+FO54+FP54</f>
        <v/>
      </c>
      <c r="FR54" s="14" t="n">
        <v>33221593.1</v>
      </c>
      <c r="FS54" s="14" t="n">
        <v>169417.22</v>
      </c>
      <c r="FT54" s="14" t="n">
        <v>47867.22</v>
      </c>
      <c r="FU54" s="14" t="n">
        <v>0</v>
      </c>
      <c r="FV54" s="15">
        <f>FR54+FS54+FT54+FU54</f>
        <v/>
      </c>
      <c r="FW54" s="14" t="n">
        <v>27882560</v>
      </c>
      <c r="FX54" s="14" t="n">
        <v>1127400</v>
      </c>
      <c r="FY54" s="14" t="n">
        <v>17398511.6</v>
      </c>
      <c r="FZ54" s="14" t="n">
        <v>13266883</v>
      </c>
      <c r="GA54" s="15">
        <f>FW54+FX54+FY54+FZ54</f>
        <v/>
      </c>
      <c r="GB54" s="15">
        <f>FV54+GA54</f>
        <v/>
      </c>
      <c r="GC54" s="14" t="n">
        <v>59220569.78</v>
      </c>
      <c r="GD54" s="14" t="n">
        <v>0</v>
      </c>
      <c r="GE54" s="14" t="n">
        <v>716167.52</v>
      </c>
      <c r="GF54" s="14" t="n">
        <v>0</v>
      </c>
      <c r="GG54" s="15">
        <f>GC54+GD54+GE54+GF54</f>
        <v/>
      </c>
      <c r="GH54" s="14" t="n">
        <v>27922798.6</v>
      </c>
      <c r="GI54" s="14" t="n">
        <v>1127400</v>
      </c>
      <c r="GJ54" s="14" t="n">
        <v>13266883</v>
      </c>
      <c r="GK54" s="14" t="n">
        <v>17268311.6</v>
      </c>
      <c r="GL54" s="15">
        <f>GH54+GI54+GJ54+GK54</f>
        <v/>
      </c>
      <c r="GM54" s="15">
        <f>GG54+GL54</f>
        <v/>
      </c>
      <c r="GN54" s="14" t="n">
        <v>2207885.68</v>
      </c>
      <c r="GO54" s="14" t="n">
        <v>0</v>
      </c>
      <c r="GP54" s="14" t="n">
        <v>16968.2</v>
      </c>
      <c r="GQ54" s="14" t="n">
        <v>0</v>
      </c>
      <c r="GR54" s="15">
        <f>GN54+GO54+GP54+GQ54</f>
        <v/>
      </c>
      <c r="GS54" s="14" t="n">
        <v>3628259</v>
      </c>
      <c r="GT54" s="14" t="n">
        <v>0</v>
      </c>
      <c r="GU54" s="14" t="n">
        <v>4465</v>
      </c>
      <c r="GV54" s="14" t="n">
        <v>0</v>
      </c>
      <c r="GW54" s="15">
        <f>GS54+GT54+GU54+GV54</f>
        <v/>
      </c>
      <c r="GX54" s="15">
        <f>GM54+GR54+GW54</f>
        <v/>
      </c>
      <c r="GY54" s="14" t="n">
        <v>90783230.48000082</v>
      </c>
      <c r="GZ54" s="14" t="n">
        <v>435240815.3499998</v>
      </c>
      <c r="HA54" s="15">
        <f>GY54+GZ54</f>
        <v/>
      </c>
      <c r="HB54" s="15">
        <f>IF(GX54=0,"",AU54/GX54)</f>
        <v/>
      </c>
      <c r="HC54" s="16">
        <f>IF((GX54+GY54)=0,"",GB54/(GX54+GY54))</f>
        <v/>
      </c>
      <c r="HD54" s="15">
        <f>IF(GX54=0,"",GB54/GX54)</f>
        <v/>
      </c>
      <c r="HE54" s="14" t="n">
        <v>1854</v>
      </c>
      <c r="HF54" s="14" t="n">
        <v>1</v>
      </c>
      <c r="HG54" s="14" t="n">
        <v>1854</v>
      </c>
      <c r="HH54" s="14" t="n">
        <v>159</v>
      </c>
      <c r="HI54" s="14" t="n">
        <v>8235</v>
      </c>
      <c r="HJ54" s="15">
        <f>HF54+HI54</f>
        <v/>
      </c>
      <c r="HK54" s="16">
        <f>IF(HE54=0,"",HH54/HE54)</f>
        <v/>
      </c>
      <c r="HL54" s="14" t="n">
        <v>47</v>
      </c>
      <c r="HM54" s="14" t="n">
        <v>7</v>
      </c>
      <c r="HN54" s="17">
        <f>IF(HL54=0,"",HM54/HL54)</f>
        <v/>
      </c>
    </row>
    <row r="55">
      <c r="A55" s="6" t="inlineStr">
        <is>
          <t>Mangochi</t>
        </is>
      </c>
      <c r="B55" s="6" t="inlineStr">
        <is>
          <t>Mangochi</t>
        </is>
      </c>
      <c r="C55" s="7" t="inlineStr">
        <is>
          <t>FY2025/26</t>
        </is>
      </c>
      <c r="D55" s="7" t="n">
        <v>2025</v>
      </c>
      <c r="E55" s="7" t="n">
        <v>8</v>
      </c>
      <c r="F55" s="7" t="inlineStr">
        <is>
          <t>August</t>
        </is>
      </c>
      <c r="G55" s="7" t="inlineStr">
        <is>
          <t>Q2</t>
        </is>
      </c>
      <c r="H55" s="8" t="n">
        <v>163955</v>
      </c>
      <c r="I55" s="8" t="n">
        <v>47290</v>
      </c>
      <c r="J55" s="8" t="n">
        <v>76</v>
      </c>
      <c r="K55" s="8" t="n">
        <v>259</v>
      </c>
      <c r="L55" s="8" t="n">
        <v>15</v>
      </c>
      <c r="M55" s="9">
        <f>SUM(I55,J55,K55,L55)</f>
        <v/>
      </c>
      <c r="N55" s="8" t="n">
        <v>42238.5</v>
      </c>
      <c r="O55" s="8" t="n">
        <v>5573.2</v>
      </c>
      <c r="P55" s="8" t="n">
        <v>3212.8</v>
      </c>
      <c r="Q55" s="8" t="n">
        <v>2154.3</v>
      </c>
      <c r="R55" s="9">
        <f>SUM(N55,O55,P55,Q55)</f>
        <v/>
      </c>
      <c r="S55" s="9">
        <f>M55+R55</f>
        <v/>
      </c>
      <c r="T55" s="8" t="n">
        <v>63136.2</v>
      </c>
      <c r="U55" s="10">
        <f>IF(H55=0,"",T55/H55)</f>
        <v/>
      </c>
      <c r="V55" s="8" t="n">
        <v>300</v>
      </c>
      <c r="W55" s="11">
        <f>IF(H55=0,"",V55/H55)</f>
        <v/>
      </c>
      <c r="X55" s="8" t="n">
        <v>0</v>
      </c>
      <c r="Y55" s="11">
        <f>IF(H55=0,"",X55/H55)</f>
        <v/>
      </c>
      <c r="Z55" s="8" t="n">
        <v>0</v>
      </c>
      <c r="AA55" s="11">
        <f>IF(H55=0,"",Z55/H55)</f>
        <v/>
      </c>
      <c r="AB55" s="8" t="n">
        <v>0</v>
      </c>
      <c r="AC55" s="11">
        <f>IF(H55=0,"",AB55/H55)</f>
        <v/>
      </c>
      <c r="AD55" s="8" t="n">
        <v>0</v>
      </c>
      <c r="AE55" s="11">
        <f>IF(H55=0,"",AD55/H55)</f>
        <v/>
      </c>
      <c r="AF55" s="8" t="n">
        <v>0</v>
      </c>
      <c r="AG55" s="11">
        <f>IF(H55=0,"",AF55/H55)</f>
        <v/>
      </c>
      <c r="AH55" s="8" t="n">
        <v>7178730</v>
      </c>
      <c r="AI55" s="9">
        <f>IF(H55=0,"",AH55/H55)</f>
        <v/>
      </c>
      <c r="AJ55" s="8" t="n">
        <v>50035.01</v>
      </c>
      <c r="AK55" s="11">
        <f>IF(H55=0,"",AJ55/H55)</f>
        <v/>
      </c>
      <c r="AL55" s="8" t="n">
        <v>8384066.884275</v>
      </c>
      <c r="AM55" s="9">
        <f>IF(H55=0,"",AL55/H55)</f>
        <v/>
      </c>
      <c r="AN55" s="8" t="n">
        <v>1579</v>
      </c>
      <c r="AO55" s="8" t="n">
        <v>108.64</v>
      </c>
      <c r="AP55" s="8" t="n">
        <v>413606</v>
      </c>
      <c r="AQ55" s="8" t="n">
        <v>0</v>
      </c>
      <c r="AR55" s="8" t="n">
        <v>31521700.23</v>
      </c>
      <c r="AS55" s="8" t="n">
        <v>4559327.91</v>
      </c>
      <c r="AT55" s="8" t="n">
        <v>3108080</v>
      </c>
      <c r="AU55" s="9">
        <f>AH55+AL55+AP55+AQ55+AR55+AS55+AT55</f>
        <v/>
      </c>
      <c r="AV55" s="9">
        <f>IF(H55=0,"",AU55/H55)</f>
        <v/>
      </c>
      <c r="AW55" s="9">
        <f>IF(S55=0,"",AU55/S55)</f>
        <v/>
      </c>
      <c r="AX55" s="8" t="n">
        <v>23</v>
      </c>
      <c r="AY55" s="9">
        <f>IF(H55=0,"",AX55/(H55/1000/12))</f>
        <v/>
      </c>
      <c r="AZ55" s="8" t="n">
        <v>27</v>
      </c>
      <c r="BA55" s="8" t="n">
        <v>1829</v>
      </c>
      <c r="BB55" s="8" t="n">
        <v>178</v>
      </c>
      <c r="BC55" s="8" t="n">
        <v>0</v>
      </c>
      <c r="BD55" s="8" t="n">
        <v>84</v>
      </c>
      <c r="BE55" s="9">
        <f>BC55+BD55</f>
        <v/>
      </c>
      <c r="BF55" s="9">
        <f>BA55+BB55-BE55</f>
        <v/>
      </c>
      <c r="BG55" s="8" t="n">
        <v>5</v>
      </c>
      <c r="BH55" s="8" t="n">
        <v>0</v>
      </c>
      <c r="BI55" s="8" t="n">
        <v>0</v>
      </c>
      <c r="BJ55" s="8" t="n">
        <v>1</v>
      </c>
      <c r="BK55" s="9">
        <f>BI55+BJ55</f>
        <v/>
      </c>
      <c r="BL55" s="9">
        <f>BG55+BH55-BK55</f>
        <v/>
      </c>
      <c r="BM55" s="8" t="n">
        <v>20</v>
      </c>
      <c r="BN55" s="8" t="n">
        <v>1</v>
      </c>
      <c r="BO55" s="8" t="n">
        <v>0</v>
      </c>
      <c r="BP55" s="8" t="n">
        <v>4</v>
      </c>
      <c r="BQ55" s="9">
        <f>BO55+BP55</f>
        <v/>
      </c>
      <c r="BR55" s="9">
        <f>BM55+BN55-BQ55</f>
        <v/>
      </c>
      <c r="BS55" s="8" t="n">
        <v>0</v>
      </c>
      <c r="BT55" s="8" t="n">
        <v>0</v>
      </c>
      <c r="BU55" s="8" t="n">
        <v>0</v>
      </c>
      <c r="BV55" s="8" t="n">
        <v>0</v>
      </c>
      <c r="BW55" s="9">
        <f>BU55+BV55</f>
        <v/>
      </c>
      <c r="BX55" s="9">
        <f>BS55+BT55-BW55</f>
        <v/>
      </c>
      <c r="BY55" s="9">
        <f>BA55+BG55+BM55+BS55</f>
        <v/>
      </c>
      <c r="BZ55" s="9">
        <f>BB55+BH55+BN55+BT55</f>
        <v/>
      </c>
      <c r="CA55" s="9">
        <f>BE55+BK55+BQ55+BW55</f>
        <v/>
      </c>
      <c r="CB55" s="9">
        <f>BF55+BL55+BR55+BX55</f>
        <v/>
      </c>
      <c r="CC55" s="8" t="n">
        <v>89</v>
      </c>
      <c r="CD55" s="8" t="n">
        <v>2419</v>
      </c>
      <c r="CE55" s="8" t="n">
        <v>56</v>
      </c>
      <c r="CF55" s="8" t="n">
        <v>121</v>
      </c>
      <c r="CG55" s="8" t="n">
        <v>8</v>
      </c>
      <c r="CH55" s="9">
        <f>CD55+CE55+CF55+CG55</f>
        <v/>
      </c>
      <c r="CI55" s="8" t="n">
        <v>4138</v>
      </c>
      <c r="CJ55" s="8" t="n">
        <v>5</v>
      </c>
      <c r="CK55" s="8" t="n">
        <v>2</v>
      </c>
      <c r="CL55" s="8" t="n">
        <v>1</v>
      </c>
      <c r="CM55" s="9">
        <f>CI55+CJ55+CK55+CL55</f>
        <v/>
      </c>
      <c r="CN55" s="8" t="n">
        <v>3278</v>
      </c>
      <c r="CO55" s="8" t="n">
        <v>156</v>
      </c>
      <c r="CP55" s="8" t="n">
        <v>422</v>
      </c>
      <c r="CQ55" s="8" t="n">
        <v>72</v>
      </c>
      <c r="CR55" s="9">
        <f>CN55+CO55+CP55+CQ55</f>
        <v/>
      </c>
      <c r="CS55" s="9">
        <f>CM55+CR55</f>
        <v/>
      </c>
      <c r="CT55" s="8" t="n">
        <v>10678</v>
      </c>
      <c r="CU55" s="8" t="n">
        <v>51606</v>
      </c>
      <c r="CV55" s="8" t="n">
        <v>48544</v>
      </c>
      <c r="CW55" s="10">
        <f>IF(CU55=0,"",CV55/CU55)</f>
        <v/>
      </c>
      <c r="CX55" s="8" t="n"/>
      <c r="CY55" s="8" t="n"/>
      <c r="CZ55" s="8" t="n"/>
      <c r="DA55" s="8" t="n"/>
      <c r="DB55" s="9">
        <f>CX55+CY55-CZ55-DA55</f>
        <v/>
      </c>
      <c r="DC55" s="8" t="n">
        <v>1</v>
      </c>
      <c r="DD55" s="8" t="n">
        <v>0</v>
      </c>
      <c r="DE55" s="8" t="n">
        <v>0</v>
      </c>
      <c r="DF55" s="8" t="n">
        <v>0</v>
      </c>
      <c r="DG55" s="9">
        <f>DC55+DD55-DE55-DF55</f>
        <v/>
      </c>
      <c r="DH55" s="8" t="n">
        <v>0</v>
      </c>
      <c r="DI55" s="8" t="n">
        <v>0</v>
      </c>
      <c r="DJ55" s="8" t="n">
        <v>0</v>
      </c>
      <c r="DK55" s="8" t="n">
        <v>0</v>
      </c>
      <c r="DL55" s="9">
        <f>DH55+DI55-DJ55-DK55</f>
        <v/>
      </c>
      <c r="DM55" s="8" t="n">
        <v>192</v>
      </c>
      <c r="DN55" s="8" t="n">
        <v>40</v>
      </c>
      <c r="DO55" s="8" t="n">
        <v>7</v>
      </c>
      <c r="DP55" s="8" t="n">
        <v>6</v>
      </c>
      <c r="DQ55" s="9">
        <f>DM55+DN55-DO55-DP55</f>
        <v/>
      </c>
      <c r="DR55" s="9">
        <f>CX55+DC55+DH55+DM55</f>
        <v/>
      </c>
      <c r="DS55" s="9">
        <f>CY55+DD55+DI55+DN55</f>
        <v/>
      </c>
      <c r="DT55" s="9">
        <f>CZ55+DE55+DJ55+DO55</f>
        <v/>
      </c>
      <c r="DU55" s="9">
        <f>DA55+DF55+DK55+DP55</f>
        <v/>
      </c>
      <c r="DV55" s="9">
        <f>DB55+DG55+DL55+DQ55</f>
        <v/>
      </c>
      <c r="DW55" s="8" t="n">
        <v>70</v>
      </c>
      <c r="DX55" s="8" t="n">
        <v>44</v>
      </c>
      <c r="DY55" s="8" t="n">
        <v>18</v>
      </c>
      <c r="DZ55" s="8" t="n">
        <v>11</v>
      </c>
      <c r="EA55" s="8" t="n">
        <v>8</v>
      </c>
      <c r="EB55" s="8" t="n">
        <v>3</v>
      </c>
      <c r="EC55" s="8" t="n">
        <v>2</v>
      </c>
      <c r="ED55" s="8" t="n">
        <v>3</v>
      </c>
      <c r="EE55" s="8" t="n">
        <v>0</v>
      </c>
      <c r="EF55" s="8" t="n">
        <v>2</v>
      </c>
      <c r="EG55" s="8" t="n">
        <v>0</v>
      </c>
      <c r="EH55" s="8" t="n">
        <v>0</v>
      </c>
      <c r="EI55" s="8" t="n">
        <v>0</v>
      </c>
      <c r="EJ55" s="8" t="n">
        <v>8</v>
      </c>
      <c r="EK55" s="8" t="n">
        <v>6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  <c r="EX55" s="8" t="n">
        <v>0</v>
      </c>
      <c r="EY55" s="8" t="n">
        <v>0</v>
      </c>
      <c r="EZ55" s="8" t="n">
        <v>0</v>
      </c>
      <c r="FA55" s="8" t="n">
        <v>0</v>
      </c>
      <c r="FB55" s="8" t="n">
        <v>0</v>
      </c>
      <c r="FC55" s="8" t="n">
        <v>0</v>
      </c>
      <c r="FD55" s="8" t="n">
        <v>0</v>
      </c>
      <c r="FE55" s="8" t="n">
        <v>0</v>
      </c>
      <c r="FF55" s="8" t="n">
        <v>0</v>
      </c>
      <c r="FG55" s="9">
        <f>SUM(DW55,DX55,DY55,DZ55,EA55,EB55,EC55,ED55,EE55,EF55,EG55,EH55,EI55,EJ55,EK55,EL55,EM55,EN55,EO55,EP55,EQ55,ER55,ES55,ET55,EU55,EV55,EW55,EX55,EY55,EZ55,FA55,FB55,FC55,FD55,FE55,FF55)</f>
        <v/>
      </c>
      <c r="FH55" s="8" t="n">
        <v>6</v>
      </c>
      <c r="FI55" s="8" t="n">
        <v>598</v>
      </c>
      <c r="FJ55" s="8" t="n">
        <v>0</v>
      </c>
      <c r="FK55" s="8" t="n">
        <v>41</v>
      </c>
      <c r="FL55" s="8" t="n">
        <v>0</v>
      </c>
      <c r="FM55" s="8" t="n">
        <v>0</v>
      </c>
      <c r="FN55" s="8" t="n">
        <v>0</v>
      </c>
      <c r="FO55" s="8" t="n">
        <v>0</v>
      </c>
      <c r="FP55" s="8" t="n">
        <v>0</v>
      </c>
      <c r="FQ55" s="9">
        <f>FL55+FM55+FN55+FO55+FP55</f>
        <v/>
      </c>
      <c r="FR55" s="8" t="n">
        <v>61486183</v>
      </c>
      <c r="FS55" s="8" t="n">
        <v>0</v>
      </c>
      <c r="FT55" s="8" t="n">
        <v>42000</v>
      </c>
      <c r="FU55" s="8" t="n">
        <v>94867.22</v>
      </c>
      <c r="FV55" s="9">
        <f>FR55+FS55+FT55+FU55</f>
        <v/>
      </c>
      <c r="FW55" s="8" t="n">
        <v>28922823</v>
      </c>
      <c r="FX55" s="8" t="n">
        <v>1184359</v>
      </c>
      <c r="FY55" s="8" t="n">
        <v>10306280</v>
      </c>
      <c r="FZ55" s="8" t="n">
        <v>9731100</v>
      </c>
      <c r="GA55" s="9">
        <f>FW55+FX55+FY55+FZ55</f>
        <v/>
      </c>
      <c r="GB55" s="9">
        <f>FV55+GA55</f>
        <v/>
      </c>
      <c r="GC55" s="8" t="n">
        <v>42922261</v>
      </c>
      <c r="GD55" s="8" t="n">
        <v>14537.28</v>
      </c>
      <c r="GE55" s="8" t="n">
        <v>851086.85</v>
      </c>
      <c r="GF55" s="8" t="n">
        <v>41232.44</v>
      </c>
      <c r="GG55" s="9">
        <f>GC55+GD55+GE55+GF55</f>
        <v/>
      </c>
      <c r="GH55" s="8" t="n">
        <v>28969017.52</v>
      </c>
      <c r="GI55" s="8" t="n">
        <v>1184359</v>
      </c>
      <c r="GJ55" s="8" t="n">
        <v>9688740</v>
      </c>
      <c r="GK55" s="8" t="n">
        <v>10090880</v>
      </c>
      <c r="GL55" s="9">
        <f>GH55+GI55+GJ55+GK55</f>
        <v/>
      </c>
      <c r="GM55" s="9">
        <f>GG55+GL55</f>
        <v/>
      </c>
      <c r="GN55" s="8" t="n">
        <v>2248836</v>
      </c>
      <c r="GO55" s="8" t="n">
        <v>191.28</v>
      </c>
      <c r="GP55" s="8" t="n">
        <v>16968.2</v>
      </c>
      <c r="GQ55" s="8" t="n">
        <v>9274.68</v>
      </c>
      <c r="GR55" s="9">
        <f>GN55+GO55+GP55+GQ55</f>
        <v/>
      </c>
      <c r="GS55" s="8" t="n">
        <v>3695234</v>
      </c>
      <c r="GT55" s="8" t="n">
        <v>893</v>
      </c>
      <c r="GU55" s="8" t="n">
        <v>4465</v>
      </c>
      <c r="GV55" s="8" t="n">
        <v>1786</v>
      </c>
      <c r="GW55" s="9">
        <f>GS55+GT55+GU55+GV55</f>
        <v/>
      </c>
      <c r="GX55" s="9">
        <f>GM55+GR55+GW55</f>
        <v/>
      </c>
      <c r="GY55" s="8" t="n">
        <v>79021487.10000056</v>
      </c>
      <c r="GZ55" s="8" t="n">
        <v>422497661.7900001</v>
      </c>
      <c r="HA55" s="9">
        <f>GY55+GZ55</f>
        <v/>
      </c>
      <c r="HB55" s="9">
        <f>IF(GX55=0,"",AU55/GX55)</f>
        <v/>
      </c>
      <c r="HC55" s="10">
        <f>IF((GX55+GY55)=0,"",GB55/(GX55+GY55))</f>
        <v/>
      </c>
      <c r="HD55" s="9">
        <f>IF(GX55=0,"",GB55/GX55)</f>
        <v/>
      </c>
      <c r="HE55" s="8" t="n">
        <v>0</v>
      </c>
      <c r="HF55" s="8" t="n">
        <v>7</v>
      </c>
      <c r="HG55" s="8" t="n">
        <v>1944</v>
      </c>
      <c r="HH55" s="8" t="n">
        <v>179</v>
      </c>
      <c r="HI55" s="8" t="n">
        <v>14883</v>
      </c>
      <c r="HJ55" s="9">
        <f>HF55+HI55</f>
        <v/>
      </c>
      <c r="HK55" s="10">
        <f>IF(HE55=0,"",HH55/HE55)</f>
        <v/>
      </c>
      <c r="HL55" s="8" t="n">
        <v>36</v>
      </c>
      <c r="HM55" s="8" t="n">
        <v>6</v>
      </c>
      <c r="HN55" s="11">
        <f>IF(HL55=0,"",HM55/HL55)</f>
        <v/>
      </c>
    </row>
    <row r="56">
      <c r="A56" s="12" t="inlineStr">
        <is>
          <t>Mangochi</t>
        </is>
      </c>
      <c r="B56" s="12" t="inlineStr">
        <is>
          <t>Mangochi</t>
        </is>
      </c>
      <c r="C56" s="13" t="inlineStr">
        <is>
          <t>FY2025/26</t>
        </is>
      </c>
      <c r="D56" s="13" t="n">
        <v>2025</v>
      </c>
      <c r="E56" s="13" t="n">
        <v>9</v>
      </c>
      <c r="F56" s="13" t="inlineStr">
        <is>
          <t>September</t>
        </is>
      </c>
      <c r="G56" s="13" t="inlineStr">
        <is>
          <t>Q2</t>
        </is>
      </c>
      <c r="H56" s="14" t="n">
        <v>160930.5</v>
      </c>
      <c r="I56" s="14" t="n">
        <v>54470</v>
      </c>
      <c r="J56" s="14" t="n">
        <v>40</v>
      </c>
      <c r="K56" s="14" t="n">
        <v>238</v>
      </c>
      <c r="L56" s="14" t="n">
        <v>8</v>
      </c>
      <c r="M56" s="15">
        <f>SUM(I56,J56,K56,L56)</f>
        <v/>
      </c>
      <c r="N56" s="14" t="n">
        <v>24541.4</v>
      </c>
      <c r="O56" s="14" t="n">
        <v>5760.6</v>
      </c>
      <c r="P56" s="14" t="n">
        <v>4458.9</v>
      </c>
      <c r="Q56" s="14" t="n">
        <v>2781</v>
      </c>
      <c r="R56" s="15">
        <f>SUM(N56,O56,P56,Q56)</f>
        <v/>
      </c>
      <c r="S56" s="15">
        <f>M56+R56</f>
        <v/>
      </c>
      <c r="T56" s="14" t="n">
        <v>68632.60000000009</v>
      </c>
      <c r="U56" s="16">
        <f>IF(H56=0,"",T56/H56)</f>
        <v/>
      </c>
      <c r="V56" s="14" t="n">
        <v>418</v>
      </c>
      <c r="W56" s="17">
        <f>IF(H56=0,"",V56/H56)</f>
        <v/>
      </c>
      <c r="X56" s="14" t="n">
        <v>0</v>
      </c>
      <c r="Y56" s="17">
        <f>IF(H56=0,"",X56/H56)</f>
        <v/>
      </c>
      <c r="Z56" s="14" t="n">
        <v>0</v>
      </c>
      <c r="AA56" s="17">
        <f>IF(H56=0,"",Z56/H56)</f>
        <v/>
      </c>
      <c r="AB56" s="14" t="n">
        <v>0</v>
      </c>
      <c r="AC56" s="17">
        <f>IF(H56=0,"",AB56/H56)</f>
        <v/>
      </c>
      <c r="AD56" s="14" t="n">
        <v>0</v>
      </c>
      <c r="AE56" s="17">
        <f>IF(H56=0,"",AD56/H56)</f>
        <v/>
      </c>
      <c r="AF56" s="14" t="n">
        <v>0</v>
      </c>
      <c r="AG56" s="17">
        <f>IF(H56=0,"",AF56/H56)</f>
        <v/>
      </c>
      <c r="AH56" s="14" t="n">
        <v>10002363.8</v>
      </c>
      <c r="AI56" s="15">
        <f>IF(H56=0,"",AH56/H56)</f>
        <v/>
      </c>
      <c r="AJ56" s="14" t="n">
        <v>44399.6</v>
      </c>
      <c r="AK56" s="17">
        <f>IF(H56=0,"",AJ56/H56)</f>
        <v/>
      </c>
      <c r="AL56" s="14" t="n">
        <v>7441953.129</v>
      </c>
      <c r="AM56" s="15">
        <f>IF(H56=0,"",AL56/H56)</f>
        <v/>
      </c>
      <c r="AN56" s="14" t="n">
        <v>4175</v>
      </c>
      <c r="AO56" s="14" t="n">
        <v>433.66</v>
      </c>
      <c r="AP56" s="14" t="n">
        <v>1186556</v>
      </c>
      <c r="AQ56" s="14" t="n">
        <v>0</v>
      </c>
      <c r="AR56" s="14" t="n">
        <v>30076339.5</v>
      </c>
      <c r="AS56" s="14" t="n">
        <v>4519195.64</v>
      </c>
      <c r="AT56" s="14" t="n">
        <v>3206170</v>
      </c>
      <c r="AU56" s="15">
        <f>AH56+AL56+AP56+AQ56+AR56+AS56+AT56</f>
        <v/>
      </c>
      <c r="AV56" s="15">
        <f>IF(H56=0,"",AU56/H56)</f>
        <v/>
      </c>
      <c r="AW56" s="15">
        <f>IF(S56=0,"",AU56/S56)</f>
        <v/>
      </c>
      <c r="AX56" s="14" t="n">
        <v>24</v>
      </c>
      <c r="AY56" s="15">
        <f>IF(H56=0,"",AX56/(H56/1000/12))</f>
        <v/>
      </c>
      <c r="AZ56" s="14" t="n">
        <v>27</v>
      </c>
      <c r="BA56" s="14" t="n">
        <v>1923</v>
      </c>
      <c r="BB56" s="14" t="n">
        <v>104</v>
      </c>
      <c r="BC56" s="14" t="n">
        <v>0</v>
      </c>
      <c r="BD56" s="14" t="n">
        <v>96</v>
      </c>
      <c r="BE56" s="15">
        <f>BC56+BD56</f>
        <v/>
      </c>
      <c r="BF56" s="15">
        <f>BA56+BB56-BE56</f>
        <v/>
      </c>
      <c r="BG56" s="14" t="n">
        <v>4</v>
      </c>
      <c r="BH56" s="14" t="n">
        <v>0</v>
      </c>
      <c r="BI56" s="14" t="n">
        <v>0</v>
      </c>
      <c r="BJ56" s="14" t="n">
        <v>1</v>
      </c>
      <c r="BK56" s="15">
        <f>BI56+BJ56</f>
        <v/>
      </c>
      <c r="BL56" s="15">
        <f>BG56+BH56-BK56</f>
        <v/>
      </c>
      <c r="BM56" s="14" t="n">
        <v>17</v>
      </c>
      <c r="BN56" s="14" t="n">
        <v>1</v>
      </c>
      <c r="BO56" s="14" t="n">
        <v>0</v>
      </c>
      <c r="BP56" s="14" t="n">
        <v>5</v>
      </c>
      <c r="BQ56" s="15">
        <f>BO56+BP56</f>
        <v/>
      </c>
      <c r="BR56" s="15">
        <f>BM56+BN56-BQ56</f>
        <v/>
      </c>
      <c r="BS56" s="14" t="n">
        <v>0</v>
      </c>
      <c r="BT56" s="14" t="n">
        <v>0</v>
      </c>
      <c r="BU56" s="14" t="n">
        <v>0</v>
      </c>
      <c r="BV56" s="14" t="n">
        <v>0</v>
      </c>
      <c r="BW56" s="15">
        <f>BU56+BV56</f>
        <v/>
      </c>
      <c r="BX56" s="15">
        <f>BS56+BT56-BW56</f>
        <v/>
      </c>
      <c r="BY56" s="15">
        <f>BA56+BG56+BM56+BS56</f>
        <v/>
      </c>
      <c r="BZ56" s="15">
        <f>BB56+BH56+BN56+BT56</f>
        <v/>
      </c>
      <c r="CA56" s="15">
        <f>BE56+BK56+BQ56+BW56</f>
        <v/>
      </c>
      <c r="CB56" s="15">
        <f>BF56+BL56+BR56+BX56</f>
        <v/>
      </c>
      <c r="CC56" s="14" t="n">
        <v>102</v>
      </c>
      <c r="CD56" s="14" t="n">
        <v>2358</v>
      </c>
      <c r="CE56" s="14" t="n">
        <v>56</v>
      </c>
      <c r="CF56" s="14" t="n">
        <v>121</v>
      </c>
      <c r="CG56" s="14" t="n">
        <v>8</v>
      </c>
      <c r="CH56" s="15">
        <f>CD56+CE56+CF56+CG56</f>
        <v/>
      </c>
      <c r="CI56" s="14" t="n">
        <v>4199</v>
      </c>
      <c r="CJ56" s="14" t="n">
        <v>5</v>
      </c>
      <c r="CK56" s="14" t="n">
        <v>2</v>
      </c>
      <c r="CL56" s="14" t="n">
        <v>1</v>
      </c>
      <c r="CM56" s="15">
        <f>CI56+CJ56+CK56+CL56</f>
        <v/>
      </c>
      <c r="CN56" s="14" t="n">
        <v>3374</v>
      </c>
      <c r="CO56" s="14" t="n">
        <v>157</v>
      </c>
      <c r="CP56" s="14" t="n">
        <v>427</v>
      </c>
      <c r="CQ56" s="14" t="n">
        <v>72</v>
      </c>
      <c r="CR56" s="15">
        <f>CN56+CO56+CP56+CQ56</f>
        <v/>
      </c>
      <c r="CS56" s="15">
        <f>CM56+CR56</f>
        <v/>
      </c>
      <c r="CT56" s="14" t="n">
        <v>10780</v>
      </c>
      <c r="CU56" s="14" t="n">
        <v>50781</v>
      </c>
      <c r="CV56" s="14" t="n">
        <v>47854</v>
      </c>
      <c r="CW56" s="16">
        <f>IF(CU56=0,"",CV56/CU56)</f>
        <v/>
      </c>
      <c r="CX56" s="14" t="n"/>
      <c r="CY56" s="14" t="n"/>
      <c r="CZ56" s="14" t="n"/>
      <c r="DA56" s="14" t="n"/>
      <c r="DB56" s="15">
        <f>CX56+CY56-CZ56-DA56</f>
        <v/>
      </c>
      <c r="DC56" s="14" t="n">
        <v>0</v>
      </c>
      <c r="DD56" s="14" t="n">
        <v>0</v>
      </c>
      <c r="DE56" s="14" t="n">
        <v>0</v>
      </c>
      <c r="DF56" s="14" t="n">
        <v>0</v>
      </c>
      <c r="DG56" s="15">
        <f>DC56+DD56-DE56-DF56</f>
        <v/>
      </c>
      <c r="DH56" s="14" t="n">
        <v>0</v>
      </c>
      <c r="DI56" s="14" t="n">
        <v>0</v>
      </c>
      <c r="DJ56" s="14" t="n">
        <v>0</v>
      </c>
      <c r="DK56" s="14" t="n">
        <v>0</v>
      </c>
      <c r="DL56" s="15">
        <f>DH56+DI56-DJ56-DK56</f>
        <v/>
      </c>
      <c r="DM56" s="14" t="n">
        <v>219</v>
      </c>
      <c r="DN56" s="14" t="n">
        <v>31</v>
      </c>
      <c r="DO56" s="14" t="n">
        <v>0</v>
      </c>
      <c r="DP56" s="14" t="n">
        <v>11</v>
      </c>
      <c r="DQ56" s="15">
        <f>DM56+DN56-DO56-DP56</f>
        <v/>
      </c>
      <c r="DR56" s="15">
        <f>CX56+DC56+DH56+DM56</f>
        <v/>
      </c>
      <c r="DS56" s="15">
        <f>CY56+DD56+DI56+DN56</f>
        <v/>
      </c>
      <c r="DT56" s="15">
        <f>CZ56+DE56+DJ56+DO56</f>
        <v/>
      </c>
      <c r="DU56" s="15">
        <f>DA56+DF56+DK56+DP56</f>
        <v/>
      </c>
      <c r="DV56" s="15">
        <f>DB56+DG56+DL56+DQ56</f>
        <v/>
      </c>
      <c r="DW56" s="14" t="n">
        <v>73</v>
      </c>
      <c r="DX56" s="14" t="n">
        <v>48</v>
      </c>
      <c r="DY56" s="14" t="n">
        <v>21</v>
      </c>
      <c r="DZ56" s="14" t="n">
        <v>13</v>
      </c>
      <c r="EA56" s="14" t="n">
        <v>7</v>
      </c>
      <c r="EB56" s="14" t="n">
        <v>2</v>
      </c>
      <c r="EC56" s="14" t="n">
        <v>0</v>
      </c>
      <c r="ED56" s="14" t="n">
        <v>2</v>
      </c>
      <c r="EE56" s="14" t="n">
        <v>0</v>
      </c>
      <c r="EF56" s="14" t="n">
        <v>2</v>
      </c>
      <c r="EG56" s="14" t="n">
        <v>0</v>
      </c>
      <c r="EH56" s="14" t="n">
        <v>0</v>
      </c>
      <c r="EI56" s="14" t="n">
        <v>0</v>
      </c>
      <c r="EJ56" s="14" t="n">
        <v>11</v>
      </c>
      <c r="EK56" s="14" t="n">
        <v>7</v>
      </c>
      <c r="EL56" s="14" t="n">
        <v>0</v>
      </c>
      <c r="EM56" s="14" t="n">
        <v>0</v>
      </c>
      <c r="EN56" s="14" t="n">
        <v>0</v>
      </c>
      <c r="EO56" s="14" t="n">
        <v>0</v>
      </c>
      <c r="EP56" s="14" t="n">
        <v>0</v>
      </c>
      <c r="EQ56" s="14" t="n">
        <v>0</v>
      </c>
      <c r="ER56" s="14" t="n">
        <v>0</v>
      </c>
      <c r="ES56" s="14" t="n">
        <v>0</v>
      </c>
      <c r="ET56" s="14" t="n">
        <v>0</v>
      </c>
      <c r="EU56" s="14" t="n">
        <v>0</v>
      </c>
      <c r="EV56" s="14" t="n">
        <v>0</v>
      </c>
      <c r="EW56" s="14" t="n">
        <v>0</v>
      </c>
      <c r="EX56" s="14" t="n">
        <v>0</v>
      </c>
      <c r="EY56" s="14" t="n">
        <v>0</v>
      </c>
      <c r="EZ56" s="14" t="n">
        <v>0</v>
      </c>
      <c r="FA56" s="14" t="n">
        <v>0</v>
      </c>
      <c r="FB56" s="14" t="n">
        <v>0</v>
      </c>
      <c r="FC56" s="14" t="n">
        <v>0</v>
      </c>
      <c r="FD56" s="14" t="n">
        <v>0</v>
      </c>
      <c r="FE56" s="14" t="n">
        <v>0</v>
      </c>
      <c r="FF56" s="14" t="n">
        <v>0</v>
      </c>
      <c r="FG56" s="15">
        <f>SUM(DW56,DX56,DY56,DZ56,EA56,EB56,EC56,ED56,EE56,EF56,EG56,EH56,EI56,EJ56,EK56,EL56,EM56,EN56,EO56,EP56,EQ56,ER56,ES56,ET56,EU56,EV56,EW56,EX56,EY56,EZ56,FA56,FB56,FC56,FD56,FE56,FF56)</f>
        <v/>
      </c>
      <c r="FH56" s="14" t="n">
        <v>6</v>
      </c>
      <c r="FI56" s="14" t="n">
        <v>649.5</v>
      </c>
      <c r="FJ56" s="14" t="n">
        <v>0</v>
      </c>
      <c r="FK56" s="14" t="n">
        <v>42.5</v>
      </c>
      <c r="FL56" s="14" t="n">
        <v>0</v>
      </c>
      <c r="FM56" s="14" t="n">
        <v>0</v>
      </c>
      <c r="FN56" s="14" t="n">
        <v>0</v>
      </c>
      <c r="FO56" s="14" t="n">
        <v>0</v>
      </c>
      <c r="FP56" s="14" t="n">
        <v>0</v>
      </c>
      <c r="FQ56" s="15">
        <f>FL56+FM56+FN56+FO56+FP56</f>
        <v/>
      </c>
      <c r="FR56" s="14" t="n">
        <v>47934800</v>
      </c>
      <c r="FS56" s="14" t="n">
        <v>0</v>
      </c>
      <c r="FT56" s="14" t="n">
        <v>10600</v>
      </c>
      <c r="FU56" s="14" t="n">
        <v>0</v>
      </c>
      <c r="FV56" s="15">
        <f>FR56+FS56+FT56+FU56</f>
        <v/>
      </c>
      <c r="FW56" s="14" t="n">
        <v>30516324.56</v>
      </c>
      <c r="FX56" s="14" t="n">
        <v>1224217</v>
      </c>
      <c r="FY56" s="14" t="n">
        <v>13352858.8</v>
      </c>
      <c r="FZ56" s="14" t="n">
        <v>13791732</v>
      </c>
      <c r="GA56" s="15">
        <f>FW56+FX56+FY56+FZ56</f>
        <v/>
      </c>
      <c r="GB56" s="15">
        <f>FV56+GA56</f>
        <v/>
      </c>
      <c r="GC56" s="14" t="n">
        <v>49572975</v>
      </c>
      <c r="GD56" s="14" t="n">
        <v>7651.2</v>
      </c>
      <c r="GE56" s="14" t="n">
        <v>771519.04</v>
      </c>
      <c r="GF56" s="14" t="n">
        <v>20207.62</v>
      </c>
      <c r="GG56" s="15">
        <f>GC56+GD56+GE56+GF56</f>
        <v/>
      </c>
      <c r="GH56" s="14" t="n">
        <v>30602644.56</v>
      </c>
      <c r="GI56" s="14" t="n">
        <v>1224217</v>
      </c>
      <c r="GJ56" s="14" t="n">
        <v>13545732</v>
      </c>
      <c r="GK56" s="14" t="n">
        <v>13142738.8</v>
      </c>
      <c r="GL56" s="15">
        <f>GH56+GI56+GJ56+GK56</f>
        <v/>
      </c>
      <c r="GM56" s="15">
        <f>GG56+GL56</f>
        <v/>
      </c>
      <c r="GN56" s="14" t="n">
        <v>2282381</v>
      </c>
      <c r="GO56" s="14" t="n">
        <v>191.28</v>
      </c>
      <c r="GP56" s="14" t="n">
        <v>16968.2</v>
      </c>
      <c r="GQ56" s="14" t="n">
        <v>9274.68</v>
      </c>
      <c r="GR56" s="15">
        <f>GN56+GO56+GP56+GQ56</f>
        <v/>
      </c>
      <c r="GS56" s="14" t="n">
        <v>3749707</v>
      </c>
      <c r="GT56" s="14" t="n">
        <v>893</v>
      </c>
      <c r="GU56" s="14" t="n">
        <v>4465</v>
      </c>
      <c r="GV56" s="14" t="n">
        <v>1786</v>
      </c>
      <c r="GW56" s="15">
        <f>GS56+GT56+GU56+GV56</f>
        <v/>
      </c>
      <c r="GX56" s="15">
        <f>GM56+GR56+GW56</f>
        <v/>
      </c>
      <c r="GY56" s="14" t="n">
        <v>93013527.31999932</v>
      </c>
      <c r="GZ56" s="14" t="n">
        <v>417089869.0299999</v>
      </c>
      <c r="HA56" s="15">
        <f>GY56+GZ56</f>
        <v/>
      </c>
      <c r="HB56" s="15">
        <f>IF(GX56=0,"",AU56/GX56)</f>
        <v/>
      </c>
      <c r="HC56" s="16">
        <f>IF((GX56+GY56)=0,"",GB56/(GX56+GY56))</f>
        <v/>
      </c>
      <c r="HD56" s="15">
        <f>IF(GX56=0,"",GB56/GX56)</f>
        <v/>
      </c>
      <c r="HE56" s="14" t="n">
        <v>1947</v>
      </c>
      <c r="HF56" s="14" t="n">
        <v>1</v>
      </c>
      <c r="HG56" s="14" t="n">
        <v>1947</v>
      </c>
      <c r="HH56" s="14" t="n">
        <v>105</v>
      </c>
      <c r="HI56" s="14" t="n">
        <v>19708</v>
      </c>
      <c r="HJ56" s="15">
        <f>HF56+HI56</f>
        <v/>
      </c>
      <c r="HK56" s="16">
        <f>IF(HE56=0,"",HH56/HE56)</f>
        <v/>
      </c>
      <c r="HL56" s="14" t="n">
        <v>46</v>
      </c>
      <c r="HM56" s="14" t="n">
        <v>6</v>
      </c>
      <c r="HN56" s="17">
        <f>IF(HL56=0,"",HM56/HL56)</f>
        <v/>
      </c>
    </row>
    <row r="57">
      <c r="A57" s="6" t="inlineStr">
        <is>
          <t>Mangochi</t>
        </is>
      </c>
      <c r="B57" s="6" t="inlineStr">
        <is>
          <t>Mangochi</t>
        </is>
      </c>
      <c r="C57" s="7" t="inlineStr">
        <is>
          <t>FY2025/26</t>
        </is>
      </c>
      <c r="D57" s="7" t="n">
        <v>2025</v>
      </c>
      <c r="E57" s="7" t="n">
        <v>10</v>
      </c>
      <c r="F57" s="7" t="inlineStr">
        <is>
          <t>October</t>
        </is>
      </c>
      <c r="G57" s="7" t="inlineStr">
        <is>
          <t>Q3</t>
        </is>
      </c>
      <c r="H57" s="8" t="n">
        <v>158713</v>
      </c>
      <c r="I57" s="8" t="n">
        <v>57193</v>
      </c>
      <c r="J57" s="8" t="n">
        <v>40</v>
      </c>
      <c r="K57" s="8" t="n">
        <v>348</v>
      </c>
      <c r="L57" s="8" t="n">
        <v>8</v>
      </c>
      <c r="M57" s="9">
        <f>SUM(I57,J57,K57,L57)</f>
        <v/>
      </c>
      <c r="N57" s="8" t="n">
        <v>25856.8</v>
      </c>
      <c r="O57" s="8" t="n">
        <v>5480</v>
      </c>
      <c r="P57" s="8" t="n">
        <v>3648.3</v>
      </c>
      <c r="Q57" s="8" t="n">
        <v>2497.8</v>
      </c>
      <c r="R57" s="9">
        <f>SUM(N57,O57,P57,Q57)</f>
        <v/>
      </c>
      <c r="S57" s="9">
        <f>M57+R57</f>
        <v/>
      </c>
      <c r="T57" s="8" t="n">
        <v>63641.1</v>
      </c>
      <c r="U57" s="10">
        <f>IF(H57=0,"",T57/H57)</f>
        <v/>
      </c>
      <c r="V57" s="8" t="n">
        <v>375.5</v>
      </c>
      <c r="W57" s="11">
        <f>IF(H57=0,"",V57/H57)</f>
        <v/>
      </c>
      <c r="X57" s="8" t="n">
        <v>0</v>
      </c>
      <c r="Y57" s="11">
        <f>IF(H57=0,"",X57/H57)</f>
        <v/>
      </c>
      <c r="Z57" s="8" t="n">
        <v>0</v>
      </c>
      <c r="AA57" s="11">
        <f>IF(H57=0,"",Z57/H57)</f>
        <v/>
      </c>
      <c r="AB57" s="8" t="n">
        <v>0</v>
      </c>
      <c r="AC57" s="11">
        <f>IF(H57=0,"",AB57/H57)</f>
        <v/>
      </c>
      <c r="AD57" s="8" t="n">
        <v>0</v>
      </c>
      <c r="AE57" s="11">
        <f>IF(H57=0,"",AD57/H57)</f>
        <v/>
      </c>
      <c r="AF57" s="8" t="n">
        <v>0</v>
      </c>
      <c r="AG57" s="11">
        <f>IF(H57=0,"",AF57/H57)</f>
        <v/>
      </c>
      <c r="AH57" s="8" t="n">
        <v>8985377.049999999</v>
      </c>
      <c r="AI57" s="9">
        <f>IF(H57=0,"",AH57/H57)</f>
        <v/>
      </c>
      <c r="AJ57" s="8" t="n">
        <v>42562.69</v>
      </c>
      <c r="AK57" s="11">
        <f>IF(H57=0,"",AJ57/H57)</f>
        <v/>
      </c>
      <c r="AL57" s="8" t="n">
        <v>7134863.107475</v>
      </c>
      <c r="AM57" s="9">
        <f>IF(H57=0,"",AL57/H57)</f>
        <v/>
      </c>
      <c r="AN57" s="8" t="n">
        <v>4446</v>
      </c>
      <c r="AO57" s="8" t="n">
        <v>368.84</v>
      </c>
      <c r="AP57" s="8" t="n">
        <v>1290930</v>
      </c>
      <c r="AQ57" s="8" t="n">
        <v>0</v>
      </c>
      <c r="AR57" s="8" t="n">
        <v>30076339.5</v>
      </c>
      <c r="AS57" s="8" t="n">
        <v>4530099.5</v>
      </c>
      <c r="AT57" s="8" t="n">
        <v>3437980</v>
      </c>
      <c r="AU57" s="9">
        <f>AH57+AL57+AP57+AQ57+AR57+AS57+AT57</f>
        <v/>
      </c>
      <c r="AV57" s="9">
        <f>IF(H57=0,"",AU57/H57)</f>
        <v/>
      </c>
      <c r="AW57" s="9">
        <f>IF(S57=0,"",AU57/S57)</f>
        <v/>
      </c>
      <c r="AX57" s="8" t="n">
        <v>24</v>
      </c>
      <c r="AY57" s="9">
        <f>IF(H57=0,"",AX57/(H57/1000/12))</f>
        <v/>
      </c>
      <c r="AZ57" s="8" t="n">
        <v>29</v>
      </c>
      <c r="BA57" s="8" t="n">
        <v>1931</v>
      </c>
      <c r="BB57" s="8" t="n">
        <v>120</v>
      </c>
      <c r="BC57" s="8" t="n">
        <v>0</v>
      </c>
      <c r="BD57" s="8" t="n">
        <v>93</v>
      </c>
      <c r="BE57" s="9">
        <f>BC57+BD57</f>
        <v/>
      </c>
      <c r="BF57" s="9">
        <f>BA57+BB57-BE57</f>
        <v/>
      </c>
      <c r="BG57" s="8" t="n">
        <v>3</v>
      </c>
      <c r="BH57" s="8" t="n">
        <v>0</v>
      </c>
      <c r="BI57" s="8" t="n">
        <v>0</v>
      </c>
      <c r="BJ57" s="8" t="n">
        <v>0</v>
      </c>
      <c r="BK57" s="9">
        <f>BI57+BJ57</f>
        <v/>
      </c>
      <c r="BL57" s="9">
        <f>BG57+BH57-BK57</f>
        <v/>
      </c>
      <c r="BM57" s="8" t="n">
        <v>13</v>
      </c>
      <c r="BN57" s="8" t="n">
        <v>0</v>
      </c>
      <c r="BO57" s="8" t="n">
        <v>0</v>
      </c>
      <c r="BP57" s="8" t="n">
        <v>0</v>
      </c>
      <c r="BQ57" s="9">
        <f>BO57+BP57</f>
        <v/>
      </c>
      <c r="BR57" s="9">
        <f>BM57+BN57-BQ57</f>
        <v/>
      </c>
      <c r="BS57" s="8" t="n">
        <v>0</v>
      </c>
      <c r="BT57" s="8" t="n">
        <v>0</v>
      </c>
      <c r="BU57" s="8" t="n">
        <v>0</v>
      </c>
      <c r="BV57" s="8" t="n">
        <v>0</v>
      </c>
      <c r="BW57" s="9">
        <f>BU57+BV57</f>
        <v/>
      </c>
      <c r="BX57" s="9">
        <f>BS57+BT57-BW57</f>
        <v/>
      </c>
      <c r="BY57" s="9">
        <f>BA57+BG57+BM57+BS57</f>
        <v/>
      </c>
      <c r="BZ57" s="9">
        <f>BB57+BH57+BN57+BT57</f>
        <v/>
      </c>
      <c r="CA57" s="9">
        <f>BE57+BK57+BQ57+BW57</f>
        <v/>
      </c>
      <c r="CB57" s="9">
        <f>BF57+BL57+BR57+BX57</f>
        <v/>
      </c>
      <c r="CC57" s="8" t="n">
        <v>93</v>
      </c>
      <c r="CD57" s="8" t="n">
        <v>2285</v>
      </c>
      <c r="CE57" s="8" t="n">
        <v>57</v>
      </c>
      <c r="CF57" s="8" t="n">
        <v>121</v>
      </c>
      <c r="CG57" s="8" t="n">
        <v>8</v>
      </c>
      <c r="CH57" s="9">
        <f>CD57+CE57+CF57+CG57</f>
        <v/>
      </c>
      <c r="CI57" s="8" t="n">
        <v>4272</v>
      </c>
      <c r="CJ57" s="8" t="n">
        <v>4</v>
      </c>
      <c r="CK57" s="8" t="n">
        <v>2</v>
      </c>
      <c r="CL57" s="8" t="n">
        <v>1</v>
      </c>
      <c r="CM57" s="9">
        <f>CI57+CJ57+CK57+CL57</f>
        <v/>
      </c>
      <c r="CN57" s="8" t="n">
        <v>3449</v>
      </c>
      <c r="CO57" s="8" t="n">
        <v>157</v>
      </c>
      <c r="CP57" s="8" t="n">
        <v>427</v>
      </c>
      <c r="CQ57" s="8" t="n">
        <v>72</v>
      </c>
      <c r="CR57" s="9">
        <f>CN57+CO57+CP57+CQ57</f>
        <v/>
      </c>
      <c r="CS57" s="9">
        <f>CM57+CR57</f>
        <v/>
      </c>
      <c r="CT57" s="8" t="n">
        <v>10855</v>
      </c>
      <c r="CU57" s="8" t="n">
        <v>50856</v>
      </c>
      <c r="CV57" s="8" t="n">
        <v>48459</v>
      </c>
      <c r="CW57" s="10">
        <f>IF(CU57=0,"",CV57/CU57)</f>
        <v/>
      </c>
      <c r="CX57" s="8" t="n"/>
      <c r="CY57" s="8" t="n">
        <v>1</v>
      </c>
      <c r="CZ57" s="8" t="n"/>
      <c r="DA57" s="8" t="n"/>
      <c r="DB57" s="9">
        <f>CX57+CY57-CZ57-DA57</f>
        <v/>
      </c>
      <c r="DC57" s="8" t="n">
        <v>0</v>
      </c>
      <c r="DD57" s="8" t="n">
        <v>0</v>
      </c>
      <c r="DE57" s="8" t="n">
        <v>0</v>
      </c>
      <c r="DF57" s="8" t="n">
        <v>0</v>
      </c>
      <c r="DG57" s="9">
        <f>DC57+DD57-DE57-DF57</f>
        <v/>
      </c>
      <c r="DH57" s="8" t="n">
        <v>0</v>
      </c>
      <c r="DI57" s="8" t="n">
        <v>0</v>
      </c>
      <c r="DJ57" s="8" t="n">
        <v>0</v>
      </c>
      <c r="DK57" s="8" t="n">
        <v>0</v>
      </c>
      <c r="DL57" s="9">
        <f>DH57+DI57-DJ57-DK57</f>
        <v/>
      </c>
      <c r="DM57" s="8" t="n">
        <v>239</v>
      </c>
      <c r="DN57" s="8" t="n">
        <v>37</v>
      </c>
      <c r="DO57" s="8" t="n">
        <v>0</v>
      </c>
      <c r="DP57" s="8" t="n">
        <v>5</v>
      </c>
      <c r="DQ57" s="9">
        <f>DM57+DN57-DO57-DP57</f>
        <v/>
      </c>
      <c r="DR57" s="9">
        <f>CX57+DC57+DH57+DM57</f>
        <v/>
      </c>
      <c r="DS57" s="9">
        <f>CY57+DD57+DI57+DN57</f>
        <v/>
      </c>
      <c r="DT57" s="9">
        <f>CZ57+DE57+DJ57+DO57</f>
        <v/>
      </c>
      <c r="DU57" s="9">
        <f>DA57+DF57+DK57+DP57</f>
        <v/>
      </c>
      <c r="DV57" s="9">
        <f>DB57+DG57+DL57+DQ57</f>
        <v/>
      </c>
      <c r="DW57" s="8" t="n">
        <v>79</v>
      </c>
      <c r="DX57" s="8" t="n">
        <v>49</v>
      </c>
      <c r="DY57" s="8" t="n">
        <v>15</v>
      </c>
      <c r="DZ57" s="8" t="n">
        <v>14</v>
      </c>
      <c r="EA57" s="8" t="n">
        <v>5</v>
      </c>
      <c r="EB57" s="8" t="n">
        <v>3</v>
      </c>
      <c r="EC57" s="8" t="n">
        <v>1</v>
      </c>
      <c r="ED57" s="8" t="n">
        <v>0</v>
      </c>
      <c r="EE57" s="8" t="n">
        <v>1</v>
      </c>
      <c r="EF57" s="8" t="n">
        <v>1</v>
      </c>
      <c r="EG57" s="8" t="n">
        <v>0</v>
      </c>
      <c r="EH57" s="8" t="n">
        <v>0</v>
      </c>
      <c r="EI57" s="8" t="n">
        <v>0</v>
      </c>
      <c r="EJ57" s="8" t="n">
        <v>13</v>
      </c>
      <c r="EK57" s="8" t="n">
        <v>7</v>
      </c>
      <c r="EL57" s="8" t="n">
        <v>0</v>
      </c>
      <c r="EM57" s="8" t="n">
        <v>0</v>
      </c>
      <c r="EN57" s="8" t="n">
        <v>0</v>
      </c>
      <c r="EO57" s="8" t="n">
        <v>0</v>
      </c>
      <c r="EP57" s="8" t="n">
        <v>0</v>
      </c>
      <c r="EQ57" s="8" t="n">
        <v>0</v>
      </c>
      <c r="ER57" s="8" t="n">
        <v>0</v>
      </c>
      <c r="ES57" s="8" t="n">
        <v>0</v>
      </c>
      <c r="ET57" s="8" t="n">
        <v>0</v>
      </c>
      <c r="EU57" s="8" t="n">
        <v>0</v>
      </c>
      <c r="EV57" s="8" t="n">
        <v>0</v>
      </c>
      <c r="EW57" s="8" t="n">
        <v>0</v>
      </c>
      <c r="EX57" s="8" t="n">
        <v>0</v>
      </c>
      <c r="EY57" s="8" t="n">
        <v>0</v>
      </c>
      <c r="EZ57" s="8" t="n">
        <v>0</v>
      </c>
      <c r="FA57" s="8" t="n">
        <v>0</v>
      </c>
      <c r="FB57" s="8" t="n">
        <v>0</v>
      </c>
      <c r="FC57" s="8" t="n">
        <v>0</v>
      </c>
      <c r="FD57" s="8" t="n">
        <v>0</v>
      </c>
      <c r="FE57" s="8" t="n">
        <v>0</v>
      </c>
      <c r="FF57" s="8" t="n">
        <v>0</v>
      </c>
      <c r="FG57" s="9">
        <f>SUM(DW57,DX57,DY57,DZ57,EA57,EB57,EC57,ED57,EE57,EF57,EG57,EH57,EI57,EJ57,EK57,EL57,EM57,EN57,EO57,EP57,EQ57,ER57,ES57,ET57,EU57,EV57,EW57,EX57,EY57,EZ57,FA57,FB57,FC57,FD57,FE57,FF57)</f>
        <v/>
      </c>
      <c r="FH57" s="8" t="n">
        <v>6</v>
      </c>
      <c r="FI57" s="8" t="n">
        <v>544</v>
      </c>
      <c r="FJ57" s="8" t="n">
        <v>20</v>
      </c>
      <c r="FK57" s="8" t="n">
        <v>64</v>
      </c>
      <c r="FL57" s="8" t="n">
        <v>0</v>
      </c>
      <c r="FM57" s="8" t="n">
        <v>0</v>
      </c>
      <c r="FN57" s="8" t="n">
        <v>0</v>
      </c>
      <c r="FO57" s="8" t="n">
        <v>0</v>
      </c>
      <c r="FP57" s="8" t="n">
        <v>0</v>
      </c>
      <c r="FQ57" s="9">
        <f>FL57+FM57+FN57+FO57+FP57</f>
        <v/>
      </c>
      <c r="FR57" s="8" t="n">
        <v>104557360</v>
      </c>
      <c r="FS57" s="8" t="n">
        <v>0</v>
      </c>
      <c r="FT57" s="8" t="n">
        <v>31050</v>
      </c>
      <c r="FU57" s="8" t="n">
        <v>10000</v>
      </c>
      <c r="FV57" s="9">
        <f>FR57+FS57+FT57+FU57</f>
        <v/>
      </c>
      <c r="FW57" s="8" t="n">
        <v>32296796</v>
      </c>
      <c r="FX57" s="8" t="n">
        <v>1164511</v>
      </c>
      <c r="FY57" s="8" t="n">
        <v>11802181</v>
      </c>
      <c r="FZ57" s="8" t="n">
        <v>12233300</v>
      </c>
      <c r="GA57" s="9">
        <f>FW57+FX57+FY57+FZ57</f>
        <v/>
      </c>
      <c r="GB57" s="9">
        <f>FV57+GA57</f>
        <v/>
      </c>
      <c r="GC57" s="8" t="n">
        <v>51908998</v>
      </c>
      <c r="GD57" s="8" t="n">
        <v>7651.2</v>
      </c>
      <c r="GE57" s="8" t="n">
        <v>1155833.04</v>
      </c>
      <c r="GF57" s="8" t="n">
        <v>16821.98</v>
      </c>
      <c r="GG57" s="9">
        <f>GC57+GD57+GE57+GF57</f>
        <v/>
      </c>
      <c r="GH57" s="8" t="n">
        <v>32238297.69</v>
      </c>
      <c r="GI57" s="8" t="n">
        <v>1164511</v>
      </c>
      <c r="GJ57" s="8" t="n">
        <v>11027300</v>
      </c>
      <c r="GK57" s="8" t="n">
        <v>11720977.61</v>
      </c>
      <c r="GL57" s="9">
        <f>GH57+GI57+GJ57+GK57</f>
        <v/>
      </c>
      <c r="GM57" s="9">
        <f>GG57+GL57</f>
        <v/>
      </c>
      <c r="GN57" s="8" t="n">
        <v>2320687</v>
      </c>
      <c r="GO57" s="8" t="n">
        <v>191.28</v>
      </c>
      <c r="GP57" s="8" t="n">
        <v>13574.56</v>
      </c>
      <c r="GQ57" s="8" t="n">
        <v>9274.68</v>
      </c>
      <c r="GR57" s="9">
        <f>GN57+GO57+GP57+GQ57</f>
        <v/>
      </c>
      <c r="GS57" s="8" t="n">
        <v>3814896</v>
      </c>
      <c r="GT57" s="8" t="n">
        <v>893</v>
      </c>
      <c r="GU57" s="8" t="n">
        <v>3572</v>
      </c>
      <c r="GV57" s="8" t="n">
        <v>1786</v>
      </c>
      <c r="GW57" s="9">
        <f>GS57+GT57+GU57+GV57</f>
        <v/>
      </c>
      <c r="GX57" s="9">
        <f>GM57+GR57+GW57</f>
        <v/>
      </c>
      <c r="GY57" s="8" t="n">
        <v>54118266.96000055</v>
      </c>
      <c r="GZ57" s="8" t="n">
        <v>407932190.7799997</v>
      </c>
      <c r="HA57" s="9">
        <f>GY57+GZ57</f>
        <v/>
      </c>
      <c r="HB57" s="9">
        <f>IF(GX57=0,"",AU57/GX57)</f>
        <v/>
      </c>
      <c r="HC57" s="10">
        <f>IF((GX57+GY57)=0,"",GB57/(GX57+GY57))</f>
        <v/>
      </c>
      <c r="HD57" s="9">
        <f>IF(GX57=0,"",GB57/GX57)</f>
        <v/>
      </c>
      <c r="HE57" s="8" t="n">
        <v>1974</v>
      </c>
      <c r="HF57" s="8" t="n">
        <v>1</v>
      </c>
      <c r="HG57" s="8" t="n">
        <v>1974</v>
      </c>
      <c r="HH57" s="8" t="n">
        <v>120</v>
      </c>
      <c r="HI57" s="8" t="n">
        <v>18331</v>
      </c>
      <c r="HJ57" s="9">
        <f>HF57+HI57</f>
        <v/>
      </c>
      <c r="HK57" s="10">
        <f>IF(HE57=0,"",HH57/HE57)</f>
        <v/>
      </c>
      <c r="HL57" s="8" t="n">
        <v>58</v>
      </c>
      <c r="HM57" s="8" t="n">
        <v>7</v>
      </c>
      <c r="HN57" s="11">
        <f>IF(HL57=0,"",HM57/HL57)</f>
        <v/>
      </c>
    </row>
    <row r="58">
      <c r="A58" s="12" t="inlineStr">
        <is>
          <t>Mangochi</t>
        </is>
      </c>
      <c r="B58" s="12" t="inlineStr">
        <is>
          <t>Mangochi</t>
        </is>
      </c>
      <c r="C58" s="13" t="inlineStr">
        <is>
          <t>FY2025/26</t>
        </is>
      </c>
      <c r="D58" s="13" t="n">
        <v>2025</v>
      </c>
      <c r="E58" s="13" t="n">
        <v>11</v>
      </c>
      <c r="F58" s="13" t="inlineStr">
        <is>
          <t>November</t>
        </is>
      </c>
      <c r="G58" s="13" t="inlineStr">
        <is>
          <t>Q3</t>
        </is>
      </c>
      <c r="H58" s="14" t="n">
        <v>168199.5</v>
      </c>
      <c r="I58" s="14" t="n">
        <v>71230</v>
      </c>
      <c r="J58" s="14" t="n">
        <v>0</v>
      </c>
      <c r="K58" s="14" t="n">
        <v>164</v>
      </c>
      <c r="L58" s="14" t="n">
        <v>8</v>
      </c>
      <c r="M58" s="15">
        <f>SUM(I58,J58,K58,L58)</f>
        <v/>
      </c>
      <c r="N58" s="14" t="n">
        <v>25884</v>
      </c>
      <c r="O58" s="14" t="n">
        <v>5617</v>
      </c>
      <c r="P58" s="14" t="n">
        <v>7135</v>
      </c>
      <c r="Q58" s="14" t="n">
        <v>2937</v>
      </c>
      <c r="R58" s="15">
        <f>SUM(N58,O58,P58,Q58)</f>
        <v/>
      </c>
      <c r="S58" s="15">
        <f>M58+R58</f>
        <v/>
      </c>
      <c r="T58" s="14" t="n">
        <v>55224.5</v>
      </c>
      <c r="U58" s="16">
        <f>IF(H58=0,"",T58/H58)</f>
        <v/>
      </c>
      <c r="V58" s="14" t="n">
        <v>508</v>
      </c>
      <c r="W58" s="17">
        <f>IF(H58=0,"",V58/H58)</f>
        <v/>
      </c>
      <c r="X58" s="14" t="n">
        <v>0</v>
      </c>
      <c r="Y58" s="17">
        <f>IF(H58=0,"",X58/H58)</f>
        <v/>
      </c>
      <c r="Z58" s="14" t="n">
        <v>0</v>
      </c>
      <c r="AA58" s="17">
        <f>IF(H58=0,"",Z58/H58)</f>
        <v/>
      </c>
      <c r="AB58" s="14" t="n">
        <v>0</v>
      </c>
      <c r="AC58" s="17">
        <f>IF(H58=0,"",AB58/H58)</f>
        <v/>
      </c>
      <c r="AD58" s="14" t="n">
        <v>0</v>
      </c>
      <c r="AE58" s="17">
        <f>IF(H58=0,"",AD58/H58)</f>
        <v/>
      </c>
      <c r="AF58" s="14" t="n">
        <v>0</v>
      </c>
      <c r="AG58" s="17">
        <f>IF(H58=0,"",AF58/H58)</f>
        <v/>
      </c>
      <c r="AH58" s="14" t="n">
        <v>12155982.8</v>
      </c>
      <c r="AI58" s="15">
        <f>IF(H58=0,"",AH58/H58)</f>
        <v/>
      </c>
      <c r="AJ58" s="14" t="n">
        <v>51139.49</v>
      </c>
      <c r="AK58" s="17">
        <f>IF(H58=0,"",AJ58/H58)</f>
        <v/>
      </c>
      <c r="AL58" s="14" t="n">
        <v>8568711.089475</v>
      </c>
      <c r="AM58" s="15">
        <f>IF(H58=0,"",AL58/H58)</f>
        <v/>
      </c>
      <c r="AN58" s="14" t="n">
        <v>2679</v>
      </c>
      <c r="AO58" s="14" t="n">
        <v>0</v>
      </c>
      <c r="AP58" s="14" t="n">
        <v>3157785</v>
      </c>
      <c r="AQ58" s="14" t="n">
        <v>0</v>
      </c>
      <c r="AR58" s="14" t="n">
        <v>30493728.05</v>
      </c>
      <c r="AS58" s="14" t="n">
        <v>4555693.29</v>
      </c>
      <c r="AT58" s="14" t="n">
        <v>3439670</v>
      </c>
      <c r="AU58" s="15">
        <f>AH58+AL58+AP58+AQ58+AR58+AS58+AT58</f>
        <v/>
      </c>
      <c r="AV58" s="15">
        <f>IF(H58=0,"",AU58/H58)</f>
        <v/>
      </c>
      <c r="AW58" s="15">
        <f>IF(S58=0,"",AU58/S58)</f>
        <v/>
      </c>
      <c r="AX58" s="14" t="n">
        <v>24</v>
      </c>
      <c r="AY58" s="15">
        <f>IF(H58=0,"",AX58/(H58/1000/12))</f>
        <v/>
      </c>
      <c r="AZ58" s="14" t="n">
        <v>29</v>
      </c>
      <c r="BA58" s="14" t="n">
        <v>1958</v>
      </c>
      <c r="BB58" s="14" t="n">
        <v>101</v>
      </c>
      <c r="BC58" s="14" t="n">
        <v>0</v>
      </c>
      <c r="BD58" s="14" t="n">
        <v>138</v>
      </c>
      <c r="BE58" s="15">
        <f>BC58+BD58</f>
        <v/>
      </c>
      <c r="BF58" s="15">
        <f>BA58+BB58-BE58</f>
        <v/>
      </c>
      <c r="BG58" s="14" t="n">
        <v>3</v>
      </c>
      <c r="BH58" s="14" t="n">
        <v>0</v>
      </c>
      <c r="BI58" s="14" t="n">
        <v>0</v>
      </c>
      <c r="BJ58" s="14" t="n">
        <v>1</v>
      </c>
      <c r="BK58" s="15">
        <f>BI58+BJ58</f>
        <v/>
      </c>
      <c r="BL58" s="15">
        <f>BG58+BH58-BK58</f>
        <v/>
      </c>
      <c r="BM58" s="14" t="n">
        <v>13</v>
      </c>
      <c r="BN58" s="14" t="n">
        <v>0</v>
      </c>
      <c r="BO58" s="14" t="n">
        <v>0</v>
      </c>
      <c r="BP58" s="14" t="n">
        <v>1</v>
      </c>
      <c r="BQ58" s="15">
        <f>BO58+BP58</f>
        <v/>
      </c>
      <c r="BR58" s="15">
        <f>BM58+BN58-BQ58</f>
        <v/>
      </c>
      <c r="BS58" s="14" t="n">
        <v>0</v>
      </c>
      <c r="BT58" s="14" t="n">
        <v>0</v>
      </c>
      <c r="BU58" s="14" t="n">
        <v>0</v>
      </c>
      <c r="BV58" s="14" t="n">
        <v>0</v>
      </c>
      <c r="BW58" s="15">
        <f>BU58+BV58</f>
        <v/>
      </c>
      <c r="BX58" s="15">
        <f>BS58+BT58-BW58</f>
        <v/>
      </c>
      <c r="BY58" s="15">
        <f>BA58+BG58+BM58+BS58</f>
        <v/>
      </c>
      <c r="BZ58" s="15">
        <f>BB58+BH58+BN58+BT58</f>
        <v/>
      </c>
      <c r="CA58" s="15">
        <f>BE58+BK58+BQ58+BW58</f>
        <v/>
      </c>
      <c r="CB58" s="15">
        <f>BF58+BL58+BR58+BX58</f>
        <v/>
      </c>
      <c r="CC58" s="14" t="n">
        <v>140</v>
      </c>
      <c r="CD58" s="14" t="n">
        <v>2279</v>
      </c>
      <c r="CE58" s="14" t="n">
        <v>57</v>
      </c>
      <c r="CF58" s="14" t="n">
        <v>121</v>
      </c>
      <c r="CG58" s="14" t="n">
        <v>8</v>
      </c>
      <c r="CH58" s="15">
        <f>CD58+CE58+CF58+CG58</f>
        <v/>
      </c>
      <c r="CI58" s="14" t="n">
        <v>4279</v>
      </c>
      <c r="CJ58" s="14" t="n">
        <v>4</v>
      </c>
      <c r="CK58" s="14" t="n">
        <v>2</v>
      </c>
      <c r="CL58" s="14" t="n">
        <v>0</v>
      </c>
      <c r="CM58" s="15">
        <f>CI58+CJ58+CK58+CL58</f>
        <v/>
      </c>
      <c r="CN58" s="14" t="n">
        <v>3587</v>
      </c>
      <c r="CO58" s="14" t="n">
        <v>158</v>
      </c>
      <c r="CP58" s="14" t="n">
        <v>428</v>
      </c>
      <c r="CQ58" s="14" t="n">
        <v>72</v>
      </c>
      <c r="CR58" s="15">
        <f>CN58+CO58+CP58+CQ58</f>
        <v/>
      </c>
      <c r="CS58" s="15">
        <f>CM58+CR58</f>
        <v/>
      </c>
      <c r="CT58" s="14" t="n">
        <v>10995</v>
      </c>
      <c r="CU58" s="14" t="n">
        <v>50931</v>
      </c>
      <c r="CV58" s="14" t="n">
        <v>48769</v>
      </c>
      <c r="CW58" s="16">
        <f>IF(CU58=0,"",CV58/CU58)</f>
        <v/>
      </c>
      <c r="CX58" s="14" t="n">
        <v>1</v>
      </c>
      <c r="CY58" s="14" t="n"/>
      <c r="CZ58" s="14" t="n"/>
      <c r="DA58" s="14" t="n"/>
      <c r="DB58" s="15">
        <f>CX58+CY58-CZ58-DA58</f>
        <v/>
      </c>
      <c r="DC58" s="14" t="n">
        <v>0</v>
      </c>
      <c r="DD58" s="14" t="n">
        <v>0</v>
      </c>
      <c r="DE58" s="14" t="n">
        <v>0</v>
      </c>
      <c r="DF58" s="14" t="n">
        <v>0</v>
      </c>
      <c r="DG58" s="15">
        <f>DC58+DD58-DE58-DF58</f>
        <v/>
      </c>
      <c r="DH58" s="14" t="n">
        <v>0</v>
      </c>
      <c r="DI58" s="14" t="n">
        <v>0</v>
      </c>
      <c r="DJ58" s="14" t="n">
        <v>0</v>
      </c>
      <c r="DK58" s="14" t="n">
        <v>0</v>
      </c>
      <c r="DL58" s="15">
        <f>DH58+DI58-DJ58-DK58</f>
        <v/>
      </c>
      <c r="DM58" s="14" t="n">
        <v>271</v>
      </c>
      <c r="DN58" s="14" t="n">
        <v>0</v>
      </c>
      <c r="DO58" s="14" t="n">
        <v>0</v>
      </c>
      <c r="DP58" s="14" t="n">
        <v>0</v>
      </c>
      <c r="DQ58" s="15">
        <f>DM58+DN58-DO58-DP58</f>
        <v/>
      </c>
      <c r="DR58" s="15">
        <f>CX58+DC58+DH58+DM58</f>
        <v/>
      </c>
      <c r="DS58" s="15">
        <f>CY58+DD58+DI58+DN58</f>
        <v/>
      </c>
      <c r="DT58" s="15">
        <f>CZ58+DE58+DJ58+DO58</f>
        <v/>
      </c>
      <c r="DU58" s="15">
        <f>DA58+DF58+DK58+DP58</f>
        <v/>
      </c>
      <c r="DV58" s="15">
        <f>DB58+DG58+DL58+DQ58</f>
        <v/>
      </c>
      <c r="DW58" s="14" t="n">
        <v>73</v>
      </c>
      <c r="DX58" s="14" t="n">
        <v>58</v>
      </c>
      <c r="DY58" s="14" t="n">
        <v>17</v>
      </c>
      <c r="DZ58" s="14" t="n">
        <v>8</v>
      </c>
      <c r="EA58" s="14" t="n">
        <v>4</v>
      </c>
      <c r="EB58" s="14" t="n">
        <v>3</v>
      </c>
      <c r="EC58" s="14" t="n">
        <v>2</v>
      </c>
      <c r="ED58" s="14" t="n">
        <v>0</v>
      </c>
      <c r="EE58" s="14" t="n">
        <v>1</v>
      </c>
      <c r="EF58" s="14" t="n">
        <v>3</v>
      </c>
      <c r="EG58" s="14" t="n">
        <v>1</v>
      </c>
      <c r="EH58" s="14" t="n">
        <v>0</v>
      </c>
      <c r="EI58" s="14" t="n">
        <v>0</v>
      </c>
      <c r="EJ58" s="14" t="n">
        <v>9</v>
      </c>
      <c r="EK58" s="14" t="n">
        <v>9</v>
      </c>
      <c r="EL58" s="14" t="n">
        <v>0</v>
      </c>
      <c r="EM58" s="14" t="n">
        <v>0</v>
      </c>
      <c r="EN58" s="14" t="n">
        <v>0</v>
      </c>
      <c r="EO58" s="14" t="n">
        <v>0</v>
      </c>
      <c r="EP58" s="14" t="n">
        <v>0</v>
      </c>
      <c r="EQ58" s="14" t="n">
        <v>0</v>
      </c>
      <c r="ER58" s="14" t="n">
        <v>0</v>
      </c>
      <c r="ES58" s="14" t="n">
        <v>0</v>
      </c>
      <c r="ET58" s="14" t="n">
        <v>0</v>
      </c>
      <c r="EU58" s="14" t="n">
        <v>0</v>
      </c>
      <c r="EV58" s="14" t="n">
        <v>0</v>
      </c>
      <c r="EW58" s="14" t="n">
        <v>0</v>
      </c>
      <c r="EX58" s="14" t="n">
        <v>0</v>
      </c>
      <c r="EY58" s="14" t="n">
        <v>0</v>
      </c>
      <c r="EZ58" s="14" t="n">
        <v>0</v>
      </c>
      <c r="FA58" s="14" t="n">
        <v>0</v>
      </c>
      <c r="FB58" s="14" t="n">
        <v>0</v>
      </c>
      <c r="FC58" s="14" t="n">
        <v>0</v>
      </c>
      <c r="FD58" s="14" t="n">
        <v>0</v>
      </c>
      <c r="FE58" s="14" t="n">
        <v>0</v>
      </c>
      <c r="FF58" s="14" t="n">
        <v>0</v>
      </c>
      <c r="FG58" s="15">
        <f>SUM(DW58,DX58,DY58,DZ58,EA58,EB58,EC58,ED58,EE58,EF58,EG58,EH58,EI58,EJ58,EK58,EL58,EM58,EN58,EO58,EP58,EQ58,ER58,ES58,ET58,EU58,EV58,EW58,EX58,EY58,EZ58,FA58,FB58,FC58,FD58,FE58,FF58)</f>
        <v/>
      </c>
      <c r="FH58" s="14" t="n">
        <v>7</v>
      </c>
      <c r="FI58" s="14" t="n">
        <v>709</v>
      </c>
      <c r="FJ58" s="14" t="n">
        <v>0</v>
      </c>
      <c r="FK58" s="14" t="n">
        <v>39</v>
      </c>
      <c r="FL58" s="14" t="n">
        <v>0</v>
      </c>
      <c r="FM58" s="14" t="n">
        <v>0</v>
      </c>
      <c r="FN58" s="14" t="n">
        <v>0</v>
      </c>
      <c r="FO58" s="14" t="n">
        <v>0</v>
      </c>
      <c r="FP58" s="14" t="n">
        <v>0</v>
      </c>
      <c r="FQ58" s="15">
        <f>FL58+FM58+FN58+FO58+FP58</f>
        <v/>
      </c>
      <c r="FR58" s="14" t="n">
        <v>34311582.13</v>
      </c>
      <c r="FS58" s="14" t="n">
        <v>0</v>
      </c>
      <c r="FT58" s="14" t="n">
        <v>0</v>
      </c>
      <c r="FU58" s="14" t="n">
        <v>0</v>
      </c>
      <c r="FV58" s="15">
        <f>FR58+FS58+FT58+FU58</f>
        <v/>
      </c>
      <c r="FW58" s="14" t="n">
        <v>33249247</v>
      </c>
      <c r="FX58" s="14" t="n">
        <v>1211050</v>
      </c>
      <c r="FY58" s="14" t="n">
        <v>13865544</v>
      </c>
      <c r="FZ58" s="14" t="n">
        <v>22787686</v>
      </c>
      <c r="GA58" s="15">
        <f>FW58+FX58+FY58+FZ58</f>
        <v/>
      </c>
      <c r="GB58" s="15">
        <f>FV58+GA58</f>
        <v/>
      </c>
      <c r="GC58" s="14" t="n">
        <v>65200312.95</v>
      </c>
      <c r="GD58" s="14" t="n">
        <v>0</v>
      </c>
      <c r="GE58" s="14" t="n">
        <v>524525.64</v>
      </c>
      <c r="GF58" s="14" t="n">
        <v>20207.62</v>
      </c>
      <c r="GG58" s="15">
        <f>GC58+GD58+GE58+GF58</f>
        <v/>
      </c>
      <c r="GH58" s="14" t="n">
        <v>33154405.11</v>
      </c>
      <c r="GI58" s="14" t="n">
        <v>1193530</v>
      </c>
      <c r="GJ58" s="14" t="n">
        <v>21587686</v>
      </c>
      <c r="GK58" s="14" t="n">
        <v>13804944</v>
      </c>
      <c r="GL58" s="15">
        <f>GH58+GI58+GJ58+GK58</f>
        <v/>
      </c>
      <c r="GM58" s="15">
        <f>GG58+GL58</f>
        <v/>
      </c>
      <c r="GN58" s="14" t="n">
        <v>2324440.14</v>
      </c>
      <c r="GO58" s="14" t="n">
        <v>0</v>
      </c>
      <c r="GP58" s="14" t="n">
        <v>13574.56</v>
      </c>
      <c r="GQ58" s="14" t="n">
        <v>9274.68</v>
      </c>
      <c r="GR58" s="15">
        <f>GN58+GO58+GP58+GQ58</f>
        <v/>
      </c>
      <c r="GS58" s="14" t="n">
        <v>3821147</v>
      </c>
      <c r="GT58" s="14" t="n">
        <v>0</v>
      </c>
      <c r="GU58" s="14" t="n">
        <v>3572</v>
      </c>
      <c r="GV58" s="14" t="n">
        <v>1786</v>
      </c>
      <c r="GW58" s="15">
        <f>GS58+GT58+GU58+GV58</f>
        <v/>
      </c>
      <c r="GX58" s="15">
        <f>GM58+GR58+GW58</f>
        <v/>
      </c>
      <c r="GY58" s="14" t="n">
        <v>65359838.59999987</v>
      </c>
      <c r="GZ58" s="14" t="n">
        <v>331847540.3900003</v>
      </c>
      <c r="HA58" s="15">
        <f>GY58+GZ58</f>
        <v/>
      </c>
      <c r="HB58" s="15">
        <f>IF(GX58=0,"",AU58/GX58)</f>
        <v/>
      </c>
      <c r="HC58" s="16">
        <f>IF((GX58+GY58)=0,"",GB58/(GX58+GY58))</f>
        <v/>
      </c>
      <c r="HD58" s="15">
        <f>IF(GX58=0,"",GB58/GX58)</f>
        <v/>
      </c>
      <c r="HE58" s="14" t="n">
        <v>0</v>
      </c>
      <c r="HF58" s="14" t="n">
        <v>1</v>
      </c>
      <c r="HG58" s="14" t="n">
        <v>1935</v>
      </c>
      <c r="HH58" s="14" t="n">
        <v>101</v>
      </c>
      <c r="HI58" s="14" t="n">
        <v>2075</v>
      </c>
      <c r="HJ58" s="15">
        <f>HF58+HI58</f>
        <v/>
      </c>
      <c r="HK58" s="16">
        <f>IF(HE58=0,"",HH58/HE58)</f>
        <v/>
      </c>
      <c r="HL58" s="14" t="n">
        <v>34</v>
      </c>
      <c r="HM58" s="14" t="n">
        <v>4</v>
      </c>
      <c r="HN58" s="17">
        <f>IF(HL58=0,"",HM58/HL58)</f>
        <v/>
      </c>
    </row>
    <row r="59">
      <c r="A59" s="6" t="inlineStr">
        <is>
          <t>Mangochi</t>
        </is>
      </c>
      <c r="B59" s="6" t="inlineStr">
        <is>
          <t>Mangochi</t>
        </is>
      </c>
      <c r="C59" s="7" t="inlineStr">
        <is>
          <t>FY2025/26</t>
        </is>
      </c>
      <c r="D59" s="7" t="n">
        <v>2025</v>
      </c>
      <c r="E59" s="7" t="n">
        <v>12</v>
      </c>
      <c r="F59" s="7" t="inlineStr">
        <is>
          <t>December</t>
        </is>
      </c>
      <c r="G59" s="7" t="inlineStr">
        <is>
          <t>Q3</t>
        </is>
      </c>
      <c r="H59" s="8" t="n">
        <v>141761</v>
      </c>
      <c r="I59" s="8" t="n">
        <v>55185</v>
      </c>
      <c r="J59" s="8" t="n">
        <v>0</v>
      </c>
      <c r="K59" s="8" t="n">
        <v>124</v>
      </c>
      <c r="L59" s="8" t="n">
        <v>64</v>
      </c>
      <c r="M59" s="9">
        <f>SUM(I59,J59,K59,L59)</f>
        <v/>
      </c>
      <c r="N59" s="8" t="n">
        <v>22638.8</v>
      </c>
      <c r="O59" s="8" t="n">
        <v>5104.9</v>
      </c>
      <c r="P59" s="8" t="n">
        <v>5442.9</v>
      </c>
      <c r="Q59" s="8" t="n">
        <v>3167.6</v>
      </c>
      <c r="R59" s="9">
        <f>SUM(N59,O59,P59,Q59)</f>
        <v/>
      </c>
      <c r="S59" s="9">
        <f>M59+R59</f>
        <v/>
      </c>
      <c r="T59" s="8" t="n">
        <v>50033.8</v>
      </c>
      <c r="U59" s="10">
        <f>IF(H59=0,"",T59/H59)</f>
        <v/>
      </c>
      <c r="V59" s="8" t="n">
        <v>224</v>
      </c>
      <c r="W59" s="11">
        <f>IF(H59=0,"",V59/H59)</f>
        <v/>
      </c>
      <c r="X59" s="8" t="n">
        <v>100</v>
      </c>
      <c r="Y59" s="11">
        <f>IF(H59=0,"",X59/H59)</f>
        <v/>
      </c>
      <c r="Z59" s="8" t="n">
        <v>0</v>
      </c>
      <c r="AA59" s="11">
        <f>IF(H59=0,"",Z59/H59)</f>
        <v/>
      </c>
      <c r="AB59" s="8" t="n">
        <v>0</v>
      </c>
      <c r="AC59" s="11">
        <f>IF(H59=0,"",AB59/H59)</f>
        <v/>
      </c>
      <c r="AD59" s="8" t="n">
        <v>0</v>
      </c>
      <c r="AE59" s="11">
        <f>IF(H59=0,"",AD59/H59)</f>
        <v/>
      </c>
      <c r="AF59" s="8" t="n">
        <v>0</v>
      </c>
      <c r="AG59" s="11">
        <f>IF(H59=0,"",AF59/H59)</f>
        <v/>
      </c>
      <c r="AH59" s="8" t="n">
        <v>5469158.4</v>
      </c>
      <c r="AI59" s="9">
        <f>IF(H59=0,"",AH59/H59)</f>
        <v/>
      </c>
      <c r="AJ59" s="8" t="n">
        <v>36822</v>
      </c>
      <c r="AK59" s="11">
        <f>IF(H59=0,"",AJ59/H59)</f>
        <v/>
      </c>
      <c r="AL59" s="8" t="n">
        <v>6175148.905</v>
      </c>
      <c r="AM59" s="9">
        <f>IF(H59=0,"",AL59/H59)</f>
        <v/>
      </c>
      <c r="AN59" s="8" t="n">
        <v>3393</v>
      </c>
      <c r="AO59" s="8" t="n">
        <v>1012.76</v>
      </c>
      <c r="AP59" s="8" t="n">
        <v>3217460</v>
      </c>
      <c r="AQ59" s="8" t="n">
        <v>0</v>
      </c>
      <c r="AR59" s="8" t="n">
        <v>29895375.46</v>
      </c>
      <c r="AS59" s="8" t="n">
        <v>4339584.84</v>
      </c>
      <c r="AT59" s="8" t="n">
        <v>3270860</v>
      </c>
      <c r="AU59" s="9">
        <f>AH59+AL59+AP59+AQ59+AR59+AS59+AT59</f>
        <v/>
      </c>
      <c r="AV59" s="9">
        <f>IF(H59=0,"",AU59/H59)</f>
        <v/>
      </c>
      <c r="AW59" s="9">
        <f>IF(S59=0,"",AU59/S59)</f>
        <v/>
      </c>
      <c r="AX59" s="8" t="n">
        <v>24</v>
      </c>
      <c r="AY59" s="9">
        <f>IF(H59=0,"",AX59/(H59/1000/12))</f>
        <v/>
      </c>
      <c r="AZ59" s="8" t="n">
        <v>29</v>
      </c>
      <c r="BA59" s="8" t="n">
        <v>1921</v>
      </c>
      <c r="BB59" s="8" t="n">
        <v>105</v>
      </c>
      <c r="BC59" s="8" t="n">
        <v>0</v>
      </c>
      <c r="BD59" s="8" t="n">
        <v>108</v>
      </c>
      <c r="BE59" s="9">
        <f>BC59+BD59</f>
        <v/>
      </c>
      <c r="BF59" s="9">
        <f>BA59+BB59-BE59</f>
        <v/>
      </c>
      <c r="BG59" s="8" t="n">
        <v>2</v>
      </c>
      <c r="BH59" s="8" t="n">
        <v>0</v>
      </c>
      <c r="BI59" s="8" t="n">
        <v>0</v>
      </c>
      <c r="BJ59" s="8" t="n">
        <v>0</v>
      </c>
      <c r="BK59" s="9">
        <f>BI59+BJ59</f>
        <v/>
      </c>
      <c r="BL59" s="9">
        <f>BG59+BH59-BK59</f>
        <v/>
      </c>
      <c r="BM59" s="8" t="n">
        <v>12</v>
      </c>
      <c r="BN59" s="8" t="n">
        <v>0</v>
      </c>
      <c r="BO59" s="8" t="n">
        <v>0</v>
      </c>
      <c r="BP59" s="8" t="n">
        <v>1</v>
      </c>
      <c r="BQ59" s="9">
        <f>BO59+BP59</f>
        <v/>
      </c>
      <c r="BR59" s="9">
        <f>BM59+BN59-BQ59</f>
        <v/>
      </c>
      <c r="BS59" s="8" t="n">
        <v>0</v>
      </c>
      <c r="BT59" s="8" t="n">
        <v>0</v>
      </c>
      <c r="BU59" s="8" t="n">
        <v>0</v>
      </c>
      <c r="BV59" s="8" t="n">
        <v>0</v>
      </c>
      <c r="BW59" s="9">
        <f>BU59+BV59</f>
        <v/>
      </c>
      <c r="BX59" s="9">
        <f>BS59+BT59-BW59</f>
        <v/>
      </c>
      <c r="BY59" s="9">
        <f>BA59+BG59+BM59+BS59</f>
        <v/>
      </c>
      <c r="BZ59" s="9">
        <f>BB59+BH59+BN59+BT59</f>
        <v/>
      </c>
      <c r="CA59" s="9">
        <f>BE59+BK59+BQ59+BW59</f>
        <v/>
      </c>
      <c r="CB59" s="9">
        <f>BF59+BL59+BR59+BX59</f>
        <v/>
      </c>
      <c r="CC59" s="8" t="n">
        <v>109</v>
      </c>
      <c r="CD59" s="8" t="n">
        <v>2223</v>
      </c>
      <c r="CE59" s="8" t="n">
        <v>57</v>
      </c>
      <c r="CF59" s="8" t="n">
        <v>120</v>
      </c>
      <c r="CG59" s="8" t="n">
        <v>8</v>
      </c>
      <c r="CH59" s="9">
        <f>CD59+CE59+CF59+CG59</f>
        <v/>
      </c>
      <c r="CI59" s="8" t="n">
        <v>4335</v>
      </c>
      <c r="CJ59" s="8" t="n">
        <v>4</v>
      </c>
      <c r="CK59" s="8" t="n">
        <v>3</v>
      </c>
      <c r="CL59" s="8" t="n">
        <v>0</v>
      </c>
      <c r="CM59" s="9">
        <f>CI59+CJ59+CK59+CL59</f>
        <v/>
      </c>
      <c r="CN59" s="8" t="n">
        <v>3695</v>
      </c>
      <c r="CO59" s="8" t="n">
        <v>158</v>
      </c>
      <c r="CP59" s="8" t="n">
        <v>429</v>
      </c>
      <c r="CQ59" s="8" t="n">
        <v>72</v>
      </c>
      <c r="CR59" s="9">
        <f>CN59+CO59+CP59+CQ59</f>
        <v/>
      </c>
      <c r="CS59" s="9">
        <f>CM59+CR59</f>
        <v/>
      </c>
      <c r="CT59" s="8" t="n">
        <v>11104</v>
      </c>
      <c r="CU59" s="8" t="n">
        <v>51006</v>
      </c>
      <c r="CV59" s="8" t="n">
        <v>49314</v>
      </c>
      <c r="CW59" s="10">
        <f>IF(CU59=0,"",CV59/CU59)</f>
        <v/>
      </c>
      <c r="CX59" s="8" t="n">
        <v>1</v>
      </c>
      <c r="CY59" s="8" t="n"/>
      <c r="CZ59" s="8" t="n"/>
      <c r="DA59" s="8" t="n"/>
      <c r="DB59" s="9">
        <f>CX59+CY59-CZ59-DA59</f>
        <v/>
      </c>
      <c r="DC59" s="8" t="n">
        <v>0</v>
      </c>
      <c r="DD59" s="8" t="n">
        <v>0</v>
      </c>
      <c r="DE59" s="8" t="n">
        <v>0</v>
      </c>
      <c r="DF59" s="8" t="n">
        <v>0</v>
      </c>
      <c r="DG59" s="9">
        <f>DC59+DD59-DE59-DF59</f>
        <v/>
      </c>
      <c r="DH59" s="8" t="n">
        <v>0</v>
      </c>
      <c r="DI59" s="8" t="n">
        <v>0</v>
      </c>
      <c r="DJ59" s="8" t="n">
        <v>0</v>
      </c>
      <c r="DK59" s="8" t="n">
        <v>0</v>
      </c>
      <c r="DL59" s="9">
        <f>DH59+DI59-DJ59-DK59</f>
        <v/>
      </c>
      <c r="DM59" s="8" t="n">
        <v>247</v>
      </c>
      <c r="DN59" s="8" t="n">
        <v>126</v>
      </c>
      <c r="DO59" s="8" t="n">
        <v>0</v>
      </c>
      <c r="DP59" s="8" t="n">
        <v>27</v>
      </c>
      <c r="DQ59" s="9">
        <f>DM59+DN59-DO59-DP59</f>
        <v/>
      </c>
      <c r="DR59" s="9">
        <f>CX59+DC59+DH59+DM59</f>
        <v/>
      </c>
      <c r="DS59" s="9">
        <f>CY59+DD59+DI59+DN59</f>
        <v/>
      </c>
      <c r="DT59" s="9">
        <f>CZ59+DE59+DJ59+DO59</f>
        <v/>
      </c>
      <c r="DU59" s="9">
        <f>DA59+DF59+DK59+DP59</f>
        <v/>
      </c>
      <c r="DV59" s="9">
        <f>DB59+DG59+DL59+DQ59</f>
        <v/>
      </c>
      <c r="DW59" s="8" t="n">
        <v>96</v>
      </c>
      <c r="DX59" s="8" t="n">
        <v>36</v>
      </c>
      <c r="DY59" s="8" t="n">
        <v>14</v>
      </c>
      <c r="DZ59" s="8" t="n">
        <v>6</v>
      </c>
      <c r="EA59" s="8" t="n">
        <v>5</v>
      </c>
      <c r="EB59" s="8" t="n">
        <v>2</v>
      </c>
      <c r="EC59" s="8" t="n">
        <v>1</v>
      </c>
      <c r="ED59" s="8" t="n">
        <v>0</v>
      </c>
      <c r="EE59" s="8" t="n">
        <v>1</v>
      </c>
      <c r="EF59" s="8" t="n">
        <v>1</v>
      </c>
      <c r="EG59" s="8" t="n">
        <v>0</v>
      </c>
      <c r="EH59" s="8" t="n">
        <v>0</v>
      </c>
      <c r="EI59" s="8" t="n">
        <v>0</v>
      </c>
      <c r="EJ59" s="8" t="n">
        <v>11</v>
      </c>
      <c r="EK59" s="8" t="n">
        <v>7</v>
      </c>
      <c r="EL59" s="8" t="n">
        <v>0</v>
      </c>
      <c r="EM59" s="8" t="n">
        <v>0</v>
      </c>
      <c r="EN59" s="8" t="n">
        <v>0</v>
      </c>
      <c r="EO59" s="8" t="n">
        <v>0</v>
      </c>
      <c r="EP59" s="8" t="n">
        <v>0</v>
      </c>
      <c r="EQ59" s="8" t="n">
        <v>0</v>
      </c>
      <c r="ER59" s="8" t="n">
        <v>0</v>
      </c>
      <c r="ES59" s="8" t="n">
        <v>0</v>
      </c>
      <c r="ET59" s="8" t="n">
        <v>0</v>
      </c>
      <c r="EU59" s="8" t="n">
        <v>0</v>
      </c>
      <c r="EV59" s="8" t="n">
        <v>0</v>
      </c>
      <c r="EW59" s="8" t="n">
        <v>0</v>
      </c>
      <c r="EX59" s="8" t="n">
        <v>0</v>
      </c>
      <c r="EY59" s="8" t="n">
        <v>0</v>
      </c>
      <c r="EZ59" s="8" t="n">
        <v>0</v>
      </c>
      <c r="FA59" s="8" t="n">
        <v>0</v>
      </c>
      <c r="FB59" s="8" t="n">
        <v>0</v>
      </c>
      <c r="FC59" s="8" t="n">
        <v>0</v>
      </c>
      <c r="FD59" s="8" t="n">
        <v>0</v>
      </c>
      <c r="FE59" s="8" t="n">
        <v>0</v>
      </c>
      <c r="FF59" s="8" t="n">
        <v>0</v>
      </c>
      <c r="FG59" s="9">
        <f>SUM(DW59,DX59,DY59,DZ59,EA59,EB59,EC59,ED59,EE59,EF59,EG59,EH59,EI59,EJ59,EK59,EL59,EM59,EN59,EO59,EP59,EQ59,ER59,ES59,ET59,EU59,EV59,EW59,EX59,EY59,EZ59,FA59,FB59,FC59,FD59,FE59,FF59)</f>
        <v/>
      </c>
      <c r="FH59" s="8" t="n">
        <v>7</v>
      </c>
      <c r="FI59" s="8" t="n">
        <v>572</v>
      </c>
      <c r="FJ59" s="8" t="n">
        <v>0</v>
      </c>
      <c r="FK59" s="8" t="n">
        <v>114.25</v>
      </c>
      <c r="FL59" s="8" t="n">
        <v>0</v>
      </c>
      <c r="FM59" s="8" t="n">
        <v>0</v>
      </c>
      <c r="FN59" s="8" t="n">
        <v>0</v>
      </c>
      <c r="FO59" s="8" t="n">
        <v>0</v>
      </c>
      <c r="FP59" s="8" t="n">
        <v>0</v>
      </c>
      <c r="FQ59" s="9">
        <f>FL59+FM59+FN59+FO59+FP59</f>
        <v/>
      </c>
      <c r="FR59" s="8" t="n">
        <v>77760558</v>
      </c>
      <c r="FS59" s="8" t="n">
        <v>0</v>
      </c>
      <c r="FT59" s="8" t="n">
        <v>23250</v>
      </c>
      <c r="FU59" s="8" t="n">
        <v>0</v>
      </c>
      <c r="FV59" s="9">
        <f>FR59+FS59+FT59+FU59</f>
        <v/>
      </c>
      <c r="FW59" s="8" t="n">
        <v>29434985</v>
      </c>
      <c r="FX59" s="8" t="n">
        <v>1117350</v>
      </c>
      <c r="FY59" s="8" t="n">
        <v>14899984.8</v>
      </c>
      <c r="FZ59" s="8" t="n">
        <v>17725626</v>
      </c>
      <c r="GA59" s="9">
        <f>FW59+FX59+FY59+FZ59</f>
        <v/>
      </c>
      <c r="GB59" s="9">
        <f>FV59+GA59</f>
        <v/>
      </c>
      <c r="GC59" s="8" t="n">
        <v>50269331</v>
      </c>
      <c r="GD59" s="8" t="n">
        <v>0</v>
      </c>
      <c r="GE59" s="8" t="n">
        <v>386146.84</v>
      </c>
      <c r="GF59" s="8" t="n">
        <v>280938.75</v>
      </c>
      <c r="GG59" s="9">
        <f>GC59+GD59+GE59+GF59</f>
        <v/>
      </c>
      <c r="GH59" s="8" t="n">
        <v>29275925</v>
      </c>
      <c r="GI59" s="8" t="n">
        <v>1084950</v>
      </c>
      <c r="GJ59" s="8" t="n">
        <v>16466783</v>
      </c>
      <c r="GK59" s="8" t="n">
        <v>14865664.8</v>
      </c>
      <c r="GL59" s="9">
        <f>GH59+GI59+GJ59+GK59</f>
        <v/>
      </c>
      <c r="GM59" s="9">
        <f>GG59+GL59</f>
        <v/>
      </c>
      <c r="GN59" s="8" t="n">
        <v>2355692</v>
      </c>
      <c r="GO59" s="8" t="n">
        <v>0</v>
      </c>
      <c r="GP59" s="8" t="n">
        <v>13574.56</v>
      </c>
      <c r="GQ59" s="8" t="n">
        <v>13912.02</v>
      </c>
      <c r="GR59" s="9">
        <f>GN59+GO59+GP59+GQ59</f>
        <v/>
      </c>
      <c r="GS59" s="8" t="n">
        <v>3871155</v>
      </c>
      <c r="GT59" s="8" t="n">
        <v>0</v>
      </c>
      <c r="GU59" s="8" t="n">
        <v>3572</v>
      </c>
      <c r="GV59" s="8" t="n">
        <v>2679</v>
      </c>
      <c r="GW59" s="9">
        <f>GS59+GT59+GU59+GV59</f>
        <v/>
      </c>
      <c r="GX59" s="9">
        <f>GM59+GR59+GW59</f>
        <v/>
      </c>
      <c r="GY59" s="8" t="n">
        <v>52803562.32000134</v>
      </c>
      <c r="GZ59" s="8" t="n">
        <v>321390030.8400001</v>
      </c>
      <c r="HA59" s="9">
        <f>GY59+GZ59</f>
        <v/>
      </c>
      <c r="HB59" s="9">
        <f>IF(GX59=0,"",AU59/GX59)</f>
        <v/>
      </c>
      <c r="HC59" s="10">
        <f>IF((GX59+GY59)=0,"",GB59/(GX59+GY59))</f>
        <v/>
      </c>
      <c r="HD59" s="9">
        <f>IF(GX59=0,"",GB59/GX59)</f>
        <v/>
      </c>
      <c r="HE59" s="8" t="n">
        <v>1931</v>
      </c>
      <c r="HF59" s="8" t="n">
        <v>1</v>
      </c>
      <c r="HG59" s="8" t="n">
        <v>1931</v>
      </c>
      <c r="HH59" s="8" t="n">
        <v>105</v>
      </c>
      <c r="HI59" s="8" t="n">
        <v>0</v>
      </c>
      <c r="HJ59" s="9">
        <f>HF59+HI59</f>
        <v/>
      </c>
      <c r="HK59" s="10">
        <f>IF(HE59=0,"",HH59/HE59)</f>
        <v/>
      </c>
      <c r="HL59" s="8" t="n">
        <v>34</v>
      </c>
      <c r="HM59" s="8" t="n">
        <v>6</v>
      </c>
      <c r="HN59" s="11">
        <f>IF(HL59=0,"",HM59/HL59)</f>
        <v/>
      </c>
    </row>
    <row r="60">
      <c r="A60" s="12" t="inlineStr">
        <is>
          <t>Mangochi</t>
        </is>
      </c>
      <c r="B60" s="12" t="inlineStr">
        <is>
          <t>Mangochi</t>
        </is>
      </c>
      <c r="C60" s="13" t="inlineStr">
        <is>
          <t>FY2025/26</t>
        </is>
      </c>
      <c r="D60" s="13" t="n">
        <v>2026</v>
      </c>
      <c r="E60" s="13" t="n">
        <v>1</v>
      </c>
      <c r="F60" s="13" t="inlineStr">
        <is>
          <t>January</t>
        </is>
      </c>
      <c r="G60" s="13" t="inlineStr">
        <is>
          <t>Q4</t>
        </is>
      </c>
      <c r="H60" s="14" t="n">
        <v>156904.5</v>
      </c>
      <c r="I60" s="14" t="n">
        <v>58685</v>
      </c>
      <c r="J60" s="14" t="n">
        <v>0</v>
      </c>
      <c r="K60" s="14" t="n">
        <v>147</v>
      </c>
      <c r="L60" s="14" t="n">
        <v>73</v>
      </c>
      <c r="M60" s="15" t="n">
        <v>58905</v>
      </c>
      <c r="N60" s="14" t="n">
        <v>25194.60000000003</v>
      </c>
      <c r="O60" s="14" t="n">
        <v>4746.400000000001</v>
      </c>
      <c r="P60" s="14" t="n">
        <v>5178.6</v>
      </c>
      <c r="Q60" s="14" t="n">
        <v>2072.5</v>
      </c>
      <c r="R60" s="15" t="n">
        <v>37192.10000000003</v>
      </c>
      <c r="S60" s="15" t="n">
        <v>96097.10000000003</v>
      </c>
      <c r="T60" s="14" t="n">
        <v>60807.39999999997</v>
      </c>
      <c r="U60" s="16" t="n">
        <v>0.38754401562734</v>
      </c>
      <c r="V60" s="14" t="n">
        <v>198</v>
      </c>
      <c r="W60" s="17" t="n">
        <v>1.261914094242039</v>
      </c>
      <c r="X60" s="14" t="n">
        <v>150</v>
      </c>
      <c r="Y60" s="17" t="n">
        <v>0.9559955259409385</v>
      </c>
      <c r="Z60" s="14" t="n">
        <v>0</v>
      </c>
      <c r="AA60" s="17" t="n">
        <v>0</v>
      </c>
      <c r="AB60" s="14" t="n">
        <v>0</v>
      </c>
      <c r="AC60" s="17" t="n">
        <v>0</v>
      </c>
      <c r="AD60" s="14" t="n">
        <v>0</v>
      </c>
      <c r="AE60" s="17" t="n">
        <v>0</v>
      </c>
      <c r="AF60" s="14" t="n">
        <v>0</v>
      </c>
      <c r="AG60" s="17" t="n">
        <v>0</v>
      </c>
      <c r="AH60" s="14" t="n">
        <v>4901521.8</v>
      </c>
      <c r="AI60" s="15" t="n">
        <v>31.23888607401317</v>
      </c>
      <c r="AJ60" s="14" t="n">
        <v>39714</v>
      </c>
      <c r="AK60" s="17" t="n">
        <v>0.2531093754481229</v>
      </c>
      <c r="AL60" s="14" t="n">
        <v>6658626.235</v>
      </c>
      <c r="AM60" s="15" t="n">
        <v>42.43744593048638</v>
      </c>
      <c r="AN60" s="14" t="n">
        <v>5499</v>
      </c>
      <c r="AO60" s="14" t="n">
        <v>883.27</v>
      </c>
      <c r="AP60" s="14" t="n">
        <v>4208437.1</v>
      </c>
      <c r="AQ60" s="14" t="n">
        <v>0</v>
      </c>
      <c r="AR60" s="14" t="n">
        <v>29895375.46</v>
      </c>
      <c r="AS60" s="14" t="n">
        <v>4889775.44</v>
      </c>
      <c r="AT60" s="14" t="n">
        <v>3469480</v>
      </c>
      <c r="AU60" s="15" t="n">
        <v>54023216.035</v>
      </c>
      <c r="AV60" s="15" t="n">
        <v>344.3063521760051</v>
      </c>
      <c r="AW60" s="15" t="n">
        <v>562.1732189108722</v>
      </c>
      <c r="AX60" s="14" t="n">
        <v>24</v>
      </c>
      <c r="AY60" s="15" t="n">
        <v>4.741737808667056</v>
      </c>
      <c r="AZ60" s="14" t="n">
        <v>29</v>
      </c>
      <c r="BA60" s="14" t="n">
        <v>1918</v>
      </c>
      <c r="BB60" s="14" t="n">
        <v>83</v>
      </c>
      <c r="BC60" s="14" t="n">
        <v>0</v>
      </c>
      <c r="BD60" s="14" t="n">
        <v>101</v>
      </c>
      <c r="BE60" s="15" t="n">
        <v>101</v>
      </c>
      <c r="BF60" s="15" t="n">
        <v>1900</v>
      </c>
      <c r="BG60" s="14" t="n">
        <v>2</v>
      </c>
      <c r="BH60" s="14" t="n">
        <v>0</v>
      </c>
      <c r="BI60" s="14" t="n">
        <v>0</v>
      </c>
      <c r="BJ60" s="14" t="n">
        <v>0</v>
      </c>
      <c r="BK60" s="15" t="n">
        <v>0</v>
      </c>
      <c r="BL60" s="15" t="n">
        <v>2</v>
      </c>
      <c r="BM60" s="14" t="n">
        <v>11</v>
      </c>
      <c r="BN60" s="14" t="n">
        <v>0</v>
      </c>
      <c r="BO60" s="14" t="n">
        <v>0</v>
      </c>
      <c r="BP60" s="14" t="n">
        <v>2</v>
      </c>
      <c r="BQ60" s="15" t="n">
        <v>2</v>
      </c>
      <c r="BR60" s="15" t="n">
        <v>9</v>
      </c>
      <c r="BS60" s="14" t="n">
        <v>0</v>
      </c>
      <c r="BT60" s="14" t="n">
        <v>0</v>
      </c>
      <c r="BU60" s="14" t="n">
        <v>0</v>
      </c>
      <c r="BV60" s="14" t="n">
        <v>0</v>
      </c>
      <c r="BW60" s="15" t="n">
        <v>0</v>
      </c>
      <c r="BX60" s="15" t="n">
        <v>0</v>
      </c>
      <c r="BY60" s="15" t="n">
        <v>1931</v>
      </c>
      <c r="BZ60" s="15" t="n">
        <v>83</v>
      </c>
      <c r="CA60" s="15" t="n">
        <v>103</v>
      </c>
      <c r="CB60" s="15" t="n">
        <v>1911</v>
      </c>
      <c r="CC60" s="14" t="n">
        <v>103</v>
      </c>
      <c r="CD60" s="14" t="n">
        <v>2161</v>
      </c>
      <c r="CE60" s="14" t="n">
        <v>57</v>
      </c>
      <c r="CF60" s="14" t="n">
        <v>121</v>
      </c>
      <c r="CG60" s="14" t="n">
        <v>8</v>
      </c>
      <c r="CH60" s="15" t="n">
        <v>2347</v>
      </c>
      <c r="CI60" s="14" t="n">
        <v>4397</v>
      </c>
      <c r="CJ60" s="14" t="n">
        <v>4</v>
      </c>
      <c r="CK60" s="14" t="n">
        <v>2</v>
      </c>
      <c r="CL60" s="14" t="n">
        <v>0</v>
      </c>
      <c r="CM60" s="15" t="n">
        <v>4403</v>
      </c>
      <c r="CN60" s="14" t="n">
        <v>3796</v>
      </c>
      <c r="CO60" s="14" t="n">
        <v>158</v>
      </c>
      <c r="CP60" s="14" t="n">
        <v>431</v>
      </c>
      <c r="CQ60" s="14" t="n">
        <v>72</v>
      </c>
      <c r="CR60" s="15" t="n">
        <v>4457</v>
      </c>
      <c r="CS60" s="15" t="n">
        <v>8860</v>
      </c>
      <c r="CT60" s="14" t="n">
        <v>11207</v>
      </c>
      <c r="CU60" s="14" t="n">
        <v>51081</v>
      </c>
      <c r="CV60" s="14" t="n">
        <v>49829</v>
      </c>
      <c r="CW60" s="16" t="n">
        <v>0.9754899081850394</v>
      </c>
      <c r="CX60" s="14" t="n">
        <v>1</v>
      </c>
      <c r="CY60" s="14" t="n">
        <v>0</v>
      </c>
      <c r="CZ60" s="14" t="n">
        <v>0</v>
      </c>
      <c r="DA60" s="14" t="n">
        <v>0</v>
      </c>
      <c r="DB60" s="15" t="n">
        <v>1</v>
      </c>
      <c r="DC60" s="14" t="n">
        <v>0</v>
      </c>
      <c r="DD60" s="14" t="n">
        <v>0</v>
      </c>
      <c r="DE60" s="14" t="n">
        <v>0</v>
      </c>
      <c r="DF60" s="14" t="n">
        <v>0</v>
      </c>
      <c r="DG60" s="15" t="n">
        <v>0</v>
      </c>
      <c r="DH60" s="14" t="n">
        <v>0</v>
      </c>
      <c r="DI60" s="14" t="n">
        <v>0</v>
      </c>
      <c r="DJ60" s="14" t="n">
        <v>0</v>
      </c>
      <c r="DK60" s="14" t="n">
        <v>0</v>
      </c>
      <c r="DL60" s="15" t="n">
        <v>0</v>
      </c>
      <c r="DM60" s="14" t="n">
        <v>346</v>
      </c>
      <c r="DN60" s="14" t="n">
        <v>20</v>
      </c>
      <c r="DO60" s="14" t="n">
        <v>0</v>
      </c>
      <c r="DP60" s="14" t="n">
        <v>4</v>
      </c>
      <c r="DQ60" s="15" t="n">
        <v>362</v>
      </c>
      <c r="DR60" s="15" t="n">
        <v>347</v>
      </c>
      <c r="DS60" s="15" t="n">
        <v>20</v>
      </c>
      <c r="DT60" s="15" t="n">
        <v>0</v>
      </c>
      <c r="DU60" s="15" t="n">
        <v>4</v>
      </c>
      <c r="DV60" s="15" t="n">
        <v>363</v>
      </c>
      <c r="DW60" s="14" t="n">
        <v>105</v>
      </c>
      <c r="DX60" s="14" t="n">
        <v>62</v>
      </c>
      <c r="DY60" s="14" t="n">
        <v>14</v>
      </c>
      <c r="DZ60" s="14" t="n">
        <v>16</v>
      </c>
      <c r="EA60" s="14" t="n">
        <v>6</v>
      </c>
      <c r="EB60" s="14" t="n">
        <v>3</v>
      </c>
      <c r="EC60" s="14" t="n">
        <v>0</v>
      </c>
      <c r="ED60" s="14" t="n">
        <v>0</v>
      </c>
      <c r="EE60" s="14" t="n">
        <v>1</v>
      </c>
      <c r="EF60" s="14" t="n">
        <v>0</v>
      </c>
      <c r="EG60" s="14" t="n">
        <v>0</v>
      </c>
      <c r="EH60" s="14" t="n">
        <v>0</v>
      </c>
      <c r="EI60" s="14" t="n">
        <v>0</v>
      </c>
      <c r="EJ60" s="14" t="n">
        <v>11</v>
      </c>
      <c r="EK60" s="14" t="n">
        <v>4</v>
      </c>
      <c r="EL60" s="14" t="n">
        <v>0</v>
      </c>
      <c r="EM60" s="14" t="n">
        <v>0</v>
      </c>
      <c r="EN60" s="14" t="n">
        <v>0</v>
      </c>
      <c r="EO60" s="14" t="n">
        <v>0</v>
      </c>
      <c r="EP60" s="14" t="n">
        <v>0</v>
      </c>
      <c r="EQ60" s="14" t="n">
        <v>0</v>
      </c>
      <c r="ER60" s="14" t="n">
        <v>0</v>
      </c>
      <c r="ES60" s="14" t="n">
        <v>0</v>
      </c>
      <c r="ET60" s="14" t="n">
        <v>0</v>
      </c>
      <c r="EU60" s="14" t="n">
        <v>0</v>
      </c>
      <c r="EV60" s="14" t="n">
        <v>0</v>
      </c>
      <c r="EW60" s="14" t="n">
        <v>0</v>
      </c>
      <c r="EX60" s="14" t="n">
        <v>0</v>
      </c>
      <c r="EY60" s="14" t="n">
        <v>0</v>
      </c>
      <c r="EZ60" s="14" t="n">
        <v>0</v>
      </c>
      <c r="FA60" s="14" t="n">
        <v>0</v>
      </c>
      <c r="FB60" s="14" t="n">
        <v>0</v>
      </c>
      <c r="FC60" s="14" t="n">
        <v>0</v>
      </c>
      <c r="FD60" s="14" t="n">
        <v>0</v>
      </c>
      <c r="FE60" s="14" t="n">
        <v>0</v>
      </c>
      <c r="FF60" s="14" t="n">
        <v>0</v>
      </c>
      <c r="FG60" s="15" t="n">
        <v>222</v>
      </c>
      <c r="FH60" s="14" t="n">
        <v>7</v>
      </c>
      <c r="FI60" s="14" t="n">
        <v>684</v>
      </c>
      <c r="FJ60" s="14" t="n">
        <v>0</v>
      </c>
      <c r="FK60" s="14" t="n">
        <v>40</v>
      </c>
      <c r="FL60" s="14" t="n">
        <v>0</v>
      </c>
      <c r="FM60" s="14" t="n">
        <v>0</v>
      </c>
      <c r="FN60" s="14" t="n">
        <v>0</v>
      </c>
      <c r="FO60" s="14" t="n">
        <v>0</v>
      </c>
      <c r="FP60" s="14" t="n">
        <v>0</v>
      </c>
      <c r="FQ60" s="15" t="n">
        <v>0</v>
      </c>
      <c r="FR60" s="14" t="n">
        <v>54873300</v>
      </c>
      <c r="FS60" s="14" t="n">
        <v>0</v>
      </c>
      <c r="FT60" s="14" t="n">
        <v>23000</v>
      </c>
      <c r="FU60" s="14" t="n">
        <v>0</v>
      </c>
      <c r="FV60" s="15" t="n">
        <v>54896300</v>
      </c>
      <c r="FW60" s="14" t="n">
        <v>31530893.34</v>
      </c>
      <c r="FX60" s="14" t="n">
        <v>1014700</v>
      </c>
      <c r="FY60" s="14" t="n">
        <v>9712100</v>
      </c>
      <c r="FZ60" s="14" t="n">
        <v>15736981</v>
      </c>
      <c r="GA60" s="15" t="n">
        <v>57994674.34</v>
      </c>
      <c r="GB60" s="15" t="n">
        <v>112890974.34</v>
      </c>
      <c r="GC60" s="14" t="n">
        <v>53550688</v>
      </c>
      <c r="GD60" s="14" t="n">
        <v>0</v>
      </c>
      <c r="GE60" s="14" t="n">
        <v>465714.65</v>
      </c>
      <c r="GF60" s="14" t="n">
        <v>325892.2</v>
      </c>
      <c r="GG60" s="15" t="n">
        <v>54342294.85</v>
      </c>
      <c r="GH60" s="14" t="n">
        <v>31409574.47</v>
      </c>
      <c r="GI60" s="14" t="n">
        <v>1008728.63</v>
      </c>
      <c r="GJ60" s="14" t="n">
        <v>15736981</v>
      </c>
      <c r="GK60" s="14" t="n">
        <v>9799400</v>
      </c>
      <c r="GL60" s="15" t="n">
        <v>57954684.09999999</v>
      </c>
      <c r="GM60" s="15" t="n">
        <v>112296978.95</v>
      </c>
      <c r="GN60" s="14" t="n">
        <v>2388616</v>
      </c>
      <c r="GO60" s="14" t="n">
        <v>0</v>
      </c>
      <c r="GP60" s="14" t="n">
        <v>13574.56</v>
      </c>
      <c r="GQ60" s="14" t="n">
        <v>9274.68</v>
      </c>
      <c r="GR60" s="15" t="n">
        <v>2411465.24</v>
      </c>
      <c r="GS60" s="14" t="n">
        <v>3926521</v>
      </c>
      <c r="GT60" s="14" t="n">
        <v>0</v>
      </c>
      <c r="GU60" s="14" t="n">
        <v>3572</v>
      </c>
      <c r="GV60" s="14" t="n">
        <v>1786</v>
      </c>
      <c r="GW60" s="15" t="n">
        <v>3931879</v>
      </c>
      <c r="GX60" s="15" t="n">
        <v>118640323.19</v>
      </c>
      <c r="GY60" s="14" t="n">
        <v>67867551.55000144</v>
      </c>
      <c r="GZ60" s="14" t="n">
        <v>312133849.8100002</v>
      </c>
      <c r="HA60" s="15" t="n">
        <v>380001401.3600016</v>
      </c>
      <c r="HB60" s="15" t="n">
        <v>118640323.19</v>
      </c>
      <c r="HC60" s="16" t="n">
        <v>67867551.55000144</v>
      </c>
      <c r="HD60" s="15" t="n">
        <v>312133849.8100002</v>
      </c>
      <c r="HE60" s="14" t="n">
        <v>1911</v>
      </c>
      <c r="HF60" s="14" t="n">
        <v>1</v>
      </c>
      <c r="HG60" s="14" t="n">
        <v>1911</v>
      </c>
      <c r="HH60" s="14" t="n">
        <v>83</v>
      </c>
      <c r="HI60" s="14" t="n">
        <v>0</v>
      </c>
      <c r="HJ60" s="15" t="n">
        <v>0</v>
      </c>
      <c r="HK60" s="16" t="n">
        <v>0</v>
      </c>
      <c r="HL60" s="14" t="n">
        <v>33</v>
      </c>
      <c r="HM60" s="14" t="n">
        <v>8</v>
      </c>
      <c r="HN60" s="17" t="n">
        <v>4.125</v>
      </c>
    </row>
    <row r="61">
      <c r="A61" s="6" t="inlineStr">
        <is>
          <t>Mangochi</t>
        </is>
      </c>
      <c r="B61" s="6" t="inlineStr">
        <is>
          <t>Mangochi</t>
        </is>
      </c>
      <c r="C61" s="7" t="inlineStr">
        <is>
          <t>FY2025/26</t>
        </is>
      </c>
      <c r="D61" s="7" t="n">
        <v>2026</v>
      </c>
      <c r="E61" s="7" t="n">
        <v>2</v>
      </c>
      <c r="F61" s="7" t="inlineStr">
        <is>
          <t>February</t>
        </is>
      </c>
      <c r="G61" s="7" t="inlineStr">
        <is>
          <t>Q4</t>
        </is>
      </c>
      <c r="H61" s="8" t="n">
        <v>145108</v>
      </c>
      <c r="I61" s="8" t="n">
        <v>62397</v>
      </c>
      <c r="J61" s="8" t="n">
        <v>60</v>
      </c>
      <c r="K61" s="8" t="n">
        <v>157</v>
      </c>
      <c r="L61" s="8" t="n">
        <v>60</v>
      </c>
      <c r="M61" s="9">
        <f>SUM(I61,J61,K61,L61)</f>
        <v/>
      </c>
      <c r="N61" s="8" t="n">
        <v>22740.99999999992</v>
      </c>
      <c r="O61" s="8" t="n">
        <v>4471.300000000001</v>
      </c>
      <c r="P61" s="8" t="n">
        <v>4410.699999999999</v>
      </c>
      <c r="Q61" s="8" t="n">
        <v>2806.299999999999</v>
      </c>
      <c r="R61" s="9">
        <f>SUM(N61,O61,P61,Q61)</f>
        <v/>
      </c>
      <c r="S61" s="9">
        <f>M61+R61</f>
        <v/>
      </c>
      <c r="T61" s="8" t="n">
        <v>48004.70000000008</v>
      </c>
      <c r="U61" s="10">
        <f>IF(H61=0,"",T61/H61)</f>
        <v/>
      </c>
      <c r="V61" s="8" t="n">
        <v>400.95</v>
      </c>
      <c r="W61" s="11">
        <f>IF(H61=0,"",V61/H61)</f>
        <v/>
      </c>
      <c r="X61" s="8" t="n">
        <v>100</v>
      </c>
      <c r="Y61" s="11">
        <f>IF(H61=0,"",X61/H61)</f>
        <v/>
      </c>
      <c r="Z61" s="8" t="n">
        <v>0</v>
      </c>
      <c r="AA61" s="11">
        <f>IF(H61=0,"",Z61/H61)</f>
        <v/>
      </c>
      <c r="AB61" s="8" t="n">
        <v>0</v>
      </c>
      <c r="AC61" s="11">
        <f>IF(H61=0,"",AB61/H61)</f>
        <v/>
      </c>
      <c r="AD61" s="8" t="n">
        <v>0</v>
      </c>
      <c r="AE61" s="11">
        <f>IF(H61=0,"",AD61/H61)</f>
        <v/>
      </c>
      <c r="AF61" s="8" t="n">
        <v>0</v>
      </c>
      <c r="AG61" s="11">
        <f>IF(H61=0,"",AF61/H61)</f>
        <v/>
      </c>
      <c r="AH61" s="8" t="n">
        <v>9703412.645</v>
      </c>
      <c r="AI61" s="9">
        <f>IF(H61=0,"",AH61/H61)</f>
        <v/>
      </c>
      <c r="AJ61" s="8" t="n">
        <v>39714</v>
      </c>
      <c r="AK61" s="11">
        <f>IF(H61=0,"",AJ61/H61)</f>
        <v/>
      </c>
      <c r="AL61" s="8" t="n">
        <v>6658626.235</v>
      </c>
      <c r="AM61" s="9">
        <f>IF(H61=0,"",AL61/H61)</f>
        <v/>
      </c>
      <c r="AN61" s="8" t="n">
        <v>3841</v>
      </c>
      <c r="AO61" s="8" t="n">
        <v>564.16</v>
      </c>
      <c r="AP61" s="8" t="n">
        <v>5675903.25</v>
      </c>
      <c r="AQ61" s="8" t="n">
        <v>0</v>
      </c>
      <c r="AR61" s="8" t="n">
        <v>29895375.46</v>
      </c>
      <c r="AS61" s="8" t="n">
        <v>4211161.597499999</v>
      </c>
      <c r="AT61" s="8" t="n">
        <v>3486980</v>
      </c>
      <c r="AU61" s="9">
        <f>AH61+AL61+AP61+AQ61+AR61+AS61+AT61</f>
        <v/>
      </c>
      <c r="AV61" s="9">
        <f>IF(H61=0,"",AU61/H61)</f>
        <v/>
      </c>
      <c r="AW61" s="9">
        <f>IF(S61=0,"",AU61/S61)</f>
        <v/>
      </c>
      <c r="AX61" s="8" t="n">
        <v>24</v>
      </c>
      <c r="AY61" s="9">
        <f>IF(H61=0,"",AX61/(H61/1000/12))</f>
        <v/>
      </c>
      <c r="AZ61" s="8" t="n">
        <v>29</v>
      </c>
      <c r="BA61" s="8" t="n">
        <v>1900</v>
      </c>
      <c r="BB61" s="8" t="n">
        <v>116</v>
      </c>
      <c r="BC61" s="8" t="n">
        <v>0</v>
      </c>
      <c r="BD61" s="8" t="n">
        <v>57</v>
      </c>
      <c r="BE61" s="9">
        <f>BC61+BD61</f>
        <v/>
      </c>
      <c r="BF61" s="9">
        <f>BA61+BB61-BE61</f>
        <v/>
      </c>
      <c r="BG61" s="8" t="n">
        <v>2</v>
      </c>
      <c r="BH61" s="8" t="n">
        <v>0</v>
      </c>
      <c r="BI61" s="8" t="n">
        <v>0</v>
      </c>
      <c r="BJ61" s="8" t="n">
        <v>0</v>
      </c>
      <c r="BK61" s="9">
        <f>BI61+BJ61</f>
        <v/>
      </c>
      <c r="BL61" s="9">
        <f>BG61+BH61-BK61</f>
        <v/>
      </c>
      <c r="BM61" s="8" t="n">
        <v>9</v>
      </c>
      <c r="BN61" s="8" t="n">
        <v>0</v>
      </c>
      <c r="BO61" s="8" t="n">
        <v>0</v>
      </c>
      <c r="BP61" s="8" t="n">
        <v>0</v>
      </c>
      <c r="BQ61" s="9">
        <f>BO61+BP61</f>
        <v/>
      </c>
      <c r="BR61" s="9">
        <f>BM61+BN61-BQ61</f>
        <v/>
      </c>
      <c r="BS61" s="8" t="n">
        <v>0</v>
      </c>
      <c r="BT61" s="8" t="n">
        <v>0</v>
      </c>
      <c r="BU61" s="8" t="n">
        <v>0</v>
      </c>
      <c r="BV61" s="8" t="n">
        <v>0</v>
      </c>
      <c r="BW61" s="9">
        <f>BU61+BV61</f>
        <v/>
      </c>
      <c r="BX61" s="9">
        <f>BS61+BT61-BW61</f>
        <v/>
      </c>
      <c r="BY61" s="9">
        <f>BA61+BG61+BM61+BS61</f>
        <v/>
      </c>
      <c r="BZ61" s="9">
        <f>BB61+BH61+BN61+BT61</f>
        <v/>
      </c>
      <c r="CA61" s="9">
        <f>BE61+BK61+BQ61+BW61</f>
        <v/>
      </c>
      <c r="CB61" s="9">
        <f>BF61+BL61+BR61+BX61</f>
        <v/>
      </c>
      <c r="CC61" s="8" t="n">
        <v>57</v>
      </c>
      <c r="CD61" s="8" t="n">
        <v>2094</v>
      </c>
      <c r="CE61" s="8" t="n">
        <v>57</v>
      </c>
      <c r="CF61" s="8" t="n">
        <v>121</v>
      </c>
      <c r="CG61" s="8" t="n">
        <v>7</v>
      </c>
      <c r="CH61" s="9">
        <f>CD61+CE61+CF61+CG61</f>
        <v/>
      </c>
      <c r="CI61" s="8" t="n">
        <v>4464</v>
      </c>
      <c r="CJ61" s="8" t="n">
        <v>4</v>
      </c>
      <c r="CK61" s="8" t="n">
        <v>2</v>
      </c>
      <c r="CL61" s="8" t="n">
        <v>1</v>
      </c>
      <c r="CM61" s="9">
        <f>CI61+CJ61+CK61+CL61</f>
        <v/>
      </c>
      <c r="CN61" s="8" t="n">
        <v>3853</v>
      </c>
      <c r="CO61" s="8" t="n">
        <v>158</v>
      </c>
      <c r="CP61" s="8" t="n">
        <v>431</v>
      </c>
      <c r="CQ61" s="8" t="n">
        <v>72</v>
      </c>
      <c r="CR61" s="9">
        <f>CN61+CO61+CP61+CQ61</f>
        <v/>
      </c>
      <c r="CS61" s="9">
        <f>CM61+CR61</f>
        <v/>
      </c>
      <c r="CT61" s="8" t="n">
        <v>11264</v>
      </c>
      <c r="CU61" s="8" t="n">
        <v>51156</v>
      </c>
      <c r="CV61" s="8" t="n">
        <v>46694</v>
      </c>
      <c r="CW61" s="10">
        <f>IF(CU61=0,"",CV61/CU61)</f>
        <v/>
      </c>
      <c r="CX61" s="8" t="n">
        <v>1</v>
      </c>
      <c r="CY61" s="8" t="n"/>
      <c r="CZ61" s="8" t="n"/>
      <c r="DA61" s="8" t="n"/>
      <c r="DB61" s="9">
        <f>CX61+CY61-CZ61-DA61</f>
        <v/>
      </c>
      <c r="DC61" s="8" t="n">
        <v>0</v>
      </c>
      <c r="DD61" s="8" t="n">
        <v>0</v>
      </c>
      <c r="DE61" s="8" t="n">
        <v>0</v>
      </c>
      <c r="DF61" s="8" t="n">
        <v>0</v>
      </c>
      <c r="DG61" s="9">
        <f>DC61+DD61-DE61-DF61</f>
        <v/>
      </c>
      <c r="DH61" s="8" t="n">
        <v>0</v>
      </c>
      <c r="DI61" s="8" t="n">
        <v>0</v>
      </c>
      <c r="DJ61" s="8" t="n">
        <v>0</v>
      </c>
      <c r="DK61" s="8" t="n">
        <v>0</v>
      </c>
      <c r="DL61" s="9">
        <f>DH61+DI61-DJ61-DK61</f>
        <v/>
      </c>
      <c r="DM61" s="8" t="n">
        <v>362</v>
      </c>
      <c r="DN61" s="8" t="n">
        <v>285</v>
      </c>
      <c r="DO61" s="8" t="n">
        <v>0</v>
      </c>
      <c r="DP61" s="8" t="n">
        <v>0</v>
      </c>
      <c r="DQ61" s="9">
        <f>DM61+DN61-DO61-DP61</f>
        <v/>
      </c>
      <c r="DR61" s="9">
        <f>CX61+DC61+DH61+DM61</f>
        <v/>
      </c>
      <c r="DS61" s="9">
        <f>CY61+DD61+DI61+DN61</f>
        <v/>
      </c>
      <c r="DT61" s="9">
        <f>CZ61+DE61+DJ61+DO61</f>
        <v/>
      </c>
      <c r="DU61" s="9">
        <f>DA61+DF61+DK61+DP61</f>
        <v/>
      </c>
      <c r="DV61" s="9">
        <f>DB61+DG61+DL61+DQ61</f>
        <v/>
      </c>
      <c r="DW61" s="8" t="n">
        <v>91</v>
      </c>
      <c r="DX61" s="8" t="n">
        <v>56</v>
      </c>
      <c r="DY61" s="8" t="n">
        <v>13</v>
      </c>
      <c r="DZ61" s="8" t="n">
        <v>13</v>
      </c>
      <c r="EA61" s="8" t="n">
        <v>8</v>
      </c>
      <c r="EB61" s="8" t="n">
        <v>1</v>
      </c>
      <c r="EC61" s="8" t="n">
        <v>0</v>
      </c>
      <c r="ED61" s="8" t="n">
        <v>0</v>
      </c>
      <c r="EE61" s="8" t="n">
        <v>1</v>
      </c>
      <c r="EF61" s="8" t="n">
        <v>0</v>
      </c>
      <c r="EG61" s="8" t="n">
        <v>0</v>
      </c>
      <c r="EH61" s="8" t="n">
        <v>0</v>
      </c>
      <c r="EI61" s="8" t="n">
        <v>0</v>
      </c>
      <c r="EJ61" s="8" t="n">
        <v>0</v>
      </c>
      <c r="EK61" s="8" t="n">
        <v>0</v>
      </c>
      <c r="EL61" s="8" t="n">
        <v>0</v>
      </c>
      <c r="EM61" s="8" t="n">
        <v>0</v>
      </c>
      <c r="EN61" s="8" t="n">
        <v>0</v>
      </c>
      <c r="EO61" s="8" t="n">
        <v>0</v>
      </c>
      <c r="EP61" s="8" t="n">
        <v>0</v>
      </c>
      <c r="EQ61" s="8" t="n">
        <v>0</v>
      </c>
      <c r="ER61" s="8" t="n">
        <v>0</v>
      </c>
      <c r="ES61" s="8" t="n">
        <v>0</v>
      </c>
      <c r="ET61" s="8" t="n">
        <v>0</v>
      </c>
      <c r="EU61" s="8" t="n">
        <v>0</v>
      </c>
      <c r="EV61" s="8" t="n">
        <v>0</v>
      </c>
      <c r="EW61" s="8" t="n">
        <v>0</v>
      </c>
      <c r="EX61" s="8" t="n">
        <v>0</v>
      </c>
      <c r="EY61" s="8" t="n">
        <v>0</v>
      </c>
      <c r="EZ61" s="8" t="n">
        <v>0</v>
      </c>
      <c r="FA61" s="8" t="n">
        <v>0</v>
      </c>
      <c r="FB61" s="8" t="n">
        <v>0</v>
      </c>
      <c r="FC61" s="8" t="n">
        <v>0</v>
      </c>
      <c r="FD61" s="8" t="n">
        <v>0</v>
      </c>
      <c r="FE61" s="8" t="n">
        <v>0</v>
      </c>
      <c r="FF61" s="8" t="n">
        <v>0</v>
      </c>
      <c r="FG61" s="9">
        <f>SUM(DW61,DX61,DY61,DZ61,EA61,EB61,EC61,ED61,EE61,EF61,EG61,EH61,EI61,EJ61,EK61,EL61,EM61,EN61,EO61,EP61,EQ61,ER61,ES61,ET61,EU61,EV61,EW61,EX61,EY61,EZ61,FA61,FB61,FC61,FD61,FE61,FF61)</f>
        <v/>
      </c>
      <c r="FH61" s="8" t="n">
        <v>7</v>
      </c>
      <c r="FI61" s="8" t="n">
        <v>509</v>
      </c>
      <c r="FJ61" s="8" t="n">
        <v>0</v>
      </c>
      <c r="FK61" s="8" t="n">
        <v>61</v>
      </c>
      <c r="FL61" s="8" t="n">
        <v>0</v>
      </c>
      <c r="FM61" s="8" t="n">
        <v>0</v>
      </c>
      <c r="FN61" s="8" t="n">
        <v>0</v>
      </c>
      <c r="FO61" s="8" t="n">
        <v>0</v>
      </c>
      <c r="FP61" s="8" t="n">
        <v>0</v>
      </c>
      <c r="FQ61" s="9">
        <f>FL61+FM61+FN61+FO61+FP61</f>
        <v/>
      </c>
      <c r="FR61" s="8" t="n">
        <v>66379044</v>
      </c>
      <c r="FS61" s="8" t="n">
        <v>0</v>
      </c>
      <c r="FT61" s="8" t="n">
        <v>808300</v>
      </c>
      <c r="FU61" s="8" t="n">
        <v>0</v>
      </c>
      <c r="FV61" s="9">
        <f>FR61+FS61+FT61+FU61</f>
        <v/>
      </c>
      <c r="FW61" s="8" t="n">
        <v>28770454</v>
      </c>
      <c r="FX61" s="8" t="n">
        <v>950100</v>
      </c>
      <c r="FY61" s="8" t="n">
        <v>13164652.4</v>
      </c>
      <c r="FZ61" s="8" t="n">
        <v>13179058</v>
      </c>
      <c r="GA61" s="9">
        <f>FW61+FX61+FY61+FZ61</f>
        <v/>
      </c>
      <c r="GB61" s="9">
        <f>FV61+GA61</f>
        <v/>
      </c>
      <c r="GC61" s="8" t="n">
        <v>56798704</v>
      </c>
      <c r="GD61" s="8" t="n">
        <v>11476.8</v>
      </c>
      <c r="GE61" s="8" t="n">
        <v>499512.04</v>
      </c>
      <c r="GF61" s="8" t="n">
        <v>260919.76</v>
      </c>
      <c r="GG61" s="9">
        <f>GC61+GD61+GE61+GF61</f>
        <v/>
      </c>
      <c r="GH61" s="8" t="n">
        <v>28726113.92</v>
      </c>
      <c r="GI61" s="8" t="n">
        <v>950100</v>
      </c>
      <c r="GJ61" s="8" t="n">
        <v>13289148</v>
      </c>
      <c r="GK61" s="8" t="n">
        <v>13134752.4</v>
      </c>
      <c r="GL61" s="9">
        <f>GH61+GI61+GJ61+GK61</f>
        <v/>
      </c>
      <c r="GM61" s="9">
        <f>GG61+GL61</f>
        <v/>
      </c>
      <c r="GN61" s="8" t="n">
        <v>2425862</v>
      </c>
      <c r="GO61" s="8" t="n">
        <v>191.28</v>
      </c>
      <c r="GP61" s="8" t="n">
        <v>13574.56</v>
      </c>
      <c r="GQ61" s="8" t="n">
        <v>9274.68</v>
      </c>
      <c r="GR61" s="9">
        <f>GN61+GO61+GP61+GQ61</f>
        <v/>
      </c>
      <c r="GS61" s="8" t="n">
        <v>3986352</v>
      </c>
      <c r="GT61" s="8" t="n">
        <v>893</v>
      </c>
      <c r="GU61" s="8" t="n">
        <v>3572</v>
      </c>
      <c r="GV61" s="8" t="n">
        <v>1786</v>
      </c>
      <c r="GW61" s="9">
        <f>GS61+GT61+GU61+GV61</f>
        <v/>
      </c>
      <c r="GX61" s="9">
        <f>GM61+GR61+GW61</f>
        <v/>
      </c>
      <c r="GY61" s="8" t="n">
        <v>71204532.74000119</v>
      </c>
      <c r="GZ61" s="8" t="n">
        <v>305077837.5800001</v>
      </c>
      <c r="HA61" s="9">
        <f>GY61+GZ61</f>
        <v/>
      </c>
      <c r="HB61" s="9">
        <f>IF(GX61=0,"",AU61/GX61)</f>
        <v/>
      </c>
      <c r="HC61" s="10">
        <f>IF((GX61+GY61)=0,"",GB61/(GX61+GY61))</f>
        <v/>
      </c>
      <c r="HD61" s="9">
        <f>IF(GX61=0,"",GB61/GX61)</f>
        <v/>
      </c>
      <c r="HE61" s="8" t="n">
        <v>0</v>
      </c>
      <c r="HF61" s="8" t="n">
        <v>1</v>
      </c>
      <c r="HG61" s="8" t="n">
        <v>1970</v>
      </c>
      <c r="HH61" s="8" t="n">
        <v>116</v>
      </c>
      <c r="HI61" s="8" t="n">
        <v>8820</v>
      </c>
      <c r="HJ61" s="9">
        <f>HF61+HI61</f>
        <v/>
      </c>
      <c r="HK61" s="10">
        <f>IF(HE61=0,"",HH61/HE61)</f>
        <v/>
      </c>
      <c r="HL61" s="8" t="n">
        <v>24</v>
      </c>
      <c r="HM61" s="8" t="n">
        <v>4</v>
      </c>
      <c r="HN61" s="11">
        <f>IF(HL61=0,"",HM61/HL61)</f>
        <v/>
      </c>
    </row>
    <row r="62">
      <c r="A62" s="12" t="inlineStr">
        <is>
          <t>Mangochi</t>
        </is>
      </c>
      <c r="B62" s="12" t="inlineStr">
        <is>
          <t>Mangochi</t>
        </is>
      </c>
      <c r="C62" s="13" t="inlineStr">
        <is>
          <t>FY2025/26</t>
        </is>
      </c>
      <c r="D62" s="13" t="n">
        <v>2026</v>
      </c>
      <c r="E62" s="13" t="n">
        <v>3</v>
      </c>
      <c r="F62" s="13" t="inlineStr">
        <is>
          <t>March</t>
        </is>
      </c>
      <c r="G62" s="13" t="inlineStr">
        <is>
          <t>Q4</t>
        </is>
      </c>
      <c r="H62" s="14" t="n">
        <v>147804</v>
      </c>
      <c r="I62" s="14" t="n">
        <v>49730</v>
      </c>
      <c r="J62" s="14" t="n">
        <v>0</v>
      </c>
      <c r="K62" s="14" t="n">
        <v>118</v>
      </c>
      <c r="L62" s="14" t="n">
        <v>61</v>
      </c>
      <c r="M62" s="15">
        <f>SUM(I62,J62,K62,L62)</f>
        <v/>
      </c>
      <c r="N62" s="14" t="n">
        <v>42977</v>
      </c>
      <c r="O62" s="14" t="n">
        <v>4495.299999999999</v>
      </c>
      <c r="P62" s="14" t="n">
        <v>4223.699999999999</v>
      </c>
      <c r="Q62" s="14" t="n">
        <v>2550.699999999998</v>
      </c>
      <c r="R62" s="15">
        <f>SUM(N62,O62,P62,Q62)</f>
        <v/>
      </c>
      <c r="S62" s="15">
        <f>M62+R62</f>
        <v/>
      </c>
      <c r="T62" s="14" t="n">
        <v>43648.3</v>
      </c>
      <c r="U62" s="16">
        <f>IF(H62=0,"",T62/H62)</f>
        <v/>
      </c>
      <c r="V62" s="14" t="n">
        <v>388.4</v>
      </c>
      <c r="W62" s="17">
        <f>IF(H62=0,"",V62/H62)</f>
        <v/>
      </c>
      <c r="X62" s="14" t="n">
        <v>425</v>
      </c>
      <c r="Y62" s="17">
        <f>IF(H62=0,"",X62/H62)</f>
        <v/>
      </c>
      <c r="Z62" s="14" t="n">
        <v>0</v>
      </c>
      <c r="AA62" s="17">
        <f>IF(H62=0,"",Z62/H62)</f>
        <v/>
      </c>
      <c r="AB62" s="14" t="n">
        <v>0</v>
      </c>
      <c r="AC62" s="17">
        <f>IF(H62=0,"",AB62/H62)</f>
        <v/>
      </c>
      <c r="AD62" s="14" t="n">
        <v>0</v>
      </c>
      <c r="AE62" s="17">
        <f>IF(H62=0,"",AD62/H62)</f>
        <v/>
      </c>
      <c r="AF62" s="14" t="n">
        <v>0</v>
      </c>
      <c r="AG62" s="17">
        <f>IF(H62=0,"",AF62/H62)</f>
        <v/>
      </c>
      <c r="AH62" s="14" t="n">
        <v>9757482.439999999</v>
      </c>
      <c r="AI62" s="15">
        <f>IF(H62=0,"",AH62/H62)</f>
        <v/>
      </c>
      <c r="AJ62" s="14" t="n">
        <v>272296.57</v>
      </c>
      <c r="AK62" s="17">
        <f>IF(H62=0,"",AJ62/H62)</f>
        <v/>
      </c>
      <c r="AL62" s="14" t="n">
        <v>19339</v>
      </c>
      <c r="AM62" s="15">
        <f>IF(H62=0,"",AL62/H62)</f>
        <v/>
      </c>
      <c r="AN62" s="14" t="n">
        <v>4077</v>
      </c>
      <c r="AO62" s="14" t="n">
        <v>911.92</v>
      </c>
      <c r="AP62" s="14" t="n">
        <v>4535769.3</v>
      </c>
      <c r="AQ62" s="14" t="n">
        <v>0</v>
      </c>
      <c r="AR62" s="14" t="n">
        <v>30076906.43</v>
      </c>
      <c r="AS62" s="14" t="n">
        <v>4196471.68</v>
      </c>
      <c r="AT62" s="14" t="n">
        <v>3719470</v>
      </c>
      <c r="AU62" s="15">
        <f>AH62+AL62+AP62+AQ62+AR62+AS62+AT62</f>
        <v/>
      </c>
      <c r="AV62" s="15">
        <f>IF(H62=0,"",AU62/H62)</f>
        <v/>
      </c>
      <c r="AW62" s="15">
        <f>IF(S62=0,"",AU62/S62)</f>
        <v/>
      </c>
      <c r="AX62" s="14" t="n">
        <v>24</v>
      </c>
      <c r="AY62" s="15">
        <f>IF(H62=0,"",AX62/(H62/1000/12))</f>
        <v/>
      </c>
      <c r="AZ62" s="14" t="n">
        <v>29</v>
      </c>
      <c r="BA62" s="14" t="n">
        <v>1959</v>
      </c>
      <c r="BB62" s="14" t="n">
        <v>98</v>
      </c>
      <c r="BC62" s="14" t="n">
        <v>0</v>
      </c>
      <c r="BD62" s="14" t="n">
        <v>79</v>
      </c>
      <c r="BE62" s="15">
        <f>BC62+BD62</f>
        <v/>
      </c>
      <c r="BF62" s="15">
        <f>BA62+BB62-BE62</f>
        <v/>
      </c>
      <c r="BG62" s="14" t="n">
        <v>2</v>
      </c>
      <c r="BH62" s="14" t="n">
        <v>0</v>
      </c>
      <c r="BI62" s="14" t="n">
        <v>0</v>
      </c>
      <c r="BJ62" s="14" t="n">
        <v>0</v>
      </c>
      <c r="BK62" s="15">
        <f>BI62+BJ62</f>
        <v/>
      </c>
      <c r="BL62" s="15">
        <f>BG62+BH62-BK62</f>
        <v/>
      </c>
      <c r="BM62" s="14" t="n">
        <v>9</v>
      </c>
      <c r="BN62" s="14" t="n">
        <v>1</v>
      </c>
      <c r="BO62" s="14" t="n">
        <v>0</v>
      </c>
      <c r="BP62" s="14" t="n">
        <v>0</v>
      </c>
      <c r="BQ62" s="15">
        <f>BO62+BP62</f>
        <v/>
      </c>
      <c r="BR62" s="15">
        <f>BM62+BN62-BQ62</f>
        <v/>
      </c>
      <c r="BS62" s="14" t="n">
        <v>0</v>
      </c>
      <c r="BT62" s="14" t="n">
        <v>0</v>
      </c>
      <c r="BU62" s="14" t="n">
        <v>0</v>
      </c>
      <c r="BV62" s="14" t="n">
        <v>0</v>
      </c>
      <c r="BW62" s="15">
        <f>BU62+BV62</f>
        <v/>
      </c>
      <c r="BX62" s="15">
        <f>BS62+BT62-BW62</f>
        <v/>
      </c>
      <c r="BY62" s="15">
        <f>BA62+BG62+BM62+BS62</f>
        <v/>
      </c>
      <c r="BZ62" s="15">
        <f>BB62+BH62+BN62+BT62</f>
        <v/>
      </c>
      <c r="CA62" s="15">
        <f>BE62+BK62+BQ62+BW62</f>
        <v/>
      </c>
      <c r="CB62" s="15">
        <f>BF62+BL62+BR62+BX62</f>
        <v/>
      </c>
      <c r="CC62" s="14" t="n">
        <v>79</v>
      </c>
      <c r="CD62" s="14" t="n">
        <v>2126</v>
      </c>
      <c r="CE62" s="14" t="n">
        <v>57</v>
      </c>
      <c r="CF62" s="14" t="n">
        <v>121</v>
      </c>
      <c r="CG62" s="14" t="n">
        <v>0</v>
      </c>
      <c r="CH62" s="15">
        <f>CD62+CE62+CF62+CG62</f>
        <v/>
      </c>
      <c r="CI62" s="14" t="n">
        <v>4440</v>
      </c>
      <c r="CJ62" s="14" t="n">
        <v>4</v>
      </c>
      <c r="CK62" s="14" t="n">
        <v>2</v>
      </c>
      <c r="CL62" s="14" t="n">
        <v>0</v>
      </c>
      <c r="CM62" s="15">
        <f>CI62+CJ62+CK62+CL62</f>
        <v/>
      </c>
      <c r="CN62" s="14" t="n">
        <v>3932</v>
      </c>
      <c r="CO62" s="14" t="n">
        <v>158</v>
      </c>
      <c r="CP62" s="14" t="n">
        <v>431</v>
      </c>
      <c r="CQ62" s="14" t="n">
        <v>73</v>
      </c>
      <c r="CR62" s="15">
        <f>CN62+CO62+CP62+CQ62</f>
        <v/>
      </c>
      <c r="CS62" s="15">
        <f>CM62+CR62</f>
        <v/>
      </c>
      <c r="CT62" s="14" t="n">
        <v>11344</v>
      </c>
      <c r="CU62" s="14" t="n">
        <v>51231</v>
      </c>
      <c r="CV62" s="14" t="n">
        <v>47089</v>
      </c>
      <c r="CW62" s="16">
        <f>IF(CU62=0,"",CV62/CU62)</f>
        <v/>
      </c>
      <c r="CX62" s="14" t="n">
        <v>1</v>
      </c>
      <c r="CY62" s="14" t="n"/>
      <c r="CZ62" s="14" t="n"/>
      <c r="DA62" s="14" t="n"/>
      <c r="DB62" s="15">
        <f>CX62+CY62-CZ62-DA62</f>
        <v/>
      </c>
      <c r="DC62" s="14" t="n">
        <v>0</v>
      </c>
      <c r="DD62" s="14" t="n">
        <v>0</v>
      </c>
      <c r="DE62" s="14" t="n">
        <v>0</v>
      </c>
      <c r="DF62" s="14" t="n">
        <v>0</v>
      </c>
      <c r="DG62" s="15">
        <f>DC62+DD62-DE62-DF62</f>
        <v/>
      </c>
      <c r="DH62" s="14" t="n">
        <v>0</v>
      </c>
      <c r="DI62" s="14" t="n">
        <v>0</v>
      </c>
      <c r="DJ62" s="14" t="n">
        <v>0</v>
      </c>
      <c r="DK62" s="14" t="n">
        <v>0</v>
      </c>
      <c r="DL62" s="15">
        <f>DH62+DI62-DJ62-DK62</f>
        <v/>
      </c>
      <c r="DM62" s="14" t="n">
        <v>647</v>
      </c>
      <c r="DN62" s="14" t="n">
        <v>0</v>
      </c>
      <c r="DO62" s="14" t="n">
        <v>227</v>
      </c>
      <c r="DP62" s="14" t="n">
        <v>0</v>
      </c>
      <c r="DQ62" s="15">
        <f>DM62+DN62-DO62-DP62</f>
        <v/>
      </c>
      <c r="DR62" s="15">
        <f>CX62+DC62+DH62+DM62</f>
        <v/>
      </c>
      <c r="DS62" s="15">
        <f>CY62+DD62+DI62+DN62</f>
        <v/>
      </c>
      <c r="DT62" s="15">
        <f>CZ62+DE62+DJ62+DO62</f>
        <v/>
      </c>
      <c r="DU62" s="15">
        <f>DA62+DF62+DK62+DP62</f>
        <v/>
      </c>
      <c r="DV62" s="15">
        <f>DB62+DG62+DL62+DQ62</f>
        <v/>
      </c>
      <c r="DW62" s="14" t="n">
        <v>98</v>
      </c>
      <c r="DX62" s="14" t="n">
        <v>59</v>
      </c>
      <c r="DY62" s="14" t="n">
        <v>21</v>
      </c>
      <c r="DZ62" s="14" t="n">
        <v>14</v>
      </c>
      <c r="EA62" s="14" t="n">
        <v>6</v>
      </c>
      <c r="EB62" s="14" t="n">
        <v>4</v>
      </c>
      <c r="EC62" s="14" t="n">
        <v>2</v>
      </c>
      <c r="ED62" s="14" t="n">
        <v>0</v>
      </c>
      <c r="EE62" s="14" t="n">
        <v>1</v>
      </c>
      <c r="EF62" s="14" t="n">
        <v>2</v>
      </c>
      <c r="EG62" s="14" t="n">
        <v>0</v>
      </c>
      <c r="EH62" s="14" t="n">
        <v>0</v>
      </c>
      <c r="EI62" s="14" t="n">
        <v>0</v>
      </c>
      <c r="EJ62" s="14" t="n">
        <v>10</v>
      </c>
      <c r="EK62" s="14" t="n">
        <v>7</v>
      </c>
      <c r="EL62" s="14" t="n">
        <v>0</v>
      </c>
      <c r="EM62" s="14" t="n">
        <v>0</v>
      </c>
      <c r="EN62" s="14" t="n">
        <v>0</v>
      </c>
      <c r="EO62" s="14" t="n">
        <v>0</v>
      </c>
      <c r="EP62" s="14" t="n">
        <v>0</v>
      </c>
      <c r="EQ62" s="14" t="n">
        <v>0</v>
      </c>
      <c r="ER62" s="14" t="n">
        <v>0</v>
      </c>
      <c r="ES62" s="14" t="n">
        <v>0</v>
      </c>
      <c r="ET62" s="14" t="n">
        <v>0</v>
      </c>
      <c r="EU62" s="14" t="n">
        <v>0</v>
      </c>
      <c r="EV62" s="14" t="n">
        <v>0</v>
      </c>
      <c r="EW62" s="14" t="n">
        <v>0</v>
      </c>
      <c r="EX62" s="14" t="n">
        <v>0</v>
      </c>
      <c r="EY62" s="14" t="n">
        <v>0</v>
      </c>
      <c r="EZ62" s="14" t="n">
        <v>0</v>
      </c>
      <c r="FA62" s="14" t="n">
        <v>0</v>
      </c>
      <c r="FB62" s="14" t="n">
        <v>0</v>
      </c>
      <c r="FC62" s="14" t="n">
        <v>0</v>
      </c>
      <c r="FD62" s="14" t="n">
        <v>0</v>
      </c>
      <c r="FE62" s="14" t="n">
        <v>0</v>
      </c>
      <c r="FF62" s="14" t="n">
        <v>0</v>
      </c>
      <c r="FG62" s="15">
        <f>SUM(DW62,DX62,DY62,DZ62,EA62,EB62,EC62,ED62,EE62,EF62,EG62,EH62,EI62,EJ62,EK62,EL62,EM62,EN62,EO62,EP62,EQ62,ER62,ES62,ET62,EU62,EV62,EW62,EX62,EY62,EZ62,FA62,FB62,FC62,FD62,FE62,FF62)</f>
        <v/>
      </c>
      <c r="FH62" s="14" t="n">
        <v>7</v>
      </c>
      <c r="FI62" s="14" t="n">
        <v>532</v>
      </c>
      <c r="FJ62" s="14" t="n">
        <v>0</v>
      </c>
      <c r="FK62" s="14" t="n">
        <v>120</v>
      </c>
      <c r="FL62" s="14" t="n">
        <v>0</v>
      </c>
      <c r="FM62" s="14" t="n">
        <v>0</v>
      </c>
      <c r="FN62" s="14" t="n">
        <v>0</v>
      </c>
      <c r="FO62" s="14" t="n">
        <v>0</v>
      </c>
      <c r="FP62" s="14" t="n">
        <v>0</v>
      </c>
      <c r="FQ62" s="15">
        <f>FL62+FM62+FN62+FO62+FP62</f>
        <v/>
      </c>
      <c r="FR62" s="14" t="n">
        <v>45289867</v>
      </c>
      <c r="FS62" s="14" t="n">
        <v>0</v>
      </c>
      <c r="FT62" s="14" t="n">
        <v>17300</v>
      </c>
      <c r="FU62" s="14" t="n">
        <v>0</v>
      </c>
      <c r="FV62" s="15">
        <f>FR62+FS62+FT62+FU62</f>
        <v/>
      </c>
      <c r="FW62" s="14" t="n">
        <v>28687404</v>
      </c>
      <c r="FX62" s="14" t="n">
        <v>957100</v>
      </c>
      <c r="FY62" s="14" t="n">
        <v>11968614</v>
      </c>
      <c r="FZ62" s="14" t="n">
        <v>12688674</v>
      </c>
      <c r="GA62" s="15">
        <f>FW62+FX62+FY62+FZ62</f>
        <v/>
      </c>
      <c r="GB62" s="15">
        <f>FV62+GA62</f>
        <v/>
      </c>
      <c r="GC62" s="14" t="n">
        <v>45254007</v>
      </c>
      <c r="GD62" s="14" t="n">
        <v>0</v>
      </c>
      <c r="GE62" s="14" t="n">
        <v>372308.96</v>
      </c>
      <c r="GF62" s="14" t="n">
        <v>282523.52</v>
      </c>
      <c r="GG62" s="15">
        <f>GC62+GD62+GE62+GF62</f>
        <v/>
      </c>
      <c r="GH62" s="14" t="n">
        <v>28653054</v>
      </c>
      <c r="GI62" s="14" t="n">
        <v>957100</v>
      </c>
      <c r="GJ62" s="14" t="n">
        <v>12739774</v>
      </c>
      <c r="GK62" s="14" t="n">
        <v>11889714</v>
      </c>
      <c r="GL62" s="15">
        <f>GH62+GI62+GJ62+GK62</f>
        <v/>
      </c>
      <c r="GM62" s="15">
        <f>GG62+GL62</f>
        <v/>
      </c>
      <c r="GN62" s="14" t="n">
        <v>2411126</v>
      </c>
      <c r="GO62" s="14" t="n">
        <v>0</v>
      </c>
      <c r="GP62" s="14" t="n">
        <v>13574.56</v>
      </c>
      <c r="GQ62" s="14" t="n">
        <v>9274.68</v>
      </c>
      <c r="GR62" s="15">
        <f>GN62+GO62+GP62+GQ62</f>
        <v/>
      </c>
      <c r="GS62" s="14" t="n">
        <v>3964920</v>
      </c>
      <c r="GT62" s="14" t="n">
        <v>0</v>
      </c>
      <c r="GU62" s="14" t="n">
        <v>3572</v>
      </c>
      <c r="GV62" s="14" t="n">
        <v>1786</v>
      </c>
      <c r="GW62" s="15">
        <f>GS62+GT62+GU62+GV62</f>
        <v/>
      </c>
      <c r="GX62" s="15">
        <f>GM62+GR62+GW62</f>
        <v/>
      </c>
      <c r="GY62" s="14" t="n">
        <v>76536906.94000106</v>
      </c>
      <c r="GZ62" s="14" t="n">
        <v>304714545.9600001</v>
      </c>
      <c r="HA62" s="15">
        <f>GY62+GZ62</f>
        <v/>
      </c>
      <c r="HB62" s="15">
        <f>IF(GX62=0,"",AU62/GX62)</f>
        <v/>
      </c>
      <c r="HC62" s="16">
        <f>IF((GX62+GY62)=0,"",GB62/(GX62+GY62))</f>
        <v/>
      </c>
      <c r="HD62" s="15">
        <f>IF(GX62=0,"",GB62/GX62)</f>
        <v/>
      </c>
      <c r="HE62" s="14" t="n">
        <v>1990</v>
      </c>
      <c r="HF62" s="14" t="n">
        <v>1</v>
      </c>
      <c r="HG62" s="14" t="n">
        <v>1990</v>
      </c>
      <c r="HH62" s="14" t="n">
        <v>99</v>
      </c>
      <c r="HI62" s="14" t="n">
        <v>16340</v>
      </c>
      <c r="HJ62" s="15">
        <f>HF62+HI62</f>
        <v/>
      </c>
      <c r="HK62" s="16">
        <f>IF(HE62=0,"",HH62/HE62)</f>
        <v/>
      </c>
      <c r="HL62" s="14" t="n">
        <v>22</v>
      </c>
      <c r="HM62" s="14" t="n">
        <v>7</v>
      </c>
      <c r="HN62" s="17">
        <f>IF(HL62=0,"",HM62/HL62)</f>
        <v/>
      </c>
    </row>
    <row r="63">
      <c r="A63" s="6" t="inlineStr">
        <is>
          <t>Mangochi</t>
        </is>
      </c>
      <c r="B63" s="6" t="inlineStr">
        <is>
          <t>Monkey Bay</t>
        </is>
      </c>
      <c r="C63" s="7" t="inlineStr">
        <is>
          <t>FY2025/26</t>
        </is>
      </c>
      <c r="D63" s="7" t="n">
        <v>2025</v>
      </c>
      <c r="E63" s="7" t="n">
        <v>4</v>
      </c>
      <c r="F63" s="7" t="inlineStr">
        <is>
          <t>April</t>
        </is>
      </c>
      <c r="G63" s="7" t="inlineStr">
        <is>
          <t>Q1</t>
        </is>
      </c>
      <c r="H63" s="8" t="n">
        <v>65777</v>
      </c>
      <c r="I63" s="8" t="n">
        <v>22497</v>
      </c>
      <c r="J63" s="8" t="n">
        <v>0</v>
      </c>
      <c r="K63" s="8" t="n">
        <v>24782</v>
      </c>
      <c r="L63" s="8" t="n">
        <v>0</v>
      </c>
      <c r="M63" s="9">
        <f>SUM(I63,J63,K63,L63)</f>
        <v/>
      </c>
      <c r="N63" s="8" t="n">
        <v>4384.5</v>
      </c>
      <c r="O63" s="8" t="n">
        <v>1105.6</v>
      </c>
      <c r="P63" s="8" t="n">
        <v>2045.4</v>
      </c>
      <c r="Q63" s="8" t="n">
        <v>737.1</v>
      </c>
      <c r="R63" s="9">
        <f>SUM(N63,O63,P63,Q63)</f>
        <v/>
      </c>
      <c r="S63" s="9">
        <f>M63+R63</f>
        <v/>
      </c>
      <c r="T63" s="8" t="n">
        <v>10225.4</v>
      </c>
      <c r="U63" s="10">
        <f>IF(H63=0,"",T63/H63)</f>
        <v/>
      </c>
      <c r="V63" s="8" t="n">
        <v>155</v>
      </c>
      <c r="W63" s="11">
        <f>IF(H63=0,"",V63/H63)</f>
        <v/>
      </c>
      <c r="X63" s="8" t="n">
        <v>0</v>
      </c>
      <c r="Y63" s="11">
        <f>IF(H63=0,"",X63/H63)</f>
        <v/>
      </c>
      <c r="Z63" s="8" t="n">
        <v>0</v>
      </c>
      <c r="AA63" s="11">
        <f>IF(H63=0,"",Z63/H63)</f>
        <v/>
      </c>
      <c r="AB63" s="8" t="n">
        <v>0</v>
      </c>
      <c r="AC63" s="11">
        <f>IF(H63=0,"",AB63/H63)</f>
        <v/>
      </c>
      <c r="AD63" s="8" t="n">
        <v>0</v>
      </c>
      <c r="AE63" s="11">
        <f>IF(H63=0,"",AD63/H63)</f>
        <v/>
      </c>
      <c r="AF63" s="8" t="n">
        <v>0</v>
      </c>
      <c r="AG63" s="11">
        <f>IF(H63=0,"",AF63/H63)</f>
        <v/>
      </c>
      <c r="AH63" s="8" t="n">
        <v>3709010.5</v>
      </c>
      <c r="AI63" s="9">
        <f>IF(H63=0,"",AH63/H63)</f>
        <v/>
      </c>
      <c r="AJ63" s="8" t="n">
        <v>30825</v>
      </c>
      <c r="AK63" s="11">
        <f>IF(H63=0,"",AJ63/H63)</f>
        <v/>
      </c>
      <c r="AL63" s="8" t="n">
        <v>5172585.4375</v>
      </c>
      <c r="AM63" s="9">
        <f>IF(H63=0,"",AL63/H63)</f>
        <v/>
      </c>
      <c r="AN63" s="8" t="n">
        <v>3342</v>
      </c>
      <c r="AO63" s="8" t="n">
        <v>372</v>
      </c>
      <c r="AP63" s="8" t="n">
        <v>1017048</v>
      </c>
      <c r="AQ63" s="8" t="n">
        <v>0</v>
      </c>
      <c r="AR63" s="8" t="n">
        <v>5631606.93</v>
      </c>
      <c r="AS63" s="8" t="n">
        <v>1135817.81</v>
      </c>
      <c r="AT63" s="8" t="n">
        <v>656750</v>
      </c>
      <c r="AU63" s="9">
        <f>AH63+AL63+AP63+AQ63+AR63+AS63+AT63</f>
        <v/>
      </c>
      <c r="AV63" s="9">
        <f>IF(H63=0,"",AU63/H63)</f>
        <v/>
      </c>
      <c r="AW63" s="9">
        <f>IF(S63=0,"",AU63/S63)</f>
        <v/>
      </c>
      <c r="AX63" s="8" t="n">
        <v>6</v>
      </c>
      <c r="AY63" s="9">
        <f>IF(H63=0,"",AX63/(H63/1000/12))</f>
        <v/>
      </c>
      <c r="AZ63" s="8" t="n">
        <v>11</v>
      </c>
      <c r="BA63" s="8" t="n">
        <v>172</v>
      </c>
      <c r="BB63" s="8" t="n">
        <v>27</v>
      </c>
      <c r="BC63" s="8" t="n">
        <v>2</v>
      </c>
      <c r="BD63" s="8" t="n">
        <v>26</v>
      </c>
      <c r="BE63" s="9">
        <f>BC63+BD63</f>
        <v/>
      </c>
      <c r="BF63" s="9">
        <f>BA63+BB63-BE63</f>
        <v/>
      </c>
      <c r="BG63" s="8" t="n">
        <v>0</v>
      </c>
      <c r="BH63" s="8" t="n">
        <v>0</v>
      </c>
      <c r="BI63" s="8" t="n">
        <v>0</v>
      </c>
      <c r="BJ63" s="8" t="n">
        <v>0</v>
      </c>
      <c r="BK63" s="9">
        <f>BI63+BJ63</f>
        <v/>
      </c>
      <c r="BL63" s="9">
        <f>BG63+BH63-BK63</f>
        <v/>
      </c>
      <c r="BM63" s="8" t="n">
        <v>3</v>
      </c>
      <c r="BN63" s="8" t="n">
        <v>5</v>
      </c>
      <c r="BO63" s="8" t="n">
        <v>0</v>
      </c>
      <c r="BP63" s="8" t="n">
        <v>1</v>
      </c>
      <c r="BQ63" s="9">
        <f>BO63+BP63</f>
        <v/>
      </c>
      <c r="BR63" s="9">
        <f>BM63+BN63-BQ63</f>
        <v/>
      </c>
      <c r="BS63" s="8" t="n">
        <v>0</v>
      </c>
      <c r="BT63" s="8" t="n">
        <v>0</v>
      </c>
      <c r="BU63" s="8" t="n">
        <v>0</v>
      </c>
      <c r="BV63" s="8" t="n">
        <v>0</v>
      </c>
      <c r="BW63" s="9">
        <f>BU63+BV63</f>
        <v/>
      </c>
      <c r="BX63" s="9">
        <f>BS63+BT63-BW63</f>
        <v/>
      </c>
      <c r="BY63" s="9">
        <f>BA63+BG63+BM63+BS63</f>
        <v/>
      </c>
      <c r="BZ63" s="9">
        <f>BB63+BH63+BN63+BT63</f>
        <v/>
      </c>
      <c r="CA63" s="9">
        <f>BE63+BK63+BQ63+BW63</f>
        <v/>
      </c>
      <c r="CB63" s="9">
        <f>BF63+BL63+BR63+BX63</f>
        <v/>
      </c>
      <c r="CC63" s="8" t="n">
        <v>28</v>
      </c>
      <c r="CD63" s="8" t="n">
        <v>347</v>
      </c>
      <c r="CE63" s="8" t="n">
        <v>17</v>
      </c>
      <c r="CF63" s="8" t="n">
        <v>22</v>
      </c>
      <c r="CG63" s="8" t="n">
        <v>3</v>
      </c>
      <c r="CH63" s="9">
        <f>CD63+CE63+CF63+CG63</f>
        <v/>
      </c>
      <c r="CI63" s="8" t="n">
        <v>1520</v>
      </c>
      <c r="CJ63" s="8" t="n">
        <v>11</v>
      </c>
      <c r="CK63" s="8" t="n">
        <v>0</v>
      </c>
      <c r="CL63" s="8" t="n">
        <v>0</v>
      </c>
      <c r="CM63" s="9">
        <f>CI63+CJ63+CK63+CL63</f>
        <v/>
      </c>
      <c r="CN63" s="8" t="n">
        <v>595</v>
      </c>
      <c r="CO63" s="8" t="n">
        <v>43</v>
      </c>
      <c r="CP63" s="8" t="n">
        <v>85</v>
      </c>
      <c r="CQ63" s="8" t="n">
        <v>21</v>
      </c>
      <c r="CR63" s="9">
        <f>CN63+CO63+CP63+CQ63</f>
        <v/>
      </c>
      <c r="CS63" s="9">
        <f>CM63+CR63</f>
        <v/>
      </c>
      <c r="CT63" s="8" t="n">
        <v>2664</v>
      </c>
      <c r="CU63" s="8" t="n">
        <v>21363</v>
      </c>
      <c r="CV63" s="8" t="n">
        <v>19787</v>
      </c>
      <c r="CW63" s="10">
        <f>IF(CU63=0,"",CV63/CU63)</f>
        <v/>
      </c>
      <c r="CX63" s="8" t="n"/>
      <c r="CY63" s="8" t="n"/>
      <c r="CZ63" s="8" t="n"/>
      <c r="DA63" s="8" t="n"/>
      <c r="DB63" s="9">
        <f>CX63+CY63-CZ63-DA63</f>
        <v/>
      </c>
      <c r="DC63" s="8" t="n">
        <v>0</v>
      </c>
      <c r="DD63" s="8" t="n">
        <v>0</v>
      </c>
      <c r="DE63" s="8" t="n">
        <v>0</v>
      </c>
      <c r="DF63" s="8" t="n">
        <v>0</v>
      </c>
      <c r="DG63" s="9">
        <f>DC63+DD63-DE63-DF63</f>
        <v/>
      </c>
      <c r="DH63" s="8" t="n">
        <v>0</v>
      </c>
      <c r="DI63" s="8" t="n">
        <v>0</v>
      </c>
      <c r="DJ63" s="8" t="n">
        <v>0</v>
      </c>
      <c r="DK63" s="8" t="n">
        <v>0</v>
      </c>
      <c r="DL63" s="9">
        <f>DH63+DI63-DJ63-DK63</f>
        <v/>
      </c>
      <c r="DM63" s="8" t="n">
        <v>29</v>
      </c>
      <c r="DN63" s="8" t="n">
        <v>18</v>
      </c>
      <c r="DO63" s="8" t="n">
        <v>2</v>
      </c>
      <c r="DP63" s="8" t="n">
        <v>30</v>
      </c>
      <c r="DQ63" s="9">
        <f>DM63+DN63-DO63-DP63</f>
        <v/>
      </c>
      <c r="DR63" s="9">
        <f>CX63+DC63+DH63+DM63</f>
        <v/>
      </c>
      <c r="DS63" s="9">
        <f>CY63+DD63+DI63+DN63</f>
        <v/>
      </c>
      <c r="DT63" s="9">
        <f>CZ63+DE63+DJ63+DO63</f>
        <v/>
      </c>
      <c r="DU63" s="9">
        <f>DA63+DF63+DK63+DP63</f>
        <v/>
      </c>
      <c r="DV63" s="9">
        <f>DB63+DG63+DL63+DQ63</f>
        <v/>
      </c>
      <c r="DW63" s="8" t="n">
        <v>18</v>
      </c>
      <c r="DX63" s="8" t="n">
        <v>8</v>
      </c>
      <c r="DY63" s="8" t="n">
        <v>4</v>
      </c>
      <c r="DZ63" s="8" t="n">
        <v>1</v>
      </c>
      <c r="EA63" s="8" t="n">
        <v>1</v>
      </c>
      <c r="EB63" s="8" t="n">
        <v>2</v>
      </c>
      <c r="EC63" s="8" t="n">
        <v>0</v>
      </c>
      <c r="ED63" s="8" t="n">
        <v>1</v>
      </c>
      <c r="EE63" s="8" t="n">
        <v>0</v>
      </c>
      <c r="EF63" s="8" t="n">
        <v>0</v>
      </c>
      <c r="EG63" s="8" t="n">
        <v>0</v>
      </c>
      <c r="EH63" s="8" t="n">
        <v>0</v>
      </c>
      <c r="EI63" s="8" t="n">
        <v>0</v>
      </c>
      <c r="EJ63" s="8" t="n">
        <v>2</v>
      </c>
      <c r="EK63" s="8" t="n">
        <v>1</v>
      </c>
      <c r="EL63" s="8" t="n">
        <v>0</v>
      </c>
      <c r="EM63" s="8" t="n">
        <v>0</v>
      </c>
      <c r="EN63" s="8" t="n">
        <v>0</v>
      </c>
      <c r="EO63" s="8" t="n">
        <v>0</v>
      </c>
      <c r="EP63" s="8" t="n">
        <v>0</v>
      </c>
      <c r="EQ63" s="8" t="n">
        <v>0</v>
      </c>
      <c r="ER63" s="8" t="n">
        <v>0</v>
      </c>
      <c r="ES63" s="8" t="n">
        <v>0</v>
      </c>
      <c r="ET63" s="8" t="n">
        <v>0</v>
      </c>
      <c r="EU63" s="8" t="n">
        <v>0</v>
      </c>
      <c r="EV63" s="8" t="n">
        <v>0</v>
      </c>
      <c r="EW63" s="8" t="n">
        <v>0</v>
      </c>
      <c r="EX63" s="8" t="n">
        <v>0</v>
      </c>
      <c r="EY63" s="8" t="n">
        <v>0</v>
      </c>
      <c r="EZ63" s="8" t="n">
        <v>0</v>
      </c>
      <c r="FA63" s="8" t="n">
        <v>0</v>
      </c>
      <c r="FB63" s="8" t="n">
        <v>0</v>
      </c>
      <c r="FC63" s="8" t="n">
        <v>0</v>
      </c>
      <c r="FD63" s="8" t="n">
        <v>0</v>
      </c>
      <c r="FE63" s="8" t="n">
        <v>0</v>
      </c>
      <c r="FF63" s="8" t="n">
        <v>0</v>
      </c>
      <c r="FG63" s="9">
        <f>SUM(DW63,DX63,DY63,DZ63,EA63,EB63,EC63,ED63,EE63,EF63,EG63,EH63,EI63,EJ63,EK63,EL63,EM63,EN63,EO63,EP63,EQ63,ER63,ES63,ET63,EU63,EV63,EW63,EX63,EY63,EZ63,FA63,FB63,FC63,FD63,FE63,FF63)</f>
        <v/>
      </c>
      <c r="FH63" s="8" t="n">
        <v>6</v>
      </c>
      <c r="FI63" s="8" t="n">
        <v>634</v>
      </c>
      <c r="FJ63" s="8" t="n">
        <v>24</v>
      </c>
      <c r="FK63" s="8" t="n">
        <v>106</v>
      </c>
      <c r="FL63" s="8" t="n">
        <v>0</v>
      </c>
      <c r="FM63" s="8" t="n">
        <v>0</v>
      </c>
      <c r="FN63" s="8" t="n">
        <v>0</v>
      </c>
      <c r="FO63" s="8" t="n">
        <v>0</v>
      </c>
      <c r="FP63" s="8" t="n">
        <v>0</v>
      </c>
      <c r="FQ63" s="9">
        <f>FL63+FM63+FN63+FO63+FP63</f>
        <v/>
      </c>
      <c r="FR63" s="8" t="n">
        <v>13209404</v>
      </c>
      <c r="FS63" s="8" t="n">
        <v>0</v>
      </c>
      <c r="FT63" s="8" t="n">
        <v>0</v>
      </c>
      <c r="FU63" s="8" t="n">
        <v>0</v>
      </c>
      <c r="FV63" s="9">
        <f>FR63+FS63+FT63+FU63</f>
        <v/>
      </c>
      <c r="FW63" s="8" t="n">
        <v>5492715</v>
      </c>
      <c r="FX63" s="8" t="n">
        <v>235000</v>
      </c>
      <c r="FY63" s="8" t="n">
        <v>3622810.69</v>
      </c>
      <c r="FZ63" s="8" t="n">
        <v>6305691</v>
      </c>
      <c r="GA63" s="9">
        <f>FW63+FX63+FY63+FZ63</f>
        <v/>
      </c>
      <c r="GB63" s="9">
        <f>FV63+GA63</f>
        <v/>
      </c>
      <c r="GC63" s="8" t="n">
        <v>20804056</v>
      </c>
      <c r="GD63" s="8" t="n">
        <v>0</v>
      </c>
      <c r="GE63" s="8" t="n">
        <v>85612868.56</v>
      </c>
      <c r="GF63" s="8" t="n">
        <v>0</v>
      </c>
      <c r="GG63" s="9">
        <f>GC63+GD63+GE63+GF63</f>
        <v/>
      </c>
      <c r="GH63" s="8" t="n">
        <v>5466515</v>
      </c>
      <c r="GI63" s="8" t="n">
        <v>235000</v>
      </c>
      <c r="GJ63" s="8" t="n">
        <v>6216917.97</v>
      </c>
      <c r="GK63" s="8" t="n">
        <v>3490194.27</v>
      </c>
      <c r="GL63" s="9">
        <f>GH63+GI63+GJ63+GK63</f>
        <v/>
      </c>
      <c r="GM63" s="9">
        <f>GG63+GL63</f>
        <v/>
      </c>
      <c r="GN63" s="8" t="n">
        <v>770530</v>
      </c>
      <c r="GO63" s="8" t="n">
        <v>0</v>
      </c>
      <c r="GP63" s="8" t="n">
        <v>37330.04</v>
      </c>
      <c r="GQ63" s="8" t="n">
        <v>0</v>
      </c>
      <c r="GR63" s="9">
        <f>GN63+GO63+GP63+GQ63</f>
        <v/>
      </c>
      <c r="GS63" s="8" t="n">
        <v>1357360</v>
      </c>
      <c r="GT63" s="8" t="n">
        <v>0</v>
      </c>
      <c r="GU63" s="8" t="n">
        <v>9823</v>
      </c>
      <c r="GV63" s="8" t="n">
        <v>0</v>
      </c>
      <c r="GW63" s="9">
        <f>GS63+GT63+GU63+GV63</f>
        <v/>
      </c>
      <c r="GX63" s="9">
        <f>GM63+GR63+GW63</f>
        <v/>
      </c>
      <c r="GY63" s="8" t="n">
        <v>63609285.76000024</v>
      </c>
      <c r="GZ63" s="8" t="n">
        <v>248038089.46</v>
      </c>
      <c r="HA63" s="9">
        <f>GY63+GZ63</f>
        <v/>
      </c>
      <c r="HB63" s="9">
        <f>IF(GX63=0,"",AU63/GX63)</f>
        <v/>
      </c>
      <c r="HC63" s="10">
        <f>IF((GX63+GY63)=0,"",GB63/(GX63+GY63))</f>
        <v/>
      </c>
      <c r="HD63" s="9">
        <f>IF(GX63=0,"",GB63/GX63)</f>
        <v/>
      </c>
      <c r="HE63" s="8" t="n">
        <v>39</v>
      </c>
      <c r="HF63" s="8" t="n">
        <v>1</v>
      </c>
      <c r="HG63" s="8" t="n">
        <v>178</v>
      </c>
      <c r="HH63" s="8" t="n">
        <v>32</v>
      </c>
      <c r="HI63" s="8" t="n">
        <v>24</v>
      </c>
      <c r="HJ63" s="9">
        <f>HF63+HI63</f>
        <v/>
      </c>
      <c r="HK63" s="10">
        <f>IF(HE63=0,"",HH63/HE63)</f>
        <v/>
      </c>
      <c r="HL63" s="8" t="n">
        <v>62</v>
      </c>
      <c r="HM63" s="8" t="n">
        <v>1</v>
      </c>
      <c r="HN63" s="11">
        <f>IF(HL63=0,"",HM63/HL63)</f>
        <v/>
      </c>
    </row>
    <row r="64">
      <c r="A64" s="12" t="inlineStr">
        <is>
          <t>Mangochi</t>
        </is>
      </c>
      <c r="B64" s="12" t="inlineStr">
        <is>
          <t>Monkey Bay</t>
        </is>
      </c>
      <c r="C64" s="13" t="inlineStr">
        <is>
          <t>FY2025/26</t>
        </is>
      </c>
      <c r="D64" s="13" t="n">
        <v>2025</v>
      </c>
      <c r="E64" s="13" t="n">
        <v>5</v>
      </c>
      <c r="F64" s="13" t="inlineStr">
        <is>
          <t>May</t>
        </is>
      </c>
      <c r="G64" s="13" t="inlineStr">
        <is>
          <t>Q1</t>
        </is>
      </c>
      <c r="H64" s="14" t="n">
        <v>81273</v>
      </c>
      <c r="I64" s="14" t="n">
        <v>31149</v>
      </c>
      <c r="J64" s="14" t="n">
        <v>0</v>
      </c>
      <c r="K64" s="14" t="n">
        <v>22651</v>
      </c>
      <c r="L64" s="14" t="n">
        <v>0</v>
      </c>
      <c r="M64" s="15">
        <f>SUM(I64,J64,K64,L64)</f>
        <v/>
      </c>
      <c r="N64" s="14" t="n">
        <v>4531.5</v>
      </c>
      <c r="O64" s="14" t="n">
        <v>1440.4</v>
      </c>
      <c r="P64" s="14" t="n">
        <v>3548.1</v>
      </c>
      <c r="Q64" s="14" t="n">
        <v>816.6</v>
      </c>
      <c r="R64" s="15">
        <f>SUM(N64,O64,P64,Q64)</f>
        <v/>
      </c>
      <c r="S64" s="15">
        <f>M64+R64</f>
        <v/>
      </c>
      <c r="T64" s="14" t="n">
        <v>17136.4</v>
      </c>
      <c r="U64" s="16">
        <f>IF(H64=0,"",T64/H64)</f>
        <v/>
      </c>
      <c r="V64" s="14" t="n">
        <v>155</v>
      </c>
      <c r="W64" s="17">
        <f>IF(H64=0,"",V64/H64)</f>
        <v/>
      </c>
      <c r="X64" s="14" t="n">
        <v>0</v>
      </c>
      <c r="Y64" s="17">
        <f>IF(H64=0,"",X64/H64)</f>
        <v/>
      </c>
      <c r="Z64" s="14" t="n">
        <v>0</v>
      </c>
      <c r="AA64" s="17">
        <f>IF(H64=0,"",Z64/H64)</f>
        <v/>
      </c>
      <c r="AB64" s="14" t="n">
        <v>0</v>
      </c>
      <c r="AC64" s="17">
        <f>IF(H64=0,"",AB64/H64)</f>
        <v/>
      </c>
      <c r="AD64" s="14" t="n">
        <v>0</v>
      </c>
      <c r="AE64" s="17">
        <f>IF(H64=0,"",AD64/H64)</f>
        <v/>
      </c>
      <c r="AF64" s="14" t="n">
        <v>0</v>
      </c>
      <c r="AG64" s="17">
        <f>IF(H64=0,"",AF64/H64)</f>
        <v/>
      </c>
      <c r="AH64" s="14" t="n">
        <v>3709010.5</v>
      </c>
      <c r="AI64" s="15">
        <f>IF(H64=0,"",AH64/H64)</f>
        <v/>
      </c>
      <c r="AJ64" s="14" t="n">
        <v>33173</v>
      </c>
      <c r="AK64" s="17">
        <f>IF(H64=0,"",AJ64/H64)</f>
        <v/>
      </c>
      <c r="AL64" s="14" t="n">
        <v>5565118.2075</v>
      </c>
      <c r="AM64" s="15">
        <f>IF(H64=0,"",AL64/H64)</f>
        <v/>
      </c>
      <c r="AN64" s="14" t="n">
        <v>3566</v>
      </c>
      <c r="AO64" s="14" t="n">
        <v>290</v>
      </c>
      <c r="AP64" s="14" t="n">
        <v>1886460</v>
      </c>
      <c r="AQ64" s="14" t="n">
        <v>0</v>
      </c>
      <c r="AR64" s="14" t="n">
        <v>5782850</v>
      </c>
      <c r="AS64" s="14" t="n">
        <v>1240096.71</v>
      </c>
      <c r="AT64" s="14" t="n">
        <v>664750</v>
      </c>
      <c r="AU64" s="15">
        <f>AH64+AL64+AP64+AQ64+AR64+AS64+AT64</f>
        <v/>
      </c>
      <c r="AV64" s="15">
        <f>IF(H64=0,"",AU64/H64)</f>
        <v/>
      </c>
      <c r="AW64" s="15">
        <f>IF(S64=0,"",AU64/S64)</f>
        <v/>
      </c>
      <c r="AX64" s="14" t="n">
        <v>6</v>
      </c>
      <c r="AY64" s="15">
        <f>IF(H64=0,"",AX64/(H64/1000/12))</f>
        <v/>
      </c>
      <c r="AZ64" s="14" t="n">
        <v>11</v>
      </c>
      <c r="BA64" s="14" t="n">
        <v>171</v>
      </c>
      <c r="BB64" s="14" t="n">
        <v>35</v>
      </c>
      <c r="BC64" s="14" t="n">
        <v>0</v>
      </c>
      <c r="BD64" s="14" t="n">
        <v>19</v>
      </c>
      <c r="BE64" s="15">
        <f>BC64+BD64</f>
        <v/>
      </c>
      <c r="BF64" s="15">
        <f>BA64+BB64-BE64</f>
        <v/>
      </c>
      <c r="BG64" s="14" t="n">
        <v>0</v>
      </c>
      <c r="BH64" s="14" t="n">
        <v>0</v>
      </c>
      <c r="BI64" s="14" t="n">
        <v>0</v>
      </c>
      <c r="BJ64" s="14" t="n">
        <v>0</v>
      </c>
      <c r="BK64" s="15">
        <f>BI64+BJ64</f>
        <v/>
      </c>
      <c r="BL64" s="15">
        <f>BG64+BH64-BK64</f>
        <v/>
      </c>
      <c r="BM64" s="14" t="n">
        <v>7</v>
      </c>
      <c r="BN64" s="14" t="n">
        <v>2</v>
      </c>
      <c r="BO64" s="14" t="n">
        <v>0</v>
      </c>
      <c r="BP64" s="14" t="n">
        <v>0</v>
      </c>
      <c r="BQ64" s="15">
        <f>BO64+BP64</f>
        <v/>
      </c>
      <c r="BR64" s="15">
        <f>BM64+BN64-BQ64</f>
        <v/>
      </c>
      <c r="BS64" s="14" t="n">
        <v>0</v>
      </c>
      <c r="BT64" s="14" t="n">
        <v>0</v>
      </c>
      <c r="BU64" s="14" t="n">
        <v>0</v>
      </c>
      <c r="BV64" s="14" t="n">
        <v>0</v>
      </c>
      <c r="BW64" s="15">
        <f>BU64+BV64</f>
        <v/>
      </c>
      <c r="BX64" s="15">
        <f>BS64+BT64-BW64</f>
        <v/>
      </c>
      <c r="BY64" s="15">
        <f>BA64+BG64+BM64+BS64</f>
        <v/>
      </c>
      <c r="BZ64" s="15">
        <f>BB64+BH64+BN64+BT64</f>
        <v/>
      </c>
      <c r="CA64" s="15">
        <f>BE64+BK64+BQ64+BW64</f>
        <v/>
      </c>
      <c r="CB64" s="15">
        <f>BF64+BL64+BR64+BX64</f>
        <v/>
      </c>
      <c r="CC64" s="14" t="n">
        <v>19</v>
      </c>
      <c r="CD64" s="14" t="n">
        <v>352</v>
      </c>
      <c r="CE64" s="14" t="n">
        <v>17</v>
      </c>
      <c r="CF64" s="14" t="n">
        <v>22</v>
      </c>
      <c r="CG64" s="14" t="n">
        <v>3</v>
      </c>
      <c r="CH64" s="15">
        <f>CD64+CE64+CF64+CG64</f>
        <v/>
      </c>
      <c r="CI64" s="14" t="n">
        <v>1516</v>
      </c>
      <c r="CJ64" s="14" t="n">
        <v>11</v>
      </c>
      <c r="CK64" s="14" t="n">
        <v>0</v>
      </c>
      <c r="CL64" s="14" t="n">
        <v>0</v>
      </c>
      <c r="CM64" s="15">
        <f>CI64+CJ64+CK64+CL64</f>
        <v/>
      </c>
      <c r="CN64" s="14" t="n">
        <v>614</v>
      </c>
      <c r="CO64" s="14" t="n">
        <v>43</v>
      </c>
      <c r="CP64" s="14" t="n">
        <v>85</v>
      </c>
      <c r="CQ64" s="14" t="n">
        <v>21</v>
      </c>
      <c r="CR64" s="15">
        <f>CN64+CO64+CP64+CQ64</f>
        <v/>
      </c>
      <c r="CS64" s="15">
        <f>CM64+CR64</f>
        <v/>
      </c>
      <c r="CT64" s="14" t="n">
        <v>2684</v>
      </c>
      <c r="CU64" s="14" t="n">
        <v>21398</v>
      </c>
      <c r="CV64" s="14" t="n">
        <v>19882</v>
      </c>
      <c r="CW64" s="16">
        <f>IF(CU64=0,"",CV64/CU64)</f>
        <v/>
      </c>
      <c r="CX64" s="14" t="n"/>
      <c r="CY64" s="14" t="n"/>
      <c r="CZ64" s="14" t="n"/>
      <c r="DA64" s="14" t="n"/>
      <c r="DB64" s="15">
        <f>CX64+CY64-CZ64-DA64</f>
        <v/>
      </c>
      <c r="DC64" s="14" t="n">
        <v>0</v>
      </c>
      <c r="DD64" s="14" t="n">
        <v>0</v>
      </c>
      <c r="DE64" s="14" t="n">
        <v>0</v>
      </c>
      <c r="DF64" s="14" t="n">
        <v>0</v>
      </c>
      <c r="DG64" s="15">
        <f>DC64+DD64-DE64-DF64</f>
        <v/>
      </c>
      <c r="DH64" s="14" t="n">
        <v>0</v>
      </c>
      <c r="DI64" s="14" t="n">
        <v>0</v>
      </c>
      <c r="DJ64" s="14" t="n">
        <v>0</v>
      </c>
      <c r="DK64" s="14" t="n">
        <v>0</v>
      </c>
      <c r="DL64" s="15">
        <f>DH64+DI64-DJ64-DK64</f>
        <v/>
      </c>
      <c r="DM64" s="14" t="n">
        <v>15</v>
      </c>
      <c r="DN64" s="14" t="n">
        <v>21</v>
      </c>
      <c r="DO64" s="14" t="n">
        <v>2</v>
      </c>
      <c r="DP64" s="14" t="n">
        <v>9</v>
      </c>
      <c r="DQ64" s="15">
        <f>DM64+DN64-DO64-DP64</f>
        <v/>
      </c>
      <c r="DR64" s="15">
        <f>CX64+DC64+DH64+DM64</f>
        <v/>
      </c>
      <c r="DS64" s="15">
        <f>CY64+DD64+DI64+DN64</f>
        <v/>
      </c>
      <c r="DT64" s="15">
        <f>CZ64+DE64+DJ64+DO64</f>
        <v/>
      </c>
      <c r="DU64" s="15">
        <f>DA64+DF64+DK64+DP64</f>
        <v/>
      </c>
      <c r="DV64" s="15">
        <f>DB64+DG64+DL64+DQ64</f>
        <v/>
      </c>
      <c r="DW64" s="14" t="n">
        <v>21</v>
      </c>
      <c r="DX64" s="14" t="n">
        <v>14</v>
      </c>
      <c r="DY64" s="14" t="n">
        <v>2</v>
      </c>
      <c r="DZ64" s="14" t="n">
        <v>0</v>
      </c>
      <c r="EA64" s="14" t="n">
        <v>0</v>
      </c>
      <c r="EB64" s="14" t="n">
        <v>2</v>
      </c>
      <c r="EC64" s="14" t="n">
        <v>0</v>
      </c>
      <c r="ED64" s="14" t="n">
        <v>3</v>
      </c>
      <c r="EE64" s="14" t="n">
        <v>1</v>
      </c>
      <c r="EF64" s="14" t="n">
        <v>0</v>
      </c>
      <c r="EG64" s="14" t="n">
        <v>0</v>
      </c>
      <c r="EH64" s="14" t="n">
        <v>0</v>
      </c>
      <c r="EI64" s="14" t="n">
        <v>0</v>
      </c>
      <c r="EJ64" s="14" t="n">
        <v>1</v>
      </c>
      <c r="EK64" s="14" t="n">
        <v>2</v>
      </c>
      <c r="EL64" s="14" t="n">
        <v>0</v>
      </c>
      <c r="EM64" s="14" t="n">
        <v>0</v>
      </c>
      <c r="EN64" s="14" t="n">
        <v>0</v>
      </c>
      <c r="EO64" s="14" t="n">
        <v>0</v>
      </c>
      <c r="EP64" s="14" t="n">
        <v>0</v>
      </c>
      <c r="EQ64" s="14" t="n">
        <v>0</v>
      </c>
      <c r="ER64" s="14" t="n">
        <v>0</v>
      </c>
      <c r="ES64" s="14" t="n">
        <v>0</v>
      </c>
      <c r="ET64" s="14" t="n">
        <v>0</v>
      </c>
      <c r="EU64" s="14" t="n">
        <v>0</v>
      </c>
      <c r="EV64" s="14" t="n">
        <v>0</v>
      </c>
      <c r="EW64" s="14" t="n">
        <v>0</v>
      </c>
      <c r="EX64" s="14" t="n">
        <v>0</v>
      </c>
      <c r="EY64" s="14" t="n">
        <v>0</v>
      </c>
      <c r="EZ64" s="14" t="n">
        <v>0</v>
      </c>
      <c r="FA64" s="14" t="n">
        <v>0</v>
      </c>
      <c r="FB64" s="14" t="n">
        <v>0</v>
      </c>
      <c r="FC64" s="14" t="n">
        <v>0</v>
      </c>
      <c r="FD64" s="14" t="n">
        <v>0</v>
      </c>
      <c r="FE64" s="14" t="n">
        <v>0</v>
      </c>
      <c r="FF64" s="14" t="n">
        <v>0</v>
      </c>
      <c r="FG64" s="15">
        <f>SUM(DW64,DX64,DY64,DZ64,EA64,EB64,EC64,ED64,EE64,EF64,EG64,EH64,EI64,EJ64,EK64,EL64,EM64,EN64,EO64,EP64,EQ64,ER64,ES64,ET64,EU64,EV64,EW64,EX64,EY64,EZ64,FA64,FB64,FC64,FD64,FE64,FF64)</f>
        <v/>
      </c>
      <c r="FH64" s="14" t="n">
        <v>6</v>
      </c>
      <c r="FI64" s="14" t="n">
        <v>634</v>
      </c>
      <c r="FJ64" s="14" t="n">
        <v>24</v>
      </c>
      <c r="FK64" s="14" t="n">
        <v>140</v>
      </c>
      <c r="FL64" s="14" t="n">
        <v>0</v>
      </c>
      <c r="FM64" s="14" t="n">
        <v>0</v>
      </c>
      <c r="FN64" s="14" t="n">
        <v>0</v>
      </c>
      <c r="FO64" s="14" t="n">
        <v>0</v>
      </c>
      <c r="FP64" s="14" t="n">
        <v>0</v>
      </c>
      <c r="FQ64" s="15">
        <f>FL64+FM64+FN64+FO64+FP64</f>
        <v/>
      </c>
      <c r="FR64" s="14" t="n">
        <v>16733169.35</v>
      </c>
      <c r="FS64" s="14" t="n">
        <v>0</v>
      </c>
      <c r="FT64" s="14" t="n">
        <v>0</v>
      </c>
      <c r="FU64" s="14" t="n">
        <v>0</v>
      </c>
      <c r="FV64" s="15">
        <f>FR64+FS64+FT64+FU64</f>
        <v/>
      </c>
      <c r="FW64" s="14" t="n">
        <v>5792677</v>
      </c>
      <c r="FX64" s="14" t="n">
        <v>307350</v>
      </c>
      <c r="FY64" s="14" t="n">
        <v>3811318</v>
      </c>
      <c r="FZ64" s="14" t="n">
        <v>10808023</v>
      </c>
      <c r="GA64" s="15">
        <f>FW64+FX64+FY64+FZ64</f>
        <v/>
      </c>
      <c r="GB64" s="15">
        <f>FV64+GA64</f>
        <v/>
      </c>
      <c r="GC64" s="14" t="n">
        <v>19537304</v>
      </c>
      <c r="GD64" s="14" t="n">
        <v>0</v>
      </c>
      <c r="GE64" s="14" t="n">
        <v>78240737.98999999</v>
      </c>
      <c r="GF64" s="14" t="n">
        <v>0</v>
      </c>
      <c r="GG64" s="15">
        <f>GC64+GD64+GE64+GF64</f>
        <v/>
      </c>
      <c r="GH64" s="14" t="n">
        <v>5652005.81</v>
      </c>
      <c r="GI64" s="14" t="n">
        <v>306000</v>
      </c>
      <c r="GJ64" s="14" t="n">
        <v>10784623</v>
      </c>
      <c r="GK64" s="14" t="n">
        <v>3734518</v>
      </c>
      <c r="GL64" s="15">
        <f>GH64+GI64+GJ64+GK64</f>
        <v/>
      </c>
      <c r="GM64" s="15">
        <f>GG64+GL64</f>
        <v/>
      </c>
      <c r="GN64" s="14" t="n">
        <v>768411</v>
      </c>
      <c r="GO64" s="14" t="n">
        <v>0</v>
      </c>
      <c r="GP64" s="14" t="n">
        <v>37330.04</v>
      </c>
      <c r="GQ64" s="14" t="n">
        <v>0</v>
      </c>
      <c r="GR64" s="15">
        <f>GN64+GO64+GP64+GQ64</f>
        <v/>
      </c>
      <c r="GS64" s="14" t="n">
        <v>1353788</v>
      </c>
      <c r="GT64" s="14" t="n">
        <v>0</v>
      </c>
      <c r="GU64" s="14" t="n">
        <v>9823</v>
      </c>
      <c r="GV64" s="14" t="n">
        <v>0</v>
      </c>
      <c r="GW64" s="15">
        <f>GS64+GT64+GU64+GV64</f>
        <v/>
      </c>
      <c r="GX64" s="15">
        <f>GM64+GR64+GW64</f>
        <v/>
      </c>
      <c r="GY64" s="14" t="n">
        <v>69715270.74999911</v>
      </c>
      <c r="GZ64" s="14" t="n">
        <v>325146328.8800001</v>
      </c>
      <c r="HA64" s="15">
        <f>GY64+GZ64</f>
        <v/>
      </c>
      <c r="HB64" s="15">
        <f>IF(GX64=0,"",AU64/GX64)</f>
        <v/>
      </c>
      <c r="HC64" s="16">
        <f>IF((GX64+GY64)=0,"",GB64/(GX64+GY64))</f>
        <v/>
      </c>
      <c r="HD64" s="15">
        <f>IF(GX64=0,"",GB64/GX64)</f>
        <v/>
      </c>
      <c r="HE64" s="14" t="n">
        <v>41</v>
      </c>
      <c r="HF64" s="14" t="n">
        <v>1</v>
      </c>
      <c r="HG64" s="14" t="n">
        <v>196</v>
      </c>
      <c r="HH64" s="14" t="n">
        <v>37</v>
      </c>
      <c r="HI64" s="14" t="n">
        <v>24</v>
      </c>
      <c r="HJ64" s="15">
        <f>HF64+HI64</f>
        <v/>
      </c>
      <c r="HK64" s="16">
        <f>IF(HE64=0,"",HH64/HE64)</f>
        <v/>
      </c>
      <c r="HL64" s="14" t="n">
        <v>57</v>
      </c>
      <c r="HM64" s="14" t="n">
        <v>24</v>
      </c>
      <c r="HN64" s="17">
        <f>IF(HL64=0,"",HM64/HL64)</f>
        <v/>
      </c>
    </row>
    <row r="65">
      <c r="A65" s="6" t="inlineStr">
        <is>
          <t>Mangochi</t>
        </is>
      </c>
      <c r="B65" s="6" t="inlineStr">
        <is>
          <t>Monkey Bay</t>
        </is>
      </c>
      <c r="C65" s="7" t="inlineStr">
        <is>
          <t>FY2025/26</t>
        </is>
      </c>
      <c r="D65" s="7" t="n">
        <v>2025</v>
      </c>
      <c r="E65" s="7" t="n">
        <v>6</v>
      </c>
      <c r="F65" s="7" t="inlineStr">
        <is>
          <t>June</t>
        </is>
      </c>
      <c r="G65" s="7" t="inlineStr">
        <is>
          <t>Q1</t>
        </is>
      </c>
      <c r="H65" s="8" t="n">
        <v>67977</v>
      </c>
      <c r="I65" s="8" t="n">
        <v>29513</v>
      </c>
      <c r="J65" s="8" t="n">
        <v>0</v>
      </c>
      <c r="K65" s="8" t="n">
        <v>17388</v>
      </c>
      <c r="L65" s="8" t="n">
        <v>0</v>
      </c>
      <c r="M65" s="9">
        <f>SUM(I65,J65,K65,L65)</f>
        <v/>
      </c>
      <c r="N65" s="8" t="n">
        <v>4446</v>
      </c>
      <c r="O65" s="8" t="n">
        <v>1244.3</v>
      </c>
      <c r="P65" s="8" t="n">
        <v>5409.2</v>
      </c>
      <c r="Q65" s="8" t="n">
        <v>717.2</v>
      </c>
      <c r="R65" s="9">
        <f>SUM(N65,O65,P65,Q65)</f>
        <v/>
      </c>
      <c r="S65" s="9">
        <f>M65+R65</f>
        <v/>
      </c>
      <c r="T65" s="8" t="n">
        <v>9259.299999999999</v>
      </c>
      <c r="U65" s="10">
        <f>IF(H65=0,"",T65/H65)</f>
        <v/>
      </c>
      <c r="V65" s="8" t="n">
        <v>150</v>
      </c>
      <c r="W65" s="11">
        <f>IF(H65=0,"",V65/H65)</f>
        <v/>
      </c>
      <c r="X65" s="8" t="n">
        <v>0</v>
      </c>
      <c r="Y65" s="11">
        <f>IF(H65=0,"",X65/H65)</f>
        <v/>
      </c>
      <c r="Z65" s="8" t="n">
        <v>0</v>
      </c>
      <c r="AA65" s="11">
        <f>IF(H65=0,"",Z65/H65)</f>
        <v/>
      </c>
      <c r="AB65" s="8" t="n">
        <v>0</v>
      </c>
      <c r="AC65" s="11">
        <f>IF(H65=0,"",AB65/H65)</f>
        <v/>
      </c>
      <c r="AD65" s="8" t="n">
        <v>0</v>
      </c>
      <c r="AE65" s="11">
        <f>IF(H65=0,"",AD65/H65)</f>
        <v/>
      </c>
      <c r="AF65" s="8" t="n">
        <v>0</v>
      </c>
      <c r="AG65" s="11">
        <f>IF(H65=0,"",AF65/H65)</f>
        <v/>
      </c>
      <c r="AH65" s="8" t="n">
        <v>3589365</v>
      </c>
      <c r="AI65" s="9">
        <f>IF(H65=0,"",AH65/H65)</f>
        <v/>
      </c>
      <c r="AJ65" s="8" t="n">
        <v>32941</v>
      </c>
      <c r="AK65" s="11">
        <f>IF(H65=0,"",AJ65/H65)</f>
        <v/>
      </c>
      <c r="AL65" s="8" t="n">
        <v>5526333.0275</v>
      </c>
      <c r="AM65" s="9">
        <f>IF(H65=0,"",AL65/H65)</f>
        <v/>
      </c>
      <c r="AN65" s="8" t="n">
        <v>3015</v>
      </c>
      <c r="AO65" s="8" t="n">
        <v>146</v>
      </c>
      <c r="AP65" s="8" t="n">
        <v>399164</v>
      </c>
      <c r="AQ65" s="8" t="n">
        <v>0</v>
      </c>
      <c r="AR65" s="8" t="n">
        <v>5483779.73</v>
      </c>
      <c r="AS65" s="8" t="n">
        <v>1503802.05</v>
      </c>
      <c r="AT65" s="8" t="n">
        <v>640200</v>
      </c>
      <c r="AU65" s="9">
        <f>AH65+AL65+AP65+AQ65+AR65+AS65+AT65</f>
        <v/>
      </c>
      <c r="AV65" s="9">
        <f>IF(H65=0,"",AU65/H65)</f>
        <v/>
      </c>
      <c r="AW65" s="9">
        <f>IF(S65=0,"",AU65/S65)</f>
        <v/>
      </c>
      <c r="AX65" s="8" t="n">
        <v>6</v>
      </c>
      <c r="AY65" s="9">
        <f>IF(H65=0,"",AX65/(H65/1000/12))</f>
        <v/>
      </c>
      <c r="AZ65" s="8" t="n">
        <v>11</v>
      </c>
      <c r="BA65" s="8" t="n">
        <v>187</v>
      </c>
      <c r="BB65" s="8" t="n">
        <v>19</v>
      </c>
      <c r="BC65" s="8" t="n">
        <v>13</v>
      </c>
      <c r="BD65" s="8" t="n">
        <v>11</v>
      </c>
      <c r="BE65" s="9">
        <f>BC65+BD65</f>
        <v/>
      </c>
      <c r="BF65" s="9">
        <f>BA65+BB65-BE65</f>
        <v/>
      </c>
      <c r="BG65" s="8" t="n">
        <v>0</v>
      </c>
      <c r="BH65" s="8" t="n">
        <v>0</v>
      </c>
      <c r="BI65" s="8" t="n">
        <v>0</v>
      </c>
      <c r="BJ65" s="8" t="n">
        <v>0</v>
      </c>
      <c r="BK65" s="9">
        <f>BI65+BJ65</f>
        <v/>
      </c>
      <c r="BL65" s="9">
        <f>BG65+BH65-BK65</f>
        <v/>
      </c>
      <c r="BM65" s="8" t="n">
        <v>9</v>
      </c>
      <c r="BN65" s="8" t="n">
        <v>0</v>
      </c>
      <c r="BO65" s="8" t="n">
        <v>0</v>
      </c>
      <c r="BP65" s="8" t="n">
        <v>0</v>
      </c>
      <c r="BQ65" s="9">
        <f>BO65+BP65</f>
        <v/>
      </c>
      <c r="BR65" s="9">
        <f>BM65+BN65-BQ65</f>
        <v/>
      </c>
      <c r="BS65" s="8" t="n">
        <v>0</v>
      </c>
      <c r="BT65" s="8" t="n">
        <v>0</v>
      </c>
      <c r="BU65" s="8" t="n">
        <v>0</v>
      </c>
      <c r="BV65" s="8" t="n">
        <v>0</v>
      </c>
      <c r="BW65" s="9">
        <f>BU65+BV65</f>
        <v/>
      </c>
      <c r="BX65" s="9">
        <f>BS65+BT65-BW65</f>
        <v/>
      </c>
      <c r="BY65" s="9">
        <f>BA65+BG65+BM65+BS65</f>
        <v/>
      </c>
      <c r="BZ65" s="9">
        <f>BB65+BH65+BN65+BT65</f>
        <v/>
      </c>
      <c r="CA65" s="9">
        <f>BE65+BK65+BQ65+BW65</f>
        <v/>
      </c>
      <c r="CB65" s="9">
        <f>BF65+BL65+BR65+BX65</f>
        <v/>
      </c>
      <c r="CC65" s="8" t="n">
        <v>11</v>
      </c>
      <c r="CD65" s="8" t="n">
        <v>342</v>
      </c>
      <c r="CE65" s="8" t="n">
        <v>17</v>
      </c>
      <c r="CF65" s="8" t="n">
        <v>22</v>
      </c>
      <c r="CG65" s="8" t="n">
        <v>3</v>
      </c>
      <c r="CH65" s="9">
        <f>CD65+CE65+CF65+CG65</f>
        <v/>
      </c>
      <c r="CI65" s="8" t="n">
        <v>1522</v>
      </c>
      <c r="CJ65" s="8" t="n">
        <v>11</v>
      </c>
      <c r="CK65" s="8" t="n">
        <v>0</v>
      </c>
      <c r="CL65" s="8" t="n">
        <v>0</v>
      </c>
      <c r="CM65" s="9">
        <f>CI65+CJ65+CK65+CL65</f>
        <v/>
      </c>
      <c r="CN65" s="8" t="n">
        <v>544</v>
      </c>
      <c r="CO65" s="8" t="n">
        <v>44</v>
      </c>
      <c r="CP65" s="8" t="n">
        <v>82</v>
      </c>
      <c r="CQ65" s="8" t="n">
        <v>21</v>
      </c>
      <c r="CR65" s="9">
        <f>CN65+CO65+CP65+CQ65</f>
        <v/>
      </c>
      <c r="CS65" s="9">
        <f>CM65+CR65</f>
        <v/>
      </c>
      <c r="CT65" s="8" t="n">
        <v>2608</v>
      </c>
      <c r="CU65" s="8" t="n">
        <v>21433</v>
      </c>
      <c r="CV65" s="8" t="n">
        <v>20002</v>
      </c>
      <c r="CW65" s="10">
        <f>IF(CU65=0,"",CV65/CU65)</f>
        <v/>
      </c>
      <c r="CX65" s="8" t="n"/>
      <c r="CY65" s="8" t="n"/>
      <c r="CZ65" s="8" t="n"/>
      <c r="DA65" s="8" t="n"/>
      <c r="DB65" s="9">
        <f>CX65+CY65-CZ65-DA65</f>
        <v/>
      </c>
      <c r="DC65" s="8" t="n">
        <v>0</v>
      </c>
      <c r="DD65" s="8" t="n">
        <v>0</v>
      </c>
      <c r="DE65" s="8" t="n">
        <v>0</v>
      </c>
      <c r="DF65" s="8" t="n">
        <v>0</v>
      </c>
      <c r="DG65" s="9">
        <f>DC65+DD65-DE65-DF65</f>
        <v/>
      </c>
      <c r="DH65" s="8" t="n">
        <v>0</v>
      </c>
      <c r="DI65" s="8" t="n">
        <v>0</v>
      </c>
      <c r="DJ65" s="8" t="n">
        <v>0</v>
      </c>
      <c r="DK65" s="8" t="n">
        <v>0</v>
      </c>
      <c r="DL65" s="9">
        <f>DH65+DI65-DJ65-DK65</f>
        <v/>
      </c>
      <c r="DM65" s="8" t="n">
        <v>25</v>
      </c>
      <c r="DN65" s="8" t="n">
        <v>17</v>
      </c>
      <c r="DO65" s="8" t="n">
        <v>4</v>
      </c>
      <c r="DP65" s="8" t="n">
        <v>1</v>
      </c>
      <c r="DQ65" s="9">
        <f>DM65+DN65-DO65-DP65</f>
        <v/>
      </c>
      <c r="DR65" s="9">
        <f>CX65+DC65+DH65+DM65</f>
        <v/>
      </c>
      <c r="DS65" s="9">
        <f>CY65+DD65+DI65+DN65</f>
        <v/>
      </c>
      <c r="DT65" s="9">
        <f>CZ65+DE65+DJ65+DO65</f>
        <v/>
      </c>
      <c r="DU65" s="9">
        <f>DA65+DF65+DK65+DP65</f>
        <v/>
      </c>
      <c r="DV65" s="9">
        <f>DB65+DG65+DL65+DQ65</f>
        <v/>
      </c>
      <c r="DW65" s="8" t="n">
        <v>18</v>
      </c>
      <c r="DX65" s="8" t="n">
        <v>11</v>
      </c>
      <c r="DY65" s="8" t="n">
        <v>2</v>
      </c>
      <c r="DZ65" s="8" t="n">
        <v>0</v>
      </c>
      <c r="EA65" s="8" t="n">
        <v>0</v>
      </c>
      <c r="EB65" s="8" t="n">
        <v>2</v>
      </c>
      <c r="EC65" s="8" t="n">
        <v>0</v>
      </c>
      <c r="ED65" s="8" t="n">
        <v>4</v>
      </c>
      <c r="EE65" s="8" t="n">
        <v>1</v>
      </c>
      <c r="EF65" s="8" t="n">
        <v>0</v>
      </c>
      <c r="EG65" s="8" t="n">
        <v>0</v>
      </c>
      <c r="EH65" s="8" t="n">
        <v>0</v>
      </c>
      <c r="EI65" s="8" t="n">
        <v>0</v>
      </c>
      <c r="EJ65" s="8" t="n">
        <v>1</v>
      </c>
      <c r="EK65" s="8" t="n">
        <v>2</v>
      </c>
      <c r="EL65" s="8" t="n">
        <v>0</v>
      </c>
      <c r="EM65" s="8" t="n">
        <v>0</v>
      </c>
      <c r="EN65" s="8" t="n">
        <v>0</v>
      </c>
      <c r="EO65" s="8" t="n">
        <v>0</v>
      </c>
      <c r="EP65" s="8" t="n">
        <v>0</v>
      </c>
      <c r="EQ65" s="8" t="n">
        <v>0</v>
      </c>
      <c r="ER65" s="8" t="n">
        <v>0</v>
      </c>
      <c r="ES65" s="8" t="n">
        <v>0</v>
      </c>
      <c r="ET65" s="8" t="n">
        <v>0</v>
      </c>
      <c r="EU65" s="8" t="n">
        <v>0</v>
      </c>
      <c r="EV65" s="8" t="n">
        <v>0</v>
      </c>
      <c r="EW65" s="8" t="n">
        <v>0</v>
      </c>
      <c r="EX65" s="8" t="n">
        <v>0</v>
      </c>
      <c r="EY65" s="8" t="n">
        <v>0</v>
      </c>
      <c r="EZ65" s="8" t="n">
        <v>0</v>
      </c>
      <c r="FA65" s="8" t="n">
        <v>0</v>
      </c>
      <c r="FB65" s="8" t="n">
        <v>0</v>
      </c>
      <c r="FC65" s="8" t="n">
        <v>0</v>
      </c>
      <c r="FD65" s="8" t="n">
        <v>0</v>
      </c>
      <c r="FE65" s="8" t="n">
        <v>0</v>
      </c>
      <c r="FF65" s="8" t="n">
        <v>0</v>
      </c>
      <c r="FG65" s="9">
        <f>SUM(DW65,DX65,DY65,DZ65,EA65,EB65,EC65,ED65,EE65,EF65,EG65,EH65,EI65,EJ65,EK65,EL65,EM65,EN65,EO65,EP65,EQ65,ER65,ES65,ET65,EU65,EV65,EW65,EX65,EY65,EZ65,FA65,FB65,FC65,FD65,FE65,FF65)</f>
        <v/>
      </c>
      <c r="FH65" s="8" t="n">
        <v>6</v>
      </c>
      <c r="FI65" s="8" t="n">
        <v>608</v>
      </c>
      <c r="FJ65" s="8" t="n">
        <v>24</v>
      </c>
      <c r="FK65" s="8" t="n">
        <v>112</v>
      </c>
      <c r="FL65" s="8" t="n">
        <v>0</v>
      </c>
      <c r="FM65" s="8" t="n">
        <v>0</v>
      </c>
      <c r="FN65" s="8" t="n">
        <v>0</v>
      </c>
      <c r="FO65" s="8" t="n">
        <v>0</v>
      </c>
      <c r="FP65" s="8" t="n">
        <v>0</v>
      </c>
      <c r="FQ65" s="9">
        <f>FL65+FM65+FN65+FO65+FP65</f>
        <v/>
      </c>
      <c r="FR65" s="8" t="n">
        <v>59507876</v>
      </c>
      <c r="FS65" s="8" t="n">
        <v>0</v>
      </c>
      <c r="FT65" s="8" t="n">
        <v>0</v>
      </c>
      <c r="FU65" s="8" t="n">
        <v>90000000</v>
      </c>
      <c r="FV65" s="9">
        <f>FR65+FS65+FT65+FU65</f>
        <v/>
      </c>
      <c r="FW65" s="8" t="n">
        <v>5869935</v>
      </c>
      <c r="FX65" s="8" t="n">
        <v>265800</v>
      </c>
      <c r="FY65" s="8" t="n">
        <v>3335150</v>
      </c>
      <c r="FZ65" s="8" t="n">
        <v>16541389</v>
      </c>
      <c r="GA65" s="9">
        <f>FW65+FX65+FY65+FZ65</f>
        <v/>
      </c>
      <c r="GB65" s="9">
        <f>FV65+GA65</f>
        <v/>
      </c>
      <c r="GC65" s="8" t="n">
        <v>20818132</v>
      </c>
      <c r="GD65" s="8" t="n">
        <v>0</v>
      </c>
      <c r="GE65" s="8" t="n">
        <v>60030087.91</v>
      </c>
      <c r="GF65" s="8" t="n">
        <v>0</v>
      </c>
      <c r="GG65" s="9">
        <f>GC65+GD65+GE65+GF65</f>
        <v/>
      </c>
      <c r="GH65" s="8" t="n">
        <v>5546247.79</v>
      </c>
      <c r="GI65" s="8" t="n">
        <v>264450.23</v>
      </c>
      <c r="GJ65" s="8" t="n">
        <v>16441771.85</v>
      </c>
      <c r="GK65" s="8" t="n">
        <v>3306344.59</v>
      </c>
      <c r="GL65" s="9">
        <f>GH65+GI65+GJ65+GK65</f>
        <v/>
      </c>
      <c r="GM65" s="9">
        <f>GG65+GL65</f>
        <v/>
      </c>
      <c r="GN65" s="8" t="n">
        <v>641479</v>
      </c>
      <c r="GO65" s="8" t="n">
        <v>0</v>
      </c>
      <c r="GP65" s="8" t="n">
        <v>37330.04</v>
      </c>
      <c r="GQ65" s="8" t="n">
        <v>0</v>
      </c>
      <c r="GR65" s="9">
        <f>GN65+GO65+GP65+GQ65</f>
        <v/>
      </c>
      <c r="GS65" s="8" t="n">
        <v>1121608</v>
      </c>
      <c r="GT65" s="8" t="n">
        <v>0</v>
      </c>
      <c r="GU65" s="8" t="n">
        <v>9823</v>
      </c>
      <c r="GV65" s="8" t="n">
        <v>0</v>
      </c>
      <c r="GW65" s="9">
        <f>GS65+GT65+GU65+GV65</f>
        <v/>
      </c>
      <c r="GX65" s="9">
        <f>GM65+GR65+GW65</f>
        <v/>
      </c>
      <c r="GY65" s="8" t="n">
        <v>40975547.90999955</v>
      </c>
      <c r="GZ65" s="8" t="n">
        <v>293099773.97</v>
      </c>
      <c r="HA65" s="9">
        <f>GY65+GZ65</f>
        <v/>
      </c>
      <c r="HB65" s="9">
        <f>IF(GX65=0,"",AU65/GX65)</f>
        <v/>
      </c>
      <c r="HC65" s="10">
        <f>IF((GX65+GY65)=0,"",GB65/(GX65+GY65))</f>
        <v/>
      </c>
      <c r="HD65" s="9">
        <f>IF(GX65=0,"",GB65/GX65)</f>
        <v/>
      </c>
      <c r="HE65" s="8" t="n">
        <v>25</v>
      </c>
      <c r="HF65" s="8" t="n">
        <v>1</v>
      </c>
      <c r="HG65" s="8" t="n">
        <v>191</v>
      </c>
      <c r="HH65" s="8" t="n">
        <v>19</v>
      </c>
      <c r="HI65" s="8" t="n">
        <v>24</v>
      </c>
      <c r="HJ65" s="9">
        <f>HF65+HI65</f>
        <v/>
      </c>
      <c r="HK65" s="10">
        <f>IF(HE65=0,"",HH65/HE65)</f>
        <v/>
      </c>
      <c r="HL65" s="8" t="n">
        <v>120</v>
      </c>
      <c r="HM65" s="8" t="n">
        <v>24</v>
      </c>
      <c r="HN65" s="11">
        <f>IF(HL65=0,"",HM65/HL65)</f>
        <v/>
      </c>
    </row>
    <row r="66">
      <c r="A66" s="12" t="inlineStr">
        <is>
          <t>Mangochi</t>
        </is>
      </c>
      <c r="B66" s="12" t="inlineStr">
        <is>
          <t>Monkey Bay</t>
        </is>
      </c>
      <c r="C66" s="13" t="inlineStr">
        <is>
          <t>FY2025/26</t>
        </is>
      </c>
      <c r="D66" s="13" t="n">
        <v>2025</v>
      </c>
      <c r="E66" s="13" t="n">
        <v>7</v>
      </c>
      <c r="F66" s="13" t="inlineStr">
        <is>
          <t>July</t>
        </is>
      </c>
      <c r="G66" s="13" t="inlineStr">
        <is>
          <t>Q2</t>
        </is>
      </c>
      <c r="H66" s="14" t="n">
        <v>67451</v>
      </c>
      <c r="I66" s="14" t="n">
        <v>17025</v>
      </c>
      <c r="J66" s="14" t="n">
        <v>0</v>
      </c>
      <c r="K66" s="14" t="n">
        <v>22133</v>
      </c>
      <c r="L66" s="14" t="n">
        <v>0</v>
      </c>
      <c r="M66" s="15">
        <f>SUM(I66,J66,K66,L66)</f>
        <v/>
      </c>
      <c r="N66" s="14" t="n">
        <v>5145.4</v>
      </c>
      <c r="O66" s="14" t="n">
        <v>1366.1</v>
      </c>
      <c r="P66" s="14" t="n">
        <v>3006.7</v>
      </c>
      <c r="Q66" s="14" t="n">
        <v>740.7</v>
      </c>
      <c r="R66" s="15">
        <f>SUM(N66,O66,P66,Q66)</f>
        <v/>
      </c>
      <c r="S66" s="15">
        <f>M66+R66</f>
        <v/>
      </c>
      <c r="T66" s="14" t="n">
        <v>18034.1</v>
      </c>
      <c r="U66" s="16">
        <f>IF(H66=0,"",T66/H66)</f>
        <v/>
      </c>
      <c r="V66" s="14" t="n">
        <v>155</v>
      </c>
      <c r="W66" s="17">
        <f>IF(H66=0,"",V66/H66)</f>
        <v/>
      </c>
      <c r="X66" s="14" t="n">
        <v>0</v>
      </c>
      <c r="Y66" s="17">
        <f>IF(H66=0,"",X66/H66)</f>
        <v/>
      </c>
      <c r="Z66" s="14" t="n">
        <v>0</v>
      </c>
      <c r="AA66" s="17">
        <f>IF(H66=0,"",Z66/H66)</f>
        <v/>
      </c>
      <c r="AB66" s="14" t="n">
        <v>0</v>
      </c>
      <c r="AC66" s="17">
        <f>IF(H66=0,"",AB66/H66)</f>
        <v/>
      </c>
      <c r="AD66" s="14" t="n">
        <v>0</v>
      </c>
      <c r="AE66" s="17">
        <f>IF(H66=0,"",AD66/H66)</f>
        <v/>
      </c>
      <c r="AF66" s="14" t="n">
        <v>0</v>
      </c>
      <c r="AG66" s="17">
        <f>IF(H66=0,"",AF66/H66)</f>
        <v/>
      </c>
      <c r="AH66" s="14" t="n">
        <v>3709010.5</v>
      </c>
      <c r="AI66" s="15">
        <f>IF(H66=0,"",AH66/H66)</f>
        <v/>
      </c>
      <c r="AJ66" s="14" t="n">
        <v>32554</v>
      </c>
      <c r="AK66" s="17">
        <f>IF(H66=0,"",AJ66/H66)</f>
        <v/>
      </c>
      <c r="AL66" s="14" t="n">
        <v>5461635.335</v>
      </c>
      <c r="AM66" s="15">
        <f>IF(H66=0,"",AL66/H66)</f>
        <v/>
      </c>
      <c r="AN66" s="14" t="n">
        <v>5256</v>
      </c>
      <c r="AO66" s="14" t="n">
        <v>186</v>
      </c>
      <c r="AP66" s="14" t="n">
        <v>507977.2</v>
      </c>
      <c r="AQ66" s="14" t="n">
        <v>0</v>
      </c>
      <c r="AR66" s="14" t="n">
        <v>5483779.73</v>
      </c>
      <c r="AS66" s="14" t="n">
        <v>1587117.4</v>
      </c>
      <c r="AT66" s="14" t="n">
        <v>805130</v>
      </c>
      <c r="AU66" s="15">
        <f>AH66+AL66+AP66+AQ66+AR66+AS66+AT66</f>
        <v/>
      </c>
      <c r="AV66" s="15">
        <f>IF(H66=0,"",AU66/H66)</f>
        <v/>
      </c>
      <c r="AW66" s="15">
        <f>IF(S66=0,"",AU66/S66)</f>
        <v/>
      </c>
      <c r="AX66" s="14" t="n">
        <v>6</v>
      </c>
      <c r="AY66" s="15">
        <f>IF(H66=0,"",AX66/(H66/1000/12))</f>
        <v/>
      </c>
      <c r="AZ66" s="14" t="n">
        <v>11</v>
      </c>
      <c r="BA66" s="14" t="n">
        <v>182</v>
      </c>
      <c r="BB66" s="14" t="n">
        <v>24</v>
      </c>
      <c r="BC66" s="14" t="n">
        <v>18</v>
      </c>
      <c r="BD66" s="14" t="n">
        <v>2</v>
      </c>
      <c r="BE66" s="15">
        <f>BC66+BD66</f>
        <v/>
      </c>
      <c r="BF66" s="15">
        <f>BA66+BB66-BE66</f>
        <v/>
      </c>
      <c r="BG66" s="14" t="n">
        <v>0</v>
      </c>
      <c r="BH66" s="14" t="n">
        <v>0</v>
      </c>
      <c r="BI66" s="14" t="n">
        <v>0</v>
      </c>
      <c r="BJ66" s="14" t="n">
        <v>0</v>
      </c>
      <c r="BK66" s="15">
        <f>BI66+BJ66</f>
        <v/>
      </c>
      <c r="BL66" s="15">
        <f>BG66+BH66-BK66</f>
        <v/>
      </c>
      <c r="BM66" s="14" t="n">
        <v>9</v>
      </c>
      <c r="BN66" s="14" t="n">
        <v>0</v>
      </c>
      <c r="BO66" s="14" t="n">
        <v>0</v>
      </c>
      <c r="BP66" s="14" t="n">
        <v>0</v>
      </c>
      <c r="BQ66" s="15">
        <f>BO66+BP66</f>
        <v/>
      </c>
      <c r="BR66" s="15">
        <f>BM66+BN66-BQ66</f>
        <v/>
      </c>
      <c r="BS66" s="14" t="n">
        <v>0</v>
      </c>
      <c r="BT66" s="14" t="n">
        <v>0</v>
      </c>
      <c r="BU66" s="14" t="n">
        <v>0</v>
      </c>
      <c r="BV66" s="14" t="n">
        <v>0</v>
      </c>
      <c r="BW66" s="15">
        <f>BU66+BV66</f>
        <v/>
      </c>
      <c r="BX66" s="15">
        <f>BS66+BT66-BW66</f>
        <v/>
      </c>
      <c r="BY66" s="15">
        <f>BA66+BG66+BM66+BS66</f>
        <v/>
      </c>
      <c r="BZ66" s="15">
        <f>BB66+BH66+BN66+BT66</f>
        <v/>
      </c>
      <c r="CA66" s="15">
        <f>BE66+BK66+BQ66+BW66</f>
        <v/>
      </c>
      <c r="CB66" s="15">
        <f>BF66+BL66+BR66+BX66</f>
        <v/>
      </c>
      <c r="CC66" s="14" t="n">
        <v>2</v>
      </c>
      <c r="CD66" s="14" t="n">
        <v>460</v>
      </c>
      <c r="CE66" s="14" t="n">
        <v>17</v>
      </c>
      <c r="CF66" s="14" t="n">
        <v>22</v>
      </c>
      <c r="CG66" s="14" t="n">
        <v>3</v>
      </c>
      <c r="CH66" s="15">
        <f>CD66+CE66+CF66+CG66</f>
        <v/>
      </c>
      <c r="CI66" s="14" t="n">
        <v>1412</v>
      </c>
      <c r="CJ66" s="14" t="n">
        <v>11</v>
      </c>
      <c r="CK66" s="14" t="n">
        <v>0</v>
      </c>
      <c r="CL66" s="14" t="n">
        <v>0</v>
      </c>
      <c r="CM66" s="15">
        <f>CI66+CJ66+CK66+CL66</f>
        <v/>
      </c>
      <c r="CN66" s="14" t="n">
        <v>549</v>
      </c>
      <c r="CO66" s="14" t="n">
        <v>44</v>
      </c>
      <c r="CP66" s="14" t="n">
        <v>82</v>
      </c>
      <c r="CQ66" s="14" t="n">
        <v>21</v>
      </c>
      <c r="CR66" s="15">
        <f>CN66+CO66+CP66+CQ66</f>
        <v/>
      </c>
      <c r="CS66" s="15">
        <f>CM66+CR66</f>
        <v/>
      </c>
      <c r="CT66" s="14" t="n">
        <v>2621</v>
      </c>
      <c r="CU66" s="14" t="n">
        <v>21468</v>
      </c>
      <c r="CV66" s="14" t="n">
        <v>20102</v>
      </c>
      <c r="CW66" s="16">
        <f>IF(CU66=0,"",CV66/CU66)</f>
        <v/>
      </c>
      <c r="CX66" s="14" t="n"/>
      <c r="CY66" s="14" t="n"/>
      <c r="CZ66" s="14" t="n"/>
      <c r="DA66" s="14" t="n"/>
      <c r="DB66" s="15">
        <f>CX66+CY66-CZ66-DA66</f>
        <v/>
      </c>
      <c r="DC66" s="14" t="n">
        <v>0</v>
      </c>
      <c r="DD66" s="14" t="n">
        <v>0</v>
      </c>
      <c r="DE66" s="14" t="n">
        <v>0</v>
      </c>
      <c r="DF66" s="14" t="n">
        <v>0</v>
      </c>
      <c r="DG66" s="15">
        <f>DC66+DD66-DE66-DF66</f>
        <v/>
      </c>
      <c r="DH66" s="14" t="n">
        <v>0</v>
      </c>
      <c r="DI66" s="14" t="n">
        <v>0</v>
      </c>
      <c r="DJ66" s="14" t="n">
        <v>0</v>
      </c>
      <c r="DK66" s="14" t="n">
        <v>0</v>
      </c>
      <c r="DL66" s="15">
        <f>DH66+DI66-DJ66-DK66</f>
        <v/>
      </c>
      <c r="DM66" s="14" t="n">
        <v>37</v>
      </c>
      <c r="DN66" s="14" t="n">
        <v>11</v>
      </c>
      <c r="DO66" s="14" t="n">
        <v>1</v>
      </c>
      <c r="DP66" s="14" t="n">
        <v>2</v>
      </c>
      <c r="DQ66" s="15">
        <f>DM66+DN66-DO66-DP66</f>
        <v/>
      </c>
      <c r="DR66" s="15">
        <f>CX66+DC66+DH66+DM66</f>
        <v/>
      </c>
      <c r="DS66" s="15">
        <f>CY66+DD66+DI66+DN66</f>
        <v/>
      </c>
      <c r="DT66" s="15">
        <f>CZ66+DE66+DJ66+DO66</f>
        <v/>
      </c>
      <c r="DU66" s="15">
        <f>DA66+DF66+DK66+DP66</f>
        <v/>
      </c>
      <c r="DV66" s="15">
        <f>DB66+DG66+DL66+DQ66</f>
        <v/>
      </c>
      <c r="DW66" s="14" t="n">
        <v>6</v>
      </c>
      <c r="DX66" s="14" t="n">
        <v>2</v>
      </c>
      <c r="DY66" s="14" t="n">
        <v>2</v>
      </c>
      <c r="DZ66" s="14" t="n">
        <v>3</v>
      </c>
      <c r="EA66" s="14" t="n">
        <v>2</v>
      </c>
      <c r="EB66" s="14" t="n">
        <v>6</v>
      </c>
      <c r="EC66" s="14" t="n">
        <v>1</v>
      </c>
      <c r="ED66" s="14" t="n">
        <v>1</v>
      </c>
      <c r="EE66" s="14" t="n">
        <v>3</v>
      </c>
      <c r="EF66" s="14" t="n">
        <v>0</v>
      </c>
      <c r="EG66" s="14" t="n">
        <v>0</v>
      </c>
      <c r="EH66" s="14" t="n">
        <v>0</v>
      </c>
      <c r="EI66" s="14" t="n">
        <v>0</v>
      </c>
      <c r="EJ66" s="14" t="n">
        <v>3</v>
      </c>
      <c r="EK66" s="14" t="n">
        <v>1</v>
      </c>
      <c r="EL66" s="14" t="n">
        <v>0</v>
      </c>
      <c r="EM66" s="14" t="n">
        <v>0</v>
      </c>
      <c r="EN66" s="14" t="n">
        <v>0</v>
      </c>
      <c r="EO66" s="14" t="n">
        <v>0</v>
      </c>
      <c r="EP66" s="14" t="n">
        <v>0</v>
      </c>
      <c r="EQ66" s="14" t="n">
        <v>0</v>
      </c>
      <c r="ER66" s="14" t="n">
        <v>0</v>
      </c>
      <c r="ES66" s="14" t="n">
        <v>0</v>
      </c>
      <c r="ET66" s="14" t="n">
        <v>0</v>
      </c>
      <c r="EU66" s="14" t="n">
        <v>0</v>
      </c>
      <c r="EV66" s="14" t="n">
        <v>0</v>
      </c>
      <c r="EW66" s="14" t="n">
        <v>0</v>
      </c>
      <c r="EX66" s="14" t="n">
        <v>0</v>
      </c>
      <c r="EY66" s="14" t="n">
        <v>0</v>
      </c>
      <c r="EZ66" s="14" t="n">
        <v>0</v>
      </c>
      <c r="FA66" s="14" t="n">
        <v>0</v>
      </c>
      <c r="FB66" s="14" t="n">
        <v>0</v>
      </c>
      <c r="FC66" s="14" t="n">
        <v>0</v>
      </c>
      <c r="FD66" s="14" t="n">
        <v>0</v>
      </c>
      <c r="FE66" s="14" t="n">
        <v>0</v>
      </c>
      <c r="FF66" s="14" t="n">
        <v>0</v>
      </c>
      <c r="FG66" s="15">
        <f>SUM(DW66,DX66,DY66,DZ66,EA66,EB66,EC66,ED66,EE66,EF66,EG66,EH66,EI66,EJ66,EK66,EL66,EM66,EN66,EO66,EP66,EQ66,ER66,ES66,ET66,EU66,EV66,EW66,EX66,EY66,EZ66,FA66,FB66,FC66,FD66,FE66,FF66)</f>
        <v/>
      </c>
      <c r="FH66" s="14" t="n">
        <v>0</v>
      </c>
      <c r="FI66" s="14" t="n">
        <v>609</v>
      </c>
      <c r="FJ66" s="14" t="n">
        <v>24</v>
      </c>
      <c r="FK66" s="14" t="n">
        <v>135</v>
      </c>
      <c r="FL66" s="14" t="n">
        <v>0</v>
      </c>
      <c r="FM66" s="14" t="n">
        <v>0</v>
      </c>
      <c r="FN66" s="14" t="n">
        <v>0</v>
      </c>
      <c r="FO66" s="14" t="n">
        <v>0</v>
      </c>
      <c r="FP66" s="14" t="n">
        <v>0</v>
      </c>
      <c r="FQ66" s="15">
        <f>FL66+FM66+FN66+FO66+FP66</f>
        <v/>
      </c>
      <c r="FR66" s="14" t="n">
        <v>10532229</v>
      </c>
      <c r="FS66" s="14" t="n">
        <v>0</v>
      </c>
      <c r="FT66" s="14" t="n">
        <v>20000</v>
      </c>
      <c r="FU66" s="14" t="n">
        <v>0</v>
      </c>
      <c r="FV66" s="15">
        <f>FR66+FS66+FT66+FU66</f>
        <v/>
      </c>
      <c r="FW66" s="14" t="n">
        <v>6617121</v>
      </c>
      <c r="FX66" s="14" t="n">
        <v>290200</v>
      </c>
      <c r="FY66" s="14" t="n">
        <v>3533680</v>
      </c>
      <c r="FZ66" s="14" t="n">
        <v>9143523</v>
      </c>
      <c r="GA66" s="15">
        <f>FW66+FX66+FY66+FZ66</f>
        <v/>
      </c>
      <c r="GB66" s="15">
        <f>FV66+GA66</f>
        <v/>
      </c>
      <c r="GC66" s="14" t="n">
        <v>15920098.82</v>
      </c>
      <c r="GD66" s="14" t="n">
        <v>0</v>
      </c>
      <c r="GE66" s="14" t="n">
        <v>76445273.06</v>
      </c>
      <c r="GF66" s="14" t="n">
        <v>0</v>
      </c>
      <c r="GG66" s="15">
        <f>GC66+GD66+GE66+GF66</f>
        <v/>
      </c>
      <c r="GH66" s="14" t="n">
        <v>6438598.86</v>
      </c>
      <c r="GI66" s="14" t="n">
        <v>290200</v>
      </c>
      <c r="GJ66" s="14" t="n">
        <v>9137523</v>
      </c>
      <c r="GK66" s="14" t="n">
        <v>3498280</v>
      </c>
      <c r="GL66" s="15">
        <f>GH66+GI66+GJ66+GK66</f>
        <v/>
      </c>
      <c r="GM66" s="15">
        <f>GG66+GL66</f>
        <v/>
      </c>
      <c r="GN66" s="14" t="n">
        <v>718825.58</v>
      </c>
      <c r="GO66" s="14" t="n">
        <v>0</v>
      </c>
      <c r="GP66" s="14" t="n">
        <v>37330.04</v>
      </c>
      <c r="GQ66" s="14" t="n">
        <v>0</v>
      </c>
      <c r="GR66" s="15">
        <f>GN66+GO66+GP66+GQ66</f>
        <v/>
      </c>
      <c r="GS66" s="14" t="n">
        <v>1260916</v>
      </c>
      <c r="GT66" s="14" t="n">
        <v>0</v>
      </c>
      <c r="GU66" s="14" t="n">
        <v>9823</v>
      </c>
      <c r="GV66" s="14" t="n">
        <v>0</v>
      </c>
      <c r="GW66" s="15">
        <f>GS66+GT66+GU66+GV66</f>
        <v/>
      </c>
      <c r="GX66" s="15">
        <f>GM66+GR66+GW66</f>
        <v/>
      </c>
      <c r="GY66" s="14" t="n">
        <v>35727162.8700009</v>
      </c>
      <c r="GZ66" s="14" t="n">
        <v>382702710.6200001</v>
      </c>
      <c r="HA66" s="15">
        <f>GY66+GZ66</f>
        <v/>
      </c>
      <c r="HB66" s="15">
        <f>IF(GX66=0,"",AU66/GX66)</f>
        <v/>
      </c>
      <c r="HC66" s="16">
        <f>IF((GX66+GY66)=0,"",GB66/(GX66+GY66))</f>
        <v/>
      </c>
      <c r="HD66" s="15">
        <f>IF(GX66=0,"",GB66/GX66)</f>
        <v/>
      </c>
      <c r="HE66" s="14" t="n">
        <v>24</v>
      </c>
      <c r="HF66" s="14" t="n">
        <v>1</v>
      </c>
      <c r="HG66" s="14" t="n">
        <v>195</v>
      </c>
      <c r="HH66" s="14" t="n">
        <v>24</v>
      </c>
      <c r="HI66" s="14" t="n">
        <v>24</v>
      </c>
      <c r="HJ66" s="15">
        <f>HF66+HI66</f>
        <v/>
      </c>
      <c r="HK66" s="16">
        <f>IF(HE66=0,"",HH66/HE66)</f>
        <v/>
      </c>
      <c r="HL66" s="14" t="n">
        <v>109</v>
      </c>
      <c r="HM66" s="14" t="n">
        <v>24</v>
      </c>
      <c r="HN66" s="17">
        <f>IF(HL66=0,"",HM66/HL66)</f>
        <v/>
      </c>
    </row>
    <row r="67">
      <c r="A67" s="6" t="inlineStr">
        <is>
          <t>Mangochi</t>
        </is>
      </c>
      <c r="B67" s="6" t="inlineStr">
        <is>
          <t>Monkey Bay</t>
        </is>
      </c>
      <c r="C67" s="7" t="inlineStr">
        <is>
          <t>FY2025/26</t>
        </is>
      </c>
      <c r="D67" s="7" t="n">
        <v>2025</v>
      </c>
      <c r="E67" s="7" t="n">
        <v>8</v>
      </c>
      <c r="F67" s="7" t="inlineStr">
        <is>
          <t>August</t>
        </is>
      </c>
      <c r="G67" s="7" t="inlineStr">
        <is>
          <t>Q2</t>
        </is>
      </c>
      <c r="H67" s="8" t="n">
        <v>64760</v>
      </c>
      <c r="I67" s="8" t="n">
        <v>21424</v>
      </c>
      <c r="J67" s="8" t="n">
        <v>0</v>
      </c>
      <c r="K67" s="8" t="n">
        <v>22803</v>
      </c>
      <c r="L67" s="8" t="n">
        <v>0</v>
      </c>
      <c r="M67" s="9">
        <f>SUM(I67,J67,K67,L67)</f>
        <v/>
      </c>
      <c r="N67" s="8" t="n">
        <v>4878.2</v>
      </c>
      <c r="O67" s="8" t="n">
        <v>1005</v>
      </c>
      <c r="P67" s="8" t="n">
        <v>7384.4</v>
      </c>
      <c r="Q67" s="8" t="n">
        <v>720</v>
      </c>
      <c r="R67" s="9">
        <f>SUM(N67,O67,P67,Q67)</f>
        <v/>
      </c>
      <c r="S67" s="9">
        <f>M67+R67</f>
        <v/>
      </c>
      <c r="T67" s="8" t="n">
        <v>6545.4</v>
      </c>
      <c r="U67" s="10">
        <f>IF(H67=0,"",T67/H67)</f>
        <v/>
      </c>
      <c r="V67" s="8" t="n">
        <v>155</v>
      </c>
      <c r="W67" s="11">
        <f>IF(H67=0,"",V67/H67)</f>
        <v/>
      </c>
      <c r="X67" s="8" t="n">
        <v>0</v>
      </c>
      <c r="Y67" s="11">
        <f>IF(H67=0,"",X67/H67)</f>
        <v/>
      </c>
      <c r="Z67" s="8" t="n">
        <v>0</v>
      </c>
      <c r="AA67" s="11">
        <f>IF(H67=0,"",Z67/H67)</f>
        <v/>
      </c>
      <c r="AB67" s="8" t="n">
        <v>0</v>
      </c>
      <c r="AC67" s="11">
        <f>IF(H67=0,"",AB67/H67)</f>
        <v/>
      </c>
      <c r="AD67" s="8" t="n">
        <v>0</v>
      </c>
      <c r="AE67" s="11">
        <f>IF(H67=0,"",AD67/H67)</f>
        <v/>
      </c>
      <c r="AF67" s="8" t="n">
        <v>0</v>
      </c>
      <c r="AG67" s="11">
        <f>IF(H67=0,"",AF67/H67)</f>
        <v/>
      </c>
      <c r="AH67" s="8" t="n">
        <v>3709010.5</v>
      </c>
      <c r="AI67" s="9">
        <f>IF(H67=0,"",AH67/H67)</f>
        <v/>
      </c>
      <c r="AJ67" s="8" t="n">
        <v>31229</v>
      </c>
      <c r="AK67" s="11">
        <f>IF(H67=0,"",AJ67/H67)</f>
        <v/>
      </c>
      <c r="AL67" s="8" t="n">
        <v>5240125.1475</v>
      </c>
      <c r="AM67" s="9">
        <f>IF(H67=0,"",AL67/H67)</f>
        <v/>
      </c>
      <c r="AN67" s="8" t="n">
        <v>3708</v>
      </c>
      <c r="AO67" s="8" t="n">
        <v>271</v>
      </c>
      <c r="AP67" s="8" t="n">
        <v>740640.6</v>
      </c>
      <c r="AQ67" s="8" t="n">
        <v>0</v>
      </c>
      <c r="AR67" s="8" t="n">
        <v>5575587.76</v>
      </c>
      <c r="AS67" s="8" t="n">
        <v>1539564.46</v>
      </c>
      <c r="AT67" s="8" t="n">
        <v>820240</v>
      </c>
      <c r="AU67" s="9">
        <f>AH67+AL67+AP67+AQ67+AR67+AS67+AT67</f>
        <v/>
      </c>
      <c r="AV67" s="9">
        <f>IF(H67=0,"",AU67/H67)</f>
        <v/>
      </c>
      <c r="AW67" s="9">
        <f>IF(S67=0,"",AU67/S67)</f>
        <v/>
      </c>
      <c r="AX67" s="8" t="n">
        <v>6</v>
      </c>
      <c r="AY67" s="9">
        <f>IF(H67=0,"",AX67/(H67/1000/12))</f>
        <v/>
      </c>
      <c r="AZ67" s="8" t="n">
        <v>11</v>
      </c>
      <c r="BA67" s="8" t="n">
        <v>186</v>
      </c>
      <c r="BB67" s="8" t="n">
        <v>35</v>
      </c>
      <c r="BC67" s="8" t="n">
        <v>15</v>
      </c>
      <c r="BD67" s="8" t="n">
        <v>38</v>
      </c>
      <c r="BE67" s="9">
        <f>BC67+BD67</f>
        <v/>
      </c>
      <c r="BF67" s="9">
        <f>BA67+BB67-BE67</f>
        <v/>
      </c>
      <c r="BG67" s="8" t="n">
        <v>0</v>
      </c>
      <c r="BH67" s="8" t="n">
        <v>0</v>
      </c>
      <c r="BI67" s="8" t="n">
        <v>0</v>
      </c>
      <c r="BJ67" s="8" t="n">
        <v>0</v>
      </c>
      <c r="BK67" s="9">
        <f>BI67+BJ67</f>
        <v/>
      </c>
      <c r="BL67" s="9">
        <f>BG67+BH67-BK67</f>
        <v/>
      </c>
      <c r="BM67" s="8" t="n">
        <v>9</v>
      </c>
      <c r="BN67" s="8" t="n">
        <v>0</v>
      </c>
      <c r="BO67" s="8" t="n">
        <v>0</v>
      </c>
      <c r="BP67" s="8" t="n">
        <v>2</v>
      </c>
      <c r="BQ67" s="9">
        <f>BO67+BP67</f>
        <v/>
      </c>
      <c r="BR67" s="9">
        <f>BM67+BN67-BQ67</f>
        <v/>
      </c>
      <c r="BS67" s="8" t="n">
        <v>0</v>
      </c>
      <c r="BT67" s="8" t="n">
        <v>0</v>
      </c>
      <c r="BU67" s="8" t="n">
        <v>0</v>
      </c>
      <c r="BV67" s="8" t="n">
        <v>0</v>
      </c>
      <c r="BW67" s="9">
        <f>BU67+BV67</f>
        <v/>
      </c>
      <c r="BX67" s="9">
        <f>BS67+BT67-BW67</f>
        <v/>
      </c>
      <c r="BY67" s="9">
        <f>BA67+BG67+BM67+BS67</f>
        <v/>
      </c>
      <c r="BZ67" s="9">
        <f>BB67+BH67+BN67+BT67</f>
        <v/>
      </c>
      <c r="CA67" s="9">
        <f>BE67+BK67+BQ67+BW67</f>
        <v/>
      </c>
      <c r="CB67" s="9">
        <f>BF67+BL67+BR67+BX67</f>
        <v/>
      </c>
      <c r="CC67" s="8" t="n">
        <v>40</v>
      </c>
      <c r="CD67" s="8" t="n">
        <v>433</v>
      </c>
      <c r="CE67" s="8" t="n">
        <v>17</v>
      </c>
      <c r="CF67" s="8" t="n">
        <v>22</v>
      </c>
      <c r="CG67" s="8" t="n">
        <v>3</v>
      </c>
      <c r="CH67" s="9">
        <f>CD67+CE67+CF67+CG67</f>
        <v/>
      </c>
      <c r="CI67" s="8" t="n">
        <v>1454</v>
      </c>
      <c r="CJ67" s="8" t="n">
        <v>11</v>
      </c>
      <c r="CK67" s="8" t="n">
        <v>0</v>
      </c>
      <c r="CL67" s="8" t="n">
        <v>0</v>
      </c>
      <c r="CM67" s="9">
        <f>CI67+CJ67+CK67+CL67</f>
        <v/>
      </c>
      <c r="CN67" s="8" t="n">
        <v>587</v>
      </c>
      <c r="CO67" s="8" t="n">
        <v>44</v>
      </c>
      <c r="CP67" s="8" t="n">
        <v>84</v>
      </c>
      <c r="CQ67" s="8" t="n">
        <v>21</v>
      </c>
      <c r="CR67" s="9">
        <f>CN67+CO67+CP67+CQ67</f>
        <v/>
      </c>
      <c r="CS67" s="9">
        <f>CM67+CR67</f>
        <v/>
      </c>
      <c r="CT67" s="8" t="n">
        <v>2676</v>
      </c>
      <c r="CU67" s="8" t="n">
        <v>21503</v>
      </c>
      <c r="CV67" s="8" t="n">
        <v>20377</v>
      </c>
      <c r="CW67" s="10">
        <f>IF(CU67=0,"",CV67/CU67)</f>
        <v/>
      </c>
      <c r="CX67" s="8" t="n"/>
      <c r="CY67" s="8" t="n"/>
      <c r="CZ67" s="8" t="n"/>
      <c r="DA67" s="8" t="n"/>
      <c r="DB67" s="9">
        <f>CX67+CY67-CZ67-DA67</f>
        <v/>
      </c>
      <c r="DC67" s="8" t="n">
        <v>0</v>
      </c>
      <c r="DD67" s="8" t="n">
        <v>0</v>
      </c>
      <c r="DE67" s="8" t="n">
        <v>0</v>
      </c>
      <c r="DF67" s="8" t="n">
        <v>0</v>
      </c>
      <c r="DG67" s="9">
        <f>DC67+DD67-DE67-DF67</f>
        <v/>
      </c>
      <c r="DH67" s="8" t="n">
        <v>0</v>
      </c>
      <c r="DI67" s="8" t="n">
        <v>0</v>
      </c>
      <c r="DJ67" s="8" t="n">
        <v>0</v>
      </c>
      <c r="DK67" s="8" t="n">
        <v>0</v>
      </c>
      <c r="DL67" s="9">
        <f>DH67+DI67-DJ67-DK67</f>
        <v/>
      </c>
      <c r="DM67" s="8" t="n">
        <v>45</v>
      </c>
      <c r="DN67" s="8" t="n">
        <v>2</v>
      </c>
      <c r="DO67" s="8" t="n">
        <v>0</v>
      </c>
      <c r="DP67" s="8" t="n">
        <v>10</v>
      </c>
      <c r="DQ67" s="9">
        <f>DM67+DN67-DO67-DP67</f>
        <v/>
      </c>
      <c r="DR67" s="9">
        <f>CX67+DC67+DH67+DM67</f>
        <v/>
      </c>
      <c r="DS67" s="9">
        <f>CY67+DD67+DI67+DN67</f>
        <v/>
      </c>
      <c r="DT67" s="9">
        <f>CZ67+DE67+DJ67+DO67</f>
        <v/>
      </c>
      <c r="DU67" s="9">
        <f>DA67+DF67+DK67+DP67</f>
        <v/>
      </c>
      <c r="DV67" s="9">
        <f>DB67+DG67+DL67+DQ67</f>
        <v/>
      </c>
      <c r="DW67" s="8" t="n">
        <v>17</v>
      </c>
      <c r="DX67" s="8" t="n">
        <v>6</v>
      </c>
      <c r="DY67" s="8" t="n">
        <v>5</v>
      </c>
      <c r="DZ67" s="8" t="n">
        <v>2</v>
      </c>
      <c r="EA67" s="8" t="n">
        <v>0</v>
      </c>
      <c r="EB67" s="8" t="n">
        <v>6</v>
      </c>
      <c r="EC67" s="8" t="n">
        <v>0</v>
      </c>
      <c r="ED67" s="8" t="n">
        <v>0</v>
      </c>
      <c r="EE67" s="8" t="n">
        <v>1</v>
      </c>
      <c r="EF67" s="8" t="n">
        <v>0</v>
      </c>
      <c r="EG67" s="8" t="n">
        <v>0</v>
      </c>
      <c r="EH67" s="8" t="n">
        <v>0</v>
      </c>
      <c r="EI67" s="8" t="n">
        <v>0</v>
      </c>
      <c r="EJ67" s="8" t="n">
        <v>1</v>
      </c>
      <c r="EK67" s="8" t="n">
        <v>2</v>
      </c>
      <c r="EL67" s="8" t="n">
        <v>0</v>
      </c>
      <c r="EM67" s="8" t="n">
        <v>0</v>
      </c>
      <c r="EN67" s="8" t="n">
        <v>0</v>
      </c>
      <c r="EO67" s="8" t="n">
        <v>0</v>
      </c>
      <c r="EP67" s="8" t="n">
        <v>0</v>
      </c>
      <c r="EQ67" s="8" t="n">
        <v>0</v>
      </c>
      <c r="ER67" s="8" t="n">
        <v>0</v>
      </c>
      <c r="ES67" s="8" t="n">
        <v>0</v>
      </c>
      <c r="ET67" s="8" t="n">
        <v>0</v>
      </c>
      <c r="EU67" s="8" t="n">
        <v>0</v>
      </c>
      <c r="EV67" s="8" t="n">
        <v>0</v>
      </c>
      <c r="EW67" s="8" t="n">
        <v>0</v>
      </c>
      <c r="EX67" s="8" t="n">
        <v>0</v>
      </c>
      <c r="EY67" s="8" t="n">
        <v>0</v>
      </c>
      <c r="EZ67" s="8" t="n">
        <v>0</v>
      </c>
      <c r="FA67" s="8" t="n">
        <v>0</v>
      </c>
      <c r="FB67" s="8" t="n">
        <v>0</v>
      </c>
      <c r="FC67" s="8" t="n">
        <v>0</v>
      </c>
      <c r="FD67" s="8" t="n">
        <v>0</v>
      </c>
      <c r="FE67" s="8" t="n">
        <v>0</v>
      </c>
      <c r="FF67" s="8" t="n">
        <v>0</v>
      </c>
      <c r="FG67" s="9">
        <f>SUM(DW67,DX67,DY67,DZ67,EA67,EB67,EC67,ED67,EE67,EF67,EG67,EH67,EI67,EJ67,EK67,EL67,EM67,EN67,EO67,EP67,EQ67,ER67,ES67,ET67,EU67,EV67,EW67,EX67,EY67,EZ67,FA67,FB67,FC67,FD67,FE67,FF67)</f>
        <v/>
      </c>
      <c r="FH67" s="8" t="n">
        <v>6</v>
      </c>
      <c r="FI67" s="8" t="n">
        <v>624</v>
      </c>
      <c r="FJ67" s="8" t="n">
        <v>24</v>
      </c>
      <c r="FK67" s="8" t="n">
        <v>120</v>
      </c>
      <c r="FL67" s="8" t="n">
        <v>0</v>
      </c>
      <c r="FM67" s="8" t="n">
        <v>0</v>
      </c>
      <c r="FN67" s="8" t="n">
        <v>0</v>
      </c>
      <c r="FO67" s="8" t="n">
        <v>0</v>
      </c>
      <c r="FP67" s="8" t="n">
        <v>0</v>
      </c>
      <c r="FQ67" s="9">
        <f>FL67+FM67+FN67+FO67+FP67</f>
        <v/>
      </c>
      <c r="FR67" s="8" t="n">
        <v>16038730.07</v>
      </c>
      <c r="FS67" s="8" t="n">
        <v>0</v>
      </c>
      <c r="FT67" s="8" t="n">
        <v>0</v>
      </c>
      <c r="FU67" s="8" t="n">
        <v>0</v>
      </c>
      <c r="FV67" s="9">
        <f>FR67+FS67+FT67+FU67</f>
        <v/>
      </c>
      <c r="FW67" s="8" t="n">
        <v>6221549</v>
      </c>
      <c r="FX67" s="8" t="n">
        <v>213500</v>
      </c>
      <c r="FY67" s="8" t="n">
        <v>3419436</v>
      </c>
      <c r="FZ67" s="8" t="n">
        <v>22464000</v>
      </c>
      <c r="GA67" s="9">
        <f>FW67+FX67+FY67+FZ67</f>
        <v/>
      </c>
      <c r="GB67" s="9">
        <f>FV67+GA67</f>
        <v/>
      </c>
      <c r="GC67" s="8" t="n">
        <v>19803198</v>
      </c>
      <c r="GD67" s="8" t="n">
        <v>0</v>
      </c>
      <c r="GE67" s="8" t="n">
        <v>78766577.43000001</v>
      </c>
      <c r="GF67" s="8" t="n">
        <v>0</v>
      </c>
      <c r="GG67" s="9">
        <f>GC67+GD67+GE67+GF67</f>
        <v/>
      </c>
      <c r="GH67" s="8" t="n">
        <v>6093886.8</v>
      </c>
      <c r="GI67" s="8" t="n">
        <v>213500</v>
      </c>
      <c r="GJ67" s="8" t="n">
        <v>22445027.05</v>
      </c>
      <c r="GK67" s="8" t="n">
        <v>3399036</v>
      </c>
      <c r="GL67" s="9">
        <f>GH67+GI67+GJ67+GK67</f>
        <v/>
      </c>
      <c r="GM67" s="9">
        <f>GG67+GL67</f>
        <v/>
      </c>
      <c r="GN67" s="8" t="n">
        <v>740463</v>
      </c>
      <c r="GO67" s="8" t="n">
        <v>0</v>
      </c>
      <c r="GP67" s="8" t="n">
        <v>37330.04</v>
      </c>
      <c r="GQ67" s="8" t="n">
        <v>0</v>
      </c>
      <c r="GR67" s="9">
        <f>GN67+GO67+GP67+GQ67</f>
        <v/>
      </c>
      <c r="GS67" s="8" t="n">
        <v>1298422</v>
      </c>
      <c r="GT67" s="8" t="n">
        <v>0</v>
      </c>
      <c r="GU67" s="8" t="n">
        <v>9823</v>
      </c>
      <c r="GV67" s="8" t="n">
        <v>0</v>
      </c>
      <c r="GW67" s="9">
        <f>GS67+GT67+GU67+GV67</f>
        <v/>
      </c>
      <c r="GX67" s="9">
        <f>GM67+GR67+GW67</f>
        <v/>
      </c>
      <c r="GY67" s="8" t="n">
        <v>42928750.56999942</v>
      </c>
      <c r="GZ67" s="8" t="n">
        <v>457119479.8900001</v>
      </c>
      <c r="HA67" s="9">
        <f>GY67+GZ67</f>
        <v/>
      </c>
      <c r="HB67" s="9">
        <f>IF(GX67=0,"",AU67/GX67)</f>
        <v/>
      </c>
      <c r="HC67" s="10">
        <f>IF((GX67+GY67)=0,"",GB67/(GX67+GY67))</f>
        <v/>
      </c>
      <c r="HD67" s="9">
        <f>IF(GX67=0,"",GB67/GX67)</f>
        <v/>
      </c>
      <c r="HE67" s="8" t="n">
        <v>38</v>
      </c>
      <c r="HF67" s="8" t="n">
        <v>1</v>
      </c>
      <c r="HG67" s="8" t="n">
        <v>175</v>
      </c>
      <c r="HH67" s="8" t="n">
        <v>35</v>
      </c>
      <c r="HI67" s="8" t="n">
        <v>30</v>
      </c>
      <c r="HJ67" s="9">
        <f>HF67+HI67</f>
        <v/>
      </c>
      <c r="HK67" s="10">
        <f>IF(HE67=0,"",HH67/HE67)</f>
        <v/>
      </c>
      <c r="HL67" s="8" t="n">
        <v>30</v>
      </c>
      <c r="HM67" s="8" t="n">
        <v>1</v>
      </c>
      <c r="HN67" s="11">
        <f>IF(HL67=0,"",HM67/HL67)</f>
        <v/>
      </c>
    </row>
    <row r="68">
      <c r="A68" s="12" t="inlineStr">
        <is>
          <t>Mangochi</t>
        </is>
      </c>
      <c r="B68" s="12" t="inlineStr">
        <is>
          <t>Monkey Bay</t>
        </is>
      </c>
      <c r="C68" s="13" t="inlineStr">
        <is>
          <t>FY2025/26</t>
        </is>
      </c>
      <c r="D68" s="13" t="n">
        <v>2025</v>
      </c>
      <c r="E68" s="13" t="n">
        <v>9</v>
      </c>
      <c r="F68" s="13" t="inlineStr">
        <is>
          <t>September</t>
        </is>
      </c>
      <c r="G68" s="13" t="inlineStr">
        <is>
          <t>Q2</t>
        </is>
      </c>
      <c r="H68" s="14" t="n">
        <v>68308</v>
      </c>
      <c r="I68" s="14" t="n">
        <v>23173</v>
      </c>
      <c r="J68" s="14" t="n">
        <v>0</v>
      </c>
      <c r="K68" s="14" t="n">
        <v>20082</v>
      </c>
      <c r="L68" s="14" t="n">
        <v>0</v>
      </c>
      <c r="M68" s="15">
        <f>SUM(I68,J68,K68,L68)</f>
        <v/>
      </c>
      <c r="N68" s="14" t="n">
        <v>5677.3</v>
      </c>
      <c r="O68" s="14" t="n">
        <v>1095.2</v>
      </c>
      <c r="P68" s="14" t="n">
        <v>1566.2</v>
      </c>
      <c r="Q68" s="14" t="n">
        <v>742.6</v>
      </c>
      <c r="R68" s="15">
        <f>SUM(N68,O68,P68,Q68)</f>
        <v/>
      </c>
      <c r="S68" s="15">
        <f>M68+R68</f>
        <v/>
      </c>
      <c r="T68" s="14" t="n">
        <v>15971.7</v>
      </c>
      <c r="U68" s="16">
        <f>IF(H68=0,"",T68/H68)</f>
        <v/>
      </c>
      <c r="V68" s="14" t="n">
        <v>150</v>
      </c>
      <c r="W68" s="17">
        <f>IF(H68=0,"",V68/H68)</f>
        <v/>
      </c>
      <c r="X68" s="14" t="n">
        <v>0</v>
      </c>
      <c r="Y68" s="17">
        <f>IF(H68=0,"",X68/H68)</f>
        <v/>
      </c>
      <c r="Z68" s="14" t="n">
        <v>0</v>
      </c>
      <c r="AA68" s="17">
        <f>IF(H68=0,"",Z68/H68)</f>
        <v/>
      </c>
      <c r="AB68" s="14" t="n">
        <v>0</v>
      </c>
      <c r="AC68" s="17">
        <f>IF(H68=0,"",AB68/H68)</f>
        <v/>
      </c>
      <c r="AD68" s="14" t="n">
        <v>0</v>
      </c>
      <c r="AE68" s="17">
        <f>IF(H68=0,"",AD68/H68)</f>
        <v/>
      </c>
      <c r="AF68" s="14" t="n">
        <v>0</v>
      </c>
      <c r="AG68" s="17">
        <f>IF(H68=0,"",AF68/H68)</f>
        <v/>
      </c>
      <c r="AH68" s="14" t="n">
        <v>3589365</v>
      </c>
      <c r="AI68" s="15">
        <f>IF(H68=0,"",AH68/H68)</f>
        <v/>
      </c>
      <c r="AJ68" s="14" t="n">
        <v>35063</v>
      </c>
      <c r="AK68" s="17">
        <f>IF(H68=0,"",AJ68/H68)</f>
        <v/>
      </c>
      <c r="AL68" s="14" t="n">
        <v>5881083.6825</v>
      </c>
      <c r="AM68" s="15">
        <f>IF(H68=0,"",AL68/H68)</f>
        <v/>
      </c>
      <c r="AN68" s="14" t="n">
        <v>0</v>
      </c>
      <c r="AO68" s="14" t="n">
        <v>0</v>
      </c>
      <c r="AP68" s="14" t="n">
        <v>0</v>
      </c>
      <c r="AQ68" s="14" t="n">
        <v>0</v>
      </c>
      <c r="AR68" s="14" t="n">
        <v>5557667.8</v>
      </c>
      <c r="AS68" s="14" t="n">
        <v>1416441.7</v>
      </c>
      <c r="AT68" s="14" t="n">
        <v>834720</v>
      </c>
      <c r="AU68" s="15">
        <f>AH68+AL68+AP68+AQ68+AR68+AS68+AT68</f>
        <v/>
      </c>
      <c r="AV68" s="15">
        <f>IF(H68=0,"",AU68/H68)</f>
        <v/>
      </c>
      <c r="AW68" s="15">
        <f>IF(S68=0,"",AU68/S68)</f>
        <v/>
      </c>
      <c r="AX68" s="14" t="n">
        <v>6</v>
      </c>
      <c r="AY68" s="15">
        <f>IF(H68=0,"",AX68/(H68/1000/12))</f>
        <v/>
      </c>
      <c r="AZ68" s="14" t="n">
        <v>11</v>
      </c>
      <c r="BA68" s="14" t="n">
        <v>168</v>
      </c>
      <c r="BB68" s="14" t="n">
        <v>36</v>
      </c>
      <c r="BC68" s="14" t="n">
        <v>10</v>
      </c>
      <c r="BD68" s="14" t="n">
        <v>0</v>
      </c>
      <c r="BE68" s="15">
        <f>BC68+BD68</f>
        <v/>
      </c>
      <c r="BF68" s="15">
        <f>BA68+BB68-BE68</f>
        <v/>
      </c>
      <c r="BG68" s="14" t="n">
        <v>0</v>
      </c>
      <c r="BH68" s="14" t="n">
        <v>0</v>
      </c>
      <c r="BI68" s="14" t="n">
        <v>0</v>
      </c>
      <c r="BJ68" s="14" t="n">
        <v>0</v>
      </c>
      <c r="BK68" s="15">
        <f>BI68+BJ68</f>
        <v/>
      </c>
      <c r="BL68" s="15">
        <f>BG68+BH68-BK68</f>
        <v/>
      </c>
      <c r="BM68" s="14" t="n">
        <v>7</v>
      </c>
      <c r="BN68" s="14" t="n">
        <v>0</v>
      </c>
      <c r="BO68" s="14" t="n">
        <v>0</v>
      </c>
      <c r="BP68" s="14" t="n">
        <v>0</v>
      </c>
      <c r="BQ68" s="15">
        <f>BO68+BP68</f>
        <v/>
      </c>
      <c r="BR68" s="15">
        <f>BM68+BN68-BQ68</f>
        <v/>
      </c>
      <c r="BS68" s="14" t="n">
        <v>0</v>
      </c>
      <c r="BT68" s="14" t="n">
        <v>0</v>
      </c>
      <c r="BU68" s="14" t="n">
        <v>0</v>
      </c>
      <c r="BV68" s="14" t="n">
        <v>0</v>
      </c>
      <c r="BW68" s="15">
        <f>BU68+BV68</f>
        <v/>
      </c>
      <c r="BX68" s="15">
        <f>BS68+BT68-BW68</f>
        <v/>
      </c>
      <c r="BY68" s="15">
        <f>BA68+BG68+BM68+BS68</f>
        <v/>
      </c>
      <c r="BZ68" s="15">
        <f>BB68+BH68+BN68+BT68</f>
        <v/>
      </c>
      <c r="CA68" s="15">
        <f>BE68+BK68+BQ68+BW68</f>
        <v/>
      </c>
      <c r="CB68" s="15">
        <f>BF68+BL68+BR68+BX68</f>
        <v/>
      </c>
      <c r="CC68" s="14" t="n">
        <v>0</v>
      </c>
      <c r="CD68" s="14" t="n">
        <v>403</v>
      </c>
      <c r="CE68" s="14" t="n">
        <v>17</v>
      </c>
      <c r="CF68" s="14" t="n">
        <v>22</v>
      </c>
      <c r="CG68" s="14" t="n">
        <v>3</v>
      </c>
      <c r="CH68" s="15">
        <f>CD68+CE68+CF68+CG68</f>
        <v/>
      </c>
      <c r="CI68" s="14" t="n">
        <v>1494</v>
      </c>
      <c r="CJ68" s="14" t="n">
        <v>11</v>
      </c>
      <c r="CK68" s="14" t="n">
        <v>0</v>
      </c>
      <c r="CL68" s="14" t="n">
        <v>0</v>
      </c>
      <c r="CM68" s="15">
        <f>CI68+CJ68+CK68+CL68</f>
        <v/>
      </c>
      <c r="CN68" s="14" t="n">
        <v>594</v>
      </c>
      <c r="CO68" s="14" t="n">
        <v>44</v>
      </c>
      <c r="CP68" s="14" t="n">
        <v>84</v>
      </c>
      <c r="CQ68" s="14" t="n">
        <v>21</v>
      </c>
      <c r="CR68" s="15">
        <f>CN68+CO68+CP68+CQ68</f>
        <v/>
      </c>
      <c r="CS68" s="15">
        <f>CM68+CR68</f>
        <v/>
      </c>
      <c r="CT68" s="14" t="n">
        <v>2693</v>
      </c>
      <c r="CU68" s="14" t="n">
        <v>21538</v>
      </c>
      <c r="CV68" s="14" t="n">
        <v>17672</v>
      </c>
      <c r="CW68" s="16">
        <f>IF(CU68=0,"",CV68/CU68)</f>
        <v/>
      </c>
      <c r="CX68" s="14" t="n"/>
      <c r="CY68" s="14" t="n"/>
      <c r="CZ68" s="14" t="n"/>
      <c r="DA68" s="14" t="n"/>
      <c r="DB68" s="15">
        <f>CX68+CY68-CZ68-DA68</f>
        <v/>
      </c>
      <c r="DC68" s="14" t="n">
        <v>0</v>
      </c>
      <c r="DD68" s="14" t="n">
        <v>0</v>
      </c>
      <c r="DE68" s="14" t="n">
        <v>0</v>
      </c>
      <c r="DF68" s="14" t="n">
        <v>0</v>
      </c>
      <c r="DG68" s="15">
        <f>DC68+DD68-DE68-DF68</f>
        <v/>
      </c>
      <c r="DH68" s="14" t="n">
        <v>0</v>
      </c>
      <c r="DI68" s="14" t="n">
        <v>0</v>
      </c>
      <c r="DJ68" s="14" t="n">
        <v>0</v>
      </c>
      <c r="DK68" s="14" t="n">
        <v>0</v>
      </c>
      <c r="DL68" s="15">
        <f>DH68+DI68-DJ68-DK68</f>
        <v/>
      </c>
      <c r="DM68" s="14" t="n">
        <v>37</v>
      </c>
      <c r="DN68" s="14" t="n">
        <v>9</v>
      </c>
      <c r="DO68" s="14" t="n">
        <v>0</v>
      </c>
      <c r="DP68" s="14" t="n">
        <v>0</v>
      </c>
      <c r="DQ68" s="15">
        <f>DM68+DN68-DO68-DP68</f>
        <v/>
      </c>
      <c r="DR68" s="15">
        <f>CX68+DC68+DH68+DM68</f>
        <v/>
      </c>
      <c r="DS68" s="15">
        <f>CY68+DD68+DI68+DN68</f>
        <v/>
      </c>
      <c r="DT68" s="15">
        <f>CZ68+DE68+DJ68+DO68</f>
        <v/>
      </c>
      <c r="DU68" s="15">
        <f>DA68+DF68+DK68+DP68</f>
        <v/>
      </c>
      <c r="DV68" s="15">
        <f>DB68+DG68+DL68+DQ68</f>
        <v/>
      </c>
      <c r="DW68" s="14" t="n">
        <v>16</v>
      </c>
      <c r="DX68" s="14" t="n">
        <v>9</v>
      </c>
      <c r="DY68" s="14" t="n">
        <v>4</v>
      </c>
      <c r="DZ68" s="14" t="n">
        <v>1</v>
      </c>
      <c r="EA68" s="14" t="n">
        <v>0</v>
      </c>
      <c r="EB68" s="14" t="n">
        <v>5</v>
      </c>
      <c r="EC68" s="14" t="n">
        <v>1</v>
      </c>
      <c r="ED68" s="14" t="n">
        <v>0</v>
      </c>
      <c r="EE68" s="14" t="n">
        <v>1</v>
      </c>
      <c r="EF68" s="14" t="n">
        <v>0</v>
      </c>
      <c r="EG68" s="14" t="n">
        <v>0</v>
      </c>
      <c r="EH68" s="14" t="n">
        <v>0</v>
      </c>
      <c r="EI68" s="14" t="n">
        <v>0</v>
      </c>
      <c r="EJ68" s="14" t="n">
        <v>2</v>
      </c>
      <c r="EK68" s="14" t="n">
        <v>2</v>
      </c>
      <c r="EL68" s="14" t="n">
        <v>0</v>
      </c>
      <c r="EM68" s="14" t="n">
        <v>0</v>
      </c>
      <c r="EN68" s="14" t="n">
        <v>0</v>
      </c>
      <c r="EO68" s="14" t="n">
        <v>0</v>
      </c>
      <c r="EP68" s="14" t="n">
        <v>0</v>
      </c>
      <c r="EQ68" s="14" t="n">
        <v>0</v>
      </c>
      <c r="ER68" s="14" t="n">
        <v>0</v>
      </c>
      <c r="ES68" s="14" t="n">
        <v>0</v>
      </c>
      <c r="ET68" s="14" t="n">
        <v>0</v>
      </c>
      <c r="EU68" s="14" t="n">
        <v>0</v>
      </c>
      <c r="EV68" s="14" t="n">
        <v>0</v>
      </c>
      <c r="EW68" s="14" t="n">
        <v>0</v>
      </c>
      <c r="EX68" s="14" t="n">
        <v>0</v>
      </c>
      <c r="EY68" s="14" t="n">
        <v>0</v>
      </c>
      <c r="EZ68" s="14" t="n">
        <v>0</v>
      </c>
      <c r="FA68" s="14" t="n">
        <v>0</v>
      </c>
      <c r="FB68" s="14" t="n">
        <v>0</v>
      </c>
      <c r="FC68" s="14" t="n">
        <v>0</v>
      </c>
      <c r="FD68" s="14" t="n">
        <v>0</v>
      </c>
      <c r="FE68" s="14" t="n">
        <v>0</v>
      </c>
      <c r="FF68" s="14" t="n">
        <v>0</v>
      </c>
      <c r="FG68" s="15">
        <f>SUM(DW68,DX68,DY68,DZ68,EA68,EB68,EC68,ED68,EE68,EF68,EG68,EH68,EI68,EJ68,EK68,EL68,EM68,EN68,EO68,EP68,EQ68,ER68,ES68,ET68,EU68,EV68,EW68,EX68,EY68,EZ68,FA68,FB68,FC68,FD68,FE68,FF68)</f>
        <v/>
      </c>
      <c r="FH68" s="14" t="n">
        <v>6</v>
      </c>
      <c r="FI68" s="14" t="n">
        <v>609</v>
      </c>
      <c r="FJ68" s="14" t="n">
        <v>24</v>
      </c>
      <c r="FK68" s="14" t="n">
        <v>111</v>
      </c>
      <c r="FL68" s="14" t="n">
        <v>0</v>
      </c>
      <c r="FM68" s="14" t="n">
        <v>0</v>
      </c>
      <c r="FN68" s="14" t="n">
        <v>0</v>
      </c>
      <c r="FO68" s="14" t="n">
        <v>0</v>
      </c>
      <c r="FP68" s="14" t="n">
        <v>0</v>
      </c>
      <c r="FQ68" s="15">
        <f>FL68+FM68+FN68+FO68+FP68</f>
        <v/>
      </c>
      <c r="FR68" s="14" t="n">
        <v>27214761</v>
      </c>
      <c r="FS68" s="14" t="n">
        <v>0</v>
      </c>
      <c r="FT68" s="14" t="n">
        <v>0</v>
      </c>
      <c r="FU68" s="14" t="n">
        <v>187846123.06</v>
      </c>
      <c r="FV68" s="15">
        <f>FR68+FS68+FT68+FU68</f>
        <v/>
      </c>
      <c r="FW68" s="14" t="n">
        <v>7175803</v>
      </c>
      <c r="FX68" s="14" t="n">
        <v>232700</v>
      </c>
      <c r="FY68" s="14" t="n">
        <v>3564900</v>
      </c>
      <c r="FZ68" s="14" t="n">
        <v>4783800</v>
      </c>
      <c r="GA68" s="15">
        <f>FW68+FX68+FY68+FZ68</f>
        <v/>
      </c>
      <c r="GB68" s="15">
        <f>FV68+GA68</f>
        <v/>
      </c>
      <c r="GC68" s="14" t="n">
        <v>21376700</v>
      </c>
      <c r="GD68" s="14" t="n">
        <v>0</v>
      </c>
      <c r="GE68" s="14" t="n">
        <v>69346440.62</v>
      </c>
      <c r="GF68" s="14" t="n">
        <v>0</v>
      </c>
      <c r="GG68" s="15">
        <f>GC68+GD68+GE68+GF68</f>
        <v/>
      </c>
      <c r="GH68" s="14" t="n">
        <v>7082323</v>
      </c>
      <c r="GI68" s="14" t="n">
        <v>232700</v>
      </c>
      <c r="GJ68" s="14" t="n">
        <v>4761049.83</v>
      </c>
      <c r="GK68" s="14" t="n">
        <v>3513660</v>
      </c>
      <c r="GL68" s="15">
        <f>GH68+GI68+GJ68+GK68</f>
        <v/>
      </c>
      <c r="GM68" s="15">
        <f>GG68+GL68</f>
        <v/>
      </c>
      <c r="GN68" s="14" t="n">
        <v>760683</v>
      </c>
      <c r="GO68" s="14" t="n">
        <v>0</v>
      </c>
      <c r="GP68" s="14" t="n">
        <v>37330.04</v>
      </c>
      <c r="GQ68" s="14" t="n">
        <v>0</v>
      </c>
      <c r="GR68" s="15">
        <f>GN68+GO68+GP68+GQ68</f>
        <v/>
      </c>
      <c r="GS68" s="14" t="n">
        <v>1334142</v>
      </c>
      <c r="GT68" s="14" t="n">
        <v>0</v>
      </c>
      <c r="GU68" s="14" t="n">
        <v>9823</v>
      </c>
      <c r="GV68" s="14" t="n">
        <v>0</v>
      </c>
      <c r="GW68" s="15">
        <f>GS68+GT68+GU68+GV68</f>
        <v/>
      </c>
      <c r="GX68" s="15">
        <f>GM68+GR68+GW68</f>
        <v/>
      </c>
      <c r="GY68" s="14" t="n">
        <v>25102186.73999953</v>
      </c>
      <c r="GZ68" s="14" t="n">
        <v>352786918.1400001</v>
      </c>
      <c r="HA68" s="15">
        <f>GY68+GZ68</f>
        <v/>
      </c>
      <c r="HB68" s="15">
        <f>IF(GX68=0,"",AU68/GX68)</f>
        <v/>
      </c>
      <c r="HC68" s="16">
        <f>IF((GX68+GY68)=0,"",GB68/(GX68+GY68))</f>
        <v/>
      </c>
      <c r="HD68" s="15">
        <f>IF(GX68=0,"",GB68/GX68)</f>
        <v/>
      </c>
      <c r="HE68" s="14" t="n">
        <v>40</v>
      </c>
      <c r="HF68" s="14" t="n">
        <v>1</v>
      </c>
      <c r="HG68" s="14" t="n">
        <v>201</v>
      </c>
      <c r="HH68" s="14" t="n">
        <v>36</v>
      </c>
      <c r="HI68" s="14" t="n">
        <v>30</v>
      </c>
      <c r="HJ68" s="15">
        <f>HF68+HI68</f>
        <v/>
      </c>
      <c r="HK68" s="16">
        <f>IF(HE68=0,"",HH68/HE68)</f>
        <v/>
      </c>
      <c r="HL68" s="14" t="n">
        <v>84</v>
      </c>
      <c r="HM68" s="14" t="n">
        <v>24</v>
      </c>
      <c r="HN68" s="17">
        <f>IF(HL68=0,"",HM68/HL68)</f>
        <v/>
      </c>
    </row>
    <row r="69">
      <c r="A69" s="6" t="inlineStr">
        <is>
          <t>Mangochi</t>
        </is>
      </c>
      <c r="B69" s="6" t="inlineStr">
        <is>
          <t>Monkey Bay</t>
        </is>
      </c>
      <c r="C69" s="7" t="inlineStr">
        <is>
          <t>FY2025/26</t>
        </is>
      </c>
      <c r="D69" s="7" t="n">
        <v>2025</v>
      </c>
      <c r="E69" s="7" t="n">
        <v>10</v>
      </c>
      <c r="F69" s="7" t="inlineStr">
        <is>
          <t>October</t>
        </is>
      </c>
      <c r="G69" s="7" t="inlineStr">
        <is>
          <t>Q3</t>
        </is>
      </c>
      <c r="H69" s="8" t="n">
        <v>70350</v>
      </c>
      <c r="I69" s="8" t="n">
        <v>22915</v>
      </c>
      <c r="J69" s="8" t="n">
        <v>0</v>
      </c>
      <c r="K69" s="8" t="n">
        <v>19286</v>
      </c>
      <c r="L69" s="8" t="n">
        <v>0</v>
      </c>
      <c r="M69" s="9">
        <f>SUM(I69,J69,K69,L69)</f>
        <v/>
      </c>
      <c r="N69" s="8" t="n">
        <v>6160.4</v>
      </c>
      <c r="O69" s="8" t="n">
        <v>1477.8</v>
      </c>
      <c r="P69" s="8" t="n">
        <v>3129.5</v>
      </c>
      <c r="Q69" s="8" t="n">
        <v>936.3</v>
      </c>
      <c r="R69" s="9">
        <f>SUM(N69,O69,P69,Q69)</f>
        <v/>
      </c>
      <c r="S69" s="9">
        <f>M69+R69</f>
        <v/>
      </c>
      <c r="T69" s="8" t="n">
        <v>16445</v>
      </c>
      <c r="U69" s="10">
        <f>IF(H69=0,"",T69/H69)</f>
        <v/>
      </c>
      <c r="V69" s="8" t="n">
        <v>155</v>
      </c>
      <c r="W69" s="11">
        <f>IF(H69=0,"",V69/H69)</f>
        <v/>
      </c>
      <c r="X69" s="8" t="n">
        <v>0</v>
      </c>
      <c r="Y69" s="11">
        <f>IF(H69=0,"",X69/H69)</f>
        <v/>
      </c>
      <c r="Z69" s="8" t="n">
        <v>0</v>
      </c>
      <c r="AA69" s="11">
        <f>IF(H69=0,"",Z69/H69)</f>
        <v/>
      </c>
      <c r="AB69" s="8" t="n">
        <v>0</v>
      </c>
      <c r="AC69" s="11">
        <f>IF(H69=0,"",AB69/H69)</f>
        <v/>
      </c>
      <c r="AD69" s="8" t="n">
        <v>0</v>
      </c>
      <c r="AE69" s="11">
        <f>IF(H69=0,"",AD69/H69)</f>
        <v/>
      </c>
      <c r="AF69" s="8" t="n">
        <v>0</v>
      </c>
      <c r="AG69" s="11">
        <f>IF(H69=0,"",AF69/H69)</f>
        <v/>
      </c>
      <c r="AH69" s="8" t="n">
        <v>3709010.5</v>
      </c>
      <c r="AI69" s="9">
        <f>IF(H69=0,"",AH69/H69)</f>
        <v/>
      </c>
      <c r="AJ69" s="8" t="n">
        <v>35129</v>
      </c>
      <c r="AK69" s="11">
        <f>IF(H69=0,"",AJ69/H69)</f>
        <v/>
      </c>
      <c r="AL69" s="8" t="n">
        <v>5892117.3975</v>
      </c>
      <c r="AM69" s="9">
        <f>IF(H69=0,"",AL69/H69)</f>
        <v/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5557667.8</v>
      </c>
      <c r="AS69" s="8" t="n">
        <v>1466417.73</v>
      </c>
      <c r="AT69" s="8" t="n">
        <v>816700</v>
      </c>
      <c r="AU69" s="9">
        <f>AH69+AL69+AP69+AQ69+AR69+AS69+AT69</f>
        <v/>
      </c>
      <c r="AV69" s="9">
        <f>IF(H69=0,"",AU69/H69)</f>
        <v/>
      </c>
      <c r="AW69" s="9">
        <f>IF(S69=0,"",AU69/S69)</f>
        <v/>
      </c>
      <c r="AX69" s="8" t="n">
        <v>6</v>
      </c>
      <c r="AY69" s="9">
        <f>IF(H69=0,"",AX69/(H69/1000/12))</f>
        <v/>
      </c>
      <c r="AZ69" s="8" t="n">
        <v>11</v>
      </c>
      <c r="BA69" s="8" t="n">
        <v>194</v>
      </c>
      <c r="BB69" s="8" t="n">
        <v>34</v>
      </c>
      <c r="BC69" s="8" t="n">
        <v>21</v>
      </c>
      <c r="BD69" s="8" t="n">
        <v>7</v>
      </c>
      <c r="BE69" s="9">
        <f>BC69+BD69</f>
        <v/>
      </c>
      <c r="BF69" s="9">
        <f>BA69+BB69-BE69</f>
        <v/>
      </c>
      <c r="BG69" s="8" t="n">
        <v>0</v>
      </c>
      <c r="BH69" s="8" t="n">
        <v>0</v>
      </c>
      <c r="BI69" s="8" t="n">
        <v>0</v>
      </c>
      <c r="BJ69" s="8" t="n">
        <v>0</v>
      </c>
      <c r="BK69" s="9">
        <f>BI69+BJ69</f>
        <v/>
      </c>
      <c r="BL69" s="9">
        <f>BG69+BH69-BK69</f>
        <v/>
      </c>
      <c r="BM69" s="8" t="n">
        <v>7</v>
      </c>
      <c r="BN69" s="8" t="n">
        <v>0</v>
      </c>
      <c r="BO69" s="8" t="n">
        <v>0</v>
      </c>
      <c r="BP69" s="8" t="n">
        <v>0</v>
      </c>
      <c r="BQ69" s="9">
        <f>BO69+BP69</f>
        <v/>
      </c>
      <c r="BR69" s="9">
        <f>BM69+BN69-BQ69</f>
        <v/>
      </c>
      <c r="BS69" s="8" t="n">
        <v>0</v>
      </c>
      <c r="BT69" s="8" t="n">
        <v>0</v>
      </c>
      <c r="BU69" s="8" t="n">
        <v>0</v>
      </c>
      <c r="BV69" s="8" t="n">
        <v>0</v>
      </c>
      <c r="BW69" s="9">
        <f>BU69+BV69</f>
        <v/>
      </c>
      <c r="BX69" s="9">
        <f>BS69+BT69-BW69</f>
        <v/>
      </c>
      <c r="BY69" s="9">
        <f>BA69+BG69+BM69+BS69</f>
        <v/>
      </c>
      <c r="BZ69" s="9">
        <f>BB69+BH69+BN69+BT69</f>
        <v/>
      </c>
      <c r="CA69" s="9">
        <f>BE69+BK69+BQ69+BW69</f>
        <v/>
      </c>
      <c r="CB69" s="9">
        <f>BF69+BL69+BR69+BX69</f>
        <v/>
      </c>
      <c r="CC69" s="8" t="n">
        <v>7</v>
      </c>
      <c r="CD69" s="8" t="n">
        <v>423</v>
      </c>
      <c r="CE69" s="8" t="n">
        <v>17</v>
      </c>
      <c r="CF69" s="8" t="n">
        <v>22</v>
      </c>
      <c r="CG69" s="8" t="n">
        <v>3</v>
      </c>
      <c r="CH69" s="9">
        <f>CD69+CE69+CF69+CG69</f>
        <v/>
      </c>
      <c r="CI69" s="8" t="n">
        <v>1474</v>
      </c>
      <c r="CJ69" s="8" t="n">
        <v>11</v>
      </c>
      <c r="CK69" s="8" t="n">
        <v>0</v>
      </c>
      <c r="CL69" s="8" t="n">
        <v>0</v>
      </c>
      <c r="CM69" s="9">
        <f>CI69+CJ69+CK69+CL69</f>
        <v/>
      </c>
      <c r="CN69" s="8" t="n">
        <v>636</v>
      </c>
      <c r="CO69" s="8" t="n">
        <v>44</v>
      </c>
      <c r="CP69" s="8" t="n">
        <v>84</v>
      </c>
      <c r="CQ69" s="8" t="n">
        <v>21</v>
      </c>
      <c r="CR69" s="9">
        <f>CN69+CO69+CP69+CQ69</f>
        <v/>
      </c>
      <c r="CS69" s="9">
        <f>CM69+CR69</f>
        <v/>
      </c>
      <c r="CT69" s="8" t="n">
        <v>2735</v>
      </c>
      <c r="CU69" s="8" t="n">
        <v>50891</v>
      </c>
      <c r="CV69" s="8" t="n">
        <v>17822</v>
      </c>
      <c r="CW69" s="10">
        <f>IF(CU69=0,"",CV69/CU69)</f>
        <v/>
      </c>
      <c r="CX69" s="8" t="n"/>
      <c r="CY69" s="8" t="n"/>
      <c r="CZ69" s="8" t="n"/>
      <c r="DA69" s="8" t="n"/>
      <c r="DB69" s="9">
        <f>CX69+CY69-CZ69-DA69</f>
        <v/>
      </c>
      <c r="DC69" s="8" t="n">
        <v>0</v>
      </c>
      <c r="DD69" s="8" t="n">
        <v>0</v>
      </c>
      <c r="DE69" s="8" t="n">
        <v>0</v>
      </c>
      <c r="DF69" s="8" t="n">
        <v>0</v>
      </c>
      <c r="DG69" s="9">
        <f>DC69+DD69-DE69-DF69</f>
        <v/>
      </c>
      <c r="DH69" s="8" t="n">
        <v>0</v>
      </c>
      <c r="DI69" s="8" t="n">
        <v>0</v>
      </c>
      <c r="DJ69" s="8" t="n">
        <v>0</v>
      </c>
      <c r="DK69" s="8" t="n">
        <v>0</v>
      </c>
      <c r="DL69" s="9">
        <f>DH69+DI69-DJ69-DK69</f>
        <v/>
      </c>
      <c r="DM69" s="8" t="n">
        <v>46</v>
      </c>
      <c r="DN69" s="8" t="n">
        <v>11</v>
      </c>
      <c r="DO69" s="8" t="n">
        <v>5</v>
      </c>
      <c r="DP69" s="8" t="n">
        <v>1</v>
      </c>
      <c r="DQ69" s="9">
        <f>DM69+DN69-DO69-DP69</f>
        <v/>
      </c>
      <c r="DR69" s="9">
        <f>CX69+DC69+DH69+DM69</f>
        <v/>
      </c>
      <c r="DS69" s="9">
        <f>CY69+DD69+DI69+DN69</f>
        <v/>
      </c>
      <c r="DT69" s="9">
        <f>CZ69+DE69+DJ69+DO69</f>
        <v/>
      </c>
      <c r="DU69" s="9">
        <f>DA69+DF69+DK69+DP69</f>
        <v/>
      </c>
      <c r="DV69" s="9">
        <f>DB69+DG69+DL69+DQ69</f>
        <v/>
      </c>
      <c r="DW69" s="8" t="n">
        <v>25</v>
      </c>
      <c r="DX69" s="8" t="n">
        <v>6</v>
      </c>
      <c r="DY69" s="8" t="n">
        <v>6</v>
      </c>
      <c r="DZ69" s="8" t="n">
        <v>3</v>
      </c>
      <c r="EA69" s="8" t="n">
        <v>0</v>
      </c>
      <c r="EB69" s="8" t="n">
        <v>3</v>
      </c>
      <c r="EC69" s="8" t="n">
        <v>1</v>
      </c>
      <c r="ED69" s="8" t="n">
        <v>2</v>
      </c>
      <c r="EE69" s="8" t="n">
        <v>1</v>
      </c>
      <c r="EF69" s="8" t="n">
        <v>0</v>
      </c>
      <c r="EG69" s="8" t="n">
        <v>0</v>
      </c>
      <c r="EH69" s="8" t="n">
        <v>0</v>
      </c>
      <c r="EI69" s="8" t="n">
        <v>0</v>
      </c>
      <c r="EJ69" s="8" t="n">
        <v>2</v>
      </c>
      <c r="EK69" s="8" t="n">
        <v>1</v>
      </c>
      <c r="EL69" s="8" t="n">
        <v>0</v>
      </c>
      <c r="EM69" s="8" t="n">
        <v>0</v>
      </c>
      <c r="EN69" s="8" t="n">
        <v>0</v>
      </c>
      <c r="EO69" s="8" t="n">
        <v>0</v>
      </c>
      <c r="EP69" s="8" t="n">
        <v>0</v>
      </c>
      <c r="EQ69" s="8" t="n">
        <v>0</v>
      </c>
      <c r="ER69" s="8" t="n">
        <v>0</v>
      </c>
      <c r="ES69" s="8" t="n">
        <v>0</v>
      </c>
      <c r="ET69" s="8" t="n">
        <v>0</v>
      </c>
      <c r="EU69" s="8" t="n">
        <v>0</v>
      </c>
      <c r="EV69" s="8" t="n">
        <v>0</v>
      </c>
      <c r="EW69" s="8" t="n">
        <v>0</v>
      </c>
      <c r="EX69" s="8" t="n">
        <v>0</v>
      </c>
      <c r="EY69" s="8" t="n">
        <v>0</v>
      </c>
      <c r="EZ69" s="8" t="n">
        <v>0</v>
      </c>
      <c r="FA69" s="8" t="n">
        <v>0</v>
      </c>
      <c r="FB69" s="8" t="n">
        <v>0</v>
      </c>
      <c r="FC69" s="8" t="n">
        <v>0</v>
      </c>
      <c r="FD69" s="8" t="n">
        <v>0</v>
      </c>
      <c r="FE69" s="8" t="n">
        <v>0</v>
      </c>
      <c r="FF69" s="8" t="n">
        <v>0</v>
      </c>
      <c r="FG69" s="9">
        <f>SUM(DW69,DX69,DY69,DZ69,EA69,EB69,EC69,ED69,EE69,EF69,EG69,EH69,EI69,EJ69,EK69,EL69,EM69,EN69,EO69,EP69,EQ69,ER69,ES69,ET69,EU69,EV69,EW69,EX69,EY69,EZ69,FA69,FB69,FC69,FD69,FE69,FF69)</f>
        <v/>
      </c>
      <c r="FH69" s="8" t="n">
        <v>6</v>
      </c>
      <c r="FI69" s="8" t="n">
        <v>640</v>
      </c>
      <c r="FJ69" s="8" t="n">
        <v>24</v>
      </c>
      <c r="FK69" s="8" t="n">
        <v>104</v>
      </c>
      <c r="FL69" s="8" t="n">
        <v>0</v>
      </c>
      <c r="FM69" s="8" t="n">
        <v>0</v>
      </c>
      <c r="FN69" s="8" t="n">
        <v>0</v>
      </c>
      <c r="FO69" s="8" t="n">
        <v>0</v>
      </c>
      <c r="FP69" s="8" t="n">
        <v>0</v>
      </c>
      <c r="FQ69" s="9">
        <f>FL69+FM69+FN69+FO69+FP69</f>
        <v/>
      </c>
      <c r="FR69" s="8" t="n">
        <v>30605204</v>
      </c>
      <c r="FS69" s="8" t="n">
        <v>0</v>
      </c>
      <c r="FT69" s="8" t="n">
        <v>0</v>
      </c>
      <c r="FU69" s="8" t="n">
        <v>72000</v>
      </c>
      <c r="FV69" s="9">
        <f>FR69+FS69+FT69+FU69</f>
        <v/>
      </c>
      <c r="FW69" s="8" t="n">
        <v>7892850</v>
      </c>
      <c r="FX69" s="8" t="n">
        <v>314020</v>
      </c>
      <c r="FY69" s="8" t="n">
        <v>4488450</v>
      </c>
      <c r="FZ69" s="8" t="n">
        <v>12529020</v>
      </c>
      <c r="GA69" s="9">
        <f>FW69+FX69+FY69+FZ69</f>
        <v/>
      </c>
      <c r="GB69" s="9">
        <f>FV69+GA69</f>
        <v/>
      </c>
      <c r="GC69" s="8" t="n">
        <v>21008600</v>
      </c>
      <c r="GD69" s="8" t="n">
        <v>0</v>
      </c>
      <c r="GE69" s="8" t="n">
        <v>66589799.38</v>
      </c>
      <c r="GF69" s="8" t="n">
        <v>0</v>
      </c>
      <c r="GG69" s="9">
        <f>GC69+GD69+GE69+GF69</f>
        <v/>
      </c>
      <c r="GH69" s="8" t="n">
        <v>7697963.55</v>
      </c>
      <c r="GI69" s="8" t="n">
        <v>314020</v>
      </c>
      <c r="GJ69" s="8" t="n">
        <v>9514131.85</v>
      </c>
      <c r="GK69" s="8" t="n">
        <v>4386210</v>
      </c>
      <c r="GL69" s="9">
        <f>GH69+GI69+GJ69+GK69</f>
        <v/>
      </c>
      <c r="GM69" s="9">
        <f>GG69+GL69</f>
        <v/>
      </c>
      <c r="GN69" s="8" t="n">
        <v>750439</v>
      </c>
      <c r="GO69" s="8" t="n">
        <v>0</v>
      </c>
      <c r="GP69" s="8" t="n">
        <v>37330.04</v>
      </c>
      <c r="GQ69" s="8" t="n">
        <v>0</v>
      </c>
      <c r="GR69" s="9">
        <f>GN69+GO69+GP69+GQ69</f>
        <v/>
      </c>
      <c r="GS69" s="8" t="n">
        <v>1316282</v>
      </c>
      <c r="GT69" s="8" t="n">
        <v>0</v>
      </c>
      <c r="GU69" s="8" t="n">
        <v>9823</v>
      </c>
      <c r="GV69" s="8" t="n">
        <v>0</v>
      </c>
      <c r="GW69" s="9">
        <f>GS69+GT69+GU69+GV69</f>
        <v/>
      </c>
      <c r="GX69" s="9">
        <f>GM69+GR69+GW69</f>
        <v/>
      </c>
      <c r="GY69" s="8" t="n">
        <v>14729676.03000004</v>
      </c>
      <c r="GZ69" s="8" t="n">
        <v>421433204.4300001</v>
      </c>
      <c r="HA69" s="9">
        <f>GY69+GZ69</f>
        <v/>
      </c>
      <c r="HB69" s="9">
        <f>IF(GX69=0,"",AU69/GX69)</f>
        <v/>
      </c>
      <c r="HC69" s="10">
        <f>IF((GX69+GY69)=0,"",GB69/(GX69+GY69))</f>
        <v/>
      </c>
      <c r="HD69" s="9">
        <f>IF(GX69=0,"",GB69/GX69)</f>
        <v/>
      </c>
      <c r="HE69" s="8" t="n">
        <v>41</v>
      </c>
      <c r="HF69" s="8" t="n">
        <v>1</v>
      </c>
      <c r="HG69" s="8" t="n">
        <v>207</v>
      </c>
      <c r="HH69" s="8" t="n">
        <v>34</v>
      </c>
      <c r="HI69" s="8" t="n">
        <v>30</v>
      </c>
      <c r="HJ69" s="9">
        <f>HF69+HI69</f>
        <v/>
      </c>
      <c r="HK69" s="10">
        <f>IF(HE69=0,"",HH69/HE69)</f>
        <v/>
      </c>
      <c r="HL69" s="8" t="n">
        <v>91</v>
      </c>
      <c r="HM69" s="8" t="n">
        <v>24</v>
      </c>
      <c r="HN69" s="11">
        <f>IF(HL69=0,"",HM69/HL69)</f>
        <v/>
      </c>
    </row>
    <row r="70">
      <c r="A70" s="12" t="inlineStr">
        <is>
          <t>Mangochi</t>
        </is>
      </c>
      <c r="B70" s="12" t="inlineStr">
        <is>
          <t>Monkey Bay</t>
        </is>
      </c>
      <c r="C70" s="13" t="inlineStr">
        <is>
          <t>FY2025/26</t>
        </is>
      </c>
      <c r="D70" s="13" t="n">
        <v>2025</v>
      </c>
      <c r="E70" s="13" t="n">
        <v>11</v>
      </c>
      <c r="F70" s="13" t="inlineStr">
        <is>
          <t>November</t>
        </is>
      </c>
      <c r="G70" s="13" t="inlineStr">
        <is>
          <t>Q3</t>
        </is>
      </c>
      <c r="H70" s="14" t="n">
        <v>64812</v>
      </c>
      <c r="I70" s="14" t="n">
        <v>22245</v>
      </c>
      <c r="J70" s="14" t="n">
        <v>0</v>
      </c>
      <c r="K70" s="14" t="n">
        <v>15448</v>
      </c>
      <c r="L70" s="14" t="n">
        <v>0</v>
      </c>
      <c r="M70" s="15">
        <f>SUM(I70,J70,K70,L70)</f>
        <v/>
      </c>
      <c r="N70" s="14" t="n">
        <v>5788</v>
      </c>
      <c r="O70" s="14" t="n">
        <v>1139</v>
      </c>
      <c r="P70" s="14" t="n">
        <v>3614</v>
      </c>
      <c r="Q70" s="14" t="n">
        <v>880</v>
      </c>
      <c r="R70" s="15">
        <f>SUM(N70,O70,P70,Q70)</f>
        <v/>
      </c>
      <c r="S70" s="15">
        <f>M70+R70</f>
        <v/>
      </c>
      <c r="T70" s="14" t="n">
        <v>15698</v>
      </c>
      <c r="U70" s="16">
        <f>IF(H70=0,"",T70/H70)</f>
        <v/>
      </c>
      <c r="V70" s="14" t="n">
        <v>155</v>
      </c>
      <c r="W70" s="17">
        <f>IF(H70=0,"",V70/H70)</f>
        <v/>
      </c>
      <c r="X70" s="14" t="n">
        <v>0</v>
      </c>
      <c r="Y70" s="17">
        <f>IF(H70=0,"",X70/H70)</f>
        <v/>
      </c>
      <c r="Z70" s="14" t="n">
        <v>0</v>
      </c>
      <c r="AA70" s="17">
        <f>IF(H70=0,"",Z70/H70)</f>
        <v/>
      </c>
      <c r="AB70" s="14" t="n">
        <v>0</v>
      </c>
      <c r="AC70" s="17">
        <f>IF(H70=0,"",AB70/H70)</f>
        <v/>
      </c>
      <c r="AD70" s="14" t="n">
        <v>0</v>
      </c>
      <c r="AE70" s="17">
        <f>IF(H70=0,"",AD70/H70)</f>
        <v/>
      </c>
      <c r="AF70" s="14" t="n">
        <v>0</v>
      </c>
      <c r="AG70" s="17">
        <f>IF(H70=0,"",AF70/H70)</f>
        <v/>
      </c>
      <c r="AH70" s="14" t="n">
        <v>3709010.5</v>
      </c>
      <c r="AI70" s="15">
        <f>IF(H70=0,"",AH70/H70)</f>
        <v/>
      </c>
      <c r="AJ70" s="14" t="n">
        <v>35526</v>
      </c>
      <c r="AK70" s="17">
        <f>IF(H70=0,"",AJ70/H70)</f>
        <v/>
      </c>
      <c r="AL70" s="14" t="n">
        <v>5958486.865</v>
      </c>
      <c r="AM70" s="15">
        <f>IF(H70=0,"",AL70/H70)</f>
        <v/>
      </c>
      <c r="AN70" s="14" t="n">
        <v>1130</v>
      </c>
      <c r="AO70" s="14" t="n">
        <v>126</v>
      </c>
      <c r="AP70" s="14" t="n">
        <v>442400</v>
      </c>
      <c r="AQ70" s="14" t="n">
        <v>0</v>
      </c>
      <c r="AR70" s="14" t="n">
        <v>5617</v>
      </c>
      <c r="AS70" s="14" t="n">
        <v>1497614.88</v>
      </c>
      <c r="AT70" s="14" t="n">
        <v>825420</v>
      </c>
      <c r="AU70" s="15">
        <f>AH70+AL70+AP70+AQ70+AR70+AS70+AT70</f>
        <v/>
      </c>
      <c r="AV70" s="15">
        <f>IF(H70=0,"",AU70/H70)</f>
        <v/>
      </c>
      <c r="AW70" s="15">
        <f>IF(S70=0,"",AU70/S70)</f>
        <v/>
      </c>
      <c r="AX70" s="14" t="n">
        <v>6</v>
      </c>
      <c r="AY70" s="15">
        <f>IF(H70=0,"",AX70/(H70/1000/12))</f>
        <v/>
      </c>
      <c r="AZ70" s="14" t="n">
        <v>11</v>
      </c>
      <c r="BA70" s="14" t="n">
        <v>200</v>
      </c>
      <c r="BB70" s="14" t="n">
        <v>30</v>
      </c>
      <c r="BC70" s="14" t="n">
        <v>3</v>
      </c>
      <c r="BD70" s="14" t="n">
        <v>0</v>
      </c>
      <c r="BE70" s="15">
        <f>BC70+BD70</f>
        <v/>
      </c>
      <c r="BF70" s="15">
        <f>BA70+BB70-BE70</f>
        <v/>
      </c>
      <c r="BG70" s="14" t="n">
        <v>0</v>
      </c>
      <c r="BH70" s="14" t="n">
        <v>0</v>
      </c>
      <c r="BI70" s="14" t="n">
        <v>0</v>
      </c>
      <c r="BJ70" s="14" t="n">
        <v>0</v>
      </c>
      <c r="BK70" s="15">
        <f>BI70+BJ70</f>
        <v/>
      </c>
      <c r="BL70" s="15">
        <f>BG70+BH70-BK70</f>
        <v/>
      </c>
      <c r="BM70" s="14" t="n">
        <v>7</v>
      </c>
      <c r="BN70" s="14" t="n">
        <v>0</v>
      </c>
      <c r="BO70" s="14" t="n">
        <v>0</v>
      </c>
      <c r="BP70" s="14" t="n">
        <v>0</v>
      </c>
      <c r="BQ70" s="15">
        <f>BO70+BP70</f>
        <v/>
      </c>
      <c r="BR70" s="15">
        <f>BM70+BN70-BQ70</f>
        <v/>
      </c>
      <c r="BS70" s="14" t="n">
        <v>0</v>
      </c>
      <c r="BT70" s="14" t="n">
        <v>0</v>
      </c>
      <c r="BU70" s="14" t="n">
        <v>0</v>
      </c>
      <c r="BV70" s="14" t="n">
        <v>0</v>
      </c>
      <c r="BW70" s="15">
        <f>BU70+BV70</f>
        <v/>
      </c>
      <c r="BX70" s="15">
        <f>BS70+BT70-BW70</f>
        <v/>
      </c>
      <c r="BY70" s="15">
        <f>BA70+BG70+BM70+BS70</f>
        <v/>
      </c>
      <c r="BZ70" s="15">
        <f>BB70+BH70+BN70+BT70</f>
        <v/>
      </c>
      <c r="CA70" s="15">
        <f>BE70+BK70+BQ70+BW70</f>
        <v/>
      </c>
      <c r="CB70" s="15">
        <f>BF70+BL70+BR70+BX70</f>
        <v/>
      </c>
      <c r="CC70" s="14" t="n">
        <v>11</v>
      </c>
      <c r="CD70" s="14" t="n">
        <v>441</v>
      </c>
      <c r="CE70" s="14" t="n">
        <v>17</v>
      </c>
      <c r="CF70" s="14" t="n">
        <v>22</v>
      </c>
      <c r="CG70" s="14" t="n">
        <v>3</v>
      </c>
      <c r="CH70" s="15">
        <f>CD70+CE70+CF70+CG70</f>
        <v/>
      </c>
      <c r="CI70" s="14" t="n">
        <v>1456</v>
      </c>
      <c r="CJ70" s="14" t="n">
        <v>11</v>
      </c>
      <c r="CK70" s="14" t="n">
        <v>0</v>
      </c>
      <c r="CL70" s="14" t="n">
        <v>0</v>
      </c>
      <c r="CM70" s="15">
        <f>CI70+CJ70+CK70+CL70</f>
        <v/>
      </c>
      <c r="CN70" s="14" t="n">
        <v>647</v>
      </c>
      <c r="CO70" s="14" t="n">
        <v>44</v>
      </c>
      <c r="CP70" s="14" t="n">
        <v>84</v>
      </c>
      <c r="CQ70" s="14" t="n">
        <v>21</v>
      </c>
      <c r="CR70" s="15">
        <f>CN70+CO70+CP70+CQ70</f>
        <v/>
      </c>
      <c r="CS70" s="15">
        <f>CM70+CR70</f>
        <v/>
      </c>
      <c r="CT70" s="14" t="n">
        <v>2746</v>
      </c>
      <c r="CU70" s="14" t="n">
        <v>21608</v>
      </c>
      <c r="CV70" s="14" t="n">
        <v>17877</v>
      </c>
      <c r="CW70" s="16">
        <f>IF(CU70=0,"",CV70/CU70)</f>
        <v/>
      </c>
      <c r="CX70" s="14" t="n"/>
      <c r="CY70" s="14" t="n"/>
      <c r="CZ70" s="14" t="n"/>
      <c r="DA70" s="14" t="n"/>
      <c r="DB70" s="15">
        <f>CX70+CY70-CZ70-DA70</f>
        <v/>
      </c>
      <c r="DC70" s="14" t="n">
        <v>0</v>
      </c>
      <c r="DD70" s="14" t="n">
        <v>0</v>
      </c>
      <c r="DE70" s="14" t="n">
        <v>0</v>
      </c>
      <c r="DF70" s="14" t="n">
        <v>0</v>
      </c>
      <c r="DG70" s="15">
        <f>DC70+DD70-DE70-DF70</f>
        <v/>
      </c>
      <c r="DH70" s="14" t="n">
        <v>0</v>
      </c>
      <c r="DI70" s="14" t="n">
        <v>0</v>
      </c>
      <c r="DJ70" s="14" t="n">
        <v>0</v>
      </c>
      <c r="DK70" s="14" t="n">
        <v>0</v>
      </c>
      <c r="DL70" s="15">
        <f>DH70+DI70-DJ70-DK70</f>
        <v/>
      </c>
      <c r="DM70" s="14" t="n">
        <v>51</v>
      </c>
      <c r="DN70" s="14" t="n">
        <v>1</v>
      </c>
      <c r="DO70" s="14" t="n">
        <v>0</v>
      </c>
      <c r="DP70" s="14" t="n">
        <v>10</v>
      </c>
      <c r="DQ70" s="15">
        <f>DM70+DN70-DO70-DP70</f>
        <v/>
      </c>
      <c r="DR70" s="15">
        <f>CX70+DC70+DH70+DM70</f>
        <v/>
      </c>
      <c r="DS70" s="15">
        <f>CY70+DD70+DI70+DN70</f>
        <v/>
      </c>
      <c r="DT70" s="15">
        <f>CZ70+DE70+DJ70+DO70</f>
        <v/>
      </c>
      <c r="DU70" s="15">
        <f>DA70+DF70+DK70+DP70</f>
        <v/>
      </c>
      <c r="DV70" s="15">
        <f>DB70+DG70+DL70+DQ70</f>
        <v/>
      </c>
      <c r="DW70" s="14" t="n">
        <v>19</v>
      </c>
      <c r="DX70" s="14" t="n">
        <v>3</v>
      </c>
      <c r="DY70" s="14" t="n">
        <v>5</v>
      </c>
      <c r="DZ70" s="14" t="n">
        <v>4</v>
      </c>
      <c r="EA70" s="14" t="n">
        <v>2</v>
      </c>
      <c r="EB70" s="14" t="n">
        <v>3</v>
      </c>
      <c r="EC70" s="14" t="n">
        <v>2</v>
      </c>
      <c r="ED70" s="14" t="n">
        <v>0</v>
      </c>
      <c r="EE70" s="14" t="n">
        <v>1</v>
      </c>
      <c r="EF70" s="14" t="n">
        <v>0</v>
      </c>
      <c r="EG70" s="14" t="n">
        <v>0</v>
      </c>
      <c r="EH70" s="14" t="n">
        <v>0</v>
      </c>
      <c r="EI70" s="14" t="n">
        <v>0</v>
      </c>
      <c r="EJ70" s="14" t="n">
        <v>3</v>
      </c>
      <c r="EK70" s="14" t="n">
        <v>1</v>
      </c>
      <c r="EL70" s="14" t="n">
        <v>0</v>
      </c>
      <c r="EM70" s="14" t="n">
        <v>0</v>
      </c>
      <c r="EN70" s="14" t="n">
        <v>0</v>
      </c>
      <c r="EO70" s="14" t="n">
        <v>0</v>
      </c>
      <c r="EP70" s="14" t="n">
        <v>0</v>
      </c>
      <c r="EQ70" s="14" t="n">
        <v>0</v>
      </c>
      <c r="ER70" s="14" t="n">
        <v>0</v>
      </c>
      <c r="ES70" s="14" t="n">
        <v>0</v>
      </c>
      <c r="ET70" s="14" t="n">
        <v>0</v>
      </c>
      <c r="EU70" s="14" t="n">
        <v>0</v>
      </c>
      <c r="EV70" s="14" t="n">
        <v>0</v>
      </c>
      <c r="EW70" s="14" t="n">
        <v>0</v>
      </c>
      <c r="EX70" s="14" t="n">
        <v>0</v>
      </c>
      <c r="EY70" s="14" t="n">
        <v>0</v>
      </c>
      <c r="EZ70" s="14" t="n">
        <v>0</v>
      </c>
      <c r="FA70" s="14" t="n">
        <v>0</v>
      </c>
      <c r="FB70" s="14" t="n">
        <v>0</v>
      </c>
      <c r="FC70" s="14" t="n">
        <v>0</v>
      </c>
      <c r="FD70" s="14" t="n">
        <v>0</v>
      </c>
      <c r="FE70" s="14" t="n">
        <v>0</v>
      </c>
      <c r="FF70" s="14" t="n">
        <v>0</v>
      </c>
      <c r="FG70" s="15">
        <f>SUM(DW70,DX70,DY70,DZ70,EA70,EB70,EC70,ED70,EE70,EF70,EG70,EH70,EI70,EJ70,EK70,EL70,EM70,EN70,EO70,EP70,EQ70,ER70,ES70,ET70,EU70,EV70,EW70,EX70,EY70,EZ70,FA70,FB70,FC70,FD70,FE70,FF70)</f>
        <v/>
      </c>
      <c r="FH70" s="14" t="n">
        <v>6</v>
      </c>
      <c r="FI70" s="14" t="n">
        <v>609</v>
      </c>
      <c r="FJ70" s="14" t="n">
        <v>24</v>
      </c>
      <c r="FK70" s="14" t="n">
        <v>113</v>
      </c>
      <c r="FL70" s="14" t="n">
        <v>0</v>
      </c>
      <c r="FM70" s="14" t="n">
        <v>0</v>
      </c>
      <c r="FN70" s="14" t="n">
        <v>0</v>
      </c>
      <c r="FO70" s="14" t="n">
        <v>0</v>
      </c>
      <c r="FP70" s="14" t="n">
        <v>0</v>
      </c>
      <c r="FQ70" s="15">
        <f>FL70+FM70+FN70+FO70+FP70</f>
        <v/>
      </c>
      <c r="FR70" s="14" t="n">
        <v>17308156.2</v>
      </c>
      <c r="FS70" s="14" t="n">
        <v>0</v>
      </c>
      <c r="FT70" s="14" t="n">
        <v>0</v>
      </c>
      <c r="FU70" s="14" t="n">
        <v>0</v>
      </c>
      <c r="FV70" s="15">
        <f>FR70+FS70+FT70+FU70</f>
        <v/>
      </c>
      <c r="FW70" s="14" t="n">
        <v>8366591</v>
      </c>
      <c r="FX70" s="14" t="n">
        <v>241900</v>
      </c>
      <c r="FY70" s="14" t="n">
        <v>4285900</v>
      </c>
      <c r="FZ70" s="14" t="n">
        <v>10990920</v>
      </c>
      <c r="GA70" s="15">
        <f>FW70+FX70+FY70+FZ70</f>
        <v/>
      </c>
      <c r="GB70" s="15">
        <f>FV70+GA70</f>
        <v/>
      </c>
      <c r="GC70" s="14" t="n">
        <v>20495556.93</v>
      </c>
      <c r="GD70" s="14" t="n">
        <v>0</v>
      </c>
      <c r="GE70" s="14" t="n">
        <v>53332675.01</v>
      </c>
      <c r="GF70" s="14" t="n">
        <v>0</v>
      </c>
      <c r="GG70" s="15">
        <f>GC70+GD70+GE70+GF70</f>
        <v/>
      </c>
      <c r="GH70" s="14" t="n">
        <v>7241739.77</v>
      </c>
      <c r="GI70" s="14" t="n">
        <v>241900</v>
      </c>
      <c r="GJ70" s="14" t="n">
        <v>10984920</v>
      </c>
      <c r="GK70" s="14" t="n">
        <v>4068087.61</v>
      </c>
      <c r="GL70" s="15">
        <f>GH70+GI70+GJ70+GK70</f>
        <v/>
      </c>
      <c r="GM70" s="15">
        <f>GG70+GL70</f>
        <v/>
      </c>
      <c r="GN70" s="14" t="n">
        <v>741450</v>
      </c>
      <c r="GO70" s="14" t="n">
        <v>0</v>
      </c>
      <c r="GP70" s="14" t="n">
        <v>37330</v>
      </c>
      <c r="GQ70" s="14" t="n">
        <v>0</v>
      </c>
      <c r="GR70" s="15">
        <f>GN70+GO70+GP70+GQ70</f>
        <v/>
      </c>
      <c r="GS70" s="14" t="n">
        <v>1300208</v>
      </c>
      <c r="GT70" s="14" t="n">
        <v>0</v>
      </c>
      <c r="GU70" s="14" t="n">
        <v>9823</v>
      </c>
      <c r="GV70" s="14" t="n">
        <v>0</v>
      </c>
      <c r="GW70" s="15">
        <f>GS70+GT70+GU70+GV70</f>
        <v/>
      </c>
      <c r="GX70" s="15">
        <f>GM70+GR70+GW70</f>
        <v/>
      </c>
      <c r="GY70" s="14" t="n">
        <v>10060075.00000063</v>
      </c>
      <c r="GZ70" s="14" t="n">
        <v>472502097.2900003</v>
      </c>
      <c r="HA70" s="15">
        <f>GY70+GZ70</f>
        <v/>
      </c>
      <c r="HB70" s="15">
        <f>IF(GX70=0,"",AU70/GX70)</f>
        <v/>
      </c>
      <c r="HC70" s="16">
        <f>IF((GX70+GY70)=0,"",GB70/(GX70+GY70))</f>
        <v/>
      </c>
      <c r="HD70" s="15">
        <f>IF(GX70=0,"",GB70/GX70)</f>
        <v/>
      </c>
      <c r="HE70" s="14" t="n">
        <v>39</v>
      </c>
      <c r="HF70" s="14" t="n">
        <v>1</v>
      </c>
      <c r="HG70" s="14" t="n">
        <v>234</v>
      </c>
      <c r="HH70" s="14" t="n">
        <v>30</v>
      </c>
      <c r="HI70" s="14" t="n">
        <v>30</v>
      </c>
      <c r="HJ70" s="15">
        <f>HF70+HI70</f>
        <v/>
      </c>
      <c r="HK70" s="16">
        <f>IF(HE70=0,"",HH70/HE70)</f>
        <v/>
      </c>
      <c r="HL70" s="14" t="n">
        <v>93</v>
      </c>
      <c r="HM70" s="14" t="n">
        <v>24</v>
      </c>
      <c r="HN70" s="17">
        <f>IF(HL70=0,"",HM70/HL70)</f>
        <v/>
      </c>
    </row>
    <row r="71">
      <c r="A71" s="6" t="inlineStr">
        <is>
          <t>Mangochi</t>
        </is>
      </c>
      <c r="B71" s="6" t="inlineStr">
        <is>
          <t>Monkey Bay</t>
        </is>
      </c>
      <c r="C71" s="7" t="inlineStr">
        <is>
          <t>FY2025/26</t>
        </is>
      </c>
      <c r="D71" s="7" t="n">
        <v>2025</v>
      </c>
      <c r="E71" s="7" t="n">
        <v>12</v>
      </c>
      <c r="F71" s="7" t="inlineStr">
        <is>
          <t>December</t>
        </is>
      </c>
      <c r="G71" s="7" t="inlineStr">
        <is>
          <t>Q3</t>
        </is>
      </c>
      <c r="H71" s="8" t="n">
        <v>59173</v>
      </c>
      <c r="I71" s="8" t="n">
        <v>19708</v>
      </c>
      <c r="J71" s="8" t="n">
        <v>0</v>
      </c>
      <c r="K71" s="8" t="n">
        <v>23469</v>
      </c>
      <c r="L71" s="8" t="n">
        <v>0</v>
      </c>
      <c r="M71" s="9">
        <f>SUM(I71,J71,K71,L71)</f>
        <v/>
      </c>
      <c r="N71" s="8" t="n">
        <v>5927.7</v>
      </c>
      <c r="O71" s="8" t="n">
        <v>1199.5</v>
      </c>
      <c r="P71" s="8" t="n">
        <v>1990.2</v>
      </c>
      <c r="Q71" s="8" t="n">
        <v>501</v>
      </c>
      <c r="R71" s="9">
        <f>SUM(N71,O71,P71,Q71)</f>
        <v/>
      </c>
      <c r="S71" s="9">
        <f>M71+R71</f>
        <v/>
      </c>
      <c r="T71" s="8" t="n">
        <v>6377.6</v>
      </c>
      <c r="U71" s="10">
        <f>IF(H71=0,"",T71/H71)</f>
        <v/>
      </c>
      <c r="V71" s="8" t="n">
        <v>155</v>
      </c>
      <c r="W71" s="11">
        <f>IF(H71=0,"",V71/H71)</f>
        <v/>
      </c>
      <c r="X71" s="8" t="n">
        <v>0</v>
      </c>
      <c r="Y71" s="11">
        <f>IF(H71=0,"",X71/H71)</f>
        <v/>
      </c>
      <c r="Z71" s="8" t="n">
        <v>0</v>
      </c>
      <c r="AA71" s="11">
        <f>IF(H71=0,"",Z71/H71)</f>
        <v/>
      </c>
      <c r="AB71" s="8" t="n">
        <v>0</v>
      </c>
      <c r="AC71" s="11">
        <f>IF(H71=0,"",AB71/H71)</f>
        <v/>
      </c>
      <c r="AD71" s="8" t="n">
        <v>0</v>
      </c>
      <c r="AE71" s="11">
        <f>IF(H71=0,"",AD71/H71)</f>
        <v/>
      </c>
      <c r="AF71" s="8" t="n">
        <v>0</v>
      </c>
      <c r="AG71" s="11">
        <f>IF(H71=0,"",AF71/H71)</f>
        <v/>
      </c>
      <c r="AH71" s="8" t="n">
        <v>3709010.5</v>
      </c>
      <c r="AI71" s="9">
        <f>IF(H71=0,"",AH71/H71)</f>
        <v/>
      </c>
      <c r="AJ71" s="8" t="n">
        <v>30451</v>
      </c>
      <c r="AK71" s="11">
        <f>IF(H71=0,"",AJ71/H71)</f>
        <v/>
      </c>
      <c r="AL71" s="8" t="n">
        <v>5110061.0525</v>
      </c>
      <c r="AM71" s="9">
        <f>IF(H71=0,"",AL71/H71)</f>
        <v/>
      </c>
      <c r="AN71" s="8" t="n">
        <v>3453</v>
      </c>
      <c r="AO71" s="8" t="n">
        <v>323.28</v>
      </c>
      <c r="AP71" s="8" t="n">
        <v>1130500</v>
      </c>
      <c r="AQ71" s="8" t="n">
        <v>0</v>
      </c>
      <c r="AR71" s="8" t="n">
        <v>3970346.15</v>
      </c>
      <c r="AS71" s="8" t="n">
        <v>1407809.48</v>
      </c>
      <c r="AT71" s="8" t="n">
        <v>826530</v>
      </c>
      <c r="AU71" s="9">
        <f>AH71+AL71+AP71+AQ71+AR71+AS71+AT71</f>
        <v/>
      </c>
      <c r="AV71" s="9">
        <f>IF(H71=0,"",AU71/H71)</f>
        <v/>
      </c>
      <c r="AW71" s="9">
        <f>IF(S71=0,"",AU71/S71)</f>
        <v/>
      </c>
      <c r="AX71" s="8" t="n">
        <v>4</v>
      </c>
      <c r="AY71" s="9">
        <f>IF(H71=0,"",AX71/(H71/1000/12))</f>
        <v/>
      </c>
      <c r="AZ71" s="8" t="n">
        <v>11</v>
      </c>
      <c r="BA71" s="8" t="n">
        <v>227</v>
      </c>
      <c r="BB71" s="8" t="n">
        <v>13</v>
      </c>
      <c r="BC71" s="8" t="n">
        <v>3</v>
      </c>
      <c r="BD71" s="8" t="n">
        <v>0</v>
      </c>
      <c r="BE71" s="9">
        <f>BC71+BD71</f>
        <v/>
      </c>
      <c r="BF71" s="9">
        <f>BA71+BB71-BE71</f>
        <v/>
      </c>
      <c r="BG71" s="8" t="n">
        <v>0</v>
      </c>
      <c r="BH71" s="8" t="n">
        <v>0</v>
      </c>
      <c r="BI71" s="8" t="n">
        <v>0</v>
      </c>
      <c r="BJ71" s="8" t="n">
        <v>0</v>
      </c>
      <c r="BK71" s="9">
        <f>BI71+BJ71</f>
        <v/>
      </c>
      <c r="BL71" s="9">
        <f>BG71+BH71-BK71</f>
        <v/>
      </c>
      <c r="BM71" s="8" t="n">
        <v>7</v>
      </c>
      <c r="BN71" s="8" t="n">
        <v>0</v>
      </c>
      <c r="BO71" s="8" t="n">
        <v>0</v>
      </c>
      <c r="BP71" s="8" t="n">
        <v>0</v>
      </c>
      <c r="BQ71" s="9">
        <f>BO71+BP71</f>
        <v/>
      </c>
      <c r="BR71" s="9">
        <f>BM71+BN71-BQ71</f>
        <v/>
      </c>
      <c r="BS71" s="8" t="n">
        <v>0</v>
      </c>
      <c r="BT71" s="8" t="n">
        <v>0</v>
      </c>
      <c r="BU71" s="8" t="n">
        <v>0</v>
      </c>
      <c r="BV71" s="8" t="n">
        <v>0</v>
      </c>
      <c r="BW71" s="9">
        <f>BU71+BV71</f>
        <v/>
      </c>
      <c r="BX71" s="9">
        <f>BS71+BT71-BW71</f>
        <v/>
      </c>
      <c r="BY71" s="9">
        <f>BA71+BG71+BM71+BS71</f>
        <v/>
      </c>
      <c r="BZ71" s="9">
        <f>BB71+BH71+BN71+BT71</f>
        <v/>
      </c>
      <c r="CA71" s="9">
        <f>BE71+BK71+BQ71+BW71</f>
        <v/>
      </c>
      <c r="CB71" s="9">
        <f>BF71+BL71+BR71+BX71</f>
        <v/>
      </c>
      <c r="CC71" s="8" t="n">
        <v>3</v>
      </c>
      <c r="CD71" s="8" t="n">
        <v>432</v>
      </c>
      <c r="CE71" s="8" t="n">
        <v>17</v>
      </c>
      <c r="CF71" s="8" t="n">
        <v>22</v>
      </c>
      <c r="CG71" s="8" t="n">
        <v>3</v>
      </c>
      <c r="CH71" s="9">
        <f>CD71+CE71+CF71+CG71</f>
        <v/>
      </c>
      <c r="CI71" s="8" t="n">
        <v>1465</v>
      </c>
      <c r="CJ71" s="8" t="n">
        <v>11</v>
      </c>
      <c r="CK71" s="8" t="n">
        <v>0</v>
      </c>
      <c r="CL71" s="8" t="n">
        <v>0</v>
      </c>
      <c r="CM71" s="9">
        <f>CI71+CJ71+CK71+CL71</f>
        <v/>
      </c>
      <c r="CN71" s="8" t="n">
        <v>647</v>
      </c>
      <c r="CO71" s="8" t="n">
        <v>44</v>
      </c>
      <c r="CP71" s="8" t="n">
        <v>84</v>
      </c>
      <c r="CQ71" s="8" t="n">
        <v>21</v>
      </c>
      <c r="CR71" s="9">
        <f>CN71+CO71+CP71+CQ71</f>
        <v/>
      </c>
      <c r="CS71" s="9">
        <f>CM71+CR71</f>
        <v/>
      </c>
      <c r="CT71" s="8" t="n">
        <v>2746</v>
      </c>
      <c r="CU71" s="8" t="n">
        <v>21643</v>
      </c>
      <c r="CV71" s="8" t="n">
        <v>17892</v>
      </c>
      <c r="CW71" s="10">
        <f>IF(CU71=0,"",CV71/CU71)</f>
        <v/>
      </c>
      <c r="CX71" s="8" t="n"/>
      <c r="CY71" s="8" t="n"/>
      <c r="CZ71" s="8" t="n"/>
      <c r="DA71" s="8" t="n"/>
      <c r="DB71" s="9">
        <f>CX71+CY71-CZ71-DA71</f>
        <v/>
      </c>
      <c r="DC71" s="8" t="n">
        <v>0</v>
      </c>
      <c r="DD71" s="8" t="n">
        <v>0</v>
      </c>
      <c r="DE71" s="8" t="n">
        <v>0</v>
      </c>
      <c r="DF71" s="8" t="n">
        <v>0</v>
      </c>
      <c r="DG71" s="9">
        <f>DC71+DD71-DE71-DF71</f>
        <v/>
      </c>
      <c r="DH71" s="8" t="n">
        <v>0</v>
      </c>
      <c r="DI71" s="8" t="n">
        <v>0</v>
      </c>
      <c r="DJ71" s="8" t="n">
        <v>0</v>
      </c>
      <c r="DK71" s="8" t="n">
        <v>0</v>
      </c>
      <c r="DL71" s="9">
        <f>DH71+DI71-DJ71-DK71</f>
        <v/>
      </c>
      <c r="DM71" s="8" t="n">
        <v>42</v>
      </c>
      <c r="DN71" s="8" t="n">
        <v>1</v>
      </c>
      <c r="DO71" s="8" t="n">
        <v>29</v>
      </c>
      <c r="DP71" s="8" t="n">
        <v>0</v>
      </c>
      <c r="DQ71" s="9">
        <f>DM71+DN71-DO71-DP71</f>
        <v/>
      </c>
      <c r="DR71" s="9">
        <f>CX71+DC71+DH71+DM71</f>
        <v/>
      </c>
      <c r="DS71" s="9">
        <f>CY71+DD71+DI71+DN71</f>
        <v/>
      </c>
      <c r="DT71" s="9">
        <f>CZ71+DE71+DJ71+DO71</f>
        <v/>
      </c>
      <c r="DU71" s="9">
        <f>DA71+DF71+DK71+DP71</f>
        <v/>
      </c>
      <c r="DV71" s="9">
        <f>DB71+DG71+DL71+DQ71</f>
        <v/>
      </c>
      <c r="DW71" s="8" t="n">
        <v>28</v>
      </c>
      <c r="DX71" s="8" t="n">
        <v>8</v>
      </c>
      <c r="DY71" s="8" t="n">
        <v>12</v>
      </c>
      <c r="DZ71" s="8" t="n">
        <v>0</v>
      </c>
      <c r="EA71" s="8" t="n">
        <v>0</v>
      </c>
      <c r="EB71" s="8" t="n">
        <v>4</v>
      </c>
      <c r="EC71" s="8" t="n">
        <v>0</v>
      </c>
      <c r="ED71" s="8" t="n">
        <v>0</v>
      </c>
      <c r="EE71" s="8" t="n">
        <v>1</v>
      </c>
      <c r="EF71" s="8" t="n">
        <v>0</v>
      </c>
      <c r="EG71" s="8" t="n">
        <v>0</v>
      </c>
      <c r="EH71" s="8" t="n">
        <v>0</v>
      </c>
      <c r="EI71" s="8" t="n">
        <v>0</v>
      </c>
      <c r="EJ71" s="8" t="n">
        <v>6</v>
      </c>
      <c r="EK71" s="8" t="n">
        <v>1</v>
      </c>
      <c r="EL71" s="8" t="n">
        <v>0</v>
      </c>
      <c r="EM71" s="8" t="n">
        <v>0</v>
      </c>
      <c r="EN71" s="8" t="n">
        <v>0</v>
      </c>
      <c r="EO71" s="8" t="n">
        <v>0</v>
      </c>
      <c r="EP71" s="8" t="n">
        <v>0</v>
      </c>
      <c r="EQ71" s="8" t="n">
        <v>0</v>
      </c>
      <c r="ER71" s="8" t="n">
        <v>0</v>
      </c>
      <c r="ES71" s="8" t="n">
        <v>0</v>
      </c>
      <c r="ET71" s="8" t="n">
        <v>0</v>
      </c>
      <c r="EU71" s="8" t="n">
        <v>0</v>
      </c>
      <c r="EV71" s="8" t="n">
        <v>0</v>
      </c>
      <c r="EW71" s="8" t="n">
        <v>0</v>
      </c>
      <c r="EX71" s="8" t="n">
        <v>0</v>
      </c>
      <c r="EY71" s="8" t="n">
        <v>0</v>
      </c>
      <c r="EZ71" s="8" t="n">
        <v>0</v>
      </c>
      <c r="FA71" s="8" t="n">
        <v>0</v>
      </c>
      <c r="FB71" s="8" t="n">
        <v>0</v>
      </c>
      <c r="FC71" s="8" t="n">
        <v>0</v>
      </c>
      <c r="FD71" s="8" t="n">
        <v>0</v>
      </c>
      <c r="FE71" s="8" t="n">
        <v>0</v>
      </c>
      <c r="FF71" s="8" t="n">
        <v>0</v>
      </c>
      <c r="FG71" s="9">
        <f>SUM(DW71,DX71,DY71,DZ71,EA71,EB71,EC71,ED71,EE71,EF71,EG71,EH71,EI71,EJ71,EK71,EL71,EM71,EN71,EO71,EP71,EQ71,ER71,ES71,ET71,EU71,EV71,EW71,EX71,EY71,EZ71,FA71,FB71,FC71,FD71,FE71,FF71)</f>
        <v/>
      </c>
      <c r="FH71" s="8" t="n">
        <v>6</v>
      </c>
      <c r="FI71" s="8" t="n">
        <v>609</v>
      </c>
      <c r="FJ71" s="8" t="n">
        <v>24</v>
      </c>
      <c r="FK71" s="8" t="n">
        <v>111</v>
      </c>
      <c r="FL71" s="8" t="n">
        <v>0</v>
      </c>
      <c r="FM71" s="8" t="n">
        <v>0</v>
      </c>
      <c r="FN71" s="8" t="n">
        <v>0</v>
      </c>
      <c r="FO71" s="8" t="n">
        <v>0</v>
      </c>
      <c r="FP71" s="8" t="n">
        <v>0</v>
      </c>
      <c r="FQ71" s="9">
        <f>FL71+FM71+FN71+FO71+FP71</f>
        <v/>
      </c>
      <c r="FR71" s="8" t="n">
        <v>48405179</v>
      </c>
      <c r="FS71" s="8" t="n">
        <v>0</v>
      </c>
      <c r="FT71" s="8" t="n">
        <v>0</v>
      </c>
      <c r="FU71" s="8" t="n">
        <v>288057735.89</v>
      </c>
      <c r="FV71" s="9">
        <f>FR71+FS71+FT71+FU71</f>
        <v/>
      </c>
      <c r="FW71" s="8" t="n">
        <v>8332253</v>
      </c>
      <c r="FX71" s="8" t="n">
        <v>254906.22</v>
      </c>
      <c r="FY71" s="8" t="n">
        <v>2498300</v>
      </c>
      <c r="FZ71" s="8" t="n">
        <v>6403700</v>
      </c>
      <c r="GA71" s="9">
        <f>FW71+FX71+FY71+FZ71</f>
        <v/>
      </c>
      <c r="GB71" s="9">
        <f>FV71+GA71</f>
        <v/>
      </c>
      <c r="GC71" s="8" t="n">
        <v>18064594</v>
      </c>
      <c r="GD71" s="8" t="n">
        <v>0</v>
      </c>
      <c r="GE71" s="8" t="n">
        <v>81063665.51000001</v>
      </c>
      <c r="GF71" s="8" t="n">
        <v>0</v>
      </c>
      <c r="GG71" s="9">
        <f>GC71+GD71+GE71+GF71</f>
        <v/>
      </c>
      <c r="GH71" s="8" t="n">
        <v>7420852.67</v>
      </c>
      <c r="GI71" s="8" t="n">
        <v>254842.49</v>
      </c>
      <c r="GJ71" s="8" t="n">
        <v>6048100</v>
      </c>
      <c r="GK71" s="8" t="n">
        <v>2363706.48</v>
      </c>
      <c r="GL71" s="9">
        <f>GH71+GI71+GJ71+GK71</f>
        <v/>
      </c>
      <c r="GM71" s="9">
        <f>GG71+GL71</f>
        <v/>
      </c>
      <c r="GN71" s="8" t="n">
        <v>745371</v>
      </c>
      <c r="GO71" s="8" t="n">
        <v>0</v>
      </c>
      <c r="GP71" s="8" t="n">
        <v>37330.04</v>
      </c>
      <c r="GQ71" s="8" t="n">
        <v>0</v>
      </c>
      <c r="GR71" s="9">
        <f>GN71+GO71+GP71+GQ71</f>
        <v/>
      </c>
      <c r="GS71" s="8" t="n">
        <v>1308245</v>
      </c>
      <c r="GT71" s="8" t="n">
        <v>0</v>
      </c>
      <c r="GU71" s="8" t="n">
        <v>9823</v>
      </c>
      <c r="GV71" s="8" t="n">
        <v>0</v>
      </c>
      <c r="GW71" s="9">
        <f>GS71+GT71+GU71+GV71</f>
        <v/>
      </c>
      <c r="GX71" s="9">
        <f>GM71+GR71+GW71</f>
        <v/>
      </c>
      <c r="GY71" s="8" t="n">
        <v>5952501.369999468</v>
      </c>
      <c r="GZ71" s="8" t="n">
        <v>240186294.24</v>
      </c>
      <c r="HA71" s="9">
        <f>GY71+GZ71</f>
        <v/>
      </c>
      <c r="HB71" s="9">
        <f>IF(GX71=0,"",AU71/GX71)</f>
        <v/>
      </c>
      <c r="HC71" s="10">
        <f>IF((GX71+GY71)=0,"",GB71/(GX71+GY71))</f>
        <v/>
      </c>
      <c r="HD71" s="9">
        <f>IF(GX71=0,"",GB71/GX71)</f>
        <v/>
      </c>
      <c r="HE71" s="8" t="n">
        <v>39</v>
      </c>
      <c r="HF71" s="8" t="n">
        <v>1</v>
      </c>
      <c r="HG71" s="8" t="n">
        <v>244</v>
      </c>
      <c r="HH71" s="8" t="n">
        <v>13</v>
      </c>
      <c r="HI71" s="8" t="n">
        <v>30</v>
      </c>
      <c r="HJ71" s="9">
        <f>HF71+HI71</f>
        <v/>
      </c>
      <c r="HK71" s="10">
        <f>IF(HE71=0,"",HH71/HE71)</f>
        <v/>
      </c>
      <c r="HL71" s="8" t="n">
        <v>81</v>
      </c>
      <c r="HM71" s="8" t="n">
        <v>24</v>
      </c>
      <c r="HN71" s="11">
        <f>IF(HL71=0,"",HM71/HL71)</f>
        <v/>
      </c>
    </row>
    <row r="72">
      <c r="A72" s="12" t="inlineStr">
        <is>
          <t>Mangochi</t>
        </is>
      </c>
      <c r="B72" s="12" t="inlineStr">
        <is>
          <t>Monkey Bay</t>
        </is>
      </c>
      <c r="C72" s="13" t="inlineStr">
        <is>
          <t>FY2025/26</t>
        </is>
      </c>
      <c r="D72" s="13" t="n">
        <v>2026</v>
      </c>
      <c r="E72" s="13" t="n">
        <v>1</v>
      </c>
      <c r="F72" s="13" t="inlineStr">
        <is>
          <t>January</t>
        </is>
      </c>
      <c r="G72" s="13" t="inlineStr">
        <is>
          <t>Q4</t>
        </is>
      </c>
      <c r="H72" s="14" t="n">
        <v>60173</v>
      </c>
      <c r="I72" s="14" t="n">
        <v>18450</v>
      </c>
      <c r="J72" s="14" t="n">
        <v>0</v>
      </c>
      <c r="K72" s="14" t="n">
        <v>13763</v>
      </c>
      <c r="L72" s="14" t="n">
        <v>0</v>
      </c>
      <c r="M72" s="15" t="n">
        <v>32213</v>
      </c>
      <c r="N72" s="14" t="n">
        <v>6210.300000000039</v>
      </c>
      <c r="O72" s="14" t="n">
        <v>1368.4</v>
      </c>
      <c r="P72" s="14" t="n">
        <v>4904.699999999999</v>
      </c>
      <c r="Q72" s="14" t="n">
        <v>561.0999999999999</v>
      </c>
      <c r="R72" s="15" t="n">
        <v>13044.50000000004</v>
      </c>
      <c r="S72" s="15" t="n">
        <v>45257.50000000004</v>
      </c>
      <c r="T72" s="14" t="n">
        <v>14915.49999999996</v>
      </c>
      <c r="U72" s="16" t="n">
        <v>0.2478769547803826</v>
      </c>
      <c r="V72" s="14" t="n">
        <v>105</v>
      </c>
      <c r="W72" s="17" t="n">
        <v>1.74496867365762</v>
      </c>
      <c r="X72" s="14" t="n">
        <v>0</v>
      </c>
      <c r="Y72" s="17" t="n">
        <v>0</v>
      </c>
      <c r="Z72" s="14" t="n">
        <v>0</v>
      </c>
      <c r="AA72" s="17" t="n">
        <v>0</v>
      </c>
      <c r="AB72" s="14" t="n">
        <v>0</v>
      </c>
      <c r="AC72" s="17" t="n">
        <v>0</v>
      </c>
      <c r="AD72" s="14" t="n">
        <v>0</v>
      </c>
      <c r="AE72" s="17" t="n">
        <v>0</v>
      </c>
      <c r="AF72" s="14" t="n">
        <v>0</v>
      </c>
      <c r="AG72" s="17" t="n">
        <v>0</v>
      </c>
      <c r="AH72" s="14" t="n">
        <v>2512555.5</v>
      </c>
      <c r="AI72" s="15" t="n">
        <v>41.75552988882057</v>
      </c>
      <c r="AJ72" s="14" t="n">
        <v>31190</v>
      </c>
      <c r="AK72" s="17" t="n">
        <v>0.5183387898226779</v>
      </c>
      <c r="AL72" s="14" t="n">
        <v>5233605.225000001</v>
      </c>
      <c r="AM72" s="15" t="n">
        <v>86.97597302776994</v>
      </c>
      <c r="AN72" s="14" t="n">
        <v>1074</v>
      </c>
      <c r="AO72" s="14" t="n">
        <v>79</v>
      </c>
      <c r="AP72" s="14" t="n">
        <v>395000</v>
      </c>
      <c r="AQ72" s="14" t="n">
        <v>0</v>
      </c>
      <c r="AR72" s="14" t="n">
        <v>3970346.15</v>
      </c>
      <c r="AS72" s="14" t="n">
        <v>1558646.21</v>
      </c>
      <c r="AT72" s="14" t="n">
        <v>835260</v>
      </c>
      <c r="AU72" s="15" t="n">
        <v>14505413.085</v>
      </c>
      <c r="AV72" s="15" t="n">
        <v>241.061823159889</v>
      </c>
      <c r="AW72" s="15" t="n">
        <v>320.5084921836157</v>
      </c>
      <c r="AX72" s="14" t="n">
        <v>4</v>
      </c>
      <c r="AY72" s="15" t="n">
        <v>2.060724909843285</v>
      </c>
      <c r="AZ72" s="14" t="n">
        <v>13</v>
      </c>
      <c r="BA72" s="14" t="n">
        <v>237</v>
      </c>
      <c r="BB72" s="14" t="n">
        <v>107</v>
      </c>
      <c r="BC72" s="14" t="n">
        <v>0</v>
      </c>
      <c r="BD72" s="14" t="n">
        <v>174</v>
      </c>
      <c r="BE72" s="15" t="n">
        <v>174</v>
      </c>
      <c r="BF72" s="15" t="n">
        <v>170</v>
      </c>
      <c r="BG72" s="14" t="n">
        <v>0</v>
      </c>
      <c r="BH72" s="14" t="n">
        <v>2</v>
      </c>
      <c r="BI72" s="14" t="n">
        <v>0</v>
      </c>
      <c r="BJ72" s="14" t="n">
        <v>2</v>
      </c>
      <c r="BK72" s="15" t="n">
        <v>2</v>
      </c>
      <c r="BL72" s="15" t="n">
        <v>0</v>
      </c>
      <c r="BM72" s="14" t="n">
        <v>7</v>
      </c>
      <c r="BN72" s="14" t="n">
        <v>0</v>
      </c>
      <c r="BO72" s="14" t="n">
        <v>0</v>
      </c>
      <c r="BP72" s="14" t="n">
        <v>0</v>
      </c>
      <c r="BQ72" s="15" t="n">
        <v>0</v>
      </c>
      <c r="BR72" s="15" t="n">
        <v>7</v>
      </c>
      <c r="BS72" s="14" t="n">
        <v>0</v>
      </c>
      <c r="BT72" s="14" t="n">
        <v>0</v>
      </c>
      <c r="BU72" s="14" t="n">
        <v>0</v>
      </c>
      <c r="BV72" s="14" t="n">
        <v>0</v>
      </c>
      <c r="BW72" s="15" t="n">
        <v>0</v>
      </c>
      <c r="BX72" s="15" t="n">
        <v>0</v>
      </c>
      <c r="BY72" s="15" t="n">
        <v>244</v>
      </c>
      <c r="BZ72" s="15" t="n">
        <v>109</v>
      </c>
      <c r="CA72" s="15" t="n">
        <v>176</v>
      </c>
      <c r="CB72" s="15" t="n">
        <v>177</v>
      </c>
      <c r="CC72" s="14" t="n">
        <v>176</v>
      </c>
      <c r="CD72" s="14" t="n">
        <v>429</v>
      </c>
      <c r="CE72" s="14" t="n">
        <v>17</v>
      </c>
      <c r="CF72" s="14" t="n">
        <v>22</v>
      </c>
      <c r="CG72" s="14" t="n">
        <v>3</v>
      </c>
      <c r="CH72" s="15" t="n">
        <v>471</v>
      </c>
      <c r="CI72" s="14" t="n">
        <v>1468</v>
      </c>
      <c r="CJ72" s="14" t="n">
        <v>11</v>
      </c>
      <c r="CK72" s="14" t="n">
        <v>0</v>
      </c>
      <c r="CL72" s="14" t="n">
        <v>0</v>
      </c>
      <c r="CM72" s="15" t="n">
        <v>1479</v>
      </c>
      <c r="CN72" s="14" t="n">
        <v>767</v>
      </c>
      <c r="CO72" s="14" t="n">
        <v>46</v>
      </c>
      <c r="CP72" s="14" t="n">
        <v>83</v>
      </c>
      <c r="CQ72" s="14" t="n">
        <v>21</v>
      </c>
      <c r="CR72" s="15" t="n">
        <v>917</v>
      </c>
      <c r="CS72" s="15" t="n">
        <v>2396</v>
      </c>
      <c r="CT72" s="14" t="n">
        <v>2867</v>
      </c>
      <c r="CU72" s="14" t="n">
        <v>21678</v>
      </c>
      <c r="CV72" s="14" t="n">
        <v>18772</v>
      </c>
      <c r="CW72" s="16" t="n">
        <v>0.8659470430851555</v>
      </c>
      <c r="CX72" s="14" t="n">
        <v>0</v>
      </c>
      <c r="CY72" s="14" t="n">
        <v>0</v>
      </c>
      <c r="CZ72" s="14" t="n">
        <v>0</v>
      </c>
      <c r="DA72" s="14" t="n">
        <v>0</v>
      </c>
      <c r="DB72" s="15" t="n">
        <v>0</v>
      </c>
      <c r="DC72" s="14" t="n">
        <v>0</v>
      </c>
      <c r="DD72" s="14" t="n">
        <v>0</v>
      </c>
      <c r="DE72" s="14" t="n">
        <v>0</v>
      </c>
      <c r="DF72" s="14" t="n">
        <v>0</v>
      </c>
      <c r="DG72" s="15" t="n">
        <v>0</v>
      </c>
      <c r="DH72" s="14" t="n">
        <v>0</v>
      </c>
      <c r="DI72" s="14" t="n">
        <v>0</v>
      </c>
      <c r="DJ72" s="14" t="n">
        <v>0</v>
      </c>
      <c r="DK72" s="14" t="n">
        <v>0</v>
      </c>
      <c r="DL72" s="15" t="n">
        <v>0</v>
      </c>
      <c r="DM72" s="14" t="n">
        <v>14</v>
      </c>
      <c r="DN72" s="14" t="n">
        <v>5</v>
      </c>
      <c r="DO72" s="14" t="n">
        <v>0</v>
      </c>
      <c r="DP72" s="14" t="n">
        <v>0</v>
      </c>
      <c r="DQ72" s="15" t="n">
        <v>19</v>
      </c>
      <c r="DR72" s="15" t="n">
        <v>14</v>
      </c>
      <c r="DS72" s="15" t="n">
        <v>5</v>
      </c>
      <c r="DT72" s="15" t="n">
        <v>0</v>
      </c>
      <c r="DU72" s="15" t="n">
        <v>0</v>
      </c>
      <c r="DV72" s="15" t="n">
        <v>19</v>
      </c>
      <c r="DW72" s="14" t="n">
        <v>36</v>
      </c>
      <c r="DX72" s="14" t="n">
        <v>9</v>
      </c>
      <c r="DY72" s="14" t="n">
        <v>7</v>
      </c>
      <c r="DZ72" s="14" t="n">
        <v>1</v>
      </c>
      <c r="EA72" s="14" t="n">
        <v>2</v>
      </c>
      <c r="EB72" s="14" t="n">
        <v>5</v>
      </c>
      <c r="EC72" s="14" t="n">
        <v>1</v>
      </c>
      <c r="ED72" s="14" t="n">
        <v>0</v>
      </c>
      <c r="EE72" s="14" t="n">
        <v>0</v>
      </c>
      <c r="EF72" s="14" t="n">
        <v>0</v>
      </c>
      <c r="EG72" s="14" t="n">
        <v>0</v>
      </c>
      <c r="EH72" s="14" t="n">
        <v>0</v>
      </c>
      <c r="EI72" s="14" t="n">
        <v>0</v>
      </c>
      <c r="EJ72" s="14" t="n">
        <v>4</v>
      </c>
      <c r="EK72" s="14" t="n">
        <v>0</v>
      </c>
      <c r="EL72" s="14" t="n">
        <v>0</v>
      </c>
      <c r="EM72" s="14" t="n">
        <v>0</v>
      </c>
      <c r="EN72" s="14" t="n">
        <v>0</v>
      </c>
      <c r="EO72" s="14" t="n">
        <v>0</v>
      </c>
      <c r="EP72" s="14" t="n">
        <v>0</v>
      </c>
      <c r="EQ72" s="14" t="n">
        <v>0</v>
      </c>
      <c r="ER72" s="14" t="n">
        <v>0</v>
      </c>
      <c r="ES72" s="14" t="n">
        <v>0</v>
      </c>
      <c r="ET72" s="14" t="n">
        <v>0</v>
      </c>
      <c r="EU72" s="14" t="n">
        <v>0</v>
      </c>
      <c r="EV72" s="14" t="n">
        <v>0</v>
      </c>
      <c r="EW72" s="14" t="n">
        <v>0</v>
      </c>
      <c r="EX72" s="14" t="n">
        <v>0</v>
      </c>
      <c r="EY72" s="14" t="n">
        <v>0</v>
      </c>
      <c r="EZ72" s="14" t="n">
        <v>0</v>
      </c>
      <c r="FA72" s="14" t="n">
        <v>0</v>
      </c>
      <c r="FB72" s="14" t="n">
        <v>0</v>
      </c>
      <c r="FC72" s="14" t="n">
        <v>0</v>
      </c>
      <c r="FD72" s="14" t="n">
        <v>0</v>
      </c>
      <c r="FE72" s="14" t="n">
        <v>0</v>
      </c>
      <c r="FF72" s="14" t="n">
        <v>0</v>
      </c>
      <c r="FG72" s="15" t="n">
        <v>65</v>
      </c>
      <c r="FH72" s="14" t="n">
        <v>6</v>
      </c>
      <c r="FI72" s="14" t="n">
        <v>608</v>
      </c>
      <c r="FJ72" s="14" t="n">
        <v>24</v>
      </c>
      <c r="FK72" s="14" t="n">
        <v>113</v>
      </c>
      <c r="FL72" s="14" t="n">
        <v>0</v>
      </c>
      <c r="FM72" s="14" t="n">
        <v>0</v>
      </c>
      <c r="FN72" s="14" t="n">
        <v>0</v>
      </c>
      <c r="FO72" s="14" t="n">
        <v>0</v>
      </c>
      <c r="FP72" s="14" t="n">
        <v>0</v>
      </c>
      <c r="FQ72" s="15" t="n">
        <v>0</v>
      </c>
      <c r="FR72" s="14" t="n">
        <v>12974558.28</v>
      </c>
      <c r="FS72" s="14" t="n">
        <v>0</v>
      </c>
      <c r="FT72" s="14" t="n">
        <v>0</v>
      </c>
      <c r="FU72" s="14" t="n">
        <v>0</v>
      </c>
      <c r="FV72" s="15" t="n">
        <v>12974558.28</v>
      </c>
      <c r="FW72" s="14" t="n">
        <v>8021361.239999969</v>
      </c>
      <c r="FX72" s="14" t="n">
        <v>290770</v>
      </c>
      <c r="FY72" s="14" t="n">
        <v>2750416.179999944</v>
      </c>
      <c r="FZ72" s="14" t="n">
        <v>14912828.8</v>
      </c>
      <c r="GA72" s="15" t="n">
        <v>25975376.21999991</v>
      </c>
      <c r="GB72" s="15" t="n">
        <v>38949934.49999991</v>
      </c>
      <c r="GC72" s="14" t="n">
        <v>17107262</v>
      </c>
      <c r="GD72" s="14" t="n">
        <v>0</v>
      </c>
      <c r="GE72" s="14" t="n">
        <v>47489509.16</v>
      </c>
      <c r="GF72" s="14" t="n">
        <v>0</v>
      </c>
      <c r="GG72" s="15" t="n">
        <v>64596771.16</v>
      </c>
      <c r="GH72" s="14" t="n">
        <v>7744215.21999997</v>
      </c>
      <c r="GI72" s="14" t="n">
        <v>290770</v>
      </c>
      <c r="GJ72" s="14" t="n">
        <v>14908328.8</v>
      </c>
      <c r="GK72" s="14" t="n">
        <v>2650884.89</v>
      </c>
      <c r="GL72" s="15" t="n">
        <v>25594198.90999997</v>
      </c>
      <c r="GM72" s="15" t="n">
        <v>90190970.06999996</v>
      </c>
      <c r="GN72" s="14" t="n">
        <v>747109</v>
      </c>
      <c r="GO72" s="14" t="n">
        <v>0</v>
      </c>
      <c r="GP72" s="14" t="n">
        <v>37330.04</v>
      </c>
      <c r="GQ72" s="14" t="n">
        <v>0</v>
      </c>
      <c r="GR72" s="15" t="n">
        <v>784439.04</v>
      </c>
      <c r="GS72" s="14" t="n">
        <v>1310924</v>
      </c>
      <c r="GT72" s="14" t="n">
        <v>0</v>
      </c>
      <c r="GU72" s="14" t="n">
        <v>9823</v>
      </c>
      <c r="GV72" s="14" t="n">
        <v>0</v>
      </c>
      <c r="GW72" s="15" t="n">
        <v>1320747</v>
      </c>
      <c r="GX72" s="15" t="n">
        <v>92296156.10999997</v>
      </c>
      <c r="GY72" s="14" t="n">
        <v>10398672.9400001</v>
      </c>
      <c r="GZ72" s="14" t="n">
        <v>289448857.23</v>
      </c>
      <c r="HA72" s="15" t="n">
        <v>299847530.1700001</v>
      </c>
      <c r="HB72" s="15" t="n">
        <v>92296156.10999997</v>
      </c>
      <c r="HC72" s="16" t="n">
        <v>10398672.9400001</v>
      </c>
      <c r="HD72" s="15" t="n">
        <v>289448857.23</v>
      </c>
      <c r="HE72" s="14" t="n">
        <v>107</v>
      </c>
      <c r="HF72" s="14" t="n">
        <v>1</v>
      </c>
      <c r="HG72" s="14" t="n">
        <v>177</v>
      </c>
      <c r="HH72" s="14" t="n">
        <v>109</v>
      </c>
      <c r="HI72" s="14" t="n">
        <v>30</v>
      </c>
      <c r="HJ72" s="15" t="n">
        <v>0.2752293577981652</v>
      </c>
      <c r="HK72" s="16" t="n">
        <v>0</v>
      </c>
      <c r="HL72" s="14" t="n">
        <v>66</v>
      </c>
      <c r="HM72" s="14" t="n">
        <v>24</v>
      </c>
      <c r="HN72" s="17" t="n">
        <v>2.75</v>
      </c>
    </row>
    <row r="73">
      <c r="A73" s="6" t="inlineStr">
        <is>
          <t>Mangochi</t>
        </is>
      </c>
      <c r="B73" s="6" t="inlineStr">
        <is>
          <t>Monkey Bay</t>
        </is>
      </c>
      <c r="C73" s="7" t="inlineStr">
        <is>
          <t>FY2025/26</t>
        </is>
      </c>
      <c r="D73" s="7" t="n">
        <v>2026</v>
      </c>
      <c r="E73" s="7" t="n">
        <v>2</v>
      </c>
      <c r="F73" s="7" t="inlineStr">
        <is>
          <t>February</t>
        </is>
      </c>
      <c r="G73" s="7" t="inlineStr">
        <is>
          <t>Q4</t>
        </is>
      </c>
      <c r="H73" s="8" t="n">
        <v>50649</v>
      </c>
      <c r="I73" s="8" t="n">
        <v>17968</v>
      </c>
      <c r="J73" s="8" t="n">
        <v>0</v>
      </c>
      <c r="K73" s="8" t="n">
        <v>6138</v>
      </c>
      <c r="L73" s="8" t="n">
        <v>0</v>
      </c>
      <c r="M73" s="9">
        <f>SUM(I73,J73,K73,L73)</f>
        <v/>
      </c>
      <c r="N73" s="8" t="n">
        <v>6402.8</v>
      </c>
      <c r="O73" s="8" t="n">
        <v>1003.4</v>
      </c>
      <c r="P73" s="8" t="n">
        <v>2080</v>
      </c>
      <c r="Q73" s="8" t="n">
        <v>685.3999999999999</v>
      </c>
      <c r="R73" s="9">
        <f>SUM(N73,O73,P73,Q73)</f>
        <v/>
      </c>
      <c r="S73" s="9">
        <f>M73+R73</f>
        <v/>
      </c>
      <c r="T73" s="8" t="n">
        <v>16371.4</v>
      </c>
      <c r="U73" s="10">
        <f>IF(H73=0,"",T73/H73)</f>
        <v/>
      </c>
      <c r="V73" s="8" t="n">
        <v>80</v>
      </c>
      <c r="W73" s="11">
        <f>IF(H73=0,"",V73/H73)</f>
        <v/>
      </c>
      <c r="X73" s="8" t="n">
        <v>0</v>
      </c>
      <c r="Y73" s="11">
        <f>IF(H73=0,"",X73/H73)</f>
        <v/>
      </c>
      <c r="Z73" s="8" t="n">
        <v>0</v>
      </c>
      <c r="AA73" s="11">
        <f>IF(H73=0,"",Z73/H73)</f>
        <v/>
      </c>
      <c r="AB73" s="8" t="n">
        <v>0</v>
      </c>
      <c r="AC73" s="11">
        <f>IF(H73=0,"",AB73/H73)</f>
        <v/>
      </c>
      <c r="AD73" s="8" t="n">
        <v>0</v>
      </c>
      <c r="AE73" s="11">
        <f>IF(H73=0,"",AD73/H73)</f>
        <v/>
      </c>
      <c r="AF73" s="8" t="n">
        <v>0</v>
      </c>
      <c r="AG73" s="11">
        <f>IF(H73=0,"",AF73/H73)</f>
        <v/>
      </c>
      <c r="AH73" s="8" t="n">
        <v>1914328</v>
      </c>
      <c r="AI73" s="9">
        <f>IF(H73=0,"",AH73/H73)</f>
        <v/>
      </c>
      <c r="AJ73" s="8" t="n">
        <v>34433</v>
      </c>
      <c r="AK73" s="11">
        <f>IF(H73=0,"",AJ73/H73)</f>
        <v/>
      </c>
      <c r="AL73" s="8" t="n">
        <v>5775761.8575</v>
      </c>
      <c r="AM73" s="9">
        <f>IF(H73=0,"",AL73/H73)</f>
        <v/>
      </c>
      <c r="AN73" s="8" t="n">
        <v>0</v>
      </c>
      <c r="AO73" s="8" t="n">
        <v>0</v>
      </c>
      <c r="AP73" s="8" t="n">
        <v>0</v>
      </c>
      <c r="AQ73" s="8" t="n">
        <v>0</v>
      </c>
      <c r="AR73" s="8" t="n">
        <v>3970346.15</v>
      </c>
      <c r="AS73" s="8" t="n">
        <v>1503369.6975</v>
      </c>
      <c r="AT73" s="8" t="n">
        <v>832760</v>
      </c>
      <c r="AU73" s="9">
        <f>AH73+AL73+AP73+AQ73+AR73+AS73+AT73</f>
        <v/>
      </c>
      <c r="AV73" s="9">
        <f>IF(H73=0,"",AU73/H73)</f>
        <v/>
      </c>
      <c r="AW73" s="9">
        <f>IF(S73=0,"",AU73/S73)</f>
        <v/>
      </c>
      <c r="AX73" s="8" t="n">
        <v>4</v>
      </c>
      <c r="AY73" s="9">
        <f>IF(H73=0,"",AX73/(H73/1000/12))</f>
        <v/>
      </c>
      <c r="AZ73" s="8" t="n">
        <v>13</v>
      </c>
      <c r="BA73" s="8" t="n">
        <v>170</v>
      </c>
      <c r="BB73" s="8" t="n">
        <v>11</v>
      </c>
      <c r="BC73" s="8" t="n">
        <v>0</v>
      </c>
      <c r="BD73" s="8" t="n">
        <v>60</v>
      </c>
      <c r="BE73" s="9">
        <f>BC73+BD73</f>
        <v/>
      </c>
      <c r="BF73" s="9">
        <f>BA73+BB73-BE73</f>
        <v/>
      </c>
      <c r="BG73" s="8" t="n">
        <v>0</v>
      </c>
      <c r="BH73" s="8" t="n">
        <v>0</v>
      </c>
      <c r="BI73" s="8" t="n">
        <v>0</v>
      </c>
      <c r="BJ73" s="8" t="n">
        <v>0</v>
      </c>
      <c r="BK73" s="9">
        <f>BI73+BJ73</f>
        <v/>
      </c>
      <c r="BL73" s="9">
        <f>BG73+BH73-BK73</f>
        <v/>
      </c>
      <c r="BM73" s="8" t="n">
        <v>7</v>
      </c>
      <c r="BN73" s="8" t="n">
        <v>0</v>
      </c>
      <c r="BO73" s="8" t="n">
        <v>0</v>
      </c>
      <c r="BP73" s="8" t="n">
        <v>0</v>
      </c>
      <c r="BQ73" s="9">
        <f>BO73+BP73</f>
        <v/>
      </c>
      <c r="BR73" s="9">
        <f>BM73+BN73-BQ73</f>
        <v/>
      </c>
      <c r="BS73" s="8" t="n">
        <v>0</v>
      </c>
      <c r="BT73" s="8" t="n">
        <v>0</v>
      </c>
      <c r="BU73" s="8" t="n">
        <v>0</v>
      </c>
      <c r="BV73" s="8" t="n">
        <v>0</v>
      </c>
      <c r="BW73" s="9">
        <f>BU73+BV73</f>
        <v/>
      </c>
      <c r="BX73" s="9">
        <f>BS73+BT73-BW73</f>
        <v/>
      </c>
      <c r="BY73" s="9">
        <f>BA73+BG73+BM73+BS73</f>
        <v/>
      </c>
      <c r="BZ73" s="9">
        <f>BB73+BH73+BN73+BT73</f>
        <v/>
      </c>
      <c r="CA73" s="9">
        <f>BE73+BK73+BQ73+BW73</f>
        <v/>
      </c>
      <c r="CB73" s="9">
        <f>BF73+BL73+BR73+BX73</f>
        <v/>
      </c>
      <c r="CC73" s="8" t="n">
        <v>60</v>
      </c>
      <c r="CD73" s="8" t="n">
        <v>433</v>
      </c>
      <c r="CE73" s="8" t="n">
        <v>18</v>
      </c>
      <c r="CF73" s="8" t="n">
        <v>22</v>
      </c>
      <c r="CG73" s="8" t="n">
        <v>3</v>
      </c>
      <c r="CH73" s="9">
        <f>CD73+CE73+CF73+CG73</f>
        <v/>
      </c>
      <c r="CI73" s="8" t="n">
        <v>1464</v>
      </c>
      <c r="CJ73" s="8" t="n">
        <v>10</v>
      </c>
      <c r="CK73" s="8" t="n">
        <v>0</v>
      </c>
      <c r="CL73" s="8" t="n">
        <v>0</v>
      </c>
      <c r="CM73" s="9">
        <f>CI73+CJ73+CK73+CL73</f>
        <v/>
      </c>
      <c r="CN73" s="8" t="n">
        <v>827</v>
      </c>
      <c r="CO73" s="8" t="n">
        <v>46</v>
      </c>
      <c r="CP73" s="8" t="n">
        <v>83</v>
      </c>
      <c r="CQ73" s="8" t="n">
        <v>21</v>
      </c>
      <c r="CR73" s="9">
        <f>CN73+CO73+CP73+CQ73</f>
        <v/>
      </c>
      <c r="CS73" s="9">
        <f>CM73+CR73</f>
        <v/>
      </c>
      <c r="CT73" s="8" t="n">
        <v>2927</v>
      </c>
      <c r="CU73" s="8" t="n">
        <v>21713</v>
      </c>
      <c r="CV73" s="8" t="n">
        <v>19072</v>
      </c>
      <c r="CW73" s="10">
        <f>IF(CU73=0,"",CV73/CU73)</f>
        <v/>
      </c>
      <c r="CX73" s="8" t="n"/>
      <c r="CY73" s="8" t="n"/>
      <c r="CZ73" s="8" t="n"/>
      <c r="DA73" s="8" t="n"/>
      <c r="DB73" s="9">
        <f>CX73+CY73-CZ73-DA73</f>
        <v/>
      </c>
      <c r="DC73" s="8" t="n">
        <v>0</v>
      </c>
      <c r="DD73" s="8" t="n">
        <v>0</v>
      </c>
      <c r="DE73" s="8" t="n">
        <v>0</v>
      </c>
      <c r="DF73" s="8" t="n">
        <v>0</v>
      </c>
      <c r="DG73" s="9">
        <f>DC73+DD73-DE73-DF73</f>
        <v/>
      </c>
      <c r="DH73" s="8" t="n">
        <v>0</v>
      </c>
      <c r="DI73" s="8" t="n">
        <v>0</v>
      </c>
      <c r="DJ73" s="8" t="n">
        <v>0</v>
      </c>
      <c r="DK73" s="8" t="n">
        <v>0</v>
      </c>
      <c r="DL73" s="9">
        <f>DH73+DI73-DJ73-DK73</f>
        <v/>
      </c>
      <c r="DM73" s="8" t="n">
        <v>19</v>
      </c>
      <c r="DN73" s="8" t="n">
        <v>0</v>
      </c>
      <c r="DO73" s="8" t="n">
        <v>0</v>
      </c>
      <c r="DP73" s="8" t="n">
        <v>0</v>
      </c>
      <c r="DQ73" s="9">
        <f>DM73+DN73-DO73-DP73</f>
        <v/>
      </c>
      <c r="DR73" s="9">
        <f>CX73+DC73+DH73+DM73</f>
        <v/>
      </c>
      <c r="DS73" s="9">
        <f>CY73+DD73+DI73+DN73</f>
        <v/>
      </c>
      <c r="DT73" s="9">
        <f>CZ73+DE73+DJ73+DO73</f>
        <v/>
      </c>
      <c r="DU73" s="9">
        <f>DA73+DF73+DK73+DP73</f>
        <v/>
      </c>
      <c r="DV73" s="9">
        <f>DB73+DG73+DL73+DQ73</f>
        <v/>
      </c>
      <c r="DW73" s="8" t="n">
        <v>33</v>
      </c>
      <c r="DX73" s="8" t="n">
        <v>8</v>
      </c>
      <c r="DY73" s="8" t="n">
        <v>10</v>
      </c>
      <c r="DZ73" s="8" t="n">
        <v>2</v>
      </c>
      <c r="EA73" s="8" t="n">
        <v>2</v>
      </c>
      <c r="EB73" s="8" t="n">
        <v>2</v>
      </c>
      <c r="EC73" s="8" t="n">
        <v>2</v>
      </c>
      <c r="ED73" s="8" t="n">
        <v>0</v>
      </c>
      <c r="EE73" s="8" t="n">
        <v>0</v>
      </c>
      <c r="EF73" s="8" t="n">
        <v>0</v>
      </c>
      <c r="EG73" s="8" t="n">
        <v>0</v>
      </c>
      <c r="EH73" s="8" t="n">
        <v>0</v>
      </c>
      <c r="EI73" s="8" t="n">
        <v>0</v>
      </c>
      <c r="EJ73" s="8" t="n">
        <v>4</v>
      </c>
      <c r="EK73" s="8" t="n">
        <v>0</v>
      </c>
      <c r="EL73" s="8" t="n">
        <v>0</v>
      </c>
      <c r="EM73" s="8" t="n">
        <v>0</v>
      </c>
      <c r="EN73" s="8" t="n">
        <v>0</v>
      </c>
      <c r="EO73" s="8" t="n">
        <v>0</v>
      </c>
      <c r="EP73" s="8" t="n">
        <v>0</v>
      </c>
      <c r="EQ73" s="8" t="n">
        <v>0</v>
      </c>
      <c r="ER73" s="8" t="n">
        <v>0</v>
      </c>
      <c r="ES73" s="8" t="n">
        <v>0</v>
      </c>
      <c r="ET73" s="8" t="n">
        <v>0</v>
      </c>
      <c r="EU73" s="8" t="n">
        <v>0</v>
      </c>
      <c r="EV73" s="8" t="n">
        <v>0</v>
      </c>
      <c r="EW73" s="8" t="n">
        <v>0</v>
      </c>
      <c r="EX73" s="8" t="n">
        <v>0</v>
      </c>
      <c r="EY73" s="8" t="n">
        <v>0</v>
      </c>
      <c r="EZ73" s="8" t="n">
        <v>0</v>
      </c>
      <c r="FA73" s="8" t="n">
        <v>0</v>
      </c>
      <c r="FB73" s="8" t="n">
        <v>0</v>
      </c>
      <c r="FC73" s="8" t="n">
        <v>0</v>
      </c>
      <c r="FD73" s="8" t="n">
        <v>0</v>
      </c>
      <c r="FE73" s="8" t="n">
        <v>0</v>
      </c>
      <c r="FF73" s="8" t="n">
        <v>0</v>
      </c>
      <c r="FG73" s="9">
        <f>SUM(DW73,DX73,DY73,DZ73,EA73,EB73,EC73,ED73,EE73,EF73,EG73,EH73,EI73,EJ73,EK73,EL73,EM73,EN73,EO73,EP73,EQ73,ER73,ES73,ET73,EU73,EV73,EW73,EX73,EY73,EZ73,FA73,FB73,FC73,FD73,FE73,FF73)</f>
        <v/>
      </c>
      <c r="FH73" s="8" t="n">
        <v>6</v>
      </c>
      <c r="FI73" s="8" t="n">
        <v>601</v>
      </c>
      <c r="FJ73" s="8" t="n">
        <v>24</v>
      </c>
      <c r="FK73" s="8" t="n">
        <v>120</v>
      </c>
      <c r="FL73" s="8" t="n">
        <v>0</v>
      </c>
      <c r="FM73" s="8" t="n">
        <v>0</v>
      </c>
      <c r="FN73" s="8" t="n">
        <v>0</v>
      </c>
      <c r="FO73" s="8" t="n">
        <v>0</v>
      </c>
      <c r="FP73" s="8" t="n">
        <v>0</v>
      </c>
      <c r="FQ73" s="9">
        <f>FL73+FM73+FN73+FO73+FP73</f>
        <v/>
      </c>
      <c r="FR73" s="8" t="n">
        <v>20468251</v>
      </c>
      <c r="FS73" s="8" t="n">
        <v>0</v>
      </c>
      <c r="FT73" s="8" t="n">
        <v>0</v>
      </c>
      <c r="FU73" s="8" t="n">
        <v>31000</v>
      </c>
      <c r="FV73" s="9">
        <f>FR73+FS73+FT73+FU73</f>
        <v/>
      </c>
      <c r="FW73" s="8" t="n">
        <v>8091629.159999998</v>
      </c>
      <c r="FX73" s="8" t="n">
        <v>213180</v>
      </c>
      <c r="FY73" s="8" t="n">
        <v>3295908.09</v>
      </c>
      <c r="FZ73" s="8" t="n">
        <v>6270450</v>
      </c>
      <c r="GA73" s="9">
        <f>FW73+FX73+FY73+FZ73</f>
        <v/>
      </c>
      <c r="GB73" s="9">
        <f>FV73+GA73</f>
        <v/>
      </c>
      <c r="GC73" s="8" t="n">
        <v>16559012</v>
      </c>
      <c r="GD73" s="8" t="n">
        <v>0</v>
      </c>
      <c r="GE73" s="8" t="n">
        <v>21124870.92</v>
      </c>
      <c r="GF73" s="8" t="n">
        <v>0</v>
      </c>
      <c r="GG73" s="9">
        <f>GC73+GD73+GE73+GF73</f>
        <v/>
      </c>
      <c r="GH73" s="8" t="n">
        <v>8005329.089999998</v>
      </c>
      <c r="GI73" s="8" t="n">
        <v>213180</v>
      </c>
      <c r="GJ73" s="8" t="n">
        <v>6322450</v>
      </c>
      <c r="GK73" s="8" t="n">
        <v>3241721.43</v>
      </c>
      <c r="GL73" s="9">
        <f>GH73+GI73+GJ73+GK73</f>
        <v/>
      </c>
      <c r="GM73" s="9">
        <f>GG73+GL73</f>
        <v/>
      </c>
      <c r="GN73" s="8" t="n">
        <v>741964</v>
      </c>
      <c r="GO73" s="8" t="n">
        <v>0</v>
      </c>
      <c r="GP73" s="8" t="n">
        <v>33936.4</v>
      </c>
      <c r="GQ73" s="8" t="n">
        <v>0</v>
      </c>
      <c r="GR73" s="9">
        <f>GN73+GO73+GP73+GQ73</f>
        <v/>
      </c>
      <c r="GS73" s="8" t="n">
        <v>1307352</v>
      </c>
      <c r="GT73" s="8" t="n">
        <v>0</v>
      </c>
      <c r="GU73" s="8" t="n">
        <v>8930</v>
      </c>
      <c r="GV73" s="8" t="n">
        <v>0</v>
      </c>
      <c r="GW73" s="9">
        <f>GS73+GT73+GU73+GV73</f>
        <v/>
      </c>
      <c r="GX73" s="9">
        <f>GM73+GR73+GW73</f>
        <v/>
      </c>
      <c r="GY73" s="8" t="n">
        <v>5201357.700000037</v>
      </c>
      <c r="GZ73" s="8" t="n">
        <v>314131737.1999999</v>
      </c>
      <c r="HA73" s="9">
        <f>GY73+GZ73</f>
        <v/>
      </c>
      <c r="HB73" s="9">
        <f>IF(GX73=0,"",AU73/GX73)</f>
        <v/>
      </c>
      <c r="HC73" s="10">
        <f>IF((GX73+GY73)=0,"",GB73/(GX73+GY73))</f>
        <v/>
      </c>
      <c r="HD73" s="9">
        <f>IF(GX73=0,"",GB73/GX73)</f>
        <v/>
      </c>
      <c r="HE73" s="8" t="n">
        <v>11</v>
      </c>
      <c r="HF73" s="8" t="n">
        <v>1</v>
      </c>
      <c r="HG73" s="8" t="n">
        <v>128</v>
      </c>
      <c r="HH73" s="8" t="n">
        <v>11</v>
      </c>
      <c r="HI73" s="8" t="n">
        <v>30</v>
      </c>
      <c r="HJ73" s="9">
        <f>HF73+HI73</f>
        <v/>
      </c>
      <c r="HK73" s="10">
        <f>IF(HE73=0,"",HH73/HE73)</f>
        <v/>
      </c>
      <c r="HL73" s="8" t="n">
        <v>54</v>
      </c>
      <c r="HM73" s="8" t="n">
        <v>24</v>
      </c>
      <c r="HN73" s="11">
        <f>IF(HL73=0,"",HM73/HL73)</f>
        <v/>
      </c>
    </row>
    <row r="74">
      <c r="A74" s="12" t="inlineStr">
        <is>
          <t>Mangochi</t>
        </is>
      </c>
      <c r="B74" s="12" t="inlineStr">
        <is>
          <t>Monkey Bay</t>
        </is>
      </c>
      <c r="C74" s="13" t="inlineStr">
        <is>
          <t>FY2025/26</t>
        </is>
      </c>
      <c r="D74" s="13" t="n">
        <v>2026</v>
      </c>
      <c r="E74" s="13" t="n">
        <v>3</v>
      </c>
      <c r="F74" s="13" t="inlineStr">
        <is>
          <t>March</t>
        </is>
      </c>
      <c r="G74" s="13" t="inlineStr">
        <is>
          <t>Q4</t>
        </is>
      </c>
      <c r="H74" s="14" t="n">
        <v>56754</v>
      </c>
      <c r="I74" s="14" t="n">
        <v>17483</v>
      </c>
      <c r="J74" s="14" t="n">
        <v>0</v>
      </c>
      <c r="K74" s="14" t="n">
        <v>2683</v>
      </c>
      <c r="L74" s="14" t="n">
        <v>0</v>
      </c>
      <c r="M74" s="15">
        <f>SUM(I74,J74,K74,L74)</f>
        <v/>
      </c>
      <c r="N74" s="14" t="n">
        <v>18073.1</v>
      </c>
      <c r="O74" s="14" t="n">
        <v>1048.7</v>
      </c>
      <c r="P74" s="14" t="n">
        <v>2553.9</v>
      </c>
      <c r="Q74" s="14" t="n">
        <v>547.2</v>
      </c>
      <c r="R74" s="15">
        <f>SUM(N74,O74,P74,Q74)</f>
        <v/>
      </c>
      <c r="S74" s="15">
        <f>M74+R74</f>
        <v/>
      </c>
      <c r="T74" s="14" t="n">
        <v>14365.1</v>
      </c>
      <c r="U74" s="16">
        <f>IF(H74=0,"",T74/H74)</f>
        <v/>
      </c>
      <c r="V74" s="14" t="n">
        <v>100</v>
      </c>
      <c r="W74" s="17">
        <f>IF(H74=0,"",V74/H74)</f>
        <v/>
      </c>
      <c r="X74" s="14" t="n">
        <v>0</v>
      </c>
      <c r="Y74" s="17">
        <f>IF(H74=0,"",X74/H74)</f>
        <v/>
      </c>
      <c r="Z74" s="14" t="n">
        <v>0</v>
      </c>
      <c r="AA74" s="17">
        <f>IF(H74=0,"",Z74/H74)</f>
        <v/>
      </c>
      <c r="AB74" s="14" t="n">
        <v>0</v>
      </c>
      <c r="AC74" s="17">
        <f>IF(H74=0,"",AB74/H74)</f>
        <v/>
      </c>
      <c r="AD74" s="14" t="n">
        <v>0</v>
      </c>
      <c r="AE74" s="17">
        <f>IF(H74=0,"",AD74/H74)</f>
        <v/>
      </c>
      <c r="AF74" s="14" t="n">
        <v>0</v>
      </c>
      <c r="AG74" s="17">
        <f>IF(H74=0,"",AF74/H74)</f>
        <v/>
      </c>
      <c r="AH74" s="14" t="n">
        <v>2392910</v>
      </c>
      <c r="AI74" s="15">
        <f>IF(H74=0,"",AH74/H74)</f>
        <v/>
      </c>
      <c r="AJ74" s="14" t="n">
        <v>25457</v>
      </c>
      <c r="AK74" s="17">
        <f>IF(H74=0,"",AJ74/H74)</f>
        <v/>
      </c>
      <c r="AL74" s="14" t="n">
        <v>19339</v>
      </c>
      <c r="AM74" s="15">
        <f>IF(H74=0,"",AL74/H74)</f>
        <v/>
      </c>
      <c r="AN74" s="14" t="n">
        <v>0</v>
      </c>
      <c r="AO74" s="14" t="n">
        <v>0</v>
      </c>
      <c r="AP74" s="14" t="n">
        <v>0</v>
      </c>
      <c r="AQ74" s="14" t="n">
        <v>0</v>
      </c>
      <c r="AR74" s="14" t="n">
        <v>3502433.13</v>
      </c>
      <c r="AS74" s="14" t="n">
        <v>1335117.08</v>
      </c>
      <c r="AT74" s="14" t="n">
        <v>1075770</v>
      </c>
      <c r="AU74" s="15">
        <f>AH74+AL74+AP74+AQ74+AR74+AS74+AT74</f>
        <v/>
      </c>
      <c r="AV74" s="15">
        <f>IF(H74=0,"",AU74/H74)</f>
        <v/>
      </c>
      <c r="AW74" s="15">
        <f>IF(S74=0,"",AU74/S74)</f>
        <v/>
      </c>
      <c r="AX74" s="14" t="n">
        <v>4</v>
      </c>
      <c r="AY74" s="15">
        <f>IF(H74=0,"",AX74/(H74/1000/12))</f>
        <v/>
      </c>
      <c r="AZ74" s="14" t="n">
        <v>13</v>
      </c>
      <c r="BA74" s="14" t="n">
        <v>121</v>
      </c>
      <c r="BB74" s="14" t="n">
        <v>16</v>
      </c>
      <c r="BC74" s="14" t="n">
        <v>0</v>
      </c>
      <c r="BD74" s="14" t="n">
        <v>58</v>
      </c>
      <c r="BE74" s="15">
        <f>BC74+BD74</f>
        <v/>
      </c>
      <c r="BF74" s="15">
        <f>BA74+BB74-BE74</f>
        <v/>
      </c>
      <c r="BG74" s="14" t="n">
        <v>0</v>
      </c>
      <c r="BH74" s="14" t="n">
        <v>0</v>
      </c>
      <c r="BI74" s="14" t="n">
        <v>0</v>
      </c>
      <c r="BJ74" s="14" t="n">
        <v>0</v>
      </c>
      <c r="BK74" s="15">
        <f>BI74+BJ74</f>
        <v/>
      </c>
      <c r="BL74" s="15">
        <f>BG74+BH74-BK74</f>
        <v/>
      </c>
      <c r="BM74" s="14" t="n">
        <v>7</v>
      </c>
      <c r="BN74" s="14" t="n">
        <v>0</v>
      </c>
      <c r="BO74" s="14" t="n">
        <v>0</v>
      </c>
      <c r="BP74" s="14" t="n">
        <v>0</v>
      </c>
      <c r="BQ74" s="15">
        <f>BO74+BP74</f>
        <v/>
      </c>
      <c r="BR74" s="15">
        <f>BM74+BN74-BQ74</f>
        <v/>
      </c>
      <c r="BS74" s="14" t="n">
        <v>0</v>
      </c>
      <c r="BT74" s="14" t="n">
        <v>0</v>
      </c>
      <c r="BU74" s="14" t="n">
        <v>0</v>
      </c>
      <c r="BV74" s="14" t="n">
        <v>0</v>
      </c>
      <c r="BW74" s="15">
        <f>BU74+BV74</f>
        <v/>
      </c>
      <c r="BX74" s="15">
        <f>BS74+BT74-BW74</f>
        <v/>
      </c>
      <c r="BY74" s="15">
        <f>BA74+BG74+BM74+BS74</f>
        <v/>
      </c>
      <c r="BZ74" s="15">
        <f>BB74+BH74+BN74+BT74</f>
        <v/>
      </c>
      <c r="CA74" s="15">
        <f>BE74+BK74+BQ74+BW74</f>
        <v/>
      </c>
      <c r="CB74" s="15">
        <f>BF74+BL74+BR74+BX74</f>
        <v/>
      </c>
      <c r="CC74" s="14" t="n">
        <v>58</v>
      </c>
      <c r="CD74" s="14" t="n">
        <v>417</v>
      </c>
      <c r="CE74" s="14" t="n">
        <v>18</v>
      </c>
      <c r="CF74" s="14" t="n">
        <v>22</v>
      </c>
      <c r="CG74" s="14" t="n">
        <v>3</v>
      </c>
      <c r="CH74" s="15">
        <f>CD74+CE74+CF74+CG74</f>
        <v/>
      </c>
      <c r="CI74" s="14" t="n">
        <v>1480</v>
      </c>
      <c r="CJ74" s="14" t="n">
        <v>10</v>
      </c>
      <c r="CK74" s="14" t="n">
        <v>0</v>
      </c>
      <c r="CL74" s="14" t="n">
        <v>0</v>
      </c>
      <c r="CM74" s="15">
        <f>CI74+CJ74+CK74+CL74</f>
        <v/>
      </c>
      <c r="CN74" s="14" t="n">
        <v>885</v>
      </c>
      <c r="CO74" s="14" t="n">
        <v>46</v>
      </c>
      <c r="CP74" s="14" t="n">
        <v>83</v>
      </c>
      <c r="CQ74" s="14" t="n">
        <v>21</v>
      </c>
      <c r="CR74" s="15">
        <f>CN74+CO74+CP74+CQ74</f>
        <v/>
      </c>
      <c r="CS74" s="15">
        <f>CM74+CR74</f>
        <v/>
      </c>
      <c r="CT74" s="14" t="n">
        <v>2985</v>
      </c>
      <c r="CU74" s="14" t="n">
        <v>21748</v>
      </c>
      <c r="CV74" s="14" t="n">
        <v>19362</v>
      </c>
      <c r="CW74" s="16">
        <f>IF(CU74=0,"",CV74/CU74)</f>
        <v/>
      </c>
      <c r="CX74" s="14" t="n"/>
      <c r="CY74" s="14" t="n"/>
      <c r="CZ74" s="14" t="n"/>
      <c r="DA74" s="14" t="n"/>
      <c r="DB74" s="15">
        <f>CX74+CY74-CZ74-DA74</f>
        <v/>
      </c>
      <c r="DC74" s="14" t="n">
        <v>0</v>
      </c>
      <c r="DD74" s="14" t="n">
        <v>0</v>
      </c>
      <c r="DE74" s="14" t="n">
        <v>0</v>
      </c>
      <c r="DF74" s="14" t="n">
        <v>0</v>
      </c>
      <c r="DG74" s="15">
        <f>DC74+DD74-DE74-DF74</f>
        <v/>
      </c>
      <c r="DH74" s="14" t="n">
        <v>0</v>
      </c>
      <c r="DI74" s="14" t="n">
        <v>0</v>
      </c>
      <c r="DJ74" s="14" t="n">
        <v>0</v>
      </c>
      <c r="DK74" s="14" t="n">
        <v>0</v>
      </c>
      <c r="DL74" s="15">
        <f>DH74+DI74-DJ74-DK74</f>
        <v/>
      </c>
      <c r="DM74" s="14" t="n">
        <v>19</v>
      </c>
      <c r="DN74" s="14" t="n">
        <v>7</v>
      </c>
      <c r="DO74" s="14" t="n">
        <v>0</v>
      </c>
      <c r="DP74" s="14" t="n">
        <v>18</v>
      </c>
      <c r="DQ74" s="15">
        <f>DM74+DN74-DO74-DP74</f>
        <v/>
      </c>
      <c r="DR74" s="15">
        <f>CX74+DC74+DH74+DM74</f>
        <v/>
      </c>
      <c r="DS74" s="15">
        <f>CY74+DD74+DI74+DN74</f>
        <v/>
      </c>
      <c r="DT74" s="15">
        <f>CZ74+DE74+DJ74+DO74</f>
        <v/>
      </c>
      <c r="DU74" s="15">
        <f>DA74+DF74+DK74+DP74</f>
        <v/>
      </c>
      <c r="DV74" s="15">
        <f>DB74+DG74+DL74+DQ74</f>
        <v/>
      </c>
      <c r="DW74" s="14" t="n">
        <v>39</v>
      </c>
      <c r="DX74" s="14" t="n">
        <v>13</v>
      </c>
      <c r="DY74" s="14" t="n">
        <v>11</v>
      </c>
      <c r="DZ74" s="14" t="n">
        <v>1</v>
      </c>
      <c r="EA74" s="14" t="n">
        <v>2</v>
      </c>
      <c r="EB74" s="14" t="n">
        <v>7</v>
      </c>
      <c r="EC74" s="14" t="n">
        <v>1</v>
      </c>
      <c r="ED74" s="14" t="n">
        <v>0</v>
      </c>
      <c r="EE74" s="14" t="n">
        <v>2</v>
      </c>
      <c r="EF74" s="14" t="n">
        <v>0</v>
      </c>
      <c r="EG74" s="14" t="n">
        <v>0</v>
      </c>
      <c r="EH74" s="14" t="n">
        <v>0</v>
      </c>
      <c r="EI74" s="14" t="n">
        <v>0</v>
      </c>
      <c r="EJ74" s="14" t="n">
        <v>5</v>
      </c>
      <c r="EK74" s="14" t="n">
        <v>0</v>
      </c>
      <c r="EL74" s="14" t="n">
        <v>0</v>
      </c>
      <c r="EM74" s="14" t="n">
        <v>0</v>
      </c>
      <c r="EN74" s="14" t="n">
        <v>0</v>
      </c>
      <c r="EO74" s="14" t="n">
        <v>0</v>
      </c>
      <c r="EP74" s="14" t="n">
        <v>0</v>
      </c>
      <c r="EQ74" s="14" t="n">
        <v>0</v>
      </c>
      <c r="ER74" s="14" t="n">
        <v>0</v>
      </c>
      <c r="ES74" s="14" t="n">
        <v>0</v>
      </c>
      <c r="ET74" s="14" t="n">
        <v>0</v>
      </c>
      <c r="EU74" s="14" t="n">
        <v>0</v>
      </c>
      <c r="EV74" s="14" t="n">
        <v>0</v>
      </c>
      <c r="EW74" s="14" t="n">
        <v>0</v>
      </c>
      <c r="EX74" s="14" t="n">
        <v>0</v>
      </c>
      <c r="EY74" s="14" t="n">
        <v>0</v>
      </c>
      <c r="EZ74" s="14" t="n">
        <v>0</v>
      </c>
      <c r="FA74" s="14" t="n">
        <v>0</v>
      </c>
      <c r="FB74" s="14" t="n">
        <v>0</v>
      </c>
      <c r="FC74" s="14" t="n">
        <v>0</v>
      </c>
      <c r="FD74" s="14" t="n">
        <v>0</v>
      </c>
      <c r="FE74" s="14" t="n">
        <v>0</v>
      </c>
      <c r="FF74" s="14" t="n">
        <v>0</v>
      </c>
      <c r="FG74" s="15">
        <f>SUM(DW74,DX74,DY74,DZ74,EA74,EB74,EC74,ED74,EE74,EF74,EG74,EH74,EI74,EJ74,EK74,EL74,EM74,EN74,EO74,EP74,EQ74,ER74,ES74,ET74,EU74,EV74,EW74,EX74,EY74,EZ74,FA74,FB74,FC74,FD74,FE74,FF74)</f>
        <v/>
      </c>
      <c r="FH74" s="14" t="n">
        <v>6</v>
      </c>
      <c r="FI74" s="14" t="n">
        <v>591</v>
      </c>
      <c r="FJ74" s="14" t="n">
        <v>24</v>
      </c>
      <c r="FK74" s="14" t="n">
        <v>130</v>
      </c>
      <c r="FL74" s="14" t="n">
        <v>0</v>
      </c>
      <c r="FM74" s="14" t="n">
        <v>0</v>
      </c>
      <c r="FN74" s="14" t="n">
        <v>0</v>
      </c>
      <c r="FO74" s="14" t="n">
        <v>0</v>
      </c>
      <c r="FP74" s="14" t="n">
        <v>0</v>
      </c>
      <c r="FQ74" s="15">
        <f>FL74+FM74+FN74+FO74+FP74</f>
        <v/>
      </c>
      <c r="FR74" s="14" t="n">
        <v>10905291.43</v>
      </c>
      <c r="FS74" s="14" t="n">
        <v>0</v>
      </c>
      <c r="FT74" s="14" t="n">
        <v>0</v>
      </c>
      <c r="FU74" s="14" t="n">
        <v>0</v>
      </c>
      <c r="FV74" s="15">
        <f>FR74+FS74+FT74+FU74</f>
        <v/>
      </c>
      <c r="FW74" s="14" t="n">
        <v>10142888</v>
      </c>
      <c r="FX74" s="14" t="n">
        <v>222760</v>
      </c>
      <c r="FY74" s="14" t="n">
        <v>2547390</v>
      </c>
      <c r="FZ74" s="14" t="n">
        <v>7696487.17</v>
      </c>
      <c r="GA74" s="15">
        <f>FW74+FX74+FY74+FZ74</f>
        <v/>
      </c>
      <c r="GB74" s="15">
        <f>FV74+GA74</f>
        <v/>
      </c>
      <c r="GC74" s="14" t="n">
        <v>16040828</v>
      </c>
      <c r="GD74" s="14" t="n">
        <v>0</v>
      </c>
      <c r="GE74" s="14" t="n">
        <v>9185007.310000001</v>
      </c>
      <c r="GF74" s="14" t="n">
        <v>0</v>
      </c>
      <c r="GG74" s="15">
        <f>GC74+GD74+GE74+GF74</f>
        <v/>
      </c>
      <c r="GH74" s="14" t="n">
        <v>10095968</v>
      </c>
      <c r="GI74" s="14" t="n">
        <v>222760</v>
      </c>
      <c r="GJ74" s="14" t="n">
        <v>7762987.17</v>
      </c>
      <c r="GK74" s="14" t="n">
        <v>2504911.98</v>
      </c>
      <c r="GL74" s="15">
        <f>GH74+GI74+GJ74+GK74</f>
        <v/>
      </c>
      <c r="GM74" s="15">
        <f>GG74+GL74</f>
        <v/>
      </c>
      <c r="GN74" s="14" t="n">
        <v>749761</v>
      </c>
      <c r="GO74" s="14" t="n">
        <v>0</v>
      </c>
      <c r="GP74" s="14" t="n">
        <v>33936.4</v>
      </c>
      <c r="GQ74" s="14" t="n">
        <v>0</v>
      </c>
      <c r="GR74" s="15">
        <f>GN74+GO74+GP74+GQ74</f>
        <v/>
      </c>
      <c r="GS74" s="14" t="n">
        <v>1321640</v>
      </c>
      <c r="GT74" s="14" t="n">
        <v>0</v>
      </c>
      <c r="GU74" s="14" t="n">
        <v>8930</v>
      </c>
      <c r="GV74" s="14" t="n">
        <v>0</v>
      </c>
      <c r="GW74" s="15">
        <f>GS74+GT74+GU74+GV74</f>
        <v/>
      </c>
      <c r="GX74" s="15">
        <f>GM74+GR74+GW74</f>
        <v/>
      </c>
      <c r="GY74" s="14" t="n">
        <v>12396364.47000043</v>
      </c>
      <c r="GZ74" s="14" t="n">
        <v>320697681.0599999</v>
      </c>
      <c r="HA74" s="15">
        <f>GY74+GZ74</f>
        <v/>
      </c>
      <c r="HB74" s="15">
        <f>IF(GX74=0,"",AU74/GX74)</f>
        <v/>
      </c>
      <c r="HC74" s="16">
        <f>IF((GX74+GY74)=0,"",GB74/(GX74+GY74))</f>
        <v/>
      </c>
      <c r="HD74" s="15">
        <f>IF(GX74=0,"",GB74/GX74)</f>
        <v/>
      </c>
      <c r="HE74" s="14" t="n">
        <v>16</v>
      </c>
      <c r="HF74" s="14" t="n">
        <v>1</v>
      </c>
      <c r="HG74" s="14" t="n">
        <v>86</v>
      </c>
      <c r="HH74" s="14" t="n">
        <v>16</v>
      </c>
      <c r="HI74" s="14" t="n">
        <v>30</v>
      </c>
      <c r="HJ74" s="15">
        <f>HF74+HI74</f>
        <v/>
      </c>
      <c r="HK74" s="16">
        <f>IF(HE74=0,"",HH74/HE74)</f>
        <v/>
      </c>
      <c r="HL74" s="14" t="n">
        <v>56</v>
      </c>
      <c r="HM74" s="14" t="n">
        <v>24</v>
      </c>
      <c r="HN74" s="17">
        <f>IF(HL74=0,"",HM74/HL74)</f>
        <v/>
      </c>
    </row>
    <row r="75">
      <c r="A75" s="6" t="inlineStr">
        <is>
          <t>Mangochi</t>
        </is>
      </c>
      <c r="B75" s="6" t="inlineStr">
        <is>
          <t>Namwera</t>
        </is>
      </c>
      <c r="C75" s="7" t="inlineStr">
        <is>
          <t>FY2025/26</t>
        </is>
      </c>
      <c r="D75" s="7" t="n">
        <v>2025</v>
      </c>
      <c r="E75" s="7" t="n">
        <v>4</v>
      </c>
      <c r="F75" s="7" t="inlineStr">
        <is>
          <t>April</t>
        </is>
      </c>
      <c r="G75" s="7" t="inlineStr">
        <is>
          <t>Q1</t>
        </is>
      </c>
      <c r="H75" s="8" t="n">
        <v>1757</v>
      </c>
      <c r="I75" s="8" t="n">
        <v>7</v>
      </c>
      <c r="J75" s="8" t="n">
        <v>0</v>
      </c>
      <c r="K75" s="8" t="n">
        <v>1</v>
      </c>
      <c r="L75" s="8" t="n">
        <v>0</v>
      </c>
      <c r="M75" s="9">
        <f>SUM(I75,J75,K75,L75)</f>
        <v/>
      </c>
      <c r="N75" s="8" t="n">
        <v>1199</v>
      </c>
      <c r="O75" s="8" t="n">
        <v>0</v>
      </c>
      <c r="P75" s="8" t="n">
        <v>109</v>
      </c>
      <c r="Q75" s="8" t="n">
        <v>28</v>
      </c>
      <c r="R75" s="9">
        <f>SUM(N75,O75,P75,Q75)</f>
        <v/>
      </c>
      <c r="S75" s="9">
        <f>M75+R75</f>
        <v/>
      </c>
      <c r="T75" s="8" t="n">
        <v>413</v>
      </c>
      <c r="U75" s="10">
        <f>IF(H75=0,"",T75/H75)</f>
        <v/>
      </c>
      <c r="V75" s="8" t="n">
        <v>4</v>
      </c>
      <c r="W75" s="11">
        <f>IF(H75=0,"",V75/H75)</f>
        <v/>
      </c>
      <c r="X75" s="8" t="n">
        <v>0</v>
      </c>
      <c r="Y75" s="11">
        <f>IF(H75=0,"",X75/H75)</f>
        <v/>
      </c>
      <c r="Z75" s="8" t="n">
        <v>0</v>
      </c>
      <c r="AA75" s="11">
        <f>IF(H75=0,"",Z75/H75)</f>
        <v/>
      </c>
      <c r="AB75" s="8" t="n">
        <v>0</v>
      </c>
      <c r="AC75" s="11">
        <f>IF(H75=0,"",AB75/H75)</f>
        <v/>
      </c>
      <c r="AD75" s="8" t="n">
        <v>0</v>
      </c>
      <c r="AE75" s="11">
        <f>IF(H75=0,"",AD75/H75)</f>
        <v/>
      </c>
      <c r="AF75" s="8" t="n">
        <v>0</v>
      </c>
      <c r="AG75" s="11">
        <f>IF(H75=0,"",AF75/H75)</f>
        <v/>
      </c>
      <c r="AH75" s="8" t="n">
        <v>95716.39999999999</v>
      </c>
      <c r="AI75" s="9">
        <f>IF(H75=0,"",AH75/H75)</f>
        <v/>
      </c>
      <c r="AJ75" s="8" t="n">
        <v>3302</v>
      </c>
      <c r="AK75" s="11">
        <f>IF(H75=0,"",AJ75/H75)</f>
        <v/>
      </c>
      <c r="AL75" s="8" t="n">
        <v>571359.105</v>
      </c>
      <c r="AM75" s="9">
        <f>IF(H75=0,"",AL75/H75)</f>
        <v/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3854468.73</v>
      </c>
      <c r="AS75" s="8" t="n">
        <v>666562.8</v>
      </c>
      <c r="AT75" s="8" t="n">
        <v>180000</v>
      </c>
      <c r="AU75" s="9">
        <f>AH75+AL75+AP75+AQ75+AR75+AS75+AT75</f>
        <v/>
      </c>
      <c r="AV75" s="9">
        <f>IF(H75=0,"",AU75/H75)</f>
        <v/>
      </c>
      <c r="AW75" s="9">
        <f>IF(S75=0,"",AU75/S75)</f>
        <v/>
      </c>
      <c r="AX75" s="8" t="n">
        <v>3</v>
      </c>
      <c r="AY75" s="9">
        <f>IF(H75=0,"",AX75/(H75/1000/12))</f>
        <v/>
      </c>
      <c r="AZ75" s="8" t="n">
        <v>5</v>
      </c>
      <c r="BA75" s="8" t="n">
        <v>103</v>
      </c>
      <c r="BB75" s="8" t="n">
        <v>3</v>
      </c>
      <c r="BC75" s="8" t="n">
        <v>0</v>
      </c>
      <c r="BD75" s="8" t="n">
        <v>3</v>
      </c>
      <c r="BE75" s="9">
        <f>BC75+BD75</f>
        <v/>
      </c>
      <c r="BF75" s="9">
        <f>BA75+BB75-BE75</f>
        <v/>
      </c>
      <c r="BG75" s="8" t="n">
        <v>0</v>
      </c>
      <c r="BH75" s="8" t="n">
        <v>0</v>
      </c>
      <c r="BI75" s="8" t="n">
        <v>0</v>
      </c>
      <c r="BJ75" s="8" t="n">
        <v>0</v>
      </c>
      <c r="BK75" s="9">
        <f>BI75+BJ75</f>
        <v/>
      </c>
      <c r="BL75" s="9">
        <f>BG75+BH75-BK75</f>
        <v/>
      </c>
      <c r="BM75" s="8" t="n">
        <v>0</v>
      </c>
      <c r="BN75" s="8" t="n">
        <v>0</v>
      </c>
      <c r="BO75" s="8" t="n">
        <v>0</v>
      </c>
      <c r="BP75" s="8" t="n">
        <v>0</v>
      </c>
      <c r="BQ75" s="9">
        <f>BO75+BP75</f>
        <v/>
      </c>
      <c r="BR75" s="9">
        <f>BM75+BN75-BQ75</f>
        <v/>
      </c>
      <c r="BS75" s="8" t="n">
        <v>0</v>
      </c>
      <c r="BT75" s="8" t="n">
        <v>0</v>
      </c>
      <c r="BU75" s="8" t="n">
        <v>0</v>
      </c>
      <c r="BV75" s="8" t="n">
        <v>0</v>
      </c>
      <c r="BW75" s="9">
        <f>BU75+BV75</f>
        <v/>
      </c>
      <c r="BX75" s="9">
        <f>BS75+BT75-BW75</f>
        <v/>
      </c>
      <c r="BY75" s="9">
        <f>BA75+BG75+BM75+BS75</f>
        <v/>
      </c>
      <c r="BZ75" s="9">
        <f>BB75+BH75+BN75+BT75</f>
        <v/>
      </c>
      <c r="CA75" s="9">
        <f>BE75+BK75+BQ75+BW75</f>
        <v/>
      </c>
      <c r="CB75" s="9">
        <f>BF75+BL75+BR75+BX75</f>
        <v/>
      </c>
      <c r="CC75" s="8" t="n">
        <v>3</v>
      </c>
      <c r="CD75" s="8" t="n">
        <v>248</v>
      </c>
      <c r="CE75" s="8" t="n">
        <v>0</v>
      </c>
      <c r="CF75" s="8" t="n">
        <v>0</v>
      </c>
      <c r="CG75" s="8" t="n">
        <v>0</v>
      </c>
      <c r="CH75" s="9">
        <f>CD75+CE75+CF75+CG75</f>
        <v/>
      </c>
      <c r="CI75" s="8" t="n">
        <v>3</v>
      </c>
      <c r="CJ75" s="8" t="n">
        <v>1</v>
      </c>
      <c r="CK75" s="8" t="n">
        <v>0</v>
      </c>
      <c r="CL75" s="8" t="n">
        <v>0</v>
      </c>
      <c r="CM75" s="9">
        <f>CI75+CJ75+CK75+CL75</f>
        <v/>
      </c>
      <c r="CN75" s="8" t="n">
        <v>667</v>
      </c>
      <c r="CO75" s="8" t="n">
        <v>26</v>
      </c>
      <c r="CP75" s="8" t="n">
        <v>9</v>
      </c>
      <c r="CQ75" s="8" t="n">
        <v>3</v>
      </c>
      <c r="CR75" s="9">
        <f>CN75+CO75+CP75+CQ75</f>
        <v/>
      </c>
      <c r="CS75" s="9">
        <f>CM75+CR75</f>
        <v/>
      </c>
      <c r="CT75" s="8" t="n">
        <v>957</v>
      </c>
      <c r="CU75" s="8" t="n">
        <v>9143</v>
      </c>
      <c r="CV75" s="8" t="n">
        <v>6421</v>
      </c>
      <c r="CW75" s="10">
        <f>IF(CU75=0,"",CV75/CU75)</f>
        <v/>
      </c>
      <c r="CX75" s="8" t="n"/>
      <c r="CY75" s="8" t="n"/>
      <c r="CZ75" s="8" t="n"/>
      <c r="DA75" s="8" t="n"/>
      <c r="DB75" s="9">
        <f>CX75+CY75-CZ75-DA75</f>
        <v/>
      </c>
      <c r="DC75" s="8" t="n">
        <v>0</v>
      </c>
      <c r="DD75" s="8" t="n">
        <v>0</v>
      </c>
      <c r="DE75" s="8" t="n">
        <v>0</v>
      </c>
      <c r="DF75" s="8" t="n">
        <v>0</v>
      </c>
      <c r="DG75" s="9">
        <f>DC75+DD75-DE75-DF75</f>
        <v/>
      </c>
      <c r="DH75" s="8" t="n">
        <v>0</v>
      </c>
      <c r="DI75" s="8" t="n">
        <v>0</v>
      </c>
      <c r="DJ75" s="8" t="n">
        <v>0</v>
      </c>
      <c r="DK75" s="8" t="n">
        <v>0</v>
      </c>
      <c r="DL75" s="9">
        <f>DH75+DI75-DJ75-DK75</f>
        <v/>
      </c>
      <c r="DM75" s="8" t="n">
        <v>0</v>
      </c>
      <c r="DN75" s="8" t="n">
        <v>0</v>
      </c>
      <c r="DO75" s="8" t="n">
        <v>0</v>
      </c>
      <c r="DP75" s="8" t="n">
        <v>0</v>
      </c>
      <c r="DQ75" s="9">
        <f>DM75+DN75-DO75-DP75</f>
        <v/>
      </c>
      <c r="DR75" s="9">
        <f>CX75+DC75+DH75+DM75</f>
        <v/>
      </c>
      <c r="DS75" s="9">
        <f>CY75+DD75+DI75+DN75</f>
        <v/>
      </c>
      <c r="DT75" s="9">
        <f>CZ75+DE75+DJ75+DO75</f>
        <v/>
      </c>
      <c r="DU75" s="9">
        <f>DA75+DF75+DK75+DP75</f>
        <v/>
      </c>
      <c r="DV75" s="9">
        <f>DB75+DG75+DL75+DQ75</f>
        <v/>
      </c>
      <c r="DW75" s="8" t="n">
        <v>14</v>
      </c>
      <c r="DX75" s="8" t="n">
        <v>8</v>
      </c>
      <c r="DY75" s="8" t="n">
        <v>4</v>
      </c>
      <c r="DZ75" s="8" t="n">
        <v>0</v>
      </c>
      <c r="EA75" s="8" t="n">
        <v>1</v>
      </c>
      <c r="EB75" s="8" t="n">
        <v>2</v>
      </c>
      <c r="EC75" s="8" t="n">
        <v>0</v>
      </c>
      <c r="ED75" s="8" t="n">
        <v>0</v>
      </c>
      <c r="EE75" s="8" t="n">
        <v>0</v>
      </c>
      <c r="EF75" s="8" t="n">
        <v>0</v>
      </c>
      <c r="EG75" s="8" t="n">
        <v>0</v>
      </c>
      <c r="EH75" s="8" t="n">
        <v>0</v>
      </c>
      <c r="EI75" s="8" t="n">
        <v>0</v>
      </c>
      <c r="EJ75" s="8" t="n">
        <v>0</v>
      </c>
      <c r="EK75" s="8" t="n">
        <v>0</v>
      </c>
      <c r="EL75" s="8" t="n">
        <v>0</v>
      </c>
      <c r="EM75" s="8" t="n">
        <v>0</v>
      </c>
      <c r="EN75" s="8" t="n">
        <v>0</v>
      </c>
      <c r="EO75" s="8" t="n">
        <v>0</v>
      </c>
      <c r="EP75" s="8" t="n">
        <v>0</v>
      </c>
      <c r="EQ75" s="8" t="n">
        <v>0</v>
      </c>
      <c r="ER75" s="8" t="n">
        <v>0</v>
      </c>
      <c r="ES75" s="8" t="n">
        <v>0</v>
      </c>
      <c r="ET75" s="8" t="n">
        <v>0</v>
      </c>
      <c r="EU75" s="8" t="n">
        <v>0</v>
      </c>
      <c r="EV75" s="8" t="n">
        <v>0</v>
      </c>
      <c r="EW75" s="8" t="n">
        <v>0</v>
      </c>
      <c r="EX75" s="8" t="n">
        <v>0</v>
      </c>
      <c r="EY75" s="8" t="n">
        <v>0</v>
      </c>
      <c r="EZ75" s="8" t="n">
        <v>0</v>
      </c>
      <c r="FA75" s="8" t="n">
        <v>0</v>
      </c>
      <c r="FB75" s="8" t="n">
        <v>0</v>
      </c>
      <c r="FC75" s="8" t="n">
        <v>0</v>
      </c>
      <c r="FD75" s="8" t="n">
        <v>0</v>
      </c>
      <c r="FE75" s="8" t="n">
        <v>0</v>
      </c>
      <c r="FF75" s="8" t="n">
        <v>0</v>
      </c>
      <c r="FG75" s="9">
        <f>SUM(DW75,DX75,DY75,DZ75,EA75,EB75,EC75,ED75,EE75,EF75,EG75,EH75,EI75,EJ75,EK75,EL75,EM75,EN75,EO75,EP75,EQ75,ER75,ES75,ET75,EU75,EV75,EW75,EX75,EY75,EZ75,FA75,FB75,FC75,FD75,FE75,FF75)</f>
        <v/>
      </c>
      <c r="FH75" s="8" t="n">
        <v>1</v>
      </c>
      <c r="FI75" s="8" t="n">
        <v>528</v>
      </c>
      <c r="FJ75" s="8" t="n">
        <v>24</v>
      </c>
      <c r="FK75" s="8" t="n">
        <v>192</v>
      </c>
      <c r="FL75" s="8" t="n">
        <v>0</v>
      </c>
      <c r="FM75" s="8" t="n">
        <v>0</v>
      </c>
      <c r="FN75" s="8" t="n">
        <v>0</v>
      </c>
      <c r="FO75" s="8" t="n">
        <v>0</v>
      </c>
      <c r="FP75" s="8" t="n">
        <v>0</v>
      </c>
      <c r="FQ75" s="9">
        <f>FL75+FM75+FN75+FO75+FP75</f>
        <v/>
      </c>
      <c r="FR75" s="8" t="n">
        <v>249968</v>
      </c>
      <c r="FS75" s="8" t="n">
        <v>0</v>
      </c>
      <c r="FT75" s="8" t="n">
        <v>0</v>
      </c>
      <c r="FU75" s="8" t="n">
        <v>0</v>
      </c>
      <c r="FV75" s="9">
        <f>FR75+FS75+FT75+FU75</f>
        <v/>
      </c>
      <c r="FW75" s="8" t="n">
        <v>4068723</v>
      </c>
      <c r="FX75" s="8" t="n">
        <v>0</v>
      </c>
      <c r="FY75" s="8" t="n">
        <v>92200</v>
      </c>
      <c r="FZ75" s="8" t="n">
        <v>1596500</v>
      </c>
      <c r="GA75" s="9">
        <f>FW75+FX75+FY75+FZ75</f>
        <v/>
      </c>
      <c r="GB75" s="9">
        <f>FV75+GA75</f>
        <v/>
      </c>
      <c r="GC75" s="8" t="n">
        <v>6680.5</v>
      </c>
      <c r="GD75" s="8" t="n">
        <v>0</v>
      </c>
      <c r="GE75" s="8" t="n">
        <v>8410.99</v>
      </c>
      <c r="GF75" s="8" t="n">
        <v>0</v>
      </c>
      <c r="GG75" s="9">
        <f>GC75+GD75+GE75+GF75</f>
        <v/>
      </c>
      <c r="GH75" s="8" t="n">
        <v>2533859</v>
      </c>
      <c r="GI75" s="8" t="n">
        <v>0</v>
      </c>
      <c r="GJ75" s="8" t="n">
        <v>1596500</v>
      </c>
      <c r="GK75" s="8" t="n">
        <v>92200</v>
      </c>
      <c r="GL75" s="9">
        <f>GH75+GI75+GJ75+GK75</f>
        <v/>
      </c>
      <c r="GM75" s="9">
        <f>GG75+GL75</f>
        <v/>
      </c>
      <c r="GN75" s="8" t="n">
        <v>1315</v>
      </c>
      <c r="GO75" s="8" t="n">
        <v>0</v>
      </c>
      <c r="GP75" s="8" t="n">
        <v>3393.64</v>
      </c>
      <c r="GQ75" s="8" t="n">
        <v>0</v>
      </c>
      <c r="GR75" s="9">
        <f>GN75+GO75+GP75+GQ75</f>
        <v/>
      </c>
      <c r="GS75" s="8" t="n">
        <v>1786</v>
      </c>
      <c r="GT75" s="8" t="n">
        <v>0</v>
      </c>
      <c r="GU75" s="8" t="n">
        <v>893</v>
      </c>
      <c r="GV75" s="8" t="n">
        <v>0</v>
      </c>
      <c r="GW75" s="9">
        <f>GS75+GT75+GU75+GV75</f>
        <v/>
      </c>
      <c r="GX75" s="9">
        <f>GM75+GR75+GW75</f>
        <v/>
      </c>
      <c r="GY75" s="8" t="n">
        <v>-1190666.719999998</v>
      </c>
      <c r="GZ75" s="8" t="n">
        <v>68247421.82000007</v>
      </c>
      <c r="HA75" s="9">
        <f>GY75+GZ75</f>
        <v/>
      </c>
      <c r="HB75" s="9">
        <f>IF(GX75=0,"",AU75/GX75)</f>
        <v/>
      </c>
      <c r="HC75" s="10">
        <f>IF((GX75+GY75)=0,"",GB75/(GX75+GY75))</f>
        <v/>
      </c>
      <c r="HD75" s="9">
        <f>IF(GX75=0,"",GB75/GX75)</f>
        <v/>
      </c>
      <c r="HE75" s="8" t="n">
        <v>2</v>
      </c>
      <c r="HF75" s="8" t="n">
        <v>1</v>
      </c>
      <c r="HG75" s="8" t="n">
        <v>103</v>
      </c>
      <c r="HH75" s="8" t="n">
        <v>3</v>
      </c>
      <c r="HI75" s="8" t="n">
        <v>0</v>
      </c>
      <c r="HJ75" s="9">
        <f>HF75+HI75</f>
        <v/>
      </c>
      <c r="HK75" s="10">
        <f>IF(HE75=0,"",HH75/HE75)</f>
        <v/>
      </c>
      <c r="HL75" s="8" t="n">
        <v>10</v>
      </c>
      <c r="HM75" s="8" t="n">
        <v>1</v>
      </c>
      <c r="HN75" s="11">
        <f>IF(HL75=0,"",HM75/HL75)</f>
        <v/>
      </c>
    </row>
    <row r="76">
      <c r="A76" s="12" t="inlineStr">
        <is>
          <t>Mangochi</t>
        </is>
      </c>
      <c r="B76" s="12" t="inlineStr">
        <is>
          <t>Namwera</t>
        </is>
      </c>
      <c r="C76" s="13" t="inlineStr">
        <is>
          <t>FY2025/26</t>
        </is>
      </c>
      <c r="D76" s="13" t="n">
        <v>2025</v>
      </c>
      <c r="E76" s="13" t="n">
        <v>5</v>
      </c>
      <c r="F76" s="13" t="inlineStr">
        <is>
          <t>May</t>
        </is>
      </c>
      <c r="G76" s="13" t="inlineStr">
        <is>
          <t>Q1</t>
        </is>
      </c>
      <c r="H76" s="14" t="n">
        <v>3564</v>
      </c>
      <c r="I76" s="14" t="n">
        <v>11</v>
      </c>
      <c r="J76" s="14" t="n">
        <v>0</v>
      </c>
      <c r="K76" s="14" t="n">
        <v>1</v>
      </c>
      <c r="L76" s="14" t="n">
        <v>0</v>
      </c>
      <c r="M76" s="15">
        <f>SUM(I76,J76,K76,L76)</f>
        <v/>
      </c>
      <c r="N76" s="14" t="n">
        <v>2934</v>
      </c>
      <c r="O76" s="14" t="n">
        <v>0</v>
      </c>
      <c r="P76" s="14" t="n">
        <v>275</v>
      </c>
      <c r="Q76" s="14" t="n">
        <v>72</v>
      </c>
      <c r="R76" s="15">
        <f>SUM(N76,O76,P76,Q76)</f>
        <v/>
      </c>
      <c r="S76" s="15">
        <f>M76+R76</f>
        <v/>
      </c>
      <c r="T76" s="14" t="n">
        <v>271</v>
      </c>
      <c r="U76" s="16">
        <f>IF(H76=0,"",T76/H76)</f>
        <v/>
      </c>
      <c r="V76" s="14" t="n">
        <v>4</v>
      </c>
      <c r="W76" s="17">
        <f>IF(H76=0,"",V76/H76)</f>
        <v/>
      </c>
      <c r="X76" s="14" t="n">
        <v>0</v>
      </c>
      <c r="Y76" s="17">
        <f>IF(H76=0,"",X76/H76)</f>
        <v/>
      </c>
      <c r="Z76" s="14" t="n">
        <v>0</v>
      </c>
      <c r="AA76" s="17">
        <f>IF(H76=0,"",Z76/H76)</f>
        <v/>
      </c>
      <c r="AB76" s="14" t="n">
        <v>0</v>
      </c>
      <c r="AC76" s="17">
        <f>IF(H76=0,"",AB76/H76)</f>
        <v/>
      </c>
      <c r="AD76" s="14" t="n">
        <v>0</v>
      </c>
      <c r="AE76" s="17">
        <f>IF(H76=0,"",AD76/H76)</f>
        <v/>
      </c>
      <c r="AF76" s="14" t="n">
        <v>0</v>
      </c>
      <c r="AG76" s="17">
        <f>IF(H76=0,"",AF76/H76)</f>
        <v/>
      </c>
      <c r="AH76" s="14" t="n">
        <v>95716.39999999999</v>
      </c>
      <c r="AI76" s="15">
        <f>IF(H76=0,"",AH76/H76)</f>
        <v/>
      </c>
      <c r="AJ76" s="14" t="n">
        <v>3606</v>
      </c>
      <c r="AK76" s="17">
        <f>IF(H76=0,"",AJ76/H76)</f>
        <v/>
      </c>
      <c r="AL76" s="14" t="n">
        <v>622181.0649999999</v>
      </c>
      <c r="AM76" s="15">
        <f>IF(H76=0,"",AL76/H76)</f>
        <v/>
      </c>
      <c r="AN76" s="14" t="n">
        <v>0</v>
      </c>
      <c r="AO76" s="14" t="n">
        <v>0</v>
      </c>
      <c r="AP76" s="14" t="n">
        <v>0</v>
      </c>
      <c r="AQ76" s="14" t="n">
        <v>0</v>
      </c>
      <c r="AR76" s="14" t="n">
        <v>3756202.85</v>
      </c>
      <c r="AS76" s="14" t="n">
        <v>554279.09</v>
      </c>
      <c r="AT76" s="14" t="n">
        <v>183100</v>
      </c>
      <c r="AU76" s="15">
        <f>AH76+AL76+AP76+AQ76+AR76+AS76+AT76</f>
        <v/>
      </c>
      <c r="AV76" s="15">
        <f>IF(H76=0,"",AU76/H76)</f>
        <v/>
      </c>
      <c r="AW76" s="15">
        <f>IF(S76=0,"",AU76/S76)</f>
        <v/>
      </c>
      <c r="AX76" s="14" t="n">
        <v>3</v>
      </c>
      <c r="AY76" s="15">
        <f>IF(H76=0,"",AX76/(H76/1000/12))</f>
        <v/>
      </c>
      <c r="AZ76" s="14" t="n">
        <v>5</v>
      </c>
      <c r="BA76" s="14" t="n">
        <v>103</v>
      </c>
      <c r="BB76" s="14" t="n">
        <v>4</v>
      </c>
      <c r="BC76" s="14" t="n">
        <v>1</v>
      </c>
      <c r="BD76" s="14" t="n">
        <v>10</v>
      </c>
      <c r="BE76" s="15">
        <f>BC76+BD76</f>
        <v/>
      </c>
      <c r="BF76" s="15">
        <f>BA76+BB76-BE76</f>
        <v/>
      </c>
      <c r="BG76" s="14" t="n">
        <v>0</v>
      </c>
      <c r="BH76" s="14" t="n">
        <v>0</v>
      </c>
      <c r="BI76" s="14" t="n">
        <v>0</v>
      </c>
      <c r="BJ76" s="14" t="n">
        <v>0</v>
      </c>
      <c r="BK76" s="15">
        <f>BI76+BJ76</f>
        <v/>
      </c>
      <c r="BL76" s="15">
        <f>BG76+BH76-BK76</f>
        <v/>
      </c>
      <c r="BM76" s="14" t="n">
        <v>0</v>
      </c>
      <c r="BN76" s="14" t="n">
        <v>0</v>
      </c>
      <c r="BO76" s="14" t="n">
        <v>0</v>
      </c>
      <c r="BP76" s="14" t="n">
        <v>0</v>
      </c>
      <c r="BQ76" s="15">
        <f>BO76+BP76</f>
        <v/>
      </c>
      <c r="BR76" s="15">
        <f>BM76+BN76-BQ76</f>
        <v/>
      </c>
      <c r="BS76" s="14" t="n">
        <v>0</v>
      </c>
      <c r="BT76" s="14" t="n">
        <v>0</v>
      </c>
      <c r="BU76" s="14" t="n">
        <v>0</v>
      </c>
      <c r="BV76" s="14" t="n">
        <v>0</v>
      </c>
      <c r="BW76" s="15">
        <f>BU76+BV76</f>
        <v/>
      </c>
      <c r="BX76" s="15">
        <f>BS76+BT76-BW76</f>
        <v/>
      </c>
      <c r="BY76" s="15">
        <f>BA76+BG76+BM76+BS76</f>
        <v/>
      </c>
      <c r="BZ76" s="15">
        <f>BB76+BH76+BN76+BT76</f>
        <v/>
      </c>
      <c r="CA76" s="15">
        <f>BE76+BK76+BQ76+BW76</f>
        <v/>
      </c>
      <c r="CB76" s="15">
        <f>BF76+BL76+BR76+BX76</f>
        <v/>
      </c>
      <c r="CC76" s="14" t="n">
        <v>15</v>
      </c>
      <c r="CD76" s="14" t="n">
        <v>248</v>
      </c>
      <c r="CE76" s="14" t="n">
        <v>0</v>
      </c>
      <c r="CF76" s="14" t="n">
        <v>0</v>
      </c>
      <c r="CG76" s="14" t="n">
        <v>0</v>
      </c>
      <c r="CH76" s="15">
        <f>CD76+CE76+CF76+CG76</f>
        <v/>
      </c>
      <c r="CI76" s="14" t="n">
        <v>3</v>
      </c>
      <c r="CJ76" s="14" t="n">
        <v>1</v>
      </c>
      <c r="CK76" s="14" t="n">
        <v>0</v>
      </c>
      <c r="CL76" s="14" t="n">
        <v>0</v>
      </c>
      <c r="CM76" s="15">
        <f>CI76+CJ76+CK76+CL76</f>
        <v/>
      </c>
      <c r="CN76" s="14" t="n">
        <v>679</v>
      </c>
      <c r="CO76" s="14" t="n">
        <v>26</v>
      </c>
      <c r="CP76" s="14" t="n">
        <v>9</v>
      </c>
      <c r="CQ76" s="14" t="n">
        <v>2</v>
      </c>
      <c r="CR76" s="15">
        <f>CN76+CO76+CP76+CQ76</f>
        <v/>
      </c>
      <c r="CS76" s="15">
        <f>CM76+CR76</f>
        <v/>
      </c>
      <c r="CT76" s="14" t="n">
        <v>968</v>
      </c>
      <c r="CU76" s="14" t="n">
        <v>9158</v>
      </c>
      <c r="CV76" s="14" t="n">
        <v>6476</v>
      </c>
      <c r="CW76" s="16">
        <f>IF(CU76=0,"",CV76/CU76)</f>
        <v/>
      </c>
      <c r="CX76" s="14" t="n"/>
      <c r="CY76" s="14" t="n"/>
      <c r="CZ76" s="14" t="n"/>
      <c r="DA76" s="14" t="n"/>
      <c r="DB76" s="15">
        <f>CX76+CY76-CZ76-DA76</f>
        <v/>
      </c>
      <c r="DC76" s="14" t="n">
        <v>0</v>
      </c>
      <c r="DD76" s="14" t="n">
        <v>0</v>
      </c>
      <c r="DE76" s="14" t="n">
        <v>0</v>
      </c>
      <c r="DF76" s="14" t="n">
        <v>0</v>
      </c>
      <c r="DG76" s="15">
        <f>DC76+DD76-DE76-DF76</f>
        <v/>
      </c>
      <c r="DH76" s="14" t="n">
        <v>0</v>
      </c>
      <c r="DI76" s="14" t="n">
        <v>0</v>
      </c>
      <c r="DJ76" s="14" t="n">
        <v>0</v>
      </c>
      <c r="DK76" s="14" t="n">
        <v>0</v>
      </c>
      <c r="DL76" s="15">
        <f>DH76+DI76-DJ76-DK76</f>
        <v/>
      </c>
      <c r="DM76" s="14" t="n">
        <v>0</v>
      </c>
      <c r="DN76" s="14" t="n">
        <v>0</v>
      </c>
      <c r="DO76" s="14" t="n">
        <v>0</v>
      </c>
      <c r="DP76" s="14" t="n">
        <v>0</v>
      </c>
      <c r="DQ76" s="15">
        <f>DM76+DN76-DO76-DP76</f>
        <v/>
      </c>
      <c r="DR76" s="15">
        <f>CX76+DC76+DH76+DM76</f>
        <v/>
      </c>
      <c r="DS76" s="15">
        <f>CY76+DD76+DI76+DN76</f>
        <v/>
      </c>
      <c r="DT76" s="15">
        <f>CZ76+DE76+DJ76+DO76</f>
        <v/>
      </c>
      <c r="DU76" s="15">
        <f>DA76+DF76+DK76+DP76</f>
        <v/>
      </c>
      <c r="DV76" s="15">
        <f>DB76+DG76+DL76+DQ76</f>
        <v/>
      </c>
      <c r="DW76" s="14" t="n">
        <v>21</v>
      </c>
      <c r="DX76" s="14" t="n">
        <v>18</v>
      </c>
      <c r="DY76" s="14" t="n">
        <v>5</v>
      </c>
      <c r="DZ76" s="14" t="n">
        <v>0</v>
      </c>
      <c r="EA76" s="14" t="n">
        <v>3</v>
      </c>
      <c r="EB76" s="14" t="n">
        <v>0</v>
      </c>
      <c r="EC76" s="14" t="n">
        <v>0</v>
      </c>
      <c r="ED76" s="14" t="n">
        <v>0</v>
      </c>
      <c r="EE76" s="14" t="n">
        <v>0</v>
      </c>
      <c r="EF76" s="14" t="n">
        <v>0</v>
      </c>
      <c r="EG76" s="14" t="n">
        <v>0</v>
      </c>
      <c r="EH76" s="14" t="n">
        <v>0</v>
      </c>
      <c r="EI76" s="14" t="n">
        <v>0</v>
      </c>
      <c r="EJ76" s="14" t="n">
        <v>0</v>
      </c>
      <c r="EK76" s="14" t="n">
        <v>0</v>
      </c>
      <c r="EL76" s="14" t="n">
        <v>0</v>
      </c>
      <c r="EM76" s="14" t="n">
        <v>0</v>
      </c>
      <c r="EN76" s="14" t="n">
        <v>0</v>
      </c>
      <c r="EO76" s="14" t="n">
        <v>0</v>
      </c>
      <c r="EP76" s="14" t="n">
        <v>0</v>
      </c>
      <c r="EQ76" s="14" t="n">
        <v>0</v>
      </c>
      <c r="ER76" s="14" t="n">
        <v>0</v>
      </c>
      <c r="ES76" s="14" t="n">
        <v>0</v>
      </c>
      <c r="ET76" s="14" t="n">
        <v>0</v>
      </c>
      <c r="EU76" s="14" t="n">
        <v>0</v>
      </c>
      <c r="EV76" s="14" t="n">
        <v>0</v>
      </c>
      <c r="EW76" s="14" t="n">
        <v>0</v>
      </c>
      <c r="EX76" s="14" t="n">
        <v>0</v>
      </c>
      <c r="EY76" s="14" t="n">
        <v>0</v>
      </c>
      <c r="EZ76" s="14" t="n">
        <v>0</v>
      </c>
      <c r="FA76" s="14" t="n">
        <v>0</v>
      </c>
      <c r="FB76" s="14" t="n">
        <v>0</v>
      </c>
      <c r="FC76" s="14" t="n">
        <v>0</v>
      </c>
      <c r="FD76" s="14" t="n">
        <v>0</v>
      </c>
      <c r="FE76" s="14" t="n">
        <v>0</v>
      </c>
      <c r="FF76" s="14" t="n">
        <v>0</v>
      </c>
      <c r="FG76" s="15">
        <f>SUM(DW76,DX76,DY76,DZ76,EA76,EB76,EC76,ED76,EE76,EF76,EG76,EH76,EI76,EJ76,EK76,EL76,EM76,EN76,EO76,EP76,EQ76,ER76,ES76,ET76,EU76,EV76,EW76,EX76,EY76,EZ76,FA76,FB76,FC76,FD76,FE76,FF76)</f>
        <v/>
      </c>
      <c r="FH76" s="14" t="n">
        <v>1</v>
      </c>
      <c r="FI76" s="14" t="n">
        <v>600</v>
      </c>
      <c r="FJ76" s="14" t="n">
        <v>24</v>
      </c>
      <c r="FK76" s="14" t="n">
        <v>144</v>
      </c>
      <c r="FL76" s="14" t="n">
        <v>0</v>
      </c>
      <c r="FM76" s="14" t="n">
        <v>0</v>
      </c>
      <c r="FN76" s="14" t="n">
        <v>0</v>
      </c>
      <c r="FO76" s="14" t="n">
        <v>0</v>
      </c>
      <c r="FP76" s="14" t="n">
        <v>0</v>
      </c>
      <c r="FQ76" s="15">
        <f>FL76+FM76+FN76+FO76+FP76</f>
        <v/>
      </c>
      <c r="FR76" s="14" t="n">
        <v>211684.44</v>
      </c>
      <c r="FS76" s="14" t="n">
        <v>0</v>
      </c>
      <c r="FT76" s="14" t="n">
        <v>0</v>
      </c>
      <c r="FU76" s="14" t="n">
        <v>0</v>
      </c>
      <c r="FV76" s="15">
        <f>FR76+FS76+FT76+FU76</f>
        <v/>
      </c>
      <c r="FW76" s="14" t="n">
        <v>4662955</v>
      </c>
      <c r="FX76" s="14" t="n">
        <v>0</v>
      </c>
      <c r="FY76" s="14" t="n">
        <v>71400</v>
      </c>
      <c r="FZ76" s="14" t="n">
        <v>2002000</v>
      </c>
      <c r="GA76" s="15">
        <f>FW76+FX76+FY76+FZ76</f>
        <v/>
      </c>
      <c r="GB76" s="15">
        <f>FV76+GA76</f>
        <v/>
      </c>
      <c r="GC76" s="14" t="n">
        <v>10900.48</v>
      </c>
      <c r="GD76" s="14" t="n">
        <v>0</v>
      </c>
      <c r="GE76" s="14" t="n">
        <v>8410.99</v>
      </c>
      <c r="GF76" s="14" t="n">
        <v>0</v>
      </c>
      <c r="GG76" s="15">
        <f>GC76+GD76+GE76+GF76</f>
        <v/>
      </c>
      <c r="GH76" s="14" t="n">
        <v>3127303.42</v>
      </c>
      <c r="GI76" s="14" t="n">
        <v>0</v>
      </c>
      <c r="GJ76" s="14" t="n">
        <v>2002000</v>
      </c>
      <c r="GK76" s="14" t="n">
        <v>71400</v>
      </c>
      <c r="GL76" s="15">
        <f>GH76+GI76+GJ76+GK76</f>
        <v/>
      </c>
      <c r="GM76" s="15">
        <f>GG76+GL76</f>
        <v/>
      </c>
      <c r="GN76" s="14" t="n">
        <v>1860</v>
      </c>
      <c r="GO76" s="14" t="n">
        <v>0</v>
      </c>
      <c r="GP76" s="14" t="n">
        <v>3393.64</v>
      </c>
      <c r="GQ76" s="14" t="n">
        <v>0</v>
      </c>
      <c r="GR76" s="15">
        <f>GN76+GO76+GP76+GQ76</f>
        <v/>
      </c>
      <c r="GS76" s="14" t="n">
        <v>2679</v>
      </c>
      <c r="GT76" s="14" t="n">
        <v>0</v>
      </c>
      <c r="GU76" s="14" t="n">
        <v>893</v>
      </c>
      <c r="GV76" s="14" t="n">
        <v>0</v>
      </c>
      <c r="GW76" s="15">
        <f>GS76+GT76+GU76+GV76</f>
        <v/>
      </c>
      <c r="GX76" s="15">
        <f>GM76+GR76+GW76</f>
        <v/>
      </c>
      <c r="GY76" s="14" t="n">
        <v>-1185902.959999963</v>
      </c>
      <c r="GZ76" s="14" t="n">
        <v>68059110.38000004</v>
      </c>
      <c r="HA76" s="15">
        <f>GY76+GZ76</f>
        <v/>
      </c>
      <c r="HB76" s="15">
        <f>IF(GX76=0,"",AU76/GX76)</f>
        <v/>
      </c>
      <c r="HC76" s="16">
        <f>IF((GX76+GY76)=0,"",GB76/(GX76+GY76))</f>
        <v/>
      </c>
      <c r="HD76" s="15">
        <f>IF(GX76=0,"",GB76/GX76)</f>
        <v/>
      </c>
      <c r="HE76" s="14" t="n">
        <v>4</v>
      </c>
      <c r="HF76" s="14" t="n">
        <v>1</v>
      </c>
      <c r="HG76" s="14" t="n">
        <v>96</v>
      </c>
      <c r="HH76" s="14" t="n">
        <v>4</v>
      </c>
      <c r="HI76" s="14" t="n">
        <v>0</v>
      </c>
      <c r="HJ76" s="15">
        <f>HF76+HI76</f>
        <v/>
      </c>
      <c r="HK76" s="16">
        <f>IF(HE76=0,"",HH76/HE76)</f>
        <v/>
      </c>
      <c r="HL76" s="14" t="n">
        <v>11</v>
      </c>
      <c r="HM76" s="14" t="n">
        <v>11</v>
      </c>
      <c r="HN76" s="17">
        <f>IF(HL76=0,"",HM76/HL76)</f>
        <v/>
      </c>
    </row>
    <row r="77">
      <c r="A77" s="6" t="inlineStr">
        <is>
          <t>Mangochi</t>
        </is>
      </c>
      <c r="B77" s="6" t="inlineStr">
        <is>
          <t>Namwera</t>
        </is>
      </c>
      <c r="C77" s="7" t="inlineStr">
        <is>
          <t>FY2025/26</t>
        </is>
      </c>
      <c r="D77" s="7" t="n">
        <v>2025</v>
      </c>
      <c r="E77" s="7" t="n">
        <v>6</v>
      </c>
      <c r="F77" s="7" t="inlineStr">
        <is>
          <t>June</t>
        </is>
      </c>
      <c r="G77" s="7" t="inlineStr">
        <is>
          <t>Q1</t>
        </is>
      </c>
      <c r="H77" s="8" t="n">
        <v>3763</v>
      </c>
      <c r="I77" s="8" t="n">
        <v>8</v>
      </c>
      <c r="J77" s="8" t="n">
        <v>0</v>
      </c>
      <c r="K77" s="8" t="n">
        <v>5</v>
      </c>
      <c r="L77" s="8" t="n">
        <v>0</v>
      </c>
      <c r="M77" s="9">
        <f>SUM(I77,J77,K77,L77)</f>
        <v/>
      </c>
      <c r="N77" s="8" t="n">
        <v>2445.3</v>
      </c>
      <c r="O77" s="8" t="n">
        <v>0</v>
      </c>
      <c r="P77" s="8" t="n">
        <v>67.2</v>
      </c>
      <c r="Q77" s="8" t="n">
        <v>14.5</v>
      </c>
      <c r="R77" s="9">
        <f>SUM(N77,O77,P77,Q77)</f>
        <v/>
      </c>
      <c r="S77" s="9">
        <f>M77+R77</f>
        <v/>
      </c>
      <c r="T77" s="8" t="n">
        <v>1223</v>
      </c>
      <c r="U77" s="10">
        <f>IF(H77=0,"",T77/H77)</f>
        <v/>
      </c>
      <c r="V77" s="8" t="n">
        <v>4</v>
      </c>
      <c r="W77" s="11">
        <f>IF(H77=0,"",V77/H77)</f>
        <v/>
      </c>
      <c r="X77" s="8" t="n">
        <v>0</v>
      </c>
      <c r="Y77" s="11">
        <f>IF(H77=0,"",X77/H77)</f>
        <v/>
      </c>
      <c r="Z77" s="8" t="n">
        <v>0</v>
      </c>
      <c r="AA77" s="11">
        <f>IF(H77=0,"",Z77/H77)</f>
        <v/>
      </c>
      <c r="AB77" s="8" t="n">
        <v>0</v>
      </c>
      <c r="AC77" s="11">
        <f>IF(H77=0,"",AB77/H77)</f>
        <v/>
      </c>
      <c r="AD77" s="8" t="n">
        <v>0</v>
      </c>
      <c r="AE77" s="11">
        <f>IF(H77=0,"",AD77/H77)</f>
        <v/>
      </c>
      <c r="AF77" s="8" t="n">
        <v>0</v>
      </c>
      <c r="AG77" s="11">
        <f>IF(H77=0,"",AF77/H77)</f>
        <v/>
      </c>
      <c r="AH77" s="8" t="n">
        <v>95716.39999999999</v>
      </c>
      <c r="AI77" s="9">
        <f>IF(H77=0,"",AH77/H77)</f>
        <v/>
      </c>
      <c r="AJ77" s="8" t="n">
        <v>3758</v>
      </c>
      <c r="AK77" s="11">
        <f>IF(H77=0,"",AJ77/H77)</f>
        <v/>
      </c>
      <c r="AL77" s="8" t="n">
        <v>647592.045</v>
      </c>
      <c r="AM77" s="9">
        <f>IF(H77=0,"",AL77/H77)</f>
        <v/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3925452.71</v>
      </c>
      <c r="AS77" s="8" t="n">
        <v>707019.98</v>
      </c>
      <c r="AT77" s="8" t="n">
        <v>183650</v>
      </c>
      <c r="AU77" s="9">
        <f>AH77+AL77+AP77+AQ77+AR77+AS77+AT77</f>
        <v/>
      </c>
      <c r="AV77" s="9">
        <f>IF(H77=0,"",AU77/H77)</f>
        <v/>
      </c>
      <c r="AW77" s="9">
        <f>IF(S77=0,"",AU77/S77)</f>
        <v/>
      </c>
      <c r="AX77" s="8" t="n">
        <v>3</v>
      </c>
      <c r="AY77" s="9">
        <f>IF(H77=0,"",AX77/(H77/1000/12))</f>
        <v/>
      </c>
      <c r="AZ77" s="8" t="n">
        <v>6</v>
      </c>
      <c r="BA77" s="8" t="n">
        <v>96</v>
      </c>
      <c r="BB77" s="8" t="n">
        <v>9</v>
      </c>
      <c r="BC77" s="8" t="n">
        <v>0</v>
      </c>
      <c r="BD77" s="8" t="n">
        <v>1</v>
      </c>
      <c r="BE77" s="9">
        <f>BC77+BD77</f>
        <v/>
      </c>
      <c r="BF77" s="9">
        <f>BA77+BB77-BE77</f>
        <v/>
      </c>
      <c r="BG77" s="8" t="n">
        <v>0</v>
      </c>
      <c r="BH77" s="8" t="n">
        <v>0</v>
      </c>
      <c r="BI77" s="8" t="n">
        <v>0</v>
      </c>
      <c r="BJ77" s="8" t="n">
        <v>0</v>
      </c>
      <c r="BK77" s="9">
        <f>BI77+BJ77</f>
        <v/>
      </c>
      <c r="BL77" s="9">
        <f>BG77+BH77-BK77</f>
        <v/>
      </c>
      <c r="BM77" s="8" t="n">
        <v>0</v>
      </c>
      <c r="BN77" s="8" t="n">
        <v>0</v>
      </c>
      <c r="BO77" s="8" t="n">
        <v>0</v>
      </c>
      <c r="BP77" s="8" t="n">
        <v>0</v>
      </c>
      <c r="BQ77" s="9">
        <f>BO77+BP77</f>
        <v/>
      </c>
      <c r="BR77" s="9">
        <f>BM77+BN77-BQ77</f>
        <v/>
      </c>
      <c r="BS77" s="8" t="n">
        <v>0</v>
      </c>
      <c r="BT77" s="8" t="n">
        <v>0</v>
      </c>
      <c r="BU77" s="8" t="n">
        <v>0</v>
      </c>
      <c r="BV77" s="8" t="n">
        <v>0</v>
      </c>
      <c r="BW77" s="9">
        <f>BU77+BV77</f>
        <v/>
      </c>
      <c r="BX77" s="9">
        <f>BS77+BT77-BW77</f>
        <v/>
      </c>
      <c r="BY77" s="9">
        <f>BA77+BG77+BM77+BS77</f>
        <v/>
      </c>
      <c r="BZ77" s="9">
        <f>BB77+BH77+BN77+BT77</f>
        <v/>
      </c>
      <c r="CA77" s="9">
        <f>BE77+BK77+BQ77+BW77</f>
        <v/>
      </c>
      <c r="CB77" s="9">
        <f>BF77+BL77+BR77+BX77</f>
        <v/>
      </c>
      <c r="CC77" s="8" t="n">
        <v>4</v>
      </c>
      <c r="CD77" s="8" t="n">
        <v>245</v>
      </c>
      <c r="CE77" s="8" t="n">
        <v>0</v>
      </c>
      <c r="CF77" s="8" t="n">
        <v>0</v>
      </c>
      <c r="CG77" s="8" t="n">
        <v>0</v>
      </c>
      <c r="CH77" s="9">
        <f>CD77+CE77+CF77+CG77</f>
        <v/>
      </c>
      <c r="CI77" s="8" t="n">
        <v>3</v>
      </c>
      <c r="CJ77" s="8" t="n">
        <v>1</v>
      </c>
      <c r="CK77" s="8" t="n">
        <v>0</v>
      </c>
      <c r="CL77" s="8" t="n">
        <v>0</v>
      </c>
      <c r="CM77" s="9">
        <f>CI77+CJ77+CK77+CL77</f>
        <v/>
      </c>
      <c r="CN77" s="8" t="n">
        <v>683</v>
      </c>
      <c r="CO77" s="8" t="n">
        <v>26</v>
      </c>
      <c r="CP77" s="8" t="n">
        <v>9</v>
      </c>
      <c r="CQ77" s="8" t="n">
        <v>2</v>
      </c>
      <c r="CR77" s="9">
        <f>CN77+CO77+CP77+CQ77</f>
        <v/>
      </c>
      <c r="CS77" s="9">
        <f>CM77+CR77</f>
        <v/>
      </c>
      <c r="CT77" s="8" t="n">
        <v>969</v>
      </c>
      <c r="CU77" s="8" t="n">
        <v>9173</v>
      </c>
      <c r="CV77" s="8" t="n">
        <v>6481</v>
      </c>
      <c r="CW77" s="10">
        <f>IF(CU77=0,"",CV77/CU77)</f>
        <v/>
      </c>
      <c r="CX77" s="8" t="n"/>
      <c r="CY77" s="8" t="n"/>
      <c r="CZ77" s="8" t="n"/>
      <c r="DA77" s="8" t="n"/>
      <c r="DB77" s="9">
        <f>CX77+CY77-CZ77-DA77</f>
        <v/>
      </c>
      <c r="DC77" s="8" t="n">
        <v>0</v>
      </c>
      <c r="DD77" s="8" t="n">
        <v>0</v>
      </c>
      <c r="DE77" s="8" t="n">
        <v>0</v>
      </c>
      <c r="DF77" s="8" t="n">
        <v>0</v>
      </c>
      <c r="DG77" s="9">
        <f>DC77+DD77-DE77-DF77</f>
        <v/>
      </c>
      <c r="DH77" s="8" t="n">
        <v>0</v>
      </c>
      <c r="DI77" s="8" t="n">
        <v>0</v>
      </c>
      <c r="DJ77" s="8" t="n">
        <v>0</v>
      </c>
      <c r="DK77" s="8" t="n">
        <v>0</v>
      </c>
      <c r="DL77" s="9">
        <f>DH77+DI77-DJ77-DK77</f>
        <v/>
      </c>
      <c r="DM77" s="8" t="n">
        <v>0</v>
      </c>
      <c r="DN77" s="8" t="n">
        <v>10</v>
      </c>
      <c r="DO77" s="8" t="n">
        <v>6</v>
      </c>
      <c r="DP77" s="8" t="n">
        <v>0</v>
      </c>
      <c r="DQ77" s="9">
        <f>DM77+DN77-DO77-DP77</f>
        <v/>
      </c>
      <c r="DR77" s="9">
        <f>CX77+DC77+DH77+DM77</f>
        <v/>
      </c>
      <c r="DS77" s="9">
        <f>CY77+DD77+DI77+DN77</f>
        <v/>
      </c>
      <c r="DT77" s="9">
        <f>CZ77+DE77+DJ77+DO77</f>
        <v/>
      </c>
      <c r="DU77" s="9">
        <f>DA77+DF77+DK77+DP77</f>
        <v/>
      </c>
      <c r="DV77" s="9">
        <f>DB77+DG77+DL77+DQ77</f>
        <v/>
      </c>
      <c r="DW77" s="8" t="n">
        <v>15</v>
      </c>
      <c r="DX77" s="8" t="n">
        <v>12</v>
      </c>
      <c r="DY77" s="8" t="n">
        <v>3</v>
      </c>
      <c r="DZ77" s="8" t="n">
        <v>2</v>
      </c>
      <c r="EA77" s="8" t="n">
        <v>1</v>
      </c>
      <c r="EB77" s="8" t="n">
        <v>0</v>
      </c>
      <c r="EC77" s="8" t="n">
        <v>0</v>
      </c>
      <c r="ED77" s="8" t="n">
        <v>0</v>
      </c>
      <c r="EE77" s="8" t="n">
        <v>0</v>
      </c>
      <c r="EF77" s="8" t="n">
        <v>0</v>
      </c>
      <c r="EG77" s="8" t="n">
        <v>0</v>
      </c>
      <c r="EH77" s="8" t="n">
        <v>0</v>
      </c>
      <c r="EI77" s="8" t="n">
        <v>0</v>
      </c>
      <c r="EJ77" s="8" t="n">
        <v>0</v>
      </c>
      <c r="EK77" s="8" t="n">
        <v>0</v>
      </c>
      <c r="EL77" s="8" t="n">
        <v>0</v>
      </c>
      <c r="EM77" s="8" t="n">
        <v>0</v>
      </c>
      <c r="EN77" s="8" t="n">
        <v>0</v>
      </c>
      <c r="EO77" s="8" t="n">
        <v>0</v>
      </c>
      <c r="EP77" s="8" t="n">
        <v>0</v>
      </c>
      <c r="EQ77" s="8" t="n">
        <v>0</v>
      </c>
      <c r="ER77" s="8" t="n">
        <v>0</v>
      </c>
      <c r="ES77" s="8" t="n">
        <v>0</v>
      </c>
      <c r="ET77" s="8" t="n">
        <v>0</v>
      </c>
      <c r="EU77" s="8" t="n">
        <v>0</v>
      </c>
      <c r="EV77" s="8" t="n">
        <v>0</v>
      </c>
      <c r="EW77" s="8" t="n">
        <v>0</v>
      </c>
      <c r="EX77" s="8" t="n">
        <v>0</v>
      </c>
      <c r="EY77" s="8" t="n">
        <v>0</v>
      </c>
      <c r="EZ77" s="8" t="n">
        <v>0</v>
      </c>
      <c r="FA77" s="8" t="n">
        <v>0</v>
      </c>
      <c r="FB77" s="8" t="n">
        <v>0</v>
      </c>
      <c r="FC77" s="8" t="n">
        <v>0</v>
      </c>
      <c r="FD77" s="8" t="n">
        <v>0</v>
      </c>
      <c r="FE77" s="8" t="n">
        <v>0</v>
      </c>
      <c r="FF77" s="8" t="n">
        <v>0</v>
      </c>
      <c r="FG77" s="9">
        <f>SUM(DW77,DX77,DY77,DZ77,EA77,EB77,EC77,ED77,EE77,EF77,EG77,EH77,EI77,EJ77,EK77,EL77,EM77,EN77,EO77,EP77,EQ77,ER77,ES77,ET77,EU77,EV77,EW77,EX77,EY77,EZ77,FA77,FB77,FC77,FD77,FE77,FF77)</f>
        <v/>
      </c>
      <c r="FH77" s="8" t="n">
        <v>1</v>
      </c>
      <c r="FI77" s="8" t="n">
        <v>624</v>
      </c>
      <c r="FJ77" s="8" t="n">
        <v>0</v>
      </c>
      <c r="FK77" s="8" t="n">
        <v>96</v>
      </c>
      <c r="FL77" s="8" t="n">
        <v>0</v>
      </c>
      <c r="FM77" s="8" t="n">
        <v>0</v>
      </c>
      <c r="FN77" s="8" t="n">
        <v>0</v>
      </c>
      <c r="FO77" s="8" t="n">
        <v>0</v>
      </c>
      <c r="FP77" s="8" t="n">
        <v>0</v>
      </c>
      <c r="FQ77" s="9">
        <f>FL77+FM77+FN77+FO77+FP77</f>
        <v/>
      </c>
      <c r="FR77" s="8" t="n">
        <v>585203.3199999999</v>
      </c>
      <c r="FS77" s="8" t="n">
        <v>0</v>
      </c>
      <c r="FT77" s="8" t="n">
        <v>0</v>
      </c>
      <c r="FU77" s="8" t="n">
        <v>0</v>
      </c>
      <c r="FV77" s="9">
        <f>FR77+FS77+FT77+FU77</f>
        <v/>
      </c>
      <c r="FW77" s="8" t="n">
        <v>4616548</v>
      </c>
      <c r="FX77" s="8" t="n">
        <v>0</v>
      </c>
      <c r="FY77" s="8" t="n">
        <v>68200</v>
      </c>
      <c r="FZ77" s="8" t="n">
        <v>236000</v>
      </c>
      <c r="GA77" s="9">
        <f>FW77+FX77+FY77+FZ77</f>
        <v/>
      </c>
      <c r="GB77" s="9">
        <f>FV77+GA77</f>
        <v/>
      </c>
      <c r="GC77" s="8" t="n">
        <v>3340.26</v>
      </c>
      <c r="GD77" s="8" t="n">
        <v>0</v>
      </c>
      <c r="GE77" s="8" t="n">
        <v>0</v>
      </c>
      <c r="GF77" s="8" t="n">
        <v>0</v>
      </c>
      <c r="GG77" s="9">
        <f>GC77+GD77+GE77+GF77</f>
        <v/>
      </c>
      <c r="GH77" s="8" t="n">
        <v>3053233.71</v>
      </c>
      <c r="GI77" s="8" t="n">
        <v>0</v>
      </c>
      <c r="GJ77" s="8" t="n">
        <v>204056.93</v>
      </c>
      <c r="GK77" s="8" t="n">
        <v>68200</v>
      </c>
      <c r="GL77" s="9">
        <f>GH77+GI77+GJ77+GK77</f>
        <v/>
      </c>
      <c r="GM77" s="9">
        <f>GG77+GL77</f>
        <v/>
      </c>
      <c r="GN77" s="8" t="n">
        <v>544.9299999999999</v>
      </c>
      <c r="GO77" s="8" t="n">
        <v>0</v>
      </c>
      <c r="GP77" s="8" t="n">
        <v>0</v>
      </c>
      <c r="GQ77" s="8" t="n">
        <v>0</v>
      </c>
      <c r="GR77" s="9">
        <f>GN77+GO77+GP77+GQ77</f>
        <v/>
      </c>
      <c r="GS77" s="8" t="n">
        <v>893</v>
      </c>
      <c r="GT77" s="8" t="n">
        <v>0</v>
      </c>
      <c r="GU77" s="8" t="n">
        <v>0</v>
      </c>
      <c r="GV77" s="8" t="n">
        <v>0</v>
      </c>
      <c r="GW77" s="9">
        <f>GS77+GT77+GU77+GV77</f>
        <v/>
      </c>
      <c r="GX77" s="9">
        <f>GM77+GR77+GW77</f>
        <v/>
      </c>
      <c r="GY77" s="8" t="n">
        <v>-1057210.269999993</v>
      </c>
      <c r="GZ77" s="8" t="n">
        <v>67304155.12000008</v>
      </c>
      <c r="HA77" s="9">
        <f>GY77+GZ77</f>
        <v/>
      </c>
      <c r="HB77" s="9">
        <f>IF(GX77=0,"",AU77/GX77)</f>
        <v/>
      </c>
      <c r="HC77" s="10">
        <f>IF((GX77+GY77)=0,"",GB77/(GX77+GY77))</f>
        <v/>
      </c>
      <c r="HD77" s="9">
        <f>IF(GX77=0,"",GB77/GX77)</f>
        <v/>
      </c>
      <c r="HE77" s="8" t="n">
        <v>8</v>
      </c>
      <c r="HF77" s="8" t="n">
        <v>1</v>
      </c>
      <c r="HG77" s="8" t="n">
        <v>104</v>
      </c>
      <c r="HH77" s="8" t="n">
        <v>9</v>
      </c>
      <c r="HI77" s="8" t="n">
        <v>0</v>
      </c>
      <c r="HJ77" s="9">
        <f>HF77+HI77</f>
        <v/>
      </c>
      <c r="HK77" s="10">
        <f>IF(HE77=0,"",HH77/HE77)</f>
        <v/>
      </c>
      <c r="HL77" s="8" t="n">
        <v>7</v>
      </c>
      <c r="HM77" s="8" t="n">
        <v>7</v>
      </c>
      <c r="HN77" s="11">
        <f>IF(HL77=0,"",HM77/HL77)</f>
        <v/>
      </c>
    </row>
    <row r="78">
      <c r="A78" s="12" t="inlineStr">
        <is>
          <t>Mangochi</t>
        </is>
      </c>
      <c r="B78" s="12" t="inlineStr">
        <is>
          <t>Namwera</t>
        </is>
      </c>
      <c r="C78" s="13" t="inlineStr">
        <is>
          <t>FY2025/26</t>
        </is>
      </c>
      <c r="D78" s="13" t="n">
        <v>2025</v>
      </c>
      <c r="E78" s="13" t="n">
        <v>7</v>
      </c>
      <c r="F78" s="13" t="inlineStr">
        <is>
          <t>July</t>
        </is>
      </c>
      <c r="G78" s="13" t="inlineStr">
        <is>
          <t>Q2</t>
        </is>
      </c>
      <c r="H78" s="14" t="n">
        <v>5763</v>
      </c>
      <c r="I78" s="14" t="n">
        <v>11</v>
      </c>
      <c r="J78" s="14" t="n">
        <v>0</v>
      </c>
      <c r="K78" s="14" t="n">
        <v>3</v>
      </c>
      <c r="L78" s="14" t="n">
        <v>0</v>
      </c>
      <c r="M78" s="15">
        <f>SUM(I78,J78,K78,L78)</f>
        <v/>
      </c>
      <c r="N78" s="14" t="n">
        <v>5263</v>
      </c>
      <c r="O78" s="14" t="n">
        <v>0</v>
      </c>
      <c r="P78" s="14" t="n">
        <v>149</v>
      </c>
      <c r="Q78" s="14" t="n">
        <v>23.6</v>
      </c>
      <c r="R78" s="15">
        <f>SUM(N78,O78,P78,Q78)</f>
        <v/>
      </c>
      <c r="S78" s="15">
        <f>M78+R78</f>
        <v/>
      </c>
      <c r="T78" s="14" t="n">
        <v>313.4</v>
      </c>
      <c r="U78" s="16">
        <f>IF(H78=0,"",T78/H78)</f>
        <v/>
      </c>
      <c r="V78" s="14" t="n">
        <v>11</v>
      </c>
      <c r="W78" s="17">
        <f>IF(H78=0,"",V78/H78)</f>
        <v/>
      </c>
      <c r="X78" s="14" t="n">
        <v>0</v>
      </c>
      <c r="Y78" s="17">
        <f>IF(H78=0,"",X78/H78)</f>
        <v/>
      </c>
      <c r="Z78" s="14" t="n">
        <v>0</v>
      </c>
      <c r="AA78" s="17">
        <f>IF(H78=0,"",Z78/H78)</f>
        <v/>
      </c>
      <c r="AB78" s="14" t="n">
        <v>0</v>
      </c>
      <c r="AC78" s="17">
        <f>IF(H78=0,"",AB78/H78)</f>
        <v/>
      </c>
      <c r="AD78" s="14" t="n">
        <v>0</v>
      </c>
      <c r="AE78" s="17">
        <f>IF(H78=0,"",AD78/H78)</f>
        <v/>
      </c>
      <c r="AF78" s="14" t="n">
        <v>0</v>
      </c>
      <c r="AG78" s="17">
        <f>IF(H78=0,"",AF78/H78)</f>
        <v/>
      </c>
      <c r="AH78" s="14" t="n">
        <v>263220.1</v>
      </c>
      <c r="AI78" s="15">
        <f>IF(H78=0,"",AH78/H78)</f>
        <v/>
      </c>
      <c r="AJ78" s="14" t="n">
        <v>4498</v>
      </c>
      <c r="AK78" s="17">
        <f>IF(H78=0,"",AJ78/H78)</f>
        <v/>
      </c>
      <c r="AL78" s="14" t="n">
        <v>771303.395</v>
      </c>
      <c r="AM78" s="15">
        <f>IF(H78=0,"",AL78/H78)</f>
        <v/>
      </c>
      <c r="AN78" s="14" t="n">
        <v>0</v>
      </c>
      <c r="AO78" s="14" t="n">
        <v>0</v>
      </c>
      <c r="AP78" s="14" t="n">
        <v>0</v>
      </c>
      <c r="AQ78" s="14" t="n">
        <v>0</v>
      </c>
      <c r="AR78" s="14" t="n">
        <v>3925452.71</v>
      </c>
      <c r="AS78" s="14" t="n">
        <v>912895.39</v>
      </c>
      <c r="AT78" s="14" t="n">
        <v>229930</v>
      </c>
      <c r="AU78" s="15">
        <f>AH78+AL78+AP78+AQ78+AR78+AS78+AT78</f>
        <v/>
      </c>
      <c r="AV78" s="15">
        <f>IF(H78=0,"",AU78/H78)</f>
        <v/>
      </c>
      <c r="AW78" s="15">
        <f>IF(S78=0,"",AU78/S78)</f>
        <v/>
      </c>
      <c r="AX78" s="14" t="n">
        <v>3</v>
      </c>
      <c r="AY78" s="15">
        <f>IF(H78=0,"",AX78/(H78/1000/12))</f>
        <v/>
      </c>
      <c r="AZ78" s="14" t="n">
        <v>6</v>
      </c>
      <c r="BA78" s="14" t="n">
        <v>104</v>
      </c>
      <c r="BB78" s="14" t="n">
        <v>10</v>
      </c>
      <c r="BC78" s="14" t="n">
        <v>0</v>
      </c>
      <c r="BD78" s="14" t="n">
        <v>0</v>
      </c>
      <c r="BE78" s="15">
        <f>BC78+BD78</f>
        <v/>
      </c>
      <c r="BF78" s="15">
        <f>BA78+BB78-BE78</f>
        <v/>
      </c>
      <c r="BG78" s="14" t="n">
        <v>0</v>
      </c>
      <c r="BH78" s="14" t="n">
        <v>0</v>
      </c>
      <c r="BI78" s="14" t="n">
        <v>0</v>
      </c>
      <c r="BJ78" s="14" t="n">
        <v>0</v>
      </c>
      <c r="BK78" s="15">
        <f>BI78+BJ78</f>
        <v/>
      </c>
      <c r="BL78" s="15">
        <f>BG78+BH78-BK78</f>
        <v/>
      </c>
      <c r="BM78" s="14" t="n">
        <v>0</v>
      </c>
      <c r="BN78" s="14" t="n">
        <v>0</v>
      </c>
      <c r="BO78" s="14" t="n">
        <v>0</v>
      </c>
      <c r="BP78" s="14" t="n">
        <v>0</v>
      </c>
      <c r="BQ78" s="15">
        <f>BO78+BP78</f>
        <v/>
      </c>
      <c r="BR78" s="15">
        <f>BM78+BN78-BQ78</f>
        <v/>
      </c>
      <c r="BS78" s="14" t="n">
        <v>0</v>
      </c>
      <c r="BT78" s="14" t="n">
        <v>0</v>
      </c>
      <c r="BU78" s="14" t="n">
        <v>0</v>
      </c>
      <c r="BV78" s="14" t="n">
        <v>0</v>
      </c>
      <c r="BW78" s="15">
        <f>BU78+BV78</f>
        <v/>
      </c>
      <c r="BX78" s="15">
        <f>BS78+BT78-BW78</f>
        <v/>
      </c>
      <c r="BY78" s="15">
        <f>BA78+BG78+BM78+BS78</f>
        <v/>
      </c>
      <c r="BZ78" s="15">
        <f>BB78+BH78+BN78+BT78</f>
        <v/>
      </c>
      <c r="CA78" s="15">
        <f>BE78+BK78+BQ78+BW78</f>
        <v/>
      </c>
      <c r="CB78" s="15">
        <f>BF78+BL78+BR78+BX78</f>
        <v/>
      </c>
      <c r="CC78" s="14" t="n">
        <v>0</v>
      </c>
      <c r="CD78" s="14" t="n">
        <v>245</v>
      </c>
      <c r="CE78" s="14" t="n">
        <v>0</v>
      </c>
      <c r="CF78" s="14" t="n">
        <v>0</v>
      </c>
      <c r="CG78" s="14" t="n">
        <v>0</v>
      </c>
      <c r="CH78" s="15">
        <f>CD78+CE78+CF78+CG78</f>
        <v/>
      </c>
      <c r="CI78" s="14" t="n">
        <v>3</v>
      </c>
      <c r="CJ78" s="14" t="n">
        <v>1</v>
      </c>
      <c r="CK78" s="14" t="n">
        <v>0</v>
      </c>
      <c r="CL78" s="14" t="n">
        <v>0</v>
      </c>
      <c r="CM78" s="15">
        <f>CI78+CJ78+CK78+CL78</f>
        <v/>
      </c>
      <c r="CN78" s="14" t="n">
        <v>682</v>
      </c>
      <c r="CO78" s="14" t="n">
        <v>26</v>
      </c>
      <c r="CP78" s="14" t="n">
        <v>9</v>
      </c>
      <c r="CQ78" s="14" t="n">
        <v>2</v>
      </c>
      <c r="CR78" s="15">
        <f>CN78+CO78+CP78+CQ78</f>
        <v/>
      </c>
      <c r="CS78" s="15">
        <f>CM78+CR78</f>
        <v/>
      </c>
      <c r="CT78" s="14" t="n">
        <v>968</v>
      </c>
      <c r="CU78" s="14" t="n">
        <v>9188</v>
      </c>
      <c r="CV78" s="14" t="n">
        <v>6481</v>
      </c>
      <c r="CW78" s="16">
        <f>IF(CU78=0,"",CV78/CU78)</f>
        <v/>
      </c>
      <c r="CX78" s="14" t="n"/>
      <c r="CY78" s="14" t="n"/>
      <c r="CZ78" s="14" t="n"/>
      <c r="DA78" s="14" t="n"/>
      <c r="DB78" s="15">
        <f>CX78+CY78-CZ78-DA78</f>
        <v/>
      </c>
      <c r="DC78" s="14" t="n">
        <v>0</v>
      </c>
      <c r="DD78" s="14" t="n">
        <v>0</v>
      </c>
      <c r="DE78" s="14" t="n">
        <v>0</v>
      </c>
      <c r="DF78" s="14" t="n">
        <v>0</v>
      </c>
      <c r="DG78" s="15">
        <f>DC78+DD78-DE78-DF78</f>
        <v/>
      </c>
      <c r="DH78" s="14" t="n">
        <v>0</v>
      </c>
      <c r="DI78" s="14" t="n">
        <v>0</v>
      </c>
      <c r="DJ78" s="14" t="n">
        <v>0</v>
      </c>
      <c r="DK78" s="14" t="n">
        <v>0</v>
      </c>
      <c r="DL78" s="15">
        <f>DH78+DI78-DJ78-DK78</f>
        <v/>
      </c>
      <c r="DM78" s="14" t="n">
        <v>11</v>
      </c>
      <c r="DN78" s="14" t="n">
        <v>5</v>
      </c>
      <c r="DO78" s="14" t="n">
        <v>6</v>
      </c>
      <c r="DP78" s="14" t="n">
        <v>0</v>
      </c>
      <c r="DQ78" s="15">
        <f>DM78+DN78-DO78-DP78</f>
        <v/>
      </c>
      <c r="DR78" s="15">
        <f>CX78+DC78+DH78+DM78</f>
        <v/>
      </c>
      <c r="DS78" s="15">
        <f>CY78+DD78+DI78+DN78</f>
        <v/>
      </c>
      <c r="DT78" s="15">
        <f>CZ78+DE78+DJ78+DO78</f>
        <v/>
      </c>
      <c r="DU78" s="15">
        <f>DA78+DF78+DK78+DP78</f>
        <v/>
      </c>
      <c r="DV78" s="15">
        <f>DB78+DG78+DL78+DQ78</f>
        <v/>
      </c>
      <c r="DW78" s="14" t="n">
        <v>41</v>
      </c>
      <c r="DX78" s="14" t="n">
        <v>15</v>
      </c>
      <c r="DY78" s="14" t="n">
        <v>3</v>
      </c>
      <c r="DZ78" s="14" t="n">
        <v>0</v>
      </c>
      <c r="EA78" s="14" t="n">
        <v>2</v>
      </c>
      <c r="EB78" s="14" t="n">
        <v>5</v>
      </c>
      <c r="EC78" s="14" t="n">
        <v>0</v>
      </c>
      <c r="ED78" s="14" t="n">
        <v>0</v>
      </c>
      <c r="EE78" s="14" t="n">
        <v>3</v>
      </c>
      <c r="EF78" s="14" t="n">
        <v>0</v>
      </c>
      <c r="EG78" s="14" t="n">
        <v>0</v>
      </c>
      <c r="EH78" s="14" t="n">
        <v>0</v>
      </c>
      <c r="EI78" s="14" t="n">
        <v>0</v>
      </c>
      <c r="EJ78" s="14" t="n">
        <v>0</v>
      </c>
      <c r="EK78" s="14" t="n">
        <v>0</v>
      </c>
      <c r="EL78" s="14" t="n">
        <v>0</v>
      </c>
      <c r="EM78" s="14" t="n">
        <v>0</v>
      </c>
      <c r="EN78" s="14" t="n">
        <v>0</v>
      </c>
      <c r="EO78" s="14" t="n">
        <v>0</v>
      </c>
      <c r="EP78" s="14" t="n">
        <v>0</v>
      </c>
      <c r="EQ78" s="14" t="n">
        <v>0</v>
      </c>
      <c r="ER78" s="14" t="n">
        <v>0</v>
      </c>
      <c r="ES78" s="14" t="n">
        <v>0</v>
      </c>
      <c r="ET78" s="14" t="n">
        <v>0</v>
      </c>
      <c r="EU78" s="14" t="n">
        <v>0</v>
      </c>
      <c r="EV78" s="14" t="n">
        <v>0</v>
      </c>
      <c r="EW78" s="14" t="n">
        <v>0</v>
      </c>
      <c r="EX78" s="14" t="n">
        <v>0</v>
      </c>
      <c r="EY78" s="14" t="n">
        <v>0</v>
      </c>
      <c r="EZ78" s="14" t="n">
        <v>0</v>
      </c>
      <c r="FA78" s="14" t="n">
        <v>0</v>
      </c>
      <c r="FB78" s="14" t="n">
        <v>0</v>
      </c>
      <c r="FC78" s="14" t="n">
        <v>0</v>
      </c>
      <c r="FD78" s="14" t="n">
        <v>0</v>
      </c>
      <c r="FE78" s="14" t="n">
        <v>0</v>
      </c>
      <c r="FF78" s="14" t="n">
        <v>0</v>
      </c>
      <c r="FG78" s="15">
        <f>SUM(DW78,DX78,DY78,DZ78,EA78,EB78,EC78,ED78,EE78,EF78,EG78,EH78,EI78,EJ78,EK78,EL78,EM78,EN78,EO78,EP78,EQ78,ER78,ES78,ET78,EU78,EV78,EW78,EX78,EY78,EZ78,FA78,FB78,FC78,FD78,FE78,FF78)</f>
        <v/>
      </c>
      <c r="FH78" s="14" t="n">
        <v>2</v>
      </c>
      <c r="FI78" s="14" t="n">
        <v>600</v>
      </c>
      <c r="FJ78" s="14" t="n">
        <v>24</v>
      </c>
      <c r="FK78" s="14" t="n">
        <v>144</v>
      </c>
      <c r="FL78" s="14" t="n">
        <v>0</v>
      </c>
      <c r="FM78" s="14" t="n">
        <v>0</v>
      </c>
      <c r="FN78" s="14" t="n">
        <v>0</v>
      </c>
      <c r="FO78" s="14" t="n">
        <v>0</v>
      </c>
      <c r="FP78" s="14" t="n">
        <v>0</v>
      </c>
      <c r="FQ78" s="15">
        <f>FL78+FM78+FN78+FO78+FP78</f>
        <v/>
      </c>
      <c r="FR78" s="14" t="n">
        <v>340357.98</v>
      </c>
      <c r="FS78" s="14" t="n">
        <v>0</v>
      </c>
      <c r="FT78" s="14" t="n">
        <v>0</v>
      </c>
      <c r="FU78" s="14" t="n">
        <v>0</v>
      </c>
      <c r="FV78" s="15">
        <f>FR78+FS78+FT78+FU78</f>
        <v/>
      </c>
      <c r="FW78" s="14" t="n">
        <v>5241963</v>
      </c>
      <c r="FX78" s="14" t="n">
        <v>0</v>
      </c>
      <c r="FY78" s="14" t="n">
        <v>111900</v>
      </c>
      <c r="FZ78" s="14" t="n">
        <v>1328000</v>
      </c>
      <c r="GA78" s="15">
        <f>FW78+FX78+FY78+FZ78</f>
        <v/>
      </c>
      <c r="GB78" s="15">
        <f>FV78+GA78</f>
        <v/>
      </c>
      <c r="GC78" s="14" t="n">
        <v>13539.58</v>
      </c>
      <c r="GD78" s="14" t="n">
        <v>0</v>
      </c>
      <c r="GE78" s="14" t="n">
        <v>8410.99</v>
      </c>
      <c r="GF78" s="14" t="n">
        <v>0</v>
      </c>
      <c r="GG78" s="15">
        <f>GC78+GD78+GE78+GF78</f>
        <v/>
      </c>
      <c r="GH78" s="14" t="n">
        <v>3624176.32</v>
      </c>
      <c r="GI78" s="14" t="n">
        <v>0</v>
      </c>
      <c r="GJ78" s="14" t="n">
        <v>1325600</v>
      </c>
      <c r="GK78" s="14" t="n">
        <v>111900</v>
      </c>
      <c r="GL78" s="15">
        <f>GH78+GI78+GJ78+GK78</f>
        <v/>
      </c>
      <c r="GM78" s="15">
        <f>GG78+GL78</f>
        <v/>
      </c>
      <c r="GN78" s="14" t="n">
        <v>1859.65</v>
      </c>
      <c r="GO78" s="14" t="n">
        <v>0</v>
      </c>
      <c r="GP78" s="14" t="n">
        <v>3393.64</v>
      </c>
      <c r="GQ78" s="14" t="n">
        <v>0</v>
      </c>
      <c r="GR78" s="15">
        <f>GN78+GO78+GP78+GQ78</f>
        <v/>
      </c>
      <c r="GS78" s="14" t="n">
        <v>2679</v>
      </c>
      <c r="GT78" s="14" t="n">
        <v>0</v>
      </c>
      <c r="GU78" s="14" t="n">
        <v>893</v>
      </c>
      <c r="GV78" s="14" t="n">
        <v>0</v>
      </c>
      <c r="GW78" s="15">
        <f>GS78+GT78+GU78+GV78</f>
        <v/>
      </c>
      <c r="GX78" s="15">
        <f>GM78+GR78+GW78</f>
        <v/>
      </c>
      <c r="GY78" s="14" t="n">
        <v>-1177493.979999947</v>
      </c>
      <c r="GZ78" s="14" t="n">
        <v>67114856.71000002</v>
      </c>
      <c r="HA78" s="15">
        <f>GY78+GZ78</f>
        <v/>
      </c>
      <c r="HB78" s="15">
        <f>IF(GX78=0,"",AU78/GX78)</f>
        <v/>
      </c>
      <c r="HC78" s="16">
        <f>IF((GX78+GY78)=0,"",GB78/(GX78+GY78))</f>
        <v/>
      </c>
      <c r="HD78" s="15">
        <f>IF(GX78=0,"",GB78/GX78)</f>
        <v/>
      </c>
      <c r="HE78" s="14" t="n">
        <v>9</v>
      </c>
      <c r="HF78" s="14" t="n">
        <v>1</v>
      </c>
      <c r="HG78" s="14" t="n">
        <v>114</v>
      </c>
      <c r="HH78" s="14" t="n">
        <v>10</v>
      </c>
      <c r="HI78" s="14" t="n">
        <v>0</v>
      </c>
      <c r="HJ78" s="15">
        <f>HF78+HI78</f>
        <v/>
      </c>
      <c r="HK78" s="16">
        <f>IF(HE78=0,"",HH78/HE78)</f>
        <v/>
      </c>
      <c r="HL78" s="14" t="n">
        <v>36</v>
      </c>
      <c r="HM78" s="14" t="n">
        <v>5</v>
      </c>
      <c r="HN78" s="17">
        <f>IF(HL78=0,"",HM78/HL78)</f>
        <v/>
      </c>
    </row>
    <row r="79">
      <c r="A79" s="6" t="inlineStr">
        <is>
          <t>Mangochi</t>
        </is>
      </c>
      <c r="B79" s="6" t="inlineStr">
        <is>
          <t>Namwera</t>
        </is>
      </c>
      <c r="C79" s="7" t="inlineStr">
        <is>
          <t>FY2025/26</t>
        </is>
      </c>
      <c r="D79" s="7" t="n">
        <v>2025</v>
      </c>
      <c r="E79" s="7" t="n">
        <v>8</v>
      </c>
      <c r="F79" s="7" t="inlineStr">
        <is>
          <t>August</t>
        </is>
      </c>
      <c r="G79" s="7" t="inlineStr">
        <is>
          <t>Q2</t>
        </is>
      </c>
      <c r="H79" s="8" t="n">
        <v>5657</v>
      </c>
      <c r="I79" s="8" t="n">
        <v>9</v>
      </c>
      <c r="J79" s="8" t="n">
        <v>0</v>
      </c>
      <c r="K79" s="8" t="n">
        <v>3</v>
      </c>
      <c r="L79" s="8" t="n">
        <v>0</v>
      </c>
      <c r="M79" s="9">
        <f>SUM(I79,J79,K79,L79)</f>
        <v/>
      </c>
      <c r="N79" s="8" t="n">
        <v>4707</v>
      </c>
      <c r="O79" s="8" t="n">
        <v>0</v>
      </c>
      <c r="P79" s="8" t="n">
        <v>139.4</v>
      </c>
      <c r="Q79" s="8" t="n">
        <v>18.9</v>
      </c>
      <c r="R79" s="9">
        <f>SUM(N79,O79,P79,Q79)</f>
        <v/>
      </c>
      <c r="S79" s="9">
        <f>M79+R79</f>
        <v/>
      </c>
      <c r="T79" s="8" t="n">
        <v>779.700000000001</v>
      </c>
      <c r="U79" s="10">
        <f>IF(H79=0,"",T79/H79)</f>
        <v/>
      </c>
      <c r="V79" s="8" t="n">
        <v>9</v>
      </c>
      <c r="W79" s="11">
        <f>IF(H79=0,"",V79/H79)</f>
        <v/>
      </c>
      <c r="X79" s="8" t="n">
        <v>0</v>
      </c>
      <c r="Y79" s="11">
        <f>IF(H79=0,"",X79/H79)</f>
        <v/>
      </c>
      <c r="Z79" s="8" t="n">
        <v>0</v>
      </c>
      <c r="AA79" s="11">
        <f>IF(H79=0,"",Z79/H79)</f>
        <v/>
      </c>
      <c r="AB79" s="8" t="n">
        <v>0</v>
      </c>
      <c r="AC79" s="11">
        <f>IF(H79=0,"",AB79/H79)</f>
        <v/>
      </c>
      <c r="AD79" s="8" t="n">
        <v>0</v>
      </c>
      <c r="AE79" s="11">
        <f>IF(H79=0,"",AD79/H79)</f>
        <v/>
      </c>
      <c r="AF79" s="8" t="n">
        <v>0</v>
      </c>
      <c r="AG79" s="11">
        <f>IF(H79=0,"",AF79/H79)</f>
        <v/>
      </c>
      <c r="AH79" s="8" t="n">
        <v>215361.9</v>
      </c>
      <c r="AI79" s="9">
        <f>IF(H79=0,"",AH79/H79)</f>
        <v/>
      </c>
      <c r="AJ79" s="8" t="n">
        <v>4320</v>
      </c>
      <c r="AK79" s="11">
        <f>IF(H79=0,"",AJ79/H79)</f>
        <v/>
      </c>
      <c r="AL79" s="8" t="n">
        <v>741545.8</v>
      </c>
      <c r="AM79" s="9">
        <f>IF(H79=0,"",AL79/H79)</f>
        <v/>
      </c>
      <c r="AN79" s="8" t="n">
        <v>0</v>
      </c>
      <c r="AO79" s="8" t="n">
        <v>0</v>
      </c>
      <c r="AP79" s="8" t="n">
        <v>0</v>
      </c>
      <c r="AQ79" s="8" t="n">
        <v>0</v>
      </c>
      <c r="AR79" s="8" t="n">
        <v>3952365.04</v>
      </c>
      <c r="AS79" s="8" t="n">
        <v>936217.54</v>
      </c>
      <c r="AT79" s="8" t="n">
        <v>230650</v>
      </c>
      <c r="AU79" s="9">
        <f>AH79+AL79+AP79+AQ79+AR79+AS79+AT79</f>
        <v/>
      </c>
      <c r="AV79" s="9">
        <f>IF(H79=0,"",AU79/H79)</f>
        <v/>
      </c>
      <c r="AW79" s="9">
        <f>IF(S79=0,"",AU79/S79)</f>
        <v/>
      </c>
      <c r="AX79" s="8" t="n">
        <v>3</v>
      </c>
      <c r="AY79" s="9">
        <f>IF(H79=0,"",AX79/(H79/1000/12))</f>
        <v/>
      </c>
      <c r="AZ79" s="8" t="n">
        <v>6</v>
      </c>
      <c r="BA79" s="8" t="n">
        <v>114</v>
      </c>
      <c r="BB79" s="8" t="n">
        <v>6</v>
      </c>
      <c r="BC79" s="8" t="n">
        <v>0</v>
      </c>
      <c r="BD79" s="8" t="n">
        <v>28</v>
      </c>
      <c r="BE79" s="9">
        <f>BC79+BD79</f>
        <v/>
      </c>
      <c r="BF79" s="9">
        <f>BA79+BB79-BE79</f>
        <v/>
      </c>
      <c r="BG79" s="8" t="n">
        <v>0</v>
      </c>
      <c r="BH79" s="8" t="n">
        <v>0</v>
      </c>
      <c r="BI79" s="8" t="n">
        <v>0</v>
      </c>
      <c r="BJ79" s="8" t="n">
        <v>0</v>
      </c>
      <c r="BK79" s="9">
        <f>BI79+BJ79</f>
        <v/>
      </c>
      <c r="BL79" s="9">
        <f>BG79+BH79-BK79</f>
        <v/>
      </c>
      <c r="BM79" s="8" t="n">
        <v>0</v>
      </c>
      <c r="BN79" s="8" t="n">
        <v>0</v>
      </c>
      <c r="BO79" s="8" t="n">
        <v>0</v>
      </c>
      <c r="BP79" s="8" t="n">
        <v>0</v>
      </c>
      <c r="BQ79" s="9">
        <f>BO79+BP79</f>
        <v/>
      </c>
      <c r="BR79" s="9">
        <f>BM79+BN79-BQ79</f>
        <v/>
      </c>
      <c r="BS79" s="8" t="n">
        <v>0</v>
      </c>
      <c r="BT79" s="8" t="n">
        <v>0</v>
      </c>
      <c r="BU79" s="8" t="n">
        <v>0</v>
      </c>
      <c r="BV79" s="8" t="n">
        <v>0</v>
      </c>
      <c r="BW79" s="9">
        <f>BU79+BV79</f>
        <v/>
      </c>
      <c r="BX79" s="9">
        <f>BS79+BT79-BW79</f>
        <v/>
      </c>
      <c r="BY79" s="9">
        <f>BA79+BG79+BM79+BS79</f>
        <v/>
      </c>
      <c r="BZ79" s="9">
        <f>BB79+BH79+BN79+BT79</f>
        <v/>
      </c>
      <c r="CA79" s="9">
        <f>BE79+BK79+BQ79+BW79</f>
        <v/>
      </c>
      <c r="CB79" s="9">
        <f>BF79+BL79+BR79+BX79</f>
        <v/>
      </c>
      <c r="CC79" s="8" t="n">
        <v>42</v>
      </c>
      <c r="CD79" s="8" t="n">
        <v>231</v>
      </c>
      <c r="CE79" s="8" t="n">
        <v>0</v>
      </c>
      <c r="CF79" s="8" t="n">
        <v>0</v>
      </c>
      <c r="CG79" s="8" t="n">
        <v>0</v>
      </c>
      <c r="CH79" s="9">
        <f>CD79+CE79+CF79+CG79</f>
        <v/>
      </c>
      <c r="CI79" s="8" t="n">
        <v>3</v>
      </c>
      <c r="CJ79" s="8" t="n">
        <v>1</v>
      </c>
      <c r="CK79" s="8" t="n">
        <v>0</v>
      </c>
      <c r="CL79" s="8" t="n">
        <v>0</v>
      </c>
      <c r="CM79" s="9">
        <f>CI79+CJ79+CK79+CL79</f>
        <v/>
      </c>
      <c r="CN79" s="8" t="n">
        <v>724</v>
      </c>
      <c r="CO79" s="8" t="n">
        <v>26</v>
      </c>
      <c r="CP79" s="8" t="n">
        <v>9</v>
      </c>
      <c r="CQ79" s="8" t="n">
        <v>2</v>
      </c>
      <c r="CR79" s="9">
        <f>CN79+CO79+CP79+CQ79</f>
        <v/>
      </c>
      <c r="CS79" s="9">
        <f>CM79+CR79</f>
        <v/>
      </c>
      <c r="CT79" s="8" t="n">
        <v>996</v>
      </c>
      <c r="CU79" s="8" t="n">
        <v>9203</v>
      </c>
      <c r="CV79" s="8" t="n">
        <v>6621</v>
      </c>
      <c r="CW79" s="10">
        <f>IF(CU79=0,"",CV79/CU79)</f>
        <v/>
      </c>
      <c r="CX79" s="8" t="n"/>
      <c r="CY79" s="8" t="n"/>
      <c r="CZ79" s="8" t="n"/>
      <c r="DA79" s="8" t="n"/>
      <c r="DB79" s="9">
        <f>CX79+CY79-CZ79-DA79</f>
        <v/>
      </c>
      <c r="DC79" s="8" t="n">
        <v>0</v>
      </c>
      <c r="DD79" s="8" t="n">
        <v>0</v>
      </c>
      <c r="DE79" s="8" t="n">
        <v>0</v>
      </c>
      <c r="DF79" s="8" t="n">
        <v>0</v>
      </c>
      <c r="DG79" s="9">
        <f>DC79+DD79-DE79-DF79</f>
        <v/>
      </c>
      <c r="DH79" s="8" t="n">
        <v>0</v>
      </c>
      <c r="DI79" s="8" t="n">
        <v>0</v>
      </c>
      <c r="DJ79" s="8" t="n">
        <v>0</v>
      </c>
      <c r="DK79" s="8" t="n">
        <v>0</v>
      </c>
      <c r="DL79" s="9">
        <f>DH79+DI79-DJ79-DK79</f>
        <v/>
      </c>
      <c r="DM79" s="8" t="n">
        <v>3</v>
      </c>
      <c r="DN79" s="8" t="n">
        <v>2</v>
      </c>
      <c r="DO79" s="8" t="n">
        <v>1</v>
      </c>
      <c r="DP79" s="8" t="n">
        <v>2</v>
      </c>
      <c r="DQ79" s="9">
        <f>DM79+DN79-DO79-DP79</f>
        <v/>
      </c>
      <c r="DR79" s="9">
        <f>CX79+DC79+DH79+DM79</f>
        <v/>
      </c>
      <c r="DS79" s="9">
        <f>CY79+DD79+DI79+DN79</f>
        <v/>
      </c>
      <c r="DT79" s="9">
        <f>CZ79+DE79+DJ79+DO79</f>
        <v/>
      </c>
      <c r="DU79" s="9">
        <f>DA79+DF79+DK79+DP79</f>
        <v/>
      </c>
      <c r="DV79" s="9">
        <f>DB79+DG79+DL79+DQ79</f>
        <v/>
      </c>
      <c r="DW79" s="8" t="n">
        <v>23</v>
      </c>
      <c r="DX79" s="8" t="n">
        <v>10</v>
      </c>
      <c r="DY79" s="8" t="n">
        <v>1</v>
      </c>
      <c r="DZ79" s="8" t="n">
        <v>0</v>
      </c>
      <c r="EA79" s="8" t="n">
        <v>1</v>
      </c>
      <c r="EB79" s="8" t="n">
        <v>2</v>
      </c>
      <c r="EC79" s="8" t="n">
        <v>0</v>
      </c>
      <c r="ED79" s="8" t="n">
        <v>0</v>
      </c>
      <c r="EE79" s="8" t="n">
        <v>1</v>
      </c>
      <c r="EF79" s="8" t="n">
        <v>0</v>
      </c>
      <c r="EG79" s="8" t="n">
        <v>0</v>
      </c>
      <c r="EH79" s="8" t="n">
        <v>0</v>
      </c>
      <c r="EI79" s="8" t="n">
        <v>0</v>
      </c>
      <c r="EJ79" s="8" t="n">
        <v>0</v>
      </c>
      <c r="EK79" s="8" t="n">
        <v>0</v>
      </c>
      <c r="EL79" s="8" t="n">
        <v>0</v>
      </c>
      <c r="EM79" s="8" t="n">
        <v>0</v>
      </c>
      <c r="EN79" s="8" t="n">
        <v>0</v>
      </c>
      <c r="EO79" s="8" t="n">
        <v>0</v>
      </c>
      <c r="EP79" s="8" t="n">
        <v>0</v>
      </c>
      <c r="EQ79" s="8" t="n">
        <v>0</v>
      </c>
      <c r="ER79" s="8" t="n">
        <v>0</v>
      </c>
      <c r="ES79" s="8" t="n">
        <v>0</v>
      </c>
      <c r="ET79" s="8" t="n">
        <v>0</v>
      </c>
      <c r="EU79" s="8" t="n">
        <v>0</v>
      </c>
      <c r="EV79" s="8" t="n">
        <v>0</v>
      </c>
      <c r="EW79" s="8" t="n">
        <v>0</v>
      </c>
      <c r="EX79" s="8" t="n">
        <v>0</v>
      </c>
      <c r="EY79" s="8" t="n">
        <v>0</v>
      </c>
      <c r="EZ79" s="8" t="n">
        <v>0</v>
      </c>
      <c r="FA79" s="8" t="n">
        <v>0</v>
      </c>
      <c r="FB79" s="8" t="n">
        <v>0</v>
      </c>
      <c r="FC79" s="8" t="n">
        <v>0</v>
      </c>
      <c r="FD79" s="8" t="n">
        <v>0</v>
      </c>
      <c r="FE79" s="8" t="n">
        <v>0</v>
      </c>
      <c r="FF79" s="8" t="n">
        <v>0</v>
      </c>
      <c r="FG79" s="9">
        <f>SUM(DW79,DX79,DY79,DZ79,EA79,EB79,EC79,ED79,EE79,EF79,EG79,EH79,EI79,EJ79,EK79,EL79,EM79,EN79,EO79,EP79,EQ79,ER79,ES79,ET79,EU79,EV79,EW79,EX79,EY79,EZ79,FA79,FB79,FC79,FD79,FE79,FF79)</f>
        <v/>
      </c>
      <c r="FH79" s="8" t="n">
        <v>2</v>
      </c>
      <c r="FI79" s="8" t="n">
        <v>624</v>
      </c>
      <c r="FJ79" s="8" t="n">
        <v>0</v>
      </c>
      <c r="FK79" s="8" t="n">
        <v>120</v>
      </c>
      <c r="FL79" s="8" t="n">
        <v>0</v>
      </c>
      <c r="FM79" s="8" t="n">
        <v>0</v>
      </c>
      <c r="FN79" s="8" t="n">
        <v>0</v>
      </c>
      <c r="FO79" s="8" t="n">
        <v>0</v>
      </c>
      <c r="FP79" s="8" t="n">
        <v>0</v>
      </c>
      <c r="FQ79" s="9">
        <f>FL79+FM79+FN79+FO79+FP79</f>
        <v/>
      </c>
      <c r="FR79" s="8" t="n">
        <v>534670.54</v>
      </c>
      <c r="FS79" s="8" t="n">
        <v>0</v>
      </c>
      <c r="FT79" s="8" t="n">
        <v>0</v>
      </c>
      <c r="FU79" s="8" t="n">
        <v>0</v>
      </c>
      <c r="FV79" s="9">
        <f>FR79+FS79+FT79+FU79</f>
        <v/>
      </c>
      <c r="FW79" s="8" t="n">
        <v>5875935</v>
      </c>
      <c r="FX79" s="8" t="n">
        <v>0</v>
      </c>
      <c r="FY79" s="8" t="n">
        <v>88700</v>
      </c>
      <c r="FZ79" s="8" t="n">
        <v>423500</v>
      </c>
      <c r="GA79" s="9">
        <f>FW79+FX79+FY79+FZ79</f>
        <v/>
      </c>
      <c r="GB79" s="9">
        <f>FV79+GA79</f>
        <v/>
      </c>
      <c r="GC79" s="8" t="n">
        <v>10900.48</v>
      </c>
      <c r="GD79" s="8" t="n">
        <v>0</v>
      </c>
      <c r="GE79" s="8" t="n">
        <v>8410.99</v>
      </c>
      <c r="GF79" s="8" t="n">
        <v>0</v>
      </c>
      <c r="GG79" s="9">
        <f>GC79+GD79+GE79+GF79</f>
        <v/>
      </c>
      <c r="GH79" s="8" t="n">
        <v>4130053.75</v>
      </c>
      <c r="GI79" s="8" t="n">
        <v>0</v>
      </c>
      <c r="GJ79" s="8" t="n">
        <v>423500</v>
      </c>
      <c r="GK79" s="8" t="n">
        <v>88700</v>
      </c>
      <c r="GL79" s="9">
        <f>GH79+GI79+GJ79+GK79</f>
        <v/>
      </c>
      <c r="GM79" s="9">
        <f>GG79+GL79</f>
        <v/>
      </c>
      <c r="GN79" s="8" t="n">
        <v>1860</v>
      </c>
      <c r="GO79" s="8" t="n">
        <v>0</v>
      </c>
      <c r="GP79" s="8" t="n">
        <v>3393.64</v>
      </c>
      <c r="GQ79" s="8" t="n">
        <v>0</v>
      </c>
      <c r="GR79" s="9">
        <f>GN79+GO79+GP79+GQ79</f>
        <v/>
      </c>
      <c r="GS79" s="8" t="n">
        <v>2679</v>
      </c>
      <c r="GT79" s="8" t="n">
        <v>0</v>
      </c>
      <c r="GU79" s="8" t="n">
        <v>893</v>
      </c>
      <c r="GV79" s="8" t="n">
        <v>0</v>
      </c>
      <c r="GW79" s="9">
        <f>GS79+GT79+GU79+GV79</f>
        <v/>
      </c>
      <c r="GX79" s="9">
        <f>GM79+GR79+GW79</f>
        <v/>
      </c>
      <c r="GY79" s="8" t="n">
        <v>-1182830.339999954</v>
      </c>
      <c r="GZ79" s="8" t="n">
        <v>66613659.29000001</v>
      </c>
      <c r="HA79" s="9">
        <f>GY79+GZ79</f>
        <v/>
      </c>
      <c r="HB79" s="9">
        <f>IF(GX79=0,"",AU79/GX79)</f>
        <v/>
      </c>
      <c r="HC79" s="10">
        <f>IF((GX79+GY79)=0,"",GB79/(GX79+GY79))</f>
        <v/>
      </c>
      <c r="HD79" s="9">
        <f>IF(GX79=0,"",GB79/GX79)</f>
        <v/>
      </c>
      <c r="HE79" s="8" t="n">
        <v>6</v>
      </c>
      <c r="HF79" s="8" t="n">
        <v>1</v>
      </c>
      <c r="HG79" s="8" t="n">
        <v>92</v>
      </c>
      <c r="HH79" s="8" t="n">
        <v>6</v>
      </c>
      <c r="HI79" s="8" t="n">
        <v>0</v>
      </c>
      <c r="HJ79" s="9">
        <f>HF79+HI79</f>
        <v/>
      </c>
      <c r="HK79" s="10">
        <f>IF(HE79=0,"",HH79/HE79)</f>
        <v/>
      </c>
      <c r="HL79" s="8" t="n">
        <v>10</v>
      </c>
      <c r="HM79" s="8" t="n">
        <v>2</v>
      </c>
      <c r="HN79" s="11">
        <f>IF(HL79=0,"",HM79/HL79)</f>
        <v/>
      </c>
    </row>
    <row r="80">
      <c r="A80" s="12" t="inlineStr">
        <is>
          <t>Mangochi</t>
        </is>
      </c>
      <c r="B80" s="12" t="inlineStr">
        <is>
          <t>Namwera</t>
        </is>
      </c>
      <c r="C80" s="13" t="inlineStr">
        <is>
          <t>FY2025/26</t>
        </is>
      </c>
      <c r="D80" s="13" t="n">
        <v>2025</v>
      </c>
      <c r="E80" s="13" t="n">
        <v>9</v>
      </c>
      <c r="F80" s="13" t="inlineStr">
        <is>
          <t>September</t>
        </is>
      </c>
      <c r="G80" s="13" t="inlineStr">
        <is>
          <t>Q2</t>
        </is>
      </c>
      <c r="H80" s="14" t="n">
        <v>5420</v>
      </c>
      <c r="I80" s="14" t="n">
        <v>8</v>
      </c>
      <c r="J80" s="14" t="n">
        <v>0</v>
      </c>
      <c r="K80" s="14" t="n">
        <v>2</v>
      </c>
      <c r="L80" s="14" t="n">
        <v>0</v>
      </c>
      <c r="M80" s="15">
        <f>SUM(I80,J80,K80,L80)</f>
        <v/>
      </c>
      <c r="N80" s="14" t="n">
        <v>3950</v>
      </c>
      <c r="O80" s="14" t="n">
        <v>0</v>
      </c>
      <c r="P80" s="14" t="n">
        <v>674.1</v>
      </c>
      <c r="Q80" s="14" t="n">
        <v>31.2</v>
      </c>
      <c r="R80" s="15">
        <f>SUM(N80,O80,P80,Q80)</f>
        <v/>
      </c>
      <c r="S80" s="15">
        <f>M80+R80</f>
        <v/>
      </c>
      <c r="T80" s="14" t="n">
        <v>754.7</v>
      </c>
      <c r="U80" s="16">
        <f>IF(H80=0,"",T80/H80)</f>
        <v/>
      </c>
      <c r="V80" s="14" t="n">
        <v>4</v>
      </c>
      <c r="W80" s="17">
        <f>IF(H80=0,"",V80/H80)</f>
        <v/>
      </c>
      <c r="X80" s="14" t="n">
        <v>0</v>
      </c>
      <c r="Y80" s="17">
        <f>IF(H80=0,"",X80/H80)</f>
        <v/>
      </c>
      <c r="Z80" s="14" t="n">
        <v>0</v>
      </c>
      <c r="AA80" s="17">
        <f>IF(H80=0,"",Z80/H80)</f>
        <v/>
      </c>
      <c r="AB80" s="14" t="n">
        <v>0</v>
      </c>
      <c r="AC80" s="17">
        <f>IF(H80=0,"",AB80/H80)</f>
        <v/>
      </c>
      <c r="AD80" s="14" t="n">
        <v>0</v>
      </c>
      <c r="AE80" s="17">
        <f>IF(H80=0,"",AD80/H80)</f>
        <v/>
      </c>
      <c r="AF80" s="14" t="n">
        <v>0</v>
      </c>
      <c r="AG80" s="17">
        <f>IF(H80=0,"",AF80/H80)</f>
        <v/>
      </c>
      <c r="AH80" s="14" t="n">
        <v>95716.39999999999</v>
      </c>
      <c r="AI80" s="15">
        <f>IF(H80=0,"",AH80/H80)</f>
        <v/>
      </c>
      <c r="AJ80" s="14" t="n">
        <v>4069</v>
      </c>
      <c r="AK80" s="17">
        <f>IF(H80=0,"",AJ80/H80)</f>
        <v/>
      </c>
      <c r="AL80" s="14" t="n">
        <v>699584.2475000001</v>
      </c>
      <c r="AM80" s="15">
        <f>IF(H80=0,"",AL80/H80)</f>
        <v/>
      </c>
      <c r="AN80" s="14" t="n">
        <v>0</v>
      </c>
      <c r="AO80" s="14" t="n">
        <v>0</v>
      </c>
      <c r="AP80" s="14" t="n">
        <v>0</v>
      </c>
      <c r="AQ80" s="14" t="n">
        <v>0</v>
      </c>
      <c r="AR80" s="14" t="n">
        <v>3960101.52</v>
      </c>
      <c r="AS80" s="14" t="n">
        <v>954996.4</v>
      </c>
      <c r="AT80" s="14" t="n">
        <v>241020</v>
      </c>
      <c r="AU80" s="15">
        <f>AH80+AL80+AP80+AQ80+AR80+AS80+AT80</f>
        <v/>
      </c>
      <c r="AV80" s="15">
        <f>IF(H80=0,"",AU80/H80)</f>
        <v/>
      </c>
      <c r="AW80" s="15">
        <f>IF(S80=0,"",AU80/S80)</f>
        <v/>
      </c>
      <c r="AX80" s="14" t="n">
        <v>3</v>
      </c>
      <c r="AY80" s="15">
        <f>IF(H80=0,"",AX80/(H80/1000/12))</f>
        <v/>
      </c>
      <c r="AZ80" s="14" t="n">
        <v>6</v>
      </c>
      <c r="BA80" s="14" t="n">
        <v>92</v>
      </c>
      <c r="BB80" s="14" t="n">
        <v>12</v>
      </c>
      <c r="BC80" s="14" t="n">
        <v>0</v>
      </c>
      <c r="BD80" s="14" t="n">
        <v>14</v>
      </c>
      <c r="BE80" s="15">
        <f>BC80+BD80</f>
        <v/>
      </c>
      <c r="BF80" s="15">
        <f>BA80+BB80-BE80</f>
        <v/>
      </c>
      <c r="BG80" s="14" t="n">
        <v>0</v>
      </c>
      <c r="BH80" s="14" t="n">
        <v>0</v>
      </c>
      <c r="BI80" s="14" t="n">
        <v>0</v>
      </c>
      <c r="BJ80" s="14" t="n">
        <v>0</v>
      </c>
      <c r="BK80" s="15">
        <f>BI80+BJ80</f>
        <v/>
      </c>
      <c r="BL80" s="15">
        <f>BG80+BH80-BK80</f>
        <v/>
      </c>
      <c r="BM80" s="14" t="n">
        <v>0</v>
      </c>
      <c r="BN80" s="14" t="n">
        <v>0</v>
      </c>
      <c r="BO80" s="14" t="n">
        <v>0</v>
      </c>
      <c r="BP80" s="14" t="n">
        <v>0</v>
      </c>
      <c r="BQ80" s="15">
        <f>BO80+BP80</f>
        <v/>
      </c>
      <c r="BR80" s="15">
        <f>BM80+BN80-BQ80</f>
        <v/>
      </c>
      <c r="BS80" s="14" t="n">
        <v>0</v>
      </c>
      <c r="BT80" s="14" t="n">
        <v>0</v>
      </c>
      <c r="BU80" s="14" t="n">
        <v>0</v>
      </c>
      <c r="BV80" s="14" t="n">
        <v>0</v>
      </c>
      <c r="BW80" s="15">
        <f>BU80+BV80</f>
        <v/>
      </c>
      <c r="BX80" s="15">
        <f>BS80+BT80-BW80</f>
        <v/>
      </c>
      <c r="BY80" s="15">
        <f>BA80+BG80+BM80+BS80</f>
        <v/>
      </c>
      <c r="BZ80" s="15">
        <f>BB80+BH80+BN80+BT80</f>
        <v/>
      </c>
      <c r="CA80" s="15">
        <f>BE80+BK80+BQ80+BW80</f>
        <v/>
      </c>
      <c r="CB80" s="15">
        <f>BF80+BL80+BR80+BX80</f>
        <v/>
      </c>
      <c r="CC80" s="14" t="n">
        <v>22</v>
      </c>
      <c r="CD80" s="14" t="n">
        <v>233</v>
      </c>
      <c r="CE80" s="14" t="n">
        <v>0</v>
      </c>
      <c r="CF80" s="14" t="n">
        <v>0</v>
      </c>
      <c r="CG80" s="14" t="n">
        <v>0</v>
      </c>
      <c r="CH80" s="15">
        <f>CD80+CE80+CF80+CG80</f>
        <v/>
      </c>
      <c r="CI80" s="14" t="n">
        <v>3</v>
      </c>
      <c r="CJ80" s="14" t="n">
        <v>1</v>
      </c>
      <c r="CK80" s="14" t="n">
        <v>0</v>
      </c>
      <c r="CL80" s="14" t="n">
        <v>0</v>
      </c>
      <c r="CM80" s="15">
        <f>CI80+CJ80+CK80+CL80</f>
        <v/>
      </c>
      <c r="CN80" s="14" t="n">
        <v>744</v>
      </c>
      <c r="CO80" s="14" t="n">
        <v>26</v>
      </c>
      <c r="CP80" s="14" t="n">
        <v>9</v>
      </c>
      <c r="CQ80" s="14" t="n">
        <v>0</v>
      </c>
      <c r="CR80" s="15">
        <f>CN80+CO80+CP80+CQ80</f>
        <v/>
      </c>
      <c r="CS80" s="15">
        <f>CM80+CR80</f>
        <v/>
      </c>
      <c r="CT80" s="14" t="n">
        <v>1016</v>
      </c>
      <c r="CU80" s="14" t="n">
        <v>9038</v>
      </c>
      <c r="CV80" s="14" t="n">
        <v>6606</v>
      </c>
      <c r="CW80" s="16">
        <f>IF(CU80=0,"",CV80/CU80)</f>
        <v/>
      </c>
      <c r="CX80" s="14" t="n"/>
      <c r="CY80" s="14" t="n"/>
      <c r="CZ80" s="14" t="n"/>
      <c r="DA80" s="14" t="n"/>
      <c r="DB80" s="15">
        <f>CX80+CY80-CZ80-DA80</f>
        <v/>
      </c>
      <c r="DC80" s="14" t="n">
        <v>0</v>
      </c>
      <c r="DD80" s="14" t="n">
        <v>0</v>
      </c>
      <c r="DE80" s="14" t="n">
        <v>0</v>
      </c>
      <c r="DF80" s="14" t="n">
        <v>0</v>
      </c>
      <c r="DG80" s="15">
        <f>DC80+DD80-DE80-DF80</f>
        <v/>
      </c>
      <c r="DH80" s="14" t="n">
        <v>0</v>
      </c>
      <c r="DI80" s="14" t="n">
        <v>0</v>
      </c>
      <c r="DJ80" s="14" t="n">
        <v>0</v>
      </c>
      <c r="DK80" s="14" t="n">
        <v>0</v>
      </c>
      <c r="DL80" s="15">
        <f>DH80+DI80-DJ80-DK80</f>
        <v/>
      </c>
      <c r="DM80" s="14" t="n">
        <v>2</v>
      </c>
      <c r="DN80" s="14" t="n">
        <v>1</v>
      </c>
      <c r="DO80" s="14" t="n">
        <v>3</v>
      </c>
      <c r="DP80" s="14" t="n">
        <v>0</v>
      </c>
      <c r="DQ80" s="15">
        <f>DM80+DN80-DO80-DP80</f>
        <v/>
      </c>
      <c r="DR80" s="15">
        <f>CX80+DC80+DH80+DM80</f>
        <v/>
      </c>
      <c r="DS80" s="15">
        <f>CY80+DD80+DI80+DN80</f>
        <v/>
      </c>
      <c r="DT80" s="15">
        <f>CZ80+DE80+DJ80+DO80</f>
        <v/>
      </c>
      <c r="DU80" s="15">
        <f>DA80+DF80+DK80+DP80</f>
        <v/>
      </c>
      <c r="DV80" s="15">
        <f>DB80+DG80+DL80+DQ80</f>
        <v/>
      </c>
      <c r="DW80" s="14" t="n">
        <v>21</v>
      </c>
      <c r="DX80" s="14" t="n">
        <v>11</v>
      </c>
      <c r="DY80" s="14" t="n">
        <v>1</v>
      </c>
      <c r="DZ80" s="14" t="n">
        <v>2</v>
      </c>
      <c r="EA80" s="14" t="n">
        <v>0</v>
      </c>
      <c r="EB80" s="14" t="n">
        <v>2</v>
      </c>
      <c r="EC80" s="14" t="n">
        <v>0</v>
      </c>
      <c r="ED80" s="14" t="n">
        <v>1</v>
      </c>
      <c r="EE80" s="14" t="n">
        <v>0</v>
      </c>
      <c r="EF80" s="14" t="n">
        <v>0</v>
      </c>
      <c r="EG80" s="14" t="n">
        <v>0</v>
      </c>
      <c r="EH80" s="14" t="n">
        <v>0</v>
      </c>
      <c r="EI80" s="14" t="n">
        <v>0</v>
      </c>
      <c r="EJ80" s="14" t="n">
        <v>0</v>
      </c>
      <c r="EK80" s="14" t="n">
        <v>0</v>
      </c>
      <c r="EL80" s="14" t="n">
        <v>0</v>
      </c>
      <c r="EM80" s="14" t="n">
        <v>0</v>
      </c>
      <c r="EN80" s="14" t="n">
        <v>0</v>
      </c>
      <c r="EO80" s="14" t="n">
        <v>0</v>
      </c>
      <c r="EP80" s="14" t="n">
        <v>0</v>
      </c>
      <c r="EQ80" s="14" t="n">
        <v>0</v>
      </c>
      <c r="ER80" s="14" t="n">
        <v>0</v>
      </c>
      <c r="ES80" s="14" t="n">
        <v>0</v>
      </c>
      <c r="ET80" s="14" t="n">
        <v>0</v>
      </c>
      <c r="EU80" s="14" t="n">
        <v>0</v>
      </c>
      <c r="EV80" s="14" t="n">
        <v>0</v>
      </c>
      <c r="EW80" s="14" t="n">
        <v>0</v>
      </c>
      <c r="EX80" s="14" t="n">
        <v>0</v>
      </c>
      <c r="EY80" s="14" t="n">
        <v>0</v>
      </c>
      <c r="EZ80" s="14" t="n">
        <v>0</v>
      </c>
      <c r="FA80" s="14" t="n">
        <v>0</v>
      </c>
      <c r="FB80" s="14" t="n">
        <v>0</v>
      </c>
      <c r="FC80" s="14" t="n">
        <v>0</v>
      </c>
      <c r="FD80" s="14" t="n">
        <v>0</v>
      </c>
      <c r="FE80" s="14" t="n">
        <v>0</v>
      </c>
      <c r="FF80" s="14" t="n">
        <v>0</v>
      </c>
      <c r="FG80" s="15">
        <f>SUM(DW80,DX80,DY80,DZ80,EA80,EB80,EC80,ED80,EE80,EF80,EG80,EH80,EI80,EJ80,EK80,EL80,EM80,EN80,EO80,EP80,EQ80,ER80,ES80,ET80,EU80,EV80,EW80,EX80,EY80,EZ80,FA80,FB80,FC80,FD80,FE80,FF80)</f>
        <v/>
      </c>
      <c r="FH80" s="14" t="n">
        <v>1</v>
      </c>
      <c r="FI80" s="14" t="n">
        <v>648</v>
      </c>
      <c r="FJ80" s="14" t="n">
        <v>0</v>
      </c>
      <c r="FK80" s="14" t="n">
        <v>72</v>
      </c>
      <c r="FL80" s="14" t="n">
        <v>0</v>
      </c>
      <c r="FM80" s="14" t="n">
        <v>0</v>
      </c>
      <c r="FN80" s="14" t="n">
        <v>0</v>
      </c>
      <c r="FO80" s="14" t="n">
        <v>0</v>
      </c>
      <c r="FP80" s="14" t="n">
        <v>0</v>
      </c>
      <c r="FQ80" s="15">
        <f>FL80+FM80+FN80+FO80+FP80</f>
        <v/>
      </c>
      <c r="FR80" s="14" t="n">
        <v>181201.66</v>
      </c>
      <c r="FS80" s="14" t="n">
        <v>0</v>
      </c>
      <c r="FT80" s="14" t="n">
        <v>0</v>
      </c>
      <c r="FU80" s="14" t="n">
        <v>0</v>
      </c>
      <c r="FV80" s="15">
        <f>FR80+FS80+FT80+FU80</f>
        <v/>
      </c>
      <c r="FW80" s="14" t="n">
        <v>5284066</v>
      </c>
      <c r="FX80" s="14" t="n">
        <v>0</v>
      </c>
      <c r="FY80" s="14" t="n">
        <v>146400</v>
      </c>
      <c r="FZ80" s="14" t="n">
        <v>2053300</v>
      </c>
      <c r="GA80" s="15">
        <f>FW80+FX80+FY80+FZ80</f>
        <v/>
      </c>
      <c r="GB80" s="15">
        <f>FV80+GA80</f>
        <v/>
      </c>
      <c r="GC80" s="14" t="n">
        <v>10020.78</v>
      </c>
      <c r="GD80" s="14" t="n">
        <v>0</v>
      </c>
      <c r="GE80" s="14" t="n">
        <v>8410.99</v>
      </c>
      <c r="GF80" s="14" t="n">
        <v>0</v>
      </c>
      <c r="GG80" s="15">
        <f>GC80+GD80+GE80+GF80</f>
        <v/>
      </c>
      <c r="GH80" s="14" t="n">
        <v>3938484.8</v>
      </c>
      <c r="GI80" s="14" t="n">
        <v>0</v>
      </c>
      <c r="GJ80" s="14" t="n">
        <v>2047920.44</v>
      </c>
      <c r="GK80" s="14" t="n">
        <v>146400</v>
      </c>
      <c r="GL80" s="15">
        <f>GH80+GI80+GJ80+GK80</f>
        <v/>
      </c>
      <c r="GM80" s="15">
        <f>GG80+GL80</f>
        <v/>
      </c>
      <c r="GN80" s="14" t="n">
        <v>1860</v>
      </c>
      <c r="GO80" s="14" t="n">
        <v>0</v>
      </c>
      <c r="GP80" s="14" t="n">
        <v>3393.64</v>
      </c>
      <c r="GQ80" s="14" t="n">
        <v>0</v>
      </c>
      <c r="GR80" s="15">
        <f>GN80+GO80+GP80+GQ80</f>
        <v/>
      </c>
      <c r="GS80" s="14" t="n">
        <v>2679</v>
      </c>
      <c r="GT80" s="14" t="n">
        <v>0</v>
      </c>
      <c r="GU80" s="14" t="n">
        <v>893</v>
      </c>
      <c r="GV80" s="14" t="n">
        <v>0</v>
      </c>
      <c r="GW80" s="15">
        <f>GS80+GT80+GU80+GV80</f>
        <v/>
      </c>
      <c r="GX80" s="15">
        <f>GM80+GR80+GW80</f>
        <v/>
      </c>
      <c r="GY80" s="14" t="n">
        <v>-1180333.229999957</v>
      </c>
      <c r="GZ80" s="14" t="n">
        <v>66457217.58000001</v>
      </c>
      <c r="HA80" s="15">
        <f>GY80+GZ80</f>
        <v/>
      </c>
      <c r="HB80" s="15">
        <f>IF(GX80=0,"",AU80/GX80)</f>
        <v/>
      </c>
      <c r="HC80" s="16">
        <f>IF((GX80+GY80)=0,"",GB80/(GX80+GY80))</f>
        <v/>
      </c>
      <c r="HD80" s="15">
        <f>IF(GX80=0,"",GB80/GX80)</f>
        <v/>
      </c>
      <c r="HE80" s="14" t="n">
        <v>104</v>
      </c>
      <c r="HF80" s="14" t="n">
        <v>1</v>
      </c>
      <c r="HG80" s="14" t="n">
        <v>90</v>
      </c>
      <c r="HH80" s="14" t="n">
        <v>12</v>
      </c>
      <c r="HI80" s="14" t="n">
        <v>104</v>
      </c>
      <c r="HJ80" s="15">
        <f>HF80+HI80</f>
        <v/>
      </c>
      <c r="HK80" s="16">
        <f>IF(HE80=0,"",HH80/HE80)</f>
        <v/>
      </c>
      <c r="HL80" s="14" t="n">
        <v>10</v>
      </c>
      <c r="HM80" s="14" t="n">
        <v>10</v>
      </c>
      <c r="HN80" s="17">
        <f>IF(HL80=0,"",HM80/HL80)</f>
        <v/>
      </c>
    </row>
    <row r="81">
      <c r="A81" s="6" t="inlineStr">
        <is>
          <t>Mangochi</t>
        </is>
      </c>
      <c r="B81" s="6" t="inlineStr">
        <is>
          <t>Namwera</t>
        </is>
      </c>
      <c r="C81" s="7" t="inlineStr">
        <is>
          <t>FY2025/26</t>
        </is>
      </c>
      <c r="D81" s="7" t="n">
        <v>2025</v>
      </c>
      <c r="E81" s="7" t="n">
        <v>10</v>
      </c>
      <c r="F81" s="7" t="inlineStr">
        <is>
          <t>October</t>
        </is>
      </c>
      <c r="G81" s="7" t="inlineStr">
        <is>
          <t>Q3</t>
        </is>
      </c>
      <c r="H81" s="8" t="n">
        <v>5246</v>
      </c>
      <c r="I81" s="8" t="n">
        <v>9</v>
      </c>
      <c r="J81" s="8" t="n">
        <v>0</v>
      </c>
      <c r="K81" s="8" t="n">
        <v>4</v>
      </c>
      <c r="L81" s="8" t="n">
        <v>0</v>
      </c>
      <c r="M81" s="9">
        <f>SUM(I81,J81,K81,L81)</f>
        <v/>
      </c>
      <c r="N81" s="8" t="n">
        <v>4755</v>
      </c>
      <c r="O81" s="8" t="n">
        <v>0</v>
      </c>
      <c r="P81" s="8" t="n">
        <v>58</v>
      </c>
      <c r="Q81" s="8" t="n">
        <v>27</v>
      </c>
      <c r="R81" s="9">
        <f>SUM(N81,O81,P81,Q81)</f>
        <v/>
      </c>
      <c r="S81" s="9">
        <f>M81+R81</f>
        <v/>
      </c>
      <c r="T81" s="8" t="n">
        <v>393</v>
      </c>
      <c r="U81" s="10">
        <f>IF(H81=0,"",T81/H81)</f>
        <v/>
      </c>
      <c r="V81" s="8" t="n">
        <v>4</v>
      </c>
      <c r="W81" s="11">
        <f>IF(H81=0,"",V81/H81)</f>
        <v/>
      </c>
      <c r="X81" s="8" t="n">
        <v>0</v>
      </c>
      <c r="Y81" s="11">
        <f>IF(H81=0,"",X81/H81)</f>
        <v/>
      </c>
      <c r="Z81" s="8" t="n">
        <v>0</v>
      </c>
      <c r="AA81" s="11">
        <f>IF(H81=0,"",Z81/H81)</f>
        <v/>
      </c>
      <c r="AB81" s="8" t="n">
        <v>0</v>
      </c>
      <c r="AC81" s="11">
        <f>IF(H81=0,"",AB81/H81)</f>
        <v/>
      </c>
      <c r="AD81" s="8" t="n">
        <v>0</v>
      </c>
      <c r="AE81" s="11">
        <f>IF(H81=0,"",AD81/H81)</f>
        <v/>
      </c>
      <c r="AF81" s="8" t="n">
        <v>0</v>
      </c>
      <c r="AG81" s="11">
        <f>IF(H81=0,"",AF81/H81)</f>
        <v/>
      </c>
      <c r="AH81" s="8" t="n">
        <v>95716.39999999999</v>
      </c>
      <c r="AI81" s="9">
        <f>IF(H81=0,"",AH81/H81)</f>
        <v/>
      </c>
      <c r="AJ81" s="8" t="n">
        <v>2934</v>
      </c>
      <c r="AK81" s="11">
        <f>IF(H81=0,"",AJ81/H81)</f>
        <v/>
      </c>
      <c r="AL81" s="8" t="n">
        <v>509837.785</v>
      </c>
      <c r="AM81" s="9">
        <f>IF(H81=0,"",AL81/H81)</f>
        <v/>
      </c>
      <c r="AN81" s="8" t="n">
        <v>0</v>
      </c>
      <c r="AO81" s="8" t="n">
        <v>0</v>
      </c>
      <c r="AP81" s="8" t="n">
        <v>0</v>
      </c>
      <c r="AQ81" s="8" t="n">
        <v>0</v>
      </c>
      <c r="AR81" s="8" t="n">
        <v>3960101.52</v>
      </c>
      <c r="AS81" s="8" t="n">
        <v>947727.17</v>
      </c>
      <c r="AT81" s="8" t="n">
        <v>245250</v>
      </c>
      <c r="AU81" s="9">
        <f>AH81+AL81+AP81+AQ81+AR81+AS81+AT81</f>
        <v/>
      </c>
      <c r="AV81" s="9">
        <f>IF(H81=0,"",AU81/H81)</f>
        <v/>
      </c>
      <c r="AW81" s="9">
        <f>IF(S81=0,"",AU81/S81)</f>
        <v/>
      </c>
      <c r="AX81" s="8" t="n">
        <v>3</v>
      </c>
      <c r="AY81" s="9">
        <f>IF(H81=0,"",AX81/(H81/1000/12))</f>
        <v/>
      </c>
      <c r="AZ81" s="8" t="n">
        <v>6</v>
      </c>
      <c r="BA81" s="8" t="n">
        <v>90</v>
      </c>
      <c r="BB81" s="8" t="n">
        <v>15</v>
      </c>
      <c r="BC81" s="8" t="n">
        <v>0</v>
      </c>
      <c r="BD81" s="8" t="n">
        <v>14</v>
      </c>
      <c r="BE81" s="9">
        <f>BC81+BD81</f>
        <v/>
      </c>
      <c r="BF81" s="9">
        <f>BA81+BB81-BE81</f>
        <v/>
      </c>
      <c r="BG81" s="8" t="n">
        <v>0</v>
      </c>
      <c r="BH81" s="8" t="n">
        <v>0</v>
      </c>
      <c r="BI81" s="8" t="n">
        <v>0</v>
      </c>
      <c r="BJ81" s="8" t="n">
        <v>0</v>
      </c>
      <c r="BK81" s="9">
        <f>BI81+BJ81</f>
        <v/>
      </c>
      <c r="BL81" s="9">
        <f>BG81+BH81-BK81</f>
        <v/>
      </c>
      <c r="BM81" s="8" t="n">
        <v>0</v>
      </c>
      <c r="BN81" s="8" t="n">
        <v>0</v>
      </c>
      <c r="BO81" s="8" t="n">
        <v>0</v>
      </c>
      <c r="BP81" s="8" t="n">
        <v>0</v>
      </c>
      <c r="BQ81" s="9">
        <f>BO81+BP81</f>
        <v/>
      </c>
      <c r="BR81" s="9">
        <f>BM81+BN81-BQ81</f>
        <v/>
      </c>
      <c r="BS81" s="8" t="n">
        <v>0</v>
      </c>
      <c r="BT81" s="8" t="n">
        <v>0</v>
      </c>
      <c r="BU81" s="8" t="n">
        <v>0</v>
      </c>
      <c r="BV81" s="8" t="n">
        <v>0</v>
      </c>
      <c r="BW81" s="9">
        <f>BU81+BV81</f>
        <v/>
      </c>
      <c r="BX81" s="9">
        <f>BS81+BT81-BW81</f>
        <v/>
      </c>
      <c r="BY81" s="9">
        <f>BA81+BG81+BM81+BS81</f>
        <v/>
      </c>
      <c r="BZ81" s="9">
        <f>BB81+BH81+BN81+BT81</f>
        <v/>
      </c>
      <c r="CA81" s="9">
        <f>BE81+BK81+BQ81+BW81</f>
        <v/>
      </c>
      <c r="CB81" s="9">
        <f>BF81+BL81+BR81+BX81</f>
        <v/>
      </c>
      <c r="CC81" s="8" t="n">
        <v>16</v>
      </c>
      <c r="CD81" s="8" t="n">
        <v>221</v>
      </c>
      <c r="CE81" s="8" t="n">
        <v>0</v>
      </c>
      <c r="CF81" s="8" t="n">
        <v>0</v>
      </c>
      <c r="CG81" s="8" t="n">
        <v>0</v>
      </c>
      <c r="CH81" s="9">
        <f>CD81+CE81+CF81+CG81</f>
        <v/>
      </c>
      <c r="CI81" s="8" t="n">
        <v>3</v>
      </c>
      <c r="CJ81" s="8" t="n">
        <v>1</v>
      </c>
      <c r="CK81" s="8" t="n">
        <v>0</v>
      </c>
      <c r="CL81" s="8" t="n">
        <v>0</v>
      </c>
      <c r="CM81" s="9">
        <f>CI81+CJ81+CK81+CL81</f>
        <v/>
      </c>
      <c r="CN81" s="8" t="n">
        <v>760</v>
      </c>
      <c r="CO81" s="8" t="n">
        <v>26</v>
      </c>
      <c r="CP81" s="8" t="n">
        <v>9</v>
      </c>
      <c r="CQ81" s="8" t="n">
        <v>0</v>
      </c>
      <c r="CR81" s="9">
        <f>CN81+CO81+CP81+CQ81</f>
        <v/>
      </c>
      <c r="CS81" s="9">
        <f>CM81+CR81</f>
        <v/>
      </c>
      <c r="CT81" s="8" t="n">
        <v>1020</v>
      </c>
      <c r="CU81" s="8" t="n">
        <v>9053</v>
      </c>
      <c r="CV81" s="8" t="n">
        <v>6636</v>
      </c>
      <c r="CW81" s="10">
        <f>IF(CU81=0,"",CV81/CU81)</f>
        <v/>
      </c>
      <c r="CX81" s="8" t="n"/>
      <c r="CY81" s="8" t="n"/>
      <c r="CZ81" s="8" t="n"/>
      <c r="DA81" s="8" t="n"/>
      <c r="DB81" s="9">
        <f>CX81+CY81-CZ81-DA81</f>
        <v/>
      </c>
      <c r="DC81" s="8" t="n">
        <v>0</v>
      </c>
      <c r="DD81" s="8" t="n">
        <v>0</v>
      </c>
      <c r="DE81" s="8" t="n">
        <v>0</v>
      </c>
      <c r="DF81" s="8" t="n">
        <v>0</v>
      </c>
      <c r="DG81" s="9">
        <f>DC81+DD81-DE81-DF81</f>
        <v/>
      </c>
      <c r="DH81" s="8" t="n">
        <v>0</v>
      </c>
      <c r="DI81" s="8" t="n">
        <v>0</v>
      </c>
      <c r="DJ81" s="8" t="n">
        <v>0</v>
      </c>
      <c r="DK81" s="8" t="n">
        <v>0</v>
      </c>
      <c r="DL81" s="9">
        <f>DH81+DI81-DJ81-DK81</f>
        <v/>
      </c>
      <c r="DM81" s="8" t="n">
        <v>0</v>
      </c>
      <c r="DN81" s="8" t="n">
        <v>4</v>
      </c>
      <c r="DO81" s="8" t="n">
        <v>3</v>
      </c>
      <c r="DP81" s="8" t="n">
        <v>0</v>
      </c>
      <c r="DQ81" s="9">
        <f>DM81+DN81-DO81-DP81</f>
        <v/>
      </c>
      <c r="DR81" s="9">
        <f>CX81+DC81+DH81+DM81</f>
        <v/>
      </c>
      <c r="DS81" s="9">
        <f>CY81+DD81+DI81+DN81</f>
        <v/>
      </c>
      <c r="DT81" s="9">
        <f>CZ81+DE81+DJ81+DO81</f>
        <v/>
      </c>
      <c r="DU81" s="9">
        <f>DA81+DF81+DK81+DP81</f>
        <v/>
      </c>
      <c r="DV81" s="9">
        <f>DB81+DG81+DL81+DQ81</f>
        <v/>
      </c>
      <c r="DW81" s="8" t="n">
        <v>12</v>
      </c>
      <c r="DX81" s="8" t="n">
        <v>5</v>
      </c>
      <c r="DY81" s="8" t="n">
        <v>0</v>
      </c>
      <c r="DZ81" s="8" t="n">
        <v>0</v>
      </c>
      <c r="EA81" s="8" t="n">
        <v>0</v>
      </c>
      <c r="EB81" s="8" t="n">
        <v>0</v>
      </c>
      <c r="EC81" s="8" t="n">
        <v>0</v>
      </c>
      <c r="ED81" s="8" t="n">
        <v>1</v>
      </c>
      <c r="EE81" s="8" t="n">
        <v>0</v>
      </c>
      <c r="EF81" s="8" t="n">
        <v>0</v>
      </c>
      <c r="EG81" s="8" t="n">
        <v>0</v>
      </c>
      <c r="EH81" s="8" t="n">
        <v>0</v>
      </c>
      <c r="EI81" s="8" t="n">
        <v>0</v>
      </c>
      <c r="EJ81" s="8" t="n">
        <v>0</v>
      </c>
      <c r="EK81" s="8" t="n">
        <v>0</v>
      </c>
      <c r="EL81" s="8" t="n">
        <v>0</v>
      </c>
      <c r="EM81" s="8" t="n">
        <v>0</v>
      </c>
      <c r="EN81" s="8" t="n">
        <v>0</v>
      </c>
      <c r="EO81" s="8" t="n">
        <v>0</v>
      </c>
      <c r="EP81" s="8" t="n">
        <v>0</v>
      </c>
      <c r="EQ81" s="8" t="n">
        <v>0</v>
      </c>
      <c r="ER81" s="8" t="n">
        <v>0</v>
      </c>
      <c r="ES81" s="8" t="n">
        <v>0</v>
      </c>
      <c r="ET81" s="8" t="n">
        <v>0</v>
      </c>
      <c r="EU81" s="8" t="n">
        <v>0</v>
      </c>
      <c r="EV81" s="8" t="n">
        <v>0</v>
      </c>
      <c r="EW81" s="8" t="n">
        <v>0</v>
      </c>
      <c r="EX81" s="8" t="n">
        <v>0</v>
      </c>
      <c r="EY81" s="8" t="n">
        <v>0</v>
      </c>
      <c r="EZ81" s="8" t="n">
        <v>0</v>
      </c>
      <c r="FA81" s="8" t="n">
        <v>0</v>
      </c>
      <c r="FB81" s="8" t="n">
        <v>0</v>
      </c>
      <c r="FC81" s="8" t="n">
        <v>0</v>
      </c>
      <c r="FD81" s="8" t="n">
        <v>0</v>
      </c>
      <c r="FE81" s="8" t="n">
        <v>0</v>
      </c>
      <c r="FF81" s="8" t="n">
        <v>0</v>
      </c>
      <c r="FG81" s="9">
        <f>SUM(DW81,DX81,DY81,DZ81,EA81,EB81,EC81,ED81,EE81,EF81,EG81,EH81,EI81,EJ81,EK81,EL81,EM81,EN81,EO81,EP81,EQ81,ER81,ES81,ET81,EU81,EV81,EW81,EX81,EY81,EZ81,FA81,FB81,FC81,FD81,FE81,FF81)</f>
        <v/>
      </c>
      <c r="FH81" s="8" t="n">
        <v>1</v>
      </c>
      <c r="FI81" s="8" t="n">
        <v>480</v>
      </c>
      <c r="FJ81" s="8" t="n">
        <v>23</v>
      </c>
      <c r="FK81" s="8" t="n">
        <v>264</v>
      </c>
      <c r="FL81" s="8" t="n">
        <v>0</v>
      </c>
      <c r="FM81" s="8" t="n">
        <v>0</v>
      </c>
      <c r="FN81" s="8" t="n">
        <v>0</v>
      </c>
      <c r="FO81" s="8" t="n">
        <v>0</v>
      </c>
      <c r="FP81" s="8" t="n">
        <v>0</v>
      </c>
      <c r="FQ81" s="9">
        <f>FL81+FM81+FN81+FO81+FP81</f>
        <v/>
      </c>
      <c r="FR81" s="8" t="n">
        <v>97567.22</v>
      </c>
      <c r="FS81" s="8" t="n">
        <v>0</v>
      </c>
      <c r="FT81" s="8" t="n">
        <v>0</v>
      </c>
      <c r="FU81" s="8" t="n">
        <v>0</v>
      </c>
      <c r="FV81" s="9">
        <f>FR81+FS81+FT81+FU81</f>
        <v/>
      </c>
      <c r="FW81" s="8" t="n">
        <v>3789904</v>
      </c>
      <c r="FX81" s="8" t="n">
        <v>0</v>
      </c>
      <c r="FY81" s="8" t="n">
        <v>87400</v>
      </c>
      <c r="FZ81" s="8" t="n">
        <v>227500</v>
      </c>
      <c r="GA81" s="9">
        <f>FW81+FX81+FY81+FZ81</f>
        <v/>
      </c>
      <c r="GB81" s="9">
        <f>FV81+GA81</f>
        <v/>
      </c>
      <c r="GC81" s="8" t="n">
        <v>10900.48</v>
      </c>
      <c r="GD81" s="8" t="n">
        <v>0</v>
      </c>
      <c r="GE81" s="8" t="n">
        <v>8410.99</v>
      </c>
      <c r="GF81" s="8" t="n">
        <v>0</v>
      </c>
      <c r="GG81" s="9">
        <f>GC81+GD81+GE81+GF81</f>
        <v/>
      </c>
      <c r="GH81" s="8" t="n">
        <v>2924016.64</v>
      </c>
      <c r="GI81" s="8" t="n">
        <v>0</v>
      </c>
      <c r="GJ81" s="8" t="n">
        <v>227500</v>
      </c>
      <c r="GK81" s="8" t="n">
        <v>87400</v>
      </c>
      <c r="GL81" s="9">
        <f>GH81+GI81+GJ81+GK81</f>
        <v/>
      </c>
      <c r="GM81" s="9">
        <f>GG81+GL81</f>
        <v/>
      </c>
      <c r="GN81" s="8" t="n">
        <v>1860</v>
      </c>
      <c r="GO81" s="8" t="n">
        <v>0</v>
      </c>
      <c r="GP81" s="8" t="n">
        <v>3393.64</v>
      </c>
      <c r="GQ81" s="8" t="n">
        <v>0</v>
      </c>
      <c r="GR81" s="9">
        <f>GN81+GO81+GP81+GQ81</f>
        <v/>
      </c>
      <c r="GS81" s="8" t="n">
        <v>2679</v>
      </c>
      <c r="GT81" s="8" t="n">
        <v>0</v>
      </c>
      <c r="GU81" s="8" t="n">
        <v>893</v>
      </c>
      <c r="GV81" s="8" t="n">
        <v>0</v>
      </c>
      <c r="GW81" s="9">
        <f>GS81+GT81+GU81+GV81</f>
        <v/>
      </c>
      <c r="GX81" s="9">
        <f>GM81+GR81+GW81</f>
        <v/>
      </c>
      <c r="GY81" s="8" t="n">
        <v>-1180333.229999957</v>
      </c>
      <c r="GZ81" s="8" t="n">
        <v>66281254.60000001</v>
      </c>
      <c r="HA81" s="9">
        <f>GY81+GZ81</f>
        <v/>
      </c>
      <c r="HB81" s="9">
        <f>IF(GX81=0,"",AU81/GX81)</f>
        <v/>
      </c>
      <c r="HC81" s="10">
        <f>IF((GX81+GY81)=0,"",GB81/(GX81+GY81))</f>
        <v/>
      </c>
      <c r="HD81" s="9">
        <f>IF(GX81=0,"",GB81/GX81)</f>
        <v/>
      </c>
      <c r="HE81" s="8" t="n">
        <v>91</v>
      </c>
      <c r="HF81" s="8" t="n">
        <v>2</v>
      </c>
      <c r="HG81" s="8" t="n">
        <v>91</v>
      </c>
      <c r="HH81" s="8" t="n">
        <v>15</v>
      </c>
      <c r="HI81" s="8" t="n">
        <v>14</v>
      </c>
      <c r="HJ81" s="9">
        <f>HF81+HI81</f>
        <v/>
      </c>
      <c r="HK81" s="10">
        <f>IF(HE81=0,"",HH81/HE81)</f>
        <v/>
      </c>
      <c r="HL81" s="8" t="n">
        <v>15</v>
      </c>
      <c r="HM81" s="8" t="n">
        <v>15</v>
      </c>
      <c r="HN81" s="11">
        <f>IF(HL81=0,"",HM81/HL81)</f>
        <v/>
      </c>
    </row>
    <row r="82">
      <c r="A82" s="12" t="inlineStr">
        <is>
          <t>Mangochi</t>
        </is>
      </c>
      <c r="B82" s="12" t="inlineStr">
        <is>
          <t>Namwera</t>
        </is>
      </c>
      <c r="C82" s="13" t="inlineStr">
        <is>
          <t>FY2025/26</t>
        </is>
      </c>
      <c r="D82" s="13" t="n">
        <v>2025</v>
      </c>
      <c r="E82" s="13" t="n">
        <v>11</v>
      </c>
      <c r="F82" s="13" t="inlineStr">
        <is>
          <t>November</t>
        </is>
      </c>
      <c r="G82" s="13" t="inlineStr">
        <is>
          <t>Q3</t>
        </is>
      </c>
      <c r="H82" s="14" t="n">
        <v>2693</v>
      </c>
      <c r="I82" s="14" t="n">
        <v>14</v>
      </c>
      <c r="J82" s="14" t="n">
        <v>0</v>
      </c>
      <c r="K82" s="14" t="n">
        <v>1</v>
      </c>
      <c r="L82" s="14" t="n">
        <v>0</v>
      </c>
      <c r="M82" s="15">
        <f>SUM(I82,J82,K82,L82)</f>
        <v/>
      </c>
      <c r="N82" s="14" t="n">
        <v>1849</v>
      </c>
      <c r="O82" s="14" t="n">
        <v>0</v>
      </c>
      <c r="P82" s="14" t="n">
        <v>266</v>
      </c>
      <c r="Q82" s="14" t="n">
        <v>12</v>
      </c>
      <c r="R82" s="15">
        <f>SUM(N82,O82,P82,Q82)</f>
        <v/>
      </c>
      <c r="S82" s="15">
        <f>M82+R82</f>
        <v/>
      </c>
      <c r="T82" s="14" t="n">
        <v>551</v>
      </c>
      <c r="U82" s="16">
        <f>IF(H82=0,"",T82/H82)</f>
        <v/>
      </c>
      <c r="V82" s="14" t="n">
        <v>2</v>
      </c>
      <c r="W82" s="17">
        <f>IF(H82=0,"",V82/H82)</f>
        <v/>
      </c>
      <c r="X82" s="14" t="n">
        <v>0</v>
      </c>
      <c r="Y82" s="17">
        <f>IF(H82=0,"",X82/H82)</f>
        <v/>
      </c>
      <c r="Z82" s="14" t="n">
        <v>0</v>
      </c>
      <c r="AA82" s="17">
        <f>IF(H82=0,"",Z82/H82)</f>
        <v/>
      </c>
      <c r="AB82" s="14" t="n">
        <v>0</v>
      </c>
      <c r="AC82" s="17">
        <f>IF(H82=0,"",AB82/H82)</f>
        <v/>
      </c>
      <c r="AD82" s="14" t="n">
        <v>0</v>
      </c>
      <c r="AE82" s="17">
        <f>IF(H82=0,"",AD82/H82)</f>
        <v/>
      </c>
      <c r="AF82" s="14" t="n">
        <v>0</v>
      </c>
      <c r="AG82" s="17">
        <f>IF(H82=0,"",AF82/H82)</f>
        <v/>
      </c>
      <c r="AH82" s="14" t="n">
        <v>47858.2</v>
      </c>
      <c r="AI82" s="15">
        <f>IF(H82=0,"",AH82/H82)</f>
        <v/>
      </c>
      <c r="AJ82" s="14" t="n">
        <v>2478</v>
      </c>
      <c r="AK82" s="17">
        <f>IF(H82=0,"",AJ82/H82)</f>
        <v/>
      </c>
      <c r="AL82" s="14" t="n">
        <v>433604.845</v>
      </c>
      <c r="AM82" s="15">
        <f>IF(H82=0,"",AL82/H82)</f>
        <v/>
      </c>
      <c r="AN82" s="14" t="n">
        <v>0</v>
      </c>
      <c r="AO82" s="14" t="n">
        <v>0</v>
      </c>
      <c r="AP82" s="14" t="n">
        <v>0</v>
      </c>
      <c r="AQ82" s="14" t="n">
        <v>0</v>
      </c>
      <c r="AR82" s="14" t="n">
        <v>4396237.75</v>
      </c>
      <c r="AS82" s="14" t="n">
        <v>948635.8199999999</v>
      </c>
      <c r="AT82" s="14" t="n">
        <v>250250</v>
      </c>
      <c r="AU82" s="15">
        <f>AH82+AL82+AP82+AQ82+AR82+AS82+AT82</f>
        <v/>
      </c>
      <c r="AV82" s="15">
        <f>IF(H82=0,"",AU82/H82)</f>
        <v/>
      </c>
      <c r="AW82" s="15">
        <f>IF(S82=0,"",AU82/S82)</f>
        <v/>
      </c>
      <c r="AX82" s="14" t="n">
        <v>3</v>
      </c>
      <c r="AY82" s="15">
        <f>IF(H82=0,"",AX82/(H82/1000/12))</f>
        <v/>
      </c>
      <c r="AZ82" s="14" t="n">
        <v>6</v>
      </c>
      <c r="BA82" s="14" t="n">
        <v>91</v>
      </c>
      <c r="BB82" s="14" t="n">
        <v>6</v>
      </c>
      <c r="BC82" s="14" t="n">
        <v>0</v>
      </c>
      <c r="BD82" s="14" t="n">
        <v>19</v>
      </c>
      <c r="BE82" s="15">
        <f>BC82+BD82</f>
        <v/>
      </c>
      <c r="BF82" s="15">
        <f>BA82+BB82-BE82</f>
        <v/>
      </c>
      <c r="BG82" s="14" t="n">
        <v>0</v>
      </c>
      <c r="BH82" s="14" t="n">
        <v>0</v>
      </c>
      <c r="BI82" s="14" t="n">
        <v>0</v>
      </c>
      <c r="BJ82" s="14" t="n">
        <v>0</v>
      </c>
      <c r="BK82" s="15">
        <f>BI82+BJ82</f>
        <v/>
      </c>
      <c r="BL82" s="15">
        <f>BG82+BH82-BK82</f>
        <v/>
      </c>
      <c r="BM82" s="14" t="n">
        <v>0</v>
      </c>
      <c r="BN82" s="14" t="n">
        <v>0</v>
      </c>
      <c r="BO82" s="14" t="n">
        <v>0</v>
      </c>
      <c r="BP82" s="14" t="n">
        <v>0</v>
      </c>
      <c r="BQ82" s="15">
        <f>BO82+BP82</f>
        <v/>
      </c>
      <c r="BR82" s="15">
        <f>BM82+BN82-BQ82</f>
        <v/>
      </c>
      <c r="BS82" s="14" t="n">
        <v>0</v>
      </c>
      <c r="BT82" s="14" t="n">
        <v>0</v>
      </c>
      <c r="BU82" s="14" t="n">
        <v>0</v>
      </c>
      <c r="BV82" s="14" t="n">
        <v>0</v>
      </c>
      <c r="BW82" s="15">
        <f>BU82+BV82</f>
        <v/>
      </c>
      <c r="BX82" s="15">
        <f>BS82+BT82-BW82</f>
        <v/>
      </c>
      <c r="BY82" s="15">
        <f>BA82+BG82+BM82+BS82</f>
        <v/>
      </c>
      <c r="BZ82" s="15">
        <f>BB82+BH82+BN82+BT82</f>
        <v/>
      </c>
      <c r="CA82" s="15">
        <f>BE82+BK82+BQ82+BW82</f>
        <v/>
      </c>
      <c r="CB82" s="15">
        <f>BF82+BL82+BR82+BX82</f>
        <v/>
      </c>
      <c r="CC82" s="14" t="n">
        <v>20</v>
      </c>
      <c r="CD82" s="14" t="n">
        <v>220</v>
      </c>
      <c r="CE82" s="14" t="n">
        <v>0</v>
      </c>
      <c r="CF82" s="14" t="n">
        <v>0</v>
      </c>
      <c r="CG82" s="14" t="n">
        <v>0</v>
      </c>
      <c r="CH82" s="15">
        <f>CD82+CE82+CF82+CG82</f>
        <v/>
      </c>
      <c r="CI82" s="14" t="n">
        <v>3</v>
      </c>
      <c r="CJ82" s="14" t="n">
        <v>1</v>
      </c>
      <c r="CK82" s="14" t="n">
        <v>0</v>
      </c>
      <c r="CL82" s="14" t="n">
        <v>0</v>
      </c>
      <c r="CM82" s="15">
        <f>CI82+CJ82+CK82+CL82</f>
        <v/>
      </c>
      <c r="CN82" s="14" t="n">
        <v>780</v>
      </c>
      <c r="CO82" s="14" t="n">
        <v>26</v>
      </c>
      <c r="CP82" s="14" t="n">
        <v>9</v>
      </c>
      <c r="CQ82" s="14" t="n">
        <v>1</v>
      </c>
      <c r="CR82" s="15">
        <f>CN82+CO82+CP82+CQ82</f>
        <v/>
      </c>
      <c r="CS82" s="15">
        <f>CM82+CR82</f>
        <v/>
      </c>
      <c r="CT82" s="14" t="n">
        <v>1040</v>
      </c>
      <c r="CU82" s="14" t="n">
        <v>9068</v>
      </c>
      <c r="CV82" s="14" t="n">
        <v>6686</v>
      </c>
      <c r="CW82" s="16">
        <f>IF(CU82=0,"",CV82/CU82)</f>
        <v/>
      </c>
      <c r="CX82" s="14" t="n"/>
      <c r="CY82" s="14" t="n"/>
      <c r="CZ82" s="14" t="n"/>
      <c r="DA82" s="14" t="n"/>
      <c r="DB82" s="15">
        <f>CX82+CY82-CZ82-DA82</f>
        <v/>
      </c>
      <c r="DC82" s="14" t="n">
        <v>0</v>
      </c>
      <c r="DD82" s="14" t="n">
        <v>0</v>
      </c>
      <c r="DE82" s="14" t="n">
        <v>0</v>
      </c>
      <c r="DF82" s="14" t="n">
        <v>0</v>
      </c>
      <c r="DG82" s="15">
        <f>DC82+DD82-DE82-DF82</f>
        <v/>
      </c>
      <c r="DH82" s="14" t="n">
        <v>0</v>
      </c>
      <c r="DI82" s="14" t="n">
        <v>0</v>
      </c>
      <c r="DJ82" s="14" t="n">
        <v>0</v>
      </c>
      <c r="DK82" s="14" t="n">
        <v>0</v>
      </c>
      <c r="DL82" s="15">
        <f>DH82+DI82-DJ82-DK82</f>
        <v/>
      </c>
      <c r="DM82" s="14" t="n">
        <v>1</v>
      </c>
      <c r="DN82" s="14" t="n">
        <v>3</v>
      </c>
      <c r="DO82" s="14" t="n">
        <v>4</v>
      </c>
      <c r="DP82" s="14" t="n">
        <v>0</v>
      </c>
      <c r="DQ82" s="15">
        <f>DM82+DN82-DO82-DP82</f>
        <v/>
      </c>
      <c r="DR82" s="15">
        <f>CX82+DC82+DH82+DM82</f>
        <v/>
      </c>
      <c r="DS82" s="15">
        <f>CY82+DD82+DI82+DN82</f>
        <v/>
      </c>
      <c r="DT82" s="15">
        <f>CZ82+DE82+DJ82+DO82</f>
        <v/>
      </c>
      <c r="DU82" s="15">
        <f>DA82+DF82+DK82+DP82</f>
        <v/>
      </c>
      <c r="DV82" s="15">
        <f>DB82+DG82+DL82+DQ82</f>
        <v/>
      </c>
      <c r="DW82" s="14" t="n">
        <v>12</v>
      </c>
      <c r="DX82" s="14" t="n">
        <v>11</v>
      </c>
      <c r="DY82" s="14" t="n">
        <v>2</v>
      </c>
      <c r="DZ82" s="14" t="n">
        <v>0</v>
      </c>
      <c r="EA82" s="14" t="n">
        <v>2</v>
      </c>
      <c r="EB82" s="14" t="n">
        <v>0</v>
      </c>
      <c r="EC82" s="14" t="n">
        <v>3</v>
      </c>
      <c r="ED82" s="14" t="n">
        <v>1</v>
      </c>
      <c r="EE82" s="14" t="n">
        <v>0</v>
      </c>
      <c r="EF82" s="14" t="n">
        <v>0</v>
      </c>
      <c r="EG82" s="14" t="n">
        <v>0</v>
      </c>
      <c r="EH82" s="14" t="n">
        <v>0</v>
      </c>
      <c r="EI82" s="14" t="n">
        <v>0</v>
      </c>
      <c r="EJ82" s="14" t="n">
        <v>0</v>
      </c>
      <c r="EK82" s="14" t="n">
        <v>0</v>
      </c>
      <c r="EL82" s="14" t="n">
        <v>0</v>
      </c>
      <c r="EM82" s="14" t="n">
        <v>0</v>
      </c>
      <c r="EN82" s="14" t="n">
        <v>0</v>
      </c>
      <c r="EO82" s="14" t="n">
        <v>0</v>
      </c>
      <c r="EP82" s="14" t="n">
        <v>0</v>
      </c>
      <c r="EQ82" s="14" t="n">
        <v>0</v>
      </c>
      <c r="ER82" s="14" t="n">
        <v>0</v>
      </c>
      <c r="ES82" s="14" t="n">
        <v>0</v>
      </c>
      <c r="ET82" s="14" t="n">
        <v>0</v>
      </c>
      <c r="EU82" s="14" t="n">
        <v>0</v>
      </c>
      <c r="EV82" s="14" t="n">
        <v>0</v>
      </c>
      <c r="EW82" s="14" t="n">
        <v>0</v>
      </c>
      <c r="EX82" s="14" t="n">
        <v>0</v>
      </c>
      <c r="EY82" s="14" t="n">
        <v>0</v>
      </c>
      <c r="EZ82" s="14" t="n">
        <v>0</v>
      </c>
      <c r="FA82" s="14" t="n">
        <v>0</v>
      </c>
      <c r="FB82" s="14" t="n">
        <v>0</v>
      </c>
      <c r="FC82" s="14" t="n">
        <v>0</v>
      </c>
      <c r="FD82" s="14" t="n">
        <v>0</v>
      </c>
      <c r="FE82" s="14" t="n">
        <v>0</v>
      </c>
      <c r="FF82" s="14" t="n">
        <v>0</v>
      </c>
      <c r="FG82" s="15">
        <f>SUM(DW82,DX82,DY82,DZ82,EA82,EB82,EC82,ED82,EE82,EF82,EG82,EH82,EI82,EJ82,EK82,EL82,EM82,EN82,EO82,EP82,EQ82,ER82,ES82,ET82,EU82,EV82,EW82,EX82,EY82,EZ82,FA82,FB82,FC82,FD82,FE82,FF82)</f>
        <v/>
      </c>
      <c r="FH82" s="14" t="n">
        <v>2</v>
      </c>
      <c r="FI82" s="14" t="n">
        <v>288</v>
      </c>
      <c r="FJ82" s="14" t="n">
        <v>0</v>
      </c>
      <c r="FK82" s="14" t="n">
        <v>432</v>
      </c>
      <c r="FL82" s="14" t="n">
        <v>0</v>
      </c>
      <c r="FM82" s="14" t="n">
        <v>0</v>
      </c>
      <c r="FN82" s="14" t="n">
        <v>0</v>
      </c>
      <c r="FO82" s="14" t="n">
        <v>0</v>
      </c>
      <c r="FP82" s="14" t="n">
        <v>0</v>
      </c>
      <c r="FQ82" s="15">
        <f>FL82+FM82+FN82+FO82+FP82</f>
        <v/>
      </c>
      <c r="FR82" s="14" t="n">
        <v>0</v>
      </c>
      <c r="FS82" s="14" t="n">
        <v>0</v>
      </c>
      <c r="FT82" s="14" t="n">
        <v>0</v>
      </c>
      <c r="FU82" s="14" t="n">
        <v>0</v>
      </c>
      <c r="FV82" s="15">
        <f>FR82+FS82+FT82+FU82</f>
        <v/>
      </c>
      <c r="FW82" s="14" t="n">
        <v>2947644</v>
      </c>
      <c r="FX82" s="14" t="n">
        <v>0</v>
      </c>
      <c r="FY82" s="14" t="n">
        <v>55400</v>
      </c>
      <c r="FZ82" s="14" t="n">
        <v>809500</v>
      </c>
      <c r="GA82" s="15">
        <f>FW82+FX82+FY82+FZ82</f>
        <v/>
      </c>
      <c r="GB82" s="15">
        <f>FV82+GA82</f>
        <v/>
      </c>
      <c r="GC82" s="14" t="n">
        <v>13539.58</v>
      </c>
      <c r="GD82" s="14" t="n">
        <v>0</v>
      </c>
      <c r="GE82" s="14" t="n">
        <v>8410.99</v>
      </c>
      <c r="GF82" s="14" t="n">
        <v>0</v>
      </c>
      <c r="GG82" s="15">
        <f>GC82+GD82+GE82+GF82</f>
        <v/>
      </c>
      <c r="GH82" s="14" t="n">
        <v>2308176.7</v>
      </c>
      <c r="GI82" s="14" t="n">
        <v>0</v>
      </c>
      <c r="GJ82" s="14" t="n">
        <v>809500</v>
      </c>
      <c r="GK82" s="14" t="n">
        <v>55400</v>
      </c>
      <c r="GL82" s="15">
        <f>GH82+GI82+GJ82+GK82</f>
        <v/>
      </c>
      <c r="GM82" s="15">
        <f>GG82+GL82</f>
        <v/>
      </c>
      <c r="GN82" s="14" t="n">
        <v>1859.65</v>
      </c>
      <c r="GO82" s="14" t="n">
        <v>0</v>
      </c>
      <c r="GP82" s="14" t="n">
        <v>3393.64</v>
      </c>
      <c r="GQ82" s="14" t="n">
        <v>0</v>
      </c>
      <c r="GR82" s="15">
        <f>GN82+GO82+GP82+GQ82</f>
        <v/>
      </c>
      <c r="GS82" s="14" t="n">
        <v>2679</v>
      </c>
      <c r="GT82" s="14" t="n">
        <v>0</v>
      </c>
      <c r="GU82" s="14" t="n">
        <v>893</v>
      </c>
      <c r="GV82" s="14" t="n">
        <v>0</v>
      </c>
      <c r="GW82" s="15">
        <f>GS82+GT82+GU82+GV82</f>
        <v/>
      </c>
      <c r="GX82" s="15">
        <f>GM82+GR82+GW82</f>
        <v/>
      </c>
      <c r="GY82" s="14" t="n">
        <v>-3393132.629999976</v>
      </c>
      <c r="GZ82" s="14" t="n">
        <v>56512812.22000001</v>
      </c>
      <c r="HA82" s="15">
        <f>GY82+GZ82</f>
        <v/>
      </c>
      <c r="HB82" s="15">
        <f>IF(GX82=0,"",AU82/GX82)</f>
        <v/>
      </c>
      <c r="HC82" s="16">
        <f>IF((GX82+GY82)=0,"",GB82/(GX82+GY82))</f>
        <v/>
      </c>
      <c r="HD82" s="15">
        <f>IF(GX82=0,"",GB82/GX82)</f>
        <v/>
      </c>
      <c r="HE82" s="14" t="n">
        <v>6</v>
      </c>
      <c r="HF82" s="14" t="n">
        <v>1</v>
      </c>
      <c r="HG82" s="14" t="n">
        <v>78</v>
      </c>
      <c r="HH82" s="14" t="n">
        <v>6</v>
      </c>
      <c r="HI82" s="14" t="n">
        <v>78</v>
      </c>
      <c r="HJ82" s="15">
        <f>HF82+HI82</f>
        <v/>
      </c>
      <c r="HK82" s="16">
        <f>IF(HE82=0,"",HH82/HE82)</f>
        <v/>
      </c>
      <c r="HL82" s="14" t="n">
        <v>31</v>
      </c>
      <c r="HM82" s="14" t="n">
        <v>14</v>
      </c>
      <c r="HN82" s="17">
        <f>IF(HL82=0,"",HM82/HL82)</f>
        <v/>
      </c>
    </row>
    <row r="83">
      <c r="A83" s="6" t="inlineStr">
        <is>
          <t>Mangochi</t>
        </is>
      </c>
      <c r="B83" s="6" t="inlineStr">
        <is>
          <t>Namwera</t>
        </is>
      </c>
      <c r="C83" s="7" t="inlineStr">
        <is>
          <t>FY2025/26</t>
        </is>
      </c>
      <c r="D83" s="7" t="n">
        <v>2025</v>
      </c>
      <c r="E83" s="7" t="n">
        <v>12</v>
      </c>
      <c r="F83" s="7" t="inlineStr">
        <is>
          <t>December</t>
        </is>
      </c>
      <c r="G83" s="7" t="inlineStr">
        <is>
          <t>Q3</t>
        </is>
      </c>
      <c r="H83" s="8" t="n">
        <v>3372</v>
      </c>
      <c r="I83" s="8" t="n">
        <v>8</v>
      </c>
      <c r="J83" s="8" t="n">
        <v>0</v>
      </c>
      <c r="K83" s="8" t="n">
        <v>2</v>
      </c>
      <c r="L83" s="8" t="n">
        <v>0</v>
      </c>
      <c r="M83" s="9">
        <f>SUM(I83,J83,K83,L83)</f>
        <v/>
      </c>
      <c r="N83" s="8" t="n">
        <v>2587.5</v>
      </c>
      <c r="O83" s="8" t="n">
        <v>0</v>
      </c>
      <c r="P83" s="8" t="n">
        <v>139.7</v>
      </c>
      <c r="Q83" s="8" t="n">
        <v>14.6</v>
      </c>
      <c r="R83" s="9">
        <f>SUM(N83,O83,P83,Q83)</f>
        <v/>
      </c>
      <c r="S83" s="9">
        <f>M83+R83</f>
        <v/>
      </c>
      <c r="T83" s="8" t="n">
        <v>620.2</v>
      </c>
      <c r="U83" s="10">
        <f>IF(H83=0,"",T83/H83)</f>
        <v/>
      </c>
      <c r="V83" s="8" t="n">
        <v>3</v>
      </c>
      <c r="W83" s="11">
        <f>IF(H83=0,"",V83/H83)</f>
        <v/>
      </c>
      <c r="X83" s="8" t="n">
        <v>0</v>
      </c>
      <c r="Y83" s="11">
        <f>IF(H83=0,"",X83/H83)</f>
        <v/>
      </c>
      <c r="Z83" s="8" t="n">
        <v>0</v>
      </c>
      <c r="AA83" s="11">
        <f>IF(H83=0,"",Z83/H83)</f>
        <v/>
      </c>
      <c r="AB83" s="8" t="n">
        <v>0</v>
      </c>
      <c r="AC83" s="11">
        <f>IF(H83=0,"",AB83/H83)</f>
        <v/>
      </c>
      <c r="AD83" s="8" t="n">
        <v>0</v>
      </c>
      <c r="AE83" s="11">
        <f>IF(H83=0,"",AD83/H83)</f>
        <v/>
      </c>
      <c r="AF83" s="8" t="n">
        <v>0</v>
      </c>
      <c r="AG83" s="11">
        <f>IF(H83=0,"",AF83/H83)</f>
        <v/>
      </c>
      <c r="AH83" s="8" t="n">
        <v>71787.3</v>
      </c>
      <c r="AI83" s="9">
        <f>IF(H83=0,"",AH83/H83)</f>
        <v/>
      </c>
      <c r="AJ83" s="8" t="n">
        <v>4607</v>
      </c>
      <c r="AK83" s="11">
        <f>IF(H83=0,"",AJ83/H83)</f>
        <v/>
      </c>
      <c r="AL83" s="8" t="n">
        <v>789525.7425000001</v>
      </c>
      <c r="AM83" s="9">
        <f>IF(H83=0,"",AL83/H83)</f>
        <v/>
      </c>
      <c r="AN83" s="8" t="n">
        <v>0</v>
      </c>
      <c r="AO83" s="8" t="n">
        <v>50</v>
      </c>
      <c r="AP83" s="8" t="n">
        <v>175000</v>
      </c>
      <c r="AQ83" s="8" t="n">
        <v>0</v>
      </c>
      <c r="AR83" s="8" t="n">
        <v>3848820.96</v>
      </c>
      <c r="AS83" s="8" t="n">
        <v>938034.85</v>
      </c>
      <c r="AT83" s="8" t="n">
        <v>251190</v>
      </c>
      <c r="AU83" s="9">
        <f>AH83+AL83+AP83+AQ83+AR83+AS83+AT83</f>
        <v/>
      </c>
      <c r="AV83" s="9">
        <f>IF(H83=0,"",AU83/H83)</f>
        <v/>
      </c>
      <c r="AW83" s="9">
        <f>IF(S83=0,"",AU83/S83)</f>
        <v/>
      </c>
      <c r="AX83" s="8" t="n">
        <v>3</v>
      </c>
      <c r="AY83" s="9">
        <f>IF(H83=0,"",AX83/(H83/1000/12))</f>
        <v/>
      </c>
      <c r="AZ83" s="8" t="n">
        <v>6</v>
      </c>
      <c r="BA83" s="8" t="n">
        <v>78</v>
      </c>
      <c r="BB83" s="8" t="n">
        <v>12</v>
      </c>
      <c r="BC83" s="8" t="n">
        <v>0</v>
      </c>
      <c r="BD83" s="8" t="n">
        <v>5</v>
      </c>
      <c r="BE83" s="9">
        <f>BC83+BD83</f>
        <v/>
      </c>
      <c r="BF83" s="9">
        <f>BA83+BB83-BE83</f>
        <v/>
      </c>
      <c r="BG83" s="8" t="n">
        <v>0</v>
      </c>
      <c r="BH83" s="8" t="n">
        <v>0</v>
      </c>
      <c r="BI83" s="8" t="n">
        <v>0</v>
      </c>
      <c r="BJ83" s="8" t="n">
        <v>0</v>
      </c>
      <c r="BK83" s="9">
        <f>BI83+BJ83</f>
        <v/>
      </c>
      <c r="BL83" s="9">
        <f>BG83+BH83-BK83</f>
        <v/>
      </c>
      <c r="BM83" s="8" t="n">
        <v>0</v>
      </c>
      <c r="BN83" s="8" t="n">
        <v>0</v>
      </c>
      <c r="BO83" s="8" t="n">
        <v>0</v>
      </c>
      <c r="BP83" s="8" t="n">
        <v>0</v>
      </c>
      <c r="BQ83" s="9">
        <f>BO83+BP83</f>
        <v/>
      </c>
      <c r="BR83" s="9">
        <f>BM83+BN83-BQ83</f>
        <v/>
      </c>
      <c r="BS83" s="8" t="n">
        <v>0</v>
      </c>
      <c r="BT83" s="8" t="n">
        <v>0</v>
      </c>
      <c r="BU83" s="8" t="n">
        <v>0</v>
      </c>
      <c r="BV83" s="8" t="n">
        <v>0</v>
      </c>
      <c r="BW83" s="9">
        <f>BU83+BV83</f>
        <v/>
      </c>
      <c r="BX83" s="9">
        <f>BS83+BT83-BW83</f>
        <v/>
      </c>
      <c r="BY83" s="9">
        <f>BA83+BG83+BM83+BS83</f>
        <v/>
      </c>
      <c r="BZ83" s="9">
        <f>BB83+BH83+BN83+BT83</f>
        <v/>
      </c>
      <c r="CA83" s="9">
        <f>BE83+BK83+BQ83+BW83</f>
        <v/>
      </c>
      <c r="CB83" s="9">
        <f>BF83+BL83+BR83+BX83</f>
        <v/>
      </c>
      <c r="CC83" s="8" t="n">
        <v>6</v>
      </c>
      <c r="CD83" s="8" t="n">
        <v>219</v>
      </c>
      <c r="CE83" s="8" t="n">
        <v>0</v>
      </c>
      <c r="CF83" s="8" t="n">
        <v>0</v>
      </c>
      <c r="CG83" s="8" t="n">
        <v>0</v>
      </c>
      <c r="CH83" s="9">
        <f>CD83+CE83+CF83+CG83</f>
        <v/>
      </c>
      <c r="CI83" s="8" t="n">
        <v>3</v>
      </c>
      <c r="CJ83" s="8" t="n">
        <v>1</v>
      </c>
      <c r="CK83" s="8" t="n">
        <v>0</v>
      </c>
      <c r="CL83" s="8" t="n">
        <v>0</v>
      </c>
      <c r="CM83" s="9">
        <f>CI83+CJ83+CK83+CL83</f>
        <v/>
      </c>
      <c r="CN83" s="8" t="n">
        <v>786</v>
      </c>
      <c r="CO83" s="8" t="n">
        <v>26</v>
      </c>
      <c r="CP83" s="8" t="n">
        <v>9</v>
      </c>
      <c r="CQ83" s="8" t="n">
        <v>1</v>
      </c>
      <c r="CR83" s="9">
        <f>CN83+CO83+CP83+CQ83</f>
        <v/>
      </c>
      <c r="CS83" s="9">
        <f>CM83+CR83</f>
        <v/>
      </c>
      <c r="CT83" s="8" t="n">
        <v>1045</v>
      </c>
      <c r="CU83" s="8" t="n">
        <v>9083</v>
      </c>
      <c r="CV83" s="8" t="n">
        <v>6711</v>
      </c>
      <c r="CW83" s="10">
        <f>IF(CU83=0,"",CV83/CU83)</f>
        <v/>
      </c>
      <c r="CX83" s="8" t="n"/>
      <c r="CY83" s="8" t="n"/>
      <c r="CZ83" s="8" t="n"/>
      <c r="DA83" s="8" t="n"/>
      <c r="DB83" s="9">
        <f>CX83+CY83-CZ83-DA83</f>
        <v/>
      </c>
      <c r="DC83" s="8" t="n">
        <v>0</v>
      </c>
      <c r="DD83" s="8" t="n">
        <v>0</v>
      </c>
      <c r="DE83" s="8" t="n">
        <v>0</v>
      </c>
      <c r="DF83" s="8" t="n">
        <v>0</v>
      </c>
      <c r="DG83" s="9">
        <f>DC83+DD83-DE83-DF83</f>
        <v/>
      </c>
      <c r="DH83" s="8" t="n">
        <v>0</v>
      </c>
      <c r="DI83" s="8" t="n">
        <v>0</v>
      </c>
      <c r="DJ83" s="8" t="n">
        <v>0</v>
      </c>
      <c r="DK83" s="8" t="n">
        <v>0</v>
      </c>
      <c r="DL83" s="9">
        <f>DH83+DI83-DJ83-DK83</f>
        <v/>
      </c>
      <c r="DM83" s="8" t="n">
        <v>0</v>
      </c>
      <c r="DN83" s="8" t="n">
        <v>2</v>
      </c>
      <c r="DO83" s="8" t="n">
        <v>2</v>
      </c>
      <c r="DP83" s="8" t="n">
        <v>0</v>
      </c>
      <c r="DQ83" s="9">
        <f>DM83+DN83-DO83-DP83</f>
        <v/>
      </c>
      <c r="DR83" s="9">
        <f>CX83+DC83+DH83+DM83</f>
        <v/>
      </c>
      <c r="DS83" s="9">
        <f>CY83+DD83+DI83+DN83</f>
        <v/>
      </c>
      <c r="DT83" s="9">
        <f>CZ83+DE83+DJ83+DO83</f>
        <v/>
      </c>
      <c r="DU83" s="9">
        <f>DA83+DF83+DK83+DP83</f>
        <v/>
      </c>
      <c r="DV83" s="9">
        <f>DB83+DG83+DL83+DQ83</f>
        <v/>
      </c>
      <c r="DW83" s="8" t="n">
        <v>27</v>
      </c>
      <c r="DX83" s="8" t="n">
        <v>18</v>
      </c>
      <c r="DY83" s="8" t="n">
        <v>6</v>
      </c>
      <c r="DZ83" s="8" t="n">
        <v>1</v>
      </c>
      <c r="EA83" s="8" t="n">
        <v>1</v>
      </c>
      <c r="EB83" s="8" t="n">
        <v>1</v>
      </c>
      <c r="EC83" s="8" t="n">
        <v>0</v>
      </c>
      <c r="ED83" s="8" t="n">
        <v>0</v>
      </c>
      <c r="EE83" s="8" t="n">
        <v>1</v>
      </c>
      <c r="EF83" s="8" t="n">
        <v>0</v>
      </c>
      <c r="EG83" s="8" t="n">
        <v>0</v>
      </c>
      <c r="EH83" s="8" t="n">
        <v>0</v>
      </c>
      <c r="EI83" s="8" t="n">
        <v>0</v>
      </c>
      <c r="EJ83" s="8" t="n">
        <v>0</v>
      </c>
      <c r="EK83" s="8" t="n">
        <v>0</v>
      </c>
      <c r="EL83" s="8" t="n">
        <v>0</v>
      </c>
      <c r="EM83" s="8" t="n">
        <v>0</v>
      </c>
      <c r="EN83" s="8" t="n">
        <v>0</v>
      </c>
      <c r="EO83" s="8" t="n">
        <v>0</v>
      </c>
      <c r="EP83" s="8" t="n">
        <v>0</v>
      </c>
      <c r="EQ83" s="8" t="n">
        <v>0</v>
      </c>
      <c r="ER83" s="8" t="n">
        <v>0</v>
      </c>
      <c r="ES83" s="8" t="n">
        <v>0</v>
      </c>
      <c r="ET83" s="8" t="n">
        <v>0</v>
      </c>
      <c r="EU83" s="8" t="n">
        <v>0</v>
      </c>
      <c r="EV83" s="8" t="n">
        <v>0</v>
      </c>
      <c r="EW83" s="8" t="n">
        <v>0</v>
      </c>
      <c r="EX83" s="8" t="n">
        <v>0</v>
      </c>
      <c r="EY83" s="8" t="n">
        <v>0</v>
      </c>
      <c r="EZ83" s="8" t="n">
        <v>0</v>
      </c>
      <c r="FA83" s="8" t="n">
        <v>0</v>
      </c>
      <c r="FB83" s="8" t="n">
        <v>0</v>
      </c>
      <c r="FC83" s="8" t="n">
        <v>0</v>
      </c>
      <c r="FD83" s="8" t="n">
        <v>0</v>
      </c>
      <c r="FE83" s="8" t="n">
        <v>0</v>
      </c>
      <c r="FF83" s="8" t="n">
        <v>0</v>
      </c>
      <c r="FG83" s="9">
        <f>SUM(DW83,DX83,DY83,DZ83,EA83,EB83,EC83,ED83,EE83,EF83,EG83,EH83,EI83,EJ83,EK83,EL83,EM83,EN83,EO83,EP83,EQ83,ER83,ES83,ET83,EU83,EV83,EW83,EX83,EY83,EZ83,FA83,FB83,FC83,FD83,FE83,FF83)</f>
        <v/>
      </c>
      <c r="FH83" s="8" t="n">
        <v>2</v>
      </c>
      <c r="FI83" s="8" t="n">
        <v>504</v>
      </c>
      <c r="FJ83" s="8" t="n">
        <v>0</v>
      </c>
      <c r="FK83" s="8" t="n">
        <v>240</v>
      </c>
      <c r="FL83" s="8" t="n">
        <v>0</v>
      </c>
      <c r="FM83" s="8" t="n">
        <v>0</v>
      </c>
      <c r="FN83" s="8" t="n">
        <v>0</v>
      </c>
      <c r="FO83" s="8" t="n">
        <v>0</v>
      </c>
      <c r="FP83" s="8" t="n">
        <v>0</v>
      </c>
      <c r="FQ83" s="9">
        <f>FL83+FM83+FN83+FO83+FP83</f>
        <v/>
      </c>
      <c r="FR83" s="8" t="n">
        <v>164734.22</v>
      </c>
      <c r="FS83" s="8" t="n">
        <v>0</v>
      </c>
      <c r="FT83" s="8" t="n">
        <v>0</v>
      </c>
      <c r="FU83" s="8" t="n">
        <v>0</v>
      </c>
      <c r="FV83" s="9">
        <f>FR83+FS83+FT83+FU83</f>
        <v/>
      </c>
      <c r="FW83" s="8" t="n">
        <v>4272295</v>
      </c>
      <c r="FX83" s="8" t="n">
        <v>0</v>
      </c>
      <c r="FY83" s="8" t="n">
        <v>69400</v>
      </c>
      <c r="FZ83" s="8" t="n">
        <v>410000</v>
      </c>
      <c r="GA83" s="9">
        <f>FW83+FX83+FY83+FZ83</f>
        <v/>
      </c>
      <c r="GB83" s="9">
        <f>FV83+GA83</f>
        <v/>
      </c>
      <c r="GC83" s="8" t="n">
        <v>10020.78</v>
      </c>
      <c r="GD83" s="8" t="n">
        <v>0</v>
      </c>
      <c r="GE83" s="8" t="n">
        <v>8410.99</v>
      </c>
      <c r="GF83" s="8" t="n">
        <v>0</v>
      </c>
      <c r="GG83" s="9">
        <f>GC83+GD83+GE83+GF83</f>
        <v/>
      </c>
      <c r="GH83" s="8" t="n">
        <v>3230401.5</v>
      </c>
      <c r="GI83" s="8" t="n">
        <v>0</v>
      </c>
      <c r="GJ83" s="8" t="n">
        <v>410000</v>
      </c>
      <c r="GK83" s="8" t="n">
        <v>69400</v>
      </c>
      <c r="GL83" s="9">
        <f>GH83+GI83+GJ83+GK83</f>
        <v/>
      </c>
      <c r="GM83" s="9">
        <f>GG83+GL83</f>
        <v/>
      </c>
      <c r="GN83" s="8" t="n">
        <v>1860</v>
      </c>
      <c r="GO83" s="8" t="n">
        <v>0</v>
      </c>
      <c r="GP83" s="8" t="n">
        <v>3393.64</v>
      </c>
      <c r="GQ83" s="8" t="n">
        <v>0</v>
      </c>
      <c r="GR83" s="9">
        <f>GN83+GO83+GP83+GQ83</f>
        <v/>
      </c>
      <c r="GS83" s="8" t="n">
        <v>2679</v>
      </c>
      <c r="GT83" s="8" t="n">
        <v>0</v>
      </c>
      <c r="GU83" s="8" t="n">
        <v>893</v>
      </c>
      <c r="GV83" s="8" t="n">
        <v>0</v>
      </c>
      <c r="GW83" s="9">
        <f>GS83+GT83+GU83+GV83</f>
        <v/>
      </c>
      <c r="GX83" s="9">
        <f>GM83+GR83+GW83</f>
        <v/>
      </c>
      <c r="GY83" s="8" t="n">
        <v>-3388354.439999976</v>
      </c>
      <c r="GZ83" s="8" t="n">
        <v>56321200.63000002</v>
      </c>
      <c r="HA83" s="9">
        <f>GY83+GZ83</f>
        <v/>
      </c>
      <c r="HB83" s="9">
        <f>IF(GX83=0,"",AU83/GX83)</f>
        <v/>
      </c>
      <c r="HC83" s="10">
        <f>IF((GX83+GY83)=0,"",GB83/(GX83+GY83))</f>
        <v/>
      </c>
      <c r="HD83" s="9">
        <f>IF(GX83=0,"",GB83/GX83)</f>
        <v/>
      </c>
      <c r="HE83" s="8" t="n">
        <v>85</v>
      </c>
      <c r="HF83" s="8" t="n">
        <v>1</v>
      </c>
      <c r="HG83" s="8" t="n">
        <v>85</v>
      </c>
      <c r="HH83" s="8" t="n">
        <v>12</v>
      </c>
      <c r="HI83" s="8" t="n">
        <v>90</v>
      </c>
      <c r="HJ83" s="9">
        <f>HF83+HI83</f>
        <v/>
      </c>
      <c r="HK83" s="10">
        <f>IF(HE83=0,"",HH83/HE83)</f>
        <v/>
      </c>
      <c r="HL83" s="8" t="n">
        <v>14</v>
      </c>
      <c r="HM83" s="8" t="n">
        <v>14</v>
      </c>
      <c r="HN83" s="11">
        <f>IF(HL83=0,"",HM83/HL83)</f>
        <v/>
      </c>
    </row>
    <row r="84">
      <c r="A84" s="12" t="inlineStr">
        <is>
          <t>Mangochi</t>
        </is>
      </c>
      <c r="B84" s="12" t="inlineStr">
        <is>
          <t>Namwera</t>
        </is>
      </c>
      <c r="C84" s="13" t="inlineStr">
        <is>
          <t>FY2025/26</t>
        </is>
      </c>
      <c r="D84" s="13" t="n">
        <v>2026</v>
      </c>
      <c r="E84" s="13" t="n">
        <v>1</v>
      </c>
      <c r="F84" s="13" t="inlineStr">
        <is>
          <t>January</t>
        </is>
      </c>
      <c r="G84" s="13" t="inlineStr">
        <is>
          <t>Q4</t>
        </is>
      </c>
      <c r="H84" s="14" t="n">
        <v>4283</v>
      </c>
      <c r="I84" s="14" t="n">
        <v>6</v>
      </c>
      <c r="J84" s="14" t="n">
        <v>0</v>
      </c>
      <c r="K84" s="14" t="n">
        <v>9</v>
      </c>
      <c r="L84" s="14" t="n">
        <v>0</v>
      </c>
      <c r="M84" s="15" t="n">
        <v>15</v>
      </c>
      <c r="N84" s="14" t="n">
        <v>2626.700000000001</v>
      </c>
      <c r="O84" s="14" t="n">
        <v>0</v>
      </c>
      <c r="P84" s="14" t="n">
        <v>406</v>
      </c>
      <c r="Q84" s="14" t="n">
        <v>10.6</v>
      </c>
      <c r="R84" s="15" t="n">
        <v>3043.300000000001</v>
      </c>
      <c r="S84" s="15" t="n">
        <v>3058.300000000001</v>
      </c>
      <c r="T84" s="14" t="n">
        <v>1224.699999999999</v>
      </c>
      <c r="U84" s="16" t="n">
        <v>0.2859444314732661</v>
      </c>
      <c r="V84" s="14" t="n">
        <v>4</v>
      </c>
      <c r="W84" s="17" t="n">
        <v>0.9339248190520663</v>
      </c>
      <c r="X84" s="14" t="n">
        <v>0</v>
      </c>
      <c r="Y84" s="17" t="n">
        <v>0</v>
      </c>
      <c r="Z84" s="14" t="n">
        <v>0</v>
      </c>
      <c r="AA84" s="17" t="n">
        <v>0</v>
      </c>
      <c r="AB84" s="14" t="n">
        <v>0</v>
      </c>
      <c r="AC84" s="17" t="n">
        <v>0</v>
      </c>
      <c r="AD84" s="14" t="n">
        <v>0</v>
      </c>
      <c r="AE84" s="17" t="n">
        <v>0</v>
      </c>
      <c r="AF84" s="14" t="n">
        <v>0</v>
      </c>
      <c r="AG84" s="17" t="n">
        <v>0</v>
      </c>
      <c r="AH84" s="14" t="n">
        <v>95716.39999999999</v>
      </c>
      <c r="AI84" s="15" t="n">
        <v>22.3479803875788</v>
      </c>
      <c r="AJ84" s="14" t="n">
        <v>4831</v>
      </c>
      <c r="AK84" s="17" t="n">
        <v>1.127947700210133</v>
      </c>
      <c r="AL84" s="14" t="n">
        <v>826973.5025000001</v>
      </c>
      <c r="AM84" s="15" t="n">
        <v>193.0827696707915</v>
      </c>
      <c r="AN84" s="14" t="n">
        <v>0</v>
      </c>
      <c r="AO84" s="14" t="n">
        <v>0</v>
      </c>
      <c r="AP84" s="14" t="n">
        <v>0</v>
      </c>
      <c r="AQ84" s="14" t="n">
        <v>0</v>
      </c>
      <c r="AR84" s="14" t="n">
        <v>3848820.96</v>
      </c>
      <c r="AS84" s="14" t="n">
        <v>1066155.2</v>
      </c>
      <c r="AT84" s="14" t="n">
        <v>253050</v>
      </c>
      <c r="AU84" s="15" t="n">
        <v>6090716.0625</v>
      </c>
      <c r="AV84" s="15" t="n">
        <v>1422.067724141957</v>
      </c>
      <c r="AW84" s="15" t="n">
        <v>1991.536494948173</v>
      </c>
      <c r="AX84" s="14" t="n">
        <v>3</v>
      </c>
      <c r="AY84" s="15" t="n">
        <v>21.71375204296054</v>
      </c>
      <c r="AZ84" s="14" t="n">
        <v>6</v>
      </c>
      <c r="BA84" s="14" t="n">
        <v>85</v>
      </c>
      <c r="BB84" s="14" t="n">
        <v>5</v>
      </c>
      <c r="BC84" s="14" t="n">
        <v>0</v>
      </c>
      <c r="BD84" s="14" t="n">
        <v>11</v>
      </c>
      <c r="BE84" s="15" t="n">
        <v>11</v>
      </c>
      <c r="BF84" s="15" t="n">
        <v>79</v>
      </c>
      <c r="BG84" s="14" t="n">
        <v>0</v>
      </c>
      <c r="BH84" s="14" t="n">
        <v>0</v>
      </c>
      <c r="BI84" s="14" t="n">
        <v>0</v>
      </c>
      <c r="BJ84" s="14" t="n">
        <v>0</v>
      </c>
      <c r="BK84" s="15" t="n">
        <v>0</v>
      </c>
      <c r="BL84" s="15" t="n">
        <v>0</v>
      </c>
      <c r="BM84" s="14" t="n">
        <v>0</v>
      </c>
      <c r="BN84" s="14" t="n">
        <v>0</v>
      </c>
      <c r="BO84" s="14" t="n">
        <v>0</v>
      </c>
      <c r="BP84" s="14" t="n">
        <v>0</v>
      </c>
      <c r="BQ84" s="15" t="n">
        <v>0</v>
      </c>
      <c r="BR84" s="15" t="n">
        <v>0</v>
      </c>
      <c r="BS84" s="14" t="n">
        <v>0</v>
      </c>
      <c r="BT84" s="14" t="n">
        <v>0</v>
      </c>
      <c r="BU84" s="14" t="n">
        <v>0</v>
      </c>
      <c r="BV84" s="14" t="n">
        <v>0</v>
      </c>
      <c r="BW84" s="15" t="n">
        <v>0</v>
      </c>
      <c r="BX84" s="15" t="n">
        <v>0</v>
      </c>
      <c r="BY84" s="15" t="n">
        <v>85</v>
      </c>
      <c r="BZ84" s="15" t="n">
        <v>5</v>
      </c>
      <c r="CA84" s="15" t="n">
        <v>11</v>
      </c>
      <c r="CB84" s="15" t="n">
        <v>79</v>
      </c>
      <c r="CC84" s="14" t="n">
        <v>12</v>
      </c>
      <c r="CD84" s="14" t="n">
        <v>219</v>
      </c>
      <c r="CE84" s="14" t="n">
        <v>0</v>
      </c>
      <c r="CF84" s="14" t="n">
        <v>0</v>
      </c>
      <c r="CG84" s="14" t="n">
        <v>0</v>
      </c>
      <c r="CH84" s="15" t="n">
        <v>219</v>
      </c>
      <c r="CI84" s="14" t="n">
        <v>3</v>
      </c>
      <c r="CJ84" s="14" t="n">
        <v>1</v>
      </c>
      <c r="CK84" s="14" t="n">
        <v>0</v>
      </c>
      <c r="CL84" s="14" t="n">
        <v>0</v>
      </c>
      <c r="CM84" s="15" t="n">
        <v>4</v>
      </c>
      <c r="CN84" s="14" t="n">
        <v>797</v>
      </c>
      <c r="CO84" s="14" t="n">
        <v>26</v>
      </c>
      <c r="CP84" s="14" t="n">
        <v>9</v>
      </c>
      <c r="CQ84" s="14" t="n">
        <v>1</v>
      </c>
      <c r="CR84" s="15" t="n">
        <v>833</v>
      </c>
      <c r="CS84" s="15" t="n">
        <v>837</v>
      </c>
      <c r="CT84" s="14" t="n">
        <v>1056</v>
      </c>
      <c r="CU84" s="14" t="n">
        <v>9098</v>
      </c>
      <c r="CV84" s="14" t="n">
        <v>6766</v>
      </c>
      <c r="CW84" s="16" t="n">
        <v>0.7436799296548692</v>
      </c>
      <c r="CX84" s="14" t="n">
        <v>0</v>
      </c>
      <c r="CY84" s="14" t="n">
        <v>0</v>
      </c>
      <c r="CZ84" s="14" t="n">
        <v>0</v>
      </c>
      <c r="DA84" s="14" t="n">
        <v>0</v>
      </c>
      <c r="DB84" s="15" t="n">
        <v>0</v>
      </c>
      <c r="DC84" s="14" t="n">
        <v>0</v>
      </c>
      <c r="DD84" s="14" t="n">
        <v>0</v>
      </c>
      <c r="DE84" s="14" t="n">
        <v>0</v>
      </c>
      <c r="DF84" s="14" t="n">
        <v>0</v>
      </c>
      <c r="DG84" s="15" t="n">
        <v>0</v>
      </c>
      <c r="DH84" s="14" t="n">
        <v>0</v>
      </c>
      <c r="DI84" s="14" t="n">
        <v>0</v>
      </c>
      <c r="DJ84" s="14" t="n">
        <v>0</v>
      </c>
      <c r="DK84" s="14" t="n">
        <v>0</v>
      </c>
      <c r="DL84" s="15" t="n">
        <v>0</v>
      </c>
      <c r="DM84" s="14" t="n">
        <v>0</v>
      </c>
      <c r="DN84" s="14" t="n">
        <v>0</v>
      </c>
      <c r="DO84" s="14" t="n">
        <v>0</v>
      </c>
      <c r="DP84" s="14" t="n">
        <v>0</v>
      </c>
      <c r="DQ84" s="15" t="n">
        <v>0</v>
      </c>
      <c r="DR84" s="15" t="n">
        <v>0</v>
      </c>
      <c r="DS84" s="15" t="n">
        <v>0</v>
      </c>
      <c r="DT84" s="15" t="n">
        <v>0</v>
      </c>
      <c r="DU84" s="15" t="n">
        <v>0</v>
      </c>
      <c r="DV84" s="15" t="n">
        <v>0</v>
      </c>
      <c r="DW84" s="14" t="n">
        <v>25</v>
      </c>
      <c r="DX84" s="14" t="n">
        <v>13</v>
      </c>
      <c r="DY84" s="14" t="n">
        <v>2</v>
      </c>
      <c r="DZ84" s="14" t="n">
        <v>0</v>
      </c>
      <c r="EA84" s="14" t="n">
        <v>1</v>
      </c>
      <c r="EB84" s="14" t="n">
        <v>1</v>
      </c>
      <c r="EC84" s="14" t="n">
        <v>0</v>
      </c>
      <c r="ED84" s="14" t="n">
        <v>0</v>
      </c>
      <c r="EE84" s="14" t="n">
        <v>0</v>
      </c>
      <c r="EF84" s="14" t="n">
        <v>0</v>
      </c>
      <c r="EG84" s="14" t="n">
        <v>0</v>
      </c>
      <c r="EH84" s="14" t="n">
        <v>0</v>
      </c>
      <c r="EI84" s="14" t="n">
        <v>0</v>
      </c>
      <c r="EJ84" s="14" t="n">
        <v>0</v>
      </c>
      <c r="EK84" s="14" t="n">
        <v>1</v>
      </c>
      <c r="EL84" s="14" t="n">
        <v>2</v>
      </c>
      <c r="EM84" s="14" t="n">
        <v>0</v>
      </c>
      <c r="EN84" s="14" t="n">
        <v>0</v>
      </c>
      <c r="EO84" s="14" t="n">
        <v>1</v>
      </c>
      <c r="EP84" s="14" t="n">
        <v>0</v>
      </c>
      <c r="EQ84" s="14" t="n">
        <v>0</v>
      </c>
      <c r="ER84" s="14" t="n">
        <v>0</v>
      </c>
      <c r="ES84" s="14" t="n">
        <v>0</v>
      </c>
      <c r="ET84" s="14" t="n">
        <v>0</v>
      </c>
      <c r="EU84" s="14" t="n">
        <v>0</v>
      </c>
      <c r="EV84" s="14" t="n">
        <v>0</v>
      </c>
      <c r="EW84" s="14" t="n">
        <v>0</v>
      </c>
      <c r="EX84" s="14" t="n">
        <v>0</v>
      </c>
      <c r="EY84" s="14" t="n">
        <v>0</v>
      </c>
      <c r="EZ84" s="14" t="n">
        <v>0</v>
      </c>
      <c r="FA84" s="14" t="n">
        <v>0</v>
      </c>
      <c r="FB84" s="14" t="n">
        <v>0</v>
      </c>
      <c r="FC84" s="14" t="n">
        <v>0</v>
      </c>
      <c r="FD84" s="14" t="n">
        <v>0</v>
      </c>
      <c r="FE84" s="14" t="n">
        <v>0</v>
      </c>
      <c r="FF84" s="14" t="n">
        <v>0</v>
      </c>
      <c r="FG84" s="15" t="n">
        <v>46</v>
      </c>
      <c r="FH84" s="14" t="n">
        <v>2</v>
      </c>
      <c r="FI84" s="14" t="n">
        <v>696</v>
      </c>
      <c r="FJ84" s="14" t="n">
        <v>0</v>
      </c>
      <c r="FK84" s="14" t="n">
        <v>48</v>
      </c>
      <c r="FL84" s="14" t="n">
        <v>0</v>
      </c>
      <c r="FM84" s="14" t="n">
        <v>0</v>
      </c>
      <c r="FN84" s="14" t="n">
        <v>0</v>
      </c>
      <c r="FO84" s="14" t="n">
        <v>0</v>
      </c>
      <c r="FP84" s="14" t="n">
        <v>0</v>
      </c>
      <c r="FQ84" s="15" t="n">
        <v>0</v>
      </c>
      <c r="FR84" s="14" t="n">
        <v>0</v>
      </c>
      <c r="FS84" s="14" t="n">
        <v>0</v>
      </c>
      <c r="FT84" s="14" t="n">
        <v>0</v>
      </c>
      <c r="FU84" s="14" t="n">
        <v>0</v>
      </c>
      <c r="FV84" s="15" t="n">
        <v>0</v>
      </c>
      <c r="FW84" s="14" t="n">
        <v>4102714</v>
      </c>
      <c r="FX84" s="14" t="n">
        <v>0</v>
      </c>
      <c r="FY84" s="14" t="n">
        <v>50000</v>
      </c>
      <c r="FZ84" s="14" t="n">
        <v>1233700</v>
      </c>
      <c r="GA84" s="15" t="n">
        <v>5386414</v>
      </c>
      <c r="GB84" s="15" t="n">
        <v>5386414</v>
      </c>
      <c r="GC84" s="14" t="n">
        <v>10020.78</v>
      </c>
      <c r="GD84" s="14" t="n">
        <v>0</v>
      </c>
      <c r="GE84" s="14" t="n">
        <v>21721.79</v>
      </c>
      <c r="GF84" s="14" t="n">
        <v>0</v>
      </c>
      <c r="GG84" s="15" t="n">
        <v>31742.57</v>
      </c>
      <c r="GH84" s="14" t="n">
        <v>3276417.77</v>
      </c>
      <c r="GI84" s="14" t="n">
        <v>0</v>
      </c>
      <c r="GJ84" s="14" t="n">
        <v>1233700</v>
      </c>
      <c r="GK84" s="14" t="n">
        <v>50000</v>
      </c>
      <c r="GL84" s="15" t="n">
        <v>4560117.77</v>
      </c>
      <c r="GM84" s="15" t="n">
        <v>4591860.34</v>
      </c>
      <c r="GN84" s="14" t="n">
        <v>1860</v>
      </c>
      <c r="GO84" s="14" t="n">
        <v>0</v>
      </c>
      <c r="GP84" s="14" t="n">
        <v>3393.64</v>
      </c>
      <c r="GQ84" s="14" t="n">
        <v>0</v>
      </c>
      <c r="GR84" s="15" t="n">
        <v>5253.639999999999</v>
      </c>
      <c r="GS84" s="14" t="n">
        <v>2679</v>
      </c>
      <c r="GT84" s="14" t="n">
        <v>0</v>
      </c>
      <c r="GU84" s="14" t="n">
        <v>893</v>
      </c>
      <c r="GV84" s="14" t="n">
        <v>0</v>
      </c>
      <c r="GW84" s="15" t="n">
        <v>3572</v>
      </c>
      <c r="GX84" s="15" t="n">
        <v>4600685.98</v>
      </c>
      <c r="GY84" s="14" t="n">
        <v>-3383576.249999984</v>
      </c>
      <c r="GZ84" s="14" t="n">
        <v>56356990.30000002</v>
      </c>
      <c r="HA84" s="15" t="n">
        <v>52973414.05000003</v>
      </c>
      <c r="HB84" s="15" t="n">
        <v>4600685.98</v>
      </c>
      <c r="HC84" s="16" t="n">
        <v>-3383576.249999984</v>
      </c>
      <c r="HD84" s="15" t="n">
        <v>56356990.30000002</v>
      </c>
      <c r="HE84" s="14" t="n">
        <v>90</v>
      </c>
      <c r="HF84" s="14" t="n">
        <v>1</v>
      </c>
      <c r="HG84" s="14" t="n">
        <v>79</v>
      </c>
      <c r="HH84" s="14" t="n">
        <v>5</v>
      </c>
      <c r="HI84" s="14" t="n">
        <v>11</v>
      </c>
      <c r="HJ84" s="15" t="n">
        <v>2.2</v>
      </c>
      <c r="HK84" s="16" t="n">
        <v>0</v>
      </c>
      <c r="HL84" s="14" t="n">
        <v>18</v>
      </c>
      <c r="HM84" s="14" t="n">
        <v>18</v>
      </c>
      <c r="HN84" s="17" t="n">
        <v>1</v>
      </c>
    </row>
    <row r="85">
      <c r="A85" s="6" t="inlineStr">
        <is>
          <t>Mangochi</t>
        </is>
      </c>
      <c r="B85" s="6" t="inlineStr">
        <is>
          <t>Namwera</t>
        </is>
      </c>
      <c r="C85" s="7" t="inlineStr">
        <is>
          <t>FY2025/26</t>
        </is>
      </c>
      <c r="D85" s="7" t="n">
        <v>2026</v>
      </c>
      <c r="E85" s="7" t="n">
        <v>2</v>
      </c>
      <c r="F85" s="7" t="inlineStr">
        <is>
          <t>February</t>
        </is>
      </c>
      <c r="G85" s="7" t="inlineStr">
        <is>
          <t>Q4</t>
        </is>
      </c>
      <c r="H85" s="8" t="n">
        <v>3702</v>
      </c>
      <c r="I85" s="8" t="n">
        <v>7</v>
      </c>
      <c r="J85" s="8" t="n">
        <v>0</v>
      </c>
      <c r="K85" s="8" t="n">
        <v>2</v>
      </c>
      <c r="L85" s="8" t="n">
        <v>0</v>
      </c>
      <c r="M85" s="9">
        <f>SUM(I85,J85,K85,L85)</f>
        <v/>
      </c>
      <c r="N85" s="8" t="n">
        <v>2770.4</v>
      </c>
      <c r="O85" s="8" t="n">
        <v>0</v>
      </c>
      <c r="P85" s="8" t="n">
        <v>178.7</v>
      </c>
      <c r="Q85" s="8" t="n">
        <v>18</v>
      </c>
      <c r="R85" s="9">
        <f>SUM(N85,O85,P85,Q85)</f>
        <v/>
      </c>
      <c r="S85" s="9">
        <f>M85+R85</f>
        <v/>
      </c>
      <c r="T85" s="8" t="n">
        <v>725.9000000000005</v>
      </c>
      <c r="U85" s="10">
        <f>IF(H85=0,"",T85/H85)</f>
        <v/>
      </c>
      <c r="V85" s="8" t="n">
        <v>4</v>
      </c>
      <c r="W85" s="11">
        <f>IF(H85=0,"",V85/H85)</f>
        <v/>
      </c>
      <c r="X85" s="8" t="n">
        <v>0</v>
      </c>
      <c r="Y85" s="11">
        <f>IF(H85=0,"",X85/H85)</f>
        <v/>
      </c>
      <c r="Z85" s="8" t="n">
        <v>0</v>
      </c>
      <c r="AA85" s="11">
        <f>IF(H85=0,"",Z85/H85)</f>
        <v/>
      </c>
      <c r="AB85" s="8" t="n">
        <v>0</v>
      </c>
      <c r="AC85" s="11">
        <f>IF(H85=0,"",AB85/H85)</f>
        <v/>
      </c>
      <c r="AD85" s="8" t="n">
        <v>0</v>
      </c>
      <c r="AE85" s="11">
        <f>IF(H85=0,"",AD85/H85)</f>
        <v/>
      </c>
      <c r="AF85" s="8" t="n">
        <v>0</v>
      </c>
      <c r="AG85" s="11">
        <f>IF(H85=0,"",AF85/H85)</f>
        <v/>
      </c>
      <c r="AH85" s="8" t="n">
        <v>95716.39999999999</v>
      </c>
      <c r="AI85" s="9">
        <f>IF(H85=0,"",AH85/H85)</f>
        <v/>
      </c>
      <c r="AJ85" s="8" t="n">
        <v>2898</v>
      </c>
      <c r="AK85" s="11">
        <f>IF(H85=0,"",AJ85/H85)</f>
        <v/>
      </c>
      <c r="AL85" s="8" t="n">
        <v>503819.395</v>
      </c>
      <c r="AM85" s="9">
        <f>IF(H85=0,"",AL85/H85)</f>
        <v/>
      </c>
      <c r="AN85" s="8" t="n">
        <v>0</v>
      </c>
      <c r="AO85" s="8" t="n">
        <v>0</v>
      </c>
      <c r="AP85" s="8" t="n">
        <v>0</v>
      </c>
      <c r="AQ85" s="8" t="n">
        <v>0</v>
      </c>
      <c r="AR85" s="8" t="n">
        <v>3848820.96</v>
      </c>
      <c r="AS85" s="8" t="n">
        <v>955905.0599999999</v>
      </c>
      <c r="AT85" s="8" t="n">
        <v>255490</v>
      </c>
      <c r="AU85" s="9">
        <f>AH85+AL85+AP85+AQ85+AR85+AS85+AT85</f>
        <v/>
      </c>
      <c r="AV85" s="9">
        <f>IF(H85=0,"",AU85/H85)</f>
        <v/>
      </c>
      <c r="AW85" s="9">
        <f>IF(S85=0,"",AU85/S85)</f>
        <v/>
      </c>
      <c r="AX85" s="8" t="n">
        <v>3</v>
      </c>
      <c r="AY85" s="9">
        <f>IF(H85=0,"",AX85/(H85/1000/12))</f>
        <v/>
      </c>
      <c r="AZ85" s="8" t="n">
        <v>6</v>
      </c>
      <c r="BA85" s="8" t="n">
        <v>79</v>
      </c>
      <c r="BB85" s="8" t="n">
        <v>5</v>
      </c>
      <c r="BC85" s="8" t="n">
        <v>0</v>
      </c>
      <c r="BD85" s="8" t="n">
        <v>10</v>
      </c>
      <c r="BE85" s="9">
        <f>BC85+BD85</f>
        <v/>
      </c>
      <c r="BF85" s="9">
        <f>BA85+BB85-BE85</f>
        <v/>
      </c>
      <c r="BG85" s="8" t="n">
        <v>0</v>
      </c>
      <c r="BH85" s="8" t="n">
        <v>0</v>
      </c>
      <c r="BI85" s="8" t="n">
        <v>0</v>
      </c>
      <c r="BJ85" s="8" t="n">
        <v>0</v>
      </c>
      <c r="BK85" s="9">
        <f>BI85+BJ85</f>
        <v/>
      </c>
      <c r="BL85" s="9">
        <f>BG85+BH85-BK85</f>
        <v/>
      </c>
      <c r="BM85" s="8" t="n">
        <v>0</v>
      </c>
      <c r="BN85" s="8" t="n">
        <v>0</v>
      </c>
      <c r="BO85" s="8" t="n">
        <v>0</v>
      </c>
      <c r="BP85" s="8" t="n">
        <v>0</v>
      </c>
      <c r="BQ85" s="9">
        <f>BO85+BP85</f>
        <v/>
      </c>
      <c r="BR85" s="9">
        <f>BM85+BN85-BQ85</f>
        <v/>
      </c>
      <c r="BS85" s="8" t="n">
        <v>0</v>
      </c>
      <c r="BT85" s="8" t="n">
        <v>0</v>
      </c>
      <c r="BU85" s="8" t="n">
        <v>0</v>
      </c>
      <c r="BV85" s="8" t="n">
        <v>0</v>
      </c>
      <c r="BW85" s="9">
        <f>BU85+BV85</f>
        <v/>
      </c>
      <c r="BX85" s="9">
        <f>BS85+BT85-BW85</f>
        <v/>
      </c>
      <c r="BY85" s="9">
        <f>BA85+BG85+BM85+BS85</f>
        <v/>
      </c>
      <c r="BZ85" s="9">
        <f>BB85+BH85+BN85+BT85</f>
        <v/>
      </c>
      <c r="CA85" s="9">
        <f>BE85+BK85+BQ85+BW85</f>
        <v/>
      </c>
      <c r="CB85" s="9">
        <f>BF85+BL85+BR85+BX85</f>
        <v/>
      </c>
      <c r="CC85" s="8" t="n">
        <v>11</v>
      </c>
      <c r="CD85" s="8" t="n">
        <v>218</v>
      </c>
      <c r="CE85" s="8" t="n">
        <v>0</v>
      </c>
      <c r="CF85" s="8" t="n">
        <v>0</v>
      </c>
      <c r="CG85" s="8" t="n">
        <v>0</v>
      </c>
      <c r="CH85" s="9">
        <f>CD85+CE85+CF85+CG85</f>
        <v/>
      </c>
      <c r="CI85" s="8" t="n">
        <v>3</v>
      </c>
      <c r="CJ85" s="8" t="n">
        <v>1</v>
      </c>
      <c r="CK85" s="8" t="n">
        <v>0</v>
      </c>
      <c r="CL85" s="8" t="n">
        <v>0</v>
      </c>
      <c r="CM85" s="9">
        <f>CI85+CJ85+CK85+CL85</f>
        <v/>
      </c>
      <c r="CN85" s="8" t="n">
        <v>808</v>
      </c>
      <c r="CO85" s="8" t="n">
        <v>26</v>
      </c>
      <c r="CP85" s="8" t="n">
        <v>9</v>
      </c>
      <c r="CQ85" s="8" t="n">
        <v>1</v>
      </c>
      <c r="CR85" s="9">
        <f>CN85+CO85+CP85+CQ85</f>
        <v/>
      </c>
      <c r="CS85" s="9">
        <f>CM85+CR85</f>
        <v/>
      </c>
      <c r="CT85" s="8" t="n">
        <v>1066</v>
      </c>
      <c r="CU85" s="8" t="n">
        <v>9113</v>
      </c>
      <c r="CV85" s="8" t="n">
        <v>6816</v>
      </c>
      <c r="CW85" s="10">
        <f>IF(CU85=0,"",CV85/CU85)</f>
        <v/>
      </c>
      <c r="CX85" s="8" t="n"/>
      <c r="CY85" s="8" t="n"/>
      <c r="CZ85" s="8" t="n"/>
      <c r="DA85" s="8" t="n"/>
      <c r="DB85" s="9">
        <f>CX85+CY85-CZ85-DA85</f>
        <v/>
      </c>
      <c r="DC85" s="8" t="n">
        <v>0</v>
      </c>
      <c r="DD85" s="8" t="n">
        <v>0</v>
      </c>
      <c r="DE85" s="8" t="n">
        <v>0</v>
      </c>
      <c r="DF85" s="8" t="n">
        <v>0</v>
      </c>
      <c r="DG85" s="9">
        <f>DC85+DD85-DE85-DF85</f>
        <v/>
      </c>
      <c r="DH85" s="8" t="n">
        <v>0</v>
      </c>
      <c r="DI85" s="8" t="n">
        <v>0</v>
      </c>
      <c r="DJ85" s="8" t="n">
        <v>0</v>
      </c>
      <c r="DK85" s="8" t="n">
        <v>0</v>
      </c>
      <c r="DL85" s="9">
        <f>DH85+DI85-DJ85-DK85</f>
        <v/>
      </c>
      <c r="DM85" s="8" t="n">
        <v>0</v>
      </c>
      <c r="DN85" s="8" t="n">
        <v>16</v>
      </c>
      <c r="DO85" s="8" t="n">
        <v>10</v>
      </c>
      <c r="DP85" s="8" t="n">
        <v>0</v>
      </c>
      <c r="DQ85" s="9">
        <f>DM85+DN85-DO85-DP85</f>
        <v/>
      </c>
      <c r="DR85" s="9">
        <f>CX85+DC85+DH85+DM85</f>
        <v/>
      </c>
      <c r="DS85" s="9">
        <f>CY85+DD85+DI85+DN85</f>
        <v/>
      </c>
      <c r="DT85" s="9">
        <f>CZ85+DE85+DJ85+DO85</f>
        <v/>
      </c>
      <c r="DU85" s="9">
        <f>DA85+DF85+DK85+DP85</f>
        <v/>
      </c>
      <c r="DV85" s="9">
        <f>DB85+DG85+DL85+DQ85</f>
        <v/>
      </c>
      <c r="DW85" s="8" t="n">
        <v>20</v>
      </c>
      <c r="DX85" s="8" t="n">
        <v>4</v>
      </c>
      <c r="DY85" s="8" t="n">
        <v>7</v>
      </c>
      <c r="DZ85" s="8" t="n">
        <v>0</v>
      </c>
      <c r="EA85" s="8" t="n">
        <v>2</v>
      </c>
      <c r="EB85" s="8" t="n">
        <v>2</v>
      </c>
      <c r="EC85" s="8" t="n">
        <v>0</v>
      </c>
      <c r="ED85" s="8" t="n">
        <v>0</v>
      </c>
      <c r="EE85" s="8" t="n">
        <v>0</v>
      </c>
      <c r="EF85" s="8" t="n">
        <v>0</v>
      </c>
      <c r="EG85" s="8" t="n">
        <v>0</v>
      </c>
      <c r="EH85" s="8" t="n">
        <v>0</v>
      </c>
      <c r="EI85" s="8" t="n">
        <v>0</v>
      </c>
      <c r="EJ85" s="8" t="n">
        <v>0</v>
      </c>
      <c r="EK85" s="8" t="n">
        <v>2</v>
      </c>
      <c r="EL85" s="8" t="n">
        <v>1</v>
      </c>
      <c r="EM85" s="8" t="n">
        <v>0</v>
      </c>
      <c r="EN85" s="8" t="n">
        <v>0</v>
      </c>
      <c r="EO85" s="8" t="n">
        <v>0</v>
      </c>
      <c r="EP85" s="8" t="n">
        <v>0</v>
      </c>
      <c r="EQ85" s="8" t="n">
        <v>0</v>
      </c>
      <c r="ER85" s="8" t="n">
        <v>0</v>
      </c>
      <c r="ES85" s="8" t="n">
        <v>0</v>
      </c>
      <c r="ET85" s="8" t="n">
        <v>0</v>
      </c>
      <c r="EU85" s="8" t="n">
        <v>0</v>
      </c>
      <c r="EV85" s="8" t="n">
        <v>0</v>
      </c>
      <c r="EW85" s="8" t="n">
        <v>0</v>
      </c>
      <c r="EX85" s="8" t="n">
        <v>0</v>
      </c>
      <c r="EY85" s="8" t="n">
        <v>0</v>
      </c>
      <c r="EZ85" s="8" t="n">
        <v>0</v>
      </c>
      <c r="FA85" s="8" t="n">
        <v>0</v>
      </c>
      <c r="FB85" s="8" t="n">
        <v>0</v>
      </c>
      <c r="FC85" s="8" t="n">
        <v>0</v>
      </c>
      <c r="FD85" s="8" t="n">
        <v>0</v>
      </c>
      <c r="FE85" s="8" t="n">
        <v>0</v>
      </c>
      <c r="FF85" s="8" t="n">
        <v>0</v>
      </c>
      <c r="FG85" s="9">
        <f>SUM(DW85,DX85,DY85,DZ85,EA85,EB85,EC85,ED85,EE85,EF85,EG85,EH85,EI85,EJ85,EK85,EL85,EM85,EN85,EO85,EP85,EQ85,ER85,ES85,ET85,EU85,EV85,EW85,EX85,EY85,EZ85,FA85,FB85,FC85,FD85,FE85,FF85)</f>
        <v/>
      </c>
      <c r="FH85" s="8" t="n">
        <v>2</v>
      </c>
      <c r="FI85" s="8" t="n">
        <v>360</v>
      </c>
      <c r="FJ85" s="8" t="n">
        <v>0</v>
      </c>
      <c r="FK85" s="8" t="n">
        <v>312</v>
      </c>
      <c r="FL85" s="8" t="n">
        <v>0</v>
      </c>
      <c r="FM85" s="8" t="n">
        <v>0</v>
      </c>
      <c r="FN85" s="8" t="n">
        <v>0</v>
      </c>
      <c r="FO85" s="8" t="n">
        <v>0</v>
      </c>
      <c r="FP85" s="8" t="n">
        <v>0</v>
      </c>
      <c r="FQ85" s="9">
        <f>FL85+FM85+FN85+FO85+FP85</f>
        <v/>
      </c>
      <c r="FR85" s="8" t="n">
        <v>0</v>
      </c>
      <c r="FS85" s="8" t="n">
        <v>0</v>
      </c>
      <c r="FT85" s="8" t="n">
        <v>0</v>
      </c>
      <c r="FU85" s="8" t="n">
        <v>0</v>
      </c>
      <c r="FV85" s="9">
        <f>FR85+FS85+FT85+FU85</f>
        <v/>
      </c>
      <c r="FW85" s="8" t="n">
        <v>4298603</v>
      </c>
      <c r="FX85" s="8" t="n">
        <v>0</v>
      </c>
      <c r="FY85" s="8" t="n">
        <v>95600</v>
      </c>
      <c r="FZ85" s="8" t="n">
        <v>531200</v>
      </c>
      <c r="GA85" s="9">
        <f>FW85+FX85+FY85+FZ85</f>
        <v/>
      </c>
      <c r="GB85" s="9">
        <f>FV85+GA85</f>
        <v/>
      </c>
      <c r="GC85" s="8" t="n">
        <v>10020.78</v>
      </c>
      <c r="GD85" s="8" t="n">
        <v>0</v>
      </c>
      <c r="GE85" s="8" t="n">
        <v>8410.99</v>
      </c>
      <c r="GF85" s="8" t="n">
        <v>0</v>
      </c>
      <c r="GG85" s="9">
        <f>GC85+GD85+GE85+GF85</f>
        <v/>
      </c>
      <c r="GH85" s="8" t="n">
        <v>3454204.6</v>
      </c>
      <c r="GI85" s="8" t="n">
        <v>0</v>
      </c>
      <c r="GJ85" s="8" t="n">
        <v>531200</v>
      </c>
      <c r="GK85" s="8" t="n">
        <v>85600</v>
      </c>
      <c r="GL85" s="9">
        <f>GH85+GI85+GJ85+GK85</f>
        <v/>
      </c>
      <c r="GM85" s="9">
        <f>GG85+GL85</f>
        <v/>
      </c>
      <c r="GN85" s="8" t="n">
        <v>1860</v>
      </c>
      <c r="GO85" s="8" t="n">
        <v>0</v>
      </c>
      <c r="GP85" s="8" t="n">
        <v>3393.64</v>
      </c>
      <c r="GQ85" s="8" t="n">
        <v>0</v>
      </c>
      <c r="GR85" s="9">
        <f>GN85+GO85+GP85+GQ85</f>
        <v/>
      </c>
      <c r="GS85" s="8" t="n">
        <v>2679</v>
      </c>
      <c r="GT85" s="8" t="n">
        <v>0</v>
      </c>
      <c r="GU85" s="8" t="n">
        <v>893</v>
      </c>
      <c r="GV85" s="8" t="n">
        <v>0</v>
      </c>
      <c r="GW85" s="9">
        <f>GS85+GT85+GU85+GV85</f>
        <v/>
      </c>
      <c r="GX85" s="9">
        <f>GM85+GR85+GW85</f>
        <v/>
      </c>
      <c r="GY85" s="8" t="n">
        <v>-3123538.339999965</v>
      </c>
      <c r="GZ85" s="8" t="n">
        <v>56090762.12</v>
      </c>
      <c r="HA85" s="9">
        <f>GY85+GZ85</f>
        <v/>
      </c>
      <c r="HB85" s="9">
        <f>IF(GX85=0,"",AU85/GX85)</f>
        <v/>
      </c>
      <c r="HC85" s="10">
        <f>IF((GX85+GY85)=0,"",GB85/(GX85+GY85))</f>
        <v/>
      </c>
      <c r="HD85" s="9">
        <f>IF(GX85=0,"",GB85/GX85)</f>
        <v/>
      </c>
      <c r="HE85" s="8" t="n">
        <v>5</v>
      </c>
      <c r="HF85" s="8" t="n">
        <v>1</v>
      </c>
      <c r="HG85" s="8" t="n">
        <v>74</v>
      </c>
      <c r="HH85" s="8" t="n">
        <v>5</v>
      </c>
      <c r="HI85" s="8" t="n">
        <v>74</v>
      </c>
      <c r="HJ85" s="9">
        <f>HF85+HI85</f>
        <v/>
      </c>
      <c r="HK85" s="10">
        <f>IF(HE85=0,"",HH85/HE85)</f>
        <v/>
      </c>
      <c r="HL85" s="8" t="n">
        <v>25</v>
      </c>
      <c r="HM85" s="8" t="n">
        <v>25</v>
      </c>
      <c r="HN85" s="11">
        <f>IF(HL85=0,"",HM85/HL85)</f>
        <v/>
      </c>
    </row>
    <row r="86">
      <c r="A86" s="12" t="inlineStr">
        <is>
          <t>Mangochi</t>
        </is>
      </c>
      <c r="B86" s="12" t="inlineStr">
        <is>
          <t>Namwera</t>
        </is>
      </c>
      <c r="C86" s="13" t="inlineStr">
        <is>
          <t>FY2025/26</t>
        </is>
      </c>
      <c r="D86" s="13" t="n">
        <v>2026</v>
      </c>
      <c r="E86" s="13" t="n">
        <v>3</v>
      </c>
      <c r="F86" s="13" t="inlineStr">
        <is>
          <t>March</t>
        </is>
      </c>
      <c r="G86" s="13" t="inlineStr">
        <is>
          <t>Q4</t>
        </is>
      </c>
      <c r="H86" s="14" t="n">
        <v>2203</v>
      </c>
      <c r="I86" s="14" t="n">
        <v>7</v>
      </c>
      <c r="J86" s="14" t="n">
        <v>2</v>
      </c>
      <c r="K86" s="14" t="n">
        <v>0</v>
      </c>
      <c r="L86" s="14" t="n">
        <v>0</v>
      </c>
      <c r="M86" s="15">
        <f>SUM(I86,J86,K86,L86)</f>
        <v/>
      </c>
      <c r="N86" s="14" t="n">
        <v>1909.799999999998</v>
      </c>
      <c r="O86" s="14" t="n">
        <v>0</v>
      </c>
      <c r="P86" s="14" t="n">
        <v>75.89999999999999</v>
      </c>
      <c r="Q86" s="14" t="n">
        <v>10.8</v>
      </c>
      <c r="R86" s="15">
        <f>SUM(N86,O86,P86,Q86)</f>
        <v/>
      </c>
      <c r="S86" s="15">
        <f>M86+R86</f>
        <v/>
      </c>
      <c r="T86" s="14" t="n">
        <v>197.5000000000016</v>
      </c>
      <c r="U86" s="16">
        <f>IF(H86=0,"",T86/H86)</f>
        <v/>
      </c>
      <c r="V86" s="14" t="n">
        <v>3</v>
      </c>
      <c r="W86" s="17">
        <f>IF(H86=0,"",V86/H86)</f>
        <v/>
      </c>
      <c r="X86" s="14" t="n">
        <v>0</v>
      </c>
      <c r="Y86" s="17">
        <f>IF(H86=0,"",X86/H86)</f>
        <v/>
      </c>
      <c r="Z86" s="14" t="n">
        <v>0</v>
      </c>
      <c r="AA86" s="17">
        <f>IF(H86=0,"",Z86/H86)</f>
        <v/>
      </c>
      <c r="AB86" s="14" t="n">
        <v>0</v>
      </c>
      <c r="AC86" s="17">
        <f>IF(H86=0,"",AB86/H86)</f>
        <v/>
      </c>
      <c r="AD86" s="14" t="n">
        <v>0</v>
      </c>
      <c r="AE86" s="17">
        <f>IF(H86=0,"",AD86/H86)</f>
        <v/>
      </c>
      <c r="AF86" s="14" t="n">
        <v>0</v>
      </c>
      <c r="AG86" s="17">
        <f>IF(H86=0,"",AF86/H86)</f>
        <v/>
      </c>
      <c r="AH86" s="14" t="n">
        <v>71787.29999999999</v>
      </c>
      <c r="AI86" s="15">
        <f>IF(H86=0,"",AH86/H86)</f>
        <v/>
      </c>
      <c r="AJ86" s="14" t="n">
        <v>2213</v>
      </c>
      <c r="AK86" s="17">
        <f>IF(H86=0,"",AJ86/H86)</f>
        <v/>
      </c>
      <c r="AL86" s="14" t="n">
        <v>19339</v>
      </c>
      <c r="AM86" s="15">
        <f>IF(H86=0,"",AL86/H86)</f>
        <v/>
      </c>
      <c r="AN86" s="14" t="n">
        <v>0</v>
      </c>
      <c r="AO86" s="14" t="n">
        <v>0</v>
      </c>
      <c r="AP86" s="14" t="n">
        <v>0</v>
      </c>
      <c r="AQ86" s="14" t="n">
        <v>0</v>
      </c>
      <c r="AR86" s="14" t="n">
        <v>3872540.32</v>
      </c>
      <c r="AS86" s="14" t="n">
        <v>824323.1899999999</v>
      </c>
      <c r="AT86" s="14" t="n">
        <v>255490</v>
      </c>
      <c r="AU86" s="15">
        <f>AH86+AL86+AP86+AQ86+AR86+AS86+AT86</f>
        <v/>
      </c>
      <c r="AV86" s="15">
        <f>IF(H86=0,"",AU86/H86)</f>
        <v/>
      </c>
      <c r="AW86" s="15">
        <f>IF(S86=0,"",AU86/S86)</f>
        <v/>
      </c>
      <c r="AX86" s="14" t="n">
        <v>3</v>
      </c>
      <c r="AY86" s="15">
        <f>IF(H86=0,"",AX86/(H86/1000/12))</f>
        <v/>
      </c>
      <c r="AZ86" s="14" t="n">
        <v>6</v>
      </c>
      <c r="BA86" s="14" t="n">
        <v>74</v>
      </c>
      <c r="BB86" s="14" t="n">
        <v>3</v>
      </c>
      <c r="BC86" s="14" t="n">
        <v>0</v>
      </c>
      <c r="BD86" s="14" t="n">
        <v>1</v>
      </c>
      <c r="BE86" s="15">
        <f>BC86+BD86</f>
        <v/>
      </c>
      <c r="BF86" s="15">
        <f>BA86+BB86-BE86</f>
        <v/>
      </c>
      <c r="BG86" s="14" t="n">
        <v>0</v>
      </c>
      <c r="BH86" s="14" t="n">
        <v>0</v>
      </c>
      <c r="BI86" s="14" t="n">
        <v>0</v>
      </c>
      <c r="BJ86" s="14" t="n">
        <v>0</v>
      </c>
      <c r="BK86" s="15">
        <f>BI86+BJ86</f>
        <v/>
      </c>
      <c r="BL86" s="15">
        <f>BG86+BH86-BK86</f>
        <v/>
      </c>
      <c r="BM86" s="14" t="n">
        <v>0</v>
      </c>
      <c r="BN86" s="14" t="n">
        <v>0</v>
      </c>
      <c r="BO86" s="14" t="n">
        <v>0</v>
      </c>
      <c r="BP86" s="14" t="n">
        <v>0</v>
      </c>
      <c r="BQ86" s="15">
        <f>BO86+BP86</f>
        <v/>
      </c>
      <c r="BR86" s="15">
        <f>BM86+BN86-BQ86</f>
        <v/>
      </c>
      <c r="BS86" s="14" t="n">
        <v>0</v>
      </c>
      <c r="BT86" s="14" t="n">
        <v>0</v>
      </c>
      <c r="BU86" s="14" t="n">
        <v>0</v>
      </c>
      <c r="BV86" s="14" t="n">
        <v>0</v>
      </c>
      <c r="BW86" s="15">
        <f>BU86+BV86</f>
        <v/>
      </c>
      <c r="BX86" s="15">
        <f>BS86+BT86-BW86</f>
        <v/>
      </c>
      <c r="BY86" s="15">
        <f>BA86+BG86+BM86+BS86</f>
        <v/>
      </c>
      <c r="BZ86" s="15">
        <f>BB86+BH86+BN86+BT86</f>
        <v/>
      </c>
      <c r="CA86" s="15">
        <f>BE86+BK86+BQ86+BW86</f>
        <v/>
      </c>
      <c r="CB86" s="15">
        <f>BF86+BL86+BR86+BX86</f>
        <v/>
      </c>
      <c r="CC86" s="14" t="n">
        <v>2</v>
      </c>
      <c r="CD86" s="14" t="n">
        <v>217</v>
      </c>
      <c r="CE86" s="14" t="n">
        <v>0</v>
      </c>
      <c r="CF86" s="14" t="n">
        <v>0</v>
      </c>
      <c r="CG86" s="14" t="n">
        <v>0</v>
      </c>
      <c r="CH86" s="15">
        <f>CD86+CE86+CF86+CG86</f>
        <v/>
      </c>
      <c r="CI86" s="14" t="n">
        <v>3</v>
      </c>
      <c r="CJ86" s="14" t="n">
        <v>1</v>
      </c>
      <c r="CK86" s="14" t="n">
        <v>0</v>
      </c>
      <c r="CL86" s="14" t="n">
        <v>0</v>
      </c>
      <c r="CM86" s="15">
        <f>CI86+CJ86+CK86+CL86</f>
        <v/>
      </c>
      <c r="CN86" s="14" t="n">
        <v>811</v>
      </c>
      <c r="CO86" s="14" t="n">
        <v>26</v>
      </c>
      <c r="CP86" s="14" t="n">
        <v>9</v>
      </c>
      <c r="CQ86" s="14" t="n">
        <v>0</v>
      </c>
      <c r="CR86" s="15">
        <f>CN86+CO86+CP86+CQ86</f>
        <v/>
      </c>
      <c r="CS86" s="15">
        <f>CM86+CR86</f>
        <v/>
      </c>
      <c r="CT86" s="14" t="n">
        <v>1067</v>
      </c>
      <c r="CU86" s="14" t="n">
        <v>9128</v>
      </c>
      <c r="CV86" s="14" t="n">
        <v>6821</v>
      </c>
      <c r="CW86" s="16">
        <f>IF(CU86=0,"",CV86/CU86)</f>
        <v/>
      </c>
      <c r="CX86" s="14" t="n"/>
      <c r="CY86" s="14" t="n"/>
      <c r="CZ86" s="14" t="n"/>
      <c r="DA86" s="14" t="n"/>
      <c r="DB86" s="15">
        <f>CX86+CY86-CZ86-DA86</f>
        <v/>
      </c>
      <c r="DC86" s="14" t="n">
        <v>0</v>
      </c>
      <c r="DD86" s="14" t="n">
        <v>0</v>
      </c>
      <c r="DE86" s="14" t="n">
        <v>0</v>
      </c>
      <c r="DF86" s="14" t="n">
        <v>0</v>
      </c>
      <c r="DG86" s="15">
        <f>DC86+DD86-DE86-DF86</f>
        <v/>
      </c>
      <c r="DH86" s="14" t="n">
        <v>0</v>
      </c>
      <c r="DI86" s="14" t="n">
        <v>0</v>
      </c>
      <c r="DJ86" s="14" t="n">
        <v>0</v>
      </c>
      <c r="DK86" s="14" t="n">
        <v>0</v>
      </c>
      <c r="DL86" s="15">
        <f>DH86+DI86-DJ86-DK86</f>
        <v/>
      </c>
      <c r="DM86" s="14" t="n">
        <v>36</v>
      </c>
      <c r="DN86" s="14" t="n">
        <v>14</v>
      </c>
      <c r="DO86" s="14" t="n">
        <v>15</v>
      </c>
      <c r="DP86" s="14" t="n">
        <v>0</v>
      </c>
      <c r="DQ86" s="15">
        <f>DM86+DN86-DO86-DP86</f>
        <v/>
      </c>
      <c r="DR86" s="15">
        <f>CX86+DC86+DH86+DM86</f>
        <v/>
      </c>
      <c r="DS86" s="15">
        <f>CY86+DD86+DI86+DN86</f>
        <v/>
      </c>
      <c r="DT86" s="15">
        <f>CZ86+DE86+DJ86+DO86</f>
        <v/>
      </c>
      <c r="DU86" s="15">
        <f>DA86+DF86+DK86+DP86</f>
        <v/>
      </c>
      <c r="DV86" s="15">
        <f>DB86+DG86+DL86+DQ86</f>
        <v/>
      </c>
      <c r="DW86" s="14" t="n">
        <v>16</v>
      </c>
      <c r="DX86" s="14" t="n">
        <v>6</v>
      </c>
      <c r="DY86" s="14" t="n">
        <v>2</v>
      </c>
      <c r="DZ86" s="14" t="n">
        <v>1</v>
      </c>
      <c r="EA86" s="14" t="n">
        <v>1</v>
      </c>
      <c r="EB86" s="14" t="n">
        <v>1</v>
      </c>
      <c r="EC86" s="14" t="n">
        <v>0</v>
      </c>
      <c r="ED86" s="14" t="n">
        <v>0</v>
      </c>
      <c r="EE86" s="14" t="n">
        <v>0</v>
      </c>
      <c r="EF86" s="14" t="n">
        <v>0</v>
      </c>
      <c r="EG86" s="14" t="n">
        <v>0</v>
      </c>
      <c r="EH86" s="14" t="n">
        <v>0</v>
      </c>
      <c r="EI86" s="14" t="n">
        <v>0</v>
      </c>
      <c r="EJ86" s="14" t="n">
        <v>0</v>
      </c>
      <c r="EK86" s="14" t="n">
        <v>0</v>
      </c>
      <c r="EL86" s="14" t="n">
        <v>0</v>
      </c>
      <c r="EM86" s="14" t="n">
        <v>0</v>
      </c>
      <c r="EN86" s="14" t="n">
        <v>0</v>
      </c>
      <c r="EO86" s="14" t="n">
        <v>0</v>
      </c>
      <c r="EP86" s="14" t="n">
        <v>0</v>
      </c>
      <c r="EQ86" s="14" t="n">
        <v>0</v>
      </c>
      <c r="ER86" s="14" t="n">
        <v>0</v>
      </c>
      <c r="ES86" s="14" t="n">
        <v>0</v>
      </c>
      <c r="ET86" s="14" t="n">
        <v>0</v>
      </c>
      <c r="EU86" s="14" t="n">
        <v>0</v>
      </c>
      <c r="EV86" s="14" t="n">
        <v>0</v>
      </c>
      <c r="EW86" s="14" t="n">
        <v>0</v>
      </c>
      <c r="EX86" s="14" t="n">
        <v>0</v>
      </c>
      <c r="EY86" s="14" t="n">
        <v>0</v>
      </c>
      <c r="EZ86" s="14" t="n">
        <v>0</v>
      </c>
      <c r="FA86" s="14" t="n">
        <v>0</v>
      </c>
      <c r="FB86" s="14" t="n">
        <v>0</v>
      </c>
      <c r="FC86" s="14" t="n">
        <v>0</v>
      </c>
      <c r="FD86" s="14" t="n">
        <v>0</v>
      </c>
      <c r="FE86" s="14" t="n">
        <v>0</v>
      </c>
      <c r="FF86" s="14" t="n">
        <v>0</v>
      </c>
      <c r="FG86" s="15">
        <f>SUM(DW86,DX86,DY86,DZ86,EA86,EB86,EC86,ED86,EE86,EF86,EG86,EH86,EI86,EJ86,EK86,EL86,EM86,EN86,EO86,EP86,EQ86,ER86,ES86,ET86,EU86,EV86,EW86,EX86,EY86,EZ86,FA86,FB86,FC86,FD86,FE86,FF86)</f>
        <v/>
      </c>
      <c r="FH86" s="14" t="n">
        <v>1</v>
      </c>
      <c r="FI86" s="14" t="n">
        <v>432</v>
      </c>
      <c r="FJ86" s="14" t="n">
        <v>0</v>
      </c>
      <c r="FK86" s="14" t="n">
        <v>312</v>
      </c>
      <c r="FL86" s="14" t="n">
        <v>0</v>
      </c>
      <c r="FM86" s="14" t="n">
        <v>0</v>
      </c>
      <c r="FN86" s="14" t="n">
        <v>0</v>
      </c>
      <c r="FO86" s="14" t="n">
        <v>150</v>
      </c>
      <c r="FP86" s="14" t="n">
        <v>0</v>
      </c>
      <c r="FQ86" s="15">
        <f>FL86+FM86+FN86+FO86+FP86</f>
        <v/>
      </c>
      <c r="FR86" s="14" t="n">
        <v>26867.22</v>
      </c>
      <c r="FS86" s="14" t="n">
        <v>0</v>
      </c>
      <c r="FT86" s="14" t="n">
        <v>0</v>
      </c>
      <c r="FU86" s="14" t="n">
        <v>0</v>
      </c>
      <c r="FV86" s="15">
        <f>FR86+FS86+FT86+FU86</f>
        <v/>
      </c>
      <c r="FW86" s="14" t="n">
        <v>2922551</v>
      </c>
      <c r="FX86" s="14" t="n">
        <v>0</v>
      </c>
      <c r="FY86" s="14" t="n">
        <v>51400</v>
      </c>
      <c r="FZ86" s="14" t="n">
        <v>228400</v>
      </c>
      <c r="GA86" s="15">
        <f>FW86+FX86+FY86+FZ86</f>
        <v/>
      </c>
      <c r="GB86" s="15">
        <f>FV86+GA86</f>
        <v/>
      </c>
      <c r="GC86" s="14" t="n">
        <v>10020.78</v>
      </c>
      <c r="GD86" s="14" t="n">
        <v>0</v>
      </c>
      <c r="GE86" s="14" t="n">
        <v>8410.99</v>
      </c>
      <c r="GF86" s="14" t="n">
        <v>0</v>
      </c>
      <c r="GG86" s="15">
        <f>GC86+GD86+GE86+GF86</f>
        <v/>
      </c>
      <c r="GH86" s="14" t="n">
        <v>2382482.47</v>
      </c>
      <c r="GI86" s="14" t="n">
        <v>0</v>
      </c>
      <c r="GJ86" s="14" t="n">
        <v>223400</v>
      </c>
      <c r="GK86" s="14" t="n">
        <v>51400</v>
      </c>
      <c r="GL86" s="15">
        <f>GH86+GI86+GJ86+GK86</f>
        <v/>
      </c>
      <c r="GM86" s="15">
        <f>GG86+GL86</f>
        <v/>
      </c>
      <c r="GN86" s="14" t="n">
        <v>1860</v>
      </c>
      <c r="GO86" s="14" t="n">
        <v>0</v>
      </c>
      <c r="GP86" s="14" t="n">
        <v>3393.64</v>
      </c>
      <c r="GQ86" s="14" t="n">
        <v>0</v>
      </c>
      <c r="GR86" s="15">
        <f>GN86+GO86+GP86+GQ86</f>
        <v/>
      </c>
      <c r="GS86" s="14" t="n">
        <v>2679</v>
      </c>
      <c r="GT86" s="14" t="n">
        <v>0</v>
      </c>
      <c r="GU86" s="14" t="n">
        <v>893</v>
      </c>
      <c r="GV86" s="14" t="n">
        <v>0</v>
      </c>
      <c r="GW86" s="15">
        <f>GS86+GT86+GU86+GV86</f>
        <v/>
      </c>
      <c r="GX86" s="15">
        <f>GM86+GR86+GW86</f>
        <v/>
      </c>
      <c r="GY86" s="14" t="n">
        <v>-3090091.009999967</v>
      </c>
      <c r="GZ86" s="14" t="n">
        <v>56000168.47000001</v>
      </c>
      <c r="HA86" s="15">
        <f>GY86+GZ86</f>
        <v/>
      </c>
      <c r="HB86" s="15">
        <f>IF(GX86=0,"",AU86/GX86)</f>
        <v/>
      </c>
      <c r="HC86" s="16">
        <f>IF((GX86+GY86)=0,"",GB86/(GX86+GY86))</f>
        <v/>
      </c>
      <c r="HD86" s="15">
        <f>IF(GX86=0,"",GB86/GX86)</f>
        <v/>
      </c>
      <c r="HE86" s="14" t="n">
        <v>3</v>
      </c>
      <c r="HF86" s="14" t="n">
        <v>1</v>
      </c>
      <c r="HG86" s="14" t="n">
        <v>76</v>
      </c>
      <c r="HH86" s="14" t="n">
        <v>3</v>
      </c>
      <c r="HI86" s="14" t="n">
        <v>76</v>
      </c>
      <c r="HJ86" s="15">
        <f>HF86+HI86</f>
        <v/>
      </c>
      <c r="HK86" s="16">
        <f>IF(HE86=0,"",HH86/HE86)</f>
        <v/>
      </c>
      <c r="HL86" s="14" t="n">
        <v>25</v>
      </c>
      <c r="HM86" s="14" t="n">
        <v>24</v>
      </c>
      <c r="HN86" s="17">
        <f>IF(HL86=0,"",HM86/HL86)</f>
        <v/>
      </c>
    </row>
    <row r="87">
      <c r="A87" s="6" t="inlineStr">
        <is>
          <t>Mangochi</t>
        </is>
      </c>
      <c r="B87" s="6" t="inlineStr">
        <is>
          <t>Nkhudzi</t>
        </is>
      </c>
      <c r="C87" s="7" t="inlineStr">
        <is>
          <t>FY2025/26</t>
        </is>
      </c>
      <c r="D87" s="7" t="n">
        <v>2025</v>
      </c>
      <c r="E87" s="7" t="n">
        <v>4</v>
      </c>
      <c r="F87" s="7" t="inlineStr">
        <is>
          <t>April</t>
        </is>
      </c>
      <c r="G87" s="7" t="inlineStr">
        <is>
          <t>Q1</t>
        </is>
      </c>
      <c r="H87" s="8" t="n">
        <v>18256</v>
      </c>
      <c r="I87" s="8" t="n">
        <v>77</v>
      </c>
      <c r="J87" s="8" t="n">
        <v>0</v>
      </c>
      <c r="K87" s="8" t="n">
        <v>413</v>
      </c>
      <c r="L87" s="8" t="n">
        <v>1</v>
      </c>
      <c r="M87" s="9">
        <f>SUM(I87,J87,K87,L87)</f>
        <v/>
      </c>
      <c r="N87" s="8" t="n">
        <v>14252.2</v>
      </c>
      <c r="O87" s="8" t="n">
        <v>791.9</v>
      </c>
      <c r="P87" s="8" t="n">
        <v>189.4</v>
      </c>
      <c r="Q87" s="8" t="n">
        <v>1266.3</v>
      </c>
      <c r="R87" s="9">
        <f>SUM(N87,O87,P87,Q87)</f>
        <v/>
      </c>
      <c r="S87" s="9">
        <f>M87+R87</f>
        <v/>
      </c>
      <c r="T87" s="8" t="n">
        <v>1265.19999999997</v>
      </c>
      <c r="U87" s="10">
        <f>IF(H87=0,"",T87/H87)</f>
        <v/>
      </c>
      <c r="V87" s="8" t="n">
        <v>150</v>
      </c>
      <c r="W87" s="11">
        <f>IF(H87=0,"",V87/H87)</f>
        <v/>
      </c>
      <c r="X87" s="8" t="n">
        <v>0</v>
      </c>
      <c r="Y87" s="11">
        <f>IF(H87=0,"",X87/H87)</f>
        <v/>
      </c>
      <c r="Z87" s="8" t="n">
        <v>0</v>
      </c>
      <c r="AA87" s="11">
        <f>IF(H87=0,"",Z87/H87)</f>
        <v/>
      </c>
      <c r="AB87" s="8" t="n">
        <v>0</v>
      </c>
      <c r="AC87" s="11">
        <f>IF(H87=0,"",AB87/H87)</f>
        <v/>
      </c>
      <c r="AD87" s="8" t="n">
        <v>0</v>
      </c>
      <c r="AE87" s="11">
        <f>IF(H87=0,"",AD87/H87)</f>
        <v/>
      </c>
      <c r="AF87" s="8" t="n">
        <v>0</v>
      </c>
      <c r="AG87" s="11">
        <f>IF(H87=0,"",AF87/H87)</f>
        <v/>
      </c>
      <c r="AH87" s="8" t="n">
        <v>3589365</v>
      </c>
      <c r="AI87" s="9">
        <f>IF(H87=0,"",AH87/H87)</f>
        <v/>
      </c>
      <c r="AJ87" s="8" t="n">
        <v>55692</v>
      </c>
      <c r="AK87" s="11">
        <f>IF(H87=0,"",AJ87/H87)</f>
        <v/>
      </c>
      <c r="AL87" s="8" t="n">
        <v>9329788.33</v>
      </c>
      <c r="AM87" s="9">
        <f>IF(H87=0,"",AL87/H87)</f>
        <v/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13832999.36</v>
      </c>
      <c r="AS87" s="8" t="n">
        <v>4831985.31</v>
      </c>
      <c r="AT87" s="8" t="n">
        <v>690150</v>
      </c>
      <c r="AU87" s="9">
        <f>AH87+AL87+AP87+AQ87+AR87+AS87+AT87</f>
        <v/>
      </c>
      <c r="AV87" s="9">
        <f>IF(H87=0,"",AU87/H87)</f>
        <v/>
      </c>
      <c r="AW87" s="9">
        <f>IF(S87=0,"",AU87/S87)</f>
        <v/>
      </c>
      <c r="AX87" s="8" t="n">
        <v>14</v>
      </c>
      <c r="AY87" s="9">
        <f>IF(H87=0,"",AX87/(H87/1000/12))</f>
        <v/>
      </c>
      <c r="AZ87" s="8" t="n">
        <v>48</v>
      </c>
      <c r="BA87" s="8" t="n">
        <v>2349</v>
      </c>
      <c r="BB87" s="8" t="n">
        <v>8</v>
      </c>
      <c r="BC87" s="8" t="n">
        <v>0</v>
      </c>
      <c r="BD87" s="8" t="n">
        <v>39</v>
      </c>
      <c r="BE87" s="9">
        <f>BC87+BD87</f>
        <v/>
      </c>
      <c r="BF87" s="9">
        <f>BA87+BB87-BE87</f>
        <v/>
      </c>
      <c r="BG87" s="8" t="n">
        <v>0</v>
      </c>
      <c r="BH87" s="8" t="n">
        <v>0</v>
      </c>
      <c r="BI87" s="8" t="n">
        <v>0</v>
      </c>
      <c r="BJ87" s="8" t="n">
        <v>0</v>
      </c>
      <c r="BK87" s="9">
        <f>BI87+BJ87</f>
        <v/>
      </c>
      <c r="BL87" s="9">
        <f>BG87+BH87-BK87</f>
        <v/>
      </c>
      <c r="BM87" s="8" t="n">
        <v>0</v>
      </c>
      <c r="BN87" s="8" t="n">
        <v>0</v>
      </c>
      <c r="BO87" s="8" t="n">
        <v>0</v>
      </c>
      <c r="BP87" s="8" t="n">
        <v>0</v>
      </c>
      <c r="BQ87" s="9">
        <f>BO87+BP87</f>
        <v/>
      </c>
      <c r="BR87" s="9">
        <f>BM87+BN87-BQ87</f>
        <v/>
      </c>
      <c r="BS87" s="8" t="n">
        <v>0</v>
      </c>
      <c r="BT87" s="8" t="n">
        <v>0</v>
      </c>
      <c r="BU87" s="8" t="n">
        <v>0</v>
      </c>
      <c r="BV87" s="8" t="n">
        <v>0</v>
      </c>
      <c r="BW87" s="9">
        <f>BU87+BV87</f>
        <v/>
      </c>
      <c r="BX87" s="9">
        <f>BS87+BT87-BW87</f>
        <v/>
      </c>
      <c r="BY87" s="9">
        <f>BA87+BG87+BM87+BS87</f>
        <v/>
      </c>
      <c r="BZ87" s="9">
        <f>BB87+BH87+BN87+BT87</f>
        <v/>
      </c>
      <c r="CA87" s="9">
        <f>BE87+BK87+BQ87+BW87</f>
        <v/>
      </c>
      <c r="CB87" s="9">
        <f>BF87+BL87+BR87+BX87</f>
        <v/>
      </c>
      <c r="CC87" s="8" t="n">
        <v>39</v>
      </c>
      <c r="CD87" s="8" t="n">
        <v>0</v>
      </c>
      <c r="CE87" s="8" t="n">
        <v>0</v>
      </c>
      <c r="CF87" s="8" t="n">
        <v>0</v>
      </c>
      <c r="CG87" s="8" t="n">
        <v>0</v>
      </c>
      <c r="CH87" s="9">
        <f>CD87+CE87+CF87+CG87</f>
        <v/>
      </c>
      <c r="CI87" s="8" t="n">
        <v>6</v>
      </c>
      <c r="CJ87" s="8" t="n">
        <v>4</v>
      </c>
      <c r="CK87" s="8" t="n">
        <v>1</v>
      </c>
      <c r="CL87" s="8" t="n">
        <v>0</v>
      </c>
      <c r="CM87" s="9">
        <f>CI87+CJ87+CK87+CL87</f>
        <v/>
      </c>
      <c r="CN87" s="8" t="n">
        <v>3834</v>
      </c>
      <c r="CO87" s="8" t="n">
        <v>54</v>
      </c>
      <c r="CP87" s="8" t="n">
        <v>112</v>
      </c>
      <c r="CQ87" s="8" t="n">
        <v>15</v>
      </c>
      <c r="CR87" s="9">
        <f>CN87+CO87+CP87+CQ87</f>
        <v/>
      </c>
      <c r="CS87" s="9">
        <f>CM87+CR87</f>
        <v/>
      </c>
      <c r="CT87" s="8" t="n">
        <v>4026</v>
      </c>
      <c r="CU87" s="8" t="n">
        <v>93100</v>
      </c>
      <c r="CV87" s="8" t="n">
        <v>35250</v>
      </c>
      <c r="CW87" s="10">
        <f>IF(CU87=0,"",CV87/CU87)</f>
        <v/>
      </c>
      <c r="CX87" s="8" t="n"/>
      <c r="CY87" s="8" t="n"/>
      <c r="CZ87" s="8" t="n"/>
      <c r="DA87" s="8" t="n"/>
      <c r="DB87" s="9">
        <f>CX87+CY87-CZ87-DA87</f>
        <v/>
      </c>
      <c r="DC87" s="8" t="n">
        <v>0</v>
      </c>
      <c r="DD87" s="8" t="n">
        <v>0</v>
      </c>
      <c r="DE87" s="8" t="n">
        <v>0</v>
      </c>
      <c r="DF87" s="8" t="n">
        <v>0</v>
      </c>
      <c r="DG87" s="9">
        <f>DC87+DD87-DE87-DF87</f>
        <v/>
      </c>
      <c r="DH87" s="8" t="n">
        <v>0</v>
      </c>
      <c r="DI87" s="8" t="n">
        <v>0</v>
      </c>
      <c r="DJ87" s="8" t="n">
        <v>0</v>
      </c>
      <c r="DK87" s="8" t="n">
        <v>0</v>
      </c>
      <c r="DL87" s="9">
        <f>DH87+DI87-DJ87-DK87</f>
        <v/>
      </c>
      <c r="DM87" s="8" t="n">
        <v>8</v>
      </c>
      <c r="DN87" s="8" t="n">
        <v>14</v>
      </c>
      <c r="DO87" s="8" t="n">
        <v>1</v>
      </c>
      <c r="DP87" s="8" t="n">
        <v>6</v>
      </c>
      <c r="DQ87" s="9">
        <f>DM87+DN87-DO87-DP87</f>
        <v/>
      </c>
      <c r="DR87" s="9">
        <f>CX87+DC87+DH87+DM87</f>
        <v/>
      </c>
      <c r="DS87" s="9">
        <f>CY87+DD87+DI87+DN87</f>
        <v/>
      </c>
      <c r="DT87" s="9">
        <f>CZ87+DE87+DJ87+DO87</f>
        <v/>
      </c>
      <c r="DU87" s="9">
        <f>DA87+DF87+DK87+DP87</f>
        <v/>
      </c>
      <c r="DV87" s="9">
        <f>DB87+DG87+DL87+DQ87</f>
        <v/>
      </c>
      <c r="DW87" s="8" t="n">
        <v>39</v>
      </c>
      <c r="DX87" s="8" t="n">
        <v>23</v>
      </c>
      <c r="DY87" s="8" t="n">
        <v>11</v>
      </c>
      <c r="DZ87" s="8" t="n">
        <v>3</v>
      </c>
      <c r="EA87" s="8" t="n">
        <v>3</v>
      </c>
      <c r="EB87" s="8" t="n">
        <v>2</v>
      </c>
      <c r="EC87" s="8" t="n">
        <v>0</v>
      </c>
      <c r="ED87" s="8" t="n">
        <v>1</v>
      </c>
      <c r="EE87" s="8" t="n">
        <v>1</v>
      </c>
      <c r="EF87" s="8" t="n">
        <v>0</v>
      </c>
      <c r="EG87" s="8" t="n">
        <v>1</v>
      </c>
      <c r="EH87" s="8" t="n">
        <v>0</v>
      </c>
      <c r="EI87" s="8" t="n">
        <v>0</v>
      </c>
      <c r="EJ87" s="8" t="n">
        <v>4</v>
      </c>
      <c r="EK87" s="8" t="n">
        <v>2</v>
      </c>
      <c r="EL87" s="8" t="n">
        <v>1</v>
      </c>
      <c r="EM87" s="8" t="n">
        <v>0</v>
      </c>
      <c r="EN87" s="8" t="n">
        <v>0</v>
      </c>
      <c r="EO87" s="8" t="n">
        <v>0</v>
      </c>
      <c r="EP87" s="8" t="n">
        <v>0</v>
      </c>
      <c r="EQ87" s="8" t="n">
        <v>0</v>
      </c>
      <c r="ER87" s="8" t="n">
        <v>0</v>
      </c>
      <c r="ES87" s="8" t="n">
        <v>0</v>
      </c>
      <c r="ET87" s="8" t="n">
        <v>0</v>
      </c>
      <c r="EU87" s="8" t="n">
        <v>0</v>
      </c>
      <c r="EV87" s="8" t="n">
        <v>0</v>
      </c>
      <c r="EW87" s="8" t="n">
        <v>0</v>
      </c>
      <c r="EX87" s="8" t="n">
        <v>0</v>
      </c>
      <c r="EY87" s="8" t="n">
        <v>0</v>
      </c>
      <c r="EZ87" s="8" t="n">
        <v>0</v>
      </c>
      <c r="FA87" s="8" t="n">
        <v>0</v>
      </c>
      <c r="FB87" s="8" t="n">
        <v>0</v>
      </c>
      <c r="FC87" s="8" t="n">
        <v>0</v>
      </c>
      <c r="FD87" s="8" t="n">
        <v>0</v>
      </c>
      <c r="FE87" s="8" t="n">
        <v>0</v>
      </c>
      <c r="FF87" s="8" t="n">
        <v>0</v>
      </c>
      <c r="FG87" s="9">
        <f>SUM(DW87,DX87,DY87,DZ87,EA87,EB87,EC87,ED87,EE87,EF87,EG87,EH87,EI87,EJ87,EK87,EL87,EM87,EN87,EO87,EP87,EQ87,ER87,ES87,ET87,EU87,EV87,EW87,EX87,EY87,EZ87,FA87,FB87,FC87,FD87,FE87,FF87)</f>
        <v/>
      </c>
      <c r="FH87" s="8" t="n">
        <v>8</v>
      </c>
      <c r="FI87" s="8" t="n">
        <v>199</v>
      </c>
      <c r="FJ87" s="8" t="n">
        <v>24</v>
      </c>
      <c r="FK87" s="8" t="n">
        <v>57.5</v>
      </c>
      <c r="FL87" s="8" t="n">
        <v>0</v>
      </c>
      <c r="FM87" s="8" t="n">
        <v>0</v>
      </c>
      <c r="FN87" s="8" t="n">
        <v>0</v>
      </c>
      <c r="FO87" s="8" t="n">
        <v>0</v>
      </c>
      <c r="FP87" s="8" t="n">
        <v>66</v>
      </c>
      <c r="FQ87" s="9">
        <f>FL87+FM87+FN87+FO87+FP87</f>
        <v/>
      </c>
      <c r="FR87" s="8" t="n">
        <v>0</v>
      </c>
      <c r="FS87" s="8" t="n">
        <v>0</v>
      </c>
      <c r="FT87" s="8" t="n">
        <v>0</v>
      </c>
      <c r="FU87" s="8" t="n">
        <v>0</v>
      </c>
      <c r="FV87" s="9">
        <f>FR87+FS87+FT87+FU87</f>
        <v/>
      </c>
      <c r="FW87" s="8" t="n">
        <v>17727756</v>
      </c>
      <c r="FX87" s="8" t="n">
        <v>176000</v>
      </c>
      <c r="FY87" s="8" t="n">
        <v>5918400</v>
      </c>
      <c r="FZ87" s="8" t="n">
        <v>574800</v>
      </c>
      <c r="GA87" s="9">
        <f>FW87+FX87+FY87+FZ87</f>
        <v/>
      </c>
      <c r="GB87" s="9">
        <f>FV87+GA87</f>
        <v/>
      </c>
      <c r="GC87" s="8" t="n">
        <v>72537.91</v>
      </c>
      <c r="GD87" s="8" t="n">
        <v>0</v>
      </c>
      <c r="GE87" s="8" t="n">
        <v>1410270.98</v>
      </c>
      <c r="GF87" s="8" t="n">
        <v>8410.99</v>
      </c>
      <c r="GG87" s="9">
        <f>GC87+GD87+GE87+GF87</f>
        <v/>
      </c>
      <c r="GH87" s="8" t="n">
        <v>17625314.55</v>
      </c>
      <c r="GI87" s="8" t="n">
        <v>176000</v>
      </c>
      <c r="GJ87" s="8" t="n">
        <v>574800</v>
      </c>
      <c r="GK87" s="8" t="n">
        <v>5918400</v>
      </c>
      <c r="GL87" s="9">
        <f>GH87+GI87+GJ87+GK87</f>
        <v/>
      </c>
      <c r="GM87" s="9">
        <f>GG87+GL87</f>
        <v/>
      </c>
      <c r="GN87" s="8" t="n">
        <v>3269.58</v>
      </c>
      <c r="GO87" s="8" t="n">
        <v>0</v>
      </c>
      <c r="GP87" s="8" t="n">
        <v>13574.56</v>
      </c>
      <c r="GQ87" s="8" t="n">
        <v>4637.34</v>
      </c>
      <c r="GR87" s="9">
        <f>GN87+GO87+GP87+GQ87</f>
        <v/>
      </c>
      <c r="GS87" s="8" t="n">
        <v>5358</v>
      </c>
      <c r="GT87" s="8" t="n">
        <v>0</v>
      </c>
      <c r="GU87" s="8" t="n">
        <v>3572</v>
      </c>
      <c r="GV87" s="8" t="n">
        <v>893</v>
      </c>
      <c r="GW87" s="9">
        <f>GS87+GT87+GU87+GV87</f>
        <v/>
      </c>
      <c r="GX87" s="9">
        <f>GM87+GR87+GW87</f>
        <v/>
      </c>
      <c r="GY87" s="8" t="n">
        <v>69706.64999999991</v>
      </c>
      <c r="GZ87" s="8" t="n">
        <v>2010845.89</v>
      </c>
      <c r="HA87" s="9">
        <f>GY87+GZ87</f>
        <v/>
      </c>
      <c r="HB87" s="9">
        <f>IF(GX87=0,"",AU87/GX87)</f>
        <v/>
      </c>
      <c r="HC87" s="10">
        <f>IF((GX87+GY87)=0,"",GB87/(GX87+GY87))</f>
        <v/>
      </c>
      <c r="HD87" s="9">
        <f>IF(GX87=0,"",GB87/GX87)</f>
        <v/>
      </c>
      <c r="HE87" s="8" t="n">
        <v>8</v>
      </c>
      <c r="HF87" s="8" t="n">
        <v>2</v>
      </c>
      <c r="HG87" s="8" t="n">
        <v>2318</v>
      </c>
      <c r="HH87" s="8" t="n">
        <v>8</v>
      </c>
      <c r="HI87" s="8" t="n">
        <v>30</v>
      </c>
      <c r="HJ87" s="9">
        <f>HF87+HI87</f>
        <v/>
      </c>
      <c r="HK87" s="10">
        <f>IF(HE87=0,"",HH87/HE87)</f>
        <v/>
      </c>
      <c r="HL87" s="8" t="n">
        <v>5</v>
      </c>
      <c r="HM87" s="8" t="n">
        <v>1</v>
      </c>
      <c r="HN87" s="11">
        <f>IF(HL87=0,"",HM87/HL87)</f>
        <v/>
      </c>
    </row>
    <row r="88">
      <c r="A88" s="12" t="inlineStr">
        <is>
          <t>Mangochi</t>
        </is>
      </c>
      <c r="B88" s="12" t="inlineStr">
        <is>
          <t>Nkhudzi</t>
        </is>
      </c>
      <c r="C88" s="13" t="inlineStr">
        <is>
          <t>FY2025/26</t>
        </is>
      </c>
      <c r="D88" s="13" t="n">
        <v>2025</v>
      </c>
      <c r="E88" s="13" t="n">
        <v>5</v>
      </c>
      <c r="F88" s="13" t="inlineStr">
        <is>
          <t>May</t>
        </is>
      </c>
      <c r="G88" s="13" t="inlineStr">
        <is>
          <t>Q1</t>
        </is>
      </c>
      <c r="H88" s="14" t="n">
        <v>21853</v>
      </c>
      <c r="I88" s="14" t="n">
        <v>44</v>
      </c>
      <c r="J88" s="14" t="n">
        <v>0</v>
      </c>
      <c r="K88" s="14" t="n">
        <v>974</v>
      </c>
      <c r="L88" s="14" t="n">
        <v>1</v>
      </c>
      <c r="M88" s="15">
        <f>SUM(I88,J88,K88,L88)</f>
        <v/>
      </c>
      <c r="N88" s="14" t="n">
        <v>15629.6</v>
      </c>
      <c r="O88" s="14" t="n">
        <v>633</v>
      </c>
      <c r="P88" s="14" t="n">
        <v>186.1</v>
      </c>
      <c r="Q88" s="14" t="n">
        <v>1639.5</v>
      </c>
      <c r="R88" s="15">
        <f>SUM(N88,O88,P88,Q88)</f>
        <v/>
      </c>
      <c r="S88" s="15">
        <f>M88+R88</f>
        <v/>
      </c>
      <c r="T88" s="14" t="n">
        <v>2745.79999999996</v>
      </c>
      <c r="U88" s="16">
        <f>IF(H88=0,"",T88/H88)</f>
        <v/>
      </c>
      <c r="V88" s="14" t="n">
        <v>150</v>
      </c>
      <c r="W88" s="17">
        <f>IF(H88=0,"",V88/H88)</f>
        <v/>
      </c>
      <c r="X88" s="14" t="n">
        <v>0</v>
      </c>
      <c r="Y88" s="17">
        <f>IF(H88=0,"",X88/H88)</f>
        <v/>
      </c>
      <c r="Z88" s="14" t="n">
        <v>0</v>
      </c>
      <c r="AA88" s="17">
        <f>IF(H88=0,"",Z88/H88)</f>
        <v/>
      </c>
      <c r="AB88" s="14" t="n">
        <v>0</v>
      </c>
      <c r="AC88" s="17">
        <f>IF(H88=0,"",AB88/H88)</f>
        <v/>
      </c>
      <c r="AD88" s="14" t="n">
        <v>0</v>
      </c>
      <c r="AE88" s="17">
        <f>IF(H88=0,"",AD88/H88)</f>
        <v/>
      </c>
      <c r="AF88" s="14" t="n">
        <v>0</v>
      </c>
      <c r="AG88" s="17">
        <f>IF(H88=0,"",AF88/H88)</f>
        <v/>
      </c>
      <c r="AH88" s="14" t="n">
        <v>3589365</v>
      </c>
      <c r="AI88" s="15">
        <f>IF(H88=0,"",AH88/H88)</f>
        <v/>
      </c>
      <c r="AJ88" s="14" t="n">
        <v>58397</v>
      </c>
      <c r="AK88" s="17">
        <f>IF(H88=0,"",AJ88/H88)</f>
        <v/>
      </c>
      <c r="AL88" s="14" t="n">
        <v>9782003.467500001</v>
      </c>
      <c r="AM88" s="15">
        <f>IF(H88=0,"",AL88/H88)</f>
        <v/>
      </c>
      <c r="AN88" s="14" t="n">
        <v>0</v>
      </c>
      <c r="AO88" s="14" t="n">
        <v>0</v>
      </c>
      <c r="AP88" s="14" t="n">
        <v>0</v>
      </c>
      <c r="AQ88" s="14" t="n">
        <v>0</v>
      </c>
      <c r="AR88" s="14" t="n">
        <v>13727316.75</v>
      </c>
      <c r="AS88" s="14" t="n">
        <v>4549761.64</v>
      </c>
      <c r="AT88" s="14" t="n">
        <v>789750</v>
      </c>
      <c r="AU88" s="15">
        <f>AH88+AL88+AP88+AQ88+AR88+AS88+AT88</f>
        <v/>
      </c>
      <c r="AV88" s="15">
        <f>IF(H88=0,"",AU88/H88)</f>
        <v/>
      </c>
      <c r="AW88" s="15">
        <f>IF(S88=0,"",AU88/S88)</f>
        <v/>
      </c>
      <c r="AX88" s="14" t="n">
        <v>14</v>
      </c>
      <c r="AY88" s="15">
        <f>IF(H88=0,"",AX88/(H88/1000/12))</f>
        <v/>
      </c>
      <c r="AZ88" s="14" t="n">
        <v>44</v>
      </c>
      <c r="BA88" s="14" t="n">
        <v>2318</v>
      </c>
      <c r="BB88" s="14" t="n">
        <v>35</v>
      </c>
      <c r="BC88" s="14" t="n">
        <v>0</v>
      </c>
      <c r="BD88" s="14" t="n">
        <v>49</v>
      </c>
      <c r="BE88" s="15">
        <f>BC88+BD88</f>
        <v/>
      </c>
      <c r="BF88" s="15">
        <f>BA88+BB88-BE88</f>
        <v/>
      </c>
      <c r="BG88" s="14" t="n">
        <v>0</v>
      </c>
      <c r="BH88" s="14" t="n">
        <v>0</v>
      </c>
      <c r="BI88" s="14" t="n">
        <v>0</v>
      </c>
      <c r="BJ88" s="14" t="n">
        <v>0</v>
      </c>
      <c r="BK88" s="15">
        <f>BI88+BJ88</f>
        <v/>
      </c>
      <c r="BL88" s="15">
        <f>BG88+BH88-BK88</f>
        <v/>
      </c>
      <c r="BM88" s="14" t="n">
        <v>0</v>
      </c>
      <c r="BN88" s="14" t="n">
        <v>0</v>
      </c>
      <c r="BO88" s="14" t="n">
        <v>0</v>
      </c>
      <c r="BP88" s="14" t="n">
        <v>0</v>
      </c>
      <c r="BQ88" s="15">
        <f>BO88+BP88</f>
        <v/>
      </c>
      <c r="BR88" s="15">
        <f>BM88+BN88-BQ88</f>
        <v/>
      </c>
      <c r="BS88" s="14" t="n">
        <v>0</v>
      </c>
      <c r="BT88" s="14" t="n">
        <v>0</v>
      </c>
      <c r="BU88" s="14" t="n">
        <v>0</v>
      </c>
      <c r="BV88" s="14" t="n">
        <v>0</v>
      </c>
      <c r="BW88" s="15">
        <f>BU88+BV88</f>
        <v/>
      </c>
      <c r="BX88" s="15">
        <f>BS88+BT88-BW88</f>
        <v/>
      </c>
      <c r="BY88" s="15">
        <f>BA88+BG88+BM88+BS88</f>
        <v/>
      </c>
      <c r="BZ88" s="15">
        <f>BB88+BH88+BN88+BT88</f>
        <v/>
      </c>
      <c r="CA88" s="15">
        <f>BE88+BK88+BQ88+BW88</f>
        <v/>
      </c>
      <c r="CB88" s="15">
        <f>BF88+BL88+BR88+BX88</f>
        <v/>
      </c>
      <c r="CC88" s="14" t="n">
        <v>49</v>
      </c>
      <c r="CD88" s="14" t="n">
        <v>0</v>
      </c>
      <c r="CE88" s="14" t="n">
        <v>0</v>
      </c>
      <c r="CF88" s="14" t="n">
        <v>0</v>
      </c>
      <c r="CG88" s="14" t="n">
        <v>0</v>
      </c>
      <c r="CH88" s="15">
        <f>CD88+CE88+CF88+CG88</f>
        <v/>
      </c>
      <c r="CI88" s="14" t="n">
        <v>6</v>
      </c>
      <c r="CJ88" s="14" t="n">
        <v>4</v>
      </c>
      <c r="CK88" s="14" t="n">
        <v>1</v>
      </c>
      <c r="CL88" s="14" t="n">
        <v>0</v>
      </c>
      <c r="CM88" s="15">
        <f>CI88+CJ88+CK88+CL88</f>
        <v/>
      </c>
      <c r="CN88" s="14" t="n">
        <v>3882</v>
      </c>
      <c r="CO88" s="14" t="n">
        <v>54</v>
      </c>
      <c r="CP88" s="14" t="n">
        <v>112</v>
      </c>
      <c r="CQ88" s="14" t="n">
        <v>15</v>
      </c>
      <c r="CR88" s="15">
        <f>CN88+CO88+CP88+CQ88</f>
        <v/>
      </c>
      <c r="CS88" s="15">
        <f>CM88+CR88</f>
        <v/>
      </c>
      <c r="CT88" s="14" t="n">
        <v>4074</v>
      </c>
      <c r="CU88" s="14" t="n">
        <v>0</v>
      </c>
      <c r="CV88" s="14" t="n">
        <v>0</v>
      </c>
      <c r="CW88" s="16">
        <f>IF(CU88=0,"",CV88/CU88)</f>
        <v/>
      </c>
      <c r="CX88" s="14" t="n"/>
      <c r="CY88" s="14" t="n"/>
      <c r="CZ88" s="14" t="n"/>
      <c r="DA88" s="14" t="n"/>
      <c r="DB88" s="15">
        <f>CX88+CY88-CZ88-DA88</f>
        <v/>
      </c>
      <c r="DC88" s="14" t="n">
        <v>0</v>
      </c>
      <c r="DD88" s="14" t="n">
        <v>0</v>
      </c>
      <c r="DE88" s="14" t="n">
        <v>0</v>
      </c>
      <c r="DF88" s="14" t="n">
        <v>0</v>
      </c>
      <c r="DG88" s="15">
        <f>DC88+DD88-DE88-DF88</f>
        <v/>
      </c>
      <c r="DH88" s="14" t="n">
        <v>0</v>
      </c>
      <c r="DI88" s="14" t="n">
        <v>0</v>
      </c>
      <c r="DJ88" s="14" t="n">
        <v>0</v>
      </c>
      <c r="DK88" s="14" t="n">
        <v>0</v>
      </c>
      <c r="DL88" s="15">
        <f>DH88+DI88-DJ88-DK88</f>
        <v/>
      </c>
      <c r="DM88" s="14" t="n">
        <v>15</v>
      </c>
      <c r="DN88" s="14" t="n">
        <v>1</v>
      </c>
      <c r="DO88" s="14" t="n">
        <v>5</v>
      </c>
      <c r="DP88" s="14" t="n">
        <v>0</v>
      </c>
      <c r="DQ88" s="15">
        <f>DM88+DN88-DO88-DP88</f>
        <v/>
      </c>
      <c r="DR88" s="15">
        <f>CX88+DC88+DH88+DM88</f>
        <v/>
      </c>
      <c r="DS88" s="15">
        <f>CY88+DD88+DI88+DN88</f>
        <v/>
      </c>
      <c r="DT88" s="15">
        <f>CZ88+DE88+DJ88+DO88</f>
        <v/>
      </c>
      <c r="DU88" s="15">
        <f>DA88+DF88+DK88+DP88</f>
        <v/>
      </c>
      <c r="DV88" s="15">
        <f>DB88+DG88+DL88+DQ88</f>
        <v/>
      </c>
      <c r="DW88" s="14" t="n">
        <v>58</v>
      </c>
      <c r="DX88" s="14" t="n">
        <v>16</v>
      </c>
      <c r="DY88" s="14" t="n">
        <v>10</v>
      </c>
      <c r="DZ88" s="14" t="n">
        <v>3</v>
      </c>
      <c r="EA88" s="14" t="n">
        <v>0</v>
      </c>
      <c r="EB88" s="14" t="n">
        <v>1</v>
      </c>
      <c r="EC88" s="14" t="n">
        <v>2</v>
      </c>
      <c r="ED88" s="14" t="n">
        <v>1</v>
      </c>
      <c r="EE88" s="14" t="n">
        <v>0</v>
      </c>
      <c r="EF88" s="14" t="n">
        <v>0</v>
      </c>
      <c r="EG88" s="14" t="n">
        <v>1</v>
      </c>
      <c r="EH88" s="14" t="n">
        <v>0</v>
      </c>
      <c r="EI88" s="14" t="n">
        <v>1</v>
      </c>
      <c r="EJ88" s="14" t="n">
        <v>4</v>
      </c>
      <c r="EK88" s="14" t="n">
        <v>0</v>
      </c>
      <c r="EL88" s="14" t="n">
        <v>0</v>
      </c>
      <c r="EM88" s="14" t="n">
        <v>0</v>
      </c>
      <c r="EN88" s="14" t="n">
        <v>0</v>
      </c>
      <c r="EO88" s="14" t="n">
        <v>0</v>
      </c>
      <c r="EP88" s="14" t="n">
        <v>0</v>
      </c>
      <c r="EQ88" s="14" t="n">
        <v>0</v>
      </c>
      <c r="ER88" s="14" t="n">
        <v>0</v>
      </c>
      <c r="ES88" s="14" t="n">
        <v>0</v>
      </c>
      <c r="ET88" s="14" t="n">
        <v>0</v>
      </c>
      <c r="EU88" s="14" t="n">
        <v>0</v>
      </c>
      <c r="EV88" s="14" t="n">
        <v>0</v>
      </c>
      <c r="EW88" s="14" t="n">
        <v>0</v>
      </c>
      <c r="EX88" s="14" t="n">
        <v>0</v>
      </c>
      <c r="EY88" s="14" t="n">
        <v>0</v>
      </c>
      <c r="EZ88" s="14" t="n">
        <v>0</v>
      </c>
      <c r="FA88" s="14" t="n">
        <v>0</v>
      </c>
      <c r="FB88" s="14" t="n">
        <v>0</v>
      </c>
      <c r="FC88" s="14" t="n">
        <v>0</v>
      </c>
      <c r="FD88" s="14" t="n">
        <v>0</v>
      </c>
      <c r="FE88" s="14" t="n">
        <v>0</v>
      </c>
      <c r="FF88" s="14" t="n">
        <v>0</v>
      </c>
      <c r="FG88" s="15">
        <f>SUM(DW88,DX88,DY88,DZ88,EA88,EB88,EC88,ED88,EE88,EF88,EG88,EH88,EI88,EJ88,EK88,EL88,EM88,EN88,EO88,EP88,EQ88,ER88,ES88,ET88,EU88,EV88,EW88,EX88,EY88,EZ88,FA88,FB88,FC88,FD88,FE88,FF88)</f>
        <v/>
      </c>
      <c r="FH88" s="14" t="n">
        <v>8</v>
      </c>
      <c r="FI88" s="14" t="n">
        <v>194.29</v>
      </c>
      <c r="FJ88" s="14" t="n">
        <v>24</v>
      </c>
      <c r="FK88" s="14" t="n">
        <v>13.5</v>
      </c>
      <c r="FL88" s="14" t="n">
        <v>0</v>
      </c>
      <c r="FM88" s="14" t="n">
        <v>96</v>
      </c>
      <c r="FN88" s="14" t="n">
        <v>12</v>
      </c>
      <c r="FO88" s="14" t="n">
        <v>0</v>
      </c>
      <c r="FP88" s="14" t="n">
        <v>114</v>
      </c>
      <c r="FQ88" s="15">
        <f>FL88+FM88+FN88+FO88+FP88</f>
        <v/>
      </c>
      <c r="FR88" s="14" t="n">
        <v>0</v>
      </c>
      <c r="FS88" s="14" t="n">
        <v>0</v>
      </c>
      <c r="FT88" s="14" t="n">
        <v>0</v>
      </c>
      <c r="FU88" s="14" t="n">
        <v>0</v>
      </c>
      <c r="FV88" s="15">
        <f>FR88+FS88+FT88+FU88</f>
        <v/>
      </c>
      <c r="FW88" s="14" t="n">
        <v>19464269</v>
      </c>
      <c r="FX88" s="14" t="n">
        <v>138800</v>
      </c>
      <c r="FY88" s="14" t="n">
        <v>7620700</v>
      </c>
      <c r="FZ88" s="14" t="n">
        <v>565400</v>
      </c>
      <c r="GA88" s="15">
        <f>FW88+FX88+FY88+FZ88</f>
        <v/>
      </c>
      <c r="GB88" s="15">
        <f>FV88+GA88</f>
        <v/>
      </c>
      <c r="GC88" s="14" t="n">
        <v>43332.39</v>
      </c>
      <c r="GD88" s="14" t="n">
        <v>0</v>
      </c>
      <c r="GE88" s="14" t="n">
        <v>3329749.75</v>
      </c>
      <c r="GF88" s="14" t="n">
        <v>8410.99</v>
      </c>
      <c r="GG88" s="15">
        <f>GC88+GD88+GE88+GF88</f>
        <v/>
      </c>
      <c r="GH88" s="14" t="n">
        <v>19334136.36</v>
      </c>
      <c r="GI88" s="14" t="n">
        <v>138800</v>
      </c>
      <c r="GJ88" s="14" t="n">
        <v>565400</v>
      </c>
      <c r="GK88" s="14" t="n">
        <v>7620700</v>
      </c>
      <c r="GL88" s="15">
        <f>GH88+GI88+GJ88+GK88</f>
        <v/>
      </c>
      <c r="GM88" s="15">
        <f>GG88+GL88</f>
        <v/>
      </c>
      <c r="GN88" s="14" t="n">
        <v>3269.58</v>
      </c>
      <c r="GO88" s="14" t="n">
        <v>0</v>
      </c>
      <c r="GP88" s="14" t="n">
        <v>13574.56</v>
      </c>
      <c r="GQ88" s="14" t="n">
        <v>4637.34</v>
      </c>
      <c r="GR88" s="15">
        <f>GN88+GO88+GP88+GQ88</f>
        <v/>
      </c>
      <c r="GS88" s="14" t="n">
        <v>5358</v>
      </c>
      <c r="GT88" s="14" t="n">
        <v>0</v>
      </c>
      <c r="GU88" s="14" t="n">
        <v>3572</v>
      </c>
      <c r="GV88" s="14" t="n">
        <v>893</v>
      </c>
      <c r="GW88" s="15">
        <f>GS88+GT88+GU88+GV88</f>
        <v/>
      </c>
      <c r="GX88" s="15">
        <f>GM88+GR88+GW88</f>
        <v/>
      </c>
      <c r="GY88" s="14" t="n">
        <v>83647.98000000051</v>
      </c>
      <c r="GZ88" s="14" t="n">
        <v>5409702.17</v>
      </c>
      <c r="HA88" s="15">
        <f>GY88+GZ88</f>
        <v/>
      </c>
      <c r="HB88" s="15">
        <f>IF(GX88=0,"",AU88/GX88)</f>
        <v/>
      </c>
      <c r="HC88" s="16">
        <f>IF((GX88+GY88)=0,"",GB88/(GX88+GY88))</f>
        <v/>
      </c>
      <c r="HD88" s="15">
        <f>IF(GX88=0,"",GB88/GX88)</f>
        <v/>
      </c>
      <c r="HE88" s="14" t="n">
        <v>35</v>
      </c>
      <c r="HF88" s="14" t="n">
        <v>1</v>
      </c>
      <c r="HG88" s="14" t="n">
        <v>2304</v>
      </c>
      <c r="HH88" s="14" t="n">
        <v>35</v>
      </c>
      <c r="HI88" s="14" t="n">
        <v>0</v>
      </c>
      <c r="HJ88" s="15">
        <f>HF88+HI88</f>
        <v/>
      </c>
      <c r="HK88" s="16">
        <f>IF(HE88=0,"",HH88/HE88)</f>
        <v/>
      </c>
      <c r="HL88" s="14" t="n">
        <v>10</v>
      </c>
      <c r="HM88" s="14" t="n">
        <v>2</v>
      </c>
      <c r="HN88" s="17">
        <f>IF(HL88=0,"",HM88/HL88)</f>
        <v/>
      </c>
    </row>
    <row r="89">
      <c r="A89" s="6" t="inlineStr">
        <is>
          <t>Mangochi</t>
        </is>
      </c>
      <c r="B89" s="6" t="inlineStr">
        <is>
          <t>Nkhudzi</t>
        </is>
      </c>
      <c r="C89" s="7" t="inlineStr">
        <is>
          <t>FY2025/26</t>
        </is>
      </c>
      <c r="D89" s="7" t="n">
        <v>2025</v>
      </c>
      <c r="E89" s="7" t="n">
        <v>6</v>
      </c>
      <c r="F89" s="7" t="inlineStr">
        <is>
          <t>June</t>
        </is>
      </c>
      <c r="G89" s="7" t="inlineStr">
        <is>
          <t>Q1</t>
        </is>
      </c>
      <c r="H89" s="8" t="n">
        <v>22529</v>
      </c>
      <c r="I89" s="8" t="n">
        <v>435</v>
      </c>
      <c r="J89" s="8" t="n">
        <v>0</v>
      </c>
      <c r="K89" s="8" t="n">
        <v>373</v>
      </c>
      <c r="L89" s="8" t="n">
        <v>1</v>
      </c>
      <c r="M89" s="9">
        <f>SUM(I89,J89,K89,L89)</f>
        <v/>
      </c>
      <c r="N89" s="8" t="n">
        <v>16097</v>
      </c>
      <c r="O89" s="8" t="n">
        <v>564</v>
      </c>
      <c r="P89" s="8" t="n">
        <v>184</v>
      </c>
      <c r="Q89" s="8" t="n">
        <v>1090</v>
      </c>
      <c r="R89" s="9">
        <f>SUM(N89,O89,P89,Q89)</f>
        <v/>
      </c>
      <c r="S89" s="9">
        <f>M89+R89</f>
        <v/>
      </c>
      <c r="T89" s="8" t="n">
        <v>3785</v>
      </c>
      <c r="U89" s="10">
        <f>IF(H89=0,"",T89/H89)</f>
        <v/>
      </c>
      <c r="V89" s="8" t="n">
        <v>150</v>
      </c>
      <c r="W89" s="11">
        <f>IF(H89=0,"",V89/H89)</f>
        <v/>
      </c>
      <c r="X89" s="8" t="n">
        <v>0</v>
      </c>
      <c r="Y89" s="11">
        <f>IF(H89=0,"",X89/H89)</f>
        <v/>
      </c>
      <c r="Z89" s="8" t="n">
        <v>0</v>
      </c>
      <c r="AA89" s="11">
        <f>IF(H89=0,"",Z89/H89)</f>
        <v/>
      </c>
      <c r="AB89" s="8" t="n">
        <v>0</v>
      </c>
      <c r="AC89" s="11">
        <f>IF(H89=0,"",AB89/H89)</f>
        <v/>
      </c>
      <c r="AD89" s="8" t="n">
        <v>0</v>
      </c>
      <c r="AE89" s="11">
        <f>IF(H89=0,"",AD89/H89)</f>
        <v/>
      </c>
      <c r="AF89" s="8" t="n">
        <v>0</v>
      </c>
      <c r="AG89" s="11">
        <f>IF(H89=0,"",AF89/H89)</f>
        <v/>
      </c>
      <c r="AH89" s="8" t="n">
        <v>3589365</v>
      </c>
      <c r="AI89" s="9">
        <f>IF(H89=0,"",AH89/H89)</f>
        <v/>
      </c>
      <c r="AJ89" s="8" t="n">
        <v>63873.4</v>
      </c>
      <c r="AK89" s="11">
        <f>IF(H89=0,"",AJ89/H89)</f>
        <v/>
      </c>
      <c r="AL89" s="8" t="n">
        <v>10697534.3285</v>
      </c>
      <c r="AM89" s="9">
        <f>IF(H89=0,"",AL89/H89)</f>
        <v/>
      </c>
      <c r="AN89" s="8" t="n">
        <v>0</v>
      </c>
      <c r="AO89" s="8" t="n">
        <v>0</v>
      </c>
      <c r="AP89" s="8" t="n">
        <v>0</v>
      </c>
      <c r="AQ89" s="8" t="n">
        <v>0</v>
      </c>
      <c r="AR89" s="8" t="n">
        <v>8542515.5</v>
      </c>
      <c r="AS89" s="8" t="n">
        <v>5951537.37</v>
      </c>
      <c r="AT89" s="8" t="n">
        <v>829150</v>
      </c>
      <c r="AU89" s="9">
        <f>AH89+AL89+AP89+AQ89+AR89+AS89+AT89</f>
        <v/>
      </c>
      <c r="AV89" s="9">
        <f>IF(H89=0,"",AU89/H89)</f>
        <v/>
      </c>
      <c r="AW89" s="9">
        <f>IF(S89=0,"",AU89/S89)</f>
        <v/>
      </c>
      <c r="AX89" s="8" t="n">
        <v>14</v>
      </c>
      <c r="AY89" s="9">
        <f>IF(H89=0,"",AX89/(H89/1000/12))</f>
        <v/>
      </c>
      <c r="AZ89" s="8" t="n">
        <v>44</v>
      </c>
      <c r="BA89" s="8" t="n">
        <v>2304</v>
      </c>
      <c r="BB89" s="8" t="n">
        <v>15</v>
      </c>
      <c r="BC89" s="8" t="n">
        <v>0</v>
      </c>
      <c r="BD89" s="8" t="n">
        <v>47</v>
      </c>
      <c r="BE89" s="9">
        <f>BC89+BD89</f>
        <v/>
      </c>
      <c r="BF89" s="9">
        <f>BA89+BB89-BE89</f>
        <v/>
      </c>
      <c r="BG89" s="8" t="n">
        <v>0</v>
      </c>
      <c r="BH89" s="8" t="n">
        <v>0</v>
      </c>
      <c r="BI89" s="8" t="n">
        <v>0</v>
      </c>
      <c r="BJ89" s="8" t="n">
        <v>0</v>
      </c>
      <c r="BK89" s="9">
        <f>BI89+BJ89</f>
        <v/>
      </c>
      <c r="BL89" s="9">
        <f>BG89+BH89-BK89</f>
        <v/>
      </c>
      <c r="BM89" s="8" t="n">
        <v>0</v>
      </c>
      <c r="BN89" s="8" t="n">
        <v>0</v>
      </c>
      <c r="BO89" s="8" t="n">
        <v>0</v>
      </c>
      <c r="BP89" s="8" t="n">
        <v>0</v>
      </c>
      <c r="BQ89" s="9">
        <f>BO89+BP89</f>
        <v/>
      </c>
      <c r="BR89" s="9">
        <f>BM89+BN89-BQ89</f>
        <v/>
      </c>
      <c r="BS89" s="8" t="n">
        <v>0</v>
      </c>
      <c r="BT89" s="8" t="n">
        <v>0</v>
      </c>
      <c r="BU89" s="8" t="n">
        <v>0</v>
      </c>
      <c r="BV89" s="8" t="n">
        <v>0</v>
      </c>
      <c r="BW89" s="9">
        <f>BU89+BV89</f>
        <v/>
      </c>
      <c r="BX89" s="9">
        <f>BS89+BT89-BW89</f>
        <v/>
      </c>
      <c r="BY89" s="9">
        <f>BA89+BG89+BM89+BS89</f>
        <v/>
      </c>
      <c r="BZ89" s="9">
        <f>BB89+BH89+BN89+BT89</f>
        <v/>
      </c>
      <c r="CA89" s="9">
        <f>BE89+BK89+BQ89+BW89</f>
        <v/>
      </c>
      <c r="CB89" s="9">
        <f>BF89+BL89+BR89+BX89</f>
        <v/>
      </c>
      <c r="CC89" s="8" t="n">
        <v>47</v>
      </c>
      <c r="CD89" s="8" t="n">
        <v>0</v>
      </c>
      <c r="CE89" s="8" t="n">
        <v>0</v>
      </c>
      <c r="CF89" s="8" t="n">
        <v>0</v>
      </c>
      <c r="CG89" s="8" t="n">
        <v>0</v>
      </c>
      <c r="CH89" s="9">
        <f>CD89+CE89+CF89+CG89</f>
        <v/>
      </c>
      <c r="CI89" s="8" t="n">
        <v>6</v>
      </c>
      <c r="CJ89" s="8" t="n">
        <v>4</v>
      </c>
      <c r="CK89" s="8" t="n">
        <v>1</v>
      </c>
      <c r="CL89" s="8" t="n">
        <v>0</v>
      </c>
      <c r="CM89" s="9">
        <f>CI89+CJ89+CK89+CL89</f>
        <v/>
      </c>
      <c r="CN89" s="8" t="n">
        <v>3882</v>
      </c>
      <c r="CO89" s="8" t="n">
        <v>57</v>
      </c>
      <c r="CP89" s="8" t="n">
        <v>112</v>
      </c>
      <c r="CQ89" s="8" t="n">
        <v>15</v>
      </c>
      <c r="CR89" s="9">
        <f>CN89+CO89+CP89+CQ89</f>
        <v/>
      </c>
      <c r="CS89" s="9">
        <f>CM89+CR89</f>
        <v/>
      </c>
      <c r="CT89" s="8" t="n">
        <v>4077</v>
      </c>
      <c r="CU89" s="8" t="n">
        <v>0</v>
      </c>
      <c r="CV89" s="8" t="n">
        <v>0</v>
      </c>
      <c r="CW89" s="10">
        <f>IF(CU89=0,"",CV89/CU89)</f>
        <v/>
      </c>
      <c r="CX89" s="8" t="n"/>
      <c r="CY89" s="8" t="n"/>
      <c r="CZ89" s="8" t="n"/>
      <c r="DA89" s="8" t="n"/>
      <c r="DB89" s="9">
        <f>CX89+CY89-CZ89-DA89</f>
        <v/>
      </c>
      <c r="DC89" s="8" t="n">
        <v>0</v>
      </c>
      <c r="DD89" s="8" t="n">
        <v>0</v>
      </c>
      <c r="DE89" s="8" t="n">
        <v>0</v>
      </c>
      <c r="DF89" s="8" t="n">
        <v>0</v>
      </c>
      <c r="DG89" s="9">
        <f>DC89+DD89-DE89-DF89</f>
        <v/>
      </c>
      <c r="DH89" s="8" t="n">
        <v>0</v>
      </c>
      <c r="DI89" s="8" t="n">
        <v>0</v>
      </c>
      <c r="DJ89" s="8" t="n">
        <v>0</v>
      </c>
      <c r="DK89" s="8" t="n">
        <v>0</v>
      </c>
      <c r="DL89" s="9">
        <f>DH89+DI89-DJ89-DK89</f>
        <v/>
      </c>
      <c r="DM89" s="8" t="n">
        <v>11</v>
      </c>
      <c r="DN89" s="8" t="n">
        <v>7</v>
      </c>
      <c r="DO89" s="8" t="n">
        <v>0</v>
      </c>
      <c r="DP89" s="8" t="n">
        <v>18</v>
      </c>
      <c r="DQ89" s="9">
        <f>DM89+DN89-DO89-DP89</f>
        <v/>
      </c>
      <c r="DR89" s="9">
        <f>CX89+DC89+DH89+DM89</f>
        <v/>
      </c>
      <c r="DS89" s="9">
        <f>CY89+DD89+DI89+DN89</f>
        <v/>
      </c>
      <c r="DT89" s="9">
        <f>CZ89+DE89+DJ89+DO89</f>
        <v/>
      </c>
      <c r="DU89" s="9">
        <f>DA89+DF89+DK89+DP89</f>
        <v/>
      </c>
      <c r="DV89" s="9">
        <f>DB89+DG89+DL89+DQ89</f>
        <v/>
      </c>
      <c r="DW89" s="8" t="n">
        <v>37</v>
      </c>
      <c r="DX89" s="8" t="n">
        <v>23</v>
      </c>
      <c r="DY89" s="8" t="n">
        <v>10</v>
      </c>
      <c r="DZ89" s="8" t="n">
        <v>2</v>
      </c>
      <c r="EA89" s="8" t="n">
        <v>2</v>
      </c>
      <c r="EB89" s="8" t="n">
        <v>4</v>
      </c>
      <c r="EC89" s="8" t="n">
        <v>2</v>
      </c>
      <c r="ED89" s="8" t="n">
        <v>0</v>
      </c>
      <c r="EE89" s="8" t="n">
        <v>1</v>
      </c>
      <c r="EF89" s="8" t="n">
        <v>0</v>
      </c>
      <c r="EG89" s="8" t="n">
        <v>0</v>
      </c>
      <c r="EH89" s="8" t="n">
        <v>0</v>
      </c>
      <c r="EI89" s="8" t="n">
        <v>1</v>
      </c>
      <c r="EJ89" s="8" t="n">
        <v>2</v>
      </c>
      <c r="EK89" s="8" t="n">
        <v>0</v>
      </c>
      <c r="EL89" s="8" t="n">
        <v>0</v>
      </c>
      <c r="EM89" s="8" t="n">
        <v>0</v>
      </c>
      <c r="EN89" s="8" t="n">
        <v>0</v>
      </c>
      <c r="EO89" s="8" t="n">
        <v>0</v>
      </c>
      <c r="EP89" s="8" t="n">
        <v>0</v>
      </c>
      <c r="EQ89" s="8" t="n">
        <v>0</v>
      </c>
      <c r="ER89" s="8" t="n">
        <v>0</v>
      </c>
      <c r="ES89" s="8" t="n">
        <v>0</v>
      </c>
      <c r="ET89" s="8" t="n">
        <v>0</v>
      </c>
      <c r="EU89" s="8" t="n">
        <v>0</v>
      </c>
      <c r="EV89" s="8" t="n">
        <v>0</v>
      </c>
      <c r="EW89" s="8" t="n">
        <v>0</v>
      </c>
      <c r="EX89" s="8" t="n">
        <v>0</v>
      </c>
      <c r="EY89" s="8" t="n">
        <v>0</v>
      </c>
      <c r="EZ89" s="8" t="n">
        <v>0</v>
      </c>
      <c r="FA89" s="8" t="n">
        <v>0</v>
      </c>
      <c r="FB89" s="8" t="n">
        <v>0</v>
      </c>
      <c r="FC89" s="8" t="n">
        <v>0</v>
      </c>
      <c r="FD89" s="8" t="n">
        <v>0</v>
      </c>
      <c r="FE89" s="8" t="n">
        <v>0</v>
      </c>
      <c r="FF89" s="8" t="n">
        <v>0</v>
      </c>
      <c r="FG89" s="9">
        <f>SUM(DW89,DX89,DY89,DZ89,EA89,EB89,EC89,ED89,EE89,EF89,EG89,EH89,EI89,EJ89,EK89,EL89,EM89,EN89,EO89,EP89,EQ89,ER89,ES89,ET89,EU89,EV89,EW89,EX89,EY89,EZ89,FA89,FB89,FC89,FD89,FE89,FF89)</f>
        <v/>
      </c>
      <c r="FH89" s="8" t="n">
        <v>8</v>
      </c>
      <c r="FI89" s="8" t="n">
        <v>450</v>
      </c>
      <c r="FJ89" s="8" t="n">
        <v>24</v>
      </c>
      <c r="FK89" s="8" t="n">
        <v>39</v>
      </c>
      <c r="FL89" s="8" t="n">
        <v>0</v>
      </c>
      <c r="FM89" s="8" t="n">
        <v>0</v>
      </c>
      <c r="FN89" s="8" t="n">
        <v>0</v>
      </c>
      <c r="FO89" s="8" t="n">
        <v>0</v>
      </c>
      <c r="FP89" s="8" t="n">
        <v>0</v>
      </c>
      <c r="FQ89" s="9">
        <f>FL89+FM89+FN89+FO89+FP89</f>
        <v/>
      </c>
      <c r="FR89" s="8" t="n">
        <v>0</v>
      </c>
      <c r="FS89" s="8" t="n">
        <v>0</v>
      </c>
      <c r="FT89" s="8" t="n">
        <v>0</v>
      </c>
      <c r="FU89" s="8" t="n">
        <v>0</v>
      </c>
      <c r="FV89" s="9">
        <f>FR89+FS89+FT89+FU89</f>
        <v/>
      </c>
      <c r="FW89" s="8" t="n">
        <v>20019848</v>
      </c>
      <c r="FX89" s="8" t="n">
        <v>126294</v>
      </c>
      <c r="FY89" s="8" t="n">
        <v>5094000</v>
      </c>
      <c r="FZ89" s="8" t="n">
        <v>557400</v>
      </c>
      <c r="GA89" s="9">
        <f>FW89+FX89+FY89+FZ89</f>
        <v/>
      </c>
      <c r="GB89" s="9">
        <f>FV89+GA89</f>
        <v/>
      </c>
      <c r="GC89" s="8" t="n">
        <v>413612.11</v>
      </c>
      <c r="GD89" s="8" t="n">
        <v>0</v>
      </c>
      <c r="GE89" s="8" t="n">
        <v>1266534.6</v>
      </c>
      <c r="GF89" s="8" t="n">
        <v>8410.99</v>
      </c>
      <c r="GG89" s="9">
        <f>GC89+GD89+GE89+GF89</f>
        <v/>
      </c>
      <c r="GH89" s="8" t="n">
        <v>19900502.7</v>
      </c>
      <c r="GI89" s="8" t="n">
        <v>126294</v>
      </c>
      <c r="GJ89" s="8" t="n">
        <v>557400</v>
      </c>
      <c r="GK89" s="8" t="n">
        <v>5094000</v>
      </c>
      <c r="GL89" s="9">
        <f>GH89+GI89+GJ89+GK89</f>
        <v/>
      </c>
      <c r="GM89" s="9">
        <f>GG89+GL89</f>
        <v/>
      </c>
      <c r="GN89" s="8" t="n">
        <v>3814.51</v>
      </c>
      <c r="GO89" s="8" t="n">
        <v>0</v>
      </c>
      <c r="GP89" s="8" t="n">
        <v>10180.92</v>
      </c>
      <c r="GQ89" s="8" t="n">
        <v>4637.34</v>
      </c>
      <c r="GR89" s="9">
        <f>GN89+GO89+GP89+GQ89</f>
        <v/>
      </c>
      <c r="GS89" s="8" t="n">
        <v>6251</v>
      </c>
      <c r="GT89" s="8" t="n">
        <v>0</v>
      </c>
      <c r="GU89" s="8" t="n">
        <v>2679</v>
      </c>
      <c r="GV89" s="8" t="n">
        <v>893</v>
      </c>
      <c r="GW89" s="9">
        <f>GS89+GT89+GU89+GV89</f>
        <v/>
      </c>
      <c r="GX89" s="9">
        <f>GM89+GR89+GW89</f>
        <v/>
      </c>
      <c r="GY89" s="8" t="n">
        <v>97589.3100000001</v>
      </c>
      <c r="GZ89" s="8" t="n">
        <v>2228586.55</v>
      </c>
      <c r="HA89" s="9">
        <f>GY89+GZ89</f>
        <v/>
      </c>
      <c r="HB89" s="9">
        <f>IF(GX89=0,"",AU89/GX89)</f>
        <v/>
      </c>
      <c r="HC89" s="10">
        <f>IF((GX89+GY89)=0,"",GB89/(GX89+GY89))</f>
        <v/>
      </c>
      <c r="HD89" s="9">
        <f>IF(GX89=0,"",GB89/GX89)</f>
        <v/>
      </c>
      <c r="HE89" s="8" t="n">
        <v>2272</v>
      </c>
      <c r="HF89" s="8" t="n">
        <v>7</v>
      </c>
      <c r="HG89" s="8" t="n">
        <v>2272</v>
      </c>
      <c r="HH89" s="8" t="n">
        <v>15</v>
      </c>
      <c r="HI89" s="8" t="n">
        <v>7</v>
      </c>
      <c r="HJ89" s="9">
        <f>HF89+HI89</f>
        <v/>
      </c>
      <c r="HK89" s="10">
        <f>IF(HE89=0,"",HH89/HE89)</f>
        <v/>
      </c>
      <c r="HL89" s="8" t="n">
        <v>1</v>
      </c>
      <c r="HM89" s="8" t="n">
        <v>48</v>
      </c>
      <c r="HN89" s="11">
        <f>IF(HL89=0,"",HM89/HL89)</f>
        <v/>
      </c>
    </row>
    <row r="90">
      <c r="A90" s="12" t="inlineStr">
        <is>
          <t>Mangochi</t>
        </is>
      </c>
      <c r="B90" s="12" t="inlineStr">
        <is>
          <t>Nkhudzi</t>
        </is>
      </c>
      <c r="C90" s="13" t="inlineStr">
        <is>
          <t>FY2025/26</t>
        </is>
      </c>
      <c r="D90" s="13" t="n">
        <v>2025</v>
      </c>
      <c r="E90" s="13" t="n">
        <v>7</v>
      </c>
      <c r="F90" s="13" t="inlineStr">
        <is>
          <t>July</t>
        </is>
      </c>
      <c r="G90" s="13" t="inlineStr">
        <is>
          <t>Q2</t>
        </is>
      </c>
      <c r="H90" s="14" t="n">
        <v>25444</v>
      </c>
      <c r="I90" s="14" t="n">
        <v>273</v>
      </c>
      <c r="J90" s="14" t="n">
        <v>0</v>
      </c>
      <c r="K90" s="14" t="n">
        <v>802</v>
      </c>
      <c r="L90" s="14" t="n">
        <v>1</v>
      </c>
      <c r="M90" s="15">
        <f>SUM(I90,J90,K90,L90)</f>
        <v/>
      </c>
      <c r="N90" s="14" t="n">
        <v>17887</v>
      </c>
      <c r="O90" s="14" t="n">
        <v>637</v>
      </c>
      <c r="P90" s="14" t="n">
        <v>264</v>
      </c>
      <c r="Q90" s="14" t="n">
        <v>1394</v>
      </c>
      <c r="R90" s="15">
        <f>SUM(N90,O90,P90,Q90)</f>
        <v/>
      </c>
      <c r="S90" s="15">
        <f>M90+R90</f>
        <v/>
      </c>
      <c r="T90" s="14" t="n">
        <v>4186</v>
      </c>
      <c r="U90" s="16">
        <f>IF(H90=0,"",T90/H90)</f>
        <v/>
      </c>
      <c r="V90" s="14" t="n">
        <v>150</v>
      </c>
      <c r="W90" s="17">
        <f>IF(H90=0,"",V90/H90)</f>
        <v/>
      </c>
      <c r="X90" s="14" t="n">
        <v>0</v>
      </c>
      <c r="Y90" s="17">
        <f>IF(H90=0,"",X90/H90)</f>
        <v/>
      </c>
      <c r="Z90" s="14" t="n">
        <v>0</v>
      </c>
      <c r="AA90" s="17">
        <f>IF(H90=0,"",Z90/H90)</f>
        <v/>
      </c>
      <c r="AB90" s="14" t="n">
        <v>0</v>
      </c>
      <c r="AC90" s="17">
        <f>IF(H90=0,"",AB90/H90)</f>
        <v/>
      </c>
      <c r="AD90" s="14" t="n">
        <v>0</v>
      </c>
      <c r="AE90" s="17">
        <f>IF(H90=0,"",AD90/H90)</f>
        <v/>
      </c>
      <c r="AF90" s="14" t="n">
        <v>0</v>
      </c>
      <c r="AG90" s="17">
        <f>IF(H90=0,"",AF90/H90)</f>
        <v/>
      </c>
      <c r="AH90" s="14" t="n">
        <v>3589365</v>
      </c>
      <c r="AI90" s="15">
        <f>IF(H90=0,"",AH90/H90)</f>
        <v/>
      </c>
      <c r="AJ90" s="14" t="n">
        <v>65051</v>
      </c>
      <c r="AK90" s="17">
        <f>IF(H90=0,"",AJ90/H90)</f>
        <v/>
      </c>
      <c r="AL90" s="14" t="n">
        <v>10894402.5525</v>
      </c>
      <c r="AM90" s="15">
        <f>IF(H90=0,"",AL90/H90)</f>
        <v/>
      </c>
      <c r="AN90" s="14" t="n">
        <v>0</v>
      </c>
      <c r="AO90" s="14" t="n">
        <v>0</v>
      </c>
      <c r="AP90" s="14" t="n">
        <v>0</v>
      </c>
      <c r="AQ90" s="14" t="n">
        <v>0</v>
      </c>
      <c r="AR90" s="14" t="n">
        <v>8542515.5</v>
      </c>
      <c r="AS90" s="14" t="n">
        <v>6375426.37</v>
      </c>
      <c r="AT90" s="14" t="n">
        <v>1046970</v>
      </c>
      <c r="AU90" s="15">
        <f>AH90+AL90+AP90+AQ90+AR90+AS90+AT90</f>
        <v/>
      </c>
      <c r="AV90" s="15">
        <f>IF(H90=0,"",AU90/H90)</f>
        <v/>
      </c>
      <c r="AW90" s="15">
        <f>IF(S90=0,"",AU90/S90)</f>
        <v/>
      </c>
      <c r="AX90" s="14" t="n">
        <v>11</v>
      </c>
      <c r="AY90" s="15">
        <f>IF(H90=0,"",AX90/(H90/1000/12))</f>
        <v/>
      </c>
      <c r="AZ90" s="14" t="n">
        <v>44</v>
      </c>
      <c r="BA90" s="14" t="n">
        <v>2272</v>
      </c>
      <c r="BB90" s="14" t="n">
        <v>20</v>
      </c>
      <c r="BC90" s="14" t="n">
        <v>0</v>
      </c>
      <c r="BD90" s="14" t="n">
        <v>93</v>
      </c>
      <c r="BE90" s="15">
        <f>BC90+BD90</f>
        <v/>
      </c>
      <c r="BF90" s="15">
        <f>BA90+BB90-BE90</f>
        <v/>
      </c>
      <c r="BG90" s="14" t="n">
        <v>0</v>
      </c>
      <c r="BH90" s="14" t="n">
        <v>0</v>
      </c>
      <c r="BI90" s="14" t="n">
        <v>0</v>
      </c>
      <c r="BJ90" s="14" t="n">
        <v>0</v>
      </c>
      <c r="BK90" s="15">
        <f>BI90+BJ90</f>
        <v/>
      </c>
      <c r="BL90" s="15">
        <f>BG90+BH90-BK90</f>
        <v/>
      </c>
      <c r="BM90" s="14" t="n">
        <v>0</v>
      </c>
      <c r="BN90" s="14" t="n">
        <v>0</v>
      </c>
      <c r="BO90" s="14" t="n">
        <v>0</v>
      </c>
      <c r="BP90" s="14" t="n">
        <v>0</v>
      </c>
      <c r="BQ90" s="15">
        <f>BO90+BP90</f>
        <v/>
      </c>
      <c r="BR90" s="15">
        <f>BM90+BN90-BQ90</f>
        <v/>
      </c>
      <c r="BS90" s="14" t="n">
        <v>0</v>
      </c>
      <c r="BT90" s="14" t="n">
        <v>0</v>
      </c>
      <c r="BU90" s="14" t="n">
        <v>0</v>
      </c>
      <c r="BV90" s="14" t="n">
        <v>0</v>
      </c>
      <c r="BW90" s="15">
        <f>BU90+BV90</f>
        <v/>
      </c>
      <c r="BX90" s="15">
        <f>BS90+BT90-BW90</f>
        <v/>
      </c>
      <c r="BY90" s="15">
        <f>BA90+BG90+BM90+BS90</f>
        <v/>
      </c>
      <c r="BZ90" s="15">
        <f>BB90+BH90+BN90+BT90</f>
        <v/>
      </c>
      <c r="CA90" s="15">
        <f>BE90+BK90+BQ90+BW90</f>
        <v/>
      </c>
      <c r="CB90" s="15">
        <f>BF90+BL90+BR90+BX90</f>
        <v/>
      </c>
      <c r="CC90" s="14" t="n">
        <v>93</v>
      </c>
      <c r="CD90" s="14" t="n">
        <v>0</v>
      </c>
      <c r="CE90" s="14" t="n">
        <v>0</v>
      </c>
      <c r="CF90" s="14" t="n">
        <v>0</v>
      </c>
      <c r="CG90" s="14" t="n">
        <v>0</v>
      </c>
      <c r="CH90" s="15">
        <f>CD90+CE90+CF90+CG90</f>
        <v/>
      </c>
      <c r="CI90" s="14" t="n">
        <v>7</v>
      </c>
      <c r="CJ90" s="14" t="n">
        <v>3</v>
      </c>
      <c r="CK90" s="14" t="n">
        <v>1</v>
      </c>
      <c r="CL90" s="14" t="n">
        <v>0</v>
      </c>
      <c r="CM90" s="15">
        <f>CI90+CJ90+CK90+CL90</f>
        <v/>
      </c>
      <c r="CN90" s="14" t="n">
        <v>3740</v>
      </c>
      <c r="CO90" s="14" t="n">
        <v>61</v>
      </c>
      <c r="CP90" s="14" t="n">
        <v>83</v>
      </c>
      <c r="CQ90" s="14" t="n">
        <v>15</v>
      </c>
      <c r="CR90" s="15">
        <f>CN90+CO90+CP90+CQ90</f>
        <v/>
      </c>
      <c r="CS90" s="15">
        <f>CM90+CR90</f>
        <v/>
      </c>
      <c r="CT90" s="14" t="n">
        <v>3910</v>
      </c>
      <c r="CU90" s="14" t="n">
        <v>0</v>
      </c>
      <c r="CV90" s="14" t="n">
        <v>0</v>
      </c>
      <c r="CW90" s="16">
        <f>IF(CU90=0,"",CV90/CU90)</f>
        <v/>
      </c>
      <c r="CX90" s="14" t="n"/>
      <c r="CY90" s="14" t="n"/>
      <c r="CZ90" s="14" t="n"/>
      <c r="DA90" s="14" t="n"/>
      <c r="DB90" s="15">
        <f>CX90+CY90-CZ90-DA90</f>
        <v/>
      </c>
      <c r="DC90" s="14" t="n">
        <v>0</v>
      </c>
      <c r="DD90" s="14" t="n">
        <v>0</v>
      </c>
      <c r="DE90" s="14" t="n">
        <v>0</v>
      </c>
      <c r="DF90" s="14" t="n">
        <v>0</v>
      </c>
      <c r="DG90" s="15">
        <f>DC90+DD90-DE90-DF90</f>
        <v/>
      </c>
      <c r="DH90" s="14" t="n">
        <v>0</v>
      </c>
      <c r="DI90" s="14" t="n">
        <v>0</v>
      </c>
      <c r="DJ90" s="14" t="n">
        <v>0</v>
      </c>
      <c r="DK90" s="14" t="n">
        <v>0</v>
      </c>
      <c r="DL90" s="15">
        <f>DH90+DI90-DJ90-DK90</f>
        <v/>
      </c>
      <c r="DM90" s="14" t="n">
        <v>0</v>
      </c>
      <c r="DN90" s="14" t="n">
        <v>16</v>
      </c>
      <c r="DO90" s="14" t="n">
        <v>0</v>
      </c>
      <c r="DP90" s="14" t="n">
        <v>5</v>
      </c>
      <c r="DQ90" s="15">
        <f>DM90+DN90-DO90-DP90</f>
        <v/>
      </c>
      <c r="DR90" s="15">
        <f>CX90+DC90+DH90+DM90</f>
        <v/>
      </c>
      <c r="DS90" s="15">
        <f>CY90+DD90+DI90+DN90</f>
        <v/>
      </c>
      <c r="DT90" s="15">
        <f>CZ90+DE90+DJ90+DO90</f>
        <v/>
      </c>
      <c r="DU90" s="15">
        <f>DA90+DF90+DK90+DP90</f>
        <v/>
      </c>
      <c r="DV90" s="15">
        <f>DB90+DG90+DL90+DQ90</f>
        <v/>
      </c>
      <c r="DW90" s="14" t="n">
        <v>27</v>
      </c>
      <c r="DX90" s="14" t="n">
        <v>26</v>
      </c>
      <c r="DY90" s="14" t="n">
        <v>5</v>
      </c>
      <c r="DZ90" s="14" t="n">
        <v>6</v>
      </c>
      <c r="EA90" s="14" t="n">
        <v>5</v>
      </c>
      <c r="EB90" s="14" t="n">
        <v>9</v>
      </c>
      <c r="EC90" s="14" t="n">
        <v>1</v>
      </c>
      <c r="ED90" s="14" t="n">
        <v>1</v>
      </c>
      <c r="EE90" s="14" t="n">
        <v>0</v>
      </c>
      <c r="EF90" s="14" t="n">
        <v>0</v>
      </c>
      <c r="EG90" s="14" t="n">
        <v>1</v>
      </c>
      <c r="EH90" s="14" t="n">
        <v>2</v>
      </c>
      <c r="EI90" s="14" t="n">
        <v>0</v>
      </c>
      <c r="EJ90" s="14" t="n">
        <v>0</v>
      </c>
      <c r="EK90" s="14" t="n">
        <v>0</v>
      </c>
      <c r="EL90" s="14" t="n">
        <v>0</v>
      </c>
      <c r="EM90" s="14" t="n">
        <v>0</v>
      </c>
      <c r="EN90" s="14" t="n">
        <v>0</v>
      </c>
      <c r="EO90" s="14" t="n">
        <v>0</v>
      </c>
      <c r="EP90" s="14" t="n">
        <v>0</v>
      </c>
      <c r="EQ90" s="14" t="n">
        <v>0</v>
      </c>
      <c r="ER90" s="14" t="n">
        <v>0</v>
      </c>
      <c r="ES90" s="14" t="n">
        <v>0</v>
      </c>
      <c r="ET90" s="14" t="n">
        <v>0</v>
      </c>
      <c r="EU90" s="14" t="n">
        <v>0</v>
      </c>
      <c r="EV90" s="14" t="n">
        <v>0</v>
      </c>
      <c r="EW90" s="14" t="n">
        <v>0</v>
      </c>
      <c r="EX90" s="14" t="n">
        <v>0</v>
      </c>
      <c r="EY90" s="14" t="n">
        <v>0</v>
      </c>
      <c r="EZ90" s="14" t="n">
        <v>0</v>
      </c>
      <c r="FA90" s="14" t="n">
        <v>0</v>
      </c>
      <c r="FB90" s="14" t="n">
        <v>0</v>
      </c>
      <c r="FC90" s="14" t="n">
        <v>0</v>
      </c>
      <c r="FD90" s="14" t="n">
        <v>0</v>
      </c>
      <c r="FE90" s="14" t="n">
        <v>0</v>
      </c>
      <c r="FF90" s="14" t="n">
        <v>0</v>
      </c>
      <c r="FG90" s="15">
        <f>SUM(DW90,DX90,DY90,DZ90,EA90,EB90,EC90,ED90,EE90,EF90,EG90,EH90,EI90,EJ90,EK90,EL90,EM90,EN90,EO90,EP90,EQ90,ER90,ES90,ET90,EU90,EV90,EW90,EX90,EY90,EZ90,FA90,FB90,FC90,FD90,FE90,FF90)</f>
        <v/>
      </c>
      <c r="FH90" s="14" t="n">
        <v>8</v>
      </c>
      <c r="FI90" s="14" t="n">
        <v>208</v>
      </c>
      <c r="FJ90" s="14" t="n">
        <v>24</v>
      </c>
      <c r="FK90" s="14" t="n">
        <v>26</v>
      </c>
      <c r="FL90" s="14" t="n">
        <v>0</v>
      </c>
      <c r="FM90" s="14" t="n">
        <v>0</v>
      </c>
      <c r="FN90" s="14" t="n">
        <v>0</v>
      </c>
      <c r="FO90" s="14" t="n">
        <v>0</v>
      </c>
      <c r="FP90" s="14" t="n">
        <v>0</v>
      </c>
      <c r="FQ90" s="15">
        <f>FL90+FM90+FN90+FO90+FP90</f>
        <v/>
      </c>
      <c r="FR90" s="14" t="n">
        <v>0</v>
      </c>
      <c r="FS90" s="14" t="n">
        <v>0</v>
      </c>
      <c r="FT90" s="14" t="n">
        <v>0</v>
      </c>
      <c r="FU90" s="14" t="n">
        <v>0</v>
      </c>
      <c r="FV90" s="15">
        <f>FR90+FS90+FT90+FU90</f>
        <v/>
      </c>
      <c r="FW90" s="14" t="n">
        <v>23648080</v>
      </c>
      <c r="FX90" s="14" t="n">
        <v>140900</v>
      </c>
      <c r="FY90" s="14" t="n">
        <v>3896300</v>
      </c>
      <c r="FZ90" s="14" t="n">
        <v>1133982</v>
      </c>
      <c r="GA90" s="15">
        <f>FW90+FX90+FY90+FZ90</f>
        <v/>
      </c>
      <c r="GB90" s="15">
        <f>FV90+GA90</f>
        <v/>
      </c>
      <c r="GC90" s="14" t="n">
        <v>261452.04</v>
      </c>
      <c r="GD90" s="14" t="n">
        <v>0</v>
      </c>
      <c r="GE90" s="14" t="n">
        <v>2750377</v>
      </c>
      <c r="GF90" s="14" t="n">
        <v>8410.99</v>
      </c>
      <c r="GG90" s="15">
        <f>GC90+GD90+GE90+GF90</f>
        <v/>
      </c>
      <c r="GH90" s="14" t="n">
        <v>23507810</v>
      </c>
      <c r="GI90" s="14" t="n">
        <v>140900</v>
      </c>
      <c r="GJ90" s="14" t="n">
        <v>1133982</v>
      </c>
      <c r="GK90" s="14" t="n">
        <v>3896300</v>
      </c>
      <c r="GL90" s="15">
        <f>GH90+GI90+GJ90+GK90</f>
        <v/>
      </c>
      <c r="GM90" s="15">
        <f>GG90+GL90</f>
        <v/>
      </c>
      <c r="GN90" s="14" t="n">
        <v>3814.51</v>
      </c>
      <c r="GO90" s="14" t="n">
        <v>0</v>
      </c>
      <c r="GP90" s="14" t="n">
        <v>10180.92</v>
      </c>
      <c r="GQ90" s="14" t="n">
        <v>4637.34</v>
      </c>
      <c r="GR90" s="15">
        <f>GN90+GO90+GP90+GQ90</f>
        <v/>
      </c>
      <c r="GS90" s="14" t="n">
        <v>6251</v>
      </c>
      <c r="GT90" s="14" t="n">
        <v>0</v>
      </c>
      <c r="GU90" s="14" t="n">
        <v>2679</v>
      </c>
      <c r="GV90" s="14" t="n">
        <v>893</v>
      </c>
      <c r="GW90" s="15">
        <f>GS90+GT90+GU90+GV90</f>
        <v/>
      </c>
      <c r="GX90" s="15">
        <f>GM90+GR90+GW90</f>
        <v/>
      </c>
      <c r="GY90" s="14" t="n">
        <v>111530.64</v>
      </c>
      <c r="GZ90" s="14" t="n">
        <v>5263341.02</v>
      </c>
      <c r="HA90" s="15">
        <f>GY90+GZ90</f>
        <v/>
      </c>
      <c r="HB90" s="15">
        <f>IF(GX90=0,"",AU90/GX90)</f>
        <v/>
      </c>
      <c r="HC90" s="16">
        <f>IF((GX90+GY90)=0,"",GB90/(GX90+GY90))</f>
        <v/>
      </c>
      <c r="HD90" s="15">
        <f>IF(GX90=0,"",GB90/GX90)</f>
        <v/>
      </c>
      <c r="HE90" s="14" t="n">
        <v>93</v>
      </c>
      <c r="HF90" s="14" t="n">
        <v>1</v>
      </c>
      <c r="HG90" s="14" t="n">
        <v>2199</v>
      </c>
      <c r="HH90" s="14" t="n">
        <v>20</v>
      </c>
      <c r="HI90" s="14" t="n">
        <v>7</v>
      </c>
      <c r="HJ90" s="15">
        <f>HF90+HI90</f>
        <v/>
      </c>
      <c r="HK90" s="16">
        <f>IF(HE90=0,"",HH90/HE90)</f>
        <v/>
      </c>
      <c r="HL90" s="14" t="n">
        <v>2</v>
      </c>
      <c r="HM90" s="14" t="n">
        <v>48</v>
      </c>
      <c r="HN90" s="17">
        <f>IF(HL90=0,"",HM90/HL90)</f>
        <v/>
      </c>
    </row>
    <row r="91">
      <c r="A91" s="6" t="inlineStr">
        <is>
          <t>Mangochi</t>
        </is>
      </c>
      <c r="B91" s="6" t="inlineStr">
        <is>
          <t>Nkhudzi</t>
        </is>
      </c>
      <c r="C91" s="7" t="inlineStr">
        <is>
          <t>FY2025/26</t>
        </is>
      </c>
      <c r="D91" s="7" t="n">
        <v>2025</v>
      </c>
      <c r="E91" s="7" t="n">
        <v>8</v>
      </c>
      <c r="F91" s="7" t="inlineStr">
        <is>
          <t>August</t>
        </is>
      </c>
      <c r="G91" s="7" t="inlineStr">
        <is>
          <t>Q2</t>
        </is>
      </c>
      <c r="H91" s="8" t="n">
        <v>35765</v>
      </c>
      <c r="I91" s="8" t="n">
        <v>610</v>
      </c>
      <c r="J91" s="8" t="n">
        <v>0</v>
      </c>
      <c r="K91" s="8" t="n">
        <v>441</v>
      </c>
      <c r="L91" s="8" t="n">
        <v>1</v>
      </c>
      <c r="M91" s="9">
        <f>SUM(I91,J91,K91,L91)</f>
        <v/>
      </c>
      <c r="N91" s="8" t="n">
        <v>20344.4</v>
      </c>
      <c r="O91" s="8" t="n">
        <v>732.4</v>
      </c>
      <c r="P91" s="8" t="n">
        <v>179.1</v>
      </c>
      <c r="Q91" s="8" t="n">
        <v>3135.7</v>
      </c>
      <c r="R91" s="9">
        <f>SUM(N91,O91,P91,Q91)</f>
        <v/>
      </c>
      <c r="S91" s="9">
        <f>M91+R91</f>
        <v/>
      </c>
      <c r="T91" s="8" t="n">
        <v>10321.4</v>
      </c>
      <c r="U91" s="10">
        <f>IF(H91=0,"",T91/H91)</f>
        <v/>
      </c>
      <c r="V91" s="8" t="n">
        <v>125</v>
      </c>
      <c r="W91" s="11">
        <f>IF(H91=0,"",V91/H91)</f>
        <v/>
      </c>
      <c r="X91" s="8" t="n">
        <v>0</v>
      </c>
      <c r="Y91" s="11">
        <f>IF(H91=0,"",X91/H91)</f>
        <v/>
      </c>
      <c r="Z91" s="8" t="n">
        <v>0</v>
      </c>
      <c r="AA91" s="11">
        <f>IF(H91=0,"",Z91/H91)</f>
        <v/>
      </c>
      <c r="AB91" s="8" t="n">
        <v>0</v>
      </c>
      <c r="AC91" s="11">
        <f>IF(H91=0,"",AB91/H91)</f>
        <v/>
      </c>
      <c r="AD91" s="8" t="n">
        <v>0</v>
      </c>
      <c r="AE91" s="11">
        <f>IF(H91=0,"",AD91/H91)</f>
        <v/>
      </c>
      <c r="AF91" s="8" t="n">
        <v>0</v>
      </c>
      <c r="AG91" s="11">
        <f>IF(H91=0,"",AF91/H91)</f>
        <v/>
      </c>
      <c r="AH91" s="8" t="n">
        <v>2991137.5</v>
      </c>
      <c r="AI91" s="9">
        <f>IF(H91=0,"",AH91/H91)</f>
        <v/>
      </c>
      <c r="AJ91" s="8" t="n">
        <v>61122.78</v>
      </c>
      <c r="AK91" s="11">
        <f>IF(H91=0,"",AJ91/H91)</f>
        <v/>
      </c>
      <c r="AL91" s="8" t="n">
        <v>10237692.55345</v>
      </c>
      <c r="AM91" s="9">
        <f>IF(H91=0,"",AL91/H91)</f>
        <v/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8937423.23</v>
      </c>
      <c r="AS91" s="8" t="n">
        <v>6392085.04</v>
      </c>
      <c r="AT91" s="8" t="n">
        <v>1055220</v>
      </c>
      <c r="AU91" s="9">
        <f>AH91+AL91+AP91+AQ91+AR91+AS91+AT91</f>
        <v/>
      </c>
      <c r="AV91" s="9">
        <f>IF(H91=0,"",AU91/H91)</f>
        <v/>
      </c>
      <c r="AW91" s="9">
        <f>IF(S91=0,"",AU91/S91)</f>
        <v/>
      </c>
      <c r="AX91" s="8" t="n">
        <v>11</v>
      </c>
      <c r="AY91" s="9">
        <f>IF(H91=0,"",AX91/(H91/1000/12))</f>
        <v/>
      </c>
      <c r="AZ91" s="8" t="n">
        <v>44</v>
      </c>
      <c r="BA91" s="8" t="n">
        <v>2199</v>
      </c>
      <c r="BB91" s="8" t="n">
        <v>15</v>
      </c>
      <c r="BC91" s="8" t="n">
        <v>0</v>
      </c>
      <c r="BD91" s="8" t="n">
        <v>77</v>
      </c>
      <c r="BE91" s="9">
        <f>BC91+BD91</f>
        <v/>
      </c>
      <c r="BF91" s="9">
        <f>BA91+BB91-BE91</f>
        <v/>
      </c>
      <c r="BG91" s="8" t="n">
        <v>0</v>
      </c>
      <c r="BH91" s="8" t="n">
        <v>0</v>
      </c>
      <c r="BI91" s="8" t="n">
        <v>0</v>
      </c>
      <c r="BJ91" s="8" t="n">
        <v>0</v>
      </c>
      <c r="BK91" s="9">
        <f>BI91+BJ91</f>
        <v/>
      </c>
      <c r="BL91" s="9">
        <f>BG91+BH91-BK91</f>
        <v/>
      </c>
      <c r="BM91" s="8" t="n">
        <v>0</v>
      </c>
      <c r="BN91" s="8" t="n">
        <v>0</v>
      </c>
      <c r="BO91" s="8" t="n">
        <v>0</v>
      </c>
      <c r="BP91" s="8" t="n">
        <v>0</v>
      </c>
      <c r="BQ91" s="9">
        <f>BO91+BP91</f>
        <v/>
      </c>
      <c r="BR91" s="9">
        <f>BM91+BN91-BQ91</f>
        <v/>
      </c>
      <c r="BS91" s="8" t="n">
        <v>0</v>
      </c>
      <c r="BT91" s="8" t="n">
        <v>0</v>
      </c>
      <c r="BU91" s="8" t="n">
        <v>0</v>
      </c>
      <c r="BV91" s="8" t="n">
        <v>0</v>
      </c>
      <c r="BW91" s="9">
        <f>BU91+BV91</f>
        <v/>
      </c>
      <c r="BX91" s="9">
        <f>BS91+BT91-BW91</f>
        <v/>
      </c>
      <c r="BY91" s="9">
        <f>BA91+BG91+BM91+BS91</f>
        <v/>
      </c>
      <c r="BZ91" s="9">
        <f>BB91+BH91+BN91+BT91</f>
        <v/>
      </c>
      <c r="CA91" s="9">
        <f>BE91+BK91+BQ91+BW91</f>
        <v/>
      </c>
      <c r="CB91" s="9">
        <f>BF91+BL91+BR91+BX91</f>
        <v/>
      </c>
      <c r="CC91" s="8" t="n">
        <v>77</v>
      </c>
      <c r="CD91" s="8" t="n">
        <v>0</v>
      </c>
      <c r="CE91" s="8" t="n">
        <v>0</v>
      </c>
      <c r="CF91" s="8" t="n">
        <v>0</v>
      </c>
      <c r="CG91" s="8" t="n">
        <v>0</v>
      </c>
      <c r="CH91" s="9">
        <f>CD91+CE91+CF91+CG91</f>
        <v/>
      </c>
      <c r="CI91" s="8" t="n">
        <v>7</v>
      </c>
      <c r="CJ91" s="8" t="n">
        <v>3</v>
      </c>
      <c r="CK91" s="8" t="n">
        <v>1</v>
      </c>
      <c r="CL91" s="8" t="n">
        <v>0</v>
      </c>
      <c r="CM91" s="9">
        <f>CI91+CJ91+CK91+CL91</f>
        <v/>
      </c>
      <c r="CN91" s="8" t="n">
        <v>3817</v>
      </c>
      <c r="CO91" s="8" t="n">
        <v>61</v>
      </c>
      <c r="CP91" s="8" t="n">
        <v>83</v>
      </c>
      <c r="CQ91" s="8" t="n">
        <v>15</v>
      </c>
      <c r="CR91" s="9">
        <f>CN91+CO91+CP91+CQ91</f>
        <v/>
      </c>
      <c r="CS91" s="9">
        <f>CM91+CR91</f>
        <v/>
      </c>
      <c r="CT91" s="8" t="n">
        <v>3987</v>
      </c>
      <c r="CU91" s="8" t="n">
        <v>0</v>
      </c>
      <c r="CV91" s="8" t="n">
        <v>0</v>
      </c>
      <c r="CW91" s="10">
        <f>IF(CU91=0,"",CV91/CU91)</f>
        <v/>
      </c>
      <c r="CX91" s="8" t="n"/>
      <c r="CY91" s="8" t="n"/>
      <c r="CZ91" s="8" t="n"/>
      <c r="DA91" s="8" t="n"/>
      <c r="DB91" s="9">
        <f>CX91+CY91-CZ91-DA91</f>
        <v/>
      </c>
      <c r="DC91" s="8" t="n">
        <v>0</v>
      </c>
      <c r="DD91" s="8" t="n">
        <v>0</v>
      </c>
      <c r="DE91" s="8" t="n">
        <v>0</v>
      </c>
      <c r="DF91" s="8" t="n">
        <v>0</v>
      </c>
      <c r="DG91" s="9">
        <f>DC91+DD91-DE91-DF91</f>
        <v/>
      </c>
      <c r="DH91" s="8" t="n">
        <v>0</v>
      </c>
      <c r="DI91" s="8" t="n">
        <v>0</v>
      </c>
      <c r="DJ91" s="8" t="n">
        <v>0</v>
      </c>
      <c r="DK91" s="8" t="n">
        <v>0</v>
      </c>
      <c r="DL91" s="9">
        <f>DH91+DI91-DJ91-DK91</f>
        <v/>
      </c>
      <c r="DM91" s="8" t="n">
        <v>11</v>
      </c>
      <c r="DN91" s="8" t="n">
        <v>12</v>
      </c>
      <c r="DO91" s="8" t="n">
        <v>0</v>
      </c>
      <c r="DP91" s="8" t="n">
        <v>18</v>
      </c>
      <c r="DQ91" s="9">
        <f>DM91+DN91-DO91-DP91</f>
        <v/>
      </c>
      <c r="DR91" s="9">
        <f>CX91+DC91+DH91+DM91</f>
        <v/>
      </c>
      <c r="DS91" s="9">
        <f>CY91+DD91+DI91+DN91</f>
        <v/>
      </c>
      <c r="DT91" s="9">
        <f>CZ91+DE91+DJ91+DO91</f>
        <v/>
      </c>
      <c r="DU91" s="9">
        <f>DA91+DF91+DK91+DP91</f>
        <v/>
      </c>
      <c r="DV91" s="9">
        <f>DB91+DG91+DL91+DQ91</f>
        <v/>
      </c>
      <c r="DW91" s="8" t="n">
        <v>28</v>
      </c>
      <c r="DX91" s="8" t="n">
        <v>19</v>
      </c>
      <c r="DY91" s="8" t="n">
        <v>4</v>
      </c>
      <c r="DZ91" s="8" t="n">
        <v>3</v>
      </c>
      <c r="EA91" s="8" t="n">
        <v>1</v>
      </c>
      <c r="EB91" s="8" t="n">
        <v>2</v>
      </c>
      <c r="EC91" s="8" t="n">
        <v>3</v>
      </c>
      <c r="ED91" s="8" t="n">
        <v>0</v>
      </c>
      <c r="EE91" s="8" t="n">
        <v>2</v>
      </c>
      <c r="EF91" s="8" t="n">
        <v>1</v>
      </c>
      <c r="EG91" s="8" t="n">
        <v>5</v>
      </c>
      <c r="EH91" s="8" t="n">
        <v>0</v>
      </c>
      <c r="EI91" s="8" t="n">
        <v>1</v>
      </c>
      <c r="EJ91" s="8" t="n">
        <v>0</v>
      </c>
      <c r="EK91" s="8" t="n">
        <v>0</v>
      </c>
      <c r="EL91" s="8" t="n">
        <v>0</v>
      </c>
      <c r="EM91" s="8" t="n">
        <v>0</v>
      </c>
      <c r="EN91" s="8" t="n">
        <v>0</v>
      </c>
      <c r="EO91" s="8" t="n">
        <v>0</v>
      </c>
      <c r="EP91" s="8" t="n">
        <v>0</v>
      </c>
      <c r="EQ91" s="8" t="n">
        <v>0</v>
      </c>
      <c r="ER91" s="8" t="n">
        <v>0</v>
      </c>
      <c r="ES91" s="8" t="n">
        <v>0</v>
      </c>
      <c r="ET91" s="8" t="n">
        <v>0</v>
      </c>
      <c r="EU91" s="8" t="n">
        <v>0</v>
      </c>
      <c r="EV91" s="8" t="n">
        <v>0</v>
      </c>
      <c r="EW91" s="8" t="n">
        <v>0</v>
      </c>
      <c r="EX91" s="8" t="n">
        <v>0</v>
      </c>
      <c r="EY91" s="8" t="n">
        <v>0</v>
      </c>
      <c r="EZ91" s="8" t="n">
        <v>0</v>
      </c>
      <c r="FA91" s="8" t="n">
        <v>0</v>
      </c>
      <c r="FB91" s="8" t="n">
        <v>0</v>
      </c>
      <c r="FC91" s="8" t="n">
        <v>0</v>
      </c>
      <c r="FD91" s="8" t="n">
        <v>0</v>
      </c>
      <c r="FE91" s="8" t="n">
        <v>0</v>
      </c>
      <c r="FF91" s="8" t="n">
        <v>0</v>
      </c>
      <c r="FG91" s="9">
        <f>SUM(DW91,DX91,DY91,DZ91,EA91,EB91,EC91,ED91,EE91,EF91,EG91,EH91,EI91,EJ91,EK91,EL91,EM91,EN91,EO91,EP91,EQ91,ER91,ES91,ET91,EU91,EV91,EW91,EX91,EY91,EZ91,FA91,FB91,FC91,FD91,FE91,FF91)</f>
        <v/>
      </c>
      <c r="FH91" s="8" t="n">
        <v>8</v>
      </c>
      <c r="FI91" s="8" t="n">
        <v>0</v>
      </c>
      <c r="FJ91" s="8" t="n">
        <v>24</v>
      </c>
      <c r="FK91" s="8" t="n">
        <v>38</v>
      </c>
      <c r="FL91" s="8" t="n">
        <v>4</v>
      </c>
      <c r="FM91" s="8" t="n">
        <v>0</v>
      </c>
      <c r="FN91" s="8" t="n">
        <v>35</v>
      </c>
      <c r="FO91" s="8" t="n">
        <v>0</v>
      </c>
      <c r="FP91" s="8" t="n">
        <v>70</v>
      </c>
      <c r="FQ91" s="9">
        <f>FL91+FM91+FN91+FO91+FP91</f>
        <v/>
      </c>
      <c r="FR91" s="8" t="n">
        <v>0</v>
      </c>
      <c r="FS91" s="8" t="n">
        <v>0</v>
      </c>
      <c r="FT91" s="8" t="n">
        <v>0</v>
      </c>
      <c r="FU91" s="8" t="n">
        <v>0</v>
      </c>
      <c r="FV91" s="9">
        <f>FR91+FS91+FT91+FU91</f>
        <v/>
      </c>
      <c r="FW91" s="8" t="n">
        <v>25296710</v>
      </c>
      <c r="FX91" s="8" t="n">
        <v>167200</v>
      </c>
      <c r="FY91" s="8" t="n">
        <v>14603700</v>
      </c>
      <c r="FZ91" s="8" t="n">
        <v>544900</v>
      </c>
      <c r="GA91" s="9">
        <f>FW91+FX91+FY91+FZ91</f>
        <v/>
      </c>
      <c r="GB91" s="9">
        <f>FV91+GA91</f>
        <v/>
      </c>
      <c r="GC91" s="8" t="n">
        <v>581405.53</v>
      </c>
      <c r="GD91" s="8" t="n">
        <v>0</v>
      </c>
      <c r="GE91" s="8" t="n">
        <v>1498319.09</v>
      </c>
      <c r="GF91" s="8" t="n">
        <v>8410.99</v>
      </c>
      <c r="GG91" s="9">
        <f>GC91+GD91+GE91+GF91</f>
        <v/>
      </c>
      <c r="GH91" s="8" t="n">
        <v>25173930</v>
      </c>
      <c r="GI91" s="8" t="n">
        <v>167200</v>
      </c>
      <c r="GJ91" s="8" t="n">
        <v>544900</v>
      </c>
      <c r="GK91" s="8" t="n">
        <v>14603700</v>
      </c>
      <c r="GL91" s="9">
        <f>GH91+GI91+GJ91+GK91</f>
        <v/>
      </c>
      <c r="GM91" s="9">
        <f>GG91+GL91</f>
        <v/>
      </c>
      <c r="GN91" s="8" t="n">
        <v>3814.51</v>
      </c>
      <c r="GO91" s="8" t="n">
        <v>0</v>
      </c>
      <c r="GP91" s="8" t="n">
        <v>10180.92</v>
      </c>
      <c r="GQ91" s="8" t="n">
        <v>4637.34</v>
      </c>
      <c r="GR91" s="9">
        <f>GN91+GO91+GP91+GQ91</f>
        <v/>
      </c>
      <c r="GS91" s="8" t="n">
        <v>6251</v>
      </c>
      <c r="GT91" s="8" t="n">
        <v>0</v>
      </c>
      <c r="GU91" s="8" t="n">
        <v>2679</v>
      </c>
      <c r="GV91" s="8" t="n">
        <v>893</v>
      </c>
      <c r="GW91" s="9">
        <f>GS91+GT91+GU91+GV91</f>
        <v/>
      </c>
      <c r="GX91" s="9">
        <f>GM91+GR91+GW91</f>
        <v/>
      </c>
      <c r="GY91" s="8" t="n">
        <v>125471.97</v>
      </c>
      <c r="GZ91" s="8" t="n">
        <v>7365991.07</v>
      </c>
      <c r="HA91" s="9">
        <f>GY91+GZ91</f>
        <v/>
      </c>
      <c r="HB91" s="9">
        <f>IF(GX91=0,"",AU91/GX91)</f>
        <v/>
      </c>
      <c r="HC91" s="10">
        <f>IF((GX91+GY91)=0,"",GB91/(GX91+GY91))</f>
        <v/>
      </c>
      <c r="HD91" s="9">
        <f>IF(GX91=0,"",GB91/GX91)</f>
        <v/>
      </c>
      <c r="HE91" s="8" t="n">
        <v>77</v>
      </c>
      <c r="HF91" s="8" t="n">
        <v>1</v>
      </c>
      <c r="HG91" s="8" t="n">
        <v>2137</v>
      </c>
      <c r="HH91" s="8" t="n">
        <v>15</v>
      </c>
      <c r="HI91" s="8" t="n">
        <v>7</v>
      </c>
      <c r="HJ91" s="9">
        <f>HF91+HI91</f>
        <v/>
      </c>
      <c r="HK91" s="10">
        <f>IF(HE91=0,"",HH91/HE91)</f>
        <v/>
      </c>
      <c r="HL91" s="8" t="n">
        <v>1</v>
      </c>
      <c r="HM91" s="8" t="n">
        <v>24</v>
      </c>
      <c r="HN91" s="11">
        <f>IF(HL91=0,"",HM91/HL91)</f>
        <v/>
      </c>
    </row>
    <row r="92">
      <c r="A92" s="12" t="inlineStr">
        <is>
          <t>Mangochi</t>
        </is>
      </c>
      <c r="B92" s="12" t="inlineStr">
        <is>
          <t>Nkhudzi</t>
        </is>
      </c>
      <c r="C92" s="13" t="inlineStr">
        <is>
          <t>FY2025/26</t>
        </is>
      </c>
      <c r="D92" s="13" t="n">
        <v>2025</v>
      </c>
      <c r="E92" s="13" t="n">
        <v>9</v>
      </c>
      <c r="F92" s="13" t="inlineStr">
        <is>
          <t>September</t>
        </is>
      </c>
      <c r="G92" s="13" t="inlineStr">
        <is>
          <t>Q2</t>
        </is>
      </c>
      <c r="H92" s="14" t="n">
        <v>28966.5</v>
      </c>
      <c r="I92" s="14" t="n">
        <v>575</v>
      </c>
      <c r="J92" s="14" t="n">
        <v>0</v>
      </c>
      <c r="K92" s="14" t="n">
        <v>629</v>
      </c>
      <c r="L92" s="14" t="n">
        <v>1</v>
      </c>
      <c r="M92" s="15">
        <f>SUM(I92,J92,K92,L92)</f>
        <v/>
      </c>
      <c r="N92" s="14" t="n">
        <v>22629.1</v>
      </c>
      <c r="O92" s="14" t="n">
        <v>621.4</v>
      </c>
      <c r="P92" s="14" t="n">
        <v>311.5</v>
      </c>
      <c r="Q92" s="14" t="n">
        <v>1039.8</v>
      </c>
      <c r="R92" s="15">
        <f>SUM(N92,O92,P92,Q92)</f>
        <v/>
      </c>
      <c r="S92" s="15">
        <f>M92+R92</f>
        <v/>
      </c>
      <c r="T92" s="14" t="n">
        <v>3159.69999999999</v>
      </c>
      <c r="U92" s="16">
        <f>IF(H92=0,"",T92/H92)</f>
        <v/>
      </c>
      <c r="V92" s="14" t="n">
        <v>50</v>
      </c>
      <c r="W92" s="17">
        <f>IF(H92=0,"",V92/H92)</f>
        <v/>
      </c>
      <c r="X92" s="14" t="n">
        <v>0</v>
      </c>
      <c r="Y92" s="17">
        <f>IF(H92=0,"",X92/H92)</f>
        <v/>
      </c>
      <c r="Z92" s="14" t="n">
        <v>0</v>
      </c>
      <c r="AA92" s="17">
        <f>IF(H92=0,"",Z92/H92)</f>
        <v/>
      </c>
      <c r="AB92" s="14" t="n">
        <v>0</v>
      </c>
      <c r="AC92" s="17">
        <f>IF(H92=0,"",AB92/H92)</f>
        <v/>
      </c>
      <c r="AD92" s="14" t="n">
        <v>0</v>
      </c>
      <c r="AE92" s="17">
        <f>IF(H92=0,"",AD92/H92)</f>
        <v/>
      </c>
      <c r="AF92" s="14" t="n">
        <v>0</v>
      </c>
      <c r="AG92" s="17">
        <f>IF(H92=0,"",AF92/H92)</f>
        <v/>
      </c>
      <c r="AH92" s="14" t="n">
        <v>1196455</v>
      </c>
      <c r="AI92" s="15">
        <f>IF(H92=0,"",AH92/H92)</f>
        <v/>
      </c>
      <c r="AJ92" s="14" t="n">
        <v>68656.48</v>
      </c>
      <c r="AK92" s="17">
        <f>IF(H92=0,"",AJ92/H92)</f>
        <v/>
      </c>
      <c r="AL92" s="14" t="n">
        <v>11497157.6852</v>
      </c>
      <c r="AM92" s="15">
        <f>IF(H92=0,"",AL92/H92)</f>
        <v/>
      </c>
      <c r="AN92" s="14" t="n">
        <v>0</v>
      </c>
      <c r="AO92" s="14" t="n">
        <v>0</v>
      </c>
      <c r="AP92" s="14" t="n">
        <v>0</v>
      </c>
      <c r="AQ92" s="14" t="n">
        <v>0</v>
      </c>
      <c r="AR92" s="14" t="n">
        <v>8526652.710000001</v>
      </c>
      <c r="AS92" s="14" t="n">
        <v>6377546.56</v>
      </c>
      <c r="AT92" s="14" t="n">
        <v>1070720</v>
      </c>
      <c r="AU92" s="15">
        <f>AH92+AL92+AP92+AQ92+AR92+AS92+AT92</f>
        <v/>
      </c>
      <c r="AV92" s="15">
        <f>IF(H92=0,"",AU92/H92)</f>
        <v/>
      </c>
      <c r="AW92" s="15">
        <f>IF(S92=0,"",AU92/S92)</f>
        <v/>
      </c>
      <c r="AX92" s="14" t="n">
        <v>10</v>
      </c>
      <c r="AY92" s="15">
        <f>IF(H92=0,"",AX92/(H92/1000/12))</f>
        <v/>
      </c>
      <c r="AZ92" s="14" t="n">
        <v>44</v>
      </c>
      <c r="BA92" s="14" t="n">
        <v>2137</v>
      </c>
      <c r="BB92" s="14" t="n">
        <v>577</v>
      </c>
      <c r="BC92" s="14" t="n">
        <v>0</v>
      </c>
      <c r="BD92" s="14" t="n">
        <v>76</v>
      </c>
      <c r="BE92" s="15">
        <f>BC92+BD92</f>
        <v/>
      </c>
      <c r="BF92" s="15">
        <f>BA92+BB92-BE92</f>
        <v/>
      </c>
      <c r="BG92" s="14" t="n">
        <v>0</v>
      </c>
      <c r="BH92" s="14" t="n">
        <v>9</v>
      </c>
      <c r="BI92" s="14" t="n">
        <v>0</v>
      </c>
      <c r="BJ92" s="14" t="n">
        <v>0</v>
      </c>
      <c r="BK92" s="15">
        <f>BI92+BJ92</f>
        <v/>
      </c>
      <c r="BL92" s="15">
        <f>BG92+BH92-BK92</f>
        <v/>
      </c>
      <c r="BM92" s="14" t="n">
        <v>0</v>
      </c>
      <c r="BN92" s="14" t="n">
        <v>16</v>
      </c>
      <c r="BO92" s="14" t="n">
        <v>0</v>
      </c>
      <c r="BP92" s="14" t="n">
        <v>0</v>
      </c>
      <c r="BQ92" s="15">
        <f>BO92+BP92</f>
        <v/>
      </c>
      <c r="BR92" s="15">
        <f>BM92+BN92-BQ92</f>
        <v/>
      </c>
      <c r="BS92" s="14" t="n">
        <v>0</v>
      </c>
      <c r="BT92" s="14" t="n">
        <v>0</v>
      </c>
      <c r="BU92" s="14" t="n">
        <v>0</v>
      </c>
      <c r="BV92" s="14" t="n">
        <v>0</v>
      </c>
      <c r="BW92" s="15">
        <f>BU92+BV92</f>
        <v/>
      </c>
      <c r="BX92" s="15">
        <f>BS92+BT92-BW92</f>
        <v/>
      </c>
      <c r="BY92" s="15">
        <f>BA92+BG92+BM92+BS92</f>
        <v/>
      </c>
      <c r="BZ92" s="15">
        <f>BB92+BH92+BN92+BT92</f>
        <v/>
      </c>
      <c r="CA92" s="15">
        <f>BE92+BK92+BQ92+BW92</f>
        <v/>
      </c>
      <c r="CB92" s="15">
        <f>BF92+BL92+BR92+BX92</f>
        <v/>
      </c>
      <c r="CC92" s="14" t="n">
        <v>76</v>
      </c>
      <c r="CD92" s="14" t="n">
        <v>2</v>
      </c>
      <c r="CE92" s="14" t="n">
        <v>0</v>
      </c>
      <c r="CF92" s="14" t="n">
        <v>0</v>
      </c>
      <c r="CG92" s="14" t="n">
        <v>0</v>
      </c>
      <c r="CH92" s="15">
        <f>CD92+CE92+CF92+CG92</f>
        <v/>
      </c>
      <c r="CI92" s="14" t="n">
        <v>7</v>
      </c>
      <c r="CJ92" s="14" t="n">
        <v>3</v>
      </c>
      <c r="CK92" s="14" t="n">
        <v>1</v>
      </c>
      <c r="CL92" s="14" t="n">
        <v>0</v>
      </c>
      <c r="CM92" s="15">
        <f>CI92+CJ92+CK92+CL92</f>
        <v/>
      </c>
      <c r="CN92" s="14" t="n">
        <v>3893</v>
      </c>
      <c r="CO92" s="14" t="n">
        <v>61</v>
      </c>
      <c r="CP92" s="14" t="n">
        <v>83</v>
      </c>
      <c r="CQ92" s="14" t="n">
        <v>15</v>
      </c>
      <c r="CR92" s="15">
        <f>CN92+CO92+CP92+CQ92</f>
        <v/>
      </c>
      <c r="CS92" s="15">
        <f>CM92+CR92</f>
        <v/>
      </c>
      <c r="CT92" s="14" t="n">
        <v>4065</v>
      </c>
      <c r="CU92" s="14" t="n">
        <v>0</v>
      </c>
      <c r="CV92" s="14" t="n">
        <v>0</v>
      </c>
      <c r="CW92" s="16">
        <f>IF(CU92=0,"",CV92/CU92)</f>
        <v/>
      </c>
      <c r="CX92" s="14" t="n"/>
      <c r="CY92" s="14" t="n"/>
      <c r="CZ92" s="14" t="n"/>
      <c r="DA92" s="14" t="n"/>
      <c r="DB92" s="15">
        <f>CX92+CY92-CZ92-DA92</f>
        <v/>
      </c>
      <c r="DC92" s="14" t="n">
        <v>0</v>
      </c>
      <c r="DD92" s="14" t="n">
        <v>0</v>
      </c>
      <c r="DE92" s="14" t="n">
        <v>0</v>
      </c>
      <c r="DF92" s="14" t="n">
        <v>0</v>
      </c>
      <c r="DG92" s="15">
        <f>DC92+DD92-DE92-DF92</f>
        <v/>
      </c>
      <c r="DH92" s="14" t="n">
        <v>0</v>
      </c>
      <c r="DI92" s="14" t="n">
        <v>0</v>
      </c>
      <c r="DJ92" s="14" t="n">
        <v>0</v>
      </c>
      <c r="DK92" s="14" t="n">
        <v>0</v>
      </c>
      <c r="DL92" s="15">
        <f>DH92+DI92-DJ92-DK92</f>
        <v/>
      </c>
      <c r="DM92" s="14" t="n">
        <v>5</v>
      </c>
      <c r="DN92" s="14" t="n">
        <v>10</v>
      </c>
      <c r="DO92" s="14" t="n">
        <v>0</v>
      </c>
      <c r="DP92" s="14" t="n">
        <v>7</v>
      </c>
      <c r="DQ92" s="15">
        <f>DM92+DN92-DO92-DP92</f>
        <v/>
      </c>
      <c r="DR92" s="15">
        <f>CX92+DC92+DH92+DM92</f>
        <v/>
      </c>
      <c r="DS92" s="15">
        <f>CY92+DD92+DI92+DN92</f>
        <v/>
      </c>
      <c r="DT92" s="15">
        <f>CZ92+DE92+DJ92+DO92</f>
        <v/>
      </c>
      <c r="DU92" s="15">
        <f>DA92+DF92+DK92+DP92</f>
        <v/>
      </c>
      <c r="DV92" s="15">
        <f>DB92+DG92+DL92+DQ92</f>
        <v/>
      </c>
      <c r="DW92" s="14" t="n">
        <v>34</v>
      </c>
      <c r="DX92" s="14" t="n">
        <v>36</v>
      </c>
      <c r="DY92" s="14" t="n">
        <v>4</v>
      </c>
      <c r="DZ92" s="14" t="n">
        <v>4</v>
      </c>
      <c r="EA92" s="14" t="n">
        <v>0</v>
      </c>
      <c r="EB92" s="14" t="n">
        <v>0</v>
      </c>
      <c r="EC92" s="14" t="n">
        <v>0</v>
      </c>
      <c r="ED92" s="14" t="n">
        <v>0</v>
      </c>
      <c r="EE92" s="14" t="n">
        <v>1</v>
      </c>
      <c r="EF92" s="14" t="n">
        <v>0</v>
      </c>
      <c r="EG92" s="14" t="n">
        <v>1</v>
      </c>
      <c r="EH92" s="14" t="n">
        <v>0</v>
      </c>
      <c r="EI92" s="14" t="n">
        <v>0</v>
      </c>
      <c r="EJ92" s="14" t="n">
        <v>0</v>
      </c>
      <c r="EK92" s="14" t="n">
        <v>0</v>
      </c>
      <c r="EL92" s="14" t="n">
        <v>0</v>
      </c>
      <c r="EM92" s="14" t="n">
        <v>0</v>
      </c>
      <c r="EN92" s="14" t="n">
        <v>0</v>
      </c>
      <c r="EO92" s="14" t="n">
        <v>0</v>
      </c>
      <c r="EP92" s="14" t="n">
        <v>0</v>
      </c>
      <c r="EQ92" s="14" t="n">
        <v>0</v>
      </c>
      <c r="ER92" s="14" t="n">
        <v>0</v>
      </c>
      <c r="ES92" s="14" t="n">
        <v>0</v>
      </c>
      <c r="ET92" s="14" t="n">
        <v>0</v>
      </c>
      <c r="EU92" s="14" t="n">
        <v>0</v>
      </c>
      <c r="EV92" s="14" t="n">
        <v>0</v>
      </c>
      <c r="EW92" s="14" t="n">
        <v>0</v>
      </c>
      <c r="EX92" s="14" t="n">
        <v>0</v>
      </c>
      <c r="EY92" s="14" t="n">
        <v>0</v>
      </c>
      <c r="EZ92" s="14" t="n">
        <v>0</v>
      </c>
      <c r="FA92" s="14" t="n">
        <v>0</v>
      </c>
      <c r="FB92" s="14" t="n">
        <v>0</v>
      </c>
      <c r="FC92" s="14" t="n">
        <v>0</v>
      </c>
      <c r="FD92" s="14" t="n">
        <v>0</v>
      </c>
      <c r="FE92" s="14" t="n">
        <v>0</v>
      </c>
      <c r="FF92" s="14" t="n">
        <v>0</v>
      </c>
      <c r="FG92" s="15">
        <f>SUM(DW92,DX92,DY92,DZ92,EA92,EB92,EC92,ED92,EE92,EF92,EG92,EH92,EI92,EJ92,EK92,EL92,EM92,EN92,EO92,EP92,EQ92,ER92,ES92,ET92,EU92,EV92,EW92,EX92,EY92,EZ92,FA92,FB92,FC92,FD92,FE92,FF92)</f>
        <v/>
      </c>
      <c r="FH92" s="14" t="n">
        <v>8</v>
      </c>
      <c r="FI92" s="14" t="n">
        <v>205</v>
      </c>
      <c r="FJ92" s="14" t="n">
        <v>24</v>
      </c>
      <c r="FK92" s="14" t="n">
        <v>22</v>
      </c>
      <c r="FL92" s="14" t="n">
        <v>0</v>
      </c>
      <c r="FM92" s="14" t="n">
        <v>0</v>
      </c>
      <c r="FN92" s="14" t="n">
        <v>0</v>
      </c>
      <c r="FO92" s="14" t="n">
        <v>0</v>
      </c>
      <c r="FP92" s="14" t="n">
        <v>0</v>
      </c>
      <c r="FQ92" s="15">
        <f>FL92+FM92+FN92+FO92+FP92</f>
        <v/>
      </c>
      <c r="FR92" s="14" t="n">
        <v>0</v>
      </c>
      <c r="FS92" s="14" t="n">
        <v>0</v>
      </c>
      <c r="FT92" s="14" t="n">
        <v>0</v>
      </c>
      <c r="FU92" s="14" t="n">
        <v>0</v>
      </c>
      <c r="FV92" s="15">
        <f>FR92+FS92+FT92+FU92</f>
        <v/>
      </c>
      <c r="FW92" s="14" t="n">
        <v>28207864</v>
      </c>
      <c r="FX92" s="14" t="n">
        <v>132000</v>
      </c>
      <c r="FY92" s="14" t="n">
        <v>4912509</v>
      </c>
      <c r="FZ92" s="14" t="n">
        <v>948000</v>
      </c>
      <c r="GA92" s="15">
        <f>FW92+FX92+FY92+FZ92</f>
        <v/>
      </c>
      <c r="GB92" s="15">
        <f>FV92+GA92</f>
        <v/>
      </c>
      <c r="GC92" s="14" t="n">
        <v>546763.76</v>
      </c>
      <c r="GD92" s="14" t="n">
        <v>0</v>
      </c>
      <c r="GE92" s="14" t="n">
        <v>2144953.86</v>
      </c>
      <c r="GF92" s="14" t="n">
        <v>8410.99</v>
      </c>
      <c r="GG92" s="15">
        <f>GC92+GD92+GE92+GF92</f>
        <v/>
      </c>
      <c r="GH92" s="14" t="n">
        <v>28066033.2</v>
      </c>
      <c r="GI92" s="14" t="n">
        <v>132000</v>
      </c>
      <c r="GJ92" s="14" t="n">
        <v>948000</v>
      </c>
      <c r="GK92" s="14" t="n">
        <v>4912509</v>
      </c>
      <c r="GL92" s="15">
        <f>GH92+GI92+GJ92+GK92</f>
        <v/>
      </c>
      <c r="GM92" s="15">
        <f>GG92+GL92</f>
        <v/>
      </c>
      <c r="GN92" s="14" t="n">
        <v>3814.51</v>
      </c>
      <c r="GO92" s="14" t="n">
        <v>0</v>
      </c>
      <c r="GP92" s="14" t="n">
        <v>10180.92</v>
      </c>
      <c r="GQ92" s="14" t="n">
        <v>4637.34</v>
      </c>
      <c r="GR92" s="15">
        <f>GN92+GO92+GP92+GQ92</f>
        <v/>
      </c>
      <c r="GS92" s="14" t="n">
        <v>6251</v>
      </c>
      <c r="GT92" s="14" t="n">
        <v>0</v>
      </c>
      <c r="GU92" s="14" t="n">
        <v>2679</v>
      </c>
      <c r="GV92" s="14" t="n">
        <v>893</v>
      </c>
      <c r="GW92" s="15">
        <f>GS92+GT92+GU92+GV92</f>
        <v/>
      </c>
      <c r="GX92" s="15">
        <f>GM92+GR92+GW92</f>
        <v/>
      </c>
      <c r="GY92" s="14" t="n">
        <v>139413.299999999</v>
      </c>
      <c r="GZ92" s="14" t="n">
        <v>10080634.12</v>
      </c>
      <c r="HA92" s="15">
        <f>GY92+GZ92</f>
        <v/>
      </c>
      <c r="HB92" s="15">
        <f>IF(GX92=0,"",AU92/GX92)</f>
        <v/>
      </c>
      <c r="HC92" s="16">
        <f>IF((GX92+GY92)=0,"",GB92/(GX92+GY92))</f>
        <v/>
      </c>
      <c r="HD92" s="15">
        <f>IF(GX92=0,"",GB92/GX92)</f>
        <v/>
      </c>
      <c r="HE92" s="14" t="n">
        <v>391</v>
      </c>
      <c r="HF92" s="14" t="n">
        <v>7</v>
      </c>
      <c r="HG92" s="14" t="n">
        <v>2663</v>
      </c>
      <c r="HH92" s="14" t="n">
        <v>602</v>
      </c>
      <c r="HI92" s="14" t="n">
        <v>7</v>
      </c>
      <c r="HJ92" s="15">
        <f>HF92+HI92</f>
        <v/>
      </c>
      <c r="HK92" s="16">
        <f>IF(HE92=0,"",HH92/HE92)</f>
        <v/>
      </c>
      <c r="HL92" s="14" t="n">
        <v>10</v>
      </c>
      <c r="HM92" s="14" t="n">
        <v>24</v>
      </c>
      <c r="HN92" s="17">
        <f>IF(HL92=0,"",HM92/HL92)</f>
        <v/>
      </c>
    </row>
    <row r="93">
      <c r="A93" s="6" t="inlineStr">
        <is>
          <t>Mangochi</t>
        </is>
      </c>
      <c r="B93" s="6" t="inlineStr">
        <is>
          <t>Nkhudzi</t>
        </is>
      </c>
      <c r="C93" s="7" t="inlineStr">
        <is>
          <t>FY2025/26</t>
        </is>
      </c>
      <c r="D93" s="7" t="n">
        <v>2025</v>
      </c>
      <c r="E93" s="7" t="n">
        <v>10</v>
      </c>
      <c r="F93" s="7" t="inlineStr">
        <is>
          <t>October</t>
        </is>
      </c>
      <c r="G93" s="7" t="inlineStr">
        <is>
          <t>Q3</t>
        </is>
      </c>
      <c r="H93" s="8" t="n">
        <v>33579</v>
      </c>
      <c r="I93" s="8" t="n">
        <v>499</v>
      </c>
      <c r="J93" s="8" t="n">
        <v>0</v>
      </c>
      <c r="K93" s="8" t="n">
        <v>674</v>
      </c>
      <c r="L93" s="8" t="n">
        <v>1</v>
      </c>
      <c r="M93" s="9">
        <f>SUM(I93,J93,K93,L93)</f>
        <v/>
      </c>
      <c r="N93" s="8" t="n">
        <v>25137.7</v>
      </c>
      <c r="O93" s="8" t="n">
        <v>720</v>
      </c>
      <c r="P93" s="8" t="n">
        <v>581</v>
      </c>
      <c r="Q93" s="8" t="n">
        <v>2420</v>
      </c>
      <c r="R93" s="9">
        <f>SUM(N93,O93,P93,Q93)</f>
        <v/>
      </c>
      <c r="S93" s="9">
        <f>M93+R93</f>
        <v/>
      </c>
      <c r="T93" s="8" t="n">
        <v>3546.29999999999</v>
      </c>
      <c r="U93" s="10">
        <f>IF(H93=0,"",T93/H93)</f>
        <v/>
      </c>
      <c r="V93" s="8" t="n">
        <v>52.5</v>
      </c>
      <c r="W93" s="11">
        <f>IF(H93=0,"",V93/H93)</f>
        <v/>
      </c>
      <c r="X93" s="8" t="n">
        <v>0</v>
      </c>
      <c r="Y93" s="11">
        <f>IF(H93=0,"",X93/H93)</f>
        <v/>
      </c>
      <c r="Z93" s="8" t="n">
        <v>0</v>
      </c>
      <c r="AA93" s="11">
        <f>IF(H93=0,"",Z93/H93)</f>
        <v/>
      </c>
      <c r="AB93" s="8" t="n">
        <v>0</v>
      </c>
      <c r="AC93" s="11">
        <f>IF(H93=0,"",AB93/H93)</f>
        <v/>
      </c>
      <c r="AD93" s="8" t="n">
        <v>0</v>
      </c>
      <c r="AE93" s="11">
        <f>IF(H93=0,"",AD93/H93)</f>
        <v/>
      </c>
      <c r="AF93" s="8" t="n">
        <v>0</v>
      </c>
      <c r="AG93" s="11">
        <f>IF(H93=0,"",AF93/H93)</f>
        <v/>
      </c>
      <c r="AH93" s="8" t="n">
        <v>1256277.75</v>
      </c>
      <c r="AI93" s="9">
        <f>IF(H93=0,"",AH93/H93)</f>
        <v/>
      </c>
      <c r="AJ93" s="8" t="n">
        <v>68656</v>
      </c>
      <c r="AK93" s="11">
        <f>IF(H93=0,"",AJ93/H93)</f>
        <v/>
      </c>
      <c r="AL93" s="8" t="n">
        <v>11497077.44</v>
      </c>
      <c r="AM93" s="9">
        <f>IF(H93=0,"",AL93/H93)</f>
        <v/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8526652.710000001</v>
      </c>
      <c r="AS93" s="8" t="n">
        <v>6176128.03</v>
      </c>
      <c r="AT93" s="8" t="n">
        <v>1070220</v>
      </c>
      <c r="AU93" s="9">
        <f>AH93+AL93+AP93+AQ93+AR93+AS93+AT93</f>
        <v/>
      </c>
      <c r="AV93" s="9">
        <f>IF(H93=0,"",AU93/H93)</f>
        <v/>
      </c>
      <c r="AW93" s="9">
        <f>IF(S93=0,"",AU93/S93)</f>
        <v/>
      </c>
      <c r="AX93" s="8" t="n">
        <v>10</v>
      </c>
      <c r="AY93" s="9">
        <f>IF(H93=0,"",AX93/(H93/1000/12))</f>
        <v/>
      </c>
      <c r="AZ93" s="8" t="n">
        <v>44</v>
      </c>
      <c r="BA93" s="8" t="n">
        <v>2638</v>
      </c>
      <c r="BB93" s="8" t="n">
        <v>461</v>
      </c>
      <c r="BC93" s="8" t="n">
        <v>0</v>
      </c>
      <c r="BD93" s="8" t="n">
        <v>74</v>
      </c>
      <c r="BE93" s="9">
        <f>BC93+BD93</f>
        <v/>
      </c>
      <c r="BF93" s="9">
        <f>BA93+BB93-BE93</f>
        <v/>
      </c>
      <c r="BG93" s="8" t="n">
        <v>9</v>
      </c>
      <c r="BH93" s="8" t="n">
        <v>0</v>
      </c>
      <c r="BI93" s="8" t="n">
        <v>0</v>
      </c>
      <c r="BJ93" s="8" t="n">
        <v>0</v>
      </c>
      <c r="BK93" s="9">
        <f>BI93+BJ93</f>
        <v/>
      </c>
      <c r="BL93" s="9">
        <f>BG93+BH93-BK93</f>
        <v/>
      </c>
      <c r="BM93" s="8" t="n">
        <v>16</v>
      </c>
      <c r="BN93" s="8" t="n">
        <v>0</v>
      </c>
      <c r="BO93" s="8" t="n">
        <v>0</v>
      </c>
      <c r="BP93" s="8" t="n">
        <v>0</v>
      </c>
      <c r="BQ93" s="9">
        <f>BO93+BP93</f>
        <v/>
      </c>
      <c r="BR93" s="9">
        <f>BM93+BN93-BQ93</f>
        <v/>
      </c>
      <c r="BS93" s="8" t="n">
        <v>0</v>
      </c>
      <c r="BT93" s="8" t="n">
        <v>0</v>
      </c>
      <c r="BU93" s="8" t="n">
        <v>0</v>
      </c>
      <c r="BV93" s="8" t="n">
        <v>0</v>
      </c>
      <c r="BW93" s="9">
        <f>BU93+BV93</f>
        <v/>
      </c>
      <c r="BX93" s="9">
        <f>BS93+BT93-BW93</f>
        <v/>
      </c>
      <c r="BY93" s="9">
        <f>BA93+BG93+BM93+BS93</f>
        <v/>
      </c>
      <c r="BZ93" s="9">
        <f>BB93+BH93+BN93+BT93</f>
        <v/>
      </c>
      <c r="CA93" s="9">
        <f>BE93+BK93+BQ93+BW93</f>
        <v/>
      </c>
      <c r="CB93" s="9">
        <f>BF93+BL93+BR93+BX93</f>
        <v/>
      </c>
      <c r="CC93" s="8" t="n">
        <v>74</v>
      </c>
      <c r="CD93" s="8" t="n">
        <v>0</v>
      </c>
      <c r="CE93" s="8" t="n">
        <v>0</v>
      </c>
      <c r="CF93" s="8" t="n">
        <v>0</v>
      </c>
      <c r="CG93" s="8" t="n">
        <v>0</v>
      </c>
      <c r="CH93" s="9">
        <f>CD93+CE93+CF93+CG93</f>
        <v/>
      </c>
      <c r="CI93" s="8" t="n">
        <v>7</v>
      </c>
      <c r="CJ93" s="8" t="n">
        <v>3</v>
      </c>
      <c r="CK93" s="8" t="n">
        <v>1</v>
      </c>
      <c r="CL93" s="8" t="n">
        <v>0</v>
      </c>
      <c r="CM93" s="9">
        <f>CI93+CJ93+CK93+CL93</f>
        <v/>
      </c>
      <c r="CN93" s="8" t="n">
        <v>4269</v>
      </c>
      <c r="CO93" s="8" t="n">
        <v>61</v>
      </c>
      <c r="CP93" s="8" t="n">
        <v>83</v>
      </c>
      <c r="CQ93" s="8" t="n">
        <v>15</v>
      </c>
      <c r="CR93" s="9">
        <f>CN93+CO93+CP93+CQ93</f>
        <v/>
      </c>
      <c r="CS93" s="9">
        <f>CM93+CR93</f>
        <v/>
      </c>
      <c r="CT93" s="8" t="n">
        <v>4439</v>
      </c>
      <c r="CU93" s="8" t="n">
        <v>0</v>
      </c>
      <c r="CV93" s="8" t="n">
        <v>0</v>
      </c>
      <c r="CW93" s="10">
        <f>IF(CU93=0,"",CV93/CU93)</f>
        <v/>
      </c>
      <c r="CX93" s="8" t="n"/>
      <c r="CY93" s="8" t="n"/>
      <c r="CZ93" s="8" t="n"/>
      <c r="DA93" s="8" t="n"/>
      <c r="DB93" s="9">
        <f>CX93+CY93-CZ93-DA93</f>
        <v/>
      </c>
      <c r="DC93" s="8" t="n">
        <v>0</v>
      </c>
      <c r="DD93" s="8" t="n">
        <v>0</v>
      </c>
      <c r="DE93" s="8" t="n">
        <v>0</v>
      </c>
      <c r="DF93" s="8" t="n">
        <v>0</v>
      </c>
      <c r="DG93" s="9">
        <f>DC93+DD93-DE93-DF93</f>
        <v/>
      </c>
      <c r="DH93" s="8" t="n">
        <v>0</v>
      </c>
      <c r="DI93" s="8" t="n">
        <v>0</v>
      </c>
      <c r="DJ93" s="8" t="n">
        <v>0</v>
      </c>
      <c r="DK93" s="8" t="n">
        <v>0</v>
      </c>
      <c r="DL93" s="9">
        <f>DH93+DI93-DJ93-DK93</f>
        <v/>
      </c>
      <c r="DM93" s="8" t="n">
        <v>51</v>
      </c>
      <c r="DN93" s="8" t="n">
        <v>12</v>
      </c>
      <c r="DO93" s="8" t="n">
        <v>0</v>
      </c>
      <c r="DP93" s="8" t="n">
        <v>3</v>
      </c>
      <c r="DQ93" s="9">
        <f>DM93+DN93-DO93-DP93</f>
        <v/>
      </c>
      <c r="DR93" s="9">
        <f>CX93+DC93+DH93+DM93</f>
        <v/>
      </c>
      <c r="DS93" s="9">
        <f>CY93+DD93+DI93+DN93</f>
        <v/>
      </c>
      <c r="DT93" s="9">
        <f>CZ93+DE93+DJ93+DO93</f>
        <v/>
      </c>
      <c r="DU93" s="9">
        <f>DA93+DF93+DK93+DP93</f>
        <v/>
      </c>
      <c r="DV93" s="9">
        <f>DB93+DG93+DL93+DQ93</f>
        <v/>
      </c>
      <c r="DW93" s="8" t="n">
        <v>46</v>
      </c>
      <c r="DX93" s="8" t="n">
        <v>34</v>
      </c>
      <c r="DY93" s="8" t="n">
        <v>6</v>
      </c>
      <c r="DZ93" s="8" t="n">
        <v>4</v>
      </c>
      <c r="EA93" s="8" t="n">
        <v>1</v>
      </c>
      <c r="EB93" s="8" t="n">
        <v>0</v>
      </c>
      <c r="EC93" s="8" t="n">
        <v>3</v>
      </c>
      <c r="ED93" s="8" t="n">
        <v>0</v>
      </c>
      <c r="EE93" s="8" t="n">
        <v>1</v>
      </c>
      <c r="EF93" s="8" t="n">
        <v>0</v>
      </c>
      <c r="EG93" s="8" t="n">
        <v>1</v>
      </c>
      <c r="EH93" s="8" t="n">
        <v>0</v>
      </c>
      <c r="EI93" s="8" t="n">
        <v>1</v>
      </c>
      <c r="EJ93" s="8" t="n">
        <v>0</v>
      </c>
      <c r="EK93" s="8" t="n">
        <v>0</v>
      </c>
      <c r="EL93" s="8" t="n">
        <v>0</v>
      </c>
      <c r="EM93" s="8" t="n">
        <v>0</v>
      </c>
      <c r="EN93" s="8" t="n">
        <v>0</v>
      </c>
      <c r="EO93" s="8" t="n">
        <v>0</v>
      </c>
      <c r="EP93" s="8" t="n">
        <v>0</v>
      </c>
      <c r="EQ93" s="8" t="n">
        <v>0</v>
      </c>
      <c r="ER93" s="8" t="n">
        <v>0</v>
      </c>
      <c r="ES93" s="8" t="n">
        <v>0</v>
      </c>
      <c r="ET93" s="8" t="n">
        <v>0</v>
      </c>
      <c r="EU93" s="8" t="n">
        <v>0</v>
      </c>
      <c r="EV93" s="8" t="n">
        <v>0</v>
      </c>
      <c r="EW93" s="8" t="n">
        <v>0</v>
      </c>
      <c r="EX93" s="8" t="n">
        <v>0</v>
      </c>
      <c r="EY93" s="8" t="n">
        <v>0</v>
      </c>
      <c r="EZ93" s="8" t="n">
        <v>0</v>
      </c>
      <c r="FA93" s="8" t="n">
        <v>0</v>
      </c>
      <c r="FB93" s="8" t="n">
        <v>0</v>
      </c>
      <c r="FC93" s="8" t="n">
        <v>0</v>
      </c>
      <c r="FD93" s="8" t="n">
        <v>0</v>
      </c>
      <c r="FE93" s="8" t="n">
        <v>0</v>
      </c>
      <c r="FF93" s="8" t="n">
        <v>0</v>
      </c>
      <c r="FG93" s="9">
        <f>SUM(DW93,DX93,DY93,DZ93,EA93,EB93,EC93,ED93,EE93,EF93,EG93,EH93,EI93,EJ93,EK93,EL93,EM93,EN93,EO93,EP93,EQ93,ER93,ES93,ET93,EU93,EV93,EW93,EX93,EY93,EZ93,FA93,FB93,FC93,FD93,FE93,FF93)</f>
        <v/>
      </c>
      <c r="FH93" s="8" t="n">
        <v>8</v>
      </c>
      <c r="FI93" s="8" t="n">
        <v>398</v>
      </c>
      <c r="FJ93" s="8" t="n">
        <v>24</v>
      </c>
      <c r="FK93" s="8" t="n">
        <v>24</v>
      </c>
      <c r="FL93" s="8" t="n">
        <v>0</v>
      </c>
      <c r="FM93" s="8" t="n">
        <v>0</v>
      </c>
      <c r="FN93" s="8" t="n">
        <v>0</v>
      </c>
      <c r="FO93" s="8" t="n">
        <v>0</v>
      </c>
      <c r="FP93" s="8" t="n">
        <v>0</v>
      </c>
      <c r="FQ93" s="9">
        <f>FL93+FM93+FN93+FO93+FP93</f>
        <v/>
      </c>
      <c r="FR93" s="8" t="n">
        <v>0</v>
      </c>
      <c r="FS93" s="8" t="n">
        <v>0</v>
      </c>
      <c r="FT93" s="8" t="n">
        <v>0</v>
      </c>
      <c r="FU93" s="8" t="n">
        <v>0</v>
      </c>
      <c r="FV93" s="9">
        <f>FR93+FS93+FT93+FU93</f>
        <v/>
      </c>
      <c r="FW93" s="8" t="n">
        <v>31178789</v>
      </c>
      <c r="FX93" s="8" t="n">
        <v>152900</v>
      </c>
      <c r="FY93" s="8" t="n">
        <v>11340500</v>
      </c>
      <c r="FZ93" s="8" t="n">
        <v>1765254</v>
      </c>
      <c r="GA93" s="9">
        <f>FW93+FX93+FY93+FZ93</f>
        <v/>
      </c>
      <c r="GB93" s="9">
        <f>FV93+GA93</f>
        <v/>
      </c>
      <c r="GC93" s="8" t="n">
        <v>474002.53</v>
      </c>
      <c r="GD93" s="8" t="n">
        <v>0</v>
      </c>
      <c r="GE93" s="8" t="n">
        <v>2305172.91</v>
      </c>
      <c r="GF93" s="8" t="n">
        <v>8410.99</v>
      </c>
      <c r="GG93" s="9">
        <f>GC93+GD93+GE93+GF93</f>
        <v/>
      </c>
      <c r="GH93" s="8" t="n">
        <v>31170934.6</v>
      </c>
      <c r="GI93" s="8" t="n">
        <v>152900</v>
      </c>
      <c r="GJ93" s="8" t="n">
        <v>1765254</v>
      </c>
      <c r="GK93" s="8" t="n">
        <v>11340500</v>
      </c>
      <c r="GL93" s="9">
        <f>GH93+GI93+GJ93+GK93</f>
        <v/>
      </c>
      <c r="GM93" s="9">
        <f>GG93+GL93</f>
        <v/>
      </c>
      <c r="GN93" s="8" t="n">
        <v>3269.58</v>
      </c>
      <c r="GO93" s="8" t="n">
        <v>0</v>
      </c>
      <c r="GP93" s="8" t="n">
        <v>10180.92</v>
      </c>
      <c r="GQ93" s="8" t="n">
        <v>4637.34</v>
      </c>
      <c r="GR93" s="9">
        <f>GN93+GO93+GP93+GQ93</f>
        <v/>
      </c>
      <c r="GS93" s="8" t="n">
        <v>5358</v>
      </c>
      <c r="GT93" s="8" t="n">
        <v>0</v>
      </c>
      <c r="GU93" s="8" t="n">
        <v>2679</v>
      </c>
      <c r="GV93" s="8" t="n">
        <v>893</v>
      </c>
      <c r="GW93" s="9">
        <f>GS93+GT93+GU93+GV93</f>
        <v/>
      </c>
      <c r="GX93" s="9">
        <f>GM93+GR93+GW93</f>
        <v/>
      </c>
      <c r="GY93" s="8" t="n">
        <v>153354.63</v>
      </c>
      <c r="GZ93" s="8" t="n">
        <v>3378493.43</v>
      </c>
      <c r="HA93" s="9">
        <f>GY93+GZ93</f>
        <v/>
      </c>
      <c r="HB93" s="9">
        <f>IF(GX93=0,"",AU93/GX93)</f>
        <v/>
      </c>
      <c r="HC93" s="10">
        <f>IF((GX93+GY93)=0,"",GB93/(GX93+GY93))</f>
        <v/>
      </c>
      <c r="HD93" s="9">
        <f>IF(GX93=0,"",GB93/GX93)</f>
        <v/>
      </c>
      <c r="HE93" s="8" t="n">
        <v>3050</v>
      </c>
      <c r="HF93" s="8" t="n">
        <v>1</v>
      </c>
      <c r="HG93" s="8" t="n">
        <v>3050</v>
      </c>
      <c r="HH93" s="8" t="n">
        <v>461</v>
      </c>
      <c r="HI93" s="8" t="n">
        <v>0</v>
      </c>
      <c r="HJ93" s="9">
        <f>HF93+HI93</f>
        <v/>
      </c>
      <c r="HK93" s="10">
        <f>IF(HE93=0,"",HH93/HE93)</f>
        <v/>
      </c>
      <c r="HL93" s="8" t="n">
        <v>20</v>
      </c>
      <c r="HM93" s="8" t="n">
        <v>24</v>
      </c>
      <c r="HN93" s="11">
        <f>IF(HL93=0,"",HM93/HL93)</f>
        <v/>
      </c>
    </row>
    <row r="94">
      <c r="A94" s="12" t="inlineStr">
        <is>
          <t>Mangochi</t>
        </is>
      </c>
      <c r="B94" s="12" t="inlineStr">
        <is>
          <t>Nkhudzi</t>
        </is>
      </c>
      <c r="C94" s="13" t="inlineStr">
        <is>
          <t>FY2025/26</t>
        </is>
      </c>
      <c r="D94" s="13" t="n">
        <v>2025</v>
      </c>
      <c r="E94" s="13" t="n">
        <v>11</v>
      </c>
      <c r="F94" s="13" t="inlineStr">
        <is>
          <t>November</t>
        </is>
      </c>
      <c r="G94" s="13" t="inlineStr">
        <is>
          <t>Q3</t>
        </is>
      </c>
      <c r="H94" s="14" t="n">
        <v>35834.5</v>
      </c>
      <c r="I94" s="14" t="n">
        <v>466</v>
      </c>
      <c r="J94" s="14" t="n">
        <v>0</v>
      </c>
      <c r="K94" s="14" t="n">
        <v>661</v>
      </c>
      <c r="L94" s="14" t="n">
        <v>1</v>
      </c>
      <c r="M94" s="15">
        <f>SUM(I94,J94,K94,L94)</f>
        <v/>
      </c>
      <c r="N94" s="14" t="n">
        <v>21435</v>
      </c>
      <c r="O94" s="14" t="n">
        <v>658</v>
      </c>
      <c r="P94" s="14" t="n">
        <v>265</v>
      </c>
      <c r="Q94" s="14" t="n">
        <v>1156</v>
      </c>
      <c r="R94" s="15">
        <f>SUM(N94,O94,P94,Q94)</f>
        <v/>
      </c>
      <c r="S94" s="15">
        <f>M94+R94</f>
        <v/>
      </c>
      <c r="T94" s="14" t="n">
        <v>11192.5</v>
      </c>
      <c r="U94" s="16">
        <f>IF(H94=0,"",T94/H94)</f>
        <v/>
      </c>
      <c r="V94" s="14" t="n">
        <v>67</v>
      </c>
      <c r="W94" s="17">
        <f>IF(H94=0,"",V94/H94)</f>
        <v/>
      </c>
      <c r="X94" s="14" t="n">
        <v>0</v>
      </c>
      <c r="Y94" s="17">
        <f>IF(H94=0,"",X94/H94)</f>
        <v/>
      </c>
      <c r="Z94" s="14" t="n">
        <v>0</v>
      </c>
      <c r="AA94" s="17">
        <f>IF(H94=0,"",Z94/H94)</f>
        <v/>
      </c>
      <c r="AB94" s="14" t="n">
        <v>0</v>
      </c>
      <c r="AC94" s="17">
        <f>IF(H94=0,"",AB94/H94)</f>
        <v/>
      </c>
      <c r="AD94" s="14" t="n">
        <v>0</v>
      </c>
      <c r="AE94" s="17">
        <f>IF(H94=0,"",AD94/H94)</f>
        <v/>
      </c>
      <c r="AF94" s="14" t="n">
        <v>0</v>
      </c>
      <c r="AG94" s="17">
        <f>IF(H94=0,"",AF94/H94)</f>
        <v/>
      </c>
      <c r="AH94" s="14" t="n">
        <v>1603249.7</v>
      </c>
      <c r="AI94" s="15">
        <f>IF(H94=0,"",AH94/H94)</f>
        <v/>
      </c>
      <c r="AJ94" s="14" t="n">
        <v>71623</v>
      </c>
      <c r="AK94" s="17">
        <f>IF(H94=0,"",AJ94/H94)</f>
        <v/>
      </c>
      <c r="AL94" s="14" t="n">
        <v>11993093.0825</v>
      </c>
      <c r="AM94" s="15">
        <f>IF(H94=0,"",AL94/H94)</f>
        <v/>
      </c>
      <c r="AN94" s="14" t="n">
        <v>0</v>
      </c>
      <c r="AO94" s="14" t="n">
        <v>0</v>
      </c>
      <c r="AP94" s="14" t="n">
        <v>0</v>
      </c>
      <c r="AQ94" s="14" t="n">
        <v>0</v>
      </c>
      <c r="AR94" s="14" t="n">
        <v>8154385.96</v>
      </c>
      <c r="AS94" s="14" t="n">
        <v>6176128.03</v>
      </c>
      <c r="AT94" s="14" t="n">
        <v>1095220</v>
      </c>
      <c r="AU94" s="15">
        <f>AH94+AL94+AP94+AQ94+AR94+AS94+AT94</f>
        <v/>
      </c>
      <c r="AV94" s="15">
        <f>IF(H94=0,"",AU94/H94)</f>
        <v/>
      </c>
      <c r="AW94" s="15">
        <f>IF(S94=0,"",AU94/S94)</f>
        <v/>
      </c>
      <c r="AX94" s="14" t="n">
        <v>9</v>
      </c>
      <c r="AY94" s="15">
        <f>IF(H94=0,"",AX94/(H94/1000/12))</f>
        <v/>
      </c>
      <c r="AZ94" s="14" t="n">
        <v>44</v>
      </c>
      <c r="BA94" s="14" t="n">
        <v>3025</v>
      </c>
      <c r="BB94" s="14" t="n">
        <v>19</v>
      </c>
      <c r="BC94" s="14" t="n">
        <v>0</v>
      </c>
      <c r="BD94" s="14" t="n">
        <v>40</v>
      </c>
      <c r="BE94" s="15">
        <f>BC94+BD94</f>
        <v/>
      </c>
      <c r="BF94" s="15">
        <f>BA94+BB94-BE94</f>
        <v/>
      </c>
      <c r="BG94" s="14" t="n">
        <v>9</v>
      </c>
      <c r="BH94" s="14" t="n">
        <v>0</v>
      </c>
      <c r="BI94" s="14" t="n">
        <v>0</v>
      </c>
      <c r="BJ94" s="14" t="n">
        <v>0</v>
      </c>
      <c r="BK94" s="15">
        <f>BI94+BJ94</f>
        <v/>
      </c>
      <c r="BL94" s="15">
        <f>BG94+BH94-BK94</f>
        <v/>
      </c>
      <c r="BM94" s="14" t="n">
        <v>16</v>
      </c>
      <c r="BN94" s="14" t="n">
        <v>0</v>
      </c>
      <c r="BO94" s="14" t="n">
        <v>0</v>
      </c>
      <c r="BP94" s="14" t="n">
        <v>1</v>
      </c>
      <c r="BQ94" s="15">
        <f>BO94+BP94</f>
        <v/>
      </c>
      <c r="BR94" s="15">
        <f>BM94+BN94-BQ94</f>
        <v/>
      </c>
      <c r="BS94" s="14" t="n">
        <v>0</v>
      </c>
      <c r="BT94" s="14" t="n">
        <v>0</v>
      </c>
      <c r="BU94" s="14" t="n">
        <v>0</v>
      </c>
      <c r="BV94" s="14" t="n">
        <v>0</v>
      </c>
      <c r="BW94" s="15">
        <f>BU94+BV94</f>
        <v/>
      </c>
      <c r="BX94" s="15">
        <f>BS94+BT94-BW94</f>
        <v/>
      </c>
      <c r="BY94" s="15">
        <f>BA94+BG94+BM94+BS94</f>
        <v/>
      </c>
      <c r="BZ94" s="15">
        <f>BB94+BH94+BN94+BT94</f>
        <v/>
      </c>
      <c r="CA94" s="15">
        <f>BE94+BK94+BQ94+BW94</f>
        <v/>
      </c>
      <c r="CB94" s="15">
        <f>BF94+BL94+BR94+BX94</f>
        <v/>
      </c>
      <c r="CC94" s="14" t="n">
        <v>41</v>
      </c>
      <c r="CD94" s="14" t="n">
        <v>0</v>
      </c>
      <c r="CE94" s="14" t="n">
        <v>0</v>
      </c>
      <c r="CF94" s="14" t="n">
        <v>0</v>
      </c>
      <c r="CG94" s="14" t="n">
        <v>0</v>
      </c>
      <c r="CH94" s="15">
        <f>CD94+CE94+CF94+CG94</f>
        <v/>
      </c>
      <c r="CI94" s="14" t="n">
        <v>7</v>
      </c>
      <c r="CJ94" s="14" t="n">
        <v>3</v>
      </c>
      <c r="CK94" s="14" t="n">
        <v>1</v>
      </c>
      <c r="CL94" s="14" t="n">
        <v>0</v>
      </c>
      <c r="CM94" s="15">
        <f>CI94+CJ94+CK94+CL94</f>
        <v/>
      </c>
      <c r="CN94" s="14" t="n">
        <v>4309</v>
      </c>
      <c r="CO94" s="14" t="n">
        <v>61</v>
      </c>
      <c r="CP94" s="14" t="n">
        <v>84</v>
      </c>
      <c r="CQ94" s="14" t="n">
        <v>15</v>
      </c>
      <c r="CR94" s="15">
        <f>CN94+CO94+CP94+CQ94</f>
        <v/>
      </c>
      <c r="CS94" s="15">
        <f>CM94+CR94</f>
        <v/>
      </c>
      <c r="CT94" s="14" t="n">
        <v>4480</v>
      </c>
      <c r="CU94" s="14" t="n">
        <v>0</v>
      </c>
      <c r="CV94" s="14" t="n">
        <v>0</v>
      </c>
      <c r="CW94" s="16">
        <f>IF(CU94=0,"",CV94/CU94)</f>
        <v/>
      </c>
      <c r="CX94" s="14" t="n"/>
      <c r="CY94" s="14" t="n"/>
      <c r="CZ94" s="14" t="n"/>
      <c r="DA94" s="14" t="n"/>
      <c r="DB94" s="15">
        <f>CX94+CY94-CZ94-DA94</f>
        <v/>
      </c>
      <c r="DC94" s="14" t="n">
        <v>0</v>
      </c>
      <c r="DD94" s="14" t="n">
        <v>0</v>
      </c>
      <c r="DE94" s="14" t="n">
        <v>0</v>
      </c>
      <c r="DF94" s="14" t="n">
        <v>0</v>
      </c>
      <c r="DG94" s="15">
        <f>DC94+DD94-DE94-DF94</f>
        <v/>
      </c>
      <c r="DH94" s="14" t="n">
        <v>0</v>
      </c>
      <c r="DI94" s="14" t="n">
        <v>0</v>
      </c>
      <c r="DJ94" s="14" t="n">
        <v>0</v>
      </c>
      <c r="DK94" s="14" t="n">
        <v>0</v>
      </c>
      <c r="DL94" s="15">
        <f>DH94+DI94-DJ94-DK94</f>
        <v/>
      </c>
      <c r="DM94" s="14" t="n">
        <v>17</v>
      </c>
      <c r="DN94" s="14" t="n">
        <v>7</v>
      </c>
      <c r="DO94" s="14" t="n">
        <v>0</v>
      </c>
      <c r="DP94" s="14" t="n">
        <v>6</v>
      </c>
      <c r="DQ94" s="15">
        <f>DM94+DN94-DO94-DP94</f>
        <v/>
      </c>
      <c r="DR94" s="15">
        <f>CX94+DC94+DH94+DM94</f>
        <v/>
      </c>
      <c r="DS94" s="15">
        <f>CY94+DD94+DI94+DN94</f>
        <v/>
      </c>
      <c r="DT94" s="15">
        <f>CZ94+DE94+DJ94+DO94</f>
        <v/>
      </c>
      <c r="DU94" s="15">
        <f>DA94+DF94+DK94+DP94</f>
        <v/>
      </c>
      <c r="DV94" s="15">
        <f>DB94+DG94+DL94+DQ94</f>
        <v/>
      </c>
      <c r="DW94" s="14" t="n">
        <v>34</v>
      </c>
      <c r="DX94" s="14" t="n">
        <v>29</v>
      </c>
      <c r="DY94" s="14" t="n">
        <v>10</v>
      </c>
      <c r="DZ94" s="14" t="n">
        <v>6</v>
      </c>
      <c r="EA94" s="14" t="n">
        <v>0</v>
      </c>
      <c r="EB94" s="14" t="n">
        <v>1</v>
      </c>
      <c r="EC94" s="14" t="n">
        <v>0</v>
      </c>
      <c r="ED94" s="14" t="n">
        <v>2</v>
      </c>
      <c r="EE94" s="14" t="n">
        <v>0</v>
      </c>
      <c r="EF94" s="14" t="n">
        <v>0</v>
      </c>
      <c r="EG94" s="14" t="n">
        <v>1</v>
      </c>
      <c r="EH94" s="14" t="n">
        <v>0</v>
      </c>
      <c r="EI94" s="14" t="n">
        <v>0</v>
      </c>
      <c r="EJ94" s="14" t="n">
        <v>2</v>
      </c>
      <c r="EK94" s="14" t="n">
        <v>0</v>
      </c>
      <c r="EL94" s="14" t="n">
        <v>0</v>
      </c>
      <c r="EM94" s="14" t="n">
        <v>0</v>
      </c>
      <c r="EN94" s="14" t="n">
        <v>0</v>
      </c>
      <c r="EO94" s="14" t="n">
        <v>0</v>
      </c>
      <c r="EP94" s="14" t="n">
        <v>0</v>
      </c>
      <c r="EQ94" s="14" t="n">
        <v>0</v>
      </c>
      <c r="ER94" s="14" t="n">
        <v>0</v>
      </c>
      <c r="ES94" s="14" t="n">
        <v>0</v>
      </c>
      <c r="ET94" s="14" t="n">
        <v>0</v>
      </c>
      <c r="EU94" s="14" t="n">
        <v>0</v>
      </c>
      <c r="EV94" s="14" t="n">
        <v>0</v>
      </c>
      <c r="EW94" s="14" t="n">
        <v>0</v>
      </c>
      <c r="EX94" s="14" t="n">
        <v>0</v>
      </c>
      <c r="EY94" s="14" t="n">
        <v>0</v>
      </c>
      <c r="EZ94" s="14" t="n">
        <v>0</v>
      </c>
      <c r="FA94" s="14" t="n">
        <v>0</v>
      </c>
      <c r="FB94" s="14" t="n">
        <v>0</v>
      </c>
      <c r="FC94" s="14" t="n">
        <v>0</v>
      </c>
      <c r="FD94" s="14" t="n">
        <v>0</v>
      </c>
      <c r="FE94" s="14" t="n">
        <v>0</v>
      </c>
      <c r="FF94" s="14" t="n">
        <v>0</v>
      </c>
      <c r="FG94" s="15">
        <f>SUM(DW94,DX94,DY94,DZ94,EA94,EB94,EC94,ED94,EE94,EF94,EG94,EH94,EI94,EJ94,EK94,EL94,EM94,EN94,EO94,EP94,EQ94,ER94,ES94,ET94,EU94,EV94,EW94,EX94,EY94,EZ94,FA94,FB94,FC94,FD94,FE94,FF94)</f>
        <v/>
      </c>
      <c r="FH94" s="14" t="n">
        <v>8</v>
      </c>
      <c r="FI94" s="14" t="n">
        <v>210</v>
      </c>
      <c r="FJ94" s="14" t="n">
        <v>24</v>
      </c>
      <c r="FK94" s="14" t="n">
        <v>22</v>
      </c>
      <c r="FL94" s="14" t="n">
        <v>0</v>
      </c>
      <c r="FM94" s="14" t="n">
        <v>0</v>
      </c>
      <c r="FN94" s="14" t="n">
        <v>0</v>
      </c>
      <c r="FO94" s="14" t="n">
        <v>0</v>
      </c>
      <c r="FP94" s="14" t="n">
        <v>0</v>
      </c>
      <c r="FQ94" s="15">
        <f>FL94+FM94+FN94+FO94+FP94</f>
        <v/>
      </c>
      <c r="FR94" s="14" t="n">
        <v>0</v>
      </c>
      <c r="FS94" s="14" t="n">
        <v>0</v>
      </c>
      <c r="FT94" s="14" t="n">
        <v>0</v>
      </c>
      <c r="FU94" s="14" t="n">
        <v>0</v>
      </c>
      <c r="FV94" s="15">
        <f>FR94+FS94+FT94+FU94</f>
        <v/>
      </c>
      <c r="FW94" s="14" t="n">
        <v>26724625.6</v>
      </c>
      <c r="FX94" s="14" t="n">
        <v>147250</v>
      </c>
      <c r="FY94" s="14" t="n">
        <v>4996358.8</v>
      </c>
      <c r="FZ94" s="14" t="n">
        <v>1007817.6</v>
      </c>
      <c r="GA94" s="15">
        <f>FW94+FX94+FY94+FZ94</f>
        <v/>
      </c>
      <c r="GB94" s="15">
        <f>FV94+GA94</f>
        <v/>
      </c>
      <c r="GC94" s="14" t="n">
        <v>441208.37</v>
      </c>
      <c r="GD94" s="14" t="n">
        <v>0</v>
      </c>
      <c r="GE94" s="14" t="n">
        <v>2254754.46</v>
      </c>
      <c r="GF94" s="14" t="n">
        <v>8410.99</v>
      </c>
      <c r="GG94" s="15">
        <f>GC94+GD94+GE94+GF94</f>
        <v/>
      </c>
      <c r="GH94" s="14" t="n">
        <v>26517228</v>
      </c>
      <c r="GI94" s="14" t="n">
        <v>147250</v>
      </c>
      <c r="GJ94" s="14" t="n">
        <v>806600</v>
      </c>
      <c r="GK94" s="14" t="n">
        <v>4895750</v>
      </c>
      <c r="GL94" s="15">
        <f>GH94+GI94+GJ94+GK94</f>
        <v/>
      </c>
      <c r="GM94" s="15">
        <f>GG94+GL94</f>
        <v/>
      </c>
      <c r="GN94" s="14" t="n">
        <v>3269.58</v>
      </c>
      <c r="GO94" s="14" t="n">
        <v>0</v>
      </c>
      <c r="GP94" s="14" t="n">
        <v>10180.92</v>
      </c>
      <c r="GQ94" s="14" t="n">
        <v>4637.34</v>
      </c>
      <c r="GR94" s="15">
        <f>GN94+GO94+GP94+GQ94</f>
        <v/>
      </c>
      <c r="GS94" s="14" t="n">
        <v>5358</v>
      </c>
      <c r="GT94" s="14" t="n">
        <v>0</v>
      </c>
      <c r="GU94" s="14" t="n">
        <v>2679</v>
      </c>
      <c r="GV94" s="14" t="n">
        <v>893</v>
      </c>
      <c r="GW94" s="15">
        <f>GS94+GT94+GU94+GV94</f>
        <v/>
      </c>
      <c r="GX94" s="15">
        <f>GM94+GR94+GW94</f>
        <v/>
      </c>
      <c r="GY94" s="14" t="n">
        <v>167295.959999999</v>
      </c>
      <c r="GZ94" s="14" t="n">
        <v>6095943.76</v>
      </c>
      <c r="HA94" s="15">
        <f>GY94+GZ94</f>
        <v/>
      </c>
      <c r="HB94" s="15">
        <f>IF(GX94=0,"",AU94/GX94)</f>
        <v/>
      </c>
      <c r="HC94" s="16">
        <f>IF((GX94+GY94)=0,"",GB94/(GX94+GY94))</f>
        <v/>
      </c>
      <c r="HD94" s="15">
        <f>IF(GX94=0,"",GB94/GX94)</f>
        <v/>
      </c>
      <c r="HE94" s="14" t="n">
        <v>19</v>
      </c>
      <c r="HF94" s="14" t="n">
        <v>2</v>
      </c>
      <c r="HG94" s="14" t="n">
        <v>3028</v>
      </c>
      <c r="HH94" s="14" t="n">
        <v>19</v>
      </c>
      <c r="HI94" s="14" t="n">
        <v>0</v>
      </c>
      <c r="HJ94" s="15">
        <f>HF94+HI94</f>
        <v/>
      </c>
      <c r="HK94" s="16">
        <f>IF(HE94=0,"",HH94/HE94)</f>
        <v/>
      </c>
      <c r="HL94" s="14" t="n">
        <v>15</v>
      </c>
      <c r="HM94" s="14" t="n">
        <v>24</v>
      </c>
      <c r="HN94" s="17">
        <f>IF(HL94=0,"",HM94/HL94)</f>
        <v/>
      </c>
    </row>
    <row r="95">
      <c r="A95" s="6" t="inlineStr">
        <is>
          <t>Mangochi</t>
        </is>
      </c>
      <c r="B95" s="6" t="inlineStr">
        <is>
          <t>Nkhudzi</t>
        </is>
      </c>
      <c r="C95" s="7" t="inlineStr">
        <is>
          <t>FY2025/26</t>
        </is>
      </c>
      <c r="D95" s="7" t="n">
        <v>2025</v>
      </c>
      <c r="E95" s="7" t="n">
        <v>12</v>
      </c>
      <c r="F95" s="7" t="inlineStr">
        <is>
          <t>December</t>
        </is>
      </c>
      <c r="G95" s="7" t="inlineStr">
        <is>
          <t>Q3</t>
        </is>
      </c>
      <c r="H95" s="8" t="n">
        <v>27749</v>
      </c>
      <c r="I95" s="8" t="n">
        <v>197</v>
      </c>
      <c r="J95" s="8" t="n">
        <v>0</v>
      </c>
      <c r="K95" s="8" t="n">
        <v>124</v>
      </c>
      <c r="L95" s="8" t="n">
        <v>1</v>
      </c>
      <c r="M95" s="9">
        <f>SUM(I95,J95,K95,L95)</f>
        <v/>
      </c>
      <c r="N95" s="8" t="n">
        <v>19367.4</v>
      </c>
      <c r="O95" s="8" t="n">
        <v>601.9</v>
      </c>
      <c r="P95" s="8" t="n">
        <v>366</v>
      </c>
      <c r="Q95" s="8" t="n">
        <v>3123.5</v>
      </c>
      <c r="R95" s="9">
        <f>SUM(N95,O95,P95,Q95)</f>
        <v/>
      </c>
      <c r="S95" s="9">
        <f>M95+R95</f>
        <v/>
      </c>
      <c r="T95" s="8" t="n">
        <v>3968.2</v>
      </c>
      <c r="U95" s="10">
        <f>IF(H95=0,"",T95/H95)</f>
        <v/>
      </c>
      <c r="V95" s="8" t="n">
        <v>63</v>
      </c>
      <c r="W95" s="11">
        <f>IF(H95=0,"",V95/H95)</f>
        <v/>
      </c>
      <c r="X95" s="8" t="n">
        <v>0</v>
      </c>
      <c r="Y95" s="11">
        <f>IF(H95=0,"",X95/H95)</f>
        <v/>
      </c>
      <c r="Z95" s="8" t="n">
        <v>0</v>
      </c>
      <c r="AA95" s="11">
        <f>IF(H95=0,"",Z95/H95)</f>
        <v/>
      </c>
      <c r="AB95" s="8" t="n">
        <v>0</v>
      </c>
      <c r="AC95" s="11">
        <f>IF(H95=0,"",AB95/H95)</f>
        <v/>
      </c>
      <c r="AD95" s="8" t="n">
        <v>0</v>
      </c>
      <c r="AE95" s="11">
        <f>IF(H95=0,"",AD95/H95)</f>
        <v/>
      </c>
      <c r="AF95" s="8" t="n">
        <v>0</v>
      </c>
      <c r="AG95" s="11">
        <f>IF(H95=0,"",AF95/H95)</f>
        <v/>
      </c>
      <c r="AH95" s="8" t="n">
        <v>1507533.3</v>
      </c>
      <c r="AI95" s="9">
        <f>IF(H95=0,"",AH95/H95)</f>
        <v/>
      </c>
      <c r="AJ95" s="8" t="n">
        <v>59372</v>
      </c>
      <c r="AK95" s="11">
        <f>IF(H95=0,"",AJ95/H95)</f>
        <v/>
      </c>
      <c r="AL95" s="8" t="n">
        <v>9945001.530000001</v>
      </c>
      <c r="AM95" s="9">
        <f>IF(H95=0,"",AL95/H95)</f>
        <v/>
      </c>
      <c r="AN95" s="8" t="n">
        <v>0</v>
      </c>
      <c r="AO95" s="8" t="n">
        <v>0</v>
      </c>
      <c r="AP95" s="8" t="n">
        <v>0</v>
      </c>
      <c r="AQ95" s="8" t="n">
        <v>0</v>
      </c>
      <c r="AR95" s="8" t="n">
        <v>8235680.33</v>
      </c>
      <c r="AS95" s="8" t="n">
        <v>6216108.86</v>
      </c>
      <c r="AT95" s="8" t="n">
        <v>1105470</v>
      </c>
      <c r="AU95" s="9">
        <f>AH95+AL95+AP95+AQ95+AR95+AS95+AT95</f>
        <v/>
      </c>
      <c r="AV95" s="9">
        <f>IF(H95=0,"",AU95/H95)</f>
        <v/>
      </c>
      <c r="AW95" s="9">
        <f>IF(S95=0,"",AU95/S95)</f>
        <v/>
      </c>
      <c r="AX95" s="8" t="n">
        <v>9</v>
      </c>
      <c r="AY95" s="9">
        <f>IF(H95=0,"",AX95/(H95/1000/12))</f>
        <v/>
      </c>
      <c r="AZ95" s="8" t="n">
        <v>42</v>
      </c>
      <c r="BA95" s="8" t="n">
        <v>3004</v>
      </c>
      <c r="BB95" s="8" t="n">
        <v>10</v>
      </c>
      <c r="BC95" s="8" t="n">
        <v>0</v>
      </c>
      <c r="BD95" s="8" t="n">
        <v>41</v>
      </c>
      <c r="BE95" s="9">
        <f>BC95+BD95</f>
        <v/>
      </c>
      <c r="BF95" s="9">
        <f>BA95+BB95-BE95</f>
        <v/>
      </c>
      <c r="BG95" s="8" t="n">
        <v>9</v>
      </c>
      <c r="BH95" s="8" t="n">
        <v>0</v>
      </c>
      <c r="BI95" s="8" t="n">
        <v>0</v>
      </c>
      <c r="BJ95" s="8" t="n">
        <v>0</v>
      </c>
      <c r="BK95" s="9">
        <f>BI95+BJ95</f>
        <v/>
      </c>
      <c r="BL95" s="9">
        <f>BG95+BH95-BK95</f>
        <v/>
      </c>
      <c r="BM95" s="8" t="n">
        <v>15</v>
      </c>
      <c r="BN95" s="8" t="n">
        <v>0</v>
      </c>
      <c r="BO95" s="8" t="n">
        <v>0</v>
      </c>
      <c r="BP95" s="8" t="n">
        <v>0</v>
      </c>
      <c r="BQ95" s="9">
        <f>BO95+BP95</f>
        <v/>
      </c>
      <c r="BR95" s="9">
        <f>BM95+BN95-BQ95</f>
        <v/>
      </c>
      <c r="BS95" s="8" t="n">
        <v>0</v>
      </c>
      <c r="BT95" s="8" t="n">
        <v>0</v>
      </c>
      <c r="BU95" s="8" t="n">
        <v>0</v>
      </c>
      <c r="BV95" s="8" t="n">
        <v>0</v>
      </c>
      <c r="BW95" s="9">
        <f>BU95+BV95</f>
        <v/>
      </c>
      <c r="BX95" s="9">
        <f>BS95+BT95-BW95</f>
        <v/>
      </c>
      <c r="BY95" s="9">
        <f>BA95+BG95+BM95+BS95</f>
        <v/>
      </c>
      <c r="BZ95" s="9">
        <f>BB95+BH95+BN95+BT95</f>
        <v/>
      </c>
      <c r="CA95" s="9">
        <f>BE95+BK95+BQ95+BW95</f>
        <v/>
      </c>
      <c r="CB95" s="9">
        <f>BF95+BL95+BR95+BX95</f>
        <v/>
      </c>
      <c r="CC95" s="8" t="n">
        <v>41</v>
      </c>
      <c r="CD95" s="8" t="n">
        <v>0</v>
      </c>
      <c r="CE95" s="8" t="n">
        <v>0</v>
      </c>
      <c r="CF95" s="8" t="n">
        <v>0</v>
      </c>
      <c r="CG95" s="8" t="n">
        <v>0</v>
      </c>
      <c r="CH95" s="9">
        <f>CD95+CE95+CF95+CG95</f>
        <v/>
      </c>
      <c r="CI95" s="8" t="n">
        <v>6</v>
      </c>
      <c r="CJ95" s="8" t="n">
        <v>3</v>
      </c>
      <c r="CK95" s="8" t="n">
        <v>1</v>
      </c>
      <c r="CL95" s="8" t="n">
        <v>0</v>
      </c>
      <c r="CM95" s="9">
        <f>CI95+CJ95+CK95+CL95</f>
        <v/>
      </c>
      <c r="CN95" s="8" t="n">
        <v>4350</v>
      </c>
      <c r="CO95" s="8" t="n">
        <v>61</v>
      </c>
      <c r="CP95" s="8" t="n">
        <v>84</v>
      </c>
      <c r="CQ95" s="8" t="n">
        <v>15</v>
      </c>
      <c r="CR95" s="9">
        <f>CN95+CO95+CP95+CQ95</f>
        <v/>
      </c>
      <c r="CS95" s="9">
        <f>CM95+CR95</f>
        <v/>
      </c>
      <c r="CT95" s="8" t="n">
        <v>4520</v>
      </c>
      <c r="CU95" s="8" t="n">
        <v>0</v>
      </c>
      <c r="CV95" s="8" t="n">
        <v>0</v>
      </c>
      <c r="CW95" s="10">
        <f>IF(CU95=0,"",CV95/CU95)</f>
        <v/>
      </c>
      <c r="CX95" s="8" t="n"/>
      <c r="CY95" s="8" t="n"/>
      <c r="CZ95" s="8" t="n"/>
      <c r="DA95" s="8" t="n"/>
      <c r="DB95" s="9">
        <f>CX95+CY95-CZ95-DA95</f>
        <v/>
      </c>
      <c r="DC95" s="8" t="n">
        <v>0</v>
      </c>
      <c r="DD95" s="8" t="n">
        <v>0</v>
      </c>
      <c r="DE95" s="8" t="n">
        <v>0</v>
      </c>
      <c r="DF95" s="8" t="n">
        <v>0</v>
      </c>
      <c r="DG95" s="9">
        <f>DC95+DD95-DE95-DF95</f>
        <v/>
      </c>
      <c r="DH95" s="8" t="n">
        <v>0</v>
      </c>
      <c r="DI95" s="8" t="n">
        <v>0</v>
      </c>
      <c r="DJ95" s="8" t="n">
        <v>0</v>
      </c>
      <c r="DK95" s="8" t="n">
        <v>0</v>
      </c>
      <c r="DL95" s="9">
        <f>DH95+DI95-DJ95-DK95</f>
        <v/>
      </c>
      <c r="DM95" s="8" t="n">
        <v>18</v>
      </c>
      <c r="DN95" s="8" t="n">
        <v>7</v>
      </c>
      <c r="DO95" s="8" t="n">
        <v>0</v>
      </c>
      <c r="DP95" s="8" t="n">
        <v>0</v>
      </c>
      <c r="DQ95" s="9">
        <f>DM95+DN95-DO95-DP95</f>
        <v/>
      </c>
      <c r="DR95" s="9">
        <f>CX95+DC95+DH95+DM95</f>
        <v/>
      </c>
      <c r="DS95" s="9">
        <f>CY95+DD95+DI95+DN95</f>
        <v/>
      </c>
      <c r="DT95" s="9">
        <f>CZ95+DE95+DJ95+DO95</f>
        <v/>
      </c>
      <c r="DU95" s="9">
        <f>DA95+DF95+DK95+DP95</f>
        <v/>
      </c>
      <c r="DV95" s="9">
        <f>DB95+DG95+DL95+DQ95</f>
        <v/>
      </c>
      <c r="DW95" s="8" t="n">
        <v>28</v>
      </c>
      <c r="DX95" s="8" t="n">
        <v>22</v>
      </c>
      <c r="DY95" s="8" t="n">
        <v>2</v>
      </c>
      <c r="DZ95" s="8" t="n">
        <v>11</v>
      </c>
      <c r="EA95" s="8" t="n">
        <v>0</v>
      </c>
      <c r="EB95" s="8" t="n">
        <v>3</v>
      </c>
      <c r="EC95" s="8" t="n">
        <v>0</v>
      </c>
      <c r="ED95" s="8" t="n">
        <v>1</v>
      </c>
      <c r="EE95" s="8" t="n">
        <v>2</v>
      </c>
      <c r="EF95" s="8" t="n">
        <v>0</v>
      </c>
      <c r="EG95" s="8" t="n">
        <v>0</v>
      </c>
      <c r="EH95" s="8" t="n">
        <v>0</v>
      </c>
      <c r="EI95" s="8" t="n">
        <v>0</v>
      </c>
      <c r="EJ95" s="8" t="n">
        <v>0</v>
      </c>
      <c r="EK95" s="8" t="n">
        <v>0</v>
      </c>
      <c r="EL95" s="8" t="n">
        <v>0</v>
      </c>
      <c r="EM95" s="8" t="n">
        <v>0</v>
      </c>
      <c r="EN95" s="8" t="n">
        <v>0</v>
      </c>
      <c r="EO95" s="8" t="n">
        <v>0</v>
      </c>
      <c r="EP95" s="8" t="n">
        <v>0</v>
      </c>
      <c r="EQ95" s="8" t="n">
        <v>0</v>
      </c>
      <c r="ER95" s="8" t="n">
        <v>0</v>
      </c>
      <c r="ES95" s="8" t="n">
        <v>0</v>
      </c>
      <c r="ET95" s="8" t="n">
        <v>0</v>
      </c>
      <c r="EU95" s="8" t="n">
        <v>0</v>
      </c>
      <c r="EV95" s="8" t="n">
        <v>0</v>
      </c>
      <c r="EW95" s="8" t="n">
        <v>0</v>
      </c>
      <c r="EX95" s="8" t="n">
        <v>0</v>
      </c>
      <c r="EY95" s="8" t="n">
        <v>0</v>
      </c>
      <c r="EZ95" s="8" t="n">
        <v>0</v>
      </c>
      <c r="FA95" s="8" t="n">
        <v>0</v>
      </c>
      <c r="FB95" s="8" t="n">
        <v>0</v>
      </c>
      <c r="FC95" s="8" t="n">
        <v>0</v>
      </c>
      <c r="FD95" s="8" t="n">
        <v>0</v>
      </c>
      <c r="FE95" s="8" t="n">
        <v>0</v>
      </c>
      <c r="FF95" s="8" t="n">
        <v>0</v>
      </c>
      <c r="FG95" s="9">
        <f>SUM(DW95,DX95,DY95,DZ95,EA95,EB95,EC95,ED95,EE95,EF95,EG95,EH95,EI95,EJ95,EK95,EL95,EM95,EN95,EO95,EP95,EQ95,ER95,ES95,ET95,EU95,EV95,EW95,EX95,EY95,EZ95,FA95,FB95,FC95,FD95,FE95,FF95)</f>
        <v/>
      </c>
      <c r="FH95" s="8" t="n">
        <v>8</v>
      </c>
      <c r="FI95" s="8" t="n">
        <v>172</v>
      </c>
      <c r="FJ95" s="8" t="n">
        <v>24</v>
      </c>
      <c r="FK95" s="8" t="n">
        <v>31</v>
      </c>
      <c r="FL95" s="8" t="n">
        <v>0</v>
      </c>
      <c r="FM95" s="8" t="n">
        <v>0</v>
      </c>
      <c r="FN95" s="8" t="n">
        <v>0</v>
      </c>
      <c r="FO95" s="8" t="n">
        <v>0</v>
      </c>
      <c r="FP95" s="8" t="n">
        <v>0</v>
      </c>
      <c r="FQ95" s="9">
        <f>FL95+FM95+FN95+FO95+FP95</f>
        <v/>
      </c>
      <c r="FR95" s="8" t="n">
        <v>0</v>
      </c>
      <c r="FS95" s="8" t="n">
        <v>0</v>
      </c>
      <c r="FT95" s="8" t="n">
        <v>0</v>
      </c>
      <c r="FU95" s="8" t="n">
        <v>0</v>
      </c>
      <c r="FV95" s="9">
        <f>FR95+FS95+FT95+FU95</f>
        <v/>
      </c>
      <c r="FW95" s="8" t="n">
        <v>23985301</v>
      </c>
      <c r="FX95" s="8" t="n">
        <v>139700</v>
      </c>
      <c r="FY95" s="8" t="n">
        <v>13863991</v>
      </c>
      <c r="FZ95" s="8" t="n">
        <v>1112900</v>
      </c>
      <c r="GA95" s="9">
        <f>FW95+FX95+FY95+FZ95</f>
        <v/>
      </c>
      <c r="GB95" s="9">
        <f>FV95+GA95</f>
        <v/>
      </c>
      <c r="GC95" s="8" t="n">
        <v>186445.95</v>
      </c>
      <c r="GD95" s="8" t="n">
        <v>0</v>
      </c>
      <c r="GE95" s="8" t="n">
        <v>402464.41</v>
      </c>
      <c r="GF95" s="8" t="n">
        <v>8410.99</v>
      </c>
      <c r="GG95" s="9">
        <f>GC95+GD95+GE95+GF95</f>
        <v/>
      </c>
      <c r="GH95" s="8" t="n">
        <v>23973028.6</v>
      </c>
      <c r="GI95" s="8" t="n">
        <v>139700</v>
      </c>
      <c r="GJ95" s="8" t="n">
        <v>1112900</v>
      </c>
      <c r="GK95" s="8" t="n">
        <v>13107050</v>
      </c>
      <c r="GL95" s="9">
        <f>GH95+GI95+GJ95+GK95</f>
        <v/>
      </c>
      <c r="GM95" s="9">
        <f>GG95+GL95</f>
        <v/>
      </c>
      <c r="GN95" s="8" t="n">
        <v>3269.58</v>
      </c>
      <c r="GO95" s="8" t="n">
        <v>0</v>
      </c>
      <c r="GP95" s="8" t="n">
        <v>10180.92</v>
      </c>
      <c r="GQ95" s="8" t="n">
        <v>4637.34</v>
      </c>
      <c r="GR95" s="9">
        <f>GN95+GO95+GP95+GQ95</f>
        <v/>
      </c>
      <c r="GS95" s="8" t="n">
        <v>5358</v>
      </c>
      <c r="GT95" s="8" t="n">
        <v>0</v>
      </c>
      <c r="GU95" s="8" t="n">
        <v>2679</v>
      </c>
      <c r="GV95" s="8" t="n">
        <v>893</v>
      </c>
      <c r="GW95" s="9">
        <f>GS95+GT95+GU95+GV95</f>
        <v/>
      </c>
      <c r="GX95" s="9">
        <f>GM95+GR95+GW95</f>
        <v/>
      </c>
      <c r="GY95" s="8" t="n">
        <v>181237.29</v>
      </c>
      <c r="GZ95" s="8" t="n">
        <v>1203063.01</v>
      </c>
      <c r="HA95" s="9">
        <f>GY95+GZ95</f>
        <v/>
      </c>
      <c r="HB95" s="9">
        <f>IF(GX95=0,"",AU95/GX95)</f>
        <v/>
      </c>
      <c r="HC95" s="10">
        <f>IF((GX95+GY95)=0,"",GB95/(GX95+GY95))</f>
        <v/>
      </c>
      <c r="HD95" s="9">
        <f>IF(GX95=0,"",GB95/GX95)</f>
        <v/>
      </c>
      <c r="HE95" s="8" t="n">
        <v>10</v>
      </c>
      <c r="HF95" s="8" t="n">
        <v>2</v>
      </c>
      <c r="HG95" s="8" t="n">
        <v>2997</v>
      </c>
      <c r="HH95" s="8" t="n">
        <v>10</v>
      </c>
      <c r="HI95" s="8" t="n">
        <v>7</v>
      </c>
      <c r="HJ95" s="9">
        <f>HF95+HI95</f>
        <v/>
      </c>
      <c r="HK95" s="10">
        <f>IF(HE95=0,"",HH95/HE95)</f>
        <v/>
      </c>
      <c r="HL95" s="8" t="n">
        <v>7</v>
      </c>
      <c r="HM95" s="8" t="n">
        <v>1</v>
      </c>
      <c r="HN95" s="11">
        <f>IF(HL95=0,"",HM95/HL95)</f>
        <v/>
      </c>
    </row>
    <row r="96">
      <c r="A96" s="12" t="inlineStr">
        <is>
          <t>Mangochi</t>
        </is>
      </c>
      <c r="B96" s="12" t="inlineStr">
        <is>
          <t>Nkhudzi</t>
        </is>
      </c>
      <c r="C96" s="13" t="inlineStr">
        <is>
          <t>FY2025/26</t>
        </is>
      </c>
      <c r="D96" s="13" t="n">
        <v>2026</v>
      </c>
      <c r="E96" s="13" t="n">
        <v>1</v>
      </c>
      <c r="F96" s="13" t="inlineStr">
        <is>
          <t>January</t>
        </is>
      </c>
      <c r="G96" s="13" t="inlineStr">
        <is>
          <t>Q4</t>
        </is>
      </c>
      <c r="H96" s="14" t="n">
        <v>36427.5</v>
      </c>
      <c r="I96" s="14" t="n">
        <v>93</v>
      </c>
      <c r="J96" s="14" t="n">
        <v>0</v>
      </c>
      <c r="K96" s="14" t="n">
        <v>53</v>
      </c>
      <c r="L96" s="14" t="n">
        <v>1</v>
      </c>
      <c r="M96" s="15" t="n">
        <v>147</v>
      </c>
      <c r="N96" s="14" t="n">
        <v>19832.09999999998</v>
      </c>
      <c r="O96" s="14" t="n">
        <v>688.0000000000001</v>
      </c>
      <c r="P96" s="14" t="n">
        <v>250.7</v>
      </c>
      <c r="Q96" s="14" t="n">
        <v>1141.1</v>
      </c>
      <c r="R96" s="15" t="n">
        <v>21911.89999999998</v>
      </c>
      <c r="S96" s="15" t="n">
        <v>22058.89999999998</v>
      </c>
      <c r="T96" s="14" t="n">
        <v>14368.60000000002</v>
      </c>
      <c r="U96" s="16" t="n">
        <v>0.39444375814975</v>
      </c>
      <c r="V96" s="14" t="n">
        <v>150</v>
      </c>
      <c r="W96" s="17" t="n">
        <v>4.117768169652049</v>
      </c>
      <c r="X96" s="14" t="n">
        <v>0</v>
      </c>
      <c r="Y96" s="17" t="n">
        <v>0</v>
      </c>
      <c r="Z96" s="14" t="n">
        <v>0</v>
      </c>
      <c r="AA96" s="17" t="n">
        <v>0</v>
      </c>
      <c r="AB96" s="14" t="n">
        <v>0</v>
      </c>
      <c r="AC96" s="17" t="n">
        <v>0</v>
      </c>
      <c r="AD96" s="14" t="n">
        <v>0</v>
      </c>
      <c r="AE96" s="17" t="n">
        <v>0</v>
      </c>
      <c r="AF96" s="14" t="n">
        <v>0</v>
      </c>
      <c r="AG96" s="17" t="n">
        <v>0</v>
      </c>
      <c r="AH96" s="14" t="n">
        <v>3589365</v>
      </c>
      <c r="AI96" s="15" t="n">
        <v>98.53448630842084</v>
      </c>
      <c r="AJ96" s="14" t="n">
        <v>69481</v>
      </c>
      <c r="AK96" s="17" t="n">
        <v>1.907377667970627</v>
      </c>
      <c r="AL96" s="14" t="n">
        <v>11634998.8775</v>
      </c>
      <c r="AM96" s="15" t="n">
        <v>319.4015202113787</v>
      </c>
      <c r="AN96" s="14" t="n">
        <v>0</v>
      </c>
      <c r="AO96" s="14" t="n">
        <v>0</v>
      </c>
      <c r="AP96" s="14" t="n">
        <v>0</v>
      </c>
      <c r="AQ96" s="14" t="n">
        <v>0</v>
      </c>
      <c r="AR96" s="14" t="n">
        <v>8235680.33</v>
      </c>
      <c r="AS96" s="14" t="n">
        <v>5830081.9</v>
      </c>
      <c r="AT96" s="14" t="n">
        <v>1177820</v>
      </c>
      <c r="AU96" s="15" t="n">
        <v>30467946.1075</v>
      </c>
      <c r="AV96" s="15" t="n">
        <v>836.3995911742503</v>
      </c>
      <c r="AW96" s="15" t="n">
        <v>1381.208768682936</v>
      </c>
      <c r="AX96" s="14" t="n">
        <v>9</v>
      </c>
      <c r="AY96" s="15" t="n">
        <v>7.659048795552811</v>
      </c>
      <c r="AZ96" s="14" t="n">
        <v>42</v>
      </c>
      <c r="BA96" s="14" t="n">
        <v>2973</v>
      </c>
      <c r="BB96" s="14" t="n">
        <v>12</v>
      </c>
      <c r="BC96" s="14" t="n">
        <v>0</v>
      </c>
      <c r="BD96" s="14" t="n">
        <v>20</v>
      </c>
      <c r="BE96" s="15" t="n">
        <v>20</v>
      </c>
      <c r="BF96" s="15" t="n">
        <v>2965</v>
      </c>
      <c r="BG96" s="14" t="n">
        <v>9</v>
      </c>
      <c r="BH96" s="14" t="n">
        <v>0</v>
      </c>
      <c r="BI96" s="14" t="n">
        <v>0</v>
      </c>
      <c r="BJ96" s="14" t="n">
        <v>0</v>
      </c>
      <c r="BK96" s="15" t="n">
        <v>0</v>
      </c>
      <c r="BL96" s="15" t="n">
        <v>9</v>
      </c>
      <c r="BM96" s="14" t="n">
        <v>15</v>
      </c>
      <c r="BN96" s="14" t="n">
        <v>0</v>
      </c>
      <c r="BO96" s="14" t="n">
        <v>0</v>
      </c>
      <c r="BP96" s="14" t="n">
        <v>0</v>
      </c>
      <c r="BQ96" s="15" t="n">
        <v>0</v>
      </c>
      <c r="BR96" s="15" t="n">
        <v>15</v>
      </c>
      <c r="BS96" s="14" t="n">
        <v>0</v>
      </c>
      <c r="BT96" s="14" t="n">
        <v>0</v>
      </c>
      <c r="BU96" s="14" t="n">
        <v>0</v>
      </c>
      <c r="BV96" s="14" t="n">
        <v>0</v>
      </c>
      <c r="BW96" s="15" t="n">
        <v>0</v>
      </c>
      <c r="BX96" s="15" t="n">
        <v>0</v>
      </c>
      <c r="BY96" s="15" t="n">
        <v>2997</v>
      </c>
      <c r="BZ96" s="15" t="n">
        <v>12</v>
      </c>
      <c r="CA96" s="15" t="n">
        <v>20</v>
      </c>
      <c r="CB96" s="15" t="n">
        <v>2989</v>
      </c>
      <c r="CC96" s="14" t="n">
        <v>20</v>
      </c>
      <c r="CD96" s="14" t="n">
        <v>0</v>
      </c>
      <c r="CE96" s="14" t="n">
        <v>0</v>
      </c>
      <c r="CF96" s="14" t="n">
        <v>0</v>
      </c>
      <c r="CG96" s="14" t="n">
        <v>0</v>
      </c>
      <c r="CH96" s="15" t="n">
        <v>0</v>
      </c>
      <c r="CI96" s="14" t="n">
        <v>6</v>
      </c>
      <c r="CJ96" s="14" t="n">
        <v>3</v>
      </c>
      <c r="CK96" s="14" t="n">
        <v>1</v>
      </c>
      <c r="CL96" s="14" t="n">
        <v>0</v>
      </c>
      <c r="CM96" s="15" t="n">
        <v>10</v>
      </c>
      <c r="CN96" s="14" t="n">
        <v>4370</v>
      </c>
      <c r="CO96" s="14" t="n">
        <v>61</v>
      </c>
      <c r="CP96" s="14" t="n">
        <v>84</v>
      </c>
      <c r="CQ96" s="14" t="n">
        <v>15</v>
      </c>
      <c r="CR96" s="15" t="n">
        <v>4530</v>
      </c>
      <c r="CS96" s="15" t="n">
        <v>4540</v>
      </c>
      <c r="CT96" s="14" t="n">
        <v>4540</v>
      </c>
      <c r="CU96" s="14" t="n">
        <v>0</v>
      </c>
      <c r="CV96" s="14" t="n">
        <v>0</v>
      </c>
      <c r="CW96" s="16" t="n"/>
      <c r="CX96" s="14" t="n">
        <v>0</v>
      </c>
      <c r="CY96" s="14" t="n">
        <v>0</v>
      </c>
      <c r="CZ96" s="14" t="n">
        <v>0</v>
      </c>
      <c r="DA96" s="14" t="n">
        <v>0</v>
      </c>
      <c r="DB96" s="15" t="n">
        <v>0</v>
      </c>
      <c r="DC96" s="14" t="n">
        <v>0</v>
      </c>
      <c r="DD96" s="14" t="n">
        <v>0</v>
      </c>
      <c r="DE96" s="14" t="n">
        <v>0</v>
      </c>
      <c r="DF96" s="14" t="n">
        <v>0</v>
      </c>
      <c r="DG96" s="15" t="n">
        <v>0</v>
      </c>
      <c r="DH96" s="14" t="n">
        <v>0</v>
      </c>
      <c r="DI96" s="14" t="n">
        <v>0</v>
      </c>
      <c r="DJ96" s="14" t="n">
        <v>0</v>
      </c>
      <c r="DK96" s="14" t="n">
        <v>0</v>
      </c>
      <c r="DL96" s="15" t="n">
        <v>0</v>
      </c>
      <c r="DM96" s="14" t="n">
        <v>25</v>
      </c>
      <c r="DN96" s="14" t="n">
        <v>16</v>
      </c>
      <c r="DO96" s="14" t="n">
        <v>0</v>
      </c>
      <c r="DP96" s="14" t="n">
        <v>10</v>
      </c>
      <c r="DQ96" s="15" t="n">
        <v>31</v>
      </c>
      <c r="DR96" s="15" t="n">
        <v>25</v>
      </c>
      <c r="DS96" s="15" t="n">
        <v>16</v>
      </c>
      <c r="DT96" s="15" t="n">
        <v>0</v>
      </c>
      <c r="DU96" s="15" t="n">
        <v>10</v>
      </c>
      <c r="DV96" s="15" t="n">
        <v>31</v>
      </c>
      <c r="DW96" s="14" t="n">
        <v>3</v>
      </c>
      <c r="DX96" s="14" t="n">
        <v>25</v>
      </c>
      <c r="DY96" s="14" t="n">
        <v>8</v>
      </c>
      <c r="DZ96" s="14" t="n">
        <v>5</v>
      </c>
      <c r="EA96" s="14" t="n">
        <v>0</v>
      </c>
      <c r="EB96" s="14" t="n">
        <v>0</v>
      </c>
      <c r="EC96" s="14" t="n">
        <v>0</v>
      </c>
      <c r="ED96" s="14" t="n">
        <v>0</v>
      </c>
      <c r="EE96" s="14" t="n">
        <v>3</v>
      </c>
      <c r="EF96" s="14" t="n">
        <v>0</v>
      </c>
      <c r="EG96" s="14" t="n">
        <v>0</v>
      </c>
      <c r="EH96" s="14" t="n">
        <v>0</v>
      </c>
      <c r="EI96" s="14" t="n">
        <v>0</v>
      </c>
      <c r="EJ96" s="14" t="n">
        <v>0</v>
      </c>
      <c r="EK96" s="14" t="n">
        <v>0</v>
      </c>
      <c r="EL96" s="14" t="n">
        <v>0</v>
      </c>
      <c r="EM96" s="14" t="n">
        <v>0</v>
      </c>
      <c r="EN96" s="14" t="n">
        <v>0</v>
      </c>
      <c r="EO96" s="14" t="n">
        <v>0</v>
      </c>
      <c r="EP96" s="14" t="n">
        <v>0</v>
      </c>
      <c r="EQ96" s="14" t="n">
        <v>0</v>
      </c>
      <c r="ER96" s="14" t="n">
        <v>0</v>
      </c>
      <c r="ES96" s="14" t="n">
        <v>0</v>
      </c>
      <c r="ET96" s="14" t="n">
        <v>0</v>
      </c>
      <c r="EU96" s="14" t="n">
        <v>0</v>
      </c>
      <c r="EV96" s="14" t="n">
        <v>0</v>
      </c>
      <c r="EW96" s="14" t="n">
        <v>1</v>
      </c>
      <c r="EX96" s="14" t="n">
        <v>0</v>
      </c>
      <c r="EY96" s="14" t="n">
        <v>0</v>
      </c>
      <c r="EZ96" s="14" t="n">
        <v>0</v>
      </c>
      <c r="FA96" s="14" t="n">
        <v>0</v>
      </c>
      <c r="FB96" s="14" t="n">
        <v>0</v>
      </c>
      <c r="FC96" s="14" t="n">
        <v>0</v>
      </c>
      <c r="FD96" s="14" t="n">
        <v>0</v>
      </c>
      <c r="FE96" s="14" t="n">
        <v>0</v>
      </c>
      <c r="FF96" s="14" t="n">
        <v>0</v>
      </c>
      <c r="FG96" s="15" t="n">
        <v>45</v>
      </c>
      <c r="FH96" s="14" t="n">
        <v>8</v>
      </c>
      <c r="FI96" s="14" t="n">
        <v>216</v>
      </c>
      <c r="FJ96" s="14" t="n">
        <v>24</v>
      </c>
      <c r="FK96" s="14" t="n">
        <v>36</v>
      </c>
      <c r="FL96" s="14" t="n">
        <v>0</v>
      </c>
      <c r="FM96" s="14" t="n">
        <v>0</v>
      </c>
      <c r="FN96" s="14" t="n">
        <v>0</v>
      </c>
      <c r="FO96" s="14" t="n">
        <v>0</v>
      </c>
      <c r="FP96" s="14" t="n">
        <v>0</v>
      </c>
      <c r="FQ96" s="15" t="n">
        <v>0</v>
      </c>
      <c r="FR96" s="14" t="n">
        <v>0</v>
      </c>
      <c r="FS96" s="14" t="n">
        <v>0</v>
      </c>
      <c r="FT96" s="14" t="n">
        <v>0</v>
      </c>
      <c r="FU96" s="14" t="n">
        <v>0</v>
      </c>
      <c r="FV96" s="15" t="n">
        <v>0</v>
      </c>
      <c r="FW96" s="14" t="n">
        <v>24549202</v>
      </c>
      <c r="FX96" s="14" t="n">
        <v>146190</v>
      </c>
      <c r="FY96" s="14" t="n">
        <v>5568530</v>
      </c>
      <c r="FZ96" s="14" t="n">
        <v>762000</v>
      </c>
      <c r="GA96" s="15" t="n">
        <v>31025922</v>
      </c>
      <c r="GB96" s="15" t="n">
        <v>31025922</v>
      </c>
      <c r="GC96" s="14" t="n">
        <v>88949.19</v>
      </c>
      <c r="GD96" s="14" t="n">
        <v>0</v>
      </c>
      <c r="GE96" s="14" t="n">
        <v>166950.22</v>
      </c>
      <c r="GF96" s="14" t="n">
        <v>8410.99</v>
      </c>
      <c r="GG96" s="15" t="n">
        <v>264310.4</v>
      </c>
      <c r="GH96" s="14" t="n">
        <v>24541222</v>
      </c>
      <c r="GI96" s="14" t="n">
        <v>146190</v>
      </c>
      <c r="GJ96" s="14" t="n">
        <v>762000</v>
      </c>
      <c r="GK96" s="14" t="n">
        <v>5399880</v>
      </c>
      <c r="GL96" s="15" t="n">
        <v>30849292</v>
      </c>
      <c r="GM96" s="15" t="n">
        <v>31113602.4</v>
      </c>
      <c r="GN96" s="14" t="n">
        <v>3269.58</v>
      </c>
      <c r="GO96" s="14" t="n">
        <v>0</v>
      </c>
      <c r="GP96" s="14" t="n">
        <v>10180.92</v>
      </c>
      <c r="GQ96" s="14" t="n">
        <v>4637.34</v>
      </c>
      <c r="GR96" s="15" t="n">
        <v>18087.84</v>
      </c>
      <c r="GS96" s="14" t="n">
        <v>5358</v>
      </c>
      <c r="GT96" s="14" t="n">
        <v>0</v>
      </c>
      <c r="GU96" s="14" t="n">
        <v>2679</v>
      </c>
      <c r="GV96" s="14" t="n">
        <v>893</v>
      </c>
      <c r="GW96" s="15" t="n">
        <v>8930</v>
      </c>
      <c r="GX96" s="15" t="n">
        <v>31140620.24</v>
      </c>
      <c r="GY96" s="14" t="n">
        <v>195178.6200000001</v>
      </c>
      <c r="GZ96" s="14" t="n">
        <v>1480449.92</v>
      </c>
      <c r="HA96" s="15" t="n">
        <v>1675628.54</v>
      </c>
      <c r="HB96" s="15" t="n">
        <v>31140620.24</v>
      </c>
      <c r="HC96" s="16" t="n">
        <v>195178.6200000001</v>
      </c>
      <c r="HD96" s="15" t="n">
        <v>1480449.92</v>
      </c>
      <c r="HE96" s="14" t="n">
        <v>12</v>
      </c>
      <c r="HF96" s="14" t="n">
        <v>1</v>
      </c>
      <c r="HG96" s="14" t="n">
        <v>2989</v>
      </c>
      <c r="HH96" s="14" t="n">
        <v>12</v>
      </c>
      <c r="HI96" s="14" t="n">
        <v>7</v>
      </c>
      <c r="HJ96" s="15" t="n">
        <v>0.5833333333333334</v>
      </c>
      <c r="HK96" s="16" t="n">
        <v>0</v>
      </c>
      <c r="HL96" s="14" t="n">
        <v>7</v>
      </c>
      <c r="HM96" s="14" t="n">
        <v>24</v>
      </c>
      <c r="HN96" s="17" t="n">
        <v>0.2916666666666667</v>
      </c>
    </row>
    <row r="97">
      <c r="A97" s="6" t="inlineStr">
        <is>
          <t>Mangochi</t>
        </is>
      </c>
      <c r="B97" s="6" t="inlineStr">
        <is>
          <t>Nkhudzi</t>
        </is>
      </c>
      <c r="C97" s="7" t="inlineStr">
        <is>
          <t>FY2025/26</t>
        </is>
      </c>
      <c r="D97" s="7" t="n">
        <v>2026</v>
      </c>
      <c r="E97" s="7" t="n">
        <v>2</v>
      </c>
      <c r="F97" s="7" t="inlineStr">
        <is>
          <t>February</t>
        </is>
      </c>
      <c r="G97" s="7" t="inlineStr">
        <is>
          <t>Q4</t>
        </is>
      </c>
      <c r="H97" s="8" t="n">
        <v>26836</v>
      </c>
      <c r="I97" s="8" t="n">
        <v>72</v>
      </c>
      <c r="J97" s="8" t="n">
        <v>0</v>
      </c>
      <c r="K97" s="8" t="n">
        <v>71</v>
      </c>
      <c r="L97" s="8" t="n">
        <v>1</v>
      </c>
      <c r="M97" s="9">
        <f>SUM(I97,J97,K97,L97)</f>
        <v/>
      </c>
      <c r="N97" s="8" t="n">
        <v>18008.99999999996</v>
      </c>
      <c r="O97" s="8" t="n">
        <v>654.7</v>
      </c>
      <c r="P97" s="8" t="n">
        <v>222.2</v>
      </c>
      <c r="Q97" s="8" t="n">
        <v>844.3000000000002</v>
      </c>
      <c r="R97" s="9">
        <f>SUM(N97,O97,P97,Q97)</f>
        <v/>
      </c>
      <c r="S97" s="9">
        <f>M97+R97</f>
        <v/>
      </c>
      <c r="T97" s="8" t="n">
        <v>6961.800000000039</v>
      </c>
      <c r="U97" s="10">
        <f>IF(H97=0,"",T97/H97)</f>
        <v/>
      </c>
      <c r="V97" s="8" t="n">
        <v>49.05</v>
      </c>
      <c r="W97" s="11">
        <f>IF(H97=0,"",V97/H97)</f>
        <v/>
      </c>
      <c r="X97" s="8" t="n">
        <v>0</v>
      </c>
      <c r="Y97" s="11">
        <f>IF(H97=0,"",X97/H97)</f>
        <v/>
      </c>
      <c r="Z97" s="8" t="n">
        <v>0</v>
      </c>
      <c r="AA97" s="11">
        <f>IF(H97=0,"",Z97/H97)</f>
        <v/>
      </c>
      <c r="AB97" s="8" t="n">
        <v>0</v>
      </c>
      <c r="AC97" s="11">
        <f>IF(H97=0,"",AB97/H97)</f>
        <v/>
      </c>
      <c r="AD97" s="8" t="n">
        <v>0</v>
      </c>
      <c r="AE97" s="11">
        <f>IF(H97=0,"",AD97/H97)</f>
        <v/>
      </c>
      <c r="AF97" s="8" t="n">
        <v>0</v>
      </c>
      <c r="AG97" s="11">
        <f>IF(H97=0,"",AF97/H97)</f>
        <v/>
      </c>
      <c r="AH97" s="8" t="n">
        <v>1173722.355</v>
      </c>
      <c r="AI97" s="9">
        <f>IF(H97=0,"",AH97/H97)</f>
        <v/>
      </c>
      <c r="AJ97" s="8" t="n">
        <v>47520</v>
      </c>
      <c r="AK97" s="11">
        <f>IF(H97=0,"",AJ97/H97)</f>
        <v/>
      </c>
      <c r="AL97" s="8" t="n">
        <v>7963613.8</v>
      </c>
      <c r="AM97" s="9">
        <f>IF(H97=0,"",AL97/H97)</f>
        <v/>
      </c>
      <c r="AN97" s="8" t="n">
        <v>0</v>
      </c>
      <c r="AO97" s="8" t="n">
        <v>0</v>
      </c>
      <c r="AP97" s="8" t="n">
        <v>0</v>
      </c>
      <c r="AQ97" s="8" t="n">
        <v>0</v>
      </c>
      <c r="AR97" s="8" t="n">
        <v>8235680.33</v>
      </c>
      <c r="AS97" s="8" t="n">
        <v>6347409.5</v>
      </c>
      <c r="AT97" s="8" t="n">
        <v>1181400</v>
      </c>
      <c r="AU97" s="9">
        <f>AH97+AL97+AP97+AQ97+AR97+AS97+AT97</f>
        <v/>
      </c>
      <c r="AV97" s="9">
        <f>IF(H97=0,"",AU97/H97)</f>
        <v/>
      </c>
      <c r="AW97" s="9">
        <f>IF(S97=0,"",AU97/S97)</f>
        <v/>
      </c>
      <c r="AX97" s="8" t="n">
        <v>9</v>
      </c>
      <c r="AY97" s="9">
        <f>IF(H97=0,"",AX97/(H97/1000/12))</f>
        <v/>
      </c>
      <c r="AZ97" s="8" t="n">
        <v>42</v>
      </c>
      <c r="BA97" s="8" t="n">
        <v>2965</v>
      </c>
      <c r="BB97" s="8" t="n">
        <v>14</v>
      </c>
      <c r="BC97" s="8" t="n">
        <v>0</v>
      </c>
      <c r="BD97" s="8" t="n">
        <v>43</v>
      </c>
      <c r="BE97" s="9">
        <f>BC97+BD97</f>
        <v/>
      </c>
      <c r="BF97" s="9">
        <f>BA97+BB97-BE97</f>
        <v/>
      </c>
      <c r="BG97" s="8" t="n">
        <v>9</v>
      </c>
      <c r="BH97" s="8" t="n">
        <v>0</v>
      </c>
      <c r="BI97" s="8" t="n">
        <v>0</v>
      </c>
      <c r="BJ97" s="8" t="n">
        <v>0</v>
      </c>
      <c r="BK97" s="9">
        <f>BI97+BJ97</f>
        <v/>
      </c>
      <c r="BL97" s="9">
        <f>BG97+BH97-BK97</f>
        <v/>
      </c>
      <c r="BM97" s="8" t="n">
        <v>15</v>
      </c>
      <c r="BN97" s="8" t="n">
        <v>0</v>
      </c>
      <c r="BO97" s="8" t="n">
        <v>0</v>
      </c>
      <c r="BP97" s="8" t="n">
        <v>0</v>
      </c>
      <c r="BQ97" s="9">
        <f>BO97+BP97</f>
        <v/>
      </c>
      <c r="BR97" s="9">
        <f>BM97+BN97-BQ97</f>
        <v/>
      </c>
      <c r="BS97" s="8" t="n">
        <v>0</v>
      </c>
      <c r="BT97" s="8" t="n">
        <v>0</v>
      </c>
      <c r="BU97" s="8" t="n">
        <v>0</v>
      </c>
      <c r="BV97" s="8" t="n">
        <v>0</v>
      </c>
      <c r="BW97" s="9">
        <f>BU97+BV97</f>
        <v/>
      </c>
      <c r="BX97" s="9">
        <f>BS97+BT97-BW97</f>
        <v/>
      </c>
      <c r="BY97" s="9">
        <f>BA97+BG97+BM97+BS97</f>
        <v/>
      </c>
      <c r="BZ97" s="9">
        <f>BB97+BH97+BN97+BT97</f>
        <v/>
      </c>
      <c r="CA97" s="9">
        <f>BE97+BK97+BQ97+BW97</f>
        <v/>
      </c>
      <c r="CB97" s="9">
        <f>BF97+BL97+BR97+BX97</f>
        <v/>
      </c>
      <c r="CC97" s="8" t="n">
        <v>43</v>
      </c>
      <c r="CD97" s="8" t="n">
        <v>0</v>
      </c>
      <c r="CE97" s="8" t="n">
        <v>0</v>
      </c>
      <c r="CF97" s="8" t="n">
        <v>0</v>
      </c>
      <c r="CG97" s="8" t="n">
        <v>0</v>
      </c>
      <c r="CH97" s="9">
        <f>CD97+CE97+CF97+CG97</f>
        <v/>
      </c>
      <c r="CI97" s="8" t="n">
        <v>6</v>
      </c>
      <c r="CJ97" s="8" t="n">
        <v>3</v>
      </c>
      <c r="CK97" s="8" t="n">
        <v>1</v>
      </c>
      <c r="CL97" s="8" t="n">
        <v>0</v>
      </c>
      <c r="CM97" s="9">
        <f>CI97+CJ97+CK97+CL97</f>
        <v/>
      </c>
      <c r="CN97" s="8" t="n">
        <v>4413</v>
      </c>
      <c r="CO97" s="8" t="n">
        <v>61</v>
      </c>
      <c r="CP97" s="8" t="n">
        <v>84</v>
      </c>
      <c r="CQ97" s="8" t="n">
        <v>15</v>
      </c>
      <c r="CR97" s="9">
        <f>CN97+CO97+CP97+CQ97</f>
        <v/>
      </c>
      <c r="CS97" s="9">
        <f>CM97+CR97</f>
        <v/>
      </c>
      <c r="CT97" s="8" t="n">
        <v>4583</v>
      </c>
      <c r="CU97" s="8" t="n">
        <v>0</v>
      </c>
      <c r="CV97" s="8" t="n">
        <v>0</v>
      </c>
      <c r="CW97" s="10">
        <f>IF(CU97=0,"",CV97/CU97)</f>
        <v/>
      </c>
      <c r="CX97" s="8" t="n"/>
      <c r="CY97" s="8" t="n"/>
      <c r="CZ97" s="8" t="n"/>
      <c r="DA97" s="8" t="n"/>
      <c r="DB97" s="9">
        <f>CX97+CY97-CZ97-DA97</f>
        <v/>
      </c>
      <c r="DC97" s="8" t="n">
        <v>0</v>
      </c>
      <c r="DD97" s="8" t="n">
        <v>0</v>
      </c>
      <c r="DE97" s="8" t="n">
        <v>0</v>
      </c>
      <c r="DF97" s="8" t="n">
        <v>0</v>
      </c>
      <c r="DG97" s="9">
        <f>DC97+DD97-DE97-DF97</f>
        <v/>
      </c>
      <c r="DH97" s="8" t="n">
        <v>0</v>
      </c>
      <c r="DI97" s="8" t="n">
        <v>0</v>
      </c>
      <c r="DJ97" s="8" t="n">
        <v>0</v>
      </c>
      <c r="DK97" s="8" t="n">
        <v>0</v>
      </c>
      <c r="DL97" s="9">
        <f>DH97+DI97-DJ97-DK97</f>
        <v/>
      </c>
      <c r="DM97" s="8" t="n">
        <v>31</v>
      </c>
      <c r="DN97" s="8" t="n">
        <v>0</v>
      </c>
      <c r="DO97" s="8" t="n">
        <v>8</v>
      </c>
      <c r="DP97" s="8" t="n">
        <v>5</v>
      </c>
      <c r="DQ97" s="9">
        <f>DM97+DN97-DO97-DP97</f>
        <v/>
      </c>
      <c r="DR97" s="9">
        <f>CX97+DC97+DH97+DM97</f>
        <v/>
      </c>
      <c r="DS97" s="9">
        <f>CY97+DD97+DI97+DN97</f>
        <v/>
      </c>
      <c r="DT97" s="9">
        <f>CZ97+DE97+DJ97+DO97</f>
        <v/>
      </c>
      <c r="DU97" s="9">
        <f>DA97+DF97+DK97+DP97</f>
        <v/>
      </c>
      <c r="DV97" s="9">
        <f>DB97+DG97+DL97+DQ97</f>
        <v/>
      </c>
      <c r="DW97" s="8" t="n">
        <v>54</v>
      </c>
      <c r="DX97" s="8" t="n">
        <v>31</v>
      </c>
      <c r="DY97" s="8" t="n">
        <v>21</v>
      </c>
      <c r="DZ97" s="8" t="n">
        <v>5</v>
      </c>
      <c r="EA97" s="8" t="n">
        <v>0</v>
      </c>
      <c r="EB97" s="8" t="n">
        <v>1</v>
      </c>
      <c r="EC97" s="8" t="n">
        <v>1</v>
      </c>
      <c r="ED97" s="8" t="n">
        <v>2</v>
      </c>
      <c r="EE97" s="8" t="n">
        <v>2</v>
      </c>
      <c r="EF97" s="8" t="n">
        <v>0</v>
      </c>
      <c r="EG97" s="8" t="n">
        <v>0</v>
      </c>
      <c r="EH97" s="8" t="n">
        <v>0</v>
      </c>
      <c r="EI97" s="8" t="n">
        <v>0</v>
      </c>
      <c r="EJ97" s="8" t="n">
        <v>0</v>
      </c>
      <c r="EK97" s="8" t="n">
        <v>0</v>
      </c>
      <c r="EL97" s="8" t="n">
        <v>0</v>
      </c>
      <c r="EM97" s="8" t="n">
        <v>0</v>
      </c>
      <c r="EN97" s="8" t="n">
        <v>0</v>
      </c>
      <c r="EO97" s="8" t="n">
        <v>0</v>
      </c>
      <c r="EP97" s="8" t="n">
        <v>0</v>
      </c>
      <c r="EQ97" s="8" t="n">
        <v>0</v>
      </c>
      <c r="ER97" s="8" t="n">
        <v>0</v>
      </c>
      <c r="ES97" s="8" t="n">
        <v>0</v>
      </c>
      <c r="ET97" s="8" t="n">
        <v>0</v>
      </c>
      <c r="EU97" s="8" t="n">
        <v>0</v>
      </c>
      <c r="EV97" s="8" t="n">
        <v>0</v>
      </c>
      <c r="EW97" s="8" t="n">
        <v>0</v>
      </c>
      <c r="EX97" s="8" t="n">
        <v>0</v>
      </c>
      <c r="EY97" s="8" t="n">
        <v>0</v>
      </c>
      <c r="EZ97" s="8" t="n">
        <v>0</v>
      </c>
      <c r="FA97" s="8" t="n">
        <v>0</v>
      </c>
      <c r="FB97" s="8" t="n">
        <v>0</v>
      </c>
      <c r="FC97" s="8" t="n">
        <v>0</v>
      </c>
      <c r="FD97" s="8" t="n">
        <v>0</v>
      </c>
      <c r="FE97" s="8" t="n">
        <v>0</v>
      </c>
      <c r="FF97" s="8" t="n">
        <v>0</v>
      </c>
      <c r="FG97" s="9">
        <f>SUM(DW97,DX97,DY97,DZ97,EA97,EB97,EC97,ED97,EE97,EF97,EG97,EH97,EI97,EJ97,EK97,EL97,EM97,EN97,EO97,EP97,EQ97,ER97,ES97,ET97,EU97,EV97,EW97,EX97,EY97,EZ97,FA97,FB97,FC97,FD97,FE97,FF97)</f>
        <v/>
      </c>
      <c r="FH97" s="8" t="n">
        <v>8</v>
      </c>
      <c r="FI97" s="8" t="n">
        <v>188</v>
      </c>
      <c r="FJ97" s="8" t="n">
        <v>22</v>
      </c>
      <c r="FK97" s="8" t="n">
        <v>81</v>
      </c>
      <c r="FL97" s="8" t="n">
        <v>0</v>
      </c>
      <c r="FM97" s="8" t="n">
        <v>0</v>
      </c>
      <c r="FN97" s="8" t="n">
        <v>0</v>
      </c>
      <c r="FO97" s="8" t="n">
        <v>0</v>
      </c>
      <c r="FP97" s="8" t="n">
        <v>78</v>
      </c>
      <c r="FQ97" s="9">
        <f>FL97+FM97+FN97+FO97+FP97</f>
        <v/>
      </c>
      <c r="FR97" s="8" t="n">
        <v>0</v>
      </c>
      <c r="FS97" s="8" t="n">
        <v>0</v>
      </c>
      <c r="FT97" s="8" t="n">
        <v>0</v>
      </c>
      <c r="FU97" s="8" t="n">
        <v>0</v>
      </c>
      <c r="FV97" s="9">
        <f>FR97+FS97+FT97+FU97</f>
        <v/>
      </c>
      <c r="FW97" s="8" t="n">
        <v>22313759</v>
      </c>
      <c r="FX97" s="8" t="n">
        <v>145900</v>
      </c>
      <c r="FY97" s="8" t="n">
        <v>3601140</v>
      </c>
      <c r="FZ97" s="8" t="n">
        <v>674350</v>
      </c>
      <c r="GA97" s="9">
        <f>FW97+FX97+FY97+FZ97</f>
        <v/>
      </c>
      <c r="GB97" s="9">
        <f>FV97+GA97</f>
        <v/>
      </c>
      <c r="GC97" s="8" t="n">
        <v>68487.92</v>
      </c>
      <c r="GD97" s="8" t="n">
        <v>0</v>
      </c>
      <c r="GE97" s="8" t="n">
        <v>236139.62</v>
      </c>
      <c r="GF97" s="8" t="n">
        <v>8410.99</v>
      </c>
      <c r="GG97" s="9">
        <f>GC97+GD97+GE97+GF97</f>
        <v/>
      </c>
      <c r="GH97" s="8" t="n">
        <v>22306889</v>
      </c>
      <c r="GI97" s="8" t="n">
        <v>145900</v>
      </c>
      <c r="GJ97" s="8" t="n">
        <v>674350</v>
      </c>
      <c r="GK97" s="8" t="n">
        <v>3443050</v>
      </c>
      <c r="GL97" s="9">
        <f>GH97+GI97+GJ97+GK97</f>
        <v/>
      </c>
      <c r="GM97" s="9">
        <f>GG97+GL97</f>
        <v/>
      </c>
      <c r="GN97" s="8" t="n">
        <v>3269.58</v>
      </c>
      <c r="GO97" s="8" t="n">
        <v>0</v>
      </c>
      <c r="GP97" s="8" t="n">
        <v>10180.92</v>
      </c>
      <c r="GQ97" s="8" t="n">
        <v>4637.34</v>
      </c>
      <c r="GR97" s="9">
        <f>GN97+GO97+GP97+GQ97</f>
        <v/>
      </c>
      <c r="GS97" s="8" t="n">
        <v>5358</v>
      </c>
      <c r="GT97" s="8" t="n">
        <v>0</v>
      </c>
      <c r="GU97" s="8" t="n">
        <v>2679</v>
      </c>
      <c r="GV97" s="8" t="n">
        <v>893</v>
      </c>
      <c r="GW97" s="9">
        <f>GS97+GT97+GU97+GV97</f>
        <v/>
      </c>
      <c r="GX97" s="9">
        <f>GM97+GR97+GW97</f>
        <v/>
      </c>
      <c r="GY97" s="8" t="n">
        <v>231435.6199999999</v>
      </c>
      <c r="GZ97" s="8" t="n">
        <v>1784249.29</v>
      </c>
      <c r="HA97" s="9">
        <f>GY97+GZ97</f>
        <v/>
      </c>
      <c r="HB97" s="9">
        <f>IF(GX97=0,"",AU97/GX97)</f>
        <v/>
      </c>
      <c r="HC97" s="10">
        <f>IF((GX97+GY97)=0,"",GB97/(GX97+GY97))</f>
        <v/>
      </c>
      <c r="HD97" s="9">
        <f>IF(GX97=0,"",GB97/GX97)</f>
        <v/>
      </c>
      <c r="HE97" s="8" t="n">
        <v>14</v>
      </c>
      <c r="HF97" s="8" t="n">
        <v>1</v>
      </c>
      <c r="HG97" s="8" t="n">
        <v>2960</v>
      </c>
      <c r="HH97" s="8" t="n">
        <v>14</v>
      </c>
      <c r="HI97" s="8" t="n">
        <v>7</v>
      </c>
      <c r="HJ97" s="9">
        <f>HF97+HI97</f>
        <v/>
      </c>
      <c r="HK97" s="10">
        <f>IF(HE97=0,"",HH97/HE97)</f>
        <v/>
      </c>
      <c r="HL97" s="8" t="n">
        <v>7</v>
      </c>
      <c r="HM97" s="8" t="n">
        <v>1</v>
      </c>
      <c r="HN97" s="11">
        <f>IF(HL97=0,"",HM97/HL97)</f>
        <v/>
      </c>
    </row>
    <row r="98">
      <c r="A98" s="12" t="inlineStr">
        <is>
          <t>Mangochi</t>
        </is>
      </c>
      <c r="B98" s="12" t="inlineStr">
        <is>
          <t>Nkhudzi</t>
        </is>
      </c>
      <c r="C98" s="13" t="inlineStr">
        <is>
          <t>FY2025/26</t>
        </is>
      </c>
      <c r="D98" s="13" t="n">
        <v>2026</v>
      </c>
      <c r="E98" s="13" t="n">
        <v>3</v>
      </c>
      <c r="F98" s="13" t="inlineStr">
        <is>
          <t>March</t>
        </is>
      </c>
      <c r="G98" s="13" t="inlineStr">
        <is>
          <t>Q4</t>
        </is>
      </c>
      <c r="H98" s="14" t="n">
        <v>34074</v>
      </c>
      <c r="I98" s="14" t="n">
        <v>85</v>
      </c>
      <c r="J98" s="14" t="n">
        <v>0</v>
      </c>
      <c r="K98" s="14" t="n">
        <v>47</v>
      </c>
      <c r="L98" s="14" t="n">
        <v>1</v>
      </c>
      <c r="M98" s="15">
        <f>SUM(I98,J98,K98,L98)</f>
        <v/>
      </c>
      <c r="N98" s="14" t="n">
        <v>23533.1</v>
      </c>
      <c r="O98" s="14" t="n">
        <v>669.8000000000001</v>
      </c>
      <c r="P98" s="14" t="n">
        <v>368.3</v>
      </c>
      <c r="Q98" s="14" t="n">
        <v>1887.200000000001</v>
      </c>
      <c r="R98" s="15">
        <f>SUM(N98,O98,P98,Q98)</f>
        <v/>
      </c>
      <c r="S98" s="15">
        <f>M98+R98</f>
        <v/>
      </c>
      <c r="T98" s="14" t="n">
        <v>7482.600000000002</v>
      </c>
      <c r="U98" s="16">
        <f>IF(H98=0,"",T98/H98)</f>
        <v/>
      </c>
      <c r="V98" s="14" t="n">
        <v>61.59999999999999</v>
      </c>
      <c r="W98" s="17">
        <f>IF(H98=0,"",V98/H98)</f>
        <v/>
      </c>
      <c r="X98" s="14" t="n">
        <v>0</v>
      </c>
      <c r="Y98" s="17">
        <f>IF(H98=0,"",X98/H98)</f>
        <v/>
      </c>
      <c r="Z98" s="14" t="n">
        <v>0</v>
      </c>
      <c r="AA98" s="17">
        <f>IF(H98=0,"",Z98/H98)</f>
        <v/>
      </c>
      <c r="AB98" s="14" t="n">
        <v>0</v>
      </c>
      <c r="AC98" s="17">
        <f>IF(H98=0,"",AB98/H98)</f>
        <v/>
      </c>
      <c r="AD98" s="14" t="n">
        <v>0</v>
      </c>
      <c r="AE98" s="17">
        <f>IF(H98=0,"",AD98/H98)</f>
        <v/>
      </c>
      <c r="AF98" s="14" t="n">
        <v>0</v>
      </c>
      <c r="AG98" s="17">
        <f>IF(H98=0,"",AF98/H98)</f>
        <v/>
      </c>
      <c r="AH98" s="14" t="n">
        <v>1474032.56</v>
      </c>
      <c r="AI98" s="15">
        <f>IF(H98=0,"",AH98/H98)</f>
        <v/>
      </c>
      <c r="AJ98" s="14" t="n">
        <v>80097</v>
      </c>
      <c r="AK98" s="17">
        <f>IF(H98=0,"",AJ98/H98)</f>
        <v/>
      </c>
      <c r="AL98" s="14" t="n">
        <v>19339</v>
      </c>
      <c r="AM98" s="15">
        <f>IF(H98=0,"",AL98/H98)</f>
        <v/>
      </c>
      <c r="AN98" s="14" t="n">
        <v>0</v>
      </c>
      <c r="AO98" s="14" t="n">
        <v>0</v>
      </c>
      <c r="AP98" s="14" t="n">
        <v>0</v>
      </c>
      <c r="AQ98" s="14" t="n">
        <v>0</v>
      </c>
      <c r="AR98" s="14" t="n">
        <v>8483421.84</v>
      </c>
      <c r="AS98" s="14" t="n">
        <v>5779651.57</v>
      </c>
      <c r="AT98" s="14" t="n">
        <v>1220570</v>
      </c>
      <c r="AU98" s="15">
        <f>AH98+AL98+AP98+AQ98+AR98+AS98+AT98</f>
        <v/>
      </c>
      <c r="AV98" s="15">
        <f>IF(H98=0,"",AU98/H98)</f>
        <v/>
      </c>
      <c r="AW98" s="15">
        <f>IF(S98=0,"",AU98/S98)</f>
        <v/>
      </c>
      <c r="AX98" s="14" t="n">
        <v>9</v>
      </c>
      <c r="AY98" s="15">
        <f>IF(H98=0,"",AX98/(H98/1000/12))</f>
        <v/>
      </c>
      <c r="AZ98" s="14" t="n">
        <v>42</v>
      </c>
      <c r="BA98" s="14" t="n">
        <v>2936</v>
      </c>
      <c r="BB98" s="14" t="n">
        <v>13</v>
      </c>
      <c r="BC98" s="14" t="n">
        <v>0</v>
      </c>
      <c r="BD98" s="14" t="n">
        <v>15</v>
      </c>
      <c r="BE98" s="15">
        <f>BC98+BD98</f>
        <v/>
      </c>
      <c r="BF98" s="15">
        <f>BA98+BB98-BE98</f>
        <v/>
      </c>
      <c r="BG98" s="14" t="n">
        <v>9</v>
      </c>
      <c r="BH98" s="14" t="n">
        <v>2</v>
      </c>
      <c r="BI98" s="14" t="n">
        <v>0</v>
      </c>
      <c r="BJ98" s="14" t="n">
        <v>1</v>
      </c>
      <c r="BK98" s="15">
        <f>BI98+BJ98</f>
        <v/>
      </c>
      <c r="BL98" s="15">
        <f>BG98+BH98-BK98</f>
        <v/>
      </c>
      <c r="BM98" s="14" t="n">
        <v>15</v>
      </c>
      <c r="BN98" s="14" t="n">
        <v>0</v>
      </c>
      <c r="BO98" s="14" t="n">
        <v>0</v>
      </c>
      <c r="BP98" s="14" t="n">
        <v>0</v>
      </c>
      <c r="BQ98" s="15">
        <f>BO98+BP98</f>
        <v/>
      </c>
      <c r="BR98" s="15">
        <f>BM98+BN98-BQ98</f>
        <v/>
      </c>
      <c r="BS98" s="14" t="n">
        <v>0</v>
      </c>
      <c r="BT98" s="14" t="n">
        <v>0</v>
      </c>
      <c r="BU98" s="14" t="n">
        <v>0</v>
      </c>
      <c r="BV98" s="14" t="n">
        <v>0</v>
      </c>
      <c r="BW98" s="15">
        <f>BU98+BV98</f>
        <v/>
      </c>
      <c r="BX98" s="15">
        <f>BS98+BT98-BW98</f>
        <v/>
      </c>
      <c r="BY98" s="15">
        <f>BA98+BG98+BM98+BS98</f>
        <v/>
      </c>
      <c r="BZ98" s="15">
        <f>BB98+BH98+BN98+BT98</f>
        <v/>
      </c>
      <c r="CA98" s="15">
        <f>BE98+BK98+BQ98+BW98</f>
        <v/>
      </c>
      <c r="CB98" s="15">
        <f>BF98+BL98+BR98+BX98</f>
        <v/>
      </c>
      <c r="CC98" s="14" t="n">
        <v>16</v>
      </c>
      <c r="CD98" s="14" t="n">
        <v>0</v>
      </c>
      <c r="CE98" s="14" t="n">
        <v>0</v>
      </c>
      <c r="CF98" s="14" t="n">
        <v>0</v>
      </c>
      <c r="CG98" s="14" t="n">
        <v>0</v>
      </c>
      <c r="CH98" s="15">
        <f>CD98+CE98+CF98+CG98</f>
        <v/>
      </c>
      <c r="CI98" s="14" t="n">
        <v>6</v>
      </c>
      <c r="CJ98" s="14" t="n">
        <v>3</v>
      </c>
      <c r="CK98" s="14" t="n">
        <v>1</v>
      </c>
      <c r="CL98" s="14" t="n">
        <v>0</v>
      </c>
      <c r="CM98" s="15">
        <f>CI98+CJ98+CK98+CL98</f>
        <v/>
      </c>
      <c r="CN98" s="14" t="n">
        <v>4428</v>
      </c>
      <c r="CO98" s="14" t="n">
        <v>62</v>
      </c>
      <c r="CP98" s="14" t="n">
        <v>84</v>
      </c>
      <c r="CQ98" s="14" t="n">
        <v>15</v>
      </c>
      <c r="CR98" s="15">
        <f>CN98+CO98+CP98+CQ98</f>
        <v/>
      </c>
      <c r="CS98" s="15">
        <f>CM98+CR98</f>
        <v/>
      </c>
      <c r="CT98" s="14" t="n">
        <v>4599</v>
      </c>
      <c r="CU98" s="14" t="n">
        <v>0</v>
      </c>
      <c r="CV98" s="14" t="n">
        <v>0</v>
      </c>
      <c r="CW98" s="16">
        <f>IF(CU98=0,"",CV98/CU98)</f>
        <v/>
      </c>
      <c r="CX98" s="14" t="n"/>
      <c r="CY98" s="14" t="n"/>
      <c r="CZ98" s="14" t="n"/>
      <c r="DA98" s="14" t="n"/>
      <c r="DB98" s="15">
        <f>CX98+CY98-CZ98-DA98</f>
        <v/>
      </c>
      <c r="DC98" s="14" t="n">
        <v>0</v>
      </c>
      <c r="DD98" s="14" t="n">
        <v>0</v>
      </c>
      <c r="DE98" s="14" t="n">
        <v>0</v>
      </c>
      <c r="DF98" s="14" t="n">
        <v>0</v>
      </c>
      <c r="DG98" s="15">
        <f>DC98+DD98-DE98-DF98</f>
        <v/>
      </c>
      <c r="DH98" s="14" t="n">
        <v>0</v>
      </c>
      <c r="DI98" s="14" t="n">
        <v>0</v>
      </c>
      <c r="DJ98" s="14" t="n">
        <v>0</v>
      </c>
      <c r="DK98" s="14" t="n">
        <v>0</v>
      </c>
      <c r="DL98" s="15">
        <f>DH98+DI98-DJ98-DK98</f>
        <v/>
      </c>
      <c r="DM98" s="14" t="n">
        <v>18</v>
      </c>
      <c r="DN98" s="14" t="n">
        <v>19</v>
      </c>
      <c r="DO98" s="14" t="n">
        <v>0</v>
      </c>
      <c r="DP98" s="14" t="n">
        <v>1</v>
      </c>
      <c r="DQ98" s="15">
        <f>DM98+DN98-DO98-DP98</f>
        <v/>
      </c>
      <c r="DR98" s="15">
        <f>CX98+DC98+DH98+DM98</f>
        <v/>
      </c>
      <c r="DS98" s="15">
        <f>CY98+DD98+DI98+DN98</f>
        <v/>
      </c>
      <c r="DT98" s="15">
        <f>CZ98+DE98+DJ98+DO98</f>
        <v/>
      </c>
      <c r="DU98" s="15">
        <f>DA98+DF98+DK98+DP98</f>
        <v/>
      </c>
      <c r="DV98" s="15">
        <f>DB98+DG98+DL98+DQ98</f>
        <v/>
      </c>
      <c r="DW98" s="14" t="n">
        <v>34</v>
      </c>
      <c r="DX98" s="14" t="n">
        <v>25</v>
      </c>
      <c r="DY98" s="14" t="n">
        <v>11</v>
      </c>
      <c r="DZ98" s="14" t="n">
        <v>4</v>
      </c>
      <c r="EA98" s="14" t="n">
        <v>0</v>
      </c>
      <c r="EB98" s="14" t="n">
        <v>2</v>
      </c>
      <c r="EC98" s="14" t="n">
        <v>2</v>
      </c>
      <c r="ED98" s="14" t="n">
        <v>1</v>
      </c>
      <c r="EE98" s="14" t="n">
        <v>1</v>
      </c>
      <c r="EF98" s="14" t="n">
        <v>0</v>
      </c>
      <c r="EG98" s="14" t="n">
        <v>0</v>
      </c>
      <c r="EH98" s="14" t="n">
        <v>1</v>
      </c>
      <c r="EI98" s="14" t="n">
        <v>0</v>
      </c>
      <c r="EJ98" s="14" t="n">
        <v>0</v>
      </c>
      <c r="EK98" s="14" t="n">
        <v>0</v>
      </c>
      <c r="EL98" s="14" t="n">
        <v>0</v>
      </c>
      <c r="EM98" s="14" t="n">
        <v>0</v>
      </c>
      <c r="EN98" s="14" t="n">
        <v>0</v>
      </c>
      <c r="EO98" s="14" t="n">
        <v>0</v>
      </c>
      <c r="EP98" s="14" t="n">
        <v>0</v>
      </c>
      <c r="EQ98" s="14" t="n">
        <v>0</v>
      </c>
      <c r="ER98" s="14" t="n">
        <v>0</v>
      </c>
      <c r="ES98" s="14" t="n">
        <v>0</v>
      </c>
      <c r="ET98" s="14" t="n">
        <v>0</v>
      </c>
      <c r="EU98" s="14" t="n">
        <v>0</v>
      </c>
      <c r="EV98" s="14" t="n">
        <v>0</v>
      </c>
      <c r="EW98" s="14" t="n">
        <v>0</v>
      </c>
      <c r="EX98" s="14" t="n">
        <v>0</v>
      </c>
      <c r="EY98" s="14" t="n">
        <v>0</v>
      </c>
      <c r="EZ98" s="14" t="n">
        <v>0</v>
      </c>
      <c r="FA98" s="14" t="n">
        <v>0</v>
      </c>
      <c r="FB98" s="14" t="n">
        <v>0</v>
      </c>
      <c r="FC98" s="14" t="n">
        <v>0</v>
      </c>
      <c r="FD98" s="14" t="n">
        <v>0</v>
      </c>
      <c r="FE98" s="14" t="n">
        <v>0</v>
      </c>
      <c r="FF98" s="14" t="n">
        <v>0</v>
      </c>
      <c r="FG98" s="15">
        <f>SUM(DW98,DX98,DY98,DZ98,EA98,EB98,EC98,ED98,EE98,EF98,EG98,EH98,EI98,EJ98,EK98,EL98,EM98,EN98,EO98,EP98,EQ98,ER98,ES98,ET98,EU98,EV98,EW98,EX98,EY98,EZ98,FA98,FB98,FC98,FD98,FE98,FF98)</f>
        <v/>
      </c>
      <c r="FH98" s="14" t="n">
        <v>8</v>
      </c>
      <c r="FI98" s="14" t="n">
        <v>241</v>
      </c>
      <c r="FJ98" s="14" t="n">
        <v>24</v>
      </c>
      <c r="FK98" s="14" t="n">
        <v>72</v>
      </c>
      <c r="FL98" s="14" t="n">
        <v>0</v>
      </c>
      <c r="FM98" s="14" t="n">
        <v>0</v>
      </c>
      <c r="FN98" s="14" t="n">
        <v>0</v>
      </c>
      <c r="FO98" s="14" t="n">
        <v>1752</v>
      </c>
      <c r="FP98" s="14" t="n">
        <v>204</v>
      </c>
      <c r="FQ98" s="15">
        <f>FL98+FM98+FN98+FO98+FP98</f>
        <v/>
      </c>
      <c r="FR98" s="14" t="n">
        <v>0</v>
      </c>
      <c r="FS98" s="14" t="n">
        <v>0</v>
      </c>
      <c r="FT98" s="14" t="n">
        <v>0</v>
      </c>
      <c r="FU98" s="14" t="n">
        <v>0</v>
      </c>
      <c r="FV98" s="15">
        <f>FR98+FS98+FT98+FU98</f>
        <v/>
      </c>
      <c r="FW98" s="14" t="n">
        <v>24221692</v>
      </c>
      <c r="FX98" s="14" t="n">
        <v>148200</v>
      </c>
      <c r="FY98" s="14" t="n">
        <v>8743150</v>
      </c>
      <c r="FZ98" s="14" t="n">
        <v>1119630</v>
      </c>
      <c r="GA98" s="15">
        <f>FW98+FX98+FY98+FZ98</f>
        <v/>
      </c>
      <c r="GB98" s="15">
        <f>FV98+GA98</f>
        <v/>
      </c>
      <c r="GC98" s="14" t="n">
        <v>82407.84</v>
      </c>
      <c r="GD98" s="14" t="n">
        <v>0</v>
      </c>
      <c r="GE98" s="14" t="n">
        <v>136882.53</v>
      </c>
      <c r="GF98" s="14" t="n">
        <v>8410.99</v>
      </c>
      <c r="GG98" s="15">
        <f>GC98+GD98+GE98+GF98</f>
        <v/>
      </c>
      <c r="GH98" s="14" t="n">
        <v>24214972</v>
      </c>
      <c r="GI98" s="14" t="n">
        <v>148200</v>
      </c>
      <c r="GJ98" s="14" t="n">
        <v>1119630</v>
      </c>
      <c r="GK98" s="14" t="n">
        <v>8571750</v>
      </c>
      <c r="GL98" s="15">
        <f>GH98+GI98+GJ98+GK98</f>
        <v/>
      </c>
      <c r="GM98" s="15">
        <f>GG98+GL98</f>
        <v/>
      </c>
      <c r="GN98" s="14" t="n">
        <v>3269.58</v>
      </c>
      <c r="GO98" s="14" t="n">
        <v>0</v>
      </c>
      <c r="GP98" s="14" t="n">
        <v>10180.92</v>
      </c>
      <c r="GQ98" s="14" t="n">
        <v>4637.34</v>
      </c>
      <c r="GR98" s="15">
        <f>GN98+GO98+GP98+GQ98</f>
        <v/>
      </c>
      <c r="GS98" s="14" t="n">
        <v>5358</v>
      </c>
      <c r="GT98" s="14" t="n">
        <v>0</v>
      </c>
      <c r="GU98" s="14" t="n">
        <v>2679</v>
      </c>
      <c r="GV98" s="14" t="n">
        <v>893</v>
      </c>
      <c r="GW98" s="15">
        <f>GS98+GT98+GU98+GV98</f>
        <v/>
      </c>
      <c r="GX98" s="15">
        <f>GM98+GR98+GW98</f>
        <v/>
      </c>
      <c r="GY98" s="14" t="n">
        <v>223061.28</v>
      </c>
      <c r="GZ98" s="14" t="n">
        <v>706456.8099999999</v>
      </c>
      <c r="HA98" s="15">
        <f>GY98+GZ98</f>
        <v/>
      </c>
      <c r="HB98" s="15">
        <f>IF(GX98=0,"",AU98/GX98)</f>
        <v/>
      </c>
      <c r="HC98" s="16">
        <f>IF((GX98+GY98)=0,"",GB98/(GX98+GY98))</f>
        <v/>
      </c>
      <c r="HD98" s="15">
        <f>IF(GX98=0,"",GB98/GX98)</f>
        <v/>
      </c>
      <c r="HE98" s="14" t="n">
        <v>0</v>
      </c>
      <c r="HF98" s="14" t="n">
        <v>1</v>
      </c>
      <c r="HG98" s="14" t="n">
        <v>2959</v>
      </c>
      <c r="HH98" s="14" t="n">
        <v>15</v>
      </c>
      <c r="HI98" s="14" t="n">
        <v>0</v>
      </c>
      <c r="HJ98" s="15">
        <f>HF98+HI98</f>
        <v/>
      </c>
      <c r="HK98" s="16">
        <f>IF(HE98=0,"",HH98/HE98)</f>
        <v/>
      </c>
      <c r="HL98" s="14" t="n">
        <v>4</v>
      </c>
      <c r="HM98" s="14" t="n">
        <v>24</v>
      </c>
      <c r="HN98" s="17">
        <f>IF(HL98=0,"",HM98/HL98)</f>
        <v/>
      </c>
    </row>
    <row r="99">
      <c r="A99" s="6" t="inlineStr">
        <is>
          <t>Mulanje</t>
        </is>
      </c>
      <c r="B99" s="6" t="inlineStr">
        <is>
          <t>Luchenza</t>
        </is>
      </c>
      <c r="C99" s="7" t="inlineStr">
        <is>
          <t>FY2025/26</t>
        </is>
      </c>
      <c r="D99" s="7" t="n">
        <v>2025</v>
      </c>
      <c r="E99" s="7" t="n">
        <v>4</v>
      </c>
      <c r="F99" s="7" t="inlineStr">
        <is>
          <t>April</t>
        </is>
      </c>
      <c r="G99" s="7" t="inlineStr">
        <is>
          <t>Q1</t>
        </is>
      </c>
      <c r="H99" s="8" t="n">
        <v>16102</v>
      </c>
      <c r="I99" s="8" t="n">
        <v>8072</v>
      </c>
      <c r="J99" s="8" t="n">
        <v>16</v>
      </c>
      <c r="K99" s="8" t="n">
        <v>16</v>
      </c>
      <c r="L99" s="8" t="n">
        <v>48</v>
      </c>
      <c r="M99" s="9">
        <f>SUM(I99,J99,K99,L99)</f>
        <v/>
      </c>
      <c r="N99" s="8" t="n">
        <v>2886</v>
      </c>
      <c r="O99" s="8" t="n">
        <v>170</v>
      </c>
      <c r="P99" s="8" t="n">
        <v>73</v>
      </c>
      <c r="Q99" s="8" t="n">
        <v>426</v>
      </c>
      <c r="R99" s="9">
        <f>SUM(N99,O99,P99,Q99)</f>
        <v/>
      </c>
      <c r="S99" s="9">
        <f>M99+R99</f>
        <v/>
      </c>
      <c r="T99" s="8" t="n">
        <v>4395</v>
      </c>
      <c r="U99" s="10">
        <f>IF(H99=0,"",T99/H99)</f>
        <v/>
      </c>
      <c r="V99" s="8" t="n">
        <v>48</v>
      </c>
      <c r="W99" s="11">
        <f>IF(H99=0,"",V99/H99)</f>
        <v/>
      </c>
      <c r="X99" s="8" t="n">
        <v>0</v>
      </c>
      <c r="Y99" s="11">
        <f>IF(H99=0,"",X99/H99)</f>
        <v/>
      </c>
      <c r="Z99" s="8" t="n">
        <v>0</v>
      </c>
      <c r="AA99" s="11">
        <f>IF(H99=0,"",Z99/H99)</f>
        <v/>
      </c>
      <c r="AB99" s="8" t="n">
        <v>0</v>
      </c>
      <c r="AC99" s="11">
        <f>IF(H99=0,"",AB99/H99)</f>
        <v/>
      </c>
      <c r="AD99" s="8" t="n">
        <v>0</v>
      </c>
      <c r="AE99" s="11">
        <f>IF(H99=0,"",AD99/H99)</f>
        <v/>
      </c>
      <c r="AF99" s="8" t="n">
        <v>0</v>
      </c>
      <c r="AG99" s="11">
        <f>IF(H99=0,"",AF99/H99)</f>
        <v/>
      </c>
      <c r="AH99" s="8" t="n">
        <v>245360.16</v>
      </c>
      <c r="AI99" s="9">
        <f>IF(H99=0,"",AH99/H99)</f>
        <v/>
      </c>
      <c r="AJ99" s="8" t="n">
        <v>7311</v>
      </c>
      <c r="AK99" s="11">
        <f>IF(H99=0,"",AJ99/H99)</f>
        <v/>
      </c>
      <c r="AL99" s="8" t="n">
        <v>1030838.7165</v>
      </c>
      <c r="AM99" s="9">
        <f>IF(H99=0,"",AL99/H99)</f>
        <v/>
      </c>
      <c r="AN99" s="8" t="n">
        <v>0</v>
      </c>
      <c r="AO99" s="8" t="n">
        <v>160</v>
      </c>
      <c r="AP99" s="8" t="n">
        <v>437440</v>
      </c>
      <c r="AQ99" s="8" t="n">
        <v>0</v>
      </c>
      <c r="AR99" s="8" t="n">
        <v>8633601.9</v>
      </c>
      <c r="AS99" s="8" t="n">
        <v>2318170.02</v>
      </c>
      <c r="AT99" s="8" t="n">
        <v>2886656</v>
      </c>
      <c r="AU99" s="9">
        <f>AH99+AL99+AP99+AQ99+AR99+AS99+AT99</f>
        <v/>
      </c>
      <c r="AV99" s="9">
        <f>IF(H99=0,"",AU99/H99)</f>
        <v/>
      </c>
      <c r="AW99" s="9">
        <f>IF(S99=0,"",AU99/S99)</f>
        <v/>
      </c>
      <c r="AX99" s="8" t="n">
        <v>8</v>
      </c>
      <c r="AY99" s="9">
        <f>IF(H99=0,"",AX99/(H99/1000/12))</f>
        <v/>
      </c>
      <c r="AZ99" s="8" t="n">
        <v>13</v>
      </c>
      <c r="BA99" s="8" t="n">
        <v>47</v>
      </c>
      <c r="BB99" s="8" t="n">
        <v>18</v>
      </c>
      <c r="BC99" s="8" t="n">
        <v>0</v>
      </c>
      <c r="BD99" s="8" t="n">
        <v>22</v>
      </c>
      <c r="BE99" s="9">
        <f>BC99+BD99</f>
        <v/>
      </c>
      <c r="BF99" s="9">
        <f>BA99+BB99-BE99</f>
        <v/>
      </c>
      <c r="BG99" s="8" t="n">
        <v>0</v>
      </c>
      <c r="BH99" s="8" t="n">
        <v>0</v>
      </c>
      <c r="BI99" s="8" t="n">
        <v>0</v>
      </c>
      <c r="BJ99" s="8" t="n">
        <v>0</v>
      </c>
      <c r="BK99" s="9">
        <f>BI99+BJ99</f>
        <v/>
      </c>
      <c r="BL99" s="9">
        <f>BG99+BH99-BK99</f>
        <v/>
      </c>
      <c r="BM99" s="8" t="n">
        <v>0</v>
      </c>
      <c r="BN99" s="8" t="n">
        <v>0</v>
      </c>
      <c r="BO99" s="8" t="n">
        <v>0</v>
      </c>
      <c r="BP99" s="8" t="n">
        <v>0</v>
      </c>
      <c r="BQ99" s="9">
        <f>BO99+BP99</f>
        <v/>
      </c>
      <c r="BR99" s="9">
        <f>BM99+BN99-BQ99</f>
        <v/>
      </c>
      <c r="BS99" s="8" t="n">
        <v>0</v>
      </c>
      <c r="BT99" s="8" t="n">
        <v>0</v>
      </c>
      <c r="BU99" s="8" t="n">
        <v>0</v>
      </c>
      <c r="BV99" s="8" t="n">
        <v>0</v>
      </c>
      <c r="BW99" s="9">
        <f>BU99+BV99</f>
        <v/>
      </c>
      <c r="BX99" s="9">
        <f>BS99+BT99-BW99</f>
        <v/>
      </c>
      <c r="BY99" s="9">
        <f>BA99+BG99+BM99+BS99</f>
        <v/>
      </c>
      <c r="BZ99" s="9">
        <f>BB99+BH99+BN99+BT99</f>
        <v/>
      </c>
      <c r="CA99" s="9">
        <f>BE99+BK99+BQ99+BW99</f>
        <v/>
      </c>
      <c r="CB99" s="9">
        <f>BF99+BL99+BR99+BX99</f>
        <v/>
      </c>
      <c r="CC99" s="8" t="n">
        <v>22</v>
      </c>
      <c r="CD99" s="8" t="n">
        <v>938</v>
      </c>
      <c r="CE99" s="8" t="n">
        <v>5</v>
      </c>
      <c r="CF99" s="8" t="n">
        <v>22</v>
      </c>
      <c r="CG99" s="8" t="n">
        <v>20</v>
      </c>
      <c r="CH99" s="9">
        <f>CD99+CE99+CF99+CG99</f>
        <v/>
      </c>
      <c r="CI99" s="8" t="n">
        <v>962</v>
      </c>
      <c r="CJ99" s="8" t="n">
        <v>1</v>
      </c>
      <c r="CK99" s="8" t="n">
        <v>6</v>
      </c>
      <c r="CL99" s="8" t="n">
        <v>2</v>
      </c>
      <c r="CM99" s="9">
        <f>CI99+CJ99+CK99+CL99</f>
        <v/>
      </c>
      <c r="CN99" s="8" t="n">
        <v>648</v>
      </c>
      <c r="CO99" s="8" t="n">
        <v>37</v>
      </c>
      <c r="CP99" s="8" t="n">
        <v>107</v>
      </c>
      <c r="CQ99" s="8" t="n">
        <v>6</v>
      </c>
      <c r="CR99" s="9">
        <f>CN99+CO99+CP99+CQ99</f>
        <v/>
      </c>
      <c r="CS99" s="9">
        <f>CM99+CR99</f>
        <v/>
      </c>
      <c r="CT99" s="8" t="n">
        <v>2754</v>
      </c>
      <c r="CU99" s="8" t="n">
        <v>18200</v>
      </c>
      <c r="CV99" s="8" t="n">
        <v>16435</v>
      </c>
      <c r="CW99" s="10">
        <f>IF(CU99=0,"",CV99/CU99)</f>
        <v/>
      </c>
      <c r="CX99" s="8" t="n">
        <v>0</v>
      </c>
      <c r="CY99" s="8" t="n">
        <v>0</v>
      </c>
      <c r="CZ99" s="8" t="n">
        <v>0</v>
      </c>
      <c r="DA99" s="8" t="n">
        <v>0</v>
      </c>
      <c r="DB99" s="9">
        <f>CX99+CY99-CZ99-DA99</f>
        <v/>
      </c>
      <c r="DC99" s="8" t="n">
        <v>0</v>
      </c>
      <c r="DD99" s="8" t="n">
        <v>0</v>
      </c>
      <c r="DE99" s="8" t="n">
        <v>0</v>
      </c>
      <c r="DF99" s="8" t="n">
        <v>0</v>
      </c>
      <c r="DG99" s="9">
        <f>DC99+DD99-DE99-DF99</f>
        <v/>
      </c>
      <c r="DH99" s="8" t="n">
        <v>0</v>
      </c>
      <c r="DI99" s="8" t="n">
        <v>0</v>
      </c>
      <c r="DJ99" s="8" t="n">
        <v>0</v>
      </c>
      <c r="DK99" s="8" t="n">
        <v>0</v>
      </c>
      <c r="DL99" s="9">
        <f>DH99+DI99-DJ99-DK99</f>
        <v/>
      </c>
      <c r="DM99" s="8" t="n">
        <v>16</v>
      </c>
      <c r="DN99" s="8" t="n">
        <v>3</v>
      </c>
      <c r="DO99" s="8" t="n">
        <v>0</v>
      </c>
      <c r="DP99" s="8" t="n">
        <v>3</v>
      </c>
      <c r="DQ99" s="9">
        <f>DM99+DN99-DO99-DP99</f>
        <v/>
      </c>
      <c r="DR99" s="9">
        <f>CX99+DC99+DH99+DM99</f>
        <v/>
      </c>
      <c r="DS99" s="9">
        <f>CY99+DD99+DI99+DN99</f>
        <v/>
      </c>
      <c r="DT99" s="9">
        <f>CZ99+DE99+DJ99+DO99</f>
        <v/>
      </c>
      <c r="DU99" s="9">
        <f>DA99+DF99+DK99+DP99</f>
        <v/>
      </c>
      <c r="DV99" s="9">
        <f>DB99+DG99+DL99+DQ99</f>
        <v/>
      </c>
      <c r="DW99" s="8" t="n">
        <v>76</v>
      </c>
      <c r="DX99" s="8" t="n">
        <v>44</v>
      </c>
      <c r="DY99" s="8" t="n">
        <v>15</v>
      </c>
      <c r="DZ99" s="8" t="n">
        <v>15</v>
      </c>
      <c r="EA99" s="8" t="n">
        <v>6</v>
      </c>
      <c r="EB99" s="8" t="n">
        <v>8</v>
      </c>
      <c r="EC99" s="8" t="n">
        <v>8</v>
      </c>
      <c r="ED99" s="8" t="n">
        <v>2</v>
      </c>
      <c r="EE99" s="8" t="n">
        <v>1</v>
      </c>
      <c r="EF99" s="8" t="n">
        <v>0</v>
      </c>
      <c r="EG99" s="8" t="n">
        <v>0</v>
      </c>
      <c r="EH99" s="8" t="n">
        <v>0</v>
      </c>
      <c r="EI99" s="8" t="n">
        <v>0</v>
      </c>
      <c r="EJ99" s="8" t="n">
        <v>0</v>
      </c>
      <c r="EK99" s="8" t="n">
        <v>0</v>
      </c>
      <c r="EL99" s="8" t="n">
        <v>0</v>
      </c>
      <c r="EM99" s="8" t="n">
        <v>0</v>
      </c>
      <c r="EN99" s="8" t="n">
        <v>0</v>
      </c>
      <c r="EO99" s="8" t="n">
        <v>0</v>
      </c>
      <c r="EP99" s="8" t="n">
        <v>0</v>
      </c>
      <c r="EQ99" s="8" t="n">
        <v>0</v>
      </c>
      <c r="ER99" s="8" t="n">
        <v>0</v>
      </c>
      <c r="ES99" s="8" t="n">
        <v>0</v>
      </c>
      <c r="ET99" s="8" t="n">
        <v>0</v>
      </c>
      <c r="EU99" s="8" t="n">
        <v>0</v>
      </c>
      <c r="EV99" s="8" t="n">
        <v>0</v>
      </c>
      <c r="EW99" s="8" t="n">
        <v>0</v>
      </c>
      <c r="EX99" s="8" t="n">
        <v>0</v>
      </c>
      <c r="EY99" s="8" t="n">
        <v>0</v>
      </c>
      <c r="EZ99" s="8" t="n">
        <v>0</v>
      </c>
      <c r="FA99" s="8" t="n">
        <v>0</v>
      </c>
      <c r="FB99" s="8" t="n">
        <v>0</v>
      </c>
      <c r="FC99" s="8" t="n">
        <v>0</v>
      </c>
      <c r="FD99" s="8" t="n">
        <v>0</v>
      </c>
      <c r="FE99" s="8" t="n">
        <v>0</v>
      </c>
      <c r="FF99" s="8" t="n">
        <v>0</v>
      </c>
      <c r="FG99" s="9">
        <f>SUM(DW99,DX99,DY99,DZ99,EA99,EB99,EC99,ED99,EE99,EF99,EG99,EH99,EI99,EJ99,EK99,EL99,EM99,EN99,EO99,EP99,EQ99,ER99,ES99,ET99,EU99,EV99,EW99,EX99,EY99,EZ99,FA99,FB99,FC99,FD99,FE99,FF99)</f>
        <v/>
      </c>
      <c r="FH99" s="8" t="n">
        <v>0</v>
      </c>
      <c r="FI99" s="8" t="n">
        <v>0</v>
      </c>
      <c r="FJ99" s="8" t="n">
        <v>24</v>
      </c>
      <c r="FK99" s="8" t="n">
        <v>72</v>
      </c>
      <c r="FL99" s="8" t="n">
        <v>0</v>
      </c>
      <c r="FM99" s="8" t="n">
        <v>0</v>
      </c>
      <c r="FN99" s="8" t="n">
        <v>0</v>
      </c>
      <c r="FO99" s="8" t="n">
        <v>0</v>
      </c>
      <c r="FP99" s="8" t="n">
        <v>0</v>
      </c>
      <c r="FQ99" s="9">
        <f>FL99+FM99+FN99+FO99+FP99</f>
        <v/>
      </c>
      <c r="FR99" s="8" t="n">
        <v>7896998</v>
      </c>
      <c r="FS99" s="8" t="n">
        <v>4000</v>
      </c>
      <c r="FT99" s="8" t="n">
        <v>25000</v>
      </c>
      <c r="FU99" s="8" t="n">
        <v>104000</v>
      </c>
      <c r="FV99" s="9">
        <f>FR99+FS99+FT99+FU99</f>
        <v/>
      </c>
      <c r="FW99" s="8" t="n">
        <v>4534691</v>
      </c>
      <c r="FX99" s="8" t="n">
        <v>36185</v>
      </c>
      <c r="FY99" s="8" t="n">
        <v>2080948</v>
      </c>
      <c r="FZ99" s="8" t="n">
        <v>243468</v>
      </c>
      <c r="GA99" s="9">
        <f>FW99+FX99+FY99+FZ99</f>
        <v/>
      </c>
      <c r="GB99" s="9">
        <f>FV99+GA99</f>
        <v/>
      </c>
      <c r="GC99" s="8" t="n">
        <v>7060843.64</v>
      </c>
      <c r="GD99" s="8" t="n">
        <v>3060.48</v>
      </c>
      <c r="GE99" s="8" t="n">
        <v>42884.67</v>
      </c>
      <c r="GF99" s="8" t="n">
        <v>135987.18</v>
      </c>
      <c r="GG99" s="9">
        <f>GC99+GD99+GE99+GF99</f>
        <v/>
      </c>
      <c r="GH99" s="8" t="n">
        <v>0</v>
      </c>
      <c r="GI99" s="8" t="n">
        <v>0</v>
      </c>
      <c r="GJ99" s="8" t="n">
        <v>0</v>
      </c>
      <c r="GK99" s="8" t="n">
        <v>0</v>
      </c>
      <c r="GL99" s="9">
        <f>GH99+GI99+GJ99+GK99</f>
        <v/>
      </c>
      <c r="GM99" s="9">
        <f>GG99+GL99</f>
        <v/>
      </c>
      <c r="GN99" s="8" t="n">
        <v>538040.3199999999</v>
      </c>
      <c r="GO99" s="8" t="n">
        <v>382.56</v>
      </c>
      <c r="GP99" s="8" t="n">
        <v>3393.64</v>
      </c>
      <c r="GQ99" s="8" t="n">
        <v>27824.04</v>
      </c>
      <c r="GR99" s="9">
        <f>GN99+GO99+GP99+GQ99</f>
        <v/>
      </c>
      <c r="GS99" s="8" t="n">
        <v>859066</v>
      </c>
      <c r="GT99" s="8" t="n">
        <v>1786</v>
      </c>
      <c r="GU99" s="8" t="n">
        <v>893</v>
      </c>
      <c r="GV99" s="8" t="n">
        <v>5358</v>
      </c>
      <c r="GW99" s="9">
        <f>GS99+GT99+GU99+GV99</f>
        <v/>
      </c>
      <c r="GX99" s="9">
        <f>GM99+GR99+GW99</f>
        <v/>
      </c>
      <c r="GY99" s="8" t="n">
        <v>94714255.63</v>
      </c>
      <c r="GZ99" s="8" t="n">
        <v>123273620.77</v>
      </c>
      <c r="HA99" s="9">
        <f>GY99+GZ99</f>
        <v/>
      </c>
      <c r="HB99" s="9">
        <f>IF(GX99=0,"",AU99/GX99)</f>
        <v/>
      </c>
      <c r="HC99" s="10">
        <f>IF((GX99+GY99)=0,"",GB99/(GX99+GY99))</f>
        <v/>
      </c>
      <c r="HD99" s="9">
        <f>IF(GX99=0,"",GB99/GX99)</f>
        <v/>
      </c>
      <c r="HE99" s="8" t="n">
        <v>18</v>
      </c>
      <c r="HF99" s="8" t="n">
        <v>1</v>
      </c>
      <c r="HG99" s="8" t="n">
        <v>43</v>
      </c>
      <c r="HH99" s="8" t="n">
        <v>18</v>
      </c>
      <c r="HI99" s="8" t="n">
        <v>7</v>
      </c>
      <c r="HJ99" s="9">
        <f>HF99+HI99</f>
        <v/>
      </c>
      <c r="HK99" s="10">
        <f>IF(HE99=0,"",HH99/HE99)</f>
        <v/>
      </c>
      <c r="HL99" s="8" t="n">
        <v>35</v>
      </c>
      <c r="HM99" s="8" t="n">
        <v>30</v>
      </c>
      <c r="HN99" s="11">
        <f>IF(HL99=0,"",HM99/HL99)</f>
        <v/>
      </c>
    </row>
    <row r="100">
      <c r="A100" s="12" t="inlineStr">
        <is>
          <t>Mulanje</t>
        </is>
      </c>
      <c r="B100" s="12" t="inlineStr">
        <is>
          <t>Luchenza</t>
        </is>
      </c>
      <c r="C100" s="13" t="inlineStr">
        <is>
          <t>FY2025/26</t>
        </is>
      </c>
      <c r="D100" s="13" t="n">
        <v>2025</v>
      </c>
      <c r="E100" s="13" t="n">
        <v>5</v>
      </c>
      <c r="F100" s="13" t="inlineStr">
        <is>
          <t>May</t>
        </is>
      </c>
      <c r="G100" s="13" t="inlineStr">
        <is>
          <t>Q1</t>
        </is>
      </c>
      <c r="H100" s="14" t="n">
        <v>14034</v>
      </c>
      <c r="I100" s="14" t="n">
        <v>6746</v>
      </c>
      <c r="J100" s="14" t="n">
        <v>11</v>
      </c>
      <c r="K100" s="14" t="n">
        <v>15</v>
      </c>
      <c r="L100" s="14" t="n">
        <v>43</v>
      </c>
      <c r="M100" s="15">
        <f>SUM(I100,J100,K100,L100)</f>
        <v/>
      </c>
      <c r="N100" s="14" t="n">
        <v>2645</v>
      </c>
      <c r="O100" s="14" t="n">
        <v>114</v>
      </c>
      <c r="P100" s="14" t="n">
        <v>65</v>
      </c>
      <c r="Q100" s="14" t="n">
        <v>267</v>
      </c>
      <c r="R100" s="15">
        <f>SUM(N100,O100,P100,Q100)</f>
        <v/>
      </c>
      <c r="S100" s="15">
        <f>M100+R100</f>
        <v/>
      </c>
      <c r="T100" s="14" t="n">
        <v>4128</v>
      </c>
      <c r="U100" s="16">
        <f>IF(H100=0,"",T100/H100)</f>
        <v/>
      </c>
      <c r="V100" s="14" t="n">
        <v>40</v>
      </c>
      <c r="W100" s="17">
        <f>IF(H100=0,"",V100/H100)</f>
        <v/>
      </c>
      <c r="X100" s="14" t="n">
        <v>0</v>
      </c>
      <c r="Y100" s="17">
        <f>IF(H100=0,"",X100/H100)</f>
        <v/>
      </c>
      <c r="Z100" s="14" t="n">
        <v>0</v>
      </c>
      <c r="AA100" s="17">
        <f>IF(H100=0,"",Z100/H100)</f>
        <v/>
      </c>
      <c r="AB100" s="14" t="n">
        <v>0</v>
      </c>
      <c r="AC100" s="17">
        <f>IF(H100=0,"",AB100/H100)</f>
        <v/>
      </c>
      <c r="AD100" s="14" t="n">
        <v>0</v>
      </c>
      <c r="AE100" s="17">
        <f>IF(H100=0,"",AD100/H100)</f>
        <v/>
      </c>
      <c r="AF100" s="14" t="n">
        <v>0</v>
      </c>
      <c r="AG100" s="17">
        <f>IF(H100=0,"",AF100/H100)</f>
        <v/>
      </c>
      <c r="AH100" s="14" t="n">
        <v>204466.8</v>
      </c>
      <c r="AI100" s="15">
        <f>IF(H100=0,"",AH100/H100)</f>
        <v/>
      </c>
      <c r="AJ100" s="14" t="n">
        <v>7539</v>
      </c>
      <c r="AK100" s="17">
        <f>IF(H100=0,"",AJ100/H100)</f>
        <v/>
      </c>
      <c r="AL100" s="14" t="n">
        <v>1062474.0585</v>
      </c>
      <c r="AM100" s="15">
        <f>IF(H100=0,"",AL100/H100)</f>
        <v/>
      </c>
      <c r="AN100" s="14" t="n">
        <v>0</v>
      </c>
      <c r="AO100" s="14" t="n">
        <v>235</v>
      </c>
      <c r="AP100" s="14" t="n">
        <v>642490</v>
      </c>
      <c r="AQ100" s="14" t="n">
        <v>0</v>
      </c>
      <c r="AR100" s="14" t="n">
        <v>8965500.42</v>
      </c>
      <c r="AS100" s="14" t="n">
        <v>2748385.42</v>
      </c>
      <c r="AT100" s="14" t="n">
        <v>0</v>
      </c>
      <c r="AU100" s="15">
        <f>AH100+AL100+AP100+AQ100+AR100+AS100+AT100</f>
        <v/>
      </c>
      <c r="AV100" s="15">
        <f>IF(H100=0,"",AU100/H100)</f>
        <v/>
      </c>
      <c r="AW100" s="15">
        <f>IF(S100=0,"",AU100/S100)</f>
        <v/>
      </c>
      <c r="AX100" s="14" t="n">
        <v>8</v>
      </c>
      <c r="AY100" s="15">
        <f>IF(H100=0,"",AX100/(H100/1000/12))</f>
        <v/>
      </c>
      <c r="AZ100" s="14" t="n">
        <v>13</v>
      </c>
      <c r="BA100" s="14" t="n">
        <v>43</v>
      </c>
      <c r="BB100" s="14" t="n">
        <v>13</v>
      </c>
      <c r="BC100" s="14" t="n">
        <v>0</v>
      </c>
      <c r="BD100" s="14" t="n">
        <v>18</v>
      </c>
      <c r="BE100" s="15">
        <f>BC100+BD100</f>
        <v/>
      </c>
      <c r="BF100" s="15">
        <f>BA100+BB100-BE100</f>
        <v/>
      </c>
      <c r="BG100" s="14" t="n">
        <v>0</v>
      </c>
      <c r="BH100" s="14" t="n">
        <v>0</v>
      </c>
      <c r="BI100" s="14" t="n">
        <v>0</v>
      </c>
      <c r="BJ100" s="14" t="n">
        <v>0</v>
      </c>
      <c r="BK100" s="15">
        <f>BI100+BJ100</f>
        <v/>
      </c>
      <c r="BL100" s="15">
        <f>BG100+BH100-BK100</f>
        <v/>
      </c>
      <c r="BM100" s="14" t="n">
        <v>0</v>
      </c>
      <c r="BN100" s="14" t="n">
        <v>0</v>
      </c>
      <c r="BO100" s="14" t="n">
        <v>0</v>
      </c>
      <c r="BP100" s="14" t="n">
        <v>0</v>
      </c>
      <c r="BQ100" s="15">
        <f>BO100+BP100</f>
        <v/>
      </c>
      <c r="BR100" s="15">
        <f>BM100+BN100-BQ100</f>
        <v/>
      </c>
      <c r="BS100" s="14" t="n">
        <v>0</v>
      </c>
      <c r="BT100" s="14" t="n">
        <v>0</v>
      </c>
      <c r="BU100" s="14" t="n">
        <v>0</v>
      </c>
      <c r="BV100" s="14" t="n">
        <v>0</v>
      </c>
      <c r="BW100" s="15">
        <f>BU100+BV100</f>
        <v/>
      </c>
      <c r="BX100" s="15">
        <f>BS100+BT100-BW100</f>
        <v/>
      </c>
      <c r="BY100" s="15">
        <f>BA100+BG100+BM100+BS100</f>
        <v/>
      </c>
      <c r="BZ100" s="15">
        <f>BB100+BH100+BN100+BT100</f>
        <v/>
      </c>
      <c r="CA100" s="15">
        <f>BE100+BK100+BQ100+BW100</f>
        <v/>
      </c>
      <c r="CB100" s="15">
        <f>BF100+BL100+BR100+BX100</f>
        <v/>
      </c>
      <c r="CC100" s="14" t="n">
        <v>18</v>
      </c>
      <c r="CD100" s="14" t="n">
        <v>904</v>
      </c>
      <c r="CE100" s="14" t="n">
        <v>5</v>
      </c>
      <c r="CF100" s="14" t="n">
        <v>22</v>
      </c>
      <c r="CG100" s="14" t="n">
        <v>20</v>
      </c>
      <c r="CH100" s="15">
        <f>CD100+CE100+CF100+CG100</f>
        <v/>
      </c>
      <c r="CI100" s="14" t="n">
        <v>975</v>
      </c>
      <c r="CJ100" s="14" t="n">
        <v>1</v>
      </c>
      <c r="CK100" s="14" t="n">
        <v>6</v>
      </c>
      <c r="CL100" s="14" t="n">
        <v>2</v>
      </c>
      <c r="CM100" s="15">
        <f>CI100+CJ100+CK100+CL100</f>
        <v/>
      </c>
      <c r="CN100" s="14" t="n">
        <v>678</v>
      </c>
      <c r="CO100" s="14" t="n">
        <v>38</v>
      </c>
      <c r="CP100" s="14" t="n">
        <v>112</v>
      </c>
      <c r="CQ100" s="14" t="n">
        <v>7</v>
      </c>
      <c r="CR100" s="15">
        <f>CN100+CO100+CP100+CQ100</f>
        <v/>
      </c>
      <c r="CS100" s="15">
        <f>CM100+CR100</f>
        <v/>
      </c>
      <c r="CT100" s="14" t="n">
        <v>2770</v>
      </c>
      <c r="CU100" s="14" t="n">
        <v>18200</v>
      </c>
      <c r="CV100" s="14" t="n">
        <v>16445</v>
      </c>
      <c r="CW100" s="16">
        <f>IF(CU100=0,"",CV100/CU100)</f>
        <v/>
      </c>
      <c r="CX100" s="14" t="n">
        <v>0</v>
      </c>
      <c r="CY100" s="14" t="n">
        <v>0</v>
      </c>
      <c r="CZ100" s="14" t="n">
        <v>0</v>
      </c>
      <c r="DA100" s="14" t="n">
        <v>0</v>
      </c>
      <c r="DB100" s="15">
        <f>CX100+CY100-CZ100-DA100</f>
        <v/>
      </c>
      <c r="DC100" s="14" t="n">
        <v>0</v>
      </c>
      <c r="DD100" s="14" t="n">
        <v>0</v>
      </c>
      <c r="DE100" s="14" t="n">
        <v>0</v>
      </c>
      <c r="DF100" s="14" t="n">
        <v>0</v>
      </c>
      <c r="DG100" s="15">
        <f>DC100+DD100-DE100-DF100</f>
        <v/>
      </c>
      <c r="DH100" s="14" t="n">
        <v>0</v>
      </c>
      <c r="DI100" s="14" t="n">
        <v>0</v>
      </c>
      <c r="DJ100" s="14" t="n">
        <v>0</v>
      </c>
      <c r="DK100" s="14" t="n">
        <v>0</v>
      </c>
      <c r="DL100" s="15">
        <f>DH100+DI100-DJ100-DK100</f>
        <v/>
      </c>
      <c r="DM100" s="14" t="n">
        <v>16</v>
      </c>
      <c r="DN100" s="14" t="n">
        <v>0</v>
      </c>
      <c r="DO100" s="14" t="n">
        <v>0</v>
      </c>
      <c r="DP100" s="14" t="n">
        <v>0</v>
      </c>
      <c r="DQ100" s="15">
        <f>DM100+DN100-DO100-DP100</f>
        <v/>
      </c>
      <c r="DR100" s="15">
        <f>CX100+DC100+DH100+DM100</f>
        <v/>
      </c>
      <c r="DS100" s="15">
        <f>CY100+DD100+DI100+DN100</f>
        <v/>
      </c>
      <c r="DT100" s="15">
        <f>CZ100+DE100+DJ100+DO100</f>
        <v/>
      </c>
      <c r="DU100" s="15">
        <f>DA100+DF100+DK100+DP100</f>
        <v/>
      </c>
      <c r="DV100" s="15">
        <f>DB100+DG100+DL100+DQ100</f>
        <v/>
      </c>
      <c r="DW100" s="14" t="n">
        <v>77</v>
      </c>
      <c r="DX100" s="14" t="n">
        <v>46</v>
      </c>
      <c r="DY100" s="14" t="n">
        <v>10</v>
      </c>
      <c r="DZ100" s="14" t="n">
        <v>2</v>
      </c>
      <c r="EA100" s="14" t="n">
        <v>8</v>
      </c>
      <c r="EB100" s="14" t="n">
        <v>6</v>
      </c>
      <c r="EC100" s="14" t="n">
        <v>6</v>
      </c>
      <c r="ED100" s="14" t="n">
        <v>3</v>
      </c>
      <c r="EE100" s="14" t="n">
        <v>3</v>
      </c>
      <c r="EF100" s="14" t="n">
        <v>0</v>
      </c>
      <c r="EG100" s="14" t="n">
        <v>0</v>
      </c>
      <c r="EH100" s="14" t="n">
        <v>0</v>
      </c>
      <c r="EI100" s="14" t="n">
        <v>0</v>
      </c>
      <c r="EJ100" s="14" t="n">
        <v>0</v>
      </c>
      <c r="EK100" s="14" t="n">
        <v>0</v>
      </c>
      <c r="EL100" s="14" t="n">
        <v>0</v>
      </c>
      <c r="EM100" s="14" t="n">
        <v>0</v>
      </c>
      <c r="EN100" s="14" t="n">
        <v>0</v>
      </c>
      <c r="EO100" s="14" t="n">
        <v>0</v>
      </c>
      <c r="EP100" s="14" t="n">
        <v>0</v>
      </c>
      <c r="EQ100" s="14" t="n">
        <v>0</v>
      </c>
      <c r="ER100" s="14" t="n">
        <v>0</v>
      </c>
      <c r="ES100" s="14" t="n">
        <v>0</v>
      </c>
      <c r="ET100" s="14" t="n">
        <v>0</v>
      </c>
      <c r="EU100" s="14" t="n">
        <v>0</v>
      </c>
      <c r="EV100" s="14" t="n">
        <v>0</v>
      </c>
      <c r="EW100" s="14" t="n">
        <v>0</v>
      </c>
      <c r="EX100" s="14" t="n">
        <v>0</v>
      </c>
      <c r="EY100" s="14" t="n">
        <v>0</v>
      </c>
      <c r="EZ100" s="14" t="n">
        <v>0</v>
      </c>
      <c r="FA100" s="14" t="n">
        <v>0</v>
      </c>
      <c r="FB100" s="14" t="n">
        <v>0</v>
      </c>
      <c r="FC100" s="14" t="n">
        <v>0</v>
      </c>
      <c r="FD100" s="14" t="n">
        <v>0</v>
      </c>
      <c r="FE100" s="14" t="n">
        <v>2</v>
      </c>
      <c r="FF100" s="14" t="n">
        <v>2</v>
      </c>
      <c r="FG100" s="15">
        <f>SUM(DW100,DX100,DY100,DZ100,EA100,EB100,EC100,ED100,EE100,EF100,EG100,EH100,EI100,EJ100,EK100,EL100,EM100,EN100,EO100,EP100,EQ100,ER100,ES100,ET100,EU100,EV100,EW100,EX100,EY100,EZ100,FA100,FB100,FC100,FD100,FE100,FF100)</f>
        <v/>
      </c>
      <c r="FH100" s="14" t="n">
        <v>0</v>
      </c>
      <c r="FI100" s="14" t="n">
        <v>0</v>
      </c>
      <c r="FJ100" s="14" t="n">
        <v>18</v>
      </c>
      <c r="FK100" s="14" t="n">
        <v>48</v>
      </c>
      <c r="FL100" s="14" t="n">
        <v>0</v>
      </c>
      <c r="FM100" s="14" t="n">
        <v>0</v>
      </c>
      <c r="FN100" s="14" t="n">
        <v>0</v>
      </c>
      <c r="FO100" s="14" t="n">
        <v>0</v>
      </c>
      <c r="FP100" s="14" t="n">
        <v>0</v>
      </c>
      <c r="FQ100" s="15">
        <f>FL100+FM100+FN100+FO100+FP100</f>
        <v/>
      </c>
      <c r="FR100" s="14" t="n">
        <v>7610043.21</v>
      </c>
      <c r="FS100" s="14" t="n">
        <v>115867.22</v>
      </c>
      <c r="FT100" s="14" t="n">
        <v>262867.22</v>
      </c>
      <c r="FU100" s="14" t="n">
        <v>0</v>
      </c>
      <c r="FV100" s="15">
        <f>FR100+FS100+FT100+FU100</f>
        <v/>
      </c>
      <c r="FW100" s="14" t="n">
        <v>3920844.59</v>
      </c>
      <c r="FX100" s="14" t="n">
        <v>24300</v>
      </c>
      <c r="FY100" s="14" t="n">
        <v>1293341.19</v>
      </c>
      <c r="FZ100" s="14" t="n">
        <v>215950</v>
      </c>
      <c r="GA100" s="15">
        <f>FW100+FX100+FY100+FZ100</f>
        <v/>
      </c>
      <c r="GB100" s="15">
        <f>FV100+GA100</f>
        <v/>
      </c>
      <c r="GC100" s="14" t="n">
        <v>5968504.37</v>
      </c>
      <c r="GD100" s="14" t="n">
        <v>2104.08</v>
      </c>
      <c r="GE100" s="14" t="n">
        <v>39425.2</v>
      </c>
      <c r="GF100" s="14" t="n">
        <v>123697.32</v>
      </c>
      <c r="GG100" s="15">
        <f>GC100+GD100+GE100+GF100</f>
        <v/>
      </c>
      <c r="GH100" s="14" t="n">
        <v>0</v>
      </c>
      <c r="GI100" s="14" t="n">
        <v>0</v>
      </c>
      <c r="GJ100" s="14" t="n">
        <v>0</v>
      </c>
      <c r="GK100" s="14" t="n">
        <v>0</v>
      </c>
      <c r="GL100" s="15">
        <f>GH100+GI100+GJ100+GK100</f>
        <v/>
      </c>
      <c r="GM100" s="15">
        <f>GG100+GL100</f>
        <v/>
      </c>
      <c r="GN100" s="14" t="n">
        <v>545021.5699999999</v>
      </c>
      <c r="GO100" s="14" t="n">
        <v>382.56</v>
      </c>
      <c r="GP100" s="14" t="n">
        <v>3393.64</v>
      </c>
      <c r="GQ100" s="14" t="n">
        <v>27824.04</v>
      </c>
      <c r="GR100" s="15">
        <f>GN100+GO100+GP100+GQ100</f>
        <v/>
      </c>
      <c r="GS100" s="14" t="n">
        <v>870675</v>
      </c>
      <c r="GT100" s="14" t="n">
        <v>1786</v>
      </c>
      <c r="GU100" s="14" t="n">
        <v>893</v>
      </c>
      <c r="GV100" s="14" t="n">
        <v>5358</v>
      </c>
      <c r="GW100" s="15">
        <f>GS100+GT100+GU100+GV100</f>
        <v/>
      </c>
      <c r="GX100" s="15">
        <f>GM100+GR100+GW100</f>
        <v/>
      </c>
      <c r="GY100" s="14" t="n">
        <v>94314542.76000001</v>
      </c>
      <c r="GZ100" s="14" t="n">
        <v>123273620.77</v>
      </c>
      <c r="HA100" s="15">
        <f>GY100+GZ100</f>
        <v/>
      </c>
      <c r="HB100" s="15">
        <f>IF(GX100=0,"",AU100/GX100)</f>
        <v/>
      </c>
      <c r="HC100" s="16">
        <f>IF((GX100+GY100)=0,"",GB100/(GX100+GY100))</f>
        <v/>
      </c>
      <c r="HD100" s="15">
        <f>IF(GX100=0,"",GB100/GX100)</f>
        <v/>
      </c>
      <c r="HE100" s="14" t="n">
        <v>13</v>
      </c>
      <c r="HF100" s="14" t="n">
        <v>1</v>
      </c>
      <c r="HG100" s="14" t="n">
        <v>38</v>
      </c>
      <c r="HH100" s="14" t="n">
        <v>13</v>
      </c>
      <c r="HI100" s="14" t="n">
        <v>7</v>
      </c>
      <c r="HJ100" s="15">
        <f>HF100+HI100</f>
        <v/>
      </c>
      <c r="HK100" s="16">
        <f>IF(HE100=0,"",HH100/HE100)</f>
        <v/>
      </c>
      <c r="HL100" s="14" t="n">
        <v>60</v>
      </c>
      <c r="HM100" s="14" t="n">
        <v>30</v>
      </c>
      <c r="HN100" s="17">
        <f>IF(HL100=0,"",HM100/HL100)</f>
        <v/>
      </c>
    </row>
    <row r="101">
      <c r="A101" s="6" t="inlineStr">
        <is>
          <t>Mulanje</t>
        </is>
      </c>
      <c r="B101" s="6" t="inlineStr">
        <is>
          <t>Luchenza</t>
        </is>
      </c>
      <c r="C101" s="7" t="inlineStr">
        <is>
          <t>FY2025/26</t>
        </is>
      </c>
      <c r="D101" s="7" t="n">
        <v>2025</v>
      </c>
      <c r="E101" s="7" t="n">
        <v>6</v>
      </c>
      <c r="F101" s="7" t="inlineStr">
        <is>
          <t>June</t>
        </is>
      </c>
      <c r="G101" s="7" t="inlineStr">
        <is>
          <t>Q1</t>
        </is>
      </c>
      <c r="H101" s="8" t="n">
        <v>12889</v>
      </c>
      <c r="I101" s="8" t="n">
        <v>5629</v>
      </c>
      <c r="J101" s="8" t="n">
        <v>10</v>
      </c>
      <c r="K101" s="8" t="n">
        <v>10</v>
      </c>
      <c r="L101" s="8" t="n">
        <v>28</v>
      </c>
      <c r="M101" s="9">
        <f>SUM(I101,J101,K101,L101)</f>
        <v/>
      </c>
      <c r="N101" s="8" t="n">
        <v>2521.3</v>
      </c>
      <c r="O101" s="8" t="n">
        <v>112</v>
      </c>
      <c r="P101" s="8" t="n">
        <v>507</v>
      </c>
      <c r="Q101" s="8" t="n">
        <v>198</v>
      </c>
      <c r="R101" s="9">
        <f>SUM(N101,O101,P101,Q101)</f>
        <v/>
      </c>
      <c r="S101" s="9">
        <f>M101+R101</f>
        <v/>
      </c>
      <c r="T101" s="8" t="n">
        <v>3873.7</v>
      </c>
      <c r="U101" s="10">
        <f>IF(H101=0,"",T101/H101)</f>
        <v/>
      </c>
      <c r="V101" s="8" t="n">
        <v>38</v>
      </c>
      <c r="W101" s="11">
        <f>IF(H101=0,"",V101/H101)</f>
        <v/>
      </c>
      <c r="X101" s="8" t="n">
        <v>0</v>
      </c>
      <c r="Y101" s="11">
        <f>IF(H101=0,"",X101/H101)</f>
        <v/>
      </c>
      <c r="Z101" s="8" t="n">
        <v>0</v>
      </c>
      <c r="AA101" s="11">
        <f>IF(H101=0,"",Z101/H101)</f>
        <v/>
      </c>
      <c r="AB101" s="8" t="n">
        <v>0</v>
      </c>
      <c r="AC101" s="11">
        <f>IF(H101=0,"",AB101/H101)</f>
        <v/>
      </c>
      <c r="AD101" s="8" t="n">
        <v>0</v>
      </c>
      <c r="AE101" s="11">
        <f>IF(H101=0,"",AD101/H101)</f>
        <v/>
      </c>
      <c r="AF101" s="8" t="n">
        <v>0</v>
      </c>
      <c r="AG101" s="11">
        <f>IF(H101=0,"",AF101/H101)</f>
        <v/>
      </c>
      <c r="AH101" s="8" t="n">
        <v>194243.46</v>
      </c>
      <c r="AI101" s="9">
        <f>IF(H101=0,"",AH101/H101)</f>
        <v/>
      </c>
      <c r="AJ101" s="8" t="n">
        <v>5415</v>
      </c>
      <c r="AK101" s="11">
        <f>IF(H101=0,"",AJ101/H101)</f>
        <v/>
      </c>
      <c r="AL101" s="8" t="n">
        <v>767765.8725000001</v>
      </c>
      <c r="AM101" s="9">
        <f>IF(H101=0,"",AL101/H101)</f>
        <v/>
      </c>
      <c r="AN101" s="8" t="n">
        <v>0</v>
      </c>
      <c r="AO101" s="8" t="n">
        <v>150</v>
      </c>
      <c r="AP101" s="8" t="n">
        <v>410100</v>
      </c>
      <c r="AQ101" s="8" t="n">
        <v>0</v>
      </c>
      <c r="AR101" s="8" t="n">
        <v>8946575.58</v>
      </c>
      <c r="AS101" s="8" t="n">
        <v>3145315.64</v>
      </c>
      <c r="AT101" s="8" t="n">
        <v>0</v>
      </c>
      <c r="AU101" s="9">
        <f>AH101+AL101+AP101+AQ101+AR101+AS101+AT101</f>
        <v/>
      </c>
      <c r="AV101" s="9">
        <f>IF(H101=0,"",AU101/H101)</f>
        <v/>
      </c>
      <c r="AW101" s="9">
        <f>IF(S101=0,"",AU101/S101)</f>
        <v/>
      </c>
      <c r="AX101" s="8" t="n">
        <v>8</v>
      </c>
      <c r="AY101" s="9">
        <f>IF(H101=0,"",AX101/(H101/1000/12))</f>
        <v/>
      </c>
      <c r="AZ101" s="8" t="n">
        <v>13</v>
      </c>
      <c r="BA101" s="8" t="n">
        <v>38</v>
      </c>
      <c r="BB101" s="8" t="n">
        <v>8</v>
      </c>
      <c r="BC101" s="8" t="n">
        <v>0</v>
      </c>
      <c r="BD101" s="8" t="n">
        <v>0</v>
      </c>
      <c r="BE101" s="9">
        <f>BC101+BD101</f>
        <v/>
      </c>
      <c r="BF101" s="9">
        <f>BA101+BB101-BE101</f>
        <v/>
      </c>
      <c r="BG101" s="8" t="n">
        <v>0</v>
      </c>
      <c r="BH101" s="8" t="n">
        <v>0</v>
      </c>
      <c r="BI101" s="8" t="n">
        <v>0</v>
      </c>
      <c r="BJ101" s="8" t="n">
        <v>0</v>
      </c>
      <c r="BK101" s="9">
        <f>BI101+BJ101</f>
        <v/>
      </c>
      <c r="BL101" s="9">
        <f>BG101+BH101-BK101</f>
        <v/>
      </c>
      <c r="BM101" s="8" t="n">
        <v>0</v>
      </c>
      <c r="BN101" s="8" t="n">
        <v>0</v>
      </c>
      <c r="BO101" s="8" t="n">
        <v>0</v>
      </c>
      <c r="BP101" s="8" t="n">
        <v>0</v>
      </c>
      <c r="BQ101" s="9">
        <f>BO101+BP101</f>
        <v/>
      </c>
      <c r="BR101" s="9">
        <f>BM101+BN101-BQ101</f>
        <v/>
      </c>
      <c r="BS101" s="8" t="n">
        <v>0</v>
      </c>
      <c r="BT101" s="8" t="n">
        <v>0</v>
      </c>
      <c r="BU101" s="8" t="n">
        <v>0</v>
      </c>
      <c r="BV101" s="8" t="n">
        <v>0</v>
      </c>
      <c r="BW101" s="9">
        <f>BU101+BV101</f>
        <v/>
      </c>
      <c r="BX101" s="9">
        <f>BS101+BT101-BW101</f>
        <v/>
      </c>
      <c r="BY101" s="9">
        <f>BA101+BG101+BM101+BS101</f>
        <v/>
      </c>
      <c r="BZ101" s="9">
        <f>BB101+BH101+BN101+BT101</f>
        <v/>
      </c>
      <c r="CA101" s="9">
        <f>BE101+BK101+BQ101+BW101</f>
        <v/>
      </c>
      <c r="CB101" s="9">
        <f>BF101+BL101+BR101+BX101</f>
        <v/>
      </c>
      <c r="CC101" s="8" t="n">
        <v>0</v>
      </c>
      <c r="CD101" s="8" t="n">
        <v>922</v>
      </c>
      <c r="CE101" s="8" t="n">
        <v>5</v>
      </c>
      <c r="CF101" s="8" t="n">
        <v>22</v>
      </c>
      <c r="CG101" s="8" t="n">
        <v>20</v>
      </c>
      <c r="CH101" s="9">
        <f>CD101+CE101+CF101+CG101</f>
        <v/>
      </c>
      <c r="CI101" s="8" t="n">
        <v>964</v>
      </c>
      <c r="CJ101" s="8" t="n">
        <v>1</v>
      </c>
      <c r="CK101" s="8" t="n">
        <v>6</v>
      </c>
      <c r="CL101" s="8" t="n">
        <v>2</v>
      </c>
      <c r="CM101" s="9">
        <f>CI101+CJ101+CK101+CL101</f>
        <v/>
      </c>
      <c r="CN101" s="8" t="n">
        <v>682</v>
      </c>
      <c r="CO101" s="8" t="n">
        <v>38</v>
      </c>
      <c r="CP101" s="8" t="n">
        <v>107</v>
      </c>
      <c r="CQ101" s="8" t="n">
        <v>8</v>
      </c>
      <c r="CR101" s="9">
        <f>CN101+CO101+CP101+CQ101</f>
        <v/>
      </c>
      <c r="CS101" s="9">
        <f>CM101+CR101</f>
        <v/>
      </c>
      <c r="CT101" s="8" t="n">
        <v>2777</v>
      </c>
      <c r="CU101" s="8" t="n">
        <v>18200</v>
      </c>
      <c r="CV101" s="8" t="n">
        <v>16445</v>
      </c>
      <c r="CW101" s="10">
        <f>IF(CU101=0,"",CV101/CU101)</f>
        <v/>
      </c>
      <c r="CX101" s="8" t="n">
        <v>0</v>
      </c>
      <c r="CY101" s="8" t="n">
        <v>0</v>
      </c>
      <c r="CZ101" s="8" t="n">
        <v>0</v>
      </c>
      <c r="DA101" s="8" t="n">
        <v>0</v>
      </c>
      <c r="DB101" s="9">
        <f>CX101+CY101-CZ101-DA101</f>
        <v/>
      </c>
      <c r="DC101" s="8" t="n">
        <v>0</v>
      </c>
      <c r="DD101" s="8" t="n">
        <v>0</v>
      </c>
      <c r="DE101" s="8" t="n">
        <v>0</v>
      </c>
      <c r="DF101" s="8" t="n">
        <v>0</v>
      </c>
      <c r="DG101" s="9">
        <f>DC101+DD101-DE101-DF101</f>
        <v/>
      </c>
      <c r="DH101" s="8" t="n">
        <v>0</v>
      </c>
      <c r="DI101" s="8" t="n">
        <v>0</v>
      </c>
      <c r="DJ101" s="8" t="n">
        <v>0</v>
      </c>
      <c r="DK101" s="8" t="n">
        <v>0</v>
      </c>
      <c r="DL101" s="9">
        <f>DH101+DI101-DJ101-DK101</f>
        <v/>
      </c>
      <c r="DM101" s="8" t="n">
        <v>16</v>
      </c>
      <c r="DN101" s="8" t="n">
        <v>0</v>
      </c>
      <c r="DO101" s="8" t="n">
        <v>0</v>
      </c>
      <c r="DP101" s="8" t="n">
        <v>0</v>
      </c>
      <c r="DQ101" s="9">
        <f>DM101+DN101-DO101-DP101</f>
        <v/>
      </c>
      <c r="DR101" s="9">
        <f>CX101+DC101+DH101+DM101</f>
        <v/>
      </c>
      <c r="DS101" s="9">
        <f>CY101+DD101+DI101+DN101</f>
        <v/>
      </c>
      <c r="DT101" s="9">
        <f>CZ101+DE101+DJ101+DO101</f>
        <v/>
      </c>
      <c r="DU101" s="9">
        <f>DA101+DF101+DK101+DP101</f>
        <v/>
      </c>
      <c r="DV101" s="9">
        <f>DB101+DG101+DL101+DQ101</f>
        <v/>
      </c>
      <c r="DW101" s="8" t="n">
        <v>45</v>
      </c>
      <c r="DX101" s="8" t="n">
        <v>30</v>
      </c>
      <c r="DY101" s="8" t="n">
        <v>8</v>
      </c>
      <c r="DZ101" s="8" t="n">
        <v>1</v>
      </c>
      <c r="EA101" s="8" t="n">
        <v>5</v>
      </c>
      <c r="EB101" s="8" t="n">
        <v>5</v>
      </c>
      <c r="EC101" s="8" t="n">
        <v>0</v>
      </c>
      <c r="ED101" s="8" t="n">
        <v>2</v>
      </c>
      <c r="EE101" s="8" t="n">
        <v>3</v>
      </c>
      <c r="EF101" s="8" t="n">
        <v>2</v>
      </c>
      <c r="EG101" s="8" t="n">
        <v>2</v>
      </c>
      <c r="EH101" s="8" t="n">
        <v>0</v>
      </c>
      <c r="EI101" s="8" t="n">
        <v>0</v>
      </c>
      <c r="EJ101" s="8" t="n">
        <v>0</v>
      </c>
      <c r="EK101" s="8" t="n">
        <v>0</v>
      </c>
      <c r="EL101" s="8" t="n">
        <v>0</v>
      </c>
      <c r="EM101" s="8" t="n">
        <v>0</v>
      </c>
      <c r="EN101" s="8" t="n">
        <v>0</v>
      </c>
      <c r="EO101" s="8" t="n">
        <v>0</v>
      </c>
      <c r="EP101" s="8" t="n">
        <v>0</v>
      </c>
      <c r="EQ101" s="8" t="n">
        <v>0</v>
      </c>
      <c r="ER101" s="8" t="n">
        <v>0</v>
      </c>
      <c r="ES101" s="8" t="n">
        <v>0</v>
      </c>
      <c r="ET101" s="8" t="n">
        <v>0</v>
      </c>
      <c r="EU101" s="8" t="n">
        <v>0</v>
      </c>
      <c r="EV101" s="8" t="n">
        <v>0</v>
      </c>
      <c r="EW101" s="8" t="n">
        <v>0</v>
      </c>
      <c r="EX101" s="8" t="n">
        <v>0</v>
      </c>
      <c r="EY101" s="8" t="n">
        <v>0</v>
      </c>
      <c r="EZ101" s="8" t="n">
        <v>0</v>
      </c>
      <c r="FA101" s="8" t="n">
        <v>0</v>
      </c>
      <c r="FB101" s="8" t="n">
        <v>0</v>
      </c>
      <c r="FC101" s="8" t="n">
        <v>0</v>
      </c>
      <c r="FD101" s="8" t="n">
        <v>0</v>
      </c>
      <c r="FE101" s="8" t="n">
        <v>0</v>
      </c>
      <c r="FF101" s="8" t="n">
        <v>0</v>
      </c>
      <c r="FG101" s="9">
        <f>SUM(DW101,DX101,DY101,DZ101,EA101,EB101,EC101,ED101,EE101,EF101,EG101,EH101,EI101,EJ101,EK101,EL101,EM101,EN101,EO101,EP101,EQ101,ER101,ES101,ET101,EU101,EV101,EW101,EX101,EY101,EZ101,FA101,FB101,FC101,FD101,FE101,FF101)</f>
        <v/>
      </c>
      <c r="FH101" s="8" t="n">
        <v>0</v>
      </c>
      <c r="FI101" s="8" t="n">
        <v>0</v>
      </c>
      <c r="FJ101" s="8" t="n">
        <v>18</v>
      </c>
      <c r="FK101" s="8" t="n">
        <v>41</v>
      </c>
      <c r="FL101" s="8" t="n">
        <v>0</v>
      </c>
      <c r="FM101" s="8" t="n">
        <v>0</v>
      </c>
      <c r="FN101" s="8" t="n">
        <v>0</v>
      </c>
      <c r="FO101" s="8" t="n">
        <v>0</v>
      </c>
      <c r="FP101" s="8" t="n">
        <v>0</v>
      </c>
      <c r="FQ101" s="9">
        <f>FL101+FM101+FN101+FO101+FP101</f>
        <v/>
      </c>
      <c r="FR101" s="8" t="n">
        <v>8930976.26</v>
      </c>
      <c r="FS101" s="8" t="n">
        <v>5200</v>
      </c>
      <c r="FT101" s="8" t="n">
        <v>5200</v>
      </c>
      <c r="FU101" s="8" t="n">
        <v>79000</v>
      </c>
      <c r="FV101" s="9">
        <f>FR101+FS101+FT101+FU101</f>
        <v/>
      </c>
      <c r="FW101" s="8" t="n">
        <v>3686022.370000005</v>
      </c>
      <c r="FX101" s="8" t="n">
        <v>23706.22</v>
      </c>
      <c r="FY101" s="8" t="n">
        <v>959795.3599999999</v>
      </c>
      <c r="FZ101" s="8" t="n">
        <v>1566500</v>
      </c>
      <c r="GA101" s="9">
        <f>FW101+FX101+FY101+FZ101</f>
        <v/>
      </c>
      <c r="GB101" s="9">
        <f>FV101+GA101</f>
        <v/>
      </c>
      <c r="GC101" s="8" t="n">
        <v>4995513.1</v>
      </c>
      <c r="GD101" s="8" t="n">
        <v>1912.8</v>
      </c>
      <c r="GE101" s="8" t="n">
        <v>24383.95</v>
      </c>
      <c r="GF101" s="8" t="n">
        <v>70779.78</v>
      </c>
      <c r="GG101" s="9">
        <f>GC101+GD101+GE101+GF101</f>
        <v/>
      </c>
      <c r="GH101" s="8" t="n">
        <v>0</v>
      </c>
      <c r="GI101" s="8" t="n">
        <v>0</v>
      </c>
      <c r="GJ101" s="8" t="n">
        <v>0</v>
      </c>
      <c r="GK101" s="8" t="n">
        <v>0</v>
      </c>
      <c r="GL101" s="9">
        <f>GH101+GI101+GJ101+GK101</f>
        <v/>
      </c>
      <c r="GM101" s="9">
        <f>GG101+GL101</f>
        <v/>
      </c>
      <c r="GN101" s="8" t="n">
        <v>539069.17</v>
      </c>
      <c r="GO101" s="8" t="n">
        <v>382.56</v>
      </c>
      <c r="GP101" s="8" t="n">
        <v>3393.64</v>
      </c>
      <c r="GQ101" s="8" t="n">
        <v>27824.04</v>
      </c>
      <c r="GR101" s="9">
        <f>GN101+GO101+GP101+GQ101</f>
        <v/>
      </c>
      <c r="GS101" s="8" t="n">
        <v>860852</v>
      </c>
      <c r="GT101" s="8" t="n">
        <v>1786</v>
      </c>
      <c r="GU101" s="8" t="n">
        <v>893</v>
      </c>
      <c r="GV101" s="8" t="n">
        <v>5358</v>
      </c>
      <c r="GW101" s="9">
        <f>GS101+GT101+GU101+GV101</f>
        <v/>
      </c>
      <c r="GX101" s="9">
        <f>GM101+GR101+GW101</f>
        <v/>
      </c>
      <c r="GY101" s="8" t="n">
        <v>90241321.22</v>
      </c>
      <c r="GZ101" s="8" t="n">
        <v>123273620.77</v>
      </c>
      <c r="HA101" s="9">
        <f>GY101+GZ101</f>
        <v/>
      </c>
      <c r="HB101" s="9">
        <f>IF(GX101=0,"",AU101/GX101)</f>
        <v/>
      </c>
      <c r="HC101" s="10">
        <f>IF((GX101+GY101)=0,"",GB101/(GX101+GY101))</f>
        <v/>
      </c>
      <c r="HD101" s="9">
        <f>IF(GX101=0,"",GB101/GX101)</f>
        <v/>
      </c>
      <c r="HE101" s="8" t="n">
        <v>8</v>
      </c>
      <c r="HF101" s="8" t="n">
        <v>1</v>
      </c>
      <c r="HG101" s="8" t="n">
        <v>46</v>
      </c>
      <c r="HH101" s="8" t="n">
        <v>8</v>
      </c>
      <c r="HI101" s="8" t="n">
        <v>7</v>
      </c>
      <c r="HJ101" s="9">
        <f>HF101+HI101</f>
        <v/>
      </c>
      <c r="HK101" s="10">
        <f>IF(HE101=0,"",HH101/HE101)</f>
        <v/>
      </c>
      <c r="HL101" s="8" t="n">
        <v>25</v>
      </c>
      <c r="HM101" s="8" t="n">
        <v>30</v>
      </c>
      <c r="HN101" s="11">
        <f>IF(HL101=0,"",HM101/HL101)</f>
        <v/>
      </c>
    </row>
    <row r="102">
      <c r="A102" s="12" t="inlineStr">
        <is>
          <t>Mulanje</t>
        </is>
      </c>
      <c r="B102" s="12" t="inlineStr">
        <is>
          <t>Luchenza</t>
        </is>
      </c>
      <c r="C102" s="13" t="inlineStr">
        <is>
          <t>FY2025/26</t>
        </is>
      </c>
      <c r="D102" s="13" t="n">
        <v>2025</v>
      </c>
      <c r="E102" s="13" t="n">
        <v>7</v>
      </c>
      <c r="F102" s="13" t="inlineStr">
        <is>
          <t>July</t>
        </is>
      </c>
      <c r="G102" s="13" t="inlineStr">
        <is>
          <t>Q2</t>
        </is>
      </c>
      <c r="H102" s="14" t="n">
        <v>17470</v>
      </c>
      <c r="I102" s="14" t="n">
        <v>7000</v>
      </c>
      <c r="J102" s="14" t="n">
        <v>11</v>
      </c>
      <c r="K102" s="14" t="n">
        <v>23</v>
      </c>
      <c r="L102" s="14" t="n">
        <v>20</v>
      </c>
      <c r="M102" s="15">
        <f>SUM(I102,J102,K102,L102)</f>
        <v/>
      </c>
      <c r="N102" s="14" t="n">
        <v>3893.6</v>
      </c>
      <c r="O102" s="14" t="n">
        <v>179</v>
      </c>
      <c r="P102" s="14" t="n">
        <v>860.3</v>
      </c>
      <c r="Q102" s="14" t="n">
        <v>322.7</v>
      </c>
      <c r="R102" s="15">
        <f>SUM(N102,O102,P102,Q102)</f>
        <v/>
      </c>
      <c r="S102" s="15">
        <f>M102+R102</f>
        <v/>
      </c>
      <c r="T102" s="14" t="n">
        <v>5160.4</v>
      </c>
      <c r="U102" s="16">
        <f>IF(H102=0,"",T102/H102)</f>
        <v/>
      </c>
      <c r="V102" s="14" t="n">
        <v>42</v>
      </c>
      <c r="W102" s="17">
        <f>IF(H102=0,"",V102/H102)</f>
        <v/>
      </c>
      <c r="X102" s="14" t="n">
        <v>0</v>
      </c>
      <c r="Y102" s="17">
        <f>IF(H102=0,"",X102/H102)</f>
        <v/>
      </c>
      <c r="Z102" s="14" t="n">
        <v>0</v>
      </c>
      <c r="AA102" s="17">
        <f>IF(H102=0,"",Z102/H102)</f>
        <v/>
      </c>
      <c r="AB102" s="14" t="n">
        <v>0</v>
      </c>
      <c r="AC102" s="17">
        <f>IF(H102=0,"",AB102/H102)</f>
        <v/>
      </c>
      <c r="AD102" s="14" t="n">
        <v>0</v>
      </c>
      <c r="AE102" s="17">
        <f>IF(H102=0,"",AD102/H102)</f>
        <v/>
      </c>
      <c r="AF102" s="14" t="n">
        <v>0</v>
      </c>
      <c r="AG102" s="17">
        <f>IF(H102=0,"",AF102/H102)</f>
        <v/>
      </c>
      <c r="AH102" s="14" t="n">
        <v>214690.14</v>
      </c>
      <c r="AI102" s="15">
        <f>IF(H102=0,"",AH102/H102)</f>
        <v/>
      </c>
      <c r="AJ102" s="14" t="n">
        <v>8000</v>
      </c>
      <c r="AK102" s="17">
        <f>IF(H102=0,"",AJ102/H102)</f>
        <v/>
      </c>
      <c r="AL102" s="14" t="n">
        <v>1126438.5</v>
      </c>
      <c r="AM102" s="15">
        <f>IF(H102=0,"",AL102/H102)</f>
        <v/>
      </c>
      <c r="AN102" s="14" t="n">
        <v>0</v>
      </c>
      <c r="AO102" s="14" t="n">
        <v>159</v>
      </c>
      <c r="AP102" s="14" t="n">
        <v>434706</v>
      </c>
      <c r="AQ102" s="14" t="n">
        <v>0</v>
      </c>
      <c r="AR102" s="14" t="n">
        <v>8321808.77</v>
      </c>
      <c r="AS102" s="14" t="n">
        <v>3121060.88</v>
      </c>
      <c r="AT102" s="14" t="n">
        <v>2803520.16</v>
      </c>
      <c r="AU102" s="15">
        <f>AH102+AL102+AP102+AQ102+AR102+AS102+AT102</f>
        <v/>
      </c>
      <c r="AV102" s="15">
        <f>IF(H102=0,"",AU102/H102)</f>
        <v/>
      </c>
      <c r="AW102" s="15">
        <f>IF(S102=0,"",AU102/S102)</f>
        <v/>
      </c>
      <c r="AX102" s="14" t="n">
        <v>8</v>
      </c>
      <c r="AY102" s="15">
        <f>IF(H102=0,"",AX102/(H102/1000/12))</f>
        <v/>
      </c>
      <c r="AZ102" s="14" t="n">
        <v>21</v>
      </c>
      <c r="BA102" s="14" t="n">
        <v>46</v>
      </c>
      <c r="BB102" s="14" t="n">
        <v>22</v>
      </c>
      <c r="BC102" s="14" t="n">
        <v>0</v>
      </c>
      <c r="BD102" s="14" t="n">
        <v>13</v>
      </c>
      <c r="BE102" s="15">
        <f>BC102+BD102</f>
        <v/>
      </c>
      <c r="BF102" s="15">
        <f>BA102+BB102-BE102</f>
        <v/>
      </c>
      <c r="BG102" s="14" t="n">
        <v>0</v>
      </c>
      <c r="BH102" s="14" t="n">
        <v>0</v>
      </c>
      <c r="BI102" s="14" t="n">
        <v>0</v>
      </c>
      <c r="BJ102" s="14" t="n">
        <v>0</v>
      </c>
      <c r="BK102" s="15">
        <f>BI102+BJ102</f>
        <v/>
      </c>
      <c r="BL102" s="15">
        <f>BG102+BH102-BK102</f>
        <v/>
      </c>
      <c r="BM102" s="14" t="n">
        <v>0</v>
      </c>
      <c r="BN102" s="14" t="n">
        <v>0</v>
      </c>
      <c r="BO102" s="14" t="n">
        <v>0</v>
      </c>
      <c r="BP102" s="14" t="n">
        <v>0</v>
      </c>
      <c r="BQ102" s="15">
        <f>BO102+BP102</f>
        <v/>
      </c>
      <c r="BR102" s="15">
        <f>BM102+BN102-BQ102</f>
        <v/>
      </c>
      <c r="BS102" s="14" t="n">
        <v>0</v>
      </c>
      <c r="BT102" s="14" t="n">
        <v>0</v>
      </c>
      <c r="BU102" s="14" t="n">
        <v>0</v>
      </c>
      <c r="BV102" s="14" t="n">
        <v>0</v>
      </c>
      <c r="BW102" s="15">
        <f>BU102+BV102</f>
        <v/>
      </c>
      <c r="BX102" s="15">
        <f>BS102+BT102-BW102</f>
        <v/>
      </c>
      <c r="BY102" s="15">
        <f>BA102+BG102+BM102+BS102</f>
        <v/>
      </c>
      <c r="BZ102" s="15">
        <f>BB102+BH102+BN102+BT102</f>
        <v/>
      </c>
      <c r="CA102" s="15">
        <f>BE102+BK102+BQ102+BW102</f>
        <v/>
      </c>
      <c r="CB102" s="15">
        <f>BF102+BL102+BR102+BX102</f>
        <v/>
      </c>
      <c r="CC102" s="14" t="n">
        <v>13</v>
      </c>
      <c r="CD102" s="14" t="n">
        <v>922</v>
      </c>
      <c r="CE102" s="14" t="n">
        <v>5</v>
      </c>
      <c r="CF102" s="14" t="n">
        <v>22</v>
      </c>
      <c r="CG102" s="14" t="n">
        <v>20</v>
      </c>
      <c r="CH102" s="15">
        <f>CD102+CE102+CF102+CG102</f>
        <v/>
      </c>
      <c r="CI102" s="14" t="n">
        <v>931</v>
      </c>
      <c r="CJ102" s="14" t="n">
        <v>2</v>
      </c>
      <c r="CK102" s="14" t="n">
        <v>5</v>
      </c>
      <c r="CL102" s="14" t="n">
        <v>2</v>
      </c>
      <c r="CM102" s="15">
        <f>CI102+CJ102+CK102+CL102</f>
        <v/>
      </c>
      <c r="CN102" s="14" t="n">
        <v>683</v>
      </c>
      <c r="CO102" s="14" t="n">
        <v>38</v>
      </c>
      <c r="CP102" s="14" t="n">
        <v>108</v>
      </c>
      <c r="CQ102" s="14" t="n">
        <v>8</v>
      </c>
      <c r="CR102" s="15">
        <f>CN102+CO102+CP102+CQ102</f>
        <v/>
      </c>
      <c r="CS102" s="15">
        <f>CM102+CR102</f>
        <v/>
      </c>
      <c r="CT102" s="14" t="n">
        <v>2746</v>
      </c>
      <c r="CU102" s="14" t="n">
        <v>18200</v>
      </c>
      <c r="CV102" s="14" t="n">
        <v>16460</v>
      </c>
      <c r="CW102" s="16">
        <f>IF(CU102=0,"",CV102/CU102)</f>
        <v/>
      </c>
      <c r="CX102" s="14" t="n">
        <v>0</v>
      </c>
      <c r="CY102" s="14" t="n">
        <v>0</v>
      </c>
      <c r="CZ102" s="14" t="n">
        <v>0</v>
      </c>
      <c r="DA102" s="14" t="n">
        <v>0</v>
      </c>
      <c r="DB102" s="15">
        <f>CX102+CY102-CZ102-DA102</f>
        <v/>
      </c>
      <c r="DC102" s="14" t="n">
        <v>0</v>
      </c>
      <c r="DD102" s="14" t="n">
        <v>0</v>
      </c>
      <c r="DE102" s="14" t="n">
        <v>0</v>
      </c>
      <c r="DF102" s="14" t="n">
        <v>0</v>
      </c>
      <c r="DG102" s="15">
        <f>DC102+DD102-DE102-DF102</f>
        <v/>
      </c>
      <c r="DH102" s="14" t="n">
        <v>0</v>
      </c>
      <c r="DI102" s="14" t="n">
        <v>0</v>
      </c>
      <c r="DJ102" s="14" t="n">
        <v>0</v>
      </c>
      <c r="DK102" s="14" t="n">
        <v>0</v>
      </c>
      <c r="DL102" s="15">
        <f>DH102+DI102-DJ102-DK102</f>
        <v/>
      </c>
      <c r="DM102" s="14" t="n">
        <v>16</v>
      </c>
      <c r="DN102" s="14" t="n">
        <v>16</v>
      </c>
      <c r="DO102" s="14" t="n">
        <v>0</v>
      </c>
      <c r="DP102" s="14" t="n">
        <v>0</v>
      </c>
      <c r="DQ102" s="15">
        <f>DM102+DN102-DO102-DP102</f>
        <v/>
      </c>
      <c r="DR102" s="15">
        <f>CX102+DC102+DH102+DM102</f>
        <v/>
      </c>
      <c r="DS102" s="15">
        <f>CY102+DD102+DI102+DN102</f>
        <v/>
      </c>
      <c r="DT102" s="15">
        <f>CZ102+DE102+DJ102+DO102</f>
        <v/>
      </c>
      <c r="DU102" s="15">
        <f>DA102+DF102+DK102+DP102</f>
        <v/>
      </c>
      <c r="DV102" s="15">
        <f>DB102+DG102+DL102+DQ102</f>
        <v/>
      </c>
      <c r="DW102" s="14" t="n">
        <v>60</v>
      </c>
      <c r="DX102" s="14" t="n">
        <v>25</v>
      </c>
      <c r="DY102" s="14" t="n">
        <v>7</v>
      </c>
      <c r="DZ102" s="14" t="n">
        <v>7</v>
      </c>
      <c r="EA102" s="14" t="n">
        <v>2</v>
      </c>
      <c r="EB102" s="14" t="n">
        <v>2</v>
      </c>
      <c r="EC102" s="14" t="n">
        <v>2</v>
      </c>
      <c r="ED102" s="14" t="n">
        <v>1</v>
      </c>
      <c r="EE102" s="14" t="n">
        <v>1</v>
      </c>
      <c r="EF102" s="14" t="n">
        <v>3</v>
      </c>
      <c r="EG102" s="14" t="n">
        <v>0</v>
      </c>
      <c r="EH102" s="14" t="n">
        <v>0</v>
      </c>
      <c r="EI102" s="14" t="n">
        <v>0</v>
      </c>
      <c r="EJ102" s="14" t="n">
        <v>0</v>
      </c>
      <c r="EK102" s="14" t="n">
        <v>0</v>
      </c>
      <c r="EL102" s="14" t="n">
        <v>0</v>
      </c>
      <c r="EM102" s="14" t="n">
        <v>0</v>
      </c>
      <c r="EN102" s="14" t="n">
        <v>0</v>
      </c>
      <c r="EO102" s="14" t="n">
        <v>0</v>
      </c>
      <c r="EP102" s="14" t="n">
        <v>0</v>
      </c>
      <c r="EQ102" s="14" t="n">
        <v>0</v>
      </c>
      <c r="ER102" s="14" t="n">
        <v>0</v>
      </c>
      <c r="ES102" s="14" t="n">
        <v>0</v>
      </c>
      <c r="ET102" s="14" t="n">
        <v>0</v>
      </c>
      <c r="EU102" s="14" t="n">
        <v>0</v>
      </c>
      <c r="EV102" s="14" t="n">
        <v>0</v>
      </c>
      <c r="EW102" s="14" t="n">
        <v>0</v>
      </c>
      <c r="EX102" s="14" t="n">
        <v>0</v>
      </c>
      <c r="EY102" s="14" t="n">
        <v>0</v>
      </c>
      <c r="EZ102" s="14" t="n">
        <v>0</v>
      </c>
      <c r="FA102" s="14" t="n">
        <v>0</v>
      </c>
      <c r="FB102" s="14" t="n">
        <v>0</v>
      </c>
      <c r="FC102" s="14" t="n">
        <v>0</v>
      </c>
      <c r="FD102" s="14" t="n">
        <v>0</v>
      </c>
      <c r="FE102" s="14" t="n">
        <v>1</v>
      </c>
      <c r="FF102" s="14" t="n">
        <v>1</v>
      </c>
      <c r="FG102" s="15">
        <f>SUM(DW102,DX102,DY102,DZ102,EA102,EB102,EC102,ED102,EE102,EF102,EG102,EH102,EI102,EJ102,EK102,EL102,EM102,EN102,EO102,EP102,EQ102,ER102,ES102,ET102,EU102,EV102,EW102,EX102,EY102,EZ102,FA102,FB102,FC102,FD102,FE102,FF102)</f>
        <v/>
      </c>
      <c r="FH102" s="14" t="n">
        <v>0</v>
      </c>
      <c r="FI102" s="14" t="n">
        <v>0</v>
      </c>
      <c r="FJ102" s="14" t="n">
        <v>13</v>
      </c>
      <c r="FK102" s="14" t="n">
        <v>54</v>
      </c>
      <c r="FL102" s="14" t="n">
        <v>0</v>
      </c>
      <c r="FM102" s="14" t="n">
        <v>0</v>
      </c>
      <c r="FN102" s="14" t="n">
        <v>0</v>
      </c>
      <c r="FO102" s="14" t="n">
        <v>0</v>
      </c>
      <c r="FP102" s="14" t="n">
        <v>0</v>
      </c>
      <c r="FQ102" s="15">
        <f>FL102+FM102+FN102+FO102+FP102</f>
        <v/>
      </c>
      <c r="FR102" s="14" t="n">
        <v>13629122.15</v>
      </c>
      <c r="FS102" s="14" t="n">
        <v>72300</v>
      </c>
      <c r="FT102" s="14" t="n">
        <v>39000</v>
      </c>
      <c r="FU102" s="14" t="n">
        <v>7000</v>
      </c>
      <c r="FV102" s="15">
        <f>FR102+FS102+FT102+FU102</f>
        <v/>
      </c>
      <c r="FW102" s="14" t="n">
        <v>5305373.18</v>
      </c>
      <c r="FX102" s="14" t="n">
        <v>38000</v>
      </c>
      <c r="FY102" s="14" t="n">
        <v>1529374</v>
      </c>
      <c r="FZ102" s="14" t="n">
        <v>2647850</v>
      </c>
      <c r="GA102" s="15">
        <f>FW102+FX102+FY102+FZ102</f>
        <v/>
      </c>
      <c r="GB102" s="15">
        <f>FV102+GA102</f>
        <v/>
      </c>
      <c r="GC102" s="14" t="n">
        <v>6181584.08</v>
      </c>
      <c r="GD102" s="14" t="n">
        <v>2104.08</v>
      </c>
      <c r="GE102" s="14" t="n">
        <v>58983.15</v>
      </c>
      <c r="GF102" s="14" t="n">
        <v>60876.76</v>
      </c>
      <c r="GG102" s="15">
        <f>GC102+GD102+GE102+GF102</f>
        <v/>
      </c>
      <c r="GH102" s="14" t="n">
        <v>6303548.07</v>
      </c>
      <c r="GI102" s="14" t="n">
        <v>0</v>
      </c>
      <c r="GJ102" s="14" t="n">
        <v>0</v>
      </c>
      <c r="GK102" s="14" t="n">
        <v>0</v>
      </c>
      <c r="GL102" s="15">
        <f>GH102+GI102+GJ102+GK102</f>
        <v/>
      </c>
      <c r="GM102" s="15">
        <f>GG102+GL102</f>
        <v/>
      </c>
      <c r="GN102" s="14" t="n">
        <v>520842.44</v>
      </c>
      <c r="GO102" s="14" t="n">
        <v>382.56</v>
      </c>
      <c r="GP102" s="14" t="n">
        <v>6787.28</v>
      </c>
      <c r="GQ102" s="14" t="n">
        <v>23186.7</v>
      </c>
      <c r="GR102" s="15">
        <f>GN102+GO102+GP102+GQ102</f>
        <v/>
      </c>
      <c r="GS102" s="14" t="n">
        <v>831383</v>
      </c>
      <c r="GT102" s="14" t="n">
        <v>1786</v>
      </c>
      <c r="GU102" s="14" t="n">
        <v>1786</v>
      </c>
      <c r="GV102" s="14" t="n">
        <v>4465</v>
      </c>
      <c r="GW102" s="15">
        <f>GS102+GT102+GU102+GV102</f>
        <v/>
      </c>
      <c r="GX102" s="15">
        <f>GM102+GR102+GW102</f>
        <v/>
      </c>
      <c r="GY102" s="14" t="n">
        <v>83464864.16</v>
      </c>
      <c r="GZ102" s="14" t="n">
        <v>123273620.77</v>
      </c>
      <c r="HA102" s="15">
        <f>GY102+GZ102</f>
        <v/>
      </c>
      <c r="HB102" s="15">
        <f>IF(GX102=0,"",AU102/GX102)</f>
        <v/>
      </c>
      <c r="HC102" s="16">
        <f>IF((GX102+GY102)=0,"",GB102/(GX102+GY102))</f>
        <v/>
      </c>
      <c r="HD102" s="15">
        <f>IF(GX102=0,"",GB102/GX102)</f>
        <v/>
      </c>
      <c r="HE102" s="14" t="n">
        <v>22</v>
      </c>
      <c r="HF102" s="14" t="n">
        <v>1</v>
      </c>
      <c r="HG102" s="14" t="n">
        <v>55</v>
      </c>
      <c r="HH102" s="14" t="n">
        <v>22</v>
      </c>
      <c r="HI102" s="14" t="n">
        <v>7</v>
      </c>
      <c r="HJ102" s="15">
        <f>HF102+HI102</f>
        <v/>
      </c>
      <c r="HK102" s="16">
        <f>IF(HE102=0,"",HH102/HE102)</f>
        <v/>
      </c>
      <c r="HL102" s="14" t="n">
        <v>60</v>
      </c>
      <c r="HM102" s="14" t="n">
        <v>30</v>
      </c>
      <c r="HN102" s="17">
        <f>IF(HL102=0,"",HM102/HL102)</f>
        <v/>
      </c>
    </row>
    <row r="103">
      <c r="A103" s="6" t="inlineStr">
        <is>
          <t>Mulanje</t>
        </is>
      </c>
      <c r="B103" s="6" t="inlineStr">
        <is>
          <t>Luchenza</t>
        </is>
      </c>
      <c r="C103" s="7" t="inlineStr">
        <is>
          <t>FY2025/26</t>
        </is>
      </c>
      <c r="D103" s="7" t="n">
        <v>2025</v>
      </c>
      <c r="E103" s="7" t="n">
        <v>8</v>
      </c>
      <c r="F103" s="7" t="inlineStr">
        <is>
          <t>August</t>
        </is>
      </c>
      <c r="G103" s="7" t="inlineStr">
        <is>
          <t>Q2</t>
        </is>
      </c>
      <c r="H103" s="8" t="n">
        <v>11833</v>
      </c>
      <c r="I103" s="8" t="n">
        <v>5174</v>
      </c>
      <c r="J103" s="8" t="n">
        <v>11</v>
      </c>
      <c r="K103" s="8" t="n">
        <v>8</v>
      </c>
      <c r="L103" s="8" t="n">
        <v>22</v>
      </c>
      <c r="M103" s="9">
        <f>SUM(I103,J103,K103,L103)</f>
        <v/>
      </c>
      <c r="N103" s="8" t="n">
        <v>2592</v>
      </c>
      <c r="O103" s="8" t="n">
        <v>117</v>
      </c>
      <c r="P103" s="8" t="n">
        <v>18</v>
      </c>
      <c r="Q103" s="8" t="n">
        <v>292</v>
      </c>
      <c r="R103" s="9">
        <f>SUM(N103,O103,P103,Q103)</f>
        <v/>
      </c>
      <c r="S103" s="9">
        <f>M103+R103</f>
        <v/>
      </c>
      <c r="T103" s="8" t="n">
        <v>3599</v>
      </c>
      <c r="U103" s="10">
        <f>IF(H103=0,"",T103/H103)</f>
        <v/>
      </c>
      <c r="V103" s="8" t="n">
        <v>30</v>
      </c>
      <c r="W103" s="11">
        <f>IF(H103=0,"",V103/H103)</f>
        <v/>
      </c>
      <c r="X103" s="8" t="n">
        <v>0</v>
      </c>
      <c r="Y103" s="11">
        <f>IF(H103=0,"",X103/H103)</f>
        <v/>
      </c>
      <c r="Z103" s="8" t="n">
        <v>0</v>
      </c>
      <c r="AA103" s="11">
        <f>IF(H103=0,"",Z103/H103)</f>
        <v/>
      </c>
      <c r="AB103" s="8" t="n">
        <v>0</v>
      </c>
      <c r="AC103" s="11">
        <f>IF(H103=0,"",AB103/H103)</f>
        <v/>
      </c>
      <c r="AD103" s="8" t="n">
        <v>0</v>
      </c>
      <c r="AE103" s="11">
        <f>IF(H103=0,"",AD103/H103)</f>
        <v/>
      </c>
      <c r="AF103" s="8" t="n">
        <v>0</v>
      </c>
      <c r="AG103" s="11">
        <f>IF(H103=0,"",AF103/H103)</f>
        <v/>
      </c>
      <c r="AH103" s="8" t="n">
        <v>153350.1</v>
      </c>
      <c r="AI103" s="9">
        <f>IF(H103=0,"",AH103/H103)</f>
        <v/>
      </c>
      <c r="AJ103" s="8" t="n">
        <v>11175</v>
      </c>
      <c r="AK103" s="11">
        <f>IF(H103=0,"",AJ103/H103)</f>
        <v/>
      </c>
      <c r="AL103" s="8" t="n">
        <v>1566974.5125</v>
      </c>
      <c r="AM103" s="9">
        <f>IF(H103=0,"",AL103/H103)</f>
        <v/>
      </c>
      <c r="AN103" s="8" t="n">
        <v>0</v>
      </c>
      <c r="AO103" s="8" t="n">
        <v>100</v>
      </c>
      <c r="AP103" s="8" t="n">
        <v>273400</v>
      </c>
      <c r="AQ103" s="8" t="n">
        <v>0</v>
      </c>
      <c r="AR103" s="8" t="n">
        <v>8684456.25</v>
      </c>
      <c r="AS103" s="8" t="n">
        <v>4015677.36</v>
      </c>
      <c r="AT103" s="8" t="n">
        <v>4093403.05</v>
      </c>
      <c r="AU103" s="9">
        <f>AH103+AL103+AP103+AQ103+AR103+AS103+AT103</f>
        <v/>
      </c>
      <c r="AV103" s="9">
        <f>IF(H103=0,"",AU103/H103)</f>
        <v/>
      </c>
      <c r="AW103" s="9">
        <f>IF(S103=0,"",AU103/S103)</f>
        <v/>
      </c>
      <c r="AX103" s="8" t="n">
        <v>8</v>
      </c>
      <c r="AY103" s="9">
        <f>IF(H103=0,"",AX103/(H103/1000/12))</f>
        <v/>
      </c>
      <c r="AZ103" s="8" t="n">
        <v>25</v>
      </c>
      <c r="BA103" s="8" t="n">
        <v>55</v>
      </c>
      <c r="BB103" s="8" t="n">
        <v>6</v>
      </c>
      <c r="BC103" s="8" t="n">
        <v>0</v>
      </c>
      <c r="BD103" s="8" t="n">
        <v>14</v>
      </c>
      <c r="BE103" s="9">
        <f>BC103+BD103</f>
        <v/>
      </c>
      <c r="BF103" s="9">
        <f>BA103+BB103-BE103</f>
        <v/>
      </c>
      <c r="BG103" s="8" t="n">
        <v>0</v>
      </c>
      <c r="BH103" s="8" t="n">
        <v>0</v>
      </c>
      <c r="BI103" s="8" t="n">
        <v>0</v>
      </c>
      <c r="BJ103" s="8" t="n">
        <v>0</v>
      </c>
      <c r="BK103" s="9">
        <f>BI103+BJ103</f>
        <v/>
      </c>
      <c r="BL103" s="9">
        <f>BG103+BH103-BK103</f>
        <v/>
      </c>
      <c r="BM103" s="8" t="n">
        <v>0</v>
      </c>
      <c r="BN103" s="8" t="n">
        <v>0</v>
      </c>
      <c r="BO103" s="8" t="n">
        <v>0</v>
      </c>
      <c r="BP103" s="8" t="n">
        <v>0</v>
      </c>
      <c r="BQ103" s="9">
        <f>BO103+BP103</f>
        <v/>
      </c>
      <c r="BR103" s="9">
        <f>BM103+BN103-BQ103</f>
        <v/>
      </c>
      <c r="BS103" s="8" t="n">
        <v>0</v>
      </c>
      <c r="BT103" s="8" t="n">
        <v>0</v>
      </c>
      <c r="BU103" s="8" t="n">
        <v>0</v>
      </c>
      <c r="BV103" s="8" t="n">
        <v>0</v>
      </c>
      <c r="BW103" s="9">
        <f>BU103+BV103</f>
        <v/>
      </c>
      <c r="BX103" s="9">
        <f>BS103+BT103-BW103</f>
        <v/>
      </c>
      <c r="BY103" s="9">
        <f>BA103+BG103+BM103+BS103</f>
        <v/>
      </c>
      <c r="BZ103" s="9">
        <f>BB103+BH103+BN103+BT103</f>
        <v/>
      </c>
      <c r="CA103" s="9">
        <f>BE103+BK103+BQ103+BW103</f>
        <v/>
      </c>
      <c r="CB103" s="9">
        <f>BF103+BL103+BR103+BX103</f>
        <v/>
      </c>
      <c r="CC103" s="8" t="n">
        <v>14</v>
      </c>
      <c r="CD103" s="8" t="n">
        <v>982</v>
      </c>
      <c r="CE103" s="8" t="n">
        <v>5</v>
      </c>
      <c r="CF103" s="8" t="n">
        <v>22</v>
      </c>
      <c r="CG103" s="8" t="n">
        <v>20</v>
      </c>
      <c r="CH103" s="9">
        <f>CD103+CE103+CF103+CG103</f>
        <v/>
      </c>
      <c r="CI103" s="8" t="n">
        <v>905</v>
      </c>
      <c r="CJ103" s="8" t="n">
        <v>0</v>
      </c>
      <c r="CK103" s="8" t="n">
        <v>6</v>
      </c>
      <c r="CL103" s="8" t="n">
        <v>2</v>
      </c>
      <c r="CM103" s="9">
        <f>CI103+CJ103+CK103+CL103</f>
        <v/>
      </c>
      <c r="CN103" s="8" t="n">
        <v>710</v>
      </c>
      <c r="CO103" s="8" t="n">
        <v>39</v>
      </c>
      <c r="CP103" s="8" t="n">
        <v>108</v>
      </c>
      <c r="CQ103" s="8" t="n">
        <v>5</v>
      </c>
      <c r="CR103" s="9">
        <f>CN103+CO103+CP103+CQ103</f>
        <v/>
      </c>
      <c r="CS103" s="9">
        <f>CM103+CR103</f>
        <v/>
      </c>
      <c r="CT103" s="8" t="n">
        <v>2804</v>
      </c>
      <c r="CU103" s="8" t="n">
        <v>18200</v>
      </c>
      <c r="CV103" s="8" t="n">
        <v>16470</v>
      </c>
      <c r="CW103" s="10">
        <f>IF(CU103=0,"",CV103/CU103)</f>
        <v/>
      </c>
      <c r="CX103" s="8" t="n">
        <v>0</v>
      </c>
      <c r="CY103" s="8" t="n">
        <v>0</v>
      </c>
      <c r="CZ103" s="8" t="n">
        <v>0</v>
      </c>
      <c r="DA103" s="8" t="n">
        <v>0</v>
      </c>
      <c r="DB103" s="9">
        <f>CX103+CY103-CZ103-DA103</f>
        <v/>
      </c>
      <c r="DC103" s="8" t="n">
        <v>0</v>
      </c>
      <c r="DD103" s="8" t="n">
        <v>0</v>
      </c>
      <c r="DE103" s="8" t="n">
        <v>0</v>
      </c>
      <c r="DF103" s="8" t="n">
        <v>0</v>
      </c>
      <c r="DG103" s="9">
        <f>DC103+DD103-DE103-DF103</f>
        <v/>
      </c>
      <c r="DH103" s="8" t="n">
        <v>0</v>
      </c>
      <c r="DI103" s="8" t="n">
        <v>0</v>
      </c>
      <c r="DJ103" s="8" t="n">
        <v>0</v>
      </c>
      <c r="DK103" s="8" t="n">
        <v>0</v>
      </c>
      <c r="DL103" s="9">
        <f>DH103+DI103-DJ103-DK103</f>
        <v/>
      </c>
      <c r="DM103" s="8" t="n">
        <v>32</v>
      </c>
      <c r="DN103" s="8" t="n">
        <v>35</v>
      </c>
      <c r="DO103" s="8" t="n">
        <v>21</v>
      </c>
      <c r="DP103" s="8" t="n">
        <v>0</v>
      </c>
      <c r="DQ103" s="9">
        <f>DM103+DN103-DO103-DP103</f>
        <v/>
      </c>
      <c r="DR103" s="9">
        <f>CX103+DC103+DH103+DM103</f>
        <v/>
      </c>
      <c r="DS103" s="9">
        <f>CY103+DD103+DI103+DN103</f>
        <v/>
      </c>
      <c r="DT103" s="9">
        <f>CZ103+DE103+DJ103+DO103</f>
        <v/>
      </c>
      <c r="DU103" s="9">
        <f>DA103+DF103+DK103+DP103</f>
        <v/>
      </c>
      <c r="DV103" s="9">
        <f>DB103+DG103+DL103+DQ103</f>
        <v/>
      </c>
      <c r="DW103" s="8" t="n">
        <v>57</v>
      </c>
      <c r="DX103" s="8" t="n">
        <v>20</v>
      </c>
      <c r="DY103" s="8" t="n">
        <v>8</v>
      </c>
      <c r="DZ103" s="8" t="n">
        <v>8</v>
      </c>
      <c r="EA103" s="8" t="n">
        <v>3</v>
      </c>
      <c r="EB103" s="8" t="n">
        <v>1</v>
      </c>
      <c r="EC103" s="8" t="n">
        <v>1</v>
      </c>
      <c r="ED103" s="8" t="n">
        <v>0</v>
      </c>
      <c r="EE103" s="8" t="n">
        <v>0</v>
      </c>
      <c r="EF103" s="8" t="n">
        <v>2</v>
      </c>
      <c r="EG103" s="8" t="n">
        <v>0</v>
      </c>
      <c r="EH103" s="8" t="n">
        <v>0</v>
      </c>
      <c r="EI103" s="8" t="n">
        <v>0</v>
      </c>
      <c r="EJ103" s="8" t="n">
        <v>0</v>
      </c>
      <c r="EK103" s="8" t="n">
        <v>0</v>
      </c>
      <c r="EL103" s="8" t="n">
        <v>0</v>
      </c>
      <c r="EM103" s="8" t="n">
        <v>0</v>
      </c>
      <c r="EN103" s="8" t="n">
        <v>0</v>
      </c>
      <c r="EO103" s="8" t="n">
        <v>0</v>
      </c>
      <c r="EP103" s="8" t="n">
        <v>0</v>
      </c>
      <c r="EQ103" s="8" t="n">
        <v>0</v>
      </c>
      <c r="ER103" s="8" t="n">
        <v>0</v>
      </c>
      <c r="ES103" s="8" t="n">
        <v>0</v>
      </c>
      <c r="ET103" s="8" t="n">
        <v>0</v>
      </c>
      <c r="EU103" s="8" t="n">
        <v>0</v>
      </c>
      <c r="EV103" s="8" t="n">
        <v>0</v>
      </c>
      <c r="EW103" s="8" t="n">
        <v>0</v>
      </c>
      <c r="EX103" s="8" t="n">
        <v>0</v>
      </c>
      <c r="EY103" s="8" t="n">
        <v>0</v>
      </c>
      <c r="EZ103" s="8" t="n">
        <v>0</v>
      </c>
      <c r="FA103" s="8" t="n">
        <v>0</v>
      </c>
      <c r="FB103" s="8" t="n">
        <v>0</v>
      </c>
      <c r="FC103" s="8" t="n">
        <v>0</v>
      </c>
      <c r="FD103" s="8" t="n">
        <v>0</v>
      </c>
      <c r="FE103" s="8" t="n">
        <v>0</v>
      </c>
      <c r="FF103" s="8" t="n">
        <v>0</v>
      </c>
      <c r="FG103" s="9">
        <f>SUM(DW103,DX103,DY103,DZ103,EA103,EB103,EC103,ED103,EE103,EF103,EG103,EH103,EI103,EJ103,EK103,EL103,EM103,EN103,EO103,EP103,EQ103,ER103,ES103,ET103,EU103,EV103,EW103,EX103,EY103,EZ103,FA103,FB103,FC103,FD103,FE103,FF103)</f>
        <v/>
      </c>
      <c r="FH103" s="8" t="n">
        <v>0</v>
      </c>
      <c r="FI103" s="8" t="n">
        <v>0</v>
      </c>
      <c r="FJ103" s="8" t="n">
        <v>13</v>
      </c>
      <c r="FK103" s="8" t="n">
        <v>48</v>
      </c>
      <c r="FL103" s="8" t="n">
        <v>0</v>
      </c>
      <c r="FM103" s="8" t="n">
        <v>0</v>
      </c>
      <c r="FN103" s="8" t="n">
        <v>0</v>
      </c>
      <c r="FO103" s="8" t="n">
        <v>0</v>
      </c>
      <c r="FP103" s="8" t="n">
        <v>0</v>
      </c>
      <c r="FQ103" s="9">
        <f>FL103+FM103+FN103+FO103+FP103</f>
        <v/>
      </c>
      <c r="FR103" s="8" t="n">
        <v>4310931.66</v>
      </c>
      <c r="FS103" s="8" t="n">
        <v>270273.56</v>
      </c>
      <c r="FT103" s="8" t="n">
        <v>6500</v>
      </c>
      <c r="FU103" s="8" t="n">
        <v>72000</v>
      </c>
      <c r="FV103" s="9">
        <f>FR103+FS103+FT103+FU103</f>
        <v/>
      </c>
      <c r="FW103" s="8" t="n">
        <v>3549367.470000003</v>
      </c>
      <c r="FX103" s="8" t="n">
        <v>32671.77</v>
      </c>
      <c r="FY103" s="8" t="n">
        <v>1417720.23</v>
      </c>
      <c r="FZ103" s="8" t="n">
        <v>73789.39999999999</v>
      </c>
      <c r="GA103" s="9">
        <f>FW103+FX103+FY103+FZ103</f>
        <v/>
      </c>
      <c r="GB103" s="9">
        <f>FV103+GA103</f>
        <v/>
      </c>
      <c r="GC103" s="8" t="n">
        <v>4568787.24</v>
      </c>
      <c r="GD103" s="8" t="n">
        <v>2104.08</v>
      </c>
      <c r="GE103" s="8" t="n">
        <v>19059.63</v>
      </c>
      <c r="GF103" s="8" t="n">
        <v>64008.5</v>
      </c>
      <c r="GG103" s="9">
        <f>GC103+GD103+GE103+GF103</f>
        <v/>
      </c>
      <c r="GH103" s="8" t="n">
        <v>4653959.45</v>
      </c>
      <c r="GI103" s="8" t="n">
        <v>0</v>
      </c>
      <c r="GJ103" s="8" t="n">
        <v>0</v>
      </c>
      <c r="GK103" s="8" t="n">
        <v>0</v>
      </c>
      <c r="GL103" s="9">
        <f>GH103+GI103+GJ103+GK103</f>
        <v/>
      </c>
      <c r="GM103" s="9">
        <f>GG103+GL103</f>
        <v/>
      </c>
      <c r="GN103" s="8" t="n">
        <v>505843.46</v>
      </c>
      <c r="GO103" s="8" t="n">
        <v>382.56</v>
      </c>
      <c r="GP103" s="8" t="n">
        <v>3393.64</v>
      </c>
      <c r="GQ103" s="8" t="n">
        <v>27824.04</v>
      </c>
      <c r="GR103" s="9">
        <f>GN103+GO103+GP103+GQ103</f>
        <v/>
      </c>
      <c r="GS103" s="8" t="n">
        <v>807272</v>
      </c>
      <c r="GT103" s="8" t="n">
        <v>1786</v>
      </c>
      <c r="GU103" s="8" t="n">
        <v>893</v>
      </c>
      <c r="GV103" s="8" t="n">
        <v>5358</v>
      </c>
      <c r="GW103" s="9">
        <f>GS103+GT103+GU103+GV103</f>
        <v/>
      </c>
      <c r="GX103" s="9">
        <f>GM103+GR103+GW103</f>
        <v/>
      </c>
      <c r="GY103" s="8" t="n">
        <v>84752402.47</v>
      </c>
      <c r="GZ103" s="8" t="n">
        <v>123273620.77</v>
      </c>
      <c r="HA103" s="9">
        <f>GY103+GZ103</f>
        <v/>
      </c>
      <c r="HB103" s="9">
        <f>IF(GX103=0,"",AU103/GX103)</f>
        <v/>
      </c>
      <c r="HC103" s="10">
        <f>IF((GX103+GY103)=0,"",GB103/(GX103+GY103))</f>
        <v/>
      </c>
      <c r="HD103" s="9">
        <f>IF(GX103=0,"",GB103/GX103)</f>
        <v/>
      </c>
      <c r="HE103" s="8" t="n">
        <v>6</v>
      </c>
      <c r="HF103" s="8" t="n">
        <v>1</v>
      </c>
      <c r="HG103" s="8" t="n">
        <v>47</v>
      </c>
      <c r="HH103" s="8" t="n">
        <v>6</v>
      </c>
      <c r="HI103" s="8" t="n">
        <v>7</v>
      </c>
      <c r="HJ103" s="9">
        <f>HF103+HI103</f>
        <v/>
      </c>
      <c r="HK103" s="10">
        <f>IF(HE103=0,"",HH103/HE103)</f>
        <v/>
      </c>
      <c r="HL103" s="8" t="n">
        <v>14</v>
      </c>
      <c r="HM103" s="8" t="n">
        <v>30</v>
      </c>
      <c r="HN103" s="11">
        <f>IF(HL103=0,"",HM103/HL103)</f>
        <v/>
      </c>
    </row>
    <row r="104">
      <c r="A104" s="12" t="inlineStr">
        <is>
          <t>Mulanje</t>
        </is>
      </c>
      <c r="B104" s="12" t="inlineStr">
        <is>
          <t>Luchenza</t>
        </is>
      </c>
      <c r="C104" s="13" t="inlineStr">
        <is>
          <t>FY2025/26</t>
        </is>
      </c>
      <c r="D104" s="13" t="n">
        <v>2025</v>
      </c>
      <c r="E104" s="13" t="n">
        <v>9</v>
      </c>
      <c r="F104" s="13" t="inlineStr">
        <is>
          <t>September</t>
        </is>
      </c>
      <c r="G104" s="13" t="inlineStr">
        <is>
          <t>Q2</t>
        </is>
      </c>
      <c r="H104" s="14" t="n">
        <v>12402</v>
      </c>
      <c r="I104" s="14" t="n">
        <v>5393</v>
      </c>
      <c r="J104" s="14" t="n">
        <v>8</v>
      </c>
      <c r="K104" s="14" t="n">
        <v>10</v>
      </c>
      <c r="L104" s="14" t="n">
        <v>28</v>
      </c>
      <c r="M104" s="15">
        <f>SUM(I104,J104,K104,L104)</f>
        <v/>
      </c>
      <c r="N104" s="14" t="n">
        <v>2944</v>
      </c>
      <c r="O104" s="14" t="n">
        <v>201</v>
      </c>
      <c r="P104" s="14" t="n">
        <v>376</v>
      </c>
      <c r="Q104" s="14" t="n">
        <v>324</v>
      </c>
      <c r="R104" s="15">
        <f>SUM(N104,O104,P104,Q104)</f>
        <v/>
      </c>
      <c r="S104" s="15">
        <f>M104+R104</f>
        <v/>
      </c>
      <c r="T104" s="14" t="n">
        <v>3118</v>
      </c>
      <c r="U104" s="16">
        <f>IF(H104=0,"",T104/H104)</f>
        <v/>
      </c>
      <c r="V104" s="14" t="n">
        <v>35</v>
      </c>
      <c r="W104" s="17">
        <f>IF(H104=0,"",V104/H104)</f>
        <v/>
      </c>
      <c r="X104" s="14" t="n">
        <v>0</v>
      </c>
      <c r="Y104" s="17">
        <f>IF(H104=0,"",X104/H104)</f>
        <v/>
      </c>
      <c r="Z104" s="14" t="n">
        <v>0</v>
      </c>
      <c r="AA104" s="17">
        <f>IF(H104=0,"",Z104/H104)</f>
        <v/>
      </c>
      <c r="AB104" s="14" t="n">
        <v>0</v>
      </c>
      <c r="AC104" s="17">
        <f>IF(H104=0,"",AB104/H104)</f>
        <v/>
      </c>
      <c r="AD104" s="14" t="n">
        <v>0</v>
      </c>
      <c r="AE104" s="17">
        <f>IF(H104=0,"",AD104/H104)</f>
        <v/>
      </c>
      <c r="AF104" s="14" t="n">
        <v>0</v>
      </c>
      <c r="AG104" s="17">
        <f>IF(H104=0,"",AF104/H104)</f>
        <v/>
      </c>
      <c r="AH104" s="14" t="n">
        <v>178908.45</v>
      </c>
      <c r="AI104" s="15">
        <f>IF(H104=0,"",AH104/H104)</f>
        <v/>
      </c>
      <c r="AJ104" s="14" t="n">
        <v>6694</v>
      </c>
      <c r="AK104" s="17">
        <f>IF(H104=0,"",AJ104/H104)</f>
        <v/>
      </c>
      <c r="AL104" s="14" t="n">
        <v>945229.041</v>
      </c>
      <c r="AM104" s="15">
        <f>IF(H104=0,"",AL104/H104)</f>
        <v/>
      </c>
      <c r="AN104" s="14" t="n">
        <v>0</v>
      </c>
      <c r="AO104" s="14" t="n">
        <v>0</v>
      </c>
      <c r="AP104" s="14" t="n">
        <v>0</v>
      </c>
      <c r="AQ104" s="14" t="n">
        <v>0</v>
      </c>
      <c r="AR104" s="14" t="n">
        <v>8880982.82</v>
      </c>
      <c r="AS104" s="14" t="n">
        <v>2884104.56</v>
      </c>
      <c r="AT104" s="14" t="n">
        <v>902500</v>
      </c>
      <c r="AU104" s="15">
        <f>AH104+AL104+AP104+AQ104+AR104+AS104+AT104</f>
        <v/>
      </c>
      <c r="AV104" s="15">
        <f>IF(H104=0,"",AU104/H104)</f>
        <v/>
      </c>
      <c r="AW104" s="15">
        <f>IF(S104=0,"",AU104/S104)</f>
        <v/>
      </c>
      <c r="AX104" s="14" t="n">
        <v>7</v>
      </c>
      <c r="AY104" s="15">
        <f>IF(H104=0,"",AX104/(H104/1000/12))</f>
        <v/>
      </c>
      <c r="AZ104" s="14" t="n">
        <v>21</v>
      </c>
      <c r="BA104" s="14" t="n">
        <v>47</v>
      </c>
      <c r="BB104" s="14" t="n">
        <v>37</v>
      </c>
      <c r="BC104" s="14" t="n">
        <v>3</v>
      </c>
      <c r="BD104" s="14" t="n">
        <v>27</v>
      </c>
      <c r="BE104" s="15">
        <f>BC104+BD104</f>
        <v/>
      </c>
      <c r="BF104" s="15">
        <f>BA104+BB104-BE104</f>
        <v/>
      </c>
      <c r="BG104" s="14" t="n">
        <v>0</v>
      </c>
      <c r="BH104" s="14" t="n">
        <v>0</v>
      </c>
      <c r="BI104" s="14" t="n">
        <v>0</v>
      </c>
      <c r="BJ104" s="14" t="n">
        <v>0</v>
      </c>
      <c r="BK104" s="15">
        <f>BI104+BJ104</f>
        <v/>
      </c>
      <c r="BL104" s="15">
        <f>BG104+BH104-BK104</f>
        <v/>
      </c>
      <c r="BM104" s="14" t="n">
        <v>0</v>
      </c>
      <c r="BN104" s="14" t="n">
        <v>0</v>
      </c>
      <c r="BO104" s="14" t="n">
        <v>0</v>
      </c>
      <c r="BP104" s="14" t="n">
        <v>0</v>
      </c>
      <c r="BQ104" s="15">
        <f>BO104+BP104</f>
        <v/>
      </c>
      <c r="BR104" s="15">
        <f>BM104+BN104-BQ104</f>
        <v/>
      </c>
      <c r="BS104" s="14" t="n">
        <v>0</v>
      </c>
      <c r="BT104" s="14" t="n">
        <v>0</v>
      </c>
      <c r="BU104" s="14" t="n">
        <v>0</v>
      </c>
      <c r="BV104" s="14" t="n">
        <v>0</v>
      </c>
      <c r="BW104" s="15">
        <f>BU104+BV104</f>
        <v/>
      </c>
      <c r="BX104" s="15">
        <f>BS104+BT104-BW104</f>
        <v/>
      </c>
      <c r="BY104" s="15">
        <f>BA104+BG104+BM104+BS104</f>
        <v/>
      </c>
      <c r="BZ104" s="15">
        <f>BB104+BH104+BN104+BT104</f>
        <v/>
      </c>
      <c r="CA104" s="15">
        <f>BE104+BK104+BQ104+BW104</f>
        <v/>
      </c>
      <c r="CB104" s="15">
        <f>BF104+BL104+BR104+BX104</f>
        <v/>
      </c>
      <c r="CC104" s="14" t="n">
        <v>52</v>
      </c>
      <c r="CD104" s="14" t="n">
        <v>900</v>
      </c>
      <c r="CE104" s="14" t="n">
        <v>9</v>
      </c>
      <c r="CF104" s="14" t="n">
        <v>20</v>
      </c>
      <c r="CG104" s="14" t="n">
        <v>23</v>
      </c>
      <c r="CH104" s="15">
        <f>CD104+CE104+CF104+CG104</f>
        <v/>
      </c>
      <c r="CI104" s="14" t="n">
        <v>900</v>
      </c>
      <c r="CJ104" s="14" t="n">
        <v>1</v>
      </c>
      <c r="CK104" s="14" t="n">
        <v>6</v>
      </c>
      <c r="CL104" s="14" t="n">
        <v>2</v>
      </c>
      <c r="CM104" s="15">
        <f>CI104+CJ104+CK104+CL104</f>
        <v/>
      </c>
      <c r="CN104" s="14" t="n">
        <v>814</v>
      </c>
      <c r="CO104" s="14" t="n">
        <v>39</v>
      </c>
      <c r="CP104" s="14" t="n">
        <v>109</v>
      </c>
      <c r="CQ104" s="14" t="n">
        <v>9</v>
      </c>
      <c r="CR104" s="15">
        <f>CN104+CO104+CP104+CQ104</f>
        <v/>
      </c>
      <c r="CS104" s="15">
        <f>CM104+CR104</f>
        <v/>
      </c>
      <c r="CT104" s="14" t="n">
        <v>2832</v>
      </c>
      <c r="CU104" s="14" t="n">
        <v>18200</v>
      </c>
      <c r="CV104" s="14" t="n">
        <v>16470</v>
      </c>
      <c r="CW104" s="16">
        <f>IF(CU104=0,"",CV104/CU104)</f>
        <v/>
      </c>
      <c r="CX104" s="14" t="n"/>
      <c r="CY104" s="14" t="n"/>
      <c r="CZ104" s="14" t="n"/>
      <c r="DA104" s="14" t="n"/>
      <c r="DB104" s="15">
        <f>CX104+CY104-CZ104-DA104</f>
        <v/>
      </c>
      <c r="DC104" s="14" t="n">
        <v>0</v>
      </c>
      <c r="DD104" s="14" t="n">
        <v>0</v>
      </c>
      <c r="DE104" s="14" t="n">
        <v>0</v>
      </c>
      <c r="DF104" s="14" t="n">
        <v>0</v>
      </c>
      <c r="DG104" s="15">
        <f>DC104+DD104-DE104-DF104</f>
        <v/>
      </c>
      <c r="DH104" s="14" t="n">
        <v>0</v>
      </c>
      <c r="DI104" s="14" t="n">
        <v>0</v>
      </c>
      <c r="DJ104" s="14" t="n">
        <v>0</v>
      </c>
      <c r="DK104" s="14" t="n">
        <v>0</v>
      </c>
      <c r="DL104" s="15">
        <f>DH104+DI104-DJ104-DK104</f>
        <v/>
      </c>
      <c r="DM104" s="14" t="n">
        <v>46</v>
      </c>
      <c r="DN104" s="14" t="n">
        <v>5</v>
      </c>
      <c r="DO104" s="14" t="n">
        <v>28</v>
      </c>
      <c r="DP104" s="14" t="n">
        <v>3</v>
      </c>
      <c r="DQ104" s="15">
        <f>DM104+DN104-DO104-DP104</f>
        <v/>
      </c>
      <c r="DR104" s="15">
        <f>CX104+DC104+DH104+DM104</f>
        <v/>
      </c>
      <c r="DS104" s="15">
        <f>CY104+DD104+DI104+DN104</f>
        <v/>
      </c>
      <c r="DT104" s="15">
        <f>CZ104+DE104+DJ104+DO104</f>
        <v/>
      </c>
      <c r="DU104" s="15">
        <f>DA104+DF104+DK104+DP104</f>
        <v/>
      </c>
      <c r="DV104" s="15">
        <f>DB104+DG104+DL104+DQ104</f>
        <v/>
      </c>
      <c r="DW104" s="14" t="n">
        <v>43</v>
      </c>
      <c r="DX104" s="14" t="n">
        <v>16</v>
      </c>
      <c r="DY104" s="14" t="n">
        <v>10</v>
      </c>
      <c r="DZ104" s="14" t="n">
        <v>10</v>
      </c>
      <c r="EA104" s="14" t="n">
        <v>11</v>
      </c>
      <c r="EB104" s="14" t="n">
        <v>4</v>
      </c>
      <c r="EC104" s="14" t="n">
        <v>4</v>
      </c>
      <c r="ED104" s="14" t="n">
        <v>2</v>
      </c>
      <c r="EE104" s="14" t="n">
        <v>2</v>
      </c>
      <c r="EF104" s="14" t="n">
        <v>3</v>
      </c>
      <c r="EG104" s="14" t="n">
        <v>0</v>
      </c>
      <c r="EH104" s="14" t="n">
        <v>0</v>
      </c>
      <c r="EI104" s="14" t="n">
        <v>0</v>
      </c>
      <c r="EJ104" s="14" t="n">
        <v>0</v>
      </c>
      <c r="EK104" s="14" t="n">
        <v>0</v>
      </c>
      <c r="EL104" s="14" t="n">
        <v>0</v>
      </c>
      <c r="EM104" s="14" t="n">
        <v>0</v>
      </c>
      <c r="EN104" s="14" t="n">
        <v>0</v>
      </c>
      <c r="EO104" s="14" t="n">
        <v>0</v>
      </c>
      <c r="EP104" s="14" t="n">
        <v>0</v>
      </c>
      <c r="EQ104" s="14" t="n">
        <v>0</v>
      </c>
      <c r="ER104" s="14" t="n">
        <v>0</v>
      </c>
      <c r="ES104" s="14" t="n">
        <v>0</v>
      </c>
      <c r="ET104" s="14" t="n">
        <v>0</v>
      </c>
      <c r="EU104" s="14" t="n">
        <v>0</v>
      </c>
      <c r="EV104" s="14" t="n">
        <v>0</v>
      </c>
      <c r="EW104" s="14" t="n">
        <v>0</v>
      </c>
      <c r="EX104" s="14" t="n">
        <v>0</v>
      </c>
      <c r="EY104" s="14" t="n">
        <v>0</v>
      </c>
      <c r="EZ104" s="14" t="n">
        <v>0</v>
      </c>
      <c r="FA104" s="14" t="n">
        <v>0</v>
      </c>
      <c r="FB104" s="14" t="n">
        <v>0</v>
      </c>
      <c r="FC104" s="14" t="n">
        <v>0</v>
      </c>
      <c r="FD104" s="14" t="n">
        <v>0</v>
      </c>
      <c r="FE104" s="14" t="n">
        <v>0</v>
      </c>
      <c r="FF104" s="14" t="n">
        <v>0</v>
      </c>
      <c r="FG104" s="15">
        <f>SUM(DW104,DX104,DY104,DZ104,EA104,EB104,EC104,ED104,EE104,EF104,EG104,EH104,EI104,EJ104,EK104,EL104,EM104,EN104,EO104,EP104,EQ104,ER104,ES104,ET104,EU104,EV104,EW104,EX104,EY104,EZ104,FA104,FB104,FC104,FD104,FE104,FF104)</f>
        <v/>
      </c>
      <c r="FH104" s="14" t="n">
        <v>89</v>
      </c>
      <c r="FI104" s="14" t="n">
        <v>0</v>
      </c>
      <c r="FJ104" s="14" t="n">
        <v>13</v>
      </c>
      <c r="FK104" s="14" t="n">
        <v>41</v>
      </c>
      <c r="FL104" s="14" t="n">
        <v>41</v>
      </c>
      <c r="FM104" s="14" t="n">
        <v>0</v>
      </c>
      <c r="FN104" s="14" t="n">
        <v>0</v>
      </c>
      <c r="FO104" s="14" t="n">
        <v>0</v>
      </c>
      <c r="FP104" s="14" t="n">
        <v>0</v>
      </c>
      <c r="FQ104" s="15">
        <f>FL104+FM104+FN104+FO104+FP104</f>
        <v/>
      </c>
      <c r="FR104" s="14" t="n">
        <v>5587723.65</v>
      </c>
      <c r="FS104" s="14" t="n">
        <v>5000</v>
      </c>
      <c r="FT104" s="14" t="n">
        <v>57000</v>
      </c>
      <c r="FU104" s="14" t="n">
        <v>0</v>
      </c>
      <c r="FV104" s="15">
        <f>FR104+FS104+FT104+FU104</f>
        <v/>
      </c>
      <c r="FW104" s="14" t="n">
        <v>4148130.510000017</v>
      </c>
      <c r="FX104" s="14" t="n">
        <v>42624.88</v>
      </c>
      <c r="FY104" s="14" t="n">
        <v>1636076.41</v>
      </c>
      <c r="FZ104" s="14" t="n">
        <v>1165400</v>
      </c>
      <c r="GA104" s="15">
        <f>FW104+FX104+FY104+FZ104</f>
        <v/>
      </c>
      <c r="GB104" s="15">
        <f>FV104+GA104</f>
        <v/>
      </c>
      <c r="GC104" s="14" t="n">
        <v>4879398.5</v>
      </c>
      <c r="GD104" s="14" t="n">
        <v>1530.24</v>
      </c>
      <c r="GE104" s="14" t="n">
        <v>24383.95</v>
      </c>
      <c r="GF104" s="14" t="n">
        <v>67394.14</v>
      </c>
      <c r="GG104" s="15">
        <f>GC104+GD104+GE104+GF104</f>
        <v/>
      </c>
      <c r="GH104" s="14" t="n">
        <v>4972706.83</v>
      </c>
      <c r="GI104" s="14" t="n">
        <v>0</v>
      </c>
      <c r="GJ104" s="14" t="n">
        <v>0</v>
      </c>
      <c r="GK104" s="14" t="n">
        <v>0</v>
      </c>
      <c r="GL104" s="15">
        <f>GH104+GI104+GJ104+GK104</f>
        <v/>
      </c>
      <c r="GM104" s="15">
        <f>GG104+GL104</f>
        <v/>
      </c>
      <c r="GN104" s="14" t="n">
        <v>503602.73</v>
      </c>
      <c r="GO104" s="14" t="n">
        <v>382.56</v>
      </c>
      <c r="GP104" s="14" t="n">
        <v>3393.64</v>
      </c>
      <c r="GQ104" s="14" t="n">
        <v>27824.04</v>
      </c>
      <c r="GR104" s="15">
        <f>GN104+GO104+GP104+GQ104</f>
        <v/>
      </c>
      <c r="GS104" s="14" t="n">
        <v>803700</v>
      </c>
      <c r="GT104" s="14" t="n">
        <v>1786</v>
      </c>
      <c r="GU104" s="14" t="n">
        <v>893</v>
      </c>
      <c r="GV104" s="14" t="n">
        <v>5358</v>
      </c>
      <c r="GW104" s="15">
        <f>GS104+GT104+GU104+GV104</f>
        <v/>
      </c>
      <c r="GX104" s="15">
        <f>GM104+GR104+GW104</f>
        <v/>
      </c>
      <c r="GY104" s="14" t="n">
        <v>84752402.47</v>
      </c>
      <c r="GZ104" s="14" t="n">
        <v>123273620.77</v>
      </c>
      <c r="HA104" s="15">
        <f>GY104+GZ104</f>
        <v/>
      </c>
      <c r="HB104" s="15">
        <f>IF(GX104=0,"",AU104/GX104)</f>
        <v/>
      </c>
      <c r="HC104" s="16">
        <f>IF((GX104+GY104)=0,"",GB104/(GX104+GY104))</f>
        <v/>
      </c>
      <c r="HD104" s="15">
        <f>IF(GX104=0,"",GB104/GX104)</f>
        <v/>
      </c>
      <c r="HE104" s="14" t="n">
        <v>37</v>
      </c>
      <c r="HF104" s="14" t="n">
        <v>1</v>
      </c>
      <c r="HG104" s="14" t="n">
        <v>54</v>
      </c>
      <c r="HH104" s="14" t="n">
        <v>37</v>
      </c>
      <c r="HI104" s="14" t="n">
        <v>7</v>
      </c>
      <c r="HJ104" s="15">
        <f>HF104+HI104</f>
        <v/>
      </c>
      <c r="HK104" s="16">
        <f>IF(HE104=0,"",HH104/HE104)</f>
        <v/>
      </c>
      <c r="HL104" s="14" t="n">
        <v>25</v>
      </c>
      <c r="HM104" s="14" t="n">
        <v>30</v>
      </c>
      <c r="HN104" s="17">
        <f>IF(HL104=0,"",HM104/HL104)</f>
        <v/>
      </c>
    </row>
    <row r="105">
      <c r="A105" s="6" t="inlineStr">
        <is>
          <t>Mulanje</t>
        </is>
      </c>
      <c r="B105" s="6" t="inlineStr">
        <is>
          <t>Luchenza</t>
        </is>
      </c>
      <c r="C105" s="7" t="inlineStr">
        <is>
          <t>FY2025/26</t>
        </is>
      </c>
      <c r="D105" s="7" t="n">
        <v>2025</v>
      </c>
      <c r="E105" s="7" t="n">
        <v>10</v>
      </c>
      <c r="F105" s="7" t="inlineStr">
        <is>
          <t>October</t>
        </is>
      </c>
      <c r="G105" s="7" t="inlineStr">
        <is>
          <t>Q3</t>
        </is>
      </c>
      <c r="H105" s="8" t="n">
        <v>14620</v>
      </c>
      <c r="I105" s="8" t="n">
        <v>5084</v>
      </c>
      <c r="J105" s="8" t="n">
        <v>8</v>
      </c>
      <c r="K105" s="8" t="n">
        <v>8</v>
      </c>
      <c r="L105" s="8" t="n">
        <v>22</v>
      </c>
      <c r="M105" s="9">
        <f>SUM(I105,J105,K105,L105)</f>
        <v/>
      </c>
      <c r="N105" s="8" t="n">
        <v>4523</v>
      </c>
      <c r="O105" s="8" t="n">
        <v>102</v>
      </c>
      <c r="P105" s="8" t="n">
        <v>816</v>
      </c>
      <c r="Q105" s="8" t="n">
        <v>365</v>
      </c>
      <c r="R105" s="9">
        <f>SUM(N105,O105,P105,Q105)</f>
        <v/>
      </c>
      <c r="S105" s="9">
        <f>M105+R105</f>
        <v/>
      </c>
      <c r="T105" s="8" t="n">
        <v>3692</v>
      </c>
      <c r="U105" s="10">
        <f>IF(H105=0,"",T105/H105)</f>
        <v/>
      </c>
      <c r="V105" s="8" t="n">
        <v>40</v>
      </c>
      <c r="W105" s="11">
        <f>IF(H105=0,"",V105/H105)</f>
        <v/>
      </c>
      <c r="X105" s="8" t="n">
        <v>0</v>
      </c>
      <c r="Y105" s="11">
        <f>IF(H105=0,"",X105/H105)</f>
        <v/>
      </c>
      <c r="Z105" s="8" t="n">
        <v>0</v>
      </c>
      <c r="AA105" s="11">
        <f>IF(H105=0,"",Z105/H105)</f>
        <v/>
      </c>
      <c r="AB105" s="8" t="n">
        <v>0</v>
      </c>
      <c r="AC105" s="11">
        <f>IF(H105=0,"",AB105/H105)</f>
        <v/>
      </c>
      <c r="AD105" s="8" t="n">
        <v>0</v>
      </c>
      <c r="AE105" s="11">
        <f>IF(H105=0,"",AD105/H105)</f>
        <v/>
      </c>
      <c r="AF105" s="8" t="n">
        <v>0</v>
      </c>
      <c r="AG105" s="11">
        <f>IF(H105=0,"",AF105/H105)</f>
        <v/>
      </c>
      <c r="AH105" s="8" t="n">
        <v>204466.8</v>
      </c>
      <c r="AI105" s="9">
        <f>IF(H105=0,"",AH105/H105)</f>
        <v/>
      </c>
      <c r="AJ105" s="8" t="n">
        <v>6521</v>
      </c>
      <c r="AK105" s="11">
        <f>IF(H105=0,"",AJ105/H105)</f>
        <v/>
      </c>
      <c r="AL105" s="8" t="n">
        <v>921225.0315</v>
      </c>
      <c r="AM105" s="9">
        <f>IF(H105=0,"",AL105/H105)</f>
        <v/>
      </c>
      <c r="AN105" s="8" t="n">
        <v>0</v>
      </c>
      <c r="AO105" s="8" t="n">
        <v>0</v>
      </c>
      <c r="AP105" s="8" t="n">
        <v>0</v>
      </c>
      <c r="AQ105" s="8" t="n">
        <v>0</v>
      </c>
      <c r="AR105" s="8" t="n">
        <v>8857604.335000001</v>
      </c>
      <c r="AS105" s="8" t="n">
        <v>0</v>
      </c>
      <c r="AT105" s="8" t="n">
        <v>0</v>
      </c>
      <c r="AU105" s="9">
        <f>AH105+AL105+AP105+AQ105+AR105+AS105+AT105</f>
        <v/>
      </c>
      <c r="AV105" s="9">
        <f>IF(H105=0,"",AU105/H105)</f>
        <v/>
      </c>
      <c r="AW105" s="9">
        <f>IF(S105=0,"",AU105/S105)</f>
        <v/>
      </c>
      <c r="AX105" s="8" t="n">
        <v>7</v>
      </c>
      <c r="AY105" s="9">
        <f>IF(H105=0,"",AX105/(H105/1000/12))</f>
        <v/>
      </c>
      <c r="AZ105" s="8" t="n">
        <v>21</v>
      </c>
      <c r="BA105" s="8" t="n">
        <v>54</v>
      </c>
      <c r="BB105" s="8" t="n">
        <v>17</v>
      </c>
      <c r="BC105" s="8" t="n">
        <v>0</v>
      </c>
      <c r="BD105" s="8" t="n">
        <v>17</v>
      </c>
      <c r="BE105" s="9">
        <f>BC105+BD105</f>
        <v/>
      </c>
      <c r="BF105" s="9">
        <f>BA105+BB105-BE105</f>
        <v/>
      </c>
      <c r="BG105" s="8" t="n">
        <v>0</v>
      </c>
      <c r="BH105" s="8" t="n">
        <v>0</v>
      </c>
      <c r="BI105" s="8" t="n">
        <v>0</v>
      </c>
      <c r="BJ105" s="8" t="n">
        <v>0</v>
      </c>
      <c r="BK105" s="9">
        <f>BI105+BJ105</f>
        <v/>
      </c>
      <c r="BL105" s="9">
        <f>BG105+BH105-BK105</f>
        <v/>
      </c>
      <c r="BM105" s="8" t="n">
        <v>0</v>
      </c>
      <c r="BN105" s="8" t="n">
        <v>0</v>
      </c>
      <c r="BO105" s="8" t="n">
        <v>0</v>
      </c>
      <c r="BP105" s="8" t="n">
        <v>0</v>
      </c>
      <c r="BQ105" s="9">
        <f>BO105+BP105</f>
        <v/>
      </c>
      <c r="BR105" s="9">
        <f>BM105+BN105-BQ105</f>
        <v/>
      </c>
      <c r="BS105" s="8" t="n">
        <v>0</v>
      </c>
      <c r="BT105" s="8" t="n">
        <v>0</v>
      </c>
      <c r="BU105" s="8" t="n">
        <v>0</v>
      </c>
      <c r="BV105" s="8" t="n">
        <v>0</v>
      </c>
      <c r="BW105" s="9">
        <f>BU105+BV105</f>
        <v/>
      </c>
      <c r="BX105" s="9">
        <f>BS105+BT105-BW105</f>
        <v/>
      </c>
      <c r="BY105" s="9">
        <f>BA105+BG105+BM105+BS105</f>
        <v/>
      </c>
      <c r="BZ105" s="9">
        <f>BB105+BH105+BN105+BT105</f>
        <v/>
      </c>
      <c r="CA105" s="9">
        <f>BE105+BK105+BQ105+BW105</f>
        <v/>
      </c>
      <c r="CB105" s="9">
        <f>BF105+BL105+BR105+BX105</f>
        <v/>
      </c>
      <c r="CC105" s="8" t="n">
        <v>70</v>
      </c>
      <c r="CD105" s="8" t="n">
        <v>876</v>
      </c>
      <c r="CE105" s="8" t="n">
        <v>9</v>
      </c>
      <c r="CF105" s="8" t="n">
        <v>20</v>
      </c>
      <c r="CG105" s="8" t="n">
        <v>23</v>
      </c>
      <c r="CH105" s="9">
        <f>CD105+CE105+CF105+CG105</f>
        <v/>
      </c>
      <c r="CI105" s="8" t="n">
        <v>867</v>
      </c>
      <c r="CJ105" s="8" t="n">
        <v>2</v>
      </c>
      <c r="CK105" s="8" t="n">
        <v>1</v>
      </c>
      <c r="CL105" s="8" t="n">
        <v>6</v>
      </c>
      <c r="CM105" s="9">
        <f>CI105+CJ105+CK105+CL105</f>
        <v/>
      </c>
      <c r="CN105" s="8" t="n">
        <v>891</v>
      </c>
      <c r="CO105" s="8" t="n">
        <v>39</v>
      </c>
      <c r="CP105" s="8" t="n">
        <v>109</v>
      </c>
      <c r="CQ105" s="8" t="n">
        <v>9</v>
      </c>
      <c r="CR105" s="9">
        <f>CN105+CO105+CP105+CQ105</f>
        <v/>
      </c>
      <c r="CS105" s="9">
        <f>CM105+CR105</f>
        <v/>
      </c>
      <c r="CT105" s="8" t="n">
        <v>2852</v>
      </c>
      <c r="CU105" s="8" t="n">
        <v>18200</v>
      </c>
      <c r="CV105" s="8" t="n">
        <v>16485</v>
      </c>
      <c r="CW105" s="10">
        <f>IF(CU105=0,"",CV105/CU105)</f>
        <v/>
      </c>
      <c r="CX105" s="8" t="n"/>
      <c r="CY105" s="8" t="n"/>
      <c r="CZ105" s="8" t="n"/>
      <c r="DA105" s="8" t="n"/>
      <c r="DB105" s="9">
        <f>CX105+CY105-CZ105-DA105</f>
        <v/>
      </c>
      <c r="DC105" s="8" t="n">
        <v>0</v>
      </c>
      <c r="DD105" s="8" t="n">
        <v>0</v>
      </c>
      <c r="DE105" s="8" t="n">
        <v>0</v>
      </c>
      <c r="DF105" s="8" t="n">
        <v>0</v>
      </c>
      <c r="DG105" s="9">
        <f>DC105+DD105-DE105-DF105</f>
        <v/>
      </c>
      <c r="DH105" s="8" t="n">
        <v>0</v>
      </c>
      <c r="DI105" s="8" t="n">
        <v>0</v>
      </c>
      <c r="DJ105" s="8" t="n">
        <v>0</v>
      </c>
      <c r="DK105" s="8" t="n">
        <v>0</v>
      </c>
      <c r="DL105" s="9">
        <f>DH105+DI105-DJ105-DK105</f>
        <v/>
      </c>
      <c r="DM105" s="8" t="n">
        <v>20</v>
      </c>
      <c r="DN105" s="8" t="n">
        <v>0</v>
      </c>
      <c r="DO105" s="8" t="n">
        <v>0</v>
      </c>
      <c r="DP105" s="8" t="n">
        <v>0</v>
      </c>
      <c r="DQ105" s="9">
        <f>DM105+DN105-DO105-DP105</f>
        <v/>
      </c>
      <c r="DR105" s="9">
        <f>CX105+DC105+DH105+DM105</f>
        <v/>
      </c>
      <c r="DS105" s="9">
        <f>CY105+DD105+DI105+DN105</f>
        <v/>
      </c>
      <c r="DT105" s="9">
        <f>CZ105+DE105+DJ105+DO105</f>
        <v/>
      </c>
      <c r="DU105" s="9">
        <f>DA105+DF105+DK105+DP105</f>
        <v/>
      </c>
      <c r="DV105" s="9">
        <f>DB105+DG105+DL105+DQ105</f>
        <v/>
      </c>
      <c r="DW105" s="8" t="n">
        <v>43</v>
      </c>
      <c r="DX105" s="8" t="n">
        <v>16</v>
      </c>
      <c r="DY105" s="8" t="n">
        <v>10</v>
      </c>
      <c r="DZ105" s="8" t="n">
        <v>10</v>
      </c>
      <c r="EA105" s="8" t="n">
        <v>11</v>
      </c>
      <c r="EB105" s="8" t="n">
        <v>4</v>
      </c>
      <c r="EC105" s="8" t="n">
        <v>4</v>
      </c>
      <c r="ED105" s="8" t="n">
        <v>2</v>
      </c>
      <c r="EE105" s="8" t="n">
        <v>2</v>
      </c>
      <c r="EF105" s="8" t="n">
        <v>3</v>
      </c>
      <c r="EG105" s="8" t="n">
        <v>0</v>
      </c>
      <c r="EH105" s="8" t="n">
        <v>0</v>
      </c>
      <c r="EI105" s="8" t="n">
        <v>0</v>
      </c>
      <c r="EJ105" s="8" t="n">
        <v>0</v>
      </c>
      <c r="EK105" s="8" t="n">
        <v>0</v>
      </c>
      <c r="EL105" s="8" t="n">
        <v>0</v>
      </c>
      <c r="EM105" s="8" t="n">
        <v>0</v>
      </c>
      <c r="EN105" s="8" t="n">
        <v>0</v>
      </c>
      <c r="EO105" s="8" t="n">
        <v>0</v>
      </c>
      <c r="EP105" s="8" t="n">
        <v>0</v>
      </c>
      <c r="EQ105" s="8" t="n">
        <v>0</v>
      </c>
      <c r="ER105" s="8" t="n">
        <v>0</v>
      </c>
      <c r="ES105" s="8" t="n">
        <v>0</v>
      </c>
      <c r="ET105" s="8" t="n">
        <v>0</v>
      </c>
      <c r="EU105" s="8" t="n">
        <v>0</v>
      </c>
      <c r="EV105" s="8" t="n">
        <v>0</v>
      </c>
      <c r="EW105" s="8" t="n">
        <v>0</v>
      </c>
      <c r="EX105" s="8" t="n">
        <v>0</v>
      </c>
      <c r="EY105" s="8" t="n">
        <v>0</v>
      </c>
      <c r="EZ105" s="8" t="n">
        <v>0</v>
      </c>
      <c r="FA105" s="8" t="n">
        <v>0</v>
      </c>
      <c r="FB105" s="8" t="n">
        <v>0</v>
      </c>
      <c r="FC105" s="8" t="n">
        <v>0</v>
      </c>
      <c r="FD105" s="8" t="n">
        <v>0</v>
      </c>
      <c r="FE105" s="8" t="n">
        <v>0</v>
      </c>
      <c r="FF105" s="8" t="n">
        <v>0</v>
      </c>
      <c r="FG105" s="9">
        <f>SUM(DW105,DX105,DY105,DZ105,EA105,EB105,EC105,ED105,EE105,EF105,EG105,EH105,EI105,EJ105,EK105,EL105,EM105,EN105,EO105,EP105,EQ105,ER105,ES105,ET105,EU105,EV105,EW105,EX105,EY105,EZ105,FA105,FB105,FC105,FD105,FE105,FF105)</f>
        <v/>
      </c>
      <c r="FH105" s="8" t="n">
        <v>89</v>
      </c>
      <c r="FI105" s="8" t="n">
        <v>0</v>
      </c>
      <c r="FJ105" s="8" t="n">
        <v>13</v>
      </c>
      <c r="FK105" s="8" t="n">
        <v>13</v>
      </c>
      <c r="FL105" s="8" t="n">
        <v>0</v>
      </c>
      <c r="FM105" s="8" t="n">
        <v>0</v>
      </c>
      <c r="FN105" s="8" t="n">
        <v>0</v>
      </c>
      <c r="FO105" s="8" t="n">
        <v>0</v>
      </c>
      <c r="FP105" s="8" t="n">
        <v>0</v>
      </c>
      <c r="FQ105" s="9">
        <f>FL105+FM105+FN105+FO105+FP105</f>
        <v/>
      </c>
      <c r="FR105" s="8" t="n">
        <v>7718528.88</v>
      </c>
      <c r="FS105" s="8" t="n">
        <v>7718528.88</v>
      </c>
      <c r="FT105" s="8" t="n">
        <v>40500</v>
      </c>
      <c r="FU105" s="8" t="n">
        <v>5000</v>
      </c>
      <c r="FV105" s="9">
        <f>FR105+FS105+FT105+FU105</f>
        <v/>
      </c>
      <c r="FW105" s="8" t="n">
        <v>6033490.46</v>
      </c>
      <c r="FX105" s="8" t="n">
        <v>21600</v>
      </c>
      <c r="FY105" s="8" t="n">
        <v>1775328.09</v>
      </c>
      <c r="FZ105" s="8" t="n">
        <v>2501450</v>
      </c>
      <c r="GA105" s="9">
        <f>FW105+FX105+FY105+FZ105</f>
        <v/>
      </c>
      <c r="GB105" s="9">
        <f>FV105+GA105</f>
        <v/>
      </c>
      <c r="GC105" s="8" t="n">
        <v>4534007.25</v>
      </c>
      <c r="GD105" s="8" t="n">
        <v>1530.24</v>
      </c>
      <c r="GE105" s="8" t="n">
        <v>19059.63</v>
      </c>
      <c r="GF105" s="8" t="n">
        <v>53851.58</v>
      </c>
      <c r="GG105" s="9">
        <f>GC105+GD105+GE105+GF105</f>
        <v/>
      </c>
      <c r="GH105" s="8" t="n">
        <v>4608448.7</v>
      </c>
      <c r="GI105" s="8" t="n">
        <v>0</v>
      </c>
      <c r="GJ105" s="8" t="n">
        <v>0</v>
      </c>
      <c r="GK105" s="8" t="n">
        <v>0</v>
      </c>
      <c r="GL105" s="9">
        <f>GH105+GI105+GJ105+GK105</f>
        <v/>
      </c>
      <c r="GM105" s="9">
        <f>GG105+GL105</f>
        <v/>
      </c>
      <c r="GN105" s="8" t="n">
        <v>484884.45</v>
      </c>
      <c r="GO105" s="8" t="n">
        <v>382.56</v>
      </c>
      <c r="GP105" s="8" t="n">
        <v>3393.64</v>
      </c>
      <c r="GQ105" s="8" t="n">
        <v>27824.04</v>
      </c>
      <c r="GR105" s="9">
        <f>GN105+GO105+GP105+GQ105</f>
        <v/>
      </c>
      <c r="GS105" s="8" t="n">
        <v>774231</v>
      </c>
      <c r="GT105" s="8" t="n">
        <v>1786</v>
      </c>
      <c r="GU105" s="8" t="n">
        <v>893</v>
      </c>
      <c r="GV105" s="8" t="n">
        <v>5358</v>
      </c>
      <c r="GW105" s="9">
        <f>GS105+GT105+GU105+GV105</f>
        <v/>
      </c>
      <c r="GX105" s="9">
        <f>GM105+GR105+GW105</f>
        <v/>
      </c>
      <c r="GY105" s="8" t="n">
        <v>83256523.27</v>
      </c>
      <c r="GZ105" s="8" t="n">
        <v>123273620.77</v>
      </c>
      <c r="HA105" s="9">
        <f>GY105+GZ105</f>
        <v/>
      </c>
      <c r="HB105" s="9">
        <f>IF(GX105=0,"",AU105/GX105)</f>
        <v/>
      </c>
      <c r="HC105" s="10">
        <f>IF((GX105+GY105)=0,"",GB105/(GX105+GY105))</f>
        <v/>
      </c>
      <c r="HD105" s="9">
        <f>IF(GX105=0,"",GB105/GX105)</f>
        <v/>
      </c>
      <c r="HE105" s="8" t="n">
        <v>17</v>
      </c>
      <c r="HF105" s="8" t="n">
        <v>1</v>
      </c>
      <c r="HG105" s="8" t="n">
        <v>54</v>
      </c>
      <c r="HH105" s="8" t="n">
        <v>17</v>
      </c>
      <c r="HI105" s="8" t="n">
        <v>7</v>
      </c>
      <c r="HJ105" s="9">
        <f>HF105+HI105</f>
        <v/>
      </c>
      <c r="HK105" s="10">
        <f>IF(HE105=0,"",HH105/HE105)</f>
        <v/>
      </c>
      <c r="HL105" s="8" t="n">
        <v>16</v>
      </c>
      <c r="HM105" s="8" t="n">
        <v>30</v>
      </c>
      <c r="HN105" s="11">
        <f>IF(HL105=0,"",HM105/HL105)</f>
        <v/>
      </c>
    </row>
    <row r="106">
      <c r="A106" s="12" t="inlineStr">
        <is>
          <t>Mulanje</t>
        </is>
      </c>
      <c r="B106" s="12" t="inlineStr">
        <is>
          <t>Luchenza</t>
        </is>
      </c>
      <c r="C106" s="13" t="inlineStr">
        <is>
          <t>FY2025/26</t>
        </is>
      </c>
      <c r="D106" s="13" t="n">
        <v>2025</v>
      </c>
      <c r="E106" s="13" t="n">
        <v>11</v>
      </c>
      <c r="F106" s="13" t="inlineStr">
        <is>
          <t>November</t>
        </is>
      </c>
      <c r="G106" s="13" t="inlineStr">
        <is>
          <t>Q3</t>
        </is>
      </c>
      <c r="H106" s="14" t="n">
        <v>16570</v>
      </c>
      <c r="I106" s="14" t="n">
        <v>6090</v>
      </c>
      <c r="J106" s="14" t="n">
        <v>8</v>
      </c>
      <c r="K106" s="14" t="n">
        <v>13</v>
      </c>
      <c r="L106" s="14" t="n">
        <v>25</v>
      </c>
      <c r="M106" s="15">
        <f>SUM(I106,J106,K106,L106)</f>
        <v/>
      </c>
      <c r="N106" s="14" t="n">
        <v>4392</v>
      </c>
      <c r="O106" s="14" t="n">
        <v>131</v>
      </c>
      <c r="P106" s="14" t="n">
        <v>1757</v>
      </c>
      <c r="Q106" s="14" t="n">
        <v>299</v>
      </c>
      <c r="R106" s="15">
        <f>SUM(N106,O106,P106,Q106)</f>
        <v/>
      </c>
      <c r="S106" s="15">
        <f>M106+R106</f>
        <v/>
      </c>
      <c r="T106" s="14" t="n">
        <v>3855</v>
      </c>
      <c r="U106" s="16">
        <f>IF(H106=0,"",T106/H106)</f>
        <v/>
      </c>
      <c r="V106" s="14" t="n">
        <v>48</v>
      </c>
      <c r="W106" s="17">
        <f>IF(H106=0,"",V106/H106)</f>
        <v/>
      </c>
      <c r="X106" s="14" t="n">
        <v>0</v>
      </c>
      <c r="Y106" s="17">
        <f>IF(H106=0,"",X106/H106)</f>
        <v/>
      </c>
      <c r="Z106" s="14" t="n">
        <v>0</v>
      </c>
      <c r="AA106" s="17">
        <f>IF(H106=0,"",Z106/H106)</f>
        <v/>
      </c>
      <c r="AB106" s="14" t="n">
        <v>0</v>
      </c>
      <c r="AC106" s="17">
        <f>IF(H106=0,"",AB106/H106)</f>
        <v/>
      </c>
      <c r="AD106" s="14" t="n">
        <v>0</v>
      </c>
      <c r="AE106" s="17">
        <f>IF(H106=0,"",AD106/H106)</f>
        <v/>
      </c>
      <c r="AF106" s="14" t="n">
        <v>0</v>
      </c>
      <c r="AG106" s="17">
        <f>IF(H106=0,"",AF106/H106)</f>
        <v/>
      </c>
      <c r="AH106" s="14" t="n">
        <v>245360.16</v>
      </c>
      <c r="AI106" s="15">
        <f>IF(H106=0,"",AH106/H106)</f>
        <v/>
      </c>
      <c r="AJ106" s="14" t="n">
        <v>6259</v>
      </c>
      <c r="AK106" s="17">
        <f>IF(H106=0,"",AJ106/H106)</f>
        <v/>
      </c>
      <c r="AL106" s="14" t="n">
        <v>884872.1385</v>
      </c>
      <c r="AM106" s="15">
        <f>IF(H106=0,"",AL106/H106)</f>
        <v/>
      </c>
      <c r="AN106" s="14" t="n">
        <v>0</v>
      </c>
      <c r="AO106" s="14" t="n">
        <v>0</v>
      </c>
      <c r="AP106" s="14" t="n">
        <v>0</v>
      </c>
      <c r="AQ106" s="14" t="n">
        <v>0</v>
      </c>
      <c r="AR106" s="14" t="n">
        <v>7469152.77</v>
      </c>
      <c r="AS106" s="14" t="n">
        <v>0</v>
      </c>
      <c r="AT106" s="14" t="n">
        <v>0</v>
      </c>
      <c r="AU106" s="15">
        <f>AH106+AL106+AP106+AQ106+AR106+AS106+AT106</f>
        <v/>
      </c>
      <c r="AV106" s="15">
        <f>IF(H106=0,"",AU106/H106)</f>
        <v/>
      </c>
      <c r="AW106" s="15">
        <f>IF(S106=0,"",AU106/S106)</f>
        <v/>
      </c>
      <c r="AX106" s="14" t="n">
        <v>7</v>
      </c>
      <c r="AY106" s="15">
        <f>IF(H106=0,"",AX106/(H106/1000/12))</f>
        <v/>
      </c>
      <c r="AZ106" s="14" t="n">
        <v>21</v>
      </c>
      <c r="BA106" s="14" t="n">
        <v>54</v>
      </c>
      <c r="BB106" s="14" t="n">
        <v>12</v>
      </c>
      <c r="BC106" s="14" t="n">
        <v>0</v>
      </c>
      <c r="BD106" s="14" t="n">
        <v>28</v>
      </c>
      <c r="BE106" s="15">
        <f>BC106+BD106</f>
        <v/>
      </c>
      <c r="BF106" s="15">
        <f>BA106+BB106-BE106</f>
        <v/>
      </c>
      <c r="BG106" s="14" t="n">
        <v>0</v>
      </c>
      <c r="BH106" s="14" t="n">
        <v>0</v>
      </c>
      <c r="BI106" s="14" t="n">
        <v>0</v>
      </c>
      <c r="BJ106" s="14" t="n">
        <v>0</v>
      </c>
      <c r="BK106" s="15">
        <f>BI106+BJ106</f>
        <v/>
      </c>
      <c r="BL106" s="15">
        <f>BG106+BH106-BK106</f>
        <v/>
      </c>
      <c r="BM106" s="14" t="n">
        <v>0</v>
      </c>
      <c r="BN106" s="14" t="n">
        <v>0</v>
      </c>
      <c r="BO106" s="14" t="n">
        <v>0</v>
      </c>
      <c r="BP106" s="14" t="n">
        <v>0</v>
      </c>
      <c r="BQ106" s="15">
        <f>BO106+BP106</f>
        <v/>
      </c>
      <c r="BR106" s="15">
        <f>BM106+BN106-BQ106</f>
        <v/>
      </c>
      <c r="BS106" s="14" t="n">
        <v>0</v>
      </c>
      <c r="BT106" s="14" t="n">
        <v>0</v>
      </c>
      <c r="BU106" s="14" t="n">
        <v>0</v>
      </c>
      <c r="BV106" s="14" t="n">
        <v>0</v>
      </c>
      <c r="BW106" s="15">
        <f>BU106+BV106</f>
        <v/>
      </c>
      <c r="BX106" s="15">
        <f>BS106+BT106-BW106</f>
        <v/>
      </c>
      <c r="BY106" s="15">
        <f>BA106+BG106+BM106+BS106</f>
        <v/>
      </c>
      <c r="BZ106" s="15">
        <f>BB106+BH106+BN106+BT106</f>
        <v/>
      </c>
      <c r="CA106" s="15">
        <f>BE106+BK106+BQ106+BW106</f>
        <v/>
      </c>
      <c r="CB106" s="15">
        <f>BF106+BL106+BR106+BX106</f>
        <v/>
      </c>
      <c r="CC106" s="14" t="n">
        <v>28</v>
      </c>
      <c r="CD106" s="14" t="n">
        <v>902</v>
      </c>
      <c r="CE106" s="14" t="n">
        <v>9</v>
      </c>
      <c r="CF106" s="14" t="n">
        <v>20</v>
      </c>
      <c r="CG106" s="14" t="n">
        <v>23</v>
      </c>
      <c r="CH106" s="15">
        <f>CD106+CE106+CF106+CG106</f>
        <v/>
      </c>
      <c r="CI106" s="14" t="n">
        <v>841</v>
      </c>
      <c r="CJ106" s="14" t="n">
        <v>1</v>
      </c>
      <c r="CK106" s="14" t="n">
        <v>5</v>
      </c>
      <c r="CL106" s="14" t="n">
        <v>2</v>
      </c>
      <c r="CM106" s="15">
        <f>CI106+CJ106+CK106+CL106</f>
        <v/>
      </c>
      <c r="CN106" s="14" t="n">
        <v>919</v>
      </c>
      <c r="CO106" s="14" t="n">
        <v>39</v>
      </c>
      <c r="CP106" s="14" t="n">
        <v>109</v>
      </c>
      <c r="CQ106" s="14" t="n">
        <v>9</v>
      </c>
      <c r="CR106" s="15">
        <f>CN106+CO106+CP106+CQ106</f>
        <v/>
      </c>
      <c r="CS106" s="15">
        <f>CM106+CR106</f>
        <v/>
      </c>
      <c r="CT106" s="14" t="n">
        <v>2879</v>
      </c>
      <c r="CU106" s="14" t="n">
        <v>18200</v>
      </c>
      <c r="CV106" s="14" t="n">
        <v>16485</v>
      </c>
      <c r="CW106" s="16">
        <f>IF(CU106=0,"",CV106/CU106)</f>
        <v/>
      </c>
      <c r="CX106" s="14" t="n"/>
      <c r="CY106" s="14" t="n"/>
      <c r="CZ106" s="14" t="n"/>
      <c r="DA106" s="14" t="n"/>
      <c r="DB106" s="15">
        <f>CX106+CY106-CZ106-DA106</f>
        <v/>
      </c>
      <c r="DC106" s="14" t="n">
        <v>0</v>
      </c>
      <c r="DD106" s="14" t="n">
        <v>0</v>
      </c>
      <c r="DE106" s="14" t="n">
        <v>0</v>
      </c>
      <c r="DF106" s="14" t="n">
        <v>0</v>
      </c>
      <c r="DG106" s="15">
        <f>DC106+DD106-DE106-DF106</f>
        <v/>
      </c>
      <c r="DH106" s="14" t="n">
        <v>0</v>
      </c>
      <c r="DI106" s="14" t="n">
        <v>0</v>
      </c>
      <c r="DJ106" s="14" t="n">
        <v>0</v>
      </c>
      <c r="DK106" s="14" t="n">
        <v>0</v>
      </c>
      <c r="DL106" s="15">
        <f>DH106+DI106-DJ106-DK106</f>
        <v/>
      </c>
      <c r="DM106" s="14" t="n">
        <v>20</v>
      </c>
      <c r="DN106" s="14" t="n">
        <v>15</v>
      </c>
      <c r="DO106" s="14" t="n">
        <v>19</v>
      </c>
      <c r="DP106" s="14" t="n">
        <v>1</v>
      </c>
      <c r="DQ106" s="15">
        <f>DM106+DN106-DO106-DP106</f>
        <v/>
      </c>
      <c r="DR106" s="15">
        <f>CX106+DC106+DH106+DM106</f>
        <v/>
      </c>
      <c r="DS106" s="15">
        <f>CY106+DD106+DI106+DN106</f>
        <v/>
      </c>
      <c r="DT106" s="15">
        <f>CZ106+DE106+DJ106+DO106</f>
        <v/>
      </c>
      <c r="DU106" s="15">
        <f>DA106+DF106+DK106+DP106</f>
        <v/>
      </c>
      <c r="DV106" s="15">
        <f>DB106+DG106+DL106+DQ106</f>
        <v/>
      </c>
      <c r="DW106" s="14" t="n">
        <v>93</v>
      </c>
      <c r="DX106" s="14" t="n">
        <v>32</v>
      </c>
      <c r="DY106" s="14" t="n">
        <v>22</v>
      </c>
      <c r="DZ106" s="14" t="n">
        <v>5</v>
      </c>
      <c r="EA106" s="14" t="n">
        <v>11</v>
      </c>
      <c r="EB106" s="14" t="n">
        <v>6</v>
      </c>
      <c r="EC106" s="14" t="n">
        <v>6</v>
      </c>
      <c r="ED106" s="14" t="n">
        <v>2</v>
      </c>
      <c r="EE106" s="14" t="n">
        <v>6</v>
      </c>
      <c r="EF106" s="14" t="n">
        <v>1</v>
      </c>
      <c r="EG106" s="14" t="n">
        <v>0</v>
      </c>
      <c r="EH106" s="14" t="n">
        <v>0</v>
      </c>
      <c r="EI106" s="14" t="n">
        <v>0</v>
      </c>
      <c r="EJ106" s="14" t="n">
        <v>0</v>
      </c>
      <c r="EK106" s="14" t="n">
        <v>0</v>
      </c>
      <c r="EL106" s="14" t="n">
        <v>0</v>
      </c>
      <c r="EM106" s="14" t="n">
        <v>0</v>
      </c>
      <c r="EN106" s="14" t="n">
        <v>0</v>
      </c>
      <c r="EO106" s="14" t="n">
        <v>0</v>
      </c>
      <c r="EP106" s="14" t="n">
        <v>0</v>
      </c>
      <c r="EQ106" s="14" t="n">
        <v>0</v>
      </c>
      <c r="ER106" s="14" t="n">
        <v>0</v>
      </c>
      <c r="ES106" s="14" t="n">
        <v>0</v>
      </c>
      <c r="ET106" s="14" t="n">
        <v>0</v>
      </c>
      <c r="EU106" s="14" t="n">
        <v>0</v>
      </c>
      <c r="EV106" s="14" t="n">
        <v>0</v>
      </c>
      <c r="EW106" s="14" t="n">
        <v>0</v>
      </c>
      <c r="EX106" s="14" t="n">
        <v>0</v>
      </c>
      <c r="EY106" s="14" t="n">
        <v>0</v>
      </c>
      <c r="EZ106" s="14" t="n">
        <v>0</v>
      </c>
      <c r="FA106" s="14" t="n">
        <v>0</v>
      </c>
      <c r="FB106" s="14" t="n">
        <v>0</v>
      </c>
      <c r="FC106" s="14" t="n">
        <v>0</v>
      </c>
      <c r="FD106" s="14" t="n">
        <v>0</v>
      </c>
      <c r="FE106" s="14" t="n">
        <v>0</v>
      </c>
      <c r="FF106" s="14" t="n">
        <v>0</v>
      </c>
      <c r="FG106" s="15">
        <f>SUM(DW106,DX106,DY106,DZ106,EA106,EB106,EC106,ED106,EE106,EF106,EG106,EH106,EI106,EJ106,EK106,EL106,EM106,EN106,EO106,EP106,EQ106,ER106,ES106,ET106,EU106,EV106,EW106,EX106,EY106,EZ106,FA106,FB106,FC106,FD106,FE106,FF106)</f>
        <v/>
      </c>
      <c r="FH106" s="14" t="n">
        <v>178</v>
      </c>
      <c r="FI106" s="14" t="n">
        <v>0</v>
      </c>
      <c r="FJ106" s="14" t="n">
        <v>15</v>
      </c>
      <c r="FK106" s="14" t="n">
        <v>78</v>
      </c>
      <c r="FL106" s="14" t="n">
        <v>78</v>
      </c>
      <c r="FM106" s="14" t="n">
        <v>0</v>
      </c>
      <c r="FN106" s="14" t="n">
        <v>0</v>
      </c>
      <c r="FO106" s="14" t="n">
        <v>0</v>
      </c>
      <c r="FP106" s="14" t="n">
        <v>0</v>
      </c>
      <c r="FQ106" s="15">
        <f>FL106+FM106+FN106+FO106+FP106</f>
        <v/>
      </c>
      <c r="FR106" s="14" t="n">
        <v>5180834.3</v>
      </c>
      <c r="FS106" s="14" t="n">
        <v>9000</v>
      </c>
      <c r="FT106" s="14" t="n">
        <v>47000</v>
      </c>
      <c r="FU106" s="14" t="n">
        <v>47000</v>
      </c>
      <c r="FV106" s="15">
        <f>FR106+FS106+FT106+FU106</f>
        <v/>
      </c>
      <c r="FW106" s="14" t="n">
        <v>5784820</v>
      </c>
      <c r="FX106" s="14" t="n">
        <v>27900</v>
      </c>
      <c r="FY106" s="14" t="n">
        <v>1419200</v>
      </c>
      <c r="FZ106" s="14" t="n">
        <v>5342000</v>
      </c>
      <c r="GA106" s="15">
        <f>FW106+FX106+FY106+FZ106</f>
        <v/>
      </c>
      <c r="GB106" s="15">
        <f>FV106+GA106</f>
        <v/>
      </c>
      <c r="GC106" s="14" t="n">
        <v>5633921.08</v>
      </c>
      <c r="GD106" s="14" t="n">
        <v>1530.24</v>
      </c>
      <c r="GE106" s="14" t="n">
        <v>33408.7</v>
      </c>
      <c r="GF106" s="14" t="n">
        <v>76622.33</v>
      </c>
      <c r="GG106" s="15">
        <f>GC106+GD106+GE106+GF106</f>
        <v/>
      </c>
      <c r="GH106" s="14" t="n">
        <v>5745482.35</v>
      </c>
      <c r="GI106" s="14" t="n">
        <v>0</v>
      </c>
      <c r="GJ106" s="14" t="n">
        <v>0</v>
      </c>
      <c r="GK106" s="14" t="n">
        <v>0</v>
      </c>
      <c r="GL106" s="15">
        <f>GH106+GI106+GJ106+GK106</f>
        <v/>
      </c>
      <c r="GM106" s="15">
        <f>GG106+GL106</f>
        <v/>
      </c>
      <c r="GN106" s="14" t="n">
        <v>471207.86</v>
      </c>
      <c r="GO106" s="14" t="n">
        <v>382.56</v>
      </c>
      <c r="GP106" s="14" t="n">
        <v>3393.64</v>
      </c>
      <c r="GQ106" s="14" t="n">
        <v>23186.7</v>
      </c>
      <c r="GR106" s="15">
        <f>GN106+GO106+GP106+GQ106</f>
        <v/>
      </c>
      <c r="GS106" s="14" t="n">
        <v>751013</v>
      </c>
      <c r="GT106" s="14" t="n">
        <v>1786</v>
      </c>
      <c r="GU106" s="14" t="n">
        <v>893</v>
      </c>
      <c r="GV106" s="14" t="n">
        <v>4465</v>
      </c>
      <c r="GW106" s="15">
        <f>GS106+GT106+GU106+GV106</f>
        <v/>
      </c>
      <c r="GX106" s="15">
        <f>GM106+GR106+GW106</f>
        <v/>
      </c>
      <c r="GY106" s="14" t="n">
        <v>46677529.89</v>
      </c>
      <c r="GZ106" s="14" t="n">
        <v>123273620.77</v>
      </c>
      <c r="HA106" s="15">
        <f>GY106+GZ106</f>
        <v/>
      </c>
      <c r="HB106" s="15">
        <f>IF(GX106=0,"",AU106/GX106)</f>
        <v/>
      </c>
      <c r="HC106" s="16">
        <f>IF((GX106+GY106)=0,"",GB106/(GX106+GY106))</f>
        <v/>
      </c>
      <c r="HD106" s="15">
        <f>IF(GX106=0,"",GB106/GX106)</f>
        <v/>
      </c>
      <c r="HE106" s="14" t="n">
        <v>12</v>
      </c>
      <c r="HF106" s="14" t="n">
        <v>1</v>
      </c>
      <c r="HG106" s="14" t="n">
        <v>38</v>
      </c>
      <c r="HH106" s="14" t="n">
        <v>12</v>
      </c>
      <c r="HI106" s="14" t="n">
        <v>7</v>
      </c>
      <c r="HJ106" s="15">
        <f>HF106+HI106</f>
        <v/>
      </c>
      <c r="HK106" s="16">
        <f>IF(HE106=0,"",HH106/HE106)</f>
        <v/>
      </c>
      <c r="HL106" s="14" t="n">
        <v>12</v>
      </c>
      <c r="HM106" s="14" t="n">
        <v>30</v>
      </c>
      <c r="HN106" s="17">
        <f>IF(HL106=0,"",HM106/HL106)</f>
        <v/>
      </c>
    </row>
    <row r="107">
      <c r="A107" s="6" t="inlineStr">
        <is>
          <t>Mulanje</t>
        </is>
      </c>
      <c r="B107" s="6" t="inlineStr">
        <is>
          <t>Luchenza</t>
        </is>
      </c>
      <c r="C107" s="7" t="inlineStr">
        <is>
          <t>FY2025/26</t>
        </is>
      </c>
      <c r="D107" s="7" t="n">
        <v>2025</v>
      </c>
      <c r="E107" s="7" t="n">
        <v>12</v>
      </c>
      <c r="F107" s="7" t="inlineStr">
        <is>
          <t>December</t>
        </is>
      </c>
      <c r="G107" s="7" t="inlineStr">
        <is>
          <t>Q3</t>
        </is>
      </c>
      <c r="H107" s="8" t="n">
        <v>11460</v>
      </c>
      <c r="I107" s="8" t="n">
        <v>4519</v>
      </c>
      <c r="J107" s="8" t="n">
        <v>8</v>
      </c>
      <c r="K107" s="8" t="n">
        <v>10</v>
      </c>
      <c r="L107" s="8" t="n">
        <v>22</v>
      </c>
      <c r="M107" s="9">
        <f>SUM(I107,J107,K107,L107)</f>
        <v/>
      </c>
      <c r="N107" s="8" t="n">
        <v>3252</v>
      </c>
      <c r="O107" s="8" t="n">
        <v>132</v>
      </c>
      <c r="P107" s="8" t="n">
        <v>131</v>
      </c>
      <c r="Q107" s="8" t="n">
        <v>218</v>
      </c>
      <c r="R107" s="9">
        <f>SUM(N107,O107,P107,Q107)</f>
        <v/>
      </c>
      <c r="S107" s="9">
        <f>M107+R107</f>
        <v/>
      </c>
      <c r="T107" s="8" t="n">
        <v>3168</v>
      </c>
      <c r="U107" s="10">
        <f>IF(H107=0,"",T107/H107)</f>
        <v/>
      </c>
      <c r="V107" s="8" t="n">
        <v>32</v>
      </c>
      <c r="W107" s="11">
        <f>IF(H107=0,"",V107/H107)</f>
        <v/>
      </c>
      <c r="X107" s="8" t="n">
        <v>0</v>
      </c>
      <c r="Y107" s="11">
        <f>IF(H107=0,"",X107/H107)</f>
        <v/>
      </c>
      <c r="Z107" s="8" t="n">
        <v>0</v>
      </c>
      <c r="AA107" s="11">
        <f>IF(H107=0,"",Z107/H107)</f>
        <v/>
      </c>
      <c r="AB107" s="8" t="n">
        <v>0</v>
      </c>
      <c r="AC107" s="11">
        <f>IF(H107=0,"",AB107/H107)</f>
        <v/>
      </c>
      <c r="AD107" s="8" t="n">
        <v>0</v>
      </c>
      <c r="AE107" s="11">
        <f>IF(H107=0,"",AD107/H107)</f>
        <v/>
      </c>
      <c r="AF107" s="8" t="n">
        <v>0</v>
      </c>
      <c r="AG107" s="11">
        <f>IF(H107=0,"",AF107/H107)</f>
        <v/>
      </c>
      <c r="AH107" s="8" t="n">
        <v>163573.44</v>
      </c>
      <c r="AI107" s="9">
        <f>IF(H107=0,"",AH107/H107)</f>
        <v/>
      </c>
      <c r="AJ107" s="8" t="n">
        <v>6269.74</v>
      </c>
      <c r="AK107" s="11">
        <f>IF(H107=0,"",AJ107/H107)</f>
        <v/>
      </c>
      <c r="AL107" s="8" t="n">
        <v>886362.32961</v>
      </c>
      <c r="AM107" s="9">
        <f>IF(H107=0,"",AL107/H107)</f>
        <v/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8113117.9</v>
      </c>
      <c r="AS107" s="8" t="n">
        <v>4123169.68</v>
      </c>
      <c r="AT107" s="8" t="n">
        <v>1551000</v>
      </c>
      <c r="AU107" s="9">
        <f>AH107+AL107+AP107+AQ107+AR107+AS107+AT107</f>
        <v/>
      </c>
      <c r="AV107" s="9">
        <f>IF(H107=0,"",AU107/H107)</f>
        <v/>
      </c>
      <c r="AW107" s="9">
        <f>IF(S107=0,"",AU107/S107)</f>
        <v/>
      </c>
      <c r="AX107" s="8" t="n">
        <v>7</v>
      </c>
      <c r="AY107" s="9">
        <f>IF(H107=0,"",AX107/(H107/1000/12))</f>
        <v/>
      </c>
      <c r="AZ107" s="8" t="n">
        <v>21</v>
      </c>
      <c r="BA107" s="8" t="n">
        <v>38</v>
      </c>
      <c r="BB107" s="8" t="n">
        <v>16</v>
      </c>
      <c r="BC107" s="8" t="n">
        <v>0</v>
      </c>
      <c r="BD107" s="8" t="n">
        <v>16</v>
      </c>
      <c r="BE107" s="9">
        <f>BC107+BD107</f>
        <v/>
      </c>
      <c r="BF107" s="9">
        <f>BA107+BB107-BE107</f>
        <v/>
      </c>
      <c r="BG107" s="8" t="n">
        <v>0</v>
      </c>
      <c r="BH107" s="8" t="n">
        <v>0</v>
      </c>
      <c r="BI107" s="8" t="n">
        <v>0</v>
      </c>
      <c r="BJ107" s="8" t="n">
        <v>0</v>
      </c>
      <c r="BK107" s="9">
        <f>BI107+BJ107</f>
        <v/>
      </c>
      <c r="BL107" s="9">
        <f>BG107+BH107-BK107</f>
        <v/>
      </c>
      <c r="BM107" s="8" t="n">
        <v>0</v>
      </c>
      <c r="BN107" s="8" t="n">
        <v>0</v>
      </c>
      <c r="BO107" s="8" t="n">
        <v>0</v>
      </c>
      <c r="BP107" s="8" t="n">
        <v>0</v>
      </c>
      <c r="BQ107" s="9">
        <f>BO107+BP107</f>
        <v/>
      </c>
      <c r="BR107" s="9">
        <f>BM107+BN107-BQ107</f>
        <v/>
      </c>
      <c r="BS107" s="8" t="n">
        <v>0</v>
      </c>
      <c r="BT107" s="8" t="n">
        <v>0</v>
      </c>
      <c r="BU107" s="8" t="n">
        <v>0</v>
      </c>
      <c r="BV107" s="8" t="n">
        <v>0</v>
      </c>
      <c r="BW107" s="9">
        <f>BU107+BV107</f>
        <v/>
      </c>
      <c r="BX107" s="9">
        <f>BS107+BT107-BW107</f>
        <v/>
      </c>
      <c r="BY107" s="9">
        <f>BA107+BG107+BM107+BS107</f>
        <v/>
      </c>
      <c r="BZ107" s="9">
        <f>BB107+BH107+BN107+BT107</f>
        <v/>
      </c>
      <c r="CA107" s="9">
        <f>BE107+BK107+BQ107+BW107</f>
        <v/>
      </c>
      <c r="CB107" s="9">
        <f>BF107+BL107+BR107+BX107</f>
        <v/>
      </c>
      <c r="CC107" s="8" t="n">
        <v>16</v>
      </c>
      <c r="CD107" s="8" t="n">
        <v>902</v>
      </c>
      <c r="CE107" s="8" t="n">
        <v>15</v>
      </c>
      <c r="CF107" s="8" t="n">
        <v>46</v>
      </c>
      <c r="CG107" s="8" t="n">
        <v>23</v>
      </c>
      <c r="CH107" s="9">
        <f>CD107+CE107+CF107+CG107</f>
        <v/>
      </c>
      <c r="CI107" s="8" t="n">
        <v>821</v>
      </c>
      <c r="CJ107" s="8" t="n">
        <v>1</v>
      </c>
      <c r="CK107" s="8" t="n">
        <v>5</v>
      </c>
      <c r="CL107" s="8" t="n">
        <v>2</v>
      </c>
      <c r="CM107" s="9">
        <f>CI107+CJ107+CK107+CL107</f>
        <v/>
      </c>
      <c r="CN107" s="8" t="n">
        <v>966</v>
      </c>
      <c r="CO107" s="8" t="n">
        <v>33</v>
      </c>
      <c r="CP107" s="8" t="n">
        <v>72</v>
      </c>
      <c r="CQ107" s="8" t="n">
        <v>9</v>
      </c>
      <c r="CR107" s="9">
        <f>CN107+CO107+CP107+CQ107</f>
        <v/>
      </c>
      <c r="CS107" s="9">
        <f>CM107+CR107</f>
        <v/>
      </c>
      <c r="CT107" s="8" t="n">
        <v>2895</v>
      </c>
      <c r="CU107" s="8" t="n">
        <v>18200</v>
      </c>
      <c r="CV107" s="8" t="n">
        <v>16500</v>
      </c>
      <c r="CW107" s="10">
        <f>IF(CU107=0,"",CV107/CU107)</f>
        <v/>
      </c>
      <c r="CX107" s="8" t="n">
        <v>0</v>
      </c>
      <c r="CY107" s="8" t="n">
        <v>0</v>
      </c>
      <c r="CZ107" s="8" t="n">
        <v>0</v>
      </c>
      <c r="DA107" s="8" t="n">
        <v>0</v>
      </c>
      <c r="DB107" s="9">
        <f>CX107+CY107-CZ107-DA107</f>
        <v/>
      </c>
      <c r="DC107" s="8" t="n">
        <v>0</v>
      </c>
      <c r="DD107" s="8" t="n">
        <v>0</v>
      </c>
      <c r="DE107" s="8" t="n">
        <v>0</v>
      </c>
      <c r="DF107" s="8" t="n">
        <v>0</v>
      </c>
      <c r="DG107" s="9">
        <f>DC107+DD107-DE107-DF107</f>
        <v/>
      </c>
      <c r="DH107" s="8" t="n">
        <v>0</v>
      </c>
      <c r="DI107" s="8" t="n">
        <v>0</v>
      </c>
      <c r="DJ107" s="8" t="n">
        <v>0</v>
      </c>
      <c r="DK107" s="8" t="n">
        <v>0</v>
      </c>
      <c r="DL107" s="9">
        <f>DH107+DI107-DJ107-DK107</f>
        <v/>
      </c>
      <c r="DM107" s="8" t="n">
        <v>15</v>
      </c>
      <c r="DN107" s="8" t="n">
        <v>28</v>
      </c>
      <c r="DO107" s="8" t="n">
        <v>16</v>
      </c>
      <c r="DP107" s="8" t="n">
        <v>1</v>
      </c>
      <c r="DQ107" s="9">
        <f>DM107+DN107-DO107-DP107</f>
        <v/>
      </c>
      <c r="DR107" s="9">
        <f>CX107+DC107+DH107+DM107</f>
        <v/>
      </c>
      <c r="DS107" s="9">
        <f>CY107+DD107+DI107+DN107</f>
        <v/>
      </c>
      <c r="DT107" s="9">
        <f>CZ107+DE107+DJ107+DO107</f>
        <v/>
      </c>
      <c r="DU107" s="9">
        <f>DA107+DF107+DK107+DP107</f>
        <v/>
      </c>
      <c r="DV107" s="9">
        <f>DB107+DG107+DL107+DQ107</f>
        <v/>
      </c>
      <c r="DW107" s="8" t="n">
        <v>91</v>
      </c>
      <c r="DX107" s="8" t="n">
        <v>29</v>
      </c>
      <c r="DY107" s="8" t="n">
        <v>17</v>
      </c>
      <c r="DZ107" s="8" t="n">
        <v>4</v>
      </c>
      <c r="EA107" s="8" t="n">
        <v>5</v>
      </c>
      <c r="EB107" s="8" t="n">
        <v>3</v>
      </c>
      <c r="EC107" s="8" t="n">
        <v>3</v>
      </c>
      <c r="ED107" s="8" t="n">
        <v>1</v>
      </c>
      <c r="EE107" s="8" t="n">
        <v>2</v>
      </c>
      <c r="EF107" s="8" t="n">
        <v>1</v>
      </c>
      <c r="EG107" s="8" t="n">
        <v>0</v>
      </c>
      <c r="EH107" s="8" t="n">
        <v>0</v>
      </c>
      <c r="EI107" s="8" t="n">
        <v>0</v>
      </c>
      <c r="EJ107" s="8" t="n">
        <v>0</v>
      </c>
      <c r="EK107" s="8" t="n">
        <v>0</v>
      </c>
      <c r="EL107" s="8" t="n">
        <v>0</v>
      </c>
      <c r="EM107" s="8" t="n">
        <v>0</v>
      </c>
      <c r="EN107" s="8" t="n">
        <v>0</v>
      </c>
      <c r="EO107" s="8" t="n">
        <v>0</v>
      </c>
      <c r="EP107" s="8" t="n">
        <v>0</v>
      </c>
      <c r="EQ107" s="8" t="n">
        <v>0</v>
      </c>
      <c r="ER107" s="8" t="n">
        <v>0</v>
      </c>
      <c r="ES107" s="8" t="n">
        <v>0</v>
      </c>
      <c r="ET107" s="8" t="n">
        <v>0</v>
      </c>
      <c r="EU107" s="8" t="n">
        <v>0</v>
      </c>
      <c r="EV107" s="8" t="n">
        <v>0</v>
      </c>
      <c r="EW107" s="8" t="n">
        <v>0</v>
      </c>
      <c r="EX107" s="8" t="n">
        <v>0</v>
      </c>
      <c r="EY107" s="8" t="n">
        <v>0</v>
      </c>
      <c r="EZ107" s="8" t="n">
        <v>0</v>
      </c>
      <c r="FA107" s="8" t="n">
        <v>0</v>
      </c>
      <c r="FB107" s="8" t="n">
        <v>0</v>
      </c>
      <c r="FC107" s="8" t="n">
        <v>0</v>
      </c>
      <c r="FD107" s="8" t="n">
        <v>0</v>
      </c>
      <c r="FE107" s="8" t="n">
        <v>0</v>
      </c>
      <c r="FF107" s="8" t="n">
        <v>0</v>
      </c>
      <c r="FG107" s="9">
        <f>SUM(DW107,DX107,DY107,DZ107,EA107,EB107,EC107,ED107,EE107,EF107,EG107,EH107,EI107,EJ107,EK107,EL107,EM107,EN107,EO107,EP107,EQ107,ER107,ES107,ET107,EU107,EV107,EW107,EX107,EY107,EZ107,FA107,FB107,FC107,FD107,FE107,FF107)</f>
        <v/>
      </c>
      <c r="FH107" s="8" t="n">
        <v>153</v>
      </c>
      <c r="FI107" s="8" t="n">
        <v>0</v>
      </c>
      <c r="FJ107" s="8" t="n">
        <v>16</v>
      </c>
      <c r="FK107" s="8" t="n">
        <v>42</v>
      </c>
      <c r="FL107" s="8" t="n">
        <v>42</v>
      </c>
      <c r="FM107" s="8" t="n">
        <v>0</v>
      </c>
      <c r="FN107" s="8" t="n">
        <v>0</v>
      </c>
      <c r="FO107" s="8" t="n">
        <v>0</v>
      </c>
      <c r="FP107" s="8" t="n">
        <v>0</v>
      </c>
      <c r="FQ107" s="9">
        <f>FL107+FM107+FN107+FO107+FP107</f>
        <v/>
      </c>
      <c r="FR107" s="8" t="n">
        <v>7534222.92</v>
      </c>
      <c r="FS107" s="8" t="n">
        <v>5000</v>
      </c>
      <c r="FT107" s="8" t="n">
        <v>47150</v>
      </c>
      <c r="FU107" s="8" t="n">
        <v>11799685</v>
      </c>
      <c r="FV107" s="9">
        <f>FR107+FS107+FT107+FU107</f>
        <v/>
      </c>
      <c r="FW107" s="8" t="n">
        <v>4335608.18</v>
      </c>
      <c r="FX107" s="8" t="n">
        <v>28000</v>
      </c>
      <c r="FY107" s="8" t="n">
        <v>1029100</v>
      </c>
      <c r="FZ107" s="8" t="n">
        <v>401950</v>
      </c>
      <c r="GA107" s="9">
        <f>FW107+FX107+FY107+FZ107</f>
        <v/>
      </c>
      <c r="GB107" s="9">
        <f>FV107+GA107</f>
        <v/>
      </c>
      <c r="GC107" s="8" t="n">
        <v>4025843.16</v>
      </c>
      <c r="GD107" s="8" t="n">
        <v>1530.24</v>
      </c>
      <c r="GE107" s="8" t="n">
        <v>24383.95</v>
      </c>
      <c r="GF107" s="8" t="n">
        <v>52211.87</v>
      </c>
      <c r="GG107" s="9">
        <f>GC107+GD107+GE107+GF107</f>
        <v/>
      </c>
      <c r="GH107" s="8" t="n">
        <v>4103969.22</v>
      </c>
      <c r="GI107" s="8" t="n">
        <v>0</v>
      </c>
      <c r="GJ107" s="8" t="n">
        <v>0</v>
      </c>
      <c r="GK107" s="8" t="n">
        <v>0</v>
      </c>
      <c r="GL107" s="9">
        <f>GH107+GI107+GJ107+GK107</f>
        <v/>
      </c>
      <c r="GM107" s="9">
        <f>GG107+GL107</f>
        <v/>
      </c>
      <c r="GN107" s="8" t="n">
        <v>459348.77</v>
      </c>
      <c r="GO107" s="8" t="n">
        <v>382.56</v>
      </c>
      <c r="GP107" s="8" t="n">
        <v>3393.64</v>
      </c>
      <c r="GQ107" s="8" t="n">
        <v>23186.7</v>
      </c>
      <c r="GR107" s="9">
        <f>GN107+GO107+GP107+GQ107</f>
        <v/>
      </c>
      <c r="GS107" s="8" t="n">
        <v>733153</v>
      </c>
      <c r="GT107" s="8" t="n">
        <v>1786</v>
      </c>
      <c r="GU107" s="8" t="n">
        <v>893</v>
      </c>
      <c r="GV107" s="8" t="n">
        <v>4465</v>
      </c>
      <c r="GW107" s="9">
        <f>GS107+GT107+GU107+GV107</f>
        <v/>
      </c>
      <c r="GX107" s="9">
        <f>GM107+GR107+GW107</f>
        <v/>
      </c>
      <c r="GY107" s="8" t="n">
        <v>44219500.42</v>
      </c>
      <c r="GZ107" s="8" t="n">
        <v>111473935.77</v>
      </c>
      <c r="HA107" s="9">
        <f>GY107+GZ107</f>
        <v/>
      </c>
      <c r="HB107" s="9">
        <f>IF(GX107=0,"",AU107/GX107)</f>
        <v/>
      </c>
      <c r="HC107" s="10">
        <f>IF((GX107+GY107)=0,"",GB107/(GX107+GY107))</f>
        <v/>
      </c>
      <c r="HD107" s="9">
        <f>IF(GX107=0,"",GB107/GX107)</f>
        <v/>
      </c>
      <c r="HE107" s="8" t="n">
        <v>16</v>
      </c>
      <c r="HF107" s="8" t="n">
        <v>1</v>
      </c>
      <c r="HG107" s="8" t="n">
        <v>38</v>
      </c>
      <c r="HH107" s="8" t="n">
        <v>16</v>
      </c>
      <c r="HI107" s="8" t="n">
        <v>7</v>
      </c>
      <c r="HJ107" s="9">
        <f>HF107+HI107</f>
        <v/>
      </c>
      <c r="HK107" s="10">
        <f>IF(HE107=0,"",HH107/HE107)</f>
        <v/>
      </c>
      <c r="HL107" s="8" t="n">
        <v>10</v>
      </c>
      <c r="HM107" s="8" t="n">
        <v>15</v>
      </c>
      <c r="HN107" s="11">
        <f>IF(HL107=0,"",HM107/HL107)</f>
        <v/>
      </c>
    </row>
    <row r="108">
      <c r="A108" s="12" t="inlineStr">
        <is>
          <t>Mulanje</t>
        </is>
      </c>
      <c r="B108" s="12" t="inlineStr">
        <is>
          <t>Luchenza</t>
        </is>
      </c>
      <c r="C108" s="13" t="inlineStr">
        <is>
          <t>FY2025/26</t>
        </is>
      </c>
      <c r="D108" s="13" t="n">
        <v>2026</v>
      </c>
      <c r="E108" s="13" t="n">
        <v>1</v>
      </c>
      <c r="F108" s="13" t="inlineStr">
        <is>
          <t>January</t>
        </is>
      </c>
      <c r="G108" s="13" t="inlineStr">
        <is>
          <t>Q4</t>
        </is>
      </c>
      <c r="H108" s="14" t="n">
        <v>13800</v>
      </c>
      <c r="I108" s="14" t="n">
        <v>5476</v>
      </c>
      <c r="J108" s="14" t="n">
        <v>9</v>
      </c>
      <c r="K108" s="14" t="n">
        <v>11</v>
      </c>
      <c r="L108" s="14" t="n">
        <v>28</v>
      </c>
      <c r="M108" s="15" t="n">
        <v>5524</v>
      </c>
      <c r="N108" s="14" t="n">
        <v>4160</v>
      </c>
      <c r="O108" s="14" t="n">
        <v>184</v>
      </c>
      <c r="P108" s="14" t="n">
        <v>120</v>
      </c>
      <c r="Q108" s="14" t="n">
        <v>199</v>
      </c>
      <c r="R108" s="15" t="n">
        <v>4663</v>
      </c>
      <c r="S108" s="15" t="n">
        <v>10187</v>
      </c>
      <c r="T108" s="14" t="n">
        <v>3613</v>
      </c>
      <c r="U108" s="16" t="n">
        <v>0.2618115942028986</v>
      </c>
      <c r="V108" s="14" t="n">
        <v>30</v>
      </c>
      <c r="W108" s="17" t="n">
        <v>2.173913043478261</v>
      </c>
      <c r="X108" s="14" t="n">
        <v>0</v>
      </c>
      <c r="Y108" s="17" t="n">
        <v>0</v>
      </c>
      <c r="Z108" s="14" t="n">
        <v>0</v>
      </c>
      <c r="AA108" s="17" t="n">
        <v>0</v>
      </c>
      <c r="AB108" s="14" t="n">
        <v>0</v>
      </c>
      <c r="AC108" s="17" t="n">
        <v>0</v>
      </c>
      <c r="AD108" s="14" t="n">
        <v>0</v>
      </c>
      <c r="AE108" s="17" t="n">
        <v>0</v>
      </c>
      <c r="AF108" s="14" t="n">
        <v>0</v>
      </c>
      <c r="AG108" s="17" t="n">
        <v>0</v>
      </c>
      <c r="AH108" s="14" t="n">
        <v>153350.1</v>
      </c>
      <c r="AI108" s="15" t="n">
        <v>11.11232608695652</v>
      </c>
      <c r="AJ108" s="14" t="n">
        <v>6955</v>
      </c>
      <c r="AK108" s="17" t="n">
        <v>0.5039855072463768</v>
      </c>
      <c r="AL108" s="14" t="n">
        <v>981443.1825</v>
      </c>
      <c r="AM108" s="15" t="n">
        <v>71.11907119565217</v>
      </c>
      <c r="AN108" s="14" t="n">
        <v>0</v>
      </c>
      <c r="AO108" s="14" t="n">
        <v>77</v>
      </c>
      <c r="AP108" s="14" t="n">
        <v>210518</v>
      </c>
      <c r="AQ108" s="14" t="n">
        <v>0</v>
      </c>
      <c r="AR108" s="14" t="n">
        <v>12597798.31</v>
      </c>
      <c r="AS108" s="14" t="n">
        <v>0</v>
      </c>
      <c r="AT108" s="14" t="n">
        <v>1920889.3</v>
      </c>
      <c r="AU108" s="15" t="n">
        <v>15863998.8925</v>
      </c>
      <c r="AV108" s="15" t="n">
        <v>1149.565137137681</v>
      </c>
      <c r="AW108" s="15" t="n">
        <v>1557.278776136252</v>
      </c>
      <c r="AX108" s="14" t="n">
        <v>7</v>
      </c>
      <c r="AY108" s="15" t="n">
        <v>15.72463768115942</v>
      </c>
      <c r="AZ108" s="14" t="n">
        <v>16</v>
      </c>
      <c r="BA108" s="14" t="n">
        <v>38</v>
      </c>
      <c r="BB108" s="14" t="n">
        <v>11</v>
      </c>
      <c r="BC108" s="14" t="n">
        <v>0</v>
      </c>
      <c r="BD108" s="14" t="n">
        <v>10</v>
      </c>
      <c r="BE108" s="15" t="n">
        <v>10</v>
      </c>
      <c r="BF108" s="15" t="n">
        <v>39</v>
      </c>
      <c r="BG108" s="14" t="n">
        <v>0</v>
      </c>
      <c r="BH108" s="14" t="n">
        <v>0</v>
      </c>
      <c r="BI108" s="14" t="n">
        <v>0</v>
      </c>
      <c r="BJ108" s="14" t="n">
        <v>0</v>
      </c>
      <c r="BK108" s="15" t="n">
        <v>0</v>
      </c>
      <c r="BL108" s="15" t="n">
        <v>0</v>
      </c>
      <c r="BM108" s="14" t="n">
        <v>0</v>
      </c>
      <c r="BN108" s="14" t="n">
        <v>0</v>
      </c>
      <c r="BO108" s="14" t="n">
        <v>0</v>
      </c>
      <c r="BP108" s="14" t="n">
        <v>0</v>
      </c>
      <c r="BQ108" s="15" t="n">
        <v>0</v>
      </c>
      <c r="BR108" s="15" t="n">
        <v>0</v>
      </c>
      <c r="BS108" s="14" t="n">
        <v>0</v>
      </c>
      <c r="BT108" s="14" t="n">
        <v>0</v>
      </c>
      <c r="BU108" s="14" t="n">
        <v>0</v>
      </c>
      <c r="BV108" s="14" t="n">
        <v>0</v>
      </c>
      <c r="BW108" s="15" t="n">
        <v>0</v>
      </c>
      <c r="BX108" s="15" t="n">
        <v>0</v>
      </c>
      <c r="BY108" s="15" t="n">
        <v>38</v>
      </c>
      <c r="BZ108" s="15" t="n">
        <v>11</v>
      </c>
      <c r="CA108" s="15" t="n">
        <v>10</v>
      </c>
      <c r="CB108" s="15" t="n">
        <v>39</v>
      </c>
      <c r="CC108" s="14" t="n">
        <v>10</v>
      </c>
      <c r="CD108" s="14" t="n">
        <v>920</v>
      </c>
      <c r="CE108" s="14" t="n">
        <v>15</v>
      </c>
      <c r="CF108" s="14" t="n">
        <v>46</v>
      </c>
      <c r="CG108" s="14" t="n">
        <v>23</v>
      </c>
      <c r="CH108" s="15" t="n">
        <v>1004</v>
      </c>
      <c r="CI108" s="14" t="n">
        <v>795</v>
      </c>
      <c r="CJ108" s="14" t="n">
        <v>1</v>
      </c>
      <c r="CK108" s="14" t="n">
        <v>5</v>
      </c>
      <c r="CL108" s="14" t="n">
        <v>2</v>
      </c>
      <c r="CM108" s="15" t="n">
        <v>803</v>
      </c>
      <c r="CN108" s="14" t="n">
        <v>976</v>
      </c>
      <c r="CO108" s="14" t="n">
        <v>33</v>
      </c>
      <c r="CP108" s="14" t="n">
        <v>72</v>
      </c>
      <c r="CQ108" s="14" t="n">
        <v>9</v>
      </c>
      <c r="CR108" s="15" t="n">
        <v>1090</v>
      </c>
      <c r="CS108" s="15" t="n">
        <v>1893</v>
      </c>
      <c r="CT108" s="14" t="n">
        <v>2897</v>
      </c>
      <c r="CU108" s="14" t="n">
        <v>18200</v>
      </c>
      <c r="CV108" s="14" t="n">
        <v>16500</v>
      </c>
      <c r="CW108" s="16" t="n">
        <v>0.9065934065934066</v>
      </c>
      <c r="CX108" s="14" t="n">
        <v>0</v>
      </c>
      <c r="CY108" s="14" t="n">
        <v>0</v>
      </c>
      <c r="CZ108" s="14" t="n">
        <v>0</v>
      </c>
      <c r="DA108" s="14" t="n">
        <v>0</v>
      </c>
      <c r="DB108" s="15" t="n">
        <v>0</v>
      </c>
      <c r="DC108" s="14" t="n">
        <v>0</v>
      </c>
      <c r="DD108" s="14" t="n">
        <v>0</v>
      </c>
      <c r="DE108" s="14" t="n">
        <v>0</v>
      </c>
      <c r="DF108" s="14" t="n">
        <v>0</v>
      </c>
      <c r="DG108" s="15" t="n">
        <v>0</v>
      </c>
      <c r="DH108" s="14" t="n">
        <v>0</v>
      </c>
      <c r="DI108" s="14" t="n">
        <v>0</v>
      </c>
      <c r="DJ108" s="14" t="n">
        <v>0</v>
      </c>
      <c r="DK108" s="14" t="n">
        <v>0</v>
      </c>
      <c r="DL108" s="15" t="n">
        <v>0</v>
      </c>
      <c r="DM108" s="14" t="n">
        <v>26</v>
      </c>
      <c r="DN108" s="14" t="n">
        <v>0</v>
      </c>
      <c r="DO108" s="14" t="n">
        <v>0</v>
      </c>
      <c r="DP108" s="14" t="n">
        <v>0</v>
      </c>
      <c r="DQ108" s="15" t="n">
        <v>0</v>
      </c>
      <c r="DR108" s="15" t="n">
        <v>26</v>
      </c>
      <c r="DS108" s="15" t="n">
        <v>26</v>
      </c>
      <c r="DT108" s="15" t="n">
        <v>0</v>
      </c>
      <c r="DU108" s="15" t="n">
        <v>0</v>
      </c>
      <c r="DV108" s="15" t="n">
        <v>0</v>
      </c>
      <c r="DW108" s="14" t="n">
        <v>89</v>
      </c>
      <c r="DX108" s="14" t="n">
        <v>32</v>
      </c>
      <c r="DY108" s="14" t="n">
        <v>18</v>
      </c>
      <c r="DZ108" s="14" t="n">
        <v>5</v>
      </c>
      <c r="EA108" s="14" t="n">
        <v>6</v>
      </c>
      <c r="EB108" s="14" t="n">
        <v>2</v>
      </c>
      <c r="EC108" s="14" t="n">
        <v>2</v>
      </c>
      <c r="ED108" s="14" t="n">
        <v>2</v>
      </c>
      <c r="EE108" s="14" t="n">
        <v>1</v>
      </c>
      <c r="EF108" s="14" t="n">
        <v>3</v>
      </c>
      <c r="EG108" s="14" t="n">
        <v>0</v>
      </c>
      <c r="EH108" s="14" t="n">
        <v>0</v>
      </c>
      <c r="EI108" s="14" t="n">
        <v>0</v>
      </c>
      <c r="EJ108" s="14" t="n">
        <v>0</v>
      </c>
      <c r="EK108" s="14" t="n">
        <v>0</v>
      </c>
      <c r="EL108" s="14" t="n">
        <v>0</v>
      </c>
      <c r="EM108" s="14" t="n">
        <v>0</v>
      </c>
      <c r="EN108" s="14" t="n">
        <v>0</v>
      </c>
      <c r="EO108" s="14" t="n">
        <v>0</v>
      </c>
      <c r="EP108" s="14" t="n">
        <v>0</v>
      </c>
      <c r="EQ108" s="14" t="n">
        <v>0</v>
      </c>
      <c r="ER108" s="14" t="n">
        <v>0</v>
      </c>
      <c r="ES108" s="14" t="n">
        <v>0</v>
      </c>
      <c r="ET108" s="14" t="n">
        <v>0</v>
      </c>
      <c r="EU108" s="14" t="n">
        <v>0</v>
      </c>
      <c r="EV108" s="14" t="n">
        <v>0</v>
      </c>
      <c r="EW108" s="14" t="n">
        <v>0</v>
      </c>
      <c r="EX108" s="14" t="n">
        <v>0</v>
      </c>
      <c r="EY108" s="14" t="n">
        <v>0</v>
      </c>
      <c r="EZ108" s="14" t="n">
        <v>0</v>
      </c>
      <c r="FA108" s="14" t="n">
        <v>0</v>
      </c>
      <c r="FB108" s="14" t="n">
        <v>0</v>
      </c>
      <c r="FC108" s="14" t="n">
        <v>0</v>
      </c>
      <c r="FD108" s="14" t="n">
        <v>0</v>
      </c>
      <c r="FE108" s="14" t="n">
        <v>0</v>
      </c>
      <c r="FF108" s="14" t="n">
        <v>0</v>
      </c>
      <c r="FG108" s="15" t="n">
        <v>0</v>
      </c>
      <c r="FH108" s="14" t="n">
        <v>158</v>
      </c>
      <c r="FI108" s="14" t="n">
        <v>0</v>
      </c>
      <c r="FJ108" s="14" t="n">
        <v>13</v>
      </c>
      <c r="FK108" s="14" t="n">
        <v>59</v>
      </c>
      <c r="FL108" s="14" t="n">
        <v>59</v>
      </c>
      <c r="FM108" s="14" t="n">
        <v>0</v>
      </c>
      <c r="FN108" s="14" t="n">
        <v>0</v>
      </c>
      <c r="FO108" s="14" t="n">
        <v>0</v>
      </c>
      <c r="FP108" s="14" t="n">
        <v>0</v>
      </c>
      <c r="FQ108" s="15" t="n">
        <v>0</v>
      </c>
      <c r="FR108" s="14" t="n">
        <v>4589971.42</v>
      </c>
      <c r="FS108" s="14" t="n">
        <v>16000</v>
      </c>
      <c r="FT108" s="14" t="n">
        <v>167967.22</v>
      </c>
      <c r="FU108" s="14" t="n">
        <v>0</v>
      </c>
      <c r="FV108" s="15" t="n">
        <v>0</v>
      </c>
      <c r="FW108" s="14" t="n">
        <v>5413854</v>
      </c>
      <c r="FX108" s="14" t="n">
        <v>39000</v>
      </c>
      <c r="FY108" s="14" t="n">
        <v>1023300</v>
      </c>
      <c r="FZ108" s="14" t="n">
        <v>371950</v>
      </c>
      <c r="GA108" s="15" t="n">
        <v>371950</v>
      </c>
      <c r="GB108" s="15" t="n">
        <v>6848104</v>
      </c>
      <c r="GC108" s="14" t="n">
        <v>4921195.55</v>
      </c>
      <c r="GD108" s="14" t="n">
        <v>1721.52</v>
      </c>
      <c r="GE108" s="14" t="n">
        <v>27392.2</v>
      </c>
      <c r="GF108" s="14" t="n">
        <v>84104.59</v>
      </c>
      <c r="GG108" s="15" t="n">
        <v>84104.59</v>
      </c>
      <c r="GH108" s="14" t="n">
        <v>5034413.859999999</v>
      </c>
      <c r="GI108" s="14" t="n">
        <v>0</v>
      </c>
      <c r="GJ108" s="14" t="n">
        <v>0</v>
      </c>
      <c r="GK108" s="14" t="n">
        <v>0</v>
      </c>
      <c r="GL108" s="15" t="n">
        <v>0</v>
      </c>
      <c r="GM108" s="15" t="n">
        <v>6848104</v>
      </c>
      <c r="GN108" s="14" t="n">
        <v>444997.56</v>
      </c>
      <c r="GO108" s="14" t="n">
        <v>382.56</v>
      </c>
      <c r="GP108" s="14" t="n">
        <v>3393.64</v>
      </c>
      <c r="GQ108" s="14" t="n">
        <v>23186.7</v>
      </c>
      <c r="GR108" s="15" t="n">
        <v>23186.7</v>
      </c>
      <c r="GS108" s="14" t="n">
        <v>709935</v>
      </c>
      <c r="GT108" s="14" t="n">
        <v>1786</v>
      </c>
      <c r="GU108" s="14" t="n">
        <v>893</v>
      </c>
      <c r="GV108" s="14" t="n">
        <v>4465</v>
      </c>
      <c r="GW108" s="15" t="n">
        <v>4465</v>
      </c>
      <c r="GX108" s="15" t="n">
        <v>717079</v>
      </c>
      <c r="GY108" s="14" t="n">
        <v>55868547.62</v>
      </c>
      <c r="GZ108" s="14" t="n">
        <v>101473935.77</v>
      </c>
      <c r="HA108" s="15" t="n">
        <v>101473935.77</v>
      </c>
      <c r="HB108" s="15" t="n">
        <v>157342483.39</v>
      </c>
      <c r="HC108" s="16" t="n">
        <v>13071557.32</v>
      </c>
      <c r="HD108" s="15" t="n">
        <v>55868547.62</v>
      </c>
      <c r="HE108" s="14" t="n">
        <v>11</v>
      </c>
      <c r="HF108" s="14" t="n">
        <v>1</v>
      </c>
      <c r="HG108" s="14" t="n">
        <v>39</v>
      </c>
      <c r="HH108" s="14" t="n">
        <v>11</v>
      </c>
      <c r="HI108" s="14" t="n">
        <v>7</v>
      </c>
      <c r="HJ108" s="15" t="n">
        <v>7</v>
      </c>
      <c r="HK108" s="16" t="n">
        <v>0.6363636363636364</v>
      </c>
      <c r="HL108" s="14" t="n">
        <v>26</v>
      </c>
      <c r="HM108" s="14" t="n">
        <v>30</v>
      </c>
      <c r="HN108" s="17" t="n">
        <v>30</v>
      </c>
    </row>
    <row r="109">
      <c r="A109" s="6" t="inlineStr">
        <is>
          <t>Mulanje</t>
        </is>
      </c>
      <c r="B109" s="6" t="inlineStr">
        <is>
          <t>Luchenza</t>
        </is>
      </c>
      <c r="C109" s="7" t="inlineStr">
        <is>
          <t>FY2025/26</t>
        </is>
      </c>
      <c r="D109" s="7" t="n">
        <v>2026</v>
      </c>
      <c r="E109" s="7" t="n">
        <v>2</v>
      </c>
      <c r="F109" s="7" t="inlineStr">
        <is>
          <t>February</t>
        </is>
      </c>
      <c r="G109" s="7" t="inlineStr">
        <is>
          <t>Q4</t>
        </is>
      </c>
      <c r="H109" s="8" t="n">
        <v>14000</v>
      </c>
      <c r="I109" s="8" t="n">
        <v>4967</v>
      </c>
      <c r="J109" s="8" t="n">
        <v>12</v>
      </c>
      <c r="K109" s="8" t="n">
        <v>10</v>
      </c>
      <c r="L109" s="8" t="n">
        <v>24</v>
      </c>
      <c r="M109" s="9">
        <f>SUM(I109,J109,K109,L109)</f>
        <v/>
      </c>
      <c r="N109" s="8" t="n">
        <v>3815</v>
      </c>
      <c r="O109" s="8" t="n">
        <v>238</v>
      </c>
      <c r="P109" s="8" t="n">
        <v>803</v>
      </c>
      <c r="Q109" s="8" t="n">
        <v>267</v>
      </c>
      <c r="R109" s="9">
        <f>SUM(N109,O109,P109,Q109)</f>
        <v/>
      </c>
      <c r="S109" s="9">
        <f>M109+R109</f>
        <v/>
      </c>
      <c r="T109" s="8" t="n">
        <v>3864</v>
      </c>
      <c r="U109" s="10">
        <f>IF(H109=0,"",T109/H109)</f>
        <v/>
      </c>
      <c r="V109" s="8" t="n">
        <v>37</v>
      </c>
      <c r="W109" s="11">
        <f>IF(H109=0,"",V109/H109)</f>
        <v/>
      </c>
      <c r="X109" s="8" t="n">
        <v>0</v>
      </c>
      <c r="Y109" s="11">
        <f>IF(H109=0,"",X109/H109)</f>
        <v/>
      </c>
      <c r="Z109" s="8" t="n">
        <v>0</v>
      </c>
      <c r="AA109" s="11">
        <f>IF(H109=0,"",Z109/H109)</f>
        <v/>
      </c>
      <c r="AB109" s="8" t="n">
        <v>0</v>
      </c>
      <c r="AC109" s="11">
        <f>IF(H109=0,"",AB109/H109)</f>
        <v/>
      </c>
      <c r="AD109" s="8" t="n">
        <v>0</v>
      </c>
      <c r="AE109" s="11">
        <f>IF(H109=0,"",AD109/H109)</f>
        <v/>
      </c>
      <c r="AF109" s="8" t="n">
        <v>0</v>
      </c>
      <c r="AG109" s="11">
        <f>IF(H109=0,"",AF109/H109)</f>
        <v/>
      </c>
      <c r="AH109" s="8" t="n">
        <v>189131.79</v>
      </c>
      <c r="AI109" s="9">
        <f>IF(H109=0,"",AH109/H109)</f>
        <v/>
      </c>
      <c r="AJ109" s="8" t="n">
        <v>6659</v>
      </c>
      <c r="AK109" s="11">
        <f>IF(H109=0,"",AJ109/H109)</f>
        <v/>
      </c>
      <c r="AL109" s="8" t="n">
        <v>940372.7385</v>
      </c>
      <c r="AM109" s="9">
        <f>IF(H109=0,"",AL109/H109)</f>
        <v/>
      </c>
      <c r="AN109" s="8" t="n">
        <v>0</v>
      </c>
      <c r="AO109" s="8" t="n">
        <v>0</v>
      </c>
      <c r="AP109" s="8" t="n">
        <v>0</v>
      </c>
      <c r="AQ109" s="8" t="n">
        <v>0</v>
      </c>
      <c r="AR109" s="8" t="n">
        <v>7299592.140000001</v>
      </c>
      <c r="AS109" s="8" t="n">
        <v>2834464.925</v>
      </c>
      <c r="AT109" s="8" t="n">
        <v>2666203</v>
      </c>
      <c r="AU109" s="9">
        <f>AH109+AL109+AP109+AQ109+AR109+AS109+AT109</f>
        <v/>
      </c>
      <c r="AV109" s="9">
        <f>IF(H109=0,"",AU109/H109)</f>
        <v/>
      </c>
      <c r="AW109" s="9">
        <f>IF(S109=0,"",AU109/S109)</f>
        <v/>
      </c>
      <c r="AX109" s="8" t="n">
        <v>7</v>
      </c>
      <c r="AY109" s="9">
        <f>IF(H109=0,"",AX109/(H109/1000/12))</f>
        <v/>
      </c>
      <c r="AZ109" s="8" t="n">
        <v>15</v>
      </c>
      <c r="BA109" s="8" t="n">
        <v>39</v>
      </c>
      <c r="BB109" s="8" t="n">
        <v>13</v>
      </c>
      <c r="BC109" s="8" t="n">
        <v>0</v>
      </c>
      <c r="BD109" s="8" t="n">
        <v>22</v>
      </c>
      <c r="BE109" s="9">
        <f>BC109+BD109</f>
        <v/>
      </c>
      <c r="BF109" s="9">
        <f>BA109+BB109-BE109</f>
        <v/>
      </c>
      <c r="BG109" s="8" t="n">
        <v>0</v>
      </c>
      <c r="BH109" s="8" t="n">
        <v>0</v>
      </c>
      <c r="BI109" s="8" t="n">
        <v>0</v>
      </c>
      <c r="BJ109" s="8" t="n">
        <v>0</v>
      </c>
      <c r="BK109" s="9">
        <f>BI109+BJ109</f>
        <v/>
      </c>
      <c r="BL109" s="9">
        <f>BG109+BH109-BK109</f>
        <v/>
      </c>
      <c r="BM109" s="8" t="n">
        <v>0</v>
      </c>
      <c r="BN109" s="8" t="n">
        <v>0</v>
      </c>
      <c r="BO109" s="8" t="n">
        <v>0</v>
      </c>
      <c r="BP109" s="8" t="n">
        <v>0</v>
      </c>
      <c r="BQ109" s="9">
        <f>BO109+BP109</f>
        <v/>
      </c>
      <c r="BR109" s="9">
        <f>BM109+BN109-BQ109</f>
        <v/>
      </c>
      <c r="BS109" s="8" t="n">
        <v>0</v>
      </c>
      <c r="BT109" s="8" t="n">
        <v>0</v>
      </c>
      <c r="BU109" s="8" t="n">
        <v>0</v>
      </c>
      <c r="BV109" s="8" t="n">
        <v>0</v>
      </c>
      <c r="BW109" s="9">
        <f>BU109+BV109</f>
        <v/>
      </c>
      <c r="BX109" s="9">
        <f>BS109+BT109-BW109</f>
        <v/>
      </c>
      <c r="BY109" s="9">
        <f>BA109+BG109+BM109+BS109</f>
        <v/>
      </c>
      <c r="BZ109" s="9">
        <f>BB109+BH109+BN109+BT109</f>
        <v/>
      </c>
      <c r="CA109" s="9">
        <f>BE109+BK109+BQ109+BW109</f>
        <v/>
      </c>
      <c r="CB109" s="9">
        <f>BF109+BL109+BR109+BX109</f>
        <v/>
      </c>
      <c r="CC109" s="8" t="n">
        <v>22</v>
      </c>
      <c r="CD109" s="8" t="n">
        <v>893</v>
      </c>
      <c r="CE109" s="8" t="n">
        <v>11</v>
      </c>
      <c r="CF109" s="8" t="n">
        <v>17</v>
      </c>
      <c r="CG109" s="8" t="n">
        <v>23</v>
      </c>
      <c r="CH109" s="9">
        <f>CD109+CE109+CF109+CG109</f>
        <v/>
      </c>
      <c r="CI109" s="8" t="n">
        <v>787</v>
      </c>
      <c r="CJ109" s="8" t="n">
        <v>1</v>
      </c>
      <c r="CK109" s="8" t="n">
        <v>5</v>
      </c>
      <c r="CL109" s="8" t="n">
        <v>2</v>
      </c>
      <c r="CM109" s="9">
        <f>CI109+CJ109+CK109+CL109</f>
        <v/>
      </c>
      <c r="CN109" s="8" t="n">
        <v>1033</v>
      </c>
      <c r="CO109" s="8" t="n">
        <v>37</v>
      </c>
      <c r="CP109" s="8" t="n">
        <v>101</v>
      </c>
      <c r="CQ109" s="8" t="n">
        <v>9</v>
      </c>
      <c r="CR109" s="9">
        <f>CN109+CO109+CP109+CQ109</f>
        <v/>
      </c>
      <c r="CS109" s="9">
        <f>CM109+CR109</f>
        <v/>
      </c>
      <c r="CT109" s="8" t="n">
        <v>2919</v>
      </c>
      <c r="CU109" s="8" t="n">
        <v>18200</v>
      </c>
      <c r="CV109" s="8" t="n">
        <v>16550</v>
      </c>
      <c r="CW109" s="10">
        <f>IF(CU109=0,"",CV109/CU109)</f>
        <v/>
      </c>
      <c r="CX109" s="8" t="n"/>
      <c r="CY109" s="8" t="n"/>
      <c r="CZ109" s="8" t="n"/>
      <c r="DA109" s="8" t="n"/>
      <c r="DB109" s="9">
        <f>CX109+CY109-CZ109-DA109</f>
        <v/>
      </c>
      <c r="DC109" s="8" t="n">
        <v>0</v>
      </c>
      <c r="DD109" s="8" t="n">
        <v>0</v>
      </c>
      <c r="DE109" s="8" t="n">
        <v>0</v>
      </c>
      <c r="DF109" s="8" t="n">
        <v>0</v>
      </c>
      <c r="DG109" s="9">
        <f>DC109+DD109-DE109-DF109</f>
        <v/>
      </c>
      <c r="DH109" s="8" t="n">
        <v>0</v>
      </c>
      <c r="DI109" s="8" t="n">
        <v>0</v>
      </c>
      <c r="DJ109" s="8" t="n">
        <v>0</v>
      </c>
      <c r="DK109" s="8" t="n">
        <v>0</v>
      </c>
      <c r="DL109" s="9">
        <f>DH109+DI109-DJ109-DK109</f>
        <v/>
      </c>
      <c r="DM109" s="8" t="n">
        <v>26</v>
      </c>
      <c r="DN109" s="8" t="n">
        <v>0</v>
      </c>
      <c r="DO109" s="8" t="n">
        <v>0</v>
      </c>
      <c r="DP109" s="8" t="n">
        <v>0</v>
      </c>
      <c r="DQ109" s="9">
        <f>DM109+DN109-DO109-DP109</f>
        <v/>
      </c>
      <c r="DR109" s="9">
        <f>CX109+DC109+DH109+DM109</f>
        <v/>
      </c>
      <c r="DS109" s="9">
        <f>CY109+DD109+DI109+DN109</f>
        <v/>
      </c>
      <c r="DT109" s="9">
        <f>CZ109+DE109+DJ109+DO109</f>
        <v/>
      </c>
      <c r="DU109" s="9">
        <f>DA109+DF109+DK109+DP109</f>
        <v/>
      </c>
      <c r="DV109" s="9">
        <f>DB109+DG109+DL109+DQ109</f>
        <v/>
      </c>
      <c r="DW109" s="8" t="n">
        <v>87</v>
      </c>
      <c r="DX109" s="8" t="n">
        <v>40</v>
      </c>
      <c r="DY109" s="8" t="n">
        <v>23</v>
      </c>
      <c r="DZ109" s="8" t="n">
        <v>6</v>
      </c>
      <c r="EA109" s="8" t="n">
        <v>4</v>
      </c>
      <c r="EB109" s="8" t="n">
        <v>3</v>
      </c>
      <c r="EC109" s="8" t="n">
        <v>0</v>
      </c>
      <c r="ED109" s="8" t="n">
        <v>3</v>
      </c>
      <c r="EE109" s="8" t="n">
        <v>3</v>
      </c>
      <c r="EF109" s="8" t="n">
        <v>2</v>
      </c>
      <c r="EG109" s="8" t="n">
        <v>0</v>
      </c>
      <c r="EH109" s="8" t="n">
        <v>0</v>
      </c>
      <c r="EI109" s="8" t="n">
        <v>0</v>
      </c>
      <c r="EJ109" s="8" t="n">
        <v>0</v>
      </c>
      <c r="EK109" s="8" t="n">
        <v>0</v>
      </c>
      <c r="EL109" s="8" t="n">
        <v>0</v>
      </c>
      <c r="EM109" s="8" t="n">
        <v>0</v>
      </c>
      <c r="EN109" s="8" t="n">
        <v>0</v>
      </c>
      <c r="EO109" s="8" t="n">
        <v>0</v>
      </c>
      <c r="EP109" s="8" t="n">
        <v>0</v>
      </c>
      <c r="EQ109" s="8" t="n">
        <v>0</v>
      </c>
      <c r="ER109" s="8" t="n">
        <v>0</v>
      </c>
      <c r="ES109" s="8" t="n">
        <v>0</v>
      </c>
      <c r="ET109" s="8" t="n">
        <v>0</v>
      </c>
      <c r="EU109" s="8" t="n">
        <v>0</v>
      </c>
      <c r="EV109" s="8" t="n">
        <v>0</v>
      </c>
      <c r="EW109" s="8" t="n">
        <v>0</v>
      </c>
      <c r="EX109" s="8" t="n">
        <v>0</v>
      </c>
      <c r="EY109" s="8" t="n">
        <v>0</v>
      </c>
      <c r="EZ109" s="8" t="n">
        <v>0</v>
      </c>
      <c r="FA109" s="8" t="n">
        <v>0</v>
      </c>
      <c r="FB109" s="8" t="n">
        <v>0</v>
      </c>
      <c r="FC109" s="8" t="n">
        <v>0</v>
      </c>
      <c r="FD109" s="8" t="n">
        <v>0</v>
      </c>
      <c r="FE109" s="8" t="n">
        <v>0</v>
      </c>
      <c r="FF109" s="8" t="n">
        <v>0</v>
      </c>
      <c r="FG109" s="9">
        <f>SUM(DW109,DX109,DY109,DZ109,EA109,EB109,EC109,ED109,EE109,EF109,EG109,EH109,EI109,EJ109,EK109,EL109,EM109,EN109,EO109,EP109,EQ109,ER109,ES109,ET109,EU109,EV109,EW109,EX109,EY109,EZ109,FA109,FB109,FC109,FD109,FE109,FF109)</f>
        <v/>
      </c>
      <c r="FH109" s="8" t="n">
        <v>0</v>
      </c>
      <c r="FI109" s="8" t="n">
        <v>0</v>
      </c>
      <c r="FJ109" s="8" t="n">
        <v>13</v>
      </c>
      <c r="FK109" s="8" t="n">
        <v>60</v>
      </c>
      <c r="FL109" s="8" t="n">
        <v>0</v>
      </c>
      <c r="FM109" s="8" t="n">
        <v>0</v>
      </c>
      <c r="FN109" s="8" t="n">
        <v>0</v>
      </c>
      <c r="FO109" s="8" t="n">
        <v>0</v>
      </c>
      <c r="FP109" s="8" t="n">
        <v>0</v>
      </c>
      <c r="FQ109" s="9">
        <f>FL109+FM109+FN109+FO109+FP109</f>
        <v/>
      </c>
      <c r="FR109" s="8" t="n">
        <v>5256413.37</v>
      </c>
      <c r="FS109" s="8" t="n">
        <v>4000</v>
      </c>
      <c r="FT109" s="8" t="n">
        <v>23000</v>
      </c>
      <c r="FU109" s="8" t="n">
        <v>0</v>
      </c>
      <c r="FV109" s="9">
        <f>FR109+FS109+FT109+FU109</f>
        <v/>
      </c>
      <c r="FW109" s="8" t="n">
        <v>5084953.86</v>
      </c>
      <c r="FX109" s="8" t="n">
        <v>50650</v>
      </c>
      <c r="FY109" s="8" t="n">
        <v>1301570</v>
      </c>
      <c r="FZ109" s="8" t="n">
        <v>2442850</v>
      </c>
      <c r="GA109" s="9">
        <f>FW109+FX109+FY109+FZ109</f>
        <v/>
      </c>
      <c r="GB109" s="9">
        <f>FV109+GA109</f>
        <v/>
      </c>
      <c r="GC109" s="8" t="n">
        <v>4397272.95</v>
      </c>
      <c r="GD109" s="8" t="n">
        <v>2295.36</v>
      </c>
      <c r="GE109" s="8" t="n">
        <v>24383.95</v>
      </c>
      <c r="GF109" s="8" t="n">
        <v>62368.79</v>
      </c>
      <c r="GG109" s="9">
        <f>GC109+GD109+GE109+GF109</f>
        <v/>
      </c>
      <c r="GH109" s="8" t="n">
        <v>0</v>
      </c>
      <c r="GI109" s="8" t="n">
        <v>0</v>
      </c>
      <c r="GJ109" s="8" t="n">
        <v>0</v>
      </c>
      <c r="GK109" s="8" t="n">
        <v>0</v>
      </c>
      <c r="GL109" s="9">
        <f>GH109+GI109+GJ109+GK109</f>
        <v/>
      </c>
      <c r="GM109" s="9">
        <f>GG109+GL109</f>
        <v/>
      </c>
      <c r="GN109" s="8" t="n">
        <v>441190.68</v>
      </c>
      <c r="GO109" s="8" t="n">
        <v>382.56</v>
      </c>
      <c r="GP109" s="8" t="n">
        <v>3393.64</v>
      </c>
      <c r="GQ109" s="8" t="n">
        <v>23186.7</v>
      </c>
      <c r="GR109" s="9">
        <f>GN109+GO109+GP109+GQ109</f>
        <v/>
      </c>
      <c r="GS109" s="8" t="n">
        <v>702791</v>
      </c>
      <c r="GT109" s="8" t="n">
        <v>1786</v>
      </c>
      <c r="GU109" s="8" t="n">
        <v>893</v>
      </c>
      <c r="GV109" s="8" t="n">
        <v>4465</v>
      </c>
      <c r="GW109" s="9">
        <f>GS109+GT109+GU109+GV109</f>
        <v/>
      </c>
      <c r="GX109" s="9">
        <f>GM109+GR109+GW109</f>
        <v/>
      </c>
      <c r="GY109" s="8" t="n">
        <v>56256843.88</v>
      </c>
      <c r="GZ109" s="8" t="n">
        <v>101473935.77</v>
      </c>
      <c r="HA109" s="9">
        <f>GY109+GZ109</f>
        <v/>
      </c>
      <c r="HB109" s="9">
        <f>IF(GX109=0,"",AU109/GX109)</f>
        <v/>
      </c>
      <c r="HC109" s="10">
        <f>IF((GX109+GY109)=0,"",GB109/(GX109+GY109))</f>
        <v/>
      </c>
      <c r="HD109" s="9">
        <f>IF(GX109=0,"",GB109/GX109)</f>
        <v/>
      </c>
      <c r="HE109" s="8" t="n">
        <v>13</v>
      </c>
      <c r="HF109" s="8" t="n">
        <v>1</v>
      </c>
      <c r="HG109" s="8" t="n">
        <v>30</v>
      </c>
      <c r="HH109" s="8" t="n">
        <v>13</v>
      </c>
      <c r="HI109" s="8" t="n">
        <v>7</v>
      </c>
      <c r="HJ109" s="9">
        <f>HF109+HI109</f>
        <v/>
      </c>
      <c r="HK109" s="10">
        <f>IF(HE109=0,"",HH109/HE109)</f>
        <v/>
      </c>
      <c r="HL109" s="8" t="n">
        <v>15</v>
      </c>
      <c r="HM109" s="8" t="n">
        <v>15</v>
      </c>
      <c r="HN109" s="11">
        <f>IF(HL109=0,"",HM109/HL109)</f>
        <v/>
      </c>
    </row>
    <row r="110">
      <c r="A110" s="12" t="inlineStr">
        <is>
          <t>Mulanje</t>
        </is>
      </c>
      <c r="B110" s="12" t="inlineStr">
        <is>
          <t>Luchenza</t>
        </is>
      </c>
      <c r="C110" s="13" t="inlineStr">
        <is>
          <t>FY2025/26</t>
        </is>
      </c>
      <c r="D110" s="13" t="n">
        <v>2026</v>
      </c>
      <c r="E110" s="13" t="n">
        <v>3</v>
      </c>
      <c r="F110" s="13" t="inlineStr">
        <is>
          <t>March</t>
        </is>
      </c>
      <c r="G110" s="13" t="inlineStr">
        <is>
          <t>Q4</t>
        </is>
      </c>
      <c r="H110" s="14" t="n">
        <v>12850</v>
      </c>
      <c r="I110" s="14" t="n">
        <v>5385</v>
      </c>
      <c r="J110" s="14" t="n">
        <v>20</v>
      </c>
      <c r="K110" s="14" t="n">
        <v>10</v>
      </c>
      <c r="L110" s="14" t="n">
        <v>31</v>
      </c>
      <c r="M110" s="15">
        <f>SUM(I110,J110,K110,L110)</f>
        <v/>
      </c>
      <c r="N110" s="14" t="n">
        <v>3540</v>
      </c>
      <c r="O110" s="14" t="n">
        <v>130</v>
      </c>
      <c r="P110" s="14" t="n">
        <v>117</v>
      </c>
      <c r="Q110" s="14" t="n">
        <v>150</v>
      </c>
      <c r="R110" s="15">
        <f>SUM(N110,O110,P110,Q110)</f>
        <v/>
      </c>
      <c r="S110" s="15">
        <f>M110+R110</f>
        <v/>
      </c>
      <c r="T110" s="14" t="n">
        <v>3467</v>
      </c>
      <c r="U110" s="16">
        <f>IF(H110=0,"",T110/H110)</f>
        <v/>
      </c>
      <c r="V110" s="14" t="n">
        <v>30</v>
      </c>
      <c r="W110" s="17">
        <f>IF(H110=0,"",V110/H110)</f>
        <v/>
      </c>
      <c r="X110" s="14" t="n">
        <v>0</v>
      </c>
      <c r="Y110" s="17">
        <f>IF(H110=0,"",X110/H110)</f>
        <v/>
      </c>
      <c r="Z110" s="14" t="n">
        <v>0</v>
      </c>
      <c r="AA110" s="17">
        <f>IF(H110=0,"",Z110/H110)</f>
        <v/>
      </c>
      <c r="AB110" s="14" t="n">
        <v>0</v>
      </c>
      <c r="AC110" s="17">
        <f>IF(H110=0,"",AB110/H110)</f>
        <v/>
      </c>
      <c r="AD110" s="14" t="n">
        <v>0</v>
      </c>
      <c r="AE110" s="17">
        <f>IF(H110=0,"",AD110/H110)</f>
        <v/>
      </c>
      <c r="AF110" s="14" t="n">
        <v>0</v>
      </c>
      <c r="AG110" s="17">
        <f>IF(H110=0,"",AF110/H110)</f>
        <v/>
      </c>
      <c r="AH110" s="14" t="n">
        <v>153350.1</v>
      </c>
      <c r="AI110" s="15">
        <f>IF(H110=0,"",AH110/H110)</f>
        <v/>
      </c>
      <c r="AJ110" s="14" t="n">
        <v>6670</v>
      </c>
      <c r="AK110" s="17">
        <f>IF(H110=0,"",AJ110/H110)</f>
        <v/>
      </c>
      <c r="AL110" s="14" t="n">
        <v>16426.5</v>
      </c>
      <c r="AM110" s="15">
        <f>IF(H110=0,"",AL110/H110)</f>
        <v/>
      </c>
      <c r="AN110" s="14" t="n">
        <v>0</v>
      </c>
      <c r="AO110" s="14" t="n">
        <v>0</v>
      </c>
      <c r="AP110" s="14" t="n">
        <v>0</v>
      </c>
      <c r="AQ110" s="14" t="n">
        <v>0</v>
      </c>
      <c r="AR110" s="14" t="n">
        <v>8017685.260000001</v>
      </c>
      <c r="AS110" s="14" t="n">
        <v>0</v>
      </c>
      <c r="AT110" s="14" t="n">
        <v>0</v>
      </c>
      <c r="AU110" s="15">
        <f>AH110+AL110+AP110+AQ110+AR110+AS110+AT110</f>
        <v/>
      </c>
      <c r="AV110" s="15">
        <f>IF(H110=0,"",AU110/H110)</f>
        <v/>
      </c>
      <c r="AW110" s="15">
        <f>IF(S110=0,"",AU110/S110)</f>
        <v/>
      </c>
      <c r="AX110" s="14" t="n">
        <v>7</v>
      </c>
      <c r="AY110" s="15">
        <f>IF(H110=0,"",AX110/(H110/1000/12))</f>
        <v/>
      </c>
      <c r="AZ110" s="14" t="n">
        <v>15</v>
      </c>
      <c r="BA110" s="14" t="n">
        <v>38</v>
      </c>
      <c r="BB110" s="14" t="n">
        <v>4</v>
      </c>
      <c r="BC110" s="14" t="n">
        <v>0</v>
      </c>
      <c r="BD110" s="14" t="n">
        <v>20</v>
      </c>
      <c r="BE110" s="15">
        <f>BC110+BD110</f>
        <v/>
      </c>
      <c r="BF110" s="15">
        <f>BA110+BB110-BE110</f>
        <v/>
      </c>
      <c r="BG110" s="14" t="n">
        <v>0</v>
      </c>
      <c r="BH110" s="14" t="n">
        <v>0</v>
      </c>
      <c r="BI110" s="14" t="n">
        <v>0</v>
      </c>
      <c r="BJ110" s="14" t="n">
        <v>0</v>
      </c>
      <c r="BK110" s="15">
        <f>BI110+BJ110</f>
        <v/>
      </c>
      <c r="BL110" s="15">
        <f>BG110+BH110-BK110</f>
        <v/>
      </c>
      <c r="BM110" s="14" t="n">
        <v>0</v>
      </c>
      <c r="BN110" s="14" t="n">
        <v>0</v>
      </c>
      <c r="BO110" s="14" t="n">
        <v>0</v>
      </c>
      <c r="BP110" s="14" t="n">
        <v>0</v>
      </c>
      <c r="BQ110" s="15">
        <f>BO110+BP110</f>
        <v/>
      </c>
      <c r="BR110" s="15">
        <f>BM110+BN110-BQ110</f>
        <v/>
      </c>
      <c r="BS110" s="14" t="n">
        <v>0</v>
      </c>
      <c r="BT110" s="14" t="n">
        <v>0</v>
      </c>
      <c r="BU110" s="14" t="n">
        <v>0</v>
      </c>
      <c r="BV110" s="14" t="n">
        <v>0</v>
      </c>
      <c r="BW110" s="15">
        <f>BU110+BV110</f>
        <v/>
      </c>
      <c r="BX110" s="15">
        <f>BS110+BT110-BW110</f>
        <v/>
      </c>
      <c r="BY110" s="15">
        <f>BA110+BG110+BM110+BS110</f>
        <v/>
      </c>
      <c r="BZ110" s="15">
        <f>BB110+BH110+BN110+BT110</f>
        <v/>
      </c>
      <c r="CA110" s="15">
        <f>BE110+BK110+BQ110+BW110</f>
        <v/>
      </c>
      <c r="CB110" s="15">
        <f>BF110+BL110+BR110+BX110</f>
        <v/>
      </c>
      <c r="CC110" s="14" t="n">
        <v>20</v>
      </c>
      <c r="CD110" s="14" t="n">
        <v>893</v>
      </c>
      <c r="CE110" s="14" t="n">
        <v>11</v>
      </c>
      <c r="CF110" s="14" t="n">
        <v>17</v>
      </c>
      <c r="CG110" s="14" t="n">
        <v>23</v>
      </c>
      <c r="CH110" s="15">
        <f>CD110+CE110+CF110+CG110</f>
        <v/>
      </c>
      <c r="CI110" s="14" t="n">
        <v>783</v>
      </c>
      <c r="CJ110" s="14" t="n">
        <v>1</v>
      </c>
      <c r="CK110" s="14" t="n">
        <v>5</v>
      </c>
      <c r="CL110" s="14" t="n">
        <v>2</v>
      </c>
      <c r="CM110" s="15">
        <f>CI110+CJ110+CK110+CL110</f>
        <v/>
      </c>
      <c r="CN110" s="14" t="n">
        <v>1050</v>
      </c>
      <c r="CO110" s="14" t="n">
        <v>37</v>
      </c>
      <c r="CP110" s="14" t="n">
        <v>107</v>
      </c>
      <c r="CQ110" s="14" t="n">
        <v>10</v>
      </c>
      <c r="CR110" s="15">
        <f>CN110+CO110+CP110+CQ110</f>
        <v/>
      </c>
      <c r="CS110" s="15">
        <f>CM110+CR110</f>
        <v/>
      </c>
      <c r="CT110" s="14" t="n">
        <v>2939</v>
      </c>
      <c r="CU110" s="14" t="n">
        <v>18200</v>
      </c>
      <c r="CV110" s="14" t="n">
        <v>16550</v>
      </c>
      <c r="CW110" s="16">
        <f>IF(CU110=0,"",CV110/CU110)</f>
        <v/>
      </c>
      <c r="CX110" s="14" t="n"/>
      <c r="CY110" s="14" t="n"/>
      <c r="CZ110" s="14" t="n"/>
      <c r="DA110" s="14" t="n"/>
      <c r="DB110" s="15">
        <f>CX110+CY110-CZ110-DA110</f>
        <v/>
      </c>
      <c r="DC110" s="14" t="n">
        <v>0</v>
      </c>
      <c r="DD110" s="14" t="n">
        <v>0</v>
      </c>
      <c r="DE110" s="14" t="n">
        <v>0</v>
      </c>
      <c r="DF110" s="14" t="n">
        <v>0</v>
      </c>
      <c r="DG110" s="15">
        <f>DC110+DD110-DE110-DF110</f>
        <v/>
      </c>
      <c r="DH110" s="14" t="n">
        <v>0</v>
      </c>
      <c r="DI110" s="14" t="n">
        <v>0</v>
      </c>
      <c r="DJ110" s="14" t="n">
        <v>0</v>
      </c>
      <c r="DK110" s="14" t="n">
        <v>0</v>
      </c>
      <c r="DL110" s="15">
        <f>DH110+DI110-DJ110-DK110</f>
        <v/>
      </c>
      <c r="DM110" s="14" t="n">
        <v>26</v>
      </c>
      <c r="DN110" s="14" t="n">
        <v>34</v>
      </c>
      <c r="DO110" s="14" t="n">
        <v>20</v>
      </c>
      <c r="DP110" s="14" t="n">
        <v>0</v>
      </c>
      <c r="DQ110" s="15">
        <f>DM110+DN110-DO110-DP110</f>
        <v/>
      </c>
      <c r="DR110" s="15">
        <f>CX110+DC110+DH110+DM110</f>
        <v/>
      </c>
      <c r="DS110" s="15">
        <f>CY110+DD110+DI110+DN110</f>
        <v/>
      </c>
      <c r="DT110" s="15">
        <f>CZ110+DE110+DJ110+DO110</f>
        <v/>
      </c>
      <c r="DU110" s="15">
        <f>DA110+DF110+DK110+DP110</f>
        <v/>
      </c>
      <c r="DV110" s="15">
        <f>DB110+DG110+DL110+DQ110</f>
        <v/>
      </c>
      <c r="DW110" s="14" t="n">
        <v>59</v>
      </c>
      <c r="DX110" s="14" t="n">
        <v>57</v>
      </c>
      <c r="DY110" s="14" t="n">
        <v>17</v>
      </c>
      <c r="DZ110" s="14" t="n">
        <v>5</v>
      </c>
      <c r="EA110" s="14" t="n">
        <v>9</v>
      </c>
      <c r="EB110" s="14" t="n">
        <v>4</v>
      </c>
      <c r="EC110" s="14" t="n">
        <v>0</v>
      </c>
      <c r="ED110" s="14" t="n">
        <v>0</v>
      </c>
      <c r="EE110" s="14" t="n">
        <v>1</v>
      </c>
      <c r="EF110" s="14" t="n">
        <v>1</v>
      </c>
      <c r="EG110" s="14" t="n">
        <v>0</v>
      </c>
      <c r="EH110" s="14" t="n">
        <v>0</v>
      </c>
      <c r="EI110" s="14" t="n">
        <v>0</v>
      </c>
      <c r="EJ110" s="14" t="n">
        <v>0</v>
      </c>
      <c r="EK110" s="14" t="n">
        <v>0</v>
      </c>
      <c r="EL110" s="14" t="n">
        <v>0</v>
      </c>
      <c r="EM110" s="14" t="n">
        <v>0</v>
      </c>
      <c r="EN110" s="14" t="n">
        <v>0</v>
      </c>
      <c r="EO110" s="14" t="n">
        <v>0</v>
      </c>
      <c r="EP110" s="14" t="n">
        <v>0</v>
      </c>
      <c r="EQ110" s="14" t="n">
        <v>0</v>
      </c>
      <c r="ER110" s="14" t="n">
        <v>0</v>
      </c>
      <c r="ES110" s="14" t="n">
        <v>0</v>
      </c>
      <c r="ET110" s="14" t="n">
        <v>0</v>
      </c>
      <c r="EU110" s="14" t="n">
        <v>0</v>
      </c>
      <c r="EV110" s="14" t="n">
        <v>0</v>
      </c>
      <c r="EW110" s="14" t="n">
        <v>0</v>
      </c>
      <c r="EX110" s="14" t="n">
        <v>0</v>
      </c>
      <c r="EY110" s="14" t="n">
        <v>0</v>
      </c>
      <c r="EZ110" s="14" t="n">
        <v>0</v>
      </c>
      <c r="FA110" s="14" t="n">
        <v>0</v>
      </c>
      <c r="FB110" s="14" t="n">
        <v>0</v>
      </c>
      <c r="FC110" s="14" t="n">
        <v>0</v>
      </c>
      <c r="FD110" s="14" t="n">
        <v>0</v>
      </c>
      <c r="FE110" s="14" t="n">
        <v>0</v>
      </c>
      <c r="FF110" s="14" t="n">
        <v>0</v>
      </c>
      <c r="FG110" s="15">
        <f>SUM(DW110,DX110,DY110,DZ110,EA110,EB110,EC110,ED110,EE110,EF110,EG110,EH110,EI110,EJ110,EK110,EL110,EM110,EN110,EO110,EP110,EQ110,ER110,ES110,ET110,EU110,EV110,EW110,EX110,EY110,EZ110,FA110,FB110,FC110,FD110,FE110,FF110)</f>
        <v/>
      </c>
      <c r="FH110" s="14" t="n">
        <v>0</v>
      </c>
      <c r="FI110" s="14" t="n">
        <v>0</v>
      </c>
      <c r="FJ110" s="14" t="n">
        <v>13</v>
      </c>
      <c r="FK110" s="14" t="n">
        <v>48</v>
      </c>
      <c r="FL110" s="14" t="n">
        <v>0</v>
      </c>
      <c r="FM110" s="14" t="n">
        <v>0</v>
      </c>
      <c r="FN110" s="14" t="n">
        <v>0</v>
      </c>
      <c r="FO110" s="14" t="n">
        <v>0</v>
      </c>
      <c r="FP110" s="14" t="n">
        <v>0</v>
      </c>
      <c r="FQ110" s="15">
        <f>FL110+FM110+FN110+FO110+FP110</f>
        <v/>
      </c>
      <c r="FR110" s="14" t="n">
        <v>4371975.17</v>
      </c>
      <c r="FS110" s="14" t="n">
        <v>6000</v>
      </c>
      <c r="FT110" s="14" t="n">
        <v>31500</v>
      </c>
      <c r="FU110" s="14" t="n">
        <v>74373000</v>
      </c>
      <c r="FV110" s="15">
        <f>FR110+FS110+FT110+FU110</f>
        <v/>
      </c>
      <c r="FW110" s="14" t="n">
        <v>4625881</v>
      </c>
      <c r="FX110" s="14" t="n">
        <v>27700</v>
      </c>
      <c r="FY110" s="14" t="n">
        <v>725300</v>
      </c>
      <c r="FZ110" s="14" t="n">
        <v>356450</v>
      </c>
      <c r="GA110" s="15">
        <f>FW110+FX110+FY110+FZ110</f>
        <v/>
      </c>
      <c r="GB110" s="15">
        <f>FV110+GA110</f>
        <v/>
      </c>
      <c r="GC110" s="14" t="n">
        <v>4818809.09</v>
      </c>
      <c r="GD110" s="14" t="n">
        <v>3825.6</v>
      </c>
      <c r="GE110" s="14" t="n">
        <v>24383.95</v>
      </c>
      <c r="GF110" s="14" t="n">
        <v>84104.59</v>
      </c>
      <c r="GG110" s="15">
        <f>GC110+GD110+GE110+GF110</f>
        <v/>
      </c>
      <c r="GH110" s="14" t="n">
        <v>0</v>
      </c>
      <c r="GI110" s="14" t="n">
        <v>0</v>
      </c>
      <c r="GJ110" s="14" t="n">
        <v>0</v>
      </c>
      <c r="GK110" s="14" t="n">
        <v>0</v>
      </c>
      <c r="GL110" s="15">
        <f>GH110+GI110+GJ110+GK110</f>
        <v/>
      </c>
      <c r="GM110" s="15">
        <f>GG110+GL110</f>
        <v/>
      </c>
      <c r="GN110" s="14" t="n">
        <v>439010.96</v>
      </c>
      <c r="GO110" s="14" t="n">
        <v>382.56</v>
      </c>
      <c r="GP110" s="14" t="n">
        <v>3393.64</v>
      </c>
      <c r="GQ110" s="14" t="n">
        <v>23186.7</v>
      </c>
      <c r="GR110" s="15">
        <f>GN110+GO110+GP110+GQ110</f>
        <v/>
      </c>
      <c r="GS110" s="14" t="n">
        <v>701898</v>
      </c>
      <c r="GT110" s="14" t="n">
        <v>1786</v>
      </c>
      <c r="GU110" s="14" t="n">
        <v>893</v>
      </c>
      <c r="GV110" s="14" t="n">
        <v>4465</v>
      </c>
      <c r="GW110" s="15">
        <f>GS110+GT110+GU110+GV110</f>
        <v/>
      </c>
      <c r="GX110" s="15">
        <f>GM110+GR110+GW110</f>
        <v/>
      </c>
      <c r="GY110" s="14" t="n">
        <v>45433786.01</v>
      </c>
      <c r="GZ110" s="14" t="n">
        <v>27100935.77</v>
      </c>
      <c r="HA110" s="15">
        <f>GY110+GZ110</f>
        <v/>
      </c>
      <c r="HB110" s="15">
        <f>IF(GX110=0,"",AU110/GX110)</f>
        <v/>
      </c>
      <c r="HC110" s="16">
        <f>IF((GX110+GY110)=0,"",GB110/(GX110+GY110))</f>
        <v/>
      </c>
      <c r="HD110" s="15">
        <f>IF(GX110=0,"",GB110/GX110)</f>
        <v/>
      </c>
      <c r="HE110" s="14" t="n">
        <v>4</v>
      </c>
      <c r="HF110" s="14" t="n">
        <v>4</v>
      </c>
      <c r="HG110" s="14" t="n">
        <v>14</v>
      </c>
      <c r="HH110" s="14" t="n">
        <v>38</v>
      </c>
      <c r="HI110" s="14" t="n">
        <v>7</v>
      </c>
      <c r="HJ110" s="15">
        <f>HF110+HI110</f>
        <v/>
      </c>
      <c r="HK110" s="16">
        <f>IF(HE110=0,"",HH110/HE110)</f>
        <v/>
      </c>
      <c r="HL110" s="14" t="n">
        <v>20</v>
      </c>
      <c r="HM110" s="14" t="n">
        <v>10</v>
      </c>
      <c r="HN110" s="17">
        <f>IF(HL110=0,"",HM110/HL110)</f>
        <v/>
      </c>
    </row>
    <row r="111">
      <c r="A111" s="6" t="inlineStr">
        <is>
          <t>Mulanje</t>
        </is>
      </c>
      <c r="B111" s="6" t="inlineStr">
        <is>
          <t>MUST</t>
        </is>
      </c>
      <c r="C111" s="7" t="inlineStr">
        <is>
          <t>FY2025/26</t>
        </is>
      </c>
      <c r="D111" s="7" t="n">
        <v>2025</v>
      </c>
      <c r="E111" s="7" t="n">
        <v>4</v>
      </c>
      <c r="F111" s="7" t="inlineStr">
        <is>
          <t>April</t>
        </is>
      </c>
      <c r="G111" s="7" t="inlineStr">
        <is>
          <t>Q1</t>
        </is>
      </c>
      <c r="H111" s="8" t="n">
        <v>19876</v>
      </c>
      <c r="I111" s="8" t="n">
        <v>461</v>
      </c>
      <c r="J111" s="8" t="n">
        <v>0</v>
      </c>
      <c r="K111" s="8" t="n">
        <v>15</v>
      </c>
      <c r="L111" s="8" t="n">
        <v>7</v>
      </c>
      <c r="M111" s="9">
        <f>SUM(I111,J111,K111,L111)</f>
        <v/>
      </c>
      <c r="N111" s="8" t="n">
        <v>1470</v>
      </c>
      <c r="O111" s="8" t="n">
        <v>0</v>
      </c>
      <c r="P111" s="8" t="n">
        <v>12034</v>
      </c>
      <c r="Q111" s="8" t="n">
        <v>1524</v>
      </c>
      <c r="R111" s="9">
        <f>SUM(N111,O111,P111,Q111)</f>
        <v/>
      </c>
      <c r="S111" s="9">
        <f>M111+R111</f>
        <v/>
      </c>
      <c r="T111" s="8" t="n">
        <v>4365</v>
      </c>
      <c r="U111" s="10">
        <f>IF(H111=0,"",T111/H111)</f>
        <v/>
      </c>
      <c r="V111" s="8" t="n">
        <v>20</v>
      </c>
      <c r="W111" s="11">
        <f>IF(H111=0,"",V111/H111)</f>
        <v/>
      </c>
      <c r="X111" s="8" t="n">
        <v>0</v>
      </c>
      <c r="Y111" s="11">
        <f>IF(H111=0,"",X111/H111)</f>
        <v/>
      </c>
      <c r="Z111" s="8" t="n">
        <v>0</v>
      </c>
      <c r="AA111" s="11">
        <f>IF(H111=0,"",Z111/H111)</f>
        <v/>
      </c>
      <c r="AB111" s="8" t="n">
        <v>0</v>
      </c>
      <c r="AC111" s="11">
        <f>IF(H111=0,"",AB111/H111)</f>
        <v/>
      </c>
      <c r="AD111" s="8" t="n">
        <v>0</v>
      </c>
      <c r="AE111" s="11">
        <f>IF(H111=0,"",AD111/H111)</f>
        <v/>
      </c>
      <c r="AF111" s="8" t="n">
        <v>0</v>
      </c>
      <c r="AG111" s="11">
        <f>IF(H111=0,"",AF111/H111)</f>
        <v/>
      </c>
      <c r="AH111" s="8" t="n">
        <v>102233.4</v>
      </c>
      <c r="AI111" s="9">
        <f>IF(H111=0,"",AH111/H111)</f>
        <v/>
      </c>
      <c r="AJ111" s="8" t="n">
        <v>14230</v>
      </c>
      <c r="AK111" s="11">
        <f>IF(H111=0,"",AJ111/H111)</f>
        <v/>
      </c>
      <c r="AL111" s="8" t="n">
        <v>1990860.345</v>
      </c>
      <c r="AM111" s="9">
        <f>IF(H111=0,"",AL111/H111)</f>
        <v/>
      </c>
      <c r="AN111" s="8" t="n">
        <v>0</v>
      </c>
      <c r="AO111" s="8" t="n">
        <v>0</v>
      </c>
      <c r="AP111" s="8" t="n">
        <v>0</v>
      </c>
      <c r="AQ111" s="8" t="n">
        <v>0</v>
      </c>
      <c r="AR111" s="8" t="n">
        <v>9374634.689999999</v>
      </c>
      <c r="AS111" s="8" t="n">
        <v>678461.84</v>
      </c>
      <c r="AT111" s="8" t="n">
        <v>8284025</v>
      </c>
      <c r="AU111" s="9">
        <f>AH111+AL111+AP111+AQ111+AR111+AS111+AT111</f>
        <v/>
      </c>
      <c r="AV111" s="9">
        <f>IF(H111=0,"",AU111/H111)</f>
        <v/>
      </c>
      <c r="AW111" s="9">
        <f>IF(S111=0,"",AU111/S111)</f>
        <v/>
      </c>
      <c r="AX111" s="8" t="n">
        <v>4</v>
      </c>
      <c r="AY111" s="9">
        <f>IF(H111=0,"",AX111/(H111/1000/12))</f>
        <v/>
      </c>
      <c r="AZ111" s="8" t="n">
        <v>7</v>
      </c>
      <c r="BA111" s="8" t="n">
        <v>5</v>
      </c>
      <c r="BB111" s="8" t="n">
        <v>0</v>
      </c>
      <c r="BC111" s="8" t="n">
        <v>0</v>
      </c>
      <c r="BD111" s="8" t="n">
        <v>0</v>
      </c>
      <c r="BE111" s="9">
        <f>BC111+BD111</f>
        <v/>
      </c>
      <c r="BF111" s="9">
        <f>BA111+BB111-BE111</f>
        <v/>
      </c>
      <c r="BG111" s="8" t="n">
        <v>0</v>
      </c>
      <c r="BH111" s="8" t="n">
        <v>0</v>
      </c>
      <c r="BI111" s="8" t="n">
        <v>0</v>
      </c>
      <c r="BJ111" s="8" t="n">
        <v>0</v>
      </c>
      <c r="BK111" s="9">
        <f>BI111+BJ111</f>
        <v/>
      </c>
      <c r="BL111" s="9">
        <f>BG111+BH111-BK111</f>
        <v/>
      </c>
      <c r="BM111" s="8" t="n">
        <v>0</v>
      </c>
      <c r="BN111" s="8" t="n">
        <v>0</v>
      </c>
      <c r="BO111" s="8" t="n">
        <v>0</v>
      </c>
      <c r="BP111" s="8" t="n">
        <v>0</v>
      </c>
      <c r="BQ111" s="9">
        <f>BO111+BP111</f>
        <v/>
      </c>
      <c r="BR111" s="9">
        <f>BM111+BN111-BQ111</f>
        <v/>
      </c>
      <c r="BS111" s="8" t="n">
        <v>0</v>
      </c>
      <c r="BT111" s="8" t="n">
        <v>0</v>
      </c>
      <c r="BU111" s="8" t="n">
        <v>0</v>
      </c>
      <c r="BV111" s="8" t="n">
        <v>0</v>
      </c>
      <c r="BW111" s="9">
        <f>BU111+BV111</f>
        <v/>
      </c>
      <c r="BX111" s="9">
        <f>BS111+BT111-BW111</f>
        <v/>
      </c>
      <c r="BY111" s="9">
        <f>BA111+BG111+BM111+BS111</f>
        <v/>
      </c>
      <c r="BZ111" s="9">
        <f>BB111+BH111+BN111+BT111</f>
        <v/>
      </c>
      <c r="CA111" s="9">
        <f>BE111+BK111+BQ111+BW111</f>
        <v/>
      </c>
      <c r="CB111" s="9">
        <f>BF111+BL111+BR111+BX111</f>
        <v/>
      </c>
      <c r="CC111" s="8" t="n">
        <v>23</v>
      </c>
      <c r="CD111" s="8" t="n">
        <v>3</v>
      </c>
      <c r="CE111" s="8" t="n">
        <v>0</v>
      </c>
      <c r="CF111" s="8" t="n">
        <v>0</v>
      </c>
      <c r="CG111" s="8" t="n">
        <v>0</v>
      </c>
      <c r="CH111" s="9">
        <f>CD111+CE111+CF111+CG111</f>
        <v/>
      </c>
      <c r="CI111" s="8" t="n">
        <v>40</v>
      </c>
      <c r="CJ111" s="8" t="n">
        <v>2</v>
      </c>
      <c r="CK111" s="8" t="n">
        <v>1</v>
      </c>
      <c r="CL111" s="8" t="n">
        <v>0</v>
      </c>
      <c r="CM111" s="9">
        <f>CI111+CJ111+CK111+CL111</f>
        <v/>
      </c>
      <c r="CN111" s="8" t="n">
        <v>205</v>
      </c>
      <c r="CO111" s="8" t="n">
        <v>9</v>
      </c>
      <c r="CP111" s="8" t="n">
        <v>11</v>
      </c>
      <c r="CQ111" s="8" t="n">
        <v>0</v>
      </c>
      <c r="CR111" s="9">
        <f>CN111+CO111+CP111+CQ111</f>
        <v/>
      </c>
      <c r="CS111" s="9">
        <f>CM111+CR111</f>
        <v/>
      </c>
      <c r="CT111" s="8" t="n">
        <v>271</v>
      </c>
      <c r="CU111" s="8" t="n">
        <v>4359</v>
      </c>
      <c r="CV111" s="8" t="n">
        <v>4095</v>
      </c>
      <c r="CW111" s="10">
        <f>IF(CU111=0,"",CV111/CU111)</f>
        <v/>
      </c>
      <c r="CX111" s="8" t="n">
        <v>0</v>
      </c>
      <c r="CY111" s="8" t="n">
        <v>0</v>
      </c>
      <c r="CZ111" s="8" t="n">
        <v>0</v>
      </c>
      <c r="DA111" s="8" t="n">
        <v>0</v>
      </c>
      <c r="DB111" s="9">
        <f>CX111+CY111-CZ111-DA111</f>
        <v/>
      </c>
      <c r="DC111" s="8" t="n">
        <v>0</v>
      </c>
      <c r="DD111" s="8" t="n">
        <v>0</v>
      </c>
      <c r="DE111" s="8" t="n">
        <v>0</v>
      </c>
      <c r="DF111" s="8" t="n">
        <v>0</v>
      </c>
      <c r="DG111" s="9">
        <f>DC111+DD111-DE111-DF111</f>
        <v/>
      </c>
      <c r="DH111" s="8" t="n">
        <v>0</v>
      </c>
      <c r="DI111" s="8" t="n">
        <v>0</v>
      </c>
      <c r="DJ111" s="8" t="n">
        <v>0</v>
      </c>
      <c r="DK111" s="8" t="n">
        <v>0</v>
      </c>
      <c r="DL111" s="9">
        <f>DH111+DI111-DJ111-DK111</f>
        <v/>
      </c>
      <c r="DM111" s="8" t="n">
        <v>0</v>
      </c>
      <c r="DN111" s="8" t="n">
        <v>0</v>
      </c>
      <c r="DO111" s="8" t="n">
        <v>0</v>
      </c>
      <c r="DP111" s="8" t="n">
        <v>0</v>
      </c>
      <c r="DQ111" s="9">
        <f>DM111+DN111-DO111-DP111</f>
        <v/>
      </c>
      <c r="DR111" s="9">
        <f>CX111+DC111+DH111+DM111</f>
        <v/>
      </c>
      <c r="DS111" s="9">
        <f>CY111+DD111+DI111+DN111</f>
        <v/>
      </c>
      <c r="DT111" s="9">
        <f>CZ111+DE111+DJ111+DO111</f>
        <v/>
      </c>
      <c r="DU111" s="9">
        <f>DA111+DF111+DK111+DP111</f>
        <v/>
      </c>
      <c r="DV111" s="9">
        <f>DB111+DG111+DL111+DQ111</f>
        <v/>
      </c>
      <c r="DW111" s="8" t="n">
        <v>7</v>
      </c>
      <c r="DX111" s="8" t="n">
        <v>7</v>
      </c>
      <c r="DY111" s="8" t="n">
        <v>2</v>
      </c>
      <c r="DZ111" s="8" t="n">
        <v>2</v>
      </c>
      <c r="EA111" s="8" t="n">
        <v>0</v>
      </c>
      <c r="EB111" s="8" t="n">
        <v>0</v>
      </c>
      <c r="EC111" s="8" t="n">
        <v>0</v>
      </c>
      <c r="ED111" s="8" t="n">
        <v>0</v>
      </c>
      <c r="EE111" s="8" t="n">
        <v>1</v>
      </c>
      <c r="EF111" s="8" t="n">
        <v>1</v>
      </c>
      <c r="EG111" s="8" t="n">
        <v>0</v>
      </c>
      <c r="EH111" s="8" t="n">
        <v>0</v>
      </c>
      <c r="EI111" s="8" t="n">
        <v>0</v>
      </c>
      <c r="EJ111" s="8" t="n">
        <v>0</v>
      </c>
      <c r="EK111" s="8" t="n">
        <v>0</v>
      </c>
      <c r="EL111" s="8" t="n">
        <v>0</v>
      </c>
      <c r="EM111" s="8" t="n">
        <v>0</v>
      </c>
      <c r="EN111" s="8" t="n">
        <v>0</v>
      </c>
      <c r="EO111" s="8" t="n">
        <v>0</v>
      </c>
      <c r="EP111" s="8" t="n">
        <v>0</v>
      </c>
      <c r="EQ111" s="8" t="n">
        <v>0</v>
      </c>
      <c r="ER111" s="8" t="n">
        <v>0</v>
      </c>
      <c r="ES111" s="8" t="n">
        <v>0</v>
      </c>
      <c r="ET111" s="8" t="n">
        <v>0</v>
      </c>
      <c r="EU111" s="8" t="n">
        <v>0</v>
      </c>
      <c r="EV111" s="8" t="n">
        <v>0</v>
      </c>
      <c r="EW111" s="8" t="n">
        <v>0</v>
      </c>
      <c r="EX111" s="8" t="n">
        <v>0</v>
      </c>
      <c r="EY111" s="8" t="n">
        <v>0</v>
      </c>
      <c r="EZ111" s="8" t="n">
        <v>0</v>
      </c>
      <c r="FA111" s="8" t="n">
        <v>0</v>
      </c>
      <c r="FB111" s="8" t="n">
        <v>0</v>
      </c>
      <c r="FC111" s="8" t="n">
        <v>0</v>
      </c>
      <c r="FD111" s="8" t="n">
        <v>0</v>
      </c>
      <c r="FE111" s="8" t="n">
        <v>0</v>
      </c>
      <c r="FF111" s="8" t="n">
        <v>0</v>
      </c>
      <c r="FG111" s="9">
        <f>SUM(DW111,DX111,DY111,DZ111,EA111,EB111,EC111,ED111,EE111,EF111,EG111,EH111,EI111,EJ111,EK111,EL111,EM111,EN111,EO111,EP111,EQ111,ER111,ES111,ET111,EU111,EV111,EW111,EX111,EY111,EZ111,FA111,FB111,FC111,FD111,FE111,FF111)</f>
        <v/>
      </c>
      <c r="FH111" s="8" t="n">
        <v>4</v>
      </c>
      <c r="FI111" s="8" t="n">
        <v>28</v>
      </c>
      <c r="FJ111" s="8" t="n">
        <v>24</v>
      </c>
      <c r="FK111" s="8" t="n">
        <v>4</v>
      </c>
      <c r="FL111" s="8" t="n">
        <v>0</v>
      </c>
      <c r="FM111" s="8" t="n">
        <v>0</v>
      </c>
      <c r="FN111" s="8" t="n">
        <v>0</v>
      </c>
      <c r="FO111" s="8" t="n">
        <v>0</v>
      </c>
      <c r="FP111" s="8" t="n">
        <v>0</v>
      </c>
      <c r="FQ111" s="9">
        <f>FL111+FM111+FN111+FO111+FP111</f>
        <v/>
      </c>
      <c r="FR111" s="8" t="n">
        <v>107000</v>
      </c>
      <c r="FS111" s="8" t="n">
        <v>0</v>
      </c>
      <c r="FT111" s="8" t="n">
        <v>0</v>
      </c>
      <c r="FU111" s="8" t="n">
        <v>0</v>
      </c>
      <c r="FV111" s="9">
        <f>FR111+FS111+FT111+FU111</f>
        <v/>
      </c>
      <c r="FW111" s="8" t="n">
        <v>2179876</v>
      </c>
      <c r="FX111" s="8" t="n">
        <v>2179876</v>
      </c>
      <c r="FY111" s="8" t="n">
        <v>7204728.09</v>
      </c>
      <c r="FZ111" s="8" t="n">
        <v>35046800</v>
      </c>
      <c r="GA111" s="9">
        <f>FW111+FX111+FY111+FZ111</f>
        <v/>
      </c>
      <c r="GB111" s="9">
        <f>FV111+GA111</f>
        <v/>
      </c>
      <c r="GC111" s="8" t="n">
        <v>417417.08</v>
      </c>
      <c r="GD111" s="8" t="n">
        <v>417417.08</v>
      </c>
      <c r="GE111" s="8" t="n">
        <v>35803.19</v>
      </c>
      <c r="GF111" s="8" t="n">
        <v>18567.91</v>
      </c>
      <c r="GG111" s="9">
        <f>GC111+GD111+GE111+GF111</f>
        <v/>
      </c>
      <c r="GH111" s="8" t="n">
        <v>0</v>
      </c>
      <c r="GI111" s="8" t="n">
        <v>0</v>
      </c>
      <c r="GJ111" s="8" t="n">
        <v>0</v>
      </c>
      <c r="GK111" s="8" t="n">
        <v>0</v>
      </c>
      <c r="GL111" s="9">
        <f>GH111+GI111+GJ111+GK111</f>
        <v/>
      </c>
      <c r="GM111" s="9">
        <f>GG111+GL111</f>
        <v/>
      </c>
      <c r="GN111" s="8" t="n">
        <v>28336.36</v>
      </c>
      <c r="GO111" s="8" t="n">
        <v>28336.36</v>
      </c>
      <c r="GP111" s="8" t="n">
        <v>6787.28</v>
      </c>
      <c r="GQ111" s="8" t="n">
        <v>4637.34</v>
      </c>
      <c r="GR111" s="9">
        <f>GN111+GO111+GP111+GQ111</f>
        <v/>
      </c>
      <c r="GS111" s="8" t="n">
        <v>46436</v>
      </c>
      <c r="GT111" s="8" t="n">
        <v>46436</v>
      </c>
      <c r="GU111" s="8" t="n">
        <v>1786</v>
      </c>
      <c r="GV111" s="8" t="n">
        <v>893</v>
      </c>
      <c r="GW111" s="9">
        <f>GS111+GT111+GU111+GV111</f>
        <v/>
      </c>
      <c r="GX111" s="9">
        <f>GM111+GR111+GW111</f>
        <v/>
      </c>
      <c r="GY111" s="8" t="n">
        <v>11649071.9</v>
      </c>
      <c r="GZ111" s="8" t="n">
        <v>-21498738.83</v>
      </c>
      <c r="HA111" s="9">
        <f>GY111+GZ111</f>
        <v/>
      </c>
      <c r="HB111" s="9">
        <f>IF(GX111=0,"",AU111/GX111)</f>
        <v/>
      </c>
      <c r="HC111" s="10">
        <f>IF((GX111+GY111)=0,"",GB111/(GX111+GY111))</f>
        <v/>
      </c>
      <c r="HD111" s="9">
        <f>IF(GX111=0,"",GB111/GX111)</f>
        <v/>
      </c>
      <c r="HE111" s="8" t="n">
        <v>0</v>
      </c>
      <c r="HF111" s="8" t="n">
        <v>1</v>
      </c>
      <c r="HG111" s="8" t="n">
        <v>5</v>
      </c>
      <c r="HH111" s="8" t="n">
        <v>0</v>
      </c>
      <c r="HI111" s="8" t="n">
        <v>5</v>
      </c>
      <c r="HJ111" s="9">
        <f>HF111+HI111</f>
        <v/>
      </c>
      <c r="HK111" s="10">
        <f>IF(HE111=0,"",HH111/HE111)</f>
        <v/>
      </c>
      <c r="HL111" s="8" t="n">
        <v>5</v>
      </c>
      <c r="HM111" s="8" t="n">
        <v>2</v>
      </c>
      <c r="HN111" s="11">
        <f>IF(HL111=0,"",HM111/HL111)</f>
        <v/>
      </c>
    </row>
    <row r="112">
      <c r="A112" s="12" t="inlineStr">
        <is>
          <t>Mulanje</t>
        </is>
      </c>
      <c r="B112" s="12" t="inlineStr">
        <is>
          <t>MUST</t>
        </is>
      </c>
      <c r="C112" s="13" t="inlineStr">
        <is>
          <t>FY2025/26</t>
        </is>
      </c>
      <c r="D112" s="13" t="n">
        <v>2025</v>
      </c>
      <c r="E112" s="13" t="n">
        <v>5</v>
      </c>
      <c r="F112" s="13" t="inlineStr">
        <is>
          <t>May</t>
        </is>
      </c>
      <c r="G112" s="13" t="inlineStr">
        <is>
          <t>Q1</t>
        </is>
      </c>
      <c r="H112" s="14" t="n">
        <v>26744</v>
      </c>
      <c r="I112" s="14" t="n">
        <v>345</v>
      </c>
      <c r="J112" s="14" t="n">
        <v>0</v>
      </c>
      <c r="K112" s="14" t="n">
        <v>23</v>
      </c>
      <c r="L112" s="14" t="n">
        <v>0</v>
      </c>
      <c r="M112" s="15">
        <f>SUM(I112,J112,K112,L112)</f>
        <v/>
      </c>
      <c r="N112" s="14" t="n">
        <v>4255</v>
      </c>
      <c r="O112" s="14" t="n">
        <v>0</v>
      </c>
      <c r="P112" s="14" t="n">
        <v>16628</v>
      </c>
      <c r="Q112" s="14" t="n">
        <v>797</v>
      </c>
      <c r="R112" s="15">
        <f>SUM(N112,O112,P112,Q112)</f>
        <v/>
      </c>
      <c r="S112" s="15">
        <f>M112+R112</f>
        <v/>
      </c>
      <c r="T112" s="14" t="n">
        <v>4696</v>
      </c>
      <c r="U112" s="16">
        <f>IF(H112=0,"",T112/H112)</f>
        <v/>
      </c>
      <c r="V112" s="14" t="n">
        <v>22</v>
      </c>
      <c r="W112" s="17">
        <f>IF(H112=0,"",V112/H112)</f>
        <v/>
      </c>
      <c r="X112" s="14" t="n">
        <v>0</v>
      </c>
      <c r="Y112" s="17">
        <f>IF(H112=0,"",X112/H112)</f>
        <v/>
      </c>
      <c r="Z112" s="14" t="n">
        <v>0</v>
      </c>
      <c r="AA112" s="17">
        <f>IF(H112=0,"",Z112/H112)</f>
        <v/>
      </c>
      <c r="AB112" s="14" t="n">
        <v>0</v>
      </c>
      <c r="AC112" s="17">
        <f>IF(H112=0,"",AB112/H112)</f>
        <v/>
      </c>
      <c r="AD112" s="14" t="n">
        <v>0</v>
      </c>
      <c r="AE112" s="17">
        <f>IF(H112=0,"",AD112/H112)</f>
        <v/>
      </c>
      <c r="AF112" s="14" t="n">
        <v>0</v>
      </c>
      <c r="AG112" s="17">
        <f>IF(H112=0,"",AF112/H112)</f>
        <v/>
      </c>
      <c r="AH112" s="14" t="n">
        <v>112456.74</v>
      </c>
      <c r="AI112" s="15">
        <f>IF(H112=0,"",AH112/H112)</f>
        <v/>
      </c>
      <c r="AJ112" s="14" t="n">
        <v>14230</v>
      </c>
      <c r="AK112" s="17">
        <f>IF(H112=0,"",AJ112/H112)</f>
        <v/>
      </c>
      <c r="AL112" s="14" t="n">
        <v>1990860.345</v>
      </c>
      <c r="AM112" s="15">
        <f>IF(H112=0,"",AL112/H112)</f>
        <v/>
      </c>
      <c r="AN112" s="14" t="n">
        <v>0</v>
      </c>
      <c r="AO112" s="14" t="n">
        <v>0</v>
      </c>
      <c r="AP112" s="14" t="n">
        <v>0</v>
      </c>
      <c r="AQ112" s="14" t="n">
        <v>0</v>
      </c>
      <c r="AR112" s="14" t="n">
        <v>9288175.9</v>
      </c>
      <c r="AS112" s="14" t="n">
        <v>688846.46</v>
      </c>
      <c r="AT112" s="14" t="n">
        <v>2547370.02</v>
      </c>
      <c r="AU112" s="15">
        <f>AH112+AL112+AP112+AQ112+AR112+AS112+AT112</f>
        <v/>
      </c>
      <c r="AV112" s="15">
        <f>IF(H112=0,"",AU112/H112)</f>
        <v/>
      </c>
      <c r="AW112" s="15">
        <f>IF(S112=0,"",AU112/S112)</f>
        <v/>
      </c>
      <c r="AX112" s="14" t="n">
        <v>4</v>
      </c>
      <c r="AY112" s="15">
        <f>IF(H112=0,"",AX112/(H112/1000/12))</f>
        <v/>
      </c>
      <c r="AZ112" s="14" t="n">
        <v>7</v>
      </c>
      <c r="BA112" s="14" t="n">
        <v>6</v>
      </c>
      <c r="BB112" s="14" t="n">
        <v>1</v>
      </c>
      <c r="BC112" s="14" t="n">
        <v>0</v>
      </c>
      <c r="BD112" s="14" t="n">
        <v>0</v>
      </c>
      <c r="BE112" s="15">
        <f>BC112+BD112</f>
        <v/>
      </c>
      <c r="BF112" s="15">
        <f>BA112+BB112-BE112</f>
        <v/>
      </c>
      <c r="BG112" s="14" t="n">
        <v>0</v>
      </c>
      <c r="BH112" s="14" t="n">
        <v>0</v>
      </c>
      <c r="BI112" s="14" t="n">
        <v>0</v>
      </c>
      <c r="BJ112" s="14" t="n">
        <v>0</v>
      </c>
      <c r="BK112" s="15">
        <f>BI112+BJ112</f>
        <v/>
      </c>
      <c r="BL112" s="15">
        <f>BG112+BH112-BK112</f>
        <v/>
      </c>
      <c r="BM112" s="14" t="n">
        <v>0</v>
      </c>
      <c r="BN112" s="14" t="n">
        <v>0</v>
      </c>
      <c r="BO112" s="14" t="n">
        <v>0</v>
      </c>
      <c r="BP112" s="14" t="n">
        <v>0</v>
      </c>
      <c r="BQ112" s="15">
        <f>BO112+BP112</f>
        <v/>
      </c>
      <c r="BR112" s="15">
        <f>BM112+BN112-BQ112</f>
        <v/>
      </c>
      <c r="BS112" s="14" t="n">
        <v>0</v>
      </c>
      <c r="BT112" s="14" t="n">
        <v>0</v>
      </c>
      <c r="BU112" s="14" t="n">
        <v>0</v>
      </c>
      <c r="BV112" s="14" t="n">
        <v>0</v>
      </c>
      <c r="BW112" s="15">
        <f>BU112+BV112</f>
        <v/>
      </c>
      <c r="BX112" s="15">
        <f>BS112+BT112-BW112</f>
        <v/>
      </c>
      <c r="BY112" s="15">
        <f>BA112+BG112+BM112+BS112</f>
        <v/>
      </c>
      <c r="BZ112" s="15">
        <f>BB112+BH112+BN112+BT112</f>
        <v/>
      </c>
      <c r="CA112" s="15">
        <f>BE112+BK112+BQ112+BW112</f>
        <v/>
      </c>
      <c r="CB112" s="15">
        <f>BF112+BL112+BR112+BX112</f>
        <v/>
      </c>
      <c r="CC112" s="14" t="n">
        <v>42</v>
      </c>
      <c r="CD112" s="14" t="n">
        <v>3</v>
      </c>
      <c r="CE112" s="14" t="n">
        <v>0</v>
      </c>
      <c r="CF112" s="14" t="n">
        <v>0</v>
      </c>
      <c r="CG112" s="14" t="n">
        <v>0</v>
      </c>
      <c r="CH112" s="15">
        <f>CD112+CE112+CF112+CG112</f>
        <v/>
      </c>
      <c r="CI112" s="14" t="n">
        <v>19</v>
      </c>
      <c r="CJ112" s="14" t="n">
        <v>2</v>
      </c>
      <c r="CK112" s="14" t="n">
        <v>0</v>
      </c>
      <c r="CL112" s="14" t="n">
        <v>0</v>
      </c>
      <c r="CM112" s="15">
        <f>CI112+CJ112+CK112+CL112</f>
        <v/>
      </c>
      <c r="CN112" s="14" t="n">
        <v>227</v>
      </c>
      <c r="CO112" s="14" t="n">
        <v>9</v>
      </c>
      <c r="CP112" s="14" t="n">
        <v>11</v>
      </c>
      <c r="CQ112" s="14" t="n">
        <v>0</v>
      </c>
      <c r="CR112" s="15">
        <f>CN112+CO112+CP112+CQ112</f>
        <v/>
      </c>
      <c r="CS112" s="15">
        <f>CM112+CR112</f>
        <v/>
      </c>
      <c r="CT112" s="14" t="n">
        <v>271</v>
      </c>
      <c r="CU112" s="14" t="n">
        <v>4359</v>
      </c>
      <c r="CV112" s="14" t="n">
        <v>4095</v>
      </c>
      <c r="CW112" s="16">
        <f>IF(CU112=0,"",CV112/CU112)</f>
        <v/>
      </c>
      <c r="CX112" s="14" t="n">
        <v>0</v>
      </c>
      <c r="CY112" s="14" t="n">
        <v>0</v>
      </c>
      <c r="CZ112" s="14" t="n">
        <v>0</v>
      </c>
      <c r="DA112" s="14" t="n">
        <v>0</v>
      </c>
      <c r="DB112" s="15">
        <f>CX112+CY112-CZ112-DA112</f>
        <v/>
      </c>
      <c r="DC112" s="14" t="n">
        <v>0</v>
      </c>
      <c r="DD112" s="14" t="n">
        <v>0</v>
      </c>
      <c r="DE112" s="14" t="n">
        <v>0</v>
      </c>
      <c r="DF112" s="14" t="n">
        <v>0</v>
      </c>
      <c r="DG112" s="15">
        <f>DC112+DD112-DE112-DF112</f>
        <v/>
      </c>
      <c r="DH112" s="14" t="n">
        <v>0</v>
      </c>
      <c r="DI112" s="14" t="n">
        <v>0</v>
      </c>
      <c r="DJ112" s="14" t="n">
        <v>0</v>
      </c>
      <c r="DK112" s="14" t="n">
        <v>0</v>
      </c>
      <c r="DL112" s="15">
        <f>DH112+DI112-DJ112-DK112</f>
        <v/>
      </c>
      <c r="DM112" s="14" t="n">
        <v>0</v>
      </c>
      <c r="DN112" s="14" t="n">
        <v>0</v>
      </c>
      <c r="DO112" s="14" t="n">
        <v>0</v>
      </c>
      <c r="DP112" s="14" t="n">
        <v>0</v>
      </c>
      <c r="DQ112" s="15">
        <f>DM112+DN112-DO112-DP112</f>
        <v/>
      </c>
      <c r="DR112" s="15">
        <f>CX112+DC112+DH112+DM112</f>
        <v/>
      </c>
      <c r="DS112" s="15">
        <f>CY112+DD112+DI112+DN112</f>
        <v/>
      </c>
      <c r="DT112" s="15">
        <f>CZ112+DE112+DJ112+DO112</f>
        <v/>
      </c>
      <c r="DU112" s="15">
        <f>DA112+DF112+DK112+DP112</f>
        <v/>
      </c>
      <c r="DV112" s="15">
        <f>DB112+DG112+DL112+DQ112</f>
        <v/>
      </c>
      <c r="DW112" s="14" t="n">
        <v>4</v>
      </c>
      <c r="DX112" s="14" t="n">
        <v>4</v>
      </c>
      <c r="DY112" s="14" t="n">
        <v>0</v>
      </c>
      <c r="DZ112" s="14" t="n">
        <v>0</v>
      </c>
      <c r="EA112" s="14" t="n">
        <v>0</v>
      </c>
      <c r="EB112" s="14" t="n">
        <v>2</v>
      </c>
      <c r="EC112" s="14" t="n">
        <v>2</v>
      </c>
      <c r="ED112" s="14" t="n">
        <v>0</v>
      </c>
      <c r="EE112" s="14" t="n">
        <v>0</v>
      </c>
      <c r="EF112" s="14" t="n">
        <v>0</v>
      </c>
      <c r="EG112" s="14" t="n">
        <v>1</v>
      </c>
      <c r="EH112" s="14" t="n">
        <v>1</v>
      </c>
      <c r="EI112" s="14" t="n">
        <v>0</v>
      </c>
      <c r="EJ112" s="14" t="n">
        <v>0</v>
      </c>
      <c r="EK112" s="14" t="n">
        <v>0</v>
      </c>
      <c r="EL112" s="14" t="n">
        <v>0</v>
      </c>
      <c r="EM112" s="14" t="n">
        <v>0</v>
      </c>
      <c r="EN112" s="14" t="n">
        <v>0</v>
      </c>
      <c r="EO112" s="14" t="n">
        <v>0</v>
      </c>
      <c r="EP112" s="14" t="n">
        <v>0</v>
      </c>
      <c r="EQ112" s="14" t="n">
        <v>0</v>
      </c>
      <c r="ER112" s="14" t="n">
        <v>0</v>
      </c>
      <c r="ES112" s="14" t="n">
        <v>0</v>
      </c>
      <c r="ET112" s="14" t="n">
        <v>0</v>
      </c>
      <c r="EU112" s="14" t="n">
        <v>0</v>
      </c>
      <c r="EV112" s="14" t="n">
        <v>0</v>
      </c>
      <c r="EW112" s="14" t="n">
        <v>0</v>
      </c>
      <c r="EX112" s="14" t="n">
        <v>0</v>
      </c>
      <c r="EY112" s="14" t="n">
        <v>0</v>
      </c>
      <c r="EZ112" s="14" t="n">
        <v>0</v>
      </c>
      <c r="FA112" s="14" t="n">
        <v>0</v>
      </c>
      <c r="FB112" s="14" t="n">
        <v>0</v>
      </c>
      <c r="FC112" s="14" t="n">
        <v>0</v>
      </c>
      <c r="FD112" s="14" t="n">
        <v>0</v>
      </c>
      <c r="FE112" s="14" t="n">
        <v>0</v>
      </c>
      <c r="FF112" s="14" t="n">
        <v>0</v>
      </c>
      <c r="FG112" s="15">
        <f>SUM(DW112,DX112,DY112,DZ112,EA112,EB112,EC112,ED112,EE112,EF112,EG112,EH112,EI112,EJ112,EK112,EL112,EM112,EN112,EO112,EP112,EQ112,ER112,ES112,ET112,EU112,EV112,EW112,EX112,EY112,EZ112,FA112,FB112,FC112,FD112,FE112,FF112)</f>
        <v/>
      </c>
      <c r="FH112" s="14" t="n">
        <v>7</v>
      </c>
      <c r="FI112" s="14" t="n">
        <v>5</v>
      </c>
      <c r="FJ112" s="14" t="n">
        <v>24</v>
      </c>
      <c r="FK112" s="14" t="n">
        <v>35</v>
      </c>
      <c r="FL112" s="14" t="n">
        <v>0</v>
      </c>
      <c r="FM112" s="14" t="n">
        <v>0</v>
      </c>
      <c r="FN112" s="14" t="n">
        <v>0</v>
      </c>
      <c r="FO112" s="14" t="n">
        <v>0</v>
      </c>
      <c r="FP112" s="14" t="n">
        <v>0</v>
      </c>
      <c r="FQ112" s="15">
        <f>FL112+FM112+FN112+FO112+FP112</f>
        <v/>
      </c>
      <c r="FR112" s="14" t="n">
        <v>202500</v>
      </c>
      <c r="FS112" s="14" t="n">
        <v>0</v>
      </c>
      <c r="FT112" s="14" t="n">
        <v>0</v>
      </c>
      <c r="FU112" s="14" t="n">
        <v>0</v>
      </c>
      <c r="FV112" s="15">
        <f>FR112+FS112+FT112+FU112</f>
        <v/>
      </c>
      <c r="FW112" s="14" t="n">
        <v>6901280.26</v>
      </c>
      <c r="FX112" s="14" t="n">
        <v>6901280.26</v>
      </c>
      <c r="FY112" s="14" t="n">
        <v>3810020.23</v>
      </c>
      <c r="FZ112" s="14" t="n">
        <v>54165293.4</v>
      </c>
      <c r="GA112" s="15">
        <f>FW112+FX112+FY112+FZ112</f>
        <v/>
      </c>
      <c r="GB112" s="15">
        <f>FV112+GA112</f>
        <v/>
      </c>
      <c r="GC112" s="14" t="n">
        <v>318872.63</v>
      </c>
      <c r="GD112" s="14" t="n">
        <v>318872.63</v>
      </c>
      <c r="GE112" s="14" t="n">
        <v>61674.07</v>
      </c>
      <c r="GF112" s="14" t="n">
        <v>61674.07</v>
      </c>
      <c r="GG112" s="15">
        <f>GC112+GD112+GE112+GF112</f>
        <v/>
      </c>
      <c r="GH112" s="14" t="n">
        <v>0</v>
      </c>
      <c r="GI112" s="14" t="n">
        <v>0</v>
      </c>
      <c r="GJ112" s="14" t="n">
        <v>0</v>
      </c>
      <c r="GK112" s="14" t="n">
        <v>0</v>
      </c>
      <c r="GL112" s="15">
        <f>GH112+GI112+GJ112+GK112</f>
        <v/>
      </c>
      <c r="GM112" s="15">
        <f>GG112+GL112</f>
        <v/>
      </c>
      <c r="GN112" s="14" t="n">
        <v>10353.67</v>
      </c>
      <c r="GO112" s="14" t="n">
        <v>10353.67</v>
      </c>
      <c r="GP112" s="14" t="n">
        <v>6787.28</v>
      </c>
      <c r="GQ112" s="14" t="n">
        <v>0</v>
      </c>
      <c r="GR112" s="15">
        <f>GN112+GO112+GP112+GQ112</f>
        <v/>
      </c>
      <c r="GS112" s="14" t="n">
        <v>16967</v>
      </c>
      <c r="GT112" s="14" t="n">
        <v>16967</v>
      </c>
      <c r="GU112" s="14" t="n">
        <v>1786</v>
      </c>
      <c r="GV112" s="14" t="n">
        <v>0</v>
      </c>
      <c r="GW112" s="15">
        <f>GS112+GT112+GU112+GV112</f>
        <v/>
      </c>
      <c r="GX112" s="15">
        <f>GM112+GR112+GW112</f>
        <v/>
      </c>
      <c r="GY112" s="14" t="n">
        <v>11631417.06</v>
      </c>
      <c r="GZ112" s="14" t="n">
        <v>-21498738.83</v>
      </c>
      <c r="HA112" s="15">
        <f>GY112+GZ112</f>
        <v/>
      </c>
      <c r="HB112" s="15">
        <f>IF(GX112=0,"",AU112/GX112)</f>
        <v/>
      </c>
      <c r="HC112" s="16">
        <f>IF((GX112+GY112)=0,"",GB112/(GX112+GY112))</f>
        <v/>
      </c>
      <c r="HD112" s="15">
        <f>IF(GX112=0,"",GB112/GX112)</f>
        <v/>
      </c>
      <c r="HE112" s="14" t="n">
        <v>1</v>
      </c>
      <c r="HF112" s="14" t="n">
        <v>1</v>
      </c>
      <c r="HG112" s="14" t="n">
        <v>7</v>
      </c>
      <c r="HH112" s="14" t="n">
        <v>1</v>
      </c>
      <c r="HI112" s="14" t="n">
        <v>5</v>
      </c>
      <c r="HJ112" s="15">
        <f>HF112+HI112</f>
        <v/>
      </c>
      <c r="HK112" s="16">
        <f>IF(HE112=0,"",HH112/HE112)</f>
        <v/>
      </c>
      <c r="HL112" s="14" t="n">
        <v>2</v>
      </c>
      <c r="HM112" s="14" t="n">
        <v>30</v>
      </c>
      <c r="HN112" s="17">
        <f>IF(HL112=0,"",HM112/HL112)</f>
        <v/>
      </c>
    </row>
    <row r="113">
      <c r="A113" s="6" t="inlineStr">
        <is>
          <t>Mulanje</t>
        </is>
      </c>
      <c r="B113" s="6" t="inlineStr">
        <is>
          <t>MUST</t>
        </is>
      </c>
      <c r="C113" s="7" t="inlineStr">
        <is>
          <t>FY2025/26</t>
        </is>
      </c>
      <c r="D113" s="7" t="n">
        <v>2025</v>
      </c>
      <c r="E113" s="7" t="n">
        <v>6</v>
      </c>
      <c r="F113" s="7" t="inlineStr">
        <is>
          <t>June</t>
        </is>
      </c>
      <c r="G113" s="7" t="inlineStr">
        <is>
          <t>Q1</t>
        </is>
      </c>
      <c r="H113" s="8" t="n">
        <v>19427</v>
      </c>
      <c r="I113" s="8" t="n">
        <v>154</v>
      </c>
      <c r="J113" s="8" t="n">
        <v>0</v>
      </c>
      <c r="K113" s="8" t="n">
        <v>20</v>
      </c>
      <c r="L113" s="8" t="n">
        <v>0</v>
      </c>
      <c r="M113" s="9">
        <f>SUM(I113,J113,K113,L113)</f>
        <v/>
      </c>
      <c r="N113" s="8" t="n">
        <v>1468</v>
      </c>
      <c r="O113" s="8" t="n">
        <v>0</v>
      </c>
      <c r="P113" s="8" t="n">
        <v>11820</v>
      </c>
      <c r="Q113" s="8" t="n">
        <v>1510</v>
      </c>
      <c r="R113" s="9">
        <f>SUM(N113,O113,P113,Q113)</f>
        <v/>
      </c>
      <c r="S113" s="9">
        <f>M113+R113</f>
        <v/>
      </c>
      <c r="T113" s="8" t="n">
        <v>4455</v>
      </c>
      <c r="U113" s="10">
        <f>IF(H113=0,"",T113/H113)</f>
        <v/>
      </c>
      <c r="V113" s="8" t="n">
        <v>15</v>
      </c>
      <c r="W113" s="11">
        <f>IF(H113=0,"",V113/H113)</f>
        <v/>
      </c>
      <c r="X113" s="8" t="n">
        <v>0</v>
      </c>
      <c r="Y113" s="11">
        <f>IF(H113=0,"",X113/H113)</f>
        <v/>
      </c>
      <c r="Z113" s="8" t="n">
        <v>0</v>
      </c>
      <c r="AA113" s="11">
        <f>IF(H113=0,"",Z113/H113)</f>
        <v/>
      </c>
      <c r="AB113" s="8" t="n">
        <v>0</v>
      </c>
      <c r="AC113" s="11">
        <f>IF(H113=0,"",AB113/H113)</f>
        <v/>
      </c>
      <c r="AD113" s="8" t="n">
        <v>0</v>
      </c>
      <c r="AE113" s="11">
        <f>IF(H113=0,"",AD113/H113)</f>
        <v/>
      </c>
      <c r="AF113" s="8" t="n">
        <v>0</v>
      </c>
      <c r="AG113" s="11">
        <f>IF(H113=0,"",AF113/H113)</f>
        <v/>
      </c>
      <c r="AH113" s="8" t="n">
        <v>76675.05</v>
      </c>
      <c r="AI113" s="9">
        <f>IF(H113=0,"",AH113/H113)</f>
        <v/>
      </c>
      <c r="AJ113" s="8" t="n">
        <v>14230</v>
      </c>
      <c r="AK113" s="11">
        <f>IF(H113=0,"",AJ113/H113)</f>
        <v/>
      </c>
      <c r="AL113" s="8" t="n">
        <v>1990860.345</v>
      </c>
      <c r="AM113" s="9">
        <f>IF(H113=0,"",AL113/H113)</f>
        <v/>
      </c>
      <c r="AN113" s="8" t="n">
        <v>0</v>
      </c>
      <c r="AO113" s="8" t="n">
        <v>0</v>
      </c>
      <c r="AP113" s="8" t="n">
        <v>0</v>
      </c>
      <c r="AQ113" s="8" t="n">
        <v>0</v>
      </c>
      <c r="AR113" s="8" t="n">
        <v>9183897.34</v>
      </c>
      <c r="AS113" s="8" t="n">
        <v>1075847.52</v>
      </c>
      <c r="AT113" s="8" t="n">
        <v>0</v>
      </c>
      <c r="AU113" s="9">
        <f>AH113+AL113+AP113+AQ113+AR113+AS113+AT113</f>
        <v/>
      </c>
      <c r="AV113" s="9">
        <f>IF(H113=0,"",AU113/H113)</f>
        <v/>
      </c>
      <c r="AW113" s="9">
        <f>IF(S113=0,"",AU113/S113)</f>
        <v/>
      </c>
      <c r="AX113" s="8" t="n">
        <v>4</v>
      </c>
      <c r="AY113" s="9">
        <f>IF(H113=0,"",AX113/(H113/1000/12))</f>
        <v/>
      </c>
      <c r="AZ113" s="8" t="n">
        <v>7</v>
      </c>
      <c r="BA113" s="8" t="n">
        <v>5</v>
      </c>
      <c r="BB113" s="8" t="n">
        <v>0</v>
      </c>
      <c r="BC113" s="8" t="n">
        <v>0</v>
      </c>
      <c r="BD113" s="8" t="n">
        <v>0</v>
      </c>
      <c r="BE113" s="9">
        <f>BC113+BD113</f>
        <v/>
      </c>
      <c r="BF113" s="9">
        <f>BA113+BB113-BE113</f>
        <v/>
      </c>
      <c r="BG113" s="8" t="n">
        <v>0</v>
      </c>
      <c r="BH113" s="8" t="n">
        <v>0</v>
      </c>
      <c r="BI113" s="8" t="n">
        <v>0</v>
      </c>
      <c r="BJ113" s="8" t="n">
        <v>0</v>
      </c>
      <c r="BK113" s="9">
        <f>BI113+BJ113</f>
        <v/>
      </c>
      <c r="BL113" s="9">
        <f>BG113+BH113-BK113</f>
        <v/>
      </c>
      <c r="BM113" s="8" t="n">
        <v>0</v>
      </c>
      <c r="BN113" s="8" t="n">
        <v>0</v>
      </c>
      <c r="BO113" s="8" t="n">
        <v>0</v>
      </c>
      <c r="BP113" s="8" t="n">
        <v>0</v>
      </c>
      <c r="BQ113" s="9">
        <f>BO113+BP113</f>
        <v/>
      </c>
      <c r="BR113" s="9">
        <f>BM113+BN113-BQ113</f>
        <v/>
      </c>
      <c r="BS113" s="8" t="n">
        <v>0</v>
      </c>
      <c r="BT113" s="8" t="n">
        <v>0</v>
      </c>
      <c r="BU113" s="8" t="n">
        <v>0</v>
      </c>
      <c r="BV113" s="8" t="n">
        <v>0</v>
      </c>
      <c r="BW113" s="9">
        <f>BU113+BV113</f>
        <v/>
      </c>
      <c r="BX113" s="9">
        <f>BS113+BT113-BW113</f>
        <v/>
      </c>
      <c r="BY113" s="9">
        <f>BA113+BG113+BM113+BS113</f>
        <v/>
      </c>
      <c r="BZ113" s="9">
        <f>BB113+BH113+BN113+BT113</f>
        <v/>
      </c>
      <c r="CA113" s="9">
        <f>BE113+BK113+BQ113+BW113</f>
        <v/>
      </c>
      <c r="CB113" s="9">
        <f>BF113+BL113+BR113+BX113</f>
        <v/>
      </c>
      <c r="CC113" s="8" t="n">
        <v>0</v>
      </c>
      <c r="CD113" s="8" t="n">
        <v>3</v>
      </c>
      <c r="CE113" s="8" t="n">
        <v>0</v>
      </c>
      <c r="CF113" s="8" t="n">
        <v>0</v>
      </c>
      <c r="CG113" s="8" t="n">
        <v>0</v>
      </c>
      <c r="CH113" s="9">
        <f>CD113+CE113+CF113+CG113</f>
        <v/>
      </c>
      <c r="CI113" s="8" t="n">
        <v>11</v>
      </c>
      <c r="CJ113" s="8" t="n">
        <v>1</v>
      </c>
      <c r="CK113" s="8" t="n">
        <v>0</v>
      </c>
      <c r="CL113" s="8" t="n">
        <v>0</v>
      </c>
      <c r="CM113" s="9">
        <f>CI113+CJ113+CK113+CL113</f>
        <v/>
      </c>
      <c r="CN113" s="8" t="n">
        <v>235</v>
      </c>
      <c r="CO113" s="8" t="n">
        <v>10</v>
      </c>
      <c r="CP113" s="8" t="n">
        <v>11</v>
      </c>
      <c r="CQ113" s="8" t="n">
        <v>0</v>
      </c>
      <c r="CR113" s="9">
        <f>CN113+CO113+CP113+CQ113</f>
        <v/>
      </c>
      <c r="CS113" s="9">
        <f>CM113+CR113</f>
        <v/>
      </c>
      <c r="CT113" s="8" t="n">
        <v>271</v>
      </c>
      <c r="CU113" s="8" t="n">
        <v>4359</v>
      </c>
      <c r="CV113" s="8" t="n">
        <v>4095</v>
      </c>
      <c r="CW113" s="10">
        <f>IF(CU113=0,"",CV113/CU113)</f>
        <v/>
      </c>
      <c r="CX113" s="8" t="n">
        <v>0</v>
      </c>
      <c r="CY113" s="8" t="n">
        <v>0</v>
      </c>
      <c r="CZ113" s="8" t="n">
        <v>0</v>
      </c>
      <c r="DA113" s="8" t="n">
        <v>0</v>
      </c>
      <c r="DB113" s="9">
        <f>CX113+CY113-CZ113-DA113</f>
        <v/>
      </c>
      <c r="DC113" s="8" t="n">
        <v>0</v>
      </c>
      <c r="DD113" s="8" t="n">
        <v>0</v>
      </c>
      <c r="DE113" s="8" t="n">
        <v>0</v>
      </c>
      <c r="DF113" s="8" t="n">
        <v>0</v>
      </c>
      <c r="DG113" s="9">
        <f>DC113+DD113-DE113-DF113</f>
        <v/>
      </c>
      <c r="DH113" s="8" t="n">
        <v>0</v>
      </c>
      <c r="DI113" s="8" t="n">
        <v>0</v>
      </c>
      <c r="DJ113" s="8" t="n">
        <v>0</v>
      </c>
      <c r="DK113" s="8" t="n">
        <v>0</v>
      </c>
      <c r="DL113" s="9">
        <f>DH113+DI113-DJ113-DK113</f>
        <v/>
      </c>
      <c r="DM113" s="8" t="n">
        <v>0</v>
      </c>
      <c r="DN113" s="8" t="n">
        <v>0</v>
      </c>
      <c r="DO113" s="8" t="n">
        <v>0</v>
      </c>
      <c r="DP113" s="8" t="n">
        <v>0</v>
      </c>
      <c r="DQ113" s="9">
        <f>DM113+DN113-DO113-DP113</f>
        <v/>
      </c>
      <c r="DR113" s="9">
        <f>CX113+DC113+DH113+DM113</f>
        <v/>
      </c>
      <c r="DS113" s="9">
        <f>CY113+DD113+DI113+DN113</f>
        <v/>
      </c>
      <c r="DT113" s="9">
        <f>CZ113+DE113+DJ113+DO113</f>
        <v/>
      </c>
      <c r="DU113" s="9">
        <f>DA113+DF113+DK113+DP113</f>
        <v/>
      </c>
      <c r="DV113" s="9">
        <f>DB113+DG113+DL113+DQ113</f>
        <v/>
      </c>
      <c r="DW113" s="8" t="n">
        <v>0</v>
      </c>
      <c r="DX113" s="8" t="n">
        <v>1</v>
      </c>
      <c r="DY113" s="8" t="n">
        <v>1</v>
      </c>
      <c r="DZ113" s="8" t="n">
        <v>1</v>
      </c>
      <c r="EA113" s="8" t="n">
        <v>0</v>
      </c>
      <c r="EB113" s="8" t="n">
        <v>0</v>
      </c>
      <c r="EC113" s="8" t="n">
        <v>0</v>
      </c>
      <c r="ED113" s="8" t="n">
        <v>0</v>
      </c>
      <c r="EE113" s="8" t="n">
        <v>1</v>
      </c>
      <c r="EF113" s="8" t="n">
        <v>1</v>
      </c>
      <c r="EG113" s="8" t="n">
        <v>0</v>
      </c>
      <c r="EH113" s="8" t="n">
        <v>0</v>
      </c>
      <c r="EI113" s="8" t="n">
        <v>0</v>
      </c>
      <c r="EJ113" s="8" t="n">
        <v>0</v>
      </c>
      <c r="EK113" s="8" t="n">
        <v>0</v>
      </c>
      <c r="EL113" s="8" t="n">
        <v>0</v>
      </c>
      <c r="EM113" s="8" t="n">
        <v>0</v>
      </c>
      <c r="EN113" s="8" t="n">
        <v>0</v>
      </c>
      <c r="EO113" s="8" t="n">
        <v>0</v>
      </c>
      <c r="EP113" s="8" t="n">
        <v>0</v>
      </c>
      <c r="EQ113" s="8" t="n">
        <v>0</v>
      </c>
      <c r="ER113" s="8" t="n">
        <v>0</v>
      </c>
      <c r="ES113" s="8" t="n">
        <v>0</v>
      </c>
      <c r="ET113" s="8" t="n">
        <v>0</v>
      </c>
      <c r="EU113" s="8" t="n">
        <v>0</v>
      </c>
      <c r="EV113" s="8" t="n">
        <v>0</v>
      </c>
      <c r="EW113" s="8" t="n">
        <v>0</v>
      </c>
      <c r="EX113" s="8" t="n">
        <v>0</v>
      </c>
      <c r="EY113" s="8" t="n">
        <v>0</v>
      </c>
      <c r="EZ113" s="8" t="n">
        <v>0</v>
      </c>
      <c r="FA113" s="8" t="n">
        <v>0</v>
      </c>
      <c r="FB113" s="8" t="n">
        <v>0</v>
      </c>
      <c r="FC113" s="8" t="n">
        <v>0</v>
      </c>
      <c r="FD113" s="8" t="n">
        <v>0</v>
      </c>
      <c r="FE113" s="8" t="n">
        <v>0</v>
      </c>
      <c r="FF113" s="8" t="n">
        <v>0</v>
      </c>
      <c r="FG113" s="9">
        <f>SUM(DW113,DX113,DY113,DZ113,EA113,EB113,EC113,ED113,EE113,EF113,EG113,EH113,EI113,EJ113,EK113,EL113,EM113,EN113,EO113,EP113,EQ113,ER113,ES113,ET113,EU113,EV113,EW113,EX113,EY113,EZ113,FA113,FB113,FC113,FD113,FE113,FF113)</f>
        <v/>
      </c>
      <c r="FH113" s="8" t="n">
        <v>2</v>
      </c>
      <c r="FI113" s="8" t="n">
        <v>3</v>
      </c>
      <c r="FJ113" s="8" t="n">
        <v>24</v>
      </c>
      <c r="FK113" s="8" t="n">
        <v>6</v>
      </c>
      <c r="FL113" s="8" t="n">
        <v>0</v>
      </c>
      <c r="FM113" s="8" t="n">
        <v>0</v>
      </c>
      <c r="FN113" s="8" t="n">
        <v>0</v>
      </c>
      <c r="FO113" s="8" t="n">
        <v>0</v>
      </c>
      <c r="FP113" s="8" t="n">
        <v>0</v>
      </c>
      <c r="FQ113" s="9">
        <f>FL113+FM113+FN113+FO113+FP113</f>
        <v/>
      </c>
      <c r="FR113" s="8" t="n">
        <v>49867.22</v>
      </c>
      <c r="FS113" s="8" t="n">
        <v>0</v>
      </c>
      <c r="FT113" s="8" t="n">
        <v>0</v>
      </c>
      <c r="FU113" s="8" t="n">
        <v>0</v>
      </c>
      <c r="FV113" s="9">
        <f>FR113+FS113+FT113+FU113</f>
        <v/>
      </c>
      <c r="FW113" s="8" t="n">
        <v>2689352</v>
      </c>
      <c r="FX113" s="8" t="n">
        <v>2689352</v>
      </c>
      <c r="FY113" s="8" t="n">
        <v>7142000</v>
      </c>
      <c r="FZ113" s="8" t="n">
        <v>20044500</v>
      </c>
      <c r="GA113" s="9">
        <f>FW113+FX113+FY113+FZ113</f>
        <v/>
      </c>
      <c r="GB113" s="9">
        <f>FV113+GA113</f>
        <v/>
      </c>
      <c r="GC113" s="8" t="n">
        <v>138061.96</v>
      </c>
      <c r="GD113" s="8" t="n">
        <v>138061.96</v>
      </c>
      <c r="GE113" s="8" t="n">
        <v>56722.55</v>
      </c>
      <c r="GF113" s="8" t="n">
        <v>56722.55</v>
      </c>
      <c r="GG113" s="9">
        <f>GC113+GD113+GE113+GF113</f>
        <v/>
      </c>
      <c r="GH113" s="8" t="n">
        <v>0</v>
      </c>
      <c r="GI113" s="8" t="n">
        <v>0</v>
      </c>
      <c r="GJ113" s="8" t="n">
        <v>0</v>
      </c>
      <c r="GK113" s="8" t="n">
        <v>0</v>
      </c>
      <c r="GL113" s="9">
        <f>GH113+GI113+GJ113+GK113</f>
        <v/>
      </c>
      <c r="GM113" s="9">
        <f>GG113+GL113</f>
        <v/>
      </c>
      <c r="GN113" s="8" t="n">
        <v>5994.23</v>
      </c>
      <c r="GO113" s="8" t="n">
        <v>5994.23</v>
      </c>
      <c r="GP113" s="8" t="n">
        <v>3393.64</v>
      </c>
      <c r="GQ113" s="8" t="n">
        <v>3393.64</v>
      </c>
      <c r="GR113" s="9">
        <f>GN113+GO113+GP113+GQ113</f>
        <v/>
      </c>
      <c r="GS113" s="8" t="n">
        <v>9823</v>
      </c>
      <c r="GT113" s="8" t="n">
        <v>9823</v>
      </c>
      <c r="GU113" s="8" t="n">
        <v>893</v>
      </c>
      <c r="GV113" s="8" t="n">
        <v>0</v>
      </c>
      <c r="GW113" s="9">
        <f>GS113+GT113+GU113+GV113</f>
        <v/>
      </c>
      <c r="GX113" s="9">
        <f>GM113+GR113+GW113</f>
        <v/>
      </c>
      <c r="GY113" s="8" t="n">
        <v>11796438.22</v>
      </c>
      <c r="GZ113" s="8" t="n">
        <v>-21498738.83</v>
      </c>
      <c r="HA113" s="9">
        <f>GY113+GZ113</f>
        <v/>
      </c>
      <c r="HB113" s="9">
        <f>IF(GX113=0,"",AU113/GX113)</f>
        <v/>
      </c>
      <c r="HC113" s="10">
        <f>IF((GX113+GY113)=0,"",GB113/(GX113+GY113))</f>
        <v/>
      </c>
      <c r="HD113" s="9">
        <f>IF(GX113=0,"",GB113/GX113)</f>
        <v/>
      </c>
      <c r="HE113" s="8" t="n">
        <v>0</v>
      </c>
      <c r="HF113" s="8" t="n">
        <v>0</v>
      </c>
      <c r="HG113" s="8" t="n">
        <v>5</v>
      </c>
      <c r="HH113" s="8" t="n">
        <v>0</v>
      </c>
      <c r="HI113" s="8" t="n">
        <v>0</v>
      </c>
      <c r="HJ113" s="9">
        <f>HF113+HI113</f>
        <v/>
      </c>
      <c r="HK113" s="10">
        <f>IF(HE113=0,"",HH113/HE113)</f>
        <v/>
      </c>
      <c r="HL113" s="8" t="n">
        <v>1</v>
      </c>
      <c r="HM113" s="8" t="n">
        <v>1</v>
      </c>
      <c r="HN113" s="11">
        <f>IF(HL113=0,"",HM113/HL113)</f>
        <v/>
      </c>
    </row>
    <row r="114">
      <c r="A114" s="12" t="inlineStr">
        <is>
          <t>Mulanje</t>
        </is>
      </c>
      <c r="B114" s="12" t="inlineStr">
        <is>
          <t>MUST</t>
        </is>
      </c>
      <c r="C114" s="13" t="inlineStr">
        <is>
          <t>FY2025/26</t>
        </is>
      </c>
      <c r="D114" s="13" t="n">
        <v>2025</v>
      </c>
      <c r="E114" s="13" t="n">
        <v>7</v>
      </c>
      <c r="F114" s="13" t="inlineStr">
        <is>
          <t>July</t>
        </is>
      </c>
      <c r="G114" s="13" t="inlineStr">
        <is>
          <t>Q2</t>
        </is>
      </c>
      <c r="H114" s="14" t="n">
        <v>21788</v>
      </c>
      <c r="I114" s="14" t="n">
        <v>439</v>
      </c>
      <c r="J114" s="14" t="n">
        <v>0</v>
      </c>
      <c r="K114" s="14" t="n">
        <v>46</v>
      </c>
      <c r="L114" s="14" t="n">
        <v>0</v>
      </c>
      <c r="M114" s="15">
        <f>SUM(I114,J114,K114,L114)</f>
        <v/>
      </c>
      <c r="N114" s="14" t="n">
        <v>2344</v>
      </c>
      <c r="O114" s="14" t="n">
        <v>0</v>
      </c>
      <c r="P114" s="14" t="n">
        <v>12595</v>
      </c>
      <c r="Q114" s="14" t="n">
        <v>890</v>
      </c>
      <c r="R114" s="15">
        <f>SUM(N114,O114,P114,Q114)</f>
        <v/>
      </c>
      <c r="S114" s="15">
        <f>M114+R114</f>
        <v/>
      </c>
      <c r="T114" s="14" t="n">
        <v>5474</v>
      </c>
      <c r="U114" s="16">
        <f>IF(H114=0,"",T114/H114)</f>
        <v/>
      </c>
      <c r="V114" s="14" t="n">
        <v>22</v>
      </c>
      <c r="W114" s="17">
        <f>IF(H114=0,"",V114/H114)</f>
        <v/>
      </c>
      <c r="X114" s="14" t="n">
        <v>0</v>
      </c>
      <c r="Y114" s="17">
        <f>IF(H114=0,"",X114/H114)</f>
        <v/>
      </c>
      <c r="Z114" s="14" t="n">
        <v>0</v>
      </c>
      <c r="AA114" s="17">
        <f>IF(H114=0,"",Z114/H114)</f>
        <v/>
      </c>
      <c r="AB114" s="14" t="n">
        <v>0</v>
      </c>
      <c r="AC114" s="17">
        <f>IF(H114=0,"",AB114/H114)</f>
        <v/>
      </c>
      <c r="AD114" s="14" t="n">
        <v>0</v>
      </c>
      <c r="AE114" s="17">
        <f>IF(H114=0,"",AD114/H114)</f>
        <v/>
      </c>
      <c r="AF114" s="14" t="n">
        <v>0</v>
      </c>
      <c r="AG114" s="17">
        <f>IF(H114=0,"",AF114/H114)</f>
        <v/>
      </c>
      <c r="AH114" s="14" t="n">
        <v>112456.74</v>
      </c>
      <c r="AI114" s="15">
        <f>IF(H114=0,"",AH114/H114)</f>
        <v/>
      </c>
      <c r="AJ114" s="14" t="n">
        <v>14230</v>
      </c>
      <c r="AK114" s="17">
        <f>IF(H114=0,"",AJ114/H114)</f>
        <v/>
      </c>
      <c r="AL114" s="14" t="n">
        <v>1990860.345</v>
      </c>
      <c r="AM114" s="15">
        <f>IF(H114=0,"",AL114/H114)</f>
        <v/>
      </c>
      <c r="AN114" s="14" t="n">
        <v>0</v>
      </c>
      <c r="AO114" s="14" t="n">
        <v>0</v>
      </c>
      <c r="AP114" s="14" t="n">
        <v>0</v>
      </c>
      <c r="AQ114" s="14" t="n">
        <v>0</v>
      </c>
      <c r="AR114" s="14" t="n">
        <v>9469439.15</v>
      </c>
      <c r="AS114" s="14" t="n">
        <v>877154.96</v>
      </c>
      <c r="AT114" s="14" t="n">
        <v>11627830.19</v>
      </c>
      <c r="AU114" s="15">
        <f>AH114+AL114+AP114+AQ114+AR114+AS114+AT114</f>
        <v/>
      </c>
      <c r="AV114" s="15">
        <f>IF(H114=0,"",AU114/H114)</f>
        <v/>
      </c>
      <c r="AW114" s="15">
        <f>IF(S114=0,"",AU114/S114)</f>
        <v/>
      </c>
      <c r="AX114" s="14" t="n">
        <v>4</v>
      </c>
      <c r="AY114" s="15">
        <f>IF(H114=0,"",AX114/(H114/1000/12))</f>
        <v/>
      </c>
      <c r="AZ114" s="14" t="n">
        <v>7</v>
      </c>
      <c r="BA114" s="14" t="n">
        <v>5</v>
      </c>
      <c r="BB114" s="14" t="n">
        <v>7</v>
      </c>
      <c r="BC114" s="14" t="n">
        <v>9</v>
      </c>
      <c r="BD114" s="14" t="n">
        <v>0</v>
      </c>
      <c r="BE114" s="15">
        <f>BC114+BD114</f>
        <v/>
      </c>
      <c r="BF114" s="15">
        <f>BA114+BB114-BE114</f>
        <v/>
      </c>
      <c r="BG114" s="14" t="n">
        <v>0</v>
      </c>
      <c r="BH114" s="14" t="n">
        <v>0</v>
      </c>
      <c r="BI114" s="14" t="n">
        <v>0</v>
      </c>
      <c r="BJ114" s="14" t="n">
        <v>0</v>
      </c>
      <c r="BK114" s="15">
        <f>BI114+BJ114</f>
        <v/>
      </c>
      <c r="BL114" s="15">
        <f>BG114+BH114-BK114</f>
        <v/>
      </c>
      <c r="BM114" s="14" t="n">
        <v>0</v>
      </c>
      <c r="BN114" s="14" t="n">
        <v>0</v>
      </c>
      <c r="BO114" s="14" t="n">
        <v>0</v>
      </c>
      <c r="BP114" s="14" t="n">
        <v>0</v>
      </c>
      <c r="BQ114" s="15">
        <f>BO114+BP114</f>
        <v/>
      </c>
      <c r="BR114" s="15">
        <f>BM114+BN114-BQ114</f>
        <v/>
      </c>
      <c r="BS114" s="14" t="n">
        <v>0</v>
      </c>
      <c r="BT114" s="14" t="n">
        <v>0</v>
      </c>
      <c r="BU114" s="14" t="n">
        <v>0</v>
      </c>
      <c r="BV114" s="14" t="n">
        <v>0</v>
      </c>
      <c r="BW114" s="15">
        <f>BU114+BV114</f>
        <v/>
      </c>
      <c r="BX114" s="15">
        <f>BS114+BT114-BW114</f>
        <v/>
      </c>
      <c r="BY114" s="15">
        <f>BA114+BG114+BM114+BS114</f>
        <v/>
      </c>
      <c r="BZ114" s="15">
        <f>BB114+BH114+BN114+BT114</f>
        <v/>
      </c>
      <c r="CA114" s="15">
        <f>BE114+BK114+BQ114+BW114</f>
        <v/>
      </c>
      <c r="CB114" s="15">
        <f>BF114+BL114+BR114+BX114</f>
        <v/>
      </c>
      <c r="CC114" s="14" t="n">
        <v>0</v>
      </c>
      <c r="CD114" s="14" t="n">
        <v>3</v>
      </c>
      <c r="CE114" s="14" t="n">
        <v>0</v>
      </c>
      <c r="CF114" s="14" t="n">
        <v>0</v>
      </c>
      <c r="CG114" s="14" t="n">
        <v>0</v>
      </c>
      <c r="CH114" s="15">
        <f>CD114+CE114+CF114+CG114</f>
        <v/>
      </c>
      <c r="CI114" s="14" t="n">
        <v>23</v>
      </c>
      <c r="CJ114" s="14" t="n">
        <v>2</v>
      </c>
      <c r="CK114" s="14" t="n">
        <v>0</v>
      </c>
      <c r="CL114" s="14" t="n">
        <v>0</v>
      </c>
      <c r="CM114" s="15">
        <f>CI114+CJ114+CK114+CL114</f>
        <v/>
      </c>
      <c r="CN114" s="14" t="n">
        <v>234</v>
      </c>
      <c r="CO114" s="14" t="n">
        <v>9</v>
      </c>
      <c r="CP114" s="14" t="n">
        <v>10</v>
      </c>
      <c r="CQ114" s="14" t="n">
        <v>0</v>
      </c>
      <c r="CR114" s="15">
        <f>CN114+CO114+CP114+CQ114</f>
        <v/>
      </c>
      <c r="CS114" s="15">
        <f>CM114+CR114</f>
        <v/>
      </c>
      <c r="CT114" s="14" t="n">
        <v>281</v>
      </c>
      <c r="CU114" s="14" t="n">
        <v>4359</v>
      </c>
      <c r="CV114" s="14" t="n">
        <v>4095</v>
      </c>
      <c r="CW114" s="16">
        <f>IF(CU114=0,"",CV114/CU114)</f>
        <v/>
      </c>
      <c r="CX114" s="14" t="n">
        <v>0</v>
      </c>
      <c r="CY114" s="14" t="n">
        <v>0</v>
      </c>
      <c r="CZ114" s="14" t="n">
        <v>0</v>
      </c>
      <c r="DA114" s="14" t="n">
        <v>0</v>
      </c>
      <c r="DB114" s="15">
        <f>CX114+CY114-CZ114-DA114</f>
        <v/>
      </c>
      <c r="DC114" s="14" t="n">
        <v>0</v>
      </c>
      <c r="DD114" s="14" t="n">
        <v>0</v>
      </c>
      <c r="DE114" s="14" t="n">
        <v>0</v>
      </c>
      <c r="DF114" s="14" t="n">
        <v>0</v>
      </c>
      <c r="DG114" s="15">
        <f>DC114+DD114-DE114-DF114</f>
        <v/>
      </c>
      <c r="DH114" s="14" t="n">
        <v>0</v>
      </c>
      <c r="DI114" s="14" t="n">
        <v>0</v>
      </c>
      <c r="DJ114" s="14" t="n">
        <v>0</v>
      </c>
      <c r="DK114" s="14" t="n">
        <v>0</v>
      </c>
      <c r="DL114" s="15">
        <f>DH114+DI114-DJ114-DK114</f>
        <v/>
      </c>
      <c r="DM114" s="14" t="n">
        <v>0</v>
      </c>
      <c r="DN114" s="14" t="n">
        <v>0</v>
      </c>
      <c r="DO114" s="14" t="n">
        <v>0</v>
      </c>
      <c r="DP114" s="14" t="n">
        <v>0</v>
      </c>
      <c r="DQ114" s="15">
        <f>DM114+DN114-DO114-DP114</f>
        <v/>
      </c>
      <c r="DR114" s="15">
        <f>CX114+DC114+DH114+DM114</f>
        <v/>
      </c>
      <c r="DS114" s="15">
        <f>CY114+DD114+DI114+DN114</f>
        <v/>
      </c>
      <c r="DT114" s="15">
        <f>CZ114+DE114+DJ114+DO114</f>
        <v/>
      </c>
      <c r="DU114" s="15">
        <f>DA114+DF114+DK114+DP114</f>
        <v/>
      </c>
      <c r="DV114" s="15">
        <f>DB114+DG114+DL114+DQ114</f>
        <v/>
      </c>
      <c r="DW114" s="14" t="n">
        <v>6</v>
      </c>
      <c r="DX114" s="14" t="n">
        <v>2</v>
      </c>
      <c r="DY114" s="14" t="n">
        <v>2</v>
      </c>
      <c r="DZ114" s="14" t="n">
        <v>0</v>
      </c>
      <c r="EA114" s="14" t="n">
        <v>0</v>
      </c>
      <c r="EB114" s="14" t="n">
        <v>0</v>
      </c>
      <c r="EC114" s="14" t="n">
        <v>0</v>
      </c>
      <c r="ED114" s="14" t="n">
        <v>0</v>
      </c>
      <c r="EE114" s="14" t="n">
        <v>0</v>
      </c>
      <c r="EF114" s="14" t="n">
        <v>1</v>
      </c>
      <c r="EG114" s="14" t="n">
        <v>1</v>
      </c>
      <c r="EH114" s="14" t="n">
        <v>0</v>
      </c>
      <c r="EI114" s="14" t="n">
        <v>0</v>
      </c>
      <c r="EJ114" s="14" t="n">
        <v>0</v>
      </c>
      <c r="EK114" s="14" t="n">
        <v>0</v>
      </c>
      <c r="EL114" s="14" t="n">
        <v>0</v>
      </c>
      <c r="EM114" s="14" t="n">
        <v>0</v>
      </c>
      <c r="EN114" s="14" t="n">
        <v>0</v>
      </c>
      <c r="EO114" s="14" t="n">
        <v>0</v>
      </c>
      <c r="EP114" s="14" t="n">
        <v>0</v>
      </c>
      <c r="EQ114" s="14" t="n">
        <v>0</v>
      </c>
      <c r="ER114" s="14" t="n">
        <v>0</v>
      </c>
      <c r="ES114" s="14" t="n">
        <v>0</v>
      </c>
      <c r="ET114" s="14" t="n">
        <v>0</v>
      </c>
      <c r="EU114" s="14" t="n">
        <v>0</v>
      </c>
      <c r="EV114" s="14" t="n">
        <v>0</v>
      </c>
      <c r="EW114" s="14" t="n">
        <v>0</v>
      </c>
      <c r="EX114" s="14" t="n">
        <v>0</v>
      </c>
      <c r="EY114" s="14" t="n">
        <v>0</v>
      </c>
      <c r="EZ114" s="14" t="n">
        <v>0</v>
      </c>
      <c r="FA114" s="14" t="n">
        <v>0</v>
      </c>
      <c r="FB114" s="14" t="n">
        <v>0</v>
      </c>
      <c r="FC114" s="14" t="n">
        <v>0</v>
      </c>
      <c r="FD114" s="14" t="n">
        <v>0</v>
      </c>
      <c r="FE114" s="14" t="n">
        <v>0</v>
      </c>
      <c r="FF114" s="14" t="n">
        <v>0</v>
      </c>
      <c r="FG114" s="15">
        <f>SUM(DW114,DX114,DY114,DZ114,EA114,EB114,EC114,ED114,EE114,EF114,EG114,EH114,EI114,EJ114,EK114,EL114,EM114,EN114,EO114,EP114,EQ114,ER114,ES114,ET114,EU114,EV114,EW114,EX114,EY114,EZ114,FA114,FB114,FC114,FD114,FE114,FF114)</f>
        <v/>
      </c>
      <c r="FH114" s="14" t="n">
        <v>3</v>
      </c>
      <c r="FI114" s="14" t="n">
        <v>4</v>
      </c>
      <c r="FJ114" s="14" t="n">
        <v>24</v>
      </c>
      <c r="FK114" s="14" t="n">
        <v>12</v>
      </c>
      <c r="FL114" s="14" t="n">
        <v>0</v>
      </c>
      <c r="FM114" s="14" t="n">
        <v>0</v>
      </c>
      <c r="FN114" s="14" t="n">
        <v>0</v>
      </c>
      <c r="FO114" s="14" t="n">
        <v>0</v>
      </c>
      <c r="FP114" s="14" t="n">
        <v>0</v>
      </c>
      <c r="FQ114" s="15">
        <f>FL114+FM114+FN114+FO114+FP114</f>
        <v/>
      </c>
      <c r="FR114" s="14" t="n">
        <v>462072</v>
      </c>
      <c r="FS114" s="14" t="n">
        <v>0</v>
      </c>
      <c r="FT114" s="14" t="n">
        <v>0</v>
      </c>
      <c r="FU114" s="14" t="n">
        <v>0</v>
      </c>
      <c r="FV114" s="15">
        <f>FR114+FS114+FT114+FU114</f>
        <v/>
      </c>
      <c r="FW114" s="14" t="n">
        <v>4393023</v>
      </c>
      <c r="FX114" s="14" t="n">
        <v>4393023</v>
      </c>
      <c r="FY114" s="14" t="n">
        <v>4212500</v>
      </c>
      <c r="FZ114" s="14" t="n">
        <v>44057950</v>
      </c>
      <c r="GA114" s="15">
        <f>FW114+FX114+FY114+FZ114</f>
        <v/>
      </c>
      <c r="GB114" s="15">
        <f>FV114+GA114</f>
        <v/>
      </c>
      <c r="GC114" s="14" t="n">
        <v>400867.16</v>
      </c>
      <c r="GD114" s="14" t="n">
        <v>400867.16</v>
      </c>
      <c r="GE114" s="14" t="n">
        <v>134201.92</v>
      </c>
      <c r="GF114" s="14" t="n">
        <v>0</v>
      </c>
      <c r="GG114" s="15">
        <f>GC114+GD114+GE114+GF114</f>
        <v/>
      </c>
      <c r="GH114" s="14" t="n">
        <v>535069.08</v>
      </c>
      <c r="GI114" s="14" t="n">
        <v>0</v>
      </c>
      <c r="GJ114" s="14" t="n">
        <v>0</v>
      </c>
      <c r="GK114" s="14" t="n">
        <v>0</v>
      </c>
      <c r="GL114" s="15">
        <f>GH114+GI114+GJ114+GK114</f>
        <v/>
      </c>
      <c r="GM114" s="15">
        <f>GG114+GL114</f>
        <v/>
      </c>
      <c r="GN114" s="14" t="n">
        <v>12533.39</v>
      </c>
      <c r="GO114" s="14" t="n">
        <v>12533.39</v>
      </c>
      <c r="GP114" s="14" t="n">
        <v>6787.28</v>
      </c>
      <c r="GQ114" s="14" t="n">
        <v>0</v>
      </c>
      <c r="GR114" s="15">
        <f>GN114+GO114+GP114+GQ114</f>
        <v/>
      </c>
      <c r="GS114" s="14" t="n">
        <v>20539</v>
      </c>
      <c r="GT114" s="14" t="n">
        <v>20539</v>
      </c>
      <c r="GU114" s="14" t="n">
        <v>1786</v>
      </c>
      <c r="GV114" s="14" t="n">
        <v>0</v>
      </c>
      <c r="GW114" s="15">
        <f>GS114+GT114+GU114+GV114</f>
        <v/>
      </c>
      <c r="GX114" s="15">
        <f>GM114+GR114+GW114</f>
        <v/>
      </c>
      <c r="GY114" s="14" t="n">
        <v>11911080.97</v>
      </c>
      <c r="GZ114" s="14" t="n">
        <v>-21498738.83</v>
      </c>
      <c r="HA114" s="15">
        <f>GY114+GZ114</f>
        <v/>
      </c>
      <c r="HB114" s="15">
        <f>IF(GX114=0,"",AU114/GX114)</f>
        <v/>
      </c>
      <c r="HC114" s="16">
        <f>IF((GX114+GY114)=0,"",GB114/(GX114+GY114))</f>
        <v/>
      </c>
      <c r="HD114" s="15">
        <f>IF(GX114=0,"",GB114/GX114)</f>
        <v/>
      </c>
      <c r="HE114" s="14" t="n">
        <v>7</v>
      </c>
      <c r="HF114" s="14" t="n">
        <v>5</v>
      </c>
      <c r="HG114" s="14" t="n">
        <v>3</v>
      </c>
      <c r="HH114" s="14" t="n">
        <v>7</v>
      </c>
      <c r="HI114" s="14" t="n">
        <v>5</v>
      </c>
      <c r="HJ114" s="15">
        <f>HF114+HI114</f>
        <v/>
      </c>
      <c r="HK114" s="16">
        <f>IF(HE114=0,"",HH114/HE114)</f>
        <v/>
      </c>
      <c r="HL114" s="14" t="n">
        <v>5</v>
      </c>
      <c r="HM114" s="14" t="n">
        <v>2</v>
      </c>
      <c r="HN114" s="17">
        <f>IF(HL114=0,"",HM114/HL114)</f>
        <v/>
      </c>
    </row>
    <row r="115">
      <c r="A115" s="6" t="inlineStr">
        <is>
          <t>Mulanje</t>
        </is>
      </c>
      <c r="B115" s="6" t="inlineStr">
        <is>
          <t>MUST</t>
        </is>
      </c>
      <c r="C115" s="7" t="inlineStr">
        <is>
          <t>FY2025/26</t>
        </is>
      </c>
      <c r="D115" s="7" t="n">
        <v>2025</v>
      </c>
      <c r="E115" s="7" t="n">
        <v>8</v>
      </c>
      <c r="F115" s="7" t="inlineStr">
        <is>
          <t>August</t>
        </is>
      </c>
      <c r="G115" s="7" t="inlineStr">
        <is>
          <t>Q2</t>
        </is>
      </c>
      <c r="H115" s="8" t="n">
        <v>27001</v>
      </c>
      <c r="I115" s="8" t="n">
        <v>940</v>
      </c>
      <c r="J115" s="8" t="n">
        <v>0</v>
      </c>
      <c r="K115" s="8" t="n">
        <v>58</v>
      </c>
      <c r="L115" s="8" t="n">
        <v>0</v>
      </c>
      <c r="M115" s="9">
        <f>SUM(I115,J115,K115,L115)</f>
        <v/>
      </c>
      <c r="N115" s="8" t="n">
        <v>2619</v>
      </c>
      <c r="O115" s="8" t="n">
        <v>0</v>
      </c>
      <c r="P115" s="8" t="n">
        <v>16008</v>
      </c>
      <c r="Q115" s="8" t="n">
        <v>834.8</v>
      </c>
      <c r="R115" s="9">
        <f>SUM(N115,O115,P115,Q115)</f>
        <v/>
      </c>
      <c r="S115" s="9">
        <f>M115+R115</f>
        <v/>
      </c>
      <c r="T115" s="8" t="n">
        <v>6541.2</v>
      </c>
      <c r="U115" s="10">
        <f>IF(H115=0,"",T115/H115)</f>
        <v/>
      </c>
      <c r="V115" s="8" t="n">
        <v>24</v>
      </c>
      <c r="W115" s="11">
        <f>IF(H115=0,"",V115/H115)</f>
        <v/>
      </c>
      <c r="X115" s="8" t="n">
        <v>0</v>
      </c>
      <c r="Y115" s="11">
        <f>IF(H115=0,"",X115/H115)</f>
        <v/>
      </c>
      <c r="Z115" s="8" t="n">
        <v>0</v>
      </c>
      <c r="AA115" s="11">
        <f>IF(H115=0,"",Z115/H115)</f>
        <v/>
      </c>
      <c r="AB115" s="8" t="n">
        <v>0</v>
      </c>
      <c r="AC115" s="11">
        <f>IF(H115=0,"",AB115/H115)</f>
        <v/>
      </c>
      <c r="AD115" s="8" t="n">
        <v>0</v>
      </c>
      <c r="AE115" s="11">
        <f>IF(H115=0,"",AD115/H115)</f>
        <v/>
      </c>
      <c r="AF115" s="8" t="n">
        <v>0</v>
      </c>
      <c r="AG115" s="11">
        <f>IF(H115=0,"",AF115/H115)</f>
        <v/>
      </c>
      <c r="AH115" s="8" t="n">
        <v>122680.08</v>
      </c>
      <c r="AI115" s="9">
        <f>IF(H115=0,"",AH115/H115)</f>
        <v/>
      </c>
      <c r="AJ115" s="8" t="n">
        <v>14230</v>
      </c>
      <c r="AK115" s="11">
        <f>IF(H115=0,"",AJ115/H115)</f>
        <v/>
      </c>
      <c r="AL115" s="8" t="n">
        <v>1990860.345</v>
      </c>
      <c r="AM115" s="9">
        <f>IF(H115=0,"",AL115/H115)</f>
        <v/>
      </c>
      <c r="AN115" s="8" t="n">
        <v>0</v>
      </c>
      <c r="AO115" s="8" t="n">
        <v>0</v>
      </c>
      <c r="AP115" s="8" t="n">
        <v>0</v>
      </c>
      <c r="AQ115" s="8" t="n">
        <v>0</v>
      </c>
      <c r="AR115" s="8" t="n">
        <v>9639979.560000001</v>
      </c>
      <c r="AS115" s="8" t="n">
        <v>992251.26</v>
      </c>
      <c r="AT115" s="8" t="n">
        <v>7411595</v>
      </c>
      <c r="AU115" s="9">
        <f>AH115+AL115+AP115+AQ115+AR115+AS115+AT115</f>
        <v/>
      </c>
      <c r="AV115" s="9">
        <f>IF(H115=0,"",AU115/H115)</f>
        <v/>
      </c>
      <c r="AW115" s="9">
        <f>IF(S115=0,"",AU115/S115)</f>
        <v/>
      </c>
      <c r="AX115" s="8" t="n">
        <v>4</v>
      </c>
      <c r="AY115" s="9">
        <f>IF(H115=0,"",AX115/(H115/1000/12))</f>
        <v/>
      </c>
      <c r="AZ115" s="8" t="n">
        <v>7</v>
      </c>
      <c r="BA115" s="8" t="n">
        <v>3</v>
      </c>
      <c r="BB115" s="8" t="n">
        <v>15</v>
      </c>
      <c r="BC115" s="8" t="n">
        <v>16</v>
      </c>
      <c r="BD115" s="8" t="n">
        <v>0</v>
      </c>
      <c r="BE115" s="9">
        <f>BC115+BD115</f>
        <v/>
      </c>
      <c r="BF115" s="9">
        <f>BA115+BB115-BE115</f>
        <v/>
      </c>
      <c r="BG115" s="8" t="n">
        <v>0</v>
      </c>
      <c r="BH115" s="8" t="n">
        <v>0</v>
      </c>
      <c r="BI115" s="8" t="n">
        <v>0</v>
      </c>
      <c r="BJ115" s="8" t="n">
        <v>0</v>
      </c>
      <c r="BK115" s="9">
        <f>BI115+BJ115</f>
        <v/>
      </c>
      <c r="BL115" s="9">
        <f>BG115+BH115-BK115</f>
        <v/>
      </c>
      <c r="BM115" s="8" t="n">
        <v>0</v>
      </c>
      <c r="BN115" s="8" t="n">
        <v>0</v>
      </c>
      <c r="BO115" s="8" t="n">
        <v>0</v>
      </c>
      <c r="BP115" s="8" t="n">
        <v>0</v>
      </c>
      <c r="BQ115" s="9">
        <f>BO115+BP115</f>
        <v/>
      </c>
      <c r="BR115" s="9">
        <f>BM115+BN115-BQ115</f>
        <v/>
      </c>
      <c r="BS115" s="8" t="n">
        <v>0</v>
      </c>
      <c r="BT115" s="8" t="n">
        <v>0</v>
      </c>
      <c r="BU115" s="8" t="n">
        <v>0</v>
      </c>
      <c r="BV115" s="8" t="n">
        <v>0</v>
      </c>
      <c r="BW115" s="9">
        <f>BU115+BV115</f>
        <v/>
      </c>
      <c r="BX115" s="9">
        <f>BS115+BT115-BW115</f>
        <v/>
      </c>
      <c r="BY115" s="9">
        <f>BA115+BG115+BM115+BS115</f>
        <v/>
      </c>
      <c r="BZ115" s="9">
        <f>BB115+BH115+BN115+BT115</f>
        <v/>
      </c>
      <c r="CA115" s="9">
        <f>BE115+BK115+BQ115+BW115</f>
        <v/>
      </c>
      <c r="CB115" s="9">
        <f>BF115+BL115+BR115+BX115</f>
        <v/>
      </c>
      <c r="CC115" s="8" t="n">
        <v>0</v>
      </c>
      <c r="CD115" s="8" t="n">
        <v>3</v>
      </c>
      <c r="CE115" s="8" t="n">
        <v>0</v>
      </c>
      <c r="CF115" s="8" t="n">
        <v>0</v>
      </c>
      <c r="CG115" s="8" t="n">
        <v>0</v>
      </c>
      <c r="CH115" s="9">
        <f>CD115+CE115+CF115+CG115</f>
        <v/>
      </c>
      <c r="CI115" s="8" t="n">
        <v>39</v>
      </c>
      <c r="CJ115" s="8" t="n">
        <v>2</v>
      </c>
      <c r="CK115" s="8" t="n">
        <v>0</v>
      </c>
      <c r="CL115" s="8" t="n">
        <v>0</v>
      </c>
      <c r="CM115" s="9">
        <f>CI115+CJ115+CK115+CL115</f>
        <v/>
      </c>
      <c r="CN115" s="8" t="n">
        <v>233</v>
      </c>
      <c r="CO115" s="8" t="n">
        <v>9</v>
      </c>
      <c r="CP115" s="8" t="n">
        <v>10</v>
      </c>
      <c r="CQ115" s="8" t="n">
        <v>0</v>
      </c>
      <c r="CR115" s="9">
        <f>CN115+CO115+CP115+CQ115</f>
        <v/>
      </c>
      <c r="CS115" s="9">
        <f>CM115+CR115</f>
        <v/>
      </c>
      <c r="CT115" s="8" t="n">
        <v>296</v>
      </c>
      <c r="CU115" s="8" t="n">
        <v>4359</v>
      </c>
      <c r="CV115" s="8" t="n">
        <v>4105</v>
      </c>
      <c r="CW115" s="10">
        <f>IF(CU115=0,"",CV115/CU115)</f>
        <v/>
      </c>
      <c r="CX115" s="8" t="n">
        <v>0</v>
      </c>
      <c r="CY115" s="8" t="n">
        <v>0</v>
      </c>
      <c r="CZ115" s="8" t="n">
        <v>0</v>
      </c>
      <c r="DA115" s="8" t="n">
        <v>0</v>
      </c>
      <c r="DB115" s="9">
        <f>CX115+CY115-CZ115-DA115</f>
        <v/>
      </c>
      <c r="DC115" s="8" t="n">
        <v>0</v>
      </c>
      <c r="DD115" s="8" t="n">
        <v>0</v>
      </c>
      <c r="DE115" s="8" t="n">
        <v>0</v>
      </c>
      <c r="DF115" s="8" t="n">
        <v>0</v>
      </c>
      <c r="DG115" s="9">
        <f>DC115+DD115-DE115-DF115</f>
        <v/>
      </c>
      <c r="DH115" s="8" t="n">
        <v>0</v>
      </c>
      <c r="DI115" s="8" t="n">
        <v>0</v>
      </c>
      <c r="DJ115" s="8" t="n">
        <v>0</v>
      </c>
      <c r="DK115" s="8" t="n">
        <v>0</v>
      </c>
      <c r="DL115" s="9">
        <f>DH115+DI115-DJ115-DK115</f>
        <v/>
      </c>
      <c r="DM115" s="8" t="n">
        <v>0</v>
      </c>
      <c r="DN115" s="8" t="n">
        <v>0</v>
      </c>
      <c r="DO115" s="8" t="n">
        <v>0</v>
      </c>
      <c r="DP115" s="8" t="n">
        <v>0</v>
      </c>
      <c r="DQ115" s="9">
        <f>DM115+DN115-DO115-DP115</f>
        <v/>
      </c>
      <c r="DR115" s="9">
        <f>CX115+DC115+DH115+DM115</f>
        <v/>
      </c>
      <c r="DS115" s="9">
        <f>CY115+DD115+DI115+DN115</f>
        <v/>
      </c>
      <c r="DT115" s="9">
        <f>CZ115+DE115+DJ115+DO115</f>
        <v/>
      </c>
      <c r="DU115" s="9">
        <f>DA115+DF115+DK115+DP115</f>
        <v/>
      </c>
      <c r="DV115" s="9">
        <f>DB115+DG115+DL115+DQ115</f>
        <v/>
      </c>
      <c r="DW115" s="8" t="n">
        <v>3</v>
      </c>
      <c r="DX115" s="8" t="n">
        <v>3</v>
      </c>
      <c r="DY115" s="8" t="n">
        <v>0</v>
      </c>
      <c r="DZ115" s="8" t="n">
        <v>0</v>
      </c>
      <c r="EA115" s="8" t="n">
        <v>0</v>
      </c>
      <c r="EB115" s="8" t="n">
        <v>1</v>
      </c>
      <c r="EC115" s="8" t="n">
        <v>1</v>
      </c>
      <c r="ED115" s="8" t="n">
        <v>0</v>
      </c>
      <c r="EE115" s="8" t="n">
        <v>1</v>
      </c>
      <c r="EF115" s="8" t="n">
        <v>1</v>
      </c>
      <c r="EG115" s="8" t="n">
        <v>0</v>
      </c>
      <c r="EH115" s="8" t="n">
        <v>0</v>
      </c>
      <c r="EI115" s="8" t="n">
        <v>0</v>
      </c>
      <c r="EJ115" s="8" t="n">
        <v>0</v>
      </c>
      <c r="EK115" s="8" t="n">
        <v>0</v>
      </c>
      <c r="EL115" s="8" t="n">
        <v>0</v>
      </c>
      <c r="EM115" s="8" t="n">
        <v>0</v>
      </c>
      <c r="EN115" s="8" t="n">
        <v>0</v>
      </c>
      <c r="EO115" s="8" t="n">
        <v>0</v>
      </c>
      <c r="EP115" s="8" t="n">
        <v>0</v>
      </c>
      <c r="EQ115" s="8" t="n">
        <v>0</v>
      </c>
      <c r="ER115" s="8" t="n">
        <v>0</v>
      </c>
      <c r="ES115" s="8" t="n">
        <v>0</v>
      </c>
      <c r="ET115" s="8" t="n">
        <v>0</v>
      </c>
      <c r="EU115" s="8" t="n">
        <v>0</v>
      </c>
      <c r="EV115" s="8" t="n">
        <v>0</v>
      </c>
      <c r="EW115" s="8" t="n">
        <v>0</v>
      </c>
      <c r="EX115" s="8" t="n">
        <v>0</v>
      </c>
      <c r="EY115" s="8" t="n">
        <v>0</v>
      </c>
      <c r="EZ115" s="8" t="n">
        <v>0</v>
      </c>
      <c r="FA115" s="8" t="n">
        <v>0</v>
      </c>
      <c r="FB115" s="8" t="n">
        <v>0</v>
      </c>
      <c r="FC115" s="8" t="n">
        <v>0</v>
      </c>
      <c r="FD115" s="8" t="n">
        <v>0</v>
      </c>
      <c r="FE115" s="8" t="n">
        <v>0</v>
      </c>
      <c r="FF115" s="8" t="n">
        <v>0</v>
      </c>
      <c r="FG115" s="9">
        <f>SUM(DW115,DX115,DY115,DZ115,EA115,EB115,EC115,ED115,EE115,EF115,EG115,EH115,EI115,EJ115,EK115,EL115,EM115,EN115,EO115,EP115,EQ115,ER115,ES115,ET115,EU115,EV115,EW115,EX115,EY115,EZ115,FA115,FB115,FC115,FD115,FE115,FF115)</f>
        <v/>
      </c>
      <c r="FH115" s="8" t="n">
        <v>5</v>
      </c>
      <c r="FI115" s="8" t="n">
        <v>8</v>
      </c>
      <c r="FJ115" s="8" t="n">
        <v>24</v>
      </c>
      <c r="FK115" s="8" t="n">
        <v>40</v>
      </c>
      <c r="FL115" s="8" t="n">
        <v>0</v>
      </c>
      <c r="FM115" s="8" t="n">
        <v>0</v>
      </c>
      <c r="FN115" s="8" t="n">
        <v>0</v>
      </c>
      <c r="FO115" s="8" t="n">
        <v>0</v>
      </c>
      <c r="FP115" s="8" t="n">
        <v>0</v>
      </c>
      <c r="FQ115" s="9">
        <f>FL115+FM115+FN115+FO115+FP115</f>
        <v/>
      </c>
      <c r="FR115" s="8" t="n">
        <v>72354.28</v>
      </c>
      <c r="FS115" s="8" t="n">
        <v>0</v>
      </c>
      <c r="FT115" s="8" t="n">
        <v>0</v>
      </c>
      <c r="FU115" s="8" t="n">
        <v>0</v>
      </c>
      <c r="FV115" s="9">
        <f>FR115+FS115+FT115+FU115</f>
        <v/>
      </c>
      <c r="FW115" s="8" t="n">
        <v>4081293</v>
      </c>
      <c r="FX115" s="8" t="n">
        <v>4081293</v>
      </c>
      <c r="FY115" s="8" t="n">
        <v>3950900</v>
      </c>
      <c r="FZ115" s="8" t="n">
        <v>60850000</v>
      </c>
      <c r="GA115" s="9">
        <f>FW115+FX115+FY115+FZ115</f>
        <v/>
      </c>
      <c r="GB115" s="9">
        <f>FV115+GA115</f>
        <v/>
      </c>
      <c r="GC115" s="8" t="n">
        <v>902259.12</v>
      </c>
      <c r="GD115" s="8" t="n">
        <v>902259.12</v>
      </c>
      <c r="GE115" s="8" t="n">
        <v>175715.56</v>
      </c>
      <c r="GF115" s="8" t="n">
        <v>0</v>
      </c>
      <c r="GG115" s="9">
        <f>GC115+GD115+GE115+GF115</f>
        <v/>
      </c>
      <c r="GH115" s="8" t="n">
        <v>1077974.68</v>
      </c>
      <c r="GI115" s="8" t="n">
        <v>0</v>
      </c>
      <c r="GJ115" s="8" t="n">
        <v>0</v>
      </c>
      <c r="GK115" s="8" t="n">
        <v>0</v>
      </c>
      <c r="GL115" s="9">
        <f>GH115+GI115+GJ115+GK115</f>
        <v/>
      </c>
      <c r="GM115" s="9">
        <f>GG115+GL115</f>
        <v/>
      </c>
      <c r="GN115" s="8" t="n">
        <v>21252.27</v>
      </c>
      <c r="GO115" s="8" t="n">
        <v>21252.27</v>
      </c>
      <c r="GP115" s="8" t="n">
        <v>6787.28</v>
      </c>
      <c r="GQ115" s="8" t="n">
        <v>0</v>
      </c>
      <c r="GR115" s="9">
        <f>GN115+GO115+GP115+GQ115</f>
        <v/>
      </c>
      <c r="GS115" s="8" t="n">
        <v>34827</v>
      </c>
      <c r="GT115" s="8" t="n">
        <v>34827</v>
      </c>
      <c r="GU115" s="8" t="n">
        <v>1786</v>
      </c>
      <c r="GV115" s="8" t="n">
        <v>0</v>
      </c>
      <c r="GW115" s="9">
        <f>GS115+GT115+GU115+GV115</f>
        <v/>
      </c>
      <c r="GX115" s="9">
        <f>GM115+GR115+GW115</f>
        <v/>
      </c>
      <c r="GY115" s="8" t="n">
        <v>12981353.92</v>
      </c>
      <c r="GZ115" s="8" t="n">
        <v>-21498738.83</v>
      </c>
      <c r="HA115" s="9">
        <f>GY115+GZ115</f>
        <v/>
      </c>
      <c r="HB115" s="9">
        <f>IF(GX115=0,"",AU115/GX115)</f>
        <v/>
      </c>
      <c r="HC115" s="10">
        <f>IF((GX115+GY115)=0,"",GB115/(GX115+GY115))</f>
        <v/>
      </c>
      <c r="HD115" s="9">
        <f>IF(GX115=0,"",GB115/GX115)</f>
        <v/>
      </c>
      <c r="HE115" s="8" t="n">
        <v>15</v>
      </c>
      <c r="HF115" s="8" t="n">
        <v>1</v>
      </c>
      <c r="HG115" s="8" t="n">
        <v>2</v>
      </c>
      <c r="HH115" s="8" t="n">
        <v>15</v>
      </c>
      <c r="HI115" s="8" t="n">
        <v>7</v>
      </c>
      <c r="HJ115" s="9">
        <f>HF115+HI115</f>
        <v/>
      </c>
      <c r="HK115" s="10">
        <f>IF(HE115=0,"",HH115/HE115)</f>
        <v/>
      </c>
      <c r="HL115" s="8" t="n">
        <v>2</v>
      </c>
      <c r="HM115" s="8" t="n">
        <v>2</v>
      </c>
      <c r="HN115" s="11">
        <f>IF(HL115=0,"",HM115/HL115)</f>
        <v/>
      </c>
    </row>
    <row r="116">
      <c r="A116" s="12" t="inlineStr">
        <is>
          <t>Mulanje</t>
        </is>
      </c>
      <c r="B116" s="12" t="inlineStr">
        <is>
          <t>MUST</t>
        </is>
      </c>
      <c r="C116" s="13" t="inlineStr">
        <is>
          <t>FY2025/26</t>
        </is>
      </c>
      <c r="D116" s="13" t="n">
        <v>2025</v>
      </c>
      <c r="E116" s="13" t="n">
        <v>9</v>
      </c>
      <c r="F116" s="13" t="inlineStr">
        <is>
          <t>September</t>
        </is>
      </c>
      <c r="G116" s="13" t="inlineStr">
        <is>
          <t>Q2</t>
        </is>
      </c>
      <c r="H116" s="14" t="n">
        <v>20243</v>
      </c>
      <c r="I116" s="14" t="n">
        <v>743</v>
      </c>
      <c r="J116" s="14" t="n">
        <v>0</v>
      </c>
      <c r="K116" s="14" t="n">
        <v>58</v>
      </c>
      <c r="L116" s="14" t="n">
        <v>0</v>
      </c>
      <c r="M116" s="15">
        <f>SUM(I116,J116,K116,L116)</f>
        <v/>
      </c>
      <c r="N116" s="14" t="n">
        <v>2705</v>
      </c>
      <c r="O116" s="14" t="n">
        <v>0</v>
      </c>
      <c r="P116" s="14" t="n">
        <v>13125</v>
      </c>
      <c r="Q116" s="14" t="n">
        <v>795.100000000001</v>
      </c>
      <c r="R116" s="15">
        <f>SUM(N116,O116,P116,Q116)</f>
        <v/>
      </c>
      <c r="S116" s="15">
        <f>M116+R116</f>
        <v/>
      </c>
      <c r="T116" s="14" t="n">
        <v>2816.9</v>
      </c>
      <c r="U116" s="16">
        <f>IF(H116=0,"",T116/H116)</f>
        <v/>
      </c>
      <c r="V116" s="14" t="n">
        <v>23</v>
      </c>
      <c r="W116" s="17">
        <f>IF(H116=0,"",V116/H116)</f>
        <v/>
      </c>
      <c r="X116" s="14" t="n">
        <v>0</v>
      </c>
      <c r="Y116" s="17">
        <f>IF(H116=0,"",X116/H116)</f>
        <v/>
      </c>
      <c r="Z116" s="14" t="n">
        <v>0</v>
      </c>
      <c r="AA116" s="17">
        <f>IF(H116=0,"",Z116/H116)</f>
        <v/>
      </c>
      <c r="AB116" s="14" t="n">
        <v>0</v>
      </c>
      <c r="AC116" s="17">
        <f>IF(H116=0,"",AB116/H116)</f>
        <v/>
      </c>
      <c r="AD116" s="14" t="n">
        <v>0</v>
      </c>
      <c r="AE116" s="17">
        <f>IF(H116=0,"",AD116/H116)</f>
        <v/>
      </c>
      <c r="AF116" s="14" t="n">
        <v>0</v>
      </c>
      <c r="AG116" s="17">
        <f>IF(H116=0,"",AF116/H116)</f>
        <v/>
      </c>
      <c r="AH116" s="14" t="n">
        <v>117568.41</v>
      </c>
      <c r="AI116" s="15">
        <f>IF(H116=0,"",AH116/H116)</f>
        <v/>
      </c>
      <c r="AJ116" s="14" t="n">
        <v>14230</v>
      </c>
      <c r="AK116" s="17">
        <f>IF(H116=0,"",AJ116/H116)</f>
        <v/>
      </c>
      <c r="AL116" s="14" t="n">
        <v>1990860.345</v>
      </c>
      <c r="AM116" s="15">
        <f>IF(H116=0,"",AL116/H116)</f>
        <v/>
      </c>
      <c r="AN116" s="14" t="n">
        <v>0</v>
      </c>
      <c r="AO116" s="14" t="n">
        <v>0</v>
      </c>
      <c r="AP116" s="14" t="n">
        <v>0</v>
      </c>
      <c r="AQ116" s="14" t="n">
        <v>0</v>
      </c>
      <c r="AR116" s="14" t="n">
        <v>9267496.34</v>
      </c>
      <c r="AS116" s="14" t="n">
        <v>954693.52</v>
      </c>
      <c r="AT116" s="14" t="n">
        <v>2686140.065</v>
      </c>
      <c r="AU116" s="15">
        <f>AH116+AL116+AP116+AQ116+AR116+AS116+AT116</f>
        <v/>
      </c>
      <c r="AV116" s="15">
        <f>IF(H116=0,"",AU116/H116)</f>
        <v/>
      </c>
      <c r="AW116" s="15">
        <f>IF(S116=0,"",AU116/S116)</f>
        <v/>
      </c>
      <c r="AX116" s="14" t="n">
        <v>4</v>
      </c>
      <c r="AY116" s="15">
        <f>IF(H116=0,"",AX116/(H116/1000/12))</f>
        <v/>
      </c>
      <c r="AZ116" s="14" t="n">
        <v>7</v>
      </c>
      <c r="BA116" s="14" t="n">
        <v>2</v>
      </c>
      <c r="BB116" s="14" t="n">
        <v>13</v>
      </c>
      <c r="BC116" s="14" t="n">
        <v>14</v>
      </c>
      <c r="BD116" s="14" t="n">
        <v>0</v>
      </c>
      <c r="BE116" s="15">
        <f>BC116+BD116</f>
        <v/>
      </c>
      <c r="BF116" s="15">
        <f>BA116+BB116-BE116</f>
        <v/>
      </c>
      <c r="BG116" s="14" t="n">
        <v>0</v>
      </c>
      <c r="BH116" s="14" t="n">
        <v>0</v>
      </c>
      <c r="BI116" s="14" t="n">
        <v>0</v>
      </c>
      <c r="BJ116" s="14" t="n">
        <v>0</v>
      </c>
      <c r="BK116" s="15">
        <f>BI116+BJ116</f>
        <v/>
      </c>
      <c r="BL116" s="15">
        <f>BG116+BH116-BK116</f>
        <v/>
      </c>
      <c r="BM116" s="14" t="n">
        <v>0</v>
      </c>
      <c r="BN116" s="14" t="n">
        <v>0</v>
      </c>
      <c r="BO116" s="14" t="n">
        <v>0</v>
      </c>
      <c r="BP116" s="14" t="n">
        <v>0</v>
      </c>
      <c r="BQ116" s="15">
        <f>BO116+BP116</f>
        <v/>
      </c>
      <c r="BR116" s="15">
        <f>BM116+BN116-BQ116</f>
        <v/>
      </c>
      <c r="BS116" s="14" t="n">
        <v>0</v>
      </c>
      <c r="BT116" s="14" t="n">
        <v>0</v>
      </c>
      <c r="BU116" s="14" t="n">
        <v>0</v>
      </c>
      <c r="BV116" s="14" t="n">
        <v>0</v>
      </c>
      <c r="BW116" s="15">
        <f>BU116+BV116</f>
        <v/>
      </c>
      <c r="BX116" s="15">
        <f>BS116+BT116-BW116</f>
        <v/>
      </c>
      <c r="BY116" s="15">
        <f>BA116+BG116+BM116+BS116</f>
        <v/>
      </c>
      <c r="BZ116" s="15">
        <f>BB116+BH116+BN116+BT116</f>
        <v/>
      </c>
      <c r="CA116" s="15">
        <f>BE116+BK116+BQ116+BW116</f>
        <v/>
      </c>
      <c r="CB116" s="15">
        <f>BF116+BL116+BR116+BX116</f>
        <v/>
      </c>
      <c r="CC116" s="14" t="n">
        <v>0</v>
      </c>
      <c r="CD116" s="14" t="n">
        <v>3</v>
      </c>
      <c r="CE116" s="14" t="n">
        <v>0</v>
      </c>
      <c r="CF116" s="14" t="n">
        <v>0</v>
      </c>
      <c r="CG116" s="14" t="n">
        <v>0</v>
      </c>
      <c r="CH116" s="15">
        <f>CD116+CE116+CF116+CG116</f>
        <v/>
      </c>
      <c r="CI116" s="14" t="n">
        <v>53</v>
      </c>
      <c r="CJ116" s="14" t="n">
        <v>2</v>
      </c>
      <c r="CK116" s="14" t="n">
        <v>0</v>
      </c>
      <c r="CL116" s="14" t="n">
        <v>0</v>
      </c>
      <c r="CM116" s="15">
        <f>CI116+CJ116+CK116+CL116</f>
        <v/>
      </c>
      <c r="CN116" s="14" t="n">
        <v>219</v>
      </c>
      <c r="CO116" s="14" t="n">
        <v>9</v>
      </c>
      <c r="CP116" s="14" t="n">
        <v>10</v>
      </c>
      <c r="CQ116" s="14" t="n">
        <v>0</v>
      </c>
      <c r="CR116" s="15">
        <f>CN116+CO116+CP116+CQ116</f>
        <v/>
      </c>
      <c r="CS116" s="15">
        <f>CM116+CR116</f>
        <v/>
      </c>
      <c r="CT116" s="14" t="n">
        <v>296</v>
      </c>
      <c r="CU116" s="14" t="n">
        <v>4359</v>
      </c>
      <c r="CV116" s="14" t="n">
        <v>4105</v>
      </c>
      <c r="CW116" s="16">
        <f>IF(CU116=0,"",CV116/CU116)</f>
        <v/>
      </c>
      <c r="CX116" s="14" t="n"/>
      <c r="CY116" s="14" t="n"/>
      <c r="CZ116" s="14" t="n"/>
      <c r="DA116" s="14" t="n"/>
      <c r="DB116" s="15">
        <f>CX116+CY116-CZ116-DA116</f>
        <v/>
      </c>
      <c r="DC116" s="14" t="n">
        <v>0</v>
      </c>
      <c r="DD116" s="14" t="n">
        <v>0</v>
      </c>
      <c r="DE116" s="14" t="n">
        <v>0</v>
      </c>
      <c r="DF116" s="14" t="n">
        <v>0</v>
      </c>
      <c r="DG116" s="15">
        <f>DC116+DD116-DE116-DF116</f>
        <v/>
      </c>
      <c r="DH116" s="14" t="n">
        <v>0</v>
      </c>
      <c r="DI116" s="14" t="n">
        <v>0</v>
      </c>
      <c r="DJ116" s="14" t="n">
        <v>0</v>
      </c>
      <c r="DK116" s="14" t="n">
        <v>0</v>
      </c>
      <c r="DL116" s="15">
        <f>DH116+DI116-DJ116-DK116</f>
        <v/>
      </c>
      <c r="DM116" s="14" t="n">
        <v>0</v>
      </c>
      <c r="DN116" s="14" t="n">
        <v>0</v>
      </c>
      <c r="DO116" s="14" t="n">
        <v>0</v>
      </c>
      <c r="DP116" s="14" t="n">
        <v>0</v>
      </c>
      <c r="DQ116" s="15">
        <f>DM116+DN116-DO116-DP116</f>
        <v/>
      </c>
      <c r="DR116" s="15">
        <f>CX116+DC116+DH116+DM116</f>
        <v/>
      </c>
      <c r="DS116" s="15">
        <f>CY116+DD116+DI116+DN116</f>
        <v/>
      </c>
      <c r="DT116" s="15">
        <f>CZ116+DE116+DJ116+DO116</f>
        <v/>
      </c>
      <c r="DU116" s="15">
        <f>DA116+DF116+DK116+DP116</f>
        <v/>
      </c>
      <c r="DV116" s="15">
        <f>DB116+DG116+DL116+DQ116</f>
        <v/>
      </c>
      <c r="DW116" s="14" t="n">
        <v>5</v>
      </c>
      <c r="DX116" s="14" t="n">
        <v>3</v>
      </c>
      <c r="DY116" s="14" t="n">
        <v>1</v>
      </c>
      <c r="DZ116" s="14" t="n">
        <v>1</v>
      </c>
      <c r="EA116" s="14" t="n">
        <v>0</v>
      </c>
      <c r="EB116" s="14" t="n">
        <v>0</v>
      </c>
      <c r="EC116" s="14" t="n">
        <v>0</v>
      </c>
      <c r="ED116" s="14" t="n">
        <v>1</v>
      </c>
      <c r="EE116" s="14" t="n">
        <v>1</v>
      </c>
      <c r="EF116" s="14" t="n">
        <v>1</v>
      </c>
      <c r="EG116" s="14" t="n">
        <v>0</v>
      </c>
      <c r="EH116" s="14" t="n">
        <v>0</v>
      </c>
      <c r="EI116" s="14" t="n">
        <v>0</v>
      </c>
      <c r="EJ116" s="14" t="n">
        <v>0</v>
      </c>
      <c r="EK116" s="14" t="n">
        <v>0</v>
      </c>
      <c r="EL116" s="14" t="n">
        <v>0</v>
      </c>
      <c r="EM116" s="14" t="n">
        <v>0</v>
      </c>
      <c r="EN116" s="14" t="n">
        <v>0</v>
      </c>
      <c r="EO116" s="14" t="n">
        <v>0</v>
      </c>
      <c r="EP116" s="14" t="n">
        <v>0</v>
      </c>
      <c r="EQ116" s="14" t="n">
        <v>0</v>
      </c>
      <c r="ER116" s="14" t="n">
        <v>0</v>
      </c>
      <c r="ES116" s="14" t="n">
        <v>0</v>
      </c>
      <c r="ET116" s="14" t="n">
        <v>0</v>
      </c>
      <c r="EU116" s="14" t="n">
        <v>0</v>
      </c>
      <c r="EV116" s="14" t="n">
        <v>0</v>
      </c>
      <c r="EW116" s="14" t="n">
        <v>0</v>
      </c>
      <c r="EX116" s="14" t="n">
        <v>0</v>
      </c>
      <c r="EY116" s="14" t="n">
        <v>0</v>
      </c>
      <c r="EZ116" s="14" t="n">
        <v>0</v>
      </c>
      <c r="FA116" s="14" t="n">
        <v>0</v>
      </c>
      <c r="FB116" s="14" t="n">
        <v>0</v>
      </c>
      <c r="FC116" s="14" t="n">
        <v>0</v>
      </c>
      <c r="FD116" s="14" t="n">
        <v>0</v>
      </c>
      <c r="FE116" s="14" t="n">
        <v>0</v>
      </c>
      <c r="FF116" s="14" t="n">
        <v>0</v>
      </c>
      <c r="FG116" s="15">
        <f>SUM(DW116,DX116,DY116,DZ116,EA116,EB116,EC116,ED116,EE116,EF116,EG116,EH116,EI116,EJ116,EK116,EL116,EM116,EN116,EO116,EP116,EQ116,ER116,ES116,ET116,EU116,EV116,EW116,EX116,EY116,EZ116,FA116,FB116,FC116,FD116,FE116,FF116)</f>
        <v/>
      </c>
      <c r="FH116" s="14" t="n">
        <v>3</v>
      </c>
      <c r="FI116" s="14" t="n">
        <v>12</v>
      </c>
      <c r="FJ116" s="14" t="n">
        <v>24</v>
      </c>
      <c r="FK116" s="14" t="n">
        <v>36</v>
      </c>
      <c r="FL116" s="14" t="n">
        <v>36</v>
      </c>
      <c r="FM116" s="14" t="n">
        <v>0</v>
      </c>
      <c r="FN116" s="14" t="n">
        <v>0</v>
      </c>
      <c r="FO116" s="14" t="n">
        <v>0</v>
      </c>
      <c r="FP116" s="14" t="n">
        <v>0</v>
      </c>
      <c r="FQ116" s="15">
        <f>FL116+FM116+FN116+FO116+FP116</f>
        <v/>
      </c>
      <c r="FR116" s="14" t="n">
        <v>357053.44</v>
      </c>
      <c r="FS116" s="14" t="n">
        <v>0</v>
      </c>
      <c r="FT116" s="14" t="n">
        <v>0</v>
      </c>
      <c r="FU116" s="14" t="n">
        <v>0</v>
      </c>
      <c r="FV116" s="15">
        <f>FR116+FS116+FT116+FU116</f>
        <v/>
      </c>
      <c r="FW116" s="14" t="n">
        <v>3971263</v>
      </c>
      <c r="FX116" s="14" t="n">
        <v>3971263</v>
      </c>
      <c r="FY116" s="14" t="n">
        <v>3759900</v>
      </c>
      <c r="FZ116" s="14" t="n">
        <v>32029500</v>
      </c>
      <c r="GA116" s="15">
        <f>FW116+FX116+FY116+FZ116</f>
        <v/>
      </c>
      <c r="GB116" s="15">
        <f>FV116+GA116</f>
        <v/>
      </c>
      <c r="GC116" s="14" t="n">
        <v>694710.58</v>
      </c>
      <c r="GD116" s="14" t="n">
        <v>694710.58</v>
      </c>
      <c r="GE116" s="14" t="n">
        <v>175715.56</v>
      </c>
      <c r="GF116" s="14" t="n">
        <v>0</v>
      </c>
      <c r="GG116" s="15">
        <f>GC116+GD116+GE116+GF116</f>
        <v/>
      </c>
      <c r="GH116" s="14" t="n">
        <v>870426.14</v>
      </c>
      <c r="GI116" s="14" t="n">
        <v>0</v>
      </c>
      <c r="GJ116" s="14" t="n">
        <v>0</v>
      </c>
      <c r="GK116" s="14" t="n">
        <v>0</v>
      </c>
      <c r="GL116" s="15">
        <f>GH116+GI116+GJ116+GK116</f>
        <v/>
      </c>
      <c r="GM116" s="15">
        <f>GG116+GL116</f>
        <v/>
      </c>
      <c r="GN116" s="14" t="n">
        <v>28881.29</v>
      </c>
      <c r="GO116" s="14" t="n">
        <v>28881.29</v>
      </c>
      <c r="GP116" s="14" t="n">
        <v>6787.28</v>
      </c>
      <c r="GQ116" s="14" t="n">
        <v>0</v>
      </c>
      <c r="GR116" s="15">
        <f>GN116+GO116+GP116+GQ116</f>
        <v/>
      </c>
      <c r="GS116" s="14" t="n">
        <v>47329</v>
      </c>
      <c r="GT116" s="14" t="n">
        <v>47329</v>
      </c>
      <c r="GU116" s="14" t="n">
        <v>1786</v>
      </c>
      <c r="GV116" s="14" t="n">
        <v>0</v>
      </c>
      <c r="GW116" s="15">
        <f>GS116+GT116+GU116+GV116</f>
        <v/>
      </c>
      <c r="GX116" s="15">
        <f>GM116+GR116+GW116</f>
        <v/>
      </c>
      <c r="GY116" s="14" t="n">
        <v>12981353.92</v>
      </c>
      <c r="GZ116" s="14" t="n">
        <v>-21498738.83</v>
      </c>
      <c r="HA116" s="15">
        <f>GY116+GZ116</f>
        <v/>
      </c>
      <c r="HB116" s="15">
        <f>IF(GX116=0,"",AU116/GX116)</f>
        <v/>
      </c>
      <c r="HC116" s="16">
        <f>IF((GX116+GY116)=0,"",GB116/(GX116+GY116))</f>
        <v/>
      </c>
      <c r="HD116" s="15">
        <f>IF(GX116=0,"",GB116/GX116)</f>
        <v/>
      </c>
      <c r="HE116" s="14" t="n">
        <v>13</v>
      </c>
      <c r="HF116" s="14" t="n">
        <v>1</v>
      </c>
      <c r="HG116" s="14" t="n">
        <v>1</v>
      </c>
      <c r="HH116" s="14" t="n">
        <v>13</v>
      </c>
      <c r="HI116" s="14" t="n">
        <v>7</v>
      </c>
      <c r="HJ116" s="15">
        <f>HF116+HI116</f>
        <v/>
      </c>
      <c r="HK116" s="16">
        <f>IF(HE116=0,"",HH116/HE116)</f>
        <v/>
      </c>
      <c r="HL116" s="14" t="n">
        <v>4</v>
      </c>
      <c r="HM116" s="14" t="n">
        <v>2</v>
      </c>
      <c r="HN116" s="17">
        <f>IF(HL116=0,"",HM116/HL116)</f>
        <v/>
      </c>
    </row>
    <row r="117">
      <c r="A117" s="6" t="inlineStr">
        <is>
          <t>Mulanje</t>
        </is>
      </c>
      <c r="B117" s="6" t="inlineStr">
        <is>
          <t>MUST</t>
        </is>
      </c>
      <c r="C117" s="7" t="inlineStr">
        <is>
          <t>FY2025/26</t>
        </is>
      </c>
      <c r="D117" s="7" t="n">
        <v>2025</v>
      </c>
      <c r="E117" s="7" t="n">
        <v>10</v>
      </c>
      <c r="F117" s="7" t="inlineStr">
        <is>
          <t>October</t>
        </is>
      </c>
      <c r="G117" s="7" t="inlineStr">
        <is>
          <t>Q3</t>
        </is>
      </c>
      <c r="H117" s="8" t="n">
        <v>25918</v>
      </c>
      <c r="I117" s="8" t="n">
        <v>1221</v>
      </c>
      <c r="J117" s="8" t="n">
        <v>0</v>
      </c>
      <c r="K117" s="8" t="n">
        <v>67</v>
      </c>
      <c r="L117" s="8" t="n">
        <v>0</v>
      </c>
      <c r="M117" s="9">
        <f>SUM(I117,J117,K117,L117)</f>
        <v/>
      </c>
      <c r="N117" s="8" t="n">
        <v>2884.4</v>
      </c>
      <c r="O117" s="8" t="n">
        <v>0</v>
      </c>
      <c r="P117" s="8" t="n">
        <v>14102</v>
      </c>
      <c r="Q117" s="8" t="n">
        <v>1619.39999999999</v>
      </c>
      <c r="R117" s="9">
        <f>SUM(N117,O117,P117,Q117)</f>
        <v/>
      </c>
      <c r="S117" s="9">
        <f>M117+R117</f>
        <v/>
      </c>
      <c r="T117" s="8" t="n">
        <v>6024.20000000001</v>
      </c>
      <c r="U117" s="10">
        <f>IF(H117=0,"",T117/H117)</f>
        <v/>
      </c>
      <c r="V117" s="8" t="n">
        <v>25</v>
      </c>
      <c r="W117" s="11">
        <f>IF(H117=0,"",V117/H117)</f>
        <v/>
      </c>
      <c r="X117" s="8" t="n">
        <v>0</v>
      </c>
      <c r="Y117" s="11">
        <f>IF(H117=0,"",X117/H117)</f>
        <v/>
      </c>
      <c r="Z117" s="8" t="n">
        <v>0</v>
      </c>
      <c r="AA117" s="11">
        <f>IF(H117=0,"",Z117/H117)</f>
        <v/>
      </c>
      <c r="AB117" s="8" t="n">
        <v>0</v>
      </c>
      <c r="AC117" s="11">
        <f>IF(H117=0,"",AB117/H117)</f>
        <v/>
      </c>
      <c r="AD117" s="8" t="n">
        <v>0</v>
      </c>
      <c r="AE117" s="11">
        <f>IF(H117=0,"",AD117/H117)</f>
        <v/>
      </c>
      <c r="AF117" s="8" t="n">
        <v>0</v>
      </c>
      <c r="AG117" s="11">
        <f>IF(H117=0,"",AF117/H117)</f>
        <v/>
      </c>
      <c r="AH117" s="8" t="n">
        <v>127791.75</v>
      </c>
      <c r="AI117" s="9">
        <f>IF(H117=0,"",AH117/H117)</f>
        <v/>
      </c>
      <c r="AJ117" s="8" t="n">
        <v>14230</v>
      </c>
      <c r="AK117" s="11">
        <f>IF(H117=0,"",AJ117/H117)</f>
        <v/>
      </c>
      <c r="AL117" s="8" t="n">
        <v>1990860.345</v>
      </c>
      <c r="AM117" s="9">
        <f>IF(H117=0,"",AL117/H117)</f>
        <v/>
      </c>
      <c r="AN117" s="8" t="n">
        <v>0</v>
      </c>
      <c r="AO117" s="8" t="n">
        <v>15</v>
      </c>
      <c r="AP117" s="8" t="n">
        <v>52500</v>
      </c>
      <c r="AQ117" s="8" t="n">
        <v>0</v>
      </c>
      <c r="AR117" s="8" t="n">
        <v>11013009.41</v>
      </c>
      <c r="AS117" s="8" t="n">
        <v>0</v>
      </c>
      <c r="AT117" s="8" t="n">
        <v>2100000</v>
      </c>
      <c r="AU117" s="9">
        <f>AH117+AL117+AP117+AQ117+AR117+AS117+AT117</f>
        <v/>
      </c>
      <c r="AV117" s="9">
        <f>IF(H117=0,"",AU117/H117)</f>
        <v/>
      </c>
      <c r="AW117" s="9">
        <f>IF(S117=0,"",AU117/S117)</f>
        <v/>
      </c>
      <c r="AX117" s="8" t="n">
        <v>4</v>
      </c>
      <c r="AY117" s="9">
        <f>IF(H117=0,"",AX117/(H117/1000/12))</f>
        <v/>
      </c>
      <c r="AZ117" s="8" t="n">
        <v>9</v>
      </c>
      <c r="BA117" s="8" t="n">
        <v>1</v>
      </c>
      <c r="BB117" s="8" t="n">
        <v>8</v>
      </c>
      <c r="BC117" s="8" t="n">
        <v>7</v>
      </c>
      <c r="BD117" s="8" t="n">
        <v>0</v>
      </c>
      <c r="BE117" s="9">
        <f>BC117+BD117</f>
        <v/>
      </c>
      <c r="BF117" s="9">
        <f>BA117+BB117-BE117</f>
        <v/>
      </c>
      <c r="BG117" s="8" t="n">
        <v>0</v>
      </c>
      <c r="BH117" s="8" t="n">
        <v>0</v>
      </c>
      <c r="BI117" s="8" t="n">
        <v>0</v>
      </c>
      <c r="BJ117" s="8" t="n">
        <v>0</v>
      </c>
      <c r="BK117" s="9">
        <f>BI117+BJ117</f>
        <v/>
      </c>
      <c r="BL117" s="9">
        <f>BG117+BH117-BK117</f>
        <v/>
      </c>
      <c r="BM117" s="8" t="n">
        <v>0</v>
      </c>
      <c r="BN117" s="8" t="n">
        <v>0</v>
      </c>
      <c r="BO117" s="8" t="n">
        <v>0</v>
      </c>
      <c r="BP117" s="8" t="n">
        <v>0</v>
      </c>
      <c r="BQ117" s="9">
        <f>BO117+BP117</f>
        <v/>
      </c>
      <c r="BR117" s="9">
        <f>BM117+BN117-BQ117</f>
        <v/>
      </c>
      <c r="BS117" s="8" t="n">
        <v>0</v>
      </c>
      <c r="BT117" s="8" t="n">
        <v>0</v>
      </c>
      <c r="BU117" s="8" t="n">
        <v>0</v>
      </c>
      <c r="BV117" s="8" t="n">
        <v>0</v>
      </c>
      <c r="BW117" s="9">
        <f>BU117+BV117</f>
        <v/>
      </c>
      <c r="BX117" s="9">
        <f>BS117+BT117-BW117</f>
        <v/>
      </c>
      <c r="BY117" s="9">
        <f>BA117+BG117+BM117+BS117</f>
        <v/>
      </c>
      <c r="BZ117" s="9">
        <f>BB117+BH117+BN117+BT117</f>
        <v/>
      </c>
      <c r="CA117" s="9">
        <f>BE117+BK117+BQ117+BW117</f>
        <v/>
      </c>
      <c r="CB117" s="9">
        <f>BF117+BL117+BR117+BX117</f>
        <v/>
      </c>
      <c r="CC117" s="8" t="n">
        <v>0</v>
      </c>
      <c r="CD117" s="8" t="n">
        <v>3</v>
      </c>
      <c r="CE117" s="8" t="n">
        <v>0</v>
      </c>
      <c r="CF117" s="8" t="n">
        <v>0</v>
      </c>
      <c r="CG117" s="8" t="n">
        <v>0</v>
      </c>
      <c r="CH117" s="9">
        <f>CD117+CE117+CF117+CG117</f>
        <v/>
      </c>
      <c r="CI117" s="8" t="n">
        <v>60</v>
      </c>
      <c r="CJ117" s="8" t="n">
        <v>2</v>
      </c>
      <c r="CK117" s="8" t="n">
        <v>0</v>
      </c>
      <c r="CL117" s="8" t="n">
        <v>0</v>
      </c>
      <c r="CM117" s="9">
        <f>CI117+CJ117+CK117+CL117</f>
        <v/>
      </c>
      <c r="CN117" s="8" t="n">
        <v>212</v>
      </c>
      <c r="CO117" s="8" t="n">
        <v>9</v>
      </c>
      <c r="CP117" s="8" t="n">
        <v>10</v>
      </c>
      <c r="CQ117" s="8" t="n">
        <v>0</v>
      </c>
      <c r="CR117" s="9">
        <f>CN117+CO117+CP117+CQ117</f>
        <v/>
      </c>
      <c r="CS117" s="9">
        <f>CM117+CR117</f>
        <v/>
      </c>
      <c r="CT117" s="8" t="n">
        <v>296</v>
      </c>
      <c r="CU117" s="8" t="n">
        <v>4359</v>
      </c>
      <c r="CV117" s="8" t="n">
        <v>4105</v>
      </c>
      <c r="CW117" s="10">
        <f>IF(CU117=0,"",CV117/CU117)</f>
        <v/>
      </c>
      <c r="CX117" s="8" t="n"/>
      <c r="CY117" s="8" t="n"/>
      <c r="CZ117" s="8" t="n"/>
      <c r="DA117" s="8" t="n"/>
      <c r="DB117" s="9">
        <f>CX117+CY117-CZ117-DA117</f>
        <v/>
      </c>
      <c r="DC117" s="8" t="n">
        <v>0</v>
      </c>
      <c r="DD117" s="8" t="n">
        <v>0</v>
      </c>
      <c r="DE117" s="8" t="n">
        <v>0</v>
      </c>
      <c r="DF117" s="8" t="n">
        <v>0</v>
      </c>
      <c r="DG117" s="9">
        <f>DC117+DD117-DE117-DF117</f>
        <v/>
      </c>
      <c r="DH117" s="8" t="n">
        <v>0</v>
      </c>
      <c r="DI117" s="8" t="n">
        <v>0</v>
      </c>
      <c r="DJ117" s="8" t="n">
        <v>0</v>
      </c>
      <c r="DK117" s="8" t="n">
        <v>0</v>
      </c>
      <c r="DL117" s="9">
        <f>DH117+DI117-DJ117-DK117</f>
        <v/>
      </c>
      <c r="DM117" s="8" t="n">
        <v>0</v>
      </c>
      <c r="DN117" s="8" t="n">
        <v>0</v>
      </c>
      <c r="DO117" s="8" t="n">
        <v>0</v>
      </c>
      <c r="DP117" s="8" t="n">
        <v>0</v>
      </c>
      <c r="DQ117" s="9">
        <f>DM117+DN117-DO117-DP117</f>
        <v/>
      </c>
      <c r="DR117" s="9">
        <f>CX117+DC117+DH117+DM117</f>
        <v/>
      </c>
      <c r="DS117" s="9">
        <f>CY117+DD117+DI117+DN117</f>
        <v/>
      </c>
      <c r="DT117" s="9">
        <f>CZ117+DE117+DJ117+DO117</f>
        <v/>
      </c>
      <c r="DU117" s="9">
        <f>DA117+DF117+DK117+DP117</f>
        <v/>
      </c>
      <c r="DV117" s="9">
        <f>DB117+DG117+DL117+DQ117</f>
        <v/>
      </c>
      <c r="DW117" s="8" t="n">
        <v>7</v>
      </c>
      <c r="DX117" s="8" t="n">
        <v>4</v>
      </c>
      <c r="DY117" s="8" t="n">
        <v>3</v>
      </c>
      <c r="DZ117" s="8" t="n">
        <v>3</v>
      </c>
      <c r="EA117" s="8" t="n">
        <v>0</v>
      </c>
      <c r="EB117" s="8" t="n">
        <v>0</v>
      </c>
      <c r="EC117" s="8" t="n">
        <v>0</v>
      </c>
      <c r="ED117" s="8" t="n">
        <v>0</v>
      </c>
      <c r="EE117" s="8" t="n">
        <v>0</v>
      </c>
      <c r="EF117" s="8" t="n">
        <v>0</v>
      </c>
      <c r="EG117" s="8" t="n">
        <v>0</v>
      </c>
      <c r="EH117" s="8" t="n">
        <v>0</v>
      </c>
      <c r="EI117" s="8" t="n">
        <v>0</v>
      </c>
      <c r="EJ117" s="8" t="n">
        <v>0</v>
      </c>
      <c r="EK117" s="8" t="n">
        <v>0</v>
      </c>
      <c r="EL117" s="8" t="n">
        <v>0</v>
      </c>
      <c r="EM117" s="8" t="n">
        <v>0</v>
      </c>
      <c r="EN117" s="8" t="n">
        <v>0</v>
      </c>
      <c r="EO117" s="8" t="n">
        <v>0</v>
      </c>
      <c r="EP117" s="8" t="n">
        <v>0</v>
      </c>
      <c r="EQ117" s="8" t="n">
        <v>0</v>
      </c>
      <c r="ER117" s="8" t="n">
        <v>0</v>
      </c>
      <c r="ES117" s="8" t="n">
        <v>0</v>
      </c>
      <c r="ET117" s="8" t="n">
        <v>0</v>
      </c>
      <c r="EU117" s="8" t="n">
        <v>0</v>
      </c>
      <c r="EV117" s="8" t="n">
        <v>0</v>
      </c>
      <c r="EW117" s="8" t="n">
        <v>0</v>
      </c>
      <c r="EX117" s="8" t="n">
        <v>0</v>
      </c>
      <c r="EY117" s="8" t="n">
        <v>0</v>
      </c>
      <c r="EZ117" s="8" t="n">
        <v>0</v>
      </c>
      <c r="FA117" s="8" t="n">
        <v>0</v>
      </c>
      <c r="FB117" s="8" t="n">
        <v>0</v>
      </c>
      <c r="FC117" s="8" t="n">
        <v>0</v>
      </c>
      <c r="FD117" s="8" t="n">
        <v>0</v>
      </c>
      <c r="FE117" s="8" t="n">
        <v>0</v>
      </c>
      <c r="FF117" s="8" t="n">
        <v>0</v>
      </c>
      <c r="FG117" s="9">
        <f>SUM(DW117,DX117,DY117,DZ117,EA117,EB117,EC117,ED117,EE117,EF117,EG117,EH117,EI117,EJ117,EK117,EL117,EM117,EN117,EO117,EP117,EQ117,ER117,ES117,ET117,EU117,EV117,EW117,EX117,EY117,EZ117,FA117,FB117,FC117,FD117,FE117,FF117)</f>
        <v/>
      </c>
      <c r="FH117" s="8" t="n">
        <v>4</v>
      </c>
      <c r="FI117" s="8" t="n">
        <v>8</v>
      </c>
      <c r="FJ117" s="8" t="n">
        <v>23</v>
      </c>
      <c r="FK117" s="8" t="n">
        <v>32</v>
      </c>
      <c r="FL117" s="8" t="n">
        <v>32</v>
      </c>
      <c r="FM117" s="8" t="n">
        <v>0</v>
      </c>
      <c r="FN117" s="8" t="n">
        <v>0</v>
      </c>
      <c r="FO117" s="8" t="n">
        <v>0</v>
      </c>
      <c r="FP117" s="8" t="n">
        <v>0</v>
      </c>
      <c r="FQ117" s="9">
        <f>FL117+FM117+FN117+FO117+FP117</f>
        <v/>
      </c>
      <c r="FR117" s="8" t="n">
        <v>248329.99</v>
      </c>
      <c r="FS117" s="8" t="n">
        <v>0</v>
      </c>
      <c r="FT117" s="8" t="n">
        <v>0</v>
      </c>
      <c r="FU117" s="8" t="n">
        <v>0</v>
      </c>
      <c r="FV117" s="9">
        <f>FR117+FS117+FT117+FU117</f>
        <v/>
      </c>
      <c r="FW117" s="8" t="n">
        <v>3814438</v>
      </c>
      <c r="FX117" s="8" t="n">
        <v>3814438</v>
      </c>
      <c r="FY117" s="8" t="n">
        <v>7670300</v>
      </c>
      <c r="FZ117" s="8" t="n">
        <v>55019000</v>
      </c>
      <c r="GA117" s="9">
        <f>FW117+FX117+FY117+FZ117</f>
        <v/>
      </c>
      <c r="GB117" s="9">
        <f>FV117+GA117</f>
        <v/>
      </c>
      <c r="GC117" s="8" t="n">
        <v>1126927.84</v>
      </c>
      <c r="GD117" s="8" t="n">
        <v>1126927.84</v>
      </c>
      <c r="GE117" s="8" t="n">
        <v>206850.79</v>
      </c>
      <c r="GF117" s="8" t="n">
        <v>0</v>
      </c>
      <c r="GG117" s="9">
        <f>GC117+GD117+GE117+GF117</f>
        <v/>
      </c>
      <c r="GH117" s="8" t="n">
        <v>1333778.63</v>
      </c>
      <c r="GI117" s="8" t="n">
        <v>0</v>
      </c>
      <c r="GJ117" s="8" t="n">
        <v>0</v>
      </c>
      <c r="GK117" s="8" t="n">
        <v>0</v>
      </c>
      <c r="GL117" s="9">
        <f>GH117+GI117+GJ117+GK117</f>
        <v/>
      </c>
      <c r="GM117" s="9">
        <f>GG117+GL117</f>
        <v/>
      </c>
      <c r="GN117" s="8" t="n">
        <v>32695.8</v>
      </c>
      <c r="GO117" s="8" t="n">
        <v>32695.8</v>
      </c>
      <c r="GP117" s="8" t="n">
        <v>6787.28</v>
      </c>
      <c r="GQ117" s="8" t="n">
        <v>0</v>
      </c>
      <c r="GR117" s="9">
        <f>GN117+GO117+GP117+GQ117</f>
        <v/>
      </c>
      <c r="GS117" s="8" t="n">
        <v>53580</v>
      </c>
      <c r="GT117" s="8" t="n">
        <v>53580</v>
      </c>
      <c r="GU117" s="8" t="n">
        <v>1786</v>
      </c>
      <c r="GV117" s="8" t="n">
        <v>0</v>
      </c>
      <c r="GW117" s="9">
        <f>GS117+GT117+GU117+GV117</f>
        <v/>
      </c>
      <c r="GX117" s="9">
        <f>GM117+GR117+GW117</f>
        <v/>
      </c>
      <c r="GY117" s="8" t="n">
        <v>12981353.92</v>
      </c>
      <c r="GZ117" s="8" t="n">
        <v>-21498738.83</v>
      </c>
      <c r="HA117" s="9">
        <f>GY117+GZ117</f>
        <v/>
      </c>
      <c r="HB117" s="9">
        <f>IF(GX117=0,"",AU117/GX117)</f>
        <v/>
      </c>
      <c r="HC117" s="10">
        <f>IF((GX117+GY117)=0,"",GB117/(GX117+GY117))</f>
        <v/>
      </c>
      <c r="HD117" s="9">
        <f>IF(GX117=0,"",GB117/GX117)</f>
        <v/>
      </c>
      <c r="HE117" s="8" t="n">
        <v>8</v>
      </c>
      <c r="HF117" s="8" t="n">
        <v>1</v>
      </c>
      <c r="HG117" s="8" t="n">
        <v>2</v>
      </c>
      <c r="HH117" s="8" t="n">
        <v>8</v>
      </c>
      <c r="HI117" s="8" t="n">
        <v>7</v>
      </c>
      <c r="HJ117" s="9">
        <f>HF117+HI117</f>
        <v/>
      </c>
      <c r="HK117" s="10">
        <f>IF(HE117=0,"",HH117/HE117)</f>
        <v/>
      </c>
      <c r="HL117" s="8" t="n">
        <v>4</v>
      </c>
      <c r="HM117" s="8" t="n">
        <v>1</v>
      </c>
      <c r="HN117" s="11">
        <f>IF(HL117=0,"",HM117/HL117)</f>
        <v/>
      </c>
    </row>
    <row r="118">
      <c r="A118" s="12" t="inlineStr">
        <is>
          <t>Mulanje</t>
        </is>
      </c>
      <c r="B118" s="12" t="inlineStr">
        <is>
          <t>MUST</t>
        </is>
      </c>
      <c r="C118" s="13" t="inlineStr">
        <is>
          <t>FY2025/26</t>
        </is>
      </c>
      <c r="D118" s="13" t="n">
        <v>2025</v>
      </c>
      <c r="E118" s="13" t="n">
        <v>11</v>
      </c>
      <c r="F118" s="13" t="inlineStr">
        <is>
          <t>November</t>
        </is>
      </c>
      <c r="G118" s="13" t="inlineStr">
        <is>
          <t>Q3</t>
        </is>
      </c>
      <c r="H118" s="14" t="n">
        <v>10281</v>
      </c>
      <c r="I118" s="14" t="n">
        <v>780</v>
      </c>
      <c r="J118" s="14" t="n">
        <v>0</v>
      </c>
      <c r="K118" s="14" t="n">
        <v>45</v>
      </c>
      <c r="L118" s="14" t="n">
        <v>0</v>
      </c>
      <c r="M118" s="15">
        <f>SUM(I118,J118,K118,L118)</f>
        <v/>
      </c>
      <c r="N118" s="14" t="n">
        <v>1511</v>
      </c>
      <c r="O118" s="14" t="n">
        <v>0</v>
      </c>
      <c r="P118" s="14" t="n">
        <v>4270</v>
      </c>
      <c r="Q118" s="14" t="n">
        <v>752</v>
      </c>
      <c r="R118" s="15">
        <f>SUM(N118,O118,P118,Q118)</f>
        <v/>
      </c>
      <c r="S118" s="15">
        <f>M118+R118</f>
        <v/>
      </c>
      <c r="T118" s="14" t="n">
        <v>2923</v>
      </c>
      <c r="U118" s="16">
        <f>IF(H118=0,"",T118/H118)</f>
        <v/>
      </c>
      <c r="V118" s="14" t="n">
        <v>18</v>
      </c>
      <c r="W118" s="17">
        <f>IF(H118=0,"",V118/H118)</f>
        <v/>
      </c>
      <c r="X118" s="14" t="n">
        <v>0</v>
      </c>
      <c r="Y118" s="17">
        <f>IF(H118=0,"",X118/H118)</f>
        <v/>
      </c>
      <c r="Z118" s="14" t="n">
        <v>0</v>
      </c>
      <c r="AA118" s="17">
        <f>IF(H118=0,"",Z118/H118)</f>
        <v/>
      </c>
      <c r="AB118" s="14" t="n">
        <v>0</v>
      </c>
      <c r="AC118" s="17">
        <f>IF(H118=0,"",AB118/H118)</f>
        <v/>
      </c>
      <c r="AD118" s="14" t="n">
        <v>0</v>
      </c>
      <c r="AE118" s="17">
        <f>IF(H118=0,"",AD118/H118)</f>
        <v/>
      </c>
      <c r="AF118" s="14" t="n">
        <v>0</v>
      </c>
      <c r="AG118" s="17">
        <f>IF(H118=0,"",AF118/H118)</f>
        <v/>
      </c>
      <c r="AH118" s="14" t="n">
        <v>92010.06</v>
      </c>
      <c r="AI118" s="15">
        <f>IF(H118=0,"",AH118/H118)</f>
        <v/>
      </c>
      <c r="AJ118" s="14" t="n">
        <v>12000</v>
      </c>
      <c r="AK118" s="17">
        <f>IF(H118=0,"",AJ118/H118)</f>
        <v/>
      </c>
      <c r="AL118" s="14" t="n">
        <v>1681444.5</v>
      </c>
      <c r="AM118" s="15">
        <f>IF(H118=0,"",AL118/H118)</f>
        <v/>
      </c>
      <c r="AN118" s="14" t="n">
        <v>0</v>
      </c>
      <c r="AO118" s="14" t="n">
        <v>0</v>
      </c>
      <c r="AP118" s="14" t="n">
        <v>0</v>
      </c>
      <c r="AQ118" s="14" t="n">
        <v>0</v>
      </c>
      <c r="AR118" s="14" t="n">
        <v>9187721.4</v>
      </c>
      <c r="AS118" s="14" t="n">
        <v>0</v>
      </c>
      <c r="AT118" s="14" t="n">
        <v>0</v>
      </c>
      <c r="AU118" s="15">
        <f>AH118+AL118+AP118+AQ118+AR118+AS118+AT118</f>
        <v/>
      </c>
      <c r="AV118" s="15">
        <f>IF(H118=0,"",AU118/H118)</f>
        <v/>
      </c>
      <c r="AW118" s="15">
        <f>IF(S118=0,"",AU118/S118)</f>
        <v/>
      </c>
      <c r="AX118" s="14" t="n">
        <v>4</v>
      </c>
      <c r="AY118" s="15">
        <f>IF(H118=0,"",AX118/(H118/1000/12))</f>
        <v/>
      </c>
      <c r="AZ118" s="14" t="n">
        <v>9</v>
      </c>
      <c r="BA118" s="14" t="n">
        <v>2</v>
      </c>
      <c r="BB118" s="14" t="n">
        <v>0</v>
      </c>
      <c r="BC118" s="14" t="n">
        <v>0</v>
      </c>
      <c r="BD118" s="14" t="n">
        <v>0</v>
      </c>
      <c r="BE118" s="15">
        <f>BC118+BD118</f>
        <v/>
      </c>
      <c r="BF118" s="15">
        <f>BA118+BB118-BE118</f>
        <v/>
      </c>
      <c r="BG118" s="14" t="n">
        <v>0</v>
      </c>
      <c r="BH118" s="14" t="n">
        <v>0</v>
      </c>
      <c r="BI118" s="14" t="n">
        <v>0</v>
      </c>
      <c r="BJ118" s="14" t="n">
        <v>0</v>
      </c>
      <c r="BK118" s="15">
        <f>BI118+BJ118</f>
        <v/>
      </c>
      <c r="BL118" s="15">
        <f>BG118+BH118-BK118</f>
        <v/>
      </c>
      <c r="BM118" s="14" t="n">
        <v>0</v>
      </c>
      <c r="BN118" s="14" t="n">
        <v>0</v>
      </c>
      <c r="BO118" s="14" t="n">
        <v>0</v>
      </c>
      <c r="BP118" s="14" t="n">
        <v>0</v>
      </c>
      <c r="BQ118" s="15">
        <f>BO118+BP118</f>
        <v/>
      </c>
      <c r="BR118" s="15">
        <f>BM118+BN118-BQ118</f>
        <v/>
      </c>
      <c r="BS118" s="14" t="n">
        <v>0</v>
      </c>
      <c r="BT118" s="14" t="n">
        <v>0</v>
      </c>
      <c r="BU118" s="14" t="n">
        <v>0</v>
      </c>
      <c r="BV118" s="14" t="n">
        <v>0</v>
      </c>
      <c r="BW118" s="15">
        <f>BU118+BV118</f>
        <v/>
      </c>
      <c r="BX118" s="15">
        <f>BS118+BT118-BW118</f>
        <v/>
      </c>
      <c r="BY118" s="15">
        <f>BA118+BG118+BM118+BS118</f>
        <v/>
      </c>
      <c r="BZ118" s="15">
        <f>BB118+BH118+BN118+BT118</f>
        <v/>
      </c>
      <c r="CA118" s="15">
        <f>BE118+BK118+BQ118+BW118</f>
        <v/>
      </c>
      <c r="CB118" s="15">
        <f>BF118+BL118+BR118+BX118</f>
        <v/>
      </c>
      <c r="CC118" s="14" t="n">
        <v>0</v>
      </c>
      <c r="CD118" s="14" t="n">
        <v>3</v>
      </c>
      <c r="CE118" s="14" t="n">
        <v>0</v>
      </c>
      <c r="CF118" s="14" t="n">
        <v>0</v>
      </c>
      <c r="CG118" s="14" t="n">
        <v>0</v>
      </c>
      <c r="CH118" s="15">
        <f>CD118+CE118+CF118+CG118</f>
        <v/>
      </c>
      <c r="CI118" s="14" t="n">
        <v>60</v>
      </c>
      <c r="CJ118" s="14" t="n">
        <v>2</v>
      </c>
      <c r="CK118" s="14" t="n">
        <v>0</v>
      </c>
      <c r="CL118" s="14" t="n">
        <v>0</v>
      </c>
      <c r="CM118" s="15">
        <f>CI118+CJ118+CK118+CL118</f>
        <v/>
      </c>
      <c r="CN118" s="14" t="n">
        <v>212</v>
      </c>
      <c r="CO118" s="14" t="n">
        <v>9</v>
      </c>
      <c r="CP118" s="14" t="n">
        <v>10</v>
      </c>
      <c r="CQ118" s="14" t="n">
        <v>0</v>
      </c>
      <c r="CR118" s="15">
        <f>CN118+CO118+CP118+CQ118</f>
        <v/>
      </c>
      <c r="CS118" s="15">
        <f>CM118+CR118</f>
        <v/>
      </c>
      <c r="CT118" s="14" t="n">
        <v>296</v>
      </c>
      <c r="CU118" s="14" t="n">
        <v>4359</v>
      </c>
      <c r="CV118" s="14" t="n">
        <v>4105</v>
      </c>
      <c r="CW118" s="16">
        <f>IF(CU118=0,"",CV118/CU118)</f>
        <v/>
      </c>
      <c r="CX118" s="14" t="n"/>
      <c r="CY118" s="14" t="n"/>
      <c r="CZ118" s="14" t="n"/>
      <c r="DA118" s="14" t="n"/>
      <c r="DB118" s="15">
        <f>CX118+CY118-CZ118-DA118</f>
        <v/>
      </c>
      <c r="DC118" s="14" t="n">
        <v>0</v>
      </c>
      <c r="DD118" s="14" t="n">
        <v>0</v>
      </c>
      <c r="DE118" s="14" t="n">
        <v>0</v>
      </c>
      <c r="DF118" s="14" t="n">
        <v>0</v>
      </c>
      <c r="DG118" s="15">
        <f>DC118+DD118-DE118-DF118</f>
        <v/>
      </c>
      <c r="DH118" s="14" t="n">
        <v>0</v>
      </c>
      <c r="DI118" s="14" t="n">
        <v>0</v>
      </c>
      <c r="DJ118" s="14" t="n">
        <v>0</v>
      </c>
      <c r="DK118" s="14" t="n">
        <v>0</v>
      </c>
      <c r="DL118" s="15">
        <f>DH118+DI118-DJ118-DK118</f>
        <v/>
      </c>
      <c r="DM118" s="14" t="n">
        <v>0</v>
      </c>
      <c r="DN118" s="14" t="n">
        <v>0</v>
      </c>
      <c r="DO118" s="14" t="n">
        <v>0</v>
      </c>
      <c r="DP118" s="14" t="n">
        <v>0</v>
      </c>
      <c r="DQ118" s="15">
        <f>DM118+DN118-DO118-DP118</f>
        <v/>
      </c>
      <c r="DR118" s="15">
        <f>CX118+DC118+DH118+DM118</f>
        <v/>
      </c>
      <c r="DS118" s="15">
        <f>CY118+DD118+DI118+DN118</f>
        <v/>
      </c>
      <c r="DT118" s="15">
        <f>CZ118+DE118+DJ118+DO118</f>
        <v/>
      </c>
      <c r="DU118" s="15">
        <f>DA118+DF118+DK118+DP118</f>
        <v/>
      </c>
      <c r="DV118" s="15">
        <f>DB118+DG118+DL118+DQ118</f>
        <v/>
      </c>
      <c r="DW118" s="14" t="n">
        <v>4</v>
      </c>
      <c r="DX118" s="14" t="n">
        <v>1</v>
      </c>
      <c r="DY118" s="14" t="n">
        <v>2</v>
      </c>
      <c r="DZ118" s="14" t="n">
        <v>2</v>
      </c>
      <c r="EA118" s="14" t="n">
        <v>0</v>
      </c>
      <c r="EB118" s="14" t="n">
        <v>0</v>
      </c>
      <c r="EC118" s="14" t="n">
        <v>0</v>
      </c>
      <c r="ED118" s="14" t="n">
        <v>1</v>
      </c>
      <c r="EE118" s="14" t="n">
        <v>1</v>
      </c>
      <c r="EF118" s="14" t="n">
        <v>1</v>
      </c>
      <c r="EG118" s="14" t="n">
        <v>0</v>
      </c>
      <c r="EH118" s="14" t="n">
        <v>0</v>
      </c>
      <c r="EI118" s="14" t="n">
        <v>0</v>
      </c>
      <c r="EJ118" s="14" t="n">
        <v>0</v>
      </c>
      <c r="EK118" s="14" t="n">
        <v>0</v>
      </c>
      <c r="EL118" s="14" t="n">
        <v>0</v>
      </c>
      <c r="EM118" s="14" t="n">
        <v>0</v>
      </c>
      <c r="EN118" s="14" t="n">
        <v>0</v>
      </c>
      <c r="EO118" s="14" t="n">
        <v>0</v>
      </c>
      <c r="EP118" s="14" t="n">
        <v>0</v>
      </c>
      <c r="EQ118" s="14" t="n">
        <v>0</v>
      </c>
      <c r="ER118" s="14" t="n">
        <v>0</v>
      </c>
      <c r="ES118" s="14" t="n">
        <v>0</v>
      </c>
      <c r="ET118" s="14" t="n">
        <v>0</v>
      </c>
      <c r="EU118" s="14" t="n">
        <v>0</v>
      </c>
      <c r="EV118" s="14" t="n">
        <v>0</v>
      </c>
      <c r="EW118" s="14" t="n">
        <v>0</v>
      </c>
      <c r="EX118" s="14" t="n">
        <v>0</v>
      </c>
      <c r="EY118" s="14" t="n">
        <v>0</v>
      </c>
      <c r="EZ118" s="14" t="n">
        <v>0</v>
      </c>
      <c r="FA118" s="14" t="n">
        <v>0</v>
      </c>
      <c r="FB118" s="14" t="n">
        <v>0</v>
      </c>
      <c r="FC118" s="14" t="n">
        <v>0</v>
      </c>
      <c r="FD118" s="14" t="n">
        <v>0</v>
      </c>
      <c r="FE118" s="14" t="n">
        <v>0</v>
      </c>
      <c r="FF118" s="14" t="n">
        <v>0</v>
      </c>
      <c r="FG118" s="15">
        <f>SUM(DW118,DX118,DY118,DZ118,EA118,EB118,EC118,ED118,EE118,EF118,EG118,EH118,EI118,EJ118,EK118,EL118,EM118,EN118,EO118,EP118,EQ118,ER118,ES118,ET118,EU118,EV118,EW118,EX118,EY118,EZ118,FA118,FB118,FC118,FD118,FE118,FF118)</f>
        <v/>
      </c>
      <c r="FH118" s="14" t="n">
        <v>0</v>
      </c>
      <c r="FI118" s="14" t="n">
        <v>0</v>
      </c>
      <c r="FJ118" s="14" t="n">
        <v>24</v>
      </c>
      <c r="FK118" s="14" t="n">
        <v>18</v>
      </c>
      <c r="FL118" s="14" t="n">
        <v>18</v>
      </c>
      <c r="FM118" s="14" t="n">
        <v>0</v>
      </c>
      <c r="FN118" s="14" t="n">
        <v>0</v>
      </c>
      <c r="FO118" s="14" t="n">
        <v>0</v>
      </c>
      <c r="FP118" s="14" t="n">
        <v>0</v>
      </c>
      <c r="FQ118" s="15">
        <f>FL118+FM118+FN118+FO118+FP118</f>
        <v/>
      </c>
      <c r="FR118" s="14" t="n">
        <v>309449</v>
      </c>
      <c r="FS118" s="14" t="n">
        <v>0</v>
      </c>
      <c r="FT118" s="14" t="n">
        <v>0</v>
      </c>
      <c r="FU118" s="14" t="n">
        <v>0</v>
      </c>
      <c r="FV118" s="15">
        <f>FR118+FS118+FT118+FU118</f>
        <v/>
      </c>
      <c r="FW118" s="14" t="n">
        <v>2171150</v>
      </c>
      <c r="FX118" s="14" t="n">
        <v>2171150</v>
      </c>
      <c r="FY118" s="14" t="n">
        <v>3553500</v>
      </c>
      <c r="FZ118" s="14" t="n">
        <v>820000</v>
      </c>
      <c r="GA118" s="15">
        <f>FW118+FX118+FY118+FZ118</f>
        <v/>
      </c>
      <c r="GB118" s="15">
        <f>FV118+GA118</f>
        <v/>
      </c>
      <c r="GC118" s="14" t="n">
        <v>706265.0600000001</v>
      </c>
      <c r="GD118" s="14" t="n">
        <v>706265.0600000001</v>
      </c>
      <c r="GE118" s="14" t="n">
        <v>706265.0600000001</v>
      </c>
      <c r="GF118" s="14" t="n">
        <v>130742.45</v>
      </c>
      <c r="GG118" s="15">
        <f>GC118+GD118+GE118+GF118</f>
        <v/>
      </c>
      <c r="GH118" s="14" t="n">
        <v>1543272.57</v>
      </c>
      <c r="GI118" s="14" t="n">
        <v>0</v>
      </c>
      <c r="GJ118" s="14" t="n">
        <v>0</v>
      </c>
      <c r="GK118" s="14" t="n">
        <v>0</v>
      </c>
      <c r="GL118" s="15">
        <f>GH118+GI118+GJ118+GK118</f>
        <v/>
      </c>
      <c r="GM118" s="15">
        <f>GG118+GL118</f>
        <v/>
      </c>
      <c r="GN118" s="14" t="n">
        <v>32695.8</v>
      </c>
      <c r="GO118" s="14" t="n">
        <v>32695.8</v>
      </c>
      <c r="GP118" s="14" t="n">
        <v>6787.28</v>
      </c>
      <c r="GQ118" s="14" t="n">
        <v>0</v>
      </c>
      <c r="GR118" s="15">
        <f>GN118+GO118+GP118+GQ118</f>
        <v/>
      </c>
      <c r="GS118" s="14" t="n">
        <v>53580</v>
      </c>
      <c r="GT118" s="14" t="n">
        <v>53580</v>
      </c>
      <c r="GU118" s="14" t="n">
        <v>1786</v>
      </c>
      <c r="GV118" s="14" t="n">
        <v>0</v>
      </c>
      <c r="GW118" s="15">
        <f>GS118+GT118+GU118+GV118</f>
        <v/>
      </c>
      <c r="GX118" s="15">
        <f>GM118+GR118+GW118</f>
        <v/>
      </c>
      <c r="GY118" s="14" t="n">
        <v>12981353.92</v>
      </c>
      <c r="GZ118" s="14" t="n">
        <v>-21498738.83</v>
      </c>
      <c r="HA118" s="15">
        <f>GY118+GZ118</f>
        <v/>
      </c>
      <c r="HB118" s="15">
        <f>IF(GX118=0,"",AU118/GX118)</f>
        <v/>
      </c>
      <c r="HC118" s="16">
        <f>IF((GX118+GY118)=0,"",GB118/(GX118+GY118))</f>
        <v/>
      </c>
      <c r="HD118" s="15">
        <f>IF(GX118=0,"",GB118/GX118)</f>
        <v/>
      </c>
      <c r="HE118" s="14" t="n">
        <v>0</v>
      </c>
      <c r="HF118" s="14" t="n">
        <v>0</v>
      </c>
      <c r="HG118" s="14" t="n">
        <v>2</v>
      </c>
      <c r="HH118" s="14" t="n">
        <v>0</v>
      </c>
      <c r="HI118" s="14" t="n">
        <v>0</v>
      </c>
      <c r="HJ118" s="15">
        <f>HF118+HI118</f>
        <v/>
      </c>
      <c r="HK118" s="16">
        <f>IF(HE118=0,"",HH118/HE118)</f>
        <v/>
      </c>
      <c r="HL118" s="14" t="n">
        <v>2</v>
      </c>
      <c r="HM118" s="14" t="n">
        <v>1</v>
      </c>
      <c r="HN118" s="17">
        <f>IF(HL118=0,"",HM118/HL118)</f>
        <v/>
      </c>
    </row>
    <row r="119">
      <c r="A119" s="6" t="inlineStr">
        <is>
          <t>Mulanje</t>
        </is>
      </c>
      <c r="B119" s="6" t="inlineStr">
        <is>
          <t>MUST</t>
        </is>
      </c>
      <c r="C119" s="7" t="inlineStr">
        <is>
          <t>FY2025/26</t>
        </is>
      </c>
      <c r="D119" s="7" t="n">
        <v>2025</v>
      </c>
      <c r="E119" s="7" t="n">
        <v>12</v>
      </c>
      <c r="F119" s="7" t="inlineStr">
        <is>
          <t>December</t>
        </is>
      </c>
      <c r="G119" s="7" t="inlineStr">
        <is>
          <t>Q3</t>
        </is>
      </c>
      <c r="H119" s="8" t="n">
        <v>12112</v>
      </c>
      <c r="I119" s="8" t="n">
        <v>527</v>
      </c>
      <c r="J119" s="8" t="n">
        <v>0</v>
      </c>
      <c r="K119" s="8" t="n">
        <v>27</v>
      </c>
      <c r="L119" s="8" t="n">
        <v>0</v>
      </c>
      <c r="M119" s="9">
        <f>SUM(I119,J119,K119,L119)</f>
        <v/>
      </c>
      <c r="N119" s="8" t="n">
        <v>1371</v>
      </c>
      <c r="O119" s="8" t="n">
        <v>0</v>
      </c>
      <c r="P119" s="8" t="n">
        <v>6258</v>
      </c>
      <c r="Q119" s="8" t="n">
        <v>781</v>
      </c>
      <c r="R119" s="9">
        <f>SUM(N119,O119,P119,Q119)</f>
        <v/>
      </c>
      <c r="S119" s="9">
        <f>M119+R119</f>
        <v/>
      </c>
      <c r="T119" s="8" t="n">
        <v>3148</v>
      </c>
      <c r="U119" s="10">
        <f>IF(H119=0,"",T119/H119)</f>
        <v/>
      </c>
      <c r="V119" s="8" t="n">
        <v>19</v>
      </c>
      <c r="W119" s="11">
        <f>IF(H119=0,"",V119/H119)</f>
        <v/>
      </c>
      <c r="X119" s="8" t="n">
        <v>0</v>
      </c>
      <c r="Y119" s="11">
        <f>IF(H119=0,"",X119/H119)</f>
        <v/>
      </c>
      <c r="Z119" s="8" t="n">
        <v>0</v>
      </c>
      <c r="AA119" s="11">
        <f>IF(H119=0,"",Z119/H119)</f>
        <v/>
      </c>
      <c r="AB119" s="8" t="n">
        <v>0</v>
      </c>
      <c r="AC119" s="11">
        <f>IF(H119=0,"",AB119/H119)</f>
        <v/>
      </c>
      <c r="AD119" s="8" t="n">
        <v>0</v>
      </c>
      <c r="AE119" s="11">
        <f>IF(H119=0,"",AD119/H119)</f>
        <v/>
      </c>
      <c r="AF119" s="8" t="n">
        <v>0</v>
      </c>
      <c r="AG119" s="11">
        <f>IF(H119=0,"",AF119/H119)</f>
        <v/>
      </c>
      <c r="AH119" s="8" t="n">
        <v>97121.73</v>
      </c>
      <c r="AI119" s="9">
        <f>IF(H119=0,"",AH119/H119)</f>
        <v/>
      </c>
      <c r="AJ119" s="8" t="n">
        <v>5789</v>
      </c>
      <c r="AK119" s="11">
        <f>IF(H119=0,"",AJ119/H119)</f>
        <v/>
      </c>
      <c r="AL119" s="8" t="n">
        <v>819658.9335</v>
      </c>
      <c r="AM119" s="9">
        <f>IF(H119=0,"",AL119/H119)</f>
        <v/>
      </c>
      <c r="AN119" s="8" t="n">
        <v>0</v>
      </c>
      <c r="AO119" s="8" t="n">
        <v>0</v>
      </c>
      <c r="AP119" s="8" t="n">
        <v>0</v>
      </c>
      <c r="AQ119" s="8" t="n">
        <v>0</v>
      </c>
      <c r="AR119" s="8" t="n">
        <v>11313674.56</v>
      </c>
      <c r="AS119" s="8" t="n">
        <v>0</v>
      </c>
      <c r="AT119" s="8" t="n">
        <v>0</v>
      </c>
      <c r="AU119" s="9">
        <f>AH119+AL119+AP119+AQ119+AR119+AS119+AT119</f>
        <v/>
      </c>
      <c r="AV119" s="9">
        <f>IF(H119=0,"",AU119/H119)</f>
        <v/>
      </c>
      <c r="AW119" s="9">
        <f>IF(S119=0,"",AU119/S119)</f>
        <v/>
      </c>
      <c r="AX119" s="8" t="n">
        <v>4</v>
      </c>
      <c r="AY119" s="9">
        <f>IF(H119=0,"",AX119/(H119/1000/12))</f>
        <v/>
      </c>
      <c r="AZ119" s="8" t="n">
        <v>8</v>
      </c>
      <c r="BA119" s="8" t="n">
        <v>2</v>
      </c>
      <c r="BB119" s="8" t="n">
        <v>0</v>
      </c>
      <c r="BC119" s="8" t="n">
        <v>0</v>
      </c>
      <c r="BD119" s="8" t="n">
        <v>0</v>
      </c>
      <c r="BE119" s="9">
        <f>BC119+BD119</f>
        <v/>
      </c>
      <c r="BF119" s="9">
        <f>BA119+BB119-BE119</f>
        <v/>
      </c>
      <c r="BG119" s="8" t="n">
        <v>0</v>
      </c>
      <c r="BH119" s="8" t="n">
        <v>0</v>
      </c>
      <c r="BI119" s="8" t="n">
        <v>0</v>
      </c>
      <c r="BJ119" s="8" t="n">
        <v>0</v>
      </c>
      <c r="BK119" s="9">
        <f>BI119+BJ119</f>
        <v/>
      </c>
      <c r="BL119" s="9">
        <f>BG119+BH119-BK119</f>
        <v/>
      </c>
      <c r="BM119" s="8" t="n">
        <v>0</v>
      </c>
      <c r="BN119" s="8" t="n">
        <v>0</v>
      </c>
      <c r="BO119" s="8" t="n">
        <v>0</v>
      </c>
      <c r="BP119" s="8" t="n">
        <v>0</v>
      </c>
      <c r="BQ119" s="9">
        <f>BO119+BP119</f>
        <v/>
      </c>
      <c r="BR119" s="9">
        <f>BM119+BN119-BQ119</f>
        <v/>
      </c>
      <c r="BS119" s="8" t="n">
        <v>0</v>
      </c>
      <c r="BT119" s="8" t="n">
        <v>0</v>
      </c>
      <c r="BU119" s="8" t="n">
        <v>0</v>
      </c>
      <c r="BV119" s="8" t="n">
        <v>0</v>
      </c>
      <c r="BW119" s="9">
        <f>BU119+BV119</f>
        <v/>
      </c>
      <c r="BX119" s="9">
        <f>BS119+BT119-BW119</f>
        <v/>
      </c>
      <c r="BY119" s="9">
        <f>BA119+BG119+BM119+BS119</f>
        <v/>
      </c>
      <c r="BZ119" s="9">
        <f>BB119+BH119+BN119+BT119</f>
        <v/>
      </c>
      <c r="CA119" s="9">
        <f>BE119+BK119+BQ119+BW119</f>
        <v/>
      </c>
      <c r="CB119" s="9">
        <f>BF119+BL119+BR119+BX119</f>
        <v/>
      </c>
      <c r="CC119" s="8" t="n">
        <v>0</v>
      </c>
      <c r="CD119" s="8" t="n">
        <v>12</v>
      </c>
      <c r="CE119" s="8" t="n">
        <v>1</v>
      </c>
      <c r="CF119" s="8" t="n">
        <v>11</v>
      </c>
      <c r="CG119" s="8" t="n">
        <v>0</v>
      </c>
      <c r="CH119" s="9">
        <f>CD119+CE119+CF119+CG119</f>
        <v/>
      </c>
      <c r="CI119" s="8" t="n">
        <v>65</v>
      </c>
      <c r="CJ119" s="8" t="n">
        <v>2</v>
      </c>
      <c r="CK119" s="8" t="n">
        <v>0</v>
      </c>
      <c r="CL119" s="8" t="n">
        <v>0</v>
      </c>
      <c r="CM119" s="9">
        <f>CI119+CJ119+CK119+CL119</f>
        <v/>
      </c>
      <c r="CN119" s="8" t="n">
        <v>212</v>
      </c>
      <c r="CO119" s="8" t="n">
        <v>9</v>
      </c>
      <c r="CP119" s="8" t="n">
        <v>10</v>
      </c>
      <c r="CQ119" s="8" t="n">
        <v>0</v>
      </c>
      <c r="CR119" s="9">
        <f>CN119+CO119+CP119+CQ119</f>
        <v/>
      </c>
      <c r="CS119" s="9">
        <f>CM119+CR119</f>
        <v/>
      </c>
      <c r="CT119" s="8" t="n">
        <v>322</v>
      </c>
      <c r="CU119" s="8" t="n">
        <v>4359</v>
      </c>
      <c r="CV119" s="8" t="n">
        <v>4105</v>
      </c>
      <c r="CW119" s="10">
        <f>IF(CU119=0,"",CV119/CU119)</f>
        <v/>
      </c>
      <c r="CX119" s="8" t="n">
        <v>0</v>
      </c>
      <c r="CY119" s="8" t="n">
        <v>0</v>
      </c>
      <c r="CZ119" s="8" t="n">
        <v>0</v>
      </c>
      <c r="DA119" s="8" t="n">
        <v>0</v>
      </c>
      <c r="DB119" s="9">
        <f>CX119+CY119-CZ119-DA119</f>
        <v/>
      </c>
      <c r="DC119" s="8" t="n">
        <v>0</v>
      </c>
      <c r="DD119" s="8" t="n">
        <v>0</v>
      </c>
      <c r="DE119" s="8" t="n">
        <v>0</v>
      </c>
      <c r="DF119" s="8" t="n">
        <v>0</v>
      </c>
      <c r="DG119" s="9">
        <f>DC119+DD119-DE119-DF119</f>
        <v/>
      </c>
      <c r="DH119" s="8" t="n">
        <v>0</v>
      </c>
      <c r="DI119" s="8" t="n">
        <v>0</v>
      </c>
      <c r="DJ119" s="8" t="n">
        <v>0</v>
      </c>
      <c r="DK119" s="8" t="n">
        <v>0</v>
      </c>
      <c r="DL119" s="9">
        <f>DH119+DI119-DJ119-DK119</f>
        <v/>
      </c>
      <c r="DM119" s="8" t="n">
        <v>0</v>
      </c>
      <c r="DN119" s="8" t="n">
        <v>0</v>
      </c>
      <c r="DO119" s="8" t="n">
        <v>0</v>
      </c>
      <c r="DP119" s="8" t="n">
        <v>0</v>
      </c>
      <c r="DQ119" s="9">
        <f>DM119+DN119-DO119-DP119</f>
        <v/>
      </c>
      <c r="DR119" s="9">
        <f>CX119+DC119+DH119+DM119</f>
        <v/>
      </c>
      <c r="DS119" s="9">
        <f>CY119+DD119+DI119+DN119</f>
        <v/>
      </c>
      <c r="DT119" s="9">
        <f>CZ119+DE119+DJ119+DO119</f>
        <v/>
      </c>
      <c r="DU119" s="9">
        <f>DA119+DF119+DK119+DP119</f>
        <v/>
      </c>
      <c r="DV119" s="9">
        <f>DB119+DG119+DL119+DQ119</f>
        <v/>
      </c>
      <c r="DW119" s="8" t="n">
        <v>4</v>
      </c>
      <c r="DX119" s="8" t="n">
        <v>2</v>
      </c>
      <c r="DY119" s="8" t="n">
        <v>4</v>
      </c>
      <c r="DZ119" s="8" t="n">
        <v>4</v>
      </c>
      <c r="EA119" s="8" t="n">
        <v>0</v>
      </c>
      <c r="EB119" s="8" t="n">
        <v>0</v>
      </c>
      <c r="EC119" s="8" t="n">
        <v>0</v>
      </c>
      <c r="ED119" s="8" t="n">
        <v>0</v>
      </c>
      <c r="EE119" s="8" t="n">
        <v>0</v>
      </c>
      <c r="EF119" s="8" t="n">
        <v>0</v>
      </c>
      <c r="EG119" s="8" t="n">
        <v>0</v>
      </c>
      <c r="EH119" s="8" t="n">
        <v>0</v>
      </c>
      <c r="EI119" s="8" t="n">
        <v>0</v>
      </c>
      <c r="EJ119" s="8" t="n">
        <v>0</v>
      </c>
      <c r="EK119" s="8" t="n">
        <v>0</v>
      </c>
      <c r="EL119" s="8" t="n">
        <v>0</v>
      </c>
      <c r="EM119" s="8" t="n">
        <v>0</v>
      </c>
      <c r="EN119" s="8" t="n">
        <v>0</v>
      </c>
      <c r="EO119" s="8" t="n">
        <v>0</v>
      </c>
      <c r="EP119" s="8" t="n">
        <v>0</v>
      </c>
      <c r="EQ119" s="8" t="n">
        <v>0</v>
      </c>
      <c r="ER119" s="8" t="n">
        <v>0</v>
      </c>
      <c r="ES119" s="8" t="n">
        <v>0</v>
      </c>
      <c r="ET119" s="8" t="n">
        <v>0</v>
      </c>
      <c r="EU119" s="8" t="n">
        <v>0</v>
      </c>
      <c r="EV119" s="8" t="n">
        <v>0</v>
      </c>
      <c r="EW119" s="8" t="n">
        <v>0</v>
      </c>
      <c r="EX119" s="8" t="n">
        <v>0</v>
      </c>
      <c r="EY119" s="8" t="n">
        <v>0</v>
      </c>
      <c r="EZ119" s="8" t="n">
        <v>0</v>
      </c>
      <c r="FA119" s="8" t="n">
        <v>0</v>
      </c>
      <c r="FB119" s="8" t="n">
        <v>0</v>
      </c>
      <c r="FC119" s="8" t="n">
        <v>0</v>
      </c>
      <c r="FD119" s="8" t="n">
        <v>0</v>
      </c>
      <c r="FE119" s="8" t="n">
        <v>0</v>
      </c>
      <c r="FF119" s="8" t="n">
        <v>0</v>
      </c>
      <c r="FG119" s="9">
        <f>SUM(DW119,DX119,DY119,DZ119,EA119,EB119,EC119,ED119,EE119,EF119,EG119,EH119,EI119,EJ119,EK119,EL119,EM119,EN119,EO119,EP119,EQ119,ER119,ES119,ET119,EU119,EV119,EW119,EX119,EY119,EZ119,FA119,FB119,FC119,FD119,FE119,FF119)</f>
        <v/>
      </c>
      <c r="FH119" s="8" t="n">
        <v>8</v>
      </c>
      <c r="FI119" s="8" t="n">
        <v>11</v>
      </c>
      <c r="FJ119" s="8" t="n">
        <v>23</v>
      </c>
      <c r="FK119" s="8" t="n">
        <v>0</v>
      </c>
      <c r="FL119" s="8" t="n">
        <v>0</v>
      </c>
      <c r="FM119" s="8" t="n">
        <v>0</v>
      </c>
      <c r="FN119" s="8" t="n">
        <v>0</v>
      </c>
      <c r="FO119" s="8" t="n">
        <v>0</v>
      </c>
      <c r="FP119" s="8" t="n">
        <v>0</v>
      </c>
      <c r="FQ119" s="9">
        <f>FL119+FM119+FN119+FO119+FP119</f>
        <v/>
      </c>
      <c r="FR119" s="8" t="n">
        <v>816332.3</v>
      </c>
      <c r="FS119" s="8" t="n">
        <v>0</v>
      </c>
      <c r="FT119" s="8" t="n">
        <v>0</v>
      </c>
      <c r="FU119" s="8" t="n">
        <v>0</v>
      </c>
      <c r="FV119" s="9">
        <f>FR119+FS119+FT119+FU119</f>
        <v/>
      </c>
      <c r="FW119" s="8" t="n">
        <v>2100600</v>
      </c>
      <c r="FX119" s="8" t="n">
        <v>2100600</v>
      </c>
      <c r="FY119" s="8" t="n">
        <v>3691970</v>
      </c>
      <c r="FZ119" s="8" t="n">
        <v>40000000</v>
      </c>
      <c r="GA119" s="9">
        <f>FW119+FX119+FY119+FZ119</f>
        <v/>
      </c>
      <c r="GB119" s="9">
        <f>FV119+GA119</f>
        <v/>
      </c>
      <c r="GC119" s="8" t="n">
        <v>464535.64</v>
      </c>
      <c r="GD119" s="8" t="n">
        <v>464535.64</v>
      </c>
      <c r="GE119" s="8" t="n">
        <v>73120.02</v>
      </c>
      <c r="GF119" s="8" t="n">
        <v>73120.02</v>
      </c>
      <c r="GG119" s="9">
        <f>GC119+GD119+GE119+GF119</f>
        <v/>
      </c>
      <c r="GH119" s="8" t="n">
        <v>537655.66</v>
      </c>
      <c r="GI119" s="8" t="n">
        <v>0</v>
      </c>
      <c r="GJ119" s="8" t="n">
        <v>0</v>
      </c>
      <c r="GK119" s="8" t="n">
        <v>0</v>
      </c>
      <c r="GL119" s="9">
        <f>GH119+GI119+GJ119+GK119</f>
        <v/>
      </c>
      <c r="GM119" s="9">
        <f>GG119+GL119</f>
        <v/>
      </c>
      <c r="GN119" s="8" t="n">
        <v>32695.8</v>
      </c>
      <c r="GO119" s="8" t="n">
        <v>32695.8</v>
      </c>
      <c r="GP119" s="8" t="n">
        <v>6787.28</v>
      </c>
      <c r="GQ119" s="8" t="n">
        <v>6787.28</v>
      </c>
      <c r="GR119" s="9">
        <f>GN119+GO119+GP119+GQ119</f>
        <v/>
      </c>
      <c r="GS119" s="8" t="n">
        <v>58045</v>
      </c>
      <c r="GT119" s="8" t="n">
        <v>58045</v>
      </c>
      <c r="GU119" s="8" t="n">
        <v>1786</v>
      </c>
      <c r="GV119" s="8" t="n">
        <v>1786</v>
      </c>
      <c r="GW119" s="9">
        <f>GS119+GT119+GU119+GV119</f>
        <v/>
      </c>
      <c r="GX119" s="9">
        <f>GM119+GR119+GW119</f>
        <v/>
      </c>
      <c r="GY119" s="8" t="n">
        <v>12981353.92</v>
      </c>
      <c r="GZ119" s="8" t="n">
        <v>-21498738.83</v>
      </c>
      <c r="HA119" s="9">
        <f>GY119+GZ119</f>
        <v/>
      </c>
      <c r="HB119" s="9">
        <f>IF(GX119=0,"",AU119/GX119)</f>
        <v/>
      </c>
      <c r="HC119" s="10">
        <f>IF((GX119+GY119)=0,"",GB119/(GX119+GY119))</f>
        <v/>
      </c>
      <c r="HD119" s="9">
        <f>IF(GX119=0,"",GB119/GX119)</f>
        <v/>
      </c>
      <c r="HE119" s="8" t="n">
        <v>0</v>
      </c>
      <c r="HF119" s="8" t="n">
        <v>1</v>
      </c>
      <c r="HG119" s="8" t="n">
        <v>2</v>
      </c>
      <c r="HH119" s="8" t="n">
        <v>0</v>
      </c>
      <c r="HI119" s="8" t="n">
        <v>0</v>
      </c>
      <c r="HJ119" s="9">
        <f>HF119+HI119</f>
        <v/>
      </c>
      <c r="HK119" s="10">
        <f>IF(HE119=0,"",HH119/HE119)</f>
        <v/>
      </c>
      <c r="HL119" s="8" t="n">
        <v>3</v>
      </c>
      <c r="HM119" s="8" t="n">
        <v>1</v>
      </c>
      <c r="HN119" s="11">
        <f>IF(HL119=0,"",HM119/HL119)</f>
        <v/>
      </c>
    </row>
    <row r="120">
      <c r="A120" s="12" t="inlineStr">
        <is>
          <t>Mulanje</t>
        </is>
      </c>
      <c r="B120" s="12" t="inlineStr">
        <is>
          <t>MUST</t>
        </is>
      </c>
      <c r="C120" s="13" t="inlineStr">
        <is>
          <t>FY2025/26</t>
        </is>
      </c>
      <c r="D120" s="13" t="n">
        <v>2026</v>
      </c>
      <c r="E120" s="13" t="n">
        <v>1</v>
      </c>
      <c r="F120" s="13" t="inlineStr">
        <is>
          <t>January</t>
        </is>
      </c>
      <c r="G120" s="13" t="inlineStr">
        <is>
          <t>Q4</t>
        </is>
      </c>
      <c r="H120" s="14" t="n">
        <v>8503</v>
      </c>
      <c r="I120" s="14" t="n">
        <v>542</v>
      </c>
      <c r="J120" s="14" t="n">
        <v>0</v>
      </c>
      <c r="K120" s="14" t="n">
        <v>24</v>
      </c>
      <c r="L120" s="14" t="n">
        <v>0</v>
      </c>
      <c r="M120" s="15" t="n">
        <v>566</v>
      </c>
      <c r="N120" s="14" t="n">
        <v>1297</v>
      </c>
      <c r="O120" s="14" t="n">
        <v>0</v>
      </c>
      <c r="P120" s="14" t="n">
        <v>2980</v>
      </c>
      <c r="Q120" s="14" t="n">
        <v>1527</v>
      </c>
      <c r="R120" s="15" t="n">
        <v>5804</v>
      </c>
      <c r="S120" s="15" t="n">
        <v>6370</v>
      </c>
      <c r="T120" s="14" t="n">
        <v>2133</v>
      </c>
      <c r="U120" s="16" t="n">
        <v>0.2508526402446196</v>
      </c>
      <c r="V120" s="14" t="n">
        <v>17</v>
      </c>
      <c r="W120" s="17" t="n">
        <v>1.999294366694108</v>
      </c>
      <c r="X120" s="14" t="n">
        <v>0</v>
      </c>
      <c r="Y120" s="17" t="n">
        <v>0</v>
      </c>
      <c r="Z120" s="14" t="n">
        <v>0</v>
      </c>
      <c r="AA120" s="17" t="n">
        <v>0</v>
      </c>
      <c r="AB120" s="14" t="n">
        <v>0</v>
      </c>
      <c r="AC120" s="17" t="n">
        <v>0</v>
      </c>
      <c r="AD120" s="14" t="n">
        <v>0</v>
      </c>
      <c r="AE120" s="17" t="n">
        <v>0</v>
      </c>
      <c r="AF120" s="14" t="n">
        <v>0</v>
      </c>
      <c r="AG120" s="17" t="n">
        <v>0</v>
      </c>
      <c r="AH120" s="14" t="n">
        <v>86898.39</v>
      </c>
      <c r="AI120" s="15" t="n">
        <v>10.21973303539927</v>
      </c>
      <c r="AJ120" s="14" t="n">
        <v>5970</v>
      </c>
      <c r="AK120" s="17" t="n">
        <v>0.7021051393625779</v>
      </c>
      <c r="AL120" s="14" t="n">
        <v>844772.9550000001</v>
      </c>
      <c r="AM120" s="15" t="n">
        <v>99.34998882747267</v>
      </c>
      <c r="AN120" s="14" t="n">
        <v>0</v>
      </c>
      <c r="AO120" s="14" t="n">
        <v>0</v>
      </c>
      <c r="AP120" s="14" t="n">
        <v>0</v>
      </c>
      <c r="AQ120" s="14" t="n">
        <v>0</v>
      </c>
      <c r="AR120" s="14" t="n">
        <v>14150088.67</v>
      </c>
      <c r="AS120" s="14" t="n">
        <v>0</v>
      </c>
      <c r="AT120" s="14" t="n">
        <v>0</v>
      </c>
      <c r="AU120" s="15" t="n">
        <v>15081760.015</v>
      </c>
      <c r="AV120" s="15" t="n">
        <v>1773.698696342467</v>
      </c>
      <c r="AW120" s="15" t="n">
        <v>2367.623236263737</v>
      </c>
      <c r="AX120" s="14" t="n">
        <v>4</v>
      </c>
      <c r="AY120" s="15" t="n">
        <v>14.58308832176879</v>
      </c>
      <c r="AZ120" s="14" t="n">
        <v>8</v>
      </c>
      <c r="BA120" s="14" t="n">
        <v>2</v>
      </c>
      <c r="BB120" s="14" t="n">
        <v>9</v>
      </c>
      <c r="BC120" s="14" t="n">
        <v>0</v>
      </c>
      <c r="BD120" s="14" t="n">
        <v>0</v>
      </c>
      <c r="BE120" s="15" t="n">
        <v>0</v>
      </c>
      <c r="BF120" s="15" t="n">
        <v>11</v>
      </c>
      <c r="BG120" s="14" t="n">
        <v>0</v>
      </c>
      <c r="BH120" s="14" t="n">
        <v>0</v>
      </c>
      <c r="BI120" s="14" t="n">
        <v>0</v>
      </c>
      <c r="BJ120" s="14" t="n">
        <v>0</v>
      </c>
      <c r="BK120" s="15" t="n">
        <v>0</v>
      </c>
      <c r="BL120" s="15" t="n">
        <v>0</v>
      </c>
      <c r="BM120" s="14" t="n">
        <v>0</v>
      </c>
      <c r="BN120" s="14" t="n">
        <v>0</v>
      </c>
      <c r="BO120" s="14" t="n">
        <v>0</v>
      </c>
      <c r="BP120" s="14" t="n">
        <v>0</v>
      </c>
      <c r="BQ120" s="15" t="n">
        <v>0</v>
      </c>
      <c r="BR120" s="15" t="n">
        <v>0</v>
      </c>
      <c r="BS120" s="14" t="n">
        <v>0</v>
      </c>
      <c r="BT120" s="14" t="n">
        <v>0</v>
      </c>
      <c r="BU120" s="14" t="n">
        <v>0</v>
      </c>
      <c r="BV120" s="14" t="n">
        <v>0</v>
      </c>
      <c r="BW120" s="15" t="n">
        <v>0</v>
      </c>
      <c r="BX120" s="15" t="n">
        <v>0</v>
      </c>
      <c r="BY120" s="15" t="n">
        <v>2</v>
      </c>
      <c r="BZ120" s="15" t="n">
        <v>9</v>
      </c>
      <c r="CA120" s="15" t="n">
        <v>0</v>
      </c>
      <c r="CB120" s="15" t="n">
        <v>11</v>
      </c>
      <c r="CC120" s="14" t="n">
        <v>0</v>
      </c>
      <c r="CD120" s="14" t="n">
        <v>12</v>
      </c>
      <c r="CE120" s="14" t="n">
        <v>1</v>
      </c>
      <c r="CF120" s="14" t="n">
        <v>11</v>
      </c>
      <c r="CG120" s="14" t="n">
        <v>0</v>
      </c>
      <c r="CH120" s="15" t="n">
        <v>24</v>
      </c>
      <c r="CI120" s="14" t="n">
        <v>65</v>
      </c>
      <c r="CJ120" s="14" t="n">
        <v>2</v>
      </c>
      <c r="CK120" s="14" t="n">
        <v>0</v>
      </c>
      <c r="CL120" s="14" t="n">
        <v>0</v>
      </c>
      <c r="CM120" s="15" t="n">
        <v>67</v>
      </c>
      <c r="CN120" s="14" t="n">
        <v>212</v>
      </c>
      <c r="CO120" s="14" t="n">
        <v>9</v>
      </c>
      <c r="CP120" s="14" t="n">
        <v>10</v>
      </c>
      <c r="CQ120" s="14" t="n">
        <v>0</v>
      </c>
      <c r="CR120" s="15" t="n">
        <v>231</v>
      </c>
      <c r="CS120" s="15" t="n">
        <v>298</v>
      </c>
      <c r="CT120" s="14" t="n">
        <v>322</v>
      </c>
      <c r="CU120" s="14" t="n">
        <v>4359</v>
      </c>
      <c r="CV120" s="14" t="n">
        <v>4105</v>
      </c>
      <c r="CW120" s="16" t="n">
        <v>0.9417297545308557</v>
      </c>
      <c r="CX120" s="14" t="n">
        <v>0</v>
      </c>
      <c r="CY120" s="14" t="n">
        <v>0</v>
      </c>
      <c r="CZ120" s="14" t="n">
        <v>0</v>
      </c>
      <c r="DA120" s="14" t="n">
        <v>0</v>
      </c>
      <c r="DB120" s="15" t="n">
        <v>0</v>
      </c>
      <c r="DC120" s="14" t="n">
        <v>0</v>
      </c>
      <c r="DD120" s="14" t="n">
        <v>0</v>
      </c>
      <c r="DE120" s="14" t="n">
        <v>0</v>
      </c>
      <c r="DF120" s="14" t="n">
        <v>0</v>
      </c>
      <c r="DG120" s="15" t="n">
        <v>0</v>
      </c>
      <c r="DH120" s="14" t="n">
        <v>0</v>
      </c>
      <c r="DI120" s="14" t="n">
        <v>0</v>
      </c>
      <c r="DJ120" s="14" t="n">
        <v>0</v>
      </c>
      <c r="DK120" s="14" t="n">
        <v>0</v>
      </c>
      <c r="DL120" s="15" t="n">
        <v>0</v>
      </c>
      <c r="DM120" s="14" t="n">
        <v>0</v>
      </c>
      <c r="DN120" s="14" t="n">
        <v>0</v>
      </c>
      <c r="DO120" s="14" t="n">
        <v>0</v>
      </c>
      <c r="DP120" s="14" t="n">
        <v>0</v>
      </c>
      <c r="DQ120" s="15" t="n">
        <v>0</v>
      </c>
      <c r="DR120" s="15" t="n">
        <v>0</v>
      </c>
      <c r="DS120" s="15" t="n">
        <v>0</v>
      </c>
      <c r="DT120" s="15" t="n">
        <v>0</v>
      </c>
      <c r="DU120" s="15" t="n">
        <v>0</v>
      </c>
      <c r="DV120" s="15" t="n">
        <v>0</v>
      </c>
      <c r="DW120" s="14" t="n">
        <v>3</v>
      </c>
      <c r="DX120" s="14" t="n">
        <v>3</v>
      </c>
      <c r="DY120" s="14" t="n">
        <v>3</v>
      </c>
      <c r="DZ120" s="14" t="n">
        <v>3</v>
      </c>
      <c r="EA120" s="14" t="n">
        <v>0</v>
      </c>
      <c r="EB120" s="14" t="n">
        <v>0</v>
      </c>
      <c r="EC120" s="14" t="n">
        <v>0</v>
      </c>
      <c r="ED120" s="14" t="n">
        <v>1</v>
      </c>
      <c r="EE120" s="14" t="n">
        <v>1</v>
      </c>
      <c r="EF120" s="14" t="n">
        <v>1</v>
      </c>
      <c r="EG120" s="14" t="n">
        <v>0</v>
      </c>
      <c r="EH120" s="14" t="n">
        <v>0</v>
      </c>
      <c r="EI120" s="14" t="n">
        <v>0</v>
      </c>
      <c r="EJ120" s="14" t="n">
        <v>0</v>
      </c>
      <c r="EK120" s="14" t="n">
        <v>0</v>
      </c>
      <c r="EL120" s="14" t="n">
        <v>0</v>
      </c>
      <c r="EM120" s="14" t="n">
        <v>0</v>
      </c>
      <c r="EN120" s="14" t="n">
        <v>0</v>
      </c>
      <c r="EO120" s="14" t="n">
        <v>0</v>
      </c>
      <c r="EP120" s="14" t="n">
        <v>0</v>
      </c>
      <c r="EQ120" s="14" t="n">
        <v>0</v>
      </c>
      <c r="ER120" s="14" t="n">
        <v>0</v>
      </c>
      <c r="ES120" s="14" t="n">
        <v>0</v>
      </c>
      <c r="ET120" s="14" t="n">
        <v>0</v>
      </c>
      <c r="EU120" s="14" t="n">
        <v>0</v>
      </c>
      <c r="EV120" s="14" t="n">
        <v>0</v>
      </c>
      <c r="EW120" s="14" t="n">
        <v>0</v>
      </c>
      <c r="EX120" s="14" t="n">
        <v>0</v>
      </c>
      <c r="EY120" s="14" t="n">
        <v>0</v>
      </c>
      <c r="EZ120" s="14" t="n">
        <v>0</v>
      </c>
      <c r="FA120" s="14" t="n">
        <v>0</v>
      </c>
      <c r="FB120" s="14" t="n">
        <v>0</v>
      </c>
      <c r="FC120" s="14" t="n">
        <v>0</v>
      </c>
      <c r="FD120" s="14" t="n">
        <v>0</v>
      </c>
      <c r="FE120" s="14" t="n">
        <v>0</v>
      </c>
      <c r="FF120" s="14" t="n">
        <v>0</v>
      </c>
      <c r="FG120" s="15" t="n">
        <v>0</v>
      </c>
      <c r="FH120" s="14" t="n">
        <v>2</v>
      </c>
      <c r="FI120" s="14" t="n">
        <v>24</v>
      </c>
      <c r="FJ120" s="14" t="n">
        <v>23</v>
      </c>
      <c r="FK120" s="14" t="n">
        <v>48</v>
      </c>
      <c r="FL120" s="14" t="n">
        <v>48</v>
      </c>
      <c r="FM120" s="14" t="n">
        <v>0</v>
      </c>
      <c r="FN120" s="14" t="n">
        <v>0</v>
      </c>
      <c r="FO120" s="14" t="n">
        <v>0</v>
      </c>
      <c r="FP120" s="14" t="n">
        <v>0</v>
      </c>
      <c r="FQ120" s="15" t="n">
        <v>0</v>
      </c>
      <c r="FR120" s="14" t="n">
        <v>617153</v>
      </c>
      <c r="FS120" s="14" t="n">
        <v>0</v>
      </c>
      <c r="FT120" s="14" t="n">
        <v>0</v>
      </c>
      <c r="FU120" s="14" t="n">
        <v>0</v>
      </c>
      <c r="FV120" s="15" t="n">
        <v>0</v>
      </c>
      <c r="FW120" s="14" t="n">
        <v>1886440</v>
      </c>
      <c r="FX120" s="14" t="n">
        <v>1886440</v>
      </c>
      <c r="FY120" s="14" t="n">
        <v>6219500</v>
      </c>
      <c r="FZ120" s="14" t="n">
        <v>82500</v>
      </c>
      <c r="GA120" s="15" t="n">
        <v>82500</v>
      </c>
      <c r="GB120" s="15" t="n">
        <v>8188440</v>
      </c>
      <c r="GC120" s="14" t="n">
        <v>484109.91</v>
      </c>
      <c r="GD120" s="14" t="n">
        <v>484109.91</v>
      </c>
      <c r="GE120" s="14" t="n">
        <v>65133.54</v>
      </c>
      <c r="GF120" s="14" t="n">
        <v>0</v>
      </c>
      <c r="GG120" s="15" t="n">
        <v>0</v>
      </c>
      <c r="GH120" s="14" t="n">
        <v>549243.45</v>
      </c>
      <c r="GI120" s="14" t="n">
        <v>0</v>
      </c>
      <c r="GJ120" s="14" t="n">
        <v>0</v>
      </c>
      <c r="GK120" s="14" t="n">
        <v>0</v>
      </c>
      <c r="GL120" s="15" t="n">
        <v>0</v>
      </c>
      <c r="GM120" s="15" t="n">
        <v>8188440</v>
      </c>
      <c r="GN120" s="14" t="n">
        <v>35420.45</v>
      </c>
      <c r="GO120" s="14" t="n">
        <v>35420.45</v>
      </c>
      <c r="GP120" s="14" t="n">
        <v>6787.28</v>
      </c>
      <c r="GQ120" s="14" t="n">
        <v>0</v>
      </c>
      <c r="GR120" s="15" t="n">
        <v>0</v>
      </c>
      <c r="GS120" s="14" t="n">
        <v>58045</v>
      </c>
      <c r="GT120" s="14" t="n">
        <v>58045</v>
      </c>
      <c r="GU120" s="14" t="n">
        <v>1786</v>
      </c>
      <c r="GV120" s="14" t="n">
        <v>0</v>
      </c>
      <c r="GW120" s="15" t="n">
        <v>0</v>
      </c>
      <c r="GX120" s="15" t="n">
        <v>59831</v>
      </c>
      <c r="GY120" s="14" t="n">
        <v>12981353.92</v>
      </c>
      <c r="GZ120" s="14" t="n">
        <v>-21498738.83</v>
      </c>
      <c r="HA120" s="15" t="n">
        <v>-21498738.83</v>
      </c>
      <c r="HB120" s="15" t="n">
        <v>-8517384.909999998</v>
      </c>
      <c r="HC120" s="16" t="n">
        <v>8839722.18</v>
      </c>
      <c r="HD120" s="15" t="n">
        <v>12981353.92</v>
      </c>
      <c r="HE120" s="14" t="n">
        <v>9</v>
      </c>
      <c r="HF120" s="14" t="n">
        <v>1</v>
      </c>
      <c r="HG120" s="14" t="n">
        <v>11</v>
      </c>
      <c r="HH120" s="14" t="n">
        <v>9</v>
      </c>
      <c r="HI120" s="14" t="n">
        <v>7</v>
      </c>
      <c r="HJ120" s="15" t="n">
        <v>0</v>
      </c>
      <c r="HK120" s="16" t="n">
        <v>0</v>
      </c>
      <c r="HL120" s="14" t="n">
        <v>2</v>
      </c>
      <c r="HM120" s="14" t="n">
        <v>1</v>
      </c>
      <c r="HN120" s="17" t="n">
        <v>1</v>
      </c>
    </row>
    <row r="121">
      <c r="A121" s="6" t="inlineStr">
        <is>
          <t>Mulanje</t>
        </is>
      </c>
      <c r="B121" s="6" t="inlineStr">
        <is>
          <t>MUST</t>
        </is>
      </c>
      <c r="C121" s="7" t="inlineStr">
        <is>
          <t>FY2025/26</t>
        </is>
      </c>
      <c r="D121" s="7" t="n">
        <v>2026</v>
      </c>
      <c r="E121" s="7" t="n">
        <v>2</v>
      </c>
      <c r="F121" s="7" t="inlineStr">
        <is>
          <t>February</t>
        </is>
      </c>
      <c r="G121" s="7" t="inlineStr">
        <is>
          <t>Q4</t>
        </is>
      </c>
      <c r="H121" s="8" t="n">
        <v>25992</v>
      </c>
      <c r="I121" s="8" t="n">
        <v>683</v>
      </c>
      <c r="J121" s="8" t="n">
        <v>0</v>
      </c>
      <c r="K121" s="8" t="n">
        <v>19</v>
      </c>
      <c r="L121" s="8" t="n">
        <v>0</v>
      </c>
      <c r="M121" s="9">
        <f>SUM(I121,J121,K121,L121)</f>
        <v/>
      </c>
      <c r="N121" s="8" t="n">
        <v>1870</v>
      </c>
      <c r="O121" s="8" t="n">
        <v>0</v>
      </c>
      <c r="P121" s="8" t="n">
        <v>17750</v>
      </c>
      <c r="Q121" s="8" t="n">
        <v>832</v>
      </c>
      <c r="R121" s="9">
        <f>SUM(N121,O121,P121,Q121)</f>
        <v/>
      </c>
      <c r="S121" s="9">
        <f>M121+R121</f>
        <v/>
      </c>
      <c r="T121" s="8" t="n">
        <v>4838</v>
      </c>
      <c r="U121" s="10">
        <f>IF(H121=0,"",T121/H121)</f>
        <v/>
      </c>
      <c r="V121" s="8" t="n">
        <v>20</v>
      </c>
      <c r="W121" s="11">
        <f>IF(H121=0,"",V121/H121)</f>
        <v/>
      </c>
      <c r="X121" s="8" t="n">
        <v>0</v>
      </c>
      <c r="Y121" s="11">
        <f>IF(H121=0,"",X121/H121)</f>
        <v/>
      </c>
      <c r="Z121" s="8" t="n">
        <v>0</v>
      </c>
      <c r="AA121" s="11">
        <f>IF(H121=0,"",Z121/H121)</f>
        <v/>
      </c>
      <c r="AB121" s="8" t="n">
        <v>0</v>
      </c>
      <c r="AC121" s="11">
        <f>IF(H121=0,"",AB121/H121)</f>
        <v/>
      </c>
      <c r="AD121" s="8" t="n">
        <v>0</v>
      </c>
      <c r="AE121" s="11">
        <f>IF(H121=0,"",AD121/H121)</f>
        <v/>
      </c>
      <c r="AF121" s="8" t="n">
        <v>0</v>
      </c>
      <c r="AG121" s="11">
        <f>IF(H121=0,"",AF121/H121)</f>
        <v/>
      </c>
      <c r="AH121" s="8" t="n">
        <v>102233.4</v>
      </c>
      <c r="AI121" s="9">
        <f>IF(H121=0,"",AH121/H121)</f>
        <v/>
      </c>
      <c r="AJ121" s="8" t="n">
        <v>8241</v>
      </c>
      <c r="AK121" s="11">
        <f>IF(H121=0,"",AJ121/H121)</f>
        <v/>
      </c>
      <c r="AL121" s="8" t="n">
        <v>1159877.6115</v>
      </c>
      <c r="AM121" s="9">
        <f>IF(H121=0,"",AL121/H121)</f>
        <v/>
      </c>
      <c r="AN121" s="8" t="n">
        <v>0</v>
      </c>
      <c r="AO121" s="8" t="n">
        <v>0</v>
      </c>
      <c r="AP121" s="8" t="n">
        <v>0</v>
      </c>
      <c r="AQ121" s="8" t="n">
        <v>0</v>
      </c>
      <c r="AR121" s="8" t="n">
        <v>9388177.41</v>
      </c>
      <c r="AS121" s="8" t="n">
        <v>0</v>
      </c>
      <c r="AT121" s="8" t="n">
        <v>0</v>
      </c>
      <c r="AU121" s="9">
        <f>AH121+AL121+AP121+AQ121+AR121+AS121+AT121</f>
        <v/>
      </c>
      <c r="AV121" s="9">
        <f>IF(H121=0,"",AU121/H121)</f>
        <v/>
      </c>
      <c r="AW121" s="9">
        <f>IF(S121=0,"",AU121/S121)</f>
        <v/>
      </c>
      <c r="AX121" s="8" t="n">
        <v>4</v>
      </c>
      <c r="AY121" s="9">
        <f>IF(H121=0,"",AX121/(H121/1000/12))</f>
        <v/>
      </c>
      <c r="AZ121" s="8" t="n">
        <v>8</v>
      </c>
      <c r="BA121" s="8" t="n">
        <v>11</v>
      </c>
      <c r="BB121" s="8" t="n">
        <v>0</v>
      </c>
      <c r="BC121" s="8" t="n">
        <v>9</v>
      </c>
      <c r="BD121" s="8" t="n">
        <v>0</v>
      </c>
      <c r="BE121" s="9">
        <f>BC121+BD121</f>
        <v/>
      </c>
      <c r="BF121" s="9">
        <f>BA121+BB121-BE121</f>
        <v/>
      </c>
      <c r="BG121" s="8" t="n">
        <v>0</v>
      </c>
      <c r="BH121" s="8" t="n">
        <v>0</v>
      </c>
      <c r="BI121" s="8" t="n">
        <v>0</v>
      </c>
      <c r="BJ121" s="8" t="n">
        <v>0</v>
      </c>
      <c r="BK121" s="9">
        <f>BI121+BJ121</f>
        <v/>
      </c>
      <c r="BL121" s="9">
        <f>BG121+BH121-BK121</f>
        <v/>
      </c>
      <c r="BM121" s="8" t="n">
        <v>0</v>
      </c>
      <c r="BN121" s="8" t="n">
        <v>0</v>
      </c>
      <c r="BO121" s="8" t="n">
        <v>0</v>
      </c>
      <c r="BP121" s="8" t="n">
        <v>0</v>
      </c>
      <c r="BQ121" s="9">
        <f>BO121+BP121</f>
        <v/>
      </c>
      <c r="BR121" s="9">
        <f>BM121+BN121-BQ121</f>
        <v/>
      </c>
      <c r="BS121" s="8" t="n">
        <v>0</v>
      </c>
      <c r="BT121" s="8" t="n">
        <v>0</v>
      </c>
      <c r="BU121" s="8" t="n">
        <v>0</v>
      </c>
      <c r="BV121" s="8" t="n">
        <v>0</v>
      </c>
      <c r="BW121" s="9">
        <f>BU121+BV121</f>
        <v/>
      </c>
      <c r="BX121" s="9">
        <f>BS121+BT121-BW121</f>
        <v/>
      </c>
      <c r="BY121" s="9">
        <f>BA121+BG121+BM121+BS121</f>
        <v/>
      </c>
      <c r="BZ121" s="9">
        <f>BB121+BH121+BN121+BT121</f>
        <v/>
      </c>
      <c r="CA121" s="9">
        <f>BE121+BK121+BQ121+BW121</f>
        <v/>
      </c>
      <c r="CB121" s="9">
        <f>BF121+BL121+BR121+BX121</f>
        <v/>
      </c>
      <c r="CC121" s="8" t="n">
        <v>0</v>
      </c>
      <c r="CD121" s="8" t="n">
        <v>12</v>
      </c>
      <c r="CE121" s="8" t="n">
        <v>1</v>
      </c>
      <c r="CF121" s="8" t="n">
        <v>11</v>
      </c>
      <c r="CG121" s="8" t="n">
        <v>0</v>
      </c>
      <c r="CH121" s="9">
        <f>CD121+CE121+CF121+CG121</f>
        <v/>
      </c>
      <c r="CI121" s="8" t="n">
        <v>63</v>
      </c>
      <c r="CJ121" s="8" t="n">
        <v>2</v>
      </c>
      <c r="CK121" s="8" t="n">
        <v>0</v>
      </c>
      <c r="CL121" s="8" t="n">
        <v>0</v>
      </c>
      <c r="CM121" s="9">
        <f>CI121+CJ121+CK121+CL121</f>
        <v/>
      </c>
      <c r="CN121" s="8" t="n">
        <v>219</v>
      </c>
      <c r="CO121" s="8" t="n">
        <v>9</v>
      </c>
      <c r="CP121" s="8" t="n">
        <v>10</v>
      </c>
      <c r="CQ121" s="8" t="n">
        <v>0</v>
      </c>
      <c r="CR121" s="9">
        <f>CN121+CO121+CP121+CQ121</f>
        <v/>
      </c>
      <c r="CS121" s="9">
        <f>CM121+CR121</f>
        <v/>
      </c>
      <c r="CT121" s="8" t="n">
        <v>327</v>
      </c>
      <c r="CU121" s="8" t="n">
        <v>4359</v>
      </c>
      <c r="CV121" s="8" t="n">
        <v>4105</v>
      </c>
      <c r="CW121" s="10">
        <f>IF(CU121=0,"",CV121/CU121)</f>
        <v/>
      </c>
      <c r="CX121" s="8" t="n"/>
      <c r="CY121" s="8" t="n"/>
      <c r="CZ121" s="8" t="n"/>
      <c r="DA121" s="8" t="n"/>
      <c r="DB121" s="9">
        <f>CX121+CY121-CZ121-DA121</f>
        <v/>
      </c>
      <c r="DC121" s="8" t="n">
        <v>0</v>
      </c>
      <c r="DD121" s="8" t="n">
        <v>0</v>
      </c>
      <c r="DE121" s="8" t="n">
        <v>0</v>
      </c>
      <c r="DF121" s="8" t="n">
        <v>0</v>
      </c>
      <c r="DG121" s="9">
        <f>DC121+DD121-DE121-DF121</f>
        <v/>
      </c>
      <c r="DH121" s="8" t="n">
        <v>0</v>
      </c>
      <c r="DI121" s="8" t="n">
        <v>0</v>
      </c>
      <c r="DJ121" s="8" t="n">
        <v>0</v>
      </c>
      <c r="DK121" s="8" t="n">
        <v>0</v>
      </c>
      <c r="DL121" s="9">
        <f>DH121+DI121-DJ121-DK121</f>
        <v/>
      </c>
      <c r="DM121" s="8" t="n">
        <v>0</v>
      </c>
      <c r="DN121" s="8" t="n">
        <v>0</v>
      </c>
      <c r="DO121" s="8" t="n">
        <v>0</v>
      </c>
      <c r="DP121" s="8" t="n">
        <v>0</v>
      </c>
      <c r="DQ121" s="9">
        <f>DM121+DN121-DO121-DP121</f>
        <v/>
      </c>
      <c r="DR121" s="9">
        <f>CX121+DC121+DH121+DM121</f>
        <v/>
      </c>
      <c r="DS121" s="9">
        <f>CY121+DD121+DI121+DN121</f>
        <v/>
      </c>
      <c r="DT121" s="9">
        <f>CZ121+DE121+DJ121+DO121</f>
        <v/>
      </c>
      <c r="DU121" s="9">
        <f>DA121+DF121+DK121+DP121</f>
        <v/>
      </c>
      <c r="DV121" s="9">
        <f>DB121+DG121+DL121+DQ121</f>
        <v/>
      </c>
      <c r="DW121" s="8" t="n">
        <v>4</v>
      </c>
      <c r="DX121" s="8" t="n">
        <v>3</v>
      </c>
      <c r="DY121" s="8" t="n">
        <v>7</v>
      </c>
      <c r="DZ121" s="8" t="n">
        <v>1</v>
      </c>
      <c r="EA121" s="8" t="n">
        <v>0</v>
      </c>
      <c r="EB121" s="8" t="n">
        <v>0</v>
      </c>
      <c r="EC121" s="8" t="n">
        <v>0</v>
      </c>
      <c r="ED121" s="8" t="n">
        <v>0</v>
      </c>
      <c r="EE121" s="8" t="n">
        <v>0</v>
      </c>
      <c r="EF121" s="8" t="n">
        <v>0</v>
      </c>
      <c r="EG121" s="8" t="n">
        <v>0</v>
      </c>
      <c r="EH121" s="8" t="n">
        <v>0</v>
      </c>
      <c r="EI121" s="8" t="n">
        <v>0</v>
      </c>
      <c r="EJ121" s="8" t="n">
        <v>0</v>
      </c>
      <c r="EK121" s="8" t="n">
        <v>0</v>
      </c>
      <c r="EL121" s="8" t="n">
        <v>0</v>
      </c>
      <c r="EM121" s="8" t="n">
        <v>0</v>
      </c>
      <c r="EN121" s="8" t="n">
        <v>0</v>
      </c>
      <c r="EO121" s="8" t="n">
        <v>0</v>
      </c>
      <c r="EP121" s="8" t="n">
        <v>0</v>
      </c>
      <c r="EQ121" s="8" t="n">
        <v>0</v>
      </c>
      <c r="ER121" s="8" t="n">
        <v>0</v>
      </c>
      <c r="ES121" s="8" t="n">
        <v>0</v>
      </c>
      <c r="ET121" s="8" t="n">
        <v>0</v>
      </c>
      <c r="EU121" s="8" t="n">
        <v>0</v>
      </c>
      <c r="EV121" s="8" t="n">
        <v>0</v>
      </c>
      <c r="EW121" s="8" t="n">
        <v>0</v>
      </c>
      <c r="EX121" s="8" t="n">
        <v>0</v>
      </c>
      <c r="EY121" s="8" t="n">
        <v>0</v>
      </c>
      <c r="EZ121" s="8" t="n">
        <v>0</v>
      </c>
      <c r="FA121" s="8" t="n">
        <v>0</v>
      </c>
      <c r="FB121" s="8" t="n">
        <v>0</v>
      </c>
      <c r="FC121" s="8" t="n">
        <v>0</v>
      </c>
      <c r="FD121" s="8" t="n">
        <v>0</v>
      </c>
      <c r="FE121" s="8" t="n">
        <v>0</v>
      </c>
      <c r="FF121" s="8" t="n">
        <v>0</v>
      </c>
      <c r="FG121" s="9">
        <f>SUM(DW121,DX121,DY121,DZ121,EA121,EB121,EC121,ED121,EE121,EF121,EG121,EH121,EI121,EJ121,EK121,EL121,EM121,EN121,EO121,EP121,EQ121,ER121,ES121,ET121,EU121,EV121,EW121,EX121,EY121,EZ121,FA121,FB121,FC121,FD121,FE121,FF121)</f>
        <v/>
      </c>
      <c r="FH121" s="8" t="n">
        <v>5</v>
      </c>
      <c r="FI121" s="8" t="n">
        <v>23</v>
      </c>
      <c r="FJ121" s="8" t="n">
        <v>23</v>
      </c>
      <c r="FK121" s="8" t="n">
        <v>115</v>
      </c>
      <c r="FL121" s="8" t="n">
        <v>0</v>
      </c>
      <c r="FM121" s="8" t="n">
        <v>0</v>
      </c>
      <c r="FN121" s="8" t="n">
        <v>0</v>
      </c>
      <c r="FO121" s="8" t="n">
        <v>0</v>
      </c>
      <c r="FP121" s="8" t="n">
        <v>0</v>
      </c>
      <c r="FQ121" s="9">
        <f>FL121+FM121+FN121+FO121+FP121</f>
        <v/>
      </c>
      <c r="FR121" s="8" t="n">
        <v>475946</v>
      </c>
      <c r="FS121" s="8" t="n">
        <v>0</v>
      </c>
      <c r="FT121" s="8" t="n">
        <v>0</v>
      </c>
      <c r="FU121" s="8" t="n">
        <v>0</v>
      </c>
      <c r="FV121" s="9">
        <f>FR121+FS121+FT121+FU121</f>
        <v/>
      </c>
      <c r="FW121" s="8" t="n">
        <v>1359459</v>
      </c>
      <c r="FX121" s="8" t="n">
        <v>0</v>
      </c>
      <c r="FY121" s="8" t="n">
        <v>3937000</v>
      </c>
      <c r="FZ121" s="8" t="n">
        <v>60027500</v>
      </c>
      <c r="GA121" s="9">
        <f>FW121+FX121+FY121+FZ121</f>
        <v/>
      </c>
      <c r="GB121" s="9">
        <f>FV121+GA121</f>
        <v/>
      </c>
      <c r="GC121" s="8" t="n">
        <v>662854.85</v>
      </c>
      <c r="GD121" s="8" t="n">
        <v>0</v>
      </c>
      <c r="GE121" s="8" t="n">
        <v>0</v>
      </c>
      <c r="GF121" s="8" t="n">
        <v>0</v>
      </c>
      <c r="GG121" s="9">
        <f>GC121+GD121+GE121+GF121</f>
        <v/>
      </c>
      <c r="GH121" s="8" t="n">
        <v>0</v>
      </c>
      <c r="GI121" s="8" t="n">
        <v>0</v>
      </c>
      <c r="GJ121" s="8" t="n">
        <v>0</v>
      </c>
      <c r="GK121" s="8" t="n">
        <v>0</v>
      </c>
      <c r="GL121" s="9">
        <f>GH121+GI121+GJ121+GK121</f>
        <v/>
      </c>
      <c r="GM121" s="9">
        <f>GG121+GL121</f>
        <v/>
      </c>
      <c r="GN121" s="8" t="n">
        <v>41117.87</v>
      </c>
      <c r="GO121" s="8" t="n">
        <v>0</v>
      </c>
      <c r="GP121" s="8" t="n">
        <v>6787.28</v>
      </c>
      <c r="GQ121" s="8" t="n">
        <v>0</v>
      </c>
      <c r="GR121" s="9">
        <f>GN121+GO121+GP121+GQ121</f>
        <v/>
      </c>
      <c r="GS121" s="8" t="n">
        <v>58045</v>
      </c>
      <c r="GT121" s="8" t="n">
        <v>0</v>
      </c>
      <c r="GU121" s="8" t="n">
        <v>1786</v>
      </c>
      <c r="GV121" s="8" t="n">
        <v>0</v>
      </c>
      <c r="GW121" s="9">
        <f>GS121+GT121+GU121+GV121</f>
        <v/>
      </c>
      <c r="GX121" s="9">
        <f>GM121+GR121+GW121</f>
        <v/>
      </c>
      <c r="GY121" s="8" t="n">
        <v>12981353.92</v>
      </c>
      <c r="GZ121" s="8" t="n">
        <v>0</v>
      </c>
      <c r="HA121" s="9">
        <f>GY121+GZ121</f>
        <v/>
      </c>
      <c r="HB121" s="9">
        <f>IF(GX121=0,"",AU121/GX121)</f>
        <v/>
      </c>
      <c r="HC121" s="10">
        <f>IF((GX121+GY121)=0,"",GB121/(GX121+GY121))</f>
        <v/>
      </c>
      <c r="HD121" s="9">
        <f>IF(GX121=0,"",GB121/GX121)</f>
        <v/>
      </c>
      <c r="HE121" s="8" t="n">
        <v>0</v>
      </c>
      <c r="HF121" s="8" t="n">
        <v>1</v>
      </c>
      <c r="HG121" s="8" t="n">
        <v>2</v>
      </c>
      <c r="HH121" s="8" t="n">
        <v>0</v>
      </c>
      <c r="HI121" s="8" t="n">
        <v>7</v>
      </c>
      <c r="HJ121" s="9">
        <f>HF121+HI121</f>
        <v/>
      </c>
      <c r="HK121" s="10">
        <f>IF(HE121=0,"",HH121/HE121)</f>
        <v/>
      </c>
      <c r="HL121" s="8" t="n">
        <v>5</v>
      </c>
      <c r="HM121" s="8" t="n">
        <v>1</v>
      </c>
      <c r="HN121" s="11">
        <f>IF(HL121=0,"",HM121/HL121)</f>
        <v/>
      </c>
    </row>
    <row r="122">
      <c r="A122" s="12" t="inlineStr">
        <is>
          <t>Mulanje</t>
        </is>
      </c>
      <c r="B122" s="12" t="inlineStr">
        <is>
          <t>MUST</t>
        </is>
      </c>
      <c r="C122" s="13" t="inlineStr">
        <is>
          <t>FY2025/26</t>
        </is>
      </c>
      <c r="D122" s="13" t="n">
        <v>2026</v>
      </c>
      <c r="E122" s="13" t="n">
        <v>3</v>
      </c>
      <c r="F122" s="13" t="inlineStr">
        <is>
          <t>March</t>
        </is>
      </c>
      <c r="G122" s="13" t="inlineStr">
        <is>
          <t>Q4</t>
        </is>
      </c>
      <c r="H122" s="14" t="n">
        <v>21590</v>
      </c>
      <c r="I122" s="14" t="n">
        <v>600</v>
      </c>
      <c r="J122" s="14" t="n">
        <v>0</v>
      </c>
      <c r="K122" s="14" t="n">
        <v>22</v>
      </c>
      <c r="L122" s="14" t="n">
        <v>0</v>
      </c>
      <c r="M122" s="15">
        <f>SUM(I122,J122,K122,L122)</f>
        <v/>
      </c>
      <c r="N122" s="14" t="n">
        <v>3046</v>
      </c>
      <c r="O122" s="14" t="n">
        <v>0</v>
      </c>
      <c r="P122" s="14" t="n">
        <v>14500</v>
      </c>
      <c r="Q122" s="14" t="n">
        <v>823</v>
      </c>
      <c r="R122" s="15">
        <f>SUM(N122,O122,P122,Q122)</f>
        <v/>
      </c>
      <c r="S122" s="15">
        <f>M122+R122</f>
        <v/>
      </c>
      <c r="T122" s="14" t="n">
        <v>2599</v>
      </c>
      <c r="U122" s="16">
        <f>IF(H122=0,"",T122/H122)</f>
        <v/>
      </c>
      <c r="V122" s="14" t="n">
        <v>19</v>
      </c>
      <c r="W122" s="17">
        <f>IF(H122=0,"",V122/H122)</f>
        <v/>
      </c>
      <c r="X122" s="14" t="n">
        <v>0</v>
      </c>
      <c r="Y122" s="17">
        <f>IF(H122=0,"",X122/H122)</f>
        <v/>
      </c>
      <c r="Z122" s="14" t="n">
        <v>0</v>
      </c>
      <c r="AA122" s="17">
        <f>IF(H122=0,"",Z122/H122)</f>
        <v/>
      </c>
      <c r="AB122" s="14" t="n">
        <v>0</v>
      </c>
      <c r="AC122" s="17">
        <f>IF(H122=0,"",AB122/H122)</f>
        <v/>
      </c>
      <c r="AD122" s="14" t="n">
        <v>0</v>
      </c>
      <c r="AE122" s="17">
        <f>IF(H122=0,"",AD122/H122)</f>
        <v/>
      </c>
      <c r="AF122" s="14" t="n">
        <v>0</v>
      </c>
      <c r="AG122" s="17">
        <f>IF(H122=0,"",AF122/H122)</f>
        <v/>
      </c>
      <c r="AH122" s="14" t="n">
        <v>97121.73</v>
      </c>
      <c r="AI122" s="15">
        <f>IF(H122=0,"",AH122/H122)</f>
        <v/>
      </c>
      <c r="AJ122" s="14" t="n">
        <v>8026.62</v>
      </c>
      <c r="AK122" s="17">
        <f>IF(H122=0,"",AJ122/H122)</f>
        <v/>
      </c>
      <c r="AL122" s="14" t="n">
        <v>16426.5</v>
      </c>
      <c r="AM122" s="15">
        <f>IF(H122=0,"",AL122/H122)</f>
        <v/>
      </c>
      <c r="AN122" s="14" t="n">
        <v>0</v>
      </c>
      <c r="AO122" s="14" t="n">
        <v>0</v>
      </c>
      <c r="AP122" s="14" t="n">
        <v>0</v>
      </c>
      <c r="AQ122" s="14" t="n">
        <v>0</v>
      </c>
      <c r="AR122" s="14" t="n">
        <v>9292243.1</v>
      </c>
      <c r="AS122" s="14" t="n">
        <v>0</v>
      </c>
      <c r="AT122" s="14" t="n">
        <v>0</v>
      </c>
      <c r="AU122" s="15">
        <f>AH122+AL122+AP122+AQ122+AR122+AS122+AT122</f>
        <v/>
      </c>
      <c r="AV122" s="15">
        <f>IF(H122=0,"",AU122/H122)</f>
        <v/>
      </c>
      <c r="AW122" s="15">
        <f>IF(S122=0,"",AU122/S122)</f>
        <v/>
      </c>
      <c r="AX122" s="14" t="n">
        <v>4</v>
      </c>
      <c r="AY122" s="15">
        <f>IF(H122=0,"",AX122/(H122/1000/12))</f>
        <v/>
      </c>
      <c r="AZ122" s="14" t="n">
        <v>8</v>
      </c>
      <c r="BA122" s="14" t="n">
        <v>2</v>
      </c>
      <c r="BB122" s="14" t="n">
        <v>1</v>
      </c>
      <c r="BC122" s="14" t="n">
        <v>2</v>
      </c>
      <c r="BD122" s="14" t="n">
        <v>0</v>
      </c>
      <c r="BE122" s="15">
        <f>BC122+BD122</f>
        <v/>
      </c>
      <c r="BF122" s="15">
        <f>BA122+BB122-BE122</f>
        <v/>
      </c>
      <c r="BG122" s="14" t="n">
        <v>0</v>
      </c>
      <c r="BH122" s="14" t="n">
        <v>0</v>
      </c>
      <c r="BI122" s="14" t="n">
        <v>0</v>
      </c>
      <c r="BJ122" s="14" t="n">
        <v>0</v>
      </c>
      <c r="BK122" s="15">
        <f>BI122+BJ122</f>
        <v/>
      </c>
      <c r="BL122" s="15">
        <f>BG122+BH122-BK122</f>
        <v/>
      </c>
      <c r="BM122" s="14" t="n">
        <v>0</v>
      </c>
      <c r="BN122" s="14" t="n">
        <v>0</v>
      </c>
      <c r="BO122" s="14" t="n">
        <v>0</v>
      </c>
      <c r="BP122" s="14" t="n">
        <v>0</v>
      </c>
      <c r="BQ122" s="15">
        <f>BO122+BP122</f>
        <v/>
      </c>
      <c r="BR122" s="15">
        <f>BM122+BN122-BQ122</f>
        <v/>
      </c>
      <c r="BS122" s="14" t="n">
        <v>0</v>
      </c>
      <c r="BT122" s="14" t="n">
        <v>0</v>
      </c>
      <c r="BU122" s="14" t="n">
        <v>0</v>
      </c>
      <c r="BV122" s="14" t="n">
        <v>0</v>
      </c>
      <c r="BW122" s="15">
        <f>BU122+BV122</f>
        <v/>
      </c>
      <c r="BX122" s="15">
        <f>BS122+BT122-BW122</f>
        <v/>
      </c>
      <c r="BY122" s="15">
        <f>BA122+BG122+BM122+BS122</f>
        <v/>
      </c>
      <c r="BZ122" s="15">
        <f>BB122+BH122+BN122+BT122</f>
        <v/>
      </c>
      <c r="CA122" s="15">
        <f>BE122+BK122+BQ122+BW122</f>
        <v/>
      </c>
      <c r="CB122" s="15">
        <f>BF122+BL122+BR122+BX122</f>
        <v/>
      </c>
      <c r="CC122" s="14" t="n">
        <v>0</v>
      </c>
      <c r="CD122" s="14" t="n">
        <v>12</v>
      </c>
      <c r="CE122" s="14" t="n">
        <v>1</v>
      </c>
      <c r="CF122" s="14" t="n">
        <v>11</v>
      </c>
      <c r="CG122" s="14" t="n">
        <v>0</v>
      </c>
      <c r="CH122" s="15">
        <f>CD122+CE122+CF122+CG122</f>
        <v/>
      </c>
      <c r="CI122" s="14" t="n">
        <v>65</v>
      </c>
      <c r="CJ122" s="14" t="n">
        <v>2</v>
      </c>
      <c r="CK122" s="14" t="n">
        <v>0</v>
      </c>
      <c r="CL122" s="14" t="n">
        <v>0</v>
      </c>
      <c r="CM122" s="15">
        <f>CI122+CJ122+CK122+CL122</f>
        <v/>
      </c>
      <c r="CN122" s="14" t="n">
        <v>219</v>
      </c>
      <c r="CO122" s="14" t="n">
        <v>9</v>
      </c>
      <c r="CP122" s="14" t="n">
        <v>10</v>
      </c>
      <c r="CQ122" s="14" t="n">
        <v>0</v>
      </c>
      <c r="CR122" s="15">
        <f>CN122+CO122+CP122+CQ122</f>
        <v/>
      </c>
      <c r="CS122" s="15">
        <f>CM122+CR122</f>
        <v/>
      </c>
      <c r="CT122" s="14" t="n">
        <v>329</v>
      </c>
      <c r="CU122" s="14" t="n">
        <v>4359</v>
      </c>
      <c r="CV122" s="14" t="n">
        <v>4105</v>
      </c>
      <c r="CW122" s="16">
        <f>IF(CU122=0,"",CV122/CU122)</f>
        <v/>
      </c>
      <c r="CX122" s="14" t="n"/>
      <c r="CY122" s="14" t="n"/>
      <c r="CZ122" s="14" t="n"/>
      <c r="DA122" s="14" t="n"/>
      <c r="DB122" s="15">
        <f>CX122+CY122-CZ122-DA122</f>
        <v/>
      </c>
      <c r="DC122" s="14" t="n">
        <v>0</v>
      </c>
      <c r="DD122" s="14" t="n">
        <v>0</v>
      </c>
      <c r="DE122" s="14" t="n">
        <v>0</v>
      </c>
      <c r="DF122" s="14" t="n">
        <v>0</v>
      </c>
      <c r="DG122" s="15">
        <f>DC122+DD122-DE122-DF122</f>
        <v/>
      </c>
      <c r="DH122" s="14" t="n">
        <v>0</v>
      </c>
      <c r="DI122" s="14" t="n">
        <v>0</v>
      </c>
      <c r="DJ122" s="14" t="n">
        <v>0</v>
      </c>
      <c r="DK122" s="14" t="n">
        <v>0</v>
      </c>
      <c r="DL122" s="15">
        <f>DH122+DI122-DJ122-DK122</f>
        <v/>
      </c>
      <c r="DM122" s="14" t="n">
        <v>0</v>
      </c>
      <c r="DN122" s="14" t="n">
        <v>0</v>
      </c>
      <c r="DO122" s="14" t="n">
        <v>0</v>
      </c>
      <c r="DP122" s="14" t="n">
        <v>0</v>
      </c>
      <c r="DQ122" s="15">
        <f>DM122+DN122-DO122-DP122</f>
        <v/>
      </c>
      <c r="DR122" s="15">
        <f>CX122+DC122+DH122+DM122</f>
        <v/>
      </c>
      <c r="DS122" s="15">
        <f>CY122+DD122+DI122+DN122</f>
        <v/>
      </c>
      <c r="DT122" s="15">
        <f>CZ122+DE122+DJ122+DO122</f>
        <v/>
      </c>
      <c r="DU122" s="15">
        <f>DA122+DF122+DK122+DP122</f>
        <v/>
      </c>
      <c r="DV122" s="15">
        <f>DB122+DG122+DL122+DQ122</f>
        <v/>
      </c>
      <c r="DW122" s="14" t="n">
        <v>2</v>
      </c>
      <c r="DX122" s="14" t="n">
        <v>4</v>
      </c>
      <c r="DY122" s="14" t="n">
        <v>3</v>
      </c>
      <c r="DZ122" s="14" t="n">
        <v>0</v>
      </c>
      <c r="EA122" s="14" t="n">
        <v>0</v>
      </c>
      <c r="EB122" s="14" t="n">
        <v>0</v>
      </c>
      <c r="EC122" s="14" t="n">
        <v>0</v>
      </c>
      <c r="ED122" s="14" t="n">
        <v>0</v>
      </c>
      <c r="EE122" s="14" t="n">
        <v>0</v>
      </c>
      <c r="EF122" s="14" t="n">
        <v>0</v>
      </c>
      <c r="EG122" s="14" t="n">
        <v>0</v>
      </c>
      <c r="EH122" s="14" t="n">
        <v>0</v>
      </c>
      <c r="EI122" s="14" t="n">
        <v>0</v>
      </c>
      <c r="EJ122" s="14" t="n">
        <v>0</v>
      </c>
      <c r="EK122" s="14" t="n">
        <v>0</v>
      </c>
      <c r="EL122" s="14" t="n">
        <v>0</v>
      </c>
      <c r="EM122" s="14" t="n">
        <v>0</v>
      </c>
      <c r="EN122" s="14" t="n">
        <v>0</v>
      </c>
      <c r="EO122" s="14" t="n">
        <v>0</v>
      </c>
      <c r="EP122" s="14" t="n">
        <v>0</v>
      </c>
      <c r="EQ122" s="14" t="n">
        <v>0</v>
      </c>
      <c r="ER122" s="14" t="n">
        <v>0</v>
      </c>
      <c r="ES122" s="14" t="n">
        <v>0</v>
      </c>
      <c r="ET122" s="14" t="n">
        <v>0</v>
      </c>
      <c r="EU122" s="14" t="n">
        <v>0</v>
      </c>
      <c r="EV122" s="14" t="n">
        <v>0</v>
      </c>
      <c r="EW122" s="14" t="n">
        <v>0</v>
      </c>
      <c r="EX122" s="14" t="n">
        <v>0</v>
      </c>
      <c r="EY122" s="14" t="n">
        <v>0</v>
      </c>
      <c r="EZ122" s="14" t="n">
        <v>0</v>
      </c>
      <c r="FA122" s="14" t="n">
        <v>0</v>
      </c>
      <c r="FB122" s="14" t="n">
        <v>0</v>
      </c>
      <c r="FC122" s="14" t="n">
        <v>0</v>
      </c>
      <c r="FD122" s="14" t="n">
        <v>0</v>
      </c>
      <c r="FE122" s="14" t="n">
        <v>0</v>
      </c>
      <c r="FF122" s="14" t="n">
        <v>0</v>
      </c>
      <c r="FG122" s="15">
        <f>SUM(DW122,DX122,DY122,DZ122,EA122,EB122,EC122,ED122,EE122,EF122,EG122,EH122,EI122,EJ122,EK122,EL122,EM122,EN122,EO122,EP122,EQ122,ER122,ES122,ET122,EU122,EV122,EW122,EX122,EY122,EZ122,FA122,FB122,FC122,FD122,FE122,FF122)</f>
        <v/>
      </c>
      <c r="FH122" s="14" t="n">
        <v>7</v>
      </c>
      <c r="FI122" s="14" t="n">
        <v>5</v>
      </c>
      <c r="FJ122" s="14" t="n">
        <v>24</v>
      </c>
      <c r="FK122" s="14" t="n">
        <v>35</v>
      </c>
      <c r="FL122" s="14" t="n">
        <v>0</v>
      </c>
      <c r="FM122" s="14" t="n">
        <v>0</v>
      </c>
      <c r="FN122" s="14" t="n">
        <v>0</v>
      </c>
      <c r="FO122" s="14" t="n">
        <v>0</v>
      </c>
      <c r="FP122" s="14" t="n">
        <v>0</v>
      </c>
      <c r="FQ122" s="15">
        <f>FL122+FM122+FN122+FO122+FP122</f>
        <v/>
      </c>
      <c r="FR122" s="14" t="n">
        <v>236546</v>
      </c>
      <c r="FS122" s="14" t="n">
        <v>0</v>
      </c>
      <c r="FT122" s="14" t="n">
        <v>0</v>
      </c>
      <c r="FU122" s="14" t="n">
        <v>0</v>
      </c>
      <c r="FV122" s="15">
        <f>FR122+FS122+FT122+FU122</f>
        <v/>
      </c>
      <c r="FW122" s="14" t="n">
        <v>3800750</v>
      </c>
      <c r="FX122" s="14" t="n">
        <v>0</v>
      </c>
      <c r="FY122" s="14" t="n">
        <v>3891500</v>
      </c>
      <c r="FZ122" s="14" t="n">
        <v>43419000</v>
      </c>
      <c r="GA122" s="15">
        <f>FW122+FX122+FY122+FZ122</f>
        <v/>
      </c>
      <c r="GB122" s="15">
        <f>FV122+GA122</f>
        <v/>
      </c>
      <c r="GC122" s="14" t="n">
        <v>540547.46</v>
      </c>
      <c r="GD122" s="14" t="n">
        <v>0</v>
      </c>
      <c r="GE122" s="14" t="n">
        <v>57417.29</v>
      </c>
      <c r="GF122" s="14" t="n">
        <v>0</v>
      </c>
      <c r="GG122" s="15">
        <f>GC122+GD122+GE122+GF122</f>
        <v/>
      </c>
      <c r="GH122" s="14" t="n">
        <v>0</v>
      </c>
      <c r="GI122" s="14" t="n">
        <v>0</v>
      </c>
      <c r="GJ122" s="14" t="n">
        <v>0</v>
      </c>
      <c r="GK122" s="14" t="n">
        <v>0</v>
      </c>
      <c r="GL122" s="15">
        <f>GH122+GI122+GJ122+GK122</f>
        <v/>
      </c>
      <c r="GM122" s="15">
        <f>GG122+GL122</f>
        <v/>
      </c>
      <c r="GN122" s="14" t="n">
        <v>35420.45</v>
      </c>
      <c r="GO122" s="14" t="n">
        <v>0</v>
      </c>
      <c r="GP122" s="14" t="n">
        <v>6787.28</v>
      </c>
      <c r="GQ122" s="14" t="n">
        <v>0</v>
      </c>
      <c r="GR122" s="15">
        <f>GN122+GO122+GP122+GQ122</f>
        <v/>
      </c>
      <c r="GS122" s="14" t="n">
        <v>58045</v>
      </c>
      <c r="GT122" s="14" t="n">
        <v>0</v>
      </c>
      <c r="GU122" s="14" t="n">
        <v>1786</v>
      </c>
      <c r="GV122" s="14" t="n">
        <v>0</v>
      </c>
      <c r="GW122" s="15">
        <f>GS122+GT122+GU122+GV122</f>
        <v/>
      </c>
      <c r="GX122" s="15">
        <f>GM122+GR122+GW122</f>
        <v/>
      </c>
      <c r="GY122" s="14" t="n">
        <v>12981353.92</v>
      </c>
      <c r="GZ122" s="14" t="n">
        <v>0</v>
      </c>
      <c r="HA122" s="15">
        <f>GY122+GZ122</f>
        <v/>
      </c>
      <c r="HB122" s="15">
        <f>IF(GX122=0,"",AU122/GX122)</f>
        <v/>
      </c>
      <c r="HC122" s="16">
        <f>IF((GX122+GY122)=0,"",GB122/(GX122+GY122))</f>
        <v/>
      </c>
      <c r="HD122" s="15">
        <f>IF(GX122=0,"",GB122/GX122)</f>
        <v/>
      </c>
      <c r="HE122" s="14" t="n">
        <v>1</v>
      </c>
      <c r="HF122" s="14" t="n">
        <v>1</v>
      </c>
      <c r="HG122" s="14" t="n">
        <v>1</v>
      </c>
      <c r="HH122" s="14" t="n">
        <v>1</v>
      </c>
      <c r="HI122" s="14" t="n">
        <v>7</v>
      </c>
      <c r="HJ122" s="15">
        <f>HF122+HI122</f>
        <v/>
      </c>
      <c r="HK122" s="16">
        <f>IF(HE122=0,"",HH122/HE122)</f>
        <v/>
      </c>
      <c r="HL122" s="14" t="n">
        <v>3</v>
      </c>
      <c r="HM122" s="14" t="n">
        <v>1</v>
      </c>
      <c r="HN122" s="17">
        <f>IF(HL122=0,"",HM122/HL122)</f>
        <v/>
      </c>
    </row>
    <row r="123">
      <c r="A123" s="6" t="inlineStr">
        <is>
          <t>Mulanje</t>
        </is>
      </c>
      <c r="B123" s="6" t="inlineStr">
        <is>
          <t>Migowi</t>
        </is>
      </c>
      <c r="C123" s="7" t="inlineStr">
        <is>
          <t>FY2025/26</t>
        </is>
      </c>
      <c r="D123" s="7" t="n">
        <v>2025</v>
      </c>
      <c r="E123" s="7" t="n">
        <v>4</v>
      </c>
      <c r="F123" s="7" t="inlineStr">
        <is>
          <t>April</t>
        </is>
      </c>
      <c r="G123" s="7" t="inlineStr">
        <is>
          <t>Q1</t>
        </is>
      </c>
      <c r="H123" s="8" t="n">
        <v>753</v>
      </c>
      <c r="I123" s="8" t="n">
        <v>0</v>
      </c>
      <c r="J123" s="8" t="n">
        <v>0</v>
      </c>
      <c r="K123" s="8" t="n">
        <v>0</v>
      </c>
      <c r="L123" s="8" t="n">
        <v>0</v>
      </c>
      <c r="M123" s="9">
        <f>SUM(I123,J123,K123,L123)</f>
        <v/>
      </c>
      <c r="N123" s="8" t="n">
        <v>597</v>
      </c>
      <c r="O123" s="8" t="n">
        <v>0</v>
      </c>
      <c r="P123" s="8" t="n">
        <v>0</v>
      </c>
      <c r="Q123" s="8" t="n">
        <v>0</v>
      </c>
      <c r="R123" s="9">
        <f>SUM(N123,O123,P123,Q123)</f>
        <v/>
      </c>
      <c r="S123" s="9">
        <f>M123+R123</f>
        <v/>
      </c>
      <c r="T123" s="8" t="n">
        <v>156</v>
      </c>
      <c r="U123" s="10">
        <f>IF(H123=0,"",T123/H123)</f>
        <v/>
      </c>
      <c r="V123" s="8" t="n">
        <v>1</v>
      </c>
      <c r="W123" s="11">
        <f>IF(H123=0,"",V123/H123)</f>
        <v/>
      </c>
      <c r="X123" s="8" t="n">
        <v>0</v>
      </c>
      <c r="Y123" s="11">
        <f>IF(H123=0,"",X123/H123)</f>
        <v/>
      </c>
      <c r="Z123" s="8" t="n">
        <v>0</v>
      </c>
      <c r="AA123" s="11">
        <f>IF(H123=0,"",Z123/H123)</f>
        <v/>
      </c>
      <c r="AB123" s="8" t="n">
        <v>0</v>
      </c>
      <c r="AC123" s="11">
        <f>IF(H123=0,"",AB123/H123)</f>
        <v/>
      </c>
      <c r="AD123" s="8" t="n">
        <v>0</v>
      </c>
      <c r="AE123" s="11">
        <f>IF(H123=0,"",AD123/H123)</f>
        <v/>
      </c>
      <c r="AF123" s="8" t="n">
        <v>0</v>
      </c>
      <c r="AG123" s="11">
        <f>IF(H123=0,"",AF123/H123)</f>
        <v/>
      </c>
      <c r="AH123" s="8" t="n">
        <v>5111.67</v>
      </c>
      <c r="AI123" s="9">
        <f>IF(H123=0,"",AH123/H123)</f>
        <v/>
      </c>
      <c r="AJ123" s="8" t="n">
        <v>1664</v>
      </c>
      <c r="AK123" s="11">
        <f>IF(H123=0,"",AJ123/H123)</f>
        <v/>
      </c>
      <c r="AL123" s="8" t="n">
        <v>247308.996</v>
      </c>
      <c r="AM123" s="9">
        <f>IF(H123=0,"",AL123/H123)</f>
        <v/>
      </c>
      <c r="AN123" s="8" t="n">
        <v>0</v>
      </c>
      <c r="AO123" s="8" t="n">
        <v>0</v>
      </c>
      <c r="AP123" s="8" t="n">
        <v>0</v>
      </c>
      <c r="AQ123" s="8" t="n">
        <v>0</v>
      </c>
      <c r="AR123" s="8" t="n">
        <v>0</v>
      </c>
      <c r="AS123" s="8" t="n">
        <v>0</v>
      </c>
      <c r="AT123" s="8" t="n">
        <v>0</v>
      </c>
      <c r="AU123" s="9">
        <f>AH123+AL123+AP123+AQ123+AR123+AS123+AT123</f>
        <v/>
      </c>
      <c r="AV123" s="9">
        <f>IF(H123=0,"",AU123/H123)</f>
        <v/>
      </c>
      <c r="AW123" s="9">
        <f>IF(S123=0,"",AU123/S123)</f>
        <v/>
      </c>
      <c r="AX123" s="8" t="n">
        <v>0</v>
      </c>
      <c r="AY123" s="9">
        <f>IF(H123=0,"",AX123/(H123/1000/12))</f>
        <v/>
      </c>
      <c r="AZ123" s="8" t="n">
        <v>2</v>
      </c>
      <c r="BA123" s="8" t="n">
        <v>0</v>
      </c>
      <c r="BB123" s="8" t="n">
        <v>0</v>
      </c>
      <c r="BC123" s="8" t="n">
        <v>0</v>
      </c>
      <c r="BD123" s="8" t="n">
        <v>0</v>
      </c>
      <c r="BE123" s="9">
        <f>BC123+BD123</f>
        <v/>
      </c>
      <c r="BF123" s="9">
        <f>BA123+BB123-BE123</f>
        <v/>
      </c>
      <c r="BG123" s="8" t="n">
        <v>0</v>
      </c>
      <c r="BH123" s="8" t="n">
        <v>0</v>
      </c>
      <c r="BI123" s="8" t="n">
        <v>0</v>
      </c>
      <c r="BJ123" s="8" t="n">
        <v>0</v>
      </c>
      <c r="BK123" s="9">
        <f>BI123+BJ123</f>
        <v/>
      </c>
      <c r="BL123" s="9">
        <f>BG123+BH123-BK123</f>
        <v/>
      </c>
      <c r="BM123" s="8" t="n">
        <v>0</v>
      </c>
      <c r="BN123" s="8" t="n">
        <v>0</v>
      </c>
      <c r="BO123" s="8" t="n">
        <v>0</v>
      </c>
      <c r="BP123" s="8" t="n">
        <v>0</v>
      </c>
      <c r="BQ123" s="9">
        <f>BO123+BP123</f>
        <v/>
      </c>
      <c r="BR123" s="9">
        <f>BM123+BN123-BQ123</f>
        <v/>
      </c>
      <c r="BS123" s="8" t="n">
        <v>0</v>
      </c>
      <c r="BT123" s="8" t="n">
        <v>0</v>
      </c>
      <c r="BU123" s="8" t="n">
        <v>0</v>
      </c>
      <c r="BV123" s="8" t="n">
        <v>0</v>
      </c>
      <c r="BW123" s="9">
        <f>BU123+BV123</f>
        <v/>
      </c>
      <c r="BX123" s="9">
        <f>BS123+BT123-BW123</f>
        <v/>
      </c>
      <c r="BY123" s="9">
        <f>BA123+BG123+BM123+BS123</f>
        <v/>
      </c>
      <c r="BZ123" s="9">
        <f>BB123+BH123+BN123+BT123</f>
        <v/>
      </c>
      <c r="CA123" s="9">
        <f>BE123+BK123+BQ123+BW123</f>
        <v/>
      </c>
      <c r="CB123" s="9">
        <f>BF123+BL123+BR123+BX123</f>
        <v/>
      </c>
      <c r="CC123" s="8" t="n">
        <v>8</v>
      </c>
      <c r="CD123" s="8" t="n">
        <v>0</v>
      </c>
      <c r="CE123" s="8" t="n">
        <v>0</v>
      </c>
      <c r="CF123" s="8" t="n">
        <v>0</v>
      </c>
      <c r="CG123" s="8" t="n">
        <v>0</v>
      </c>
      <c r="CH123" s="9">
        <f>CD123+CE123+CF123+CG123</f>
        <v/>
      </c>
      <c r="CI123" s="8" t="n">
        <v>0</v>
      </c>
      <c r="CJ123" s="8" t="n">
        <v>0</v>
      </c>
      <c r="CK123" s="8" t="n">
        <v>0</v>
      </c>
      <c r="CL123" s="8" t="n">
        <v>0</v>
      </c>
      <c r="CM123" s="9">
        <f>CI123+CJ123+CK123+CL123</f>
        <v/>
      </c>
      <c r="CN123" s="8" t="n">
        <v>75</v>
      </c>
      <c r="CO123" s="8" t="n">
        <v>1</v>
      </c>
      <c r="CP123" s="8" t="n">
        <v>0</v>
      </c>
      <c r="CQ123" s="8" t="n">
        <v>0</v>
      </c>
      <c r="CR123" s="9">
        <f>CN123+CO123+CP123+CQ123</f>
        <v/>
      </c>
      <c r="CS123" s="9">
        <f>CM123+CR123</f>
        <v/>
      </c>
      <c r="CT123" s="8" t="n">
        <v>76</v>
      </c>
      <c r="CU123" s="8" t="n">
        <v>553</v>
      </c>
      <c r="CV123" s="8" t="n">
        <v>553</v>
      </c>
      <c r="CW123" s="10">
        <f>IF(CU123=0,"",CV123/CU123)</f>
        <v/>
      </c>
      <c r="CX123" s="8" t="n">
        <v>0</v>
      </c>
      <c r="CY123" s="8" t="n">
        <v>0</v>
      </c>
      <c r="CZ123" s="8" t="n">
        <v>0</v>
      </c>
      <c r="DA123" s="8" t="n">
        <v>0</v>
      </c>
      <c r="DB123" s="9">
        <f>CX123+CY123-CZ123-DA123</f>
        <v/>
      </c>
      <c r="DC123" s="8" t="n">
        <v>0</v>
      </c>
      <c r="DD123" s="8" t="n">
        <v>0</v>
      </c>
      <c r="DE123" s="8" t="n">
        <v>0</v>
      </c>
      <c r="DF123" s="8" t="n">
        <v>0</v>
      </c>
      <c r="DG123" s="9">
        <f>DC123+DD123-DE123-DF123</f>
        <v/>
      </c>
      <c r="DH123" s="8" t="n">
        <v>0</v>
      </c>
      <c r="DI123" s="8" t="n">
        <v>0</v>
      </c>
      <c r="DJ123" s="8" t="n">
        <v>0</v>
      </c>
      <c r="DK123" s="8" t="n">
        <v>0</v>
      </c>
      <c r="DL123" s="9">
        <f>DH123+DI123-DJ123-DK123</f>
        <v/>
      </c>
      <c r="DM123" s="8" t="n">
        <v>0</v>
      </c>
      <c r="DN123" s="8" t="n">
        <v>0</v>
      </c>
      <c r="DO123" s="8" t="n">
        <v>0</v>
      </c>
      <c r="DP123" s="8" t="n">
        <v>0</v>
      </c>
      <c r="DQ123" s="9">
        <f>DM123+DN123-DO123-DP123</f>
        <v/>
      </c>
      <c r="DR123" s="9">
        <f>CX123+DC123+DH123+DM123</f>
        <v/>
      </c>
      <c r="DS123" s="9">
        <f>CY123+DD123+DI123+DN123</f>
        <v/>
      </c>
      <c r="DT123" s="9">
        <f>CZ123+DE123+DJ123+DO123</f>
        <v/>
      </c>
      <c r="DU123" s="9">
        <f>DA123+DF123+DK123+DP123</f>
        <v/>
      </c>
      <c r="DV123" s="9">
        <f>DB123+DG123+DL123+DQ123</f>
        <v/>
      </c>
      <c r="DW123" s="8" t="n">
        <v>0</v>
      </c>
      <c r="DX123" s="8" t="n">
        <v>0</v>
      </c>
      <c r="DY123" s="8" t="n">
        <v>0</v>
      </c>
      <c r="DZ123" s="8" t="n">
        <v>0</v>
      </c>
      <c r="EA123" s="8" t="n">
        <v>0</v>
      </c>
      <c r="EB123" s="8" t="n">
        <v>0</v>
      </c>
      <c r="EC123" s="8" t="n">
        <v>0</v>
      </c>
      <c r="ED123" s="8" t="n">
        <v>0</v>
      </c>
      <c r="EE123" s="8" t="n">
        <v>0</v>
      </c>
      <c r="EF123" s="8" t="n">
        <v>0</v>
      </c>
      <c r="EG123" s="8" t="n">
        <v>0</v>
      </c>
      <c r="EH123" s="8" t="n">
        <v>0</v>
      </c>
      <c r="EI123" s="8" t="n">
        <v>0</v>
      </c>
      <c r="EJ123" s="8" t="n">
        <v>0</v>
      </c>
      <c r="EK123" s="8" t="n">
        <v>0</v>
      </c>
      <c r="EL123" s="8" t="n">
        <v>0</v>
      </c>
      <c r="EM123" s="8" t="n">
        <v>0</v>
      </c>
      <c r="EN123" s="8" t="n">
        <v>0</v>
      </c>
      <c r="EO123" s="8" t="n">
        <v>0</v>
      </c>
      <c r="EP123" s="8" t="n">
        <v>0</v>
      </c>
      <c r="EQ123" s="8" t="n">
        <v>0</v>
      </c>
      <c r="ER123" s="8" t="n">
        <v>0</v>
      </c>
      <c r="ES123" s="8" t="n">
        <v>0</v>
      </c>
      <c r="ET123" s="8" t="n">
        <v>0</v>
      </c>
      <c r="EU123" s="8" t="n">
        <v>0</v>
      </c>
      <c r="EV123" s="8" t="n">
        <v>0</v>
      </c>
      <c r="EW123" s="8" t="n">
        <v>0</v>
      </c>
      <c r="EX123" s="8" t="n">
        <v>0</v>
      </c>
      <c r="EY123" s="8" t="n">
        <v>0</v>
      </c>
      <c r="EZ123" s="8" t="n">
        <v>0</v>
      </c>
      <c r="FA123" s="8" t="n">
        <v>0</v>
      </c>
      <c r="FB123" s="8" t="n">
        <v>0</v>
      </c>
      <c r="FC123" s="8" t="n">
        <v>0</v>
      </c>
      <c r="FD123" s="8" t="n">
        <v>0</v>
      </c>
      <c r="FE123" s="8" t="n">
        <v>0</v>
      </c>
      <c r="FF123" s="8" t="n">
        <v>0</v>
      </c>
      <c r="FG123" s="9">
        <f>SUM(DW123,DX123,DY123,DZ123,EA123,EB123,EC123,ED123,EE123,EF123,EG123,EH123,EI123,EJ123,EK123,EL123,EM123,EN123,EO123,EP123,EQ123,ER123,ES123,ET123,EU123,EV123,EW123,EX123,EY123,EZ123,FA123,FB123,FC123,FD123,FE123,FF123)</f>
        <v/>
      </c>
      <c r="FH123" s="8" t="n">
        <v>0</v>
      </c>
      <c r="FI123" s="8" t="n">
        <v>0</v>
      </c>
      <c r="FJ123" s="8" t="n">
        <v>18</v>
      </c>
      <c r="FK123" s="8" t="n">
        <v>72</v>
      </c>
      <c r="FL123" s="8" t="n">
        <v>0</v>
      </c>
      <c r="FM123" s="8" t="n">
        <v>0</v>
      </c>
      <c r="FN123" s="8" t="n">
        <v>0</v>
      </c>
      <c r="FO123" s="8" t="n">
        <v>0</v>
      </c>
      <c r="FP123" s="8" t="n">
        <v>0</v>
      </c>
      <c r="FQ123" s="9">
        <f>FL123+FM123+FN123+FO123+FP123</f>
        <v/>
      </c>
      <c r="FR123" s="8" t="n">
        <v>0</v>
      </c>
      <c r="FS123" s="8" t="n">
        <v>0</v>
      </c>
      <c r="FT123" s="8" t="n">
        <v>0</v>
      </c>
      <c r="FU123" s="8" t="n">
        <v>0</v>
      </c>
      <c r="FV123" s="9">
        <f>FR123+FS123+FT123+FU123</f>
        <v/>
      </c>
      <c r="FW123" s="8" t="n">
        <v>747609</v>
      </c>
      <c r="FX123" s="8" t="n">
        <v>747609</v>
      </c>
      <c r="FY123" s="8" t="n">
        <v>0</v>
      </c>
      <c r="FZ123" s="8" t="n">
        <v>0</v>
      </c>
      <c r="GA123" s="9">
        <f>FW123+FX123+FY123+FZ123</f>
        <v/>
      </c>
      <c r="GB123" s="9">
        <f>FV123+GA123</f>
        <v/>
      </c>
      <c r="GC123" s="8" t="n">
        <v>0</v>
      </c>
      <c r="GD123" s="8" t="n">
        <v>0</v>
      </c>
      <c r="GE123" s="8" t="n">
        <v>0</v>
      </c>
      <c r="GF123" s="8" t="n">
        <v>0</v>
      </c>
      <c r="GG123" s="9">
        <f>GC123+GD123+GE123+GF123</f>
        <v/>
      </c>
      <c r="GH123" s="8" t="n">
        <v>0</v>
      </c>
      <c r="GI123" s="8" t="n">
        <v>0</v>
      </c>
      <c r="GJ123" s="8" t="n">
        <v>0</v>
      </c>
      <c r="GK123" s="8" t="n">
        <v>0</v>
      </c>
      <c r="GL123" s="9">
        <f>GH123+GI123+GJ123+GK123</f>
        <v/>
      </c>
      <c r="GM123" s="9">
        <f>GG123+GL123</f>
        <v/>
      </c>
      <c r="GN123" s="8" t="n">
        <v>0</v>
      </c>
      <c r="GO123" s="8" t="n">
        <v>0</v>
      </c>
      <c r="GP123" s="8" t="n">
        <v>0</v>
      </c>
      <c r="GQ123" s="8" t="n">
        <v>0</v>
      </c>
      <c r="GR123" s="9">
        <f>GN123+GO123+GP123+GQ123</f>
        <v/>
      </c>
      <c r="GS123" s="8" t="n">
        <v>0</v>
      </c>
      <c r="GT123" s="8" t="n">
        <v>0</v>
      </c>
      <c r="GU123" s="8" t="n">
        <v>0</v>
      </c>
      <c r="GV123" s="8" t="n">
        <v>0</v>
      </c>
      <c r="GW123" s="9">
        <f>GS123+GT123+GU123+GV123</f>
        <v/>
      </c>
      <c r="GX123" s="9">
        <f>GM123+GR123+GW123</f>
        <v/>
      </c>
      <c r="GY123" s="8" t="n">
        <v>0</v>
      </c>
      <c r="GZ123" s="8" t="n">
        <v>0</v>
      </c>
      <c r="HA123" s="9">
        <f>GY123+GZ123</f>
        <v/>
      </c>
      <c r="HB123" s="9">
        <f>IF(GX123=0,"",AU123/GX123)</f>
        <v/>
      </c>
      <c r="HC123" s="10">
        <f>IF((GX123+GY123)=0,"",GB123/(GX123+GY123))</f>
        <v/>
      </c>
      <c r="HD123" s="9">
        <f>IF(GX123=0,"",GB123/GX123)</f>
        <v/>
      </c>
      <c r="HE123" s="8" t="n">
        <v>0</v>
      </c>
      <c r="HF123" s="8" t="n">
        <v>0</v>
      </c>
      <c r="HG123" s="8" t="n">
        <v>0</v>
      </c>
      <c r="HH123" s="8" t="n">
        <v>0</v>
      </c>
      <c r="HI123" s="8" t="n">
        <v>0</v>
      </c>
      <c r="HJ123" s="9">
        <f>HF123+HI123</f>
        <v/>
      </c>
      <c r="HK123" s="10">
        <f>IF(HE123=0,"",HH123/HE123)</f>
        <v/>
      </c>
      <c r="HL123" s="8" t="n">
        <v>4</v>
      </c>
      <c r="HM123" s="8" t="n">
        <v>2</v>
      </c>
      <c r="HN123" s="11">
        <f>IF(HL123=0,"",HM123/HL123)</f>
        <v/>
      </c>
    </row>
    <row r="124">
      <c r="A124" s="12" t="inlineStr">
        <is>
          <t>Mulanje</t>
        </is>
      </c>
      <c r="B124" s="12" t="inlineStr">
        <is>
          <t>Migowi</t>
        </is>
      </c>
      <c r="C124" s="13" t="inlineStr">
        <is>
          <t>FY2025/26</t>
        </is>
      </c>
      <c r="D124" s="13" t="n">
        <v>2025</v>
      </c>
      <c r="E124" s="13" t="n">
        <v>5</v>
      </c>
      <c r="F124" s="13" t="inlineStr">
        <is>
          <t>May</t>
        </is>
      </c>
      <c r="G124" s="13" t="inlineStr">
        <is>
          <t>Q1</t>
        </is>
      </c>
      <c r="H124" s="14" t="n">
        <v>1051</v>
      </c>
      <c r="I124" s="14" t="n">
        <v>0</v>
      </c>
      <c r="J124" s="14" t="n">
        <v>0</v>
      </c>
      <c r="K124" s="14" t="n">
        <v>0</v>
      </c>
      <c r="L124" s="14" t="n">
        <v>0</v>
      </c>
      <c r="M124" s="15">
        <f>SUM(I124,J124,K124,L124)</f>
        <v/>
      </c>
      <c r="N124" s="14" t="n">
        <v>821</v>
      </c>
      <c r="O124" s="14" t="n">
        <v>0</v>
      </c>
      <c r="P124" s="14" t="n">
        <v>0</v>
      </c>
      <c r="Q124" s="14" t="n">
        <v>0</v>
      </c>
      <c r="R124" s="15">
        <f>SUM(N124,O124,P124,Q124)</f>
        <v/>
      </c>
      <c r="S124" s="15">
        <f>M124+R124</f>
        <v/>
      </c>
      <c r="T124" s="14" t="n">
        <v>230</v>
      </c>
      <c r="U124" s="16">
        <f>IF(H124=0,"",T124/H124)</f>
        <v/>
      </c>
      <c r="V124" s="14" t="n">
        <v>1</v>
      </c>
      <c r="W124" s="17">
        <f>IF(H124=0,"",V124/H124)</f>
        <v/>
      </c>
      <c r="X124" s="14" t="n">
        <v>0</v>
      </c>
      <c r="Y124" s="17">
        <f>IF(H124=0,"",X124/H124)</f>
        <v/>
      </c>
      <c r="Z124" s="14" t="n">
        <v>0</v>
      </c>
      <c r="AA124" s="17">
        <f>IF(H124=0,"",Z124/H124)</f>
        <v/>
      </c>
      <c r="AB124" s="14" t="n">
        <v>0</v>
      </c>
      <c r="AC124" s="17">
        <f>IF(H124=0,"",AB124/H124)</f>
        <v/>
      </c>
      <c r="AD124" s="14" t="n">
        <v>0</v>
      </c>
      <c r="AE124" s="17">
        <f>IF(H124=0,"",AD124/H124)</f>
        <v/>
      </c>
      <c r="AF124" s="14" t="n">
        <v>0</v>
      </c>
      <c r="AG124" s="17">
        <f>IF(H124=0,"",AF124/H124)</f>
        <v/>
      </c>
      <c r="AH124" s="14" t="n">
        <v>5111.67</v>
      </c>
      <c r="AI124" s="15">
        <f>IF(H124=0,"",AH124/H124)</f>
        <v/>
      </c>
      <c r="AJ124" s="14" t="n">
        <v>400</v>
      </c>
      <c r="AK124" s="17">
        <f>IF(H124=0,"",AJ124/H124)</f>
        <v/>
      </c>
      <c r="AL124" s="14" t="n">
        <v>71927.10000000001</v>
      </c>
      <c r="AM124" s="15">
        <f>IF(H124=0,"",AL124/H124)</f>
        <v/>
      </c>
      <c r="AN124" s="14" t="n">
        <v>0</v>
      </c>
      <c r="AO124" s="14" t="n">
        <v>0</v>
      </c>
      <c r="AP124" s="14" t="n">
        <v>0</v>
      </c>
      <c r="AQ124" s="14" t="n">
        <v>0</v>
      </c>
      <c r="AR124" s="14" t="n">
        <v>0</v>
      </c>
      <c r="AS124" s="14" t="n">
        <v>0</v>
      </c>
      <c r="AT124" s="14" t="n">
        <v>0</v>
      </c>
      <c r="AU124" s="15">
        <f>AH124+AL124+AP124+AQ124+AR124+AS124+AT124</f>
        <v/>
      </c>
      <c r="AV124" s="15">
        <f>IF(H124=0,"",AU124/H124)</f>
        <v/>
      </c>
      <c r="AW124" s="15">
        <f>IF(S124=0,"",AU124/S124)</f>
        <v/>
      </c>
      <c r="AX124" s="14" t="n">
        <v>0</v>
      </c>
      <c r="AY124" s="15">
        <f>IF(H124=0,"",AX124/(H124/1000/12))</f>
        <v/>
      </c>
      <c r="AZ124" s="14" t="n">
        <v>2</v>
      </c>
      <c r="BA124" s="14" t="n">
        <v>0</v>
      </c>
      <c r="BB124" s="14" t="n">
        <v>0</v>
      </c>
      <c r="BC124" s="14" t="n">
        <v>0</v>
      </c>
      <c r="BD124" s="14" t="n">
        <v>0</v>
      </c>
      <c r="BE124" s="15">
        <f>BC124+BD124</f>
        <v/>
      </c>
      <c r="BF124" s="15">
        <f>BA124+BB124-BE124</f>
        <v/>
      </c>
      <c r="BG124" s="14" t="n">
        <v>0</v>
      </c>
      <c r="BH124" s="14" t="n">
        <v>0</v>
      </c>
      <c r="BI124" s="14" t="n">
        <v>0</v>
      </c>
      <c r="BJ124" s="14" t="n">
        <v>0</v>
      </c>
      <c r="BK124" s="15">
        <f>BI124+BJ124</f>
        <v/>
      </c>
      <c r="BL124" s="15">
        <f>BG124+BH124-BK124</f>
        <v/>
      </c>
      <c r="BM124" s="14" t="n">
        <v>0</v>
      </c>
      <c r="BN124" s="14" t="n">
        <v>0</v>
      </c>
      <c r="BO124" s="14" t="n">
        <v>0</v>
      </c>
      <c r="BP124" s="14" t="n">
        <v>0</v>
      </c>
      <c r="BQ124" s="15">
        <f>BO124+BP124</f>
        <v/>
      </c>
      <c r="BR124" s="15">
        <f>BM124+BN124-BQ124</f>
        <v/>
      </c>
      <c r="BS124" s="14" t="n">
        <v>0</v>
      </c>
      <c r="BT124" s="14" t="n">
        <v>0</v>
      </c>
      <c r="BU124" s="14" t="n">
        <v>0</v>
      </c>
      <c r="BV124" s="14" t="n">
        <v>0</v>
      </c>
      <c r="BW124" s="15">
        <f>BU124+BV124</f>
        <v/>
      </c>
      <c r="BX124" s="15">
        <f>BS124+BT124-BW124</f>
        <v/>
      </c>
      <c r="BY124" s="15">
        <f>BA124+BG124+BM124+BS124</f>
        <v/>
      </c>
      <c r="BZ124" s="15">
        <f>BB124+BH124+BN124+BT124</f>
        <v/>
      </c>
      <c r="CA124" s="15">
        <f>BE124+BK124+BQ124+BW124</f>
        <v/>
      </c>
      <c r="CB124" s="15">
        <f>BF124+BL124+BR124+BX124</f>
        <v/>
      </c>
      <c r="CC124" s="14" t="n">
        <v>0</v>
      </c>
      <c r="CD124" s="14" t="n">
        <v>0</v>
      </c>
      <c r="CE124" s="14" t="n">
        <v>0</v>
      </c>
      <c r="CF124" s="14" t="n">
        <v>0</v>
      </c>
      <c r="CG124" s="14" t="n">
        <v>0</v>
      </c>
      <c r="CH124" s="15">
        <f>CD124+CE124+CF124+CG124</f>
        <v/>
      </c>
      <c r="CI124" s="14" t="n">
        <v>0</v>
      </c>
      <c r="CJ124" s="14" t="n">
        <v>0</v>
      </c>
      <c r="CK124" s="14" t="n">
        <v>0</v>
      </c>
      <c r="CL124" s="14" t="n">
        <v>0</v>
      </c>
      <c r="CM124" s="15">
        <f>CI124+CJ124+CK124+CL124</f>
        <v/>
      </c>
      <c r="CN124" s="14" t="n">
        <v>75</v>
      </c>
      <c r="CO124" s="14" t="n">
        <v>1</v>
      </c>
      <c r="CP124" s="14" t="n">
        <v>0</v>
      </c>
      <c r="CQ124" s="14" t="n">
        <v>0</v>
      </c>
      <c r="CR124" s="15">
        <f>CN124+CO124+CP124+CQ124</f>
        <v/>
      </c>
      <c r="CS124" s="15">
        <f>CM124+CR124</f>
        <v/>
      </c>
      <c r="CT124" s="14" t="n">
        <v>76</v>
      </c>
      <c r="CU124" s="14" t="n">
        <v>553</v>
      </c>
      <c r="CV124" s="14" t="n">
        <v>553</v>
      </c>
      <c r="CW124" s="16">
        <f>IF(CU124=0,"",CV124/CU124)</f>
        <v/>
      </c>
      <c r="CX124" s="14" t="n">
        <v>0</v>
      </c>
      <c r="CY124" s="14" t="n">
        <v>0</v>
      </c>
      <c r="CZ124" s="14" t="n">
        <v>0</v>
      </c>
      <c r="DA124" s="14" t="n">
        <v>0</v>
      </c>
      <c r="DB124" s="15">
        <f>CX124+CY124-CZ124-DA124</f>
        <v/>
      </c>
      <c r="DC124" s="14" t="n">
        <v>0</v>
      </c>
      <c r="DD124" s="14" t="n">
        <v>0</v>
      </c>
      <c r="DE124" s="14" t="n">
        <v>0</v>
      </c>
      <c r="DF124" s="14" t="n">
        <v>0</v>
      </c>
      <c r="DG124" s="15">
        <f>DC124+DD124-DE124-DF124</f>
        <v/>
      </c>
      <c r="DH124" s="14" t="n">
        <v>0</v>
      </c>
      <c r="DI124" s="14" t="n">
        <v>0</v>
      </c>
      <c r="DJ124" s="14" t="n">
        <v>0</v>
      </c>
      <c r="DK124" s="14" t="n">
        <v>0</v>
      </c>
      <c r="DL124" s="15">
        <f>DH124+DI124-DJ124-DK124</f>
        <v/>
      </c>
      <c r="DM124" s="14" t="n">
        <v>0</v>
      </c>
      <c r="DN124" s="14" t="n">
        <v>0</v>
      </c>
      <c r="DO124" s="14" t="n">
        <v>0</v>
      </c>
      <c r="DP124" s="14" t="n">
        <v>0</v>
      </c>
      <c r="DQ124" s="15">
        <f>DM124+DN124-DO124-DP124</f>
        <v/>
      </c>
      <c r="DR124" s="15">
        <f>CX124+DC124+DH124+DM124</f>
        <v/>
      </c>
      <c r="DS124" s="15">
        <f>CY124+DD124+DI124+DN124</f>
        <v/>
      </c>
      <c r="DT124" s="15">
        <f>CZ124+DE124+DJ124+DO124</f>
        <v/>
      </c>
      <c r="DU124" s="15">
        <f>DA124+DF124+DK124+DP124</f>
        <v/>
      </c>
      <c r="DV124" s="15">
        <f>DB124+DG124+DL124+DQ124</f>
        <v/>
      </c>
      <c r="DW124" s="14" t="n">
        <v>0</v>
      </c>
      <c r="DX124" s="14" t="n">
        <v>0</v>
      </c>
      <c r="DY124" s="14" t="n">
        <v>0</v>
      </c>
      <c r="DZ124" s="14" t="n">
        <v>0</v>
      </c>
      <c r="EA124" s="14" t="n">
        <v>0</v>
      </c>
      <c r="EB124" s="14" t="n">
        <v>0</v>
      </c>
      <c r="EC124" s="14" t="n">
        <v>0</v>
      </c>
      <c r="ED124" s="14" t="n">
        <v>0</v>
      </c>
      <c r="EE124" s="14" t="n">
        <v>0</v>
      </c>
      <c r="EF124" s="14" t="n">
        <v>0</v>
      </c>
      <c r="EG124" s="14" t="n">
        <v>0</v>
      </c>
      <c r="EH124" s="14" t="n">
        <v>0</v>
      </c>
      <c r="EI124" s="14" t="n">
        <v>0</v>
      </c>
      <c r="EJ124" s="14" t="n">
        <v>0</v>
      </c>
      <c r="EK124" s="14" t="n">
        <v>0</v>
      </c>
      <c r="EL124" s="14" t="n">
        <v>0</v>
      </c>
      <c r="EM124" s="14" t="n">
        <v>0</v>
      </c>
      <c r="EN124" s="14" t="n">
        <v>0</v>
      </c>
      <c r="EO124" s="14" t="n">
        <v>0</v>
      </c>
      <c r="EP124" s="14" t="n">
        <v>0</v>
      </c>
      <c r="EQ124" s="14" t="n">
        <v>0</v>
      </c>
      <c r="ER124" s="14" t="n">
        <v>0</v>
      </c>
      <c r="ES124" s="14" t="n">
        <v>0</v>
      </c>
      <c r="ET124" s="14" t="n">
        <v>0</v>
      </c>
      <c r="EU124" s="14" t="n">
        <v>0</v>
      </c>
      <c r="EV124" s="14" t="n">
        <v>0</v>
      </c>
      <c r="EW124" s="14" t="n">
        <v>0</v>
      </c>
      <c r="EX124" s="14" t="n">
        <v>0</v>
      </c>
      <c r="EY124" s="14" t="n">
        <v>0</v>
      </c>
      <c r="EZ124" s="14" t="n">
        <v>0</v>
      </c>
      <c r="FA124" s="14" t="n">
        <v>0</v>
      </c>
      <c r="FB124" s="14" t="n">
        <v>0</v>
      </c>
      <c r="FC124" s="14" t="n">
        <v>0</v>
      </c>
      <c r="FD124" s="14" t="n">
        <v>0</v>
      </c>
      <c r="FE124" s="14" t="n">
        <v>0</v>
      </c>
      <c r="FF124" s="14" t="n">
        <v>0</v>
      </c>
      <c r="FG124" s="15">
        <f>SUM(DW124,DX124,DY124,DZ124,EA124,EB124,EC124,ED124,EE124,EF124,EG124,EH124,EI124,EJ124,EK124,EL124,EM124,EN124,EO124,EP124,EQ124,ER124,ES124,ET124,EU124,EV124,EW124,EX124,EY124,EZ124,FA124,FB124,FC124,FD124,FE124,FF124)</f>
        <v/>
      </c>
      <c r="FH124" s="14" t="n">
        <v>0</v>
      </c>
      <c r="FI124" s="14" t="n">
        <v>0</v>
      </c>
      <c r="FJ124" s="14" t="n">
        <v>24</v>
      </c>
      <c r="FK124" s="14" t="n">
        <v>11</v>
      </c>
      <c r="FL124" s="14" t="n">
        <v>0</v>
      </c>
      <c r="FM124" s="14" t="n">
        <v>0</v>
      </c>
      <c r="FN124" s="14" t="n">
        <v>0</v>
      </c>
      <c r="FO124" s="14" t="n">
        <v>0</v>
      </c>
      <c r="FP124" s="14" t="n">
        <v>0</v>
      </c>
      <c r="FQ124" s="15">
        <f>FL124+FM124+FN124+FO124+FP124</f>
        <v/>
      </c>
      <c r="FR124" s="14" t="n">
        <v>0</v>
      </c>
      <c r="FS124" s="14" t="n">
        <v>0</v>
      </c>
      <c r="FT124" s="14" t="n">
        <v>0</v>
      </c>
      <c r="FU124" s="14" t="n">
        <v>0</v>
      </c>
      <c r="FV124" s="15">
        <f>FR124+FS124+FT124+FU124</f>
        <v/>
      </c>
      <c r="FW124" s="14" t="n">
        <v>1084750</v>
      </c>
      <c r="FX124" s="14" t="n">
        <v>0</v>
      </c>
      <c r="FY124" s="14" t="n">
        <v>0</v>
      </c>
      <c r="FZ124" s="14" t="n">
        <v>0</v>
      </c>
      <c r="GA124" s="15">
        <f>FW124+FX124+FY124+FZ124</f>
        <v/>
      </c>
      <c r="GB124" s="15">
        <f>FV124+GA124</f>
        <v/>
      </c>
      <c r="GC124" s="14" t="n">
        <v>0</v>
      </c>
      <c r="GD124" s="14" t="n">
        <v>0</v>
      </c>
      <c r="GE124" s="14" t="n">
        <v>0</v>
      </c>
      <c r="GF124" s="14" t="n">
        <v>0</v>
      </c>
      <c r="GG124" s="15">
        <f>GC124+GD124+GE124+GF124</f>
        <v/>
      </c>
      <c r="GH124" s="14" t="n">
        <v>0</v>
      </c>
      <c r="GI124" s="14" t="n">
        <v>0</v>
      </c>
      <c r="GJ124" s="14" t="n">
        <v>0</v>
      </c>
      <c r="GK124" s="14" t="n">
        <v>0</v>
      </c>
      <c r="GL124" s="15">
        <f>GH124+GI124+GJ124+GK124</f>
        <v/>
      </c>
      <c r="GM124" s="15">
        <f>GG124+GL124</f>
        <v/>
      </c>
      <c r="GN124" s="14" t="n">
        <v>0</v>
      </c>
      <c r="GO124" s="14" t="n">
        <v>0</v>
      </c>
      <c r="GP124" s="14" t="n">
        <v>0</v>
      </c>
      <c r="GQ124" s="14" t="n">
        <v>0</v>
      </c>
      <c r="GR124" s="15">
        <f>GN124+GO124+GP124+GQ124</f>
        <v/>
      </c>
      <c r="GS124" s="14" t="n">
        <v>0</v>
      </c>
      <c r="GT124" s="14" t="n">
        <v>0</v>
      </c>
      <c r="GU124" s="14" t="n">
        <v>0</v>
      </c>
      <c r="GV124" s="14" t="n">
        <v>0</v>
      </c>
      <c r="GW124" s="15">
        <f>GS124+GT124+GU124+GV124</f>
        <v/>
      </c>
      <c r="GX124" s="15">
        <f>GM124+GR124+GW124</f>
        <v/>
      </c>
      <c r="GY124" s="14" t="n">
        <v>0</v>
      </c>
      <c r="GZ124" s="14" t="n">
        <v>0</v>
      </c>
      <c r="HA124" s="15">
        <f>GY124+GZ124</f>
        <v/>
      </c>
      <c r="HB124" s="15">
        <f>IF(GX124=0,"",AU124/GX124)</f>
        <v/>
      </c>
      <c r="HC124" s="16">
        <f>IF((GX124+GY124)=0,"",GB124/(GX124+GY124))</f>
        <v/>
      </c>
      <c r="HD124" s="15">
        <f>IF(GX124=0,"",GB124/GX124)</f>
        <v/>
      </c>
      <c r="HE124" s="14" t="n">
        <v>0</v>
      </c>
      <c r="HF124" s="14" t="n">
        <v>0</v>
      </c>
      <c r="HG124" s="14" t="n">
        <v>0</v>
      </c>
      <c r="HH124" s="14" t="n">
        <v>0</v>
      </c>
      <c r="HI124" s="14" t="n">
        <v>0</v>
      </c>
      <c r="HJ124" s="15">
        <f>HF124+HI124</f>
        <v/>
      </c>
      <c r="HK124" s="16">
        <f>IF(HE124=0,"",HH124/HE124)</f>
        <v/>
      </c>
      <c r="HL124" s="14" t="n">
        <v>12</v>
      </c>
      <c r="HM124" s="14" t="n">
        <v>1</v>
      </c>
      <c r="HN124" s="17">
        <f>IF(HL124=0,"",HM124/HL124)</f>
        <v/>
      </c>
    </row>
    <row r="125">
      <c r="A125" s="6" t="inlineStr">
        <is>
          <t>Mulanje</t>
        </is>
      </c>
      <c r="B125" s="6" t="inlineStr">
        <is>
          <t>Migowi</t>
        </is>
      </c>
      <c r="C125" s="7" t="inlineStr">
        <is>
          <t>FY2025/26</t>
        </is>
      </c>
      <c r="D125" s="7" t="n">
        <v>2025</v>
      </c>
      <c r="E125" s="7" t="n">
        <v>6</v>
      </c>
      <c r="F125" s="7" t="inlineStr">
        <is>
          <t>June</t>
        </is>
      </c>
      <c r="G125" s="7" t="inlineStr">
        <is>
          <t>Q1</t>
        </is>
      </c>
      <c r="H125" s="8" t="n">
        <v>845</v>
      </c>
      <c r="I125" s="8" t="n">
        <v>0</v>
      </c>
      <c r="J125" s="8" t="n">
        <v>0</v>
      </c>
      <c r="K125" s="8" t="n">
        <v>0</v>
      </c>
      <c r="L125" s="8" t="n">
        <v>0</v>
      </c>
      <c r="M125" s="9">
        <f>SUM(I125,J125,K125,L125)</f>
        <v/>
      </c>
      <c r="N125" s="8" t="n">
        <v>691</v>
      </c>
      <c r="O125" s="8" t="n">
        <v>0</v>
      </c>
      <c r="P125" s="8" t="n">
        <v>0</v>
      </c>
      <c r="Q125" s="8" t="n">
        <v>0</v>
      </c>
      <c r="R125" s="9">
        <f>SUM(N125,O125,P125,Q125)</f>
        <v/>
      </c>
      <c r="S125" s="9">
        <f>M125+R125</f>
        <v/>
      </c>
      <c r="T125" s="8" t="n">
        <v>154</v>
      </c>
      <c r="U125" s="10">
        <f>IF(H125=0,"",T125/H125)</f>
        <v/>
      </c>
      <c r="V125" s="8" t="n">
        <v>1</v>
      </c>
      <c r="W125" s="11">
        <f>IF(H125=0,"",V125/H125)</f>
        <v/>
      </c>
      <c r="X125" s="8" t="n">
        <v>0</v>
      </c>
      <c r="Y125" s="11">
        <f>IF(H125=0,"",X125/H125)</f>
        <v/>
      </c>
      <c r="Z125" s="8" t="n">
        <v>0</v>
      </c>
      <c r="AA125" s="11">
        <f>IF(H125=0,"",Z125/H125)</f>
        <v/>
      </c>
      <c r="AB125" s="8" t="n">
        <v>0</v>
      </c>
      <c r="AC125" s="11">
        <f>IF(H125=0,"",AB125/H125)</f>
        <v/>
      </c>
      <c r="AD125" s="8" t="n">
        <v>0</v>
      </c>
      <c r="AE125" s="11">
        <f>IF(H125=0,"",AD125/H125)</f>
        <v/>
      </c>
      <c r="AF125" s="8" t="n">
        <v>0</v>
      </c>
      <c r="AG125" s="11">
        <f>IF(H125=0,"",AF125/H125)</f>
        <v/>
      </c>
      <c r="AH125" s="8" t="n">
        <v>5111.67</v>
      </c>
      <c r="AI125" s="9">
        <f>IF(H125=0,"",AH125/H125)</f>
        <v/>
      </c>
      <c r="AJ125" s="8" t="n">
        <v>346</v>
      </c>
      <c r="AK125" s="11">
        <f>IF(H125=0,"",AJ125/H125)</f>
        <v/>
      </c>
      <c r="AL125" s="8" t="n">
        <v>64434.519</v>
      </c>
      <c r="AM125" s="9">
        <f>IF(H125=0,"",AL125/H125)</f>
        <v/>
      </c>
      <c r="AN125" s="8" t="n">
        <v>0</v>
      </c>
      <c r="AO125" s="8" t="n">
        <v>0</v>
      </c>
      <c r="AP125" s="8" t="n">
        <v>0</v>
      </c>
      <c r="AQ125" s="8" t="n">
        <v>0</v>
      </c>
      <c r="AR125" s="8" t="n">
        <v>0</v>
      </c>
      <c r="AS125" s="8" t="n">
        <v>0</v>
      </c>
      <c r="AT125" s="8" t="n">
        <v>0</v>
      </c>
      <c r="AU125" s="9">
        <f>AH125+AL125+AP125+AQ125+AR125+AS125+AT125</f>
        <v/>
      </c>
      <c r="AV125" s="9">
        <f>IF(H125=0,"",AU125/H125)</f>
        <v/>
      </c>
      <c r="AW125" s="9">
        <f>IF(S125=0,"",AU125/S125)</f>
        <v/>
      </c>
      <c r="AX125" s="8" t="n">
        <v>0</v>
      </c>
      <c r="AY125" s="9">
        <f>IF(H125=0,"",AX125/(H125/1000/12))</f>
        <v/>
      </c>
      <c r="AZ125" s="8" t="n">
        <v>2</v>
      </c>
      <c r="BA125" s="8" t="n">
        <v>0</v>
      </c>
      <c r="BB125" s="8" t="n">
        <v>0</v>
      </c>
      <c r="BC125" s="8" t="n">
        <v>0</v>
      </c>
      <c r="BD125" s="8" t="n">
        <v>0</v>
      </c>
      <c r="BE125" s="9">
        <f>BC125+BD125</f>
        <v/>
      </c>
      <c r="BF125" s="9">
        <f>BA125+BB125-BE125</f>
        <v/>
      </c>
      <c r="BG125" s="8" t="n">
        <v>0</v>
      </c>
      <c r="BH125" s="8" t="n">
        <v>0</v>
      </c>
      <c r="BI125" s="8" t="n">
        <v>0</v>
      </c>
      <c r="BJ125" s="8" t="n">
        <v>0</v>
      </c>
      <c r="BK125" s="9">
        <f>BI125+BJ125</f>
        <v/>
      </c>
      <c r="BL125" s="9">
        <f>BG125+BH125-BK125</f>
        <v/>
      </c>
      <c r="BM125" s="8" t="n">
        <v>0</v>
      </c>
      <c r="BN125" s="8" t="n">
        <v>0</v>
      </c>
      <c r="BO125" s="8" t="n">
        <v>0</v>
      </c>
      <c r="BP125" s="8" t="n">
        <v>0</v>
      </c>
      <c r="BQ125" s="9">
        <f>BO125+BP125</f>
        <v/>
      </c>
      <c r="BR125" s="9">
        <f>BM125+BN125-BQ125</f>
        <v/>
      </c>
      <c r="BS125" s="8" t="n">
        <v>0</v>
      </c>
      <c r="BT125" s="8" t="n">
        <v>0</v>
      </c>
      <c r="BU125" s="8" t="n">
        <v>0</v>
      </c>
      <c r="BV125" s="8" t="n">
        <v>0</v>
      </c>
      <c r="BW125" s="9">
        <f>BU125+BV125</f>
        <v/>
      </c>
      <c r="BX125" s="9">
        <f>BS125+BT125-BW125</f>
        <v/>
      </c>
      <c r="BY125" s="9">
        <f>BA125+BG125+BM125+BS125</f>
        <v/>
      </c>
      <c r="BZ125" s="9">
        <f>BB125+BH125+BN125+BT125</f>
        <v/>
      </c>
      <c r="CA125" s="9">
        <f>BE125+BK125+BQ125+BW125</f>
        <v/>
      </c>
      <c r="CB125" s="9">
        <f>BF125+BL125+BR125+BX125</f>
        <v/>
      </c>
      <c r="CC125" s="8" t="n">
        <v>0</v>
      </c>
      <c r="CD125" s="8" t="n">
        <v>0</v>
      </c>
      <c r="CE125" s="8" t="n">
        <v>0</v>
      </c>
      <c r="CF125" s="8" t="n">
        <v>0</v>
      </c>
      <c r="CG125" s="8" t="n">
        <v>0</v>
      </c>
      <c r="CH125" s="9">
        <f>CD125+CE125+CF125+CG125</f>
        <v/>
      </c>
      <c r="CI125" s="8" t="n">
        <v>0</v>
      </c>
      <c r="CJ125" s="8" t="n">
        <v>0</v>
      </c>
      <c r="CK125" s="8" t="n">
        <v>0</v>
      </c>
      <c r="CL125" s="8" t="n">
        <v>0</v>
      </c>
      <c r="CM125" s="9">
        <f>CI125+CJ125+CK125+CL125</f>
        <v/>
      </c>
      <c r="CN125" s="8" t="n">
        <v>75</v>
      </c>
      <c r="CO125" s="8" t="n">
        <v>1</v>
      </c>
      <c r="CP125" s="8" t="n">
        <v>0</v>
      </c>
      <c r="CQ125" s="8" t="n">
        <v>0</v>
      </c>
      <c r="CR125" s="9">
        <f>CN125+CO125+CP125+CQ125</f>
        <v/>
      </c>
      <c r="CS125" s="9">
        <f>CM125+CR125</f>
        <v/>
      </c>
      <c r="CT125" s="8" t="n">
        <v>76</v>
      </c>
      <c r="CU125" s="8" t="n">
        <v>553</v>
      </c>
      <c r="CV125" s="8" t="n">
        <v>553</v>
      </c>
      <c r="CW125" s="10">
        <f>IF(CU125=0,"",CV125/CU125)</f>
        <v/>
      </c>
      <c r="CX125" s="8" t="n">
        <v>0</v>
      </c>
      <c r="CY125" s="8" t="n">
        <v>0</v>
      </c>
      <c r="CZ125" s="8" t="n">
        <v>0</v>
      </c>
      <c r="DA125" s="8" t="n">
        <v>0</v>
      </c>
      <c r="DB125" s="9">
        <f>CX125+CY125-CZ125-DA125</f>
        <v/>
      </c>
      <c r="DC125" s="8" t="n">
        <v>0</v>
      </c>
      <c r="DD125" s="8" t="n">
        <v>0</v>
      </c>
      <c r="DE125" s="8" t="n">
        <v>0</v>
      </c>
      <c r="DF125" s="8" t="n">
        <v>0</v>
      </c>
      <c r="DG125" s="9">
        <f>DC125+DD125-DE125-DF125</f>
        <v/>
      </c>
      <c r="DH125" s="8" t="n">
        <v>0</v>
      </c>
      <c r="DI125" s="8" t="n">
        <v>0</v>
      </c>
      <c r="DJ125" s="8" t="n">
        <v>0</v>
      </c>
      <c r="DK125" s="8" t="n">
        <v>0</v>
      </c>
      <c r="DL125" s="9">
        <f>DH125+DI125-DJ125-DK125</f>
        <v/>
      </c>
      <c r="DM125" s="8" t="n">
        <v>0</v>
      </c>
      <c r="DN125" s="8" t="n">
        <v>0</v>
      </c>
      <c r="DO125" s="8" t="n">
        <v>0</v>
      </c>
      <c r="DP125" s="8" t="n">
        <v>0</v>
      </c>
      <c r="DQ125" s="9">
        <f>DM125+DN125-DO125-DP125</f>
        <v/>
      </c>
      <c r="DR125" s="9">
        <f>CX125+DC125+DH125+DM125</f>
        <v/>
      </c>
      <c r="DS125" s="9">
        <f>CY125+DD125+DI125+DN125</f>
        <v/>
      </c>
      <c r="DT125" s="9">
        <f>CZ125+DE125+DJ125+DO125</f>
        <v/>
      </c>
      <c r="DU125" s="9">
        <f>DA125+DF125+DK125+DP125</f>
        <v/>
      </c>
      <c r="DV125" s="9">
        <f>DB125+DG125+DL125+DQ125</f>
        <v/>
      </c>
      <c r="DW125" s="8" t="n">
        <v>0</v>
      </c>
      <c r="DX125" s="8" t="n">
        <v>0</v>
      </c>
      <c r="DY125" s="8" t="n">
        <v>0</v>
      </c>
      <c r="DZ125" s="8" t="n">
        <v>0</v>
      </c>
      <c r="EA125" s="8" t="n">
        <v>0</v>
      </c>
      <c r="EB125" s="8" t="n">
        <v>0</v>
      </c>
      <c r="EC125" s="8" t="n">
        <v>0</v>
      </c>
      <c r="ED125" s="8" t="n">
        <v>0</v>
      </c>
      <c r="EE125" s="8" t="n">
        <v>0</v>
      </c>
      <c r="EF125" s="8" t="n">
        <v>0</v>
      </c>
      <c r="EG125" s="8" t="n">
        <v>0</v>
      </c>
      <c r="EH125" s="8" t="n">
        <v>0</v>
      </c>
      <c r="EI125" s="8" t="n">
        <v>0</v>
      </c>
      <c r="EJ125" s="8" t="n">
        <v>0</v>
      </c>
      <c r="EK125" s="8" t="n">
        <v>0</v>
      </c>
      <c r="EL125" s="8" t="n">
        <v>0</v>
      </c>
      <c r="EM125" s="8" t="n">
        <v>0</v>
      </c>
      <c r="EN125" s="8" t="n">
        <v>0</v>
      </c>
      <c r="EO125" s="8" t="n">
        <v>0</v>
      </c>
      <c r="EP125" s="8" t="n">
        <v>0</v>
      </c>
      <c r="EQ125" s="8" t="n">
        <v>0</v>
      </c>
      <c r="ER125" s="8" t="n">
        <v>0</v>
      </c>
      <c r="ES125" s="8" t="n">
        <v>0</v>
      </c>
      <c r="ET125" s="8" t="n">
        <v>0</v>
      </c>
      <c r="EU125" s="8" t="n">
        <v>0</v>
      </c>
      <c r="EV125" s="8" t="n">
        <v>0</v>
      </c>
      <c r="EW125" s="8" t="n">
        <v>0</v>
      </c>
      <c r="EX125" s="8" t="n">
        <v>0</v>
      </c>
      <c r="EY125" s="8" t="n">
        <v>0</v>
      </c>
      <c r="EZ125" s="8" t="n">
        <v>0</v>
      </c>
      <c r="FA125" s="8" t="n">
        <v>0</v>
      </c>
      <c r="FB125" s="8" t="n">
        <v>0</v>
      </c>
      <c r="FC125" s="8" t="n">
        <v>0</v>
      </c>
      <c r="FD125" s="8" t="n">
        <v>0</v>
      </c>
      <c r="FE125" s="8" t="n">
        <v>0</v>
      </c>
      <c r="FF125" s="8" t="n">
        <v>0</v>
      </c>
      <c r="FG125" s="9">
        <f>SUM(DW125,DX125,DY125,DZ125,EA125,EB125,EC125,ED125,EE125,EF125,EG125,EH125,EI125,EJ125,EK125,EL125,EM125,EN125,EO125,EP125,EQ125,ER125,ES125,ET125,EU125,EV125,EW125,EX125,EY125,EZ125,FA125,FB125,FC125,FD125,FE125,FF125)</f>
        <v/>
      </c>
      <c r="FH125" s="8" t="n">
        <v>0</v>
      </c>
      <c r="FI125" s="8" t="n">
        <v>0</v>
      </c>
      <c r="FJ125" s="8" t="n">
        <v>24</v>
      </c>
      <c r="FK125" s="8" t="n">
        <v>21</v>
      </c>
      <c r="FL125" s="8" t="n">
        <v>0</v>
      </c>
      <c r="FM125" s="8" t="n">
        <v>0</v>
      </c>
      <c r="FN125" s="8" t="n">
        <v>0</v>
      </c>
      <c r="FO125" s="8" t="n">
        <v>0</v>
      </c>
      <c r="FP125" s="8" t="n">
        <v>0</v>
      </c>
      <c r="FQ125" s="9">
        <f>FL125+FM125+FN125+FO125+FP125</f>
        <v/>
      </c>
      <c r="FR125" s="8" t="n">
        <v>0</v>
      </c>
      <c r="FS125" s="8" t="n">
        <v>0</v>
      </c>
      <c r="FT125" s="8" t="n">
        <v>0</v>
      </c>
      <c r="FU125" s="8" t="n">
        <v>0</v>
      </c>
      <c r="FV125" s="9">
        <f>FR125+FS125+FT125+FU125</f>
        <v/>
      </c>
      <c r="FW125" s="8" t="n">
        <v>925700</v>
      </c>
      <c r="FX125" s="8" t="n">
        <v>0</v>
      </c>
      <c r="FY125" s="8" t="n">
        <v>0</v>
      </c>
      <c r="FZ125" s="8" t="n">
        <v>0</v>
      </c>
      <c r="GA125" s="9">
        <f>FW125+FX125+FY125+FZ125</f>
        <v/>
      </c>
      <c r="GB125" s="9">
        <f>FV125+GA125</f>
        <v/>
      </c>
      <c r="GC125" s="8" t="n">
        <v>0</v>
      </c>
      <c r="GD125" s="8" t="n">
        <v>0</v>
      </c>
      <c r="GE125" s="8" t="n">
        <v>0</v>
      </c>
      <c r="GF125" s="8" t="n">
        <v>0</v>
      </c>
      <c r="GG125" s="9">
        <f>GC125+GD125+GE125+GF125</f>
        <v/>
      </c>
      <c r="GH125" s="8" t="n">
        <v>0</v>
      </c>
      <c r="GI125" s="8" t="n">
        <v>0</v>
      </c>
      <c r="GJ125" s="8" t="n">
        <v>0</v>
      </c>
      <c r="GK125" s="8" t="n">
        <v>0</v>
      </c>
      <c r="GL125" s="9">
        <f>GH125+GI125+GJ125+GK125</f>
        <v/>
      </c>
      <c r="GM125" s="9">
        <f>GG125+GL125</f>
        <v/>
      </c>
      <c r="GN125" s="8" t="n">
        <v>0</v>
      </c>
      <c r="GO125" s="8" t="n">
        <v>0</v>
      </c>
      <c r="GP125" s="8" t="n">
        <v>0</v>
      </c>
      <c r="GQ125" s="8" t="n">
        <v>0</v>
      </c>
      <c r="GR125" s="9">
        <f>GN125+GO125+GP125+GQ125</f>
        <v/>
      </c>
      <c r="GS125" s="8" t="n">
        <v>0</v>
      </c>
      <c r="GT125" s="8" t="n">
        <v>0</v>
      </c>
      <c r="GU125" s="8" t="n">
        <v>0</v>
      </c>
      <c r="GV125" s="8" t="n">
        <v>0</v>
      </c>
      <c r="GW125" s="9">
        <f>GS125+GT125+GU125+GV125</f>
        <v/>
      </c>
      <c r="GX125" s="9">
        <f>GM125+GR125+GW125</f>
        <v/>
      </c>
      <c r="GY125" s="8" t="n">
        <v>0</v>
      </c>
      <c r="GZ125" s="8" t="n">
        <v>0</v>
      </c>
      <c r="HA125" s="9">
        <f>GY125+GZ125</f>
        <v/>
      </c>
      <c r="HB125" s="9">
        <f>IF(GX125=0,"",AU125/GX125)</f>
        <v/>
      </c>
      <c r="HC125" s="10">
        <f>IF((GX125+GY125)=0,"",GB125/(GX125+GY125))</f>
        <v/>
      </c>
      <c r="HD125" s="9">
        <f>IF(GX125=0,"",GB125/GX125)</f>
        <v/>
      </c>
      <c r="HE125" s="8" t="n">
        <v>0</v>
      </c>
      <c r="HF125" s="8" t="n">
        <v>0</v>
      </c>
      <c r="HG125" s="8" t="n">
        <v>0</v>
      </c>
      <c r="HH125" s="8" t="n">
        <v>0</v>
      </c>
      <c r="HI125" s="8" t="n">
        <v>0</v>
      </c>
      <c r="HJ125" s="9">
        <f>HF125+HI125</f>
        <v/>
      </c>
      <c r="HK125" s="10">
        <f>IF(HE125=0,"",HH125/HE125)</f>
        <v/>
      </c>
      <c r="HL125" s="8" t="n">
        <v>5</v>
      </c>
      <c r="HM125" s="8" t="n">
        <v>2</v>
      </c>
      <c r="HN125" s="11">
        <f>IF(HL125=0,"",HM125/HL125)</f>
        <v/>
      </c>
    </row>
    <row r="126">
      <c r="A126" s="12" t="inlineStr">
        <is>
          <t>Mulanje</t>
        </is>
      </c>
      <c r="B126" s="12" t="inlineStr">
        <is>
          <t>Migowi</t>
        </is>
      </c>
      <c r="C126" s="13" t="inlineStr">
        <is>
          <t>FY2025/26</t>
        </is>
      </c>
      <c r="D126" s="13" t="n">
        <v>2025</v>
      </c>
      <c r="E126" s="13" t="n">
        <v>7</v>
      </c>
      <c r="F126" s="13" t="inlineStr">
        <is>
          <t>July</t>
        </is>
      </c>
      <c r="G126" s="13" t="inlineStr">
        <is>
          <t>Q2</t>
        </is>
      </c>
      <c r="H126" s="14" t="n">
        <v>925</v>
      </c>
      <c r="I126" s="14" t="n">
        <v>0</v>
      </c>
      <c r="J126" s="14" t="n">
        <v>0</v>
      </c>
      <c r="K126" s="14" t="n">
        <v>0</v>
      </c>
      <c r="L126" s="14" t="n">
        <v>0</v>
      </c>
      <c r="M126" s="15">
        <f>SUM(I126,J126,K126,L126)</f>
        <v/>
      </c>
      <c r="N126" s="14" t="n">
        <v>826</v>
      </c>
      <c r="O126" s="14" t="n">
        <v>0</v>
      </c>
      <c r="P126" s="14" t="n">
        <v>0</v>
      </c>
      <c r="Q126" s="14" t="n">
        <v>0</v>
      </c>
      <c r="R126" s="15">
        <f>SUM(N126,O126,P126,Q126)</f>
        <v/>
      </c>
      <c r="S126" s="15">
        <f>M126+R126</f>
        <v/>
      </c>
      <c r="T126" s="14" t="n">
        <v>99</v>
      </c>
      <c r="U126" s="16">
        <f>IF(H126=0,"",T126/H126)</f>
        <v/>
      </c>
      <c r="V126" s="14" t="n">
        <v>1</v>
      </c>
      <c r="W126" s="17">
        <f>IF(H126=0,"",V126/H126)</f>
        <v/>
      </c>
      <c r="X126" s="14" t="n">
        <v>0</v>
      </c>
      <c r="Y126" s="17">
        <f>IF(H126=0,"",X126/H126)</f>
        <v/>
      </c>
      <c r="Z126" s="14" t="n">
        <v>0</v>
      </c>
      <c r="AA126" s="17">
        <f>IF(H126=0,"",Z126/H126)</f>
        <v/>
      </c>
      <c r="AB126" s="14" t="n">
        <v>0</v>
      </c>
      <c r="AC126" s="17">
        <f>IF(H126=0,"",AB126/H126)</f>
        <v/>
      </c>
      <c r="AD126" s="14" t="n">
        <v>0</v>
      </c>
      <c r="AE126" s="17">
        <f>IF(H126=0,"",AD126/H126)</f>
        <v/>
      </c>
      <c r="AF126" s="14" t="n">
        <v>0</v>
      </c>
      <c r="AG126" s="17">
        <f>IF(H126=0,"",AF126/H126)</f>
        <v/>
      </c>
      <c r="AH126" s="14" t="n">
        <v>5111.67</v>
      </c>
      <c r="AI126" s="15">
        <f>IF(H126=0,"",AH126/H126)</f>
        <v/>
      </c>
      <c r="AJ126" s="14" t="n">
        <v>333</v>
      </c>
      <c r="AK126" s="17">
        <f>IF(H126=0,"",AJ126/H126)</f>
        <v/>
      </c>
      <c r="AL126" s="14" t="n">
        <v>62630.7495</v>
      </c>
      <c r="AM126" s="15">
        <f>IF(H126=0,"",AL126/H126)</f>
        <v/>
      </c>
      <c r="AN126" s="14" t="n">
        <v>0</v>
      </c>
      <c r="AO126" s="14" t="n">
        <v>0</v>
      </c>
      <c r="AP126" s="14" t="n">
        <v>0</v>
      </c>
      <c r="AQ126" s="14" t="n">
        <v>0</v>
      </c>
      <c r="AR126" s="14" t="n">
        <v>0</v>
      </c>
      <c r="AS126" s="14" t="n">
        <v>0</v>
      </c>
      <c r="AT126" s="14" t="n">
        <v>0</v>
      </c>
      <c r="AU126" s="15">
        <f>AH126+AL126+AP126+AQ126+AR126+AS126+AT126</f>
        <v/>
      </c>
      <c r="AV126" s="15">
        <f>IF(H126=0,"",AU126/H126)</f>
        <v/>
      </c>
      <c r="AW126" s="15">
        <f>IF(S126=0,"",AU126/S126)</f>
        <v/>
      </c>
      <c r="AX126" s="14" t="n">
        <v>0</v>
      </c>
      <c r="AY126" s="15">
        <f>IF(H126=0,"",AX126/(H126/1000/12))</f>
        <v/>
      </c>
      <c r="AZ126" s="14" t="n">
        <v>2</v>
      </c>
      <c r="BA126" s="14" t="n">
        <v>0</v>
      </c>
      <c r="BB126" s="14" t="n">
        <v>0</v>
      </c>
      <c r="BC126" s="14" t="n">
        <v>0</v>
      </c>
      <c r="BD126" s="14" t="n">
        <v>0</v>
      </c>
      <c r="BE126" s="15">
        <f>BC126+BD126</f>
        <v/>
      </c>
      <c r="BF126" s="15">
        <f>BA126+BB126-BE126</f>
        <v/>
      </c>
      <c r="BG126" s="14" t="n">
        <v>0</v>
      </c>
      <c r="BH126" s="14" t="n">
        <v>0</v>
      </c>
      <c r="BI126" s="14" t="n">
        <v>0</v>
      </c>
      <c r="BJ126" s="14" t="n">
        <v>0</v>
      </c>
      <c r="BK126" s="15">
        <f>BI126+BJ126</f>
        <v/>
      </c>
      <c r="BL126" s="15">
        <f>BG126+BH126-BK126</f>
        <v/>
      </c>
      <c r="BM126" s="14" t="n">
        <v>0</v>
      </c>
      <c r="BN126" s="14" t="n">
        <v>0</v>
      </c>
      <c r="BO126" s="14" t="n">
        <v>0</v>
      </c>
      <c r="BP126" s="14" t="n">
        <v>0</v>
      </c>
      <c r="BQ126" s="15">
        <f>BO126+BP126</f>
        <v/>
      </c>
      <c r="BR126" s="15">
        <f>BM126+BN126-BQ126</f>
        <v/>
      </c>
      <c r="BS126" s="14" t="n">
        <v>0</v>
      </c>
      <c r="BT126" s="14" t="n">
        <v>0</v>
      </c>
      <c r="BU126" s="14" t="n">
        <v>0</v>
      </c>
      <c r="BV126" s="14" t="n">
        <v>0</v>
      </c>
      <c r="BW126" s="15">
        <f>BU126+BV126</f>
        <v/>
      </c>
      <c r="BX126" s="15">
        <f>BS126+BT126-BW126</f>
        <v/>
      </c>
      <c r="BY126" s="15">
        <f>BA126+BG126+BM126+BS126</f>
        <v/>
      </c>
      <c r="BZ126" s="15">
        <f>BB126+BH126+BN126+BT126</f>
        <v/>
      </c>
      <c r="CA126" s="15">
        <f>BE126+BK126+BQ126+BW126</f>
        <v/>
      </c>
      <c r="CB126" s="15">
        <f>BF126+BL126+BR126+BX126</f>
        <v/>
      </c>
      <c r="CC126" s="14" t="n">
        <v>0</v>
      </c>
      <c r="CD126" s="14" t="n">
        <v>0</v>
      </c>
      <c r="CE126" s="14" t="n">
        <v>0</v>
      </c>
      <c r="CF126" s="14" t="n">
        <v>0</v>
      </c>
      <c r="CG126" s="14" t="n">
        <v>0</v>
      </c>
      <c r="CH126" s="15">
        <f>CD126+CE126+CF126+CG126</f>
        <v/>
      </c>
      <c r="CI126" s="14" t="n">
        <v>0</v>
      </c>
      <c r="CJ126" s="14" t="n">
        <v>0</v>
      </c>
      <c r="CK126" s="14" t="n">
        <v>0</v>
      </c>
      <c r="CL126" s="14" t="n">
        <v>0</v>
      </c>
      <c r="CM126" s="15">
        <f>CI126+CJ126+CK126+CL126</f>
        <v/>
      </c>
      <c r="CN126" s="14" t="n">
        <v>75</v>
      </c>
      <c r="CO126" s="14" t="n">
        <v>1</v>
      </c>
      <c r="CP126" s="14" t="n">
        <v>0</v>
      </c>
      <c r="CQ126" s="14" t="n">
        <v>0</v>
      </c>
      <c r="CR126" s="15">
        <f>CN126+CO126+CP126+CQ126</f>
        <v/>
      </c>
      <c r="CS126" s="15">
        <f>CM126+CR126</f>
        <v/>
      </c>
      <c r="CT126" s="14" t="n">
        <v>76</v>
      </c>
      <c r="CU126" s="14" t="n">
        <v>553</v>
      </c>
      <c r="CV126" s="14" t="n">
        <v>553</v>
      </c>
      <c r="CW126" s="16">
        <f>IF(CU126=0,"",CV126/CU126)</f>
        <v/>
      </c>
      <c r="CX126" s="14" t="n">
        <v>0</v>
      </c>
      <c r="CY126" s="14" t="n">
        <v>0</v>
      </c>
      <c r="CZ126" s="14" t="n">
        <v>0</v>
      </c>
      <c r="DA126" s="14" t="n">
        <v>0</v>
      </c>
      <c r="DB126" s="15">
        <f>CX126+CY126-CZ126-DA126</f>
        <v/>
      </c>
      <c r="DC126" s="14" t="n">
        <v>0</v>
      </c>
      <c r="DD126" s="14" t="n">
        <v>0</v>
      </c>
      <c r="DE126" s="14" t="n">
        <v>0</v>
      </c>
      <c r="DF126" s="14" t="n">
        <v>0</v>
      </c>
      <c r="DG126" s="15">
        <f>DC126+DD126-DE126-DF126</f>
        <v/>
      </c>
      <c r="DH126" s="14" t="n">
        <v>0</v>
      </c>
      <c r="DI126" s="14" t="n">
        <v>0</v>
      </c>
      <c r="DJ126" s="14" t="n">
        <v>0</v>
      </c>
      <c r="DK126" s="14" t="n">
        <v>0</v>
      </c>
      <c r="DL126" s="15">
        <f>DH126+DI126-DJ126-DK126</f>
        <v/>
      </c>
      <c r="DM126" s="14" t="n">
        <v>0</v>
      </c>
      <c r="DN126" s="14" t="n">
        <v>0</v>
      </c>
      <c r="DO126" s="14" t="n">
        <v>0</v>
      </c>
      <c r="DP126" s="14" t="n">
        <v>0</v>
      </c>
      <c r="DQ126" s="15">
        <f>DM126+DN126-DO126-DP126</f>
        <v/>
      </c>
      <c r="DR126" s="15">
        <f>CX126+DC126+DH126+DM126</f>
        <v/>
      </c>
      <c r="DS126" s="15">
        <f>CY126+DD126+DI126+DN126</f>
        <v/>
      </c>
      <c r="DT126" s="15">
        <f>CZ126+DE126+DJ126+DO126</f>
        <v/>
      </c>
      <c r="DU126" s="15">
        <f>DA126+DF126+DK126+DP126</f>
        <v/>
      </c>
      <c r="DV126" s="15">
        <f>DB126+DG126+DL126+DQ126</f>
        <v/>
      </c>
      <c r="DW126" s="14" t="n">
        <v>0</v>
      </c>
      <c r="DX126" s="14" t="n">
        <v>0</v>
      </c>
      <c r="DY126" s="14" t="n">
        <v>0</v>
      </c>
      <c r="DZ126" s="14" t="n">
        <v>0</v>
      </c>
      <c r="EA126" s="14" t="n">
        <v>0</v>
      </c>
      <c r="EB126" s="14" t="n">
        <v>0</v>
      </c>
      <c r="EC126" s="14" t="n">
        <v>0</v>
      </c>
      <c r="ED126" s="14" t="n">
        <v>0</v>
      </c>
      <c r="EE126" s="14" t="n">
        <v>0</v>
      </c>
      <c r="EF126" s="14" t="n">
        <v>0</v>
      </c>
      <c r="EG126" s="14" t="n">
        <v>0</v>
      </c>
      <c r="EH126" s="14" t="n">
        <v>0</v>
      </c>
      <c r="EI126" s="14" t="n">
        <v>0</v>
      </c>
      <c r="EJ126" s="14" t="n">
        <v>1</v>
      </c>
      <c r="EK126" s="14" t="n">
        <v>1</v>
      </c>
      <c r="EL126" s="14" t="n">
        <v>0</v>
      </c>
      <c r="EM126" s="14" t="n">
        <v>0</v>
      </c>
      <c r="EN126" s="14" t="n">
        <v>0</v>
      </c>
      <c r="EO126" s="14" t="n">
        <v>0</v>
      </c>
      <c r="EP126" s="14" t="n">
        <v>0</v>
      </c>
      <c r="EQ126" s="14" t="n">
        <v>0</v>
      </c>
      <c r="ER126" s="14" t="n">
        <v>0</v>
      </c>
      <c r="ES126" s="14" t="n">
        <v>0</v>
      </c>
      <c r="ET126" s="14" t="n">
        <v>0</v>
      </c>
      <c r="EU126" s="14" t="n">
        <v>0</v>
      </c>
      <c r="EV126" s="14" t="n">
        <v>0</v>
      </c>
      <c r="EW126" s="14" t="n">
        <v>0</v>
      </c>
      <c r="EX126" s="14" t="n">
        <v>0</v>
      </c>
      <c r="EY126" s="14" t="n">
        <v>0</v>
      </c>
      <c r="EZ126" s="14" t="n">
        <v>0</v>
      </c>
      <c r="FA126" s="14" t="n">
        <v>0</v>
      </c>
      <c r="FB126" s="14" t="n">
        <v>0</v>
      </c>
      <c r="FC126" s="14" t="n">
        <v>0</v>
      </c>
      <c r="FD126" s="14" t="n">
        <v>0</v>
      </c>
      <c r="FE126" s="14" t="n">
        <v>0</v>
      </c>
      <c r="FF126" s="14" t="n">
        <v>0</v>
      </c>
      <c r="FG126" s="15">
        <f>SUM(DW126,DX126,DY126,DZ126,EA126,EB126,EC126,ED126,EE126,EF126,EG126,EH126,EI126,EJ126,EK126,EL126,EM126,EN126,EO126,EP126,EQ126,ER126,ES126,ET126,EU126,EV126,EW126,EX126,EY126,EZ126,FA126,FB126,FC126,FD126,FE126,FF126)</f>
        <v/>
      </c>
      <c r="FH126" s="14" t="n">
        <v>0</v>
      </c>
      <c r="FI126" s="14" t="n">
        <v>0</v>
      </c>
      <c r="FJ126" s="14" t="n">
        <v>24</v>
      </c>
      <c r="FK126" s="14" t="n">
        <v>18</v>
      </c>
      <c r="FL126" s="14" t="n">
        <v>0</v>
      </c>
      <c r="FM126" s="14" t="n">
        <v>0</v>
      </c>
      <c r="FN126" s="14" t="n">
        <v>0</v>
      </c>
      <c r="FO126" s="14" t="n">
        <v>0</v>
      </c>
      <c r="FP126" s="14" t="n">
        <v>0</v>
      </c>
      <c r="FQ126" s="15">
        <f>FL126+FM126+FN126+FO126+FP126</f>
        <v/>
      </c>
      <c r="FR126" s="14" t="n">
        <v>0</v>
      </c>
      <c r="FS126" s="14" t="n">
        <v>0</v>
      </c>
      <c r="FT126" s="14" t="n">
        <v>0</v>
      </c>
      <c r="FU126" s="14" t="n">
        <v>0</v>
      </c>
      <c r="FV126" s="15">
        <f>FR126+FS126+FT126+FU126</f>
        <v/>
      </c>
      <c r="FW126" s="14" t="n">
        <v>1046502</v>
      </c>
      <c r="FX126" s="14" t="n">
        <v>0</v>
      </c>
      <c r="FY126" s="14" t="n">
        <v>0</v>
      </c>
      <c r="FZ126" s="14" t="n">
        <v>0</v>
      </c>
      <c r="GA126" s="15">
        <f>FW126+FX126+FY126+FZ126</f>
        <v/>
      </c>
      <c r="GB126" s="15">
        <f>FV126+GA126</f>
        <v/>
      </c>
      <c r="GC126" s="14" t="n">
        <v>0</v>
      </c>
      <c r="GD126" s="14" t="n">
        <v>0</v>
      </c>
      <c r="GE126" s="14" t="n">
        <v>0</v>
      </c>
      <c r="GF126" s="14" t="n">
        <v>0</v>
      </c>
      <c r="GG126" s="15">
        <f>GC126+GD126+GE126+GF126</f>
        <v/>
      </c>
      <c r="GH126" s="14" t="n">
        <v>0</v>
      </c>
      <c r="GI126" s="14" t="n">
        <v>0</v>
      </c>
      <c r="GJ126" s="14" t="n">
        <v>0</v>
      </c>
      <c r="GK126" s="14" t="n">
        <v>0</v>
      </c>
      <c r="GL126" s="15">
        <f>GH126+GI126+GJ126+GK126</f>
        <v/>
      </c>
      <c r="GM126" s="15">
        <f>GG126+GL126</f>
        <v/>
      </c>
      <c r="GN126" s="14" t="n">
        <v>0</v>
      </c>
      <c r="GO126" s="14" t="n">
        <v>0</v>
      </c>
      <c r="GP126" s="14" t="n">
        <v>0</v>
      </c>
      <c r="GQ126" s="14" t="n">
        <v>0</v>
      </c>
      <c r="GR126" s="15">
        <f>GN126+GO126+GP126+GQ126</f>
        <v/>
      </c>
      <c r="GS126" s="14" t="n">
        <v>0</v>
      </c>
      <c r="GT126" s="14" t="n">
        <v>0</v>
      </c>
      <c r="GU126" s="14" t="n">
        <v>0</v>
      </c>
      <c r="GV126" s="14" t="n">
        <v>0</v>
      </c>
      <c r="GW126" s="15">
        <f>GS126+GT126+GU126+GV126</f>
        <v/>
      </c>
      <c r="GX126" s="15">
        <f>GM126+GR126+GW126</f>
        <v/>
      </c>
      <c r="GY126" s="14" t="n">
        <v>0</v>
      </c>
      <c r="GZ126" s="14" t="n">
        <v>0</v>
      </c>
      <c r="HA126" s="15">
        <f>GY126+GZ126</f>
        <v/>
      </c>
      <c r="HB126" s="15">
        <f>IF(GX126=0,"",AU126/GX126)</f>
        <v/>
      </c>
      <c r="HC126" s="16">
        <f>IF((GX126+GY126)=0,"",GB126/(GX126+GY126))</f>
        <v/>
      </c>
      <c r="HD126" s="15">
        <f>IF(GX126=0,"",GB126/GX126)</f>
        <v/>
      </c>
      <c r="HE126" s="14" t="n">
        <v>0</v>
      </c>
      <c r="HF126" s="14" t="n">
        <v>0</v>
      </c>
      <c r="HG126" s="14" t="n">
        <v>0</v>
      </c>
      <c r="HH126" s="14" t="n">
        <v>0</v>
      </c>
      <c r="HI126" s="14" t="n">
        <v>0</v>
      </c>
      <c r="HJ126" s="15">
        <f>HF126+HI126</f>
        <v/>
      </c>
      <c r="HK126" s="16">
        <f>IF(HE126=0,"",HH126/HE126)</f>
        <v/>
      </c>
      <c r="HL126" s="14" t="n">
        <v>11</v>
      </c>
      <c r="HM126" s="14" t="n">
        <v>1</v>
      </c>
      <c r="HN126" s="17">
        <f>IF(HL126=0,"",HM126/HL126)</f>
        <v/>
      </c>
    </row>
    <row r="127">
      <c r="A127" s="6" t="inlineStr">
        <is>
          <t>Mulanje</t>
        </is>
      </c>
      <c r="B127" s="6" t="inlineStr">
        <is>
          <t>Migowi</t>
        </is>
      </c>
      <c r="C127" s="7" t="inlineStr">
        <is>
          <t>FY2025/26</t>
        </is>
      </c>
      <c r="D127" s="7" t="n">
        <v>2025</v>
      </c>
      <c r="E127" s="7" t="n">
        <v>8</v>
      </c>
      <c r="F127" s="7" t="inlineStr">
        <is>
          <t>August</t>
        </is>
      </c>
      <c r="G127" s="7" t="inlineStr">
        <is>
          <t>Q2</t>
        </is>
      </c>
      <c r="H127" s="8" t="n">
        <v>1100</v>
      </c>
      <c r="I127" s="8" t="n">
        <v>0</v>
      </c>
      <c r="J127" s="8" t="n">
        <v>0</v>
      </c>
      <c r="K127" s="8" t="n">
        <v>0</v>
      </c>
      <c r="L127" s="8" t="n">
        <v>0</v>
      </c>
      <c r="M127" s="9">
        <f>SUM(I127,J127,K127,L127)</f>
        <v/>
      </c>
      <c r="N127" s="8" t="n">
        <v>549</v>
      </c>
      <c r="O127" s="8" t="n">
        <v>0</v>
      </c>
      <c r="P127" s="8" t="n">
        <v>358</v>
      </c>
      <c r="Q127" s="8" t="n">
        <v>0</v>
      </c>
      <c r="R127" s="9">
        <f>SUM(N127,O127,P127,Q127)</f>
        <v/>
      </c>
      <c r="S127" s="9">
        <f>M127+R127</f>
        <v/>
      </c>
      <c r="T127" s="8" t="n">
        <v>193</v>
      </c>
      <c r="U127" s="10">
        <f>IF(H127=0,"",T127/H127)</f>
        <v/>
      </c>
      <c r="V127" s="8" t="n">
        <v>1</v>
      </c>
      <c r="W127" s="11">
        <f>IF(H127=0,"",V127/H127)</f>
        <v/>
      </c>
      <c r="X127" s="8" t="n">
        <v>0</v>
      </c>
      <c r="Y127" s="11">
        <f>IF(H127=0,"",X127/H127)</f>
        <v/>
      </c>
      <c r="Z127" s="8" t="n">
        <v>0</v>
      </c>
      <c r="AA127" s="11">
        <f>IF(H127=0,"",Z127/H127)</f>
        <v/>
      </c>
      <c r="AB127" s="8" t="n">
        <v>0</v>
      </c>
      <c r="AC127" s="11">
        <f>IF(H127=0,"",AB127/H127)</f>
        <v/>
      </c>
      <c r="AD127" s="8" t="n">
        <v>0</v>
      </c>
      <c r="AE127" s="11">
        <f>IF(H127=0,"",AD127/H127)</f>
        <v/>
      </c>
      <c r="AF127" s="8" t="n">
        <v>0</v>
      </c>
      <c r="AG127" s="11">
        <f>IF(H127=0,"",AF127/H127)</f>
        <v/>
      </c>
      <c r="AH127" s="8" t="n">
        <v>5111.67</v>
      </c>
      <c r="AI127" s="9">
        <f>IF(H127=0,"",AH127/H127)</f>
        <v/>
      </c>
      <c r="AJ127" s="8" t="n">
        <v>378</v>
      </c>
      <c r="AK127" s="11">
        <f>IF(H127=0,"",AJ127/H127)</f>
        <v/>
      </c>
      <c r="AL127" s="8" t="n">
        <v>68874.567</v>
      </c>
      <c r="AM127" s="9">
        <f>IF(H127=0,"",AL127/H127)</f>
        <v/>
      </c>
      <c r="AN127" s="8" t="n">
        <v>0</v>
      </c>
      <c r="AO127" s="8" t="n">
        <v>0</v>
      </c>
      <c r="AP127" s="8" t="n">
        <v>0</v>
      </c>
      <c r="AQ127" s="8" t="n">
        <v>0</v>
      </c>
      <c r="AR127" s="8" t="n">
        <v>0</v>
      </c>
      <c r="AS127" s="8" t="n">
        <v>0</v>
      </c>
      <c r="AT127" s="8" t="n">
        <v>0</v>
      </c>
      <c r="AU127" s="9">
        <f>AH127+AL127+AP127+AQ127+AR127+AS127+AT127</f>
        <v/>
      </c>
      <c r="AV127" s="9">
        <f>IF(H127=0,"",AU127/H127)</f>
        <v/>
      </c>
      <c r="AW127" s="9">
        <f>IF(S127=0,"",AU127/S127)</f>
        <v/>
      </c>
      <c r="AX127" s="8" t="n">
        <v>0</v>
      </c>
      <c r="AY127" s="9">
        <f>IF(H127=0,"",AX127/(H127/1000/12))</f>
        <v/>
      </c>
      <c r="AZ127" s="8" t="n">
        <v>2</v>
      </c>
      <c r="BA127" s="8" t="n">
        <v>0</v>
      </c>
      <c r="BB127" s="8" t="n">
        <v>0</v>
      </c>
      <c r="BC127" s="8" t="n">
        <v>0</v>
      </c>
      <c r="BD127" s="8" t="n">
        <v>0</v>
      </c>
      <c r="BE127" s="9">
        <f>BC127+BD127</f>
        <v/>
      </c>
      <c r="BF127" s="9">
        <f>BA127+BB127-BE127</f>
        <v/>
      </c>
      <c r="BG127" s="8" t="n">
        <v>0</v>
      </c>
      <c r="BH127" s="8" t="n">
        <v>0</v>
      </c>
      <c r="BI127" s="8" t="n">
        <v>0</v>
      </c>
      <c r="BJ127" s="8" t="n">
        <v>0</v>
      </c>
      <c r="BK127" s="9">
        <f>BI127+BJ127</f>
        <v/>
      </c>
      <c r="BL127" s="9">
        <f>BG127+BH127-BK127</f>
        <v/>
      </c>
      <c r="BM127" s="8" t="n">
        <v>0</v>
      </c>
      <c r="BN127" s="8" t="n">
        <v>0</v>
      </c>
      <c r="BO127" s="8" t="n">
        <v>0</v>
      </c>
      <c r="BP127" s="8" t="n">
        <v>0</v>
      </c>
      <c r="BQ127" s="9">
        <f>BO127+BP127</f>
        <v/>
      </c>
      <c r="BR127" s="9">
        <f>BM127+BN127-BQ127</f>
        <v/>
      </c>
      <c r="BS127" s="8" t="n">
        <v>0</v>
      </c>
      <c r="BT127" s="8" t="n">
        <v>0</v>
      </c>
      <c r="BU127" s="8" t="n">
        <v>0</v>
      </c>
      <c r="BV127" s="8" t="n">
        <v>0</v>
      </c>
      <c r="BW127" s="9">
        <f>BU127+BV127</f>
        <v/>
      </c>
      <c r="BX127" s="9">
        <f>BS127+BT127-BW127</f>
        <v/>
      </c>
      <c r="BY127" s="9">
        <f>BA127+BG127+BM127+BS127</f>
        <v/>
      </c>
      <c r="BZ127" s="9">
        <f>BB127+BH127+BN127+BT127</f>
        <v/>
      </c>
      <c r="CA127" s="9">
        <f>BE127+BK127+BQ127+BW127</f>
        <v/>
      </c>
      <c r="CB127" s="9">
        <f>BF127+BL127+BR127+BX127</f>
        <v/>
      </c>
      <c r="CC127" s="8" t="n">
        <v>0</v>
      </c>
      <c r="CD127" s="8" t="n">
        <v>0</v>
      </c>
      <c r="CE127" s="8" t="n">
        <v>0</v>
      </c>
      <c r="CF127" s="8" t="n">
        <v>0</v>
      </c>
      <c r="CG127" s="8" t="n">
        <v>0</v>
      </c>
      <c r="CH127" s="9">
        <f>CD127+CE127+CF127+CG127</f>
        <v/>
      </c>
      <c r="CI127" s="8" t="n">
        <v>0</v>
      </c>
      <c r="CJ127" s="8" t="n">
        <v>0</v>
      </c>
      <c r="CK127" s="8" t="n">
        <v>0</v>
      </c>
      <c r="CL127" s="8" t="n">
        <v>0</v>
      </c>
      <c r="CM127" s="9">
        <f>CI127+CJ127+CK127+CL127</f>
        <v/>
      </c>
      <c r="CN127" s="8" t="n">
        <v>75</v>
      </c>
      <c r="CO127" s="8" t="n">
        <v>1</v>
      </c>
      <c r="CP127" s="8" t="n">
        <v>0</v>
      </c>
      <c r="CQ127" s="8" t="n">
        <v>0</v>
      </c>
      <c r="CR127" s="9">
        <f>CN127+CO127+CP127+CQ127</f>
        <v/>
      </c>
      <c r="CS127" s="9">
        <f>CM127+CR127</f>
        <v/>
      </c>
      <c r="CT127" s="8" t="n">
        <v>76</v>
      </c>
      <c r="CU127" s="8" t="n">
        <v>553</v>
      </c>
      <c r="CV127" s="8" t="n">
        <v>553</v>
      </c>
      <c r="CW127" s="10">
        <f>IF(CU127=0,"",CV127/CU127)</f>
        <v/>
      </c>
      <c r="CX127" s="8" t="n">
        <v>0</v>
      </c>
      <c r="CY127" s="8" t="n">
        <v>0</v>
      </c>
      <c r="CZ127" s="8" t="n">
        <v>0</v>
      </c>
      <c r="DA127" s="8" t="n">
        <v>0</v>
      </c>
      <c r="DB127" s="9">
        <f>CX127+CY127-CZ127-DA127</f>
        <v/>
      </c>
      <c r="DC127" s="8" t="n">
        <v>0</v>
      </c>
      <c r="DD127" s="8" t="n">
        <v>0</v>
      </c>
      <c r="DE127" s="8" t="n">
        <v>0</v>
      </c>
      <c r="DF127" s="8" t="n">
        <v>0</v>
      </c>
      <c r="DG127" s="9">
        <f>DC127+DD127-DE127-DF127</f>
        <v/>
      </c>
      <c r="DH127" s="8" t="n">
        <v>0</v>
      </c>
      <c r="DI127" s="8" t="n">
        <v>0</v>
      </c>
      <c r="DJ127" s="8" t="n">
        <v>0</v>
      </c>
      <c r="DK127" s="8" t="n">
        <v>0</v>
      </c>
      <c r="DL127" s="9">
        <f>DH127+DI127-DJ127-DK127</f>
        <v/>
      </c>
      <c r="DM127" s="8" t="n">
        <v>0</v>
      </c>
      <c r="DN127" s="8" t="n">
        <v>0</v>
      </c>
      <c r="DO127" s="8" t="n">
        <v>0</v>
      </c>
      <c r="DP127" s="8" t="n">
        <v>0</v>
      </c>
      <c r="DQ127" s="9">
        <f>DM127+DN127-DO127-DP127</f>
        <v/>
      </c>
      <c r="DR127" s="9">
        <f>CX127+DC127+DH127+DM127</f>
        <v/>
      </c>
      <c r="DS127" s="9">
        <f>CY127+DD127+DI127+DN127</f>
        <v/>
      </c>
      <c r="DT127" s="9">
        <f>CZ127+DE127+DJ127+DO127</f>
        <v/>
      </c>
      <c r="DU127" s="9">
        <f>DA127+DF127+DK127+DP127</f>
        <v/>
      </c>
      <c r="DV127" s="9">
        <f>DB127+DG127+DL127+DQ127</f>
        <v/>
      </c>
      <c r="DW127" s="8" t="n">
        <v>0</v>
      </c>
      <c r="DX127" s="8" t="n">
        <v>0</v>
      </c>
      <c r="DY127" s="8" t="n">
        <v>0</v>
      </c>
      <c r="DZ127" s="8" t="n">
        <v>0</v>
      </c>
      <c r="EA127" s="8" t="n">
        <v>0</v>
      </c>
      <c r="EB127" s="8" t="n">
        <v>0</v>
      </c>
      <c r="EC127" s="8" t="n">
        <v>0</v>
      </c>
      <c r="ED127" s="8" t="n">
        <v>0</v>
      </c>
      <c r="EE127" s="8" t="n">
        <v>0</v>
      </c>
      <c r="EF127" s="8" t="n">
        <v>0</v>
      </c>
      <c r="EG127" s="8" t="n">
        <v>0</v>
      </c>
      <c r="EH127" s="8" t="n">
        <v>0</v>
      </c>
      <c r="EI127" s="8" t="n">
        <v>0</v>
      </c>
      <c r="EJ127" s="8" t="n">
        <v>1</v>
      </c>
      <c r="EK127" s="8" t="n">
        <v>1</v>
      </c>
      <c r="EL127" s="8" t="n">
        <v>0</v>
      </c>
      <c r="EM127" s="8" t="n">
        <v>0</v>
      </c>
      <c r="EN127" s="8" t="n">
        <v>0</v>
      </c>
      <c r="EO127" s="8" t="n">
        <v>0</v>
      </c>
      <c r="EP127" s="8" t="n">
        <v>0</v>
      </c>
      <c r="EQ127" s="8" t="n">
        <v>0</v>
      </c>
      <c r="ER127" s="8" t="n">
        <v>0</v>
      </c>
      <c r="ES127" s="8" t="n">
        <v>0</v>
      </c>
      <c r="ET127" s="8" t="n">
        <v>0</v>
      </c>
      <c r="EU127" s="8" t="n">
        <v>0</v>
      </c>
      <c r="EV127" s="8" t="n">
        <v>0</v>
      </c>
      <c r="EW127" s="8" t="n">
        <v>0</v>
      </c>
      <c r="EX127" s="8" t="n">
        <v>0</v>
      </c>
      <c r="EY127" s="8" t="n">
        <v>0</v>
      </c>
      <c r="EZ127" s="8" t="n">
        <v>0</v>
      </c>
      <c r="FA127" s="8" t="n">
        <v>0</v>
      </c>
      <c r="FB127" s="8" t="n">
        <v>0</v>
      </c>
      <c r="FC127" s="8" t="n">
        <v>0</v>
      </c>
      <c r="FD127" s="8" t="n">
        <v>0</v>
      </c>
      <c r="FE127" s="8" t="n">
        <v>0</v>
      </c>
      <c r="FF127" s="8" t="n">
        <v>0</v>
      </c>
      <c r="FG127" s="9">
        <f>SUM(DW127,DX127,DY127,DZ127,EA127,EB127,EC127,ED127,EE127,EF127,EG127,EH127,EI127,EJ127,EK127,EL127,EM127,EN127,EO127,EP127,EQ127,ER127,ES127,ET127,EU127,EV127,EW127,EX127,EY127,EZ127,FA127,FB127,FC127,FD127,FE127,FF127)</f>
        <v/>
      </c>
      <c r="FH127" s="8" t="n">
        <v>0</v>
      </c>
      <c r="FI127" s="8" t="n">
        <v>0</v>
      </c>
      <c r="FJ127" s="8" t="n">
        <v>24</v>
      </c>
      <c r="FK127" s="8" t="n">
        <v>24</v>
      </c>
      <c r="FL127" s="8" t="n">
        <v>0</v>
      </c>
      <c r="FM127" s="8" t="n">
        <v>0</v>
      </c>
      <c r="FN127" s="8" t="n">
        <v>0</v>
      </c>
      <c r="FO127" s="8" t="n">
        <v>0</v>
      </c>
      <c r="FP127" s="8" t="n">
        <v>0</v>
      </c>
      <c r="FQ127" s="9">
        <f>FL127+FM127+FN127+FO127+FP127</f>
        <v/>
      </c>
      <c r="FR127" s="8" t="n">
        <v>0</v>
      </c>
      <c r="FS127" s="8" t="n">
        <v>0</v>
      </c>
      <c r="FT127" s="8" t="n">
        <v>0</v>
      </c>
      <c r="FU127" s="8" t="n">
        <v>0</v>
      </c>
      <c r="FV127" s="9">
        <f>FR127+FS127+FT127+FU127</f>
        <v/>
      </c>
      <c r="FW127" s="8" t="n">
        <v>1061100</v>
      </c>
      <c r="FX127" s="8" t="n">
        <v>1061100</v>
      </c>
      <c r="FY127" s="8" t="n">
        <v>0</v>
      </c>
      <c r="FZ127" s="8" t="n">
        <v>2000000</v>
      </c>
      <c r="GA127" s="9">
        <f>FW127+FX127+FY127+FZ127</f>
        <v/>
      </c>
      <c r="GB127" s="9">
        <f>FV127+GA127</f>
        <v/>
      </c>
      <c r="GC127" s="8" t="n">
        <v>0</v>
      </c>
      <c r="GD127" s="8" t="n">
        <v>0</v>
      </c>
      <c r="GE127" s="8" t="n">
        <v>0</v>
      </c>
      <c r="GF127" s="8" t="n">
        <v>0</v>
      </c>
      <c r="GG127" s="9">
        <f>GC127+GD127+GE127+GF127</f>
        <v/>
      </c>
      <c r="GH127" s="8" t="n">
        <v>0</v>
      </c>
      <c r="GI127" s="8" t="n">
        <v>0</v>
      </c>
      <c r="GJ127" s="8" t="n">
        <v>0</v>
      </c>
      <c r="GK127" s="8" t="n">
        <v>0</v>
      </c>
      <c r="GL127" s="9">
        <f>GH127+GI127+GJ127+GK127</f>
        <v/>
      </c>
      <c r="GM127" s="9">
        <f>GG127+GL127</f>
        <v/>
      </c>
      <c r="GN127" s="8" t="n">
        <v>0</v>
      </c>
      <c r="GO127" s="8" t="n">
        <v>0</v>
      </c>
      <c r="GP127" s="8" t="n">
        <v>0</v>
      </c>
      <c r="GQ127" s="8" t="n">
        <v>0</v>
      </c>
      <c r="GR127" s="9">
        <f>GN127+GO127+GP127+GQ127</f>
        <v/>
      </c>
      <c r="GS127" s="8" t="n">
        <v>0</v>
      </c>
      <c r="GT127" s="8" t="n">
        <v>0</v>
      </c>
      <c r="GU127" s="8" t="n">
        <v>0</v>
      </c>
      <c r="GV127" s="8" t="n">
        <v>0</v>
      </c>
      <c r="GW127" s="9">
        <f>GS127+GT127+GU127+GV127</f>
        <v/>
      </c>
      <c r="GX127" s="9">
        <f>GM127+GR127+GW127</f>
        <v/>
      </c>
      <c r="GY127" s="8" t="n">
        <v>0</v>
      </c>
      <c r="GZ127" s="8" t="n">
        <v>0</v>
      </c>
      <c r="HA127" s="9">
        <f>GY127+GZ127</f>
        <v/>
      </c>
      <c r="HB127" s="9">
        <f>IF(GX127=0,"",AU127/GX127)</f>
        <v/>
      </c>
      <c r="HC127" s="10">
        <f>IF((GX127+GY127)=0,"",GB127/(GX127+GY127))</f>
        <v/>
      </c>
      <c r="HD127" s="9">
        <f>IF(GX127=0,"",GB127/GX127)</f>
        <v/>
      </c>
      <c r="HE127" s="8" t="n">
        <v>0</v>
      </c>
      <c r="HF127" s="8" t="n">
        <v>0</v>
      </c>
      <c r="HG127" s="8" t="n">
        <v>0</v>
      </c>
      <c r="HH127" s="8" t="n">
        <v>0</v>
      </c>
      <c r="HI127" s="8" t="n">
        <v>0</v>
      </c>
      <c r="HJ127" s="9">
        <f>HF127+HI127</f>
        <v/>
      </c>
      <c r="HK127" s="10">
        <f>IF(HE127=0,"",HH127/HE127)</f>
        <v/>
      </c>
      <c r="HL127" s="8" t="n">
        <v>14</v>
      </c>
      <c r="HM127" s="8" t="n">
        <v>2</v>
      </c>
      <c r="HN127" s="11">
        <f>IF(HL127=0,"",HM127/HL127)</f>
        <v/>
      </c>
    </row>
    <row r="128">
      <c r="A128" s="12" t="inlineStr">
        <is>
          <t>Mulanje</t>
        </is>
      </c>
      <c r="B128" s="12" t="inlineStr">
        <is>
          <t>Migowi</t>
        </is>
      </c>
      <c r="C128" s="13" t="inlineStr">
        <is>
          <t>FY2025/26</t>
        </is>
      </c>
      <c r="D128" s="13" t="n">
        <v>2025</v>
      </c>
      <c r="E128" s="13" t="n">
        <v>9</v>
      </c>
      <c r="F128" s="13" t="inlineStr">
        <is>
          <t>September</t>
        </is>
      </c>
      <c r="G128" s="13" t="inlineStr">
        <is>
          <t>Q2</t>
        </is>
      </c>
      <c r="H128" s="14" t="n">
        <v>1200</v>
      </c>
      <c r="I128" s="14" t="n">
        <v>0</v>
      </c>
      <c r="J128" s="14" t="n">
        <v>0</v>
      </c>
      <c r="K128" s="14" t="n">
        <v>0</v>
      </c>
      <c r="L128" s="14" t="n">
        <v>0</v>
      </c>
      <c r="M128" s="15">
        <f>SUM(I128,J128,K128,L128)</f>
        <v/>
      </c>
      <c r="N128" s="14" t="n">
        <v>731</v>
      </c>
      <c r="O128" s="14" t="n">
        <v>0</v>
      </c>
      <c r="P128" s="14" t="n">
        <v>200</v>
      </c>
      <c r="Q128" s="14" t="n">
        <v>0</v>
      </c>
      <c r="R128" s="15">
        <f>SUM(N128,O128,P128,Q128)</f>
        <v/>
      </c>
      <c r="S128" s="15">
        <f>M128+R128</f>
        <v/>
      </c>
      <c r="T128" s="14" t="n">
        <v>269</v>
      </c>
      <c r="U128" s="16">
        <f>IF(H128=0,"",T128/H128)</f>
        <v/>
      </c>
      <c r="V128" s="14" t="n">
        <v>1</v>
      </c>
      <c r="W128" s="17">
        <f>IF(H128=0,"",V128/H128)</f>
        <v/>
      </c>
      <c r="X128" s="14" t="n">
        <v>0</v>
      </c>
      <c r="Y128" s="17">
        <f>IF(H128=0,"",X128/H128)</f>
        <v/>
      </c>
      <c r="Z128" s="14" t="n">
        <v>0</v>
      </c>
      <c r="AA128" s="17">
        <f>IF(H128=0,"",Z128/H128)</f>
        <v/>
      </c>
      <c r="AB128" s="14" t="n">
        <v>0</v>
      </c>
      <c r="AC128" s="17">
        <f>IF(H128=0,"",AB128/H128)</f>
        <v/>
      </c>
      <c r="AD128" s="14" t="n">
        <v>0</v>
      </c>
      <c r="AE128" s="17">
        <f>IF(H128=0,"",AD128/H128)</f>
        <v/>
      </c>
      <c r="AF128" s="14" t="n">
        <v>0</v>
      </c>
      <c r="AG128" s="17">
        <f>IF(H128=0,"",AF128/H128)</f>
        <v/>
      </c>
      <c r="AH128" s="14" t="n">
        <v>5111.67</v>
      </c>
      <c r="AI128" s="15">
        <f>IF(H128=0,"",AH128/H128)</f>
        <v/>
      </c>
      <c r="AJ128" s="14" t="n">
        <v>400</v>
      </c>
      <c r="AK128" s="17">
        <f>IF(H128=0,"",AJ128/H128)</f>
        <v/>
      </c>
      <c r="AL128" s="14" t="n">
        <v>71927.10000000001</v>
      </c>
      <c r="AM128" s="15">
        <f>IF(H128=0,"",AL128/H128)</f>
        <v/>
      </c>
      <c r="AN128" s="14" t="n">
        <v>0</v>
      </c>
      <c r="AO128" s="14" t="n">
        <v>0</v>
      </c>
      <c r="AP128" s="14" t="n">
        <v>0</v>
      </c>
      <c r="AQ128" s="14" t="n">
        <v>0</v>
      </c>
      <c r="AR128" s="14" t="n">
        <v>0</v>
      </c>
      <c r="AS128" s="14" t="n">
        <v>0</v>
      </c>
      <c r="AT128" s="14" t="n">
        <v>0</v>
      </c>
      <c r="AU128" s="15">
        <f>AH128+AL128+AP128+AQ128+AR128+AS128+AT128</f>
        <v/>
      </c>
      <c r="AV128" s="15">
        <f>IF(H128=0,"",AU128/H128)</f>
        <v/>
      </c>
      <c r="AW128" s="15">
        <f>IF(S128=0,"",AU128/S128)</f>
        <v/>
      </c>
      <c r="AX128" s="14" t="n">
        <v>0</v>
      </c>
      <c r="AY128" s="15">
        <f>IF(H128=0,"",AX128/(H128/1000/12))</f>
        <v/>
      </c>
      <c r="AZ128" s="14" t="n">
        <v>2</v>
      </c>
      <c r="BA128" s="14" t="n">
        <v>0</v>
      </c>
      <c r="BB128" s="14" t="n">
        <v>0</v>
      </c>
      <c r="BC128" s="14" t="n">
        <v>0</v>
      </c>
      <c r="BD128" s="14" t="n">
        <v>0</v>
      </c>
      <c r="BE128" s="15">
        <f>BC128+BD128</f>
        <v/>
      </c>
      <c r="BF128" s="15">
        <f>BA128+BB128-BE128</f>
        <v/>
      </c>
      <c r="BG128" s="14" t="n">
        <v>0</v>
      </c>
      <c r="BH128" s="14" t="n">
        <v>0</v>
      </c>
      <c r="BI128" s="14" t="n">
        <v>0</v>
      </c>
      <c r="BJ128" s="14" t="n">
        <v>0</v>
      </c>
      <c r="BK128" s="15">
        <f>BI128+BJ128</f>
        <v/>
      </c>
      <c r="BL128" s="15">
        <f>BG128+BH128-BK128</f>
        <v/>
      </c>
      <c r="BM128" s="14" t="n">
        <v>0</v>
      </c>
      <c r="BN128" s="14" t="n">
        <v>0</v>
      </c>
      <c r="BO128" s="14" t="n">
        <v>0</v>
      </c>
      <c r="BP128" s="14" t="n">
        <v>0</v>
      </c>
      <c r="BQ128" s="15">
        <f>BO128+BP128</f>
        <v/>
      </c>
      <c r="BR128" s="15">
        <f>BM128+BN128-BQ128</f>
        <v/>
      </c>
      <c r="BS128" s="14" t="n">
        <v>0</v>
      </c>
      <c r="BT128" s="14" t="n">
        <v>0</v>
      </c>
      <c r="BU128" s="14" t="n">
        <v>0</v>
      </c>
      <c r="BV128" s="14" t="n">
        <v>0</v>
      </c>
      <c r="BW128" s="15">
        <f>BU128+BV128</f>
        <v/>
      </c>
      <c r="BX128" s="15">
        <f>BS128+BT128-BW128</f>
        <v/>
      </c>
      <c r="BY128" s="15">
        <f>BA128+BG128+BM128+BS128</f>
        <v/>
      </c>
      <c r="BZ128" s="15">
        <f>BB128+BH128+BN128+BT128</f>
        <v/>
      </c>
      <c r="CA128" s="15">
        <f>BE128+BK128+BQ128+BW128</f>
        <v/>
      </c>
      <c r="CB128" s="15">
        <f>BF128+BL128+BR128+BX128</f>
        <v/>
      </c>
      <c r="CC128" s="14" t="n">
        <v>0</v>
      </c>
      <c r="CD128" s="14" t="n">
        <v>0</v>
      </c>
      <c r="CE128" s="14" t="n">
        <v>0</v>
      </c>
      <c r="CF128" s="14" t="n">
        <v>0</v>
      </c>
      <c r="CG128" s="14" t="n">
        <v>0</v>
      </c>
      <c r="CH128" s="15">
        <f>CD128+CE128+CF128+CG128</f>
        <v/>
      </c>
      <c r="CI128" s="14" t="n">
        <v>0</v>
      </c>
      <c r="CJ128" s="14" t="n">
        <v>0</v>
      </c>
      <c r="CK128" s="14" t="n">
        <v>0</v>
      </c>
      <c r="CL128" s="14" t="n">
        <v>0</v>
      </c>
      <c r="CM128" s="15">
        <f>CI128+CJ128+CK128+CL128</f>
        <v/>
      </c>
      <c r="CN128" s="14" t="n">
        <v>75</v>
      </c>
      <c r="CO128" s="14" t="n">
        <v>1</v>
      </c>
      <c r="CP128" s="14" t="n">
        <v>0</v>
      </c>
      <c r="CQ128" s="14" t="n">
        <v>0</v>
      </c>
      <c r="CR128" s="15">
        <f>CN128+CO128+CP128+CQ128</f>
        <v/>
      </c>
      <c r="CS128" s="15">
        <f>CM128+CR128</f>
        <v/>
      </c>
      <c r="CT128" s="14" t="n">
        <v>76</v>
      </c>
      <c r="CU128" s="14" t="n">
        <v>553</v>
      </c>
      <c r="CV128" s="14" t="n">
        <v>553</v>
      </c>
      <c r="CW128" s="16">
        <f>IF(CU128=0,"",CV128/CU128)</f>
        <v/>
      </c>
      <c r="CX128" s="14" t="n"/>
      <c r="CY128" s="14" t="n"/>
      <c r="CZ128" s="14" t="n"/>
      <c r="DA128" s="14" t="n"/>
      <c r="DB128" s="15">
        <f>CX128+CY128-CZ128-DA128</f>
        <v/>
      </c>
      <c r="DC128" s="14" t="n">
        <v>0</v>
      </c>
      <c r="DD128" s="14" t="n">
        <v>0</v>
      </c>
      <c r="DE128" s="14" t="n">
        <v>0</v>
      </c>
      <c r="DF128" s="14" t="n">
        <v>0</v>
      </c>
      <c r="DG128" s="15">
        <f>DC128+DD128-DE128-DF128</f>
        <v/>
      </c>
      <c r="DH128" s="14" t="n">
        <v>0</v>
      </c>
      <c r="DI128" s="14" t="n">
        <v>0</v>
      </c>
      <c r="DJ128" s="14" t="n">
        <v>0</v>
      </c>
      <c r="DK128" s="14" t="n">
        <v>0</v>
      </c>
      <c r="DL128" s="15">
        <f>DH128+DI128-DJ128-DK128</f>
        <v/>
      </c>
      <c r="DM128" s="14" t="n">
        <v>0</v>
      </c>
      <c r="DN128" s="14" t="n">
        <v>0</v>
      </c>
      <c r="DO128" s="14" t="n">
        <v>0</v>
      </c>
      <c r="DP128" s="14" t="n">
        <v>0</v>
      </c>
      <c r="DQ128" s="15">
        <f>DM128+DN128-DO128-DP128</f>
        <v/>
      </c>
      <c r="DR128" s="15">
        <f>CX128+DC128+DH128+DM128</f>
        <v/>
      </c>
      <c r="DS128" s="15">
        <f>CY128+DD128+DI128+DN128</f>
        <v/>
      </c>
      <c r="DT128" s="15">
        <f>CZ128+DE128+DJ128+DO128</f>
        <v/>
      </c>
      <c r="DU128" s="15">
        <f>DA128+DF128+DK128+DP128</f>
        <v/>
      </c>
      <c r="DV128" s="15">
        <f>DB128+DG128+DL128+DQ128</f>
        <v/>
      </c>
      <c r="DW128" s="14" t="n">
        <v>0</v>
      </c>
      <c r="DX128" s="14" t="n">
        <v>0</v>
      </c>
      <c r="DY128" s="14" t="n">
        <v>0</v>
      </c>
      <c r="DZ128" s="14" t="n">
        <v>0</v>
      </c>
      <c r="EA128" s="14" t="n">
        <v>0</v>
      </c>
      <c r="EB128" s="14" t="n">
        <v>0</v>
      </c>
      <c r="EC128" s="14" t="n">
        <v>0</v>
      </c>
      <c r="ED128" s="14" t="n">
        <v>0</v>
      </c>
      <c r="EE128" s="14" t="n">
        <v>0</v>
      </c>
      <c r="EF128" s="14" t="n">
        <v>0</v>
      </c>
      <c r="EG128" s="14" t="n">
        <v>0</v>
      </c>
      <c r="EH128" s="14" t="n">
        <v>0</v>
      </c>
      <c r="EI128" s="14" t="n">
        <v>0</v>
      </c>
      <c r="EJ128" s="14" t="n">
        <v>0</v>
      </c>
      <c r="EK128" s="14" t="n">
        <v>1</v>
      </c>
      <c r="EL128" s="14" t="n">
        <v>1</v>
      </c>
      <c r="EM128" s="14" t="n">
        <v>0</v>
      </c>
      <c r="EN128" s="14" t="n">
        <v>0</v>
      </c>
      <c r="EO128" s="14" t="n">
        <v>0</v>
      </c>
      <c r="EP128" s="14" t="n">
        <v>0</v>
      </c>
      <c r="EQ128" s="14" t="n">
        <v>0</v>
      </c>
      <c r="ER128" s="14" t="n">
        <v>0</v>
      </c>
      <c r="ES128" s="14" t="n">
        <v>0</v>
      </c>
      <c r="ET128" s="14" t="n">
        <v>0</v>
      </c>
      <c r="EU128" s="14" t="n">
        <v>0</v>
      </c>
      <c r="EV128" s="14" t="n">
        <v>0</v>
      </c>
      <c r="EW128" s="14" t="n">
        <v>0</v>
      </c>
      <c r="EX128" s="14" t="n">
        <v>0</v>
      </c>
      <c r="EY128" s="14" t="n">
        <v>0</v>
      </c>
      <c r="EZ128" s="14" t="n">
        <v>0</v>
      </c>
      <c r="FA128" s="14" t="n">
        <v>0</v>
      </c>
      <c r="FB128" s="14" t="n">
        <v>0</v>
      </c>
      <c r="FC128" s="14" t="n">
        <v>0</v>
      </c>
      <c r="FD128" s="14" t="n">
        <v>0</v>
      </c>
      <c r="FE128" s="14" t="n">
        <v>0</v>
      </c>
      <c r="FF128" s="14" t="n">
        <v>0</v>
      </c>
      <c r="FG128" s="15">
        <f>SUM(DW128,DX128,DY128,DZ128,EA128,EB128,EC128,ED128,EE128,EF128,EG128,EH128,EI128,EJ128,EK128,EL128,EM128,EN128,EO128,EP128,EQ128,ER128,ES128,ET128,EU128,EV128,EW128,EX128,EY128,EZ128,FA128,FB128,FC128,FD128,FE128,FF128)</f>
        <v/>
      </c>
      <c r="FH128" s="14" t="n">
        <v>1</v>
      </c>
      <c r="FI128" s="14" t="n">
        <v>0</v>
      </c>
      <c r="FJ128" s="14" t="n">
        <v>24</v>
      </c>
      <c r="FK128" s="14" t="n">
        <v>42</v>
      </c>
      <c r="FL128" s="14" t="n">
        <v>42</v>
      </c>
      <c r="FM128" s="14" t="n">
        <v>0</v>
      </c>
      <c r="FN128" s="14" t="n">
        <v>0</v>
      </c>
      <c r="FO128" s="14" t="n">
        <v>0</v>
      </c>
      <c r="FP128" s="14" t="n">
        <v>0</v>
      </c>
      <c r="FQ128" s="15">
        <f>FL128+FM128+FN128+FO128+FP128</f>
        <v/>
      </c>
      <c r="FR128" s="14" t="n">
        <v>0</v>
      </c>
      <c r="FS128" s="14" t="n">
        <v>0</v>
      </c>
      <c r="FT128" s="14" t="n">
        <v>0</v>
      </c>
      <c r="FU128" s="14" t="n">
        <v>0</v>
      </c>
      <c r="FV128" s="15">
        <f>FR128+FS128+FT128+FU128</f>
        <v/>
      </c>
      <c r="FW128" s="14" t="n">
        <v>1163393</v>
      </c>
      <c r="FX128" s="14" t="n">
        <v>0</v>
      </c>
      <c r="FY128" s="14" t="n">
        <v>0</v>
      </c>
      <c r="FZ128" s="14" t="n">
        <v>0</v>
      </c>
      <c r="GA128" s="15">
        <f>FW128+FX128+FY128+FZ128</f>
        <v/>
      </c>
      <c r="GB128" s="15">
        <f>FV128+GA128</f>
        <v/>
      </c>
      <c r="GC128" s="14" t="n">
        <v>0</v>
      </c>
      <c r="GD128" s="14" t="n">
        <v>0</v>
      </c>
      <c r="GE128" s="14" t="n">
        <v>0</v>
      </c>
      <c r="GF128" s="14" t="n">
        <v>0</v>
      </c>
      <c r="GG128" s="15">
        <f>GC128+GD128+GE128+GF128</f>
        <v/>
      </c>
      <c r="GH128" s="14" t="n">
        <v>0</v>
      </c>
      <c r="GI128" s="14" t="n">
        <v>0</v>
      </c>
      <c r="GJ128" s="14" t="n">
        <v>0</v>
      </c>
      <c r="GK128" s="14" t="n">
        <v>0</v>
      </c>
      <c r="GL128" s="15">
        <f>GH128+GI128+GJ128+GK128</f>
        <v/>
      </c>
      <c r="GM128" s="15">
        <f>GG128+GL128</f>
        <v/>
      </c>
      <c r="GN128" s="14" t="n">
        <v>0</v>
      </c>
      <c r="GO128" s="14" t="n">
        <v>0</v>
      </c>
      <c r="GP128" s="14" t="n">
        <v>0</v>
      </c>
      <c r="GQ128" s="14" t="n">
        <v>0</v>
      </c>
      <c r="GR128" s="15">
        <f>GN128+GO128+GP128+GQ128</f>
        <v/>
      </c>
      <c r="GS128" s="14" t="n">
        <v>0</v>
      </c>
      <c r="GT128" s="14" t="n">
        <v>0</v>
      </c>
      <c r="GU128" s="14" t="n">
        <v>0</v>
      </c>
      <c r="GV128" s="14" t="n">
        <v>0</v>
      </c>
      <c r="GW128" s="15">
        <f>GS128+GT128+GU128+GV128</f>
        <v/>
      </c>
      <c r="GX128" s="15">
        <f>GM128+GR128+GW128</f>
        <v/>
      </c>
      <c r="GY128" s="14" t="n">
        <v>0</v>
      </c>
      <c r="GZ128" s="14" t="n">
        <v>0</v>
      </c>
      <c r="HA128" s="15">
        <f>GY128+GZ128</f>
        <v/>
      </c>
      <c r="HB128" s="15">
        <f>IF(GX128=0,"",AU128/GX128)</f>
        <v/>
      </c>
      <c r="HC128" s="16">
        <f>IF((GX128+GY128)=0,"",GB128/(GX128+GY128))</f>
        <v/>
      </c>
      <c r="HD128" s="15">
        <f>IF(GX128=0,"",GB128/GX128)</f>
        <v/>
      </c>
      <c r="HE128" s="14" t="n">
        <v>0</v>
      </c>
      <c r="HF128" s="14" t="n">
        <v>0</v>
      </c>
      <c r="HG128" s="14" t="n">
        <v>0</v>
      </c>
      <c r="HH128" s="14" t="n">
        <v>0</v>
      </c>
      <c r="HI128" s="14" t="n">
        <v>0</v>
      </c>
      <c r="HJ128" s="15">
        <f>HF128+HI128</f>
        <v/>
      </c>
      <c r="HK128" s="16">
        <f>IF(HE128=0,"",HH128/HE128)</f>
        <v/>
      </c>
      <c r="HL128" s="14" t="n">
        <v>6</v>
      </c>
      <c r="HM128" s="14" t="n">
        <v>2</v>
      </c>
      <c r="HN128" s="17">
        <f>IF(HL128=0,"",HM128/HL128)</f>
        <v/>
      </c>
    </row>
    <row r="129">
      <c r="A129" s="6" t="inlineStr">
        <is>
          <t>Mulanje</t>
        </is>
      </c>
      <c r="B129" s="6" t="inlineStr">
        <is>
          <t>Migowi</t>
        </is>
      </c>
      <c r="C129" s="7" t="inlineStr">
        <is>
          <t>FY2025/26</t>
        </is>
      </c>
      <c r="D129" s="7" t="n">
        <v>2025</v>
      </c>
      <c r="E129" s="7" t="n">
        <v>10</v>
      </c>
      <c r="F129" s="7" t="inlineStr">
        <is>
          <t>October</t>
        </is>
      </c>
      <c r="G129" s="7" t="inlineStr">
        <is>
          <t>Q3</t>
        </is>
      </c>
      <c r="H129" s="8" t="n">
        <v>1150</v>
      </c>
      <c r="I129" s="8" t="n">
        <v>0</v>
      </c>
      <c r="J129" s="8" t="n">
        <v>0</v>
      </c>
      <c r="K129" s="8" t="n">
        <v>0</v>
      </c>
      <c r="L129" s="8" t="n">
        <v>0</v>
      </c>
      <c r="M129" s="9">
        <f>SUM(I129,J129,K129,L129)</f>
        <v/>
      </c>
      <c r="N129" s="8" t="n">
        <v>842</v>
      </c>
      <c r="O129" s="8" t="n">
        <v>0</v>
      </c>
      <c r="P129" s="8" t="n">
        <v>100</v>
      </c>
      <c r="Q129" s="8" t="n">
        <v>0</v>
      </c>
      <c r="R129" s="9">
        <f>SUM(N129,O129,P129,Q129)</f>
        <v/>
      </c>
      <c r="S129" s="9">
        <f>M129+R129</f>
        <v/>
      </c>
      <c r="T129" s="8" t="n">
        <v>208</v>
      </c>
      <c r="U129" s="10">
        <f>IF(H129=0,"",T129/H129)</f>
        <v/>
      </c>
      <c r="V129" s="8" t="n">
        <v>1</v>
      </c>
      <c r="W129" s="11">
        <f>IF(H129=0,"",V129/H129)</f>
        <v/>
      </c>
      <c r="X129" s="8" t="n">
        <v>0</v>
      </c>
      <c r="Y129" s="11">
        <f>IF(H129=0,"",X129/H129)</f>
        <v/>
      </c>
      <c r="Z129" s="8" t="n">
        <v>0</v>
      </c>
      <c r="AA129" s="11">
        <f>IF(H129=0,"",Z129/H129)</f>
        <v/>
      </c>
      <c r="AB129" s="8" t="n">
        <v>0</v>
      </c>
      <c r="AC129" s="11">
        <f>IF(H129=0,"",AB129/H129)</f>
        <v/>
      </c>
      <c r="AD129" s="8" t="n">
        <v>0</v>
      </c>
      <c r="AE129" s="11">
        <f>IF(H129=0,"",AD129/H129)</f>
        <v/>
      </c>
      <c r="AF129" s="8" t="n">
        <v>0</v>
      </c>
      <c r="AG129" s="11">
        <f>IF(H129=0,"",AF129/H129)</f>
        <v/>
      </c>
      <c r="AH129" s="8" t="n">
        <v>5111.67</v>
      </c>
      <c r="AI129" s="9">
        <f>IF(H129=0,"",AH129/H129)</f>
        <v/>
      </c>
      <c r="AJ129" s="8" t="n">
        <v>505</v>
      </c>
      <c r="AK129" s="11">
        <f>IF(H129=0,"",AJ129/H129)</f>
        <v/>
      </c>
      <c r="AL129" s="8" t="n">
        <v>86496.00750000001</v>
      </c>
      <c r="AM129" s="9">
        <f>IF(H129=0,"",AL129/H129)</f>
        <v/>
      </c>
      <c r="AN129" s="8" t="n">
        <v>0</v>
      </c>
      <c r="AO129" s="8" t="n">
        <v>0</v>
      </c>
      <c r="AP129" s="8" t="n">
        <v>0</v>
      </c>
      <c r="AQ129" s="8" t="n">
        <v>0</v>
      </c>
      <c r="AR129" s="8" t="n">
        <v>0</v>
      </c>
      <c r="AS129" s="8" t="n">
        <v>0</v>
      </c>
      <c r="AT129" s="8" t="n">
        <v>0</v>
      </c>
      <c r="AU129" s="9">
        <f>AH129+AL129+AP129+AQ129+AR129+AS129+AT129</f>
        <v/>
      </c>
      <c r="AV129" s="9">
        <f>IF(H129=0,"",AU129/H129)</f>
        <v/>
      </c>
      <c r="AW129" s="9">
        <f>IF(S129=0,"",AU129/S129)</f>
        <v/>
      </c>
      <c r="AX129" s="8" t="n">
        <v>0</v>
      </c>
      <c r="AY129" s="9">
        <f>IF(H129=0,"",AX129/(H129/1000/12))</f>
        <v/>
      </c>
      <c r="AZ129" s="8" t="n">
        <v>2</v>
      </c>
      <c r="BA129" s="8" t="n">
        <v>0</v>
      </c>
      <c r="BB129" s="8" t="n">
        <v>0</v>
      </c>
      <c r="BC129" s="8" t="n">
        <v>0</v>
      </c>
      <c r="BD129" s="8" t="n">
        <v>0</v>
      </c>
      <c r="BE129" s="9">
        <f>BC129+BD129</f>
        <v/>
      </c>
      <c r="BF129" s="9">
        <f>BA129+BB129-BE129</f>
        <v/>
      </c>
      <c r="BG129" s="8" t="n">
        <v>0</v>
      </c>
      <c r="BH129" s="8" t="n">
        <v>0</v>
      </c>
      <c r="BI129" s="8" t="n">
        <v>0</v>
      </c>
      <c r="BJ129" s="8" t="n">
        <v>0</v>
      </c>
      <c r="BK129" s="9">
        <f>BI129+BJ129</f>
        <v/>
      </c>
      <c r="BL129" s="9">
        <f>BG129+BH129-BK129</f>
        <v/>
      </c>
      <c r="BM129" s="8" t="n">
        <v>0</v>
      </c>
      <c r="BN129" s="8" t="n">
        <v>0</v>
      </c>
      <c r="BO129" s="8" t="n">
        <v>0</v>
      </c>
      <c r="BP129" s="8" t="n">
        <v>0</v>
      </c>
      <c r="BQ129" s="9">
        <f>BO129+BP129</f>
        <v/>
      </c>
      <c r="BR129" s="9">
        <f>BM129+BN129-BQ129</f>
        <v/>
      </c>
      <c r="BS129" s="8" t="n">
        <v>0</v>
      </c>
      <c r="BT129" s="8" t="n">
        <v>0</v>
      </c>
      <c r="BU129" s="8" t="n">
        <v>0</v>
      </c>
      <c r="BV129" s="8" t="n">
        <v>0</v>
      </c>
      <c r="BW129" s="9">
        <f>BU129+BV129</f>
        <v/>
      </c>
      <c r="BX129" s="9">
        <f>BS129+BT129-BW129</f>
        <v/>
      </c>
      <c r="BY129" s="9">
        <f>BA129+BG129+BM129+BS129</f>
        <v/>
      </c>
      <c r="BZ129" s="9">
        <f>BB129+BH129+BN129+BT129</f>
        <v/>
      </c>
      <c r="CA129" s="9">
        <f>BE129+BK129+BQ129+BW129</f>
        <v/>
      </c>
      <c r="CB129" s="9">
        <f>BF129+BL129+BR129+BX129</f>
        <v/>
      </c>
      <c r="CC129" s="8" t="n">
        <v>0</v>
      </c>
      <c r="CD129" s="8" t="n">
        <v>0</v>
      </c>
      <c r="CE129" s="8" t="n">
        <v>0</v>
      </c>
      <c r="CF129" s="8" t="n">
        <v>0</v>
      </c>
      <c r="CG129" s="8" t="n">
        <v>0</v>
      </c>
      <c r="CH129" s="9">
        <f>CD129+CE129+CF129+CG129</f>
        <v/>
      </c>
      <c r="CI129" s="8" t="n">
        <v>0</v>
      </c>
      <c r="CJ129" s="8" t="n">
        <v>0</v>
      </c>
      <c r="CK129" s="8" t="n">
        <v>0</v>
      </c>
      <c r="CL129" s="8" t="n">
        <v>0</v>
      </c>
      <c r="CM129" s="9">
        <f>CI129+CJ129+CK129+CL129</f>
        <v/>
      </c>
      <c r="CN129" s="8" t="n">
        <v>75</v>
      </c>
      <c r="CO129" s="8" t="n">
        <v>1</v>
      </c>
      <c r="CP129" s="8" t="n">
        <v>0</v>
      </c>
      <c r="CQ129" s="8" t="n">
        <v>0</v>
      </c>
      <c r="CR129" s="9">
        <f>CN129+CO129+CP129+CQ129</f>
        <v/>
      </c>
      <c r="CS129" s="9">
        <f>CM129+CR129</f>
        <v/>
      </c>
      <c r="CT129" s="8" t="n">
        <v>76</v>
      </c>
      <c r="CU129" s="8" t="n">
        <v>553</v>
      </c>
      <c r="CV129" s="8" t="n">
        <v>553</v>
      </c>
      <c r="CW129" s="10">
        <f>IF(CU129=0,"",CV129/CU129)</f>
        <v/>
      </c>
      <c r="CX129" s="8" t="n"/>
      <c r="CY129" s="8" t="n"/>
      <c r="CZ129" s="8" t="n"/>
      <c r="DA129" s="8" t="n"/>
      <c r="DB129" s="9">
        <f>CX129+CY129-CZ129-DA129</f>
        <v/>
      </c>
      <c r="DC129" s="8" t="n">
        <v>0</v>
      </c>
      <c r="DD129" s="8" t="n">
        <v>0</v>
      </c>
      <c r="DE129" s="8" t="n">
        <v>0</v>
      </c>
      <c r="DF129" s="8" t="n">
        <v>0</v>
      </c>
      <c r="DG129" s="9">
        <f>DC129+DD129-DE129-DF129</f>
        <v/>
      </c>
      <c r="DH129" s="8" t="n">
        <v>0</v>
      </c>
      <c r="DI129" s="8" t="n">
        <v>0</v>
      </c>
      <c r="DJ129" s="8" t="n">
        <v>0</v>
      </c>
      <c r="DK129" s="8" t="n">
        <v>0</v>
      </c>
      <c r="DL129" s="9">
        <f>DH129+DI129-DJ129-DK129</f>
        <v/>
      </c>
      <c r="DM129" s="8" t="n">
        <v>0</v>
      </c>
      <c r="DN129" s="8" t="n">
        <v>0</v>
      </c>
      <c r="DO129" s="8" t="n">
        <v>0</v>
      </c>
      <c r="DP129" s="8" t="n">
        <v>0</v>
      </c>
      <c r="DQ129" s="9">
        <f>DM129+DN129-DO129-DP129</f>
        <v/>
      </c>
      <c r="DR129" s="9">
        <f>CX129+DC129+DH129+DM129</f>
        <v/>
      </c>
      <c r="DS129" s="9">
        <f>CY129+DD129+DI129+DN129</f>
        <v/>
      </c>
      <c r="DT129" s="9">
        <f>CZ129+DE129+DJ129+DO129</f>
        <v/>
      </c>
      <c r="DU129" s="9">
        <f>DA129+DF129+DK129+DP129</f>
        <v/>
      </c>
      <c r="DV129" s="9">
        <f>DB129+DG129+DL129+DQ129</f>
        <v/>
      </c>
      <c r="DW129" s="8" t="n">
        <v>0</v>
      </c>
      <c r="DX129" s="8" t="n">
        <v>0</v>
      </c>
      <c r="DY129" s="8" t="n">
        <v>0</v>
      </c>
      <c r="DZ129" s="8" t="n">
        <v>0</v>
      </c>
      <c r="EA129" s="8" t="n">
        <v>0</v>
      </c>
      <c r="EB129" s="8" t="n">
        <v>0</v>
      </c>
      <c r="EC129" s="8" t="n">
        <v>0</v>
      </c>
      <c r="ED129" s="8" t="n">
        <v>0</v>
      </c>
      <c r="EE129" s="8" t="n">
        <v>0</v>
      </c>
      <c r="EF129" s="8" t="n">
        <v>0</v>
      </c>
      <c r="EG129" s="8" t="n">
        <v>0</v>
      </c>
      <c r="EH129" s="8" t="n">
        <v>0</v>
      </c>
      <c r="EI129" s="8" t="n">
        <v>0</v>
      </c>
      <c r="EJ129" s="8" t="n">
        <v>1</v>
      </c>
      <c r="EK129" s="8" t="n">
        <v>2</v>
      </c>
      <c r="EL129" s="8" t="n">
        <v>2</v>
      </c>
      <c r="EM129" s="8" t="n">
        <v>0</v>
      </c>
      <c r="EN129" s="8" t="n">
        <v>0</v>
      </c>
      <c r="EO129" s="8" t="n">
        <v>0</v>
      </c>
      <c r="EP129" s="8" t="n">
        <v>0</v>
      </c>
      <c r="EQ129" s="8" t="n">
        <v>0</v>
      </c>
      <c r="ER129" s="8" t="n">
        <v>0</v>
      </c>
      <c r="ES129" s="8" t="n">
        <v>0</v>
      </c>
      <c r="ET129" s="8" t="n">
        <v>0</v>
      </c>
      <c r="EU129" s="8" t="n">
        <v>0</v>
      </c>
      <c r="EV129" s="8" t="n">
        <v>0</v>
      </c>
      <c r="EW129" s="8" t="n">
        <v>0</v>
      </c>
      <c r="EX129" s="8" t="n">
        <v>0</v>
      </c>
      <c r="EY129" s="8" t="n">
        <v>0</v>
      </c>
      <c r="EZ129" s="8" t="n">
        <v>0</v>
      </c>
      <c r="FA129" s="8" t="n">
        <v>0</v>
      </c>
      <c r="FB129" s="8" t="n">
        <v>0</v>
      </c>
      <c r="FC129" s="8" t="n">
        <v>0</v>
      </c>
      <c r="FD129" s="8" t="n">
        <v>0</v>
      </c>
      <c r="FE129" s="8" t="n">
        <v>0</v>
      </c>
      <c r="FF129" s="8" t="n">
        <v>0</v>
      </c>
      <c r="FG129" s="9">
        <f>SUM(DW129,DX129,DY129,DZ129,EA129,EB129,EC129,ED129,EE129,EF129,EG129,EH129,EI129,EJ129,EK129,EL129,EM129,EN129,EO129,EP129,EQ129,ER129,ES129,ET129,EU129,EV129,EW129,EX129,EY129,EZ129,FA129,FB129,FC129,FD129,FE129,FF129)</f>
        <v/>
      </c>
      <c r="FH129" s="8" t="n">
        <v>3</v>
      </c>
      <c r="FI129" s="8" t="n">
        <v>0</v>
      </c>
      <c r="FJ129" s="8" t="n">
        <v>24</v>
      </c>
      <c r="FK129" s="8" t="n">
        <v>72</v>
      </c>
      <c r="FL129" s="8" t="n">
        <v>72</v>
      </c>
      <c r="FM129" s="8" t="n">
        <v>0</v>
      </c>
      <c r="FN129" s="8" t="n">
        <v>0</v>
      </c>
      <c r="FO129" s="8" t="n">
        <v>0</v>
      </c>
      <c r="FP129" s="8" t="n">
        <v>0</v>
      </c>
      <c r="FQ129" s="9">
        <f>FL129+FM129+FN129+FO129+FP129</f>
        <v/>
      </c>
      <c r="FR129" s="8" t="n">
        <v>0</v>
      </c>
      <c r="FS129" s="8" t="n">
        <v>0</v>
      </c>
      <c r="FT129" s="8" t="n">
        <v>0</v>
      </c>
      <c r="FU129" s="8" t="n">
        <v>0</v>
      </c>
      <c r="FV129" s="9">
        <f>FR129+FS129+FT129+FU129</f>
        <v/>
      </c>
      <c r="FW129" s="8" t="n">
        <v>1050350</v>
      </c>
      <c r="FX129" s="8" t="n">
        <v>0</v>
      </c>
      <c r="FY129" s="8" t="n">
        <v>0</v>
      </c>
      <c r="FZ129" s="8" t="n">
        <v>0</v>
      </c>
      <c r="GA129" s="9">
        <f>FW129+FX129+FY129+FZ129</f>
        <v/>
      </c>
      <c r="GB129" s="9">
        <f>FV129+GA129</f>
        <v/>
      </c>
      <c r="GC129" s="8" t="n">
        <v>0</v>
      </c>
      <c r="GD129" s="8" t="n">
        <v>0</v>
      </c>
      <c r="GE129" s="8" t="n">
        <v>0</v>
      </c>
      <c r="GF129" s="8" t="n">
        <v>0</v>
      </c>
      <c r="GG129" s="9">
        <f>GC129+GD129+GE129+GF129</f>
        <v/>
      </c>
      <c r="GH129" s="8" t="n">
        <v>0</v>
      </c>
      <c r="GI129" s="8" t="n">
        <v>0</v>
      </c>
      <c r="GJ129" s="8" t="n">
        <v>0</v>
      </c>
      <c r="GK129" s="8" t="n">
        <v>0</v>
      </c>
      <c r="GL129" s="9">
        <f>GH129+GI129+GJ129+GK129</f>
        <v/>
      </c>
      <c r="GM129" s="9">
        <f>GG129+GL129</f>
        <v/>
      </c>
      <c r="GN129" s="8" t="n">
        <v>0</v>
      </c>
      <c r="GO129" s="8" t="n">
        <v>0</v>
      </c>
      <c r="GP129" s="8" t="n">
        <v>0</v>
      </c>
      <c r="GQ129" s="8" t="n">
        <v>0</v>
      </c>
      <c r="GR129" s="9">
        <f>GN129+GO129+GP129+GQ129</f>
        <v/>
      </c>
      <c r="GS129" s="8" t="n">
        <v>0</v>
      </c>
      <c r="GT129" s="8" t="n">
        <v>0</v>
      </c>
      <c r="GU129" s="8" t="n">
        <v>0</v>
      </c>
      <c r="GV129" s="8" t="n">
        <v>0</v>
      </c>
      <c r="GW129" s="9">
        <f>GS129+GT129+GU129+GV129</f>
        <v/>
      </c>
      <c r="GX129" s="9">
        <f>GM129+GR129+GW129</f>
        <v/>
      </c>
      <c r="GY129" s="8" t="n">
        <v>0</v>
      </c>
      <c r="GZ129" s="8" t="n">
        <v>0</v>
      </c>
      <c r="HA129" s="9">
        <f>GY129+GZ129</f>
        <v/>
      </c>
      <c r="HB129" s="9">
        <f>IF(GX129=0,"",AU129/GX129)</f>
        <v/>
      </c>
      <c r="HC129" s="10">
        <f>IF((GX129+GY129)=0,"",GB129/(GX129+GY129))</f>
        <v/>
      </c>
      <c r="HD129" s="9">
        <f>IF(GX129=0,"",GB129/GX129)</f>
        <v/>
      </c>
      <c r="HE129" s="8" t="n">
        <v>0</v>
      </c>
      <c r="HF129" s="8" t="n">
        <v>0</v>
      </c>
      <c r="HG129" s="8" t="n">
        <v>0</v>
      </c>
      <c r="HH129" s="8" t="n">
        <v>0</v>
      </c>
      <c r="HI129" s="8" t="n">
        <v>0</v>
      </c>
      <c r="HJ129" s="9">
        <f>HF129+HI129</f>
        <v/>
      </c>
      <c r="HK129" s="10">
        <f>IF(HE129=0,"",HH129/HE129)</f>
        <v/>
      </c>
      <c r="HL129" s="8" t="n">
        <v>10</v>
      </c>
      <c r="HM129" s="8" t="n">
        <v>3</v>
      </c>
      <c r="HN129" s="11">
        <f>IF(HL129=0,"",HM129/HL129)</f>
        <v/>
      </c>
    </row>
    <row r="130">
      <c r="A130" s="12" t="inlineStr">
        <is>
          <t>Mulanje</t>
        </is>
      </c>
      <c r="B130" s="12" t="inlineStr">
        <is>
          <t>Migowi</t>
        </is>
      </c>
      <c r="C130" s="13" t="inlineStr">
        <is>
          <t>FY2025/26</t>
        </is>
      </c>
      <c r="D130" s="13" t="n">
        <v>2025</v>
      </c>
      <c r="E130" s="13" t="n">
        <v>11</v>
      </c>
      <c r="F130" s="13" t="inlineStr">
        <is>
          <t>November</t>
        </is>
      </c>
      <c r="G130" s="13" t="inlineStr">
        <is>
          <t>Q3</t>
        </is>
      </c>
      <c r="H130" s="14" t="n">
        <v>822</v>
      </c>
      <c r="I130" s="14" t="n">
        <v>0</v>
      </c>
      <c r="J130" s="14" t="n">
        <v>0</v>
      </c>
      <c r="K130" s="14" t="n">
        <v>0</v>
      </c>
      <c r="L130" s="14" t="n">
        <v>0</v>
      </c>
      <c r="M130" s="15">
        <f>SUM(I130,J130,K130,L130)</f>
        <v/>
      </c>
      <c r="N130" s="14" t="n">
        <v>600</v>
      </c>
      <c r="O130" s="14" t="n">
        <v>0</v>
      </c>
      <c r="P130" s="14" t="n">
        <v>0</v>
      </c>
      <c r="Q130" s="14" t="n">
        <v>0</v>
      </c>
      <c r="R130" s="15">
        <f>SUM(N130,O130,P130,Q130)</f>
        <v/>
      </c>
      <c r="S130" s="15">
        <f>M130+R130</f>
        <v/>
      </c>
      <c r="T130" s="14" t="n">
        <v>222</v>
      </c>
      <c r="U130" s="16">
        <f>IF(H130=0,"",T130/H130)</f>
        <v/>
      </c>
      <c r="V130" s="14" t="n">
        <v>1</v>
      </c>
      <c r="W130" s="17">
        <f>IF(H130=0,"",V130/H130)</f>
        <v/>
      </c>
      <c r="X130" s="14" t="n">
        <v>0</v>
      </c>
      <c r="Y130" s="17">
        <f>IF(H130=0,"",X130/H130)</f>
        <v/>
      </c>
      <c r="Z130" s="14" t="n">
        <v>0</v>
      </c>
      <c r="AA130" s="17">
        <f>IF(H130=0,"",Z130/H130)</f>
        <v/>
      </c>
      <c r="AB130" s="14" t="n">
        <v>0</v>
      </c>
      <c r="AC130" s="17">
        <f>IF(H130=0,"",AB130/H130)</f>
        <v/>
      </c>
      <c r="AD130" s="14" t="n">
        <v>0</v>
      </c>
      <c r="AE130" s="17">
        <f>IF(H130=0,"",AD130/H130)</f>
        <v/>
      </c>
      <c r="AF130" s="14" t="n">
        <v>0</v>
      </c>
      <c r="AG130" s="17">
        <f>IF(H130=0,"",AF130/H130)</f>
        <v/>
      </c>
      <c r="AH130" s="14" t="n">
        <v>5111.67</v>
      </c>
      <c r="AI130" s="15">
        <f>IF(H130=0,"",AH130/H130)</f>
        <v/>
      </c>
      <c r="AJ130" s="14" t="n">
        <v>382</v>
      </c>
      <c r="AK130" s="17">
        <f>IF(H130=0,"",AJ130/H130)</f>
        <v/>
      </c>
      <c r="AL130" s="14" t="n">
        <v>69429.573</v>
      </c>
      <c r="AM130" s="15">
        <f>IF(H130=0,"",AL130/H130)</f>
        <v/>
      </c>
      <c r="AN130" s="14" t="n">
        <v>0</v>
      </c>
      <c r="AO130" s="14" t="n">
        <v>0</v>
      </c>
      <c r="AP130" s="14" t="n">
        <v>0</v>
      </c>
      <c r="AQ130" s="14" t="n">
        <v>0</v>
      </c>
      <c r="AR130" s="14" t="n">
        <v>0</v>
      </c>
      <c r="AS130" s="14" t="n">
        <v>0</v>
      </c>
      <c r="AT130" s="14" t="n">
        <v>0</v>
      </c>
      <c r="AU130" s="15">
        <f>AH130+AL130+AP130+AQ130+AR130+AS130+AT130</f>
        <v/>
      </c>
      <c r="AV130" s="15">
        <f>IF(H130=0,"",AU130/H130)</f>
        <v/>
      </c>
      <c r="AW130" s="15">
        <f>IF(S130=0,"",AU130/S130)</f>
        <v/>
      </c>
      <c r="AX130" s="14" t="n">
        <v>0</v>
      </c>
      <c r="AY130" s="15">
        <f>IF(H130=0,"",AX130/(H130/1000/12))</f>
        <v/>
      </c>
      <c r="AZ130" s="14" t="n">
        <v>2</v>
      </c>
      <c r="BA130" s="14" t="n">
        <v>0</v>
      </c>
      <c r="BB130" s="14" t="n">
        <v>0</v>
      </c>
      <c r="BC130" s="14" t="n">
        <v>0</v>
      </c>
      <c r="BD130" s="14" t="n">
        <v>0</v>
      </c>
      <c r="BE130" s="15">
        <f>BC130+BD130</f>
        <v/>
      </c>
      <c r="BF130" s="15">
        <f>BA130+BB130-BE130</f>
        <v/>
      </c>
      <c r="BG130" s="14" t="n">
        <v>0</v>
      </c>
      <c r="BH130" s="14" t="n">
        <v>0</v>
      </c>
      <c r="BI130" s="14" t="n">
        <v>0</v>
      </c>
      <c r="BJ130" s="14" t="n">
        <v>0</v>
      </c>
      <c r="BK130" s="15">
        <f>BI130+BJ130</f>
        <v/>
      </c>
      <c r="BL130" s="15">
        <f>BG130+BH130-BK130</f>
        <v/>
      </c>
      <c r="BM130" s="14" t="n">
        <v>0</v>
      </c>
      <c r="BN130" s="14" t="n">
        <v>0</v>
      </c>
      <c r="BO130" s="14" t="n">
        <v>0</v>
      </c>
      <c r="BP130" s="14" t="n">
        <v>0</v>
      </c>
      <c r="BQ130" s="15">
        <f>BO130+BP130</f>
        <v/>
      </c>
      <c r="BR130" s="15">
        <f>BM130+BN130-BQ130</f>
        <v/>
      </c>
      <c r="BS130" s="14" t="n">
        <v>0</v>
      </c>
      <c r="BT130" s="14" t="n">
        <v>0</v>
      </c>
      <c r="BU130" s="14" t="n">
        <v>0</v>
      </c>
      <c r="BV130" s="14" t="n">
        <v>0</v>
      </c>
      <c r="BW130" s="15">
        <f>BU130+BV130</f>
        <v/>
      </c>
      <c r="BX130" s="15">
        <f>BS130+BT130-BW130</f>
        <v/>
      </c>
      <c r="BY130" s="15">
        <f>BA130+BG130+BM130+BS130</f>
        <v/>
      </c>
      <c r="BZ130" s="15">
        <f>BB130+BH130+BN130+BT130</f>
        <v/>
      </c>
      <c r="CA130" s="15">
        <f>BE130+BK130+BQ130+BW130</f>
        <v/>
      </c>
      <c r="CB130" s="15">
        <f>BF130+BL130+BR130+BX130</f>
        <v/>
      </c>
      <c r="CC130" s="14" t="n">
        <v>0</v>
      </c>
      <c r="CD130" s="14" t="n">
        <v>0</v>
      </c>
      <c r="CE130" s="14" t="n">
        <v>0</v>
      </c>
      <c r="CF130" s="14" t="n">
        <v>0</v>
      </c>
      <c r="CG130" s="14" t="n">
        <v>0</v>
      </c>
      <c r="CH130" s="15">
        <f>CD130+CE130+CF130+CG130</f>
        <v/>
      </c>
      <c r="CI130" s="14" t="n">
        <v>0</v>
      </c>
      <c r="CJ130" s="14" t="n">
        <v>0</v>
      </c>
      <c r="CK130" s="14" t="n">
        <v>0</v>
      </c>
      <c r="CL130" s="14" t="n">
        <v>0</v>
      </c>
      <c r="CM130" s="15">
        <f>CI130+CJ130+CK130+CL130</f>
        <v/>
      </c>
      <c r="CN130" s="14" t="n">
        <v>75</v>
      </c>
      <c r="CO130" s="14" t="n">
        <v>1</v>
      </c>
      <c r="CP130" s="14" t="n">
        <v>0</v>
      </c>
      <c r="CQ130" s="14" t="n">
        <v>0</v>
      </c>
      <c r="CR130" s="15">
        <f>CN130+CO130+CP130+CQ130</f>
        <v/>
      </c>
      <c r="CS130" s="15">
        <f>CM130+CR130</f>
        <v/>
      </c>
      <c r="CT130" s="14" t="n">
        <v>76</v>
      </c>
      <c r="CU130" s="14" t="n">
        <v>553</v>
      </c>
      <c r="CV130" s="14" t="n">
        <v>553</v>
      </c>
      <c r="CW130" s="16">
        <f>IF(CU130=0,"",CV130/CU130)</f>
        <v/>
      </c>
      <c r="CX130" s="14" t="n"/>
      <c r="CY130" s="14" t="n"/>
      <c r="CZ130" s="14" t="n"/>
      <c r="DA130" s="14" t="n"/>
      <c r="DB130" s="15">
        <f>CX130+CY130-CZ130-DA130</f>
        <v/>
      </c>
      <c r="DC130" s="14" t="n">
        <v>0</v>
      </c>
      <c r="DD130" s="14" t="n">
        <v>0</v>
      </c>
      <c r="DE130" s="14" t="n">
        <v>0</v>
      </c>
      <c r="DF130" s="14" t="n">
        <v>0</v>
      </c>
      <c r="DG130" s="15">
        <f>DC130+DD130-DE130-DF130</f>
        <v/>
      </c>
      <c r="DH130" s="14" t="n">
        <v>0</v>
      </c>
      <c r="DI130" s="14" t="n">
        <v>0</v>
      </c>
      <c r="DJ130" s="14" t="n">
        <v>0</v>
      </c>
      <c r="DK130" s="14" t="n">
        <v>0</v>
      </c>
      <c r="DL130" s="15">
        <f>DH130+DI130-DJ130-DK130</f>
        <v/>
      </c>
      <c r="DM130" s="14" t="n">
        <v>0</v>
      </c>
      <c r="DN130" s="14" t="n">
        <v>0</v>
      </c>
      <c r="DO130" s="14" t="n">
        <v>0</v>
      </c>
      <c r="DP130" s="14" t="n">
        <v>0</v>
      </c>
      <c r="DQ130" s="15">
        <f>DM130+DN130-DO130-DP130</f>
        <v/>
      </c>
      <c r="DR130" s="15">
        <f>CX130+DC130+DH130+DM130</f>
        <v/>
      </c>
      <c r="DS130" s="15">
        <f>CY130+DD130+DI130+DN130</f>
        <v/>
      </c>
      <c r="DT130" s="15">
        <f>CZ130+DE130+DJ130+DO130</f>
        <v/>
      </c>
      <c r="DU130" s="15">
        <f>DA130+DF130+DK130+DP130</f>
        <v/>
      </c>
      <c r="DV130" s="15">
        <f>DB130+DG130+DL130+DQ130</f>
        <v/>
      </c>
      <c r="DW130" s="14" t="n">
        <v>2</v>
      </c>
      <c r="DX130" s="14" t="n">
        <v>0</v>
      </c>
      <c r="DY130" s="14" t="n">
        <v>0</v>
      </c>
      <c r="DZ130" s="14" t="n">
        <v>0</v>
      </c>
      <c r="EA130" s="14" t="n">
        <v>0</v>
      </c>
      <c r="EB130" s="14" t="n">
        <v>0</v>
      </c>
      <c r="EC130" s="14" t="n">
        <v>0</v>
      </c>
      <c r="ED130" s="14" t="n">
        <v>0</v>
      </c>
      <c r="EE130" s="14" t="n">
        <v>0</v>
      </c>
      <c r="EF130" s="14" t="n">
        <v>0</v>
      </c>
      <c r="EG130" s="14" t="n">
        <v>0</v>
      </c>
      <c r="EH130" s="14" t="n">
        <v>0</v>
      </c>
      <c r="EI130" s="14" t="n">
        <v>0</v>
      </c>
      <c r="EJ130" s="14" t="n">
        <v>0</v>
      </c>
      <c r="EK130" s="14" t="n">
        <v>0</v>
      </c>
      <c r="EL130" s="14" t="n">
        <v>0</v>
      </c>
      <c r="EM130" s="14" t="n">
        <v>0</v>
      </c>
      <c r="EN130" s="14" t="n">
        <v>0</v>
      </c>
      <c r="EO130" s="14" t="n">
        <v>0</v>
      </c>
      <c r="EP130" s="14" t="n">
        <v>0</v>
      </c>
      <c r="EQ130" s="14" t="n">
        <v>0</v>
      </c>
      <c r="ER130" s="14" t="n">
        <v>0</v>
      </c>
      <c r="ES130" s="14" t="n">
        <v>0</v>
      </c>
      <c r="ET130" s="14" t="n">
        <v>0</v>
      </c>
      <c r="EU130" s="14" t="n">
        <v>0</v>
      </c>
      <c r="EV130" s="14" t="n">
        <v>0</v>
      </c>
      <c r="EW130" s="14" t="n">
        <v>0</v>
      </c>
      <c r="EX130" s="14" t="n">
        <v>0</v>
      </c>
      <c r="EY130" s="14" t="n">
        <v>0</v>
      </c>
      <c r="EZ130" s="14" t="n">
        <v>0</v>
      </c>
      <c r="FA130" s="14" t="n">
        <v>0</v>
      </c>
      <c r="FB130" s="14" t="n">
        <v>0</v>
      </c>
      <c r="FC130" s="14" t="n">
        <v>0</v>
      </c>
      <c r="FD130" s="14" t="n">
        <v>0</v>
      </c>
      <c r="FE130" s="14" t="n">
        <v>0</v>
      </c>
      <c r="FF130" s="14" t="n">
        <v>0</v>
      </c>
      <c r="FG130" s="15">
        <f>SUM(DW130,DX130,DY130,DZ130,EA130,EB130,EC130,ED130,EE130,EF130,EG130,EH130,EI130,EJ130,EK130,EL130,EM130,EN130,EO130,EP130,EQ130,ER130,ES130,ET130,EU130,EV130,EW130,EX130,EY130,EZ130,FA130,FB130,FC130,FD130,FE130,FF130)</f>
        <v/>
      </c>
      <c r="FH130" s="14" t="n">
        <v>2</v>
      </c>
      <c r="FI130" s="14" t="n">
        <v>0</v>
      </c>
      <c r="FJ130" s="14" t="n">
        <v>16</v>
      </c>
      <c r="FK130" s="14" t="n">
        <v>80</v>
      </c>
      <c r="FL130" s="14" t="n">
        <v>80</v>
      </c>
      <c r="FM130" s="14" t="n">
        <v>0</v>
      </c>
      <c r="FN130" s="14" t="n">
        <v>0</v>
      </c>
      <c r="FO130" s="14" t="n">
        <v>0</v>
      </c>
      <c r="FP130" s="14" t="n">
        <v>0</v>
      </c>
      <c r="FQ130" s="15">
        <f>FL130+FM130+FN130+FO130+FP130</f>
        <v/>
      </c>
      <c r="FR130" s="14" t="n">
        <v>0</v>
      </c>
      <c r="FS130" s="14" t="n">
        <v>0</v>
      </c>
      <c r="FT130" s="14" t="n">
        <v>0</v>
      </c>
      <c r="FU130" s="14" t="n">
        <v>0</v>
      </c>
      <c r="FV130" s="15">
        <f>FR130+FS130+FT130+FU130</f>
        <v/>
      </c>
      <c r="FW130" s="14" t="n">
        <v>0</v>
      </c>
      <c r="FX130" s="14" t="n">
        <v>0</v>
      </c>
      <c r="FY130" s="14" t="n">
        <v>0</v>
      </c>
      <c r="FZ130" s="14" t="n">
        <v>0</v>
      </c>
      <c r="GA130" s="15">
        <f>FW130+FX130+FY130+FZ130</f>
        <v/>
      </c>
      <c r="GB130" s="15">
        <f>FV130+GA130</f>
        <v/>
      </c>
      <c r="GC130" s="14" t="n">
        <v>0</v>
      </c>
      <c r="GD130" s="14" t="n">
        <v>0</v>
      </c>
      <c r="GE130" s="14" t="n">
        <v>0</v>
      </c>
      <c r="GF130" s="14" t="n">
        <v>0</v>
      </c>
      <c r="GG130" s="15">
        <f>GC130+GD130+GE130+GF130</f>
        <v/>
      </c>
      <c r="GH130" s="14" t="n">
        <v>0</v>
      </c>
      <c r="GI130" s="14" t="n">
        <v>0</v>
      </c>
      <c r="GJ130" s="14" t="n">
        <v>0</v>
      </c>
      <c r="GK130" s="14" t="n">
        <v>0</v>
      </c>
      <c r="GL130" s="15">
        <f>GH130+GI130+GJ130+GK130</f>
        <v/>
      </c>
      <c r="GM130" s="15">
        <f>GG130+GL130</f>
        <v/>
      </c>
      <c r="GN130" s="14" t="n">
        <v>0</v>
      </c>
      <c r="GO130" s="14" t="n">
        <v>0</v>
      </c>
      <c r="GP130" s="14" t="n">
        <v>0</v>
      </c>
      <c r="GQ130" s="14" t="n">
        <v>0</v>
      </c>
      <c r="GR130" s="15">
        <f>GN130+GO130+GP130+GQ130</f>
        <v/>
      </c>
      <c r="GS130" s="14" t="n">
        <v>0</v>
      </c>
      <c r="GT130" s="14" t="n">
        <v>0</v>
      </c>
      <c r="GU130" s="14" t="n">
        <v>0</v>
      </c>
      <c r="GV130" s="14" t="n">
        <v>0</v>
      </c>
      <c r="GW130" s="15">
        <f>GS130+GT130+GU130+GV130</f>
        <v/>
      </c>
      <c r="GX130" s="15">
        <f>GM130+GR130+GW130</f>
        <v/>
      </c>
      <c r="GY130" s="14" t="n">
        <v>0</v>
      </c>
      <c r="GZ130" s="14" t="n">
        <v>0</v>
      </c>
      <c r="HA130" s="15">
        <f>GY130+GZ130</f>
        <v/>
      </c>
      <c r="HB130" s="15">
        <f>IF(GX130=0,"",AU130/GX130)</f>
        <v/>
      </c>
      <c r="HC130" s="16">
        <f>IF((GX130+GY130)=0,"",GB130/(GX130+GY130))</f>
        <v/>
      </c>
      <c r="HD130" s="15">
        <f>IF(GX130=0,"",GB130/GX130)</f>
        <v/>
      </c>
      <c r="HE130" s="14" t="n">
        <v>0</v>
      </c>
      <c r="HF130" s="14" t="n">
        <v>0</v>
      </c>
      <c r="HG130" s="14" t="n">
        <v>0</v>
      </c>
      <c r="HH130" s="14" t="n">
        <v>0</v>
      </c>
      <c r="HI130" s="14" t="n">
        <v>0</v>
      </c>
      <c r="HJ130" s="15">
        <f>HF130+HI130</f>
        <v/>
      </c>
      <c r="HK130" s="16">
        <f>IF(HE130=0,"",HH130/HE130)</f>
        <v/>
      </c>
      <c r="HL130" s="14" t="n">
        <v>8</v>
      </c>
      <c r="HM130" s="14" t="n">
        <v>1</v>
      </c>
      <c r="HN130" s="17">
        <f>IF(HL130=0,"",HM130/HL130)</f>
        <v/>
      </c>
    </row>
    <row r="131">
      <c r="A131" s="6" t="inlineStr">
        <is>
          <t>Mulanje</t>
        </is>
      </c>
      <c r="B131" s="6" t="inlineStr">
        <is>
          <t>Migowi</t>
        </is>
      </c>
      <c r="C131" s="7" t="inlineStr">
        <is>
          <t>FY2025/26</t>
        </is>
      </c>
      <c r="D131" s="7" t="n">
        <v>2025</v>
      </c>
      <c r="E131" s="7" t="n">
        <v>12</v>
      </c>
      <c r="F131" s="7" t="inlineStr">
        <is>
          <t>December</t>
        </is>
      </c>
      <c r="G131" s="7" t="inlineStr">
        <is>
          <t>Q3</t>
        </is>
      </c>
      <c r="H131" s="8" t="n">
        <v>1050</v>
      </c>
      <c r="I131" s="8" t="n">
        <v>0</v>
      </c>
      <c r="J131" s="8" t="n">
        <v>0</v>
      </c>
      <c r="K131" s="8" t="n">
        <v>0</v>
      </c>
      <c r="L131" s="8" t="n">
        <v>0</v>
      </c>
      <c r="M131" s="9">
        <f>SUM(I131,J131,K131,L131)</f>
        <v/>
      </c>
      <c r="N131" s="8" t="n">
        <v>770</v>
      </c>
      <c r="O131" s="8" t="n">
        <v>0</v>
      </c>
      <c r="P131" s="8" t="n">
        <v>0</v>
      </c>
      <c r="Q131" s="8" t="n">
        <v>0</v>
      </c>
      <c r="R131" s="9">
        <f>SUM(N131,O131,P131,Q131)</f>
        <v/>
      </c>
      <c r="S131" s="9">
        <f>M131+R131</f>
        <v/>
      </c>
      <c r="T131" s="8" t="n">
        <v>280</v>
      </c>
      <c r="U131" s="10">
        <f>IF(H131=0,"",T131/H131)</f>
        <v/>
      </c>
      <c r="V131" s="8" t="n">
        <v>1</v>
      </c>
      <c r="W131" s="11">
        <f>IF(H131=0,"",V131/H131)</f>
        <v/>
      </c>
      <c r="X131" s="8" t="n">
        <v>0</v>
      </c>
      <c r="Y131" s="11">
        <f>IF(H131=0,"",X131/H131)</f>
        <v/>
      </c>
      <c r="Z131" s="8" t="n">
        <v>0</v>
      </c>
      <c r="AA131" s="11">
        <f>IF(H131=0,"",Z131/H131)</f>
        <v/>
      </c>
      <c r="AB131" s="8" t="n">
        <v>0</v>
      </c>
      <c r="AC131" s="11">
        <f>IF(H131=0,"",AB131/H131)</f>
        <v/>
      </c>
      <c r="AD131" s="8" t="n">
        <v>0</v>
      </c>
      <c r="AE131" s="11">
        <f>IF(H131=0,"",AD131/H131)</f>
        <v/>
      </c>
      <c r="AF131" s="8" t="n">
        <v>0</v>
      </c>
      <c r="AG131" s="11">
        <f>IF(H131=0,"",AF131/H131)</f>
        <v/>
      </c>
      <c r="AH131" s="8" t="n">
        <v>5111.67</v>
      </c>
      <c r="AI131" s="9">
        <f>IF(H131=0,"",AH131/H131)</f>
        <v/>
      </c>
      <c r="AJ131" s="8" t="n">
        <v>680</v>
      </c>
      <c r="AK131" s="11">
        <f>IF(H131=0,"",AJ131/H131)</f>
        <v/>
      </c>
      <c r="AL131" s="8" t="n">
        <v>110777.52</v>
      </c>
      <c r="AM131" s="9">
        <f>IF(H131=0,"",AL131/H131)</f>
        <v/>
      </c>
      <c r="AN131" s="8" t="n">
        <v>0</v>
      </c>
      <c r="AO131" s="8" t="n">
        <v>0</v>
      </c>
      <c r="AP131" s="8" t="n">
        <v>0</v>
      </c>
      <c r="AQ131" s="8" t="n">
        <v>0</v>
      </c>
      <c r="AR131" s="8" t="n">
        <v>0</v>
      </c>
      <c r="AS131" s="8" t="n">
        <v>0</v>
      </c>
      <c r="AT131" s="8" t="n">
        <v>0</v>
      </c>
      <c r="AU131" s="9">
        <f>AH131+AL131+AP131+AQ131+AR131+AS131+AT131</f>
        <v/>
      </c>
      <c r="AV131" s="9">
        <f>IF(H131=0,"",AU131/H131)</f>
        <v/>
      </c>
      <c r="AW131" s="9">
        <f>IF(S131=0,"",AU131/S131)</f>
        <v/>
      </c>
      <c r="AX131" s="8" t="n">
        <v>0</v>
      </c>
      <c r="AY131" s="9">
        <f>IF(H131=0,"",AX131/(H131/1000/12))</f>
        <v/>
      </c>
      <c r="AZ131" s="8" t="n">
        <v>2</v>
      </c>
      <c r="BA131" s="8" t="n">
        <v>0</v>
      </c>
      <c r="BB131" s="8" t="n">
        <v>0</v>
      </c>
      <c r="BC131" s="8" t="n">
        <v>0</v>
      </c>
      <c r="BD131" s="8" t="n">
        <v>0</v>
      </c>
      <c r="BE131" s="9">
        <f>BC131+BD131</f>
        <v/>
      </c>
      <c r="BF131" s="9">
        <f>BA131+BB131-BE131</f>
        <v/>
      </c>
      <c r="BG131" s="8" t="n">
        <v>0</v>
      </c>
      <c r="BH131" s="8" t="n">
        <v>0</v>
      </c>
      <c r="BI131" s="8" t="n">
        <v>0</v>
      </c>
      <c r="BJ131" s="8" t="n">
        <v>0</v>
      </c>
      <c r="BK131" s="9">
        <f>BI131+BJ131</f>
        <v/>
      </c>
      <c r="BL131" s="9">
        <f>BG131+BH131-BK131</f>
        <v/>
      </c>
      <c r="BM131" s="8" t="n">
        <v>0</v>
      </c>
      <c r="BN131" s="8" t="n">
        <v>0</v>
      </c>
      <c r="BO131" s="8" t="n">
        <v>0</v>
      </c>
      <c r="BP131" s="8" t="n">
        <v>0</v>
      </c>
      <c r="BQ131" s="9">
        <f>BO131+BP131</f>
        <v/>
      </c>
      <c r="BR131" s="9">
        <f>BM131+BN131-BQ131</f>
        <v/>
      </c>
      <c r="BS131" s="8" t="n">
        <v>0</v>
      </c>
      <c r="BT131" s="8" t="n">
        <v>0</v>
      </c>
      <c r="BU131" s="8" t="n">
        <v>0</v>
      </c>
      <c r="BV131" s="8" t="n">
        <v>0</v>
      </c>
      <c r="BW131" s="9">
        <f>BU131+BV131</f>
        <v/>
      </c>
      <c r="BX131" s="9">
        <f>BS131+BT131-BW131</f>
        <v/>
      </c>
      <c r="BY131" s="9">
        <f>BA131+BG131+BM131+BS131</f>
        <v/>
      </c>
      <c r="BZ131" s="9">
        <f>BB131+BH131+BN131+BT131</f>
        <v/>
      </c>
      <c r="CA131" s="9">
        <f>BE131+BK131+BQ131+BW131</f>
        <v/>
      </c>
      <c r="CB131" s="9">
        <f>BF131+BL131+BR131+BX131</f>
        <v/>
      </c>
      <c r="CC131" s="8" t="n">
        <v>0</v>
      </c>
      <c r="CD131" s="8" t="n">
        <v>0</v>
      </c>
      <c r="CE131" s="8" t="n">
        <v>0</v>
      </c>
      <c r="CF131" s="8" t="n">
        <v>0</v>
      </c>
      <c r="CG131" s="8" t="n">
        <v>0</v>
      </c>
      <c r="CH131" s="9">
        <f>CD131+CE131+CF131+CG131</f>
        <v/>
      </c>
      <c r="CI131" s="8" t="n">
        <v>0</v>
      </c>
      <c r="CJ131" s="8" t="n">
        <v>0</v>
      </c>
      <c r="CK131" s="8" t="n">
        <v>0</v>
      </c>
      <c r="CL131" s="8" t="n">
        <v>0</v>
      </c>
      <c r="CM131" s="9">
        <f>CI131+CJ131+CK131+CL131</f>
        <v/>
      </c>
      <c r="CN131" s="8" t="n">
        <v>75</v>
      </c>
      <c r="CO131" s="8" t="n">
        <v>1</v>
      </c>
      <c r="CP131" s="8" t="n">
        <v>0</v>
      </c>
      <c r="CQ131" s="8" t="n">
        <v>0</v>
      </c>
      <c r="CR131" s="9">
        <f>CN131+CO131+CP131+CQ131</f>
        <v/>
      </c>
      <c r="CS131" s="9">
        <f>CM131+CR131</f>
        <v/>
      </c>
      <c r="CT131" s="8" t="n">
        <v>76</v>
      </c>
      <c r="CU131" s="8" t="n">
        <v>553</v>
      </c>
      <c r="CV131" s="8" t="n">
        <v>553</v>
      </c>
      <c r="CW131" s="10">
        <f>IF(CU131=0,"",CV131/CU131)</f>
        <v/>
      </c>
      <c r="CX131" s="8" t="n">
        <v>0</v>
      </c>
      <c r="CY131" s="8" t="n">
        <v>0</v>
      </c>
      <c r="CZ131" s="8" t="n">
        <v>0</v>
      </c>
      <c r="DA131" s="8" t="n">
        <v>0</v>
      </c>
      <c r="DB131" s="9">
        <f>CX131+CY131-CZ131-DA131</f>
        <v/>
      </c>
      <c r="DC131" s="8" t="n">
        <v>0</v>
      </c>
      <c r="DD131" s="8" t="n">
        <v>0</v>
      </c>
      <c r="DE131" s="8" t="n">
        <v>0</v>
      </c>
      <c r="DF131" s="8" t="n">
        <v>0</v>
      </c>
      <c r="DG131" s="9">
        <f>DC131+DD131-DE131-DF131</f>
        <v/>
      </c>
      <c r="DH131" s="8" t="n">
        <v>0</v>
      </c>
      <c r="DI131" s="8" t="n">
        <v>0</v>
      </c>
      <c r="DJ131" s="8" t="n">
        <v>0</v>
      </c>
      <c r="DK131" s="8" t="n">
        <v>0</v>
      </c>
      <c r="DL131" s="9">
        <f>DH131+DI131-DJ131-DK131</f>
        <v/>
      </c>
      <c r="DM131" s="8" t="n">
        <v>0</v>
      </c>
      <c r="DN131" s="8" t="n">
        <v>0</v>
      </c>
      <c r="DO131" s="8" t="n">
        <v>0</v>
      </c>
      <c r="DP131" s="8" t="n">
        <v>0</v>
      </c>
      <c r="DQ131" s="9">
        <f>DM131+DN131-DO131-DP131</f>
        <v/>
      </c>
      <c r="DR131" s="9">
        <f>CX131+DC131+DH131+DM131</f>
        <v/>
      </c>
      <c r="DS131" s="9">
        <f>CY131+DD131+DI131+DN131</f>
        <v/>
      </c>
      <c r="DT131" s="9">
        <f>CZ131+DE131+DJ131+DO131</f>
        <v/>
      </c>
      <c r="DU131" s="9">
        <f>DA131+DF131+DK131+DP131</f>
        <v/>
      </c>
      <c r="DV131" s="9">
        <f>DB131+DG131+DL131+DQ131</f>
        <v/>
      </c>
      <c r="DW131" s="8" t="n">
        <v>0</v>
      </c>
      <c r="DX131" s="8" t="n">
        <v>0</v>
      </c>
      <c r="DY131" s="8" t="n">
        <v>0</v>
      </c>
      <c r="DZ131" s="8" t="n">
        <v>0</v>
      </c>
      <c r="EA131" s="8" t="n">
        <v>0</v>
      </c>
      <c r="EB131" s="8" t="n">
        <v>0</v>
      </c>
      <c r="EC131" s="8" t="n">
        <v>0</v>
      </c>
      <c r="ED131" s="8" t="n">
        <v>0</v>
      </c>
      <c r="EE131" s="8" t="n">
        <v>0</v>
      </c>
      <c r="EF131" s="8" t="n">
        <v>0</v>
      </c>
      <c r="EG131" s="8" t="n">
        <v>0</v>
      </c>
      <c r="EH131" s="8" t="n">
        <v>0</v>
      </c>
      <c r="EI131" s="8" t="n">
        <v>0</v>
      </c>
      <c r="EJ131" s="8" t="n">
        <v>1</v>
      </c>
      <c r="EK131" s="8" t="n">
        <v>1</v>
      </c>
      <c r="EL131" s="8" t="n">
        <v>1</v>
      </c>
      <c r="EM131" s="8" t="n">
        <v>0</v>
      </c>
      <c r="EN131" s="8" t="n">
        <v>0</v>
      </c>
      <c r="EO131" s="8" t="n">
        <v>0</v>
      </c>
      <c r="EP131" s="8" t="n">
        <v>0</v>
      </c>
      <c r="EQ131" s="8" t="n">
        <v>0</v>
      </c>
      <c r="ER131" s="8" t="n">
        <v>0</v>
      </c>
      <c r="ES131" s="8" t="n">
        <v>0</v>
      </c>
      <c r="ET131" s="8" t="n">
        <v>0</v>
      </c>
      <c r="EU131" s="8" t="n">
        <v>0</v>
      </c>
      <c r="EV131" s="8" t="n">
        <v>0</v>
      </c>
      <c r="EW131" s="8" t="n">
        <v>0</v>
      </c>
      <c r="EX131" s="8" t="n">
        <v>0</v>
      </c>
      <c r="EY131" s="8" t="n">
        <v>0</v>
      </c>
      <c r="EZ131" s="8" t="n">
        <v>0</v>
      </c>
      <c r="FA131" s="8" t="n">
        <v>0</v>
      </c>
      <c r="FB131" s="8" t="n">
        <v>0</v>
      </c>
      <c r="FC131" s="8" t="n">
        <v>0</v>
      </c>
      <c r="FD131" s="8" t="n">
        <v>0</v>
      </c>
      <c r="FE131" s="8" t="n">
        <v>0</v>
      </c>
      <c r="FF131" s="8" t="n">
        <v>0</v>
      </c>
      <c r="FG131" s="9">
        <f>SUM(DW131,DX131,DY131,DZ131,EA131,EB131,EC131,ED131,EE131,EF131,EG131,EH131,EI131,EJ131,EK131,EL131,EM131,EN131,EO131,EP131,EQ131,ER131,ES131,ET131,EU131,EV131,EW131,EX131,EY131,EZ131,FA131,FB131,FC131,FD131,FE131,FF131)</f>
        <v/>
      </c>
      <c r="FH131" s="8" t="n">
        <v>2</v>
      </c>
      <c r="FI131" s="8" t="n">
        <v>0</v>
      </c>
      <c r="FJ131" s="8" t="n">
        <v>16</v>
      </c>
      <c r="FK131" s="8" t="n">
        <v>72</v>
      </c>
      <c r="FL131" s="8" t="n">
        <v>72</v>
      </c>
      <c r="FM131" s="8" t="n">
        <v>0</v>
      </c>
      <c r="FN131" s="8" t="n">
        <v>0</v>
      </c>
      <c r="FO131" s="8" t="n">
        <v>0</v>
      </c>
      <c r="FP131" s="8" t="n">
        <v>0</v>
      </c>
      <c r="FQ131" s="9">
        <f>FL131+FM131+FN131+FO131+FP131</f>
        <v/>
      </c>
      <c r="FR131" s="8" t="n">
        <v>0</v>
      </c>
      <c r="FS131" s="8" t="n">
        <v>0</v>
      </c>
      <c r="FT131" s="8" t="n">
        <v>0</v>
      </c>
      <c r="FU131" s="8" t="n">
        <v>0</v>
      </c>
      <c r="FV131" s="9">
        <f>FR131+FS131+FT131+FU131</f>
        <v/>
      </c>
      <c r="FW131" s="8" t="n">
        <v>964300</v>
      </c>
      <c r="FX131" s="8" t="n">
        <v>0</v>
      </c>
      <c r="FY131" s="8" t="n">
        <v>0</v>
      </c>
      <c r="FZ131" s="8" t="n">
        <v>0</v>
      </c>
      <c r="GA131" s="9">
        <f>FW131+FX131+FY131+FZ131</f>
        <v/>
      </c>
      <c r="GB131" s="9">
        <f>FV131+GA131</f>
        <v/>
      </c>
      <c r="GC131" s="8" t="n">
        <v>0</v>
      </c>
      <c r="GD131" s="8" t="n">
        <v>0</v>
      </c>
      <c r="GE131" s="8" t="n">
        <v>0</v>
      </c>
      <c r="GF131" s="8" t="n">
        <v>0</v>
      </c>
      <c r="GG131" s="9">
        <f>GC131+GD131+GE131+GF131</f>
        <v/>
      </c>
      <c r="GH131" s="8" t="n">
        <v>0</v>
      </c>
      <c r="GI131" s="8" t="n">
        <v>0</v>
      </c>
      <c r="GJ131" s="8" t="n">
        <v>0</v>
      </c>
      <c r="GK131" s="8" t="n">
        <v>0</v>
      </c>
      <c r="GL131" s="9">
        <f>GH131+GI131+GJ131+GK131</f>
        <v/>
      </c>
      <c r="GM131" s="9">
        <f>GG131+GL131</f>
        <v/>
      </c>
      <c r="GN131" s="8" t="n">
        <v>0</v>
      </c>
      <c r="GO131" s="8" t="n">
        <v>0</v>
      </c>
      <c r="GP131" s="8" t="n">
        <v>0</v>
      </c>
      <c r="GQ131" s="8" t="n">
        <v>0</v>
      </c>
      <c r="GR131" s="9">
        <f>GN131+GO131+GP131+GQ131</f>
        <v/>
      </c>
      <c r="GS131" s="8" t="n">
        <v>0</v>
      </c>
      <c r="GT131" s="8" t="n">
        <v>0</v>
      </c>
      <c r="GU131" s="8" t="n">
        <v>0</v>
      </c>
      <c r="GV131" s="8" t="n">
        <v>0</v>
      </c>
      <c r="GW131" s="9">
        <f>GS131+GT131+GU131+GV131</f>
        <v/>
      </c>
      <c r="GX131" s="9">
        <f>GM131+GR131+GW131</f>
        <v/>
      </c>
      <c r="GY131" s="8" t="n">
        <v>0</v>
      </c>
      <c r="GZ131" s="8" t="n">
        <v>0</v>
      </c>
      <c r="HA131" s="9">
        <f>GY131+GZ131</f>
        <v/>
      </c>
      <c r="HB131" s="9">
        <f>IF(GX131=0,"",AU131/GX131)</f>
        <v/>
      </c>
      <c r="HC131" s="10">
        <f>IF((GX131+GY131)=0,"",GB131/(GX131+GY131))</f>
        <v/>
      </c>
      <c r="HD131" s="9">
        <f>IF(GX131=0,"",GB131/GX131)</f>
        <v/>
      </c>
      <c r="HE131" s="8" t="n">
        <v>0</v>
      </c>
      <c r="HF131" s="8" t="n">
        <v>0</v>
      </c>
      <c r="HG131" s="8" t="n">
        <v>0</v>
      </c>
      <c r="HH131" s="8" t="n">
        <v>0</v>
      </c>
      <c r="HI131" s="8" t="n">
        <v>0</v>
      </c>
      <c r="HJ131" s="9">
        <f>HF131+HI131</f>
        <v/>
      </c>
      <c r="HK131" s="10">
        <f>IF(HE131=0,"",HH131/HE131)</f>
        <v/>
      </c>
      <c r="HL131" s="8" t="n">
        <v>10</v>
      </c>
      <c r="HM131" s="8" t="n">
        <v>2</v>
      </c>
      <c r="HN131" s="11">
        <f>IF(HL131=0,"",HM131/HL131)</f>
        <v/>
      </c>
    </row>
    <row r="132">
      <c r="A132" s="12" t="inlineStr">
        <is>
          <t>Mulanje</t>
        </is>
      </c>
      <c r="B132" s="12" t="inlineStr">
        <is>
          <t>Migowi</t>
        </is>
      </c>
      <c r="C132" s="13" t="inlineStr">
        <is>
          <t>FY2025/26</t>
        </is>
      </c>
      <c r="D132" s="13" t="n">
        <v>2026</v>
      </c>
      <c r="E132" s="13" t="n">
        <v>1</v>
      </c>
      <c r="F132" s="13" t="inlineStr">
        <is>
          <t>January</t>
        </is>
      </c>
      <c r="G132" s="13" t="inlineStr">
        <is>
          <t>Q4</t>
        </is>
      </c>
      <c r="H132" s="14" t="n">
        <v>733</v>
      </c>
      <c r="I132" s="14" t="n">
        <v>0</v>
      </c>
      <c r="J132" s="14" t="n">
        <v>0</v>
      </c>
      <c r="K132" s="14" t="n">
        <v>0</v>
      </c>
      <c r="L132" s="14" t="n">
        <v>0</v>
      </c>
      <c r="M132" s="15" t="n">
        <v>0</v>
      </c>
      <c r="N132" s="14" t="n">
        <v>528</v>
      </c>
      <c r="O132" s="14" t="n">
        <v>0</v>
      </c>
      <c r="P132" s="14" t="n">
        <v>0</v>
      </c>
      <c r="Q132" s="14" t="n">
        <v>0</v>
      </c>
      <c r="R132" s="15" t="n">
        <v>528</v>
      </c>
      <c r="S132" s="15" t="n">
        <v>528</v>
      </c>
      <c r="T132" s="14" t="n">
        <v>205</v>
      </c>
      <c r="U132" s="16" t="n">
        <v>0.2796725784447476</v>
      </c>
      <c r="V132" s="14" t="n">
        <v>1</v>
      </c>
      <c r="W132" s="17" t="n">
        <v>1.364256480218281</v>
      </c>
      <c r="X132" s="14" t="n">
        <v>0</v>
      </c>
      <c r="Y132" s="17" t="n">
        <v>0</v>
      </c>
      <c r="Z132" s="14" t="n">
        <v>0</v>
      </c>
      <c r="AA132" s="17" t="n">
        <v>0</v>
      </c>
      <c r="AB132" s="14" t="n">
        <v>0</v>
      </c>
      <c r="AC132" s="17" t="n">
        <v>0</v>
      </c>
      <c r="AD132" s="14" t="n">
        <v>0</v>
      </c>
      <c r="AE132" s="17" t="n">
        <v>0</v>
      </c>
      <c r="AF132" s="14" t="n">
        <v>0</v>
      </c>
      <c r="AG132" s="17" t="n">
        <v>0</v>
      </c>
      <c r="AH132" s="14" t="n">
        <v>5111.67</v>
      </c>
      <c r="AI132" s="15" t="n">
        <v>6.97362892223738</v>
      </c>
      <c r="AJ132" s="14" t="n">
        <v>1156</v>
      </c>
      <c r="AK132" s="17" t="n">
        <v>1.577080491132333</v>
      </c>
      <c r="AL132" s="14" t="n">
        <v>176823.234</v>
      </c>
      <c r="AM132" s="15" t="n">
        <v>241.2322428376535</v>
      </c>
      <c r="AN132" s="14" t="n">
        <v>0</v>
      </c>
      <c r="AO132" s="14" t="n">
        <v>0</v>
      </c>
      <c r="AP132" s="14" t="n">
        <v>0</v>
      </c>
      <c r="AQ132" s="14" t="n">
        <v>0</v>
      </c>
      <c r="AR132" s="14" t="n">
        <v>0</v>
      </c>
      <c r="AS132" s="14" t="n">
        <v>0</v>
      </c>
      <c r="AT132" s="14" t="n">
        <v>0</v>
      </c>
      <c r="AU132" s="15" t="n">
        <v>181934.904</v>
      </c>
      <c r="AV132" s="15" t="n">
        <v>248.2058717598909</v>
      </c>
      <c r="AW132" s="15" t="n">
        <v>344.5736818181819</v>
      </c>
      <c r="AX132" s="14" t="n">
        <v>0</v>
      </c>
      <c r="AY132" s="15" t="n">
        <v>0</v>
      </c>
      <c r="AZ132" s="14" t="n">
        <v>2</v>
      </c>
      <c r="BA132" s="14" t="n">
        <v>0</v>
      </c>
      <c r="BB132" s="14" t="n">
        <v>0</v>
      </c>
      <c r="BC132" s="14" t="n">
        <v>0</v>
      </c>
      <c r="BD132" s="14" t="n">
        <v>0</v>
      </c>
      <c r="BE132" s="15" t="n">
        <v>0</v>
      </c>
      <c r="BF132" s="15" t="n">
        <v>0</v>
      </c>
      <c r="BG132" s="14" t="n">
        <v>0</v>
      </c>
      <c r="BH132" s="14" t="n">
        <v>0</v>
      </c>
      <c r="BI132" s="14" t="n">
        <v>0</v>
      </c>
      <c r="BJ132" s="14" t="n">
        <v>0</v>
      </c>
      <c r="BK132" s="15" t="n">
        <v>0</v>
      </c>
      <c r="BL132" s="15" t="n">
        <v>0</v>
      </c>
      <c r="BM132" s="14" t="n">
        <v>0</v>
      </c>
      <c r="BN132" s="14" t="n">
        <v>0</v>
      </c>
      <c r="BO132" s="14" t="n">
        <v>0</v>
      </c>
      <c r="BP132" s="14" t="n">
        <v>0</v>
      </c>
      <c r="BQ132" s="15" t="n">
        <v>0</v>
      </c>
      <c r="BR132" s="15" t="n">
        <v>0</v>
      </c>
      <c r="BS132" s="14" t="n">
        <v>0</v>
      </c>
      <c r="BT132" s="14" t="n">
        <v>0</v>
      </c>
      <c r="BU132" s="14" t="n">
        <v>0</v>
      </c>
      <c r="BV132" s="14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0</v>
      </c>
      <c r="CC132" s="14" t="n">
        <v>0</v>
      </c>
      <c r="CD132" s="14" t="n">
        <v>0</v>
      </c>
      <c r="CE132" s="14" t="n">
        <v>0</v>
      </c>
      <c r="CF132" s="14" t="n">
        <v>0</v>
      </c>
      <c r="CG132" s="14" t="n">
        <v>0</v>
      </c>
      <c r="CH132" s="15" t="n">
        <v>0</v>
      </c>
      <c r="CI132" s="14" t="n">
        <v>0</v>
      </c>
      <c r="CJ132" s="14" t="n">
        <v>0</v>
      </c>
      <c r="CK132" s="14" t="n">
        <v>0</v>
      </c>
      <c r="CL132" s="14" t="n">
        <v>0</v>
      </c>
      <c r="CM132" s="15" t="n">
        <v>0</v>
      </c>
      <c r="CN132" s="14" t="n">
        <v>75</v>
      </c>
      <c r="CO132" s="14" t="n">
        <v>1</v>
      </c>
      <c r="CP132" s="14" t="n">
        <v>0</v>
      </c>
      <c r="CQ132" s="14" t="n">
        <v>0</v>
      </c>
      <c r="CR132" s="15" t="n">
        <v>76</v>
      </c>
      <c r="CS132" s="15" t="n">
        <v>76</v>
      </c>
      <c r="CT132" s="14" t="n">
        <v>76</v>
      </c>
      <c r="CU132" s="14" t="n">
        <v>553</v>
      </c>
      <c r="CV132" s="14" t="n">
        <v>553</v>
      </c>
      <c r="CW132" s="16" t="n">
        <v>1</v>
      </c>
      <c r="CX132" s="14" t="n">
        <v>0</v>
      </c>
      <c r="CY132" s="14" t="n">
        <v>0</v>
      </c>
      <c r="CZ132" s="14" t="n">
        <v>0</v>
      </c>
      <c r="DA132" s="14" t="n">
        <v>0</v>
      </c>
      <c r="DB132" s="15" t="n">
        <v>0</v>
      </c>
      <c r="DC132" s="14" t="n">
        <v>0</v>
      </c>
      <c r="DD132" s="14" t="n">
        <v>0</v>
      </c>
      <c r="DE132" s="14" t="n">
        <v>0</v>
      </c>
      <c r="DF132" s="14" t="n">
        <v>0</v>
      </c>
      <c r="DG132" s="15" t="n">
        <v>0</v>
      </c>
      <c r="DH132" s="14" t="n">
        <v>0</v>
      </c>
      <c r="DI132" s="14" t="n">
        <v>0</v>
      </c>
      <c r="DJ132" s="14" t="n">
        <v>0</v>
      </c>
      <c r="DK132" s="14" t="n">
        <v>0</v>
      </c>
      <c r="DL132" s="15" t="n">
        <v>0</v>
      </c>
      <c r="DM132" s="14" t="n">
        <v>0</v>
      </c>
      <c r="DN132" s="14" t="n">
        <v>0</v>
      </c>
      <c r="DO132" s="14" t="n">
        <v>0</v>
      </c>
      <c r="DP132" s="14" t="n">
        <v>0</v>
      </c>
      <c r="DQ132" s="15" t="n">
        <v>0</v>
      </c>
      <c r="DR132" s="15" t="n">
        <v>0</v>
      </c>
      <c r="DS132" s="15" t="n">
        <v>0</v>
      </c>
      <c r="DT132" s="15" t="n">
        <v>0</v>
      </c>
      <c r="DU132" s="15" t="n">
        <v>0</v>
      </c>
      <c r="DV132" s="15" t="n">
        <v>0</v>
      </c>
      <c r="DW132" s="14" t="n">
        <v>1</v>
      </c>
      <c r="DX132" s="14" t="n">
        <v>1</v>
      </c>
      <c r="DY132" s="14" t="n">
        <v>0</v>
      </c>
      <c r="DZ132" s="14" t="n">
        <v>0</v>
      </c>
      <c r="EA132" s="14" t="n">
        <v>0</v>
      </c>
      <c r="EB132" s="14" t="n">
        <v>0</v>
      </c>
      <c r="EC132" s="14" t="n">
        <v>0</v>
      </c>
      <c r="ED132" s="14" t="n">
        <v>0</v>
      </c>
      <c r="EE132" s="14" t="n">
        <v>0</v>
      </c>
      <c r="EF132" s="14" t="n">
        <v>0</v>
      </c>
      <c r="EG132" s="14" t="n">
        <v>0</v>
      </c>
      <c r="EH132" s="14" t="n">
        <v>0</v>
      </c>
      <c r="EI132" s="14" t="n">
        <v>0</v>
      </c>
      <c r="EJ132" s="14" t="n">
        <v>0</v>
      </c>
      <c r="EK132" s="14" t="n">
        <v>0</v>
      </c>
      <c r="EL132" s="14" t="n">
        <v>0</v>
      </c>
      <c r="EM132" s="14" t="n">
        <v>0</v>
      </c>
      <c r="EN132" s="14" t="n">
        <v>0</v>
      </c>
      <c r="EO132" s="14" t="n">
        <v>0</v>
      </c>
      <c r="EP132" s="14" t="n">
        <v>0</v>
      </c>
      <c r="EQ132" s="14" t="n">
        <v>0</v>
      </c>
      <c r="ER132" s="14" t="n">
        <v>0</v>
      </c>
      <c r="ES132" s="14" t="n">
        <v>0</v>
      </c>
      <c r="ET132" s="14" t="n">
        <v>0</v>
      </c>
      <c r="EU132" s="14" t="n">
        <v>0</v>
      </c>
      <c r="EV132" s="14" t="n">
        <v>0</v>
      </c>
      <c r="EW132" s="14" t="n">
        <v>0</v>
      </c>
      <c r="EX132" s="14" t="n">
        <v>0</v>
      </c>
      <c r="EY132" s="14" t="n">
        <v>0</v>
      </c>
      <c r="EZ132" s="14" t="n">
        <v>0</v>
      </c>
      <c r="FA132" s="14" t="n">
        <v>0</v>
      </c>
      <c r="FB132" s="14" t="n">
        <v>0</v>
      </c>
      <c r="FC132" s="14" t="n">
        <v>0</v>
      </c>
      <c r="FD132" s="14" t="n">
        <v>0</v>
      </c>
      <c r="FE132" s="14" t="n">
        <v>0</v>
      </c>
      <c r="FF132" s="14" t="n">
        <v>0</v>
      </c>
      <c r="FG132" s="15" t="n">
        <v>0</v>
      </c>
      <c r="FH132" s="14" t="n">
        <v>2</v>
      </c>
      <c r="FI132" s="14" t="n">
        <v>0</v>
      </c>
      <c r="FJ132" s="14" t="n">
        <v>24</v>
      </c>
      <c r="FK132" s="14" t="n">
        <v>84</v>
      </c>
      <c r="FL132" s="14" t="n">
        <v>84</v>
      </c>
      <c r="FM132" s="14" t="n">
        <v>0</v>
      </c>
      <c r="FN132" s="14" t="n">
        <v>0</v>
      </c>
      <c r="FO132" s="14" t="n">
        <v>0</v>
      </c>
      <c r="FP132" s="14" t="n">
        <v>0</v>
      </c>
      <c r="FQ132" s="15" t="n">
        <v>0</v>
      </c>
      <c r="FR132" s="14" t="n">
        <v>0</v>
      </c>
      <c r="FS132" s="14" t="n">
        <v>0</v>
      </c>
      <c r="FT132" s="14" t="n">
        <v>0</v>
      </c>
      <c r="FU132" s="14" t="n">
        <v>0</v>
      </c>
      <c r="FV132" s="15" t="n">
        <v>0</v>
      </c>
      <c r="FW132" s="14" t="n">
        <v>0</v>
      </c>
      <c r="FX132" s="14" t="n">
        <v>0</v>
      </c>
      <c r="FY132" s="14" t="n">
        <v>0</v>
      </c>
      <c r="FZ132" s="14" t="n">
        <v>0</v>
      </c>
      <c r="GA132" s="15" t="n">
        <v>0</v>
      </c>
      <c r="GB132" s="15" t="n">
        <v>0</v>
      </c>
      <c r="GC132" s="14" t="n">
        <v>0</v>
      </c>
      <c r="GD132" s="14" t="n">
        <v>0</v>
      </c>
      <c r="GE132" s="14" t="n">
        <v>0</v>
      </c>
      <c r="GF132" s="14" t="n">
        <v>0</v>
      </c>
      <c r="GG132" s="15" t="n">
        <v>0</v>
      </c>
      <c r="GH132" s="14" t="n">
        <v>0</v>
      </c>
      <c r="GI132" s="14" t="n">
        <v>0</v>
      </c>
      <c r="GJ132" s="14" t="n">
        <v>0</v>
      </c>
      <c r="GK132" s="14" t="n">
        <v>0</v>
      </c>
      <c r="GL132" s="15" t="n">
        <v>0</v>
      </c>
      <c r="GM132" s="15" t="n">
        <v>0</v>
      </c>
      <c r="GN132" s="14" t="n">
        <v>0</v>
      </c>
      <c r="GO132" s="14" t="n">
        <v>0</v>
      </c>
      <c r="GP132" s="14" t="n">
        <v>0</v>
      </c>
      <c r="GQ132" s="14" t="n">
        <v>0</v>
      </c>
      <c r="GR132" s="15" t="n">
        <v>0</v>
      </c>
      <c r="GS132" s="14" t="n">
        <v>0</v>
      </c>
      <c r="GT132" s="14" t="n">
        <v>0</v>
      </c>
      <c r="GU132" s="14" t="n">
        <v>0</v>
      </c>
      <c r="GV132" s="14" t="n">
        <v>0</v>
      </c>
      <c r="GW132" s="15" t="n">
        <v>0</v>
      </c>
      <c r="GX132" s="15" t="n">
        <v>0</v>
      </c>
      <c r="GY132" s="14" t="n">
        <v>0</v>
      </c>
      <c r="GZ132" s="14" t="n">
        <v>0</v>
      </c>
      <c r="HA132" s="15" t="n">
        <v>0</v>
      </c>
      <c r="HB132" s="15" t="n">
        <v>0</v>
      </c>
      <c r="HC132" s="16" t="n">
        <v>0</v>
      </c>
      <c r="HD132" s="15" t="n">
        <v>0</v>
      </c>
      <c r="HE132" s="14" t="n">
        <v>0</v>
      </c>
      <c r="HF132" s="14" t="n">
        <v>0</v>
      </c>
      <c r="HG132" s="14" t="n">
        <v>0</v>
      </c>
      <c r="HH132" s="14" t="n">
        <v>0</v>
      </c>
      <c r="HI132" s="14" t="n">
        <v>0</v>
      </c>
      <c r="HJ132" s="15" t="n">
        <v>0</v>
      </c>
      <c r="HK132" s="16" t="n"/>
      <c r="HL132" s="14" t="n">
        <v>0</v>
      </c>
      <c r="HM132" s="14" t="n">
        <v>0</v>
      </c>
      <c r="HN132" s="17" t="n">
        <v>0</v>
      </c>
    </row>
    <row r="133">
      <c r="A133" s="6" t="inlineStr">
        <is>
          <t>Mulanje</t>
        </is>
      </c>
      <c r="B133" s="6" t="inlineStr">
        <is>
          <t>Migowi</t>
        </is>
      </c>
      <c r="C133" s="7" t="inlineStr">
        <is>
          <t>FY2025/26</t>
        </is>
      </c>
      <c r="D133" s="7" t="n">
        <v>2026</v>
      </c>
      <c r="E133" s="7" t="n">
        <v>2</v>
      </c>
      <c r="F133" s="7" t="inlineStr">
        <is>
          <t>February</t>
        </is>
      </c>
      <c r="G133" s="7" t="inlineStr">
        <is>
          <t>Q4</t>
        </is>
      </c>
      <c r="H133" s="8" t="n">
        <v>780</v>
      </c>
      <c r="I133" s="8" t="n">
        <v>0</v>
      </c>
      <c r="J133" s="8" t="n">
        <v>0</v>
      </c>
      <c r="K133" s="8" t="n">
        <v>0</v>
      </c>
      <c r="L133" s="8" t="n">
        <v>0</v>
      </c>
      <c r="M133" s="9">
        <f>SUM(I133,J133,K133,L133)</f>
        <v/>
      </c>
      <c r="N133" s="8" t="n">
        <v>599</v>
      </c>
      <c r="O133" s="8" t="n">
        <v>0</v>
      </c>
      <c r="P133" s="8" t="n">
        <v>0</v>
      </c>
      <c r="Q133" s="8" t="n">
        <v>0</v>
      </c>
      <c r="R133" s="9">
        <f>SUM(N133,O133,P133,Q133)</f>
        <v/>
      </c>
      <c r="S133" s="9">
        <f>M133+R133</f>
        <v/>
      </c>
      <c r="T133" s="8" t="n">
        <v>181</v>
      </c>
      <c r="U133" s="10">
        <f>IF(H133=0,"",T133/H133)</f>
        <v/>
      </c>
      <c r="V133" s="8" t="n">
        <v>1</v>
      </c>
      <c r="W133" s="11">
        <f>IF(H133=0,"",V133/H133)</f>
        <v/>
      </c>
      <c r="X133" s="8" t="n">
        <v>0</v>
      </c>
      <c r="Y133" s="11">
        <f>IF(H133=0,"",X133/H133)</f>
        <v/>
      </c>
      <c r="Z133" s="8" t="n">
        <v>0</v>
      </c>
      <c r="AA133" s="11">
        <f>IF(H133=0,"",Z133/H133)</f>
        <v/>
      </c>
      <c r="AB133" s="8" t="n">
        <v>0</v>
      </c>
      <c r="AC133" s="11">
        <f>IF(H133=0,"",AB133/H133)</f>
        <v/>
      </c>
      <c r="AD133" s="8" t="n">
        <v>0</v>
      </c>
      <c r="AE133" s="11">
        <f>IF(H133=0,"",AD133/H133)</f>
        <v/>
      </c>
      <c r="AF133" s="8" t="n">
        <v>0</v>
      </c>
      <c r="AG133" s="11">
        <f>IF(H133=0,"",AF133/H133)</f>
        <v/>
      </c>
      <c r="AH133" s="8" t="n">
        <v>5111.67</v>
      </c>
      <c r="AI133" s="9">
        <f>IF(H133=0,"",AH133/H133)</f>
        <v/>
      </c>
      <c r="AJ133" s="8" t="n">
        <v>1150</v>
      </c>
      <c r="AK133" s="11">
        <f>IF(H133=0,"",AJ133/H133)</f>
        <v/>
      </c>
      <c r="AL133" s="8" t="n">
        <v>175990.725</v>
      </c>
      <c r="AM133" s="9">
        <f>IF(H133=0,"",AL133/H133)</f>
        <v/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9">
        <f>AH133+AL133+AP133+AQ133+AR133+AS133+AT133</f>
        <v/>
      </c>
      <c r="AV133" s="9">
        <f>IF(H133=0,"",AU133/H133)</f>
        <v/>
      </c>
      <c r="AW133" s="9">
        <f>IF(S133=0,"",AU133/S133)</f>
        <v/>
      </c>
      <c r="AX133" s="8" t="n">
        <v>0</v>
      </c>
      <c r="AY133" s="9">
        <f>IF(H133=0,"",AX133/(H133/1000/12))</f>
        <v/>
      </c>
      <c r="AZ133" s="8" t="n">
        <v>2</v>
      </c>
      <c r="BA133" s="8" t="n">
        <v>0</v>
      </c>
      <c r="BB133" s="8" t="n">
        <v>0</v>
      </c>
      <c r="BC133" s="8" t="n">
        <v>0</v>
      </c>
      <c r="BD133" s="8" t="n">
        <v>0</v>
      </c>
      <c r="BE133" s="9">
        <f>BC133+BD133</f>
        <v/>
      </c>
      <c r="BF133" s="9">
        <f>BA133+BB133-BE133</f>
        <v/>
      </c>
      <c r="BG133" s="8" t="n">
        <v>0</v>
      </c>
      <c r="BH133" s="8" t="n">
        <v>0</v>
      </c>
      <c r="BI133" s="8" t="n">
        <v>0</v>
      </c>
      <c r="BJ133" s="8" t="n">
        <v>0</v>
      </c>
      <c r="BK133" s="9">
        <f>BI133+BJ133</f>
        <v/>
      </c>
      <c r="BL133" s="9">
        <f>BG133+BH133-BK133</f>
        <v/>
      </c>
      <c r="BM133" s="8" t="n">
        <v>0</v>
      </c>
      <c r="BN133" s="8" t="n">
        <v>0</v>
      </c>
      <c r="BO133" s="8" t="n">
        <v>0</v>
      </c>
      <c r="BP133" s="8" t="n">
        <v>0</v>
      </c>
      <c r="BQ133" s="9">
        <f>BO133+BP133</f>
        <v/>
      </c>
      <c r="BR133" s="9">
        <f>BM133+BN133-BQ133</f>
        <v/>
      </c>
      <c r="BS133" s="8" t="n">
        <v>0</v>
      </c>
      <c r="BT133" s="8" t="n">
        <v>0</v>
      </c>
      <c r="BU133" s="8" t="n">
        <v>0</v>
      </c>
      <c r="BV133" s="8" t="n">
        <v>0</v>
      </c>
      <c r="BW133" s="9">
        <f>BU133+BV133</f>
        <v/>
      </c>
      <c r="BX133" s="9">
        <f>BS133+BT133-BW133</f>
        <v/>
      </c>
      <c r="BY133" s="9">
        <f>BA133+BG133+BM133+BS133</f>
        <v/>
      </c>
      <c r="BZ133" s="9">
        <f>BB133+BH133+BN133+BT133</f>
        <v/>
      </c>
      <c r="CA133" s="9">
        <f>BE133+BK133+BQ133+BW133</f>
        <v/>
      </c>
      <c r="CB133" s="9">
        <f>BF133+BL133+BR133+BX133</f>
        <v/>
      </c>
      <c r="CC133" s="8" t="n">
        <v>0</v>
      </c>
      <c r="CD133" s="8" t="n">
        <v>0</v>
      </c>
      <c r="CE133" s="8" t="n">
        <v>0</v>
      </c>
      <c r="CF133" s="8" t="n">
        <v>0</v>
      </c>
      <c r="CG133" s="8" t="n">
        <v>0</v>
      </c>
      <c r="CH133" s="9">
        <f>CD133+CE133+CF133+CG133</f>
        <v/>
      </c>
      <c r="CI133" s="8" t="n">
        <v>0</v>
      </c>
      <c r="CJ133" s="8" t="n">
        <v>0</v>
      </c>
      <c r="CK133" s="8" t="n">
        <v>0</v>
      </c>
      <c r="CL133" s="8" t="n">
        <v>0</v>
      </c>
      <c r="CM133" s="9">
        <f>CI133+CJ133+CK133+CL133</f>
        <v/>
      </c>
      <c r="CN133" s="8" t="n">
        <v>75</v>
      </c>
      <c r="CO133" s="8" t="n">
        <v>1</v>
      </c>
      <c r="CP133" s="8" t="n">
        <v>0</v>
      </c>
      <c r="CQ133" s="8" t="n">
        <v>0</v>
      </c>
      <c r="CR133" s="9">
        <f>CN133+CO133+CP133+CQ133</f>
        <v/>
      </c>
      <c r="CS133" s="9">
        <f>CM133+CR133</f>
        <v/>
      </c>
      <c r="CT133" s="8" t="n">
        <v>76</v>
      </c>
      <c r="CU133" s="8" t="n">
        <v>553</v>
      </c>
      <c r="CV133" s="8" t="n">
        <v>553</v>
      </c>
      <c r="CW133" s="10">
        <f>IF(CU133=0,"",CV133/CU133)</f>
        <v/>
      </c>
      <c r="CX133" s="8" t="n"/>
      <c r="CY133" s="8" t="n"/>
      <c r="CZ133" s="8" t="n"/>
      <c r="DA133" s="8" t="n"/>
      <c r="DB133" s="9">
        <f>CX133+CY133-CZ133-DA133</f>
        <v/>
      </c>
      <c r="DC133" s="8" t="n">
        <v>0</v>
      </c>
      <c r="DD133" s="8" t="n">
        <v>0</v>
      </c>
      <c r="DE133" s="8" t="n">
        <v>0</v>
      </c>
      <c r="DF133" s="8" t="n">
        <v>0</v>
      </c>
      <c r="DG133" s="9">
        <f>DC133+DD133-DE133-DF133</f>
        <v/>
      </c>
      <c r="DH133" s="8" t="n">
        <v>0</v>
      </c>
      <c r="DI133" s="8" t="n">
        <v>0</v>
      </c>
      <c r="DJ133" s="8" t="n">
        <v>0</v>
      </c>
      <c r="DK133" s="8" t="n">
        <v>0</v>
      </c>
      <c r="DL133" s="9">
        <f>DH133+DI133-DJ133-DK133</f>
        <v/>
      </c>
      <c r="DM133" s="8" t="n">
        <v>0</v>
      </c>
      <c r="DN133" s="8" t="n">
        <v>0</v>
      </c>
      <c r="DO133" s="8" t="n">
        <v>0</v>
      </c>
      <c r="DP133" s="8" t="n">
        <v>0</v>
      </c>
      <c r="DQ133" s="9">
        <f>DM133+DN133-DO133-DP133</f>
        <v/>
      </c>
      <c r="DR133" s="9">
        <f>CX133+DC133+DH133+DM133</f>
        <v/>
      </c>
      <c r="DS133" s="9">
        <f>CY133+DD133+DI133+DN133</f>
        <v/>
      </c>
      <c r="DT133" s="9">
        <f>CZ133+DE133+DJ133+DO133</f>
        <v/>
      </c>
      <c r="DU133" s="9">
        <f>DA133+DF133+DK133+DP133</f>
        <v/>
      </c>
      <c r="DV133" s="9">
        <f>DB133+DG133+DL133+DQ133</f>
        <v/>
      </c>
      <c r="DW133" s="8" t="n">
        <v>1</v>
      </c>
      <c r="DX133" s="8" t="n">
        <v>0</v>
      </c>
      <c r="DY133" s="8" t="n">
        <v>0</v>
      </c>
      <c r="DZ133" s="8" t="n">
        <v>0</v>
      </c>
      <c r="EA133" s="8" t="n">
        <v>0</v>
      </c>
      <c r="EB133" s="8" t="n">
        <v>0</v>
      </c>
      <c r="EC133" s="8" t="n">
        <v>0</v>
      </c>
      <c r="ED133" s="8" t="n">
        <v>0</v>
      </c>
      <c r="EE133" s="8" t="n">
        <v>0</v>
      </c>
      <c r="EF133" s="8" t="n">
        <v>0</v>
      </c>
      <c r="EG133" s="8" t="n">
        <v>0</v>
      </c>
      <c r="EH133" s="8" t="n">
        <v>0</v>
      </c>
      <c r="EI133" s="8" t="n">
        <v>0</v>
      </c>
      <c r="EJ133" s="8" t="n">
        <v>0</v>
      </c>
      <c r="EK133" s="8" t="n">
        <v>0</v>
      </c>
      <c r="EL133" s="8" t="n">
        <v>0</v>
      </c>
      <c r="EM133" s="8" t="n">
        <v>0</v>
      </c>
      <c r="EN133" s="8" t="n">
        <v>0</v>
      </c>
      <c r="EO133" s="8" t="n">
        <v>0</v>
      </c>
      <c r="EP133" s="8" t="n">
        <v>0</v>
      </c>
      <c r="EQ133" s="8" t="n">
        <v>0</v>
      </c>
      <c r="ER133" s="8" t="n">
        <v>0</v>
      </c>
      <c r="ES133" s="8" t="n">
        <v>0</v>
      </c>
      <c r="ET133" s="8" t="n">
        <v>0</v>
      </c>
      <c r="EU133" s="8" t="n">
        <v>0</v>
      </c>
      <c r="EV133" s="8" t="n">
        <v>0</v>
      </c>
      <c r="EW133" s="8" t="n">
        <v>0</v>
      </c>
      <c r="EX133" s="8" t="n">
        <v>0</v>
      </c>
      <c r="EY133" s="8" t="n">
        <v>0</v>
      </c>
      <c r="EZ133" s="8" t="n">
        <v>0</v>
      </c>
      <c r="FA133" s="8" t="n">
        <v>0</v>
      </c>
      <c r="FB133" s="8" t="n">
        <v>0</v>
      </c>
      <c r="FC133" s="8" t="n">
        <v>0</v>
      </c>
      <c r="FD133" s="8" t="n">
        <v>0</v>
      </c>
      <c r="FE133" s="8" t="n">
        <v>0</v>
      </c>
      <c r="FF133" s="8" t="n">
        <v>0</v>
      </c>
      <c r="FG133" s="9">
        <f>SUM(DW133,DX133,DY133,DZ133,EA133,EB133,EC133,ED133,EE133,EF133,EG133,EH133,EI133,EJ133,EK133,EL133,EM133,EN133,EO133,EP133,EQ133,ER133,ES133,ET133,EU133,EV133,EW133,EX133,EY133,EZ133,FA133,FB133,FC133,FD133,FE133,FF133)</f>
        <v/>
      </c>
      <c r="FH133" s="8" t="n">
        <v>0</v>
      </c>
      <c r="FI133" s="8" t="n">
        <v>0</v>
      </c>
      <c r="FJ133" s="8" t="n">
        <v>24</v>
      </c>
      <c r="FK133" s="8" t="n">
        <v>48</v>
      </c>
      <c r="FL133" s="8" t="n">
        <v>0</v>
      </c>
      <c r="FM133" s="8" t="n">
        <v>0</v>
      </c>
      <c r="FN133" s="8" t="n">
        <v>0</v>
      </c>
      <c r="FO133" s="8" t="n">
        <v>0</v>
      </c>
      <c r="FP133" s="8" t="n">
        <v>0</v>
      </c>
      <c r="FQ133" s="9">
        <f>FL133+FM133+FN133+FO133+FP133</f>
        <v/>
      </c>
      <c r="FR133" s="8" t="n">
        <v>0</v>
      </c>
      <c r="FS133" s="8" t="n">
        <v>0</v>
      </c>
      <c r="FT133" s="8" t="n">
        <v>0</v>
      </c>
      <c r="FU133" s="8" t="n">
        <v>0</v>
      </c>
      <c r="FV133" s="9">
        <f>FR133+FS133+FT133+FU133</f>
        <v/>
      </c>
      <c r="FW133" s="8" t="n">
        <v>755400</v>
      </c>
      <c r="FX133" s="8" t="n">
        <v>0</v>
      </c>
      <c r="FY133" s="8" t="n">
        <v>0</v>
      </c>
      <c r="FZ133" s="8" t="n">
        <v>0</v>
      </c>
      <c r="GA133" s="9">
        <f>FW133+FX133+FY133+FZ133</f>
        <v/>
      </c>
      <c r="GB133" s="9">
        <f>FV133+GA133</f>
        <v/>
      </c>
      <c r="GC133" s="8" t="n">
        <v>0</v>
      </c>
      <c r="GD133" s="8" t="n">
        <v>0</v>
      </c>
      <c r="GE133" s="8" t="n">
        <v>0</v>
      </c>
      <c r="GF133" s="8" t="n">
        <v>0</v>
      </c>
      <c r="GG133" s="9">
        <f>GC133+GD133+GE133+GF133</f>
        <v/>
      </c>
      <c r="GH133" s="8" t="n">
        <v>0</v>
      </c>
      <c r="GI133" s="8" t="n">
        <v>0</v>
      </c>
      <c r="GJ133" s="8" t="n">
        <v>0</v>
      </c>
      <c r="GK133" s="8" t="n">
        <v>0</v>
      </c>
      <c r="GL133" s="9">
        <f>GH133+GI133+GJ133+GK133</f>
        <v/>
      </c>
      <c r="GM133" s="9">
        <f>GG133+GL133</f>
        <v/>
      </c>
      <c r="GN133" s="8" t="n">
        <v>0</v>
      </c>
      <c r="GO133" s="8" t="n">
        <v>0</v>
      </c>
      <c r="GP133" s="8" t="n">
        <v>0</v>
      </c>
      <c r="GQ133" s="8" t="n">
        <v>0</v>
      </c>
      <c r="GR133" s="9">
        <f>GN133+GO133+GP133+GQ133</f>
        <v/>
      </c>
      <c r="GS133" s="8" t="n">
        <v>0</v>
      </c>
      <c r="GT133" s="8" t="n">
        <v>0</v>
      </c>
      <c r="GU133" s="8" t="n">
        <v>0</v>
      </c>
      <c r="GV133" s="8" t="n">
        <v>0</v>
      </c>
      <c r="GW133" s="9">
        <f>GS133+GT133+GU133+GV133</f>
        <v/>
      </c>
      <c r="GX133" s="9">
        <f>GM133+GR133+GW133</f>
        <v/>
      </c>
      <c r="GY133" s="8" t="n">
        <v>0</v>
      </c>
      <c r="GZ133" s="8" t="n">
        <v>0</v>
      </c>
      <c r="HA133" s="9">
        <f>GY133+GZ133</f>
        <v/>
      </c>
      <c r="HB133" s="9">
        <f>IF(GX133=0,"",AU133/GX133)</f>
        <v/>
      </c>
      <c r="HC133" s="10">
        <f>IF((GX133+GY133)=0,"",GB133/(GX133+GY133))</f>
        <v/>
      </c>
      <c r="HD133" s="9">
        <f>IF(GX133=0,"",GB133/GX133)</f>
        <v/>
      </c>
      <c r="HE133" s="8" t="n">
        <v>0</v>
      </c>
      <c r="HF133" s="8" t="n">
        <v>0</v>
      </c>
      <c r="HG133" s="8" t="n">
        <v>0</v>
      </c>
      <c r="HH133" s="8" t="n">
        <v>0</v>
      </c>
      <c r="HI133" s="8" t="n">
        <v>0</v>
      </c>
      <c r="HJ133" s="9">
        <f>HF133+HI133</f>
        <v/>
      </c>
      <c r="HK133" s="10">
        <f>IF(HE133=0,"",HH133/HE133)</f>
        <v/>
      </c>
      <c r="HL133" s="8" t="n">
        <v>15</v>
      </c>
      <c r="HM133" s="8" t="n">
        <v>3</v>
      </c>
      <c r="HN133" s="11">
        <f>IF(HL133=0,"",HM133/HL133)</f>
        <v/>
      </c>
    </row>
    <row r="134">
      <c r="A134" s="12" t="inlineStr">
        <is>
          <t>Mulanje</t>
        </is>
      </c>
      <c r="B134" s="12" t="inlineStr">
        <is>
          <t>Migowi</t>
        </is>
      </c>
      <c r="C134" s="13" t="inlineStr">
        <is>
          <t>FY2025/26</t>
        </is>
      </c>
      <c r="D134" s="13" t="n">
        <v>2026</v>
      </c>
      <c r="E134" s="13" t="n">
        <v>3</v>
      </c>
      <c r="F134" s="13" t="inlineStr">
        <is>
          <t>March</t>
        </is>
      </c>
      <c r="G134" s="13" t="inlineStr">
        <is>
          <t>Q4</t>
        </is>
      </c>
      <c r="H134" s="14" t="n">
        <v>750</v>
      </c>
      <c r="I134" s="14" t="n">
        <v>0</v>
      </c>
      <c r="J134" s="14" t="n">
        <v>0</v>
      </c>
      <c r="K134" s="14" t="n">
        <v>0</v>
      </c>
      <c r="L134" s="14" t="n">
        <v>0</v>
      </c>
      <c r="M134" s="15">
        <f>SUM(I134,J134,K134,L134)</f>
        <v/>
      </c>
      <c r="N134" s="14" t="n">
        <v>620</v>
      </c>
      <c r="O134" s="14" t="n">
        <v>0</v>
      </c>
      <c r="P134" s="14" t="n">
        <v>0</v>
      </c>
      <c r="Q134" s="14" t="n">
        <v>0</v>
      </c>
      <c r="R134" s="15">
        <f>SUM(N134,O134,P134,Q134)</f>
        <v/>
      </c>
      <c r="S134" s="15">
        <f>M134+R134</f>
        <v/>
      </c>
      <c r="T134" s="14" t="n">
        <v>130</v>
      </c>
      <c r="U134" s="16">
        <f>IF(H134=0,"",T134/H134)</f>
        <v/>
      </c>
      <c r="V134" s="14" t="n">
        <v>1</v>
      </c>
      <c r="W134" s="17">
        <f>IF(H134=0,"",V134/H134)</f>
        <v/>
      </c>
      <c r="X134" s="14" t="n">
        <v>0</v>
      </c>
      <c r="Y134" s="17">
        <f>IF(H134=0,"",X134/H134)</f>
        <v/>
      </c>
      <c r="Z134" s="14" t="n">
        <v>0</v>
      </c>
      <c r="AA134" s="17">
        <f>IF(H134=0,"",Z134/H134)</f>
        <v/>
      </c>
      <c r="AB134" s="14" t="n">
        <v>0</v>
      </c>
      <c r="AC134" s="17">
        <f>IF(H134=0,"",AB134/H134)</f>
        <v/>
      </c>
      <c r="AD134" s="14" t="n">
        <v>0</v>
      </c>
      <c r="AE134" s="17">
        <f>IF(H134=0,"",AD134/H134)</f>
        <v/>
      </c>
      <c r="AF134" s="14" t="n">
        <v>0</v>
      </c>
      <c r="AG134" s="17">
        <f>IF(H134=0,"",AF134/H134)</f>
        <v/>
      </c>
      <c r="AH134" s="14" t="n">
        <v>5111.67</v>
      </c>
      <c r="AI134" s="15">
        <f>IF(H134=0,"",AH134/H134)</f>
        <v/>
      </c>
      <c r="AJ134" s="14" t="n">
        <v>1200</v>
      </c>
      <c r="AK134" s="17">
        <f>IF(H134=0,"",AJ134/H134)</f>
        <v/>
      </c>
      <c r="AL134" s="14" t="n">
        <v>16426.5</v>
      </c>
      <c r="AM134" s="15">
        <f>IF(H134=0,"",AL134/H134)</f>
        <v/>
      </c>
      <c r="AN134" s="14" t="n">
        <v>0</v>
      </c>
      <c r="AO134" s="14" t="n">
        <v>0</v>
      </c>
      <c r="AP134" s="14" t="n">
        <v>0</v>
      </c>
      <c r="AQ134" s="14" t="n">
        <v>0</v>
      </c>
      <c r="AR134" s="14" t="n">
        <v>0</v>
      </c>
      <c r="AS134" s="14" t="n">
        <v>0</v>
      </c>
      <c r="AT134" s="14" t="n">
        <v>0</v>
      </c>
      <c r="AU134" s="15">
        <f>AH134+AL134+AP134+AQ134+AR134+AS134+AT134</f>
        <v/>
      </c>
      <c r="AV134" s="15">
        <f>IF(H134=0,"",AU134/H134)</f>
        <v/>
      </c>
      <c r="AW134" s="15">
        <f>IF(S134=0,"",AU134/S134)</f>
        <v/>
      </c>
      <c r="AX134" s="14" t="n">
        <v>0</v>
      </c>
      <c r="AY134" s="15">
        <f>IF(H134=0,"",AX134/(H134/1000/12))</f>
        <v/>
      </c>
      <c r="AZ134" s="14" t="n">
        <v>2</v>
      </c>
      <c r="BA134" s="14" t="n">
        <v>0</v>
      </c>
      <c r="BB134" s="14" t="n">
        <v>0</v>
      </c>
      <c r="BC134" s="14" t="n">
        <v>0</v>
      </c>
      <c r="BD134" s="14" t="n">
        <v>0</v>
      </c>
      <c r="BE134" s="15">
        <f>BC134+BD134</f>
        <v/>
      </c>
      <c r="BF134" s="15">
        <f>BA134+BB134-BE134</f>
        <v/>
      </c>
      <c r="BG134" s="14" t="n">
        <v>0</v>
      </c>
      <c r="BH134" s="14" t="n">
        <v>0</v>
      </c>
      <c r="BI134" s="14" t="n">
        <v>0</v>
      </c>
      <c r="BJ134" s="14" t="n">
        <v>0</v>
      </c>
      <c r="BK134" s="15">
        <f>BI134+BJ134</f>
        <v/>
      </c>
      <c r="BL134" s="15">
        <f>BG134+BH134-BK134</f>
        <v/>
      </c>
      <c r="BM134" s="14" t="n">
        <v>0</v>
      </c>
      <c r="BN134" s="14" t="n">
        <v>0</v>
      </c>
      <c r="BO134" s="14" t="n">
        <v>0</v>
      </c>
      <c r="BP134" s="14" t="n">
        <v>0</v>
      </c>
      <c r="BQ134" s="15">
        <f>BO134+BP134</f>
        <v/>
      </c>
      <c r="BR134" s="15">
        <f>BM134+BN134-BQ134</f>
        <v/>
      </c>
      <c r="BS134" s="14" t="n">
        <v>0</v>
      </c>
      <c r="BT134" s="14" t="n">
        <v>0</v>
      </c>
      <c r="BU134" s="14" t="n">
        <v>0</v>
      </c>
      <c r="BV134" s="14" t="n">
        <v>0</v>
      </c>
      <c r="BW134" s="15">
        <f>BU134+BV134</f>
        <v/>
      </c>
      <c r="BX134" s="15">
        <f>BS134+BT134-BW134</f>
        <v/>
      </c>
      <c r="BY134" s="15">
        <f>BA134+BG134+BM134+BS134</f>
        <v/>
      </c>
      <c r="BZ134" s="15">
        <f>BB134+BH134+BN134+BT134</f>
        <v/>
      </c>
      <c r="CA134" s="15">
        <f>BE134+BK134+BQ134+BW134</f>
        <v/>
      </c>
      <c r="CB134" s="15">
        <f>BF134+BL134+BR134+BX134</f>
        <v/>
      </c>
      <c r="CC134" s="14" t="n">
        <v>0</v>
      </c>
      <c r="CD134" s="14" t="n">
        <v>0</v>
      </c>
      <c r="CE134" s="14" t="n">
        <v>0</v>
      </c>
      <c r="CF134" s="14" t="n">
        <v>0</v>
      </c>
      <c r="CG134" s="14" t="n">
        <v>0</v>
      </c>
      <c r="CH134" s="15">
        <f>CD134+CE134+CF134+CG134</f>
        <v/>
      </c>
      <c r="CI134" s="14" t="n">
        <v>0</v>
      </c>
      <c r="CJ134" s="14" t="n">
        <v>0</v>
      </c>
      <c r="CK134" s="14" t="n">
        <v>0</v>
      </c>
      <c r="CL134" s="14" t="n">
        <v>0</v>
      </c>
      <c r="CM134" s="15">
        <f>CI134+CJ134+CK134+CL134</f>
        <v/>
      </c>
      <c r="CN134" s="14" t="n">
        <v>75</v>
      </c>
      <c r="CO134" s="14" t="n">
        <v>1</v>
      </c>
      <c r="CP134" s="14" t="n">
        <v>0</v>
      </c>
      <c r="CQ134" s="14" t="n">
        <v>0</v>
      </c>
      <c r="CR134" s="15">
        <f>CN134+CO134+CP134+CQ134</f>
        <v/>
      </c>
      <c r="CS134" s="15">
        <f>CM134+CR134</f>
        <v/>
      </c>
      <c r="CT134" s="14" t="n">
        <v>76</v>
      </c>
      <c r="CU134" s="14" t="n">
        <v>553</v>
      </c>
      <c r="CV134" s="14" t="n">
        <v>553</v>
      </c>
      <c r="CW134" s="16">
        <f>IF(CU134=0,"",CV134/CU134)</f>
        <v/>
      </c>
      <c r="CX134" s="14" t="n"/>
      <c r="CY134" s="14" t="n"/>
      <c r="CZ134" s="14" t="n"/>
      <c r="DA134" s="14" t="n"/>
      <c r="DB134" s="15">
        <f>CX134+CY134-CZ134-DA134</f>
        <v/>
      </c>
      <c r="DC134" s="14" t="n">
        <v>0</v>
      </c>
      <c r="DD134" s="14" t="n">
        <v>0</v>
      </c>
      <c r="DE134" s="14" t="n">
        <v>0</v>
      </c>
      <c r="DF134" s="14" t="n">
        <v>0</v>
      </c>
      <c r="DG134" s="15">
        <f>DC134+DD134-DE134-DF134</f>
        <v/>
      </c>
      <c r="DH134" s="14" t="n">
        <v>0</v>
      </c>
      <c r="DI134" s="14" t="n">
        <v>0</v>
      </c>
      <c r="DJ134" s="14" t="n">
        <v>0</v>
      </c>
      <c r="DK134" s="14" t="n">
        <v>0</v>
      </c>
      <c r="DL134" s="15">
        <f>DH134+DI134-DJ134-DK134</f>
        <v/>
      </c>
      <c r="DM134" s="14" t="n">
        <v>0</v>
      </c>
      <c r="DN134" s="14" t="n">
        <v>0</v>
      </c>
      <c r="DO134" s="14" t="n">
        <v>0</v>
      </c>
      <c r="DP134" s="14" t="n">
        <v>0</v>
      </c>
      <c r="DQ134" s="15">
        <f>DM134+DN134-DO134-DP134</f>
        <v/>
      </c>
      <c r="DR134" s="15">
        <f>CX134+DC134+DH134+DM134</f>
        <v/>
      </c>
      <c r="DS134" s="15">
        <f>CY134+DD134+DI134+DN134</f>
        <v/>
      </c>
      <c r="DT134" s="15">
        <f>CZ134+DE134+DJ134+DO134</f>
        <v/>
      </c>
      <c r="DU134" s="15">
        <f>DA134+DF134+DK134+DP134</f>
        <v/>
      </c>
      <c r="DV134" s="15">
        <f>DB134+DG134+DL134+DQ134</f>
        <v/>
      </c>
      <c r="DW134" s="14" t="n">
        <v>1</v>
      </c>
      <c r="DX134" s="14" t="n">
        <v>0</v>
      </c>
      <c r="DY134" s="14" t="n">
        <v>0</v>
      </c>
      <c r="DZ134" s="14" t="n">
        <v>0</v>
      </c>
      <c r="EA134" s="14" t="n">
        <v>0</v>
      </c>
      <c r="EB134" s="14" t="n">
        <v>0</v>
      </c>
      <c r="EC134" s="14" t="n">
        <v>0</v>
      </c>
      <c r="ED134" s="14" t="n">
        <v>0</v>
      </c>
      <c r="EE134" s="14" t="n">
        <v>0</v>
      </c>
      <c r="EF134" s="14" t="n">
        <v>0</v>
      </c>
      <c r="EG134" s="14" t="n">
        <v>0</v>
      </c>
      <c r="EH134" s="14" t="n">
        <v>0</v>
      </c>
      <c r="EI134" s="14" t="n">
        <v>0</v>
      </c>
      <c r="EJ134" s="14" t="n">
        <v>0</v>
      </c>
      <c r="EK134" s="14" t="n">
        <v>0</v>
      </c>
      <c r="EL134" s="14" t="n">
        <v>0</v>
      </c>
      <c r="EM134" s="14" t="n">
        <v>0</v>
      </c>
      <c r="EN134" s="14" t="n">
        <v>0</v>
      </c>
      <c r="EO134" s="14" t="n">
        <v>0</v>
      </c>
      <c r="EP134" s="14" t="n">
        <v>0</v>
      </c>
      <c r="EQ134" s="14" t="n">
        <v>0</v>
      </c>
      <c r="ER134" s="14" t="n">
        <v>0</v>
      </c>
      <c r="ES134" s="14" t="n">
        <v>0</v>
      </c>
      <c r="ET134" s="14" t="n">
        <v>0</v>
      </c>
      <c r="EU134" s="14" t="n">
        <v>0</v>
      </c>
      <c r="EV134" s="14" t="n">
        <v>0</v>
      </c>
      <c r="EW134" s="14" t="n">
        <v>0</v>
      </c>
      <c r="EX134" s="14" t="n">
        <v>0</v>
      </c>
      <c r="EY134" s="14" t="n">
        <v>0</v>
      </c>
      <c r="EZ134" s="14" t="n">
        <v>0</v>
      </c>
      <c r="FA134" s="14" t="n">
        <v>0</v>
      </c>
      <c r="FB134" s="14" t="n">
        <v>0</v>
      </c>
      <c r="FC134" s="14" t="n">
        <v>0</v>
      </c>
      <c r="FD134" s="14" t="n">
        <v>0</v>
      </c>
      <c r="FE134" s="14" t="n">
        <v>0</v>
      </c>
      <c r="FF134" s="14" t="n">
        <v>0</v>
      </c>
      <c r="FG134" s="15">
        <f>SUM(DW134,DX134,DY134,DZ134,EA134,EB134,EC134,ED134,EE134,EF134,EG134,EH134,EI134,EJ134,EK134,EL134,EM134,EN134,EO134,EP134,EQ134,ER134,ES134,ET134,EU134,EV134,EW134,EX134,EY134,EZ134,FA134,FB134,FC134,FD134,FE134,FF134)</f>
        <v/>
      </c>
      <c r="FH134" s="14" t="n">
        <v>0</v>
      </c>
      <c r="FI134" s="14" t="n">
        <v>0</v>
      </c>
      <c r="FJ134" s="14" t="n">
        <v>24</v>
      </c>
      <c r="FK134" s="14" t="n">
        <v>62</v>
      </c>
      <c r="FL134" s="14" t="n">
        <v>0</v>
      </c>
      <c r="FM134" s="14" t="n">
        <v>0</v>
      </c>
      <c r="FN134" s="14" t="n">
        <v>0</v>
      </c>
      <c r="FO134" s="14" t="n">
        <v>0</v>
      </c>
      <c r="FP134" s="14" t="n">
        <v>0</v>
      </c>
      <c r="FQ134" s="15">
        <f>FL134+FM134+FN134+FO134+FP134</f>
        <v/>
      </c>
      <c r="FR134" s="14" t="n">
        <v>0</v>
      </c>
      <c r="FS134" s="14" t="n">
        <v>0</v>
      </c>
      <c r="FT134" s="14" t="n">
        <v>0</v>
      </c>
      <c r="FU134" s="14" t="n">
        <v>0</v>
      </c>
      <c r="FV134" s="15">
        <f>FR134+FS134+FT134+FU134</f>
        <v/>
      </c>
      <c r="FW134" s="14" t="n">
        <v>655400</v>
      </c>
      <c r="FX134" s="14" t="n">
        <v>0</v>
      </c>
      <c r="FY134" s="14" t="n">
        <v>0</v>
      </c>
      <c r="FZ134" s="14" t="n">
        <v>0</v>
      </c>
      <c r="GA134" s="15">
        <f>FW134+FX134+FY134+FZ134</f>
        <v/>
      </c>
      <c r="GB134" s="15">
        <f>FV134+GA134</f>
        <v/>
      </c>
      <c r="GC134" s="14" t="n">
        <v>0</v>
      </c>
      <c r="GD134" s="14" t="n">
        <v>0</v>
      </c>
      <c r="GE134" s="14" t="n">
        <v>0</v>
      </c>
      <c r="GF134" s="14" t="n">
        <v>0</v>
      </c>
      <c r="GG134" s="15">
        <f>GC134+GD134+GE134+GF134</f>
        <v/>
      </c>
      <c r="GH134" s="14" t="n">
        <v>0</v>
      </c>
      <c r="GI134" s="14" t="n">
        <v>0</v>
      </c>
      <c r="GJ134" s="14" t="n">
        <v>0</v>
      </c>
      <c r="GK134" s="14" t="n">
        <v>0</v>
      </c>
      <c r="GL134" s="15">
        <f>GH134+GI134+GJ134+GK134</f>
        <v/>
      </c>
      <c r="GM134" s="15">
        <f>GG134+GL134</f>
        <v/>
      </c>
      <c r="GN134" s="14" t="n">
        <v>0</v>
      </c>
      <c r="GO134" s="14" t="n">
        <v>0</v>
      </c>
      <c r="GP134" s="14" t="n">
        <v>0</v>
      </c>
      <c r="GQ134" s="14" t="n">
        <v>0</v>
      </c>
      <c r="GR134" s="15">
        <f>GN134+GO134+GP134+GQ134</f>
        <v/>
      </c>
      <c r="GS134" s="14" t="n">
        <v>0</v>
      </c>
      <c r="GT134" s="14" t="n">
        <v>0</v>
      </c>
      <c r="GU134" s="14" t="n">
        <v>0</v>
      </c>
      <c r="GV134" s="14" t="n">
        <v>0</v>
      </c>
      <c r="GW134" s="15">
        <f>GS134+GT134+GU134+GV134</f>
        <v/>
      </c>
      <c r="GX134" s="15">
        <f>GM134+GR134+GW134</f>
        <v/>
      </c>
      <c r="GY134" s="14" t="n">
        <v>0</v>
      </c>
      <c r="GZ134" s="14" t="n">
        <v>0</v>
      </c>
      <c r="HA134" s="15">
        <f>GY134+GZ134</f>
        <v/>
      </c>
      <c r="HB134" s="15">
        <f>IF(GX134=0,"",AU134/GX134)</f>
        <v/>
      </c>
      <c r="HC134" s="16">
        <f>IF((GX134+GY134)=0,"",GB134/(GX134+GY134))</f>
        <v/>
      </c>
      <c r="HD134" s="15">
        <f>IF(GX134=0,"",GB134/GX134)</f>
        <v/>
      </c>
      <c r="HE134" s="14" t="n"/>
      <c r="HF134" s="14" t="n">
        <v>0</v>
      </c>
      <c r="HG134" s="14" t="n">
        <v>0</v>
      </c>
      <c r="HH134" s="14" t="n">
        <v>0</v>
      </c>
      <c r="HI134" s="14" t="n">
        <v>0</v>
      </c>
      <c r="HJ134" s="15">
        <f>HF134+HI134</f>
        <v/>
      </c>
      <c r="HK134" s="16">
        <f>IF(HE134=0,"",HH134/HE134)</f>
        <v/>
      </c>
      <c r="HL134" s="14" t="n"/>
      <c r="HM134" s="14" t="n">
        <v>0</v>
      </c>
      <c r="HN134" s="17">
        <f>IF(HL134=0,"",HM134/HL134)</f>
        <v/>
      </c>
    </row>
    <row r="135">
      <c r="A135" s="6" t="inlineStr">
        <is>
          <t>Mulanje</t>
        </is>
      </c>
      <c r="B135" s="6" t="inlineStr">
        <is>
          <t>Mikolongwe</t>
        </is>
      </c>
      <c r="C135" s="7" t="inlineStr">
        <is>
          <t>FY2025/26</t>
        </is>
      </c>
      <c r="D135" s="7" t="n">
        <v>2025</v>
      </c>
      <c r="E135" s="7" t="n">
        <v>4</v>
      </c>
      <c r="F135" s="7" t="inlineStr">
        <is>
          <t>April</t>
        </is>
      </c>
      <c r="G135" s="7" t="inlineStr">
        <is>
          <t>Q1</t>
        </is>
      </c>
      <c r="H135" s="8" t="n">
        <v>744</v>
      </c>
      <c r="I135" s="8" t="n">
        <v>0</v>
      </c>
      <c r="J135" s="8" t="n">
        <v>0</v>
      </c>
      <c r="K135" s="8" t="n">
        <v>0</v>
      </c>
      <c r="L135" s="8" t="n">
        <v>0</v>
      </c>
      <c r="M135" s="9">
        <f>SUM(I135,J135,K135,L135)</f>
        <v/>
      </c>
      <c r="N135" s="8" t="n">
        <v>283</v>
      </c>
      <c r="O135" s="8" t="n">
        <v>0</v>
      </c>
      <c r="P135" s="8" t="n">
        <v>329</v>
      </c>
      <c r="Q135" s="8" t="n">
        <v>0</v>
      </c>
      <c r="R135" s="9">
        <f>SUM(N135,O135,P135,Q135)</f>
        <v/>
      </c>
      <c r="S135" s="9">
        <f>M135+R135</f>
        <v/>
      </c>
      <c r="T135" s="8" t="n">
        <v>132</v>
      </c>
      <c r="U135" s="10">
        <f>IF(H135=0,"",T135/H135)</f>
        <v/>
      </c>
      <c r="V135" s="8" t="n">
        <v>4</v>
      </c>
      <c r="W135" s="11">
        <f>IF(H135=0,"",V135/H135)</f>
        <v/>
      </c>
      <c r="X135" s="8" t="n">
        <v>0</v>
      </c>
      <c r="Y135" s="11">
        <f>IF(H135=0,"",X135/H135)</f>
        <v/>
      </c>
      <c r="Z135" s="8" t="n">
        <v>0</v>
      </c>
      <c r="AA135" s="11">
        <f>IF(H135=0,"",Z135/H135)</f>
        <v/>
      </c>
      <c r="AB135" s="8" t="n">
        <v>0</v>
      </c>
      <c r="AC135" s="11">
        <f>IF(H135=0,"",AB135/H135)</f>
        <v/>
      </c>
      <c r="AD135" s="8" t="n">
        <v>0</v>
      </c>
      <c r="AE135" s="11">
        <f>IF(H135=0,"",AD135/H135)</f>
        <v/>
      </c>
      <c r="AF135" s="8" t="n">
        <v>0</v>
      </c>
      <c r="AG135" s="11">
        <f>IF(H135=0,"",AF135/H135)</f>
        <v/>
      </c>
      <c r="AH135" s="8" t="n">
        <v>20446.68</v>
      </c>
      <c r="AI135" s="9">
        <f>IF(H135=0,"",AH135/H135)</f>
        <v/>
      </c>
      <c r="AJ135" s="8" t="n">
        <v>1770</v>
      </c>
      <c r="AK135" s="11">
        <f>IF(H135=0,"",AJ135/H135)</f>
        <v/>
      </c>
      <c r="AL135" s="8" t="n">
        <v>262016.655</v>
      </c>
      <c r="AM135" s="9">
        <f>IF(H135=0,"",AL135/H135)</f>
        <v/>
      </c>
      <c r="AN135" s="8" t="n">
        <v>0</v>
      </c>
      <c r="AO135" s="8" t="n">
        <v>0</v>
      </c>
      <c r="AP135" s="8" t="n">
        <v>0</v>
      </c>
      <c r="AQ135" s="8" t="n">
        <v>0</v>
      </c>
      <c r="AR135" s="8" t="n">
        <v>0</v>
      </c>
      <c r="AS135" s="8" t="n">
        <v>214615.48</v>
      </c>
      <c r="AT135" s="8" t="n">
        <v>0</v>
      </c>
      <c r="AU135" s="9">
        <f>AH135+AL135+AP135+AQ135+AR135+AS135+AT135</f>
        <v/>
      </c>
      <c r="AV135" s="9">
        <f>IF(H135=0,"",AU135/H135)</f>
        <v/>
      </c>
      <c r="AW135" s="9">
        <f>IF(S135=0,"",AU135/S135)</f>
        <v/>
      </c>
      <c r="AX135" s="8" t="n">
        <v>0</v>
      </c>
      <c r="AY135" s="9">
        <f>IF(H135=0,"",AX135/(H135/1000/12))</f>
        <v/>
      </c>
      <c r="AZ135" s="8" t="n">
        <v>2</v>
      </c>
      <c r="BA135" s="8" t="n">
        <v>0</v>
      </c>
      <c r="BB135" s="8" t="n">
        <v>0</v>
      </c>
      <c r="BC135" s="8" t="n">
        <v>0</v>
      </c>
      <c r="BD135" s="8" t="n">
        <v>0</v>
      </c>
      <c r="BE135" s="9">
        <f>BC135+BD135</f>
        <v/>
      </c>
      <c r="BF135" s="9">
        <f>BA135+BB135-BE135</f>
        <v/>
      </c>
      <c r="BG135" s="8" t="n">
        <v>0</v>
      </c>
      <c r="BH135" s="8" t="n">
        <v>0</v>
      </c>
      <c r="BI135" s="8" t="n">
        <v>0</v>
      </c>
      <c r="BJ135" s="8" t="n">
        <v>0</v>
      </c>
      <c r="BK135" s="9">
        <f>BI135+BJ135</f>
        <v/>
      </c>
      <c r="BL135" s="9">
        <f>BG135+BH135-BK135</f>
        <v/>
      </c>
      <c r="BM135" s="8" t="n">
        <v>0</v>
      </c>
      <c r="BN135" s="8" t="n">
        <v>0</v>
      </c>
      <c r="BO135" s="8" t="n">
        <v>0</v>
      </c>
      <c r="BP135" s="8" t="n">
        <v>0</v>
      </c>
      <c r="BQ135" s="9">
        <f>BO135+BP135</f>
        <v/>
      </c>
      <c r="BR135" s="9">
        <f>BM135+BN135-BQ135</f>
        <v/>
      </c>
      <c r="BS135" s="8" t="n">
        <v>0</v>
      </c>
      <c r="BT135" s="8" t="n">
        <v>0</v>
      </c>
      <c r="BU135" s="8" t="n">
        <v>0</v>
      </c>
      <c r="BV135" s="8" t="n">
        <v>0</v>
      </c>
      <c r="BW135" s="9">
        <f>BU135+BV135</f>
        <v/>
      </c>
      <c r="BX135" s="9">
        <f>BS135+BT135-BW135</f>
        <v/>
      </c>
      <c r="BY135" s="9">
        <f>BA135+BG135+BM135+BS135</f>
        <v/>
      </c>
      <c r="BZ135" s="9">
        <f>BB135+BH135+BN135+BT135</f>
        <v/>
      </c>
      <c r="CA135" s="9">
        <f>BE135+BK135+BQ135+BW135</f>
        <v/>
      </c>
      <c r="CB135" s="9">
        <f>BF135+BL135+BR135+BX135</f>
        <v/>
      </c>
      <c r="CC135" s="8" t="n">
        <v>0</v>
      </c>
      <c r="CD135" s="8" t="n">
        <v>15</v>
      </c>
      <c r="CE135" s="8" t="n">
        <v>0</v>
      </c>
      <c r="CF135" s="8" t="n">
        <v>2</v>
      </c>
      <c r="CG135" s="8" t="n">
        <v>0</v>
      </c>
      <c r="CH135" s="9">
        <f>CD135+CE135+CF135+CG135</f>
        <v/>
      </c>
      <c r="CI135" s="8" t="n">
        <v>0</v>
      </c>
      <c r="CJ135" s="8" t="n">
        <v>0</v>
      </c>
      <c r="CK135" s="8" t="n">
        <v>0</v>
      </c>
      <c r="CL135" s="8" t="n">
        <v>0</v>
      </c>
      <c r="CM135" s="9">
        <f>CI135+CJ135+CK135+CL135</f>
        <v/>
      </c>
      <c r="CN135" s="8" t="n">
        <v>41</v>
      </c>
      <c r="CO135" s="8" t="n">
        <v>8</v>
      </c>
      <c r="CP135" s="8" t="n">
        <v>0</v>
      </c>
      <c r="CQ135" s="8" t="n">
        <v>0</v>
      </c>
      <c r="CR135" s="9">
        <f>CN135+CO135+CP135+CQ135</f>
        <v/>
      </c>
      <c r="CS135" s="9">
        <f>CM135+CR135</f>
        <v/>
      </c>
      <c r="CT135" s="8" t="n">
        <v>66</v>
      </c>
      <c r="CU135" s="8" t="n">
        <v>1258</v>
      </c>
      <c r="CV135" s="8" t="n">
        <v>1032</v>
      </c>
      <c r="CW135" s="10">
        <f>IF(CU135=0,"",CV135/CU135)</f>
        <v/>
      </c>
      <c r="CX135" s="8" t="n">
        <v>0</v>
      </c>
      <c r="CY135" s="8" t="n">
        <v>0</v>
      </c>
      <c r="CZ135" s="8" t="n">
        <v>0</v>
      </c>
      <c r="DA135" s="8" t="n">
        <v>0</v>
      </c>
      <c r="DB135" s="9">
        <f>CX135+CY135-CZ135-DA135</f>
        <v/>
      </c>
      <c r="DC135" s="8" t="n">
        <v>0</v>
      </c>
      <c r="DD135" s="8" t="n">
        <v>0</v>
      </c>
      <c r="DE135" s="8" t="n">
        <v>0</v>
      </c>
      <c r="DF135" s="8" t="n">
        <v>0</v>
      </c>
      <c r="DG135" s="9">
        <f>DC135+DD135-DE135-DF135</f>
        <v/>
      </c>
      <c r="DH135" s="8" t="n">
        <v>0</v>
      </c>
      <c r="DI135" s="8" t="n">
        <v>0</v>
      </c>
      <c r="DJ135" s="8" t="n">
        <v>0</v>
      </c>
      <c r="DK135" s="8" t="n">
        <v>0</v>
      </c>
      <c r="DL135" s="9">
        <f>DH135+DI135-DJ135-DK135</f>
        <v/>
      </c>
      <c r="DM135" s="8" t="n">
        <v>0</v>
      </c>
      <c r="DN135" s="8" t="n">
        <v>0</v>
      </c>
      <c r="DO135" s="8" t="n">
        <v>0</v>
      </c>
      <c r="DP135" s="8" t="n">
        <v>0</v>
      </c>
      <c r="DQ135" s="9">
        <f>DM135+DN135-DO135-DP135</f>
        <v/>
      </c>
      <c r="DR135" s="9">
        <f>CX135+DC135+DH135+DM135</f>
        <v/>
      </c>
      <c r="DS135" s="9">
        <f>CY135+DD135+DI135+DN135</f>
        <v/>
      </c>
      <c r="DT135" s="9">
        <f>CZ135+DE135+DJ135+DO135</f>
        <v/>
      </c>
      <c r="DU135" s="9">
        <f>DA135+DF135+DK135+DP135</f>
        <v/>
      </c>
      <c r="DV135" s="9">
        <f>DB135+DG135+DL135+DQ135</f>
        <v/>
      </c>
      <c r="DW135" s="8" t="n">
        <v>4</v>
      </c>
      <c r="DX135" s="8" t="n">
        <v>4</v>
      </c>
      <c r="DY135" s="8" t="n">
        <v>0</v>
      </c>
      <c r="DZ135" s="8" t="n">
        <v>0</v>
      </c>
      <c r="EA135" s="8" t="n">
        <v>0</v>
      </c>
      <c r="EB135" s="8" t="n">
        <v>0</v>
      </c>
      <c r="EC135" s="8" t="n">
        <v>0</v>
      </c>
      <c r="ED135" s="8" t="n">
        <v>0</v>
      </c>
      <c r="EE135" s="8" t="n">
        <v>0</v>
      </c>
      <c r="EF135" s="8" t="n">
        <v>0</v>
      </c>
      <c r="EG135" s="8" t="n">
        <v>0</v>
      </c>
      <c r="EH135" s="8" t="n">
        <v>0</v>
      </c>
      <c r="EI135" s="8" t="n">
        <v>0</v>
      </c>
      <c r="EJ135" s="8" t="n">
        <v>0</v>
      </c>
      <c r="EK135" s="8" t="n">
        <v>0</v>
      </c>
      <c r="EL135" s="8" t="n">
        <v>1</v>
      </c>
      <c r="EM135" s="8" t="n">
        <v>1</v>
      </c>
      <c r="EN135" s="8" t="n">
        <v>0</v>
      </c>
      <c r="EO135" s="8" t="n">
        <v>0</v>
      </c>
      <c r="EP135" s="8" t="n">
        <v>0</v>
      </c>
      <c r="EQ135" s="8" t="n">
        <v>0</v>
      </c>
      <c r="ER135" s="8" t="n">
        <v>0</v>
      </c>
      <c r="ES135" s="8" t="n">
        <v>0</v>
      </c>
      <c r="ET135" s="8" t="n">
        <v>0</v>
      </c>
      <c r="EU135" s="8" t="n">
        <v>0</v>
      </c>
      <c r="EV135" s="8" t="n">
        <v>0</v>
      </c>
      <c r="EW135" s="8" t="n">
        <v>0</v>
      </c>
      <c r="EX135" s="8" t="n">
        <v>0</v>
      </c>
      <c r="EY135" s="8" t="n">
        <v>0</v>
      </c>
      <c r="EZ135" s="8" t="n">
        <v>0</v>
      </c>
      <c r="FA135" s="8" t="n">
        <v>0</v>
      </c>
      <c r="FB135" s="8" t="n">
        <v>0</v>
      </c>
      <c r="FC135" s="8" t="n">
        <v>0</v>
      </c>
      <c r="FD135" s="8" t="n">
        <v>0</v>
      </c>
      <c r="FE135" s="8" t="n">
        <v>0</v>
      </c>
      <c r="FF135" s="8" t="n">
        <v>0</v>
      </c>
      <c r="FG135" s="9">
        <f>SUM(DW135,DX135,DY135,DZ135,EA135,EB135,EC135,ED135,EE135,EF135,EG135,EH135,EI135,EJ135,EK135,EL135,EM135,EN135,EO135,EP135,EQ135,ER135,ES135,ET135,EU135,EV135,EW135,EX135,EY135,EZ135,FA135,FB135,FC135,FD135,FE135,FF135)</f>
        <v/>
      </c>
      <c r="FH135" s="8" t="n">
        <v>4</v>
      </c>
      <c r="FI135" s="8" t="n">
        <v>18</v>
      </c>
      <c r="FJ135" s="8" t="n">
        <v>24</v>
      </c>
      <c r="FK135" s="8" t="n">
        <v>96</v>
      </c>
      <c r="FL135" s="8" t="n">
        <v>0</v>
      </c>
      <c r="FM135" s="8" t="n">
        <v>0</v>
      </c>
      <c r="FN135" s="8" t="n">
        <v>0</v>
      </c>
      <c r="FO135" s="8" t="n">
        <v>0</v>
      </c>
      <c r="FP135" s="8" t="n">
        <v>0</v>
      </c>
      <c r="FQ135" s="9">
        <f>FL135+FM135+FN135+FO135+FP135</f>
        <v/>
      </c>
      <c r="FR135" s="8" t="n">
        <v>0</v>
      </c>
      <c r="FS135" s="8" t="n">
        <v>0</v>
      </c>
      <c r="FT135" s="8" t="n">
        <v>0</v>
      </c>
      <c r="FU135" s="8" t="n">
        <v>0</v>
      </c>
      <c r="FV135" s="9">
        <f>FR135+FS135+FT135+FU135</f>
        <v/>
      </c>
      <c r="FW135" s="8" t="n">
        <v>299200</v>
      </c>
      <c r="FX135" s="8" t="n">
        <v>0</v>
      </c>
      <c r="FY135" s="8" t="n">
        <v>0</v>
      </c>
      <c r="FZ135" s="8" t="n">
        <v>20000</v>
      </c>
      <c r="GA135" s="9">
        <f>FW135+FX135+FY135+FZ135</f>
        <v/>
      </c>
      <c r="GB135" s="9">
        <f>FV135+GA135</f>
        <v/>
      </c>
      <c r="GC135" s="8" t="n">
        <v>319200</v>
      </c>
      <c r="GD135" s="8" t="n">
        <v>0</v>
      </c>
      <c r="GE135" s="8" t="n">
        <v>0</v>
      </c>
      <c r="GF135" s="8" t="n">
        <v>184676.71</v>
      </c>
      <c r="GG135" s="9">
        <f>GC135+GD135+GE135+GF135</f>
        <v/>
      </c>
      <c r="GH135" s="8" t="n">
        <v>0</v>
      </c>
      <c r="GI135" s="8" t="n">
        <v>0</v>
      </c>
      <c r="GJ135" s="8" t="n">
        <v>0</v>
      </c>
      <c r="GK135" s="8" t="n">
        <v>0</v>
      </c>
      <c r="GL135" s="9">
        <f>GH135+GI135+GJ135+GK135</f>
        <v/>
      </c>
      <c r="GM135" s="9">
        <f>GG135+GL135</f>
        <v/>
      </c>
      <c r="GN135" s="8" t="n">
        <v>0</v>
      </c>
      <c r="GO135" s="8" t="n">
        <v>0</v>
      </c>
      <c r="GP135" s="8" t="n">
        <v>0</v>
      </c>
      <c r="GQ135" s="8" t="n">
        <v>0</v>
      </c>
      <c r="GR135" s="9">
        <f>GN135+GO135+GP135+GQ135</f>
        <v/>
      </c>
      <c r="GS135" s="8" t="n">
        <v>0</v>
      </c>
      <c r="GT135" s="8" t="n">
        <v>0</v>
      </c>
      <c r="GU135" s="8" t="n">
        <v>0</v>
      </c>
      <c r="GV135" s="8" t="n">
        <v>0</v>
      </c>
      <c r="GW135" s="9">
        <f>GS135+GT135+GU135+GV135</f>
        <v/>
      </c>
      <c r="GX135" s="9">
        <f>GM135+GR135+GW135</f>
        <v/>
      </c>
      <c r="GY135" s="8" t="n">
        <v>2518673.28</v>
      </c>
      <c r="GZ135" s="8" t="n">
        <v>0</v>
      </c>
      <c r="HA135" s="9">
        <f>GY135+GZ135</f>
        <v/>
      </c>
      <c r="HB135" s="9">
        <f>IF(GX135=0,"",AU135/GX135)</f>
        <v/>
      </c>
      <c r="HC135" s="10">
        <f>IF((GX135+GY135)=0,"",GB135/(GX135+GY135))</f>
        <v/>
      </c>
      <c r="HD135" s="9">
        <f>IF(GX135=0,"",GB135/GX135)</f>
        <v/>
      </c>
      <c r="HE135" s="8" t="n">
        <v>0</v>
      </c>
      <c r="HF135" s="8" t="n">
        <v>0</v>
      </c>
      <c r="HG135" s="8" t="n">
        <v>0</v>
      </c>
      <c r="HH135" s="8" t="n">
        <v>0</v>
      </c>
      <c r="HI135" s="8" t="n">
        <v>0</v>
      </c>
      <c r="HJ135" s="9">
        <f>HF135+HI135</f>
        <v/>
      </c>
      <c r="HK135" s="10">
        <f>IF(HE135=0,"",HH135/HE135)</f>
        <v/>
      </c>
      <c r="HL135" s="8" t="n">
        <v>1</v>
      </c>
      <c r="HM135" s="8" t="n">
        <v>1</v>
      </c>
      <c r="HN135" s="11">
        <f>IF(HL135=0,"",HM135/HL135)</f>
        <v/>
      </c>
    </row>
    <row r="136">
      <c r="A136" s="12" t="inlineStr">
        <is>
          <t>Mulanje</t>
        </is>
      </c>
      <c r="B136" s="12" t="inlineStr">
        <is>
          <t>Mikolongwe</t>
        </is>
      </c>
      <c r="C136" s="13" t="inlineStr">
        <is>
          <t>FY2025/26</t>
        </is>
      </c>
      <c r="D136" s="13" t="n">
        <v>2025</v>
      </c>
      <c r="E136" s="13" t="n">
        <v>5</v>
      </c>
      <c r="F136" s="13" t="inlineStr">
        <is>
          <t>May</t>
        </is>
      </c>
      <c r="G136" s="13" t="inlineStr">
        <is>
          <t>Q1</t>
        </is>
      </c>
      <c r="H136" s="14" t="n">
        <v>823</v>
      </c>
      <c r="I136" s="14" t="n">
        <v>0</v>
      </c>
      <c r="J136" s="14" t="n">
        <v>0</v>
      </c>
      <c r="K136" s="14" t="n">
        <v>0</v>
      </c>
      <c r="L136" s="14" t="n">
        <v>0</v>
      </c>
      <c r="M136" s="15">
        <f>SUM(I136,J136,K136,L136)</f>
        <v/>
      </c>
      <c r="N136" s="14" t="n">
        <v>354</v>
      </c>
      <c r="O136" s="14" t="n">
        <v>0</v>
      </c>
      <c r="P136" s="14" t="n">
        <v>300</v>
      </c>
      <c r="Q136" s="14" t="n">
        <v>0</v>
      </c>
      <c r="R136" s="15">
        <f>SUM(N136,O136,P136,Q136)</f>
        <v/>
      </c>
      <c r="S136" s="15">
        <f>M136+R136</f>
        <v/>
      </c>
      <c r="T136" s="14" t="n">
        <v>169</v>
      </c>
      <c r="U136" s="16">
        <f>IF(H136=0,"",T136/H136)</f>
        <v/>
      </c>
      <c r="V136" s="14" t="n">
        <v>4</v>
      </c>
      <c r="W136" s="17">
        <f>IF(H136=0,"",V136/H136)</f>
        <v/>
      </c>
      <c r="X136" s="14" t="n">
        <v>0</v>
      </c>
      <c r="Y136" s="17">
        <f>IF(H136=0,"",X136/H136)</f>
        <v/>
      </c>
      <c r="Z136" s="14" t="n">
        <v>0</v>
      </c>
      <c r="AA136" s="17">
        <f>IF(H136=0,"",Z136/H136)</f>
        <v/>
      </c>
      <c r="AB136" s="14" t="n">
        <v>0</v>
      </c>
      <c r="AC136" s="17">
        <f>IF(H136=0,"",AB136/H136)</f>
        <v/>
      </c>
      <c r="AD136" s="14" t="n">
        <v>0</v>
      </c>
      <c r="AE136" s="17">
        <f>IF(H136=0,"",AD136/H136)</f>
        <v/>
      </c>
      <c r="AF136" s="14" t="n">
        <v>0</v>
      </c>
      <c r="AG136" s="17">
        <f>IF(H136=0,"",AF136/H136)</f>
        <v/>
      </c>
      <c r="AH136" s="14" t="n">
        <v>20446.68</v>
      </c>
      <c r="AI136" s="15">
        <f>IF(H136=0,"",AH136/H136)</f>
        <v/>
      </c>
      <c r="AJ136" s="14" t="n">
        <v>800</v>
      </c>
      <c r="AK136" s="17">
        <f>IF(H136=0,"",AJ136/H136)</f>
        <v/>
      </c>
      <c r="AL136" s="14" t="n">
        <v>127427.7</v>
      </c>
      <c r="AM136" s="15">
        <f>IF(H136=0,"",AL136/H136)</f>
        <v/>
      </c>
      <c r="AN136" s="14" t="n">
        <v>0</v>
      </c>
      <c r="AO136" s="14" t="n">
        <v>0</v>
      </c>
      <c r="AP136" s="14" t="n">
        <v>0</v>
      </c>
      <c r="AQ136" s="14" t="n">
        <v>0</v>
      </c>
      <c r="AR136" s="14" t="n">
        <v>0</v>
      </c>
      <c r="AS136" s="14" t="n">
        <v>203365.48</v>
      </c>
      <c r="AT136" s="14" t="n">
        <v>0</v>
      </c>
      <c r="AU136" s="15">
        <f>AH136+AL136+AP136+AQ136+AR136+AS136+AT136</f>
        <v/>
      </c>
      <c r="AV136" s="15">
        <f>IF(H136=0,"",AU136/H136)</f>
        <v/>
      </c>
      <c r="AW136" s="15">
        <f>IF(S136=0,"",AU136/S136)</f>
        <v/>
      </c>
      <c r="AX136" s="14" t="n">
        <v>0</v>
      </c>
      <c r="AY136" s="15">
        <f>IF(H136=0,"",AX136/(H136/1000/12))</f>
        <v/>
      </c>
      <c r="AZ136" s="14" t="n">
        <v>2</v>
      </c>
      <c r="BA136" s="14" t="n">
        <v>0</v>
      </c>
      <c r="BB136" s="14" t="n">
        <v>0</v>
      </c>
      <c r="BC136" s="14" t="n">
        <v>0</v>
      </c>
      <c r="BD136" s="14" t="n">
        <v>0</v>
      </c>
      <c r="BE136" s="15">
        <f>BC136+BD136</f>
        <v/>
      </c>
      <c r="BF136" s="15">
        <f>BA136+BB136-BE136</f>
        <v/>
      </c>
      <c r="BG136" s="14" t="n">
        <v>0</v>
      </c>
      <c r="BH136" s="14" t="n">
        <v>0</v>
      </c>
      <c r="BI136" s="14" t="n">
        <v>0</v>
      </c>
      <c r="BJ136" s="14" t="n">
        <v>0</v>
      </c>
      <c r="BK136" s="15">
        <f>BI136+BJ136</f>
        <v/>
      </c>
      <c r="BL136" s="15">
        <f>BG136+BH136-BK136</f>
        <v/>
      </c>
      <c r="BM136" s="14" t="n">
        <v>0</v>
      </c>
      <c r="BN136" s="14" t="n">
        <v>0</v>
      </c>
      <c r="BO136" s="14" t="n">
        <v>0</v>
      </c>
      <c r="BP136" s="14" t="n">
        <v>0</v>
      </c>
      <c r="BQ136" s="15">
        <f>BO136+BP136</f>
        <v/>
      </c>
      <c r="BR136" s="15">
        <f>BM136+BN136-BQ136</f>
        <v/>
      </c>
      <c r="BS136" s="14" t="n">
        <v>0</v>
      </c>
      <c r="BT136" s="14" t="n">
        <v>0</v>
      </c>
      <c r="BU136" s="14" t="n">
        <v>0</v>
      </c>
      <c r="BV136" s="14" t="n">
        <v>0</v>
      </c>
      <c r="BW136" s="15">
        <f>BU136+BV136</f>
        <v/>
      </c>
      <c r="BX136" s="15">
        <f>BS136+BT136-BW136</f>
        <v/>
      </c>
      <c r="BY136" s="15">
        <f>BA136+BG136+BM136+BS136</f>
        <v/>
      </c>
      <c r="BZ136" s="15">
        <f>BB136+BH136+BN136+BT136</f>
        <v/>
      </c>
      <c r="CA136" s="15">
        <f>BE136+BK136+BQ136+BW136</f>
        <v/>
      </c>
      <c r="CB136" s="15">
        <f>BF136+BL136+BR136+BX136</f>
        <v/>
      </c>
      <c r="CC136" s="14" t="n">
        <v>0</v>
      </c>
      <c r="CD136" s="14" t="n">
        <v>14</v>
      </c>
      <c r="CE136" s="14" t="n">
        <v>0</v>
      </c>
      <c r="CF136" s="14" t="n">
        <v>2</v>
      </c>
      <c r="CG136" s="14" t="n">
        <v>0</v>
      </c>
      <c r="CH136" s="15">
        <f>CD136+CE136+CF136+CG136</f>
        <v/>
      </c>
      <c r="CI136" s="14" t="n">
        <v>0</v>
      </c>
      <c r="CJ136" s="14" t="n">
        <v>0</v>
      </c>
      <c r="CK136" s="14" t="n">
        <v>0</v>
      </c>
      <c r="CL136" s="14" t="n">
        <v>0</v>
      </c>
      <c r="CM136" s="15">
        <f>CI136+CJ136+CK136+CL136</f>
        <v/>
      </c>
      <c r="CN136" s="14" t="n">
        <v>42</v>
      </c>
      <c r="CO136" s="14" t="n">
        <v>8</v>
      </c>
      <c r="CP136" s="14" t="n">
        <v>0</v>
      </c>
      <c r="CQ136" s="14" t="n">
        <v>0</v>
      </c>
      <c r="CR136" s="15">
        <f>CN136+CO136+CP136+CQ136</f>
        <v/>
      </c>
      <c r="CS136" s="15">
        <f>CM136+CR136</f>
        <v/>
      </c>
      <c r="CT136" s="14" t="n">
        <v>66</v>
      </c>
      <c r="CU136" s="14" t="n">
        <v>1258</v>
      </c>
      <c r="CV136" s="14" t="n">
        <v>1032</v>
      </c>
      <c r="CW136" s="16">
        <f>IF(CU136=0,"",CV136/CU136)</f>
        <v/>
      </c>
      <c r="CX136" s="14" t="n">
        <v>0</v>
      </c>
      <c r="CY136" s="14" t="n">
        <v>0</v>
      </c>
      <c r="CZ136" s="14" t="n">
        <v>0</v>
      </c>
      <c r="DA136" s="14" t="n">
        <v>0</v>
      </c>
      <c r="DB136" s="15">
        <f>CX136+CY136-CZ136-DA136</f>
        <v/>
      </c>
      <c r="DC136" s="14" t="n">
        <v>0</v>
      </c>
      <c r="DD136" s="14" t="n">
        <v>0</v>
      </c>
      <c r="DE136" s="14" t="n">
        <v>0</v>
      </c>
      <c r="DF136" s="14" t="n">
        <v>0</v>
      </c>
      <c r="DG136" s="15">
        <f>DC136+DD136-DE136-DF136</f>
        <v/>
      </c>
      <c r="DH136" s="14" t="n">
        <v>0</v>
      </c>
      <c r="DI136" s="14" t="n">
        <v>0</v>
      </c>
      <c r="DJ136" s="14" t="n">
        <v>0</v>
      </c>
      <c r="DK136" s="14" t="n">
        <v>0</v>
      </c>
      <c r="DL136" s="15">
        <f>DH136+DI136-DJ136-DK136</f>
        <v/>
      </c>
      <c r="DM136" s="14" t="n">
        <v>0</v>
      </c>
      <c r="DN136" s="14" t="n">
        <v>0</v>
      </c>
      <c r="DO136" s="14" t="n">
        <v>0</v>
      </c>
      <c r="DP136" s="14" t="n">
        <v>0</v>
      </c>
      <c r="DQ136" s="15">
        <f>DM136+DN136-DO136-DP136</f>
        <v/>
      </c>
      <c r="DR136" s="15">
        <f>CX136+DC136+DH136+DM136</f>
        <v/>
      </c>
      <c r="DS136" s="15">
        <f>CY136+DD136+DI136+DN136</f>
        <v/>
      </c>
      <c r="DT136" s="15">
        <f>CZ136+DE136+DJ136+DO136</f>
        <v/>
      </c>
      <c r="DU136" s="15">
        <f>DA136+DF136+DK136+DP136</f>
        <v/>
      </c>
      <c r="DV136" s="15">
        <f>DB136+DG136+DL136+DQ136</f>
        <v/>
      </c>
      <c r="DW136" s="14" t="n">
        <v>1</v>
      </c>
      <c r="DX136" s="14" t="n">
        <v>1</v>
      </c>
      <c r="DY136" s="14" t="n">
        <v>0</v>
      </c>
      <c r="DZ136" s="14" t="n">
        <v>0</v>
      </c>
      <c r="EA136" s="14" t="n">
        <v>0</v>
      </c>
      <c r="EB136" s="14" t="n">
        <v>1</v>
      </c>
      <c r="EC136" s="14" t="n">
        <v>0</v>
      </c>
      <c r="ED136" s="14" t="n">
        <v>0</v>
      </c>
      <c r="EE136" s="14" t="n">
        <v>0</v>
      </c>
      <c r="EF136" s="14" t="n">
        <v>0</v>
      </c>
      <c r="EG136" s="14" t="n">
        <v>0</v>
      </c>
      <c r="EH136" s="14" t="n">
        <v>0</v>
      </c>
      <c r="EI136" s="14" t="n">
        <v>0</v>
      </c>
      <c r="EJ136" s="14" t="n">
        <v>0</v>
      </c>
      <c r="EK136" s="14" t="n">
        <v>0</v>
      </c>
      <c r="EL136" s="14" t="n">
        <v>0</v>
      </c>
      <c r="EM136" s="14" t="n">
        <v>0</v>
      </c>
      <c r="EN136" s="14" t="n">
        <v>0</v>
      </c>
      <c r="EO136" s="14" t="n">
        <v>0</v>
      </c>
      <c r="EP136" s="14" t="n">
        <v>0</v>
      </c>
      <c r="EQ136" s="14" t="n">
        <v>0</v>
      </c>
      <c r="ER136" s="14" t="n">
        <v>0</v>
      </c>
      <c r="ES136" s="14" t="n">
        <v>0</v>
      </c>
      <c r="ET136" s="14" t="n">
        <v>0</v>
      </c>
      <c r="EU136" s="14" t="n">
        <v>0</v>
      </c>
      <c r="EV136" s="14" t="n">
        <v>0</v>
      </c>
      <c r="EW136" s="14" t="n">
        <v>0</v>
      </c>
      <c r="EX136" s="14" t="n">
        <v>0</v>
      </c>
      <c r="EY136" s="14" t="n">
        <v>0</v>
      </c>
      <c r="EZ136" s="14" t="n">
        <v>0</v>
      </c>
      <c r="FA136" s="14" t="n">
        <v>0</v>
      </c>
      <c r="FB136" s="14" t="n">
        <v>0</v>
      </c>
      <c r="FC136" s="14" t="n">
        <v>0</v>
      </c>
      <c r="FD136" s="14" t="n">
        <v>0</v>
      </c>
      <c r="FE136" s="14" t="n">
        <v>0</v>
      </c>
      <c r="FF136" s="14" t="n">
        <v>0</v>
      </c>
      <c r="FG136" s="15">
        <f>SUM(DW136,DX136,DY136,DZ136,EA136,EB136,EC136,ED136,EE136,EF136,EG136,EH136,EI136,EJ136,EK136,EL136,EM136,EN136,EO136,EP136,EQ136,ER136,ES136,ET136,EU136,EV136,EW136,EX136,EY136,EZ136,FA136,FB136,FC136,FD136,FE136,FF136)</f>
        <v/>
      </c>
      <c r="FH136" s="14" t="n">
        <v>3</v>
      </c>
      <c r="FI136" s="14" t="n">
        <v>24</v>
      </c>
      <c r="FJ136" s="14" t="n">
        <v>24</v>
      </c>
      <c r="FK136" s="14" t="n">
        <v>72</v>
      </c>
      <c r="FL136" s="14" t="n">
        <v>0</v>
      </c>
      <c r="FM136" s="14" t="n">
        <v>0</v>
      </c>
      <c r="FN136" s="14" t="n">
        <v>0</v>
      </c>
      <c r="FO136" s="14" t="n">
        <v>0</v>
      </c>
      <c r="FP136" s="14" t="n">
        <v>0</v>
      </c>
      <c r="FQ136" s="15">
        <f>FL136+FM136+FN136+FO136+FP136</f>
        <v/>
      </c>
      <c r="FR136" s="14" t="n">
        <v>0</v>
      </c>
      <c r="FS136" s="14" t="n">
        <v>0</v>
      </c>
      <c r="FT136" s="14" t="n">
        <v>0</v>
      </c>
      <c r="FU136" s="14" t="n">
        <v>0</v>
      </c>
      <c r="FV136" s="15">
        <f>FR136+FS136+FT136+FU136</f>
        <v/>
      </c>
      <c r="FW136" s="14" t="n">
        <v>201980</v>
      </c>
      <c r="FX136" s="14" t="n">
        <v>0</v>
      </c>
      <c r="FY136" s="14" t="n">
        <v>0</v>
      </c>
      <c r="FZ136" s="14" t="n">
        <v>0</v>
      </c>
      <c r="GA136" s="15">
        <f>FW136+FX136+FY136+FZ136</f>
        <v/>
      </c>
      <c r="GB136" s="15">
        <f>FV136+GA136</f>
        <v/>
      </c>
      <c r="GC136" s="14" t="n">
        <v>0</v>
      </c>
      <c r="GD136" s="14" t="n">
        <v>0</v>
      </c>
      <c r="GE136" s="14" t="n">
        <v>0</v>
      </c>
      <c r="GF136" s="14" t="n">
        <v>0</v>
      </c>
      <c r="GG136" s="15">
        <f>GC136+GD136+GE136+GF136</f>
        <v/>
      </c>
      <c r="GH136" s="14" t="n">
        <v>0</v>
      </c>
      <c r="GI136" s="14" t="n">
        <v>0</v>
      </c>
      <c r="GJ136" s="14" t="n">
        <v>0</v>
      </c>
      <c r="GK136" s="14" t="n">
        <v>0</v>
      </c>
      <c r="GL136" s="15">
        <f>GH136+GI136+GJ136+GK136</f>
        <v/>
      </c>
      <c r="GM136" s="15">
        <f>GG136+GL136</f>
        <v/>
      </c>
      <c r="GN136" s="14" t="n">
        <v>0</v>
      </c>
      <c r="GO136" s="14" t="n">
        <v>0</v>
      </c>
      <c r="GP136" s="14" t="n">
        <v>0</v>
      </c>
      <c r="GQ136" s="14" t="n">
        <v>0</v>
      </c>
      <c r="GR136" s="15">
        <f>GN136+GO136+GP136+GQ136</f>
        <v/>
      </c>
      <c r="GS136" s="14" t="n">
        <v>0</v>
      </c>
      <c r="GT136" s="14" t="n">
        <v>0</v>
      </c>
      <c r="GU136" s="14" t="n">
        <v>0</v>
      </c>
      <c r="GV136" s="14" t="n">
        <v>0</v>
      </c>
      <c r="GW136" s="15">
        <f>GS136+GT136+GU136+GV136</f>
        <v/>
      </c>
      <c r="GX136" s="15">
        <f>GM136+GR136+GW136</f>
        <v/>
      </c>
      <c r="GY136" s="14" t="n">
        <v>2518673.28</v>
      </c>
      <c r="GZ136" s="14" t="n">
        <v>0</v>
      </c>
      <c r="HA136" s="15">
        <f>GY136+GZ136</f>
        <v/>
      </c>
      <c r="HB136" s="15">
        <f>IF(GX136=0,"",AU136/GX136)</f>
        <v/>
      </c>
      <c r="HC136" s="16">
        <f>IF((GX136+GY136)=0,"",GB136/(GX136+GY136))</f>
        <v/>
      </c>
      <c r="HD136" s="15">
        <f>IF(GX136=0,"",GB136/GX136)</f>
        <v/>
      </c>
      <c r="HE136" s="14" t="n">
        <v>0</v>
      </c>
      <c r="HF136" s="14" t="n">
        <v>0</v>
      </c>
      <c r="HG136" s="14" t="n">
        <v>0</v>
      </c>
      <c r="HH136" s="14" t="n">
        <v>0</v>
      </c>
      <c r="HI136" s="14" t="n">
        <v>0</v>
      </c>
      <c r="HJ136" s="15">
        <f>HF136+HI136</f>
        <v/>
      </c>
      <c r="HK136" s="16">
        <f>IF(HE136=0,"",HH136/HE136)</f>
        <v/>
      </c>
      <c r="HL136" s="14" t="n">
        <v>2</v>
      </c>
      <c r="HM136" s="14" t="n">
        <v>1</v>
      </c>
      <c r="HN136" s="17">
        <f>IF(HL136=0,"",HM136/HL136)</f>
        <v/>
      </c>
    </row>
    <row r="137">
      <c r="A137" s="6" t="inlineStr">
        <is>
          <t>Mulanje</t>
        </is>
      </c>
      <c r="B137" s="6" t="inlineStr">
        <is>
          <t>Mikolongwe</t>
        </is>
      </c>
      <c r="C137" s="7" t="inlineStr">
        <is>
          <t>FY2025/26</t>
        </is>
      </c>
      <c r="D137" s="7" t="n">
        <v>2025</v>
      </c>
      <c r="E137" s="7" t="n">
        <v>6</v>
      </c>
      <c r="F137" s="7" t="inlineStr">
        <is>
          <t>June</t>
        </is>
      </c>
      <c r="G137" s="7" t="inlineStr">
        <is>
          <t>Q1</t>
        </is>
      </c>
      <c r="H137" s="8" t="n">
        <v>867</v>
      </c>
      <c r="I137" s="8" t="n">
        <v>0</v>
      </c>
      <c r="J137" s="8" t="n">
        <v>0</v>
      </c>
      <c r="K137" s="8" t="n">
        <v>0</v>
      </c>
      <c r="L137" s="8" t="n">
        <v>0</v>
      </c>
      <c r="M137" s="9">
        <f>SUM(I137,J137,K137,L137)</f>
        <v/>
      </c>
      <c r="N137" s="8" t="n">
        <v>307</v>
      </c>
      <c r="O137" s="8" t="n">
        <v>0</v>
      </c>
      <c r="P137" s="8" t="n">
        <v>354</v>
      </c>
      <c r="Q137" s="8" t="n">
        <v>0</v>
      </c>
      <c r="R137" s="9">
        <f>SUM(N137,O137,P137,Q137)</f>
        <v/>
      </c>
      <c r="S137" s="9">
        <f>M137+R137</f>
        <v/>
      </c>
      <c r="T137" s="8" t="n">
        <v>206</v>
      </c>
      <c r="U137" s="10">
        <f>IF(H137=0,"",T137/H137)</f>
        <v/>
      </c>
      <c r="V137" s="8" t="n">
        <v>4</v>
      </c>
      <c r="W137" s="11">
        <f>IF(H137=0,"",V137/H137)</f>
        <v/>
      </c>
      <c r="X137" s="8" t="n">
        <v>0</v>
      </c>
      <c r="Y137" s="11">
        <f>IF(H137=0,"",X137/H137)</f>
        <v/>
      </c>
      <c r="Z137" s="8" t="n">
        <v>0</v>
      </c>
      <c r="AA137" s="11">
        <f>IF(H137=0,"",Z137/H137)</f>
        <v/>
      </c>
      <c r="AB137" s="8" t="n">
        <v>0</v>
      </c>
      <c r="AC137" s="11">
        <f>IF(H137=0,"",AB137/H137)</f>
        <v/>
      </c>
      <c r="AD137" s="8" t="n">
        <v>0</v>
      </c>
      <c r="AE137" s="11">
        <f>IF(H137=0,"",AD137/H137)</f>
        <v/>
      </c>
      <c r="AF137" s="8" t="n">
        <v>0</v>
      </c>
      <c r="AG137" s="11">
        <f>IF(H137=0,"",AF137/H137)</f>
        <v/>
      </c>
      <c r="AH137" s="8" t="n">
        <v>20446.68</v>
      </c>
      <c r="AI137" s="9">
        <f>IF(H137=0,"",AH137/H137)</f>
        <v/>
      </c>
      <c r="AJ137" s="8" t="n">
        <v>850</v>
      </c>
      <c r="AK137" s="11">
        <f>IF(H137=0,"",AJ137/H137)</f>
        <v/>
      </c>
      <c r="AL137" s="8" t="n">
        <v>134365.275</v>
      </c>
      <c r="AM137" s="9">
        <f>IF(H137=0,"",AL137/H137)</f>
        <v/>
      </c>
      <c r="AN137" s="8" t="n">
        <v>0</v>
      </c>
      <c r="AO137" s="8" t="n">
        <v>0</v>
      </c>
      <c r="AP137" s="8" t="n">
        <v>0</v>
      </c>
      <c r="AQ137" s="8" t="n">
        <v>0</v>
      </c>
      <c r="AR137" s="8" t="n">
        <v>0</v>
      </c>
      <c r="AS137" s="8" t="n">
        <v>300461.92</v>
      </c>
      <c r="AT137" s="8" t="n">
        <v>0</v>
      </c>
      <c r="AU137" s="9">
        <f>AH137+AL137+AP137+AQ137+AR137+AS137+AT137</f>
        <v/>
      </c>
      <c r="AV137" s="9">
        <f>IF(H137=0,"",AU137/H137)</f>
        <v/>
      </c>
      <c r="AW137" s="9">
        <f>IF(S137=0,"",AU137/S137)</f>
        <v/>
      </c>
      <c r="AX137" s="8" t="n">
        <v>0</v>
      </c>
      <c r="AY137" s="9">
        <f>IF(H137=0,"",AX137/(H137/1000/12))</f>
        <v/>
      </c>
      <c r="AZ137" s="8" t="n">
        <v>2</v>
      </c>
      <c r="BA137" s="8" t="n">
        <v>0</v>
      </c>
      <c r="BB137" s="8" t="n">
        <v>0</v>
      </c>
      <c r="BC137" s="8" t="n">
        <v>0</v>
      </c>
      <c r="BD137" s="8" t="n">
        <v>0</v>
      </c>
      <c r="BE137" s="9">
        <f>BC137+BD137</f>
        <v/>
      </c>
      <c r="BF137" s="9">
        <f>BA137+BB137-BE137</f>
        <v/>
      </c>
      <c r="BG137" s="8" t="n">
        <v>0</v>
      </c>
      <c r="BH137" s="8" t="n">
        <v>0</v>
      </c>
      <c r="BI137" s="8" t="n">
        <v>0</v>
      </c>
      <c r="BJ137" s="8" t="n">
        <v>0</v>
      </c>
      <c r="BK137" s="9">
        <f>BI137+BJ137</f>
        <v/>
      </c>
      <c r="BL137" s="9">
        <f>BG137+BH137-BK137</f>
        <v/>
      </c>
      <c r="BM137" s="8" t="n">
        <v>0</v>
      </c>
      <c r="BN137" s="8" t="n">
        <v>0</v>
      </c>
      <c r="BO137" s="8" t="n">
        <v>0</v>
      </c>
      <c r="BP137" s="8" t="n">
        <v>0</v>
      </c>
      <c r="BQ137" s="9">
        <f>BO137+BP137</f>
        <v/>
      </c>
      <c r="BR137" s="9">
        <f>BM137+BN137-BQ137</f>
        <v/>
      </c>
      <c r="BS137" s="8" t="n">
        <v>0</v>
      </c>
      <c r="BT137" s="8" t="n">
        <v>0</v>
      </c>
      <c r="BU137" s="8" t="n">
        <v>0</v>
      </c>
      <c r="BV137" s="8" t="n">
        <v>0</v>
      </c>
      <c r="BW137" s="9">
        <f>BU137+BV137</f>
        <v/>
      </c>
      <c r="BX137" s="9">
        <f>BS137+BT137-BW137</f>
        <v/>
      </c>
      <c r="BY137" s="9">
        <f>BA137+BG137+BM137+BS137</f>
        <v/>
      </c>
      <c r="BZ137" s="9">
        <f>BB137+BH137+BN137+BT137</f>
        <v/>
      </c>
      <c r="CA137" s="9">
        <f>BE137+BK137+BQ137+BW137</f>
        <v/>
      </c>
      <c r="CB137" s="9">
        <f>BF137+BL137+BR137+BX137</f>
        <v/>
      </c>
      <c r="CC137" s="8" t="n">
        <v>0</v>
      </c>
      <c r="CD137" s="8" t="n">
        <v>14</v>
      </c>
      <c r="CE137" s="8" t="n">
        <v>0</v>
      </c>
      <c r="CF137" s="8" t="n">
        <v>2</v>
      </c>
      <c r="CG137" s="8" t="n">
        <v>0</v>
      </c>
      <c r="CH137" s="9">
        <f>CD137+CE137+CF137+CG137</f>
        <v/>
      </c>
      <c r="CI137" s="8" t="n">
        <v>0</v>
      </c>
      <c r="CJ137" s="8" t="n">
        <v>0</v>
      </c>
      <c r="CK137" s="8" t="n">
        <v>0</v>
      </c>
      <c r="CL137" s="8" t="n">
        <v>0</v>
      </c>
      <c r="CM137" s="9">
        <f>CI137+CJ137+CK137+CL137</f>
        <v/>
      </c>
      <c r="CN137" s="8" t="n">
        <v>42</v>
      </c>
      <c r="CO137" s="8" t="n">
        <v>8</v>
      </c>
      <c r="CP137" s="8" t="n">
        <v>0</v>
      </c>
      <c r="CQ137" s="8" t="n">
        <v>0</v>
      </c>
      <c r="CR137" s="9">
        <f>CN137+CO137+CP137+CQ137</f>
        <v/>
      </c>
      <c r="CS137" s="9">
        <f>CM137+CR137</f>
        <v/>
      </c>
      <c r="CT137" s="8" t="n">
        <v>66</v>
      </c>
      <c r="CU137" s="8" t="n">
        <v>1258</v>
      </c>
      <c r="CV137" s="8" t="n">
        <v>1032</v>
      </c>
      <c r="CW137" s="10">
        <f>IF(CU137=0,"",CV137/CU137)</f>
        <v/>
      </c>
      <c r="CX137" s="8" t="n">
        <v>0</v>
      </c>
      <c r="CY137" s="8" t="n">
        <v>0</v>
      </c>
      <c r="CZ137" s="8" t="n">
        <v>0</v>
      </c>
      <c r="DA137" s="8" t="n">
        <v>0</v>
      </c>
      <c r="DB137" s="9">
        <f>CX137+CY137-CZ137-DA137</f>
        <v/>
      </c>
      <c r="DC137" s="8" t="n">
        <v>0</v>
      </c>
      <c r="DD137" s="8" t="n">
        <v>0</v>
      </c>
      <c r="DE137" s="8" t="n">
        <v>0</v>
      </c>
      <c r="DF137" s="8" t="n">
        <v>0</v>
      </c>
      <c r="DG137" s="9">
        <f>DC137+DD137-DE137-DF137</f>
        <v/>
      </c>
      <c r="DH137" s="8" t="n">
        <v>0</v>
      </c>
      <c r="DI137" s="8" t="n">
        <v>0</v>
      </c>
      <c r="DJ137" s="8" t="n">
        <v>0</v>
      </c>
      <c r="DK137" s="8" t="n">
        <v>0</v>
      </c>
      <c r="DL137" s="9">
        <f>DH137+DI137-DJ137-DK137</f>
        <v/>
      </c>
      <c r="DM137" s="8" t="n">
        <v>0</v>
      </c>
      <c r="DN137" s="8" t="n">
        <v>0</v>
      </c>
      <c r="DO137" s="8" t="n">
        <v>0</v>
      </c>
      <c r="DP137" s="8" t="n">
        <v>0</v>
      </c>
      <c r="DQ137" s="9">
        <f>DM137+DN137-DO137-DP137</f>
        <v/>
      </c>
      <c r="DR137" s="9">
        <f>CX137+DC137+DH137+DM137</f>
        <v/>
      </c>
      <c r="DS137" s="9">
        <f>CY137+DD137+DI137+DN137</f>
        <v/>
      </c>
      <c r="DT137" s="9">
        <f>CZ137+DE137+DJ137+DO137</f>
        <v/>
      </c>
      <c r="DU137" s="9">
        <f>DA137+DF137+DK137+DP137</f>
        <v/>
      </c>
      <c r="DV137" s="9">
        <f>DB137+DG137+DL137+DQ137</f>
        <v/>
      </c>
      <c r="DW137" s="8" t="n">
        <v>4</v>
      </c>
      <c r="DX137" s="8" t="n">
        <v>4</v>
      </c>
      <c r="DY137" s="8" t="n">
        <v>0</v>
      </c>
      <c r="DZ137" s="8" t="n">
        <v>0</v>
      </c>
      <c r="EA137" s="8" t="n">
        <v>0</v>
      </c>
      <c r="EB137" s="8" t="n">
        <v>0</v>
      </c>
      <c r="EC137" s="8" t="n">
        <v>0</v>
      </c>
      <c r="ED137" s="8" t="n">
        <v>0</v>
      </c>
      <c r="EE137" s="8" t="n">
        <v>0</v>
      </c>
      <c r="EF137" s="8" t="n">
        <v>0</v>
      </c>
      <c r="EG137" s="8" t="n">
        <v>0</v>
      </c>
      <c r="EH137" s="8" t="n">
        <v>0</v>
      </c>
      <c r="EI137" s="8" t="n">
        <v>0</v>
      </c>
      <c r="EJ137" s="8" t="n">
        <v>2</v>
      </c>
      <c r="EK137" s="8" t="n">
        <v>2</v>
      </c>
      <c r="EL137" s="8" t="n">
        <v>0</v>
      </c>
      <c r="EM137" s="8" t="n">
        <v>0</v>
      </c>
      <c r="EN137" s="8" t="n">
        <v>0</v>
      </c>
      <c r="EO137" s="8" t="n">
        <v>0</v>
      </c>
      <c r="EP137" s="8" t="n">
        <v>0</v>
      </c>
      <c r="EQ137" s="8" t="n">
        <v>0</v>
      </c>
      <c r="ER137" s="8" t="n">
        <v>0</v>
      </c>
      <c r="ES137" s="8" t="n">
        <v>0</v>
      </c>
      <c r="ET137" s="8" t="n">
        <v>0</v>
      </c>
      <c r="EU137" s="8" t="n">
        <v>0</v>
      </c>
      <c r="EV137" s="8" t="n">
        <v>0</v>
      </c>
      <c r="EW137" s="8" t="n">
        <v>0</v>
      </c>
      <c r="EX137" s="8" t="n">
        <v>0</v>
      </c>
      <c r="EY137" s="8" t="n">
        <v>0</v>
      </c>
      <c r="EZ137" s="8" t="n">
        <v>0</v>
      </c>
      <c r="FA137" s="8" t="n">
        <v>0</v>
      </c>
      <c r="FB137" s="8" t="n">
        <v>0</v>
      </c>
      <c r="FC137" s="8" t="n">
        <v>0</v>
      </c>
      <c r="FD137" s="8" t="n">
        <v>0</v>
      </c>
      <c r="FE137" s="8" t="n">
        <v>0</v>
      </c>
      <c r="FF137" s="8" t="n">
        <v>0</v>
      </c>
      <c r="FG137" s="9">
        <f>SUM(DW137,DX137,DY137,DZ137,EA137,EB137,EC137,ED137,EE137,EF137,EG137,EH137,EI137,EJ137,EK137,EL137,EM137,EN137,EO137,EP137,EQ137,ER137,ES137,ET137,EU137,EV137,EW137,EX137,EY137,EZ137,FA137,FB137,FC137,FD137,FE137,FF137)</f>
        <v/>
      </c>
      <c r="FH137" s="8" t="n">
        <v>6</v>
      </c>
      <c r="FI137" s="8" t="n">
        <v>5</v>
      </c>
      <c r="FJ137" s="8" t="n">
        <v>24</v>
      </c>
      <c r="FK137" s="8" t="n">
        <v>48</v>
      </c>
      <c r="FL137" s="8" t="n">
        <v>0</v>
      </c>
      <c r="FM137" s="8" t="n">
        <v>0</v>
      </c>
      <c r="FN137" s="8" t="n">
        <v>0</v>
      </c>
      <c r="FO137" s="8" t="n">
        <v>0</v>
      </c>
      <c r="FP137" s="8" t="n">
        <v>0</v>
      </c>
      <c r="FQ137" s="9">
        <f>FL137+FM137+FN137+FO137+FP137</f>
        <v/>
      </c>
      <c r="FR137" s="8" t="n">
        <v>0</v>
      </c>
      <c r="FS137" s="8" t="n">
        <v>0</v>
      </c>
      <c r="FT137" s="8" t="n">
        <v>0</v>
      </c>
      <c r="FU137" s="8" t="n">
        <v>0</v>
      </c>
      <c r="FV137" s="9">
        <f>FR137+FS137+FT137+FU137</f>
        <v/>
      </c>
      <c r="FW137" s="8" t="n">
        <v>13700</v>
      </c>
      <c r="FX137" s="8" t="n">
        <v>0</v>
      </c>
      <c r="FY137" s="8" t="n">
        <v>0</v>
      </c>
      <c r="FZ137" s="8" t="n">
        <v>0</v>
      </c>
      <c r="GA137" s="9">
        <f>FW137+FX137+FY137+FZ137</f>
        <v/>
      </c>
      <c r="GB137" s="9">
        <f>FV137+GA137</f>
        <v/>
      </c>
      <c r="GC137" s="8" t="n">
        <v>0</v>
      </c>
      <c r="GD137" s="8" t="n">
        <v>0</v>
      </c>
      <c r="GE137" s="8" t="n">
        <v>0</v>
      </c>
      <c r="GF137" s="8" t="n">
        <v>0</v>
      </c>
      <c r="GG137" s="9">
        <f>GC137+GD137+GE137+GF137</f>
        <v/>
      </c>
      <c r="GH137" s="8" t="n">
        <v>0</v>
      </c>
      <c r="GI137" s="8" t="n">
        <v>0</v>
      </c>
      <c r="GJ137" s="8" t="n">
        <v>0</v>
      </c>
      <c r="GK137" s="8" t="n">
        <v>0</v>
      </c>
      <c r="GL137" s="9">
        <f>GH137+GI137+GJ137+GK137</f>
        <v/>
      </c>
      <c r="GM137" s="9">
        <f>GG137+GL137</f>
        <v/>
      </c>
      <c r="GN137" s="8" t="n">
        <v>0</v>
      </c>
      <c r="GO137" s="8" t="n">
        <v>0</v>
      </c>
      <c r="GP137" s="8" t="n">
        <v>0</v>
      </c>
      <c r="GQ137" s="8" t="n">
        <v>0</v>
      </c>
      <c r="GR137" s="9">
        <f>GN137+GO137+GP137+GQ137</f>
        <v/>
      </c>
      <c r="GS137" s="8" t="n">
        <v>0</v>
      </c>
      <c r="GT137" s="8" t="n">
        <v>0</v>
      </c>
      <c r="GU137" s="8" t="n">
        <v>0</v>
      </c>
      <c r="GV137" s="8" t="n">
        <v>0</v>
      </c>
      <c r="GW137" s="9">
        <f>GS137+GT137+GU137+GV137</f>
        <v/>
      </c>
      <c r="GX137" s="9">
        <f>GM137+GR137+GW137</f>
        <v/>
      </c>
      <c r="GY137" s="8" t="n">
        <v>2518673.28</v>
      </c>
      <c r="GZ137" s="8" t="n">
        <v>0</v>
      </c>
      <c r="HA137" s="9">
        <f>GY137+GZ137</f>
        <v/>
      </c>
      <c r="HB137" s="9">
        <f>IF(GX137=0,"",AU137/GX137)</f>
        <v/>
      </c>
      <c r="HC137" s="10">
        <f>IF((GX137+GY137)=0,"",GB137/(GX137+GY137))</f>
        <v/>
      </c>
      <c r="HD137" s="9">
        <f>IF(GX137=0,"",GB137/GX137)</f>
        <v/>
      </c>
      <c r="HE137" s="8" t="n">
        <v>0</v>
      </c>
      <c r="HF137" s="8" t="n">
        <v>0</v>
      </c>
      <c r="HG137" s="8" t="n">
        <v>0</v>
      </c>
      <c r="HH137" s="8" t="n">
        <v>0</v>
      </c>
      <c r="HI137" s="8" t="n">
        <v>0</v>
      </c>
      <c r="HJ137" s="9">
        <f>HF137+HI137</f>
        <v/>
      </c>
      <c r="HK137" s="10">
        <f>IF(HE137=0,"",HH137/HE137)</f>
        <v/>
      </c>
      <c r="HL137" s="8" t="n">
        <v>3</v>
      </c>
      <c r="HM137" s="8" t="n">
        <v>1</v>
      </c>
      <c r="HN137" s="11">
        <f>IF(HL137=0,"",HM137/HL137)</f>
        <v/>
      </c>
    </row>
    <row r="138">
      <c r="A138" s="12" t="inlineStr">
        <is>
          <t>Mulanje</t>
        </is>
      </c>
      <c r="B138" s="12" t="inlineStr">
        <is>
          <t>Mikolongwe</t>
        </is>
      </c>
      <c r="C138" s="13" t="inlineStr">
        <is>
          <t>FY2025/26</t>
        </is>
      </c>
      <c r="D138" s="13" t="n">
        <v>2025</v>
      </c>
      <c r="E138" s="13" t="n">
        <v>7</v>
      </c>
      <c r="F138" s="13" t="inlineStr">
        <is>
          <t>July</t>
        </is>
      </c>
      <c r="G138" s="13" t="inlineStr">
        <is>
          <t>Q2</t>
        </is>
      </c>
      <c r="H138" s="14" t="n">
        <v>1042</v>
      </c>
      <c r="I138" s="14" t="n">
        <v>0</v>
      </c>
      <c r="J138" s="14" t="n">
        <v>0</v>
      </c>
      <c r="K138" s="14" t="n">
        <v>0</v>
      </c>
      <c r="L138" s="14" t="n">
        <v>0</v>
      </c>
      <c r="M138" s="15">
        <f>SUM(I138,J138,K138,L138)</f>
        <v/>
      </c>
      <c r="N138" s="14" t="n">
        <v>389</v>
      </c>
      <c r="O138" s="14" t="n">
        <v>0</v>
      </c>
      <c r="P138" s="14" t="n">
        <v>498</v>
      </c>
      <c r="Q138" s="14" t="n">
        <v>0</v>
      </c>
      <c r="R138" s="15">
        <f>SUM(N138,O138,P138,Q138)</f>
        <v/>
      </c>
      <c r="S138" s="15">
        <f>M138+R138</f>
        <v/>
      </c>
      <c r="T138" s="14" t="n">
        <v>155</v>
      </c>
      <c r="U138" s="16">
        <f>IF(H138=0,"",T138/H138)</f>
        <v/>
      </c>
      <c r="V138" s="14" t="n">
        <v>5</v>
      </c>
      <c r="W138" s="17">
        <f>IF(H138=0,"",V138/H138)</f>
        <v/>
      </c>
      <c r="X138" s="14" t="n">
        <v>0</v>
      </c>
      <c r="Y138" s="17">
        <f>IF(H138=0,"",X138/H138)</f>
        <v/>
      </c>
      <c r="Z138" s="14" t="n">
        <v>0</v>
      </c>
      <c r="AA138" s="17">
        <f>IF(H138=0,"",Z138/H138)</f>
        <v/>
      </c>
      <c r="AB138" s="14" t="n">
        <v>0</v>
      </c>
      <c r="AC138" s="17">
        <f>IF(H138=0,"",AB138/H138)</f>
        <v/>
      </c>
      <c r="AD138" s="14" t="n">
        <v>0</v>
      </c>
      <c r="AE138" s="17">
        <f>IF(H138=0,"",AD138/H138)</f>
        <v/>
      </c>
      <c r="AF138" s="14" t="n">
        <v>0</v>
      </c>
      <c r="AG138" s="17">
        <f>IF(H138=0,"",AF138/H138)</f>
        <v/>
      </c>
      <c r="AH138" s="14" t="n">
        <v>25558.35</v>
      </c>
      <c r="AI138" s="15">
        <f>IF(H138=0,"",AH138/H138)</f>
        <v/>
      </c>
      <c r="AJ138" s="14" t="n">
        <v>765</v>
      </c>
      <c r="AK138" s="17">
        <f>IF(H138=0,"",AJ138/H138)</f>
        <v/>
      </c>
      <c r="AL138" s="14" t="n">
        <v>122571.3975</v>
      </c>
      <c r="AM138" s="15">
        <f>IF(H138=0,"",AL138/H138)</f>
        <v/>
      </c>
      <c r="AN138" s="14" t="n">
        <v>0</v>
      </c>
      <c r="AO138" s="14" t="n">
        <v>0</v>
      </c>
      <c r="AP138" s="14" t="n">
        <v>0</v>
      </c>
      <c r="AQ138" s="14" t="n">
        <v>0</v>
      </c>
      <c r="AR138" s="14" t="n">
        <v>0</v>
      </c>
      <c r="AS138" s="14" t="n">
        <v>290769.6</v>
      </c>
      <c r="AT138" s="14" t="n">
        <v>0</v>
      </c>
      <c r="AU138" s="15">
        <f>AH138+AL138+AP138+AQ138+AR138+AS138+AT138</f>
        <v/>
      </c>
      <c r="AV138" s="15">
        <f>IF(H138=0,"",AU138/H138)</f>
        <v/>
      </c>
      <c r="AW138" s="15">
        <f>IF(S138=0,"",AU138/S138)</f>
        <v/>
      </c>
      <c r="AX138" s="14" t="n">
        <v>0</v>
      </c>
      <c r="AY138" s="15">
        <f>IF(H138=0,"",AX138/(H138/1000/12))</f>
        <v/>
      </c>
      <c r="AZ138" s="14" t="n">
        <v>2</v>
      </c>
      <c r="BA138" s="14" t="n">
        <v>0</v>
      </c>
      <c r="BB138" s="14" t="n">
        <v>0</v>
      </c>
      <c r="BC138" s="14" t="n">
        <v>0</v>
      </c>
      <c r="BD138" s="14" t="n">
        <v>0</v>
      </c>
      <c r="BE138" s="15">
        <f>BC138+BD138</f>
        <v/>
      </c>
      <c r="BF138" s="15">
        <f>BA138+BB138-BE138</f>
        <v/>
      </c>
      <c r="BG138" s="14" t="n">
        <v>0</v>
      </c>
      <c r="BH138" s="14" t="n">
        <v>0</v>
      </c>
      <c r="BI138" s="14" t="n">
        <v>0</v>
      </c>
      <c r="BJ138" s="14" t="n">
        <v>0</v>
      </c>
      <c r="BK138" s="15">
        <f>BI138+BJ138</f>
        <v/>
      </c>
      <c r="BL138" s="15">
        <f>BG138+BH138-BK138</f>
        <v/>
      </c>
      <c r="BM138" s="14" t="n">
        <v>0</v>
      </c>
      <c r="BN138" s="14" t="n">
        <v>0</v>
      </c>
      <c r="BO138" s="14" t="n">
        <v>0</v>
      </c>
      <c r="BP138" s="14" t="n">
        <v>0</v>
      </c>
      <c r="BQ138" s="15">
        <f>BO138+BP138</f>
        <v/>
      </c>
      <c r="BR138" s="15">
        <f>BM138+BN138-BQ138</f>
        <v/>
      </c>
      <c r="BS138" s="14" t="n">
        <v>0</v>
      </c>
      <c r="BT138" s="14" t="n">
        <v>0</v>
      </c>
      <c r="BU138" s="14" t="n">
        <v>0</v>
      </c>
      <c r="BV138" s="14" t="n">
        <v>0</v>
      </c>
      <c r="BW138" s="15">
        <f>BU138+BV138</f>
        <v/>
      </c>
      <c r="BX138" s="15">
        <f>BS138+BT138-BW138</f>
        <v/>
      </c>
      <c r="BY138" s="15">
        <f>BA138+BG138+BM138+BS138</f>
        <v/>
      </c>
      <c r="BZ138" s="15">
        <f>BB138+BH138+BN138+BT138</f>
        <v/>
      </c>
      <c r="CA138" s="15">
        <f>BE138+BK138+BQ138+BW138</f>
        <v/>
      </c>
      <c r="CB138" s="15">
        <f>BF138+BL138+BR138+BX138</f>
        <v/>
      </c>
      <c r="CC138" s="14" t="n">
        <v>0</v>
      </c>
      <c r="CD138" s="14" t="n">
        <v>14</v>
      </c>
      <c r="CE138" s="14" t="n">
        <v>0</v>
      </c>
      <c r="CF138" s="14" t="n">
        <v>2</v>
      </c>
      <c r="CG138" s="14" t="n">
        <v>0</v>
      </c>
      <c r="CH138" s="15">
        <f>CD138+CE138+CF138+CG138</f>
        <v/>
      </c>
      <c r="CI138" s="14" t="n">
        <v>0</v>
      </c>
      <c r="CJ138" s="14" t="n">
        <v>0</v>
      </c>
      <c r="CK138" s="14" t="n">
        <v>0</v>
      </c>
      <c r="CL138" s="14" t="n">
        <v>0</v>
      </c>
      <c r="CM138" s="15">
        <f>CI138+CJ138+CK138+CL138</f>
        <v/>
      </c>
      <c r="CN138" s="14" t="n">
        <v>42</v>
      </c>
      <c r="CO138" s="14" t="n">
        <v>0</v>
      </c>
      <c r="CP138" s="14" t="n">
        <v>0</v>
      </c>
      <c r="CQ138" s="14" t="n">
        <v>0</v>
      </c>
      <c r="CR138" s="15">
        <f>CN138+CO138+CP138+CQ138</f>
        <v/>
      </c>
      <c r="CS138" s="15">
        <f>CM138+CR138</f>
        <v/>
      </c>
      <c r="CT138" s="14" t="n">
        <v>58</v>
      </c>
      <c r="CU138" s="14" t="n">
        <v>1258</v>
      </c>
      <c r="CV138" s="14" t="n">
        <v>1032</v>
      </c>
      <c r="CW138" s="16">
        <f>IF(CU138=0,"",CV138/CU138)</f>
        <v/>
      </c>
      <c r="CX138" s="14" t="n">
        <v>0</v>
      </c>
      <c r="CY138" s="14" t="n">
        <v>2</v>
      </c>
      <c r="CZ138" s="14" t="n">
        <v>2</v>
      </c>
      <c r="DA138" s="14" t="n">
        <v>0</v>
      </c>
      <c r="DB138" s="15">
        <f>CX138+CY138-CZ138-DA138</f>
        <v/>
      </c>
      <c r="DC138" s="14" t="n">
        <v>0</v>
      </c>
      <c r="DD138" s="14" t="n">
        <v>0</v>
      </c>
      <c r="DE138" s="14" t="n">
        <v>0</v>
      </c>
      <c r="DF138" s="14" t="n">
        <v>0</v>
      </c>
      <c r="DG138" s="15">
        <f>DC138+DD138-DE138-DF138</f>
        <v/>
      </c>
      <c r="DH138" s="14" t="n">
        <v>0</v>
      </c>
      <c r="DI138" s="14" t="n">
        <v>0</v>
      </c>
      <c r="DJ138" s="14" t="n">
        <v>0</v>
      </c>
      <c r="DK138" s="14" t="n">
        <v>0</v>
      </c>
      <c r="DL138" s="15">
        <f>DH138+DI138-DJ138-DK138</f>
        <v/>
      </c>
      <c r="DM138" s="14" t="n">
        <v>0</v>
      </c>
      <c r="DN138" s="14" t="n">
        <v>0</v>
      </c>
      <c r="DO138" s="14" t="n">
        <v>0</v>
      </c>
      <c r="DP138" s="14" t="n">
        <v>0</v>
      </c>
      <c r="DQ138" s="15">
        <f>DM138+DN138-DO138-DP138</f>
        <v/>
      </c>
      <c r="DR138" s="15">
        <f>CX138+DC138+DH138+DM138</f>
        <v/>
      </c>
      <c r="DS138" s="15">
        <f>CY138+DD138+DI138+DN138</f>
        <v/>
      </c>
      <c r="DT138" s="15">
        <f>CZ138+DE138+DJ138+DO138</f>
        <v/>
      </c>
      <c r="DU138" s="15">
        <f>DA138+DF138+DK138+DP138</f>
        <v/>
      </c>
      <c r="DV138" s="15">
        <f>DB138+DG138+DL138+DQ138</f>
        <v/>
      </c>
      <c r="DW138" s="14" t="n">
        <v>2</v>
      </c>
      <c r="DX138" s="14" t="n">
        <v>2</v>
      </c>
      <c r="DY138" s="14" t="n">
        <v>0</v>
      </c>
      <c r="DZ138" s="14" t="n">
        <v>0</v>
      </c>
      <c r="EA138" s="14" t="n">
        <v>1</v>
      </c>
      <c r="EB138" s="14" t="n">
        <v>1</v>
      </c>
      <c r="EC138" s="14" t="n">
        <v>0</v>
      </c>
      <c r="ED138" s="14" t="n">
        <v>0</v>
      </c>
      <c r="EE138" s="14" t="n">
        <v>0</v>
      </c>
      <c r="EF138" s="14" t="n">
        <v>0</v>
      </c>
      <c r="EG138" s="14" t="n">
        <v>0</v>
      </c>
      <c r="EH138" s="14" t="n">
        <v>0</v>
      </c>
      <c r="EI138" s="14" t="n">
        <v>0</v>
      </c>
      <c r="EJ138" s="14" t="n">
        <v>0</v>
      </c>
      <c r="EK138" s="14" t="n">
        <v>0</v>
      </c>
      <c r="EL138" s="14" t="n">
        <v>0</v>
      </c>
      <c r="EM138" s="14" t="n">
        <v>0</v>
      </c>
      <c r="EN138" s="14" t="n">
        <v>0</v>
      </c>
      <c r="EO138" s="14" t="n">
        <v>0</v>
      </c>
      <c r="EP138" s="14" t="n">
        <v>0</v>
      </c>
      <c r="EQ138" s="14" t="n">
        <v>0</v>
      </c>
      <c r="ER138" s="14" t="n">
        <v>0</v>
      </c>
      <c r="ES138" s="14" t="n">
        <v>0</v>
      </c>
      <c r="ET138" s="14" t="n">
        <v>0</v>
      </c>
      <c r="EU138" s="14" t="n">
        <v>0</v>
      </c>
      <c r="EV138" s="14" t="n">
        <v>0</v>
      </c>
      <c r="EW138" s="14" t="n">
        <v>0</v>
      </c>
      <c r="EX138" s="14" t="n">
        <v>0</v>
      </c>
      <c r="EY138" s="14" t="n">
        <v>0</v>
      </c>
      <c r="EZ138" s="14" t="n">
        <v>0</v>
      </c>
      <c r="FA138" s="14" t="n">
        <v>0</v>
      </c>
      <c r="FB138" s="14" t="n">
        <v>0</v>
      </c>
      <c r="FC138" s="14" t="n">
        <v>0</v>
      </c>
      <c r="FD138" s="14" t="n">
        <v>0</v>
      </c>
      <c r="FE138" s="14" t="n">
        <v>0</v>
      </c>
      <c r="FF138" s="14" t="n">
        <v>0</v>
      </c>
      <c r="FG138" s="15">
        <f>SUM(DW138,DX138,DY138,DZ138,EA138,EB138,EC138,ED138,EE138,EF138,EG138,EH138,EI138,EJ138,EK138,EL138,EM138,EN138,EO138,EP138,EQ138,ER138,ES138,ET138,EU138,EV138,EW138,EX138,EY138,EZ138,FA138,FB138,FC138,FD138,FE138,FF138)</f>
        <v/>
      </c>
      <c r="FH138" s="14" t="n">
        <v>1</v>
      </c>
      <c r="FI138" s="14" t="n">
        <v>8</v>
      </c>
      <c r="FJ138" s="14" t="n">
        <v>24</v>
      </c>
      <c r="FK138" s="14" t="n">
        <v>8</v>
      </c>
      <c r="FL138" s="14" t="n">
        <v>0</v>
      </c>
      <c r="FM138" s="14" t="n">
        <v>0</v>
      </c>
      <c r="FN138" s="14" t="n">
        <v>0</v>
      </c>
      <c r="FO138" s="14" t="n">
        <v>0</v>
      </c>
      <c r="FP138" s="14" t="n">
        <v>0</v>
      </c>
      <c r="FQ138" s="15">
        <f>FL138+FM138+FN138+FO138+FP138</f>
        <v/>
      </c>
      <c r="FR138" s="14" t="n">
        <v>0</v>
      </c>
      <c r="FS138" s="14" t="n">
        <v>0</v>
      </c>
      <c r="FT138" s="14" t="n">
        <v>0</v>
      </c>
      <c r="FU138" s="14" t="n">
        <v>0</v>
      </c>
      <c r="FV138" s="15">
        <f>FR138+FS138+FT138+FU138</f>
        <v/>
      </c>
      <c r="FW138" s="14" t="n">
        <v>207300</v>
      </c>
      <c r="FX138" s="14" t="n">
        <v>0</v>
      </c>
      <c r="FY138" s="14" t="n">
        <v>0</v>
      </c>
      <c r="FZ138" s="14" t="n">
        <v>0</v>
      </c>
      <c r="GA138" s="15">
        <f>FW138+FX138+FY138+FZ138</f>
        <v/>
      </c>
      <c r="GB138" s="15">
        <f>FV138+GA138</f>
        <v/>
      </c>
      <c r="GC138" s="14" t="n">
        <v>0</v>
      </c>
      <c r="GD138" s="14" t="n">
        <v>0</v>
      </c>
      <c r="GE138" s="14" t="n">
        <v>0</v>
      </c>
      <c r="GF138" s="14" t="n">
        <v>0</v>
      </c>
      <c r="GG138" s="15">
        <f>GC138+GD138+GE138+GF138</f>
        <v/>
      </c>
      <c r="GH138" s="14" t="n">
        <v>0</v>
      </c>
      <c r="GI138" s="14" t="n">
        <v>0</v>
      </c>
      <c r="GJ138" s="14" t="n">
        <v>0</v>
      </c>
      <c r="GK138" s="14" t="n">
        <v>0</v>
      </c>
      <c r="GL138" s="15">
        <f>GH138+GI138+GJ138+GK138</f>
        <v/>
      </c>
      <c r="GM138" s="15">
        <f>GG138+GL138</f>
        <v/>
      </c>
      <c r="GN138" s="14" t="n">
        <v>0</v>
      </c>
      <c r="GO138" s="14" t="n">
        <v>0</v>
      </c>
      <c r="GP138" s="14" t="n">
        <v>0</v>
      </c>
      <c r="GQ138" s="14" t="n">
        <v>0</v>
      </c>
      <c r="GR138" s="15">
        <f>GN138+GO138+GP138+GQ138</f>
        <v/>
      </c>
      <c r="GS138" s="14" t="n">
        <v>0</v>
      </c>
      <c r="GT138" s="14" t="n">
        <v>0</v>
      </c>
      <c r="GU138" s="14" t="n">
        <v>0</v>
      </c>
      <c r="GV138" s="14" t="n">
        <v>0</v>
      </c>
      <c r="GW138" s="15">
        <f>GS138+GT138+GU138+GV138</f>
        <v/>
      </c>
      <c r="GX138" s="15">
        <f>GM138+GR138+GW138</f>
        <v/>
      </c>
      <c r="GY138" s="14" t="n">
        <v>2518673.28</v>
      </c>
      <c r="GZ138" s="14" t="n">
        <v>0</v>
      </c>
      <c r="HA138" s="15">
        <f>GY138+GZ138</f>
        <v/>
      </c>
      <c r="HB138" s="15">
        <f>IF(GX138=0,"",AU138/GX138)</f>
        <v/>
      </c>
      <c r="HC138" s="16">
        <f>IF((GX138+GY138)=0,"",GB138/(GX138+GY138))</f>
        <v/>
      </c>
      <c r="HD138" s="15">
        <f>IF(GX138=0,"",GB138/GX138)</f>
        <v/>
      </c>
      <c r="HE138" s="14" t="n">
        <v>0</v>
      </c>
      <c r="HF138" s="14" t="n">
        <v>0</v>
      </c>
      <c r="HG138" s="14" t="n">
        <v>0</v>
      </c>
      <c r="HH138" s="14" t="n">
        <v>0</v>
      </c>
      <c r="HI138" s="14" t="n">
        <v>0</v>
      </c>
      <c r="HJ138" s="15">
        <f>HF138+HI138</f>
        <v/>
      </c>
      <c r="HK138" s="16">
        <f>IF(HE138=0,"",HH138/HE138)</f>
        <v/>
      </c>
      <c r="HL138" s="14" t="n">
        <v>4</v>
      </c>
      <c r="HM138" s="14" t="n">
        <v>1</v>
      </c>
      <c r="HN138" s="17">
        <f>IF(HL138=0,"",HM138/HL138)</f>
        <v/>
      </c>
    </row>
    <row r="139">
      <c r="A139" s="6" t="inlineStr">
        <is>
          <t>Mulanje</t>
        </is>
      </c>
      <c r="B139" s="6" t="inlineStr">
        <is>
          <t>Mikolongwe</t>
        </is>
      </c>
      <c r="C139" s="7" t="inlineStr">
        <is>
          <t>FY2025/26</t>
        </is>
      </c>
      <c r="D139" s="7" t="n">
        <v>2025</v>
      </c>
      <c r="E139" s="7" t="n">
        <v>8</v>
      </c>
      <c r="F139" s="7" t="inlineStr">
        <is>
          <t>August</t>
        </is>
      </c>
      <c r="G139" s="7" t="inlineStr">
        <is>
          <t>Q2</t>
        </is>
      </c>
      <c r="H139" s="8" t="n">
        <v>1026</v>
      </c>
      <c r="I139" s="8" t="n">
        <v>0</v>
      </c>
      <c r="J139" s="8" t="n">
        <v>0</v>
      </c>
      <c r="K139" s="8" t="n">
        <v>0</v>
      </c>
      <c r="L139" s="8" t="n">
        <v>0</v>
      </c>
      <c r="M139" s="9">
        <f>SUM(I139,J139,K139,L139)</f>
        <v/>
      </c>
      <c r="N139" s="8" t="n">
        <v>297</v>
      </c>
      <c r="O139" s="8" t="n">
        <v>0</v>
      </c>
      <c r="P139" s="8" t="n">
        <v>481</v>
      </c>
      <c r="Q139" s="8" t="n">
        <v>0</v>
      </c>
      <c r="R139" s="9">
        <f>SUM(N139,O139,P139,Q139)</f>
        <v/>
      </c>
      <c r="S139" s="9">
        <f>M139+R139</f>
        <v/>
      </c>
      <c r="T139" s="8" t="n">
        <v>248</v>
      </c>
      <c r="U139" s="10">
        <f>IF(H139=0,"",T139/H139)</f>
        <v/>
      </c>
      <c r="V139" s="8" t="n">
        <v>5</v>
      </c>
      <c r="W139" s="11">
        <f>IF(H139=0,"",V139/H139)</f>
        <v/>
      </c>
      <c r="X139" s="8" t="n">
        <v>0</v>
      </c>
      <c r="Y139" s="11">
        <f>IF(H139=0,"",X139/H139)</f>
        <v/>
      </c>
      <c r="Z139" s="8" t="n">
        <v>0</v>
      </c>
      <c r="AA139" s="11">
        <f>IF(H139=0,"",Z139/H139)</f>
        <v/>
      </c>
      <c r="AB139" s="8" t="n">
        <v>0</v>
      </c>
      <c r="AC139" s="11">
        <f>IF(H139=0,"",AB139/H139)</f>
        <v/>
      </c>
      <c r="AD139" s="8" t="n">
        <v>0</v>
      </c>
      <c r="AE139" s="11">
        <f>IF(H139=0,"",AD139/H139)</f>
        <v/>
      </c>
      <c r="AF139" s="8" t="n">
        <v>0</v>
      </c>
      <c r="AG139" s="11">
        <f>IF(H139=0,"",AF139/H139)</f>
        <v/>
      </c>
      <c r="AH139" s="8" t="n">
        <v>25558.35</v>
      </c>
      <c r="AI139" s="9">
        <f>IF(H139=0,"",AH139/H139)</f>
        <v/>
      </c>
      <c r="AJ139" s="8" t="n">
        <v>761</v>
      </c>
      <c r="AK139" s="11">
        <f>IF(H139=0,"",AJ139/H139)</f>
        <v/>
      </c>
      <c r="AL139" s="8" t="n">
        <v>122016.3915</v>
      </c>
      <c r="AM139" s="9">
        <f>IF(H139=0,"",AL139/H139)</f>
        <v/>
      </c>
      <c r="AN139" s="8" t="n">
        <v>0</v>
      </c>
      <c r="AO139" s="8" t="n">
        <v>0</v>
      </c>
      <c r="AP139" s="8" t="n">
        <v>0</v>
      </c>
      <c r="AQ139" s="8" t="n">
        <v>0</v>
      </c>
      <c r="AR139" s="8" t="n">
        <v>0</v>
      </c>
      <c r="AS139" s="8" t="n">
        <v>310154.24</v>
      </c>
      <c r="AT139" s="8" t="n">
        <v>0</v>
      </c>
      <c r="AU139" s="9">
        <f>AH139+AL139+AP139+AQ139+AR139+AS139+AT139</f>
        <v/>
      </c>
      <c r="AV139" s="9">
        <f>IF(H139=0,"",AU139/H139)</f>
        <v/>
      </c>
      <c r="AW139" s="9">
        <f>IF(S139=0,"",AU139/S139)</f>
        <v/>
      </c>
      <c r="AX139" s="8" t="n">
        <v>0</v>
      </c>
      <c r="AY139" s="9">
        <f>IF(H139=0,"",AX139/(H139/1000/12))</f>
        <v/>
      </c>
      <c r="AZ139" s="8" t="n">
        <v>2</v>
      </c>
      <c r="BA139" s="8" t="n">
        <v>0</v>
      </c>
      <c r="BB139" s="8" t="n">
        <v>0</v>
      </c>
      <c r="BC139" s="8" t="n">
        <v>0</v>
      </c>
      <c r="BD139" s="8" t="n">
        <v>0</v>
      </c>
      <c r="BE139" s="9">
        <f>BC139+BD139</f>
        <v/>
      </c>
      <c r="BF139" s="9">
        <f>BA139+BB139-BE139</f>
        <v/>
      </c>
      <c r="BG139" s="8" t="n">
        <v>0</v>
      </c>
      <c r="BH139" s="8" t="n">
        <v>0</v>
      </c>
      <c r="BI139" s="8" t="n">
        <v>0</v>
      </c>
      <c r="BJ139" s="8" t="n">
        <v>0</v>
      </c>
      <c r="BK139" s="9">
        <f>BI139+BJ139</f>
        <v/>
      </c>
      <c r="BL139" s="9">
        <f>BG139+BH139-BK139</f>
        <v/>
      </c>
      <c r="BM139" s="8" t="n">
        <v>0</v>
      </c>
      <c r="BN139" s="8" t="n">
        <v>0</v>
      </c>
      <c r="BO139" s="8" t="n">
        <v>0</v>
      </c>
      <c r="BP139" s="8" t="n">
        <v>0</v>
      </c>
      <c r="BQ139" s="9">
        <f>BO139+BP139</f>
        <v/>
      </c>
      <c r="BR139" s="9">
        <f>BM139+BN139-BQ139</f>
        <v/>
      </c>
      <c r="BS139" s="8" t="n">
        <v>0</v>
      </c>
      <c r="BT139" s="8" t="n">
        <v>0</v>
      </c>
      <c r="BU139" s="8" t="n">
        <v>0</v>
      </c>
      <c r="BV139" s="8" t="n">
        <v>0</v>
      </c>
      <c r="BW139" s="9">
        <f>BU139+BV139</f>
        <v/>
      </c>
      <c r="BX139" s="9">
        <f>BS139+BT139-BW139</f>
        <v/>
      </c>
      <c r="BY139" s="9">
        <f>BA139+BG139+BM139+BS139</f>
        <v/>
      </c>
      <c r="BZ139" s="9">
        <f>BB139+BH139+BN139+BT139</f>
        <v/>
      </c>
      <c r="CA139" s="9">
        <f>BE139+BK139+BQ139+BW139</f>
        <v/>
      </c>
      <c r="CB139" s="9">
        <f>BF139+BL139+BR139+BX139</f>
        <v/>
      </c>
      <c r="CC139" s="8" t="n">
        <v>0</v>
      </c>
      <c r="CD139" s="8" t="n">
        <v>14</v>
      </c>
      <c r="CE139" s="8" t="n">
        <v>0</v>
      </c>
      <c r="CF139" s="8" t="n">
        <v>2</v>
      </c>
      <c r="CG139" s="8" t="n">
        <v>0</v>
      </c>
      <c r="CH139" s="9">
        <f>CD139+CE139+CF139+CG139</f>
        <v/>
      </c>
      <c r="CI139" s="8" t="n">
        <v>0</v>
      </c>
      <c r="CJ139" s="8" t="n">
        <v>0</v>
      </c>
      <c r="CK139" s="8" t="n">
        <v>0</v>
      </c>
      <c r="CL139" s="8" t="n">
        <v>0</v>
      </c>
      <c r="CM139" s="9">
        <f>CI139+CJ139+CK139+CL139</f>
        <v/>
      </c>
      <c r="CN139" s="8" t="n">
        <v>42</v>
      </c>
      <c r="CO139" s="8" t="n">
        <v>8</v>
      </c>
      <c r="CP139" s="8" t="n">
        <v>0</v>
      </c>
      <c r="CQ139" s="8" t="n">
        <v>0</v>
      </c>
      <c r="CR139" s="9">
        <f>CN139+CO139+CP139+CQ139</f>
        <v/>
      </c>
      <c r="CS139" s="9">
        <f>CM139+CR139</f>
        <v/>
      </c>
      <c r="CT139" s="8" t="n">
        <v>66</v>
      </c>
      <c r="CU139" s="8" t="n">
        <v>1258</v>
      </c>
      <c r="CV139" s="8" t="n">
        <v>1032</v>
      </c>
      <c r="CW139" s="10">
        <f>IF(CU139=0,"",CV139/CU139)</f>
        <v/>
      </c>
      <c r="CX139" s="8" t="n">
        <v>0</v>
      </c>
      <c r="CY139" s="8" t="n">
        <v>0</v>
      </c>
      <c r="CZ139" s="8" t="n">
        <v>0</v>
      </c>
      <c r="DA139" s="8" t="n">
        <v>0</v>
      </c>
      <c r="DB139" s="9">
        <f>CX139+CY139-CZ139-DA139</f>
        <v/>
      </c>
      <c r="DC139" s="8" t="n">
        <v>0</v>
      </c>
      <c r="DD139" s="8" t="n">
        <v>0</v>
      </c>
      <c r="DE139" s="8" t="n">
        <v>0</v>
      </c>
      <c r="DF139" s="8" t="n">
        <v>0</v>
      </c>
      <c r="DG139" s="9">
        <f>DC139+DD139-DE139-DF139</f>
        <v/>
      </c>
      <c r="DH139" s="8" t="n">
        <v>0</v>
      </c>
      <c r="DI139" s="8" t="n">
        <v>0</v>
      </c>
      <c r="DJ139" s="8" t="n">
        <v>0</v>
      </c>
      <c r="DK139" s="8" t="n">
        <v>0</v>
      </c>
      <c r="DL139" s="9">
        <f>DH139+DI139-DJ139-DK139</f>
        <v/>
      </c>
      <c r="DM139" s="8" t="n">
        <v>0</v>
      </c>
      <c r="DN139" s="8" t="n">
        <v>0</v>
      </c>
      <c r="DO139" s="8" t="n">
        <v>0</v>
      </c>
      <c r="DP139" s="8" t="n">
        <v>0</v>
      </c>
      <c r="DQ139" s="9">
        <f>DM139+DN139-DO139-DP139</f>
        <v/>
      </c>
      <c r="DR139" s="9">
        <f>CX139+DC139+DH139+DM139</f>
        <v/>
      </c>
      <c r="DS139" s="9">
        <f>CY139+DD139+DI139+DN139</f>
        <v/>
      </c>
      <c r="DT139" s="9">
        <f>CZ139+DE139+DJ139+DO139</f>
        <v/>
      </c>
      <c r="DU139" s="9">
        <f>DA139+DF139+DK139+DP139</f>
        <v/>
      </c>
      <c r="DV139" s="9">
        <f>DB139+DG139+DL139+DQ139</f>
        <v/>
      </c>
      <c r="DW139" s="8" t="n">
        <v>4</v>
      </c>
      <c r="DX139" s="8" t="n">
        <v>2</v>
      </c>
      <c r="DY139" s="8" t="n">
        <v>1</v>
      </c>
      <c r="DZ139" s="8" t="n">
        <v>1</v>
      </c>
      <c r="EA139" s="8" t="n">
        <v>0</v>
      </c>
      <c r="EB139" s="8" t="n">
        <v>0</v>
      </c>
      <c r="EC139" s="8" t="n">
        <v>0</v>
      </c>
      <c r="ED139" s="8" t="n">
        <v>0</v>
      </c>
      <c r="EE139" s="8" t="n">
        <v>0</v>
      </c>
      <c r="EF139" s="8" t="n">
        <v>0</v>
      </c>
      <c r="EG139" s="8" t="n">
        <v>0</v>
      </c>
      <c r="EH139" s="8" t="n">
        <v>0</v>
      </c>
      <c r="EI139" s="8" t="n">
        <v>0</v>
      </c>
      <c r="EJ139" s="8" t="n">
        <v>0</v>
      </c>
      <c r="EK139" s="8" t="n">
        <v>0</v>
      </c>
      <c r="EL139" s="8" t="n">
        <v>0</v>
      </c>
      <c r="EM139" s="8" t="n">
        <v>0</v>
      </c>
      <c r="EN139" s="8" t="n">
        <v>0</v>
      </c>
      <c r="EO139" s="8" t="n">
        <v>0</v>
      </c>
      <c r="EP139" s="8" t="n">
        <v>0</v>
      </c>
      <c r="EQ139" s="8" t="n">
        <v>0</v>
      </c>
      <c r="ER139" s="8" t="n">
        <v>0</v>
      </c>
      <c r="ES139" s="8" t="n">
        <v>0</v>
      </c>
      <c r="ET139" s="8" t="n">
        <v>0</v>
      </c>
      <c r="EU139" s="8" t="n">
        <v>0</v>
      </c>
      <c r="EV139" s="8" t="n">
        <v>0</v>
      </c>
      <c r="EW139" s="8" t="n">
        <v>0</v>
      </c>
      <c r="EX139" s="8" t="n">
        <v>0</v>
      </c>
      <c r="EY139" s="8" t="n">
        <v>0</v>
      </c>
      <c r="EZ139" s="8" t="n">
        <v>0</v>
      </c>
      <c r="FA139" s="8" t="n">
        <v>0</v>
      </c>
      <c r="FB139" s="8" t="n">
        <v>0</v>
      </c>
      <c r="FC139" s="8" t="n">
        <v>0</v>
      </c>
      <c r="FD139" s="8" t="n">
        <v>0</v>
      </c>
      <c r="FE139" s="8" t="n">
        <v>0</v>
      </c>
      <c r="FF139" s="8" t="n">
        <v>0</v>
      </c>
      <c r="FG139" s="9">
        <f>SUM(DW139,DX139,DY139,DZ139,EA139,EB139,EC139,ED139,EE139,EF139,EG139,EH139,EI139,EJ139,EK139,EL139,EM139,EN139,EO139,EP139,EQ139,ER139,ES139,ET139,EU139,EV139,EW139,EX139,EY139,EZ139,FA139,FB139,FC139,FD139,FE139,FF139)</f>
        <v/>
      </c>
      <c r="FH139" s="8" t="n">
        <v>3</v>
      </c>
      <c r="FI139" s="8" t="n">
        <v>4</v>
      </c>
      <c r="FJ139" s="8" t="n">
        <v>24</v>
      </c>
      <c r="FK139" s="8" t="n">
        <v>12</v>
      </c>
      <c r="FL139" s="8" t="n">
        <v>0</v>
      </c>
      <c r="FM139" s="8" t="n">
        <v>0</v>
      </c>
      <c r="FN139" s="8" t="n">
        <v>0</v>
      </c>
      <c r="FO139" s="8" t="n">
        <v>0</v>
      </c>
      <c r="FP139" s="8" t="n">
        <v>0</v>
      </c>
      <c r="FQ139" s="9">
        <f>FL139+FM139+FN139+FO139+FP139</f>
        <v/>
      </c>
      <c r="FR139" s="8" t="n">
        <v>0</v>
      </c>
      <c r="FS139" s="8" t="n">
        <v>0</v>
      </c>
      <c r="FT139" s="8" t="n">
        <v>0</v>
      </c>
      <c r="FU139" s="8" t="n">
        <v>0</v>
      </c>
      <c r="FV139" s="9">
        <f>FR139+FS139+FT139+FU139</f>
        <v/>
      </c>
      <c r="FW139" s="8" t="n">
        <v>227800</v>
      </c>
      <c r="FX139" s="8" t="n">
        <v>0</v>
      </c>
      <c r="FY139" s="8" t="n">
        <v>0</v>
      </c>
      <c r="FZ139" s="8" t="n">
        <v>0</v>
      </c>
      <c r="GA139" s="9">
        <f>FW139+FX139+FY139+FZ139</f>
        <v/>
      </c>
      <c r="GB139" s="9">
        <f>FV139+GA139</f>
        <v/>
      </c>
      <c r="GC139" s="8" t="n">
        <v>0</v>
      </c>
      <c r="GD139" s="8" t="n">
        <v>0</v>
      </c>
      <c r="GE139" s="8" t="n">
        <v>0</v>
      </c>
      <c r="GF139" s="8" t="n">
        <v>0</v>
      </c>
      <c r="GG139" s="9">
        <f>GC139+GD139+GE139+GF139</f>
        <v/>
      </c>
      <c r="GH139" s="8" t="n">
        <v>0</v>
      </c>
      <c r="GI139" s="8" t="n">
        <v>0</v>
      </c>
      <c r="GJ139" s="8" t="n">
        <v>0</v>
      </c>
      <c r="GK139" s="8" t="n">
        <v>0</v>
      </c>
      <c r="GL139" s="9">
        <f>GH139+GI139+GJ139+GK139</f>
        <v/>
      </c>
      <c r="GM139" s="9">
        <f>GG139+GL139</f>
        <v/>
      </c>
      <c r="GN139" s="8" t="n">
        <v>0</v>
      </c>
      <c r="GO139" s="8" t="n">
        <v>0</v>
      </c>
      <c r="GP139" s="8" t="n">
        <v>0</v>
      </c>
      <c r="GQ139" s="8" t="n">
        <v>0</v>
      </c>
      <c r="GR139" s="9">
        <f>GN139+GO139+GP139+GQ139</f>
        <v/>
      </c>
      <c r="GS139" s="8" t="n">
        <v>0</v>
      </c>
      <c r="GT139" s="8" t="n">
        <v>0</v>
      </c>
      <c r="GU139" s="8" t="n">
        <v>0</v>
      </c>
      <c r="GV139" s="8" t="n">
        <v>0</v>
      </c>
      <c r="GW139" s="9">
        <f>GS139+GT139+GU139+GV139</f>
        <v/>
      </c>
      <c r="GX139" s="9">
        <f>GM139+GR139+GW139</f>
        <v/>
      </c>
      <c r="GY139" s="8" t="n">
        <v>2518673.28</v>
      </c>
      <c r="GZ139" s="8" t="n">
        <v>0</v>
      </c>
      <c r="HA139" s="9">
        <f>GY139+GZ139</f>
        <v/>
      </c>
      <c r="HB139" s="9">
        <f>IF(GX139=0,"",AU139/GX139)</f>
        <v/>
      </c>
      <c r="HC139" s="10">
        <f>IF((GX139+GY139)=0,"",GB139/(GX139+GY139))</f>
        <v/>
      </c>
      <c r="HD139" s="9">
        <f>IF(GX139=0,"",GB139/GX139)</f>
        <v/>
      </c>
      <c r="HE139" s="8" t="n">
        <v>0</v>
      </c>
      <c r="HF139" s="8" t="n">
        <v>0</v>
      </c>
      <c r="HG139" s="8" t="n">
        <v>0</v>
      </c>
      <c r="HH139" s="8" t="n">
        <v>0</v>
      </c>
      <c r="HI139" s="8" t="n">
        <v>0</v>
      </c>
      <c r="HJ139" s="9">
        <f>HF139+HI139</f>
        <v/>
      </c>
      <c r="HK139" s="10">
        <f>IF(HE139=0,"",HH139/HE139)</f>
        <v/>
      </c>
      <c r="HL139" s="8" t="n">
        <v>3</v>
      </c>
      <c r="HM139" s="8" t="n">
        <v>1</v>
      </c>
      <c r="HN139" s="11">
        <f>IF(HL139=0,"",HM139/HL139)</f>
        <v/>
      </c>
    </row>
    <row r="140">
      <c r="A140" s="12" t="inlineStr">
        <is>
          <t>Mulanje</t>
        </is>
      </c>
      <c r="B140" s="12" t="inlineStr">
        <is>
          <t>Mikolongwe</t>
        </is>
      </c>
      <c r="C140" s="13" t="inlineStr">
        <is>
          <t>FY2025/26</t>
        </is>
      </c>
      <c r="D140" s="13" t="n">
        <v>2025</v>
      </c>
      <c r="E140" s="13" t="n">
        <v>9</v>
      </c>
      <c r="F140" s="13" t="inlineStr">
        <is>
          <t>September</t>
        </is>
      </c>
      <c r="G140" s="13" t="inlineStr">
        <is>
          <t>Q2</t>
        </is>
      </c>
      <c r="H140" s="14" t="n">
        <v>1021</v>
      </c>
      <c r="I140" s="14" t="n">
        <v>0</v>
      </c>
      <c r="J140" s="14" t="n">
        <v>0</v>
      </c>
      <c r="K140" s="14" t="n">
        <v>0</v>
      </c>
      <c r="L140" s="14" t="n">
        <v>0</v>
      </c>
      <c r="M140" s="15">
        <f>SUM(I140,J140,K140,L140)</f>
        <v/>
      </c>
      <c r="N140" s="14" t="n">
        <v>221</v>
      </c>
      <c r="O140" s="14" t="n">
        <v>0</v>
      </c>
      <c r="P140" s="14" t="n">
        <v>507</v>
      </c>
      <c r="Q140" s="14" t="n">
        <v>0</v>
      </c>
      <c r="R140" s="15">
        <f>SUM(N140,O140,P140,Q140)</f>
        <v/>
      </c>
      <c r="S140" s="15">
        <f>M140+R140</f>
        <v/>
      </c>
      <c r="T140" s="14" t="n">
        <v>293</v>
      </c>
      <c r="U140" s="16">
        <f>IF(H140=0,"",T140/H140)</f>
        <v/>
      </c>
      <c r="V140" s="14" t="n">
        <v>5</v>
      </c>
      <c r="W140" s="17">
        <f>IF(H140=0,"",V140/H140)</f>
        <v/>
      </c>
      <c r="X140" s="14" t="n">
        <v>0</v>
      </c>
      <c r="Y140" s="17">
        <f>IF(H140=0,"",X140/H140)</f>
        <v/>
      </c>
      <c r="Z140" s="14" t="n">
        <v>0</v>
      </c>
      <c r="AA140" s="17">
        <f>IF(H140=0,"",Z140/H140)</f>
        <v/>
      </c>
      <c r="AB140" s="14" t="n">
        <v>0</v>
      </c>
      <c r="AC140" s="17">
        <f>IF(H140=0,"",AB140/H140)</f>
        <v/>
      </c>
      <c r="AD140" s="14" t="n">
        <v>0</v>
      </c>
      <c r="AE140" s="17">
        <f>IF(H140=0,"",AD140/H140)</f>
        <v/>
      </c>
      <c r="AF140" s="14" t="n">
        <v>0</v>
      </c>
      <c r="AG140" s="17">
        <f>IF(H140=0,"",AF140/H140)</f>
        <v/>
      </c>
      <c r="AH140" s="14" t="n">
        <v>25558.35</v>
      </c>
      <c r="AI140" s="15">
        <f>IF(H140=0,"",AH140/H140)</f>
        <v/>
      </c>
      <c r="AJ140" s="14" t="n">
        <v>680</v>
      </c>
      <c r="AK140" s="17">
        <f>IF(H140=0,"",AJ140/H140)</f>
        <v/>
      </c>
      <c r="AL140" s="14" t="n">
        <v>110777.52</v>
      </c>
      <c r="AM140" s="15">
        <f>IF(H140=0,"",AL140/H140)</f>
        <v/>
      </c>
      <c r="AN140" s="14" t="n">
        <v>0</v>
      </c>
      <c r="AO140" s="14" t="n">
        <v>0</v>
      </c>
      <c r="AP140" s="14" t="n">
        <v>0</v>
      </c>
      <c r="AQ140" s="14" t="n">
        <v>0</v>
      </c>
      <c r="AR140" s="14" t="n">
        <v>0</v>
      </c>
      <c r="AS140" s="14" t="n">
        <v>290769.6</v>
      </c>
      <c r="AT140" s="14" t="n">
        <v>0</v>
      </c>
      <c r="AU140" s="15">
        <f>AH140+AL140+AP140+AQ140+AR140+AS140+AT140</f>
        <v/>
      </c>
      <c r="AV140" s="15">
        <f>IF(H140=0,"",AU140/H140)</f>
        <v/>
      </c>
      <c r="AW140" s="15">
        <f>IF(S140=0,"",AU140/S140)</f>
        <v/>
      </c>
      <c r="AX140" s="14" t="n">
        <v>0</v>
      </c>
      <c r="AY140" s="15">
        <f>IF(H140=0,"",AX140/(H140/1000/12))</f>
        <v/>
      </c>
      <c r="AZ140" s="14" t="n">
        <v>2</v>
      </c>
      <c r="BA140" s="14" t="n">
        <v>0</v>
      </c>
      <c r="BB140" s="14" t="n">
        <v>0</v>
      </c>
      <c r="BC140" s="14" t="n">
        <v>0</v>
      </c>
      <c r="BD140" s="14" t="n">
        <v>0</v>
      </c>
      <c r="BE140" s="15">
        <f>BC140+BD140</f>
        <v/>
      </c>
      <c r="BF140" s="15">
        <f>BA140+BB140-BE140</f>
        <v/>
      </c>
      <c r="BG140" s="14" t="n">
        <v>0</v>
      </c>
      <c r="BH140" s="14" t="n">
        <v>0</v>
      </c>
      <c r="BI140" s="14" t="n">
        <v>0</v>
      </c>
      <c r="BJ140" s="14" t="n">
        <v>0</v>
      </c>
      <c r="BK140" s="15">
        <f>BI140+BJ140</f>
        <v/>
      </c>
      <c r="BL140" s="15">
        <f>BG140+BH140-BK140</f>
        <v/>
      </c>
      <c r="BM140" s="14" t="n">
        <v>0</v>
      </c>
      <c r="BN140" s="14" t="n">
        <v>0</v>
      </c>
      <c r="BO140" s="14" t="n">
        <v>0</v>
      </c>
      <c r="BP140" s="14" t="n">
        <v>0</v>
      </c>
      <c r="BQ140" s="15">
        <f>BO140+BP140</f>
        <v/>
      </c>
      <c r="BR140" s="15">
        <f>BM140+BN140-BQ140</f>
        <v/>
      </c>
      <c r="BS140" s="14" t="n">
        <v>0</v>
      </c>
      <c r="BT140" s="14" t="n">
        <v>0</v>
      </c>
      <c r="BU140" s="14" t="n">
        <v>0</v>
      </c>
      <c r="BV140" s="14" t="n">
        <v>0</v>
      </c>
      <c r="BW140" s="15">
        <f>BU140+BV140</f>
        <v/>
      </c>
      <c r="BX140" s="15">
        <f>BS140+BT140-BW140</f>
        <v/>
      </c>
      <c r="BY140" s="15">
        <f>BA140+BG140+BM140+BS140</f>
        <v/>
      </c>
      <c r="BZ140" s="15">
        <f>BB140+BH140+BN140+BT140</f>
        <v/>
      </c>
      <c r="CA140" s="15">
        <f>BE140+BK140+BQ140+BW140</f>
        <v/>
      </c>
      <c r="CB140" s="15">
        <f>BF140+BL140+BR140+BX140</f>
        <v/>
      </c>
      <c r="CC140" s="14" t="n">
        <v>0</v>
      </c>
      <c r="CD140" s="14" t="n">
        <v>14</v>
      </c>
      <c r="CE140" s="14" t="n">
        <v>0</v>
      </c>
      <c r="CF140" s="14" t="n">
        <v>2</v>
      </c>
      <c r="CG140" s="14" t="n">
        <v>0</v>
      </c>
      <c r="CH140" s="15">
        <f>CD140+CE140+CF140+CG140</f>
        <v/>
      </c>
      <c r="CI140" s="14" t="n">
        <v>0</v>
      </c>
      <c r="CJ140" s="14" t="n">
        <v>0</v>
      </c>
      <c r="CK140" s="14" t="n">
        <v>0</v>
      </c>
      <c r="CL140" s="14" t="n">
        <v>0</v>
      </c>
      <c r="CM140" s="15">
        <f>CI140+CJ140+CK140+CL140</f>
        <v/>
      </c>
      <c r="CN140" s="14" t="n">
        <v>42</v>
      </c>
      <c r="CO140" s="14" t="n">
        <v>8</v>
      </c>
      <c r="CP140" s="14" t="n">
        <v>0</v>
      </c>
      <c r="CQ140" s="14" t="n">
        <v>0</v>
      </c>
      <c r="CR140" s="15">
        <f>CN140+CO140+CP140+CQ140</f>
        <v/>
      </c>
      <c r="CS140" s="15">
        <f>CM140+CR140</f>
        <v/>
      </c>
      <c r="CT140" s="14" t="n">
        <v>66</v>
      </c>
      <c r="CU140" s="14" t="n">
        <v>1258</v>
      </c>
      <c r="CV140" s="14" t="n">
        <v>1032</v>
      </c>
      <c r="CW140" s="16">
        <f>IF(CU140=0,"",CV140/CU140)</f>
        <v/>
      </c>
      <c r="CX140" s="14" t="n"/>
      <c r="CY140" s="14" t="n">
        <v>2</v>
      </c>
      <c r="CZ140" s="14" t="n">
        <v>2</v>
      </c>
      <c r="DA140" s="14" t="n"/>
      <c r="DB140" s="15">
        <f>CX140+CY140-CZ140-DA140</f>
        <v/>
      </c>
      <c r="DC140" s="14" t="n">
        <v>0</v>
      </c>
      <c r="DD140" s="14" t="n">
        <v>0</v>
      </c>
      <c r="DE140" s="14" t="n">
        <v>0</v>
      </c>
      <c r="DF140" s="14" t="n">
        <v>0</v>
      </c>
      <c r="DG140" s="15">
        <f>DC140+DD140-DE140-DF140</f>
        <v/>
      </c>
      <c r="DH140" s="14" t="n">
        <v>0</v>
      </c>
      <c r="DI140" s="14" t="n">
        <v>0</v>
      </c>
      <c r="DJ140" s="14" t="n">
        <v>0</v>
      </c>
      <c r="DK140" s="14" t="n">
        <v>0</v>
      </c>
      <c r="DL140" s="15">
        <f>DH140+DI140-DJ140-DK140</f>
        <v/>
      </c>
      <c r="DM140" s="14" t="n">
        <v>0</v>
      </c>
      <c r="DN140" s="14" t="n">
        <v>0</v>
      </c>
      <c r="DO140" s="14" t="n">
        <v>0</v>
      </c>
      <c r="DP140" s="14" t="n">
        <v>0</v>
      </c>
      <c r="DQ140" s="15">
        <f>DM140+DN140-DO140-DP140</f>
        <v/>
      </c>
      <c r="DR140" s="15">
        <f>CX140+DC140+DH140+DM140</f>
        <v/>
      </c>
      <c r="DS140" s="15">
        <f>CY140+DD140+DI140+DN140</f>
        <v/>
      </c>
      <c r="DT140" s="15">
        <f>CZ140+DE140+DJ140+DO140</f>
        <v/>
      </c>
      <c r="DU140" s="15">
        <f>DA140+DF140+DK140+DP140</f>
        <v/>
      </c>
      <c r="DV140" s="15">
        <f>DB140+DG140+DL140+DQ140</f>
        <v/>
      </c>
      <c r="DW140" s="14" t="n">
        <v>7</v>
      </c>
      <c r="DX140" s="14" t="n">
        <v>7</v>
      </c>
      <c r="DY140" s="14" t="n">
        <v>0</v>
      </c>
      <c r="DZ140" s="14" t="n">
        <v>0</v>
      </c>
      <c r="EA140" s="14" t="n">
        <v>0</v>
      </c>
      <c r="EB140" s="14" t="n">
        <v>2</v>
      </c>
      <c r="EC140" s="14" t="n">
        <v>0</v>
      </c>
      <c r="ED140" s="14" t="n">
        <v>0</v>
      </c>
      <c r="EE140" s="14" t="n">
        <v>0</v>
      </c>
      <c r="EF140" s="14" t="n">
        <v>0</v>
      </c>
      <c r="EG140" s="14" t="n">
        <v>0</v>
      </c>
      <c r="EH140" s="14" t="n">
        <v>0</v>
      </c>
      <c r="EI140" s="14" t="n">
        <v>0</v>
      </c>
      <c r="EJ140" s="14" t="n">
        <v>0</v>
      </c>
      <c r="EK140" s="14" t="n">
        <v>0</v>
      </c>
      <c r="EL140" s="14" t="n">
        <v>0</v>
      </c>
      <c r="EM140" s="14" t="n">
        <v>0</v>
      </c>
      <c r="EN140" s="14" t="n">
        <v>0</v>
      </c>
      <c r="EO140" s="14" t="n">
        <v>0</v>
      </c>
      <c r="EP140" s="14" t="n">
        <v>0</v>
      </c>
      <c r="EQ140" s="14" t="n">
        <v>0</v>
      </c>
      <c r="ER140" s="14" t="n">
        <v>0</v>
      </c>
      <c r="ES140" s="14" t="n">
        <v>0</v>
      </c>
      <c r="ET140" s="14" t="n">
        <v>0</v>
      </c>
      <c r="EU140" s="14" t="n">
        <v>0</v>
      </c>
      <c r="EV140" s="14" t="n">
        <v>0</v>
      </c>
      <c r="EW140" s="14" t="n">
        <v>0</v>
      </c>
      <c r="EX140" s="14" t="n">
        <v>0</v>
      </c>
      <c r="EY140" s="14" t="n">
        <v>0</v>
      </c>
      <c r="EZ140" s="14" t="n">
        <v>0</v>
      </c>
      <c r="FA140" s="14" t="n">
        <v>0</v>
      </c>
      <c r="FB140" s="14" t="n">
        <v>0</v>
      </c>
      <c r="FC140" s="14" t="n">
        <v>0</v>
      </c>
      <c r="FD140" s="14" t="n">
        <v>0</v>
      </c>
      <c r="FE140" s="14" t="n">
        <v>0</v>
      </c>
      <c r="FF140" s="14" t="n">
        <v>0</v>
      </c>
      <c r="FG140" s="15">
        <f>SUM(DW140,DX140,DY140,DZ140,EA140,EB140,EC140,ED140,EE140,EF140,EG140,EH140,EI140,EJ140,EK140,EL140,EM140,EN140,EO140,EP140,EQ140,ER140,ES140,ET140,EU140,EV140,EW140,EX140,EY140,EZ140,FA140,FB140,FC140,FD140,FE140,FF140)</f>
        <v/>
      </c>
      <c r="FH140" s="14" t="n">
        <v>7</v>
      </c>
      <c r="FI140" s="14" t="n">
        <v>7</v>
      </c>
      <c r="FJ140" s="14" t="n">
        <v>24</v>
      </c>
      <c r="FK140" s="14" t="n">
        <v>49</v>
      </c>
      <c r="FL140" s="14" t="n">
        <v>49</v>
      </c>
      <c r="FM140" s="14" t="n">
        <v>0</v>
      </c>
      <c r="FN140" s="14" t="n">
        <v>0</v>
      </c>
      <c r="FO140" s="14" t="n">
        <v>0</v>
      </c>
      <c r="FP140" s="14" t="n">
        <v>0</v>
      </c>
      <c r="FQ140" s="15">
        <f>FL140+FM140+FN140+FO140+FP140</f>
        <v/>
      </c>
      <c r="FR140" s="14" t="n">
        <v>0</v>
      </c>
      <c r="FS140" s="14" t="n">
        <v>0</v>
      </c>
      <c r="FT140" s="14" t="n">
        <v>0</v>
      </c>
      <c r="FU140" s="14" t="n">
        <v>0</v>
      </c>
      <c r="FV140" s="15">
        <f>FR140+FS140+FT140+FU140</f>
        <v/>
      </c>
      <c r="FW140" s="14" t="n">
        <v>202170</v>
      </c>
      <c r="FX140" s="14" t="n">
        <v>0</v>
      </c>
      <c r="FY140" s="14" t="n">
        <v>0</v>
      </c>
      <c r="FZ140" s="14" t="n">
        <v>0</v>
      </c>
      <c r="GA140" s="15">
        <f>FW140+FX140+FY140+FZ140</f>
        <v/>
      </c>
      <c r="GB140" s="15">
        <f>FV140+GA140</f>
        <v/>
      </c>
      <c r="GC140" s="14" t="n">
        <v>0</v>
      </c>
      <c r="GD140" s="14" t="n">
        <v>0</v>
      </c>
      <c r="GE140" s="14" t="n">
        <v>0</v>
      </c>
      <c r="GF140" s="14" t="n">
        <v>0</v>
      </c>
      <c r="GG140" s="15">
        <f>GC140+GD140+GE140+GF140</f>
        <v/>
      </c>
      <c r="GH140" s="14" t="n">
        <v>0</v>
      </c>
      <c r="GI140" s="14" t="n">
        <v>0</v>
      </c>
      <c r="GJ140" s="14" t="n">
        <v>0</v>
      </c>
      <c r="GK140" s="14" t="n">
        <v>0</v>
      </c>
      <c r="GL140" s="15">
        <f>GH140+GI140+GJ140+GK140</f>
        <v/>
      </c>
      <c r="GM140" s="15">
        <f>GG140+GL140</f>
        <v/>
      </c>
      <c r="GN140" s="14" t="n">
        <v>0</v>
      </c>
      <c r="GO140" s="14" t="n">
        <v>0</v>
      </c>
      <c r="GP140" s="14" t="n">
        <v>0</v>
      </c>
      <c r="GQ140" s="14" t="n">
        <v>0</v>
      </c>
      <c r="GR140" s="15">
        <f>GN140+GO140+GP140+GQ140</f>
        <v/>
      </c>
      <c r="GS140" s="14" t="n">
        <v>0</v>
      </c>
      <c r="GT140" s="14" t="n">
        <v>0</v>
      </c>
      <c r="GU140" s="14" t="n">
        <v>0</v>
      </c>
      <c r="GV140" s="14" t="n">
        <v>0</v>
      </c>
      <c r="GW140" s="15">
        <f>GS140+GT140+GU140+GV140</f>
        <v/>
      </c>
      <c r="GX140" s="15">
        <f>GM140+GR140+GW140</f>
        <v/>
      </c>
      <c r="GY140" s="14" t="n">
        <v>2518673.28</v>
      </c>
      <c r="GZ140" s="14" t="n">
        <v>0</v>
      </c>
      <c r="HA140" s="15">
        <f>GY140+GZ140</f>
        <v/>
      </c>
      <c r="HB140" s="15">
        <f>IF(GX140=0,"",AU140/GX140)</f>
        <v/>
      </c>
      <c r="HC140" s="16">
        <f>IF((GX140+GY140)=0,"",GB140/(GX140+GY140))</f>
        <v/>
      </c>
      <c r="HD140" s="15">
        <f>IF(GX140=0,"",GB140/GX140)</f>
        <v/>
      </c>
      <c r="HE140" s="14" t="n">
        <v>0</v>
      </c>
      <c r="HF140" s="14" t="n">
        <v>0</v>
      </c>
      <c r="HG140" s="14" t="n">
        <v>0</v>
      </c>
      <c r="HH140" s="14" t="n">
        <v>0</v>
      </c>
      <c r="HI140" s="14" t="n">
        <v>0</v>
      </c>
      <c r="HJ140" s="15">
        <f>HF140+HI140</f>
        <v/>
      </c>
      <c r="HK140" s="16">
        <f>IF(HE140=0,"",HH140/HE140)</f>
        <v/>
      </c>
      <c r="HL140" s="14" t="n">
        <v>2</v>
      </c>
      <c r="HM140" s="14" t="n">
        <v>1</v>
      </c>
      <c r="HN140" s="17">
        <f>IF(HL140=0,"",HM140/HL140)</f>
        <v/>
      </c>
    </row>
    <row r="141">
      <c r="A141" s="6" t="inlineStr">
        <is>
          <t>Mulanje</t>
        </is>
      </c>
      <c r="B141" s="6" t="inlineStr">
        <is>
          <t>Mikolongwe</t>
        </is>
      </c>
      <c r="C141" s="7" t="inlineStr">
        <is>
          <t>FY2025/26</t>
        </is>
      </c>
      <c r="D141" s="7" t="n">
        <v>2025</v>
      </c>
      <c r="E141" s="7" t="n">
        <v>10</v>
      </c>
      <c r="F141" s="7" t="inlineStr">
        <is>
          <t>October</t>
        </is>
      </c>
      <c r="G141" s="7" t="inlineStr">
        <is>
          <t>Q3</t>
        </is>
      </c>
      <c r="H141" s="8" t="n">
        <v>1050</v>
      </c>
      <c r="I141" s="8" t="n">
        <v>0</v>
      </c>
      <c r="J141" s="8" t="n">
        <v>0</v>
      </c>
      <c r="K141" s="8" t="n">
        <v>0</v>
      </c>
      <c r="L141" s="8" t="n">
        <v>0</v>
      </c>
      <c r="M141" s="9">
        <f>SUM(I141,J141,K141,L141)</f>
        <v/>
      </c>
      <c r="N141" s="8" t="n">
        <v>349</v>
      </c>
      <c r="O141" s="8" t="n">
        <v>0</v>
      </c>
      <c r="P141" s="8" t="n">
        <v>498</v>
      </c>
      <c r="Q141" s="8" t="n">
        <v>0</v>
      </c>
      <c r="R141" s="9">
        <f>SUM(N141,O141,P141,Q141)</f>
        <v/>
      </c>
      <c r="S141" s="9">
        <f>M141+R141</f>
        <v/>
      </c>
      <c r="T141" s="8" t="n">
        <v>203</v>
      </c>
      <c r="U141" s="10">
        <f>IF(H141=0,"",T141/H141)</f>
        <v/>
      </c>
      <c r="V141" s="8" t="n">
        <v>4</v>
      </c>
      <c r="W141" s="11">
        <f>IF(H141=0,"",V141/H141)</f>
        <v/>
      </c>
      <c r="X141" s="8" t="n">
        <v>0</v>
      </c>
      <c r="Y141" s="11">
        <f>IF(H141=0,"",X141/H141)</f>
        <v/>
      </c>
      <c r="Z141" s="8" t="n">
        <v>0</v>
      </c>
      <c r="AA141" s="11">
        <f>IF(H141=0,"",Z141/H141)</f>
        <v/>
      </c>
      <c r="AB141" s="8" t="n">
        <v>0</v>
      </c>
      <c r="AC141" s="11">
        <f>IF(H141=0,"",AB141/H141)</f>
        <v/>
      </c>
      <c r="AD141" s="8" t="n">
        <v>0</v>
      </c>
      <c r="AE141" s="11">
        <f>IF(H141=0,"",AD141/H141)</f>
        <v/>
      </c>
      <c r="AF141" s="8" t="n">
        <v>0</v>
      </c>
      <c r="AG141" s="11">
        <f>IF(H141=0,"",AF141/H141)</f>
        <v/>
      </c>
      <c r="AH141" s="8" t="n">
        <v>20446.68</v>
      </c>
      <c r="AI141" s="9">
        <f>IF(H141=0,"",AH141/H141)</f>
        <v/>
      </c>
      <c r="AJ141" s="8" t="n">
        <v>595</v>
      </c>
      <c r="AK141" s="11">
        <f>IF(H141=0,"",AJ141/H141)</f>
        <v/>
      </c>
      <c r="AL141" s="8" t="n">
        <v>98983.6425</v>
      </c>
      <c r="AM141" s="9">
        <f>IF(H141=0,"",AL141/H141)</f>
        <v/>
      </c>
      <c r="AN141" s="8" t="n">
        <v>0</v>
      </c>
      <c r="AO141" s="8" t="n">
        <v>0</v>
      </c>
      <c r="AP141" s="8" t="n">
        <v>0</v>
      </c>
      <c r="AQ141" s="8" t="n">
        <v>0</v>
      </c>
      <c r="AR141" s="8" t="n">
        <v>0</v>
      </c>
      <c r="AS141" s="8" t="n">
        <v>0</v>
      </c>
      <c r="AT141" s="8" t="n">
        <v>0</v>
      </c>
      <c r="AU141" s="9">
        <f>AH141+AL141+AP141+AQ141+AR141+AS141+AT141</f>
        <v/>
      </c>
      <c r="AV141" s="9">
        <f>IF(H141=0,"",AU141/H141)</f>
        <v/>
      </c>
      <c r="AW141" s="9">
        <f>IF(S141=0,"",AU141/S141)</f>
        <v/>
      </c>
      <c r="AX141" s="8" t="n">
        <v>0</v>
      </c>
      <c r="AY141" s="9">
        <f>IF(H141=0,"",AX141/(H141/1000/12))</f>
        <v/>
      </c>
      <c r="AZ141" s="8" t="n">
        <v>2</v>
      </c>
      <c r="BA141" s="8" t="n">
        <v>0</v>
      </c>
      <c r="BB141" s="8" t="n">
        <v>0</v>
      </c>
      <c r="BC141" s="8" t="n">
        <v>0</v>
      </c>
      <c r="BD141" s="8" t="n">
        <v>0</v>
      </c>
      <c r="BE141" s="9">
        <f>BC141+BD141</f>
        <v/>
      </c>
      <c r="BF141" s="9">
        <f>BA141+BB141-BE141</f>
        <v/>
      </c>
      <c r="BG141" s="8" t="n">
        <v>0</v>
      </c>
      <c r="BH141" s="8" t="n">
        <v>0</v>
      </c>
      <c r="BI141" s="8" t="n">
        <v>0</v>
      </c>
      <c r="BJ141" s="8" t="n">
        <v>0</v>
      </c>
      <c r="BK141" s="9">
        <f>BI141+BJ141</f>
        <v/>
      </c>
      <c r="BL141" s="9">
        <f>BG141+BH141-BK141</f>
        <v/>
      </c>
      <c r="BM141" s="8" t="n">
        <v>0</v>
      </c>
      <c r="BN141" s="8" t="n">
        <v>0</v>
      </c>
      <c r="BO141" s="8" t="n">
        <v>0</v>
      </c>
      <c r="BP141" s="8" t="n">
        <v>0</v>
      </c>
      <c r="BQ141" s="9">
        <f>BO141+BP141</f>
        <v/>
      </c>
      <c r="BR141" s="9">
        <f>BM141+BN141-BQ141</f>
        <v/>
      </c>
      <c r="BS141" s="8" t="n">
        <v>0</v>
      </c>
      <c r="BT141" s="8" t="n">
        <v>0</v>
      </c>
      <c r="BU141" s="8" t="n">
        <v>0</v>
      </c>
      <c r="BV141" s="8" t="n">
        <v>0</v>
      </c>
      <c r="BW141" s="9">
        <f>BU141+BV141</f>
        <v/>
      </c>
      <c r="BX141" s="9">
        <f>BS141+BT141-BW141</f>
        <v/>
      </c>
      <c r="BY141" s="9">
        <f>BA141+BG141+BM141+BS141</f>
        <v/>
      </c>
      <c r="BZ141" s="9">
        <f>BB141+BH141+BN141+BT141</f>
        <v/>
      </c>
      <c r="CA141" s="9">
        <f>BE141+BK141+BQ141+BW141</f>
        <v/>
      </c>
      <c r="CB141" s="9">
        <f>BF141+BL141+BR141+BX141</f>
        <v/>
      </c>
      <c r="CC141" s="8" t="n">
        <v>0</v>
      </c>
      <c r="CD141" s="8" t="n">
        <v>14</v>
      </c>
      <c r="CE141" s="8" t="n">
        <v>0</v>
      </c>
      <c r="CF141" s="8" t="n">
        <v>2</v>
      </c>
      <c r="CG141" s="8" t="n">
        <v>0</v>
      </c>
      <c r="CH141" s="9">
        <f>CD141+CE141+CF141+CG141</f>
        <v/>
      </c>
      <c r="CI141" s="8" t="n">
        <v>0</v>
      </c>
      <c r="CJ141" s="8" t="n">
        <v>0</v>
      </c>
      <c r="CK141" s="8" t="n">
        <v>0</v>
      </c>
      <c r="CL141" s="8" t="n">
        <v>0</v>
      </c>
      <c r="CM141" s="9">
        <f>CI141+CJ141+CK141+CL141</f>
        <v/>
      </c>
      <c r="CN141" s="8" t="n">
        <v>42</v>
      </c>
      <c r="CO141" s="8" t="n">
        <v>8</v>
      </c>
      <c r="CP141" s="8" t="n">
        <v>0</v>
      </c>
      <c r="CQ141" s="8" t="n">
        <v>0</v>
      </c>
      <c r="CR141" s="9">
        <f>CN141+CO141+CP141+CQ141</f>
        <v/>
      </c>
      <c r="CS141" s="9">
        <f>CM141+CR141</f>
        <v/>
      </c>
      <c r="CT141" s="8" t="n">
        <v>66</v>
      </c>
      <c r="CU141" s="8" t="n">
        <v>1258</v>
      </c>
      <c r="CV141" s="8" t="n">
        <v>1032</v>
      </c>
      <c r="CW141" s="10">
        <f>IF(CU141=0,"",CV141/CU141)</f>
        <v/>
      </c>
      <c r="CX141" s="8" t="n"/>
      <c r="CY141" s="8" t="n"/>
      <c r="CZ141" s="8" t="n"/>
      <c r="DA141" s="8" t="n"/>
      <c r="DB141" s="9">
        <f>CX141+CY141-CZ141-DA141</f>
        <v/>
      </c>
      <c r="DC141" s="8" t="n">
        <v>0</v>
      </c>
      <c r="DD141" s="8" t="n">
        <v>0</v>
      </c>
      <c r="DE141" s="8" t="n">
        <v>0</v>
      </c>
      <c r="DF141" s="8" t="n">
        <v>0</v>
      </c>
      <c r="DG141" s="9">
        <f>DC141+DD141-DE141-DF141</f>
        <v/>
      </c>
      <c r="DH141" s="8" t="n">
        <v>0</v>
      </c>
      <c r="DI141" s="8" t="n">
        <v>0</v>
      </c>
      <c r="DJ141" s="8" t="n">
        <v>0</v>
      </c>
      <c r="DK141" s="8" t="n">
        <v>0</v>
      </c>
      <c r="DL141" s="9">
        <f>DH141+DI141-DJ141-DK141</f>
        <v/>
      </c>
      <c r="DM141" s="8" t="n">
        <v>0</v>
      </c>
      <c r="DN141" s="8" t="n">
        <v>0</v>
      </c>
      <c r="DO141" s="8" t="n">
        <v>0</v>
      </c>
      <c r="DP141" s="8" t="n">
        <v>0</v>
      </c>
      <c r="DQ141" s="9">
        <f>DM141+DN141-DO141-DP141</f>
        <v/>
      </c>
      <c r="DR141" s="9">
        <f>CX141+DC141+DH141+DM141</f>
        <v/>
      </c>
      <c r="DS141" s="9">
        <f>CY141+DD141+DI141+DN141</f>
        <v/>
      </c>
      <c r="DT141" s="9">
        <f>CZ141+DE141+DJ141+DO141</f>
        <v/>
      </c>
      <c r="DU141" s="9">
        <f>DA141+DF141+DK141+DP141</f>
        <v/>
      </c>
      <c r="DV141" s="9">
        <f>DB141+DG141+DL141+DQ141</f>
        <v/>
      </c>
      <c r="DW141" s="8" t="n">
        <v>5</v>
      </c>
      <c r="DX141" s="8" t="n">
        <v>5</v>
      </c>
      <c r="DY141" s="8" t="n">
        <v>1</v>
      </c>
      <c r="DZ141" s="8" t="n">
        <v>1</v>
      </c>
      <c r="EA141" s="8" t="n">
        <v>0</v>
      </c>
      <c r="EB141" s="8" t="n">
        <v>0</v>
      </c>
      <c r="EC141" s="8" t="n">
        <v>0</v>
      </c>
      <c r="ED141" s="8" t="n">
        <v>0</v>
      </c>
      <c r="EE141" s="8" t="n">
        <v>0</v>
      </c>
      <c r="EF141" s="8" t="n">
        <v>0</v>
      </c>
      <c r="EG141" s="8" t="n">
        <v>0</v>
      </c>
      <c r="EH141" s="8" t="n">
        <v>0</v>
      </c>
      <c r="EI141" s="8" t="n">
        <v>0</v>
      </c>
      <c r="EJ141" s="8" t="n">
        <v>0</v>
      </c>
      <c r="EK141" s="8" t="n">
        <v>0</v>
      </c>
      <c r="EL141" s="8" t="n">
        <v>0</v>
      </c>
      <c r="EM141" s="8" t="n">
        <v>0</v>
      </c>
      <c r="EN141" s="8" t="n">
        <v>0</v>
      </c>
      <c r="EO141" s="8" t="n">
        <v>0</v>
      </c>
      <c r="EP141" s="8" t="n">
        <v>0</v>
      </c>
      <c r="EQ141" s="8" t="n">
        <v>0</v>
      </c>
      <c r="ER141" s="8" t="n">
        <v>0</v>
      </c>
      <c r="ES141" s="8" t="n">
        <v>0</v>
      </c>
      <c r="ET141" s="8" t="n">
        <v>0</v>
      </c>
      <c r="EU141" s="8" t="n">
        <v>0</v>
      </c>
      <c r="EV141" s="8" t="n">
        <v>0</v>
      </c>
      <c r="EW141" s="8" t="n">
        <v>0</v>
      </c>
      <c r="EX141" s="8" t="n">
        <v>0</v>
      </c>
      <c r="EY141" s="8" t="n">
        <v>0</v>
      </c>
      <c r="EZ141" s="8" t="n">
        <v>0</v>
      </c>
      <c r="FA141" s="8" t="n">
        <v>0</v>
      </c>
      <c r="FB141" s="8" t="n">
        <v>0</v>
      </c>
      <c r="FC141" s="8" t="n">
        <v>0</v>
      </c>
      <c r="FD141" s="8" t="n">
        <v>0</v>
      </c>
      <c r="FE141" s="8" t="n">
        <v>0</v>
      </c>
      <c r="FF141" s="8" t="n">
        <v>0</v>
      </c>
      <c r="FG141" s="9">
        <f>SUM(DW141,DX141,DY141,DZ141,EA141,EB141,EC141,ED141,EE141,EF141,EG141,EH141,EI141,EJ141,EK141,EL141,EM141,EN141,EO141,EP141,EQ141,ER141,ES141,ET141,EU141,EV141,EW141,EX141,EY141,EZ141,FA141,FB141,FC141,FD141,FE141,FF141)</f>
        <v/>
      </c>
      <c r="FH141" s="8" t="n">
        <v>3</v>
      </c>
      <c r="FI141" s="8" t="n">
        <v>24</v>
      </c>
      <c r="FJ141" s="8" t="n">
        <v>23</v>
      </c>
      <c r="FK141" s="8" t="n">
        <v>72</v>
      </c>
      <c r="FL141" s="8" t="n">
        <v>72</v>
      </c>
      <c r="FM141" s="8" t="n">
        <v>0</v>
      </c>
      <c r="FN141" s="8" t="n">
        <v>0</v>
      </c>
      <c r="FO141" s="8" t="n">
        <v>0</v>
      </c>
      <c r="FP141" s="8" t="n">
        <v>0</v>
      </c>
      <c r="FQ141" s="9">
        <f>FL141+FM141+FN141+FO141+FP141</f>
        <v/>
      </c>
      <c r="FR141" s="8" t="n">
        <v>0</v>
      </c>
      <c r="FS141" s="8" t="n">
        <v>0</v>
      </c>
      <c r="FT141" s="8" t="n">
        <v>0</v>
      </c>
      <c r="FU141" s="8" t="n">
        <v>0</v>
      </c>
      <c r="FV141" s="9">
        <f>FR141+FS141+FT141+FU141</f>
        <v/>
      </c>
      <c r="FW141" s="8" t="n">
        <v>227900</v>
      </c>
      <c r="FX141" s="8" t="n">
        <v>0</v>
      </c>
      <c r="FY141" s="8" t="n">
        <v>0</v>
      </c>
      <c r="FZ141" s="8" t="n">
        <v>0</v>
      </c>
      <c r="GA141" s="9">
        <f>FW141+FX141+FY141+FZ141</f>
        <v/>
      </c>
      <c r="GB141" s="9">
        <f>FV141+GA141</f>
        <v/>
      </c>
      <c r="GC141" s="8" t="n">
        <v>0</v>
      </c>
      <c r="GD141" s="8" t="n">
        <v>0</v>
      </c>
      <c r="GE141" s="8" t="n">
        <v>0</v>
      </c>
      <c r="GF141" s="8" t="n">
        <v>0</v>
      </c>
      <c r="GG141" s="9">
        <f>GC141+GD141+GE141+GF141</f>
        <v/>
      </c>
      <c r="GH141" s="8" t="n">
        <v>0</v>
      </c>
      <c r="GI141" s="8" t="n">
        <v>0</v>
      </c>
      <c r="GJ141" s="8" t="n">
        <v>0</v>
      </c>
      <c r="GK141" s="8" t="n">
        <v>0</v>
      </c>
      <c r="GL141" s="9">
        <f>GH141+GI141+GJ141+GK141</f>
        <v/>
      </c>
      <c r="GM141" s="9">
        <f>GG141+GL141</f>
        <v/>
      </c>
      <c r="GN141" s="8" t="n">
        <v>0</v>
      </c>
      <c r="GO141" s="8" t="n">
        <v>0</v>
      </c>
      <c r="GP141" s="8" t="n">
        <v>0</v>
      </c>
      <c r="GQ141" s="8" t="n">
        <v>0</v>
      </c>
      <c r="GR141" s="9">
        <f>GN141+GO141+GP141+GQ141</f>
        <v/>
      </c>
      <c r="GS141" s="8" t="n">
        <v>0</v>
      </c>
      <c r="GT141" s="8" t="n">
        <v>0</v>
      </c>
      <c r="GU141" s="8" t="n">
        <v>0</v>
      </c>
      <c r="GV141" s="8" t="n">
        <v>0</v>
      </c>
      <c r="GW141" s="9">
        <f>GS141+GT141+GU141+GV141</f>
        <v/>
      </c>
      <c r="GX141" s="9">
        <f>GM141+GR141+GW141</f>
        <v/>
      </c>
      <c r="GY141" s="8" t="n">
        <v>2518673.28</v>
      </c>
      <c r="GZ141" s="8" t="n">
        <v>0</v>
      </c>
      <c r="HA141" s="9">
        <f>GY141+GZ141</f>
        <v/>
      </c>
      <c r="HB141" s="9">
        <f>IF(GX141=0,"",AU141/GX141)</f>
        <v/>
      </c>
      <c r="HC141" s="10">
        <f>IF((GX141+GY141)=0,"",GB141/(GX141+GY141))</f>
        <v/>
      </c>
      <c r="HD141" s="9">
        <f>IF(GX141=0,"",GB141/GX141)</f>
        <v/>
      </c>
      <c r="HE141" s="8" t="n">
        <v>0</v>
      </c>
      <c r="HF141" s="8" t="n">
        <v>0</v>
      </c>
      <c r="HG141" s="8" t="n">
        <v>0</v>
      </c>
      <c r="HH141" s="8" t="n">
        <v>0</v>
      </c>
      <c r="HI141" s="8" t="n">
        <v>0</v>
      </c>
      <c r="HJ141" s="9">
        <f>HF141+HI141</f>
        <v/>
      </c>
      <c r="HK141" s="10">
        <f>IF(HE141=0,"",HH141/HE141)</f>
        <v/>
      </c>
      <c r="HL141" s="8" t="n">
        <v>5</v>
      </c>
      <c r="HM141" s="8" t="n">
        <v>3</v>
      </c>
      <c r="HN141" s="11">
        <f>IF(HL141=0,"",HM141/HL141)</f>
        <v/>
      </c>
    </row>
    <row r="142">
      <c r="A142" s="12" t="inlineStr">
        <is>
          <t>Mulanje</t>
        </is>
      </c>
      <c r="B142" s="12" t="inlineStr">
        <is>
          <t>Mikolongwe</t>
        </is>
      </c>
      <c r="C142" s="13" t="inlineStr">
        <is>
          <t>FY2025/26</t>
        </is>
      </c>
      <c r="D142" s="13" t="n">
        <v>2025</v>
      </c>
      <c r="E142" s="13" t="n">
        <v>11</v>
      </c>
      <c r="F142" s="13" t="inlineStr">
        <is>
          <t>November</t>
        </is>
      </c>
      <c r="G142" s="13" t="inlineStr">
        <is>
          <t>Q3</t>
        </is>
      </c>
      <c r="H142" s="14" t="n">
        <v>700</v>
      </c>
      <c r="I142" s="14" t="n">
        <v>0</v>
      </c>
      <c r="J142" s="14" t="n">
        <v>0</v>
      </c>
      <c r="K142" s="14" t="n">
        <v>0</v>
      </c>
      <c r="L142" s="14" t="n">
        <v>0</v>
      </c>
      <c r="M142" s="15">
        <f>SUM(I142,J142,K142,L142)</f>
        <v/>
      </c>
      <c r="N142" s="14" t="n">
        <v>368</v>
      </c>
      <c r="O142" s="14" t="n">
        <v>0</v>
      </c>
      <c r="P142" s="14" t="n">
        <v>124</v>
      </c>
      <c r="Q142" s="14" t="n">
        <v>0</v>
      </c>
      <c r="R142" s="15">
        <f>SUM(N142,O142,P142,Q142)</f>
        <v/>
      </c>
      <c r="S142" s="15">
        <f>M142+R142</f>
        <v/>
      </c>
      <c r="T142" s="14" t="n">
        <v>208</v>
      </c>
      <c r="U142" s="16">
        <f>IF(H142=0,"",T142/H142)</f>
        <v/>
      </c>
      <c r="V142" s="14" t="n">
        <v>3</v>
      </c>
      <c r="W142" s="17">
        <f>IF(H142=0,"",V142/H142)</f>
        <v/>
      </c>
      <c r="X142" s="14" t="n">
        <v>0</v>
      </c>
      <c r="Y142" s="17">
        <f>IF(H142=0,"",X142/H142)</f>
        <v/>
      </c>
      <c r="Z142" s="14" t="n">
        <v>0</v>
      </c>
      <c r="AA142" s="17">
        <f>IF(H142=0,"",Z142/H142)</f>
        <v/>
      </c>
      <c r="AB142" s="14" t="n">
        <v>0</v>
      </c>
      <c r="AC142" s="17">
        <f>IF(H142=0,"",AB142/H142)</f>
        <v/>
      </c>
      <c r="AD142" s="14" t="n">
        <v>0</v>
      </c>
      <c r="AE142" s="17">
        <f>IF(H142=0,"",AD142/H142)</f>
        <v/>
      </c>
      <c r="AF142" s="14" t="n">
        <v>0</v>
      </c>
      <c r="AG142" s="17">
        <f>IF(H142=0,"",AF142/H142)</f>
        <v/>
      </c>
      <c r="AH142" s="14" t="n">
        <v>15335.01</v>
      </c>
      <c r="AI142" s="15">
        <f>IF(H142=0,"",AH142/H142)</f>
        <v/>
      </c>
      <c r="AJ142" s="14" t="n">
        <v>500</v>
      </c>
      <c r="AK142" s="17">
        <f>IF(H142=0,"",AJ142/H142)</f>
        <v/>
      </c>
      <c r="AL142" s="14" t="n">
        <v>85802.25</v>
      </c>
      <c r="AM142" s="15">
        <f>IF(H142=0,"",AL142/H142)</f>
        <v/>
      </c>
      <c r="AN142" s="14" t="n">
        <v>0</v>
      </c>
      <c r="AO142" s="14" t="n">
        <v>0</v>
      </c>
      <c r="AP142" s="14" t="n">
        <v>0</v>
      </c>
      <c r="AQ142" s="14" t="n">
        <v>0</v>
      </c>
      <c r="AR142" s="14" t="n">
        <v>0</v>
      </c>
      <c r="AS142" s="14" t="n">
        <v>0</v>
      </c>
      <c r="AT142" s="14" t="n">
        <v>0</v>
      </c>
      <c r="AU142" s="15">
        <f>AH142+AL142+AP142+AQ142+AR142+AS142+AT142</f>
        <v/>
      </c>
      <c r="AV142" s="15">
        <f>IF(H142=0,"",AU142/H142)</f>
        <v/>
      </c>
      <c r="AW142" s="15">
        <f>IF(S142=0,"",AU142/S142)</f>
        <v/>
      </c>
      <c r="AX142" s="14" t="n">
        <v>0</v>
      </c>
      <c r="AY142" s="15">
        <f>IF(H142=0,"",AX142/(H142/1000/12))</f>
        <v/>
      </c>
      <c r="AZ142" s="14" t="n">
        <v>2</v>
      </c>
      <c r="BA142" s="14" t="n">
        <v>0</v>
      </c>
      <c r="BB142" s="14" t="n">
        <v>0</v>
      </c>
      <c r="BC142" s="14" t="n">
        <v>0</v>
      </c>
      <c r="BD142" s="14" t="n">
        <v>0</v>
      </c>
      <c r="BE142" s="15">
        <f>BC142+BD142</f>
        <v/>
      </c>
      <c r="BF142" s="15">
        <f>BA142+BB142-BE142</f>
        <v/>
      </c>
      <c r="BG142" s="14" t="n">
        <v>0</v>
      </c>
      <c r="BH142" s="14" t="n">
        <v>0</v>
      </c>
      <c r="BI142" s="14" t="n">
        <v>0</v>
      </c>
      <c r="BJ142" s="14" t="n">
        <v>0</v>
      </c>
      <c r="BK142" s="15">
        <f>BI142+BJ142</f>
        <v/>
      </c>
      <c r="BL142" s="15">
        <f>BG142+BH142-BK142</f>
        <v/>
      </c>
      <c r="BM142" s="14" t="n">
        <v>0</v>
      </c>
      <c r="BN142" s="14" t="n">
        <v>0</v>
      </c>
      <c r="BO142" s="14" t="n">
        <v>0</v>
      </c>
      <c r="BP142" s="14" t="n">
        <v>0</v>
      </c>
      <c r="BQ142" s="15">
        <f>BO142+BP142</f>
        <v/>
      </c>
      <c r="BR142" s="15">
        <f>BM142+BN142-BQ142</f>
        <v/>
      </c>
      <c r="BS142" s="14" t="n">
        <v>0</v>
      </c>
      <c r="BT142" s="14" t="n">
        <v>0</v>
      </c>
      <c r="BU142" s="14" t="n">
        <v>0</v>
      </c>
      <c r="BV142" s="14" t="n">
        <v>0</v>
      </c>
      <c r="BW142" s="15">
        <f>BU142+BV142</f>
        <v/>
      </c>
      <c r="BX142" s="15">
        <f>BS142+BT142-BW142</f>
        <v/>
      </c>
      <c r="BY142" s="15">
        <f>BA142+BG142+BM142+BS142</f>
        <v/>
      </c>
      <c r="BZ142" s="15">
        <f>BB142+BH142+BN142+BT142</f>
        <v/>
      </c>
      <c r="CA142" s="15">
        <f>BE142+BK142+BQ142+BW142</f>
        <v/>
      </c>
      <c r="CB142" s="15">
        <f>BF142+BL142+BR142+BX142</f>
        <v/>
      </c>
      <c r="CC142" s="14" t="n">
        <v>0</v>
      </c>
      <c r="CD142" s="14" t="n">
        <v>14</v>
      </c>
      <c r="CE142" s="14" t="n">
        <v>0</v>
      </c>
      <c r="CF142" s="14" t="n">
        <v>2</v>
      </c>
      <c r="CG142" s="14" t="n">
        <v>0</v>
      </c>
      <c r="CH142" s="15">
        <f>CD142+CE142+CF142+CG142</f>
        <v/>
      </c>
      <c r="CI142" s="14" t="n">
        <v>0</v>
      </c>
      <c r="CJ142" s="14" t="n">
        <v>0</v>
      </c>
      <c r="CK142" s="14" t="n">
        <v>0</v>
      </c>
      <c r="CL142" s="14" t="n">
        <v>0</v>
      </c>
      <c r="CM142" s="15">
        <f>CI142+CJ142+CK142+CL142</f>
        <v/>
      </c>
      <c r="CN142" s="14" t="n">
        <v>42</v>
      </c>
      <c r="CO142" s="14" t="n">
        <v>8</v>
      </c>
      <c r="CP142" s="14" t="n">
        <v>0</v>
      </c>
      <c r="CQ142" s="14" t="n">
        <v>0</v>
      </c>
      <c r="CR142" s="15">
        <f>CN142+CO142+CP142+CQ142</f>
        <v/>
      </c>
      <c r="CS142" s="15">
        <f>CM142+CR142</f>
        <v/>
      </c>
      <c r="CT142" s="14" t="n">
        <v>66</v>
      </c>
      <c r="CU142" s="14" t="n">
        <v>1258</v>
      </c>
      <c r="CV142" s="14" t="n">
        <v>1032</v>
      </c>
      <c r="CW142" s="16">
        <f>IF(CU142=0,"",CV142/CU142)</f>
        <v/>
      </c>
      <c r="CX142" s="14" t="n"/>
      <c r="CY142" s="14" t="n"/>
      <c r="CZ142" s="14" t="n"/>
      <c r="DA142" s="14" t="n"/>
      <c r="DB142" s="15">
        <f>CX142+CY142-CZ142-DA142</f>
        <v/>
      </c>
      <c r="DC142" s="14" t="n">
        <v>0</v>
      </c>
      <c r="DD142" s="14" t="n">
        <v>0</v>
      </c>
      <c r="DE142" s="14" t="n">
        <v>0</v>
      </c>
      <c r="DF142" s="14" t="n">
        <v>0</v>
      </c>
      <c r="DG142" s="15">
        <f>DC142+DD142-DE142-DF142</f>
        <v/>
      </c>
      <c r="DH142" s="14" t="n">
        <v>0</v>
      </c>
      <c r="DI142" s="14" t="n">
        <v>0</v>
      </c>
      <c r="DJ142" s="14" t="n">
        <v>0</v>
      </c>
      <c r="DK142" s="14" t="n">
        <v>0</v>
      </c>
      <c r="DL142" s="15">
        <f>DH142+DI142-DJ142-DK142</f>
        <v/>
      </c>
      <c r="DM142" s="14" t="n">
        <v>0</v>
      </c>
      <c r="DN142" s="14" t="n">
        <v>0</v>
      </c>
      <c r="DO142" s="14" t="n">
        <v>0</v>
      </c>
      <c r="DP142" s="14" t="n">
        <v>0</v>
      </c>
      <c r="DQ142" s="15">
        <f>DM142+DN142-DO142-DP142</f>
        <v/>
      </c>
      <c r="DR142" s="15">
        <f>CX142+DC142+DH142+DM142</f>
        <v/>
      </c>
      <c r="DS142" s="15">
        <f>CY142+DD142+DI142+DN142</f>
        <v/>
      </c>
      <c r="DT142" s="15">
        <f>CZ142+DE142+DJ142+DO142</f>
        <v/>
      </c>
      <c r="DU142" s="15">
        <f>DA142+DF142+DK142+DP142</f>
        <v/>
      </c>
      <c r="DV142" s="15">
        <f>DB142+DG142+DL142+DQ142</f>
        <v/>
      </c>
      <c r="DW142" s="14" t="n">
        <v>3</v>
      </c>
      <c r="DX142" s="14" t="n">
        <v>1</v>
      </c>
      <c r="DY142" s="14" t="n">
        <v>1</v>
      </c>
      <c r="DZ142" s="14" t="n">
        <v>1</v>
      </c>
      <c r="EA142" s="14" t="n">
        <v>0</v>
      </c>
      <c r="EB142" s="14" t="n">
        <v>0</v>
      </c>
      <c r="EC142" s="14" t="n">
        <v>0</v>
      </c>
      <c r="ED142" s="14" t="n">
        <v>0</v>
      </c>
      <c r="EE142" s="14" t="n">
        <v>0</v>
      </c>
      <c r="EF142" s="14" t="n">
        <v>0</v>
      </c>
      <c r="EG142" s="14" t="n">
        <v>0</v>
      </c>
      <c r="EH142" s="14" t="n">
        <v>0</v>
      </c>
      <c r="EI142" s="14" t="n">
        <v>0</v>
      </c>
      <c r="EJ142" s="14" t="n">
        <v>0</v>
      </c>
      <c r="EK142" s="14" t="n">
        <v>0</v>
      </c>
      <c r="EL142" s="14" t="n">
        <v>0</v>
      </c>
      <c r="EM142" s="14" t="n">
        <v>0</v>
      </c>
      <c r="EN142" s="14" t="n">
        <v>0</v>
      </c>
      <c r="EO142" s="14" t="n">
        <v>0</v>
      </c>
      <c r="EP142" s="14" t="n">
        <v>0</v>
      </c>
      <c r="EQ142" s="14" t="n">
        <v>0</v>
      </c>
      <c r="ER142" s="14" t="n">
        <v>0</v>
      </c>
      <c r="ES142" s="14" t="n">
        <v>0</v>
      </c>
      <c r="ET142" s="14" t="n">
        <v>0</v>
      </c>
      <c r="EU142" s="14" t="n">
        <v>0</v>
      </c>
      <c r="EV142" s="14" t="n">
        <v>0</v>
      </c>
      <c r="EW142" s="14" t="n">
        <v>0</v>
      </c>
      <c r="EX142" s="14" t="n">
        <v>0</v>
      </c>
      <c r="EY142" s="14" t="n">
        <v>0</v>
      </c>
      <c r="EZ142" s="14" t="n">
        <v>0</v>
      </c>
      <c r="FA142" s="14" t="n">
        <v>0</v>
      </c>
      <c r="FB142" s="14" t="n">
        <v>0</v>
      </c>
      <c r="FC142" s="14" t="n">
        <v>0</v>
      </c>
      <c r="FD142" s="14" t="n">
        <v>0</v>
      </c>
      <c r="FE142" s="14" t="n">
        <v>0</v>
      </c>
      <c r="FF142" s="14" t="n">
        <v>0</v>
      </c>
      <c r="FG142" s="15">
        <f>SUM(DW142,DX142,DY142,DZ142,EA142,EB142,EC142,ED142,EE142,EF142,EG142,EH142,EI142,EJ142,EK142,EL142,EM142,EN142,EO142,EP142,EQ142,ER142,ES142,ET142,EU142,EV142,EW142,EX142,EY142,EZ142,FA142,FB142,FC142,FD142,FE142,FF142)</f>
        <v/>
      </c>
      <c r="FH142" s="14" t="n">
        <v>2</v>
      </c>
      <c r="FI142" s="14" t="n">
        <v>24</v>
      </c>
      <c r="FJ142" s="14" t="n">
        <v>24</v>
      </c>
      <c r="FK142" s="14" t="n">
        <v>24</v>
      </c>
      <c r="FL142" s="14" t="n">
        <v>24</v>
      </c>
      <c r="FM142" s="14" t="n">
        <v>0</v>
      </c>
      <c r="FN142" s="14" t="n">
        <v>0</v>
      </c>
      <c r="FO142" s="14" t="n">
        <v>0</v>
      </c>
      <c r="FP142" s="14" t="n">
        <v>0</v>
      </c>
      <c r="FQ142" s="15">
        <f>FL142+FM142+FN142+FO142+FP142</f>
        <v/>
      </c>
      <c r="FR142" s="14" t="n">
        <v>0</v>
      </c>
      <c r="FS142" s="14" t="n">
        <v>0</v>
      </c>
      <c r="FT142" s="14" t="n">
        <v>0</v>
      </c>
      <c r="FU142" s="14" t="n">
        <v>0</v>
      </c>
      <c r="FV142" s="15">
        <f>FR142+FS142+FT142+FU142</f>
        <v/>
      </c>
      <c r="FW142" s="14" t="n">
        <v>0</v>
      </c>
      <c r="FX142" s="14" t="n">
        <v>0</v>
      </c>
      <c r="FY142" s="14" t="n">
        <v>0</v>
      </c>
      <c r="FZ142" s="14" t="n">
        <v>0</v>
      </c>
      <c r="GA142" s="15">
        <f>FW142+FX142+FY142+FZ142</f>
        <v/>
      </c>
      <c r="GB142" s="15">
        <f>FV142+GA142</f>
        <v/>
      </c>
      <c r="GC142" s="14" t="n">
        <v>0</v>
      </c>
      <c r="GD142" s="14" t="n">
        <v>0</v>
      </c>
      <c r="GE142" s="14" t="n">
        <v>0</v>
      </c>
      <c r="GF142" s="14" t="n">
        <v>0</v>
      </c>
      <c r="GG142" s="15">
        <f>GC142+GD142+GE142+GF142</f>
        <v/>
      </c>
      <c r="GH142" s="14" t="n">
        <v>0</v>
      </c>
      <c r="GI142" s="14" t="n">
        <v>0</v>
      </c>
      <c r="GJ142" s="14" t="n">
        <v>0</v>
      </c>
      <c r="GK142" s="14" t="n">
        <v>0</v>
      </c>
      <c r="GL142" s="15">
        <f>GH142+GI142+GJ142+GK142</f>
        <v/>
      </c>
      <c r="GM142" s="15">
        <f>GG142+GL142</f>
        <v/>
      </c>
      <c r="GN142" s="14" t="n">
        <v>0</v>
      </c>
      <c r="GO142" s="14" t="n">
        <v>0</v>
      </c>
      <c r="GP142" s="14" t="n">
        <v>0</v>
      </c>
      <c r="GQ142" s="14" t="n">
        <v>0</v>
      </c>
      <c r="GR142" s="15">
        <f>GN142+GO142+GP142+GQ142</f>
        <v/>
      </c>
      <c r="GS142" s="14" t="n">
        <v>0</v>
      </c>
      <c r="GT142" s="14" t="n">
        <v>0</v>
      </c>
      <c r="GU142" s="14" t="n">
        <v>0</v>
      </c>
      <c r="GV142" s="14" t="n">
        <v>0</v>
      </c>
      <c r="GW142" s="15">
        <f>GS142+GT142+GU142+GV142</f>
        <v/>
      </c>
      <c r="GX142" s="15">
        <f>GM142+GR142+GW142</f>
        <v/>
      </c>
      <c r="GY142" s="14" t="n">
        <v>2518673.28</v>
      </c>
      <c r="GZ142" s="14" t="n">
        <v>0</v>
      </c>
      <c r="HA142" s="15">
        <f>GY142+GZ142</f>
        <v/>
      </c>
      <c r="HB142" s="15">
        <f>IF(GX142=0,"",AU142/GX142)</f>
        <v/>
      </c>
      <c r="HC142" s="16">
        <f>IF((GX142+GY142)=0,"",GB142/(GX142+GY142))</f>
        <v/>
      </c>
      <c r="HD142" s="15">
        <f>IF(GX142=0,"",GB142/GX142)</f>
        <v/>
      </c>
      <c r="HE142" s="14" t="n">
        <v>0</v>
      </c>
      <c r="HF142" s="14" t="n">
        <v>0</v>
      </c>
      <c r="HG142" s="14" t="n">
        <v>0</v>
      </c>
      <c r="HH142" s="14" t="n">
        <v>0</v>
      </c>
      <c r="HI142" s="14" t="n">
        <v>0</v>
      </c>
      <c r="HJ142" s="15">
        <f>HF142+HI142</f>
        <v/>
      </c>
      <c r="HK142" s="16">
        <f>IF(HE142=0,"",HH142/HE142)</f>
        <v/>
      </c>
      <c r="HL142" s="14" t="n">
        <v>4</v>
      </c>
      <c r="HM142" s="14" t="n">
        <v>2</v>
      </c>
      <c r="HN142" s="17">
        <f>IF(HL142=0,"",HM142/HL142)</f>
        <v/>
      </c>
    </row>
    <row r="143">
      <c r="A143" s="6" t="inlineStr">
        <is>
          <t>Mulanje</t>
        </is>
      </c>
      <c r="B143" s="6" t="inlineStr">
        <is>
          <t>Mikolongwe</t>
        </is>
      </c>
      <c r="C143" s="7" t="inlineStr">
        <is>
          <t>FY2025/26</t>
        </is>
      </c>
      <c r="D143" s="7" t="n">
        <v>2025</v>
      </c>
      <c r="E143" s="7" t="n">
        <v>12</v>
      </c>
      <c r="F143" s="7" t="inlineStr">
        <is>
          <t>December</t>
        </is>
      </c>
      <c r="G143" s="7" t="inlineStr">
        <is>
          <t>Q3</t>
        </is>
      </c>
      <c r="H143" s="8" t="n">
        <v>763</v>
      </c>
      <c r="I143" s="8" t="n">
        <v>0</v>
      </c>
      <c r="J143" s="8" t="n">
        <v>0</v>
      </c>
      <c r="K143" s="8" t="n">
        <v>0</v>
      </c>
      <c r="L143" s="8" t="n">
        <v>0</v>
      </c>
      <c r="M143" s="9">
        <f>SUM(I143,J143,K143,L143)</f>
        <v/>
      </c>
      <c r="N143" s="8" t="n">
        <v>272</v>
      </c>
      <c r="O143" s="8" t="n">
        <v>0</v>
      </c>
      <c r="P143" s="8" t="n">
        <v>322</v>
      </c>
      <c r="Q143" s="8" t="n">
        <v>0</v>
      </c>
      <c r="R143" s="9">
        <f>SUM(N143,O143,P143,Q143)</f>
        <v/>
      </c>
      <c r="S143" s="9">
        <f>M143+R143</f>
        <v/>
      </c>
      <c r="T143" s="8" t="n">
        <v>169</v>
      </c>
      <c r="U143" s="10">
        <f>IF(H143=0,"",T143/H143)</f>
        <v/>
      </c>
      <c r="V143" s="8" t="n">
        <v>5</v>
      </c>
      <c r="W143" s="11">
        <f>IF(H143=0,"",V143/H143)</f>
        <v/>
      </c>
      <c r="X143" s="8" t="n">
        <v>0</v>
      </c>
      <c r="Y143" s="11">
        <f>IF(H143=0,"",X143/H143)</f>
        <v/>
      </c>
      <c r="Z143" s="8" t="n">
        <v>0</v>
      </c>
      <c r="AA143" s="11">
        <f>IF(H143=0,"",Z143/H143)</f>
        <v/>
      </c>
      <c r="AB143" s="8" t="n">
        <v>0</v>
      </c>
      <c r="AC143" s="11">
        <f>IF(H143=0,"",AB143/H143)</f>
        <v/>
      </c>
      <c r="AD143" s="8" t="n">
        <v>0</v>
      </c>
      <c r="AE143" s="11">
        <f>IF(H143=0,"",AD143/H143)</f>
        <v/>
      </c>
      <c r="AF143" s="8" t="n">
        <v>0</v>
      </c>
      <c r="AG143" s="11">
        <f>IF(H143=0,"",AF143/H143)</f>
        <v/>
      </c>
      <c r="AH143" s="8" t="n">
        <v>25558.35</v>
      </c>
      <c r="AI143" s="9">
        <f>IF(H143=0,"",AH143/H143)</f>
        <v/>
      </c>
      <c r="AJ143" s="8" t="n">
        <v>1355</v>
      </c>
      <c r="AK143" s="11">
        <f>IF(H143=0,"",AJ143/H143)</f>
        <v/>
      </c>
      <c r="AL143" s="8" t="n">
        <v>204434.7825</v>
      </c>
      <c r="AM143" s="9">
        <f>IF(H143=0,"",AL143/H143)</f>
        <v/>
      </c>
      <c r="AN143" s="8" t="n">
        <v>0</v>
      </c>
      <c r="AO143" s="8" t="n">
        <v>0</v>
      </c>
      <c r="AP143" s="8" t="n">
        <v>0</v>
      </c>
      <c r="AQ143" s="8" t="n">
        <v>0</v>
      </c>
      <c r="AR143" s="8" t="n">
        <v>0</v>
      </c>
      <c r="AS143" s="8" t="n">
        <v>300461.92</v>
      </c>
      <c r="AT143" s="8" t="n">
        <v>0</v>
      </c>
      <c r="AU143" s="9">
        <f>AH143+AL143+AP143+AQ143+AR143+AS143+AT143</f>
        <v/>
      </c>
      <c r="AV143" s="9">
        <f>IF(H143=0,"",AU143/H143)</f>
        <v/>
      </c>
      <c r="AW143" s="9">
        <f>IF(S143=0,"",AU143/S143)</f>
        <v/>
      </c>
      <c r="AX143" s="8" t="n">
        <v>0</v>
      </c>
      <c r="AY143" s="9">
        <f>IF(H143=0,"",AX143/(H143/1000/12))</f>
        <v/>
      </c>
      <c r="AZ143" s="8" t="n">
        <v>2</v>
      </c>
      <c r="BA143" s="8" t="n">
        <v>0</v>
      </c>
      <c r="BB143" s="8" t="n">
        <v>0</v>
      </c>
      <c r="BC143" s="8" t="n">
        <v>0</v>
      </c>
      <c r="BD143" s="8" t="n">
        <v>0</v>
      </c>
      <c r="BE143" s="9">
        <f>BC143+BD143</f>
        <v/>
      </c>
      <c r="BF143" s="9">
        <f>BA143+BB143-BE143</f>
        <v/>
      </c>
      <c r="BG143" s="8" t="n">
        <v>0</v>
      </c>
      <c r="BH143" s="8" t="n">
        <v>0</v>
      </c>
      <c r="BI143" s="8" t="n">
        <v>0</v>
      </c>
      <c r="BJ143" s="8" t="n">
        <v>0</v>
      </c>
      <c r="BK143" s="9">
        <f>BI143+BJ143</f>
        <v/>
      </c>
      <c r="BL143" s="9">
        <f>BG143+BH143-BK143</f>
        <v/>
      </c>
      <c r="BM143" s="8" t="n">
        <v>0</v>
      </c>
      <c r="BN143" s="8" t="n">
        <v>0</v>
      </c>
      <c r="BO143" s="8" t="n">
        <v>0</v>
      </c>
      <c r="BP143" s="8" t="n">
        <v>0</v>
      </c>
      <c r="BQ143" s="9">
        <f>BO143+BP143</f>
        <v/>
      </c>
      <c r="BR143" s="9">
        <f>BM143+BN143-BQ143</f>
        <v/>
      </c>
      <c r="BS143" s="8" t="n">
        <v>0</v>
      </c>
      <c r="BT143" s="8" t="n">
        <v>0</v>
      </c>
      <c r="BU143" s="8" t="n">
        <v>0</v>
      </c>
      <c r="BV143" s="8" t="n">
        <v>0</v>
      </c>
      <c r="BW143" s="9">
        <f>BU143+BV143</f>
        <v/>
      </c>
      <c r="BX143" s="9">
        <f>BS143+BT143-BW143</f>
        <v/>
      </c>
      <c r="BY143" s="9">
        <f>BA143+BG143+BM143+BS143</f>
        <v/>
      </c>
      <c r="BZ143" s="9">
        <f>BB143+BH143+BN143+BT143</f>
        <v/>
      </c>
      <c r="CA143" s="9">
        <f>BE143+BK143+BQ143+BW143</f>
        <v/>
      </c>
      <c r="CB143" s="9">
        <f>BF143+BL143+BR143+BX143</f>
        <v/>
      </c>
      <c r="CC143" s="8" t="n">
        <v>0</v>
      </c>
      <c r="CD143" s="8" t="n">
        <v>14</v>
      </c>
      <c r="CE143" s="8" t="n">
        <v>0</v>
      </c>
      <c r="CF143" s="8" t="n">
        <v>2</v>
      </c>
      <c r="CG143" s="8" t="n">
        <v>0</v>
      </c>
      <c r="CH143" s="9">
        <f>CD143+CE143+CF143+CG143</f>
        <v/>
      </c>
      <c r="CI143" s="8" t="n">
        <v>0</v>
      </c>
      <c r="CJ143" s="8" t="n">
        <v>0</v>
      </c>
      <c r="CK143" s="8" t="n">
        <v>0</v>
      </c>
      <c r="CL143" s="8" t="n">
        <v>0</v>
      </c>
      <c r="CM143" s="9">
        <f>CI143+CJ143+CK143+CL143</f>
        <v/>
      </c>
      <c r="CN143" s="8" t="n">
        <v>42</v>
      </c>
      <c r="CO143" s="8" t="n">
        <v>8</v>
      </c>
      <c r="CP143" s="8" t="n">
        <v>0</v>
      </c>
      <c r="CQ143" s="8" t="n">
        <v>0</v>
      </c>
      <c r="CR143" s="9">
        <f>CN143+CO143+CP143+CQ143</f>
        <v/>
      </c>
      <c r="CS143" s="9">
        <f>CM143+CR143</f>
        <v/>
      </c>
      <c r="CT143" s="8" t="n">
        <v>66</v>
      </c>
      <c r="CU143" s="8" t="n">
        <v>1258</v>
      </c>
      <c r="CV143" s="8" t="n">
        <v>1032</v>
      </c>
      <c r="CW143" s="10">
        <f>IF(CU143=0,"",CV143/CU143)</f>
        <v/>
      </c>
      <c r="CX143" s="8" t="n">
        <v>0</v>
      </c>
      <c r="CY143" s="8" t="n">
        <v>0</v>
      </c>
      <c r="CZ143" s="8" t="n">
        <v>0</v>
      </c>
      <c r="DA143" s="8" t="n">
        <v>0</v>
      </c>
      <c r="DB143" s="9">
        <f>CX143+CY143-CZ143-DA143</f>
        <v/>
      </c>
      <c r="DC143" s="8" t="n">
        <v>0</v>
      </c>
      <c r="DD143" s="8" t="n">
        <v>0</v>
      </c>
      <c r="DE143" s="8" t="n">
        <v>0</v>
      </c>
      <c r="DF143" s="8" t="n">
        <v>0</v>
      </c>
      <c r="DG143" s="9">
        <f>DC143+DD143-DE143-DF143</f>
        <v/>
      </c>
      <c r="DH143" s="8" t="n">
        <v>0</v>
      </c>
      <c r="DI143" s="8" t="n">
        <v>0</v>
      </c>
      <c r="DJ143" s="8" t="n">
        <v>0</v>
      </c>
      <c r="DK143" s="8" t="n">
        <v>0</v>
      </c>
      <c r="DL143" s="9">
        <f>DH143+DI143-DJ143-DK143</f>
        <v/>
      </c>
      <c r="DM143" s="8" t="n">
        <v>0</v>
      </c>
      <c r="DN143" s="8" t="n">
        <v>0</v>
      </c>
      <c r="DO143" s="8" t="n">
        <v>0</v>
      </c>
      <c r="DP143" s="8" t="n">
        <v>0</v>
      </c>
      <c r="DQ143" s="9">
        <f>DM143+DN143-DO143-DP143</f>
        <v/>
      </c>
      <c r="DR143" s="9">
        <f>CX143+DC143+DH143+DM143</f>
        <v/>
      </c>
      <c r="DS143" s="9">
        <f>CY143+DD143+DI143+DN143</f>
        <v/>
      </c>
      <c r="DT143" s="9">
        <f>CZ143+DE143+DJ143+DO143</f>
        <v/>
      </c>
      <c r="DU143" s="9">
        <f>DA143+DF143+DK143+DP143</f>
        <v/>
      </c>
      <c r="DV143" s="9">
        <f>DB143+DG143+DL143+DQ143</f>
        <v/>
      </c>
      <c r="DW143" s="8" t="n">
        <v>4</v>
      </c>
      <c r="DX143" s="8" t="n">
        <v>4</v>
      </c>
      <c r="DY143" s="8" t="n">
        <v>3</v>
      </c>
      <c r="DZ143" s="8" t="n">
        <v>3</v>
      </c>
      <c r="EA143" s="8" t="n">
        <v>0</v>
      </c>
      <c r="EB143" s="8" t="n">
        <v>0</v>
      </c>
      <c r="EC143" s="8" t="n">
        <v>0</v>
      </c>
      <c r="ED143" s="8" t="n">
        <v>0</v>
      </c>
      <c r="EE143" s="8" t="n">
        <v>0</v>
      </c>
      <c r="EF143" s="8" t="n">
        <v>0</v>
      </c>
      <c r="EG143" s="8" t="n">
        <v>0</v>
      </c>
      <c r="EH143" s="8" t="n">
        <v>0</v>
      </c>
      <c r="EI143" s="8" t="n">
        <v>0</v>
      </c>
      <c r="EJ143" s="8" t="n">
        <v>0</v>
      </c>
      <c r="EK143" s="8" t="n">
        <v>0</v>
      </c>
      <c r="EL143" s="8" t="n">
        <v>0</v>
      </c>
      <c r="EM143" s="8" t="n">
        <v>0</v>
      </c>
      <c r="EN143" s="8" t="n">
        <v>0</v>
      </c>
      <c r="EO143" s="8" t="n">
        <v>0</v>
      </c>
      <c r="EP143" s="8" t="n">
        <v>0</v>
      </c>
      <c r="EQ143" s="8" t="n">
        <v>0</v>
      </c>
      <c r="ER143" s="8" t="n">
        <v>0</v>
      </c>
      <c r="ES143" s="8" t="n">
        <v>0</v>
      </c>
      <c r="ET143" s="8" t="n">
        <v>0</v>
      </c>
      <c r="EU143" s="8" t="n">
        <v>0</v>
      </c>
      <c r="EV143" s="8" t="n">
        <v>0</v>
      </c>
      <c r="EW143" s="8" t="n">
        <v>0</v>
      </c>
      <c r="EX143" s="8" t="n">
        <v>0</v>
      </c>
      <c r="EY143" s="8" t="n">
        <v>0</v>
      </c>
      <c r="EZ143" s="8" t="n">
        <v>0</v>
      </c>
      <c r="FA143" s="8" t="n">
        <v>0</v>
      </c>
      <c r="FB143" s="8" t="n">
        <v>0</v>
      </c>
      <c r="FC143" s="8" t="n">
        <v>0</v>
      </c>
      <c r="FD143" s="8" t="n">
        <v>0</v>
      </c>
      <c r="FE143" s="8" t="n">
        <v>0</v>
      </c>
      <c r="FF143" s="8" t="n">
        <v>0</v>
      </c>
      <c r="FG143" s="9">
        <f>SUM(DW143,DX143,DY143,DZ143,EA143,EB143,EC143,ED143,EE143,EF143,EG143,EH143,EI143,EJ143,EK143,EL143,EM143,EN143,EO143,EP143,EQ143,ER143,ES143,ET143,EU143,EV143,EW143,EX143,EY143,EZ143,FA143,FB143,FC143,FD143,FE143,FF143)</f>
        <v/>
      </c>
      <c r="FH143" s="8" t="n">
        <v>4</v>
      </c>
      <c r="FI143" s="8" t="n">
        <v>24</v>
      </c>
      <c r="FJ143" s="8" t="n">
        <v>20</v>
      </c>
      <c r="FK143" s="8" t="n">
        <v>56</v>
      </c>
      <c r="FL143" s="8" t="n">
        <v>56</v>
      </c>
      <c r="FM143" s="8" t="n">
        <v>0</v>
      </c>
      <c r="FN143" s="8" t="n">
        <v>0</v>
      </c>
      <c r="FO143" s="8" t="n">
        <v>0</v>
      </c>
      <c r="FP143" s="8" t="n">
        <v>0</v>
      </c>
      <c r="FQ143" s="9">
        <f>FL143+FM143+FN143+FO143+FP143</f>
        <v/>
      </c>
      <c r="FR143" s="8" t="n">
        <v>0</v>
      </c>
      <c r="FS143" s="8" t="n">
        <v>0</v>
      </c>
      <c r="FT143" s="8" t="n">
        <v>0</v>
      </c>
      <c r="FU143" s="8" t="n">
        <v>0</v>
      </c>
      <c r="FV143" s="9">
        <f>FR143+FS143+FT143+FU143</f>
        <v/>
      </c>
      <c r="FW143" s="8" t="n">
        <v>130250</v>
      </c>
      <c r="FX143" s="8" t="n">
        <v>0</v>
      </c>
      <c r="FY143" s="8" t="n">
        <v>0</v>
      </c>
      <c r="FZ143" s="8" t="n">
        <v>0</v>
      </c>
      <c r="GA143" s="9">
        <f>FW143+FX143+FY143+FZ143</f>
        <v/>
      </c>
      <c r="GB143" s="9">
        <f>FV143+GA143</f>
        <v/>
      </c>
      <c r="GC143" s="8" t="n">
        <v>0</v>
      </c>
      <c r="GD143" s="8" t="n">
        <v>0</v>
      </c>
      <c r="GE143" s="8" t="n">
        <v>0</v>
      </c>
      <c r="GF143" s="8" t="n">
        <v>0</v>
      </c>
      <c r="GG143" s="9">
        <f>GC143+GD143+GE143+GF143</f>
        <v/>
      </c>
      <c r="GH143" s="8" t="n">
        <v>0</v>
      </c>
      <c r="GI143" s="8" t="n">
        <v>0</v>
      </c>
      <c r="GJ143" s="8" t="n">
        <v>0</v>
      </c>
      <c r="GK143" s="8" t="n">
        <v>0</v>
      </c>
      <c r="GL143" s="9">
        <f>GH143+GI143+GJ143+GK143</f>
        <v/>
      </c>
      <c r="GM143" s="9">
        <f>GG143+GL143</f>
        <v/>
      </c>
      <c r="GN143" s="8" t="n">
        <v>0</v>
      </c>
      <c r="GO143" s="8" t="n">
        <v>0</v>
      </c>
      <c r="GP143" s="8" t="n">
        <v>0</v>
      </c>
      <c r="GQ143" s="8" t="n">
        <v>0</v>
      </c>
      <c r="GR143" s="9">
        <f>GN143+GO143+GP143+GQ143</f>
        <v/>
      </c>
      <c r="GS143" s="8" t="n">
        <v>0</v>
      </c>
      <c r="GT143" s="8" t="n">
        <v>0</v>
      </c>
      <c r="GU143" s="8" t="n">
        <v>0</v>
      </c>
      <c r="GV143" s="8" t="n">
        <v>0</v>
      </c>
      <c r="GW143" s="9">
        <f>GS143+GT143+GU143+GV143</f>
        <v/>
      </c>
      <c r="GX143" s="9">
        <f>GM143+GR143+GW143</f>
        <v/>
      </c>
      <c r="GY143" s="8" t="n">
        <v>1818416.41</v>
      </c>
      <c r="GZ143" s="8" t="n">
        <v>0</v>
      </c>
      <c r="HA143" s="9">
        <f>GY143+GZ143</f>
        <v/>
      </c>
      <c r="HB143" s="9">
        <f>IF(GX143=0,"",AU143/GX143)</f>
        <v/>
      </c>
      <c r="HC143" s="10">
        <f>IF((GX143+GY143)=0,"",GB143/(GX143+GY143))</f>
        <v/>
      </c>
      <c r="HD143" s="9">
        <f>IF(GX143=0,"",GB143/GX143)</f>
        <v/>
      </c>
      <c r="HE143" s="8" t="n">
        <v>0</v>
      </c>
      <c r="HF143" s="8" t="n">
        <v>0</v>
      </c>
      <c r="HG143" s="8" t="n">
        <v>0</v>
      </c>
      <c r="HH143" s="8" t="n">
        <v>0</v>
      </c>
      <c r="HI143" s="8" t="n">
        <v>0</v>
      </c>
      <c r="HJ143" s="9">
        <f>HF143+HI143</f>
        <v/>
      </c>
      <c r="HK143" s="10">
        <f>IF(HE143=0,"",HH143/HE143)</f>
        <v/>
      </c>
      <c r="HL143" s="8" t="n">
        <v>10</v>
      </c>
      <c r="HM143" s="8" t="n">
        <v>30</v>
      </c>
      <c r="HN143" s="11">
        <f>IF(HL143=0,"",HM143/HL143)</f>
        <v/>
      </c>
    </row>
    <row r="144">
      <c r="A144" s="12" t="inlineStr">
        <is>
          <t>Mulanje</t>
        </is>
      </c>
      <c r="B144" s="12" t="inlineStr">
        <is>
          <t>Mikolongwe</t>
        </is>
      </c>
      <c r="C144" s="13" t="inlineStr">
        <is>
          <t>FY2025/26</t>
        </is>
      </c>
      <c r="D144" s="13" t="n">
        <v>2026</v>
      </c>
      <c r="E144" s="13" t="n">
        <v>1</v>
      </c>
      <c r="F144" s="13" t="inlineStr">
        <is>
          <t>January</t>
        </is>
      </c>
      <c r="G144" s="13" t="inlineStr">
        <is>
          <t>Q4</t>
        </is>
      </c>
      <c r="H144" s="14" t="n">
        <v>188</v>
      </c>
      <c r="I144" s="14" t="n">
        <v>0</v>
      </c>
      <c r="J144" s="14" t="n">
        <v>0</v>
      </c>
      <c r="K144" s="14" t="n">
        <v>0</v>
      </c>
      <c r="L144" s="14" t="n">
        <v>0</v>
      </c>
      <c r="M144" s="15" t="n">
        <v>0</v>
      </c>
      <c r="N144" s="14" t="n">
        <v>101</v>
      </c>
      <c r="O144" s="14" t="n">
        <v>0</v>
      </c>
      <c r="P144" s="14" t="n">
        <v>40</v>
      </c>
      <c r="Q144" s="14" t="n">
        <v>0</v>
      </c>
      <c r="R144" s="15" t="n">
        <v>141</v>
      </c>
      <c r="S144" s="15" t="n">
        <v>141</v>
      </c>
      <c r="T144" s="14" t="n">
        <v>47</v>
      </c>
      <c r="U144" s="16" t="n">
        <v>0.25</v>
      </c>
      <c r="V144" s="14" t="n">
        <v>2</v>
      </c>
      <c r="W144" s="17" t="n">
        <v>10.63829787234043</v>
      </c>
      <c r="X144" s="14" t="n">
        <v>0</v>
      </c>
      <c r="Y144" s="17" t="n">
        <v>0</v>
      </c>
      <c r="Z144" s="14" t="n">
        <v>0</v>
      </c>
      <c r="AA144" s="17" t="n">
        <v>0</v>
      </c>
      <c r="AB144" s="14" t="n">
        <v>0</v>
      </c>
      <c r="AC144" s="17" t="n">
        <v>0</v>
      </c>
      <c r="AD144" s="14" t="n">
        <v>0</v>
      </c>
      <c r="AE144" s="17" t="n">
        <v>0</v>
      </c>
      <c r="AF144" s="14" t="n">
        <v>0</v>
      </c>
      <c r="AG144" s="17" t="n">
        <v>0</v>
      </c>
      <c r="AH144" s="14" t="n">
        <v>10223.34</v>
      </c>
      <c r="AI144" s="15" t="n">
        <v>54.37946808510638</v>
      </c>
      <c r="AJ144" s="14" t="n">
        <v>500</v>
      </c>
      <c r="AK144" s="17" t="n">
        <v>2.659574468085106</v>
      </c>
      <c r="AL144" s="14" t="n">
        <v>85802.25</v>
      </c>
      <c r="AM144" s="15" t="n">
        <v>456.3949468085106</v>
      </c>
      <c r="AN144" s="14" t="n">
        <v>0</v>
      </c>
      <c r="AO144" s="14" t="n">
        <v>0</v>
      </c>
      <c r="AP144" s="14" t="n">
        <v>0</v>
      </c>
      <c r="AQ144" s="14" t="n">
        <v>0</v>
      </c>
      <c r="AR144" s="14" t="n">
        <v>0</v>
      </c>
      <c r="AS144" s="14" t="n">
        <v>0</v>
      </c>
      <c r="AT144" s="14" t="n">
        <v>0</v>
      </c>
      <c r="AU144" s="15" t="n">
        <v>96025.59</v>
      </c>
      <c r="AV144" s="15" t="n">
        <v>510.774414893617</v>
      </c>
      <c r="AW144" s="15" t="n">
        <v>681.0325531914893</v>
      </c>
      <c r="AX144" s="14" t="n">
        <v>0</v>
      </c>
      <c r="AY144" s="15" t="n">
        <v>0</v>
      </c>
      <c r="AZ144" s="14" t="n">
        <v>2</v>
      </c>
      <c r="BA144" s="14" t="n">
        <v>0</v>
      </c>
      <c r="BB144" s="14" t="n">
        <v>0</v>
      </c>
      <c r="BC144" s="14" t="n">
        <v>0</v>
      </c>
      <c r="BD144" s="14" t="n">
        <v>0</v>
      </c>
      <c r="BE144" s="15" t="n">
        <v>0</v>
      </c>
      <c r="BF144" s="15" t="n">
        <v>0</v>
      </c>
      <c r="BG144" s="14" t="n">
        <v>0</v>
      </c>
      <c r="BH144" s="14" t="n">
        <v>0</v>
      </c>
      <c r="BI144" s="14" t="n">
        <v>0</v>
      </c>
      <c r="BJ144" s="14" t="n">
        <v>0</v>
      </c>
      <c r="BK144" s="15" t="n">
        <v>0</v>
      </c>
      <c r="BL144" s="15" t="n">
        <v>0</v>
      </c>
      <c r="BM144" s="14" t="n">
        <v>0</v>
      </c>
      <c r="BN144" s="14" t="n">
        <v>0</v>
      </c>
      <c r="BO144" s="14" t="n">
        <v>0</v>
      </c>
      <c r="BP144" s="14" t="n">
        <v>0</v>
      </c>
      <c r="BQ144" s="15" t="n">
        <v>0</v>
      </c>
      <c r="BR144" s="15" t="n">
        <v>0</v>
      </c>
      <c r="BS144" s="14" t="n">
        <v>0</v>
      </c>
      <c r="BT144" s="14" t="n">
        <v>0</v>
      </c>
      <c r="BU144" s="14" t="n">
        <v>0</v>
      </c>
      <c r="BV144" s="14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4" t="n">
        <v>0</v>
      </c>
      <c r="CD144" s="14" t="n">
        <v>14</v>
      </c>
      <c r="CE144" s="14" t="n">
        <v>0</v>
      </c>
      <c r="CF144" s="14" t="n">
        <v>2</v>
      </c>
      <c r="CG144" s="14" t="n">
        <v>0</v>
      </c>
      <c r="CH144" s="15" t="n">
        <v>16</v>
      </c>
      <c r="CI144" s="14" t="n">
        <v>0</v>
      </c>
      <c r="CJ144" s="14" t="n">
        <v>0</v>
      </c>
      <c r="CK144" s="14" t="n">
        <v>0</v>
      </c>
      <c r="CL144" s="14" t="n">
        <v>0</v>
      </c>
      <c r="CM144" s="15" t="n">
        <v>0</v>
      </c>
      <c r="CN144" s="14" t="n">
        <v>42</v>
      </c>
      <c r="CO144" s="14" t="n">
        <v>8</v>
      </c>
      <c r="CP144" s="14" t="n">
        <v>0</v>
      </c>
      <c r="CQ144" s="14" t="n">
        <v>0</v>
      </c>
      <c r="CR144" s="15" t="n">
        <v>50</v>
      </c>
      <c r="CS144" s="15" t="n">
        <v>50</v>
      </c>
      <c r="CT144" s="14" t="n">
        <v>66</v>
      </c>
      <c r="CU144" s="14" t="n">
        <v>1258</v>
      </c>
      <c r="CV144" s="14" t="n">
        <v>1032</v>
      </c>
      <c r="CW144" s="16" t="n">
        <v>0.8203497615262321</v>
      </c>
      <c r="CX144" s="14" t="n">
        <v>0</v>
      </c>
      <c r="CY144" s="14" t="n">
        <v>0</v>
      </c>
      <c r="CZ144" s="14" t="n">
        <v>0</v>
      </c>
      <c r="DA144" s="14" t="n">
        <v>0</v>
      </c>
      <c r="DB144" s="15" t="n">
        <v>0</v>
      </c>
      <c r="DC144" s="14" t="n">
        <v>0</v>
      </c>
      <c r="DD144" s="14" t="n">
        <v>0</v>
      </c>
      <c r="DE144" s="14" t="n">
        <v>0</v>
      </c>
      <c r="DF144" s="14" t="n">
        <v>0</v>
      </c>
      <c r="DG144" s="15" t="n">
        <v>0</v>
      </c>
      <c r="DH144" s="14" t="n">
        <v>0</v>
      </c>
      <c r="DI144" s="14" t="n">
        <v>0</v>
      </c>
      <c r="DJ144" s="14" t="n">
        <v>0</v>
      </c>
      <c r="DK144" s="14" t="n">
        <v>0</v>
      </c>
      <c r="DL144" s="15" t="n">
        <v>0</v>
      </c>
      <c r="DM144" s="14" t="n">
        <v>0</v>
      </c>
      <c r="DN144" s="14" t="n">
        <v>0</v>
      </c>
      <c r="DO144" s="14" t="n">
        <v>0</v>
      </c>
      <c r="DP144" s="14" t="n">
        <v>0</v>
      </c>
      <c r="DQ144" s="15" t="n">
        <v>0</v>
      </c>
      <c r="DR144" s="15" t="n">
        <v>0</v>
      </c>
      <c r="DS144" s="15" t="n">
        <v>0</v>
      </c>
      <c r="DT144" s="15" t="n">
        <v>0</v>
      </c>
      <c r="DU144" s="15" t="n">
        <v>0</v>
      </c>
      <c r="DV144" s="15" t="n">
        <v>0</v>
      </c>
      <c r="DW144" s="14" t="n">
        <v>2</v>
      </c>
      <c r="DX144" s="14" t="n">
        <v>1</v>
      </c>
      <c r="DY144" s="14" t="n">
        <v>0</v>
      </c>
      <c r="DZ144" s="14" t="n">
        <v>0</v>
      </c>
      <c r="EA144" s="14" t="n">
        <v>0</v>
      </c>
      <c r="EB144" s="14" t="n">
        <v>0</v>
      </c>
      <c r="EC144" s="14" t="n">
        <v>0</v>
      </c>
      <c r="ED144" s="14" t="n">
        <v>0</v>
      </c>
      <c r="EE144" s="14" t="n">
        <v>0</v>
      </c>
      <c r="EF144" s="14" t="n">
        <v>0</v>
      </c>
      <c r="EG144" s="14" t="n">
        <v>0</v>
      </c>
      <c r="EH144" s="14" t="n">
        <v>0</v>
      </c>
      <c r="EI144" s="14" t="n">
        <v>0</v>
      </c>
      <c r="EJ144" s="14" t="n">
        <v>0</v>
      </c>
      <c r="EK144" s="14" t="n">
        <v>0</v>
      </c>
      <c r="EL144" s="14" t="n">
        <v>0</v>
      </c>
      <c r="EM144" s="14" t="n">
        <v>0</v>
      </c>
      <c r="EN144" s="14" t="n">
        <v>0</v>
      </c>
      <c r="EO144" s="14" t="n">
        <v>0</v>
      </c>
      <c r="EP144" s="14" t="n">
        <v>0</v>
      </c>
      <c r="EQ144" s="14" t="n">
        <v>0</v>
      </c>
      <c r="ER144" s="14" t="n">
        <v>0</v>
      </c>
      <c r="ES144" s="14" t="n">
        <v>0</v>
      </c>
      <c r="ET144" s="14" t="n">
        <v>0</v>
      </c>
      <c r="EU144" s="14" t="n">
        <v>0</v>
      </c>
      <c r="EV144" s="14" t="n">
        <v>0</v>
      </c>
      <c r="EW144" s="14" t="n">
        <v>0</v>
      </c>
      <c r="EX144" s="14" t="n">
        <v>0</v>
      </c>
      <c r="EY144" s="14" t="n">
        <v>0</v>
      </c>
      <c r="EZ144" s="14" t="n">
        <v>0</v>
      </c>
      <c r="FA144" s="14" t="n">
        <v>0</v>
      </c>
      <c r="FB144" s="14" t="n">
        <v>0</v>
      </c>
      <c r="FC144" s="14" t="n">
        <v>0</v>
      </c>
      <c r="FD144" s="14" t="n">
        <v>0</v>
      </c>
      <c r="FE144" s="14" t="n">
        <v>0</v>
      </c>
      <c r="FF144" s="14" t="n">
        <v>0</v>
      </c>
      <c r="FG144" s="15" t="n">
        <v>0</v>
      </c>
      <c r="FH144" s="14" t="n">
        <v>5</v>
      </c>
      <c r="FI144" s="14" t="n">
        <v>24</v>
      </c>
      <c r="FJ144" s="14" t="n">
        <v>11</v>
      </c>
      <c r="FK144" s="14" t="n">
        <v>120</v>
      </c>
      <c r="FL144" s="14" t="n">
        <v>120</v>
      </c>
      <c r="FM144" s="14" t="n">
        <v>0</v>
      </c>
      <c r="FN144" s="14" t="n">
        <v>0</v>
      </c>
      <c r="FO144" s="14" t="n">
        <v>0</v>
      </c>
      <c r="FP144" s="14" t="n">
        <v>0</v>
      </c>
      <c r="FQ144" s="15" t="n">
        <v>0</v>
      </c>
      <c r="FR144" s="14" t="n">
        <v>0</v>
      </c>
      <c r="FS144" s="14" t="n">
        <v>0</v>
      </c>
      <c r="FT144" s="14" t="n">
        <v>0</v>
      </c>
      <c r="FU144" s="14" t="n">
        <v>0</v>
      </c>
      <c r="FV144" s="15" t="n">
        <v>0</v>
      </c>
      <c r="FW144" s="14" t="n">
        <v>0</v>
      </c>
      <c r="FX144" s="14" t="n">
        <v>0</v>
      </c>
      <c r="FY144" s="14" t="n">
        <v>1000000</v>
      </c>
      <c r="FZ144" s="14" t="n">
        <v>0</v>
      </c>
      <c r="GA144" s="15" t="n">
        <v>0</v>
      </c>
      <c r="GB144" s="15" t="n">
        <v>1000000</v>
      </c>
      <c r="GC144" s="14" t="n">
        <v>0</v>
      </c>
      <c r="GD144" s="14" t="n">
        <v>0</v>
      </c>
      <c r="GE144" s="14" t="n">
        <v>0</v>
      </c>
      <c r="GF144" s="14" t="n">
        <v>0</v>
      </c>
      <c r="GG144" s="15" t="n">
        <v>0</v>
      </c>
      <c r="GH144" s="14" t="n">
        <v>0</v>
      </c>
      <c r="GI144" s="14" t="n">
        <v>0</v>
      </c>
      <c r="GJ144" s="14" t="n">
        <v>0</v>
      </c>
      <c r="GK144" s="14" t="n">
        <v>0</v>
      </c>
      <c r="GL144" s="15" t="n">
        <v>0</v>
      </c>
      <c r="GM144" s="15" t="n">
        <v>1000000</v>
      </c>
      <c r="GN144" s="14" t="n">
        <v>0</v>
      </c>
      <c r="GO144" s="14" t="n">
        <v>0</v>
      </c>
      <c r="GP144" s="14" t="n">
        <v>0</v>
      </c>
      <c r="GQ144" s="14" t="n">
        <v>0</v>
      </c>
      <c r="GR144" s="15" t="n">
        <v>0</v>
      </c>
      <c r="GS144" s="14" t="n">
        <v>0</v>
      </c>
      <c r="GT144" s="14" t="n">
        <v>0</v>
      </c>
      <c r="GU144" s="14" t="n">
        <v>0</v>
      </c>
      <c r="GV144" s="14" t="n">
        <v>0</v>
      </c>
      <c r="GW144" s="15" t="n">
        <v>0</v>
      </c>
      <c r="GX144" s="15" t="n">
        <v>0</v>
      </c>
      <c r="GY144" s="14" t="n">
        <v>1817416.41</v>
      </c>
      <c r="GZ144" s="14" t="n">
        <v>0</v>
      </c>
      <c r="HA144" s="15" t="n">
        <v>0</v>
      </c>
      <c r="HB144" s="15" t="n">
        <v>1817416.41</v>
      </c>
      <c r="HC144" s="16" t="n">
        <v>1000000</v>
      </c>
      <c r="HD144" s="15" t="n">
        <v>1817416.41</v>
      </c>
      <c r="HE144" s="14" t="n">
        <v>0</v>
      </c>
      <c r="HF144" s="14" t="n">
        <v>0</v>
      </c>
      <c r="HG144" s="14" t="n">
        <v>0</v>
      </c>
      <c r="HH144" s="14" t="n">
        <v>0</v>
      </c>
      <c r="HI144" s="14" t="n">
        <v>0</v>
      </c>
      <c r="HJ144" s="15" t="n">
        <v>0</v>
      </c>
      <c r="HK144" s="16" t="n"/>
      <c r="HL144" s="14" t="n">
        <v>3</v>
      </c>
      <c r="HM144" s="14" t="n">
        <v>45</v>
      </c>
      <c r="HN144" s="17" t="n">
        <v>0</v>
      </c>
    </row>
    <row r="145">
      <c r="A145" s="6" t="inlineStr">
        <is>
          <t>Mulanje</t>
        </is>
      </c>
      <c r="B145" s="6" t="inlineStr">
        <is>
          <t>Mikolongwe</t>
        </is>
      </c>
      <c r="C145" s="7" t="inlineStr">
        <is>
          <t>FY2025/26</t>
        </is>
      </c>
      <c r="D145" s="7" t="n">
        <v>2026</v>
      </c>
      <c r="E145" s="7" t="n">
        <v>2</v>
      </c>
      <c r="F145" s="7" t="inlineStr">
        <is>
          <t>February</t>
        </is>
      </c>
      <c r="G145" s="7" t="inlineStr">
        <is>
          <t>Q4</t>
        </is>
      </c>
      <c r="H145" s="8" t="n">
        <v>557</v>
      </c>
      <c r="I145" s="8" t="n">
        <v>0</v>
      </c>
      <c r="J145" s="8" t="n">
        <v>0</v>
      </c>
      <c r="K145" s="8" t="n">
        <v>0</v>
      </c>
      <c r="L145" s="8" t="n">
        <v>0</v>
      </c>
      <c r="M145" s="9">
        <f>SUM(I145,J145,K145,L145)</f>
        <v/>
      </c>
      <c r="N145" s="8" t="n">
        <v>78</v>
      </c>
      <c r="O145" s="8" t="n">
        <v>0</v>
      </c>
      <c r="P145" s="8" t="n">
        <v>345</v>
      </c>
      <c r="Q145" s="8" t="n">
        <v>0</v>
      </c>
      <c r="R145" s="9">
        <f>SUM(N145,O145,P145,Q145)</f>
        <v/>
      </c>
      <c r="S145" s="9">
        <f>M145+R145</f>
        <v/>
      </c>
      <c r="T145" s="8" t="n">
        <v>134</v>
      </c>
      <c r="U145" s="10">
        <f>IF(H145=0,"",T145/H145)</f>
        <v/>
      </c>
      <c r="V145" s="8" t="n">
        <v>4</v>
      </c>
      <c r="W145" s="11">
        <f>IF(H145=0,"",V145/H145)</f>
        <v/>
      </c>
      <c r="X145" s="8" t="n">
        <v>0</v>
      </c>
      <c r="Y145" s="11">
        <f>IF(H145=0,"",X145/H145)</f>
        <v/>
      </c>
      <c r="Z145" s="8" t="n">
        <v>0</v>
      </c>
      <c r="AA145" s="11">
        <f>IF(H145=0,"",Z145/H145)</f>
        <v/>
      </c>
      <c r="AB145" s="8" t="n">
        <v>0</v>
      </c>
      <c r="AC145" s="11">
        <f>IF(H145=0,"",AB145/H145)</f>
        <v/>
      </c>
      <c r="AD145" s="8" t="n">
        <v>0</v>
      </c>
      <c r="AE145" s="11">
        <f>IF(H145=0,"",AD145/H145)</f>
        <v/>
      </c>
      <c r="AF145" s="8" t="n">
        <v>0</v>
      </c>
      <c r="AG145" s="11">
        <f>IF(H145=0,"",AF145/H145)</f>
        <v/>
      </c>
      <c r="AH145" s="8" t="n">
        <v>20446.68</v>
      </c>
      <c r="AI145" s="9">
        <f>IF(H145=0,"",AH145/H145)</f>
        <v/>
      </c>
      <c r="AJ145" s="8" t="n">
        <v>395</v>
      </c>
      <c r="AK145" s="11">
        <f>IF(H145=0,"",AJ145/H145)</f>
        <v/>
      </c>
      <c r="AL145" s="8" t="n">
        <v>71233.3425</v>
      </c>
      <c r="AM145" s="9">
        <f>IF(H145=0,"",AL145/H145)</f>
        <v/>
      </c>
      <c r="AN145" s="8" t="n">
        <v>0</v>
      </c>
      <c r="AO145" s="8" t="n">
        <v>0</v>
      </c>
      <c r="AP145" s="8" t="n">
        <v>0</v>
      </c>
      <c r="AQ145" s="8" t="n">
        <v>0</v>
      </c>
      <c r="AR145" s="8" t="n">
        <v>0</v>
      </c>
      <c r="AS145" s="8" t="n">
        <v>0</v>
      </c>
      <c r="AT145" s="8" t="n">
        <v>495500</v>
      </c>
      <c r="AU145" s="9">
        <f>AH145+AL145+AP145+AQ145+AR145+AS145+AT145</f>
        <v/>
      </c>
      <c r="AV145" s="9">
        <f>IF(H145=0,"",AU145/H145)</f>
        <v/>
      </c>
      <c r="AW145" s="9">
        <f>IF(S145=0,"",AU145/S145)</f>
        <v/>
      </c>
      <c r="AX145" s="8" t="n">
        <v>0</v>
      </c>
      <c r="AY145" s="9">
        <f>IF(H145=0,"",AX145/(H145/1000/12))</f>
        <v/>
      </c>
      <c r="AZ145" s="8" t="n">
        <v>2</v>
      </c>
      <c r="BA145" s="8" t="n">
        <v>0</v>
      </c>
      <c r="BB145" s="8" t="n">
        <v>0</v>
      </c>
      <c r="BC145" s="8" t="n">
        <v>0</v>
      </c>
      <c r="BD145" s="8" t="n">
        <v>0</v>
      </c>
      <c r="BE145" s="9">
        <f>BC145+BD145</f>
        <v/>
      </c>
      <c r="BF145" s="9">
        <f>BA145+BB145-BE145</f>
        <v/>
      </c>
      <c r="BG145" s="8" t="n">
        <v>0</v>
      </c>
      <c r="BH145" s="8" t="n">
        <v>0</v>
      </c>
      <c r="BI145" s="8" t="n">
        <v>0</v>
      </c>
      <c r="BJ145" s="8" t="n">
        <v>0</v>
      </c>
      <c r="BK145" s="9">
        <f>BI145+BJ145</f>
        <v/>
      </c>
      <c r="BL145" s="9">
        <f>BG145+BH145-BK145</f>
        <v/>
      </c>
      <c r="BM145" s="8" t="n">
        <v>0</v>
      </c>
      <c r="BN145" s="8" t="n">
        <v>0</v>
      </c>
      <c r="BO145" s="8" t="n">
        <v>0</v>
      </c>
      <c r="BP145" s="8" t="n">
        <v>0</v>
      </c>
      <c r="BQ145" s="9">
        <f>BO145+BP145</f>
        <v/>
      </c>
      <c r="BR145" s="9">
        <f>BM145+BN145-BQ145</f>
        <v/>
      </c>
      <c r="BS145" s="8" t="n">
        <v>0</v>
      </c>
      <c r="BT145" s="8" t="n">
        <v>0</v>
      </c>
      <c r="BU145" s="8" t="n">
        <v>0</v>
      </c>
      <c r="BV145" s="8" t="n">
        <v>0</v>
      </c>
      <c r="BW145" s="9">
        <f>BU145+BV145</f>
        <v/>
      </c>
      <c r="BX145" s="9">
        <f>BS145+BT145-BW145</f>
        <v/>
      </c>
      <c r="BY145" s="9">
        <f>BA145+BG145+BM145+BS145</f>
        <v/>
      </c>
      <c r="BZ145" s="9">
        <f>BB145+BH145+BN145+BT145</f>
        <v/>
      </c>
      <c r="CA145" s="9">
        <f>BE145+BK145+BQ145+BW145</f>
        <v/>
      </c>
      <c r="CB145" s="9">
        <f>BF145+BL145+BR145+BX145</f>
        <v/>
      </c>
      <c r="CC145" s="8" t="n">
        <v>0</v>
      </c>
      <c r="CD145" s="8" t="n">
        <v>14</v>
      </c>
      <c r="CE145" s="8" t="n">
        <v>0</v>
      </c>
      <c r="CF145" s="8" t="n">
        <v>2</v>
      </c>
      <c r="CG145" s="8" t="n">
        <v>0</v>
      </c>
      <c r="CH145" s="9">
        <f>CD145+CE145+CF145+CG145</f>
        <v/>
      </c>
      <c r="CI145" s="8" t="n">
        <v>0</v>
      </c>
      <c r="CJ145" s="8" t="n">
        <v>0</v>
      </c>
      <c r="CK145" s="8" t="n">
        <v>0</v>
      </c>
      <c r="CL145" s="8" t="n">
        <v>0</v>
      </c>
      <c r="CM145" s="9">
        <f>CI145+CJ145+CK145+CL145</f>
        <v/>
      </c>
      <c r="CN145" s="8" t="n">
        <v>42</v>
      </c>
      <c r="CO145" s="8" t="n">
        <v>8</v>
      </c>
      <c r="CP145" s="8" t="n">
        <v>0</v>
      </c>
      <c r="CQ145" s="8" t="n">
        <v>0</v>
      </c>
      <c r="CR145" s="9">
        <f>CN145+CO145+CP145+CQ145</f>
        <v/>
      </c>
      <c r="CS145" s="9">
        <f>CM145+CR145</f>
        <v/>
      </c>
      <c r="CT145" s="8" t="n">
        <v>66</v>
      </c>
      <c r="CU145" s="8" t="n">
        <v>1258</v>
      </c>
      <c r="CV145" s="8" t="n">
        <v>1032</v>
      </c>
      <c r="CW145" s="10">
        <f>IF(CU145=0,"",CV145/CU145)</f>
        <v/>
      </c>
      <c r="CX145" s="8" t="n"/>
      <c r="CY145" s="8" t="n"/>
      <c r="CZ145" s="8" t="n"/>
      <c r="DA145" s="8" t="n"/>
      <c r="DB145" s="9">
        <f>CX145+CY145-CZ145-DA145</f>
        <v/>
      </c>
      <c r="DC145" s="8" t="n">
        <v>0</v>
      </c>
      <c r="DD145" s="8" t="n">
        <v>0</v>
      </c>
      <c r="DE145" s="8" t="n">
        <v>0</v>
      </c>
      <c r="DF145" s="8" t="n">
        <v>0</v>
      </c>
      <c r="DG145" s="9">
        <f>DC145+DD145-DE145-DF145</f>
        <v/>
      </c>
      <c r="DH145" s="8" t="n">
        <v>0</v>
      </c>
      <c r="DI145" s="8" t="n">
        <v>0</v>
      </c>
      <c r="DJ145" s="8" t="n">
        <v>0</v>
      </c>
      <c r="DK145" s="8" t="n">
        <v>0</v>
      </c>
      <c r="DL145" s="9">
        <f>DH145+DI145-DJ145-DK145</f>
        <v/>
      </c>
      <c r="DM145" s="8" t="n">
        <v>0</v>
      </c>
      <c r="DN145" s="8" t="n">
        <v>0</v>
      </c>
      <c r="DO145" s="8" t="n">
        <v>0</v>
      </c>
      <c r="DP145" s="8" t="n">
        <v>0</v>
      </c>
      <c r="DQ145" s="9">
        <f>DM145+DN145-DO145-DP145</f>
        <v/>
      </c>
      <c r="DR145" s="9">
        <f>CX145+DC145+DH145+DM145</f>
        <v/>
      </c>
      <c r="DS145" s="9">
        <f>CY145+DD145+DI145+DN145</f>
        <v/>
      </c>
      <c r="DT145" s="9">
        <f>CZ145+DE145+DJ145+DO145</f>
        <v/>
      </c>
      <c r="DU145" s="9">
        <f>DA145+DF145+DK145+DP145</f>
        <v/>
      </c>
      <c r="DV145" s="9">
        <f>DB145+DG145+DL145+DQ145</f>
        <v/>
      </c>
      <c r="DW145" s="8" t="n">
        <v>6</v>
      </c>
      <c r="DX145" s="8" t="n">
        <v>0</v>
      </c>
      <c r="DY145" s="8" t="n">
        <v>0</v>
      </c>
      <c r="DZ145" s="8" t="n">
        <v>0</v>
      </c>
      <c r="EA145" s="8" t="n">
        <v>0</v>
      </c>
      <c r="EB145" s="8" t="n">
        <v>2</v>
      </c>
      <c r="EC145" s="8" t="n">
        <v>0</v>
      </c>
      <c r="ED145" s="8" t="n">
        <v>0</v>
      </c>
      <c r="EE145" s="8" t="n">
        <v>0</v>
      </c>
      <c r="EF145" s="8" t="n">
        <v>0</v>
      </c>
      <c r="EG145" s="8" t="n">
        <v>0</v>
      </c>
      <c r="EH145" s="8" t="n">
        <v>0</v>
      </c>
      <c r="EI145" s="8" t="n">
        <v>0</v>
      </c>
      <c r="EJ145" s="8" t="n">
        <v>0</v>
      </c>
      <c r="EK145" s="8" t="n">
        <v>0</v>
      </c>
      <c r="EL145" s="8" t="n">
        <v>0</v>
      </c>
      <c r="EM145" s="8" t="n">
        <v>0</v>
      </c>
      <c r="EN145" s="8" t="n">
        <v>0</v>
      </c>
      <c r="EO145" s="8" t="n">
        <v>0</v>
      </c>
      <c r="EP145" s="8" t="n">
        <v>0</v>
      </c>
      <c r="EQ145" s="8" t="n">
        <v>0</v>
      </c>
      <c r="ER145" s="8" t="n">
        <v>0</v>
      </c>
      <c r="ES145" s="8" t="n">
        <v>0</v>
      </c>
      <c r="ET145" s="8" t="n">
        <v>0</v>
      </c>
      <c r="EU145" s="8" t="n">
        <v>0</v>
      </c>
      <c r="EV145" s="8" t="n">
        <v>0</v>
      </c>
      <c r="EW145" s="8" t="n">
        <v>0</v>
      </c>
      <c r="EX145" s="8" t="n">
        <v>0</v>
      </c>
      <c r="EY145" s="8" t="n">
        <v>0</v>
      </c>
      <c r="EZ145" s="8" t="n">
        <v>0</v>
      </c>
      <c r="FA145" s="8" t="n">
        <v>0</v>
      </c>
      <c r="FB145" s="8" t="n">
        <v>0</v>
      </c>
      <c r="FC145" s="8" t="n">
        <v>0</v>
      </c>
      <c r="FD145" s="8" t="n">
        <v>0</v>
      </c>
      <c r="FE145" s="8" t="n">
        <v>0</v>
      </c>
      <c r="FF145" s="8" t="n">
        <v>0</v>
      </c>
      <c r="FG145" s="9">
        <f>SUM(DW145,DX145,DY145,DZ145,EA145,EB145,EC145,ED145,EE145,EF145,EG145,EH145,EI145,EJ145,EK145,EL145,EM145,EN145,EO145,EP145,EQ145,ER145,ES145,ET145,EU145,EV145,EW145,EX145,EY145,EZ145,FA145,FB145,FC145,FD145,FE145,FF145)</f>
        <v/>
      </c>
      <c r="FH145" s="8" t="n">
        <v>2</v>
      </c>
      <c r="FI145" s="8" t="n">
        <v>24</v>
      </c>
      <c r="FJ145" s="8" t="n">
        <v>23</v>
      </c>
      <c r="FK145" s="8" t="n">
        <v>48</v>
      </c>
      <c r="FL145" s="8" t="n">
        <v>0</v>
      </c>
      <c r="FM145" s="8" t="n">
        <v>0</v>
      </c>
      <c r="FN145" s="8" t="n">
        <v>0</v>
      </c>
      <c r="FO145" s="8" t="n">
        <v>0</v>
      </c>
      <c r="FP145" s="8" t="n">
        <v>0</v>
      </c>
      <c r="FQ145" s="9">
        <f>FL145+FM145+FN145+FO145+FP145</f>
        <v/>
      </c>
      <c r="FR145" s="8" t="n">
        <v>0</v>
      </c>
      <c r="FS145" s="8" t="n">
        <v>0</v>
      </c>
      <c r="FT145" s="8" t="n">
        <v>0</v>
      </c>
      <c r="FU145" s="8" t="n">
        <v>0</v>
      </c>
      <c r="FV145" s="9">
        <f>FR145+FS145+FT145+FU145</f>
        <v/>
      </c>
      <c r="FW145" s="8" t="n">
        <v>1188700</v>
      </c>
      <c r="FX145" s="8" t="n">
        <v>0</v>
      </c>
      <c r="FY145" s="8" t="n">
        <v>0</v>
      </c>
      <c r="FZ145" s="8" t="n">
        <v>1048600</v>
      </c>
      <c r="GA145" s="9">
        <f>FW145+FX145+FY145+FZ145</f>
        <v/>
      </c>
      <c r="GB145" s="9">
        <f>FV145+GA145</f>
        <v/>
      </c>
      <c r="GC145" s="8" t="n">
        <v>0</v>
      </c>
      <c r="GD145" s="8" t="n">
        <v>0</v>
      </c>
      <c r="GE145" s="8" t="n">
        <v>0</v>
      </c>
      <c r="GF145" s="8" t="n">
        <v>0</v>
      </c>
      <c r="GG145" s="9">
        <f>GC145+GD145+GE145+GF145</f>
        <v/>
      </c>
      <c r="GH145" s="8" t="n">
        <v>0</v>
      </c>
      <c r="GI145" s="8" t="n">
        <v>0</v>
      </c>
      <c r="GJ145" s="8" t="n">
        <v>0</v>
      </c>
      <c r="GK145" s="8" t="n">
        <v>0</v>
      </c>
      <c r="GL145" s="9">
        <f>GH145+GI145+GJ145+GK145</f>
        <v/>
      </c>
      <c r="GM145" s="9">
        <f>GG145+GL145</f>
        <v/>
      </c>
      <c r="GN145" s="8" t="n">
        <v>0</v>
      </c>
      <c r="GO145" s="8" t="n">
        <v>0</v>
      </c>
      <c r="GP145" s="8" t="n">
        <v>0</v>
      </c>
      <c r="GQ145" s="8" t="n">
        <v>0</v>
      </c>
      <c r="GR145" s="9">
        <f>GN145+GO145+GP145+GQ145</f>
        <v/>
      </c>
      <c r="GS145" s="8" t="n">
        <v>0</v>
      </c>
      <c r="GT145" s="8" t="n">
        <v>0</v>
      </c>
      <c r="GU145" s="8" t="n">
        <v>0</v>
      </c>
      <c r="GV145" s="8" t="n">
        <v>0</v>
      </c>
      <c r="GW145" s="9">
        <f>GS145+GT145+GU145+GV145</f>
        <v/>
      </c>
      <c r="GX145" s="9">
        <f>GM145+GR145+GW145</f>
        <v/>
      </c>
      <c r="GY145" s="8" t="n">
        <v>1817416.41</v>
      </c>
      <c r="GZ145" s="8" t="n">
        <v>0</v>
      </c>
      <c r="HA145" s="9">
        <f>GY145+GZ145</f>
        <v/>
      </c>
      <c r="HB145" s="9">
        <f>IF(GX145=0,"",AU145/GX145)</f>
        <v/>
      </c>
      <c r="HC145" s="10">
        <f>IF((GX145+GY145)=0,"",GB145/(GX145+GY145))</f>
        <v/>
      </c>
      <c r="HD145" s="9">
        <f>IF(GX145=0,"",GB145/GX145)</f>
        <v/>
      </c>
      <c r="HE145" s="8" t="n">
        <v>0</v>
      </c>
      <c r="HF145" s="8" t="n">
        <v>0</v>
      </c>
      <c r="HG145" s="8" t="n">
        <v>0</v>
      </c>
      <c r="HH145" s="8" t="n">
        <v>0</v>
      </c>
      <c r="HI145" s="8" t="n">
        <v>0</v>
      </c>
      <c r="HJ145" s="9">
        <f>HF145+HI145</f>
        <v/>
      </c>
      <c r="HK145" s="10">
        <f>IF(HE145=0,"",HH145/HE145)</f>
        <v/>
      </c>
      <c r="HL145" s="8" t="n">
        <v>6</v>
      </c>
      <c r="HM145" s="8" t="n">
        <v>2</v>
      </c>
      <c r="HN145" s="11">
        <f>IF(HL145=0,"",HM145/HL145)</f>
        <v/>
      </c>
    </row>
    <row r="146">
      <c r="A146" s="12" t="inlineStr">
        <is>
          <t>Mulanje</t>
        </is>
      </c>
      <c r="B146" s="12" t="inlineStr">
        <is>
          <t>Mikolongwe</t>
        </is>
      </c>
      <c r="C146" s="13" t="inlineStr">
        <is>
          <t>FY2025/26</t>
        </is>
      </c>
      <c r="D146" s="13" t="n">
        <v>2026</v>
      </c>
      <c r="E146" s="13" t="n">
        <v>3</v>
      </c>
      <c r="F146" s="13" t="inlineStr">
        <is>
          <t>March</t>
        </is>
      </c>
      <c r="G146" s="13" t="inlineStr">
        <is>
          <t>Q4</t>
        </is>
      </c>
      <c r="H146" s="14" t="n">
        <v>729</v>
      </c>
      <c r="I146" s="14" t="n">
        <v>0</v>
      </c>
      <c r="J146" s="14" t="n">
        <v>0</v>
      </c>
      <c r="K146" s="14" t="n">
        <v>0</v>
      </c>
      <c r="L146" s="14" t="n">
        <v>0</v>
      </c>
      <c r="M146" s="15">
        <f>SUM(I146,J146,K146,L146)</f>
        <v/>
      </c>
      <c r="N146" s="14" t="n">
        <v>276</v>
      </c>
      <c r="O146" s="14" t="n">
        <v>0</v>
      </c>
      <c r="P146" s="14" t="n">
        <v>301</v>
      </c>
      <c r="Q146" s="14" t="n">
        <v>32</v>
      </c>
      <c r="R146" s="15">
        <f>SUM(N146,O146,P146,Q146)</f>
        <v/>
      </c>
      <c r="S146" s="15">
        <f>M146+R146</f>
        <v/>
      </c>
      <c r="T146" s="14" t="n">
        <v>120</v>
      </c>
      <c r="U146" s="16">
        <f>IF(H146=0,"",T146/H146)</f>
        <v/>
      </c>
      <c r="V146" s="14" t="n">
        <v>4</v>
      </c>
      <c r="W146" s="17">
        <f>IF(H146=0,"",V146/H146)</f>
        <v/>
      </c>
      <c r="X146" s="14" t="n">
        <v>0</v>
      </c>
      <c r="Y146" s="17">
        <f>IF(H146=0,"",X146/H146)</f>
        <v/>
      </c>
      <c r="Z146" s="14" t="n">
        <v>0</v>
      </c>
      <c r="AA146" s="17">
        <f>IF(H146=0,"",Z146/H146)</f>
        <v/>
      </c>
      <c r="AB146" s="14" t="n">
        <v>0</v>
      </c>
      <c r="AC146" s="17">
        <f>IF(H146=0,"",AB146/H146)</f>
        <v/>
      </c>
      <c r="AD146" s="14" t="n">
        <v>0</v>
      </c>
      <c r="AE146" s="17">
        <f>IF(H146=0,"",AD146/H146)</f>
        <v/>
      </c>
      <c r="AF146" s="14" t="n">
        <v>0</v>
      </c>
      <c r="AG146" s="17">
        <f>IF(H146=0,"",AF146/H146)</f>
        <v/>
      </c>
      <c r="AH146" s="14" t="n">
        <v>20446.68</v>
      </c>
      <c r="AI146" s="15">
        <f>IF(H146=0,"",AH146/H146)</f>
        <v/>
      </c>
      <c r="AJ146" s="14" t="n">
        <v>455</v>
      </c>
      <c r="AK146" s="17">
        <f>IF(H146=0,"",AJ146/H146)</f>
        <v/>
      </c>
      <c r="AL146" s="14" t="n">
        <v>16426.5</v>
      </c>
      <c r="AM146" s="15">
        <f>IF(H146=0,"",AL146/H146)</f>
        <v/>
      </c>
      <c r="AN146" s="14" t="n">
        <v>0</v>
      </c>
      <c r="AO146" s="14" t="n">
        <v>0</v>
      </c>
      <c r="AP146" s="14" t="n">
        <v>0</v>
      </c>
      <c r="AQ146" s="14" t="n">
        <v>0</v>
      </c>
      <c r="AR146" s="14" t="n">
        <v>0</v>
      </c>
      <c r="AS146" s="14" t="n">
        <v>0</v>
      </c>
      <c r="AT146" s="14" t="n">
        <v>0</v>
      </c>
      <c r="AU146" s="15">
        <f>AH146+AL146+AP146+AQ146+AR146+AS146+AT146</f>
        <v/>
      </c>
      <c r="AV146" s="15">
        <f>IF(H146=0,"",AU146/H146)</f>
        <v/>
      </c>
      <c r="AW146" s="15">
        <f>IF(S146=0,"",AU146/S146)</f>
        <v/>
      </c>
      <c r="AX146" s="14" t="n">
        <v>0</v>
      </c>
      <c r="AY146" s="15">
        <f>IF(H146=0,"",AX146/(H146/1000/12))</f>
        <v/>
      </c>
      <c r="AZ146" s="14" t="n">
        <v>2</v>
      </c>
      <c r="BA146" s="14" t="n">
        <v>0</v>
      </c>
      <c r="BB146" s="14" t="n">
        <v>0</v>
      </c>
      <c r="BC146" s="14" t="n">
        <v>0</v>
      </c>
      <c r="BD146" s="14" t="n">
        <v>0</v>
      </c>
      <c r="BE146" s="15">
        <f>BC146+BD146</f>
        <v/>
      </c>
      <c r="BF146" s="15">
        <f>BA146+BB146-BE146</f>
        <v/>
      </c>
      <c r="BG146" s="14" t="n">
        <v>0</v>
      </c>
      <c r="BH146" s="14" t="n">
        <v>0</v>
      </c>
      <c r="BI146" s="14" t="n">
        <v>0</v>
      </c>
      <c r="BJ146" s="14" t="n">
        <v>0</v>
      </c>
      <c r="BK146" s="15">
        <f>BI146+BJ146</f>
        <v/>
      </c>
      <c r="BL146" s="15">
        <f>BG146+BH146-BK146</f>
        <v/>
      </c>
      <c r="BM146" s="14" t="n">
        <v>0</v>
      </c>
      <c r="BN146" s="14" t="n">
        <v>0</v>
      </c>
      <c r="BO146" s="14" t="n">
        <v>0</v>
      </c>
      <c r="BP146" s="14" t="n">
        <v>0</v>
      </c>
      <c r="BQ146" s="15">
        <f>BO146+BP146</f>
        <v/>
      </c>
      <c r="BR146" s="15">
        <f>BM146+BN146-BQ146</f>
        <v/>
      </c>
      <c r="BS146" s="14" t="n">
        <v>0</v>
      </c>
      <c r="BT146" s="14" t="n">
        <v>0</v>
      </c>
      <c r="BU146" s="14" t="n">
        <v>0</v>
      </c>
      <c r="BV146" s="14" t="n">
        <v>0</v>
      </c>
      <c r="BW146" s="15">
        <f>BU146+BV146</f>
        <v/>
      </c>
      <c r="BX146" s="15">
        <f>BS146+BT146-BW146</f>
        <v/>
      </c>
      <c r="BY146" s="15">
        <f>BA146+BG146+BM146+BS146</f>
        <v/>
      </c>
      <c r="BZ146" s="15">
        <f>BB146+BH146+BN146+BT146</f>
        <v/>
      </c>
      <c r="CA146" s="15">
        <f>BE146+BK146+BQ146+BW146</f>
        <v/>
      </c>
      <c r="CB146" s="15">
        <f>BF146+BL146+BR146+BX146</f>
        <v/>
      </c>
      <c r="CC146" s="14" t="n">
        <v>0</v>
      </c>
      <c r="CD146" s="14" t="n">
        <v>14</v>
      </c>
      <c r="CE146" s="14" t="n">
        <v>0</v>
      </c>
      <c r="CF146" s="14" t="n">
        <v>2</v>
      </c>
      <c r="CG146" s="14" t="n">
        <v>0</v>
      </c>
      <c r="CH146" s="15">
        <f>CD146+CE146+CF146+CG146</f>
        <v/>
      </c>
      <c r="CI146" s="14" t="n">
        <v>0</v>
      </c>
      <c r="CJ146" s="14" t="n">
        <v>0</v>
      </c>
      <c r="CK146" s="14" t="n">
        <v>0</v>
      </c>
      <c r="CL146" s="14" t="n">
        <v>0</v>
      </c>
      <c r="CM146" s="15">
        <f>CI146+CJ146+CK146+CL146</f>
        <v/>
      </c>
      <c r="CN146" s="14" t="n">
        <v>42</v>
      </c>
      <c r="CO146" s="14" t="n">
        <v>8</v>
      </c>
      <c r="CP146" s="14" t="n">
        <v>0</v>
      </c>
      <c r="CQ146" s="14" t="n">
        <v>0</v>
      </c>
      <c r="CR146" s="15">
        <f>CN146+CO146+CP146+CQ146</f>
        <v/>
      </c>
      <c r="CS146" s="15">
        <f>CM146+CR146</f>
        <v/>
      </c>
      <c r="CT146" s="14" t="n">
        <v>66</v>
      </c>
      <c r="CU146" s="14" t="n">
        <v>1258</v>
      </c>
      <c r="CV146" s="14" t="n">
        <v>1032</v>
      </c>
      <c r="CW146" s="16">
        <f>IF(CU146=0,"",CV146/CU146)</f>
        <v/>
      </c>
      <c r="CX146" s="14" t="n"/>
      <c r="CY146" s="14" t="n"/>
      <c r="CZ146" s="14" t="n"/>
      <c r="DA146" s="14" t="n"/>
      <c r="DB146" s="15">
        <f>CX146+CY146-CZ146-DA146</f>
        <v/>
      </c>
      <c r="DC146" s="14" t="n">
        <v>0</v>
      </c>
      <c r="DD146" s="14" t="n">
        <v>0</v>
      </c>
      <c r="DE146" s="14" t="n">
        <v>0</v>
      </c>
      <c r="DF146" s="14" t="n">
        <v>0</v>
      </c>
      <c r="DG146" s="15">
        <f>DC146+DD146-DE146-DF146</f>
        <v/>
      </c>
      <c r="DH146" s="14" t="n">
        <v>0</v>
      </c>
      <c r="DI146" s="14" t="n">
        <v>0</v>
      </c>
      <c r="DJ146" s="14" t="n">
        <v>0</v>
      </c>
      <c r="DK146" s="14" t="n">
        <v>0</v>
      </c>
      <c r="DL146" s="15">
        <f>DH146+DI146-DJ146-DK146</f>
        <v/>
      </c>
      <c r="DM146" s="14" t="n">
        <v>0</v>
      </c>
      <c r="DN146" s="14" t="n">
        <v>0</v>
      </c>
      <c r="DO146" s="14" t="n">
        <v>0</v>
      </c>
      <c r="DP146" s="14" t="n">
        <v>0</v>
      </c>
      <c r="DQ146" s="15">
        <f>DM146+DN146-DO146-DP146</f>
        <v/>
      </c>
      <c r="DR146" s="15">
        <f>CX146+DC146+DH146+DM146</f>
        <v/>
      </c>
      <c r="DS146" s="15">
        <f>CY146+DD146+DI146+DN146</f>
        <v/>
      </c>
      <c r="DT146" s="15">
        <f>CZ146+DE146+DJ146+DO146</f>
        <v/>
      </c>
      <c r="DU146" s="15">
        <f>DA146+DF146+DK146+DP146</f>
        <v/>
      </c>
      <c r="DV146" s="15">
        <f>DB146+DG146+DL146+DQ146</f>
        <v/>
      </c>
      <c r="DW146" s="14" t="n">
        <v>2</v>
      </c>
      <c r="DX146" s="14" t="n">
        <v>0</v>
      </c>
      <c r="DY146" s="14" t="n">
        <v>1</v>
      </c>
      <c r="DZ146" s="14" t="n">
        <v>0</v>
      </c>
      <c r="EA146" s="14" t="n">
        <v>2</v>
      </c>
      <c r="EB146" s="14" t="n">
        <v>1</v>
      </c>
      <c r="EC146" s="14" t="n">
        <v>0</v>
      </c>
      <c r="ED146" s="14" t="n">
        <v>0</v>
      </c>
      <c r="EE146" s="14" t="n">
        <v>0</v>
      </c>
      <c r="EF146" s="14" t="n">
        <v>0</v>
      </c>
      <c r="EG146" s="14" t="n">
        <v>0</v>
      </c>
      <c r="EH146" s="14" t="n">
        <v>0</v>
      </c>
      <c r="EI146" s="14" t="n">
        <v>0</v>
      </c>
      <c r="EJ146" s="14" t="n">
        <v>0</v>
      </c>
      <c r="EK146" s="14" t="n">
        <v>0</v>
      </c>
      <c r="EL146" s="14" t="n">
        <v>0</v>
      </c>
      <c r="EM146" s="14" t="n">
        <v>0</v>
      </c>
      <c r="EN146" s="14" t="n">
        <v>0</v>
      </c>
      <c r="EO146" s="14" t="n">
        <v>0</v>
      </c>
      <c r="EP146" s="14" t="n">
        <v>0</v>
      </c>
      <c r="EQ146" s="14" t="n">
        <v>0</v>
      </c>
      <c r="ER146" s="14" t="n">
        <v>0</v>
      </c>
      <c r="ES146" s="14" t="n">
        <v>0</v>
      </c>
      <c r="ET146" s="14" t="n">
        <v>0</v>
      </c>
      <c r="EU146" s="14" t="n">
        <v>0</v>
      </c>
      <c r="EV146" s="14" t="n">
        <v>0</v>
      </c>
      <c r="EW146" s="14" t="n">
        <v>0</v>
      </c>
      <c r="EX146" s="14" t="n">
        <v>0</v>
      </c>
      <c r="EY146" s="14" t="n">
        <v>0</v>
      </c>
      <c r="EZ146" s="14" t="n">
        <v>0</v>
      </c>
      <c r="FA146" s="14" t="n">
        <v>0</v>
      </c>
      <c r="FB146" s="14" t="n">
        <v>0</v>
      </c>
      <c r="FC146" s="14" t="n">
        <v>0</v>
      </c>
      <c r="FD146" s="14" t="n">
        <v>0</v>
      </c>
      <c r="FE146" s="14" t="n">
        <v>0</v>
      </c>
      <c r="FF146" s="14" t="n">
        <v>0</v>
      </c>
      <c r="FG146" s="15">
        <f>SUM(DW146,DX146,DY146,DZ146,EA146,EB146,EC146,ED146,EE146,EF146,EG146,EH146,EI146,EJ146,EK146,EL146,EM146,EN146,EO146,EP146,EQ146,ER146,ES146,ET146,EU146,EV146,EW146,EX146,EY146,EZ146,FA146,FB146,FC146,FD146,FE146,FF146)</f>
        <v/>
      </c>
      <c r="FH146" s="14" t="n">
        <v>3</v>
      </c>
      <c r="FI146" s="14" t="n">
        <v>5</v>
      </c>
      <c r="FJ146" s="14" t="n">
        <v>24</v>
      </c>
      <c r="FK146" s="14" t="n">
        <v>15</v>
      </c>
      <c r="FL146" s="14" t="n">
        <v>0</v>
      </c>
      <c r="FM146" s="14" t="n">
        <v>0</v>
      </c>
      <c r="FN146" s="14" t="n">
        <v>0</v>
      </c>
      <c r="FO146" s="14" t="n">
        <v>0</v>
      </c>
      <c r="FP146" s="14" t="n">
        <v>0</v>
      </c>
      <c r="FQ146" s="15">
        <f>FL146+FM146+FN146+FO146+FP146</f>
        <v/>
      </c>
      <c r="FR146" s="14" t="n">
        <v>0</v>
      </c>
      <c r="FS146" s="14" t="n">
        <v>0</v>
      </c>
      <c r="FT146" s="14" t="n">
        <v>0</v>
      </c>
      <c r="FU146" s="14" t="n">
        <v>0</v>
      </c>
      <c r="FV146" s="15">
        <f>FR146+FS146+FT146+FU146</f>
        <v/>
      </c>
      <c r="FW146" s="14" t="n">
        <v>200200</v>
      </c>
      <c r="FX146" s="14" t="n">
        <v>0</v>
      </c>
      <c r="FY146" s="14" t="n">
        <v>0</v>
      </c>
      <c r="FZ146" s="14" t="n">
        <v>0</v>
      </c>
      <c r="GA146" s="15">
        <f>FW146+FX146+FY146+FZ146</f>
        <v/>
      </c>
      <c r="GB146" s="15">
        <f>FV146+GA146</f>
        <v/>
      </c>
      <c r="GC146" s="14" t="n">
        <v>0</v>
      </c>
      <c r="GD146" s="14" t="n">
        <v>0</v>
      </c>
      <c r="GE146" s="14" t="n">
        <v>0</v>
      </c>
      <c r="GF146" s="14" t="n">
        <v>0</v>
      </c>
      <c r="GG146" s="15">
        <f>GC146+GD146+GE146+GF146</f>
        <v/>
      </c>
      <c r="GH146" s="14" t="n">
        <v>0</v>
      </c>
      <c r="GI146" s="14" t="n">
        <v>0</v>
      </c>
      <c r="GJ146" s="14" t="n">
        <v>0</v>
      </c>
      <c r="GK146" s="14" t="n">
        <v>0</v>
      </c>
      <c r="GL146" s="15">
        <f>GH146+GI146+GJ146+GK146</f>
        <v/>
      </c>
      <c r="GM146" s="15">
        <f>GG146+GL146</f>
        <v/>
      </c>
      <c r="GN146" s="14" t="n">
        <v>0</v>
      </c>
      <c r="GO146" s="14" t="n">
        <v>0</v>
      </c>
      <c r="GP146" s="14" t="n">
        <v>0</v>
      </c>
      <c r="GQ146" s="14" t="n">
        <v>0</v>
      </c>
      <c r="GR146" s="15">
        <f>GN146+GO146+GP146+GQ146</f>
        <v/>
      </c>
      <c r="GS146" s="14" t="n">
        <v>0</v>
      </c>
      <c r="GT146" s="14" t="n">
        <v>0</v>
      </c>
      <c r="GU146" s="14" t="n">
        <v>0</v>
      </c>
      <c r="GV146" s="14" t="n">
        <v>0</v>
      </c>
      <c r="GW146" s="15">
        <f>GS146+GT146+GU146+GV146</f>
        <v/>
      </c>
      <c r="GX146" s="15">
        <f>GM146+GR146+GW146</f>
        <v/>
      </c>
      <c r="GY146" s="14" t="n">
        <v>1817416.41</v>
      </c>
      <c r="GZ146" s="14" t="n">
        <v>0</v>
      </c>
      <c r="HA146" s="15">
        <f>GY146+GZ146</f>
        <v/>
      </c>
      <c r="HB146" s="15">
        <f>IF(GX146=0,"",AU146/GX146)</f>
        <v/>
      </c>
      <c r="HC146" s="16">
        <f>IF((GX146+GY146)=0,"",GB146/(GX146+GY146))</f>
        <v/>
      </c>
      <c r="HD146" s="15">
        <f>IF(GX146=0,"",GB146/GX146)</f>
        <v/>
      </c>
      <c r="HE146" s="14" t="n"/>
      <c r="HF146" s="14" t="n">
        <v>0</v>
      </c>
      <c r="HG146" s="14" t="n">
        <v>0</v>
      </c>
      <c r="HH146" s="14" t="n">
        <v>0</v>
      </c>
      <c r="HI146" s="14" t="n">
        <v>0</v>
      </c>
      <c r="HJ146" s="15">
        <f>HF146+HI146</f>
        <v/>
      </c>
      <c r="HK146" s="16">
        <f>IF(HE146=0,"",HH146/HE146)</f>
        <v/>
      </c>
      <c r="HL146" s="14" t="n">
        <v>7</v>
      </c>
      <c r="HM146" s="14" t="n">
        <v>2</v>
      </c>
      <c r="HN146" s="17">
        <f>IF(HL146=0,"",HM146/HL146)</f>
        <v/>
      </c>
    </row>
    <row r="147">
      <c r="A147" s="6" t="inlineStr">
        <is>
          <t>Mulanje</t>
        </is>
      </c>
      <c r="B147" s="6" t="inlineStr">
        <is>
          <t>Mulanje</t>
        </is>
      </c>
      <c r="C147" s="7" t="inlineStr">
        <is>
          <t>FY2025/26</t>
        </is>
      </c>
      <c r="D147" s="7" t="n">
        <v>2025</v>
      </c>
      <c r="E147" s="7" t="n">
        <v>4</v>
      </c>
      <c r="F147" s="7" t="inlineStr">
        <is>
          <t>April</t>
        </is>
      </c>
      <c r="G147" s="7" t="inlineStr">
        <is>
          <t>Q1</t>
        </is>
      </c>
      <c r="H147" s="8" t="n">
        <v>45151</v>
      </c>
      <c r="I147" s="8" t="n">
        <v>19583</v>
      </c>
      <c r="J147" s="8" t="n">
        <v>1097</v>
      </c>
      <c r="K147" s="8" t="n">
        <v>187</v>
      </c>
      <c r="L147" s="8" t="n">
        <v>110</v>
      </c>
      <c r="M147" s="9">
        <f>SUM(I147,J147,K147,L147)</f>
        <v/>
      </c>
      <c r="N147" s="8" t="n">
        <v>4237.7</v>
      </c>
      <c r="O147" s="8" t="n">
        <v>50</v>
      </c>
      <c r="P147" s="8" t="n">
        <v>5586.4</v>
      </c>
      <c r="Q147" s="8" t="n">
        <v>1004</v>
      </c>
      <c r="R147" s="9">
        <f>SUM(N147,O147,P147,Q147)</f>
        <v/>
      </c>
      <c r="S147" s="9">
        <f>M147+R147</f>
        <v/>
      </c>
      <c r="T147" s="8" t="n">
        <v>13295.9</v>
      </c>
      <c r="U147" s="10">
        <f>IF(H147=0,"",T147/H147)</f>
        <v/>
      </c>
      <c r="V147" s="8" t="n">
        <v>89</v>
      </c>
      <c r="W147" s="11">
        <f>IF(H147=0,"",V147/H147)</f>
        <v/>
      </c>
      <c r="X147" s="8" t="n">
        <v>0</v>
      </c>
      <c r="Y147" s="11">
        <f>IF(H147=0,"",X147/H147)</f>
        <v/>
      </c>
      <c r="Z147" s="8" t="n">
        <v>0</v>
      </c>
      <c r="AA147" s="11">
        <f>IF(H147=0,"",Z147/H147)</f>
        <v/>
      </c>
      <c r="AB147" s="8" t="n">
        <v>0</v>
      </c>
      <c r="AC147" s="11">
        <f>IF(H147=0,"",AB147/H147)</f>
        <v/>
      </c>
      <c r="AD147" s="8" t="n">
        <v>0</v>
      </c>
      <c r="AE147" s="11">
        <f>IF(H147=0,"",AD147/H147)</f>
        <v/>
      </c>
      <c r="AF147" s="8" t="n">
        <v>0</v>
      </c>
      <c r="AG147" s="11">
        <f>IF(H147=0,"",AF147/H147)</f>
        <v/>
      </c>
      <c r="AH147" s="8" t="n">
        <v>454938.63</v>
      </c>
      <c r="AI147" s="9">
        <f>IF(H147=0,"",AH147/H147)</f>
        <v/>
      </c>
      <c r="AJ147" s="8" t="n">
        <v>56</v>
      </c>
      <c r="AK147" s="11">
        <f>IF(H147=0,"",AJ147/H147)</f>
        <v/>
      </c>
      <c r="AL147" s="8" t="n">
        <v>24196.584</v>
      </c>
      <c r="AM147" s="9">
        <f>IF(H147=0,"",AL147/H147)</f>
        <v/>
      </c>
      <c r="AN147" s="8" t="n">
        <v>1852</v>
      </c>
      <c r="AO147" s="8" t="n">
        <v>160</v>
      </c>
      <c r="AP147" s="8" t="n">
        <v>437440</v>
      </c>
      <c r="AQ147" s="8" t="n">
        <v>0</v>
      </c>
      <c r="AR147" s="8" t="n">
        <v>15353620.01</v>
      </c>
      <c r="AS147" s="8" t="n">
        <v>3382101.03</v>
      </c>
      <c r="AT147" s="8" t="n">
        <v>4380875.56</v>
      </c>
      <c r="AU147" s="9">
        <f>AH147+AL147+AP147+AQ147+AR147+AS147+AT147</f>
        <v/>
      </c>
      <c r="AV147" s="9">
        <f>IF(H147=0,"",AU147/H147)</f>
        <v/>
      </c>
      <c r="AW147" s="9">
        <f>IF(S147=0,"",AU147/S147)</f>
        <v/>
      </c>
      <c r="AX147" s="8" t="n">
        <v>9</v>
      </c>
      <c r="AY147" s="9">
        <f>IF(H147=0,"",AX147/(H147/1000/12))</f>
        <v/>
      </c>
      <c r="AZ147" s="8" t="n">
        <v>19</v>
      </c>
      <c r="BA147" s="8" t="n">
        <v>398</v>
      </c>
      <c r="BB147" s="8" t="n">
        <v>0</v>
      </c>
      <c r="BC147" s="8" t="n">
        <v>0</v>
      </c>
      <c r="BD147" s="8" t="n">
        <v>33</v>
      </c>
      <c r="BE147" s="9">
        <f>BC147+BD147</f>
        <v/>
      </c>
      <c r="BF147" s="9">
        <f>BA147+BB147-BE147</f>
        <v/>
      </c>
      <c r="BG147" s="8" t="n">
        <v>0</v>
      </c>
      <c r="BH147" s="8" t="n">
        <v>0</v>
      </c>
      <c r="BI147" s="8" t="n">
        <v>0</v>
      </c>
      <c r="BJ147" s="8" t="n">
        <v>0</v>
      </c>
      <c r="BK147" s="9">
        <f>BI147+BJ147</f>
        <v/>
      </c>
      <c r="BL147" s="9">
        <f>BG147+BH147-BK147</f>
        <v/>
      </c>
      <c r="BM147" s="8" t="n">
        <v>0</v>
      </c>
      <c r="BN147" s="8" t="n">
        <v>0</v>
      </c>
      <c r="BO147" s="8" t="n">
        <v>0</v>
      </c>
      <c r="BP147" s="8" t="n">
        <v>0</v>
      </c>
      <c r="BQ147" s="9">
        <f>BO147+BP147</f>
        <v/>
      </c>
      <c r="BR147" s="9">
        <f>BM147+BN147-BQ147</f>
        <v/>
      </c>
      <c r="BS147" s="8" t="n">
        <v>0</v>
      </c>
      <c r="BT147" s="8" t="n">
        <v>0</v>
      </c>
      <c r="BU147" s="8" t="n">
        <v>0</v>
      </c>
      <c r="BV147" s="8" t="n">
        <v>0</v>
      </c>
      <c r="BW147" s="9">
        <f>BU147+BV147</f>
        <v/>
      </c>
      <c r="BX147" s="9">
        <f>BS147+BT147-BW147</f>
        <v/>
      </c>
      <c r="BY147" s="9">
        <f>BA147+BG147+BM147+BS147</f>
        <v/>
      </c>
      <c r="BZ147" s="9">
        <f>BB147+BH147+BN147+BT147</f>
        <v/>
      </c>
      <c r="CA147" s="9">
        <f>BE147+BK147+BQ147+BW147</f>
        <v/>
      </c>
      <c r="CB147" s="9">
        <f>BF147+BL147+BR147+BX147</f>
        <v/>
      </c>
      <c r="CC147" s="8" t="n">
        <v>119</v>
      </c>
      <c r="CD147" s="8" t="n">
        <v>639</v>
      </c>
      <c r="CE147" s="8" t="n">
        <v>35</v>
      </c>
      <c r="CF147" s="8" t="n">
        <v>70</v>
      </c>
      <c r="CG147" s="8" t="n">
        <v>16</v>
      </c>
      <c r="CH147" s="9">
        <f>CD147+CE147+CF147+CG147</f>
        <v/>
      </c>
      <c r="CI147" s="8" t="n">
        <v>2173</v>
      </c>
      <c r="CJ147" s="8" t="n">
        <v>16</v>
      </c>
      <c r="CK147" s="8" t="n">
        <v>12</v>
      </c>
      <c r="CL147" s="8" t="n">
        <v>12</v>
      </c>
      <c r="CM147" s="9">
        <f>CI147+CJ147+CK147+CL147</f>
        <v/>
      </c>
      <c r="CN147" s="8" t="n">
        <v>809</v>
      </c>
      <c r="CO147" s="8" t="n">
        <v>93</v>
      </c>
      <c r="CP147" s="8" t="n">
        <v>131</v>
      </c>
      <c r="CQ147" s="8" t="n">
        <v>4</v>
      </c>
      <c r="CR147" s="9">
        <f>CN147+CO147+CP147+CQ147</f>
        <v/>
      </c>
      <c r="CS147" s="9">
        <f>CM147+CR147</f>
        <v/>
      </c>
      <c r="CT147" s="8" t="n">
        <v>4010</v>
      </c>
      <c r="CU147" s="8" t="n">
        <v>25000</v>
      </c>
      <c r="CV147" s="8" t="n">
        <v>20580</v>
      </c>
      <c r="CW147" s="10">
        <f>IF(CU147=0,"",CV147/CU147)</f>
        <v/>
      </c>
      <c r="CX147" s="8" t="n">
        <v>0</v>
      </c>
      <c r="CY147" s="8" t="n">
        <v>0</v>
      </c>
      <c r="CZ147" s="8" t="n">
        <v>0</v>
      </c>
      <c r="DA147" s="8" t="n">
        <v>0</v>
      </c>
      <c r="DB147" s="9">
        <f>CX147+CY147-CZ147-DA147</f>
        <v/>
      </c>
      <c r="DC147" s="8" t="n">
        <v>0</v>
      </c>
      <c r="DD147" s="8" t="n">
        <v>0</v>
      </c>
      <c r="DE147" s="8" t="n">
        <v>0</v>
      </c>
      <c r="DF147" s="8" t="n">
        <v>0</v>
      </c>
      <c r="DG147" s="9">
        <f>DC147+DD147-DE147-DF147</f>
        <v/>
      </c>
      <c r="DH147" s="8" t="n">
        <v>0</v>
      </c>
      <c r="DI147" s="8" t="n">
        <v>0</v>
      </c>
      <c r="DJ147" s="8" t="n">
        <v>0</v>
      </c>
      <c r="DK147" s="8" t="n">
        <v>0</v>
      </c>
      <c r="DL147" s="9">
        <f>DH147+DI147-DJ147-DK147</f>
        <v/>
      </c>
      <c r="DM147" s="8" t="n">
        <v>134</v>
      </c>
      <c r="DN147" s="8" t="n">
        <v>0</v>
      </c>
      <c r="DO147" s="8" t="n">
        <v>0</v>
      </c>
      <c r="DP147" s="8" t="n">
        <v>0</v>
      </c>
      <c r="DQ147" s="9">
        <f>DM147+DN147-DO147-DP147</f>
        <v/>
      </c>
      <c r="DR147" s="9">
        <f>CX147+DC147+DH147+DM147</f>
        <v/>
      </c>
      <c r="DS147" s="9">
        <f>CY147+DD147+DI147+DN147</f>
        <v/>
      </c>
      <c r="DT147" s="9">
        <f>CZ147+DE147+DJ147+DO147</f>
        <v/>
      </c>
      <c r="DU147" s="9">
        <f>DA147+DF147+DK147+DP147</f>
        <v/>
      </c>
      <c r="DV147" s="9">
        <f>DB147+DG147+DL147+DQ147</f>
        <v/>
      </c>
      <c r="DW147" s="8" t="n">
        <v>15</v>
      </c>
      <c r="DX147" s="8" t="n">
        <v>10</v>
      </c>
      <c r="DY147" s="8" t="n">
        <v>4</v>
      </c>
      <c r="DZ147" s="8" t="n">
        <v>1</v>
      </c>
      <c r="EA147" s="8" t="n">
        <v>1</v>
      </c>
      <c r="EB147" s="8" t="n">
        <v>1</v>
      </c>
      <c r="EC147" s="8" t="n">
        <v>1</v>
      </c>
      <c r="ED147" s="8" t="n">
        <v>0</v>
      </c>
      <c r="EE147" s="8" t="n">
        <v>1</v>
      </c>
      <c r="EF147" s="8" t="n">
        <v>1</v>
      </c>
      <c r="EG147" s="8" t="n">
        <v>1</v>
      </c>
      <c r="EH147" s="8" t="n">
        <v>0</v>
      </c>
      <c r="EI147" s="8" t="n">
        <v>0</v>
      </c>
      <c r="EJ147" s="8" t="n">
        <v>0</v>
      </c>
      <c r="EK147" s="8" t="n">
        <v>0</v>
      </c>
      <c r="EL147" s="8" t="n">
        <v>0</v>
      </c>
      <c r="EM147" s="8" t="n">
        <v>0</v>
      </c>
      <c r="EN147" s="8" t="n">
        <v>0</v>
      </c>
      <c r="EO147" s="8" t="n">
        <v>0</v>
      </c>
      <c r="EP147" s="8" t="n">
        <v>0</v>
      </c>
      <c r="EQ147" s="8" t="n">
        <v>0</v>
      </c>
      <c r="ER147" s="8" t="n">
        <v>0</v>
      </c>
      <c r="ES147" s="8" t="n">
        <v>0</v>
      </c>
      <c r="ET147" s="8" t="n">
        <v>0</v>
      </c>
      <c r="EU147" s="8" t="n">
        <v>0</v>
      </c>
      <c r="EV147" s="8" t="n">
        <v>0</v>
      </c>
      <c r="EW147" s="8" t="n">
        <v>0</v>
      </c>
      <c r="EX147" s="8" t="n">
        <v>0</v>
      </c>
      <c r="EY147" s="8" t="n">
        <v>0</v>
      </c>
      <c r="EZ147" s="8" t="n">
        <v>0</v>
      </c>
      <c r="FA147" s="8" t="n">
        <v>0</v>
      </c>
      <c r="FB147" s="8" t="n">
        <v>0</v>
      </c>
      <c r="FC147" s="8" t="n">
        <v>0</v>
      </c>
      <c r="FD147" s="8" t="n">
        <v>0</v>
      </c>
      <c r="FE147" s="8" t="n">
        <v>0</v>
      </c>
      <c r="FF147" s="8" t="n">
        <v>0</v>
      </c>
      <c r="FG147" s="9">
        <f>SUM(DW147,DX147,DY147,DZ147,EA147,EB147,EC147,ED147,EE147,EF147,EG147,EH147,EI147,EJ147,EK147,EL147,EM147,EN147,EO147,EP147,EQ147,ER147,ES147,ET147,EU147,EV147,EW147,EX147,EY147,EZ147,FA147,FB147,FC147,FD147,FE147,FF147)</f>
        <v/>
      </c>
      <c r="FH147" s="8" t="n">
        <v>0</v>
      </c>
      <c r="FI147" s="8" t="n">
        <v>0</v>
      </c>
      <c r="FJ147" s="8" t="n">
        <v>24</v>
      </c>
      <c r="FK147" s="8" t="n">
        <v>0</v>
      </c>
      <c r="FL147" s="8" t="n">
        <v>0</v>
      </c>
      <c r="FM147" s="8" t="n">
        <v>0</v>
      </c>
      <c r="FN147" s="8" t="n">
        <v>0</v>
      </c>
      <c r="FO147" s="8" t="n">
        <v>0</v>
      </c>
      <c r="FP147" s="8" t="n">
        <v>0</v>
      </c>
      <c r="FQ147" s="9">
        <f>FL147+FM147+FN147+FO147+FP147</f>
        <v/>
      </c>
      <c r="FR147" s="8" t="n">
        <v>17958482</v>
      </c>
      <c r="FS147" s="8" t="n">
        <v>158500</v>
      </c>
      <c r="FT147" s="8" t="n">
        <v>177600</v>
      </c>
      <c r="FU147" s="8" t="n">
        <v>557065.7</v>
      </c>
      <c r="FV147" s="9">
        <f>FR147+FS147+FT147+FU147</f>
        <v/>
      </c>
      <c r="FW147" s="8" t="n">
        <v>5714023.299999983</v>
      </c>
      <c r="FX147" s="8" t="n">
        <v>10612.44</v>
      </c>
      <c r="FY147" s="8" t="n">
        <v>4890774.73</v>
      </c>
      <c r="FZ147" s="8" t="n">
        <v>17152137.73</v>
      </c>
      <c r="GA147" s="9">
        <f>FW147+FX147+FY147+FZ147</f>
        <v/>
      </c>
      <c r="GB147" s="9">
        <f>FV147+GA147</f>
        <v/>
      </c>
      <c r="GC147" s="8" t="n">
        <v>17494245.57</v>
      </c>
      <c r="GD147" s="8" t="n">
        <v>209834.16</v>
      </c>
      <c r="GE147" s="8" t="n">
        <v>522182.1</v>
      </c>
      <c r="GF147" s="8" t="n">
        <v>362295.74</v>
      </c>
      <c r="GG147" s="9">
        <f>GC147+GD147+GE147+GF147</f>
        <v/>
      </c>
      <c r="GH147" s="8" t="n">
        <v>0</v>
      </c>
      <c r="GI147" s="8" t="n">
        <v>0</v>
      </c>
      <c r="GJ147" s="8" t="n">
        <v>0</v>
      </c>
      <c r="GK147" s="8" t="n">
        <v>0</v>
      </c>
      <c r="GL147" s="9">
        <f>GH147+GI147+GJ147+GK147</f>
        <v/>
      </c>
      <c r="GM147" s="9">
        <f>GG147+GL147</f>
        <v/>
      </c>
      <c r="GN147" s="8" t="n">
        <v>1221391.89</v>
      </c>
      <c r="GO147" s="8" t="n">
        <v>2295.36</v>
      </c>
      <c r="GP147" s="8" t="n">
        <v>54298.24</v>
      </c>
      <c r="GQ147" s="8" t="n">
        <v>55648.08</v>
      </c>
      <c r="GR147" s="9">
        <f>GN147+GO147+GP147+GQ147</f>
        <v/>
      </c>
      <c r="GS147" s="8" t="n">
        <v>1940489</v>
      </c>
      <c r="GT147" s="8" t="n">
        <v>10716</v>
      </c>
      <c r="GU147" s="8" t="n">
        <v>14288</v>
      </c>
      <c r="GV147" s="8" t="n">
        <v>10716</v>
      </c>
      <c r="GW147" s="9">
        <f>GS147+GT147+GU147+GV147</f>
        <v/>
      </c>
      <c r="GX147" s="9">
        <f>GM147+GR147+GW147</f>
        <v/>
      </c>
      <c r="GY147" s="8" t="n">
        <v>156607540.53</v>
      </c>
      <c r="GZ147" s="8" t="n">
        <v>145614.48</v>
      </c>
      <c r="HA147" s="9">
        <f>GY147+GZ147</f>
        <v/>
      </c>
      <c r="HB147" s="9">
        <f>IF(GX147=0,"",AU147/GX147)</f>
        <v/>
      </c>
      <c r="HC147" s="10">
        <f>IF((GX147+GY147)=0,"",GB147/(GX147+GY147))</f>
        <v/>
      </c>
      <c r="HD147" s="9">
        <f>IF(GX147=0,"",GB147/GX147)</f>
        <v/>
      </c>
      <c r="HE147" s="8" t="n">
        <v>0</v>
      </c>
      <c r="HF147" s="8" t="n">
        <v>1</v>
      </c>
      <c r="HG147" s="8" t="n">
        <v>365</v>
      </c>
      <c r="HH147" s="8" t="n">
        <v>0</v>
      </c>
      <c r="HI147" s="8" t="n">
        <v>30</v>
      </c>
      <c r="HJ147" s="9">
        <f>HF147+HI147</f>
        <v/>
      </c>
      <c r="HK147" s="10">
        <f>IF(HE147=0,"",HH147/HE147)</f>
        <v/>
      </c>
      <c r="HL147" s="8" t="n">
        <v>12</v>
      </c>
      <c r="HM147" s="8" t="n">
        <v>30</v>
      </c>
      <c r="HN147" s="11">
        <f>IF(HL147=0,"",HM147/HL147)</f>
        <v/>
      </c>
    </row>
    <row r="148">
      <c r="A148" s="12" t="inlineStr">
        <is>
          <t>Mulanje</t>
        </is>
      </c>
      <c r="B148" s="12" t="inlineStr">
        <is>
          <t>Mulanje</t>
        </is>
      </c>
      <c r="C148" s="13" t="inlineStr">
        <is>
          <t>FY2025/26</t>
        </is>
      </c>
      <c r="D148" s="13" t="n">
        <v>2025</v>
      </c>
      <c r="E148" s="13" t="n">
        <v>5</v>
      </c>
      <c r="F148" s="13" t="inlineStr">
        <is>
          <t>May</t>
        </is>
      </c>
      <c r="G148" s="13" t="inlineStr">
        <is>
          <t>Q1</t>
        </is>
      </c>
      <c r="H148" s="14" t="n">
        <v>42102</v>
      </c>
      <c r="I148" s="14" t="n">
        <v>18430</v>
      </c>
      <c r="J148" s="14" t="n">
        <v>894</v>
      </c>
      <c r="K148" s="14" t="n">
        <v>62</v>
      </c>
      <c r="L148" s="14" t="n">
        <v>73</v>
      </c>
      <c r="M148" s="15">
        <f>SUM(I148,J148,K148,L148)</f>
        <v/>
      </c>
      <c r="N148" s="14" t="n">
        <v>4590.3</v>
      </c>
      <c r="O148" s="14" t="n">
        <v>10</v>
      </c>
      <c r="P148" s="14" t="n">
        <v>3277</v>
      </c>
      <c r="Q148" s="14" t="n">
        <v>500</v>
      </c>
      <c r="R148" s="15">
        <f>SUM(N148,O148,P148,Q148)</f>
        <v/>
      </c>
      <c r="S148" s="15">
        <f>M148+R148</f>
        <v/>
      </c>
      <c r="T148" s="14" t="n">
        <v>14265.7</v>
      </c>
      <c r="U148" s="16">
        <f>IF(H148=0,"",T148/H148)</f>
        <v/>
      </c>
      <c r="V148" s="14" t="n">
        <v>91</v>
      </c>
      <c r="W148" s="17">
        <f>IF(H148=0,"",V148/H148)</f>
        <v/>
      </c>
      <c r="X148" s="14" t="n">
        <v>0</v>
      </c>
      <c r="Y148" s="17">
        <f>IF(H148=0,"",X148/H148)</f>
        <v/>
      </c>
      <c r="Z148" s="14" t="n">
        <v>0</v>
      </c>
      <c r="AA148" s="17">
        <f>IF(H148=0,"",Z148/H148)</f>
        <v/>
      </c>
      <c r="AB148" s="14" t="n">
        <v>0</v>
      </c>
      <c r="AC148" s="17">
        <f>IF(H148=0,"",AB148/H148)</f>
        <v/>
      </c>
      <c r="AD148" s="14" t="n">
        <v>0</v>
      </c>
      <c r="AE148" s="17">
        <f>IF(H148=0,"",AD148/H148)</f>
        <v/>
      </c>
      <c r="AF148" s="14" t="n">
        <v>0</v>
      </c>
      <c r="AG148" s="17">
        <f>IF(H148=0,"",AF148/H148)</f>
        <v/>
      </c>
      <c r="AH148" s="14" t="n">
        <v>465161.97</v>
      </c>
      <c r="AI148" s="15">
        <f>IF(H148=0,"",AH148/H148)</f>
        <v/>
      </c>
      <c r="AJ148" s="14" t="n">
        <v>52</v>
      </c>
      <c r="AK148" s="17">
        <f>IF(H148=0,"",AJ148/H148)</f>
        <v/>
      </c>
      <c r="AL148" s="14" t="n">
        <v>23641.578</v>
      </c>
      <c r="AM148" s="15">
        <f>IF(H148=0,"",AL148/H148)</f>
        <v/>
      </c>
      <c r="AN148" s="14" t="n">
        <v>1950</v>
      </c>
      <c r="AO148" s="14" t="n">
        <v>175</v>
      </c>
      <c r="AP148" s="14" t="n">
        <v>478450</v>
      </c>
      <c r="AQ148" s="14" t="n">
        <v>0</v>
      </c>
      <c r="AR148" s="14" t="n">
        <v>15688185.92</v>
      </c>
      <c r="AS148" s="14" t="n">
        <v>3402051.04</v>
      </c>
      <c r="AT148" s="14" t="n">
        <v>2547370.02</v>
      </c>
      <c r="AU148" s="15">
        <f>AH148+AL148+AP148+AQ148+AR148+AS148+AT148</f>
        <v/>
      </c>
      <c r="AV148" s="15">
        <f>IF(H148=0,"",AU148/H148)</f>
        <v/>
      </c>
      <c r="AW148" s="15">
        <f>IF(S148=0,"",AU148/S148)</f>
        <v/>
      </c>
      <c r="AX148" s="14" t="n">
        <v>10</v>
      </c>
      <c r="AY148" s="15">
        <f>IF(H148=0,"",AX148/(H148/1000/12))</f>
        <v/>
      </c>
      <c r="AZ148" s="14" t="n">
        <v>19</v>
      </c>
      <c r="BA148" s="14" t="n">
        <v>398</v>
      </c>
      <c r="BB148" s="14" t="n">
        <v>0</v>
      </c>
      <c r="BC148" s="14" t="n">
        <v>0</v>
      </c>
      <c r="BD148" s="14" t="n">
        <v>74</v>
      </c>
      <c r="BE148" s="15">
        <f>BC148+BD148</f>
        <v/>
      </c>
      <c r="BF148" s="15">
        <f>BA148+BB148-BE148</f>
        <v/>
      </c>
      <c r="BG148" s="14" t="n">
        <v>0</v>
      </c>
      <c r="BH148" s="14" t="n">
        <v>0</v>
      </c>
      <c r="BI148" s="14" t="n">
        <v>0</v>
      </c>
      <c r="BJ148" s="14" t="n">
        <v>0</v>
      </c>
      <c r="BK148" s="15">
        <f>BI148+BJ148</f>
        <v/>
      </c>
      <c r="BL148" s="15">
        <f>BG148+BH148-BK148</f>
        <v/>
      </c>
      <c r="BM148" s="14" t="n">
        <v>0</v>
      </c>
      <c r="BN148" s="14" t="n">
        <v>0</v>
      </c>
      <c r="BO148" s="14" t="n">
        <v>0</v>
      </c>
      <c r="BP148" s="14" t="n">
        <v>0</v>
      </c>
      <c r="BQ148" s="15">
        <f>BO148+BP148</f>
        <v/>
      </c>
      <c r="BR148" s="15">
        <f>BM148+BN148-BQ148</f>
        <v/>
      </c>
      <c r="BS148" s="14" t="n">
        <v>0</v>
      </c>
      <c r="BT148" s="14" t="n">
        <v>0</v>
      </c>
      <c r="BU148" s="14" t="n">
        <v>0</v>
      </c>
      <c r="BV148" s="14" t="n">
        <v>0</v>
      </c>
      <c r="BW148" s="15">
        <f>BU148+BV148</f>
        <v/>
      </c>
      <c r="BX148" s="15">
        <f>BS148+BT148-BW148</f>
        <v/>
      </c>
      <c r="BY148" s="15">
        <f>BA148+BG148+BM148+BS148</f>
        <v/>
      </c>
      <c r="BZ148" s="15">
        <f>BB148+BH148+BN148+BT148</f>
        <v/>
      </c>
      <c r="CA148" s="15">
        <f>BE148+BK148+BQ148+BW148</f>
        <v/>
      </c>
      <c r="CB148" s="15">
        <f>BF148+BL148+BR148+BX148</f>
        <v/>
      </c>
      <c r="CC148" s="14" t="n">
        <v>115</v>
      </c>
      <c r="CD148" s="14" t="n">
        <v>732</v>
      </c>
      <c r="CE148" s="14" t="n">
        <v>35</v>
      </c>
      <c r="CF148" s="14" t="n">
        <v>70</v>
      </c>
      <c r="CG148" s="14" t="n">
        <v>16</v>
      </c>
      <c r="CH148" s="15">
        <f>CD148+CE148+CF148+CG148</f>
        <v/>
      </c>
      <c r="CI148" s="14" t="n">
        <v>2102</v>
      </c>
      <c r="CJ148" s="14" t="n">
        <v>7</v>
      </c>
      <c r="CK148" s="14" t="n">
        <v>4</v>
      </c>
      <c r="CL148" s="14" t="n">
        <v>12</v>
      </c>
      <c r="CM148" s="15">
        <f>CI148+CJ148+CK148+CL148</f>
        <v/>
      </c>
      <c r="CN148" s="14" t="n">
        <v>928</v>
      </c>
      <c r="CO148" s="14" t="n">
        <v>85</v>
      </c>
      <c r="CP148" s="14" t="n">
        <v>121</v>
      </c>
      <c r="CQ148" s="14" t="n">
        <v>4</v>
      </c>
      <c r="CR148" s="15">
        <f>CN148+CO148+CP148+CQ148</f>
        <v/>
      </c>
      <c r="CS148" s="15">
        <f>CM148+CR148</f>
        <v/>
      </c>
      <c r="CT148" s="14" t="n">
        <v>4116</v>
      </c>
      <c r="CU148" s="14" t="n">
        <v>25000</v>
      </c>
      <c r="CV148" s="14" t="n">
        <v>20620</v>
      </c>
      <c r="CW148" s="16">
        <f>IF(CU148=0,"",CV148/CU148)</f>
        <v/>
      </c>
      <c r="CX148" s="14" t="n">
        <v>0</v>
      </c>
      <c r="CY148" s="14" t="n">
        <v>0</v>
      </c>
      <c r="CZ148" s="14" t="n">
        <v>0</v>
      </c>
      <c r="DA148" s="14" t="n">
        <v>0</v>
      </c>
      <c r="DB148" s="15">
        <f>CX148+CY148-CZ148-DA148</f>
        <v/>
      </c>
      <c r="DC148" s="14" t="n">
        <v>0</v>
      </c>
      <c r="DD148" s="14" t="n">
        <v>0</v>
      </c>
      <c r="DE148" s="14" t="n">
        <v>0</v>
      </c>
      <c r="DF148" s="14" t="n">
        <v>0</v>
      </c>
      <c r="DG148" s="15">
        <f>DC148+DD148-DE148-DF148</f>
        <v/>
      </c>
      <c r="DH148" s="14" t="n">
        <v>0</v>
      </c>
      <c r="DI148" s="14" t="n">
        <v>0</v>
      </c>
      <c r="DJ148" s="14" t="n">
        <v>0</v>
      </c>
      <c r="DK148" s="14" t="n">
        <v>0</v>
      </c>
      <c r="DL148" s="15">
        <f>DH148+DI148-DJ148-DK148</f>
        <v/>
      </c>
      <c r="DM148" s="14" t="n">
        <v>134</v>
      </c>
      <c r="DN148" s="14" t="n">
        <v>0</v>
      </c>
      <c r="DO148" s="14" t="n">
        <v>83</v>
      </c>
      <c r="DP148" s="14" t="n">
        <v>0</v>
      </c>
      <c r="DQ148" s="15">
        <f>DM148+DN148-DO148-DP148</f>
        <v/>
      </c>
      <c r="DR148" s="15">
        <f>CX148+DC148+DH148+DM148</f>
        <v/>
      </c>
      <c r="DS148" s="15">
        <f>CY148+DD148+DI148+DN148</f>
        <v/>
      </c>
      <c r="DT148" s="15">
        <f>CZ148+DE148+DJ148+DO148</f>
        <v/>
      </c>
      <c r="DU148" s="15">
        <f>DA148+DF148+DK148+DP148</f>
        <v/>
      </c>
      <c r="DV148" s="15">
        <f>DB148+DG148+DL148+DQ148</f>
        <v/>
      </c>
      <c r="DW148" s="14" t="n">
        <v>7</v>
      </c>
      <c r="DX148" s="14" t="n">
        <v>3</v>
      </c>
      <c r="DY148" s="14" t="n">
        <v>2</v>
      </c>
      <c r="DZ148" s="14" t="n">
        <v>3</v>
      </c>
      <c r="EA148" s="14" t="n">
        <v>3</v>
      </c>
      <c r="EB148" s="14" t="n">
        <v>5</v>
      </c>
      <c r="EC148" s="14" t="n">
        <v>5</v>
      </c>
      <c r="ED148" s="14" t="n">
        <v>0</v>
      </c>
      <c r="EE148" s="14" t="n">
        <v>0</v>
      </c>
      <c r="EF148" s="14" t="n">
        <v>2</v>
      </c>
      <c r="EG148" s="14" t="n">
        <v>2</v>
      </c>
      <c r="EH148" s="14" t="n">
        <v>2</v>
      </c>
      <c r="EI148" s="14" t="n">
        <v>0</v>
      </c>
      <c r="EJ148" s="14" t="n">
        <v>0</v>
      </c>
      <c r="EK148" s="14" t="n">
        <v>0</v>
      </c>
      <c r="EL148" s="14" t="n">
        <v>0</v>
      </c>
      <c r="EM148" s="14" t="n">
        <v>0</v>
      </c>
      <c r="EN148" s="14" t="n">
        <v>0</v>
      </c>
      <c r="EO148" s="14" t="n">
        <v>0</v>
      </c>
      <c r="EP148" s="14" t="n">
        <v>0</v>
      </c>
      <c r="EQ148" s="14" t="n">
        <v>0</v>
      </c>
      <c r="ER148" s="14" t="n">
        <v>0</v>
      </c>
      <c r="ES148" s="14" t="n">
        <v>0</v>
      </c>
      <c r="ET148" s="14" t="n">
        <v>0</v>
      </c>
      <c r="EU148" s="14" t="n">
        <v>0</v>
      </c>
      <c r="EV148" s="14" t="n">
        <v>0</v>
      </c>
      <c r="EW148" s="14" t="n">
        <v>0</v>
      </c>
      <c r="EX148" s="14" t="n">
        <v>0</v>
      </c>
      <c r="EY148" s="14" t="n">
        <v>0</v>
      </c>
      <c r="EZ148" s="14" t="n">
        <v>0</v>
      </c>
      <c r="FA148" s="14" t="n">
        <v>0</v>
      </c>
      <c r="FB148" s="14" t="n">
        <v>0</v>
      </c>
      <c r="FC148" s="14" t="n">
        <v>0</v>
      </c>
      <c r="FD148" s="14" t="n">
        <v>0</v>
      </c>
      <c r="FE148" s="14" t="n">
        <v>0</v>
      </c>
      <c r="FF148" s="14" t="n">
        <v>0</v>
      </c>
      <c r="FG148" s="15">
        <f>SUM(DW148,DX148,DY148,DZ148,EA148,EB148,EC148,ED148,EE148,EF148,EG148,EH148,EI148,EJ148,EK148,EL148,EM148,EN148,EO148,EP148,EQ148,ER148,ES148,ET148,EU148,EV148,EW148,EX148,EY148,EZ148,FA148,FB148,FC148,FD148,FE148,FF148)</f>
        <v/>
      </c>
      <c r="FH148" s="14" t="n">
        <v>0</v>
      </c>
      <c r="FI148" s="14" t="n">
        <v>0</v>
      </c>
      <c r="FJ148" s="14" t="n">
        <v>24</v>
      </c>
      <c r="FK148" s="14" t="n">
        <v>0</v>
      </c>
      <c r="FL148" s="14" t="n">
        <v>0</v>
      </c>
      <c r="FM148" s="14" t="n">
        <v>0</v>
      </c>
      <c r="FN148" s="14" t="n">
        <v>0</v>
      </c>
      <c r="FO148" s="14" t="n">
        <v>0</v>
      </c>
      <c r="FP148" s="14" t="n">
        <v>0</v>
      </c>
      <c r="FQ148" s="15">
        <f>FL148+FM148+FN148+FO148+FP148</f>
        <v/>
      </c>
      <c r="FR148" s="14" t="n">
        <v>19636919.85</v>
      </c>
      <c r="FS148" s="14" t="n">
        <v>144000</v>
      </c>
      <c r="FT148" s="14" t="n">
        <v>842000</v>
      </c>
      <c r="FU148" s="14" t="n">
        <v>95000</v>
      </c>
      <c r="FV148" s="15">
        <f>FR148+FS148+FT148+FU148</f>
        <v/>
      </c>
      <c r="FW148" s="14" t="n">
        <v>6452055.809999977</v>
      </c>
      <c r="FX148" s="14" t="n">
        <v>2106.22</v>
      </c>
      <c r="FY148" s="14" t="n">
        <v>2587137.669999999</v>
      </c>
      <c r="FZ148" s="14" t="n">
        <v>10139471.96</v>
      </c>
      <c r="GA148" s="15">
        <f>FW148+FX148+FY148+FZ148</f>
        <v/>
      </c>
      <c r="GB148" s="15">
        <f>FV148+GA148</f>
        <v/>
      </c>
      <c r="GC148" s="14" t="n">
        <v>16431972.79</v>
      </c>
      <c r="GD148" s="14" t="n">
        <v>171004.32</v>
      </c>
      <c r="GE148" s="14" t="n">
        <v>163305.54</v>
      </c>
      <c r="GF148" s="14" t="n">
        <v>283714.68</v>
      </c>
      <c r="GG148" s="15">
        <f>GC148+GD148+GE148+GF148</f>
        <v/>
      </c>
      <c r="GH148" s="14" t="n">
        <v>0</v>
      </c>
      <c r="GI148" s="14" t="n">
        <v>0</v>
      </c>
      <c r="GJ148" s="14" t="n">
        <v>0</v>
      </c>
      <c r="GK148" s="14" t="n">
        <v>0</v>
      </c>
      <c r="GL148" s="15">
        <f>GH148+GI148+GJ148+GK148</f>
        <v/>
      </c>
      <c r="GM148" s="15">
        <f>GG148+GL148</f>
        <v/>
      </c>
      <c r="GN148" s="14" t="n">
        <v>1182869.18</v>
      </c>
      <c r="GO148" s="14" t="n">
        <v>2295.36</v>
      </c>
      <c r="GP148" s="14" t="n">
        <v>23755.48</v>
      </c>
      <c r="GQ148" s="14" t="n">
        <v>18549.36</v>
      </c>
      <c r="GR148" s="15">
        <f>GN148+GO148+GP148+GQ148</f>
        <v/>
      </c>
      <c r="GS148" s="14" t="n">
        <v>1877086</v>
      </c>
      <c r="GT148" s="14" t="n">
        <v>10716</v>
      </c>
      <c r="GU148" s="14" t="n">
        <v>6251</v>
      </c>
      <c r="GV148" s="14" t="n">
        <v>3572</v>
      </c>
      <c r="GW148" s="15">
        <f>GS148+GT148+GU148+GV148</f>
        <v/>
      </c>
      <c r="GX148" s="15">
        <f>GM148+GR148+GW148</f>
        <v/>
      </c>
      <c r="GY148" s="14" t="n">
        <v>155935111.48</v>
      </c>
      <c r="GZ148" s="14" t="n">
        <v>385274.31</v>
      </c>
      <c r="HA148" s="15">
        <f>GY148+GZ148</f>
        <v/>
      </c>
      <c r="HB148" s="15">
        <f>IF(GX148=0,"",AU148/GX148)</f>
        <v/>
      </c>
      <c r="HC148" s="16">
        <f>IF((GX148+GY148)=0,"",GB148/(GX148+GY148))</f>
        <v/>
      </c>
      <c r="HD148" s="15">
        <f>IF(GX148=0,"",GB148/GX148)</f>
        <v/>
      </c>
      <c r="HE148" s="14" t="n">
        <v>0</v>
      </c>
      <c r="HF148" s="14" t="n">
        <v>1</v>
      </c>
      <c r="HG148" s="14" t="n">
        <v>324</v>
      </c>
      <c r="HH148" s="14" t="n">
        <v>0</v>
      </c>
      <c r="HI148" s="14" t="n">
        <v>0</v>
      </c>
      <c r="HJ148" s="15">
        <f>HF148+HI148</f>
        <v/>
      </c>
      <c r="HK148" s="16">
        <f>IF(HE148=0,"",HH148/HE148)</f>
        <v/>
      </c>
      <c r="HL148" s="14" t="n">
        <v>10</v>
      </c>
      <c r="HM148" s="14" t="n">
        <v>30</v>
      </c>
      <c r="HN148" s="17">
        <f>IF(HL148=0,"",HM148/HL148)</f>
        <v/>
      </c>
    </row>
    <row r="149">
      <c r="A149" s="6" t="inlineStr">
        <is>
          <t>Mulanje</t>
        </is>
      </c>
      <c r="B149" s="6" t="inlineStr">
        <is>
          <t>Mulanje</t>
        </is>
      </c>
      <c r="C149" s="7" t="inlineStr">
        <is>
          <t>FY2025/26</t>
        </is>
      </c>
      <c r="D149" s="7" t="n">
        <v>2025</v>
      </c>
      <c r="E149" s="7" t="n">
        <v>6</v>
      </c>
      <c r="F149" s="7" t="inlineStr">
        <is>
          <t>June</t>
        </is>
      </c>
      <c r="G149" s="7" t="inlineStr">
        <is>
          <t>Q1</t>
        </is>
      </c>
      <c r="H149" s="8" t="n">
        <v>41998</v>
      </c>
      <c r="I149" s="8" t="n">
        <v>18608</v>
      </c>
      <c r="J149" s="8" t="n">
        <v>751</v>
      </c>
      <c r="K149" s="8" t="n">
        <v>79</v>
      </c>
      <c r="L149" s="8" t="n">
        <v>62</v>
      </c>
      <c r="M149" s="9">
        <f>SUM(I149,J149,K149,L149)</f>
        <v/>
      </c>
      <c r="N149" s="8" t="n">
        <v>4703</v>
      </c>
      <c r="O149" s="8" t="n">
        <v>5</v>
      </c>
      <c r="P149" s="8" t="n">
        <v>4407</v>
      </c>
      <c r="Q149" s="8" t="n">
        <v>544</v>
      </c>
      <c r="R149" s="9">
        <f>SUM(N149,O149,P149,Q149)</f>
        <v/>
      </c>
      <c r="S149" s="9">
        <f>M149+R149</f>
        <v/>
      </c>
      <c r="T149" s="8" t="n">
        <v>12839</v>
      </c>
      <c r="U149" s="10">
        <f>IF(H149=0,"",T149/H149)</f>
        <v/>
      </c>
      <c r="V149" s="8" t="n">
        <v>88.5</v>
      </c>
      <c r="W149" s="11">
        <f>IF(H149=0,"",V149/H149)</f>
        <v/>
      </c>
      <c r="X149" s="8" t="n">
        <v>0</v>
      </c>
      <c r="Y149" s="11">
        <f>IF(H149=0,"",X149/H149)</f>
        <v/>
      </c>
      <c r="Z149" s="8" t="n">
        <v>0</v>
      </c>
      <c r="AA149" s="11">
        <f>IF(H149=0,"",Z149/H149)</f>
        <v/>
      </c>
      <c r="AB149" s="8" t="n">
        <v>0</v>
      </c>
      <c r="AC149" s="11">
        <f>IF(H149=0,"",AB149/H149)</f>
        <v/>
      </c>
      <c r="AD149" s="8" t="n">
        <v>0</v>
      </c>
      <c r="AE149" s="11">
        <f>IF(H149=0,"",AD149/H149)</f>
        <v/>
      </c>
      <c r="AF149" s="8" t="n">
        <v>0</v>
      </c>
      <c r="AG149" s="11">
        <f>IF(H149=0,"",AF149/H149)</f>
        <v/>
      </c>
      <c r="AH149" s="8" t="n">
        <v>452382.795</v>
      </c>
      <c r="AI149" s="9">
        <f>IF(H149=0,"",AH149/H149)</f>
        <v/>
      </c>
      <c r="AJ149" s="8" t="n">
        <v>40</v>
      </c>
      <c r="AK149" s="11">
        <f>IF(H149=0,"",AJ149/H149)</f>
        <v/>
      </c>
      <c r="AL149" s="8" t="n">
        <v>21976.56</v>
      </c>
      <c r="AM149" s="9">
        <f>IF(H149=0,"",AL149/H149)</f>
        <v/>
      </c>
      <c r="AN149" s="8" t="n">
        <v>1930</v>
      </c>
      <c r="AO149" s="8" t="n">
        <v>135</v>
      </c>
      <c r="AP149" s="8" t="n">
        <v>369090</v>
      </c>
      <c r="AQ149" s="8" t="n">
        <v>0</v>
      </c>
      <c r="AR149" s="8" t="n">
        <v>15617109.27</v>
      </c>
      <c r="AS149" s="8" t="n">
        <v>4727189.12</v>
      </c>
      <c r="AT149" s="8" t="n">
        <v>3831034.16</v>
      </c>
      <c r="AU149" s="9">
        <f>AH149+AL149+AP149+AQ149+AR149+AS149+AT149</f>
        <v/>
      </c>
      <c r="AV149" s="9">
        <f>IF(H149=0,"",AU149/H149)</f>
        <v/>
      </c>
      <c r="AW149" s="9">
        <f>IF(S149=0,"",AU149/S149)</f>
        <v/>
      </c>
      <c r="AX149" s="8" t="n">
        <v>10</v>
      </c>
      <c r="AY149" s="9">
        <f>IF(H149=0,"",AX149/(H149/1000/12))</f>
        <v/>
      </c>
      <c r="AZ149" s="8" t="n">
        <v>19</v>
      </c>
      <c r="BA149" s="8" t="n">
        <v>324</v>
      </c>
      <c r="BB149" s="8" t="n">
        <v>0</v>
      </c>
      <c r="BC149" s="8" t="n">
        <v>0</v>
      </c>
      <c r="BD149" s="8" t="n">
        <v>27</v>
      </c>
      <c r="BE149" s="9">
        <f>BC149+BD149</f>
        <v/>
      </c>
      <c r="BF149" s="9">
        <f>BA149+BB149-BE149</f>
        <v/>
      </c>
      <c r="BG149" s="8" t="n">
        <v>0</v>
      </c>
      <c r="BH149" s="8" t="n">
        <v>0</v>
      </c>
      <c r="BI149" s="8" t="n">
        <v>0</v>
      </c>
      <c r="BJ149" s="8" t="n">
        <v>0</v>
      </c>
      <c r="BK149" s="9">
        <f>BI149+BJ149</f>
        <v/>
      </c>
      <c r="BL149" s="9">
        <f>BG149+BH149-BK149</f>
        <v/>
      </c>
      <c r="BM149" s="8" t="n">
        <v>0</v>
      </c>
      <c r="BN149" s="8" t="n">
        <v>0</v>
      </c>
      <c r="BO149" s="8" t="n">
        <v>0</v>
      </c>
      <c r="BP149" s="8" t="n">
        <v>0</v>
      </c>
      <c r="BQ149" s="9">
        <f>BO149+BP149</f>
        <v/>
      </c>
      <c r="BR149" s="9">
        <f>BM149+BN149-BQ149</f>
        <v/>
      </c>
      <c r="BS149" s="8" t="n">
        <v>0</v>
      </c>
      <c r="BT149" s="8" t="n">
        <v>0</v>
      </c>
      <c r="BU149" s="8" t="n">
        <v>0</v>
      </c>
      <c r="BV149" s="8" t="n">
        <v>0</v>
      </c>
      <c r="BW149" s="9">
        <f>BU149+BV149</f>
        <v/>
      </c>
      <c r="BX149" s="9">
        <f>BS149+BT149-BW149</f>
        <v/>
      </c>
      <c r="BY149" s="9">
        <f>BA149+BG149+BM149+BS149</f>
        <v/>
      </c>
      <c r="BZ149" s="9">
        <f>BB149+BH149+BN149+BT149</f>
        <v/>
      </c>
      <c r="CA149" s="9">
        <f>BE149+BK149+BQ149+BW149</f>
        <v/>
      </c>
      <c r="CB149" s="9">
        <f>BF149+BL149+BR149+BX149</f>
        <v/>
      </c>
      <c r="CC149" s="8" t="n">
        <v>44</v>
      </c>
      <c r="CD149" s="8" t="n">
        <v>683</v>
      </c>
      <c r="CE149" s="8" t="n">
        <v>35</v>
      </c>
      <c r="CF149" s="8" t="n">
        <v>70</v>
      </c>
      <c r="CG149" s="8" t="n">
        <v>16</v>
      </c>
      <c r="CH149" s="9">
        <f>CD149+CE149+CF149+CG149</f>
        <v/>
      </c>
      <c r="CI149" s="8" t="n">
        <v>2131</v>
      </c>
      <c r="CJ149" s="8" t="n">
        <v>9</v>
      </c>
      <c r="CK149" s="8" t="n">
        <v>5</v>
      </c>
      <c r="CL149" s="8" t="n">
        <v>12</v>
      </c>
      <c r="CM149" s="9">
        <f>CI149+CJ149+CK149+CL149</f>
        <v/>
      </c>
      <c r="CN149" s="8" t="n">
        <v>972</v>
      </c>
      <c r="CO149" s="8" t="n">
        <v>85</v>
      </c>
      <c r="CP149" s="8" t="n">
        <v>121</v>
      </c>
      <c r="CQ149" s="8" t="n">
        <v>4</v>
      </c>
      <c r="CR149" s="9">
        <f>CN149+CO149+CP149+CQ149</f>
        <v/>
      </c>
      <c r="CS149" s="9">
        <f>CM149+CR149</f>
        <v/>
      </c>
      <c r="CT149" s="8" t="n">
        <v>4143</v>
      </c>
      <c r="CU149" s="8" t="n">
        <v>25000</v>
      </c>
      <c r="CV149" s="8" t="n">
        <v>20640</v>
      </c>
      <c r="CW149" s="10">
        <f>IF(CU149=0,"",CV149/CU149)</f>
        <v/>
      </c>
      <c r="CX149" s="8" t="n">
        <v>0</v>
      </c>
      <c r="CY149" s="8" t="n">
        <v>0</v>
      </c>
      <c r="CZ149" s="8" t="n">
        <v>0</v>
      </c>
      <c r="DA149" s="8" t="n">
        <v>0</v>
      </c>
      <c r="DB149" s="9">
        <f>CX149+CY149-CZ149-DA149</f>
        <v/>
      </c>
      <c r="DC149" s="8" t="n">
        <v>0</v>
      </c>
      <c r="DD149" s="8" t="n">
        <v>0</v>
      </c>
      <c r="DE149" s="8" t="n">
        <v>0</v>
      </c>
      <c r="DF149" s="8" t="n">
        <v>0</v>
      </c>
      <c r="DG149" s="9">
        <f>DC149+DD149-DE149-DF149</f>
        <v/>
      </c>
      <c r="DH149" s="8" t="n">
        <v>0</v>
      </c>
      <c r="DI149" s="8" t="n">
        <v>0</v>
      </c>
      <c r="DJ149" s="8" t="n">
        <v>0</v>
      </c>
      <c r="DK149" s="8" t="n">
        <v>0</v>
      </c>
      <c r="DL149" s="9">
        <f>DH149+DI149-DJ149-DK149</f>
        <v/>
      </c>
      <c r="DM149" s="8" t="n">
        <v>51</v>
      </c>
      <c r="DN149" s="8" t="n">
        <v>27</v>
      </c>
      <c r="DO149" s="8" t="n">
        <v>0</v>
      </c>
      <c r="DP149" s="8" t="n">
        <v>0</v>
      </c>
      <c r="DQ149" s="9">
        <f>DM149+DN149-DO149-DP149</f>
        <v/>
      </c>
      <c r="DR149" s="9">
        <f>CX149+DC149+DH149+DM149</f>
        <v/>
      </c>
      <c r="DS149" s="9">
        <f>CY149+DD149+DI149+DN149</f>
        <v/>
      </c>
      <c r="DT149" s="9">
        <f>CZ149+DE149+DJ149+DO149</f>
        <v/>
      </c>
      <c r="DU149" s="9">
        <f>DA149+DF149+DK149+DP149</f>
        <v/>
      </c>
      <c r="DV149" s="9">
        <f>DB149+DG149+DL149+DQ149</f>
        <v/>
      </c>
      <c r="DW149" s="8" t="n">
        <v>19</v>
      </c>
      <c r="DX149" s="8" t="n">
        <v>4</v>
      </c>
      <c r="DY149" s="8" t="n">
        <v>4</v>
      </c>
      <c r="DZ149" s="8" t="n">
        <v>4</v>
      </c>
      <c r="EA149" s="8" t="n">
        <v>0</v>
      </c>
      <c r="EB149" s="8" t="n">
        <v>2</v>
      </c>
      <c r="EC149" s="8" t="n">
        <v>2</v>
      </c>
      <c r="ED149" s="8" t="n">
        <v>0</v>
      </c>
      <c r="EE149" s="8" t="n">
        <v>1</v>
      </c>
      <c r="EF149" s="8" t="n">
        <v>0</v>
      </c>
      <c r="EG149" s="8" t="n">
        <v>0</v>
      </c>
      <c r="EH149" s="8" t="n">
        <v>0</v>
      </c>
      <c r="EI149" s="8" t="n">
        <v>0</v>
      </c>
      <c r="EJ149" s="8" t="n">
        <v>0</v>
      </c>
      <c r="EK149" s="8" t="n">
        <v>0</v>
      </c>
      <c r="EL149" s="8" t="n">
        <v>0</v>
      </c>
      <c r="EM149" s="8" t="n">
        <v>0</v>
      </c>
      <c r="EN149" s="8" t="n">
        <v>0</v>
      </c>
      <c r="EO149" s="8" t="n">
        <v>0</v>
      </c>
      <c r="EP149" s="8" t="n">
        <v>0</v>
      </c>
      <c r="EQ149" s="8" t="n">
        <v>0</v>
      </c>
      <c r="ER149" s="8" t="n">
        <v>0</v>
      </c>
      <c r="ES149" s="8" t="n">
        <v>0</v>
      </c>
      <c r="ET149" s="8" t="n">
        <v>0</v>
      </c>
      <c r="EU149" s="8" t="n">
        <v>0</v>
      </c>
      <c r="EV149" s="8" t="n">
        <v>0</v>
      </c>
      <c r="EW149" s="8" t="n">
        <v>0</v>
      </c>
      <c r="EX149" s="8" t="n">
        <v>0</v>
      </c>
      <c r="EY149" s="8" t="n">
        <v>0</v>
      </c>
      <c r="EZ149" s="8" t="n">
        <v>0</v>
      </c>
      <c r="FA149" s="8" t="n">
        <v>0</v>
      </c>
      <c r="FB149" s="8" t="n">
        <v>0</v>
      </c>
      <c r="FC149" s="8" t="n">
        <v>0</v>
      </c>
      <c r="FD149" s="8" t="n">
        <v>0</v>
      </c>
      <c r="FE149" s="8" t="n">
        <v>0</v>
      </c>
      <c r="FF149" s="8" t="n">
        <v>0</v>
      </c>
      <c r="FG149" s="9">
        <f>SUM(DW149,DX149,DY149,DZ149,EA149,EB149,EC149,ED149,EE149,EF149,EG149,EH149,EI149,EJ149,EK149,EL149,EM149,EN149,EO149,EP149,EQ149,ER149,ES149,ET149,EU149,EV149,EW149,EX149,EY149,EZ149,FA149,FB149,FC149,FD149,FE149,FF149)</f>
        <v/>
      </c>
      <c r="FH149" s="8" t="n">
        <v>0</v>
      </c>
      <c r="FI149" s="8" t="n">
        <v>0</v>
      </c>
      <c r="FJ149" s="8" t="n">
        <v>24</v>
      </c>
      <c r="FK149" s="8" t="n">
        <v>0</v>
      </c>
      <c r="FL149" s="8" t="n">
        <v>0</v>
      </c>
      <c r="FM149" s="8" t="n">
        <v>0</v>
      </c>
      <c r="FN149" s="8" t="n">
        <v>0</v>
      </c>
      <c r="FO149" s="8" t="n">
        <v>0</v>
      </c>
      <c r="FP149" s="8" t="n">
        <v>0</v>
      </c>
      <c r="FQ149" s="9">
        <f>FL149+FM149+FN149+FO149+FP149</f>
        <v/>
      </c>
      <c r="FR149" s="8" t="n">
        <v>22161875.28</v>
      </c>
      <c r="FS149" s="8" t="n">
        <v>188300</v>
      </c>
      <c r="FT149" s="8" t="n">
        <v>255000</v>
      </c>
      <c r="FU149" s="8" t="n">
        <v>72500</v>
      </c>
      <c r="FV149" s="9">
        <f>FR149+FS149+FT149+FU149</f>
        <v/>
      </c>
      <c r="FW149" s="8" t="n">
        <v>6364504.52999999</v>
      </c>
      <c r="FX149" s="8" t="n">
        <v>1106.22</v>
      </c>
      <c r="FY149" s="8" t="n">
        <v>2896900</v>
      </c>
      <c r="FZ149" s="8" t="n">
        <v>13614400</v>
      </c>
      <c r="GA149" s="9">
        <f>FW149+FX149+FY149+FZ149</f>
        <v/>
      </c>
      <c r="GB149" s="9">
        <f>FV149+GA149</f>
        <v/>
      </c>
      <c r="GC149" s="8" t="n">
        <v>16430807.05</v>
      </c>
      <c r="GD149" s="8" t="n">
        <v>143651.28</v>
      </c>
      <c r="GE149" s="8" t="n">
        <v>213067.63</v>
      </c>
      <c r="GF149" s="8" t="n">
        <v>203358.29</v>
      </c>
      <c r="GG149" s="9">
        <f>GC149+GD149+GE149+GF149</f>
        <v/>
      </c>
      <c r="GH149" s="8" t="n">
        <v>0</v>
      </c>
      <c r="GI149" s="8" t="n">
        <v>0</v>
      </c>
      <c r="GJ149" s="8" t="n">
        <v>0</v>
      </c>
      <c r="GK149" s="8" t="n">
        <v>0</v>
      </c>
      <c r="GL149" s="9">
        <f>GH149+GI149+GJ149+GK149</f>
        <v/>
      </c>
      <c r="GM149" s="9">
        <f>GG149+GL149</f>
        <v/>
      </c>
      <c r="GN149" s="8" t="n">
        <v>1195684.49</v>
      </c>
      <c r="GO149" s="8" t="n">
        <v>2295.36</v>
      </c>
      <c r="GP149" s="8" t="n">
        <v>30542.76</v>
      </c>
      <c r="GQ149" s="8" t="n">
        <v>23186.7</v>
      </c>
      <c r="GR149" s="9">
        <f>GN149+GO149+GP149+GQ149</f>
        <v/>
      </c>
      <c r="GS149" s="8" t="n">
        <v>1902983</v>
      </c>
      <c r="GT149" s="8" t="n">
        <v>10716</v>
      </c>
      <c r="GU149" s="8" t="n">
        <v>8037</v>
      </c>
      <c r="GV149" s="8" t="n">
        <v>4465</v>
      </c>
      <c r="GW149" s="9">
        <f>GS149+GT149+GU149+GV149</f>
        <v/>
      </c>
      <c r="GX149" s="9">
        <f>GM149+GR149+GW149</f>
        <v/>
      </c>
      <c r="GY149" s="8" t="n">
        <v>145988631.7</v>
      </c>
      <c r="GZ149" s="8" t="n">
        <v>385274.31</v>
      </c>
      <c r="HA149" s="9">
        <f>GY149+GZ149</f>
        <v/>
      </c>
      <c r="HB149" s="9">
        <f>IF(GX149=0,"",AU149/GX149)</f>
        <v/>
      </c>
      <c r="HC149" s="10">
        <f>IF((GX149+GY149)=0,"",GB149/(GX149+GY149))</f>
        <v/>
      </c>
      <c r="HD149" s="9">
        <f>IF(GX149=0,"",GB149/GX149)</f>
        <v/>
      </c>
      <c r="HE149" s="8" t="n">
        <v>0</v>
      </c>
      <c r="HF149" s="8" t="n">
        <v>1</v>
      </c>
      <c r="HG149" s="8" t="n">
        <v>297</v>
      </c>
      <c r="HH149" s="8" t="n">
        <v>0</v>
      </c>
      <c r="HI149" s="8" t="n">
        <v>30</v>
      </c>
      <c r="HJ149" s="9">
        <f>HF149+HI149</f>
        <v/>
      </c>
      <c r="HK149" s="10">
        <f>IF(HE149=0,"",HH149/HE149)</f>
        <v/>
      </c>
      <c r="HL149" s="8" t="n">
        <v>15</v>
      </c>
      <c r="HM149" s="8" t="n">
        <v>30</v>
      </c>
      <c r="HN149" s="11">
        <f>IF(HL149=0,"",HM149/HL149)</f>
        <v/>
      </c>
    </row>
    <row r="150">
      <c r="A150" s="12" t="inlineStr">
        <is>
          <t>Mulanje</t>
        </is>
      </c>
      <c r="B150" s="12" t="inlineStr">
        <is>
          <t>Mulanje</t>
        </is>
      </c>
      <c r="C150" s="13" t="inlineStr">
        <is>
          <t>FY2025/26</t>
        </is>
      </c>
      <c r="D150" s="13" t="n">
        <v>2025</v>
      </c>
      <c r="E150" s="13" t="n">
        <v>7</v>
      </c>
      <c r="F150" s="13" t="inlineStr">
        <is>
          <t>July</t>
        </is>
      </c>
      <c r="G150" s="13" t="inlineStr">
        <is>
          <t>Q2</t>
        </is>
      </c>
      <c r="H150" s="14" t="n">
        <v>44548</v>
      </c>
      <c r="I150" s="14" t="n">
        <v>21129</v>
      </c>
      <c r="J150" s="14" t="n">
        <v>1093</v>
      </c>
      <c r="K150" s="14" t="n">
        <v>64</v>
      </c>
      <c r="L150" s="14" t="n">
        <v>166</v>
      </c>
      <c r="M150" s="15">
        <f>SUM(I150,J150,K150,L150)</f>
        <v/>
      </c>
      <c r="N150" s="14" t="n">
        <v>5308.4</v>
      </c>
      <c r="O150" s="14" t="n">
        <v>12</v>
      </c>
      <c r="P150" s="14" t="n">
        <v>3383.2</v>
      </c>
      <c r="Q150" s="14" t="n">
        <v>820</v>
      </c>
      <c r="R150" s="15">
        <f>SUM(N150,O150,P150,Q150)</f>
        <v/>
      </c>
      <c r="S150" s="15">
        <f>M150+R150</f>
        <v/>
      </c>
      <c r="T150" s="14" t="n">
        <v>12572.4</v>
      </c>
      <c r="U150" s="16">
        <f>IF(H150=0,"",T150/H150)</f>
        <v/>
      </c>
      <c r="V150" s="14" t="n">
        <v>92</v>
      </c>
      <c r="W150" s="17">
        <f>IF(H150=0,"",V150/H150)</f>
        <v/>
      </c>
      <c r="X150" s="14" t="n">
        <v>0</v>
      </c>
      <c r="Y150" s="17">
        <f>IF(H150=0,"",X150/H150)</f>
        <v/>
      </c>
      <c r="Z150" s="14" t="n">
        <v>0</v>
      </c>
      <c r="AA150" s="17">
        <f>IF(H150=0,"",Z150/H150)</f>
        <v/>
      </c>
      <c r="AB150" s="14" t="n">
        <v>0</v>
      </c>
      <c r="AC150" s="17">
        <f>IF(H150=0,"",AB150/H150)</f>
        <v/>
      </c>
      <c r="AD150" s="14" t="n">
        <v>0</v>
      </c>
      <c r="AE150" s="17">
        <f>IF(H150=0,"",AD150/H150)</f>
        <v/>
      </c>
      <c r="AF150" s="14" t="n">
        <v>0</v>
      </c>
      <c r="AG150" s="17">
        <f>IF(H150=0,"",AF150/H150)</f>
        <v/>
      </c>
      <c r="AH150" s="14" t="n">
        <v>470273.64</v>
      </c>
      <c r="AI150" s="15">
        <f>IF(H150=0,"",AH150/H150)</f>
        <v/>
      </c>
      <c r="AJ150" s="14" t="n">
        <v>45</v>
      </c>
      <c r="AK150" s="17">
        <f>IF(H150=0,"",AJ150/H150)</f>
        <v/>
      </c>
      <c r="AL150" s="14" t="n">
        <v>22670.3175</v>
      </c>
      <c r="AM150" s="15">
        <f>IF(H150=0,"",AL150/H150)</f>
        <v/>
      </c>
      <c r="AN150" s="14" t="n">
        <v>1850</v>
      </c>
      <c r="AO150" s="14" t="n">
        <v>155</v>
      </c>
      <c r="AP150" s="14" t="n">
        <v>423770</v>
      </c>
      <c r="AQ150" s="14" t="n">
        <v>0</v>
      </c>
      <c r="AR150" s="14" t="n">
        <v>16011920.21</v>
      </c>
      <c r="AS150" s="14" t="n">
        <v>4821082.12</v>
      </c>
      <c r="AT150" s="14" t="n">
        <v>21520820.66</v>
      </c>
      <c r="AU150" s="15">
        <f>AH150+AL150+AP150+AQ150+AR150+AS150+AT150</f>
        <v/>
      </c>
      <c r="AV150" s="15">
        <f>IF(H150=0,"",AU150/H150)</f>
        <v/>
      </c>
      <c r="AW150" s="15">
        <f>IF(S150=0,"",AU150/S150)</f>
        <v/>
      </c>
      <c r="AX150" s="14" t="n">
        <v>10</v>
      </c>
      <c r="AY150" s="15">
        <f>IF(H150=0,"",AX150/(H150/1000/12))</f>
        <v/>
      </c>
      <c r="AZ150" s="14" t="n">
        <v>19</v>
      </c>
      <c r="BA150" s="14" t="n">
        <v>297</v>
      </c>
      <c r="BB150" s="14" t="n">
        <v>0</v>
      </c>
      <c r="BC150" s="14" t="n">
        <v>0</v>
      </c>
      <c r="BD150" s="14" t="n">
        <v>11</v>
      </c>
      <c r="BE150" s="15">
        <f>BC150+BD150</f>
        <v/>
      </c>
      <c r="BF150" s="15">
        <f>BA150+BB150-BE150</f>
        <v/>
      </c>
      <c r="BG150" s="14" t="n">
        <v>0</v>
      </c>
      <c r="BH150" s="14" t="n">
        <v>0</v>
      </c>
      <c r="BI150" s="14" t="n">
        <v>0</v>
      </c>
      <c r="BJ150" s="14" t="n">
        <v>0</v>
      </c>
      <c r="BK150" s="15">
        <f>BI150+BJ150</f>
        <v/>
      </c>
      <c r="BL150" s="15">
        <f>BG150+BH150-BK150</f>
        <v/>
      </c>
      <c r="BM150" s="14" t="n">
        <v>0</v>
      </c>
      <c r="BN150" s="14" t="n">
        <v>0</v>
      </c>
      <c r="BO150" s="14" t="n">
        <v>0</v>
      </c>
      <c r="BP150" s="14" t="n">
        <v>0</v>
      </c>
      <c r="BQ150" s="15">
        <f>BO150+BP150</f>
        <v/>
      </c>
      <c r="BR150" s="15">
        <f>BM150+BN150-BQ150</f>
        <v/>
      </c>
      <c r="BS150" s="14" t="n">
        <v>0</v>
      </c>
      <c r="BT150" s="14" t="n">
        <v>0</v>
      </c>
      <c r="BU150" s="14" t="n">
        <v>0</v>
      </c>
      <c r="BV150" s="14" t="n">
        <v>0</v>
      </c>
      <c r="BW150" s="15">
        <f>BU150+BV150</f>
        <v/>
      </c>
      <c r="BX150" s="15">
        <f>BS150+BT150-BW150</f>
        <v/>
      </c>
      <c r="BY150" s="15">
        <f>BA150+BG150+BM150+BS150</f>
        <v/>
      </c>
      <c r="BZ150" s="15">
        <f>BB150+BH150+BN150+BT150</f>
        <v/>
      </c>
      <c r="CA150" s="15">
        <f>BE150+BK150+BQ150+BW150</f>
        <v/>
      </c>
      <c r="CB150" s="15">
        <f>BF150+BL150+BR150+BX150</f>
        <v/>
      </c>
      <c r="CC150" s="14" t="n">
        <v>11</v>
      </c>
      <c r="CD150" s="14" t="n">
        <v>933</v>
      </c>
      <c r="CE150" s="14" t="n">
        <v>35</v>
      </c>
      <c r="CF150" s="14" t="n">
        <v>70</v>
      </c>
      <c r="CG150" s="14" t="n">
        <v>16</v>
      </c>
      <c r="CH150" s="15">
        <f>CD150+CE150+CF150+CG150</f>
        <v/>
      </c>
      <c r="CI150" s="14" t="n">
        <v>1873</v>
      </c>
      <c r="CJ150" s="14" t="n">
        <v>6</v>
      </c>
      <c r="CK150" s="14" t="n">
        <v>7</v>
      </c>
      <c r="CL150" s="14" t="n">
        <v>11</v>
      </c>
      <c r="CM150" s="15">
        <f>CI150+CJ150+CK150+CL150</f>
        <v/>
      </c>
      <c r="CN150" s="14" t="n">
        <v>991</v>
      </c>
      <c r="CO150" s="14" t="n">
        <v>86</v>
      </c>
      <c r="CP150" s="14" t="n">
        <v>121</v>
      </c>
      <c r="CQ150" s="14" t="n">
        <v>4</v>
      </c>
      <c r="CR150" s="15">
        <f>CN150+CO150+CP150+CQ150</f>
        <v/>
      </c>
      <c r="CS150" s="15">
        <f>CM150+CR150</f>
        <v/>
      </c>
      <c r="CT150" s="14" t="n">
        <v>4153</v>
      </c>
      <c r="CU150" s="14" t="n">
        <v>25000</v>
      </c>
      <c r="CV150" s="14" t="n">
        <v>20660</v>
      </c>
      <c r="CW150" s="16">
        <f>IF(CU150=0,"",CV150/CU150)</f>
        <v/>
      </c>
      <c r="CX150" s="14" t="n">
        <v>0</v>
      </c>
      <c r="CY150" s="14" t="n">
        <v>0</v>
      </c>
      <c r="CZ150" s="14" t="n">
        <v>0</v>
      </c>
      <c r="DA150" s="14" t="n">
        <v>0</v>
      </c>
      <c r="DB150" s="15">
        <f>CX150+CY150-CZ150-DA150</f>
        <v/>
      </c>
      <c r="DC150" s="14" t="n">
        <v>0</v>
      </c>
      <c r="DD150" s="14" t="n">
        <v>0</v>
      </c>
      <c r="DE150" s="14" t="n">
        <v>0</v>
      </c>
      <c r="DF150" s="14" t="n">
        <v>0</v>
      </c>
      <c r="DG150" s="15">
        <f>DC150+DD150-DE150-DF150</f>
        <v/>
      </c>
      <c r="DH150" s="14" t="n">
        <v>0</v>
      </c>
      <c r="DI150" s="14" t="n">
        <v>0</v>
      </c>
      <c r="DJ150" s="14" t="n">
        <v>0</v>
      </c>
      <c r="DK150" s="14" t="n">
        <v>0</v>
      </c>
      <c r="DL150" s="15">
        <f>DH150+DI150-DJ150-DK150</f>
        <v/>
      </c>
      <c r="DM150" s="14" t="n">
        <v>78</v>
      </c>
      <c r="DN150" s="14" t="n">
        <v>0</v>
      </c>
      <c r="DO150" s="14" t="n">
        <v>0</v>
      </c>
      <c r="DP150" s="14" t="n">
        <v>0</v>
      </c>
      <c r="DQ150" s="15">
        <f>DM150+DN150-DO150-DP150</f>
        <v/>
      </c>
      <c r="DR150" s="15">
        <f>CX150+DC150+DH150+DM150</f>
        <v/>
      </c>
      <c r="DS150" s="15">
        <f>CY150+DD150+DI150+DN150</f>
        <v/>
      </c>
      <c r="DT150" s="15">
        <f>CZ150+DE150+DJ150+DO150</f>
        <v/>
      </c>
      <c r="DU150" s="15">
        <f>DA150+DF150+DK150+DP150</f>
        <v/>
      </c>
      <c r="DV150" s="15">
        <f>DB150+DG150+DL150+DQ150</f>
        <v/>
      </c>
      <c r="DW150" s="14" t="n">
        <v>16</v>
      </c>
      <c r="DX150" s="14" t="n">
        <v>13</v>
      </c>
      <c r="DY150" s="14" t="n">
        <v>7</v>
      </c>
      <c r="DZ150" s="14" t="n">
        <v>7</v>
      </c>
      <c r="EA150" s="14" t="n">
        <v>2</v>
      </c>
      <c r="EB150" s="14" t="n">
        <v>0</v>
      </c>
      <c r="EC150" s="14" t="n">
        <v>0</v>
      </c>
      <c r="ED150" s="14" t="n">
        <v>0</v>
      </c>
      <c r="EE150" s="14" t="n">
        <v>0</v>
      </c>
      <c r="EF150" s="14" t="n">
        <v>1</v>
      </c>
      <c r="EG150" s="14" t="n">
        <v>0</v>
      </c>
      <c r="EH150" s="14" t="n">
        <v>0</v>
      </c>
      <c r="EI150" s="14" t="n">
        <v>0</v>
      </c>
      <c r="EJ150" s="14" t="n">
        <v>0</v>
      </c>
      <c r="EK150" s="14" t="n">
        <v>0</v>
      </c>
      <c r="EL150" s="14" t="n">
        <v>0</v>
      </c>
      <c r="EM150" s="14" t="n">
        <v>0</v>
      </c>
      <c r="EN150" s="14" t="n">
        <v>0</v>
      </c>
      <c r="EO150" s="14" t="n">
        <v>0</v>
      </c>
      <c r="EP150" s="14" t="n">
        <v>0</v>
      </c>
      <c r="EQ150" s="14" t="n">
        <v>0</v>
      </c>
      <c r="ER150" s="14" t="n">
        <v>0</v>
      </c>
      <c r="ES150" s="14" t="n">
        <v>0</v>
      </c>
      <c r="ET150" s="14" t="n">
        <v>0</v>
      </c>
      <c r="EU150" s="14" t="n">
        <v>0</v>
      </c>
      <c r="EV150" s="14" t="n">
        <v>0</v>
      </c>
      <c r="EW150" s="14" t="n">
        <v>0</v>
      </c>
      <c r="EX150" s="14" t="n">
        <v>0</v>
      </c>
      <c r="EY150" s="14" t="n">
        <v>0</v>
      </c>
      <c r="EZ150" s="14" t="n">
        <v>0</v>
      </c>
      <c r="FA150" s="14" t="n">
        <v>0</v>
      </c>
      <c r="FB150" s="14" t="n">
        <v>0</v>
      </c>
      <c r="FC150" s="14" t="n">
        <v>0</v>
      </c>
      <c r="FD150" s="14" t="n">
        <v>0</v>
      </c>
      <c r="FE150" s="14" t="n">
        <v>0</v>
      </c>
      <c r="FF150" s="14" t="n">
        <v>0</v>
      </c>
      <c r="FG150" s="15">
        <f>SUM(DW150,DX150,DY150,DZ150,EA150,EB150,EC150,ED150,EE150,EF150,EG150,EH150,EI150,EJ150,EK150,EL150,EM150,EN150,EO150,EP150,EQ150,ER150,ES150,ET150,EU150,EV150,EW150,EX150,EY150,EZ150,FA150,FB150,FC150,FD150,FE150,FF150)</f>
        <v/>
      </c>
      <c r="FH150" s="14" t="n">
        <v>0</v>
      </c>
      <c r="FI150" s="14" t="n">
        <v>0</v>
      </c>
      <c r="FJ150" s="14" t="n">
        <v>24</v>
      </c>
      <c r="FK150" s="14" t="n">
        <v>0</v>
      </c>
      <c r="FL150" s="14" t="n">
        <v>0</v>
      </c>
      <c r="FM150" s="14" t="n">
        <v>0</v>
      </c>
      <c r="FN150" s="14" t="n">
        <v>0</v>
      </c>
      <c r="FO150" s="14" t="n">
        <v>0</v>
      </c>
      <c r="FP150" s="14" t="n">
        <v>0</v>
      </c>
      <c r="FQ150" s="15">
        <f>FL150+FM150+FN150+FO150+FP150</f>
        <v/>
      </c>
      <c r="FR150" s="14" t="n">
        <v>41060816.28</v>
      </c>
      <c r="FS150" s="14" t="n">
        <v>253500</v>
      </c>
      <c r="FT150" s="14" t="n">
        <v>2075700</v>
      </c>
      <c r="FU150" s="14" t="n">
        <v>60700</v>
      </c>
      <c r="FV150" s="15">
        <f>FR150+FS150+FT150+FU150</f>
        <v/>
      </c>
      <c r="FW150" s="14" t="n">
        <v>7119185.529999998</v>
      </c>
      <c r="FX150" s="14" t="n">
        <v>2500</v>
      </c>
      <c r="FY150" s="14" t="n">
        <v>4013050</v>
      </c>
      <c r="FZ150" s="14" t="n">
        <v>10518639.4</v>
      </c>
      <c r="GA150" s="15">
        <f>FW150+FX150+FY150+FZ150</f>
        <v/>
      </c>
      <c r="GB150" s="15">
        <f>FV150+GA150</f>
        <v/>
      </c>
      <c r="GC150" s="14" t="n">
        <v>18962557.29</v>
      </c>
      <c r="GD150" s="14" t="n">
        <v>209069.04</v>
      </c>
      <c r="GE150" s="14" t="n">
        <v>174628.99</v>
      </c>
      <c r="GF150" s="14" t="n">
        <v>675743.01</v>
      </c>
      <c r="GG150" s="15">
        <f>GC150+GD150+GE150+GF150</f>
        <v/>
      </c>
      <c r="GH150" s="14" t="n">
        <v>20021998.33</v>
      </c>
      <c r="GI150" s="14" t="n">
        <v>0</v>
      </c>
      <c r="GJ150" s="14" t="n">
        <v>0</v>
      </c>
      <c r="GK150" s="14" t="n">
        <v>0</v>
      </c>
      <c r="GL150" s="15">
        <f>GH150+GI150+GJ150+GK150</f>
        <v/>
      </c>
      <c r="GM150" s="15">
        <f>GG150+GL150</f>
        <v/>
      </c>
      <c r="GN150" s="14" t="n">
        <v>1048167.19</v>
      </c>
      <c r="GO150" s="14" t="n">
        <v>2104.08</v>
      </c>
      <c r="GP150" s="14" t="n">
        <v>20361.84</v>
      </c>
      <c r="GQ150" s="14" t="n">
        <v>32461.38</v>
      </c>
      <c r="GR150" s="15">
        <f>GN150+GO150+GP150+GQ150</f>
        <v/>
      </c>
      <c r="GS150" s="14" t="n">
        <v>1672589</v>
      </c>
      <c r="GT150" s="14" t="n">
        <v>9823</v>
      </c>
      <c r="GU150" s="14" t="n">
        <v>5358</v>
      </c>
      <c r="GV150" s="14" t="n">
        <v>6251</v>
      </c>
      <c r="GW150" s="15">
        <f>GS150+GT150+GU150+GV150</f>
        <v/>
      </c>
      <c r="GX150" s="15">
        <f>GM150+GR150+GW150</f>
        <v/>
      </c>
      <c r="GY150" s="14" t="n">
        <v>133431840.59</v>
      </c>
      <c r="GZ150" s="14" t="n">
        <v>385274.31</v>
      </c>
      <c r="HA150" s="15">
        <f>GY150+GZ150</f>
        <v/>
      </c>
      <c r="HB150" s="15">
        <f>IF(GX150=0,"",AU150/GX150)</f>
        <v/>
      </c>
      <c r="HC150" s="16">
        <f>IF((GX150+GY150)=0,"",GB150/(GX150+GY150))</f>
        <v/>
      </c>
      <c r="HD150" s="15">
        <f>IF(GX150=0,"",GB150/GX150)</f>
        <v/>
      </c>
      <c r="HE150" s="14" t="n">
        <v>0</v>
      </c>
      <c r="HF150" s="14" t="n">
        <v>0</v>
      </c>
      <c r="HG150" s="14" t="n">
        <v>286</v>
      </c>
      <c r="HH150" s="14" t="n">
        <v>0</v>
      </c>
      <c r="HI150" s="14" t="n">
        <v>0</v>
      </c>
      <c r="HJ150" s="15">
        <f>HF150+HI150</f>
        <v/>
      </c>
      <c r="HK150" s="16">
        <f>IF(HE150=0,"",HH150/HE150)</f>
        <v/>
      </c>
      <c r="HL150" s="14" t="n">
        <v>25</v>
      </c>
      <c r="HM150" s="14" t="n">
        <v>30</v>
      </c>
      <c r="HN150" s="17">
        <f>IF(HL150=0,"",HM150/HL150)</f>
        <v/>
      </c>
    </row>
    <row r="151">
      <c r="A151" s="6" t="inlineStr">
        <is>
          <t>Mulanje</t>
        </is>
      </c>
      <c r="B151" s="6" t="inlineStr">
        <is>
          <t>Mulanje</t>
        </is>
      </c>
      <c r="C151" s="7" t="inlineStr">
        <is>
          <t>FY2025/26</t>
        </is>
      </c>
      <c r="D151" s="7" t="n">
        <v>2025</v>
      </c>
      <c r="E151" s="7" t="n">
        <v>8</v>
      </c>
      <c r="F151" s="7" t="inlineStr">
        <is>
          <t>August</t>
        </is>
      </c>
      <c r="G151" s="7" t="inlineStr">
        <is>
          <t>Q2</t>
        </is>
      </c>
      <c r="H151" s="8" t="n">
        <v>32482</v>
      </c>
      <c r="I151" s="8" t="n">
        <v>12161</v>
      </c>
      <c r="J151" s="8" t="n">
        <v>780</v>
      </c>
      <c r="K151" s="8" t="n">
        <v>42</v>
      </c>
      <c r="L151" s="8" t="n">
        <v>220</v>
      </c>
      <c r="M151" s="9">
        <f>SUM(I151,J151,K151,L151)</f>
        <v/>
      </c>
      <c r="N151" s="8" t="n">
        <v>5812.7</v>
      </c>
      <c r="O151" s="8" t="n">
        <v>9.4</v>
      </c>
      <c r="P151" s="8" t="n">
        <v>1264.7</v>
      </c>
      <c r="Q151" s="8" t="n">
        <v>684.9</v>
      </c>
      <c r="R151" s="9">
        <f>SUM(N151,O151,P151,Q151)</f>
        <v/>
      </c>
      <c r="S151" s="9">
        <f>M151+R151</f>
        <v/>
      </c>
      <c r="T151" s="8" t="n">
        <v>11507.3</v>
      </c>
      <c r="U151" s="10">
        <f>IF(H151=0,"",T151/H151)</f>
        <v/>
      </c>
      <c r="V151" s="8" t="n">
        <v>86</v>
      </c>
      <c r="W151" s="11">
        <f>IF(H151=0,"",V151/H151)</f>
        <v/>
      </c>
      <c r="X151" s="8" t="n">
        <v>0</v>
      </c>
      <c r="Y151" s="11">
        <f>IF(H151=0,"",X151/H151)</f>
        <v/>
      </c>
      <c r="Z151" s="8" t="n">
        <v>0</v>
      </c>
      <c r="AA151" s="11">
        <f>IF(H151=0,"",Z151/H151)</f>
        <v/>
      </c>
      <c r="AB151" s="8" t="n">
        <v>0</v>
      </c>
      <c r="AC151" s="11">
        <f>IF(H151=0,"",AB151/H151)</f>
        <v/>
      </c>
      <c r="AD151" s="8" t="n">
        <v>0</v>
      </c>
      <c r="AE151" s="11">
        <f>IF(H151=0,"",AD151/H151)</f>
        <v/>
      </c>
      <c r="AF151" s="8" t="n">
        <v>0</v>
      </c>
      <c r="AG151" s="11">
        <f>IF(H151=0,"",AF151/H151)</f>
        <v/>
      </c>
      <c r="AH151" s="8" t="n">
        <v>439603.62</v>
      </c>
      <c r="AI151" s="9">
        <f>IF(H151=0,"",AH151/H151)</f>
        <v/>
      </c>
      <c r="AJ151" s="8" t="n">
        <v>50</v>
      </c>
      <c r="AK151" s="11">
        <f>IF(H151=0,"",AJ151/H151)</f>
        <v/>
      </c>
      <c r="AL151" s="8" t="n">
        <v>23364.075</v>
      </c>
      <c r="AM151" s="9">
        <f>IF(H151=0,"",AL151/H151)</f>
        <v/>
      </c>
      <c r="AN151" s="8" t="n">
        <v>1645</v>
      </c>
      <c r="AO151" s="8" t="n">
        <v>130</v>
      </c>
      <c r="AP151" s="8" t="n">
        <v>355420</v>
      </c>
      <c r="AQ151" s="8" t="n">
        <v>0</v>
      </c>
      <c r="AR151" s="8" t="n">
        <v>20076185.3</v>
      </c>
      <c r="AS151" s="8" t="n">
        <v>4700743.12</v>
      </c>
      <c r="AT151" s="8" t="n">
        <v>11504998.05</v>
      </c>
      <c r="AU151" s="9">
        <f>AH151+AL151+AP151+AQ151+AR151+AS151+AT151</f>
        <v/>
      </c>
      <c r="AV151" s="9">
        <f>IF(H151=0,"",AU151/H151)</f>
        <v/>
      </c>
      <c r="AW151" s="9">
        <f>IF(S151=0,"",AU151/S151)</f>
        <v/>
      </c>
      <c r="AX151" s="8" t="n">
        <v>10</v>
      </c>
      <c r="AY151" s="9">
        <f>IF(H151=0,"",AX151/(H151/1000/12))</f>
        <v/>
      </c>
      <c r="AZ151" s="8" t="n">
        <v>19</v>
      </c>
      <c r="BA151" s="8" t="n">
        <v>286</v>
      </c>
      <c r="BB151" s="8" t="n">
        <v>0</v>
      </c>
      <c r="BC151" s="8" t="n">
        <v>0</v>
      </c>
      <c r="BD151" s="8" t="n">
        <v>57</v>
      </c>
      <c r="BE151" s="9">
        <f>BC151+BD151</f>
        <v/>
      </c>
      <c r="BF151" s="9">
        <f>BA151+BB151-BE151</f>
        <v/>
      </c>
      <c r="BG151" s="8" t="n">
        <v>0</v>
      </c>
      <c r="BH151" s="8" t="n">
        <v>0</v>
      </c>
      <c r="BI151" s="8" t="n">
        <v>0</v>
      </c>
      <c r="BJ151" s="8" t="n">
        <v>0</v>
      </c>
      <c r="BK151" s="9">
        <f>BI151+BJ151</f>
        <v/>
      </c>
      <c r="BL151" s="9">
        <f>BG151+BH151-BK151</f>
        <v/>
      </c>
      <c r="BM151" s="8" t="n">
        <v>0</v>
      </c>
      <c r="BN151" s="8" t="n">
        <v>0</v>
      </c>
      <c r="BO151" s="8" t="n">
        <v>0</v>
      </c>
      <c r="BP151" s="8" t="n">
        <v>0</v>
      </c>
      <c r="BQ151" s="9">
        <f>BO151+BP151</f>
        <v/>
      </c>
      <c r="BR151" s="9">
        <f>BM151+BN151-BQ151</f>
        <v/>
      </c>
      <c r="BS151" s="8" t="n">
        <v>0</v>
      </c>
      <c r="BT151" s="8" t="n">
        <v>0</v>
      </c>
      <c r="BU151" s="8" t="n">
        <v>0</v>
      </c>
      <c r="BV151" s="8" t="n">
        <v>0</v>
      </c>
      <c r="BW151" s="9">
        <f>BU151+BV151</f>
        <v/>
      </c>
      <c r="BX151" s="9">
        <f>BS151+BT151-BW151</f>
        <v/>
      </c>
      <c r="BY151" s="9">
        <f>BA151+BG151+BM151+BS151</f>
        <v/>
      </c>
      <c r="BZ151" s="9">
        <f>BB151+BH151+BN151+BT151</f>
        <v/>
      </c>
      <c r="CA151" s="9">
        <f>BE151+BK151+BQ151+BW151</f>
        <v/>
      </c>
      <c r="CB151" s="9">
        <f>BF151+BL151+BR151+BX151</f>
        <v/>
      </c>
      <c r="CC151" s="8" t="n">
        <v>57</v>
      </c>
      <c r="CD151" s="8" t="n">
        <v>821</v>
      </c>
      <c r="CE151" s="8" t="n">
        <v>35</v>
      </c>
      <c r="CF151" s="8" t="n">
        <v>70</v>
      </c>
      <c r="CG151" s="8" t="n">
        <v>16</v>
      </c>
      <c r="CH151" s="9">
        <f>CD151+CE151+CF151+CG151</f>
        <v/>
      </c>
      <c r="CI151" s="8" t="n">
        <v>1969</v>
      </c>
      <c r="CJ151" s="8" t="n">
        <v>7</v>
      </c>
      <c r="CK151" s="8" t="n">
        <v>7</v>
      </c>
      <c r="CL151" s="8" t="n">
        <v>12</v>
      </c>
      <c r="CM151" s="9">
        <f>CI151+CJ151+CK151+CL151</f>
        <v/>
      </c>
      <c r="CN151" s="8" t="n">
        <v>1074</v>
      </c>
      <c r="CO151" s="8" t="n">
        <v>88</v>
      </c>
      <c r="CP151" s="8" t="n">
        <v>122</v>
      </c>
      <c r="CQ151" s="8" t="n">
        <v>4</v>
      </c>
      <c r="CR151" s="9">
        <f>CN151+CO151+CP151+CQ151</f>
        <v/>
      </c>
      <c r="CS151" s="9">
        <f>CM151+CR151</f>
        <v/>
      </c>
      <c r="CT151" s="8" t="n">
        <v>4225</v>
      </c>
      <c r="CU151" s="8" t="n">
        <v>25000</v>
      </c>
      <c r="CV151" s="8" t="n">
        <v>20720</v>
      </c>
      <c r="CW151" s="10">
        <f>IF(CU151=0,"",CV151/CU151)</f>
        <v/>
      </c>
      <c r="CX151" s="8" t="n">
        <v>0</v>
      </c>
      <c r="CY151" s="8" t="n">
        <v>0</v>
      </c>
      <c r="CZ151" s="8" t="n">
        <v>0</v>
      </c>
      <c r="DA151" s="8" t="n">
        <v>0</v>
      </c>
      <c r="DB151" s="9">
        <f>CX151+CY151-CZ151-DA151</f>
        <v/>
      </c>
      <c r="DC151" s="8" t="n">
        <v>0</v>
      </c>
      <c r="DD151" s="8" t="n">
        <v>0</v>
      </c>
      <c r="DE151" s="8" t="n">
        <v>0</v>
      </c>
      <c r="DF151" s="8" t="n">
        <v>0</v>
      </c>
      <c r="DG151" s="9">
        <f>DC151+DD151-DE151-DF151</f>
        <v/>
      </c>
      <c r="DH151" s="8" t="n">
        <v>0</v>
      </c>
      <c r="DI151" s="8" t="n">
        <v>0</v>
      </c>
      <c r="DJ151" s="8" t="n">
        <v>0</v>
      </c>
      <c r="DK151" s="8" t="n">
        <v>0</v>
      </c>
      <c r="DL151" s="9">
        <f>DH151+DI151-DJ151-DK151</f>
        <v/>
      </c>
      <c r="DM151" s="8" t="n">
        <v>78</v>
      </c>
      <c r="DN151" s="8" t="n">
        <v>0</v>
      </c>
      <c r="DO151" s="8" t="n">
        <v>45</v>
      </c>
      <c r="DP151" s="8" t="n">
        <v>0</v>
      </c>
      <c r="DQ151" s="9">
        <f>DM151+DN151-DO151-DP151</f>
        <v/>
      </c>
      <c r="DR151" s="9">
        <f>CX151+DC151+DH151+DM151</f>
        <v/>
      </c>
      <c r="DS151" s="9">
        <f>CY151+DD151+DI151+DN151</f>
        <v/>
      </c>
      <c r="DT151" s="9">
        <f>CZ151+DE151+DJ151+DO151</f>
        <v/>
      </c>
      <c r="DU151" s="9">
        <f>DA151+DF151+DK151+DP151</f>
        <v/>
      </c>
      <c r="DV151" s="9">
        <f>DB151+DG151+DL151+DQ151</f>
        <v/>
      </c>
      <c r="DW151" s="8" t="n">
        <v>14</v>
      </c>
      <c r="DX151" s="8" t="n">
        <v>11</v>
      </c>
      <c r="DY151" s="8" t="n">
        <v>10</v>
      </c>
      <c r="DZ151" s="8" t="n">
        <v>1</v>
      </c>
      <c r="EA151" s="8" t="n">
        <v>2</v>
      </c>
      <c r="EB151" s="8" t="n">
        <v>2</v>
      </c>
      <c r="EC151" s="8" t="n">
        <v>0</v>
      </c>
      <c r="ED151" s="8" t="n">
        <v>0</v>
      </c>
      <c r="EE151" s="8" t="n">
        <v>2</v>
      </c>
      <c r="EF151" s="8" t="n">
        <v>2</v>
      </c>
      <c r="EG151" s="8" t="n">
        <v>0</v>
      </c>
      <c r="EH151" s="8" t="n">
        <v>0</v>
      </c>
      <c r="EI151" s="8" t="n">
        <v>0</v>
      </c>
      <c r="EJ151" s="8" t="n">
        <v>0</v>
      </c>
      <c r="EK151" s="8" t="n">
        <v>0</v>
      </c>
      <c r="EL151" s="8" t="n">
        <v>0</v>
      </c>
      <c r="EM151" s="8" t="n">
        <v>0</v>
      </c>
      <c r="EN151" s="8" t="n">
        <v>0</v>
      </c>
      <c r="EO151" s="8" t="n">
        <v>0</v>
      </c>
      <c r="EP151" s="8" t="n">
        <v>0</v>
      </c>
      <c r="EQ151" s="8" t="n">
        <v>0</v>
      </c>
      <c r="ER151" s="8" t="n">
        <v>0</v>
      </c>
      <c r="ES151" s="8" t="n">
        <v>0</v>
      </c>
      <c r="ET151" s="8" t="n">
        <v>0</v>
      </c>
      <c r="EU151" s="8" t="n">
        <v>0</v>
      </c>
      <c r="EV151" s="8" t="n">
        <v>0</v>
      </c>
      <c r="EW151" s="8" t="n">
        <v>0</v>
      </c>
      <c r="EX151" s="8" t="n">
        <v>0</v>
      </c>
      <c r="EY151" s="8" t="n">
        <v>0</v>
      </c>
      <c r="EZ151" s="8" t="n">
        <v>0</v>
      </c>
      <c r="FA151" s="8" t="n">
        <v>0</v>
      </c>
      <c r="FB151" s="8" t="n">
        <v>0</v>
      </c>
      <c r="FC151" s="8" t="n">
        <v>0</v>
      </c>
      <c r="FD151" s="8" t="n">
        <v>0</v>
      </c>
      <c r="FE151" s="8" t="n">
        <v>0</v>
      </c>
      <c r="FF151" s="8" t="n">
        <v>0</v>
      </c>
      <c r="FG151" s="9">
        <f>SUM(DW151,DX151,DY151,DZ151,EA151,EB151,EC151,ED151,EE151,EF151,EG151,EH151,EI151,EJ151,EK151,EL151,EM151,EN151,EO151,EP151,EQ151,ER151,ES151,ET151,EU151,EV151,EW151,EX151,EY151,EZ151,FA151,FB151,FC151,FD151,FE151,FF151)</f>
        <v/>
      </c>
      <c r="FH151" s="8" t="n">
        <v>0</v>
      </c>
      <c r="FI151" s="8" t="n">
        <v>0</v>
      </c>
      <c r="FJ151" s="8" t="n">
        <v>24</v>
      </c>
      <c r="FK151" s="8" t="n">
        <v>0</v>
      </c>
      <c r="FL151" s="8" t="n">
        <v>0</v>
      </c>
      <c r="FM151" s="8" t="n">
        <v>0</v>
      </c>
      <c r="FN151" s="8" t="n">
        <v>0</v>
      </c>
      <c r="FO151" s="8" t="n">
        <v>0</v>
      </c>
      <c r="FP151" s="8" t="n">
        <v>0</v>
      </c>
      <c r="FQ151" s="9">
        <f>FL151+FM151+FN151+FO151+FP151</f>
        <v/>
      </c>
      <c r="FR151" s="8" t="n">
        <v>18144937.2</v>
      </c>
      <c r="FS151" s="8" t="n">
        <v>314600</v>
      </c>
      <c r="FT151" s="8" t="n">
        <v>233000</v>
      </c>
      <c r="FU151" s="8" t="n">
        <v>151815</v>
      </c>
      <c r="FV151" s="9">
        <f>FR151+FS151+FT151+FU151</f>
        <v/>
      </c>
      <c r="FW151" s="8" t="n">
        <v>7688989.199999979</v>
      </c>
      <c r="FX151" s="8" t="n">
        <v>5000</v>
      </c>
      <c r="FY151" s="8" t="n">
        <v>3338478.09</v>
      </c>
      <c r="FZ151" s="8" t="n">
        <v>3996546.7</v>
      </c>
      <c r="GA151" s="9">
        <f>FW151+FX151+FY151+FZ151</f>
        <v/>
      </c>
      <c r="GB151" s="9">
        <f>FV151+GA151</f>
        <v/>
      </c>
      <c r="GC151" s="8" t="n">
        <v>10735294.04</v>
      </c>
      <c r="GD151" s="8" t="n">
        <v>149198.4</v>
      </c>
      <c r="GE151" s="8" t="n">
        <v>96147.17</v>
      </c>
      <c r="GF151" s="8" t="n">
        <v>976252.99</v>
      </c>
      <c r="GG151" s="9">
        <f>GC151+GD151+GE151+GF151</f>
        <v/>
      </c>
      <c r="GH151" s="8" t="n">
        <v>11956892.6</v>
      </c>
      <c r="GI151" s="8" t="n">
        <v>0</v>
      </c>
      <c r="GJ151" s="8" t="n">
        <v>0</v>
      </c>
      <c r="GK151" s="8" t="n">
        <v>0</v>
      </c>
      <c r="GL151" s="9">
        <f>GH151+GI151+GJ151+GK151</f>
        <v/>
      </c>
      <c r="GM151" s="9">
        <f>GG151+GL151</f>
        <v/>
      </c>
      <c r="GN151" s="8" t="n">
        <v>1103647.69</v>
      </c>
      <c r="GO151" s="8" t="n">
        <v>2295.36</v>
      </c>
      <c r="GP151" s="8" t="n">
        <v>23755.48</v>
      </c>
      <c r="GQ151" s="8" t="n">
        <v>32461.38</v>
      </c>
      <c r="GR151" s="9">
        <f>GN151+GO151+GP151+GQ151</f>
        <v/>
      </c>
      <c r="GS151" s="8" t="n">
        <v>1758317</v>
      </c>
      <c r="GT151" s="8" t="n">
        <v>10716</v>
      </c>
      <c r="GU151" s="8" t="n">
        <v>6251</v>
      </c>
      <c r="GV151" s="8" t="n">
        <v>6251</v>
      </c>
      <c r="GW151" s="9">
        <f>GS151+GT151+GU151+GV151</f>
        <v/>
      </c>
      <c r="GX151" s="9">
        <f>GM151+GR151+GW151</f>
        <v/>
      </c>
      <c r="GY151" s="8" t="n">
        <v>129293363.56</v>
      </c>
      <c r="GZ151" s="8" t="n">
        <v>145614.48</v>
      </c>
      <c r="HA151" s="9">
        <f>GY151+GZ151</f>
        <v/>
      </c>
      <c r="HB151" s="9">
        <f>IF(GX151=0,"",AU151/GX151)</f>
        <v/>
      </c>
      <c r="HC151" s="10">
        <f>IF((GX151+GY151)=0,"",GB151/(GX151+GY151))</f>
        <v/>
      </c>
      <c r="HD151" s="9">
        <f>IF(GX151=0,"",GB151/GX151)</f>
        <v/>
      </c>
      <c r="HE151" s="8" t="n">
        <v>0</v>
      </c>
      <c r="HF151" s="8" t="n">
        <v>0</v>
      </c>
      <c r="HG151" s="8" t="n">
        <v>229</v>
      </c>
      <c r="HH151" s="8" t="n">
        <v>0</v>
      </c>
      <c r="HI151" s="8" t="n">
        <v>0</v>
      </c>
      <c r="HJ151" s="9">
        <f>HF151+HI151</f>
        <v/>
      </c>
      <c r="HK151" s="10">
        <f>IF(HE151=0,"",HH151/HE151)</f>
        <v/>
      </c>
      <c r="HL151" s="8" t="n">
        <v>30</v>
      </c>
      <c r="HM151" s="8" t="n">
        <v>30</v>
      </c>
      <c r="HN151" s="11">
        <f>IF(HL151=0,"",HM151/HL151)</f>
        <v/>
      </c>
    </row>
    <row r="152">
      <c r="A152" s="12" t="inlineStr">
        <is>
          <t>Mulanje</t>
        </is>
      </c>
      <c r="B152" s="12" t="inlineStr">
        <is>
          <t>Mulanje</t>
        </is>
      </c>
      <c r="C152" s="13" t="inlineStr">
        <is>
          <t>FY2025/26</t>
        </is>
      </c>
      <c r="D152" s="13" t="n">
        <v>2025</v>
      </c>
      <c r="E152" s="13" t="n">
        <v>9</v>
      </c>
      <c r="F152" s="13" t="inlineStr">
        <is>
          <t>September</t>
        </is>
      </c>
      <c r="G152" s="13" t="inlineStr">
        <is>
          <t>Q2</t>
        </is>
      </c>
      <c r="H152" s="14" t="n">
        <v>37601</v>
      </c>
      <c r="I152" s="14" t="n">
        <v>17016</v>
      </c>
      <c r="J152" s="14" t="n">
        <v>872</v>
      </c>
      <c r="K152" s="14" t="n">
        <v>92</v>
      </c>
      <c r="L152" s="14" t="n">
        <v>227</v>
      </c>
      <c r="M152" s="15">
        <f>SUM(I152,J152,K152,L152)</f>
        <v/>
      </c>
      <c r="N152" s="14" t="n">
        <v>5403.20000000004</v>
      </c>
      <c r="O152" s="14" t="n">
        <v>0.5</v>
      </c>
      <c r="P152" s="14" t="n">
        <v>2625.7</v>
      </c>
      <c r="Q152" s="14" t="n">
        <v>658.500000000001</v>
      </c>
      <c r="R152" s="15">
        <f>SUM(N152,O152,P152,Q152)</f>
        <v/>
      </c>
      <c r="S152" s="15">
        <f>M152+R152</f>
        <v/>
      </c>
      <c r="T152" s="14" t="n">
        <v>10706.1</v>
      </c>
      <c r="U152" s="16">
        <f>IF(H152=0,"",T152/H152)</f>
        <v/>
      </c>
      <c r="V152" s="14" t="n">
        <v>88</v>
      </c>
      <c r="W152" s="17">
        <f>IF(H152=0,"",V152/H152)</f>
        <v/>
      </c>
      <c r="X152" s="14" t="n">
        <v>0</v>
      </c>
      <c r="Y152" s="17">
        <f>IF(H152=0,"",X152/H152)</f>
        <v/>
      </c>
      <c r="Z152" s="14" t="n">
        <v>0</v>
      </c>
      <c r="AA152" s="17">
        <f>IF(H152=0,"",Z152/H152)</f>
        <v/>
      </c>
      <c r="AB152" s="14" t="n">
        <v>0</v>
      </c>
      <c r="AC152" s="17">
        <f>IF(H152=0,"",AB152/H152)</f>
        <v/>
      </c>
      <c r="AD152" s="14" t="n">
        <v>0</v>
      </c>
      <c r="AE152" s="17">
        <f>IF(H152=0,"",AD152/H152)</f>
        <v/>
      </c>
      <c r="AF152" s="14" t="n">
        <v>0</v>
      </c>
      <c r="AG152" s="17">
        <f>IF(H152=0,"",AF152/H152)</f>
        <v/>
      </c>
      <c r="AH152" s="14" t="n">
        <v>449826.96</v>
      </c>
      <c r="AI152" s="15">
        <f>IF(H152=0,"",AH152/H152)</f>
        <v/>
      </c>
      <c r="AJ152" s="14" t="n">
        <v>55</v>
      </c>
      <c r="AK152" s="17">
        <f>IF(H152=0,"",AJ152/H152)</f>
        <v/>
      </c>
      <c r="AL152" s="14" t="n">
        <v>24057.8325</v>
      </c>
      <c r="AM152" s="15">
        <f>IF(H152=0,"",AL152/H152)</f>
        <v/>
      </c>
      <c r="AN152" s="14" t="n">
        <v>2338</v>
      </c>
      <c r="AO152" s="14" t="n">
        <v>170</v>
      </c>
      <c r="AP152" s="14" t="n">
        <v>464780</v>
      </c>
      <c r="AQ152" s="14" t="n">
        <v>0</v>
      </c>
      <c r="AR152" s="14" t="n">
        <v>20038729.84</v>
      </c>
      <c r="AS152" s="14" t="n">
        <v>4924243.12</v>
      </c>
      <c r="AT152" s="14" t="n">
        <v>2636140.065</v>
      </c>
      <c r="AU152" s="15">
        <f>AH152+AL152+AP152+AQ152+AR152+AS152+AT152</f>
        <v/>
      </c>
      <c r="AV152" s="15">
        <f>IF(H152=0,"",AU152/H152)</f>
        <v/>
      </c>
      <c r="AW152" s="15">
        <f>IF(S152=0,"",AU152/S152)</f>
        <v/>
      </c>
      <c r="AX152" s="14" t="n">
        <v>10</v>
      </c>
      <c r="AY152" s="15">
        <f>IF(H152=0,"",AX152/(H152/1000/12))</f>
        <v/>
      </c>
      <c r="AZ152" s="14" t="n">
        <v>19</v>
      </c>
      <c r="BA152" s="14" t="n">
        <v>229</v>
      </c>
      <c r="BB152" s="14" t="n">
        <v>0</v>
      </c>
      <c r="BC152" s="14" t="n">
        <v>23</v>
      </c>
      <c r="BD152" s="14" t="n">
        <v>87</v>
      </c>
      <c r="BE152" s="15">
        <f>BC152+BD152</f>
        <v/>
      </c>
      <c r="BF152" s="15">
        <f>BA152+BB152-BE152</f>
        <v/>
      </c>
      <c r="BG152" s="14" t="n">
        <v>0</v>
      </c>
      <c r="BH152" s="14" t="n">
        <v>0</v>
      </c>
      <c r="BI152" s="14" t="n">
        <v>0</v>
      </c>
      <c r="BJ152" s="14" t="n">
        <v>0</v>
      </c>
      <c r="BK152" s="15">
        <f>BI152+BJ152</f>
        <v/>
      </c>
      <c r="BL152" s="15">
        <f>BG152+BH152-BK152</f>
        <v/>
      </c>
      <c r="BM152" s="14" t="n">
        <v>0</v>
      </c>
      <c r="BN152" s="14" t="n">
        <v>2</v>
      </c>
      <c r="BO152" s="14" t="n">
        <v>0</v>
      </c>
      <c r="BP152" s="14" t="n">
        <v>2</v>
      </c>
      <c r="BQ152" s="15">
        <f>BO152+BP152</f>
        <v/>
      </c>
      <c r="BR152" s="15">
        <f>BM152+BN152-BQ152</f>
        <v/>
      </c>
      <c r="BS152" s="14" t="n">
        <v>0</v>
      </c>
      <c r="BT152" s="14" t="n">
        <v>0</v>
      </c>
      <c r="BU152" s="14" t="n">
        <v>0</v>
      </c>
      <c r="BV152" s="14" t="n">
        <v>0</v>
      </c>
      <c r="BW152" s="15">
        <f>BU152+BV152</f>
        <v/>
      </c>
      <c r="BX152" s="15">
        <f>BS152+BT152-BW152</f>
        <v/>
      </c>
      <c r="BY152" s="15">
        <f>BA152+BG152+BM152+BS152</f>
        <v/>
      </c>
      <c r="BZ152" s="15">
        <f>BB152+BH152+BN152+BT152</f>
        <v/>
      </c>
      <c r="CA152" s="15">
        <f>BE152+BK152+BQ152+BW152</f>
        <v/>
      </c>
      <c r="CB152" s="15">
        <f>BF152+BL152+BR152+BX152</f>
        <v/>
      </c>
      <c r="CC152" s="14" t="n">
        <v>87</v>
      </c>
      <c r="CD152" s="14" t="n">
        <v>771</v>
      </c>
      <c r="CE152" s="14" t="n">
        <v>35</v>
      </c>
      <c r="CF152" s="14" t="n">
        <v>70</v>
      </c>
      <c r="CG152" s="14" t="n">
        <v>16</v>
      </c>
      <c r="CH152" s="15">
        <f>CD152+CE152+CF152+CG152</f>
        <v/>
      </c>
      <c r="CI152" s="14" t="n">
        <v>2036</v>
      </c>
      <c r="CJ152" s="14" t="n">
        <v>8</v>
      </c>
      <c r="CK152" s="14" t="n">
        <v>10</v>
      </c>
      <c r="CL152" s="14" t="n">
        <v>13</v>
      </c>
      <c r="CM152" s="15">
        <f>CI152+CJ152+CK152+CL152</f>
        <v/>
      </c>
      <c r="CN152" s="14" t="n">
        <v>1161</v>
      </c>
      <c r="CO152" s="14" t="n">
        <v>88</v>
      </c>
      <c r="CP152" s="14" t="n">
        <v>121</v>
      </c>
      <c r="CQ152" s="14" t="n">
        <v>5</v>
      </c>
      <c r="CR152" s="15">
        <f>CN152+CO152+CP152+CQ152</f>
        <v/>
      </c>
      <c r="CS152" s="15">
        <f>CM152+CR152</f>
        <v/>
      </c>
      <c r="CT152" s="14" t="n">
        <v>4334</v>
      </c>
      <c r="CU152" s="14" t="n">
        <v>25000</v>
      </c>
      <c r="CV152" s="14" t="n">
        <v>20720</v>
      </c>
      <c r="CW152" s="16">
        <f>IF(CU152=0,"",CV152/CU152)</f>
        <v/>
      </c>
      <c r="CX152" s="14" t="n"/>
      <c r="CY152" s="14" t="n"/>
      <c r="CZ152" s="14" t="n"/>
      <c r="DA152" s="14" t="n"/>
      <c r="DB152" s="15">
        <f>CX152+CY152-CZ152-DA152</f>
        <v/>
      </c>
      <c r="DC152" s="14" t="n">
        <v>0</v>
      </c>
      <c r="DD152" s="14" t="n">
        <v>0</v>
      </c>
      <c r="DE152" s="14" t="n">
        <v>0</v>
      </c>
      <c r="DF152" s="14" t="n">
        <v>0</v>
      </c>
      <c r="DG152" s="15">
        <f>DC152+DD152-DE152-DF152</f>
        <v/>
      </c>
      <c r="DH152" s="14" t="n">
        <v>0</v>
      </c>
      <c r="DI152" s="14" t="n">
        <v>0</v>
      </c>
      <c r="DJ152" s="14" t="n">
        <v>0</v>
      </c>
      <c r="DK152" s="14" t="n">
        <v>0</v>
      </c>
      <c r="DL152" s="15">
        <f>DH152+DI152-DJ152-DK152</f>
        <v/>
      </c>
      <c r="DM152" s="14" t="n">
        <v>33</v>
      </c>
      <c r="DN152" s="14" t="n">
        <v>0</v>
      </c>
      <c r="DO152" s="14" t="n">
        <v>16</v>
      </c>
      <c r="DP152" s="14" t="n">
        <v>0</v>
      </c>
      <c r="DQ152" s="15">
        <f>DM152+DN152-DO152-DP152</f>
        <v/>
      </c>
      <c r="DR152" s="15">
        <f>CX152+DC152+DH152+DM152</f>
        <v/>
      </c>
      <c r="DS152" s="15">
        <f>CY152+DD152+DI152+DN152</f>
        <v/>
      </c>
      <c r="DT152" s="15">
        <f>CZ152+DE152+DJ152+DO152</f>
        <v/>
      </c>
      <c r="DU152" s="15">
        <f>DA152+DF152+DK152+DP152</f>
        <v/>
      </c>
      <c r="DV152" s="15">
        <f>DB152+DG152+DL152+DQ152</f>
        <v/>
      </c>
      <c r="DW152" s="14" t="n">
        <v>8</v>
      </c>
      <c r="DX152" s="14" t="n">
        <v>8</v>
      </c>
      <c r="DY152" s="14" t="n">
        <v>1</v>
      </c>
      <c r="DZ152" s="14" t="n">
        <v>1</v>
      </c>
      <c r="EA152" s="14" t="n">
        <v>2</v>
      </c>
      <c r="EB152" s="14" t="n">
        <v>2</v>
      </c>
      <c r="EC152" s="14" t="n">
        <v>0</v>
      </c>
      <c r="ED152" s="14" t="n">
        <v>0</v>
      </c>
      <c r="EE152" s="14" t="n">
        <v>2</v>
      </c>
      <c r="EF152" s="14" t="n">
        <v>1</v>
      </c>
      <c r="EG152" s="14" t="n">
        <v>0</v>
      </c>
      <c r="EH152" s="14" t="n">
        <v>0</v>
      </c>
      <c r="EI152" s="14" t="n">
        <v>0</v>
      </c>
      <c r="EJ152" s="14" t="n">
        <v>0</v>
      </c>
      <c r="EK152" s="14" t="n">
        <v>0</v>
      </c>
      <c r="EL152" s="14" t="n">
        <v>0</v>
      </c>
      <c r="EM152" s="14" t="n">
        <v>0</v>
      </c>
      <c r="EN152" s="14" t="n">
        <v>0</v>
      </c>
      <c r="EO152" s="14" t="n">
        <v>0</v>
      </c>
      <c r="EP152" s="14" t="n">
        <v>0</v>
      </c>
      <c r="EQ152" s="14" t="n">
        <v>0</v>
      </c>
      <c r="ER152" s="14" t="n">
        <v>0</v>
      </c>
      <c r="ES152" s="14" t="n">
        <v>0</v>
      </c>
      <c r="ET152" s="14" t="n">
        <v>0</v>
      </c>
      <c r="EU152" s="14" t="n">
        <v>0</v>
      </c>
      <c r="EV152" s="14" t="n">
        <v>0</v>
      </c>
      <c r="EW152" s="14" t="n">
        <v>0</v>
      </c>
      <c r="EX152" s="14" t="n">
        <v>0</v>
      </c>
      <c r="EY152" s="14" t="n">
        <v>0</v>
      </c>
      <c r="EZ152" s="14" t="n">
        <v>0</v>
      </c>
      <c r="FA152" s="14" t="n">
        <v>0</v>
      </c>
      <c r="FB152" s="14" t="n">
        <v>0</v>
      </c>
      <c r="FC152" s="14" t="n">
        <v>0</v>
      </c>
      <c r="FD152" s="14" t="n">
        <v>0</v>
      </c>
      <c r="FE152" s="14" t="n">
        <v>0</v>
      </c>
      <c r="FF152" s="14" t="n">
        <v>0</v>
      </c>
      <c r="FG152" s="15">
        <f>SUM(DW152,DX152,DY152,DZ152,EA152,EB152,EC152,ED152,EE152,EF152,EG152,EH152,EI152,EJ152,EK152,EL152,EM152,EN152,EO152,EP152,EQ152,ER152,ES152,ET152,EU152,EV152,EW152,EX152,EY152,EZ152,FA152,FB152,FC152,FD152,FE152,FF152)</f>
        <v/>
      </c>
      <c r="FH152" s="14" t="n">
        <v>24</v>
      </c>
      <c r="FI152" s="14" t="n">
        <v>0</v>
      </c>
      <c r="FJ152" s="14" t="n">
        <v>16</v>
      </c>
      <c r="FK152" s="14" t="n">
        <v>16</v>
      </c>
      <c r="FL152" s="14" t="n">
        <v>0</v>
      </c>
      <c r="FM152" s="14" t="n">
        <v>0</v>
      </c>
      <c r="FN152" s="14" t="n">
        <v>0</v>
      </c>
      <c r="FO152" s="14" t="n">
        <v>0</v>
      </c>
      <c r="FP152" s="14" t="n">
        <v>0</v>
      </c>
      <c r="FQ152" s="15">
        <f>FL152+FM152+FN152+FO152+FP152</f>
        <v/>
      </c>
      <c r="FR152" s="14" t="n">
        <v>29274361.01</v>
      </c>
      <c r="FS152" s="14" t="n">
        <v>132500</v>
      </c>
      <c r="FT152" s="14" t="n">
        <v>198467.22</v>
      </c>
      <c r="FU152" s="14" t="n">
        <v>60600</v>
      </c>
      <c r="FV152" s="15">
        <f>FR152+FS152+FT152+FU152</f>
        <v/>
      </c>
      <c r="FW152" s="14" t="n">
        <v>7042753.389999977</v>
      </c>
      <c r="FX152" s="14" t="n">
        <v>106.22</v>
      </c>
      <c r="FY152" s="14" t="n">
        <v>3146800</v>
      </c>
      <c r="FZ152" s="14" t="n">
        <v>8159000</v>
      </c>
      <c r="GA152" s="15">
        <f>FW152+FX152+FY152+FZ152</f>
        <v/>
      </c>
      <c r="GB152" s="15">
        <f>FV152+GA152</f>
        <v/>
      </c>
      <c r="GC152" s="14" t="n">
        <v>15293040.96</v>
      </c>
      <c r="GD152" s="14" t="n">
        <v>166796.16</v>
      </c>
      <c r="GE152" s="14" t="n">
        <v>245522.18</v>
      </c>
      <c r="GF152" s="14" t="n">
        <v>930051</v>
      </c>
      <c r="GG152" s="15">
        <f>GC152+GD152+GE152+GF152</f>
        <v/>
      </c>
      <c r="GH152" s="14" t="n">
        <v>16635410.3</v>
      </c>
      <c r="GI152" s="14" t="n">
        <v>0</v>
      </c>
      <c r="GJ152" s="14" t="n">
        <v>0</v>
      </c>
      <c r="GK152" s="14" t="n">
        <v>0</v>
      </c>
      <c r="GL152" s="15">
        <f>GH152+GI152+GJ152+GK152</f>
        <v/>
      </c>
      <c r="GM152" s="15">
        <f>GG152+GL152</f>
        <v/>
      </c>
      <c r="GN152" s="14" t="n">
        <v>1142650.64</v>
      </c>
      <c r="GO152" s="14" t="n">
        <v>2486.64</v>
      </c>
      <c r="GP152" s="14" t="n">
        <v>27149.12</v>
      </c>
      <c r="GQ152" s="14" t="n">
        <v>46373.4</v>
      </c>
      <c r="GR152" s="15">
        <f>GN152+GO152+GP152+GQ152</f>
        <v/>
      </c>
      <c r="GS152" s="14" t="n">
        <v>1818148</v>
      </c>
      <c r="GT152" s="14" t="n">
        <v>11609</v>
      </c>
      <c r="GU152" s="14" t="n">
        <v>7144</v>
      </c>
      <c r="GV152" s="14" t="n">
        <v>8930</v>
      </c>
      <c r="GW152" s="15">
        <f>GS152+GT152+GU152+GV152</f>
        <v/>
      </c>
      <c r="GX152" s="15">
        <f>GM152+GR152+GW152</f>
        <v/>
      </c>
      <c r="GY152" s="14" t="n">
        <v>129053703.73</v>
      </c>
      <c r="GZ152" s="14" t="n">
        <v>385274.31</v>
      </c>
      <c r="HA152" s="15">
        <f>GY152+GZ152</f>
        <v/>
      </c>
      <c r="HB152" s="15">
        <f>IF(GX152=0,"",AU152/GX152)</f>
        <v/>
      </c>
      <c r="HC152" s="16">
        <f>IF((GX152+GY152)=0,"",GB152/(GX152+GY152))</f>
        <v/>
      </c>
      <c r="HD152" s="15">
        <f>IF(GX152=0,"",GB152/GX152)</f>
        <v/>
      </c>
      <c r="HE152" s="14" t="n">
        <v>2</v>
      </c>
      <c r="HF152" s="14" t="n">
        <v>1</v>
      </c>
      <c r="HG152" s="14" t="n">
        <v>119</v>
      </c>
      <c r="HH152" s="14" t="n">
        <v>2</v>
      </c>
      <c r="HI152" s="14" t="n">
        <v>30</v>
      </c>
      <c r="HJ152" s="15">
        <f>HF152+HI152</f>
        <v/>
      </c>
      <c r="HK152" s="16">
        <f>IF(HE152=0,"",HH152/HE152)</f>
        <v/>
      </c>
      <c r="HL152" s="14" t="n">
        <v>45</v>
      </c>
      <c r="HM152" s="14" t="n">
        <v>30</v>
      </c>
      <c r="HN152" s="17">
        <f>IF(HL152=0,"",HM152/HL152)</f>
        <v/>
      </c>
    </row>
    <row r="153">
      <c r="A153" s="6" t="inlineStr">
        <is>
          <t>Mulanje</t>
        </is>
      </c>
      <c r="B153" s="6" t="inlineStr">
        <is>
          <t>Mulanje</t>
        </is>
      </c>
      <c r="C153" s="7" t="inlineStr">
        <is>
          <t>FY2025/26</t>
        </is>
      </c>
      <c r="D153" s="7" t="n">
        <v>2025</v>
      </c>
      <c r="E153" s="7" t="n">
        <v>10</v>
      </c>
      <c r="F153" s="7" t="inlineStr">
        <is>
          <t>October</t>
        </is>
      </c>
      <c r="G153" s="7" t="inlineStr">
        <is>
          <t>Q3</t>
        </is>
      </c>
      <c r="H153" s="8" t="n">
        <v>39123</v>
      </c>
      <c r="I153" s="8" t="n">
        <v>15783</v>
      </c>
      <c r="J153" s="8" t="n">
        <v>905</v>
      </c>
      <c r="K153" s="8" t="n">
        <v>100</v>
      </c>
      <c r="L153" s="8" t="n">
        <v>309</v>
      </c>
      <c r="M153" s="9">
        <f>SUM(I153,J153,K153,L153)</f>
        <v/>
      </c>
      <c r="N153" s="8" t="n">
        <v>4969.10000000003</v>
      </c>
      <c r="O153" s="8" t="n">
        <v>0</v>
      </c>
      <c r="P153" s="8" t="n">
        <v>4606</v>
      </c>
      <c r="Q153" s="8" t="n">
        <v>761.8</v>
      </c>
      <c r="R153" s="9">
        <f>SUM(N153,O153,P153,Q153)</f>
        <v/>
      </c>
      <c r="S153" s="9">
        <f>M153+R153</f>
        <v/>
      </c>
      <c r="T153" s="8" t="n">
        <v>11689.1</v>
      </c>
      <c r="U153" s="10">
        <f>IF(H153=0,"",T153/H153)</f>
        <v/>
      </c>
      <c r="V153" s="8" t="n">
        <v>87</v>
      </c>
      <c r="W153" s="11">
        <f>IF(H153=0,"",V153/H153)</f>
        <v/>
      </c>
      <c r="X153" s="8" t="n">
        <v>0</v>
      </c>
      <c r="Y153" s="11">
        <f>IF(H153=0,"",X153/H153)</f>
        <v/>
      </c>
      <c r="Z153" s="8" t="n">
        <v>0</v>
      </c>
      <c r="AA153" s="11">
        <f>IF(H153=0,"",Z153/H153)</f>
        <v/>
      </c>
      <c r="AB153" s="8" t="n">
        <v>0</v>
      </c>
      <c r="AC153" s="11">
        <f>IF(H153=0,"",AB153/H153)</f>
        <v/>
      </c>
      <c r="AD153" s="8" t="n">
        <v>0</v>
      </c>
      <c r="AE153" s="11">
        <f>IF(H153=0,"",AD153/H153)</f>
        <v/>
      </c>
      <c r="AF153" s="8" t="n">
        <v>0</v>
      </c>
      <c r="AG153" s="11">
        <f>IF(H153=0,"",AF153/H153)</f>
        <v/>
      </c>
      <c r="AH153" s="8" t="n">
        <v>444715.29</v>
      </c>
      <c r="AI153" s="9">
        <f>IF(H153=0,"",AH153/H153)</f>
        <v/>
      </c>
      <c r="AJ153" s="8" t="n">
        <v>60</v>
      </c>
      <c r="AK153" s="11">
        <f>IF(H153=0,"",AJ153/H153)</f>
        <v/>
      </c>
      <c r="AL153" s="8" t="n">
        <v>24751.59</v>
      </c>
      <c r="AM153" s="9">
        <f>IF(H153=0,"",AL153/H153)</f>
        <v/>
      </c>
      <c r="AN153" s="8" t="n">
        <v>1507</v>
      </c>
      <c r="AO153" s="8" t="n">
        <v>173</v>
      </c>
      <c r="AP153" s="8" t="n">
        <v>472982</v>
      </c>
      <c r="AQ153" s="8" t="n">
        <v>0</v>
      </c>
      <c r="AR153" s="8" t="n">
        <v>22026018.82</v>
      </c>
      <c r="AS153" s="8" t="n">
        <v>0</v>
      </c>
      <c r="AT153" s="8" t="n">
        <v>5349483.25</v>
      </c>
      <c r="AU153" s="9">
        <f>AH153+AL153+AP153+AQ153+AR153+AS153+AT153</f>
        <v/>
      </c>
      <c r="AV153" s="9">
        <f>IF(H153=0,"",AU153/H153)</f>
        <v/>
      </c>
      <c r="AW153" s="9">
        <f>IF(S153=0,"",AU153/S153)</f>
        <v/>
      </c>
      <c r="AX153" s="8" t="n">
        <v>10</v>
      </c>
      <c r="AY153" s="9">
        <f>IF(H153=0,"",AX153/(H153/1000/12))</f>
        <v/>
      </c>
      <c r="AZ153" s="8" t="n">
        <v>19</v>
      </c>
      <c r="BA153" s="8" t="n">
        <v>119</v>
      </c>
      <c r="BB153" s="8" t="n">
        <v>0</v>
      </c>
      <c r="BC153" s="8" t="n">
        <v>0</v>
      </c>
      <c r="BD153" s="8" t="n">
        <v>0</v>
      </c>
      <c r="BE153" s="9">
        <f>BC153+BD153</f>
        <v/>
      </c>
      <c r="BF153" s="9">
        <f>BA153+BB153-BE153</f>
        <v/>
      </c>
      <c r="BG153" s="8" t="n">
        <v>0</v>
      </c>
      <c r="BH153" s="8" t="n">
        <v>0</v>
      </c>
      <c r="BI153" s="8" t="n">
        <v>0</v>
      </c>
      <c r="BJ153" s="8" t="n">
        <v>0</v>
      </c>
      <c r="BK153" s="9">
        <f>BI153+BJ153</f>
        <v/>
      </c>
      <c r="BL153" s="9">
        <f>BG153+BH153-BK153</f>
        <v/>
      </c>
      <c r="BM153" s="8" t="n">
        <v>0</v>
      </c>
      <c r="BN153" s="8" t="n">
        <v>0</v>
      </c>
      <c r="BO153" s="8" t="n">
        <v>0</v>
      </c>
      <c r="BP153" s="8" t="n">
        <v>0</v>
      </c>
      <c r="BQ153" s="9">
        <f>BO153+BP153</f>
        <v/>
      </c>
      <c r="BR153" s="9">
        <f>BM153+BN153-BQ153</f>
        <v/>
      </c>
      <c r="BS153" s="8" t="n">
        <v>0</v>
      </c>
      <c r="BT153" s="8" t="n">
        <v>0</v>
      </c>
      <c r="BU153" s="8" t="n">
        <v>0</v>
      </c>
      <c r="BV153" s="8" t="n">
        <v>0</v>
      </c>
      <c r="BW153" s="9">
        <f>BU153+BV153</f>
        <v/>
      </c>
      <c r="BX153" s="9">
        <f>BS153+BT153-BW153</f>
        <v/>
      </c>
      <c r="BY153" s="9">
        <f>BA153+BG153+BM153+BS153</f>
        <v/>
      </c>
      <c r="BZ153" s="9">
        <f>BB153+BH153+BN153+BT153</f>
        <v/>
      </c>
      <c r="CA153" s="9">
        <f>BE153+BK153+BQ153+BW153</f>
        <v/>
      </c>
      <c r="CB153" s="9">
        <f>BF153+BL153+BR153+BX153</f>
        <v/>
      </c>
      <c r="CC153" s="8" t="n">
        <v>0</v>
      </c>
      <c r="CD153" s="8" t="n">
        <v>761</v>
      </c>
      <c r="CE153" s="8" t="n">
        <v>35</v>
      </c>
      <c r="CF153" s="8" t="n">
        <v>70</v>
      </c>
      <c r="CG153" s="8" t="n">
        <v>16</v>
      </c>
      <c r="CH153" s="9">
        <f>CD153+CE153+CF153+CG153</f>
        <v/>
      </c>
      <c r="CI153" s="8" t="n">
        <v>2046</v>
      </c>
      <c r="CJ153" s="8" t="n">
        <v>8</v>
      </c>
      <c r="CK153" s="8" t="n">
        <v>15</v>
      </c>
      <c r="CL153" s="8" t="n">
        <v>13</v>
      </c>
      <c r="CM153" s="9">
        <f>CI153+CJ153+CK153+CL153</f>
        <v/>
      </c>
      <c r="CN153" s="8" t="n">
        <v>1162</v>
      </c>
      <c r="CO153" s="8" t="n">
        <v>88</v>
      </c>
      <c r="CP153" s="8" t="n">
        <v>116</v>
      </c>
      <c r="CQ153" s="8" t="n">
        <v>5</v>
      </c>
      <c r="CR153" s="9">
        <f>CN153+CO153+CP153+CQ153</f>
        <v/>
      </c>
      <c r="CS153" s="9">
        <f>CM153+CR153</f>
        <v/>
      </c>
      <c r="CT153" s="8" t="n">
        <v>4335</v>
      </c>
      <c r="CU153" s="8" t="n">
        <v>25000</v>
      </c>
      <c r="CV153" s="8" t="n">
        <v>20720</v>
      </c>
      <c r="CW153" s="10">
        <f>IF(CU153=0,"",CV153/CU153)</f>
        <v/>
      </c>
      <c r="CX153" s="8" t="n"/>
      <c r="CY153" s="8" t="n"/>
      <c r="CZ153" s="8" t="n"/>
      <c r="DA153" s="8" t="n"/>
      <c r="DB153" s="9">
        <f>CX153+CY153-CZ153-DA153</f>
        <v/>
      </c>
      <c r="DC153" s="8" t="n">
        <v>0</v>
      </c>
      <c r="DD153" s="8" t="n">
        <v>0</v>
      </c>
      <c r="DE153" s="8" t="n">
        <v>0</v>
      </c>
      <c r="DF153" s="8" t="n">
        <v>0</v>
      </c>
      <c r="DG153" s="9">
        <f>DC153+DD153-DE153-DF153</f>
        <v/>
      </c>
      <c r="DH153" s="8" t="n">
        <v>0</v>
      </c>
      <c r="DI153" s="8" t="n">
        <v>0</v>
      </c>
      <c r="DJ153" s="8" t="n">
        <v>0</v>
      </c>
      <c r="DK153" s="8" t="n">
        <v>0</v>
      </c>
      <c r="DL153" s="9">
        <f>DH153+DI153-DJ153-DK153</f>
        <v/>
      </c>
      <c r="DM153" s="8" t="n">
        <v>17</v>
      </c>
      <c r="DN153" s="8" t="n">
        <v>25</v>
      </c>
      <c r="DO153" s="8" t="n">
        <v>0</v>
      </c>
      <c r="DP153" s="8" t="n">
        <v>0</v>
      </c>
      <c r="DQ153" s="9">
        <f>DM153+DN153-DO153-DP153</f>
        <v/>
      </c>
      <c r="DR153" s="9">
        <f>CX153+DC153+DH153+DM153</f>
        <v/>
      </c>
      <c r="DS153" s="9">
        <f>CY153+DD153+DI153+DN153</f>
        <v/>
      </c>
      <c r="DT153" s="9">
        <f>CZ153+DE153+DJ153+DO153</f>
        <v/>
      </c>
      <c r="DU153" s="9">
        <f>DA153+DF153+DK153+DP153</f>
        <v/>
      </c>
      <c r="DV153" s="9">
        <f>DB153+DG153+DL153+DQ153</f>
        <v/>
      </c>
      <c r="DW153" s="8" t="n">
        <v>15</v>
      </c>
      <c r="DX153" s="8" t="n">
        <v>3</v>
      </c>
      <c r="DY153" s="8" t="n">
        <v>6</v>
      </c>
      <c r="DZ153" s="8" t="n">
        <v>6</v>
      </c>
      <c r="EA153" s="8" t="n">
        <v>1</v>
      </c>
      <c r="EB153" s="8" t="n">
        <v>1</v>
      </c>
      <c r="EC153" s="8" t="n">
        <v>1</v>
      </c>
      <c r="ED153" s="8" t="n">
        <v>2</v>
      </c>
      <c r="EE153" s="8" t="n">
        <v>2</v>
      </c>
      <c r="EF153" s="8" t="n">
        <v>2</v>
      </c>
      <c r="EG153" s="8" t="n">
        <v>0</v>
      </c>
      <c r="EH153" s="8" t="n">
        <v>0</v>
      </c>
      <c r="EI153" s="8" t="n">
        <v>0</v>
      </c>
      <c r="EJ153" s="8" t="n">
        <v>0</v>
      </c>
      <c r="EK153" s="8" t="n">
        <v>0</v>
      </c>
      <c r="EL153" s="8" t="n">
        <v>0</v>
      </c>
      <c r="EM153" s="8" t="n">
        <v>0</v>
      </c>
      <c r="EN153" s="8" t="n">
        <v>0</v>
      </c>
      <c r="EO153" s="8" t="n">
        <v>0</v>
      </c>
      <c r="EP153" s="8" t="n">
        <v>0</v>
      </c>
      <c r="EQ153" s="8" t="n">
        <v>0</v>
      </c>
      <c r="ER153" s="8" t="n">
        <v>0</v>
      </c>
      <c r="ES153" s="8" t="n">
        <v>0</v>
      </c>
      <c r="ET153" s="8" t="n">
        <v>0</v>
      </c>
      <c r="EU153" s="8" t="n">
        <v>0</v>
      </c>
      <c r="EV153" s="8" t="n">
        <v>0</v>
      </c>
      <c r="EW153" s="8" t="n">
        <v>0</v>
      </c>
      <c r="EX153" s="8" t="n">
        <v>0</v>
      </c>
      <c r="EY153" s="8" t="n">
        <v>0</v>
      </c>
      <c r="EZ153" s="8" t="n">
        <v>0</v>
      </c>
      <c r="FA153" s="8" t="n">
        <v>0</v>
      </c>
      <c r="FB153" s="8" t="n">
        <v>0</v>
      </c>
      <c r="FC153" s="8" t="n">
        <v>0</v>
      </c>
      <c r="FD153" s="8" t="n">
        <v>0</v>
      </c>
      <c r="FE153" s="8" t="n">
        <v>0</v>
      </c>
      <c r="FF153" s="8" t="n">
        <v>0</v>
      </c>
      <c r="FG153" s="9">
        <f>SUM(DW153,DX153,DY153,DZ153,EA153,EB153,EC153,ED153,EE153,EF153,EG153,EH153,EI153,EJ153,EK153,EL153,EM153,EN153,EO153,EP153,EQ153,ER153,ES153,ET153,EU153,EV153,EW153,EX153,EY153,EZ153,FA153,FB153,FC153,FD153,FE153,FF153)</f>
        <v/>
      </c>
      <c r="FH153" s="8" t="n">
        <v>30</v>
      </c>
      <c r="FI153" s="8" t="n">
        <v>0</v>
      </c>
      <c r="FJ153" s="8" t="n">
        <v>16</v>
      </c>
      <c r="FK153" s="8" t="n">
        <v>16</v>
      </c>
      <c r="FL153" s="8" t="n">
        <v>0</v>
      </c>
      <c r="FM153" s="8" t="n">
        <v>0</v>
      </c>
      <c r="FN153" s="8" t="n">
        <v>0</v>
      </c>
      <c r="FO153" s="8" t="n">
        <v>0</v>
      </c>
      <c r="FP153" s="8" t="n">
        <v>0</v>
      </c>
      <c r="FQ153" s="9">
        <f>FL153+FM153+FN153+FO153+FP153</f>
        <v/>
      </c>
      <c r="FR153" s="8" t="n">
        <v>16922865.66</v>
      </c>
      <c r="FS153" s="8" t="n">
        <v>236800</v>
      </c>
      <c r="FT153" s="8" t="n">
        <v>420000</v>
      </c>
      <c r="FU153" s="8" t="n">
        <v>161730</v>
      </c>
      <c r="FV153" s="9">
        <f>FR153+FS153+FT153+FU153</f>
        <v/>
      </c>
      <c r="FW153" s="8" t="n">
        <v>6597416.439999983</v>
      </c>
      <c r="FX153" s="8" t="n">
        <v>6597416.43999998</v>
      </c>
      <c r="FY153" s="8" t="n">
        <v>3643900</v>
      </c>
      <c r="FZ153" s="8" t="n">
        <v>14086778.8</v>
      </c>
      <c r="GA153" s="9">
        <f>FW153+FX153+FY153+FZ153</f>
        <v/>
      </c>
      <c r="GB153" s="9">
        <f>FV153+GA153</f>
        <v/>
      </c>
      <c r="GC153" s="8" t="n">
        <v>14032230.76</v>
      </c>
      <c r="GD153" s="8" t="n">
        <v>173108.4</v>
      </c>
      <c r="GE153" s="8" t="n">
        <v>282492.92</v>
      </c>
      <c r="GF153" s="8" t="n">
        <v>1237141.19</v>
      </c>
      <c r="GG153" s="9">
        <f>GC153+GD153+GE153+GF153</f>
        <v/>
      </c>
      <c r="GH153" s="8" t="n">
        <v>15724973.27</v>
      </c>
      <c r="GI153" s="8" t="n">
        <v>0</v>
      </c>
      <c r="GJ153" s="8" t="n">
        <v>0</v>
      </c>
      <c r="GK153" s="8" t="n">
        <v>0</v>
      </c>
      <c r="GL153" s="9">
        <f>GH153+GI153+GJ153+GK153</f>
        <v/>
      </c>
      <c r="GM153" s="9">
        <f>GG153+GL153</f>
        <v/>
      </c>
      <c r="GN153" s="8" t="n">
        <v>1147772.24</v>
      </c>
      <c r="GO153" s="8" t="n">
        <v>2486.64</v>
      </c>
      <c r="GP153" s="8" t="n">
        <v>27149.12</v>
      </c>
      <c r="GQ153" s="8" t="n">
        <v>69560.10000000001</v>
      </c>
      <c r="GR153" s="9">
        <f>GN153+GO153+GP153+GQ153</f>
        <v/>
      </c>
      <c r="GS153" s="8" t="n">
        <v>1827078</v>
      </c>
      <c r="GT153" s="8" t="n">
        <v>11609</v>
      </c>
      <c r="GU153" s="8" t="n">
        <v>7144</v>
      </c>
      <c r="GV153" s="8" t="n">
        <v>13395</v>
      </c>
      <c r="GW153" s="9">
        <f>GS153+GT153+GU153+GV153</f>
        <v/>
      </c>
      <c r="GX153" s="9">
        <f>GM153+GR153+GW153</f>
        <v/>
      </c>
      <c r="GY153" s="8" t="n">
        <v>135878306.11</v>
      </c>
      <c r="GZ153" s="8" t="n">
        <v>385274.31</v>
      </c>
      <c r="HA153" s="9">
        <f>GY153+GZ153</f>
        <v/>
      </c>
      <c r="HB153" s="9">
        <f>IF(GX153=0,"",AU153/GX153)</f>
        <v/>
      </c>
      <c r="HC153" s="10">
        <f>IF((GX153+GY153)=0,"",GB153/(GX153+GY153))</f>
        <v/>
      </c>
      <c r="HD153" s="9">
        <f>IF(GX153=0,"",GB153/GX153)</f>
        <v/>
      </c>
      <c r="HE153" s="8" t="n">
        <v>0</v>
      </c>
      <c r="HF153" s="8" t="n">
        <v>1</v>
      </c>
      <c r="HG153" s="8" t="n">
        <v>119</v>
      </c>
      <c r="HH153" s="8" t="n">
        <v>0</v>
      </c>
      <c r="HI153" s="8" t="n">
        <v>0</v>
      </c>
      <c r="HJ153" s="9">
        <f>HF153+HI153</f>
        <v/>
      </c>
      <c r="HK153" s="10">
        <f>IF(HE153=0,"",HH153/HE153)</f>
        <v/>
      </c>
      <c r="HL153" s="8" t="n">
        <v>60</v>
      </c>
      <c r="HM153" s="8" t="n">
        <v>30</v>
      </c>
      <c r="HN153" s="11">
        <f>IF(HL153=0,"",HM153/HL153)</f>
        <v/>
      </c>
    </row>
    <row r="154">
      <c r="A154" s="12" t="inlineStr">
        <is>
          <t>Mulanje</t>
        </is>
      </c>
      <c r="B154" s="12" t="inlineStr">
        <is>
          <t>Mulanje</t>
        </is>
      </c>
      <c r="C154" s="13" t="inlineStr">
        <is>
          <t>FY2025/26</t>
        </is>
      </c>
      <c r="D154" s="13" t="n">
        <v>2025</v>
      </c>
      <c r="E154" s="13" t="n">
        <v>11</v>
      </c>
      <c r="F154" s="13" t="inlineStr">
        <is>
          <t>November</t>
        </is>
      </c>
      <c r="G154" s="13" t="inlineStr">
        <is>
          <t>Q3</t>
        </is>
      </c>
      <c r="H154" s="14" t="n">
        <v>32169</v>
      </c>
      <c r="I154" s="14" t="n">
        <v>12258</v>
      </c>
      <c r="J154" s="14" t="n">
        <v>432</v>
      </c>
      <c r="K154" s="14" t="n">
        <v>200</v>
      </c>
      <c r="L154" s="14" t="n">
        <v>222</v>
      </c>
      <c r="M154" s="15">
        <f>SUM(I154,J154,K154,L154)</f>
        <v/>
      </c>
      <c r="N154" s="14" t="n">
        <v>4654.6</v>
      </c>
      <c r="O154" s="14" t="n">
        <v>0</v>
      </c>
      <c r="P154" s="14" t="n">
        <v>2943.6</v>
      </c>
      <c r="Q154" s="14" t="n">
        <v>735</v>
      </c>
      <c r="R154" s="15">
        <f>SUM(N154,O154,P154,Q154)</f>
        <v/>
      </c>
      <c r="S154" s="15">
        <f>M154+R154</f>
        <v/>
      </c>
      <c r="T154" s="14" t="n">
        <v>10723.8</v>
      </c>
      <c r="U154" s="16">
        <f>IF(H154=0,"",T154/H154)</f>
        <v/>
      </c>
      <c r="V154" s="14" t="n">
        <v>87</v>
      </c>
      <c r="W154" s="17">
        <f>IF(H154=0,"",V154/H154)</f>
        <v/>
      </c>
      <c r="X154" s="14" t="n">
        <v>0</v>
      </c>
      <c r="Y154" s="17">
        <f>IF(H154=0,"",X154/H154)</f>
        <v/>
      </c>
      <c r="Z154" s="14" t="n">
        <v>0</v>
      </c>
      <c r="AA154" s="17">
        <f>IF(H154=0,"",Z154/H154)</f>
        <v/>
      </c>
      <c r="AB154" s="14" t="n">
        <v>0</v>
      </c>
      <c r="AC154" s="17">
        <f>IF(H154=0,"",AB154/H154)</f>
        <v/>
      </c>
      <c r="AD154" s="14" t="n">
        <v>0</v>
      </c>
      <c r="AE154" s="17">
        <f>IF(H154=0,"",AD154/H154)</f>
        <v/>
      </c>
      <c r="AF154" s="14" t="n">
        <v>0</v>
      </c>
      <c r="AG154" s="17">
        <f>IF(H154=0,"",AF154/H154)</f>
        <v/>
      </c>
      <c r="AH154" s="14" t="n">
        <v>444715.29</v>
      </c>
      <c r="AI154" s="15">
        <f>IF(H154=0,"",AH154/H154)</f>
        <v/>
      </c>
      <c r="AJ154" s="14" t="n">
        <v>55</v>
      </c>
      <c r="AK154" s="17">
        <f>IF(H154=0,"",AJ154/H154)</f>
        <v/>
      </c>
      <c r="AL154" s="14" t="n">
        <v>24057.8325</v>
      </c>
      <c r="AM154" s="15">
        <f>IF(H154=0,"",AL154/H154)</f>
        <v/>
      </c>
      <c r="AN154" s="14" t="n">
        <v>1415</v>
      </c>
      <c r="AO154" s="14" t="n">
        <v>165</v>
      </c>
      <c r="AP154" s="14" t="n">
        <v>451110</v>
      </c>
      <c r="AQ154" s="14" t="n">
        <v>0</v>
      </c>
      <c r="AR154" s="14" t="n">
        <v>20072345.1</v>
      </c>
      <c r="AS154" s="14" t="n">
        <v>0</v>
      </c>
      <c r="AT154" s="14" t="n">
        <v>0</v>
      </c>
      <c r="AU154" s="15">
        <f>AH154+AL154+AP154+AQ154+AR154+AS154+AT154</f>
        <v/>
      </c>
      <c r="AV154" s="15">
        <f>IF(H154=0,"",AU154/H154)</f>
        <v/>
      </c>
      <c r="AW154" s="15">
        <f>IF(S154=0,"",AU154/S154)</f>
        <v/>
      </c>
      <c r="AX154" s="14" t="n">
        <v>10</v>
      </c>
      <c r="AY154" s="15">
        <f>IF(H154=0,"",AX154/(H154/1000/12))</f>
        <v/>
      </c>
      <c r="AZ154" s="14" t="n">
        <v>19</v>
      </c>
      <c r="BA154" s="14" t="n">
        <v>119</v>
      </c>
      <c r="BB154" s="14" t="n">
        <v>0</v>
      </c>
      <c r="BC154" s="14" t="n">
        <v>0</v>
      </c>
      <c r="BD154" s="14" t="n">
        <v>37</v>
      </c>
      <c r="BE154" s="15">
        <f>BC154+BD154</f>
        <v/>
      </c>
      <c r="BF154" s="15">
        <f>BA154+BB154-BE154</f>
        <v/>
      </c>
      <c r="BG154" s="14" t="n">
        <v>0</v>
      </c>
      <c r="BH154" s="14" t="n">
        <v>0</v>
      </c>
      <c r="BI154" s="14" t="n">
        <v>0</v>
      </c>
      <c r="BJ154" s="14" t="n">
        <v>0</v>
      </c>
      <c r="BK154" s="15">
        <f>BI154+BJ154</f>
        <v/>
      </c>
      <c r="BL154" s="15">
        <f>BG154+BH154-BK154</f>
        <v/>
      </c>
      <c r="BM154" s="14" t="n">
        <v>0</v>
      </c>
      <c r="BN154" s="14" t="n">
        <v>0</v>
      </c>
      <c r="BO154" s="14" t="n">
        <v>0</v>
      </c>
      <c r="BP154" s="14" t="n">
        <v>0</v>
      </c>
      <c r="BQ154" s="15">
        <f>BO154+BP154</f>
        <v/>
      </c>
      <c r="BR154" s="15">
        <f>BM154+BN154-BQ154</f>
        <v/>
      </c>
      <c r="BS154" s="14" t="n">
        <v>0</v>
      </c>
      <c r="BT154" s="14" t="n">
        <v>0</v>
      </c>
      <c r="BU154" s="14" t="n">
        <v>0</v>
      </c>
      <c r="BV154" s="14" t="n">
        <v>0</v>
      </c>
      <c r="BW154" s="15">
        <f>BU154+BV154</f>
        <v/>
      </c>
      <c r="BX154" s="15">
        <f>BS154+BT154-BW154</f>
        <v/>
      </c>
      <c r="BY154" s="15">
        <f>BA154+BG154+BM154+BS154</f>
        <v/>
      </c>
      <c r="BZ154" s="15">
        <f>BB154+BH154+BN154+BT154</f>
        <v/>
      </c>
      <c r="CA154" s="15">
        <f>BE154+BK154+BQ154+BW154</f>
        <v/>
      </c>
      <c r="CB154" s="15">
        <f>BF154+BL154+BR154+BX154</f>
        <v/>
      </c>
      <c r="CC154" s="14" t="n">
        <v>0</v>
      </c>
      <c r="CD154" s="14" t="n">
        <v>778</v>
      </c>
      <c r="CE154" s="14" t="n">
        <v>35</v>
      </c>
      <c r="CF154" s="14" t="n">
        <v>70</v>
      </c>
      <c r="CG154" s="14" t="n">
        <v>16</v>
      </c>
      <c r="CH154" s="15">
        <f>CD154+CE154+CF154+CG154</f>
        <v/>
      </c>
      <c r="CI154" s="14" t="n">
        <v>2029</v>
      </c>
      <c r="CJ154" s="14" t="n">
        <v>8</v>
      </c>
      <c r="CK154" s="14" t="n">
        <v>13</v>
      </c>
      <c r="CL154" s="14" t="n">
        <v>13</v>
      </c>
      <c r="CM154" s="15">
        <f>CI154+CJ154+CK154+CL154</f>
        <v/>
      </c>
      <c r="CN154" s="14" t="n">
        <v>1199</v>
      </c>
      <c r="CO154" s="14" t="n">
        <v>88</v>
      </c>
      <c r="CP154" s="14" t="n">
        <v>118</v>
      </c>
      <c r="CQ154" s="14" t="n">
        <v>5</v>
      </c>
      <c r="CR154" s="15">
        <f>CN154+CO154+CP154+CQ154</f>
        <v/>
      </c>
      <c r="CS154" s="15">
        <f>CM154+CR154</f>
        <v/>
      </c>
      <c r="CT154" s="14" t="n">
        <v>4372</v>
      </c>
      <c r="CU154" s="14" t="n">
        <v>25000</v>
      </c>
      <c r="CV154" s="14" t="n">
        <v>20735</v>
      </c>
      <c r="CW154" s="16">
        <f>IF(CU154=0,"",CV154/CU154)</f>
        <v/>
      </c>
      <c r="CX154" s="14" t="n"/>
      <c r="CY154" s="14" t="n"/>
      <c r="CZ154" s="14" t="n"/>
      <c r="DA154" s="14" t="n"/>
      <c r="DB154" s="15">
        <f>CX154+CY154-CZ154-DA154</f>
        <v/>
      </c>
      <c r="DC154" s="14" t="n">
        <v>0</v>
      </c>
      <c r="DD154" s="14" t="n">
        <v>0</v>
      </c>
      <c r="DE154" s="14" t="n">
        <v>0</v>
      </c>
      <c r="DF154" s="14" t="n">
        <v>0</v>
      </c>
      <c r="DG154" s="15">
        <f>DC154+DD154-DE154-DF154</f>
        <v/>
      </c>
      <c r="DH154" s="14" t="n">
        <v>0</v>
      </c>
      <c r="DI154" s="14" t="n">
        <v>0</v>
      </c>
      <c r="DJ154" s="14" t="n">
        <v>0</v>
      </c>
      <c r="DK154" s="14" t="n">
        <v>0</v>
      </c>
      <c r="DL154" s="15">
        <f>DH154+DI154-DJ154-DK154</f>
        <v/>
      </c>
      <c r="DM154" s="14" t="n">
        <v>42</v>
      </c>
      <c r="DN154" s="14" t="n">
        <v>44</v>
      </c>
      <c r="DO154" s="14" t="n">
        <v>0</v>
      </c>
      <c r="DP154" s="14" t="n">
        <v>0</v>
      </c>
      <c r="DQ154" s="15">
        <f>DM154+DN154-DO154-DP154</f>
        <v/>
      </c>
      <c r="DR154" s="15">
        <f>CX154+DC154+DH154+DM154</f>
        <v/>
      </c>
      <c r="DS154" s="15">
        <f>CY154+DD154+DI154+DN154</f>
        <v/>
      </c>
      <c r="DT154" s="15">
        <f>CZ154+DE154+DJ154+DO154</f>
        <v/>
      </c>
      <c r="DU154" s="15">
        <f>DA154+DF154+DK154+DP154</f>
        <v/>
      </c>
      <c r="DV154" s="15">
        <f>DB154+DG154+DL154+DQ154</f>
        <v/>
      </c>
      <c r="DW154" s="14" t="n">
        <v>20</v>
      </c>
      <c r="DX154" s="14" t="n">
        <v>5</v>
      </c>
      <c r="DY154" s="14" t="n">
        <v>8</v>
      </c>
      <c r="DZ154" s="14" t="n">
        <v>8</v>
      </c>
      <c r="EA154" s="14" t="n">
        <v>2</v>
      </c>
      <c r="EB154" s="14" t="n">
        <v>2</v>
      </c>
      <c r="EC154" s="14" t="n">
        <v>2</v>
      </c>
      <c r="ED154" s="14" t="n">
        <v>3</v>
      </c>
      <c r="EE154" s="14" t="n">
        <v>3</v>
      </c>
      <c r="EF154" s="14" t="n">
        <v>6</v>
      </c>
      <c r="EG154" s="14" t="n">
        <v>0</v>
      </c>
      <c r="EH154" s="14" t="n">
        <v>0</v>
      </c>
      <c r="EI154" s="14" t="n">
        <v>0</v>
      </c>
      <c r="EJ154" s="14" t="n">
        <v>0</v>
      </c>
      <c r="EK154" s="14" t="n">
        <v>0</v>
      </c>
      <c r="EL154" s="14" t="n">
        <v>0</v>
      </c>
      <c r="EM154" s="14" t="n">
        <v>0</v>
      </c>
      <c r="EN154" s="14" t="n">
        <v>0</v>
      </c>
      <c r="EO154" s="14" t="n">
        <v>0</v>
      </c>
      <c r="EP154" s="14" t="n">
        <v>0</v>
      </c>
      <c r="EQ154" s="14" t="n">
        <v>0</v>
      </c>
      <c r="ER154" s="14" t="n">
        <v>0</v>
      </c>
      <c r="ES154" s="14" t="n">
        <v>0</v>
      </c>
      <c r="ET154" s="14" t="n">
        <v>0</v>
      </c>
      <c r="EU154" s="14" t="n">
        <v>0</v>
      </c>
      <c r="EV154" s="14" t="n">
        <v>0</v>
      </c>
      <c r="EW154" s="14" t="n">
        <v>0</v>
      </c>
      <c r="EX154" s="14" t="n">
        <v>0</v>
      </c>
      <c r="EY154" s="14" t="n">
        <v>0</v>
      </c>
      <c r="EZ154" s="14" t="n">
        <v>0</v>
      </c>
      <c r="FA154" s="14" t="n">
        <v>0</v>
      </c>
      <c r="FB154" s="14" t="n">
        <v>0</v>
      </c>
      <c r="FC154" s="14" t="n">
        <v>0</v>
      </c>
      <c r="FD154" s="14" t="n">
        <v>0</v>
      </c>
      <c r="FE154" s="14" t="n">
        <v>0</v>
      </c>
      <c r="FF154" s="14" t="n">
        <v>0</v>
      </c>
      <c r="FG154" s="15">
        <f>SUM(DW154,DX154,DY154,DZ154,EA154,EB154,EC154,ED154,EE154,EF154,EG154,EH154,EI154,EJ154,EK154,EL154,EM154,EN154,EO154,EP154,EQ154,ER154,ES154,ET154,EU154,EV154,EW154,EX154,EY154,EZ154,FA154,FB154,FC154,FD154,FE154,FF154)</f>
        <v/>
      </c>
      <c r="FH154" s="14" t="n">
        <v>46</v>
      </c>
      <c r="FI154" s="14" t="n">
        <v>0</v>
      </c>
      <c r="FJ154" s="14" t="n">
        <v>16</v>
      </c>
      <c r="FK154" s="14" t="n">
        <v>16</v>
      </c>
      <c r="FL154" s="14" t="n">
        <v>0</v>
      </c>
      <c r="FM154" s="14" t="n">
        <v>0</v>
      </c>
      <c r="FN154" s="14" t="n">
        <v>0</v>
      </c>
      <c r="FO154" s="14" t="n">
        <v>0</v>
      </c>
      <c r="FP154" s="14" t="n">
        <v>0</v>
      </c>
      <c r="FQ154" s="15">
        <f>FL154+FM154+FN154+FO154+FP154</f>
        <v/>
      </c>
      <c r="FR154" s="14" t="n">
        <v>13064885.48</v>
      </c>
      <c r="FS154" s="14" t="n">
        <v>176700</v>
      </c>
      <c r="FT154" s="14" t="n">
        <v>500000</v>
      </c>
      <c r="FU154" s="14" t="n">
        <v>101499</v>
      </c>
      <c r="FV154" s="15">
        <f>FR154+FS154+FT154+FU154</f>
        <v/>
      </c>
      <c r="FW154" s="14" t="n">
        <v>6114380.55</v>
      </c>
      <c r="FX154" s="14" t="n">
        <v>6114380.55</v>
      </c>
      <c r="FY154" s="14" t="n">
        <v>3506019</v>
      </c>
      <c r="FZ154" s="14" t="n">
        <v>9406518</v>
      </c>
      <c r="GA154" s="15">
        <f>FW154+FX154+FY154+FZ154</f>
        <v/>
      </c>
      <c r="GB154" s="15">
        <f>FV154+GA154</f>
        <v/>
      </c>
      <c r="GC154" s="14" t="n">
        <v>12851239.16</v>
      </c>
      <c r="GD154" s="14" t="n">
        <v>82632.96000000001</v>
      </c>
      <c r="GE154" s="14" t="n">
        <v>634456.42</v>
      </c>
      <c r="GF154" s="14" t="n">
        <v>901282.35</v>
      </c>
      <c r="GG154" s="15">
        <f>GC154+GD154+GE154+GF154</f>
        <v/>
      </c>
      <c r="GH154" s="14" t="n">
        <v>14469610.89</v>
      </c>
      <c r="GI154" s="14" t="n">
        <v>0</v>
      </c>
      <c r="GJ154" s="14" t="n">
        <v>0</v>
      </c>
      <c r="GK154" s="14" t="n">
        <v>0</v>
      </c>
      <c r="GL154" s="15">
        <f>GH154+GI154+GJ154+GK154</f>
        <v/>
      </c>
      <c r="GM154" s="15">
        <f>GG154+GL154</f>
        <v/>
      </c>
      <c r="GN154" s="14" t="n">
        <v>1138775.12</v>
      </c>
      <c r="GO154" s="14" t="n">
        <v>2486.64</v>
      </c>
      <c r="GP154" s="14" t="n">
        <v>27149.12</v>
      </c>
      <c r="GQ154" s="14" t="n">
        <v>60285.42</v>
      </c>
      <c r="GR154" s="15">
        <f>GN154+GO154+GP154+GQ154</f>
        <v/>
      </c>
      <c r="GS154" s="14" t="n">
        <v>1811897</v>
      </c>
      <c r="GT154" s="14" t="n">
        <v>11609</v>
      </c>
      <c r="GU154" s="14" t="n">
        <v>7144</v>
      </c>
      <c r="GV154" s="14" t="n">
        <v>11609</v>
      </c>
      <c r="GW154" s="15">
        <f>GS154+GT154+GU154+GV154</f>
        <v/>
      </c>
      <c r="GX154" s="15">
        <f>GM154+GR154+GW154</f>
        <v/>
      </c>
      <c r="GY154" s="14" t="n">
        <v>65716216.1</v>
      </c>
      <c r="GZ154" s="14" t="n">
        <v>684908.7</v>
      </c>
      <c r="HA154" s="15">
        <f>GY154+GZ154</f>
        <v/>
      </c>
      <c r="HB154" s="15">
        <f>IF(GX154=0,"",AU154/GX154)</f>
        <v/>
      </c>
      <c r="HC154" s="16">
        <f>IF((GX154+GY154)=0,"",GB154/(GX154+GY154))</f>
        <v/>
      </c>
      <c r="HD154" s="15">
        <f>IF(GX154=0,"",GB154/GX154)</f>
        <v/>
      </c>
      <c r="HE154" s="14" t="n">
        <v>0</v>
      </c>
      <c r="HF154" s="14" t="n">
        <v>1</v>
      </c>
      <c r="HG154" s="14" t="n">
        <v>82</v>
      </c>
      <c r="HH154" s="14" t="n">
        <v>0</v>
      </c>
      <c r="HI154" s="14" t="n">
        <v>0</v>
      </c>
      <c r="HJ154" s="15">
        <f>HF154+HI154</f>
        <v/>
      </c>
      <c r="HK154" s="16">
        <f>IF(HE154=0,"",HH154/HE154)</f>
        <v/>
      </c>
      <c r="HL154" s="14" t="n">
        <v>12</v>
      </c>
      <c r="HM154" s="14" t="n">
        <v>30</v>
      </c>
      <c r="HN154" s="17">
        <f>IF(HL154=0,"",HM154/HL154)</f>
        <v/>
      </c>
    </row>
    <row r="155">
      <c r="A155" s="6" t="inlineStr">
        <is>
          <t>Mulanje</t>
        </is>
      </c>
      <c r="B155" s="6" t="inlineStr">
        <is>
          <t>Mulanje</t>
        </is>
      </c>
      <c r="C155" s="7" t="inlineStr">
        <is>
          <t>FY2025/26</t>
        </is>
      </c>
      <c r="D155" s="7" t="n">
        <v>2025</v>
      </c>
      <c r="E155" s="7" t="n">
        <v>12</v>
      </c>
      <c r="F155" s="7" t="inlineStr">
        <is>
          <t>December</t>
        </is>
      </c>
      <c r="G155" s="7" t="inlineStr">
        <is>
          <t>Q3</t>
        </is>
      </c>
      <c r="H155" s="8" t="n">
        <v>38992</v>
      </c>
      <c r="I155" s="8" t="n">
        <v>16266</v>
      </c>
      <c r="J155" s="8" t="n">
        <v>1316</v>
      </c>
      <c r="K155" s="8" t="n">
        <v>114</v>
      </c>
      <c r="L155" s="8" t="n">
        <v>156</v>
      </c>
      <c r="M155" s="9">
        <f>SUM(I155,J155,K155,L155)</f>
        <v/>
      </c>
      <c r="N155" s="8" t="n">
        <v>5345.10000000001</v>
      </c>
      <c r="O155" s="8" t="n">
        <v>7</v>
      </c>
      <c r="P155" s="8" t="n">
        <v>4200</v>
      </c>
      <c r="Q155" s="8" t="n">
        <v>868.1</v>
      </c>
      <c r="R155" s="9">
        <f>SUM(N155,O155,P155,Q155)</f>
        <v/>
      </c>
      <c r="S155" s="9">
        <f>M155+R155</f>
        <v/>
      </c>
      <c r="T155" s="8" t="n">
        <v>10719.8</v>
      </c>
      <c r="U155" s="10">
        <f>IF(H155=0,"",T155/H155)</f>
        <v/>
      </c>
      <c r="V155" s="8" t="n">
        <v>89</v>
      </c>
      <c r="W155" s="11">
        <f>IF(H155=0,"",V155/H155)</f>
        <v/>
      </c>
      <c r="X155" s="8" t="n">
        <v>0</v>
      </c>
      <c r="Y155" s="11">
        <f>IF(H155=0,"",X155/H155)</f>
        <v/>
      </c>
      <c r="Z155" s="8" t="n">
        <v>0</v>
      </c>
      <c r="AA155" s="11">
        <f>IF(H155=0,"",Z155/H155)</f>
        <v/>
      </c>
      <c r="AB155" s="8" t="n">
        <v>0</v>
      </c>
      <c r="AC155" s="11">
        <f>IF(H155=0,"",AB155/H155)</f>
        <v/>
      </c>
      <c r="AD155" s="8" t="n">
        <v>0</v>
      </c>
      <c r="AE155" s="11">
        <f>IF(H155=0,"",AD155/H155)</f>
        <v/>
      </c>
      <c r="AF155" s="8" t="n">
        <v>0</v>
      </c>
      <c r="AG155" s="11">
        <f>IF(H155=0,"",AF155/H155)</f>
        <v/>
      </c>
      <c r="AH155" s="8" t="n">
        <v>454938.63</v>
      </c>
      <c r="AI155" s="9">
        <f>IF(H155=0,"",AH155/H155)</f>
        <v/>
      </c>
      <c r="AJ155" s="8" t="n">
        <v>60</v>
      </c>
      <c r="AK155" s="11">
        <f>IF(H155=0,"",AJ155/H155)</f>
        <v/>
      </c>
      <c r="AL155" s="8" t="n">
        <v>24751.59</v>
      </c>
      <c r="AM155" s="9">
        <f>IF(H155=0,"",AL155/H155)</f>
        <v/>
      </c>
      <c r="AN155" s="8" t="n">
        <v>2075</v>
      </c>
      <c r="AO155" s="8" t="n">
        <v>161</v>
      </c>
      <c r="AP155" s="8" t="n">
        <v>440174</v>
      </c>
      <c r="AQ155" s="8" t="n">
        <v>0</v>
      </c>
      <c r="AR155" s="8" t="n">
        <v>20240112.56</v>
      </c>
      <c r="AS155" s="8" t="n">
        <v>4314688.8</v>
      </c>
      <c r="AT155" s="8" t="n">
        <v>7032975.16</v>
      </c>
      <c r="AU155" s="9">
        <f>AH155+AL155+AP155+AQ155+AR155+AS155+AT155</f>
        <v/>
      </c>
      <c r="AV155" s="9">
        <f>IF(H155=0,"",AU155/H155)</f>
        <v/>
      </c>
      <c r="AW155" s="9">
        <f>IF(S155=0,"",AU155/S155)</f>
        <v/>
      </c>
      <c r="AX155" s="8" t="n">
        <v>10</v>
      </c>
      <c r="AY155" s="9">
        <f>IF(H155=0,"",AX155/(H155/1000/12))</f>
        <v/>
      </c>
      <c r="AZ155" s="8" t="n">
        <v>19</v>
      </c>
      <c r="BA155" s="8" t="n">
        <v>82</v>
      </c>
      <c r="BB155" s="8" t="n">
        <v>0</v>
      </c>
      <c r="BC155" s="8" t="n">
        <v>0</v>
      </c>
      <c r="BD155" s="8" t="n">
        <v>17</v>
      </c>
      <c r="BE155" s="9">
        <f>BC155+BD155</f>
        <v/>
      </c>
      <c r="BF155" s="9">
        <f>BA155+BB155-BE155</f>
        <v/>
      </c>
      <c r="BG155" s="8" t="n">
        <v>0</v>
      </c>
      <c r="BH155" s="8" t="n">
        <v>0</v>
      </c>
      <c r="BI155" s="8" t="n">
        <v>0</v>
      </c>
      <c r="BJ155" s="8" t="n">
        <v>0</v>
      </c>
      <c r="BK155" s="9">
        <f>BI155+BJ155</f>
        <v/>
      </c>
      <c r="BL155" s="9">
        <f>BG155+BH155-BK155</f>
        <v/>
      </c>
      <c r="BM155" s="8" t="n">
        <v>0</v>
      </c>
      <c r="BN155" s="8" t="n">
        <v>0</v>
      </c>
      <c r="BO155" s="8" t="n">
        <v>0</v>
      </c>
      <c r="BP155" s="8" t="n">
        <v>0</v>
      </c>
      <c r="BQ155" s="9">
        <f>BO155+BP155</f>
        <v/>
      </c>
      <c r="BR155" s="9">
        <f>BM155+BN155-BQ155</f>
        <v/>
      </c>
      <c r="BS155" s="8" t="n">
        <v>0</v>
      </c>
      <c r="BT155" s="8" t="n">
        <v>0</v>
      </c>
      <c r="BU155" s="8" t="n">
        <v>0</v>
      </c>
      <c r="BV155" s="8" t="n">
        <v>0</v>
      </c>
      <c r="BW155" s="9">
        <f>BU155+BV155</f>
        <v/>
      </c>
      <c r="BX155" s="9">
        <f>BS155+BT155-BW155</f>
        <v/>
      </c>
      <c r="BY155" s="9">
        <f>BA155+BG155+BM155+BS155</f>
        <v/>
      </c>
      <c r="BZ155" s="9">
        <f>BB155+BH155+BN155+BT155</f>
        <v/>
      </c>
      <c r="CA155" s="9">
        <f>BE155+BK155+BQ155+BW155</f>
        <v/>
      </c>
      <c r="CB155" s="9">
        <f>BF155+BL155+BR155+BX155</f>
        <v/>
      </c>
      <c r="CC155" s="8" t="n">
        <v>17</v>
      </c>
      <c r="CD155" s="8" t="n">
        <v>778</v>
      </c>
      <c r="CE155" s="8" t="n">
        <v>35</v>
      </c>
      <c r="CF155" s="8" t="n">
        <v>70</v>
      </c>
      <c r="CG155" s="8" t="n">
        <v>16</v>
      </c>
      <c r="CH155" s="9">
        <f>CD155+CE155+CF155+CG155</f>
        <v/>
      </c>
      <c r="CI155" s="8" t="n">
        <v>2046</v>
      </c>
      <c r="CJ155" s="8" t="n">
        <v>8</v>
      </c>
      <c r="CK155" s="8" t="n">
        <v>11</v>
      </c>
      <c r="CL155" s="8" t="n">
        <v>13</v>
      </c>
      <c r="CM155" s="9">
        <f>CI155+CJ155+CK155+CL155</f>
        <v/>
      </c>
      <c r="CN155" s="8" t="n">
        <v>1201</v>
      </c>
      <c r="CO155" s="8" t="n">
        <v>88</v>
      </c>
      <c r="CP155" s="8" t="n">
        <v>118</v>
      </c>
      <c r="CQ155" s="8" t="n">
        <v>5</v>
      </c>
      <c r="CR155" s="9">
        <f>CN155+CO155+CP155+CQ155</f>
        <v/>
      </c>
      <c r="CS155" s="9">
        <f>CM155+CR155</f>
        <v/>
      </c>
      <c r="CT155" s="8" t="n">
        <v>4389</v>
      </c>
      <c r="CU155" s="8" t="n">
        <v>25000</v>
      </c>
      <c r="CV155" s="8" t="n">
        <v>20735</v>
      </c>
      <c r="CW155" s="10">
        <f>IF(CU155=0,"",CV155/CU155)</f>
        <v/>
      </c>
      <c r="CX155" s="8" t="n">
        <v>0</v>
      </c>
      <c r="CY155" s="8" t="n">
        <v>0</v>
      </c>
      <c r="CZ155" s="8" t="n">
        <v>0</v>
      </c>
      <c r="DA155" s="8" t="n">
        <v>0</v>
      </c>
      <c r="DB155" s="9">
        <f>CX155+CY155-CZ155-DA155</f>
        <v/>
      </c>
      <c r="DC155" s="8" t="n">
        <v>0</v>
      </c>
      <c r="DD155" s="8" t="n">
        <v>0</v>
      </c>
      <c r="DE155" s="8" t="n">
        <v>0</v>
      </c>
      <c r="DF155" s="8" t="n">
        <v>0</v>
      </c>
      <c r="DG155" s="9">
        <f>DC155+DD155-DE155-DF155</f>
        <v/>
      </c>
      <c r="DH155" s="8" t="n">
        <v>0</v>
      </c>
      <c r="DI155" s="8" t="n">
        <v>0</v>
      </c>
      <c r="DJ155" s="8" t="n">
        <v>0</v>
      </c>
      <c r="DK155" s="8" t="n">
        <v>0</v>
      </c>
      <c r="DL155" s="9">
        <f>DH155+DI155-DJ155-DK155</f>
        <v/>
      </c>
      <c r="DM155" s="8" t="n">
        <v>86</v>
      </c>
      <c r="DN155" s="8" t="n">
        <v>15</v>
      </c>
      <c r="DO155" s="8" t="n">
        <v>0</v>
      </c>
      <c r="DP155" s="8" t="n">
        <v>0</v>
      </c>
      <c r="DQ155" s="9">
        <f>DM155+DN155-DO155-DP155</f>
        <v/>
      </c>
      <c r="DR155" s="9">
        <f>CX155+DC155+DH155+DM155</f>
        <v/>
      </c>
      <c r="DS155" s="9">
        <f>CY155+DD155+DI155+DN155</f>
        <v/>
      </c>
      <c r="DT155" s="9">
        <f>CZ155+DE155+DJ155+DO155</f>
        <v/>
      </c>
      <c r="DU155" s="9">
        <f>DA155+DF155+DK155+DP155</f>
        <v/>
      </c>
      <c r="DV155" s="9">
        <f>DB155+DG155+DL155+DQ155</f>
        <v/>
      </c>
      <c r="DW155" s="8" t="n">
        <v>8</v>
      </c>
      <c r="DX155" s="8" t="n">
        <v>5</v>
      </c>
      <c r="DY155" s="8" t="n">
        <v>8</v>
      </c>
      <c r="DZ155" s="8" t="n">
        <v>8</v>
      </c>
      <c r="EA155" s="8" t="n">
        <v>2</v>
      </c>
      <c r="EB155" s="8" t="n">
        <v>1</v>
      </c>
      <c r="EC155" s="8" t="n">
        <v>1</v>
      </c>
      <c r="ED155" s="8" t="n">
        <v>0</v>
      </c>
      <c r="EE155" s="8" t="n">
        <v>0</v>
      </c>
      <c r="EF155" s="8" t="n">
        <v>0</v>
      </c>
      <c r="EG155" s="8" t="n">
        <v>0</v>
      </c>
      <c r="EH155" s="8" t="n">
        <v>0</v>
      </c>
      <c r="EI155" s="8" t="n">
        <v>0</v>
      </c>
      <c r="EJ155" s="8" t="n">
        <v>1</v>
      </c>
      <c r="EK155" s="8" t="n">
        <v>1</v>
      </c>
      <c r="EL155" s="8" t="n">
        <v>0</v>
      </c>
      <c r="EM155" s="8" t="n">
        <v>0</v>
      </c>
      <c r="EN155" s="8" t="n">
        <v>0</v>
      </c>
      <c r="EO155" s="8" t="n">
        <v>0</v>
      </c>
      <c r="EP155" s="8" t="n">
        <v>0</v>
      </c>
      <c r="EQ155" s="8" t="n">
        <v>0</v>
      </c>
      <c r="ER155" s="8" t="n">
        <v>0</v>
      </c>
      <c r="ES155" s="8" t="n">
        <v>0</v>
      </c>
      <c r="ET155" s="8" t="n">
        <v>0</v>
      </c>
      <c r="EU155" s="8" t="n">
        <v>0</v>
      </c>
      <c r="EV155" s="8" t="n">
        <v>0</v>
      </c>
      <c r="EW155" s="8" t="n">
        <v>0</v>
      </c>
      <c r="EX155" s="8" t="n">
        <v>0</v>
      </c>
      <c r="EY155" s="8" t="n">
        <v>0</v>
      </c>
      <c r="EZ155" s="8" t="n">
        <v>0</v>
      </c>
      <c r="FA155" s="8" t="n">
        <v>0</v>
      </c>
      <c r="FB155" s="8" t="n">
        <v>0</v>
      </c>
      <c r="FC155" s="8" t="n">
        <v>0</v>
      </c>
      <c r="FD155" s="8" t="n">
        <v>0</v>
      </c>
      <c r="FE155" s="8" t="n">
        <v>0</v>
      </c>
      <c r="FF155" s="8" t="n">
        <v>0</v>
      </c>
      <c r="FG155" s="9">
        <f>SUM(DW155,DX155,DY155,DZ155,EA155,EB155,EC155,ED155,EE155,EF155,EG155,EH155,EI155,EJ155,EK155,EL155,EM155,EN155,EO155,EP155,EQ155,ER155,ES155,ET155,EU155,EV155,EW155,EX155,EY155,EZ155,FA155,FB155,FC155,FD155,FE155,FF155)</f>
        <v/>
      </c>
      <c r="FH155" s="8" t="n">
        <v>25</v>
      </c>
      <c r="FI155" s="8" t="n">
        <v>0</v>
      </c>
      <c r="FJ155" s="8" t="n">
        <v>16</v>
      </c>
      <c r="FK155" s="8" t="n">
        <v>16</v>
      </c>
      <c r="FL155" s="8" t="n">
        <v>0</v>
      </c>
      <c r="FM155" s="8" t="n">
        <v>0</v>
      </c>
      <c r="FN155" s="8" t="n">
        <v>0</v>
      </c>
      <c r="FO155" s="8" t="n">
        <v>0</v>
      </c>
      <c r="FP155" s="8" t="n">
        <v>0</v>
      </c>
      <c r="FQ155" s="9">
        <f>FL155+FM155+FN155+FO155+FP155</f>
        <v/>
      </c>
      <c r="FR155" s="8" t="n">
        <v>17959608.6</v>
      </c>
      <c r="FS155" s="8" t="n">
        <v>118500</v>
      </c>
      <c r="FT155" s="8" t="n">
        <v>390500</v>
      </c>
      <c r="FU155" s="8" t="n">
        <v>85400</v>
      </c>
      <c r="FV155" s="9">
        <f>FR155+FS155+FT155+FU155</f>
        <v/>
      </c>
      <c r="FW155" s="8" t="n">
        <v>6974143.18</v>
      </c>
      <c r="FX155" s="8" t="n">
        <v>1500</v>
      </c>
      <c r="FY155" s="8" t="n">
        <v>4395289.23</v>
      </c>
      <c r="FZ155" s="8" t="n">
        <v>20473878.8</v>
      </c>
      <c r="GA155" s="9">
        <f>FW155+FX155+FY155+FZ155</f>
        <v/>
      </c>
      <c r="GB155" s="9">
        <f>FV155+GA155</f>
        <v/>
      </c>
      <c r="GC155" s="8" t="n">
        <v>14186069.68</v>
      </c>
      <c r="GD155" s="8" t="n">
        <v>251724.48</v>
      </c>
      <c r="GE155" s="8" t="n">
        <v>326414.38</v>
      </c>
      <c r="GF155" s="8" t="n">
        <v>559334.09</v>
      </c>
      <c r="GG155" s="9">
        <f>GC155+GD155+GE155+GF155</f>
        <v/>
      </c>
      <c r="GH155" s="8" t="n">
        <v>15323542.63</v>
      </c>
      <c r="GI155" s="8" t="n">
        <v>0</v>
      </c>
      <c r="GJ155" s="8" t="n">
        <v>0</v>
      </c>
      <c r="GK155" s="8" t="n">
        <v>0</v>
      </c>
      <c r="GL155" s="9">
        <f>GH155+GI155+GJ155+GK155</f>
        <v/>
      </c>
      <c r="GM155" s="9">
        <f>GG155+GL155</f>
        <v/>
      </c>
      <c r="GN155" s="8" t="n">
        <v>1148385.81</v>
      </c>
      <c r="GO155" s="8" t="n">
        <v>2486.64</v>
      </c>
      <c r="GP155" s="8" t="n">
        <v>27149.12</v>
      </c>
      <c r="GQ155" s="8" t="n">
        <v>51010.74</v>
      </c>
      <c r="GR155" s="9">
        <f>GN155+GO155+GP155+GQ155</f>
        <v/>
      </c>
      <c r="GS155" s="8" t="n">
        <v>1827078</v>
      </c>
      <c r="GT155" s="8" t="n">
        <v>11609</v>
      </c>
      <c r="GU155" s="8" t="n">
        <v>7144</v>
      </c>
      <c r="GV155" s="8" t="n">
        <v>11609</v>
      </c>
      <c r="GW155" s="9">
        <f>GS155+GT155+GU155+GV155</f>
        <v/>
      </c>
      <c r="GX155" s="9">
        <f>GM155+GR155+GW155</f>
        <v/>
      </c>
      <c r="GY155" s="8" t="n">
        <v>65495436.44</v>
      </c>
      <c r="GZ155" s="8" t="n">
        <v>684908.7</v>
      </c>
      <c r="HA155" s="9">
        <f>GY155+GZ155</f>
        <v/>
      </c>
      <c r="HB155" s="9">
        <f>IF(GX155=0,"",AU155/GX155)</f>
        <v/>
      </c>
      <c r="HC155" s="10">
        <f>IF((GX155+GY155)=0,"",GB155/(GX155+GY155))</f>
        <v/>
      </c>
      <c r="HD155" s="9">
        <f>IF(GX155=0,"",GB155/GX155)</f>
        <v/>
      </c>
      <c r="HE155" s="8" t="n">
        <v>0</v>
      </c>
      <c r="HF155" s="8" t="n">
        <v>1</v>
      </c>
      <c r="HG155" s="8" t="n">
        <v>65</v>
      </c>
      <c r="HH155" s="8" t="n">
        <v>0</v>
      </c>
      <c r="HI155" s="8" t="n">
        <v>0</v>
      </c>
      <c r="HJ155" s="9">
        <f>HF155+HI155</f>
        <v/>
      </c>
      <c r="HK155" s="10">
        <f>IF(HE155=0,"",HH155/HE155)</f>
        <v/>
      </c>
      <c r="HL155" s="8" t="n">
        <v>45</v>
      </c>
      <c r="HM155" s="8" t="n">
        <v>30</v>
      </c>
      <c r="HN155" s="11">
        <f>IF(HL155=0,"",HM155/HL155)</f>
        <v/>
      </c>
    </row>
    <row r="156">
      <c r="A156" s="12" t="inlineStr">
        <is>
          <t>Mulanje</t>
        </is>
      </c>
      <c r="B156" s="12" t="inlineStr">
        <is>
          <t>Mulanje</t>
        </is>
      </c>
      <c r="C156" s="13" t="inlineStr">
        <is>
          <t>FY2025/26</t>
        </is>
      </c>
      <c r="D156" s="13" t="n">
        <v>2026</v>
      </c>
      <c r="E156" s="13" t="n">
        <v>1</v>
      </c>
      <c r="F156" s="13" t="inlineStr">
        <is>
          <t>January</t>
        </is>
      </c>
      <c r="G156" s="13" t="inlineStr">
        <is>
          <t>Q4</t>
        </is>
      </c>
      <c r="H156" s="14" t="n">
        <v>45220</v>
      </c>
      <c r="I156" s="14" t="n">
        <v>17564</v>
      </c>
      <c r="J156" s="14" t="n">
        <v>843</v>
      </c>
      <c r="K156" s="14" t="n">
        <v>144</v>
      </c>
      <c r="L156" s="14" t="n">
        <v>128</v>
      </c>
      <c r="M156" s="15" t="n">
        <v>18679</v>
      </c>
      <c r="N156" s="14" t="n">
        <v>7029.199999999996</v>
      </c>
      <c r="O156" s="14" t="n">
        <v>24</v>
      </c>
      <c r="P156" s="14" t="n">
        <v>5455.4</v>
      </c>
      <c r="Q156" s="14" t="n">
        <v>917.8</v>
      </c>
      <c r="R156" s="15" t="n">
        <v>13426.39999999999</v>
      </c>
      <c r="S156" s="15" t="n">
        <v>32105.39999999999</v>
      </c>
      <c r="T156" s="14" t="n">
        <v>13114.60000000001</v>
      </c>
      <c r="U156" s="16" t="n">
        <v>0.2900176912870412</v>
      </c>
      <c r="V156" s="14" t="n">
        <v>90</v>
      </c>
      <c r="W156" s="17" t="n">
        <v>1.990269792127377</v>
      </c>
      <c r="X156" s="14" t="n">
        <v>0</v>
      </c>
      <c r="Y156" s="17" t="n">
        <v>0</v>
      </c>
      <c r="Z156" s="14" t="n">
        <v>0</v>
      </c>
      <c r="AA156" s="17" t="n">
        <v>0</v>
      </c>
      <c r="AB156" s="14" t="n">
        <v>0</v>
      </c>
      <c r="AC156" s="17" t="n">
        <v>0</v>
      </c>
      <c r="AD156" s="14" t="n">
        <v>0</v>
      </c>
      <c r="AE156" s="17" t="n">
        <v>0</v>
      </c>
      <c r="AF156" s="14" t="n">
        <v>0</v>
      </c>
      <c r="AG156" s="17" t="n">
        <v>0</v>
      </c>
      <c r="AH156" s="14" t="n">
        <v>460050.3</v>
      </c>
      <c r="AI156" s="15" t="n">
        <v>10.17360238832375</v>
      </c>
      <c r="AJ156" s="14" t="n">
        <v>65</v>
      </c>
      <c r="AK156" s="17" t="n">
        <v>0.001437417072091995</v>
      </c>
      <c r="AL156" s="14" t="n">
        <v>25445.3475</v>
      </c>
      <c r="AM156" s="15" t="n">
        <v>0.5627011831048209</v>
      </c>
      <c r="AN156" s="14" t="n">
        <v>1527</v>
      </c>
      <c r="AO156" s="14" t="n">
        <v>197.35</v>
      </c>
      <c r="AP156" s="14" t="n">
        <v>539554.9</v>
      </c>
      <c r="AQ156" s="14" t="n">
        <v>0</v>
      </c>
      <c r="AR156" s="14" t="n">
        <v>28648936.45</v>
      </c>
      <c r="AS156" s="14" t="n">
        <v>4163255.31</v>
      </c>
      <c r="AT156" s="14" t="n">
        <v>1626725</v>
      </c>
      <c r="AU156" s="15" t="n">
        <v>35463967.3075</v>
      </c>
      <c r="AV156" s="15" t="n">
        <v>784.2540315678903</v>
      </c>
      <c r="AW156" s="15" t="n">
        <v>1104.610666975026</v>
      </c>
      <c r="AX156" s="14" t="n">
        <v>10</v>
      </c>
      <c r="AY156" s="15" t="n">
        <v>0</v>
      </c>
      <c r="AZ156" s="14" t="n">
        <v>19</v>
      </c>
      <c r="BA156" s="14" t="n">
        <v>65</v>
      </c>
      <c r="BB156" s="14" t="n">
        <v>0</v>
      </c>
      <c r="BC156" s="14" t="n">
        <v>0</v>
      </c>
      <c r="BD156" s="14" t="n">
        <v>0</v>
      </c>
      <c r="BE156" s="15" t="n">
        <v>0</v>
      </c>
      <c r="BF156" s="15" t="n">
        <v>65</v>
      </c>
      <c r="BG156" s="14" t="n">
        <v>0</v>
      </c>
      <c r="BH156" s="14" t="n">
        <v>0</v>
      </c>
      <c r="BI156" s="14" t="n">
        <v>0</v>
      </c>
      <c r="BJ156" s="14" t="n">
        <v>0</v>
      </c>
      <c r="BK156" s="15" t="n">
        <v>0</v>
      </c>
      <c r="BL156" s="15" t="n">
        <v>0</v>
      </c>
      <c r="BM156" s="14" t="n">
        <v>0</v>
      </c>
      <c r="BN156" s="14" t="n">
        <v>0</v>
      </c>
      <c r="BO156" s="14" t="n">
        <v>0</v>
      </c>
      <c r="BP156" s="14" t="n">
        <v>0</v>
      </c>
      <c r="BQ156" s="15" t="n">
        <v>0</v>
      </c>
      <c r="BR156" s="15" t="n">
        <v>0</v>
      </c>
      <c r="BS156" s="14" t="n">
        <v>0</v>
      </c>
      <c r="BT156" s="14" t="n">
        <v>0</v>
      </c>
      <c r="BU156" s="14" t="n">
        <v>0</v>
      </c>
      <c r="BV156" s="14" t="n">
        <v>0</v>
      </c>
      <c r="BW156" s="15" t="n">
        <v>0</v>
      </c>
      <c r="BX156" s="15" t="n">
        <v>0</v>
      </c>
      <c r="BY156" s="15" t="n">
        <v>65</v>
      </c>
      <c r="BZ156" s="15" t="n">
        <v>0</v>
      </c>
      <c r="CA156" s="15" t="n">
        <v>0</v>
      </c>
      <c r="CB156" s="15" t="n">
        <v>65</v>
      </c>
      <c r="CC156" s="14" t="n">
        <v>0</v>
      </c>
      <c r="CD156" s="14" t="n">
        <v>795</v>
      </c>
      <c r="CE156" s="14" t="n">
        <v>35</v>
      </c>
      <c r="CF156" s="14" t="n">
        <v>70</v>
      </c>
      <c r="CG156" s="14" t="n">
        <v>16</v>
      </c>
      <c r="CH156" s="15" t="n">
        <v>916</v>
      </c>
      <c r="CI156" s="14" t="n">
        <v>2026</v>
      </c>
      <c r="CJ156" s="14" t="n">
        <v>8</v>
      </c>
      <c r="CK156" s="14" t="n">
        <v>13</v>
      </c>
      <c r="CL156" s="14" t="n">
        <v>14</v>
      </c>
      <c r="CM156" s="15" t="n">
        <v>2061</v>
      </c>
      <c r="CN156" s="14" t="n">
        <v>1201</v>
      </c>
      <c r="CO156" s="14" t="n">
        <v>88</v>
      </c>
      <c r="CP156" s="14" t="n">
        <v>118</v>
      </c>
      <c r="CQ156" s="14" t="n">
        <v>5</v>
      </c>
      <c r="CR156" s="15" t="n">
        <v>1412</v>
      </c>
      <c r="CS156" s="15" t="n">
        <v>3473</v>
      </c>
      <c r="CT156" s="14" t="n">
        <v>4389</v>
      </c>
      <c r="CU156" s="14" t="n">
        <v>25000</v>
      </c>
      <c r="CV156" s="14" t="n">
        <v>20735</v>
      </c>
      <c r="CW156" s="16" t="n">
        <v>0.8294</v>
      </c>
      <c r="CX156" s="14" t="n">
        <v>0</v>
      </c>
      <c r="CY156" s="14" t="n">
        <v>0</v>
      </c>
      <c r="CZ156" s="14" t="n">
        <v>0</v>
      </c>
      <c r="DA156" s="14" t="n">
        <v>0</v>
      </c>
      <c r="DB156" s="15" t="n">
        <v>0</v>
      </c>
      <c r="DC156" s="14" t="n">
        <v>0</v>
      </c>
      <c r="DD156" s="14" t="n">
        <v>0</v>
      </c>
      <c r="DE156" s="14" t="n">
        <v>0</v>
      </c>
      <c r="DF156" s="14" t="n">
        <v>0</v>
      </c>
      <c r="DG156" s="15" t="n">
        <v>0</v>
      </c>
      <c r="DH156" s="14" t="n">
        <v>0</v>
      </c>
      <c r="DI156" s="14" t="n">
        <v>0</v>
      </c>
      <c r="DJ156" s="14" t="n">
        <v>0</v>
      </c>
      <c r="DK156" s="14" t="n">
        <v>0</v>
      </c>
      <c r="DL156" s="15" t="n">
        <v>0</v>
      </c>
      <c r="DM156" s="14" t="n">
        <v>101</v>
      </c>
      <c r="DN156" s="14" t="n">
        <v>52</v>
      </c>
      <c r="DO156" s="14" t="n">
        <v>0</v>
      </c>
      <c r="DP156" s="14" t="n">
        <v>0</v>
      </c>
      <c r="DQ156" s="15" t="n">
        <v>0</v>
      </c>
      <c r="DR156" s="15" t="n">
        <v>153</v>
      </c>
      <c r="DS156" s="15" t="n">
        <v>101</v>
      </c>
      <c r="DT156" s="15" t="n">
        <v>52</v>
      </c>
      <c r="DU156" s="15" t="n">
        <v>0</v>
      </c>
      <c r="DV156" s="15" t="n">
        <v>0</v>
      </c>
      <c r="DW156" s="14" t="n">
        <v>16</v>
      </c>
      <c r="DX156" s="14" t="n">
        <v>3</v>
      </c>
      <c r="DY156" s="14" t="n">
        <v>4</v>
      </c>
      <c r="DZ156" s="14" t="n">
        <v>1</v>
      </c>
      <c r="EA156" s="14" t="n">
        <v>1</v>
      </c>
      <c r="EB156" s="14" t="n">
        <v>1</v>
      </c>
      <c r="EC156" s="14" t="n">
        <v>1</v>
      </c>
      <c r="ED156" s="14" t="n">
        <v>2</v>
      </c>
      <c r="EE156" s="14" t="n">
        <v>4</v>
      </c>
      <c r="EF156" s="14" t="n">
        <v>2</v>
      </c>
      <c r="EG156" s="14" t="n">
        <v>3</v>
      </c>
      <c r="EH156" s="14" t="n">
        <v>0</v>
      </c>
      <c r="EI156" s="14" t="n">
        <v>0</v>
      </c>
      <c r="EJ156" s="14" t="n">
        <v>0</v>
      </c>
      <c r="EK156" s="14" t="n">
        <v>0</v>
      </c>
      <c r="EL156" s="14" t="n">
        <v>0</v>
      </c>
      <c r="EM156" s="14" t="n">
        <v>0</v>
      </c>
      <c r="EN156" s="14" t="n">
        <v>0</v>
      </c>
      <c r="EO156" s="14" t="n">
        <v>0</v>
      </c>
      <c r="EP156" s="14" t="n">
        <v>0</v>
      </c>
      <c r="EQ156" s="14" t="n">
        <v>0</v>
      </c>
      <c r="ER156" s="14" t="n">
        <v>0</v>
      </c>
      <c r="ES156" s="14" t="n">
        <v>0</v>
      </c>
      <c r="ET156" s="14" t="n">
        <v>0</v>
      </c>
      <c r="EU156" s="14" t="n">
        <v>0</v>
      </c>
      <c r="EV156" s="14" t="n">
        <v>0</v>
      </c>
      <c r="EW156" s="14" t="n">
        <v>0</v>
      </c>
      <c r="EX156" s="14" t="n">
        <v>0</v>
      </c>
      <c r="EY156" s="14" t="n">
        <v>0</v>
      </c>
      <c r="EZ156" s="14" t="n">
        <v>0</v>
      </c>
      <c r="FA156" s="14" t="n">
        <v>0</v>
      </c>
      <c r="FB156" s="14" t="n">
        <v>0</v>
      </c>
      <c r="FC156" s="14" t="n">
        <v>0</v>
      </c>
      <c r="FD156" s="14" t="n">
        <v>0</v>
      </c>
      <c r="FE156" s="14" t="n">
        <v>0</v>
      </c>
      <c r="FF156" s="14" t="n">
        <v>0</v>
      </c>
      <c r="FG156" s="15" t="n">
        <v>0</v>
      </c>
      <c r="FH156" s="14" t="n">
        <v>37</v>
      </c>
      <c r="FI156" s="14" t="n">
        <v>0</v>
      </c>
      <c r="FJ156" s="14" t="n">
        <v>18</v>
      </c>
      <c r="FK156" s="14" t="n">
        <v>18</v>
      </c>
      <c r="FL156" s="14" t="n">
        <v>0</v>
      </c>
      <c r="FM156" s="14" t="n">
        <v>0</v>
      </c>
      <c r="FN156" s="14" t="n">
        <v>0</v>
      </c>
      <c r="FO156" s="14" t="n">
        <v>0</v>
      </c>
      <c r="FP156" s="14" t="n">
        <v>0</v>
      </c>
      <c r="FQ156" s="15" t="n">
        <v>0</v>
      </c>
      <c r="FR156" s="14" t="n">
        <v>15396075.31</v>
      </c>
      <c r="FS156" s="14" t="n">
        <v>171500</v>
      </c>
      <c r="FT156" s="14" t="n">
        <v>845800</v>
      </c>
      <c r="FU156" s="14" t="n">
        <v>16000</v>
      </c>
      <c r="FV156" s="15" t="n">
        <v>16000</v>
      </c>
      <c r="FW156" s="14" t="n">
        <v>9140190.299999999</v>
      </c>
      <c r="FX156" s="14" t="n">
        <v>5000</v>
      </c>
      <c r="FY156" s="14" t="n">
        <v>5149189.23</v>
      </c>
      <c r="FZ156" s="14" t="n">
        <v>9332820.4</v>
      </c>
      <c r="GA156" s="15" t="n">
        <v>9332820.4</v>
      </c>
      <c r="GB156" s="15" t="n">
        <v>23627199.93</v>
      </c>
      <c r="GC156" s="14" t="n">
        <v>15655685.17</v>
      </c>
      <c r="GD156" s="14" t="n">
        <v>161249.04</v>
      </c>
      <c r="GE156" s="14" t="n">
        <v>427250.2</v>
      </c>
      <c r="GF156" s="14" t="n">
        <v>417622.21</v>
      </c>
      <c r="GG156" s="15" t="n">
        <v>417622.21</v>
      </c>
      <c r="GH156" s="14" t="n">
        <v>16661806.62</v>
      </c>
      <c r="GI156" s="14" t="n">
        <v>0</v>
      </c>
      <c r="GJ156" s="14" t="n">
        <v>0</v>
      </c>
      <c r="GK156" s="14" t="n">
        <v>0</v>
      </c>
      <c r="GL156" s="15" t="n">
        <v>0</v>
      </c>
      <c r="GM156" s="15" t="n">
        <v>23627199.93</v>
      </c>
      <c r="GN156" s="14" t="n">
        <v>1136362.91</v>
      </c>
      <c r="GO156" s="14" t="n">
        <v>2677.92</v>
      </c>
      <c r="GP156" s="14" t="n">
        <v>27149.12</v>
      </c>
      <c r="GQ156" s="14" t="n">
        <v>60285.42</v>
      </c>
      <c r="GR156" s="15" t="n">
        <v>60285.42</v>
      </c>
      <c r="GS156" s="14" t="n">
        <v>1809218</v>
      </c>
      <c r="GT156" s="14" t="n">
        <v>12502</v>
      </c>
      <c r="GU156" s="14" t="n">
        <v>7144</v>
      </c>
      <c r="GV156" s="14" t="n">
        <v>11609</v>
      </c>
      <c r="GW156" s="15" t="n">
        <v>11609</v>
      </c>
      <c r="GX156" s="15" t="n">
        <v>1840473</v>
      </c>
      <c r="GY156" s="14" t="n">
        <v>69127516.12</v>
      </c>
      <c r="GZ156" s="14" t="n">
        <v>684908.7</v>
      </c>
      <c r="HA156" s="15" t="n">
        <v>684908.7</v>
      </c>
      <c r="HB156" s="15" t="n">
        <v>69812424.82000001</v>
      </c>
      <c r="HC156" s="16" t="n">
        <v>43355954.91999999</v>
      </c>
      <c r="HD156" s="15" t="n">
        <v>69127516.12</v>
      </c>
      <c r="HE156" s="14" t="n">
        <v>0</v>
      </c>
      <c r="HF156" s="14" t="n">
        <v>1</v>
      </c>
      <c r="HG156" s="14" t="n">
        <v>65</v>
      </c>
      <c r="HH156" s="14" t="n">
        <v>0</v>
      </c>
      <c r="HI156" s="14" t="n">
        <v>0</v>
      </c>
      <c r="HJ156" s="15" t="n">
        <v>0</v>
      </c>
      <c r="HK156" s="16" t="n"/>
      <c r="HL156" s="14" t="n">
        <v>60</v>
      </c>
      <c r="HM156" s="14" t="n">
        <v>30</v>
      </c>
      <c r="HN156" s="17" t="n">
        <v>30</v>
      </c>
    </row>
    <row r="157">
      <c r="A157" s="6" t="inlineStr">
        <is>
          <t>Mulanje</t>
        </is>
      </c>
      <c r="B157" s="6" t="inlineStr">
        <is>
          <t>Mulanje</t>
        </is>
      </c>
      <c r="C157" s="7" t="inlineStr">
        <is>
          <t>FY2025/26</t>
        </is>
      </c>
      <c r="D157" s="7" t="n">
        <v>2026</v>
      </c>
      <c r="E157" s="7" t="n">
        <v>2</v>
      </c>
      <c r="F157" s="7" t="inlineStr">
        <is>
          <t>February</t>
        </is>
      </c>
      <c r="G157" s="7" t="inlineStr">
        <is>
          <t>Q4</t>
        </is>
      </c>
      <c r="H157" s="8" t="n">
        <v>40010</v>
      </c>
      <c r="I157" s="8" t="n">
        <v>17272</v>
      </c>
      <c r="J157" s="8" t="n">
        <v>813</v>
      </c>
      <c r="K157" s="8" t="n">
        <v>147</v>
      </c>
      <c r="L157" s="8" t="n">
        <v>162</v>
      </c>
      <c r="M157" s="9">
        <f>SUM(I157,J157,K157,L157)</f>
        <v/>
      </c>
      <c r="N157" s="8" t="n">
        <v>6057.800000000004</v>
      </c>
      <c r="O157" s="8" t="n">
        <v>1</v>
      </c>
      <c r="P157" s="8" t="n">
        <v>2520.2</v>
      </c>
      <c r="Q157" s="8" t="n">
        <v>857.2</v>
      </c>
      <c r="R157" s="9">
        <f>SUM(N157,O157,P157,Q157)</f>
        <v/>
      </c>
      <c r="S157" s="9">
        <f>M157+R157</f>
        <v/>
      </c>
      <c r="T157" s="8" t="n">
        <v>12179.8</v>
      </c>
      <c r="U157" s="10">
        <f>IF(H157=0,"",T157/H157)</f>
        <v/>
      </c>
      <c r="V157" s="8" t="n">
        <v>87</v>
      </c>
      <c r="W157" s="11">
        <f>IF(H157=0,"",V157/H157)</f>
        <v/>
      </c>
      <c r="X157" s="8" t="n">
        <v>0</v>
      </c>
      <c r="Y157" s="11">
        <f>IF(H157=0,"",X157/H157)</f>
        <v/>
      </c>
      <c r="Z157" s="8" t="n">
        <v>0</v>
      </c>
      <c r="AA157" s="11">
        <f>IF(H157=0,"",Z157/H157)</f>
        <v/>
      </c>
      <c r="AB157" s="8" t="n">
        <v>0</v>
      </c>
      <c r="AC157" s="11">
        <f>IF(H157=0,"",AB157/H157)</f>
        <v/>
      </c>
      <c r="AD157" s="8" t="n">
        <v>0</v>
      </c>
      <c r="AE157" s="11">
        <f>IF(H157=0,"",AD157/H157)</f>
        <v/>
      </c>
      <c r="AF157" s="8" t="n">
        <v>0</v>
      </c>
      <c r="AG157" s="11">
        <f>IF(H157=0,"",AF157/H157)</f>
        <v/>
      </c>
      <c r="AH157" s="8" t="n">
        <v>444715.29</v>
      </c>
      <c r="AI157" s="9">
        <f>IF(H157=0,"",AH157/H157)</f>
        <v/>
      </c>
      <c r="AJ157" s="8" t="n">
        <v>60</v>
      </c>
      <c r="AK157" s="11">
        <f>IF(H157=0,"",AJ157/H157)</f>
        <v/>
      </c>
      <c r="AL157" s="8" t="n">
        <v>24751.59</v>
      </c>
      <c r="AM157" s="9">
        <f>IF(H157=0,"",AL157/H157)</f>
        <v/>
      </c>
      <c r="AN157" s="8" t="n">
        <v>1454</v>
      </c>
      <c r="AO157" s="8" t="n">
        <v>121</v>
      </c>
      <c r="AP157" s="8" t="n">
        <v>598345</v>
      </c>
      <c r="AQ157" s="8" t="n">
        <v>0</v>
      </c>
      <c r="AR157" s="8" t="n">
        <v>15400474.22</v>
      </c>
      <c r="AS157" s="8" t="n">
        <v>4251697.39</v>
      </c>
      <c r="AT157" s="8" t="n">
        <v>1635415.33</v>
      </c>
      <c r="AU157" s="9">
        <f>AH157+AL157+AP157+AQ157+AR157+AS157+AT157</f>
        <v/>
      </c>
      <c r="AV157" s="9">
        <f>IF(H157=0,"",AU157/H157)</f>
        <v/>
      </c>
      <c r="AW157" s="9">
        <f>IF(S157=0,"",AU157/S157)</f>
        <v/>
      </c>
      <c r="AX157" s="8" t="n">
        <v>10</v>
      </c>
      <c r="AY157" s="9">
        <f>IF(H157=0,"",AX157/(H157/1000/12))</f>
        <v/>
      </c>
      <c r="AZ157" s="8" t="n">
        <v>19</v>
      </c>
      <c r="BA157" s="8" t="n">
        <v>65</v>
      </c>
      <c r="BB157" s="8" t="n">
        <v>20</v>
      </c>
      <c r="BC157" s="8" t="n">
        <v>0</v>
      </c>
      <c r="BD157" s="8" t="n">
        <v>51</v>
      </c>
      <c r="BE157" s="9">
        <f>BC157+BD157</f>
        <v/>
      </c>
      <c r="BF157" s="9">
        <f>BA157+BB157-BE157</f>
        <v/>
      </c>
      <c r="BG157" s="8" t="n">
        <v>0</v>
      </c>
      <c r="BH157" s="8" t="n">
        <v>0</v>
      </c>
      <c r="BI157" s="8" t="n">
        <v>0</v>
      </c>
      <c r="BJ157" s="8" t="n">
        <v>0</v>
      </c>
      <c r="BK157" s="9">
        <f>BI157+BJ157</f>
        <v/>
      </c>
      <c r="BL157" s="9">
        <f>BG157+BH157-BK157</f>
        <v/>
      </c>
      <c r="BM157" s="8" t="n">
        <v>0</v>
      </c>
      <c r="BN157" s="8" t="n">
        <v>0</v>
      </c>
      <c r="BO157" s="8" t="n">
        <v>0</v>
      </c>
      <c r="BP157" s="8" t="n">
        <v>0</v>
      </c>
      <c r="BQ157" s="9">
        <f>BO157+BP157</f>
        <v/>
      </c>
      <c r="BR157" s="9">
        <f>BM157+BN157-BQ157</f>
        <v/>
      </c>
      <c r="BS157" s="8" t="n">
        <v>0</v>
      </c>
      <c r="BT157" s="8" t="n">
        <v>0</v>
      </c>
      <c r="BU157" s="8" t="n">
        <v>0</v>
      </c>
      <c r="BV157" s="8" t="n">
        <v>0</v>
      </c>
      <c r="BW157" s="9">
        <f>BU157+BV157</f>
        <v/>
      </c>
      <c r="BX157" s="9">
        <f>BS157+BT157-BW157</f>
        <v/>
      </c>
      <c r="BY157" s="9">
        <f>BA157+BG157+BM157+BS157</f>
        <v/>
      </c>
      <c r="BZ157" s="9">
        <f>BB157+BH157+BN157+BT157</f>
        <v/>
      </c>
      <c r="CA157" s="9">
        <f>BE157+BK157+BQ157+BW157</f>
        <v/>
      </c>
      <c r="CB157" s="9">
        <f>BF157+BL157+BR157+BX157</f>
        <v/>
      </c>
      <c r="CC157" s="8" t="n">
        <v>45</v>
      </c>
      <c r="CD157" s="8" t="n">
        <v>797</v>
      </c>
      <c r="CE157" s="8" t="n">
        <v>35</v>
      </c>
      <c r="CF157" s="8" t="n">
        <v>70</v>
      </c>
      <c r="CG157" s="8" t="n">
        <v>16</v>
      </c>
      <c r="CH157" s="9">
        <f>CD157+CE157+CF157+CG157</f>
        <v/>
      </c>
      <c r="CI157" s="8" t="n">
        <v>1992</v>
      </c>
      <c r="CJ157" s="8" t="n">
        <v>7</v>
      </c>
      <c r="CK157" s="8" t="n">
        <v>10</v>
      </c>
      <c r="CL157" s="8" t="n">
        <v>13</v>
      </c>
      <c r="CM157" s="9">
        <f>CI157+CJ157+CK157+CL157</f>
        <v/>
      </c>
      <c r="CN157" s="8" t="n">
        <v>1306</v>
      </c>
      <c r="CO157" s="8" t="n">
        <v>84</v>
      </c>
      <c r="CP157" s="8" t="n">
        <v>110</v>
      </c>
      <c r="CQ157" s="8" t="n">
        <v>4</v>
      </c>
      <c r="CR157" s="9">
        <f>CN157+CO157+CP157+CQ157</f>
        <v/>
      </c>
      <c r="CS157" s="9">
        <f>CM157+CR157</f>
        <v/>
      </c>
      <c r="CT157" s="8" t="n">
        <v>4444</v>
      </c>
      <c r="CU157" s="8" t="n">
        <v>25000</v>
      </c>
      <c r="CV157" s="8" t="n">
        <v>20800</v>
      </c>
      <c r="CW157" s="10">
        <f>IF(CU157=0,"",CV157/CU157)</f>
        <v/>
      </c>
      <c r="CX157" s="8" t="n"/>
      <c r="CY157" s="8" t="n"/>
      <c r="CZ157" s="8" t="n"/>
      <c r="DA157" s="8" t="n"/>
      <c r="DB157" s="9">
        <f>CX157+CY157-CZ157-DA157</f>
        <v/>
      </c>
      <c r="DC157" s="8" t="n">
        <v>0</v>
      </c>
      <c r="DD157" s="8" t="n">
        <v>0</v>
      </c>
      <c r="DE157" s="8" t="n">
        <v>0</v>
      </c>
      <c r="DF157" s="8" t="n">
        <v>0</v>
      </c>
      <c r="DG157" s="9">
        <f>DC157+DD157-DE157-DF157</f>
        <v/>
      </c>
      <c r="DH157" s="8" t="n">
        <v>0</v>
      </c>
      <c r="DI157" s="8" t="n">
        <v>0</v>
      </c>
      <c r="DJ157" s="8" t="n">
        <v>0</v>
      </c>
      <c r="DK157" s="8" t="n">
        <v>0</v>
      </c>
      <c r="DL157" s="9">
        <f>DH157+DI157-DJ157-DK157</f>
        <v/>
      </c>
      <c r="DM157" s="8" t="n">
        <v>153</v>
      </c>
      <c r="DN157" s="8" t="n">
        <v>0</v>
      </c>
      <c r="DO157" s="8" t="n">
        <v>37</v>
      </c>
      <c r="DP157" s="8" t="n">
        <v>0</v>
      </c>
      <c r="DQ157" s="9">
        <f>DM157+DN157-DO157-DP157</f>
        <v/>
      </c>
      <c r="DR157" s="9">
        <f>CX157+DC157+DH157+DM157</f>
        <v/>
      </c>
      <c r="DS157" s="9">
        <f>CY157+DD157+DI157+DN157</f>
        <v/>
      </c>
      <c r="DT157" s="9">
        <f>CZ157+DE157+DJ157+DO157</f>
        <v/>
      </c>
      <c r="DU157" s="9">
        <f>DA157+DF157+DK157+DP157</f>
        <v/>
      </c>
      <c r="DV157" s="9">
        <f>DB157+DG157+DL157+DQ157</f>
        <v/>
      </c>
      <c r="DW157" s="8" t="n">
        <v>19</v>
      </c>
      <c r="DX157" s="8" t="n">
        <v>5</v>
      </c>
      <c r="DY157" s="8" t="n">
        <v>5</v>
      </c>
      <c r="DZ157" s="8" t="n">
        <v>0</v>
      </c>
      <c r="EA157" s="8" t="n">
        <v>0</v>
      </c>
      <c r="EB157" s="8" t="n">
        <v>0</v>
      </c>
      <c r="EC157" s="8" t="n">
        <v>0</v>
      </c>
      <c r="ED157" s="8" t="n">
        <v>0</v>
      </c>
      <c r="EE157" s="8" t="n">
        <v>2</v>
      </c>
      <c r="EF157" s="8" t="n">
        <v>1</v>
      </c>
      <c r="EG157" s="8" t="n">
        <v>1</v>
      </c>
      <c r="EH157" s="8" t="n">
        <v>0</v>
      </c>
      <c r="EI157" s="8" t="n">
        <v>0</v>
      </c>
      <c r="EJ157" s="8" t="n">
        <v>0</v>
      </c>
      <c r="EK157" s="8" t="n">
        <v>0</v>
      </c>
      <c r="EL157" s="8" t="n">
        <v>0</v>
      </c>
      <c r="EM157" s="8" t="n">
        <v>0</v>
      </c>
      <c r="EN157" s="8" t="n">
        <v>0</v>
      </c>
      <c r="EO157" s="8" t="n">
        <v>0</v>
      </c>
      <c r="EP157" s="8" t="n">
        <v>0</v>
      </c>
      <c r="EQ157" s="8" t="n">
        <v>0</v>
      </c>
      <c r="ER157" s="8" t="n">
        <v>0</v>
      </c>
      <c r="ES157" s="8" t="n">
        <v>0</v>
      </c>
      <c r="ET157" s="8" t="n">
        <v>0</v>
      </c>
      <c r="EU157" s="8" t="n">
        <v>0</v>
      </c>
      <c r="EV157" s="8" t="n">
        <v>0</v>
      </c>
      <c r="EW157" s="8" t="n">
        <v>0</v>
      </c>
      <c r="EX157" s="8" t="n">
        <v>0</v>
      </c>
      <c r="EY157" s="8" t="n">
        <v>0</v>
      </c>
      <c r="EZ157" s="8" t="n">
        <v>0</v>
      </c>
      <c r="FA157" s="8" t="n">
        <v>0</v>
      </c>
      <c r="FB157" s="8" t="n">
        <v>0</v>
      </c>
      <c r="FC157" s="8" t="n">
        <v>0</v>
      </c>
      <c r="FD157" s="8" t="n">
        <v>0</v>
      </c>
      <c r="FE157" s="8" t="n">
        <v>0</v>
      </c>
      <c r="FF157" s="8" t="n">
        <v>0</v>
      </c>
      <c r="FG157" s="9">
        <f>SUM(DW157,DX157,DY157,DZ157,EA157,EB157,EC157,ED157,EE157,EF157,EG157,EH157,EI157,EJ157,EK157,EL157,EM157,EN157,EO157,EP157,EQ157,ER157,ES157,ET157,EU157,EV157,EW157,EX157,EY157,EZ157,FA157,FB157,FC157,FD157,FE157,FF157)</f>
        <v/>
      </c>
      <c r="FH157" s="8" t="n">
        <v>0</v>
      </c>
      <c r="FI157" s="8" t="n">
        <v>0</v>
      </c>
      <c r="FJ157" s="8" t="n">
        <v>18</v>
      </c>
      <c r="FK157" s="8" t="n">
        <v>24</v>
      </c>
      <c r="FL157" s="8" t="n">
        <v>0</v>
      </c>
      <c r="FM157" s="8" t="n">
        <v>0</v>
      </c>
      <c r="FN157" s="8" t="n">
        <v>0</v>
      </c>
      <c r="FO157" s="8" t="n">
        <v>0</v>
      </c>
      <c r="FP157" s="8" t="n">
        <v>0</v>
      </c>
      <c r="FQ157" s="9">
        <f>FL157+FM157+FN157+FO157+FP157</f>
        <v/>
      </c>
      <c r="FR157" s="8" t="n">
        <v>17305830.24</v>
      </c>
      <c r="FS157" s="8" t="n">
        <v>188000</v>
      </c>
      <c r="FT157" s="8" t="n">
        <v>379300</v>
      </c>
      <c r="FU157" s="8" t="n">
        <v>232150</v>
      </c>
      <c r="FV157" s="9">
        <f>FR157+FS157+FT157+FU157</f>
        <v/>
      </c>
      <c r="FW157" s="8" t="n">
        <v>8242151.76999999</v>
      </c>
      <c r="FX157" s="8" t="n">
        <v>106.22</v>
      </c>
      <c r="FY157" s="8" t="n">
        <v>4210140.23</v>
      </c>
      <c r="FZ157" s="8" t="n">
        <v>7671064.8</v>
      </c>
      <c r="GA157" s="9">
        <f>FW157+FX157+FY157+FZ157</f>
        <v/>
      </c>
      <c r="GB157" s="9">
        <f>FV157+GA157</f>
        <v/>
      </c>
      <c r="GC157" s="8" t="n">
        <v>15434239.86</v>
      </c>
      <c r="GD157" s="8" t="n">
        <v>155510.64</v>
      </c>
      <c r="GE157" s="8" t="n">
        <v>450666.62</v>
      </c>
      <c r="GF157" s="8" t="n">
        <v>586391.74</v>
      </c>
      <c r="GG157" s="9">
        <f>GC157+GD157+GE157+GF157</f>
        <v/>
      </c>
      <c r="GH157" s="8" t="n">
        <v>0</v>
      </c>
      <c r="GI157" s="8" t="n">
        <v>0</v>
      </c>
      <c r="GJ157" s="8" t="n">
        <v>0</v>
      </c>
      <c r="GK157" s="8" t="n">
        <v>0</v>
      </c>
      <c r="GL157" s="9">
        <f>GH157+GI157+GJ157+GK157</f>
        <v/>
      </c>
      <c r="GM157" s="9">
        <f>GG157+GL157</f>
        <v/>
      </c>
      <c r="GN157" s="8" t="n">
        <v>1114134.69</v>
      </c>
      <c r="GO157" s="8" t="n">
        <v>2486.64</v>
      </c>
      <c r="GP157" s="8" t="n">
        <v>23755.48</v>
      </c>
      <c r="GQ157" s="8" t="n">
        <v>46373.4</v>
      </c>
      <c r="GR157" s="9">
        <f>GN157+GO157+GP157+GQ157</f>
        <v/>
      </c>
      <c r="GS157" s="8" t="n">
        <v>1778856</v>
      </c>
      <c r="GT157" s="8" t="n">
        <v>11609</v>
      </c>
      <c r="GU157" s="8" t="n">
        <v>6251</v>
      </c>
      <c r="GV157" s="8" t="n">
        <v>8930</v>
      </c>
      <c r="GW157" s="9">
        <f>GS157+GT157+GU157+GV157</f>
        <v/>
      </c>
      <c r="GX157" s="9">
        <f>GM157+GR157+GW157</f>
        <v/>
      </c>
      <c r="GY157" s="8" t="n">
        <v>70437210.95</v>
      </c>
      <c r="GZ157" s="8" t="n">
        <v>684908.7</v>
      </c>
      <c r="HA157" s="9">
        <f>GY157+GZ157</f>
        <v/>
      </c>
      <c r="HB157" s="9">
        <f>IF(GX157=0,"",AU157/GX157)</f>
        <v/>
      </c>
      <c r="HC157" s="10">
        <f>IF((GX157+GY157)=0,"",GB157/(GX157+GY157))</f>
        <v/>
      </c>
      <c r="HD157" s="9">
        <f>IF(GX157=0,"",GB157/GX157)</f>
        <v/>
      </c>
      <c r="HE157" s="8" t="n">
        <v>20</v>
      </c>
      <c r="HF157" s="8" t="n">
        <v>1</v>
      </c>
      <c r="HG157" s="8" t="n">
        <v>34</v>
      </c>
      <c r="HH157" s="8" t="n">
        <v>20</v>
      </c>
      <c r="HI157" s="8" t="n">
        <v>30</v>
      </c>
      <c r="HJ157" s="9">
        <f>HF157+HI157</f>
        <v/>
      </c>
      <c r="HK157" s="10">
        <f>IF(HE157=0,"",HH157/HE157)</f>
        <v/>
      </c>
      <c r="HL157" s="8" t="n">
        <v>45</v>
      </c>
      <c r="HM157" s="8" t="n">
        <v>30</v>
      </c>
      <c r="HN157" s="11">
        <f>IF(HL157=0,"",HM157/HL157)</f>
        <v/>
      </c>
    </row>
    <row r="158">
      <c r="A158" s="12" t="inlineStr">
        <is>
          <t>Mulanje</t>
        </is>
      </c>
      <c r="B158" s="12" t="inlineStr">
        <is>
          <t>Mulanje</t>
        </is>
      </c>
      <c r="C158" s="13" t="inlineStr">
        <is>
          <t>FY2025/26</t>
        </is>
      </c>
      <c r="D158" s="13" t="n">
        <v>2026</v>
      </c>
      <c r="E158" s="13" t="n">
        <v>3</v>
      </c>
      <c r="F158" s="13" t="inlineStr">
        <is>
          <t>March</t>
        </is>
      </c>
      <c r="G158" s="13" t="inlineStr">
        <is>
          <t>Q4</t>
        </is>
      </c>
      <c r="H158" s="14" t="n">
        <v>40518</v>
      </c>
      <c r="I158" s="14" t="n">
        <v>14763</v>
      </c>
      <c r="J158" s="14" t="n">
        <v>671</v>
      </c>
      <c r="K158" s="14" t="n">
        <v>76</v>
      </c>
      <c r="L158" s="14" t="n">
        <v>115</v>
      </c>
      <c r="M158" s="15">
        <f>SUM(I158,J158,K158,L158)</f>
        <v/>
      </c>
      <c r="N158" s="14" t="n">
        <v>6918.399999999996</v>
      </c>
      <c r="O158" s="14" t="n">
        <v>0</v>
      </c>
      <c r="P158" s="14" t="n">
        <v>5570</v>
      </c>
      <c r="Q158" s="14" t="n">
        <v>1000</v>
      </c>
      <c r="R158" s="15">
        <f>SUM(N158,O158,P158,Q158)</f>
        <v/>
      </c>
      <c r="S158" s="15">
        <f>M158+R158</f>
        <v/>
      </c>
      <c r="T158" s="14" t="n">
        <v>11404.60000000001</v>
      </c>
      <c r="U158" s="16">
        <f>IF(H158=0,"",T158/H158)</f>
        <v/>
      </c>
      <c r="V158" s="14" t="n">
        <v>88</v>
      </c>
      <c r="W158" s="17">
        <f>IF(H158=0,"",V158/H158)</f>
        <v/>
      </c>
      <c r="X158" s="14" t="n">
        <v>0</v>
      </c>
      <c r="Y158" s="17">
        <f>IF(H158=0,"",X158/H158)</f>
        <v/>
      </c>
      <c r="Z158" s="14" t="n">
        <v>0</v>
      </c>
      <c r="AA158" s="17">
        <f>IF(H158=0,"",Z158/H158)</f>
        <v/>
      </c>
      <c r="AB158" s="14" t="n">
        <v>0</v>
      </c>
      <c r="AC158" s="17">
        <f>IF(H158=0,"",AB158/H158)</f>
        <v/>
      </c>
      <c r="AD158" s="14" t="n">
        <v>0</v>
      </c>
      <c r="AE158" s="17">
        <f>IF(H158=0,"",AD158/H158)</f>
        <v/>
      </c>
      <c r="AF158" s="14" t="n">
        <v>0</v>
      </c>
      <c r="AG158" s="17">
        <f>IF(H158=0,"",AF158/H158)</f>
        <v/>
      </c>
      <c r="AH158" s="14" t="n">
        <v>449826.96</v>
      </c>
      <c r="AI158" s="15">
        <f>IF(H158=0,"",AH158/H158)</f>
        <v/>
      </c>
      <c r="AJ158" s="14" t="n">
        <v>52</v>
      </c>
      <c r="AK158" s="17">
        <f>IF(H158=0,"",AJ158/H158)</f>
        <v/>
      </c>
      <c r="AL158" s="14" t="n">
        <v>16426.5</v>
      </c>
      <c r="AM158" s="15">
        <f>IF(H158=0,"",AL158/H158)</f>
        <v/>
      </c>
      <c r="AN158" s="14" t="n">
        <v>1750</v>
      </c>
      <c r="AO158" s="14" t="n">
        <v>135</v>
      </c>
      <c r="AP158" s="14" t="n">
        <v>369090</v>
      </c>
      <c r="AQ158" s="14" t="n">
        <v>0</v>
      </c>
      <c r="AR158" s="14" t="n">
        <v>17420916.78</v>
      </c>
      <c r="AS158" s="14" t="n">
        <v>0</v>
      </c>
      <c r="AT158" s="14" t="n">
        <v>2100000</v>
      </c>
      <c r="AU158" s="15">
        <f>AH158+AL158+AP158+AQ158+AR158+AS158+AT158</f>
        <v/>
      </c>
      <c r="AV158" s="15">
        <f>IF(H158=0,"",AU158/H158)</f>
        <v/>
      </c>
      <c r="AW158" s="15">
        <f>IF(S158=0,"",AU158/S158)</f>
        <v/>
      </c>
      <c r="AX158" s="14" t="n">
        <v>10</v>
      </c>
      <c r="AY158" s="15">
        <f>IF(H158=0,"",AX158/(H158/1000/12))</f>
        <v/>
      </c>
      <c r="AZ158" s="14" t="n">
        <v>19</v>
      </c>
      <c r="BA158" s="14" t="n">
        <v>34</v>
      </c>
      <c r="BB158" s="14" t="n">
        <v>15</v>
      </c>
      <c r="BC158" s="14" t="n">
        <v>0</v>
      </c>
      <c r="BD158" s="14" t="n">
        <v>4</v>
      </c>
      <c r="BE158" s="15">
        <f>BC158+BD158</f>
        <v/>
      </c>
      <c r="BF158" s="15">
        <f>BA158+BB158-BE158</f>
        <v/>
      </c>
      <c r="BG158" s="14" t="n">
        <v>0</v>
      </c>
      <c r="BH158" s="14" t="n">
        <v>0</v>
      </c>
      <c r="BI158" s="14" t="n">
        <v>0</v>
      </c>
      <c r="BJ158" s="14" t="n">
        <v>0</v>
      </c>
      <c r="BK158" s="15">
        <f>BI158+BJ158</f>
        <v/>
      </c>
      <c r="BL158" s="15">
        <f>BG158+BH158-BK158</f>
        <v/>
      </c>
      <c r="BM158" s="14" t="n">
        <v>0</v>
      </c>
      <c r="BN158" s="14" t="n">
        <v>0</v>
      </c>
      <c r="BO158" s="14" t="n">
        <v>0</v>
      </c>
      <c r="BP158" s="14" t="n">
        <v>0</v>
      </c>
      <c r="BQ158" s="15">
        <f>BO158+BP158</f>
        <v/>
      </c>
      <c r="BR158" s="15">
        <f>BM158+BN158-BQ158</f>
        <v/>
      </c>
      <c r="BS158" s="14" t="n">
        <v>0</v>
      </c>
      <c r="BT158" s="14" t="n">
        <v>0</v>
      </c>
      <c r="BU158" s="14" t="n">
        <v>0</v>
      </c>
      <c r="BV158" s="14" t="n">
        <v>0</v>
      </c>
      <c r="BW158" s="15">
        <f>BU158+BV158</f>
        <v/>
      </c>
      <c r="BX158" s="15">
        <f>BS158+BT158-BW158</f>
        <v/>
      </c>
      <c r="BY158" s="15">
        <f>BA158+BG158+BM158+BS158</f>
        <v/>
      </c>
      <c r="BZ158" s="15">
        <f>BB158+BH158+BN158+BT158</f>
        <v/>
      </c>
      <c r="CA158" s="15">
        <f>BE158+BK158+BQ158+BW158</f>
        <v/>
      </c>
      <c r="CB158" s="15">
        <f>BF158+BL158+BR158+BX158</f>
        <v/>
      </c>
      <c r="CC158" s="14" t="n">
        <v>4</v>
      </c>
      <c r="CD158" s="14" t="n">
        <v>797</v>
      </c>
      <c r="CE158" s="14" t="n">
        <v>35</v>
      </c>
      <c r="CF158" s="14" t="n">
        <v>70</v>
      </c>
      <c r="CG158" s="14" t="n">
        <v>16</v>
      </c>
      <c r="CH158" s="15">
        <f>CD158+CE158+CF158+CG158</f>
        <v/>
      </c>
      <c r="CI158" s="14" t="n">
        <v>1946</v>
      </c>
      <c r="CJ158" s="14" t="n">
        <v>7</v>
      </c>
      <c r="CK158" s="14" t="n">
        <v>10</v>
      </c>
      <c r="CL158" s="14" t="n">
        <v>13</v>
      </c>
      <c r="CM158" s="15">
        <f>CI158+CJ158+CK158+CL158</f>
        <v/>
      </c>
      <c r="CN158" s="14" t="n">
        <v>1347</v>
      </c>
      <c r="CO158" s="14" t="n">
        <v>86</v>
      </c>
      <c r="CP158" s="14" t="n">
        <v>117</v>
      </c>
      <c r="CQ158" s="14" t="n">
        <v>4</v>
      </c>
      <c r="CR158" s="15">
        <f>CN158+CO158+CP158+CQ158</f>
        <v/>
      </c>
      <c r="CS158" s="15">
        <f>CM158+CR158</f>
        <v/>
      </c>
      <c r="CT158" s="14" t="n">
        <v>4448</v>
      </c>
      <c r="CU158" s="14" t="n">
        <v>25000</v>
      </c>
      <c r="CV158" s="14" t="n">
        <v>20800</v>
      </c>
      <c r="CW158" s="16">
        <f>IF(CU158=0,"",CV158/CU158)</f>
        <v/>
      </c>
      <c r="CX158" s="14" t="n"/>
      <c r="CY158" s="14" t="n"/>
      <c r="CZ158" s="14" t="n"/>
      <c r="DA158" s="14" t="n"/>
      <c r="DB158" s="15">
        <f>CX158+CY158-CZ158-DA158</f>
        <v/>
      </c>
      <c r="DC158" s="14" t="n">
        <v>0</v>
      </c>
      <c r="DD158" s="14" t="n">
        <v>0</v>
      </c>
      <c r="DE158" s="14" t="n">
        <v>0</v>
      </c>
      <c r="DF158" s="14" t="n">
        <v>0</v>
      </c>
      <c r="DG158" s="15">
        <f>DC158+DD158-DE158-DF158</f>
        <v/>
      </c>
      <c r="DH158" s="14" t="n">
        <v>0</v>
      </c>
      <c r="DI158" s="14" t="n">
        <v>0</v>
      </c>
      <c r="DJ158" s="14" t="n">
        <v>0</v>
      </c>
      <c r="DK158" s="14" t="n">
        <v>0</v>
      </c>
      <c r="DL158" s="15">
        <f>DH158+DI158-DJ158-DK158</f>
        <v/>
      </c>
      <c r="DM158" s="14" t="n">
        <v>116</v>
      </c>
      <c r="DN158" s="14" t="n">
        <v>8</v>
      </c>
      <c r="DO158" s="14" t="n">
        <v>0</v>
      </c>
      <c r="DP158" s="14" t="n">
        <v>0</v>
      </c>
      <c r="DQ158" s="15">
        <f>DM158+DN158-DO158-DP158</f>
        <v/>
      </c>
      <c r="DR158" s="15">
        <f>CX158+DC158+DH158+DM158</f>
        <v/>
      </c>
      <c r="DS158" s="15">
        <f>CY158+DD158+DI158+DN158</f>
        <v/>
      </c>
      <c r="DT158" s="15">
        <f>CZ158+DE158+DJ158+DO158</f>
        <v/>
      </c>
      <c r="DU158" s="15">
        <f>DA158+DF158+DK158+DP158</f>
        <v/>
      </c>
      <c r="DV158" s="15">
        <f>DB158+DG158+DL158+DQ158</f>
        <v/>
      </c>
      <c r="DW158" s="14" t="n">
        <v>14</v>
      </c>
      <c r="DX158" s="14" t="n">
        <v>6</v>
      </c>
      <c r="DY158" s="14" t="n">
        <v>3</v>
      </c>
      <c r="DZ158" s="14" t="n">
        <v>2</v>
      </c>
      <c r="EA158" s="14" t="n">
        <v>1</v>
      </c>
      <c r="EB158" s="14" t="n">
        <v>2</v>
      </c>
      <c r="EC158" s="14" t="n">
        <v>0</v>
      </c>
      <c r="ED158" s="14" t="n">
        <v>0</v>
      </c>
      <c r="EE158" s="14" t="n">
        <v>2</v>
      </c>
      <c r="EF158" s="14" t="n">
        <v>4</v>
      </c>
      <c r="EG158" s="14" t="n">
        <v>1</v>
      </c>
      <c r="EH158" s="14" t="n">
        <v>0</v>
      </c>
      <c r="EI158" s="14" t="n">
        <v>0</v>
      </c>
      <c r="EJ158" s="14" t="n">
        <v>0</v>
      </c>
      <c r="EK158" s="14" t="n">
        <v>0</v>
      </c>
      <c r="EL158" s="14" t="n">
        <v>0</v>
      </c>
      <c r="EM158" s="14" t="n">
        <v>0</v>
      </c>
      <c r="EN158" s="14" t="n">
        <v>0</v>
      </c>
      <c r="EO158" s="14" t="n">
        <v>0</v>
      </c>
      <c r="EP158" s="14" t="n">
        <v>0</v>
      </c>
      <c r="EQ158" s="14" t="n">
        <v>0</v>
      </c>
      <c r="ER158" s="14" t="n">
        <v>0</v>
      </c>
      <c r="ES158" s="14" t="n">
        <v>0</v>
      </c>
      <c r="ET158" s="14" t="n">
        <v>0</v>
      </c>
      <c r="EU158" s="14" t="n">
        <v>0</v>
      </c>
      <c r="EV158" s="14" t="n">
        <v>0</v>
      </c>
      <c r="EW158" s="14" t="n">
        <v>0</v>
      </c>
      <c r="EX158" s="14" t="n">
        <v>0</v>
      </c>
      <c r="EY158" s="14" t="n">
        <v>0</v>
      </c>
      <c r="EZ158" s="14" t="n">
        <v>0</v>
      </c>
      <c r="FA158" s="14" t="n">
        <v>0</v>
      </c>
      <c r="FB158" s="14" t="n">
        <v>0</v>
      </c>
      <c r="FC158" s="14" t="n">
        <v>0</v>
      </c>
      <c r="FD158" s="14" t="n">
        <v>0</v>
      </c>
      <c r="FE158" s="14" t="n">
        <v>0</v>
      </c>
      <c r="FF158" s="14" t="n">
        <v>0</v>
      </c>
      <c r="FG158" s="15">
        <f>SUM(DW158,DX158,DY158,DZ158,EA158,EB158,EC158,ED158,EE158,EF158,EG158,EH158,EI158,EJ158,EK158,EL158,EM158,EN158,EO158,EP158,EQ158,ER158,ES158,ET158,EU158,EV158,EW158,EX158,EY158,EZ158,FA158,FB158,FC158,FD158,FE158,FF158)</f>
        <v/>
      </c>
      <c r="FH158" s="14" t="n">
        <v>0</v>
      </c>
      <c r="FI158" s="14" t="n">
        <v>0</v>
      </c>
      <c r="FJ158" s="14" t="n">
        <v>18</v>
      </c>
      <c r="FK158" s="14" t="n">
        <v>24</v>
      </c>
      <c r="FL158" s="14" t="n">
        <v>0</v>
      </c>
      <c r="FM158" s="14" t="n">
        <v>0</v>
      </c>
      <c r="FN158" s="14" t="n">
        <v>0</v>
      </c>
      <c r="FO158" s="14" t="n">
        <v>0</v>
      </c>
      <c r="FP158" s="14" t="n">
        <v>0</v>
      </c>
      <c r="FQ158" s="15">
        <f>FL158+FM158+FN158+FO158+FP158</f>
        <v/>
      </c>
      <c r="FR158" s="14" t="n">
        <v>14273410.85</v>
      </c>
      <c r="FS158" s="14" t="n">
        <v>157100</v>
      </c>
      <c r="FT158" s="14" t="n">
        <v>318000</v>
      </c>
      <c r="FU158" s="14" t="n">
        <v>0</v>
      </c>
      <c r="FV158" s="15">
        <f>FR158+FS158+FT158+FU158</f>
        <v/>
      </c>
      <c r="FW158" s="14" t="n">
        <v>9502973.43</v>
      </c>
      <c r="FX158" s="14" t="n">
        <v>0</v>
      </c>
      <c r="FY158" s="14" t="n">
        <v>4916528.09</v>
      </c>
      <c r="FZ158" s="14" t="n">
        <v>14042200</v>
      </c>
      <c r="GA158" s="15">
        <f>FW158+FX158+FY158+FZ158</f>
        <v/>
      </c>
      <c r="GB158" s="15">
        <f>FV158+GA158</f>
        <v/>
      </c>
      <c r="GC158" s="14" t="n">
        <v>13171877.27</v>
      </c>
      <c r="GD158" s="14" t="n">
        <v>128348.88</v>
      </c>
      <c r="GE158" s="14" t="n">
        <v>205270.4</v>
      </c>
      <c r="GF158" s="14" t="n">
        <v>364249.16</v>
      </c>
      <c r="GG158" s="15">
        <f>GC158+GD158+GE158+GF158</f>
        <v/>
      </c>
      <c r="GH158" s="14" t="n">
        <v>0</v>
      </c>
      <c r="GI158" s="14" t="n">
        <v>0</v>
      </c>
      <c r="GJ158" s="14" t="n">
        <v>0</v>
      </c>
      <c r="GK158" s="14" t="n">
        <v>0</v>
      </c>
      <c r="GL158" s="15">
        <f>GH158+GI158+GJ158+GK158</f>
        <v/>
      </c>
      <c r="GM158" s="15">
        <f>GG158+GL158</f>
        <v/>
      </c>
      <c r="GN158" s="14" t="n">
        <v>1084345.85</v>
      </c>
      <c r="GO158" s="14" t="n">
        <v>2486.64</v>
      </c>
      <c r="GP158" s="14" t="n">
        <v>23755.48</v>
      </c>
      <c r="GQ158" s="14" t="n">
        <v>46373.4</v>
      </c>
      <c r="GR158" s="15">
        <f>GN158+GO158+GP158+GQ158</f>
        <v/>
      </c>
      <c r="GS158" s="14" t="n">
        <v>1737778</v>
      </c>
      <c r="GT158" s="14" t="n">
        <v>11609</v>
      </c>
      <c r="GU158" s="14" t="n">
        <v>6251</v>
      </c>
      <c r="GV158" s="14" t="n">
        <v>8930</v>
      </c>
      <c r="GW158" s="15">
        <f>GS158+GT158+GU158+GV158</f>
        <v/>
      </c>
      <c r="GX158" s="15">
        <f>GM158+GR158+GW158</f>
        <v/>
      </c>
      <c r="GY158" s="14" t="n">
        <v>69887599.5</v>
      </c>
      <c r="GZ158" s="14" t="n">
        <v>684908.7</v>
      </c>
      <c r="HA158" s="15">
        <f>GY158+GZ158</f>
        <v/>
      </c>
      <c r="HB158" s="15">
        <f>IF(GX158=0,"",AU158/GX158)</f>
        <v/>
      </c>
      <c r="HC158" s="16">
        <f>IF((GX158+GY158)=0,"",GB158/(GX158+GY158))</f>
        <v/>
      </c>
      <c r="HD158" s="15">
        <f>IF(GX158=0,"",GB158/GX158)</f>
        <v/>
      </c>
      <c r="HE158" s="14" t="n">
        <v>15</v>
      </c>
      <c r="HF158" s="14" t="n">
        <v>1</v>
      </c>
      <c r="HG158" s="14" t="n">
        <v>45</v>
      </c>
      <c r="HH158" s="14" t="n">
        <v>15</v>
      </c>
      <c r="HI158" s="14" t="n">
        <v>30</v>
      </c>
      <c r="HJ158" s="15">
        <f>HF158+HI158</f>
        <v/>
      </c>
      <c r="HK158" s="16">
        <f>IF(HE158=0,"",HH158/HE158)</f>
        <v/>
      </c>
      <c r="HL158" s="14" t="n">
        <v>31</v>
      </c>
      <c r="HM158" s="14" t="n">
        <v>30</v>
      </c>
      <c r="HN158" s="17">
        <f>IF(HL158=0,"",HM158/HL158)</f>
        <v/>
      </c>
    </row>
    <row r="159">
      <c r="A159" s="6" t="inlineStr">
        <is>
          <t>Mulanje</t>
        </is>
      </c>
      <c r="B159" s="6" t="inlineStr">
        <is>
          <t>Muloza</t>
        </is>
      </c>
      <c r="C159" s="7" t="inlineStr">
        <is>
          <t>FY2025/26</t>
        </is>
      </c>
      <c r="D159" s="7" t="n">
        <v>2025</v>
      </c>
      <c r="E159" s="7" t="n">
        <v>4</v>
      </c>
      <c r="F159" s="7" t="inlineStr">
        <is>
          <t>April</t>
        </is>
      </c>
      <c r="G159" s="7" t="inlineStr">
        <is>
          <t>Q1</t>
        </is>
      </c>
      <c r="H159" s="8" t="n">
        <v>10412</v>
      </c>
      <c r="I159" s="8" t="n">
        <v>4882</v>
      </c>
      <c r="J159" s="8" t="n">
        <v>22</v>
      </c>
      <c r="K159" s="8" t="n">
        <v>0</v>
      </c>
      <c r="L159" s="8" t="n">
        <v>8</v>
      </c>
      <c r="M159" s="9">
        <f>SUM(I159,J159,K159,L159)</f>
        <v/>
      </c>
      <c r="N159" s="8" t="n">
        <v>2198</v>
      </c>
      <c r="O159" s="8" t="n">
        <v>42</v>
      </c>
      <c r="P159" s="8" t="n">
        <v>128</v>
      </c>
      <c r="Q159" s="8" t="n">
        <v>150</v>
      </c>
      <c r="R159" s="9">
        <f>SUM(N159,O159,P159,Q159)</f>
        <v/>
      </c>
      <c r="S159" s="9">
        <f>M159+R159</f>
        <v/>
      </c>
      <c r="T159" s="8" t="n">
        <v>2982</v>
      </c>
      <c r="U159" s="10">
        <f>IF(H159=0,"",T159/H159)</f>
        <v/>
      </c>
      <c r="V159" s="8" t="n">
        <v>15</v>
      </c>
      <c r="W159" s="11">
        <f>IF(H159=0,"",V159/H159)</f>
        <v/>
      </c>
      <c r="X159" s="8" t="n">
        <v>0</v>
      </c>
      <c r="Y159" s="11">
        <f>IF(H159=0,"",X159/H159)</f>
        <v/>
      </c>
      <c r="Z159" s="8" t="n">
        <v>0</v>
      </c>
      <c r="AA159" s="11">
        <f>IF(H159=0,"",Z159/H159)</f>
        <v/>
      </c>
      <c r="AB159" s="8" t="n">
        <v>0</v>
      </c>
      <c r="AC159" s="11">
        <f>IF(H159=0,"",AB159/H159)</f>
        <v/>
      </c>
      <c r="AD159" s="8" t="n">
        <v>0</v>
      </c>
      <c r="AE159" s="11">
        <f>IF(H159=0,"",AD159/H159)</f>
        <v/>
      </c>
      <c r="AF159" s="8" t="n">
        <v>0</v>
      </c>
      <c r="AG159" s="11">
        <f>IF(H159=0,"",AF159/H159)</f>
        <v/>
      </c>
      <c r="AH159" s="8" t="n">
        <v>76675.05</v>
      </c>
      <c r="AI159" s="9">
        <f>IF(H159=0,"",AH159/H159)</f>
        <v/>
      </c>
      <c r="AJ159" s="8" t="n">
        <v>12427</v>
      </c>
      <c r="AK159" s="11">
        <f>IF(H159=0,"",AJ159/H159)</f>
        <v/>
      </c>
      <c r="AL159" s="8" t="n">
        <v>1740691.3905</v>
      </c>
      <c r="AM159" s="9">
        <f>IF(H159=0,"",AL159/H159)</f>
        <v/>
      </c>
      <c r="AN159" s="8" t="n">
        <v>0</v>
      </c>
      <c r="AO159" s="8" t="n">
        <v>0</v>
      </c>
      <c r="AP159" s="8" t="n">
        <v>0</v>
      </c>
      <c r="AQ159" s="8" t="n">
        <v>0</v>
      </c>
      <c r="AR159" s="8" t="n">
        <v>5061835.58</v>
      </c>
      <c r="AS159" s="8" t="n">
        <v>1049646.49</v>
      </c>
      <c r="AT159" s="8" t="n">
        <v>3957080</v>
      </c>
      <c r="AU159" s="9">
        <f>AH159+AL159+AP159+AQ159+AR159+AS159+AT159</f>
        <v/>
      </c>
      <c r="AV159" s="9">
        <f>IF(H159=0,"",AU159/H159)</f>
        <v/>
      </c>
      <c r="AW159" s="9">
        <f>IF(S159=0,"",AU159/S159)</f>
        <v/>
      </c>
      <c r="AX159" s="8" t="n">
        <v>6</v>
      </c>
      <c r="AY159" s="9">
        <f>IF(H159=0,"",AX159/(H159/1000/12))</f>
        <v/>
      </c>
      <c r="AZ159" s="8" t="n">
        <v>8</v>
      </c>
      <c r="BA159" s="8" t="n">
        <v>47</v>
      </c>
      <c r="BB159" s="8" t="n">
        <v>10</v>
      </c>
      <c r="BC159" s="8" t="n">
        <v>0</v>
      </c>
      <c r="BD159" s="8" t="n">
        <v>11</v>
      </c>
      <c r="BE159" s="9">
        <f>BC159+BD159</f>
        <v/>
      </c>
      <c r="BF159" s="9">
        <f>BA159+BB159-BE159</f>
        <v/>
      </c>
      <c r="BG159" s="8" t="n">
        <v>0</v>
      </c>
      <c r="BH159" s="8" t="n">
        <v>0</v>
      </c>
      <c r="BI159" s="8" t="n">
        <v>0</v>
      </c>
      <c r="BJ159" s="8" t="n">
        <v>0</v>
      </c>
      <c r="BK159" s="9">
        <f>BI159+BJ159</f>
        <v/>
      </c>
      <c r="BL159" s="9">
        <f>BG159+BH159-BK159</f>
        <v/>
      </c>
      <c r="BM159" s="8" t="n">
        <v>5</v>
      </c>
      <c r="BN159" s="8" t="n">
        <v>0</v>
      </c>
      <c r="BO159" s="8" t="n">
        <v>0</v>
      </c>
      <c r="BP159" s="8" t="n">
        <v>0</v>
      </c>
      <c r="BQ159" s="9">
        <f>BO159+BP159</f>
        <v/>
      </c>
      <c r="BR159" s="9">
        <f>BM159+BN159-BQ159</f>
        <v/>
      </c>
      <c r="BS159" s="8" t="n">
        <v>0</v>
      </c>
      <c r="BT159" s="8" t="n">
        <v>0</v>
      </c>
      <c r="BU159" s="8" t="n">
        <v>0</v>
      </c>
      <c r="BV159" s="8" t="n">
        <v>0</v>
      </c>
      <c r="BW159" s="9">
        <f>BU159+BV159</f>
        <v/>
      </c>
      <c r="BX159" s="9">
        <f>BS159+BT159-BW159</f>
        <v/>
      </c>
      <c r="BY159" s="9">
        <f>BA159+BG159+BM159+BS159</f>
        <v/>
      </c>
      <c r="BZ159" s="9">
        <f>BB159+BH159+BN159+BT159</f>
        <v/>
      </c>
      <c r="CA159" s="9">
        <f>BE159+BK159+BQ159+BW159</f>
        <v/>
      </c>
      <c r="CB159" s="9">
        <f>BF159+BL159+BR159+BX159</f>
        <v/>
      </c>
      <c r="CC159" s="8" t="n">
        <v>11</v>
      </c>
      <c r="CD159" s="8" t="n">
        <v>393</v>
      </c>
      <c r="CE159" s="8" t="n">
        <v>17</v>
      </c>
      <c r="CF159" s="8" t="n">
        <v>71</v>
      </c>
      <c r="CG159" s="8" t="n">
        <v>0</v>
      </c>
      <c r="CH159" s="9">
        <f>CD159+CE159+CF159+CG159</f>
        <v/>
      </c>
      <c r="CI159" s="8" t="n">
        <v>576</v>
      </c>
      <c r="CJ159" s="8" t="n">
        <v>0</v>
      </c>
      <c r="CK159" s="8" t="n">
        <v>2</v>
      </c>
      <c r="CL159" s="8" t="n">
        <v>1</v>
      </c>
      <c r="CM159" s="9">
        <f>CI159+CJ159+CK159+CL159</f>
        <v/>
      </c>
      <c r="CN159" s="8" t="n">
        <v>474</v>
      </c>
      <c r="CO159" s="8" t="n">
        <v>31</v>
      </c>
      <c r="CP159" s="8" t="n">
        <v>45</v>
      </c>
      <c r="CQ159" s="8" t="n">
        <v>3</v>
      </c>
      <c r="CR159" s="9">
        <f>CN159+CO159+CP159+CQ159</f>
        <v/>
      </c>
      <c r="CS159" s="9">
        <f>CM159+CR159</f>
        <v/>
      </c>
      <c r="CT159" s="8" t="n">
        <v>1613</v>
      </c>
      <c r="CU159" s="8" t="n">
        <v>9810</v>
      </c>
      <c r="CV159" s="8" t="n">
        <v>8985</v>
      </c>
      <c r="CW159" s="10">
        <f>IF(CU159=0,"",CV159/CU159)</f>
        <v/>
      </c>
      <c r="CX159" s="8" t="n">
        <v>0</v>
      </c>
      <c r="CY159" s="8" t="n">
        <v>0</v>
      </c>
      <c r="CZ159" s="8" t="n">
        <v>0</v>
      </c>
      <c r="DA159" s="8" t="n">
        <v>0</v>
      </c>
      <c r="DB159" s="9">
        <f>CX159+CY159-CZ159-DA159</f>
        <v/>
      </c>
      <c r="DC159" s="8" t="n">
        <v>0</v>
      </c>
      <c r="DD159" s="8" t="n">
        <v>0</v>
      </c>
      <c r="DE159" s="8" t="n">
        <v>0</v>
      </c>
      <c r="DF159" s="8" t="n">
        <v>0</v>
      </c>
      <c r="DG159" s="9">
        <f>DC159+DD159-DE159-DF159</f>
        <v/>
      </c>
      <c r="DH159" s="8" t="n">
        <v>0</v>
      </c>
      <c r="DI159" s="8" t="n">
        <v>0</v>
      </c>
      <c r="DJ159" s="8" t="n">
        <v>0</v>
      </c>
      <c r="DK159" s="8" t="n">
        <v>0</v>
      </c>
      <c r="DL159" s="9">
        <f>DH159+DI159-DJ159-DK159</f>
        <v/>
      </c>
      <c r="DM159" s="8" t="n">
        <v>0</v>
      </c>
      <c r="DN159" s="8" t="n">
        <v>8</v>
      </c>
      <c r="DO159" s="8" t="n">
        <v>8</v>
      </c>
      <c r="DP159" s="8" t="n">
        <v>0</v>
      </c>
      <c r="DQ159" s="9">
        <f>DM159+DN159-DO159-DP159</f>
        <v/>
      </c>
      <c r="DR159" s="9">
        <f>CX159+DC159+DH159+DM159</f>
        <v/>
      </c>
      <c r="DS159" s="9">
        <f>CY159+DD159+DI159+DN159</f>
        <v/>
      </c>
      <c r="DT159" s="9">
        <f>CZ159+DE159+DJ159+DO159</f>
        <v/>
      </c>
      <c r="DU159" s="9">
        <f>DA159+DF159+DK159+DP159</f>
        <v/>
      </c>
      <c r="DV159" s="9">
        <f>DB159+DG159+DL159+DQ159</f>
        <v/>
      </c>
      <c r="DW159" s="8" t="n">
        <v>3</v>
      </c>
      <c r="DX159" s="8" t="n">
        <v>1</v>
      </c>
      <c r="DY159" s="8" t="n">
        <v>2</v>
      </c>
      <c r="DZ159" s="8" t="n">
        <v>2</v>
      </c>
      <c r="EA159" s="8" t="n">
        <v>0</v>
      </c>
      <c r="EB159" s="8" t="n">
        <v>0</v>
      </c>
      <c r="EC159" s="8" t="n">
        <v>0</v>
      </c>
      <c r="ED159" s="8" t="n">
        <v>0</v>
      </c>
      <c r="EE159" s="8" t="n">
        <v>0</v>
      </c>
      <c r="EF159" s="8" t="n">
        <v>3</v>
      </c>
      <c r="EG159" s="8" t="n">
        <v>0</v>
      </c>
      <c r="EH159" s="8" t="n">
        <v>0</v>
      </c>
      <c r="EI159" s="8" t="n">
        <v>0</v>
      </c>
      <c r="EJ159" s="8" t="n">
        <v>0</v>
      </c>
      <c r="EK159" s="8" t="n">
        <v>0</v>
      </c>
      <c r="EL159" s="8" t="n">
        <v>0</v>
      </c>
      <c r="EM159" s="8" t="n">
        <v>0</v>
      </c>
      <c r="EN159" s="8" t="n">
        <v>0</v>
      </c>
      <c r="EO159" s="8" t="n">
        <v>0</v>
      </c>
      <c r="EP159" s="8" t="n">
        <v>0</v>
      </c>
      <c r="EQ159" s="8" t="n">
        <v>0</v>
      </c>
      <c r="ER159" s="8" t="n">
        <v>0</v>
      </c>
      <c r="ES159" s="8" t="n">
        <v>0</v>
      </c>
      <c r="ET159" s="8" t="n">
        <v>0</v>
      </c>
      <c r="EU159" s="8" t="n">
        <v>0</v>
      </c>
      <c r="EV159" s="8" t="n">
        <v>0</v>
      </c>
      <c r="EW159" s="8" t="n">
        <v>0</v>
      </c>
      <c r="EX159" s="8" t="n">
        <v>0</v>
      </c>
      <c r="EY159" s="8" t="n">
        <v>0</v>
      </c>
      <c r="EZ159" s="8" t="n">
        <v>0</v>
      </c>
      <c r="FA159" s="8" t="n">
        <v>0</v>
      </c>
      <c r="FB159" s="8" t="n">
        <v>0</v>
      </c>
      <c r="FC159" s="8" t="n">
        <v>0</v>
      </c>
      <c r="FD159" s="8" t="n">
        <v>0</v>
      </c>
      <c r="FE159" s="8" t="n">
        <v>0</v>
      </c>
      <c r="FF159" s="8" t="n">
        <v>0</v>
      </c>
      <c r="FG159" s="9">
        <f>SUM(DW159,DX159,DY159,DZ159,EA159,EB159,EC159,ED159,EE159,EF159,EG159,EH159,EI159,EJ159,EK159,EL159,EM159,EN159,EO159,EP159,EQ159,ER159,ES159,ET159,EU159,EV159,EW159,EX159,EY159,EZ159,FA159,FB159,FC159,FD159,FE159,FF159)</f>
        <v/>
      </c>
      <c r="FH159" s="8" t="n">
        <v>0</v>
      </c>
      <c r="FI159" s="8" t="n">
        <v>0</v>
      </c>
      <c r="FJ159" s="8" t="n">
        <v>24</v>
      </c>
      <c r="FK159" s="8" t="n">
        <v>35</v>
      </c>
      <c r="FL159" s="8" t="n">
        <v>0</v>
      </c>
      <c r="FM159" s="8" t="n">
        <v>0</v>
      </c>
      <c r="FN159" s="8" t="n">
        <v>0</v>
      </c>
      <c r="FO159" s="8" t="n">
        <v>0</v>
      </c>
      <c r="FP159" s="8" t="n">
        <v>0</v>
      </c>
      <c r="FQ159" s="9">
        <f>FL159+FM159+FN159+FO159+FP159</f>
        <v/>
      </c>
      <c r="FR159" s="8" t="n">
        <v>3280744</v>
      </c>
      <c r="FS159" s="8" t="n">
        <v>3280744</v>
      </c>
      <c r="FT159" s="8" t="n">
        <v>292500</v>
      </c>
      <c r="FU159" s="8" t="n">
        <v>0</v>
      </c>
      <c r="FV159" s="9">
        <f>FR159+FS159+FT159+FU159</f>
        <v/>
      </c>
      <c r="FW159" s="8" t="n">
        <v>2897327.410000008</v>
      </c>
      <c r="FX159" s="8" t="n">
        <v>14350</v>
      </c>
      <c r="FY159" s="8" t="n">
        <v>583392.14</v>
      </c>
      <c r="FZ159" s="8" t="n">
        <v>351439.4</v>
      </c>
      <c r="GA159" s="9">
        <f>FW159+FX159+FY159+FZ159</f>
        <v/>
      </c>
      <c r="GB159" s="9">
        <f>FV159+GA159</f>
        <v/>
      </c>
      <c r="GC159" s="8" t="n">
        <v>4348644.26</v>
      </c>
      <c r="GD159" s="8" t="n">
        <v>4208.16</v>
      </c>
      <c r="GE159" s="8" t="n">
        <v>4208.16</v>
      </c>
      <c r="GF159" s="8" t="n">
        <v>16821.98</v>
      </c>
      <c r="GG159" s="9">
        <f>GC159+GD159+GE159+GF159</f>
        <v/>
      </c>
      <c r="GH159" s="8" t="n">
        <v>0</v>
      </c>
      <c r="GI159" s="8" t="n">
        <v>0</v>
      </c>
      <c r="GJ159" s="8" t="n">
        <v>0</v>
      </c>
      <c r="GK159" s="8" t="n">
        <v>0</v>
      </c>
      <c r="GL159" s="9">
        <f>GH159+GI159+GJ159+GK159</f>
        <v/>
      </c>
      <c r="GM159" s="9">
        <f>GG159+GL159</f>
        <v/>
      </c>
      <c r="GN159" s="8" t="n">
        <v>302471.19</v>
      </c>
      <c r="GO159" s="8" t="n">
        <v>191.28</v>
      </c>
      <c r="GP159" s="8" t="n">
        <v>191.28</v>
      </c>
      <c r="GQ159" s="8" t="n">
        <v>9274.68</v>
      </c>
      <c r="GR159" s="9">
        <f>GN159+GO159+GP159+GQ159</f>
        <v/>
      </c>
      <c r="GS159" s="8" t="n">
        <v>514368</v>
      </c>
      <c r="GT159" s="8" t="n">
        <v>893</v>
      </c>
      <c r="GU159" s="8" t="n">
        <v>893</v>
      </c>
      <c r="GV159" s="8" t="n">
        <v>1786</v>
      </c>
      <c r="GW159" s="9">
        <f>GS159+GT159+GU159+GV159</f>
        <v/>
      </c>
      <c r="GX159" s="9">
        <f>GM159+GR159+GW159</f>
        <v/>
      </c>
      <c r="GY159" s="8" t="n">
        <v>46261430.54</v>
      </c>
      <c r="GZ159" s="8" t="n">
        <v>0</v>
      </c>
      <c r="HA159" s="9">
        <f>GY159+GZ159</f>
        <v/>
      </c>
      <c r="HB159" s="9">
        <f>IF(GX159=0,"",AU159/GX159)</f>
        <v/>
      </c>
      <c r="HC159" s="10">
        <f>IF((GX159+GY159)=0,"",GB159/(GX159+GY159))</f>
        <v/>
      </c>
      <c r="HD159" s="9">
        <f>IF(GX159=0,"",GB159/GX159)</f>
        <v/>
      </c>
      <c r="HE159" s="8" t="n">
        <v>4</v>
      </c>
      <c r="HF159" s="8" t="n">
        <v>1</v>
      </c>
      <c r="HG159" s="8" t="n">
        <v>51</v>
      </c>
      <c r="HH159" s="8" t="n">
        <v>10</v>
      </c>
      <c r="HI159" s="8" t="n">
        <v>3</v>
      </c>
      <c r="HJ159" s="9">
        <f>HF159+HI159</f>
        <v/>
      </c>
      <c r="HK159" s="10">
        <f>IF(HE159=0,"",HH159/HE159)</f>
        <v/>
      </c>
      <c r="HL159" s="8" t="n">
        <v>10</v>
      </c>
      <c r="HM159" s="8" t="n">
        <v>5</v>
      </c>
      <c r="HN159" s="11">
        <f>IF(HL159=0,"",HM159/HL159)</f>
        <v/>
      </c>
    </row>
    <row r="160">
      <c r="A160" s="12" t="inlineStr">
        <is>
          <t>Mulanje</t>
        </is>
      </c>
      <c r="B160" s="12" t="inlineStr">
        <is>
          <t>Muloza</t>
        </is>
      </c>
      <c r="C160" s="13" t="inlineStr">
        <is>
          <t>FY2025/26</t>
        </is>
      </c>
      <c r="D160" s="13" t="n">
        <v>2025</v>
      </c>
      <c r="E160" s="13" t="n">
        <v>5</v>
      </c>
      <c r="F160" s="13" t="inlineStr">
        <is>
          <t>May</t>
        </is>
      </c>
      <c r="G160" s="13" t="inlineStr">
        <is>
          <t>Q1</t>
        </is>
      </c>
      <c r="H160" s="14" t="n">
        <v>9735</v>
      </c>
      <c r="I160" s="14" t="n">
        <v>4257</v>
      </c>
      <c r="J160" s="14" t="n">
        <v>12</v>
      </c>
      <c r="K160" s="14" t="n">
        <v>0</v>
      </c>
      <c r="L160" s="14" t="n">
        <v>7</v>
      </c>
      <c r="M160" s="15">
        <f>SUM(I160,J160,K160,L160)</f>
        <v/>
      </c>
      <c r="N160" s="14" t="n">
        <v>2158</v>
      </c>
      <c r="O160" s="14" t="n">
        <v>71</v>
      </c>
      <c r="P160" s="14" t="n">
        <v>52</v>
      </c>
      <c r="Q160" s="14" t="n">
        <v>305</v>
      </c>
      <c r="R160" s="15">
        <f>SUM(N160,O160,P160,Q160)</f>
        <v/>
      </c>
      <c r="S160" s="15">
        <f>M160+R160</f>
        <v/>
      </c>
      <c r="T160" s="14" t="n">
        <v>2873</v>
      </c>
      <c r="U160" s="16">
        <f>IF(H160=0,"",T160/H160)</f>
        <v/>
      </c>
      <c r="V160" s="14" t="n">
        <v>15</v>
      </c>
      <c r="W160" s="17">
        <f>IF(H160=0,"",V160/H160)</f>
        <v/>
      </c>
      <c r="X160" s="14" t="n">
        <v>0</v>
      </c>
      <c r="Y160" s="17">
        <f>IF(H160=0,"",X160/H160)</f>
        <v/>
      </c>
      <c r="Z160" s="14" t="n">
        <v>0</v>
      </c>
      <c r="AA160" s="17">
        <f>IF(H160=0,"",Z160/H160)</f>
        <v/>
      </c>
      <c r="AB160" s="14" t="n">
        <v>0</v>
      </c>
      <c r="AC160" s="17">
        <f>IF(H160=0,"",AB160/H160)</f>
        <v/>
      </c>
      <c r="AD160" s="14" t="n">
        <v>0</v>
      </c>
      <c r="AE160" s="17">
        <f>IF(H160=0,"",AD160/H160)</f>
        <v/>
      </c>
      <c r="AF160" s="14" t="n">
        <v>0</v>
      </c>
      <c r="AG160" s="17">
        <f>IF(H160=0,"",AF160/H160)</f>
        <v/>
      </c>
      <c r="AH160" s="14" t="n">
        <v>76675.05</v>
      </c>
      <c r="AI160" s="15">
        <f>IF(H160=0,"",AH160/H160)</f>
        <v/>
      </c>
      <c r="AJ160" s="14" t="n">
        <v>10931</v>
      </c>
      <c r="AK160" s="17">
        <f>IF(H160=0,"",AJ160/H160)</f>
        <v/>
      </c>
      <c r="AL160" s="14" t="n">
        <v>1533119.1465</v>
      </c>
      <c r="AM160" s="15">
        <f>IF(H160=0,"",AL160/H160)</f>
        <v/>
      </c>
      <c r="AN160" s="14" t="n">
        <v>1371</v>
      </c>
      <c r="AO160" s="14" t="n">
        <v>165.45</v>
      </c>
      <c r="AP160" s="14" t="n">
        <v>452340.3</v>
      </c>
      <c r="AQ160" s="14" t="n">
        <v>0</v>
      </c>
      <c r="AR160" s="14" t="n">
        <v>5039628.73</v>
      </c>
      <c r="AS160" s="14" t="n">
        <v>1309261.92</v>
      </c>
      <c r="AT160" s="14" t="n">
        <v>0</v>
      </c>
      <c r="AU160" s="15">
        <f>AH160+AL160+AP160+AQ160+AR160+AS160+AT160</f>
        <v/>
      </c>
      <c r="AV160" s="15">
        <f>IF(H160=0,"",AU160/H160)</f>
        <v/>
      </c>
      <c r="AW160" s="15">
        <f>IF(S160=0,"",AU160/S160)</f>
        <v/>
      </c>
      <c r="AX160" s="14" t="n">
        <v>6</v>
      </c>
      <c r="AY160" s="15">
        <f>IF(H160=0,"",AX160/(H160/1000/12))</f>
        <v/>
      </c>
      <c r="AZ160" s="14" t="n">
        <v>8</v>
      </c>
      <c r="BA160" s="14" t="n">
        <v>46</v>
      </c>
      <c r="BB160" s="14" t="n">
        <v>8</v>
      </c>
      <c r="BC160" s="14" t="n">
        <v>0</v>
      </c>
      <c r="BD160" s="14" t="n">
        <v>8</v>
      </c>
      <c r="BE160" s="15">
        <f>BC160+BD160</f>
        <v/>
      </c>
      <c r="BF160" s="15">
        <f>BA160+BB160-BE160</f>
        <v/>
      </c>
      <c r="BG160" s="14" t="n">
        <v>0</v>
      </c>
      <c r="BH160" s="14" t="n">
        <v>0</v>
      </c>
      <c r="BI160" s="14" t="n">
        <v>0</v>
      </c>
      <c r="BJ160" s="14" t="n">
        <v>0</v>
      </c>
      <c r="BK160" s="15">
        <f>BI160+BJ160</f>
        <v/>
      </c>
      <c r="BL160" s="15">
        <f>BG160+BH160-BK160</f>
        <v/>
      </c>
      <c r="BM160" s="14" t="n">
        <v>5</v>
      </c>
      <c r="BN160" s="14" t="n">
        <v>0</v>
      </c>
      <c r="BO160" s="14" t="n">
        <v>0</v>
      </c>
      <c r="BP160" s="14" t="n">
        <v>0</v>
      </c>
      <c r="BQ160" s="15">
        <f>BO160+BP160</f>
        <v/>
      </c>
      <c r="BR160" s="15">
        <f>BM160+BN160-BQ160</f>
        <v/>
      </c>
      <c r="BS160" s="14" t="n">
        <v>0</v>
      </c>
      <c r="BT160" s="14" t="n">
        <v>0</v>
      </c>
      <c r="BU160" s="14" t="n">
        <v>0</v>
      </c>
      <c r="BV160" s="14" t="n">
        <v>0</v>
      </c>
      <c r="BW160" s="15">
        <f>BU160+BV160</f>
        <v/>
      </c>
      <c r="BX160" s="15">
        <f>BS160+BT160-BW160</f>
        <v/>
      </c>
      <c r="BY160" s="15">
        <f>BA160+BG160+BM160+BS160</f>
        <v/>
      </c>
      <c r="BZ160" s="15">
        <f>BB160+BH160+BN160+BT160</f>
        <v/>
      </c>
      <c r="CA160" s="15">
        <f>BE160+BK160+BQ160+BW160</f>
        <v/>
      </c>
      <c r="CB160" s="15">
        <f>BF160+BL160+BR160+BX160</f>
        <v/>
      </c>
      <c r="CC160" s="14" t="n">
        <v>36</v>
      </c>
      <c r="CD160" s="14" t="n">
        <v>371</v>
      </c>
      <c r="CE160" s="14" t="n">
        <v>17</v>
      </c>
      <c r="CF160" s="14" t="n">
        <v>71</v>
      </c>
      <c r="CG160" s="14" t="n">
        <v>0</v>
      </c>
      <c r="CH160" s="15">
        <f>CD160+CE160+CF160+CG160</f>
        <v/>
      </c>
      <c r="CI160" s="14" t="n">
        <v>572</v>
      </c>
      <c r="CJ160" s="14" t="n">
        <v>0</v>
      </c>
      <c r="CK160" s="14" t="n">
        <v>2</v>
      </c>
      <c r="CL160" s="14" t="n">
        <v>1</v>
      </c>
      <c r="CM160" s="15">
        <f>CI160+CJ160+CK160+CL160</f>
        <v/>
      </c>
      <c r="CN160" s="14" t="n">
        <v>510</v>
      </c>
      <c r="CO160" s="14" t="n">
        <v>31</v>
      </c>
      <c r="CP160" s="14" t="n">
        <v>46</v>
      </c>
      <c r="CQ160" s="14" t="n">
        <v>2</v>
      </c>
      <c r="CR160" s="15">
        <f>CN160+CO160+CP160+CQ160</f>
        <v/>
      </c>
      <c r="CS160" s="15">
        <f>CM160+CR160</f>
        <v/>
      </c>
      <c r="CT160" s="14" t="n">
        <v>1623</v>
      </c>
      <c r="CU160" s="14" t="n">
        <v>9810</v>
      </c>
      <c r="CV160" s="14" t="n">
        <v>8995</v>
      </c>
      <c r="CW160" s="16">
        <f>IF(CU160=0,"",CV160/CU160)</f>
        <v/>
      </c>
      <c r="CX160" s="14" t="n">
        <v>0</v>
      </c>
      <c r="CY160" s="14" t="n">
        <v>0</v>
      </c>
      <c r="CZ160" s="14" t="n">
        <v>0</v>
      </c>
      <c r="DA160" s="14" t="n">
        <v>0</v>
      </c>
      <c r="DB160" s="15">
        <f>CX160+CY160-CZ160-DA160</f>
        <v/>
      </c>
      <c r="DC160" s="14" t="n">
        <v>0</v>
      </c>
      <c r="DD160" s="14" t="n">
        <v>0</v>
      </c>
      <c r="DE160" s="14" t="n">
        <v>0</v>
      </c>
      <c r="DF160" s="14" t="n">
        <v>0</v>
      </c>
      <c r="DG160" s="15">
        <f>DC160+DD160-DE160-DF160</f>
        <v/>
      </c>
      <c r="DH160" s="14" t="n">
        <v>0</v>
      </c>
      <c r="DI160" s="14" t="n">
        <v>0</v>
      </c>
      <c r="DJ160" s="14" t="n">
        <v>0</v>
      </c>
      <c r="DK160" s="14" t="n">
        <v>0</v>
      </c>
      <c r="DL160" s="15">
        <f>DH160+DI160-DJ160-DK160</f>
        <v/>
      </c>
      <c r="DM160" s="14" t="n">
        <v>0</v>
      </c>
      <c r="DN160" s="14" t="n">
        <v>4</v>
      </c>
      <c r="DO160" s="14" t="n">
        <v>4</v>
      </c>
      <c r="DP160" s="14" t="n">
        <v>0</v>
      </c>
      <c r="DQ160" s="15">
        <f>DM160+DN160-DO160-DP160</f>
        <v/>
      </c>
      <c r="DR160" s="15">
        <f>CX160+DC160+DH160+DM160</f>
        <v/>
      </c>
      <c r="DS160" s="15">
        <f>CY160+DD160+DI160+DN160</f>
        <v/>
      </c>
      <c r="DT160" s="15">
        <f>CZ160+DE160+DJ160+DO160</f>
        <v/>
      </c>
      <c r="DU160" s="15">
        <f>DA160+DF160+DK160+DP160</f>
        <v/>
      </c>
      <c r="DV160" s="15">
        <f>DB160+DG160+DL160+DQ160</f>
        <v/>
      </c>
      <c r="DW160" s="14" t="n">
        <v>9</v>
      </c>
      <c r="DX160" s="14" t="n">
        <v>3</v>
      </c>
      <c r="DY160" s="14" t="n">
        <v>1</v>
      </c>
      <c r="DZ160" s="14" t="n">
        <v>1</v>
      </c>
      <c r="EA160" s="14" t="n">
        <v>0</v>
      </c>
      <c r="EB160" s="14" t="n">
        <v>1</v>
      </c>
      <c r="EC160" s="14" t="n">
        <v>1</v>
      </c>
      <c r="ED160" s="14" t="n">
        <v>0</v>
      </c>
      <c r="EE160" s="14" t="n">
        <v>0</v>
      </c>
      <c r="EF160" s="14" t="n">
        <v>0</v>
      </c>
      <c r="EG160" s="14" t="n">
        <v>0</v>
      </c>
      <c r="EH160" s="14" t="n">
        <v>0</v>
      </c>
      <c r="EI160" s="14" t="n">
        <v>0</v>
      </c>
      <c r="EJ160" s="14" t="n">
        <v>0</v>
      </c>
      <c r="EK160" s="14" t="n">
        <v>0</v>
      </c>
      <c r="EL160" s="14" t="n">
        <v>0</v>
      </c>
      <c r="EM160" s="14" t="n">
        <v>0</v>
      </c>
      <c r="EN160" s="14" t="n">
        <v>0</v>
      </c>
      <c r="EO160" s="14" t="n">
        <v>0</v>
      </c>
      <c r="EP160" s="14" t="n">
        <v>0</v>
      </c>
      <c r="EQ160" s="14" t="n">
        <v>0</v>
      </c>
      <c r="ER160" s="14" t="n">
        <v>0</v>
      </c>
      <c r="ES160" s="14" t="n">
        <v>0</v>
      </c>
      <c r="ET160" s="14" t="n">
        <v>0</v>
      </c>
      <c r="EU160" s="14" t="n">
        <v>0</v>
      </c>
      <c r="EV160" s="14" t="n">
        <v>0</v>
      </c>
      <c r="EW160" s="14" t="n">
        <v>0</v>
      </c>
      <c r="EX160" s="14" t="n">
        <v>0</v>
      </c>
      <c r="EY160" s="14" t="n">
        <v>0</v>
      </c>
      <c r="EZ160" s="14" t="n">
        <v>0</v>
      </c>
      <c r="FA160" s="14" t="n">
        <v>0</v>
      </c>
      <c r="FB160" s="14" t="n">
        <v>0</v>
      </c>
      <c r="FC160" s="14" t="n">
        <v>0</v>
      </c>
      <c r="FD160" s="14" t="n">
        <v>0</v>
      </c>
      <c r="FE160" s="14" t="n">
        <v>0</v>
      </c>
      <c r="FF160" s="14" t="n">
        <v>0</v>
      </c>
      <c r="FG160" s="15">
        <f>SUM(DW160,DX160,DY160,DZ160,EA160,EB160,EC160,ED160,EE160,EF160,EG160,EH160,EI160,EJ160,EK160,EL160,EM160,EN160,EO160,EP160,EQ160,ER160,ES160,ET160,EU160,EV160,EW160,EX160,EY160,EZ160,FA160,FB160,FC160,FD160,FE160,FF160)</f>
        <v/>
      </c>
      <c r="FH160" s="14" t="n">
        <v>0</v>
      </c>
      <c r="FI160" s="14" t="n">
        <v>0</v>
      </c>
      <c r="FJ160" s="14" t="n">
        <v>24</v>
      </c>
      <c r="FK160" s="14" t="n">
        <v>28</v>
      </c>
      <c r="FL160" s="14" t="n">
        <v>0</v>
      </c>
      <c r="FM160" s="14" t="n">
        <v>0</v>
      </c>
      <c r="FN160" s="14" t="n">
        <v>0</v>
      </c>
      <c r="FO160" s="14" t="n">
        <v>0</v>
      </c>
      <c r="FP160" s="14" t="n">
        <v>0</v>
      </c>
      <c r="FQ160" s="15">
        <f>FL160+FM160+FN160+FO160+FP160</f>
        <v/>
      </c>
      <c r="FR160" s="14" t="n">
        <v>6209721.66</v>
      </c>
      <c r="FS160" s="14" t="n">
        <v>8500</v>
      </c>
      <c r="FT160" s="14" t="n">
        <v>0</v>
      </c>
      <c r="FU160" s="14" t="n">
        <v>0</v>
      </c>
      <c r="FV160" s="15">
        <f>FR160+FS160+FT160+FU160</f>
        <v/>
      </c>
      <c r="FW160" s="14" t="n">
        <v>2819047.890000007</v>
      </c>
      <c r="FX160" s="14" t="n">
        <v>15100</v>
      </c>
      <c r="FY160" s="14" t="n">
        <v>1445400</v>
      </c>
      <c r="FZ160" s="14" t="n">
        <v>163839.4</v>
      </c>
      <c r="GA160" s="15">
        <f>FW160+FX160+FY160+FZ160</f>
        <v/>
      </c>
      <c r="GB160" s="15">
        <f>FV160+GA160</f>
        <v/>
      </c>
      <c r="GC160" s="14" t="n">
        <v>3787545.24</v>
      </c>
      <c r="GD160" s="14" t="n">
        <v>2295.36</v>
      </c>
      <c r="GE160" s="14" t="n">
        <v>2295.36</v>
      </c>
      <c r="GF160" s="14" t="n">
        <v>16821.98</v>
      </c>
      <c r="GG160" s="15">
        <f>GC160+GD160+GE160+GF160</f>
        <v/>
      </c>
      <c r="GH160" s="14" t="n">
        <v>0</v>
      </c>
      <c r="GI160" s="14" t="n">
        <v>0</v>
      </c>
      <c r="GJ160" s="14" t="n">
        <v>0</v>
      </c>
      <c r="GK160" s="14" t="n">
        <v>0</v>
      </c>
      <c r="GL160" s="15">
        <f>GH160+GI160+GJ160+GK160</f>
        <v/>
      </c>
      <c r="GM160" s="15">
        <f>GG160+GL160</f>
        <v/>
      </c>
      <c r="GN160" s="14" t="n">
        <v>300455.32</v>
      </c>
      <c r="GO160" s="14" t="n">
        <v>191.28</v>
      </c>
      <c r="GP160" s="14" t="n">
        <v>191.28</v>
      </c>
      <c r="GQ160" s="14" t="n">
        <v>9274.68</v>
      </c>
      <c r="GR160" s="15">
        <f>GN160+GO160+GP160+GQ160</f>
        <v/>
      </c>
      <c r="GS160" s="14" t="n">
        <v>510796</v>
      </c>
      <c r="GT160" s="14" t="n">
        <v>893</v>
      </c>
      <c r="GU160" s="14" t="n">
        <v>893</v>
      </c>
      <c r="GV160" s="14" t="n">
        <v>1786</v>
      </c>
      <c r="GW160" s="15">
        <f>GS160+GT160+GU160+GV160</f>
        <v/>
      </c>
      <c r="GX160" s="15">
        <f>GM160+GR160+GW160</f>
        <v/>
      </c>
      <c r="GY160" s="14" t="n">
        <v>44673267.74</v>
      </c>
      <c r="GZ160" s="14" t="n">
        <v>0</v>
      </c>
      <c r="HA160" s="15">
        <f>GY160+GZ160</f>
        <v/>
      </c>
      <c r="HB160" s="15">
        <f>IF(GX160=0,"",AU160/GX160)</f>
        <v/>
      </c>
      <c r="HC160" s="16">
        <f>IF((GX160+GY160)=0,"",GB160/(GX160+GY160))</f>
        <v/>
      </c>
      <c r="HD160" s="15">
        <f>IF(GX160=0,"",GB160/GX160)</f>
        <v/>
      </c>
      <c r="HE160" s="14" t="n">
        <v>71</v>
      </c>
      <c r="HF160" s="14" t="n">
        <v>1</v>
      </c>
      <c r="HG160" s="14" t="n">
        <v>51</v>
      </c>
      <c r="HH160" s="14" t="n">
        <v>8</v>
      </c>
      <c r="HI160" s="14" t="n">
        <v>3</v>
      </c>
      <c r="HJ160" s="15">
        <f>HF160+HI160</f>
        <v/>
      </c>
      <c r="HK160" s="16">
        <f>IF(HE160=0,"",HH160/HE160)</f>
        <v/>
      </c>
      <c r="HL160" s="14" t="n">
        <v>8</v>
      </c>
      <c r="HM160" s="14" t="n">
        <v>4</v>
      </c>
      <c r="HN160" s="17">
        <f>IF(HL160=0,"",HM160/HL160)</f>
        <v/>
      </c>
    </row>
    <row r="161">
      <c r="A161" s="6" t="inlineStr">
        <is>
          <t>Mulanje</t>
        </is>
      </c>
      <c r="B161" s="6" t="inlineStr">
        <is>
          <t>Muloza</t>
        </is>
      </c>
      <c r="C161" s="7" t="inlineStr">
        <is>
          <t>FY2025/26</t>
        </is>
      </c>
      <c r="D161" s="7" t="n">
        <v>2025</v>
      </c>
      <c r="E161" s="7" t="n">
        <v>6</v>
      </c>
      <c r="F161" s="7" t="inlineStr">
        <is>
          <t>June</t>
        </is>
      </c>
      <c r="G161" s="7" t="inlineStr">
        <is>
          <t>Q1</t>
        </is>
      </c>
      <c r="H161" s="8" t="n">
        <v>8412</v>
      </c>
      <c r="I161" s="8" t="n">
        <v>3481</v>
      </c>
      <c r="J161" s="8" t="n">
        <v>13</v>
      </c>
      <c r="K161" s="8" t="n">
        <v>0</v>
      </c>
      <c r="L161" s="8" t="n">
        <v>8</v>
      </c>
      <c r="M161" s="9">
        <f>SUM(I161,J161,K161,L161)</f>
        <v/>
      </c>
      <c r="N161" s="8" t="n">
        <v>2009.2</v>
      </c>
      <c r="O161" s="8" t="n">
        <v>38</v>
      </c>
      <c r="P161" s="8" t="n">
        <v>51</v>
      </c>
      <c r="Q161" s="8" t="n">
        <v>117</v>
      </c>
      <c r="R161" s="9">
        <f>SUM(N161,O161,P161,Q161)</f>
        <v/>
      </c>
      <c r="S161" s="9">
        <f>M161+R161</f>
        <v/>
      </c>
      <c r="T161" s="8" t="n">
        <v>2694.8</v>
      </c>
      <c r="U161" s="10">
        <f>IF(H161=0,"",T161/H161)</f>
        <v/>
      </c>
      <c r="V161" s="8" t="n">
        <v>15</v>
      </c>
      <c r="W161" s="11">
        <f>IF(H161=0,"",V161/H161)</f>
        <v/>
      </c>
      <c r="X161" s="8" t="n">
        <v>0</v>
      </c>
      <c r="Y161" s="11">
        <f>IF(H161=0,"",X161/H161)</f>
        <v/>
      </c>
      <c r="Z161" s="8" t="n">
        <v>0</v>
      </c>
      <c r="AA161" s="11">
        <f>IF(H161=0,"",Z161/H161)</f>
        <v/>
      </c>
      <c r="AB161" s="8" t="n">
        <v>0</v>
      </c>
      <c r="AC161" s="11">
        <f>IF(H161=0,"",AB161/H161)</f>
        <v/>
      </c>
      <c r="AD161" s="8" t="n">
        <v>0</v>
      </c>
      <c r="AE161" s="11">
        <f>IF(H161=0,"",AD161/H161)</f>
        <v/>
      </c>
      <c r="AF161" s="8" t="n">
        <v>0</v>
      </c>
      <c r="AG161" s="11">
        <f>IF(H161=0,"",AF161/H161)</f>
        <v/>
      </c>
      <c r="AH161" s="8" t="n">
        <v>76675.05</v>
      </c>
      <c r="AI161" s="9">
        <f>IF(H161=0,"",AH161/H161)</f>
        <v/>
      </c>
      <c r="AJ161" s="8" t="n">
        <v>12247</v>
      </c>
      <c r="AK161" s="11">
        <f>IF(H161=0,"",AJ161/H161)</f>
        <v/>
      </c>
      <c r="AL161" s="8" t="n">
        <v>1715716.1205</v>
      </c>
      <c r="AM161" s="9">
        <f>IF(H161=0,"",AL161/H161)</f>
        <v/>
      </c>
      <c r="AN161" s="8" t="n">
        <v>0</v>
      </c>
      <c r="AO161" s="8" t="n">
        <v>0</v>
      </c>
      <c r="AP161" s="8" t="n">
        <v>0</v>
      </c>
      <c r="AQ161" s="8" t="n">
        <v>0</v>
      </c>
      <c r="AR161" s="8" t="n">
        <v>5024589.29</v>
      </c>
      <c r="AS161" s="8" t="n">
        <v>1870928.66</v>
      </c>
      <c r="AT161" s="8" t="n">
        <v>1392079.6</v>
      </c>
      <c r="AU161" s="9">
        <f>AH161+AL161+AP161+AQ161+AR161+AS161+AT161</f>
        <v/>
      </c>
      <c r="AV161" s="9">
        <f>IF(H161=0,"",AU161/H161)</f>
        <v/>
      </c>
      <c r="AW161" s="9">
        <f>IF(S161=0,"",AU161/S161)</f>
        <v/>
      </c>
      <c r="AX161" s="8" t="n">
        <v>6</v>
      </c>
      <c r="AY161" s="9">
        <f>IF(H161=0,"",AX161/(H161/1000/12))</f>
        <v/>
      </c>
      <c r="AZ161" s="8" t="n">
        <v>8</v>
      </c>
      <c r="BA161" s="8" t="n">
        <v>54</v>
      </c>
      <c r="BB161" s="8" t="n">
        <v>0</v>
      </c>
      <c r="BC161" s="8" t="n">
        <v>0</v>
      </c>
      <c r="BD161" s="8" t="n">
        <v>0</v>
      </c>
      <c r="BE161" s="9">
        <f>BC161+BD161</f>
        <v/>
      </c>
      <c r="BF161" s="9">
        <f>BA161+BB161-BE161</f>
        <v/>
      </c>
      <c r="BG161" s="8" t="n">
        <v>0</v>
      </c>
      <c r="BH161" s="8" t="n">
        <v>0</v>
      </c>
      <c r="BI161" s="8" t="n">
        <v>0</v>
      </c>
      <c r="BJ161" s="8" t="n">
        <v>0</v>
      </c>
      <c r="BK161" s="9">
        <f>BI161+BJ161</f>
        <v/>
      </c>
      <c r="BL161" s="9">
        <f>BG161+BH161-BK161</f>
        <v/>
      </c>
      <c r="BM161" s="8" t="n">
        <v>5</v>
      </c>
      <c r="BN161" s="8" t="n">
        <v>0</v>
      </c>
      <c r="BO161" s="8" t="n">
        <v>0</v>
      </c>
      <c r="BP161" s="8" t="n">
        <v>0</v>
      </c>
      <c r="BQ161" s="9">
        <f>BO161+BP161</f>
        <v/>
      </c>
      <c r="BR161" s="9">
        <f>BM161+BN161-BQ161</f>
        <v/>
      </c>
      <c r="BS161" s="8" t="n">
        <v>0</v>
      </c>
      <c r="BT161" s="8" t="n">
        <v>0</v>
      </c>
      <c r="BU161" s="8" t="n">
        <v>0</v>
      </c>
      <c r="BV161" s="8" t="n">
        <v>0</v>
      </c>
      <c r="BW161" s="9">
        <f>BU161+BV161</f>
        <v/>
      </c>
      <c r="BX161" s="9">
        <f>BS161+BT161-BW161</f>
        <v/>
      </c>
      <c r="BY161" s="9">
        <f>BA161+BG161+BM161+BS161</f>
        <v/>
      </c>
      <c r="BZ161" s="9">
        <f>BB161+BH161+BN161+BT161</f>
        <v/>
      </c>
      <c r="CA161" s="9">
        <f>BE161+BK161+BQ161+BW161</f>
        <v/>
      </c>
      <c r="CB161" s="9">
        <f>BF161+BL161+BR161+BX161</f>
        <v/>
      </c>
      <c r="CC161" s="8" t="n">
        <v>0</v>
      </c>
      <c r="CD161" s="8" t="n">
        <v>420</v>
      </c>
      <c r="CE161" s="8" t="n">
        <v>17</v>
      </c>
      <c r="CF161" s="8" t="n">
        <v>71</v>
      </c>
      <c r="CG161" s="8" t="n">
        <v>0</v>
      </c>
      <c r="CH161" s="9">
        <f>CD161+CE161+CF161+CG161</f>
        <v/>
      </c>
      <c r="CI161" s="8" t="n">
        <v>531</v>
      </c>
      <c r="CJ161" s="8" t="n">
        <v>0</v>
      </c>
      <c r="CK161" s="8" t="n">
        <v>2</v>
      </c>
      <c r="CL161" s="8" t="n">
        <v>1</v>
      </c>
      <c r="CM161" s="9">
        <f>CI161+CJ161+CK161+CL161</f>
        <v/>
      </c>
      <c r="CN161" s="8" t="n">
        <v>502</v>
      </c>
      <c r="CO161" s="8" t="n">
        <v>31</v>
      </c>
      <c r="CP161" s="8" t="n">
        <v>46</v>
      </c>
      <c r="CQ161" s="8" t="n">
        <v>3</v>
      </c>
      <c r="CR161" s="9">
        <f>CN161+CO161+CP161+CQ161</f>
        <v/>
      </c>
      <c r="CS161" s="9">
        <f>CM161+CR161</f>
        <v/>
      </c>
      <c r="CT161" s="8" t="n">
        <v>1624</v>
      </c>
      <c r="CU161" s="8" t="n">
        <v>9810</v>
      </c>
      <c r="CV161" s="8" t="n">
        <v>8995</v>
      </c>
      <c r="CW161" s="10">
        <f>IF(CU161=0,"",CV161/CU161)</f>
        <v/>
      </c>
      <c r="CX161" s="8" t="n">
        <v>0</v>
      </c>
      <c r="CY161" s="8" t="n">
        <v>0</v>
      </c>
      <c r="CZ161" s="8" t="n">
        <v>0</v>
      </c>
      <c r="DA161" s="8" t="n">
        <v>0</v>
      </c>
      <c r="DB161" s="9">
        <f>CX161+CY161-CZ161-DA161</f>
        <v/>
      </c>
      <c r="DC161" s="8" t="n">
        <v>0</v>
      </c>
      <c r="DD161" s="8" t="n">
        <v>0</v>
      </c>
      <c r="DE161" s="8" t="n">
        <v>0</v>
      </c>
      <c r="DF161" s="8" t="n">
        <v>0</v>
      </c>
      <c r="DG161" s="9">
        <f>DC161+DD161-DE161-DF161</f>
        <v/>
      </c>
      <c r="DH161" s="8" t="n">
        <v>0</v>
      </c>
      <c r="DI161" s="8" t="n">
        <v>0</v>
      </c>
      <c r="DJ161" s="8" t="n">
        <v>0</v>
      </c>
      <c r="DK161" s="8" t="n">
        <v>0</v>
      </c>
      <c r="DL161" s="9">
        <f>DH161+DI161-DJ161-DK161</f>
        <v/>
      </c>
      <c r="DM161" s="8" t="n">
        <v>0</v>
      </c>
      <c r="DN161" s="8" t="n">
        <v>8</v>
      </c>
      <c r="DO161" s="8" t="n">
        <v>8</v>
      </c>
      <c r="DP161" s="8" t="n">
        <v>0</v>
      </c>
      <c r="DQ161" s="9">
        <f>DM161+DN161-DO161-DP161</f>
        <v/>
      </c>
      <c r="DR161" s="9">
        <f>CX161+DC161+DH161+DM161</f>
        <v/>
      </c>
      <c r="DS161" s="9">
        <f>CY161+DD161+DI161+DN161</f>
        <v/>
      </c>
      <c r="DT161" s="9">
        <f>CZ161+DE161+DJ161+DO161</f>
        <v/>
      </c>
      <c r="DU161" s="9">
        <f>DA161+DF161+DK161+DP161</f>
        <v/>
      </c>
      <c r="DV161" s="9">
        <f>DB161+DG161+DL161+DQ161</f>
        <v/>
      </c>
      <c r="DW161" s="8" t="n">
        <v>3</v>
      </c>
      <c r="DX161" s="8" t="n">
        <v>1</v>
      </c>
      <c r="DY161" s="8" t="n">
        <v>2</v>
      </c>
      <c r="DZ161" s="8" t="n">
        <v>2</v>
      </c>
      <c r="EA161" s="8" t="n">
        <v>0</v>
      </c>
      <c r="EB161" s="8" t="n">
        <v>0</v>
      </c>
      <c r="EC161" s="8" t="n">
        <v>0</v>
      </c>
      <c r="ED161" s="8" t="n">
        <v>0</v>
      </c>
      <c r="EE161" s="8" t="n">
        <v>0</v>
      </c>
      <c r="EF161" s="8" t="n">
        <v>3</v>
      </c>
      <c r="EG161" s="8" t="n">
        <v>0</v>
      </c>
      <c r="EH161" s="8" t="n">
        <v>0</v>
      </c>
      <c r="EI161" s="8" t="n">
        <v>0</v>
      </c>
      <c r="EJ161" s="8" t="n">
        <v>0</v>
      </c>
      <c r="EK161" s="8" t="n">
        <v>0</v>
      </c>
      <c r="EL161" s="8" t="n">
        <v>0</v>
      </c>
      <c r="EM161" s="8" t="n">
        <v>0</v>
      </c>
      <c r="EN161" s="8" t="n">
        <v>0</v>
      </c>
      <c r="EO161" s="8" t="n">
        <v>0</v>
      </c>
      <c r="EP161" s="8" t="n">
        <v>0</v>
      </c>
      <c r="EQ161" s="8" t="n">
        <v>0</v>
      </c>
      <c r="ER161" s="8" t="n">
        <v>0</v>
      </c>
      <c r="ES161" s="8" t="n">
        <v>0</v>
      </c>
      <c r="ET161" s="8" t="n">
        <v>0</v>
      </c>
      <c r="EU161" s="8" t="n">
        <v>0</v>
      </c>
      <c r="EV161" s="8" t="n">
        <v>0</v>
      </c>
      <c r="EW161" s="8" t="n">
        <v>0</v>
      </c>
      <c r="EX161" s="8" t="n">
        <v>0</v>
      </c>
      <c r="EY161" s="8" t="n">
        <v>0</v>
      </c>
      <c r="EZ161" s="8" t="n">
        <v>0</v>
      </c>
      <c r="FA161" s="8" t="n">
        <v>0</v>
      </c>
      <c r="FB161" s="8" t="n">
        <v>0</v>
      </c>
      <c r="FC161" s="8" t="n">
        <v>0</v>
      </c>
      <c r="FD161" s="8" t="n">
        <v>0</v>
      </c>
      <c r="FE161" s="8" t="n">
        <v>0</v>
      </c>
      <c r="FF161" s="8" t="n">
        <v>0</v>
      </c>
      <c r="FG161" s="9">
        <f>SUM(DW161,DX161,DY161,DZ161,EA161,EB161,EC161,ED161,EE161,EF161,EG161,EH161,EI161,EJ161,EK161,EL161,EM161,EN161,EO161,EP161,EQ161,ER161,ES161,ET161,EU161,EV161,EW161,EX161,EY161,EZ161,FA161,FB161,FC161,FD161,FE161,FF161)</f>
        <v/>
      </c>
      <c r="FH161" s="8" t="n">
        <v>0</v>
      </c>
      <c r="FI161" s="8" t="n">
        <v>0</v>
      </c>
      <c r="FJ161" s="8" t="n">
        <v>24</v>
      </c>
      <c r="FK161" s="8" t="n">
        <v>42</v>
      </c>
      <c r="FL161" s="8" t="n">
        <v>0</v>
      </c>
      <c r="FM161" s="8" t="n">
        <v>0</v>
      </c>
      <c r="FN161" s="8" t="n">
        <v>0</v>
      </c>
      <c r="FO161" s="8" t="n">
        <v>0</v>
      </c>
      <c r="FP161" s="8" t="n">
        <v>0</v>
      </c>
      <c r="FQ161" s="9">
        <f>FL161+FM161+FN161+FO161+FP161</f>
        <v/>
      </c>
      <c r="FR161" s="8" t="n">
        <v>4849907.22</v>
      </c>
      <c r="FS161" s="8" t="n">
        <v>0</v>
      </c>
      <c r="FT161" s="8" t="n">
        <v>0</v>
      </c>
      <c r="FU161" s="8" t="n">
        <v>0</v>
      </c>
      <c r="FV161" s="9">
        <f>FR161+FS161+FT161+FU161</f>
        <v/>
      </c>
      <c r="FW161" s="8" t="n">
        <v>3010194.090000004</v>
      </c>
      <c r="FX161" s="8" t="n">
        <v>8000</v>
      </c>
      <c r="FY161" s="8" t="n">
        <v>655557.95</v>
      </c>
      <c r="FZ161" s="8" t="n">
        <v>170450</v>
      </c>
      <c r="GA161" s="9">
        <f>FW161+FX161+FY161+FZ161</f>
        <v/>
      </c>
      <c r="GB161" s="9">
        <f>FV161+GA161</f>
        <v/>
      </c>
      <c r="GC161" s="8" t="n">
        <v>2998254.45</v>
      </c>
      <c r="GD161" s="8" t="n">
        <v>2486.64</v>
      </c>
      <c r="GE161" s="8" t="n">
        <v>2486.64</v>
      </c>
      <c r="GF161" s="8" t="n">
        <v>16821.98</v>
      </c>
      <c r="GG161" s="9">
        <f>GC161+GD161+GE161+GF161</f>
        <v/>
      </c>
      <c r="GH161" s="8" t="n">
        <v>0</v>
      </c>
      <c r="GI161" s="8" t="n">
        <v>0</v>
      </c>
      <c r="GJ161" s="8" t="n">
        <v>0</v>
      </c>
      <c r="GK161" s="8" t="n">
        <v>0</v>
      </c>
      <c r="GL161" s="9">
        <f>GH161+GI161+GJ161+GK161</f>
        <v/>
      </c>
      <c r="GM161" s="9">
        <f>GG161+GL161</f>
        <v/>
      </c>
      <c r="GN161" s="8" t="n">
        <v>278932.44</v>
      </c>
      <c r="GO161" s="8" t="n">
        <v>191.28</v>
      </c>
      <c r="GP161" s="8" t="n">
        <v>191.28</v>
      </c>
      <c r="GQ161" s="8" t="n">
        <v>9274.68</v>
      </c>
      <c r="GR161" s="9">
        <f>GN161+GO161+GP161+GQ161</f>
        <v/>
      </c>
      <c r="GS161" s="8" t="n">
        <v>474183</v>
      </c>
      <c r="GT161" s="8" t="n">
        <v>893</v>
      </c>
      <c r="GU161" s="8" t="n">
        <v>893</v>
      </c>
      <c r="GV161" s="8" t="n">
        <v>1786</v>
      </c>
      <c r="GW161" s="9">
        <f>GS161+GT161+GU161+GV161</f>
        <v/>
      </c>
      <c r="GX161" s="9">
        <f>GM161+GR161+GW161</f>
        <v/>
      </c>
      <c r="GY161" s="8" t="n">
        <v>43541183.99</v>
      </c>
      <c r="GZ161" s="8" t="n">
        <v>0</v>
      </c>
      <c r="HA161" s="9">
        <f>GY161+GZ161</f>
        <v/>
      </c>
      <c r="HB161" s="9">
        <f>IF(GX161=0,"",AU161/GX161)</f>
        <v/>
      </c>
      <c r="HC161" s="10">
        <f>IF((GX161+GY161)=0,"",GB161/(GX161+GY161))</f>
        <v/>
      </c>
      <c r="HD161" s="9">
        <f>IF(GX161=0,"",GB161/GX161)</f>
        <v/>
      </c>
      <c r="HE161" s="8" t="n">
        <v>0</v>
      </c>
      <c r="HF161" s="8" t="n">
        <v>1</v>
      </c>
      <c r="HG161" s="8" t="n">
        <v>59</v>
      </c>
      <c r="HH161" s="8" t="n">
        <v>0</v>
      </c>
      <c r="HI161" s="8" t="n">
        <v>3</v>
      </c>
      <c r="HJ161" s="9">
        <f>HF161+HI161</f>
        <v/>
      </c>
      <c r="HK161" s="10">
        <f>IF(HE161=0,"",HH161/HE161)</f>
        <v/>
      </c>
      <c r="HL161" s="8" t="n">
        <v>12</v>
      </c>
      <c r="HM161" s="8" t="n">
        <v>4</v>
      </c>
      <c r="HN161" s="11">
        <f>IF(HL161=0,"",HM161/HL161)</f>
        <v/>
      </c>
    </row>
    <row r="162">
      <c r="A162" s="12" t="inlineStr">
        <is>
          <t>Mulanje</t>
        </is>
      </c>
      <c r="B162" s="12" t="inlineStr">
        <is>
          <t>Muloza</t>
        </is>
      </c>
      <c r="C162" s="13" t="inlineStr">
        <is>
          <t>FY2025/26</t>
        </is>
      </c>
      <c r="D162" s="13" t="n">
        <v>2025</v>
      </c>
      <c r="E162" s="13" t="n">
        <v>7</v>
      </c>
      <c r="F162" s="13" t="inlineStr">
        <is>
          <t>July</t>
        </is>
      </c>
      <c r="G162" s="13" t="inlineStr">
        <is>
          <t>Q2</t>
        </is>
      </c>
      <c r="H162" s="14" t="n">
        <v>9308</v>
      </c>
      <c r="I162" s="14" t="n">
        <v>3829</v>
      </c>
      <c r="J162" s="14" t="n">
        <v>5</v>
      </c>
      <c r="K162" s="14" t="n">
        <v>10</v>
      </c>
      <c r="L162" s="14" t="n">
        <v>6</v>
      </c>
      <c r="M162" s="15">
        <f>SUM(I162,J162,K162,L162)</f>
        <v/>
      </c>
      <c r="N162" s="14" t="n">
        <v>2069.1</v>
      </c>
      <c r="O162" s="14" t="n">
        <v>38</v>
      </c>
      <c r="P162" s="14" t="n">
        <v>413.3</v>
      </c>
      <c r="Q162" s="14" t="n">
        <v>96.40000000000001</v>
      </c>
      <c r="R162" s="15">
        <f>SUM(N162,O162,P162,Q162)</f>
        <v/>
      </c>
      <c r="S162" s="15">
        <f>M162+R162</f>
        <v/>
      </c>
      <c r="T162" s="14" t="n">
        <v>2841.2</v>
      </c>
      <c r="U162" s="16">
        <f>IF(H162=0,"",T162/H162)</f>
        <v/>
      </c>
      <c r="V162" s="14" t="n">
        <v>15</v>
      </c>
      <c r="W162" s="17">
        <f>IF(H162=0,"",V162/H162)</f>
        <v/>
      </c>
      <c r="X162" s="14" t="n">
        <v>0</v>
      </c>
      <c r="Y162" s="17">
        <f>IF(H162=0,"",X162/H162)</f>
        <v/>
      </c>
      <c r="Z162" s="14" t="n">
        <v>0</v>
      </c>
      <c r="AA162" s="17">
        <f>IF(H162=0,"",Z162/H162)</f>
        <v/>
      </c>
      <c r="AB162" s="14" t="n">
        <v>0</v>
      </c>
      <c r="AC162" s="17">
        <f>IF(H162=0,"",AB162/H162)</f>
        <v/>
      </c>
      <c r="AD162" s="14" t="n">
        <v>0</v>
      </c>
      <c r="AE162" s="17">
        <f>IF(H162=0,"",AD162/H162)</f>
        <v/>
      </c>
      <c r="AF162" s="14" t="n">
        <v>0</v>
      </c>
      <c r="AG162" s="17">
        <f>IF(H162=0,"",AF162/H162)</f>
        <v/>
      </c>
      <c r="AH162" s="14" t="n">
        <v>76675.05</v>
      </c>
      <c r="AI162" s="15">
        <f>IF(H162=0,"",AH162/H162)</f>
        <v/>
      </c>
      <c r="AJ162" s="14" t="n">
        <v>8528</v>
      </c>
      <c r="AK162" s="17">
        <f>IF(H162=0,"",AJ162/H162)</f>
        <v/>
      </c>
      <c r="AL162" s="14" t="n">
        <v>1199699.292</v>
      </c>
      <c r="AM162" s="15">
        <f>IF(H162=0,"",AL162/H162)</f>
        <v/>
      </c>
      <c r="AN162" s="14" t="n">
        <v>0</v>
      </c>
      <c r="AO162" s="14" t="n">
        <v>0</v>
      </c>
      <c r="AP162" s="14" t="n">
        <v>0</v>
      </c>
      <c r="AQ162" s="14" t="n">
        <v>0</v>
      </c>
      <c r="AR162" s="14" t="n">
        <v>5246254.93</v>
      </c>
      <c r="AS162" s="14" t="n">
        <v>1735172.87</v>
      </c>
      <c r="AT162" s="14" t="n">
        <v>1263131.25</v>
      </c>
      <c r="AU162" s="15">
        <f>AH162+AL162+AP162+AQ162+AR162+AS162+AT162</f>
        <v/>
      </c>
      <c r="AV162" s="15">
        <f>IF(H162=0,"",AU162/H162)</f>
        <v/>
      </c>
      <c r="AW162" s="15">
        <f>IF(S162=0,"",AU162/S162)</f>
        <v/>
      </c>
      <c r="AX162" s="14" t="n">
        <v>6</v>
      </c>
      <c r="AY162" s="15">
        <f>IF(H162=0,"",AX162/(H162/1000/12))</f>
        <v/>
      </c>
      <c r="AZ162" s="14" t="n">
        <v>8</v>
      </c>
      <c r="BA162" s="14" t="n">
        <v>54</v>
      </c>
      <c r="BB162" s="14" t="n">
        <v>12</v>
      </c>
      <c r="BC162" s="14" t="n">
        <v>0</v>
      </c>
      <c r="BD162" s="14" t="n">
        <v>9</v>
      </c>
      <c r="BE162" s="15">
        <f>BC162+BD162</f>
        <v/>
      </c>
      <c r="BF162" s="15">
        <f>BA162+BB162-BE162</f>
        <v/>
      </c>
      <c r="BG162" s="14" t="n">
        <v>0</v>
      </c>
      <c r="BH162" s="14" t="n">
        <v>0</v>
      </c>
      <c r="BI162" s="14" t="n">
        <v>0</v>
      </c>
      <c r="BJ162" s="14" t="n">
        <v>0</v>
      </c>
      <c r="BK162" s="15">
        <f>BI162+BJ162</f>
        <v/>
      </c>
      <c r="BL162" s="15">
        <f>BG162+BH162-BK162</f>
        <v/>
      </c>
      <c r="BM162" s="14" t="n">
        <v>5</v>
      </c>
      <c r="BN162" s="14" t="n">
        <v>4</v>
      </c>
      <c r="BO162" s="14" t="n">
        <v>0</v>
      </c>
      <c r="BP162" s="14" t="n">
        <v>1</v>
      </c>
      <c r="BQ162" s="15">
        <f>BO162+BP162</f>
        <v/>
      </c>
      <c r="BR162" s="15">
        <f>BM162+BN162-BQ162</f>
        <v/>
      </c>
      <c r="BS162" s="14" t="n">
        <v>0</v>
      </c>
      <c r="BT162" s="14" t="n">
        <v>0</v>
      </c>
      <c r="BU162" s="14" t="n">
        <v>0</v>
      </c>
      <c r="BV162" s="14" t="n">
        <v>0</v>
      </c>
      <c r="BW162" s="15">
        <f>BU162+BV162</f>
        <v/>
      </c>
      <c r="BX162" s="15">
        <f>BS162+BT162-BW162</f>
        <v/>
      </c>
      <c r="BY162" s="15">
        <f>BA162+BG162+BM162+BS162</f>
        <v/>
      </c>
      <c r="BZ162" s="15">
        <f>BB162+BH162+BN162+BT162</f>
        <v/>
      </c>
      <c r="CA162" s="15">
        <f>BE162+BK162+BQ162+BW162</f>
        <v/>
      </c>
      <c r="CB162" s="15">
        <f>BF162+BL162+BR162+BX162</f>
        <v/>
      </c>
      <c r="CC162" s="14" t="n">
        <v>10</v>
      </c>
      <c r="CD162" s="14" t="n">
        <v>441</v>
      </c>
      <c r="CE162" s="14" t="n">
        <v>17</v>
      </c>
      <c r="CF162" s="14" t="n">
        <v>71</v>
      </c>
      <c r="CG162" s="14" t="n">
        <v>0</v>
      </c>
      <c r="CH162" s="15">
        <f>CD162+CE162+CF162+CG162</f>
        <v/>
      </c>
      <c r="CI162" s="14" t="n">
        <v>491</v>
      </c>
      <c r="CJ162" s="14" t="n">
        <v>1</v>
      </c>
      <c r="CK162" s="14" t="n">
        <v>2</v>
      </c>
      <c r="CL162" s="14" t="n">
        <v>1</v>
      </c>
      <c r="CM162" s="15">
        <f>CI162+CJ162+CK162+CL162</f>
        <v/>
      </c>
      <c r="CN162" s="14" t="n">
        <v>528</v>
      </c>
      <c r="CO162" s="14" t="n">
        <v>31</v>
      </c>
      <c r="CP162" s="14" t="n">
        <v>48</v>
      </c>
      <c r="CQ162" s="14" t="n">
        <v>2</v>
      </c>
      <c r="CR162" s="15">
        <f>CN162+CO162+CP162+CQ162</f>
        <v/>
      </c>
      <c r="CS162" s="15">
        <f>CM162+CR162</f>
        <v/>
      </c>
      <c r="CT162" s="14" t="n">
        <v>1633</v>
      </c>
      <c r="CU162" s="14" t="n">
        <v>9810</v>
      </c>
      <c r="CV162" s="14" t="n">
        <v>8995</v>
      </c>
      <c r="CW162" s="16">
        <f>IF(CU162=0,"",CV162/CU162)</f>
        <v/>
      </c>
      <c r="CX162" s="14" t="n">
        <v>0</v>
      </c>
      <c r="CY162" s="14" t="n">
        <v>0</v>
      </c>
      <c r="CZ162" s="14" t="n">
        <v>0</v>
      </c>
      <c r="DA162" s="14" t="n">
        <v>0</v>
      </c>
      <c r="DB162" s="15">
        <f>CX162+CY162-CZ162-DA162</f>
        <v/>
      </c>
      <c r="DC162" s="14" t="n">
        <v>0</v>
      </c>
      <c r="DD162" s="14" t="n">
        <v>0</v>
      </c>
      <c r="DE162" s="14" t="n">
        <v>0</v>
      </c>
      <c r="DF162" s="14" t="n">
        <v>0</v>
      </c>
      <c r="DG162" s="15">
        <f>DC162+DD162-DE162-DF162</f>
        <v/>
      </c>
      <c r="DH162" s="14" t="n">
        <v>0</v>
      </c>
      <c r="DI162" s="14" t="n">
        <v>0</v>
      </c>
      <c r="DJ162" s="14" t="n">
        <v>0</v>
      </c>
      <c r="DK162" s="14" t="n">
        <v>0</v>
      </c>
      <c r="DL162" s="15">
        <f>DH162+DI162-DJ162-DK162</f>
        <v/>
      </c>
      <c r="DM162" s="14" t="n">
        <v>0</v>
      </c>
      <c r="DN162" s="14" t="n">
        <v>14</v>
      </c>
      <c r="DO162" s="14" t="n">
        <v>14</v>
      </c>
      <c r="DP162" s="14" t="n">
        <v>0</v>
      </c>
      <c r="DQ162" s="15">
        <f>DM162+DN162-DO162-DP162</f>
        <v/>
      </c>
      <c r="DR162" s="15">
        <f>CX162+DC162+DH162+DM162</f>
        <v/>
      </c>
      <c r="DS162" s="15">
        <f>CY162+DD162+DI162+DN162</f>
        <v/>
      </c>
      <c r="DT162" s="15">
        <f>CZ162+DE162+DJ162+DO162</f>
        <v/>
      </c>
      <c r="DU162" s="15">
        <f>DA162+DF162+DK162+DP162</f>
        <v/>
      </c>
      <c r="DV162" s="15">
        <f>DB162+DG162+DL162+DQ162</f>
        <v/>
      </c>
      <c r="DW162" s="14" t="n">
        <v>12</v>
      </c>
      <c r="DX162" s="14" t="n">
        <v>7</v>
      </c>
      <c r="DY162" s="14" t="n">
        <v>5</v>
      </c>
      <c r="DZ162" s="14" t="n">
        <v>5</v>
      </c>
      <c r="EA162" s="14" t="n">
        <v>0</v>
      </c>
      <c r="EB162" s="14" t="n">
        <v>0</v>
      </c>
      <c r="EC162" s="14" t="n">
        <v>0</v>
      </c>
      <c r="ED162" s="14" t="n">
        <v>0</v>
      </c>
      <c r="EE162" s="14" t="n">
        <v>0</v>
      </c>
      <c r="EF162" s="14" t="n">
        <v>0</v>
      </c>
      <c r="EG162" s="14" t="n">
        <v>0</v>
      </c>
      <c r="EH162" s="14" t="n">
        <v>0</v>
      </c>
      <c r="EI162" s="14" t="n">
        <v>0</v>
      </c>
      <c r="EJ162" s="14" t="n">
        <v>0</v>
      </c>
      <c r="EK162" s="14" t="n">
        <v>0</v>
      </c>
      <c r="EL162" s="14" t="n">
        <v>0</v>
      </c>
      <c r="EM162" s="14" t="n">
        <v>0</v>
      </c>
      <c r="EN162" s="14" t="n">
        <v>0</v>
      </c>
      <c r="EO162" s="14" t="n">
        <v>0</v>
      </c>
      <c r="EP162" s="14" t="n">
        <v>0</v>
      </c>
      <c r="EQ162" s="14" t="n">
        <v>0</v>
      </c>
      <c r="ER162" s="14" t="n">
        <v>0</v>
      </c>
      <c r="ES162" s="14" t="n">
        <v>0</v>
      </c>
      <c r="ET162" s="14" t="n">
        <v>0</v>
      </c>
      <c r="EU162" s="14" t="n">
        <v>0</v>
      </c>
      <c r="EV162" s="14" t="n">
        <v>0</v>
      </c>
      <c r="EW162" s="14" t="n">
        <v>0</v>
      </c>
      <c r="EX162" s="14" t="n">
        <v>0</v>
      </c>
      <c r="EY162" s="14" t="n">
        <v>0</v>
      </c>
      <c r="EZ162" s="14" t="n">
        <v>0</v>
      </c>
      <c r="FA162" s="14" t="n">
        <v>0</v>
      </c>
      <c r="FB162" s="14" t="n">
        <v>0</v>
      </c>
      <c r="FC162" s="14" t="n">
        <v>0</v>
      </c>
      <c r="FD162" s="14" t="n">
        <v>0</v>
      </c>
      <c r="FE162" s="14" t="n">
        <v>0</v>
      </c>
      <c r="FF162" s="14" t="n">
        <v>0</v>
      </c>
      <c r="FG162" s="15">
        <f>SUM(DW162,DX162,DY162,DZ162,EA162,EB162,EC162,ED162,EE162,EF162,EG162,EH162,EI162,EJ162,EK162,EL162,EM162,EN162,EO162,EP162,EQ162,ER162,ES162,ET162,EU162,EV162,EW162,EX162,EY162,EZ162,FA162,FB162,FC162,FD162,FE162,FF162)</f>
        <v/>
      </c>
      <c r="FH162" s="14" t="n">
        <v>0</v>
      </c>
      <c r="FI162" s="14" t="n">
        <v>0</v>
      </c>
      <c r="FJ162" s="14" t="n">
        <v>24</v>
      </c>
      <c r="FK162" s="14" t="n">
        <v>72</v>
      </c>
      <c r="FL162" s="14" t="n">
        <v>0</v>
      </c>
      <c r="FM162" s="14" t="n">
        <v>0</v>
      </c>
      <c r="FN162" s="14" t="n">
        <v>0</v>
      </c>
      <c r="FO162" s="14" t="n">
        <v>0</v>
      </c>
      <c r="FP162" s="14" t="n">
        <v>0</v>
      </c>
      <c r="FQ162" s="15">
        <f>FL162+FM162+FN162+FO162+FP162</f>
        <v/>
      </c>
      <c r="FR162" s="14" t="n">
        <v>7397239.32</v>
      </c>
      <c r="FS162" s="14" t="n">
        <v>5400</v>
      </c>
      <c r="FT162" s="14" t="n">
        <v>27200</v>
      </c>
      <c r="FU162" s="14" t="n">
        <v>100400</v>
      </c>
      <c r="FV162" s="15">
        <f>FR162+FS162+FT162+FU162</f>
        <v/>
      </c>
      <c r="FW162" s="14" t="n">
        <v>2846531.580000004</v>
      </c>
      <c r="FX162" s="14" t="n">
        <v>8000</v>
      </c>
      <c r="FY162" s="14" t="n">
        <v>463600</v>
      </c>
      <c r="FZ162" s="14" t="n">
        <v>1267300</v>
      </c>
      <c r="GA162" s="15">
        <f>FW162+FX162+FY162+FZ162</f>
        <v/>
      </c>
      <c r="GB162" s="15">
        <f>FV162+GA162</f>
        <v/>
      </c>
      <c r="GC162" s="14" t="n">
        <v>3400866.55</v>
      </c>
      <c r="GD162" s="14" t="n">
        <v>956.4</v>
      </c>
      <c r="GE162" s="14" t="n">
        <v>24383.95</v>
      </c>
      <c r="GF162" s="14" t="n">
        <v>16821.98</v>
      </c>
      <c r="GG162" s="15">
        <f>GC162+GD162+GE162+GF162</f>
        <v/>
      </c>
      <c r="GH162" s="14" t="n">
        <v>3443028.88</v>
      </c>
      <c r="GI162" s="14" t="n">
        <v>0</v>
      </c>
      <c r="GJ162" s="14" t="n">
        <v>0</v>
      </c>
      <c r="GK162" s="14" t="n">
        <v>0</v>
      </c>
      <c r="GL162" s="15">
        <f>GH162+GI162+GJ162+GK162</f>
        <v/>
      </c>
      <c r="GM162" s="15">
        <f>GG162+GL162</f>
        <v/>
      </c>
      <c r="GN162" s="14" t="n">
        <v>257790.64</v>
      </c>
      <c r="GO162" s="14" t="n">
        <v>191.28</v>
      </c>
      <c r="GP162" s="14" t="n">
        <v>3393.64</v>
      </c>
      <c r="GQ162" s="14" t="n">
        <v>9274.68</v>
      </c>
      <c r="GR162" s="15">
        <f>GN162+GO162+GP162+GQ162</f>
        <v/>
      </c>
      <c r="GS162" s="14" t="n">
        <v>438463</v>
      </c>
      <c r="GT162" s="14" t="n">
        <v>893</v>
      </c>
      <c r="GU162" s="14" t="n">
        <v>893</v>
      </c>
      <c r="GV162" s="14" t="n">
        <v>1786</v>
      </c>
      <c r="GW162" s="15">
        <f>GS162+GT162+GU162+GV162</f>
        <v/>
      </c>
      <c r="GX162" s="15">
        <f>GM162+GR162+GW162</f>
        <v/>
      </c>
      <c r="GY162" s="14" t="n">
        <v>40331550.58</v>
      </c>
      <c r="GZ162" s="14" t="n">
        <v>0</v>
      </c>
      <c r="HA162" s="15">
        <f>GY162+GZ162</f>
        <v/>
      </c>
      <c r="HB162" s="15">
        <f>IF(GX162=0,"",AU162/GX162)</f>
        <v/>
      </c>
      <c r="HC162" s="16">
        <f>IF((GX162+GY162)=0,"",GB162/(GX162+GY162))</f>
        <v/>
      </c>
      <c r="HD162" s="15">
        <f>IF(GX162=0,"",GB162/GX162)</f>
        <v/>
      </c>
      <c r="HE162" s="14" t="n">
        <v>16</v>
      </c>
      <c r="HF162" s="14" t="n">
        <v>1</v>
      </c>
      <c r="HG162" s="14" t="n">
        <v>65</v>
      </c>
      <c r="HH162" s="14" t="n">
        <v>16</v>
      </c>
      <c r="HI162" s="14" t="n">
        <v>3</v>
      </c>
      <c r="HJ162" s="15">
        <f>HF162+HI162</f>
        <v/>
      </c>
      <c r="HK162" s="16">
        <f>IF(HE162=0,"",HH162/HE162)</f>
        <v/>
      </c>
      <c r="HL162" s="14" t="n">
        <v>8</v>
      </c>
      <c r="HM162" s="14" t="n">
        <v>4</v>
      </c>
      <c r="HN162" s="17">
        <f>IF(HL162=0,"",HM162/HL162)</f>
        <v/>
      </c>
    </row>
    <row r="163">
      <c r="A163" s="6" t="inlineStr">
        <is>
          <t>Mulanje</t>
        </is>
      </c>
      <c r="B163" s="6" t="inlineStr">
        <is>
          <t>Muloza</t>
        </is>
      </c>
      <c r="C163" s="7" t="inlineStr">
        <is>
          <t>FY2025/26</t>
        </is>
      </c>
      <c r="D163" s="7" t="n">
        <v>2025</v>
      </c>
      <c r="E163" s="7" t="n">
        <v>8</v>
      </c>
      <c r="F163" s="7" t="inlineStr">
        <is>
          <t>August</t>
        </is>
      </c>
      <c r="G163" s="7" t="inlineStr">
        <is>
          <t>Q2</t>
        </is>
      </c>
      <c r="H163" s="8" t="n">
        <v>7805</v>
      </c>
      <c r="I163" s="8" t="n">
        <v>2778</v>
      </c>
      <c r="J163" s="8" t="n">
        <v>6</v>
      </c>
      <c r="K163" s="8" t="n">
        <v>4</v>
      </c>
      <c r="L163" s="8" t="n">
        <v>8</v>
      </c>
      <c r="M163" s="9">
        <f>SUM(I163,J163,K163,L163)</f>
        <v/>
      </c>
      <c r="N163" s="8" t="n">
        <v>2081</v>
      </c>
      <c r="O163" s="8" t="n">
        <v>16</v>
      </c>
      <c r="P163" s="8" t="n">
        <v>51</v>
      </c>
      <c r="Q163" s="8" t="n">
        <v>270</v>
      </c>
      <c r="R163" s="9">
        <f>SUM(N163,O163,P163,Q163)</f>
        <v/>
      </c>
      <c r="S163" s="9">
        <f>M163+R163</f>
        <v/>
      </c>
      <c r="T163" s="8" t="n">
        <v>2591</v>
      </c>
      <c r="U163" s="10">
        <f>IF(H163=0,"",T163/H163)</f>
        <v/>
      </c>
      <c r="V163" s="8" t="n">
        <v>15</v>
      </c>
      <c r="W163" s="11">
        <f>IF(H163=0,"",V163/H163)</f>
        <v/>
      </c>
      <c r="X163" s="8" t="n">
        <v>0</v>
      </c>
      <c r="Y163" s="11">
        <f>IF(H163=0,"",X163/H163)</f>
        <v/>
      </c>
      <c r="Z163" s="8" t="n">
        <v>0</v>
      </c>
      <c r="AA163" s="11">
        <f>IF(H163=0,"",Z163/H163)</f>
        <v/>
      </c>
      <c r="AB163" s="8" t="n">
        <v>0</v>
      </c>
      <c r="AC163" s="11">
        <f>IF(H163=0,"",AB163/H163)</f>
        <v/>
      </c>
      <c r="AD163" s="8" t="n">
        <v>0</v>
      </c>
      <c r="AE163" s="11">
        <f>IF(H163=0,"",AD163/H163)</f>
        <v/>
      </c>
      <c r="AF163" s="8" t="n">
        <v>0</v>
      </c>
      <c r="AG163" s="11">
        <f>IF(H163=0,"",AF163/H163)</f>
        <v/>
      </c>
      <c r="AH163" s="8" t="n">
        <v>76675.05</v>
      </c>
      <c r="AI163" s="9">
        <f>IF(H163=0,"",AH163/H163)</f>
        <v/>
      </c>
      <c r="AJ163" s="8" t="n">
        <v>9815</v>
      </c>
      <c r="AK163" s="11">
        <f>IF(H163=0,"",AJ163/H163)</f>
        <v/>
      </c>
      <c r="AL163" s="8" t="n">
        <v>1378272.4725</v>
      </c>
      <c r="AM163" s="9">
        <f>IF(H163=0,"",AL163/H163)</f>
        <v/>
      </c>
      <c r="AN163" s="8" t="n">
        <v>0</v>
      </c>
      <c r="AO163" s="8" t="n">
        <v>0</v>
      </c>
      <c r="AP163" s="8" t="n">
        <v>0</v>
      </c>
      <c r="AQ163" s="8" t="n">
        <v>0</v>
      </c>
      <c r="AR163" s="8" t="n">
        <v>5253130.06</v>
      </c>
      <c r="AS163" s="8" t="n">
        <v>1481239.96</v>
      </c>
      <c r="AT163" s="8" t="n">
        <v>2987210</v>
      </c>
      <c r="AU163" s="9">
        <f>AH163+AL163+AP163+AQ163+AR163+AS163+AT163</f>
        <v/>
      </c>
      <c r="AV163" s="9">
        <f>IF(H163=0,"",AU163/H163)</f>
        <v/>
      </c>
      <c r="AW163" s="9">
        <f>IF(S163=0,"",AU163/S163)</f>
        <v/>
      </c>
      <c r="AX163" s="8" t="n">
        <v>6</v>
      </c>
      <c r="AY163" s="9">
        <f>IF(H163=0,"",AX163/(H163/1000/12))</f>
        <v/>
      </c>
      <c r="AZ163" s="8" t="n">
        <v>8</v>
      </c>
      <c r="BA163" s="8" t="n">
        <v>57</v>
      </c>
      <c r="BB163" s="8" t="n">
        <v>13</v>
      </c>
      <c r="BC163" s="8" t="n">
        <v>0</v>
      </c>
      <c r="BD163" s="8" t="n">
        <v>13</v>
      </c>
      <c r="BE163" s="9">
        <f>BC163+BD163</f>
        <v/>
      </c>
      <c r="BF163" s="9">
        <f>BA163+BB163-BE163</f>
        <v/>
      </c>
      <c r="BG163" s="8" t="n">
        <v>0</v>
      </c>
      <c r="BH163" s="8" t="n">
        <v>0</v>
      </c>
      <c r="BI163" s="8" t="n">
        <v>0</v>
      </c>
      <c r="BJ163" s="8" t="n">
        <v>0</v>
      </c>
      <c r="BK163" s="9">
        <f>BI163+BJ163</f>
        <v/>
      </c>
      <c r="BL163" s="9">
        <f>BG163+BH163-BK163</f>
        <v/>
      </c>
      <c r="BM163" s="8" t="n">
        <v>8</v>
      </c>
      <c r="BN163" s="8" t="n">
        <v>0</v>
      </c>
      <c r="BO163" s="8" t="n">
        <v>0</v>
      </c>
      <c r="BP163" s="8" t="n">
        <v>1</v>
      </c>
      <c r="BQ163" s="9">
        <f>BO163+BP163</f>
        <v/>
      </c>
      <c r="BR163" s="9">
        <f>BM163+BN163-BQ163</f>
        <v/>
      </c>
      <c r="BS163" s="8" t="n">
        <v>0</v>
      </c>
      <c r="BT163" s="8" t="n">
        <v>0</v>
      </c>
      <c r="BU163" s="8" t="n">
        <v>0</v>
      </c>
      <c r="BV163" s="8" t="n">
        <v>0</v>
      </c>
      <c r="BW163" s="9">
        <f>BU163+BV163</f>
        <v/>
      </c>
      <c r="BX163" s="9">
        <f>BS163+BT163-BW163</f>
        <v/>
      </c>
      <c r="BY163" s="9">
        <f>BA163+BG163+BM163+BS163</f>
        <v/>
      </c>
      <c r="BZ163" s="9">
        <f>BB163+BH163+BN163+BT163</f>
        <v/>
      </c>
      <c r="CA163" s="9">
        <f>BE163+BK163+BQ163+BW163</f>
        <v/>
      </c>
      <c r="CB163" s="9">
        <f>BF163+BL163+BR163+BX163</f>
        <v/>
      </c>
      <c r="CC163" s="8" t="n">
        <v>14</v>
      </c>
      <c r="CD163" s="8" t="n">
        <v>416</v>
      </c>
      <c r="CE163" s="8" t="n">
        <v>17</v>
      </c>
      <c r="CF163" s="8" t="n">
        <v>71</v>
      </c>
      <c r="CG163" s="8" t="n">
        <v>0</v>
      </c>
      <c r="CH163" s="9">
        <f>CD163+CE163+CF163+CG163</f>
        <v/>
      </c>
      <c r="CI163" s="8" t="n">
        <v>505</v>
      </c>
      <c r="CJ163" s="8" t="n">
        <v>1</v>
      </c>
      <c r="CK163" s="8" t="n">
        <v>2</v>
      </c>
      <c r="CL163" s="8" t="n">
        <v>1</v>
      </c>
      <c r="CM163" s="9">
        <f>CI163+CJ163+CK163+CL163</f>
        <v/>
      </c>
      <c r="CN163" s="8" t="n">
        <v>561</v>
      </c>
      <c r="CO163" s="8" t="n">
        <v>31</v>
      </c>
      <c r="CP163" s="8" t="n">
        <v>47</v>
      </c>
      <c r="CQ163" s="8" t="n">
        <v>2</v>
      </c>
      <c r="CR163" s="9">
        <f>CN163+CO163+CP163+CQ163</f>
        <v/>
      </c>
      <c r="CS163" s="9">
        <f>CM163+CR163</f>
        <v/>
      </c>
      <c r="CT163" s="8" t="n">
        <v>1654</v>
      </c>
      <c r="CU163" s="8" t="n">
        <v>9810</v>
      </c>
      <c r="CV163" s="8" t="n">
        <v>8995</v>
      </c>
      <c r="CW163" s="10">
        <f>IF(CU163=0,"",CV163/CU163)</f>
        <v/>
      </c>
      <c r="CX163" s="8" t="n">
        <v>0</v>
      </c>
      <c r="CY163" s="8" t="n">
        <v>0</v>
      </c>
      <c r="CZ163" s="8" t="n">
        <v>0</v>
      </c>
      <c r="DA163" s="8" t="n">
        <v>0</v>
      </c>
      <c r="DB163" s="9">
        <f>CX163+CY163-CZ163-DA163</f>
        <v/>
      </c>
      <c r="DC163" s="8" t="n">
        <v>0</v>
      </c>
      <c r="DD163" s="8" t="n">
        <v>0</v>
      </c>
      <c r="DE163" s="8" t="n">
        <v>0</v>
      </c>
      <c r="DF163" s="8" t="n">
        <v>0</v>
      </c>
      <c r="DG163" s="9">
        <f>DC163+DD163-DE163-DF163</f>
        <v/>
      </c>
      <c r="DH163" s="8" t="n">
        <v>0</v>
      </c>
      <c r="DI163" s="8" t="n">
        <v>0</v>
      </c>
      <c r="DJ163" s="8" t="n">
        <v>0</v>
      </c>
      <c r="DK163" s="8" t="n">
        <v>0</v>
      </c>
      <c r="DL163" s="9">
        <f>DH163+DI163-DJ163-DK163</f>
        <v/>
      </c>
      <c r="DM163" s="8" t="n">
        <v>0</v>
      </c>
      <c r="DN163" s="8" t="n">
        <v>0</v>
      </c>
      <c r="DO163" s="8" t="n">
        <v>0</v>
      </c>
      <c r="DP163" s="8" t="n">
        <v>0</v>
      </c>
      <c r="DQ163" s="9">
        <f>DM163+DN163-DO163-DP163</f>
        <v/>
      </c>
      <c r="DR163" s="9">
        <f>CX163+DC163+DH163+DM163</f>
        <v/>
      </c>
      <c r="DS163" s="9">
        <f>CY163+DD163+DI163+DN163</f>
        <v/>
      </c>
      <c r="DT163" s="9">
        <f>CZ163+DE163+DJ163+DO163</f>
        <v/>
      </c>
      <c r="DU163" s="9">
        <f>DA163+DF163+DK163+DP163</f>
        <v/>
      </c>
      <c r="DV163" s="9">
        <f>DB163+DG163+DL163+DQ163</f>
        <v/>
      </c>
      <c r="DW163" s="8" t="n">
        <v>6</v>
      </c>
      <c r="DX163" s="8" t="n">
        <v>6</v>
      </c>
      <c r="DY163" s="8" t="n">
        <v>6</v>
      </c>
      <c r="DZ163" s="8" t="n">
        <v>0</v>
      </c>
      <c r="EA163" s="8" t="n">
        <v>1</v>
      </c>
      <c r="EB163" s="8" t="n">
        <v>1</v>
      </c>
      <c r="EC163" s="8" t="n">
        <v>0</v>
      </c>
      <c r="ED163" s="8" t="n">
        <v>0</v>
      </c>
      <c r="EE163" s="8" t="n">
        <v>0</v>
      </c>
      <c r="EF163" s="8" t="n">
        <v>1</v>
      </c>
      <c r="EG163" s="8" t="n">
        <v>0</v>
      </c>
      <c r="EH163" s="8" t="n">
        <v>0</v>
      </c>
      <c r="EI163" s="8" t="n">
        <v>0</v>
      </c>
      <c r="EJ163" s="8" t="n">
        <v>0</v>
      </c>
      <c r="EK163" s="8" t="n">
        <v>0</v>
      </c>
      <c r="EL163" s="8" t="n">
        <v>0</v>
      </c>
      <c r="EM163" s="8" t="n">
        <v>0</v>
      </c>
      <c r="EN163" s="8" t="n">
        <v>0</v>
      </c>
      <c r="EO163" s="8" t="n">
        <v>0</v>
      </c>
      <c r="EP163" s="8" t="n">
        <v>0</v>
      </c>
      <c r="EQ163" s="8" t="n">
        <v>0</v>
      </c>
      <c r="ER163" s="8" t="n">
        <v>0</v>
      </c>
      <c r="ES163" s="8" t="n">
        <v>0</v>
      </c>
      <c r="ET163" s="8" t="n">
        <v>0</v>
      </c>
      <c r="EU163" s="8" t="n">
        <v>0</v>
      </c>
      <c r="EV163" s="8" t="n">
        <v>0</v>
      </c>
      <c r="EW163" s="8" t="n">
        <v>0</v>
      </c>
      <c r="EX163" s="8" t="n">
        <v>0</v>
      </c>
      <c r="EY163" s="8" t="n">
        <v>0</v>
      </c>
      <c r="EZ163" s="8" t="n">
        <v>0</v>
      </c>
      <c r="FA163" s="8" t="n">
        <v>0</v>
      </c>
      <c r="FB163" s="8" t="n">
        <v>0</v>
      </c>
      <c r="FC163" s="8" t="n">
        <v>0</v>
      </c>
      <c r="FD163" s="8" t="n">
        <v>0</v>
      </c>
      <c r="FE163" s="8" t="n">
        <v>0</v>
      </c>
      <c r="FF163" s="8" t="n">
        <v>0</v>
      </c>
      <c r="FG163" s="9">
        <f>SUM(DW163,DX163,DY163,DZ163,EA163,EB163,EC163,ED163,EE163,EF163,EG163,EH163,EI163,EJ163,EK163,EL163,EM163,EN163,EO163,EP163,EQ163,ER163,ES163,ET163,EU163,EV163,EW163,EX163,EY163,EZ163,FA163,FB163,FC163,FD163,FE163,FF163)</f>
        <v/>
      </c>
      <c r="FH163" s="8" t="n">
        <v>0</v>
      </c>
      <c r="FI163" s="8" t="n">
        <v>0</v>
      </c>
      <c r="FJ163" s="8" t="n">
        <v>24</v>
      </c>
      <c r="FK163" s="8" t="n">
        <v>48</v>
      </c>
      <c r="FL163" s="8" t="n">
        <v>0</v>
      </c>
      <c r="FM163" s="8" t="n">
        <v>0</v>
      </c>
      <c r="FN163" s="8" t="n">
        <v>0</v>
      </c>
      <c r="FO163" s="8" t="n">
        <v>0</v>
      </c>
      <c r="FP163" s="8" t="n">
        <v>0</v>
      </c>
      <c r="FQ163" s="9">
        <f>FL163+FM163+FN163+FO163+FP163</f>
        <v/>
      </c>
      <c r="FR163" s="8" t="n">
        <v>1772380</v>
      </c>
      <c r="FS163" s="8" t="n">
        <v>3000</v>
      </c>
      <c r="FT163" s="8" t="n">
        <v>3000</v>
      </c>
      <c r="FU163" s="8" t="n">
        <v>28700</v>
      </c>
      <c r="FV163" s="9">
        <f>FR163+FS163+FT163+FU163</f>
        <v/>
      </c>
      <c r="FW163" s="8" t="n">
        <v>2759044.440000006</v>
      </c>
      <c r="FX163" s="8" t="n">
        <v>3306.22</v>
      </c>
      <c r="FY163" s="8" t="n">
        <v>177750</v>
      </c>
      <c r="FZ163" s="8" t="n">
        <v>1245100</v>
      </c>
      <c r="GA163" s="9">
        <f>FW163+FX163+FY163+FZ163</f>
        <v/>
      </c>
      <c r="GB163" s="9">
        <f>FV163+GA163</f>
        <v/>
      </c>
      <c r="GC163" s="8" t="n">
        <v>2453331.73</v>
      </c>
      <c r="GD163" s="8" t="n">
        <v>1147.68</v>
      </c>
      <c r="GE163" s="8" t="n">
        <v>8410.99</v>
      </c>
      <c r="GF163" s="8" t="n">
        <v>16821.98</v>
      </c>
      <c r="GG163" s="9">
        <f>GC163+GD163+GE163+GF163</f>
        <v/>
      </c>
      <c r="GH163" s="8" t="n">
        <v>2479712.38</v>
      </c>
      <c r="GI163" s="8" t="n">
        <v>0</v>
      </c>
      <c r="GJ163" s="8" t="n">
        <v>0</v>
      </c>
      <c r="GK163" s="8" t="n">
        <v>0</v>
      </c>
      <c r="GL163" s="9">
        <f>GH163+GI163+GJ163+GK163</f>
        <v/>
      </c>
      <c r="GM163" s="9">
        <f>GG163+GL163</f>
        <v/>
      </c>
      <c r="GN163" s="8" t="n">
        <v>265091.96</v>
      </c>
      <c r="GO163" s="8" t="n">
        <v>191.28</v>
      </c>
      <c r="GP163" s="8" t="n">
        <v>3393.64</v>
      </c>
      <c r="GQ163" s="8" t="n">
        <v>9274.68</v>
      </c>
      <c r="GR163" s="9">
        <f>GN163+GO163+GP163+GQ163</f>
        <v/>
      </c>
      <c r="GS163" s="8" t="n">
        <v>450965</v>
      </c>
      <c r="GT163" s="8" t="n">
        <v>893</v>
      </c>
      <c r="GU163" s="8" t="n">
        <v>893</v>
      </c>
      <c r="GV163" s="8" t="n">
        <v>1786</v>
      </c>
      <c r="GW163" s="9">
        <f>GS163+GT163+GU163+GV163</f>
        <v/>
      </c>
      <c r="GX163" s="9">
        <f>GM163+GR163+GW163</f>
        <v/>
      </c>
      <c r="GY163" s="8" t="n">
        <v>41739671.52</v>
      </c>
      <c r="GZ163" s="8" t="n">
        <v>0</v>
      </c>
      <c r="HA163" s="9">
        <f>GY163+GZ163</f>
        <v/>
      </c>
      <c r="HB163" s="9">
        <f>IF(GX163=0,"",AU163/GX163)</f>
        <v/>
      </c>
      <c r="HC163" s="10">
        <f>IF((GX163+GY163)=0,"",GB163/(GX163+GY163))</f>
        <v/>
      </c>
      <c r="HD163" s="9">
        <f>IF(GX163=0,"",GB163/GX163)</f>
        <v/>
      </c>
      <c r="HE163" s="8" t="n">
        <v>13</v>
      </c>
      <c r="HF163" s="8" t="n">
        <v>1</v>
      </c>
      <c r="HG163" s="8" t="n">
        <v>64</v>
      </c>
      <c r="HH163" s="8" t="n">
        <v>13</v>
      </c>
      <c r="HI163" s="8" t="n">
        <v>3</v>
      </c>
      <c r="HJ163" s="9">
        <f>HF163+HI163</f>
        <v/>
      </c>
      <c r="HK163" s="10">
        <f>IF(HE163=0,"",HH163/HE163)</f>
        <v/>
      </c>
      <c r="HL163" s="8" t="n">
        <v>16</v>
      </c>
      <c r="HM163" s="8" t="n">
        <v>4</v>
      </c>
      <c r="HN163" s="11">
        <f>IF(HL163=0,"",HM163/HL163)</f>
        <v/>
      </c>
    </row>
    <row r="164">
      <c r="A164" s="12" t="inlineStr">
        <is>
          <t>Mulanje</t>
        </is>
      </c>
      <c r="B164" s="12" t="inlineStr">
        <is>
          <t>Muloza</t>
        </is>
      </c>
      <c r="C164" s="13" t="inlineStr">
        <is>
          <t>FY2025/26</t>
        </is>
      </c>
      <c r="D164" s="13" t="n">
        <v>2025</v>
      </c>
      <c r="E164" s="13" t="n">
        <v>9</v>
      </c>
      <c r="F164" s="13" t="inlineStr">
        <is>
          <t>September</t>
        </is>
      </c>
      <c r="G164" s="13" t="inlineStr">
        <is>
          <t>Q2</t>
        </is>
      </c>
      <c r="H164" s="14" t="n">
        <v>7287</v>
      </c>
      <c r="I164" s="14" t="n">
        <v>3080</v>
      </c>
      <c r="J164" s="14" t="n">
        <v>8</v>
      </c>
      <c r="K164" s="14" t="n">
        <v>2</v>
      </c>
      <c r="L164" s="14" t="n">
        <v>8</v>
      </c>
      <c r="M164" s="15">
        <f>SUM(I164,J164,K164,L164)</f>
        <v/>
      </c>
      <c r="N164" s="14" t="n">
        <v>2114</v>
      </c>
      <c r="O164" s="14" t="n">
        <v>3</v>
      </c>
      <c r="P164" s="14" t="n">
        <v>31</v>
      </c>
      <c r="Q164" s="14" t="n">
        <v>214</v>
      </c>
      <c r="R164" s="15">
        <f>SUM(N164,O164,P164,Q164)</f>
        <v/>
      </c>
      <c r="S164" s="15">
        <f>M164+R164</f>
        <v/>
      </c>
      <c r="T164" s="14" t="n">
        <v>1827</v>
      </c>
      <c r="U164" s="16">
        <f>IF(H164=0,"",T164/H164)</f>
        <v/>
      </c>
      <c r="V164" s="14" t="n">
        <v>15</v>
      </c>
      <c r="W164" s="17">
        <f>IF(H164=0,"",V164/H164)</f>
        <v/>
      </c>
      <c r="X164" s="14" t="n">
        <v>0</v>
      </c>
      <c r="Y164" s="17">
        <f>IF(H164=0,"",X164/H164)</f>
        <v/>
      </c>
      <c r="Z164" s="14" t="n">
        <v>0</v>
      </c>
      <c r="AA164" s="17">
        <f>IF(H164=0,"",Z164/H164)</f>
        <v/>
      </c>
      <c r="AB164" s="14" t="n">
        <v>0</v>
      </c>
      <c r="AC164" s="17">
        <f>IF(H164=0,"",AB164/H164)</f>
        <v/>
      </c>
      <c r="AD164" s="14" t="n">
        <v>0</v>
      </c>
      <c r="AE164" s="17">
        <f>IF(H164=0,"",AD164/H164)</f>
        <v/>
      </c>
      <c r="AF164" s="14" t="n">
        <v>0</v>
      </c>
      <c r="AG164" s="17">
        <f>IF(H164=0,"",AF164/H164)</f>
        <v/>
      </c>
      <c r="AH164" s="14" t="n">
        <v>76675.05</v>
      </c>
      <c r="AI164" s="15">
        <f>IF(H164=0,"",AH164/H164)</f>
        <v/>
      </c>
      <c r="AJ164" s="14" t="n">
        <v>11709</v>
      </c>
      <c r="AK164" s="17">
        <f>IF(H164=0,"",AJ164/H164)</f>
        <v/>
      </c>
      <c r="AL164" s="14" t="n">
        <v>1641067.8135</v>
      </c>
      <c r="AM164" s="15">
        <f>IF(H164=0,"",AL164/H164)</f>
        <v/>
      </c>
      <c r="AN164" s="14" t="n">
        <v>0</v>
      </c>
      <c r="AO164" s="14" t="n">
        <v>0</v>
      </c>
      <c r="AP164" s="14" t="n">
        <v>0</v>
      </c>
      <c r="AQ164" s="14" t="n">
        <v>0</v>
      </c>
      <c r="AR164" s="14" t="n">
        <v>5214032.51</v>
      </c>
      <c r="AS164" s="14" t="n">
        <v>1682806.1</v>
      </c>
      <c r="AT164" s="14" t="n">
        <v>363500</v>
      </c>
      <c r="AU164" s="15">
        <f>AH164+AL164+AP164+AQ164+AR164+AS164+AT164</f>
        <v/>
      </c>
      <c r="AV164" s="15">
        <f>IF(H164=0,"",AU164/H164)</f>
        <v/>
      </c>
      <c r="AW164" s="15">
        <f>IF(S164=0,"",AU164/S164)</f>
        <v/>
      </c>
      <c r="AX164" s="14" t="n">
        <v>6</v>
      </c>
      <c r="AY164" s="15">
        <f>IF(H164=0,"",AX164/(H164/1000/12))</f>
        <v/>
      </c>
      <c r="AZ164" s="14" t="n">
        <v>8</v>
      </c>
      <c r="BA164" s="14" t="n">
        <v>57</v>
      </c>
      <c r="BB164" s="14" t="n">
        <v>8</v>
      </c>
      <c r="BC164" s="14" t="n">
        <v>0</v>
      </c>
      <c r="BD164" s="14" t="n">
        <v>7</v>
      </c>
      <c r="BE164" s="15">
        <f>BC164+BD164</f>
        <v/>
      </c>
      <c r="BF164" s="15">
        <f>BA164+BB164-BE164</f>
        <v/>
      </c>
      <c r="BG164" s="14" t="n">
        <v>0</v>
      </c>
      <c r="BH164" s="14" t="n">
        <v>0</v>
      </c>
      <c r="BI164" s="14" t="n">
        <v>0</v>
      </c>
      <c r="BJ164" s="14" t="n">
        <v>0</v>
      </c>
      <c r="BK164" s="15">
        <f>BI164+BJ164</f>
        <v/>
      </c>
      <c r="BL164" s="15">
        <f>BG164+BH164-BK164</f>
        <v/>
      </c>
      <c r="BM164" s="14" t="n">
        <v>7</v>
      </c>
      <c r="BN164" s="14" t="n">
        <v>0</v>
      </c>
      <c r="BO164" s="14" t="n">
        <v>0</v>
      </c>
      <c r="BP164" s="14" t="n">
        <v>0</v>
      </c>
      <c r="BQ164" s="15">
        <f>BO164+BP164</f>
        <v/>
      </c>
      <c r="BR164" s="15">
        <f>BM164+BN164-BQ164</f>
        <v/>
      </c>
      <c r="BS164" s="14" t="n">
        <v>0</v>
      </c>
      <c r="BT164" s="14" t="n">
        <v>0</v>
      </c>
      <c r="BU164" s="14" t="n">
        <v>0</v>
      </c>
      <c r="BV164" s="14" t="n">
        <v>0</v>
      </c>
      <c r="BW164" s="15">
        <f>BU164+BV164</f>
        <v/>
      </c>
      <c r="BX164" s="15">
        <f>BS164+BT164-BW164</f>
        <v/>
      </c>
      <c r="BY164" s="15">
        <f>BA164+BG164+BM164+BS164</f>
        <v/>
      </c>
      <c r="BZ164" s="15">
        <f>BB164+BH164+BN164+BT164</f>
        <v/>
      </c>
      <c r="CA164" s="15">
        <f>BE164+BK164+BQ164+BW164</f>
        <v/>
      </c>
      <c r="CB164" s="15">
        <f>BF164+BL164+BR164+BX164</f>
        <v/>
      </c>
      <c r="CC164" s="14" t="n">
        <v>7</v>
      </c>
      <c r="CD164" s="14" t="n">
        <v>383</v>
      </c>
      <c r="CE164" s="14" t="n">
        <v>16</v>
      </c>
      <c r="CF164" s="14" t="n">
        <v>71</v>
      </c>
      <c r="CG164" s="14" t="n">
        <v>0</v>
      </c>
      <c r="CH164" s="15">
        <f>CD164+CE164+CF164+CG164</f>
        <v/>
      </c>
      <c r="CI164" s="14" t="n">
        <v>490</v>
      </c>
      <c r="CJ164" s="14" t="n">
        <v>1</v>
      </c>
      <c r="CK164" s="14" t="n">
        <v>2</v>
      </c>
      <c r="CL164" s="14" t="n">
        <v>1</v>
      </c>
      <c r="CM164" s="15">
        <f>CI164+CJ164+CK164+CL164</f>
        <v/>
      </c>
      <c r="CN164" s="14" t="n">
        <v>608</v>
      </c>
      <c r="CO164" s="14" t="n">
        <v>32</v>
      </c>
      <c r="CP164" s="14" t="n">
        <v>48</v>
      </c>
      <c r="CQ164" s="14" t="n">
        <v>2</v>
      </c>
      <c r="CR164" s="15">
        <f>CN164+CO164+CP164+CQ164</f>
        <v/>
      </c>
      <c r="CS164" s="15">
        <f>CM164+CR164</f>
        <v/>
      </c>
      <c r="CT164" s="14" t="n">
        <v>1654</v>
      </c>
      <c r="CU164" s="14" t="n">
        <v>9810</v>
      </c>
      <c r="CV164" s="14" t="n">
        <v>8995</v>
      </c>
      <c r="CW164" s="16">
        <f>IF(CU164=0,"",CV164/CU164)</f>
        <v/>
      </c>
      <c r="CX164" s="14" t="n"/>
      <c r="CY164" s="14" t="n"/>
      <c r="CZ164" s="14" t="n"/>
      <c r="DA164" s="14" t="n"/>
      <c r="DB164" s="15">
        <f>CX164+CY164-CZ164-DA164</f>
        <v/>
      </c>
      <c r="DC164" s="14" t="n">
        <v>0</v>
      </c>
      <c r="DD164" s="14" t="n">
        <v>0</v>
      </c>
      <c r="DE164" s="14" t="n">
        <v>0</v>
      </c>
      <c r="DF164" s="14" t="n">
        <v>0</v>
      </c>
      <c r="DG164" s="15">
        <f>DC164+DD164-DE164-DF164</f>
        <v/>
      </c>
      <c r="DH164" s="14" t="n">
        <v>0</v>
      </c>
      <c r="DI164" s="14" t="n">
        <v>0</v>
      </c>
      <c r="DJ164" s="14" t="n">
        <v>0</v>
      </c>
      <c r="DK164" s="14" t="n">
        <v>0</v>
      </c>
      <c r="DL164" s="15">
        <f>DH164+DI164-DJ164-DK164</f>
        <v/>
      </c>
      <c r="DM164" s="14" t="n">
        <v>0</v>
      </c>
      <c r="DN164" s="14" t="n">
        <v>0</v>
      </c>
      <c r="DO164" s="14" t="n">
        <v>0</v>
      </c>
      <c r="DP164" s="14" t="n">
        <v>0</v>
      </c>
      <c r="DQ164" s="15">
        <f>DM164+DN164-DO164-DP164</f>
        <v/>
      </c>
      <c r="DR164" s="15">
        <f>CX164+DC164+DH164+DM164</f>
        <v/>
      </c>
      <c r="DS164" s="15">
        <f>CY164+DD164+DI164+DN164</f>
        <v/>
      </c>
      <c r="DT164" s="15">
        <f>CZ164+DE164+DJ164+DO164</f>
        <v/>
      </c>
      <c r="DU164" s="15">
        <f>DA164+DF164+DK164+DP164</f>
        <v/>
      </c>
      <c r="DV164" s="15">
        <f>DB164+DG164+DL164+DQ164</f>
        <v/>
      </c>
      <c r="DW164" s="14" t="n">
        <v>12</v>
      </c>
      <c r="DX164" s="14" t="n">
        <v>6</v>
      </c>
      <c r="DY164" s="14" t="n">
        <v>6</v>
      </c>
      <c r="DZ164" s="14" t="n">
        <v>2</v>
      </c>
      <c r="EA164" s="14" t="n">
        <v>2</v>
      </c>
      <c r="EB164" s="14" t="n">
        <v>1</v>
      </c>
      <c r="EC164" s="14" t="n">
        <v>1</v>
      </c>
      <c r="ED164" s="14" t="n">
        <v>1</v>
      </c>
      <c r="EE164" s="14" t="n">
        <v>0</v>
      </c>
      <c r="EF164" s="14" t="n">
        <v>1</v>
      </c>
      <c r="EG164" s="14" t="n">
        <v>0</v>
      </c>
      <c r="EH164" s="14" t="n">
        <v>0</v>
      </c>
      <c r="EI164" s="14" t="n">
        <v>0</v>
      </c>
      <c r="EJ164" s="14" t="n">
        <v>0</v>
      </c>
      <c r="EK164" s="14" t="n">
        <v>0</v>
      </c>
      <c r="EL164" s="14" t="n">
        <v>0</v>
      </c>
      <c r="EM164" s="14" t="n">
        <v>0</v>
      </c>
      <c r="EN164" s="14" t="n">
        <v>0</v>
      </c>
      <c r="EO164" s="14" t="n">
        <v>0</v>
      </c>
      <c r="EP164" s="14" t="n">
        <v>0</v>
      </c>
      <c r="EQ164" s="14" t="n">
        <v>0</v>
      </c>
      <c r="ER164" s="14" t="n">
        <v>0</v>
      </c>
      <c r="ES164" s="14" t="n">
        <v>0</v>
      </c>
      <c r="ET164" s="14" t="n">
        <v>0</v>
      </c>
      <c r="EU164" s="14" t="n">
        <v>0</v>
      </c>
      <c r="EV164" s="14" t="n">
        <v>0</v>
      </c>
      <c r="EW164" s="14" t="n">
        <v>0</v>
      </c>
      <c r="EX164" s="14" t="n">
        <v>0</v>
      </c>
      <c r="EY164" s="14" t="n">
        <v>0</v>
      </c>
      <c r="EZ164" s="14" t="n">
        <v>0</v>
      </c>
      <c r="FA164" s="14" t="n">
        <v>0</v>
      </c>
      <c r="FB164" s="14" t="n">
        <v>0</v>
      </c>
      <c r="FC164" s="14" t="n">
        <v>0</v>
      </c>
      <c r="FD164" s="14" t="n">
        <v>0</v>
      </c>
      <c r="FE164" s="14" t="n">
        <v>0</v>
      </c>
      <c r="FF164" s="14" t="n">
        <v>0</v>
      </c>
      <c r="FG164" s="15">
        <f>SUM(DW164,DX164,DY164,DZ164,EA164,EB164,EC164,ED164,EE164,EF164,EG164,EH164,EI164,EJ164,EK164,EL164,EM164,EN164,EO164,EP164,EQ164,ER164,ES164,ET164,EU164,EV164,EW164,EX164,EY164,EZ164,FA164,FB164,FC164,FD164,FE164,FF164)</f>
        <v/>
      </c>
      <c r="FH164" s="14" t="n">
        <v>29</v>
      </c>
      <c r="FI164" s="14" t="n">
        <v>0</v>
      </c>
      <c r="FJ164" s="14" t="n">
        <v>24</v>
      </c>
      <c r="FK164" s="14" t="n">
        <v>72</v>
      </c>
      <c r="FL164" s="14" t="n">
        <v>72</v>
      </c>
      <c r="FM164" s="14" t="n">
        <v>0</v>
      </c>
      <c r="FN164" s="14" t="n">
        <v>0</v>
      </c>
      <c r="FO164" s="14" t="n">
        <v>0</v>
      </c>
      <c r="FP164" s="14" t="n">
        <v>0</v>
      </c>
      <c r="FQ164" s="15">
        <f>FL164+FM164+FN164+FO164+FP164</f>
        <v/>
      </c>
      <c r="FR164" s="14" t="n">
        <v>3069397.22</v>
      </c>
      <c r="FS164" s="14" t="n">
        <v>3000</v>
      </c>
      <c r="FT164" s="14" t="n">
        <v>0</v>
      </c>
      <c r="FU164" s="14" t="n">
        <v>0</v>
      </c>
      <c r="FV164" s="15">
        <f>FR164+FS164+FT164+FU164</f>
        <v/>
      </c>
      <c r="FW164" s="14" t="n">
        <v>2781349</v>
      </c>
      <c r="FX164" s="14" t="n">
        <v>700</v>
      </c>
      <c r="FY164" s="14" t="n">
        <v>1012200</v>
      </c>
      <c r="FZ164" s="14" t="n">
        <v>94400</v>
      </c>
      <c r="GA164" s="15">
        <f>FW164+FX164+FY164+FZ164</f>
        <v/>
      </c>
      <c r="GB164" s="15">
        <f>FV164+GA164</f>
        <v/>
      </c>
      <c r="GC164" s="14" t="n">
        <v>2731544.11</v>
      </c>
      <c r="GD164" s="14" t="n">
        <v>1530.24</v>
      </c>
      <c r="GE164" s="14" t="n">
        <v>8410.99</v>
      </c>
      <c r="GF164" s="14" t="n">
        <v>16821.98</v>
      </c>
      <c r="GG164" s="15">
        <f>GC164+GD164+GE164+GF164</f>
        <v/>
      </c>
      <c r="GH164" s="14" t="n">
        <v>2758307.32</v>
      </c>
      <c r="GI164" s="14" t="n">
        <v>0</v>
      </c>
      <c r="GJ164" s="14" t="n">
        <v>0</v>
      </c>
      <c r="GK164" s="14" t="n">
        <v>0</v>
      </c>
      <c r="GL164" s="15">
        <f>GH164+GI164+GJ164+GK164</f>
        <v/>
      </c>
      <c r="GM164" s="15">
        <f>GG164+GL164</f>
        <v/>
      </c>
      <c r="GN164" s="14" t="n">
        <v>257409.56</v>
      </c>
      <c r="GO164" s="14" t="n">
        <v>191.28</v>
      </c>
      <c r="GP164" s="14" t="n">
        <v>3394.64</v>
      </c>
      <c r="GQ164" s="14" t="n">
        <v>9274.68</v>
      </c>
      <c r="GR164" s="15">
        <f>GN164+GO164+GP164+GQ164</f>
        <v/>
      </c>
      <c r="GS164" s="14" t="n">
        <v>437570</v>
      </c>
      <c r="GT164" s="14" t="n">
        <v>893</v>
      </c>
      <c r="GU164" s="14" t="n">
        <v>893</v>
      </c>
      <c r="GV164" s="14" t="n">
        <v>1786</v>
      </c>
      <c r="GW164" s="15">
        <f>GS164+GT164+GU164+GV164</f>
        <v/>
      </c>
      <c r="GX164" s="15">
        <f>GM164+GR164+GW164</f>
        <v/>
      </c>
      <c r="GY164" s="14" t="n">
        <v>41739671.52</v>
      </c>
      <c r="GZ164" s="14" t="n">
        <v>0</v>
      </c>
      <c r="HA164" s="15">
        <f>GY164+GZ164</f>
        <v/>
      </c>
      <c r="HB164" s="15">
        <f>IF(GX164=0,"",AU164/GX164)</f>
        <v/>
      </c>
      <c r="HC164" s="16">
        <f>IF((GX164+GY164)=0,"",GB164/(GX164+GY164))</f>
        <v/>
      </c>
      <c r="HD164" s="15">
        <f>IF(GX164=0,"",GB164/GX164)</f>
        <v/>
      </c>
      <c r="HE164" s="14" t="n">
        <v>8</v>
      </c>
      <c r="HF164" s="14" t="n">
        <v>1</v>
      </c>
      <c r="HG164" s="14" t="n">
        <v>65</v>
      </c>
      <c r="HH164" s="14" t="n">
        <v>8</v>
      </c>
      <c r="HI164" s="14" t="n">
        <v>3</v>
      </c>
      <c r="HJ164" s="15">
        <f>HF164+HI164</f>
        <v/>
      </c>
      <c r="HK164" s="16">
        <f>IF(HE164=0,"",HH164/HE164)</f>
        <v/>
      </c>
      <c r="HL164" s="14" t="n">
        <v>10</v>
      </c>
      <c r="HM164" s="14" t="n">
        <v>3</v>
      </c>
      <c r="HN164" s="17">
        <f>IF(HL164=0,"",HM164/HL164)</f>
        <v/>
      </c>
    </row>
    <row r="165">
      <c r="A165" s="6" t="inlineStr">
        <is>
          <t>Mulanje</t>
        </is>
      </c>
      <c r="B165" s="6" t="inlineStr">
        <is>
          <t>Muloza</t>
        </is>
      </c>
      <c r="C165" s="7" t="inlineStr">
        <is>
          <t>FY2025/26</t>
        </is>
      </c>
      <c r="D165" s="7" t="n">
        <v>2025</v>
      </c>
      <c r="E165" s="7" t="n">
        <v>10</v>
      </c>
      <c r="F165" s="7" t="inlineStr">
        <is>
          <t>October</t>
        </is>
      </c>
      <c r="G165" s="7" t="inlineStr">
        <is>
          <t>Q3</t>
        </is>
      </c>
      <c r="H165" s="8" t="n">
        <v>7197</v>
      </c>
      <c r="I165" s="8" t="n">
        <v>2799</v>
      </c>
      <c r="J165" s="8" t="n">
        <v>8</v>
      </c>
      <c r="K165" s="8" t="n">
        <v>4</v>
      </c>
      <c r="L165" s="8" t="n">
        <v>7</v>
      </c>
      <c r="M165" s="9">
        <f>SUM(I165,J165,K165,L165)</f>
        <v/>
      </c>
      <c r="N165" s="8" t="n">
        <v>2128</v>
      </c>
      <c r="O165" s="8" t="n">
        <v>23</v>
      </c>
      <c r="P165" s="8" t="n">
        <v>628</v>
      </c>
      <c r="Q165" s="8" t="n">
        <v>74</v>
      </c>
      <c r="R165" s="9">
        <f>SUM(N165,O165,P165,Q165)</f>
        <v/>
      </c>
      <c r="S165" s="9">
        <f>M165+R165</f>
        <v/>
      </c>
      <c r="T165" s="8" t="n">
        <v>1526</v>
      </c>
      <c r="U165" s="10">
        <f>IF(H165=0,"",T165/H165)</f>
        <v/>
      </c>
      <c r="V165" s="8" t="n">
        <v>15</v>
      </c>
      <c r="W165" s="11">
        <f>IF(H165=0,"",V165/H165)</f>
        <v/>
      </c>
      <c r="X165" s="8" t="n">
        <v>0</v>
      </c>
      <c r="Y165" s="11">
        <f>IF(H165=0,"",X165/H165)</f>
        <v/>
      </c>
      <c r="Z165" s="8" t="n">
        <v>0</v>
      </c>
      <c r="AA165" s="11">
        <f>IF(H165=0,"",Z165/H165)</f>
        <v/>
      </c>
      <c r="AB165" s="8" t="n">
        <v>0</v>
      </c>
      <c r="AC165" s="11">
        <f>IF(H165=0,"",AB165/H165)</f>
        <v/>
      </c>
      <c r="AD165" s="8" t="n">
        <v>0</v>
      </c>
      <c r="AE165" s="11">
        <f>IF(H165=0,"",AD165/H165)</f>
        <v/>
      </c>
      <c r="AF165" s="8" t="n">
        <v>0</v>
      </c>
      <c r="AG165" s="11">
        <f>IF(H165=0,"",AF165/H165)</f>
        <v/>
      </c>
      <c r="AH165" s="8" t="n">
        <v>76675.05</v>
      </c>
      <c r="AI165" s="9">
        <f>IF(H165=0,"",AH165/H165)</f>
        <v/>
      </c>
      <c r="AJ165" s="8" t="n">
        <v>10660</v>
      </c>
      <c r="AK165" s="11">
        <f>IF(H165=0,"",AJ165/H165)</f>
        <v/>
      </c>
      <c r="AL165" s="8" t="n">
        <v>1495517.49</v>
      </c>
      <c r="AM165" s="9">
        <f>IF(H165=0,"",AL165/H165)</f>
        <v/>
      </c>
      <c r="AN165" s="8" t="n">
        <v>0</v>
      </c>
      <c r="AO165" s="8" t="n">
        <v>0</v>
      </c>
      <c r="AP165" s="8" t="n">
        <v>0</v>
      </c>
      <c r="AQ165" s="8" t="n">
        <v>0</v>
      </c>
      <c r="AR165" s="8" t="n">
        <v>6050314.41</v>
      </c>
      <c r="AS165" s="8" t="n">
        <v>0</v>
      </c>
      <c r="AT165" s="8" t="n">
        <v>0</v>
      </c>
      <c r="AU165" s="9">
        <f>AH165+AL165+AP165+AQ165+AR165+AS165+AT165</f>
        <v/>
      </c>
      <c r="AV165" s="9">
        <f>IF(H165=0,"",AU165/H165)</f>
        <v/>
      </c>
      <c r="AW165" s="9">
        <f>IF(S165=0,"",AU165/S165)</f>
        <v/>
      </c>
      <c r="AX165" s="8" t="n">
        <v>6</v>
      </c>
      <c r="AY165" s="9">
        <f>IF(H165=0,"",AX165/(H165/1000/12))</f>
        <v/>
      </c>
      <c r="AZ165" s="8" t="n">
        <v>8</v>
      </c>
      <c r="BA165" s="8" t="n">
        <v>58</v>
      </c>
      <c r="BB165" s="8" t="n">
        <v>9</v>
      </c>
      <c r="BC165" s="8" t="n">
        <v>0</v>
      </c>
      <c r="BD165" s="8" t="n">
        <v>11</v>
      </c>
      <c r="BE165" s="9">
        <f>BC165+BD165</f>
        <v/>
      </c>
      <c r="BF165" s="9">
        <f>BA165+BB165-BE165</f>
        <v/>
      </c>
      <c r="BG165" s="8" t="n">
        <v>0</v>
      </c>
      <c r="BH165" s="8" t="n">
        <v>0</v>
      </c>
      <c r="BI165" s="8" t="n">
        <v>0</v>
      </c>
      <c r="BJ165" s="8" t="n">
        <v>0</v>
      </c>
      <c r="BK165" s="9">
        <f>BI165+BJ165</f>
        <v/>
      </c>
      <c r="BL165" s="9">
        <f>BG165+BH165-BK165</f>
        <v/>
      </c>
      <c r="BM165" s="8" t="n">
        <v>7</v>
      </c>
      <c r="BN165" s="8" t="n">
        <v>0</v>
      </c>
      <c r="BO165" s="8" t="n">
        <v>0</v>
      </c>
      <c r="BP165" s="8" t="n">
        <v>0</v>
      </c>
      <c r="BQ165" s="9">
        <f>BO165+BP165</f>
        <v/>
      </c>
      <c r="BR165" s="9">
        <f>BM165+BN165-BQ165</f>
        <v/>
      </c>
      <c r="BS165" s="8" t="n">
        <v>0</v>
      </c>
      <c r="BT165" s="8" t="n">
        <v>0</v>
      </c>
      <c r="BU165" s="8" t="n">
        <v>0</v>
      </c>
      <c r="BV165" s="8" t="n">
        <v>0</v>
      </c>
      <c r="BW165" s="9">
        <f>BU165+BV165</f>
        <v/>
      </c>
      <c r="BX165" s="9">
        <f>BS165+BT165-BW165</f>
        <v/>
      </c>
      <c r="BY165" s="9">
        <f>BA165+BG165+BM165+BS165</f>
        <v/>
      </c>
      <c r="BZ165" s="9">
        <f>BB165+BH165+BN165+BT165</f>
        <v/>
      </c>
      <c r="CA165" s="9">
        <f>BE165+BK165+BQ165+BW165</f>
        <v/>
      </c>
      <c r="CB165" s="9">
        <f>BF165+BL165+BR165+BX165</f>
        <v/>
      </c>
      <c r="CC165" s="8" t="n">
        <v>20</v>
      </c>
      <c r="CD165" s="8" t="n">
        <v>413</v>
      </c>
      <c r="CE165" s="8" t="n">
        <v>16</v>
      </c>
      <c r="CF165" s="8" t="n">
        <v>71</v>
      </c>
      <c r="CG165" s="8" t="n">
        <v>0</v>
      </c>
      <c r="CH165" s="9">
        <f>CD165+CE165+CF165+CG165</f>
        <v/>
      </c>
      <c r="CI165" s="8" t="n">
        <v>489</v>
      </c>
      <c r="CJ165" s="8" t="n">
        <v>1</v>
      </c>
      <c r="CK165" s="8" t="n">
        <v>2</v>
      </c>
      <c r="CL165" s="8" t="n">
        <v>1</v>
      </c>
      <c r="CM165" s="9">
        <f>CI165+CJ165+CK165+CL165</f>
        <v/>
      </c>
      <c r="CN165" s="8" t="n">
        <v>609</v>
      </c>
      <c r="CO165" s="8" t="n">
        <v>32</v>
      </c>
      <c r="CP165" s="8" t="n">
        <v>48</v>
      </c>
      <c r="CQ165" s="8" t="n">
        <v>2</v>
      </c>
      <c r="CR165" s="9">
        <f>CN165+CO165+CP165+CQ165</f>
        <v/>
      </c>
      <c r="CS165" s="9">
        <f>CM165+CR165</f>
        <v/>
      </c>
      <c r="CT165" s="8" t="n">
        <v>1684</v>
      </c>
      <c r="CU165" s="8" t="n">
        <v>9810</v>
      </c>
      <c r="CV165" s="8" t="n">
        <v>9000</v>
      </c>
      <c r="CW165" s="10">
        <f>IF(CU165=0,"",CV165/CU165)</f>
        <v/>
      </c>
      <c r="CX165" s="8" t="n"/>
      <c r="CY165" s="8" t="n"/>
      <c r="CZ165" s="8" t="n"/>
      <c r="DA165" s="8" t="n"/>
      <c r="DB165" s="9">
        <f>CX165+CY165-CZ165-DA165</f>
        <v/>
      </c>
      <c r="DC165" s="8" t="n">
        <v>0</v>
      </c>
      <c r="DD165" s="8" t="n">
        <v>0</v>
      </c>
      <c r="DE165" s="8" t="n">
        <v>0</v>
      </c>
      <c r="DF165" s="8" t="n">
        <v>0</v>
      </c>
      <c r="DG165" s="9">
        <f>DC165+DD165-DE165-DF165</f>
        <v/>
      </c>
      <c r="DH165" s="8" t="n">
        <v>0</v>
      </c>
      <c r="DI165" s="8" t="n">
        <v>0</v>
      </c>
      <c r="DJ165" s="8" t="n">
        <v>0</v>
      </c>
      <c r="DK165" s="8" t="n">
        <v>0</v>
      </c>
      <c r="DL165" s="9">
        <f>DH165+DI165-DJ165-DK165</f>
        <v/>
      </c>
      <c r="DM165" s="8" t="n">
        <v>0</v>
      </c>
      <c r="DN165" s="8" t="n">
        <v>0</v>
      </c>
      <c r="DO165" s="8" t="n">
        <v>0</v>
      </c>
      <c r="DP165" s="8" t="n">
        <v>0</v>
      </c>
      <c r="DQ165" s="9">
        <f>DM165+DN165-DO165-DP165</f>
        <v/>
      </c>
      <c r="DR165" s="9">
        <f>CX165+DC165+DH165+DM165</f>
        <v/>
      </c>
      <c r="DS165" s="9">
        <f>CY165+DD165+DI165+DN165</f>
        <v/>
      </c>
      <c r="DT165" s="9">
        <f>CZ165+DE165+DJ165+DO165</f>
        <v/>
      </c>
      <c r="DU165" s="9">
        <f>DA165+DF165+DK165+DP165</f>
        <v/>
      </c>
      <c r="DV165" s="9">
        <f>DB165+DG165+DL165+DQ165</f>
        <v/>
      </c>
      <c r="DW165" s="8" t="n">
        <v>8</v>
      </c>
      <c r="DX165" s="8" t="n">
        <v>5</v>
      </c>
      <c r="DY165" s="8" t="n">
        <v>1</v>
      </c>
      <c r="DZ165" s="8" t="n">
        <v>1</v>
      </c>
      <c r="EA165" s="8" t="n">
        <v>0</v>
      </c>
      <c r="EB165" s="8" t="n">
        <v>0</v>
      </c>
      <c r="EC165" s="8" t="n">
        <v>0</v>
      </c>
      <c r="ED165" s="8" t="n">
        <v>0</v>
      </c>
      <c r="EE165" s="8" t="n">
        <v>0</v>
      </c>
      <c r="EF165" s="8" t="n">
        <v>2</v>
      </c>
      <c r="EG165" s="8" t="n">
        <v>0</v>
      </c>
      <c r="EH165" s="8" t="n">
        <v>0</v>
      </c>
      <c r="EI165" s="8" t="n">
        <v>0</v>
      </c>
      <c r="EJ165" s="8" t="n">
        <v>0</v>
      </c>
      <c r="EK165" s="8" t="n">
        <v>0</v>
      </c>
      <c r="EL165" s="8" t="n">
        <v>0</v>
      </c>
      <c r="EM165" s="8" t="n">
        <v>0</v>
      </c>
      <c r="EN165" s="8" t="n">
        <v>0</v>
      </c>
      <c r="EO165" s="8" t="n">
        <v>0</v>
      </c>
      <c r="EP165" s="8" t="n">
        <v>0</v>
      </c>
      <c r="EQ165" s="8" t="n">
        <v>0</v>
      </c>
      <c r="ER165" s="8" t="n">
        <v>0</v>
      </c>
      <c r="ES165" s="8" t="n">
        <v>0</v>
      </c>
      <c r="ET165" s="8" t="n">
        <v>0</v>
      </c>
      <c r="EU165" s="8" t="n">
        <v>0</v>
      </c>
      <c r="EV165" s="8" t="n">
        <v>0</v>
      </c>
      <c r="EW165" s="8" t="n">
        <v>0</v>
      </c>
      <c r="EX165" s="8" t="n">
        <v>0</v>
      </c>
      <c r="EY165" s="8" t="n">
        <v>0</v>
      </c>
      <c r="EZ165" s="8" t="n">
        <v>0</v>
      </c>
      <c r="FA165" s="8" t="n">
        <v>0</v>
      </c>
      <c r="FB165" s="8" t="n">
        <v>0</v>
      </c>
      <c r="FC165" s="8" t="n">
        <v>0</v>
      </c>
      <c r="FD165" s="8" t="n">
        <v>0</v>
      </c>
      <c r="FE165" s="8" t="n">
        <v>0</v>
      </c>
      <c r="FF165" s="8" t="n">
        <v>0</v>
      </c>
      <c r="FG165" s="9">
        <f>SUM(DW165,DX165,DY165,DZ165,EA165,EB165,EC165,ED165,EE165,EF165,EG165,EH165,EI165,EJ165,EK165,EL165,EM165,EN165,EO165,EP165,EQ165,ER165,ES165,ET165,EU165,EV165,EW165,EX165,EY165,EZ165,FA165,FB165,FC165,FD165,FE165,FF165)</f>
        <v/>
      </c>
      <c r="FH165" s="8" t="n">
        <v>16</v>
      </c>
      <c r="FI165" s="8" t="n">
        <v>0</v>
      </c>
      <c r="FJ165" s="8" t="n">
        <v>24</v>
      </c>
      <c r="FK165" s="8" t="n">
        <v>55</v>
      </c>
      <c r="FL165" s="8" t="n">
        <v>55</v>
      </c>
      <c r="FM165" s="8" t="n">
        <v>0</v>
      </c>
      <c r="FN165" s="8" t="n">
        <v>0</v>
      </c>
      <c r="FO165" s="8" t="n">
        <v>0</v>
      </c>
      <c r="FP165" s="8" t="n">
        <v>0</v>
      </c>
      <c r="FQ165" s="9">
        <f>FL165+FM165+FN165+FO165+FP165</f>
        <v/>
      </c>
      <c r="FR165" s="8" t="n">
        <v>4244480</v>
      </c>
      <c r="FS165" s="8" t="n">
        <v>2100</v>
      </c>
      <c r="FT165" s="8" t="n">
        <v>11500</v>
      </c>
      <c r="FU165" s="8" t="n">
        <v>12600</v>
      </c>
      <c r="FV165" s="9">
        <f>FR165+FS165+FT165+FU165</f>
        <v/>
      </c>
      <c r="FW165" s="8" t="n">
        <v>2816736.62000001</v>
      </c>
      <c r="FX165" s="8" t="n">
        <v>4800</v>
      </c>
      <c r="FY165" s="8" t="n">
        <v>347706.1800000001</v>
      </c>
      <c r="FZ165" s="8" t="n">
        <v>1932937.9</v>
      </c>
      <c r="GA165" s="9">
        <f>FW165+FX165+FY165+FZ165</f>
        <v/>
      </c>
      <c r="GB165" s="9">
        <f>FV165+GA165</f>
        <v/>
      </c>
      <c r="GC165" s="8" t="n">
        <v>2472969.82</v>
      </c>
      <c r="GD165" s="8" t="n">
        <v>1530.24</v>
      </c>
      <c r="GE165" s="8" t="n">
        <v>8410.99</v>
      </c>
      <c r="GF165" s="8" t="n">
        <v>16821.98</v>
      </c>
      <c r="GG165" s="9">
        <f>GC165+GD165+GE165+GF165</f>
        <v/>
      </c>
      <c r="GH165" s="8" t="n">
        <v>2499733.03</v>
      </c>
      <c r="GI165" s="8" t="n">
        <v>0</v>
      </c>
      <c r="GJ165" s="8" t="n">
        <v>0</v>
      </c>
      <c r="GK165" s="8" t="n">
        <v>0</v>
      </c>
      <c r="GL165" s="9">
        <f>GH165+GI165+GJ165+GK165</f>
        <v/>
      </c>
      <c r="GM165" s="9">
        <f>GG165+GL165</f>
        <v/>
      </c>
      <c r="GN165" s="8" t="n">
        <v>256864.63</v>
      </c>
      <c r="GO165" s="8" t="n">
        <v>191.28</v>
      </c>
      <c r="GP165" s="8" t="n">
        <v>3394.64</v>
      </c>
      <c r="GQ165" s="8" t="n">
        <v>9274.68</v>
      </c>
      <c r="GR165" s="9">
        <f>GN165+GO165+GP165+GQ165</f>
        <v/>
      </c>
      <c r="GS165" s="8" t="n">
        <v>436677</v>
      </c>
      <c r="GT165" s="8" t="n">
        <v>893</v>
      </c>
      <c r="GU165" s="8" t="n">
        <v>893</v>
      </c>
      <c r="GV165" s="8" t="n">
        <v>1786</v>
      </c>
      <c r="GW165" s="9">
        <f>GS165+GT165+GU165+GV165</f>
        <v/>
      </c>
      <c r="GX165" s="9">
        <f>GM165+GR165+GW165</f>
        <v/>
      </c>
      <c r="GY165" s="8" t="n">
        <v>41739671.52</v>
      </c>
      <c r="GZ165" s="8" t="n">
        <v>0</v>
      </c>
      <c r="HA165" s="9">
        <f>GY165+GZ165</f>
        <v/>
      </c>
      <c r="HB165" s="9">
        <f>IF(GX165=0,"",AU165/GX165)</f>
        <v/>
      </c>
      <c r="HC165" s="10">
        <f>IF((GX165+GY165)=0,"",GB165/(GX165+GY165))</f>
        <v/>
      </c>
      <c r="HD165" s="9">
        <f>IF(GX165=0,"",GB165/GX165)</f>
        <v/>
      </c>
      <c r="HE165" s="8" t="n">
        <v>9</v>
      </c>
      <c r="HF165" s="8" t="n">
        <v>1</v>
      </c>
      <c r="HG165" s="8" t="n">
        <v>63</v>
      </c>
      <c r="HH165" s="8" t="n">
        <v>9</v>
      </c>
      <c r="HI165" s="8" t="n">
        <v>3</v>
      </c>
      <c r="HJ165" s="9">
        <f>HF165+HI165</f>
        <v/>
      </c>
      <c r="HK165" s="10">
        <f>IF(HE165=0,"",HH165/HE165)</f>
        <v/>
      </c>
      <c r="HL165" s="8" t="n">
        <v>12</v>
      </c>
      <c r="HM165" s="8" t="n">
        <v>5</v>
      </c>
      <c r="HN165" s="11">
        <f>IF(HL165=0,"",HM165/HL165)</f>
        <v/>
      </c>
    </row>
    <row r="166">
      <c r="A166" s="12" t="inlineStr">
        <is>
          <t>Mulanje</t>
        </is>
      </c>
      <c r="B166" s="12" t="inlineStr">
        <is>
          <t>Muloza</t>
        </is>
      </c>
      <c r="C166" s="13" t="inlineStr">
        <is>
          <t>FY2025/26</t>
        </is>
      </c>
      <c r="D166" s="13" t="n">
        <v>2025</v>
      </c>
      <c r="E166" s="13" t="n">
        <v>11</v>
      </c>
      <c r="F166" s="13" t="inlineStr">
        <is>
          <t>November</t>
        </is>
      </c>
      <c r="G166" s="13" t="inlineStr">
        <is>
          <t>Q3</t>
        </is>
      </c>
      <c r="H166" s="14" t="n">
        <v>6649</v>
      </c>
      <c r="I166" s="14" t="n">
        <v>2785</v>
      </c>
      <c r="J166" s="14" t="n">
        <v>12</v>
      </c>
      <c r="K166" s="14" t="n">
        <v>0</v>
      </c>
      <c r="L166" s="14" t="n">
        <v>5</v>
      </c>
      <c r="M166" s="15">
        <f>SUM(I166,J166,K166,L166)</f>
        <v/>
      </c>
      <c r="N166" s="14" t="n">
        <v>1906</v>
      </c>
      <c r="O166" s="14" t="n">
        <v>7</v>
      </c>
      <c r="P166" s="14" t="n">
        <v>344</v>
      </c>
      <c r="Q166" s="14" t="n">
        <v>247</v>
      </c>
      <c r="R166" s="15">
        <f>SUM(N166,O166,P166,Q166)</f>
        <v/>
      </c>
      <c r="S166" s="15">
        <f>M166+R166</f>
        <v/>
      </c>
      <c r="T166" s="14" t="n">
        <v>1343</v>
      </c>
      <c r="U166" s="16">
        <f>IF(H166=0,"",T166/H166)</f>
        <v/>
      </c>
      <c r="V166" s="14" t="n">
        <v>14</v>
      </c>
      <c r="W166" s="17">
        <f>IF(H166=0,"",V166/H166)</f>
        <v/>
      </c>
      <c r="X166" s="14" t="n">
        <v>0</v>
      </c>
      <c r="Y166" s="17">
        <f>IF(H166=0,"",X166/H166)</f>
        <v/>
      </c>
      <c r="Z166" s="14" t="n">
        <v>0</v>
      </c>
      <c r="AA166" s="17">
        <f>IF(H166=0,"",Z166/H166)</f>
        <v/>
      </c>
      <c r="AB166" s="14" t="n">
        <v>0</v>
      </c>
      <c r="AC166" s="17">
        <f>IF(H166=0,"",AB166/H166)</f>
        <v/>
      </c>
      <c r="AD166" s="14" t="n">
        <v>0</v>
      </c>
      <c r="AE166" s="17">
        <f>IF(H166=0,"",AD166/H166)</f>
        <v/>
      </c>
      <c r="AF166" s="14" t="n">
        <v>0</v>
      </c>
      <c r="AG166" s="17">
        <f>IF(H166=0,"",AF166/H166)</f>
        <v/>
      </c>
      <c r="AH166" s="14" t="n">
        <v>71563.38</v>
      </c>
      <c r="AI166" s="15">
        <f>IF(H166=0,"",AH166/H166)</f>
        <v/>
      </c>
      <c r="AJ166" s="14" t="n">
        <v>9769</v>
      </c>
      <c r="AK166" s="17">
        <f>IF(H166=0,"",AJ166/H166)</f>
        <v/>
      </c>
      <c r="AL166" s="14" t="n">
        <v>1371889.9035</v>
      </c>
      <c r="AM166" s="15">
        <f>IF(H166=0,"",AL166/H166)</f>
        <v/>
      </c>
      <c r="AN166" s="14" t="n">
        <v>0</v>
      </c>
      <c r="AO166" s="14" t="n">
        <v>0</v>
      </c>
      <c r="AP166" s="14" t="n">
        <v>0</v>
      </c>
      <c r="AQ166" s="14" t="n">
        <v>0</v>
      </c>
      <c r="AR166" s="14" t="n">
        <v>4965627.61</v>
      </c>
      <c r="AS166" s="14" t="n">
        <v>0</v>
      </c>
      <c r="AT166" s="14" t="n">
        <v>0</v>
      </c>
      <c r="AU166" s="15">
        <f>AH166+AL166+AP166+AQ166+AR166+AS166+AT166</f>
        <v/>
      </c>
      <c r="AV166" s="15">
        <f>IF(H166=0,"",AU166/H166)</f>
        <v/>
      </c>
      <c r="AW166" s="15">
        <f>IF(S166=0,"",AU166/S166)</f>
        <v/>
      </c>
      <c r="AX166" s="14" t="n">
        <v>6</v>
      </c>
      <c r="AY166" s="15">
        <f>IF(H166=0,"",AX166/(H166/1000/12))</f>
        <v/>
      </c>
      <c r="AZ166" s="14" t="n">
        <v>8</v>
      </c>
      <c r="BA166" s="14" t="n">
        <v>56</v>
      </c>
      <c r="BB166" s="14" t="n">
        <v>10</v>
      </c>
      <c r="BC166" s="14" t="n">
        <v>0</v>
      </c>
      <c r="BD166" s="14" t="n">
        <v>17</v>
      </c>
      <c r="BE166" s="15">
        <f>BC166+BD166</f>
        <v/>
      </c>
      <c r="BF166" s="15">
        <f>BA166+BB166-BE166</f>
        <v/>
      </c>
      <c r="BG166" s="14" t="n">
        <v>0</v>
      </c>
      <c r="BH166" s="14" t="n">
        <v>0</v>
      </c>
      <c r="BI166" s="14" t="n">
        <v>0</v>
      </c>
      <c r="BJ166" s="14" t="n">
        <v>0</v>
      </c>
      <c r="BK166" s="15">
        <f>BI166+BJ166</f>
        <v/>
      </c>
      <c r="BL166" s="15">
        <f>BG166+BH166-BK166</f>
        <v/>
      </c>
      <c r="BM166" s="14" t="n">
        <v>7</v>
      </c>
      <c r="BN166" s="14" t="n">
        <v>0</v>
      </c>
      <c r="BO166" s="14" t="n">
        <v>0</v>
      </c>
      <c r="BP166" s="14" t="n">
        <v>1</v>
      </c>
      <c r="BQ166" s="15">
        <f>BO166+BP166</f>
        <v/>
      </c>
      <c r="BR166" s="15">
        <f>BM166+BN166-BQ166</f>
        <v/>
      </c>
      <c r="BS166" s="14" t="n">
        <v>0</v>
      </c>
      <c r="BT166" s="14" t="n">
        <v>0</v>
      </c>
      <c r="BU166" s="14" t="n">
        <v>0</v>
      </c>
      <c r="BV166" s="14" t="n">
        <v>0</v>
      </c>
      <c r="BW166" s="15">
        <f>BU166+BV166</f>
        <v/>
      </c>
      <c r="BX166" s="15">
        <f>BS166+BT166-BW166</f>
        <v/>
      </c>
      <c r="BY166" s="15">
        <f>BA166+BG166+BM166+BS166</f>
        <v/>
      </c>
      <c r="BZ166" s="15">
        <f>BB166+BH166+BN166+BT166</f>
        <v/>
      </c>
      <c r="CA166" s="15">
        <f>BE166+BK166+BQ166+BW166</f>
        <v/>
      </c>
      <c r="CB166" s="15">
        <f>BF166+BL166+BR166+BX166</f>
        <v/>
      </c>
      <c r="CC166" s="14" t="n">
        <v>18</v>
      </c>
      <c r="CD166" s="14" t="n">
        <v>423</v>
      </c>
      <c r="CE166" s="14" t="n">
        <v>16</v>
      </c>
      <c r="CF166" s="14" t="n">
        <v>71</v>
      </c>
      <c r="CG166" s="14" t="n">
        <v>0</v>
      </c>
      <c r="CH166" s="15">
        <f>CD166+CE166+CF166+CG166</f>
        <v/>
      </c>
      <c r="CI166" s="14" t="n">
        <v>463</v>
      </c>
      <c r="CJ166" s="14" t="n">
        <v>0</v>
      </c>
      <c r="CK166" s="14" t="n">
        <v>2</v>
      </c>
      <c r="CL166" s="14" t="n">
        <v>1</v>
      </c>
      <c r="CM166" s="15">
        <f>CI166+CJ166+CK166+CL166</f>
        <v/>
      </c>
      <c r="CN166" s="14" t="n">
        <v>626</v>
      </c>
      <c r="CO166" s="14" t="n">
        <v>32</v>
      </c>
      <c r="CP166" s="14" t="n">
        <v>49</v>
      </c>
      <c r="CQ166" s="14" t="n">
        <v>2</v>
      </c>
      <c r="CR166" s="15">
        <f>CN166+CO166+CP166+CQ166</f>
        <v/>
      </c>
      <c r="CS166" s="15">
        <f>CM166+CR166</f>
        <v/>
      </c>
      <c r="CT166" s="14" t="n">
        <v>1684</v>
      </c>
      <c r="CU166" s="14" t="n">
        <v>9810</v>
      </c>
      <c r="CV166" s="14" t="n">
        <v>9000</v>
      </c>
      <c r="CW166" s="16">
        <f>IF(CU166=0,"",CV166/CU166)</f>
        <v/>
      </c>
      <c r="CX166" s="14" t="n"/>
      <c r="CY166" s="14" t="n"/>
      <c r="CZ166" s="14" t="n"/>
      <c r="DA166" s="14" t="n"/>
      <c r="DB166" s="15">
        <f>CX166+CY166-CZ166-DA166</f>
        <v/>
      </c>
      <c r="DC166" s="14" t="n">
        <v>0</v>
      </c>
      <c r="DD166" s="14" t="n">
        <v>0</v>
      </c>
      <c r="DE166" s="14" t="n">
        <v>0</v>
      </c>
      <c r="DF166" s="14" t="n">
        <v>0</v>
      </c>
      <c r="DG166" s="15">
        <f>DC166+DD166-DE166-DF166</f>
        <v/>
      </c>
      <c r="DH166" s="14" t="n">
        <v>0</v>
      </c>
      <c r="DI166" s="14" t="n">
        <v>0</v>
      </c>
      <c r="DJ166" s="14" t="n">
        <v>0</v>
      </c>
      <c r="DK166" s="14" t="n">
        <v>0</v>
      </c>
      <c r="DL166" s="15">
        <f>DH166+DI166-DJ166-DK166</f>
        <v/>
      </c>
      <c r="DM166" s="14" t="n">
        <v>0</v>
      </c>
      <c r="DN166" s="14" t="n">
        <v>0</v>
      </c>
      <c r="DO166" s="14" t="n">
        <v>0</v>
      </c>
      <c r="DP166" s="14" t="n">
        <v>0</v>
      </c>
      <c r="DQ166" s="15">
        <f>DM166+DN166-DO166-DP166</f>
        <v/>
      </c>
      <c r="DR166" s="15">
        <f>CX166+DC166+DH166+DM166</f>
        <v/>
      </c>
      <c r="DS166" s="15">
        <f>CY166+DD166+DI166+DN166</f>
        <v/>
      </c>
      <c r="DT166" s="15">
        <f>CZ166+DE166+DJ166+DO166</f>
        <v/>
      </c>
      <c r="DU166" s="15">
        <f>DA166+DF166+DK166+DP166</f>
        <v/>
      </c>
      <c r="DV166" s="15">
        <f>DB166+DG166+DL166+DQ166</f>
        <v/>
      </c>
      <c r="DW166" s="14" t="n">
        <v>13</v>
      </c>
      <c r="DX166" s="14" t="n">
        <v>9</v>
      </c>
      <c r="DY166" s="14" t="n">
        <v>1</v>
      </c>
      <c r="DZ166" s="14" t="n">
        <v>1</v>
      </c>
      <c r="EA166" s="14" t="n">
        <v>0</v>
      </c>
      <c r="EB166" s="14" t="n">
        <v>0</v>
      </c>
      <c r="EC166" s="14" t="n">
        <v>0</v>
      </c>
      <c r="ED166" s="14" t="n">
        <v>0</v>
      </c>
      <c r="EE166" s="14" t="n">
        <v>2</v>
      </c>
      <c r="EF166" s="14" t="n">
        <v>2</v>
      </c>
      <c r="EG166" s="14" t="n">
        <v>0</v>
      </c>
      <c r="EH166" s="14" t="n">
        <v>0</v>
      </c>
      <c r="EI166" s="14" t="n">
        <v>0</v>
      </c>
      <c r="EJ166" s="14" t="n">
        <v>0</v>
      </c>
      <c r="EK166" s="14" t="n">
        <v>0</v>
      </c>
      <c r="EL166" s="14" t="n">
        <v>0</v>
      </c>
      <c r="EM166" s="14" t="n">
        <v>0</v>
      </c>
      <c r="EN166" s="14" t="n">
        <v>0</v>
      </c>
      <c r="EO166" s="14" t="n">
        <v>0</v>
      </c>
      <c r="EP166" s="14" t="n">
        <v>0</v>
      </c>
      <c r="EQ166" s="14" t="n">
        <v>0</v>
      </c>
      <c r="ER166" s="14" t="n">
        <v>0</v>
      </c>
      <c r="ES166" s="14" t="n">
        <v>0</v>
      </c>
      <c r="ET166" s="14" t="n">
        <v>0</v>
      </c>
      <c r="EU166" s="14" t="n">
        <v>0</v>
      </c>
      <c r="EV166" s="14" t="n">
        <v>0</v>
      </c>
      <c r="EW166" s="14" t="n">
        <v>0</v>
      </c>
      <c r="EX166" s="14" t="n">
        <v>0</v>
      </c>
      <c r="EY166" s="14" t="n">
        <v>0</v>
      </c>
      <c r="EZ166" s="14" t="n">
        <v>0</v>
      </c>
      <c r="FA166" s="14" t="n">
        <v>0</v>
      </c>
      <c r="FB166" s="14" t="n">
        <v>0</v>
      </c>
      <c r="FC166" s="14" t="n">
        <v>0</v>
      </c>
      <c r="FD166" s="14" t="n">
        <v>0</v>
      </c>
      <c r="FE166" s="14" t="n">
        <v>0</v>
      </c>
      <c r="FF166" s="14" t="n">
        <v>0</v>
      </c>
      <c r="FG166" s="15">
        <f>SUM(DW166,DX166,DY166,DZ166,EA166,EB166,EC166,ED166,EE166,EF166,EG166,EH166,EI166,EJ166,EK166,EL166,EM166,EN166,EO166,EP166,EQ166,ER166,ES166,ET166,EU166,EV166,EW166,EX166,EY166,EZ166,FA166,FB166,FC166,FD166,FE166,FF166)</f>
        <v/>
      </c>
      <c r="FH166" s="14" t="n">
        <v>27</v>
      </c>
      <c r="FI166" s="14" t="n">
        <v>0</v>
      </c>
      <c r="FJ166" s="14" t="n">
        <v>24</v>
      </c>
      <c r="FK166" s="14" t="n">
        <v>80</v>
      </c>
      <c r="FL166" s="14" t="n">
        <v>80</v>
      </c>
      <c r="FM166" s="14" t="n">
        <v>0</v>
      </c>
      <c r="FN166" s="14" t="n">
        <v>0</v>
      </c>
      <c r="FO166" s="14" t="n">
        <v>0</v>
      </c>
      <c r="FP166" s="14" t="n">
        <v>0</v>
      </c>
      <c r="FQ166" s="15">
        <f>FL166+FM166+FN166+FO166+FP166</f>
        <v/>
      </c>
      <c r="FR166" s="14" t="n">
        <v>1556684.44</v>
      </c>
      <c r="FS166" s="14" t="n">
        <v>0</v>
      </c>
      <c r="FT166" s="14" t="n">
        <v>0</v>
      </c>
      <c r="FU166" s="14" t="n">
        <v>0</v>
      </c>
      <c r="FV166" s="15">
        <f>FR166+FS166+FT166+FU166</f>
        <v/>
      </c>
      <c r="FW166" s="14" t="n">
        <v>2512200</v>
      </c>
      <c r="FX166" s="14" t="n">
        <v>1500</v>
      </c>
      <c r="FY166" s="14" t="n">
        <v>1165600</v>
      </c>
      <c r="FZ166" s="14" t="n">
        <v>1046100</v>
      </c>
      <c r="GA166" s="15">
        <f>FW166+FX166+FY166+FZ166</f>
        <v/>
      </c>
      <c r="GB166" s="15">
        <f>FV166+GA166</f>
        <v/>
      </c>
      <c r="GC166" s="14" t="n">
        <v>2577037.46</v>
      </c>
      <c r="GD166" s="14" t="n">
        <v>2295.36</v>
      </c>
      <c r="GE166" s="14" t="n">
        <v>2295.36</v>
      </c>
      <c r="GF166" s="14" t="n">
        <v>16821.98</v>
      </c>
      <c r="GG166" s="15">
        <f>GC166+GD166+GE166+GF166</f>
        <v/>
      </c>
      <c r="GH166" s="14" t="n">
        <v>2596154.8</v>
      </c>
      <c r="GI166" s="14" t="n">
        <v>0</v>
      </c>
      <c r="GJ166" s="14" t="n">
        <v>0</v>
      </c>
      <c r="GK166" s="14" t="n">
        <v>0</v>
      </c>
      <c r="GL166" s="15">
        <f>GH166+GI166+GJ166+GK166</f>
        <v/>
      </c>
      <c r="GM166" s="15">
        <f>GG166+GL166</f>
        <v/>
      </c>
      <c r="GN166" s="14" t="n">
        <v>243188</v>
      </c>
      <c r="GO166" s="14" t="n">
        <v>191.28</v>
      </c>
      <c r="GP166" s="14" t="n">
        <v>191.28</v>
      </c>
      <c r="GQ166" s="14" t="n">
        <v>9274.68</v>
      </c>
      <c r="GR166" s="15">
        <f>GN166+GO166+GP166+GQ166</f>
        <v/>
      </c>
      <c r="GS166" s="14" t="n">
        <v>413459</v>
      </c>
      <c r="GT166" s="14" t="n">
        <v>893</v>
      </c>
      <c r="GU166" s="14" t="n">
        <v>893</v>
      </c>
      <c r="GV166" s="14" t="n">
        <v>1786</v>
      </c>
      <c r="GW166" s="15">
        <f>GS166+GT166+GU166+GV166</f>
        <v/>
      </c>
      <c r="GX166" s="15">
        <f>GM166+GR166+GW166</f>
        <v/>
      </c>
      <c r="GY166" s="14" t="n">
        <v>28628569.26</v>
      </c>
      <c r="GZ166" s="14" t="n">
        <v>0</v>
      </c>
      <c r="HA166" s="15">
        <f>GY166+GZ166</f>
        <v/>
      </c>
      <c r="HB166" s="15">
        <f>IF(GX166=0,"",AU166/GX166)</f>
        <v/>
      </c>
      <c r="HC166" s="16">
        <f>IF((GX166+GY166)=0,"",GB166/(GX166+GY166))</f>
        <v/>
      </c>
      <c r="HD166" s="15">
        <f>IF(GX166=0,"",GB166/GX166)</f>
        <v/>
      </c>
      <c r="HE166" s="14" t="n">
        <v>10</v>
      </c>
      <c r="HF166" s="14" t="n">
        <v>1</v>
      </c>
      <c r="HG166" s="14" t="n">
        <v>55</v>
      </c>
      <c r="HH166" s="14" t="n">
        <v>10</v>
      </c>
      <c r="HI166" s="14" t="n">
        <v>3</v>
      </c>
      <c r="HJ166" s="15">
        <f>HF166+HI166</f>
        <v/>
      </c>
      <c r="HK166" s="16">
        <f>IF(HE166=0,"",HH166/HE166)</f>
        <v/>
      </c>
      <c r="HL166" s="14" t="n">
        <v>15</v>
      </c>
      <c r="HM166" s="14" t="n">
        <v>3</v>
      </c>
      <c r="HN166" s="17">
        <f>IF(HL166=0,"",HM166/HL166)</f>
        <v/>
      </c>
    </row>
    <row r="167">
      <c r="A167" s="6" t="inlineStr">
        <is>
          <t>Mulanje</t>
        </is>
      </c>
      <c r="B167" s="6" t="inlineStr">
        <is>
          <t>Muloza</t>
        </is>
      </c>
      <c r="C167" s="7" t="inlineStr">
        <is>
          <t>FY2025/26</t>
        </is>
      </c>
      <c r="D167" s="7" t="n">
        <v>2025</v>
      </c>
      <c r="E167" s="7" t="n">
        <v>12</v>
      </c>
      <c r="F167" s="7" t="inlineStr">
        <is>
          <t>December</t>
        </is>
      </c>
      <c r="G167" s="7" t="inlineStr">
        <is>
          <t>Q3</t>
        </is>
      </c>
      <c r="H167" s="8" t="n">
        <v>7291</v>
      </c>
      <c r="I167" s="8" t="n">
        <v>2696</v>
      </c>
      <c r="J167" s="8" t="n">
        <v>9</v>
      </c>
      <c r="K167" s="8" t="n">
        <v>0</v>
      </c>
      <c r="L167" s="8" t="n">
        <v>8</v>
      </c>
      <c r="M167" s="9">
        <f>SUM(I167,J167,K167,L167)</f>
        <v/>
      </c>
      <c r="N167" s="8" t="n">
        <v>2261</v>
      </c>
      <c r="O167" s="8" t="n">
        <v>19</v>
      </c>
      <c r="P167" s="8" t="n">
        <v>42</v>
      </c>
      <c r="Q167" s="8" t="n">
        <v>64</v>
      </c>
      <c r="R167" s="9">
        <f>SUM(N167,O167,P167,Q167)</f>
        <v/>
      </c>
      <c r="S167" s="9">
        <f>M167+R167</f>
        <v/>
      </c>
      <c r="T167" s="8" t="n">
        <v>2192</v>
      </c>
      <c r="U167" s="10">
        <f>IF(H167=0,"",T167/H167)</f>
        <v/>
      </c>
      <c r="V167" s="8" t="n">
        <v>15</v>
      </c>
      <c r="W167" s="11">
        <f>IF(H167=0,"",V167/H167)</f>
        <v/>
      </c>
      <c r="X167" s="8" t="n">
        <v>0</v>
      </c>
      <c r="Y167" s="11">
        <f>IF(H167=0,"",X167/H167)</f>
        <v/>
      </c>
      <c r="Z167" s="8" t="n">
        <v>0</v>
      </c>
      <c r="AA167" s="11">
        <f>IF(H167=0,"",Z167/H167)</f>
        <v/>
      </c>
      <c r="AB167" s="8" t="n">
        <v>0</v>
      </c>
      <c r="AC167" s="11">
        <f>IF(H167=0,"",AB167/H167)</f>
        <v/>
      </c>
      <c r="AD167" s="8" t="n">
        <v>0</v>
      </c>
      <c r="AE167" s="11">
        <f>IF(H167=0,"",AD167/H167)</f>
        <v/>
      </c>
      <c r="AF167" s="8" t="n">
        <v>0</v>
      </c>
      <c r="AG167" s="11">
        <f>IF(H167=0,"",AF167/H167)</f>
        <v/>
      </c>
      <c r="AH167" s="8" t="n">
        <v>76675.05</v>
      </c>
      <c r="AI167" s="9">
        <f>IF(H167=0,"",AH167/H167)</f>
        <v/>
      </c>
      <c r="AJ167" s="8" t="n">
        <v>9500</v>
      </c>
      <c r="AK167" s="11">
        <f>IF(H167=0,"",AJ167/H167)</f>
        <v/>
      </c>
      <c r="AL167" s="8" t="n">
        <v>1334565.75</v>
      </c>
      <c r="AM167" s="9">
        <f>IF(H167=0,"",AL167/H167)</f>
        <v/>
      </c>
      <c r="AN167" s="8" t="n">
        <v>0</v>
      </c>
      <c r="AO167" s="8" t="n">
        <v>0</v>
      </c>
      <c r="AP167" s="8" t="n">
        <v>0</v>
      </c>
      <c r="AQ167" s="8" t="n">
        <v>0</v>
      </c>
      <c r="AR167" s="8" t="n">
        <v>5032773.52</v>
      </c>
      <c r="AS167" s="8" t="n">
        <v>1291962.8</v>
      </c>
      <c r="AT167" s="8" t="n">
        <v>0</v>
      </c>
      <c r="AU167" s="9">
        <f>AH167+AL167+AP167+AQ167+AR167+AS167+AT167</f>
        <v/>
      </c>
      <c r="AV167" s="9">
        <f>IF(H167=0,"",AU167/H167)</f>
        <v/>
      </c>
      <c r="AW167" s="9">
        <f>IF(S167=0,"",AU167/S167)</f>
        <v/>
      </c>
      <c r="AX167" s="8" t="n">
        <v>6</v>
      </c>
      <c r="AY167" s="9">
        <f>IF(H167=0,"",AX167/(H167/1000/12))</f>
        <v/>
      </c>
      <c r="AZ167" s="8" t="n">
        <v>8</v>
      </c>
      <c r="BA167" s="8" t="n">
        <v>49</v>
      </c>
      <c r="BB167" s="8" t="n">
        <v>11</v>
      </c>
      <c r="BC167" s="8" t="n">
        <v>0</v>
      </c>
      <c r="BD167" s="8" t="n">
        <v>12</v>
      </c>
      <c r="BE167" s="9">
        <f>BC167+BD167</f>
        <v/>
      </c>
      <c r="BF167" s="9">
        <f>BA167+BB167-BE167</f>
        <v/>
      </c>
      <c r="BG167" s="8" t="n">
        <v>0</v>
      </c>
      <c r="BH167" s="8" t="n">
        <v>0</v>
      </c>
      <c r="BI167" s="8" t="n">
        <v>0</v>
      </c>
      <c r="BJ167" s="8" t="n">
        <v>0</v>
      </c>
      <c r="BK167" s="9">
        <f>BI167+BJ167</f>
        <v/>
      </c>
      <c r="BL167" s="9">
        <f>BG167+BH167-BK167</f>
        <v/>
      </c>
      <c r="BM167" s="8" t="n">
        <v>6</v>
      </c>
      <c r="BN167" s="8" t="n">
        <v>0</v>
      </c>
      <c r="BO167" s="8" t="n">
        <v>0</v>
      </c>
      <c r="BP167" s="8" t="n">
        <v>0</v>
      </c>
      <c r="BQ167" s="9">
        <f>BO167+BP167</f>
        <v/>
      </c>
      <c r="BR167" s="9">
        <f>BM167+BN167-BQ167</f>
        <v/>
      </c>
      <c r="BS167" s="8" t="n">
        <v>0</v>
      </c>
      <c r="BT167" s="8" t="n">
        <v>0</v>
      </c>
      <c r="BU167" s="8" t="n">
        <v>0</v>
      </c>
      <c r="BV167" s="8" t="n">
        <v>0</v>
      </c>
      <c r="BW167" s="9">
        <f>BU167+BV167</f>
        <v/>
      </c>
      <c r="BX167" s="9">
        <f>BS167+BT167-BW167</f>
        <v/>
      </c>
      <c r="BY167" s="9">
        <f>BA167+BG167+BM167+BS167</f>
        <v/>
      </c>
      <c r="BZ167" s="9">
        <f>BB167+BH167+BN167+BT167</f>
        <v/>
      </c>
      <c r="CA167" s="9">
        <f>BE167+BK167+BQ167+BW167</f>
        <v/>
      </c>
      <c r="CB167" s="9">
        <f>BF167+BL167+BR167+BX167</f>
        <v/>
      </c>
      <c r="CC167" s="8" t="n">
        <v>29</v>
      </c>
      <c r="CD167" s="8" t="n">
        <v>413</v>
      </c>
      <c r="CE167" s="8" t="n">
        <v>16</v>
      </c>
      <c r="CF167" s="8" t="n">
        <v>71</v>
      </c>
      <c r="CG167" s="8" t="n">
        <v>0</v>
      </c>
      <c r="CH167" s="9">
        <f>CD167+CE167+CF167+CG167</f>
        <v/>
      </c>
      <c r="CI167" s="8" t="n">
        <v>456</v>
      </c>
      <c r="CJ167" s="8" t="n">
        <v>0</v>
      </c>
      <c r="CK167" s="8" t="n">
        <v>2</v>
      </c>
      <c r="CL167" s="8" t="n">
        <v>1</v>
      </c>
      <c r="CM167" s="9">
        <f>CI167+CJ167+CK167+CL167</f>
        <v/>
      </c>
      <c r="CN167" s="8" t="n">
        <v>652</v>
      </c>
      <c r="CO167" s="8" t="n">
        <v>33</v>
      </c>
      <c r="CP167" s="8" t="n">
        <v>51</v>
      </c>
      <c r="CQ167" s="8" t="n">
        <v>2</v>
      </c>
      <c r="CR167" s="9">
        <f>CN167+CO167+CP167+CQ167</f>
        <v/>
      </c>
      <c r="CS167" s="9">
        <f>CM167+CR167</f>
        <v/>
      </c>
      <c r="CT167" s="8" t="n">
        <v>1697</v>
      </c>
      <c r="CU167" s="8" t="n">
        <v>9810</v>
      </c>
      <c r="CV167" s="8" t="n">
        <v>9010</v>
      </c>
      <c r="CW167" s="10">
        <f>IF(CU167=0,"",CV167/CU167)</f>
        <v/>
      </c>
      <c r="CX167" s="8" t="n">
        <v>0</v>
      </c>
      <c r="CY167" s="8" t="n">
        <v>0</v>
      </c>
      <c r="CZ167" s="8" t="n">
        <v>0</v>
      </c>
      <c r="DA167" s="8" t="n">
        <v>0</v>
      </c>
      <c r="DB167" s="9">
        <f>CX167+CY167-CZ167-DA167</f>
        <v/>
      </c>
      <c r="DC167" s="8" t="n">
        <v>0</v>
      </c>
      <c r="DD167" s="8" t="n">
        <v>0</v>
      </c>
      <c r="DE167" s="8" t="n">
        <v>0</v>
      </c>
      <c r="DF167" s="8" t="n">
        <v>0</v>
      </c>
      <c r="DG167" s="9">
        <f>DC167+DD167-DE167-DF167</f>
        <v/>
      </c>
      <c r="DH167" s="8" t="n">
        <v>0</v>
      </c>
      <c r="DI167" s="8" t="n">
        <v>0</v>
      </c>
      <c r="DJ167" s="8" t="n">
        <v>0</v>
      </c>
      <c r="DK167" s="8" t="n">
        <v>0</v>
      </c>
      <c r="DL167" s="9">
        <f>DH167+DI167-DJ167-DK167</f>
        <v/>
      </c>
      <c r="DM167" s="8" t="n">
        <v>0</v>
      </c>
      <c r="DN167" s="8" t="n">
        <v>20</v>
      </c>
      <c r="DO167" s="8" t="n">
        <v>20</v>
      </c>
      <c r="DP167" s="8" t="n">
        <v>0</v>
      </c>
      <c r="DQ167" s="9">
        <f>DM167+DN167-DO167-DP167</f>
        <v/>
      </c>
      <c r="DR167" s="9">
        <f>CX167+DC167+DH167+DM167</f>
        <v/>
      </c>
      <c r="DS167" s="9">
        <f>CY167+DD167+DI167+DN167</f>
        <v/>
      </c>
      <c r="DT167" s="9">
        <f>CZ167+DE167+DJ167+DO167</f>
        <v/>
      </c>
      <c r="DU167" s="9">
        <f>DA167+DF167+DK167+DP167</f>
        <v/>
      </c>
      <c r="DV167" s="9">
        <f>DB167+DG167+DL167+DQ167</f>
        <v/>
      </c>
      <c r="DW167" s="8" t="n">
        <v>20</v>
      </c>
      <c r="DX167" s="8" t="n">
        <v>14</v>
      </c>
      <c r="DY167" s="8" t="n">
        <v>5</v>
      </c>
      <c r="DZ167" s="8" t="n">
        <v>1</v>
      </c>
      <c r="EA167" s="8" t="n">
        <v>1</v>
      </c>
      <c r="EB167" s="8" t="n">
        <v>1</v>
      </c>
      <c r="EC167" s="8" t="n">
        <v>1</v>
      </c>
      <c r="ED167" s="8" t="n">
        <v>0</v>
      </c>
      <c r="EE167" s="8" t="n">
        <v>2</v>
      </c>
      <c r="EF167" s="8" t="n">
        <v>0</v>
      </c>
      <c r="EG167" s="8" t="n">
        <v>0</v>
      </c>
      <c r="EH167" s="8" t="n">
        <v>0</v>
      </c>
      <c r="EI167" s="8" t="n">
        <v>0</v>
      </c>
      <c r="EJ167" s="8" t="n">
        <v>0</v>
      </c>
      <c r="EK167" s="8" t="n">
        <v>0</v>
      </c>
      <c r="EL167" s="8" t="n">
        <v>0</v>
      </c>
      <c r="EM167" s="8" t="n">
        <v>0</v>
      </c>
      <c r="EN167" s="8" t="n">
        <v>0</v>
      </c>
      <c r="EO167" s="8" t="n">
        <v>0</v>
      </c>
      <c r="EP167" s="8" t="n">
        <v>0</v>
      </c>
      <c r="EQ167" s="8" t="n">
        <v>0</v>
      </c>
      <c r="ER167" s="8" t="n">
        <v>0</v>
      </c>
      <c r="ES167" s="8" t="n">
        <v>0</v>
      </c>
      <c r="ET167" s="8" t="n">
        <v>0</v>
      </c>
      <c r="EU167" s="8" t="n">
        <v>0</v>
      </c>
      <c r="EV167" s="8" t="n">
        <v>0</v>
      </c>
      <c r="EW167" s="8" t="n">
        <v>0</v>
      </c>
      <c r="EX167" s="8" t="n">
        <v>0</v>
      </c>
      <c r="EY167" s="8" t="n">
        <v>0</v>
      </c>
      <c r="EZ167" s="8" t="n">
        <v>0</v>
      </c>
      <c r="FA167" s="8" t="n">
        <v>0</v>
      </c>
      <c r="FB167" s="8" t="n">
        <v>0</v>
      </c>
      <c r="FC167" s="8" t="n">
        <v>0</v>
      </c>
      <c r="FD167" s="8" t="n">
        <v>0</v>
      </c>
      <c r="FE167" s="8" t="n">
        <v>0</v>
      </c>
      <c r="FF167" s="8" t="n">
        <v>0</v>
      </c>
      <c r="FG167" s="9">
        <f>SUM(DW167,DX167,DY167,DZ167,EA167,EB167,EC167,ED167,EE167,EF167,EG167,EH167,EI167,EJ167,EK167,EL167,EM167,EN167,EO167,EP167,EQ167,ER167,ES167,ET167,EU167,EV167,EW167,EX167,EY167,EZ167,FA167,FB167,FC167,FD167,FE167,FF167)</f>
        <v/>
      </c>
      <c r="FH167" s="8" t="n">
        <v>43</v>
      </c>
      <c r="FI167" s="8" t="n">
        <v>0</v>
      </c>
      <c r="FJ167" s="8" t="n">
        <v>20</v>
      </c>
      <c r="FK167" s="8" t="n">
        <v>95</v>
      </c>
      <c r="FL167" s="8" t="n">
        <v>95</v>
      </c>
      <c r="FM167" s="8" t="n">
        <v>0</v>
      </c>
      <c r="FN167" s="8" t="n">
        <v>0</v>
      </c>
      <c r="FO167" s="8" t="n">
        <v>0</v>
      </c>
      <c r="FP167" s="8" t="n">
        <v>0</v>
      </c>
      <c r="FQ167" s="9">
        <f>FL167+FM167+FN167+FO167+FP167</f>
        <v/>
      </c>
      <c r="FR167" s="8" t="n">
        <v>4750290.54</v>
      </c>
      <c r="FS167" s="8" t="n">
        <v>6000</v>
      </c>
      <c r="FT167" s="8" t="n">
        <v>0</v>
      </c>
      <c r="FU167" s="8" t="n">
        <v>0</v>
      </c>
      <c r="FV167" s="9">
        <f>FR167+FS167+FT167+FU167</f>
        <v/>
      </c>
      <c r="FW167" s="8" t="n">
        <v>2959138</v>
      </c>
      <c r="FX167" s="8" t="n">
        <v>4000</v>
      </c>
      <c r="FY167" s="8" t="n">
        <v>301508</v>
      </c>
      <c r="FZ167" s="8" t="n">
        <v>140300</v>
      </c>
      <c r="GA167" s="9">
        <f>FW167+FX167+FY167+FZ167</f>
        <v/>
      </c>
      <c r="GB167" s="9">
        <f>FV167+GA167</f>
        <v/>
      </c>
      <c r="GC167" s="8" t="n">
        <v>2357590.16</v>
      </c>
      <c r="GD167" s="8" t="n">
        <v>1721.52</v>
      </c>
      <c r="GE167" s="8" t="n">
        <v>1721.52</v>
      </c>
      <c r="GF167" s="8" t="n">
        <v>16821.98</v>
      </c>
      <c r="GG167" s="9">
        <f>GC167+GD167+GE167+GF167</f>
        <v/>
      </c>
      <c r="GH167" s="8" t="n">
        <v>2376133.66</v>
      </c>
      <c r="GI167" s="8" t="n">
        <v>0</v>
      </c>
      <c r="GJ167" s="8" t="n">
        <v>0</v>
      </c>
      <c r="GK167" s="8" t="n">
        <v>0</v>
      </c>
      <c r="GL167" s="9">
        <f>GH167+GI167+GJ167+GK167</f>
        <v/>
      </c>
      <c r="GM167" s="9">
        <f>GG167+GL167</f>
        <v/>
      </c>
      <c r="GN167" s="8" t="n">
        <v>239537.34</v>
      </c>
      <c r="GO167" s="8" t="n">
        <v>191.28</v>
      </c>
      <c r="GP167" s="8" t="n">
        <v>191.28</v>
      </c>
      <c r="GQ167" s="8" t="n">
        <v>9274.68</v>
      </c>
      <c r="GR167" s="9">
        <f>GN167+GO167+GP167+GQ167</f>
        <v/>
      </c>
      <c r="GS167" s="8" t="n">
        <v>407208</v>
      </c>
      <c r="GT167" s="8" t="n">
        <v>893</v>
      </c>
      <c r="GU167" s="8" t="n">
        <v>893</v>
      </c>
      <c r="GV167" s="8" t="n">
        <v>1786</v>
      </c>
      <c r="GW167" s="9">
        <f>GS167+GT167+GU167+GV167</f>
        <v/>
      </c>
      <c r="GX167" s="9">
        <f>GM167+GR167+GW167</f>
        <v/>
      </c>
      <c r="GY167" s="8" t="n">
        <v>26924302.68</v>
      </c>
      <c r="GZ167" s="8" t="n">
        <v>0</v>
      </c>
      <c r="HA167" s="9">
        <f>GY167+GZ167</f>
        <v/>
      </c>
      <c r="HB167" s="9">
        <f>IF(GX167=0,"",AU167/GX167)</f>
        <v/>
      </c>
      <c r="HC167" s="10">
        <f>IF((GX167+GY167)=0,"",GB167/(GX167+GY167))</f>
        <v/>
      </c>
      <c r="HD167" s="9">
        <f>IF(GX167=0,"",GB167/GX167)</f>
        <v/>
      </c>
      <c r="HE167" s="8" t="n">
        <v>11</v>
      </c>
      <c r="HF167" s="8" t="n">
        <v>1</v>
      </c>
      <c r="HG167" s="8" t="n">
        <v>54</v>
      </c>
      <c r="HH167" s="8" t="n">
        <v>11</v>
      </c>
      <c r="HI167" s="8" t="n">
        <v>3</v>
      </c>
      <c r="HJ167" s="9">
        <f>HF167+HI167</f>
        <v/>
      </c>
      <c r="HK167" s="10">
        <f>IF(HE167=0,"",HH167/HE167)</f>
        <v/>
      </c>
      <c r="HL167" s="8" t="n">
        <v>10</v>
      </c>
      <c r="HM167" s="8" t="n">
        <v>3</v>
      </c>
      <c r="HN167" s="11">
        <f>IF(HL167=0,"",HM167/HL167)</f>
        <v/>
      </c>
    </row>
    <row r="168">
      <c r="A168" s="12" t="inlineStr">
        <is>
          <t>Mulanje</t>
        </is>
      </c>
      <c r="B168" s="12" t="inlineStr">
        <is>
          <t>Muloza</t>
        </is>
      </c>
      <c r="C168" s="13" t="inlineStr">
        <is>
          <t>FY2025/26</t>
        </is>
      </c>
      <c r="D168" s="13" t="n">
        <v>2026</v>
      </c>
      <c r="E168" s="13" t="n">
        <v>1</v>
      </c>
      <c r="F168" s="13" t="inlineStr">
        <is>
          <t>January</t>
        </is>
      </c>
      <c r="G168" s="13" t="inlineStr">
        <is>
          <t>Q4</t>
        </is>
      </c>
      <c r="H168" s="14" t="n">
        <v>8226</v>
      </c>
      <c r="I168" s="14" t="n">
        <v>2943</v>
      </c>
      <c r="J168" s="14" t="n">
        <v>12</v>
      </c>
      <c r="K168" s="14" t="n">
        <v>0</v>
      </c>
      <c r="L168" s="14" t="n">
        <v>8</v>
      </c>
      <c r="M168" s="15" t="n">
        <v>2963</v>
      </c>
      <c r="N168" s="14" t="n">
        <v>2651</v>
      </c>
      <c r="O168" s="14" t="n">
        <v>10</v>
      </c>
      <c r="P168" s="14" t="n">
        <v>41</v>
      </c>
      <c r="Q168" s="14" t="n">
        <v>77</v>
      </c>
      <c r="R168" s="15" t="n">
        <v>2779</v>
      </c>
      <c r="S168" s="15" t="n">
        <v>5742</v>
      </c>
      <c r="T168" s="14" t="n">
        <v>2484</v>
      </c>
      <c r="U168" s="16" t="n">
        <v>0.3019693654266958</v>
      </c>
      <c r="V168" s="14" t="n">
        <v>13</v>
      </c>
      <c r="W168" s="17" t="n">
        <v>1.580354972039873</v>
      </c>
      <c r="X168" s="14" t="n">
        <v>0</v>
      </c>
      <c r="Y168" s="17" t="n">
        <v>0</v>
      </c>
      <c r="Z168" s="14" t="n">
        <v>0</v>
      </c>
      <c r="AA168" s="17" t="n">
        <v>0</v>
      </c>
      <c r="AB168" s="14" t="n">
        <v>0</v>
      </c>
      <c r="AC168" s="17" t="n">
        <v>0</v>
      </c>
      <c r="AD168" s="14" t="n">
        <v>0</v>
      </c>
      <c r="AE168" s="17" t="n">
        <v>0</v>
      </c>
      <c r="AF168" s="14" t="n">
        <v>0</v>
      </c>
      <c r="AG168" s="17" t="n">
        <v>0</v>
      </c>
      <c r="AH168" s="14" t="n">
        <v>66451.71000000001</v>
      </c>
      <c r="AI168" s="15" t="n">
        <v>8.078253099927061</v>
      </c>
      <c r="AJ168" s="14" t="n">
        <v>10715</v>
      </c>
      <c r="AK168" s="17" t="n">
        <v>1.302577194262096</v>
      </c>
      <c r="AL168" s="14" t="n">
        <v>1503148.8225</v>
      </c>
      <c r="AM168" s="15" t="n">
        <v>182.7314396425967</v>
      </c>
      <c r="AN168" s="14" t="n">
        <v>0</v>
      </c>
      <c r="AO168" s="14" t="n">
        <v>0</v>
      </c>
      <c r="AP168" s="14" t="n">
        <v>0</v>
      </c>
      <c r="AQ168" s="14" t="n">
        <v>0</v>
      </c>
      <c r="AR168" s="14" t="n">
        <v>5389576.69</v>
      </c>
      <c r="AS168" s="14" t="n">
        <v>0</v>
      </c>
      <c r="AT168" s="14" t="n">
        <v>464000</v>
      </c>
      <c r="AU168" s="15" t="n">
        <v>7423177.2225</v>
      </c>
      <c r="AV168" s="15" t="n">
        <v>902.4042332239242</v>
      </c>
      <c r="AW168" s="15" t="n">
        <v>1292.786001828631</v>
      </c>
      <c r="AX168" s="14" t="n">
        <v>6</v>
      </c>
      <c r="AY168" s="15" t="n">
        <v>22.61123267687819</v>
      </c>
      <c r="AZ168" s="14" t="n">
        <v>7</v>
      </c>
      <c r="BA168" s="14" t="n">
        <v>48</v>
      </c>
      <c r="BB168" s="14" t="n">
        <v>3</v>
      </c>
      <c r="BC168" s="14" t="n">
        <v>0</v>
      </c>
      <c r="BD168" s="14" t="n">
        <v>0</v>
      </c>
      <c r="BE168" s="15" t="n">
        <v>0</v>
      </c>
      <c r="BF168" s="15" t="n">
        <v>51</v>
      </c>
      <c r="BG168" s="14" t="n">
        <v>0</v>
      </c>
      <c r="BH168" s="14" t="n">
        <v>0</v>
      </c>
      <c r="BI168" s="14" t="n">
        <v>0</v>
      </c>
      <c r="BJ168" s="14" t="n">
        <v>0</v>
      </c>
      <c r="BK168" s="15" t="n">
        <v>0</v>
      </c>
      <c r="BL168" s="15" t="n">
        <v>0</v>
      </c>
      <c r="BM168" s="14" t="n">
        <v>6</v>
      </c>
      <c r="BN168" s="14" t="n">
        <v>0</v>
      </c>
      <c r="BO168" s="14" t="n">
        <v>0</v>
      </c>
      <c r="BP168" s="14" t="n">
        <v>0</v>
      </c>
      <c r="BQ168" s="15" t="n">
        <v>0</v>
      </c>
      <c r="BR168" s="15" t="n">
        <v>6</v>
      </c>
      <c r="BS168" s="14" t="n">
        <v>0</v>
      </c>
      <c r="BT168" s="14" t="n">
        <v>0</v>
      </c>
      <c r="BU168" s="14" t="n">
        <v>0</v>
      </c>
      <c r="BV168" s="14" t="n">
        <v>0</v>
      </c>
      <c r="BW168" s="15" t="n">
        <v>0</v>
      </c>
      <c r="BX168" s="15" t="n">
        <v>0</v>
      </c>
      <c r="BY168" s="15" t="n">
        <v>54</v>
      </c>
      <c r="BZ168" s="15" t="n">
        <v>3</v>
      </c>
      <c r="CA168" s="15" t="n">
        <v>0</v>
      </c>
      <c r="CB168" s="15" t="n">
        <v>57</v>
      </c>
      <c r="CC168" s="14" t="n">
        <v>0</v>
      </c>
      <c r="CD168" s="14" t="n">
        <v>413</v>
      </c>
      <c r="CE168" s="14" t="n">
        <v>16</v>
      </c>
      <c r="CF168" s="14" t="n">
        <v>71</v>
      </c>
      <c r="CG168" s="14" t="n">
        <v>0</v>
      </c>
      <c r="CH168" s="15" t="n">
        <v>500</v>
      </c>
      <c r="CI168" s="14" t="n">
        <v>456</v>
      </c>
      <c r="CJ168" s="14" t="n">
        <v>0</v>
      </c>
      <c r="CK168" s="14" t="n">
        <v>2</v>
      </c>
      <c r="CL168" s="14" t="n">
        <v>1</v>
      </c>
      <c r="CM168" s="15" t="n">
        <v>459</v>
      </c>
      <c r="CN168" s="14" t="n">
        <v>652</v>
      </c>
      <c r="CO168" s="14" t="n">
        <v>33</v>
      </c>
      <c r="CP168" s="14" t="n">
        <v>51</v>
      </c>
      <c r="CQ168" s="14" t="n">
        <v>2</v>
      </c>
      <c r="CR168" s="15" t="n">
        <v>738</v>
      </c>
      <c r="CS168" s="15" t="n">
        <v>1197</v>
      </c>
      <c r="CT168" s="14" t="n">
        <v>1697</v>
      </c>
      <c r="CU168" s="14" t="n">
        <v>9810</v>
      </c>
      <c r="CV168" s="14" t="n">
        <v>9010</v>
      </c>
      <c r="CW168" s="16" t="n">
        <v>0.9184505606523955</v>
      </c>
      <c r="CX168" s="14" t="n">
        <v>0</v>
      </c>
      <c r="CY168" s="14" t="n">
        <v>0</v>
      </c>
      <c r="CZ168" s="14" t="n">
        <v>0</v>
      </c>
      <c r="DA168" s="14" t="n">
        <v>0</v>
      </c>
      <c r="DB168" s="15" t="n">
        <v>0</v>
      </c>
      <c r="DC168" s="14" t="n">
        <v>0</v>
      </c>
      <c r="DD168" s="14" t="n">
        <v>0</v>
      </c>
      <c r="DE168" s="14" t="n">
        <v>0</v>
      </c>
      <c r="DF168" s="14" t="n">
        <v>0</v>
      </c>
      <c r="DG168" s="15" t="n">
        <v>0</v>
      </c>
      <c r="DH168" s="14" t="n">
        <v>0</v>
      </c>
      <c r="DI168" s="14" t="n">
        <v>0</v>
      </c>
      <c r="DJ168" s="14" t="n">
        <v>0</v>
      </c>
      <c r="DK168" s="14" t="n">
        <v>0</v>
      </c>
      <c r="DL168" s="15" t="n">
        <v>0</v>
      </c>
      <c r="DM168" s="14" t="n">
        <v>0</v>
      </c>
      <c r="DN168" s="14" t="n">
        <v>5</v>
      </c>
      <c r="DO168" s="14" t="n">
        <v>5</v>
      </c>
      <c r="DP168" s="14" t="n">
        <v>0</v>
      </c>
      <c r="DQ168" s="15" t="n">
        <v>0</v>
      </c>
      <c r="DR168" s="15" t="n">
        <v>0</v>
      </c>
      <c r="DS168" s="15" t="n">
        <v>0</v>
      </c>
      <c r="DT168" s="15" t="n">
        <v>5</v>
      </c>
      <c r="DU168" s="15" t="n">
        <v>5</v>
      </c>
      <c r="DV168" s="15" t="n">
        <v>0</v>
      </c>
      <c r="DW168" s="14" t="n">
        <v>15</v>
      </c>
      <c r="DX168" s="14" t="n">
        <v>8</v>
      </c>
      <c r="DY168" s="14" t="n">
        <v>3</v>
      </c>
      <c r="DZ168" s="14" t="n">
        <v>3</v>
      </c>
      <c r="EA168" s="14" t="n">
        <v>0</v>
      </c>
      <c r="EB168" s="14" t="n">
        <v>1</v>
      </c>
      <c r="EC168" s="14" t="n">
        <v>1</v>
      </c>
      <c r="ED168" s="14" t="n">
        <v>0</v>
      </c>
      <c r="EE168" s="14" t="n">
        <v>1</v>
      </c>
      <c r="EF168" s="14" t="n">
        <v>3</v>
      </c>
      <c r="EG168" s="14" t="n">
        <v>0</v>
      </c>
      <c r="EH168" s="14" t="n">
        <v>0</v>
      </c>
      <c r="EI168" s="14" t="n">
        <v>0</v>
      </c>
      <c r="EJ168" s="14" t="n">
        <v>0</v>
      </c>
      <c r="EK168" s="14" t="n">
        <v>0</v>
      </c>
      <c r="EL168" s="14" t="n">
        <v>0</v>
      </c>
      <c r="EM168" s="14" t="n">
        <v>0</v>
      </c>
      <c r="EN168" s="14" t="n">
        <v>0</v>
      </c>
      <c r="EO168" s="14" t="n">
        <v>0</v>
      </c>
      <c r="EP168" s="14" t="n">
        <v>0</v>
      </c>
      <c r="EQ168" s="14" t="n">
        <v>0</v>
      </c>
      <c r="ER168" s="14" t="n">
        <v>0</v>
      </c>
      <c r="ES168" s="14" t="n">
        <v>0</v>
      </c>
      <c r="ET168" s="14" t="n">
        <v>0</v>
      </c>
      <c r="EU168" s="14" t="n">
        <v>0</v>
      </c>
      <c r="EV168" s="14" t="n">
        <v>0</v>
      </c>
      <c r="EW168" s="14" t="n">
        <v>0</v>
      </c>
      <c r="EX168" s="14" t="n">
        <v>0</v>
      </c>
      <c r="EY168" s="14" t="n">
        <v>0</v>
      </c>
      <c r="EZ168" s="14" t="n">
        <v>0</v>
      </c>
      <c r="FA168" s="14" t="n">
        <v>0</v>
      </c>
      <c r="FB168" s="14" t="n">
        <v>0</v>
      </c>
      <c r="FC168" s="14" t="n">
        <v>0</v>
      </c>
      <c r="FD168" s="14" t="n">
        <v>0</v>
      </c>
      <c r="FE168" s="14" t="n">
        <v>0</v>
      </c>
      <c r="FF168" s="14" t="n">
        <v>0</v>
      </c>
      <c r="FG168" s="15" t="n">
        <v>0</v>
      </c>
      <c r="FH168" s="14" t="n">
        <v>31</v>
      </c>
      <c r="FI168" s="14" t="n">
        <v>0</v>
      </c>
      <c r="FJ168" s="14" t="n">
        <v>20</v>
      </c>
      <c r="FK168" s="14" t="n">
        <v>156</v>
      </c>
      <c r="FL168" s="14" t="n">
        <v>156</v>
      </c>
      <c r="FM168" s="14" t="n">
        <v>0</v>
      </c>
      <c r="FN168" s="14" t="n">
        <v>0</v>
      </c>
      <c r="FO168" s="14" t="n">
        <v>0</v>
      </c>
      <c r="FP168" s="14" t="n">
        <v>0</v>
      </c>
      <c r="FQ168" s="15" t="n">
        <v>0</v>
      </c>
      <c r="FR168" s="14" t="n">
        <v>1695821.66</v>
      </c>
      <c r="FS168" s="14" t="n">
        <v>3000</v>
      </c>
      <c r="FT168" s="14" t="n">
        <v>0</v>
      </c>
      <c r="FU168" s="14" t="n">
        <v>0</v>
      </c>
      <c r="FV168" s="15" t="n">
        <v>0</v>
      </c>
      <c r="FW168" s="14" t="n">
        <v>3382200</v>
      </c>
      <c r="FX168" s="14" t="n">
        <v>2300</v>
      </c>
      <c r="FY168" s="14" t="n">
        <v>368380</v>
      </c>
      <c r="FZ168" s="14" t="n">
        <v>127600</v>
      </c>
      <c r="GA168" s="15" t="n">
        <v>127600</v>
      </c>
      <c r="GB168" s="15" t="n">
        <v>3880480</v>
      </c>
      <c r="GC168" s="14" t="n">
        <v>2602869.58</v>
      </c>
      <c r="GD168" s="14" t="n">
        <v>2295.36</v>
      </c>
      <c r="GE168" s="14" t="n">
        <v>2295.36</v>
      </c>
      <c r="GF168" s="14" t="n">
        <v>16821.98</v>
      </c>
      <c r="GG168" s="15" t="n">
        <v>16821.98</v>
      </c>
      <c r="GH168" s="14" t="n">
        <v>2621986.92</v>
      </c>
      <c r="GI168" s="14" t="n">
        <v>0</v>
      </c>
      <c r="GJ168" s="14" t="n">
        <v>0</v>
      </c>
      <c r="GK168" s="14" t="n">
        <v>0</v>
      </c>
      <c r="GL168" s="15" t="n">
        <v>0</v>
      </c>
      <c r="GM168" s="15" t="n">
        <v>3880480</v>
      </c>
      <c r="GN168" s="14" t="n">
        <v>239537.34</v>
      </c>
      <c r="GO168" s="14" t="n">
        <v>191.28</v>
      </c>
      <c r="GP168" s="14" t="n">
        <v>191.28</v>
      </c>
      <c r="GQ168" s="14" t="n">
        <v>9274.68</v>
      </c>
      <c r="GR168" s="15" t="n">
        <v>9274.68</v>
      </c>
      <c r="GS168" s="14" t="n">
        <v>407208</v>
      </c>
      <c r="GT168" s="14" t="n">
        <v>893</v>
      </c>
      <c r="GU168" s="14" t="n">
        <v>893</v>
      </c>
      <c r="GV168" s="14" t="n">
        <v>1786</v>
      </c>
      <c r="GW168" s="15" t="n">
        <v>1786</v>
      </c>
      <c r="GX168" s="15" t="n">
        <v>409887</v>
      </c>
      <c r="GY168" s="14" t="n">
        <v>28501558.24</v>
      </c>
      <c r="GZ168" s="14" t="n">
        <v>0</v>
      </c>
      <c r="HA168" s="15" t="n">
        <v>0</v>
      </c>
      <c r="HB168" s="15" t="n">
        <v>28501558.24</v>
      </c>
      <c r="HC168" s="16" t="n">
        <v>7161357.22</v>
      </c>
      <c r="HD168" s="15" t="n">
        <v>28501558.24</v>
      </c>
      <c r="HE168" s="14" t="n">
        <v>71</v>
      </c>
      <c r="HF168" s="14" t="n">
        <v>1</v>
      </c>
      <c r="HG168" s="14" t="n">
        <v>57</v>
      </c>
      <c r="HH168" s="14" t="n">
        <v>3</v>
      </c>
      <c r="HI168" s="14" t="n">
        <v>3</v>
      </c>
      <c r="HJ168" s="15" t="n">
        <v>3</v>
      </c>
      <c r="HK168" s="16" t="n">
        <v>1</v>
      </c>
      <c r="HL168" s="14" t="n">
        <v>8</v>
      </c>
      <c r="HM168" s="14" t="n">
        <v>2</v>
      </c>
      <c r="HN168" s="17" t="n">
        <v>2</v>
      </c>
    </row>
    <row r="169">
      <c r="A169" s="6" t="inlineStr">
        <is>
          <t>Mulanje</t>
        </is>
      </c>
      <c r="B169" s="6" t="inlineStr">
        <is>
          <t>Muloza</t>
        </is>
      </c>
      <c r="C169" s="7" t="inlineStr">
        <is>
          <t>FY2025/26</t>
        </is>
      </c>
      <c r="D169" s="7" t="n">
        <v>2026</v>
      </c>
      <c r="E169" s="7" t="n">
        <v>2</v>
      </c>
      <c r="F169" s="7" t="inlineStr">
        <is>
          <t>February</t>
        </is>
      </c>
      <c r="G169" s="7" t="inlineStr">
        <is>
          <t>Q4</t>
        </is>
      </c>
      <c r="H169" s="8" t="n">
        <v>9426</v>
      </c>
      <c r="I169" s="8" t="n">
        <v>3002</v>
      </c>
      <c r="J169" s="8" t="n">
        <v>10</v>
      </c>
      <c r="K169" s="8" t="n">
        <v>0</v>
      </c>
      <c r="L169" s="8" t="n">
        <v>41</v>
      </c>
      <c r="M169" s="9">
        <f>SUM(I169,J169,K169,L169)</f>
        <v/>
      </c>
      <c r="N169" s="8" t="n">
        <v>2986</v>
      </c>
      <c r="O169" s="8" t="n">
        <v>36</v>
      </c>
      <c r="P169" s="8" t="n">
        <v>49</v>
      </c>
      <c r="Q169" s="8" t="n">
        <v>320</v>
      </c>
      <c r="R169" s="9">
        <f>SUM(N169,O169,P169,Q169)</f>
        <v/>
      </c>
      <c r="S169" s="9">
        <f>M169+R169</f>
        <v/>
      </c>
      <c r="T169" s="8" t="n">
        <v>2982</v>
      </c>
      <c r="U169" s="10">
        <f>IF(H169=0,"",T169/H169)</f>
        <v/>
      </c>
      <c r="V169" s="8" t="n">
        <v>13</v>
      </c>
      <c r="W169" s="11">
        <f>IF(H169=0,"",V169/H169)</f>
        <v/>
      </c>
      <c r="X169" s="8" t="n">
        <v>0</v>
      </c>
      <c r="Y169" s="11">
        <f>IF(H169=0,"",X169/H169)</f>
        <v/>
      </c>
      <c r="Z169" s="8" t="n">
        <v>0</v>
      </c>
      <c r="AA169" s="11">
        <f>IF(H169=0,"",Z169/H169)</f>
        <v/>
      </c>
      <c r="AB169" s="8" t="n">
        <v>0</v>
      </c>
      <c r="AC169" s="11">
        <f>IF(H169=0,"",AB169/H169)</f>
        <v/>
      </c>
      <c r="AD169" s="8" t="n">
        <v>0</v>
      </c>
      <c r="AE169" s="11">
        <f>IF(H169=0,"",AD169/H169)</f>
        <v/>
      </c>
      <c r="AF169" s="8" t="n">
        <v>0</v>
      </c>
      <c r="AG169" s="11">
        <f>IF(H169=0,"",AF169/H169)</f>
        <v/>
      </c>
      <c r="AH169" s="8" t="n">
        <v>66451.71000000001</v>
      </c>
      <c r="AI169" s="9">
        <f>IF(H169=0,"",AH169/H169)</f>
        <v/>
      </c>
      <c r="AJ169" s="8" t="n">
        <v>9376</v>
      </c>
      <c r="AK169" s="11">
        <f>IF(H169=0,"",AJ169/H169)</f>
        <v/>
      </c>
      <c r="AL169" s="8" t="n">
        <v>1317360.564</v>
      </c>
      <c r="AM169" s="9">
        <f>IF(H169=0,"",AL169/H169)</f>
        <v/>
      </c>
      <c r="AN169" s="8" t="n">
        <v>0</v>
      </c>
      <c r="AO169" s="8" t="n">
        <v>0</v>
      </c>
      <c r="AP169" s="8" t="n">
        <v>0</v>
      </c>
      <c r="AQ169" s="8" t="n">
        <v>0</v>
      </c>
      <c r="AR169" s="8" t="n">
        <v>4861646.64</v>
      </c>
      <c r="AS169" s="8" t="n">
        <v>1417232.4625</v>
      </c>
      <c r="AT169" s="8" t="n">
        <v>1525725</v>
      </c>
      <c r="AU169" s="9">
        <f>AH169+AL169+AP169+AQ169+AR169+AS169+AT169</f>
        <v/>
      </c>
      <c r="AV169" s="9">
        <f>IF(H169=0,"",AU169/H169)</f>
        <v/>
      </c>
      <c r="AW169" s="9">
        <f>IF(S169=0,"",AU169/S169)</f>
        <v/>
      </c>
      <c r="AX169" s="8" t="n">
        <v>6</v>
      </c>
      <c r="AY169" s="9">
        <f>IF(H169=0,"",AX169/(H169/1000/12))</f>
        <v/>
      </c>
      <c r="AZ169" s="8" t="n">
        <v>7</v>
      </c>
      <c r="BA169" s="8" t="n">
        <v>51</v>
      </c>
      <c r="BB169" s="8" t="n">
        <v>8</v>
      </c>
      <c r="BC169" s="8" t="n">
        <v>0</v>
      </c>
      <c r="BD169" s="8" t="n">
        <v>11</v>
      </c>
      <c r="BE169" s="9">
        <f>BC169+BD169</f>
        <v/>
      </c>
      <c r="BF169" s="9">
        <f>BA169+BB169-BE169</f>
        <v/>
      </c>
      <c r="BG169" s="8" t="n">
        <v>0</v>
      </c>
      <c r="BH169" s="8" t="n">
        <v>0</v>
      </c>
      <c r="BI169" s="8" t="n">
        <v>0</v>
      </c>
      <c r="BJ169" s="8" t="n">
        <v>0</v>
      </c>
      <c r="BK169" s="9">
        <f>BI169+BJ169</f>
        <v/>
      </c>
      <c r="BL169" s="9">
        <f>BG169+BH169-BK169</f>
        <v/>
      </c>
      <c r="BM169" s="8" t="n">
        <v>6</v>
      </c>
      <c r="BN169" s="8" t="n">
        <v>0</v>
      </c>
      <c r="BO169" s="8" t="n">
        <v>0</v>
      </c>
      <c r="BP169" s="8" t="n">
        <v>0</v>
      </c>
      <c r="BQ169" s="9">
        <f>BO169+BP169</f>
        <v/>
      </c>
      <c r="BR169" s="9">
        <f>BM169+BN169-BQ169</f>
        <v/>
      </c>
      <c r="BS169" s="8" t="n">
        <v>0</v>
      </c>
      <c r="BT169" s="8" t="n">
        <v>0</v>
      </c>
      <c r="BU169" s="8" t="n">
        <v>0</v>
      </c>
      <c r="BV169" s="8" t="n">
        <v>0</v>
      </c>
      <c r="BW169" s="9">
        <f>BU169+BV169</f>
        <v/>
      </c>
      <c r="BX169" s="9">
        <f>BS169+BT169-BW169</f>
        <v/>
      </c>
      <c r="BY169" s="9">
        <f>BA169+BG169+BM169+BS169</f>
        <v/>
      </c>
      <c r="BZ169" s="9">
        <f>BB169+BH169+BN169+BT169</f>
        <v/>
      </c>
      <c r="CA169" s="9">
        <f>BE169+BK169+BQ169+BW169</f>
        <v/>
      </c>
      <c r="CB169" s="9">
        <f>BF169+BL169+BR169+BX169</f>
        <v/>
      </c>
      <c r="CC169" s="8" t="n">
        <v>11</v>
      </c>
      <c r="CD169" s="8" t="n">
        <v>432</v>
      </c>
      <c r="CE169" s="8" t="n">
        <v>18</v>
      </c>
      <c r="CF169" s="8" t="n">
        <v>70</v>
      </c>
      <c r="CG169" s="8" t="n">
        <v>0</v>
      </c>
      <c r="CH169" s="9">
        <f>CD169+CE169+CF169+CG169</f>
        <v/>
      </c>
      <c r="CI169" s="8" t="n">
        <v>433</v>
      </c>
      <c r="CJ169" s="8" t="n">
        <v>0</v>
      </c>
      <c r="CK169" s="8" t="n">
        <v>3</v>
      </c>
      <c r="CL169" s="8" t="n">
        <v>1</v>
      </c>
      <c r="CM169" s="9">
        <f>CI169+CJ169+CK169+CL169</f>
        <v/>
      </c>
      <c r="CN169" s="8" t="n">
        <v>682</v>
      </c>
      <c r="CO169" s="8" t="n">
        <v>24</v>
      </c>
      <c r="CP169" s="8" t="n">
        <v>43</v>
      </c>
      <c r="CQ169" s="8" t="n">
        <v>2</v>
      </c>
      <c r="CR169" s="9">
        <f>CN169+CO169+CP169+CQ169</f>
        <v/>
      </c>
      <c r="CS169" s="9">
        <f>CM169+CR169</f>
        <v/>
      </c>
      <c r="CT169" s="8" t="n">
        <v>1708</v>
      </c>
      <c r="CU169" s="8" t="n">
        <v>9810</v>
      </c>
      <c r="CV169" s="8" t="n">
        <v>9015</v>
      </c>
      <c r="CW169" s="10">
        <f>IF(CU169=0,"",CV169/CU169)</f>
        <v/>
      </c>
      <c r="CX169" s="8" t="n"/>
      <c r="CY169" s="8" t="n"/>
      <c r="CZ169" s="8" t="n"/>
      <c r="DA169" s="8" t="n"/>
      <c r="DB169" s="9">
        <f>CX169+CY169-CZ169-DA169</f>
        <v/>
      </c>
      <c r="DC169" s="8" t="n">
        <v>0</v>
      </c>
      <c r="DD169" s="8" t="n">
        <v>0</v>
      </c>
      <c r="DE169" s="8" t="n">
        <v>0</v>
      </c>
      <c r="DF169" s="8" t="n">
        <v>0</v>
      </c>
      <c r="DG169" s="9">
        <f>DC169+DD169-DE169-DF169</f>
        <v/>
      </c>
      <c r="DH169" s="8" t="n">
        <v>0</v>
      </c>
      <c r="DI169" s="8" t="n">
        <v>0</v>
      </c>
      <c r="DJ169" s="8" t="n">
        <v>0</v>
      </c>
      <c r="DK169" s="8" t="n">
        <v>0</v>
      </c>
      <c r="DL169" s="9">
        <f>DH169+DI169-DJ169-DK169</f>
        <v/>
      </c>
      <c r="DM169" s="8" t="n">
        <v>0</v>
      </c>
      <c r="DN169" s="8" t="n">
        <v>15</v>
      </c>
      <c r="DO169" s="8" t="n">
        <v>0</v>
      </c>
      <c r="DP169" s="8" t="n">
        <v>0</v>
      </c>
      <c r="DQ169" s="9">
        <f>DM169+DN169-DO169-DP169</f>
        <v/>
      </c>
      <c r="DR169" s="9">
        <f>CX169+DC169+DH169+DM169</f>
        <v/>
      </c>
      <c r="DS169" s="9">
        <f>CY169+DD169+DI169+DN169</f>
        <v/>
      </c>
      <c r="DT169" s="9">
        <f>CZ169+DE169+DJ169+DO169</f>
        <v/>
      </c>
      <c r="DU169" s="9">
        <f>DA169+DF169+DK169+DP169</f>
        <v/>
      </c>
      <c r="DV169" s="9">
        <f>DB169+DG169+DL169+DQ169</f>
        <v/>
      </c>
      <c r="DW169" s="8" t="n">
        <v>16</v>
      </c>
      <c r="DX169" s="8" t="n">
        <v>9</v>
      </c>
      <c r="DY169" s="8" t="n">
        <v>3</v>
      </c>
      <c r="DZ169" s="8" t="n">
        <v>0</v>
      </c>
      <c r="EA169" s="8" t="n">
        <v>0</v>
      </c>
      <c r="EB169" s="8" t="n">
        <v>2</v>
      </c>
      <c r="EC169" s="8" t="n">
        <v>0</v>
      </c>
      <c r="ED169" s="8" t="n">
        <v>0</v>
      </c>
      <c r="EE169" s="8" t="n">
        <v>1</v>
      </c>
      <c r="EF169" s="8" t="n">
        <v>0</v>
      </c>
      <c r="EG169" s="8" t="n">
        <v>0</v>
      </c>
      <c r="EH169" s="8" t="n">
        <v>0</v>
      </c>
      <c r="EI169" s="8" t="n">
        <v>0</v>
      </c>
      <c r="EJ169" s="8" t="n">
        <v>0</v>
      </c>
      <c r="EK169" s="8" t="n">
        <v>0</v>
      </c>
      <c r="EL169" s="8" t="n">
        <v>0</v>
      </c>
      <c r="EM169" s="8" t="n">
        <v>0</v>
      </c>
      <c r="EN169" s="8" t="n">
        <v>0</v>
      </c>
      <c r="EO169" s="8" t="n">
        <v>0</v>
      </c>
      <c r="EP169" s="8" t="n">
        <v>0</v>
      </c>
      <c r="EQ169" s="8" t="n">
        <v>0</v>
      </c>
      <c r="ER169" s="8" t="n">
        <v>0</v>
      </c>
      <c r="ES169" s="8" t="n">
        <v>0</v>
      </c>
      <c r="ET169" s="8" t="n">
        <v>0</v>
      </c>
      <c r="EU169" s="8" t="n">
        <v>0</v>
      </c>
      <c r="EV169" s="8" t="n">
        <v>0</v>
      </c>
      <c r="EW169" s="8" t="n">
        <v>0</v>
      </c>
      <c r="EX169" s="8" t="n">
        <v>0</v>
      </c>
      <c r="EY169" s="8" t="n">
        <v>0</v>
      </c>
      <c r="EZ169" s="8" t="n">
        <v>0</v>
      </c>
      <c r="FA169" s="8" t="n">
        <v>0</v>
      </c>
      <c r="FB169" s="8" t="n">
        <v>0</v>
      </c>
      <c r="FC169" s="8" t="n">
        <v>0</v>
      </c>
      <c r="FD169" s="8" t="n">
        <v>0</v>
      </c>
      <c r="FE169" s="8" t="n">
        <v>0</v>
      </c>
      <c r="FF169" s="8" t="n">
        <v>0</v>
      </c>
      <c r="FG169" s="9">
        <f>SUM(DW169,DX169,DY169,DZ169,EA169,EB169,EC169,ED169,EE169,EF169,EG169,EH169,EI169,EJ169,EK169,EL169,EM169,EN169,EO169,EP169,EQ169,ER169,ES169,ET169,EU169,EV169,EW169,EX169,EY169,EZ169,FA169,FB169,FC169,FD169,FE169,FF169)</f>
        <v/>
      </c>
      <c r="FH169" s="8" t="n">
        <v>0</v>
      </c>
      <c r="FI169" s="8" t="n">
        <v>0</v>
      </c>
      <c r="FJ169" s="8" t="n">
        <v>21</v>
      </c>
      <c r="FK169" s="8" t="n">
        <v>180</v>
      </c>
      <c r="FL169" s="8" t="n">
        <v>0</v>
      </c>
      <c r="FM169" s="8" t="n">
        <v>0</v>
      </c>
      <c r="FN169" s="8" t="n">
        <v>0</v>
      </c>
      <c r="FO169" s="8" t="n">
        <v>0</v>
      </c>
      <c r="FP169" s="8" t="n">
        <v>0</v>
      </c>
      <c r="FQ169" s="9">
        <f>FL169+FM169+FN169+FO169+FP169</f>
        <v/>
      </c>
      <c r="FR169" s="8" t="n">
        <v>2043864.44</v>
      </c>
      <c r="FS169" s="8" t="n">
        <v>0</v>
      </c>
      <c r="FT169" s="8" t="n">
        <v>18000</v>
      </c>
      <c r="FU169" s="8" t="n">
        <v>0</v>
      </c>
      <c r="FV169" s="9">
        <f>FR169+FS169+FT169+FU169</f>
        <v/>
      </c>
      <c r="FW169" s="8" t="n">
        <v>3897180</v>
      </c>
      <c r="FX169" s="8" t="n">
        <v>7600</v>
      </c>
      <c r="FY169" s="8" t="n">
        <v>1514192</v>
      </c>
      <c r="FZ169" s="8" t="n">
        <v>299900</v>
      </c>
      <c r="GA169" s="9">
        <f>FW169+FX169+FY169+FZ169</f>
        <v/>
      </c>
      <c r="GB169" s="9">
        <f>FV169+GA169</f>
        <v/>
      </c>
      <c r="GC169" s="8" t="n">
        <v>2654519.12</v>
      </c>
      <c r="GD169" s="8" t="n">
        <v>1912.8</v>
      </c>
      <c r="GE169" s="8" t="n">
        <v>0</v>
      </c>
      <c r="GF169" s="8" t="n">
        <v>175983.27</v>
      </c>
      <c r="GG169" s="9">
        <f>GC169+GD169+GE169+GF169</f>
        <v/>
      </c>
      <c r="GH169" s="8" t="n">
        <v>0</v>
      </c>
      <c r="GI169" s="8" t="n">
        <v>0</v>
      </c>
      <c r="GJ169" s="8" t="n">
        <v>0</v>
      </c>
      <c r="GK169" s="8" t="n">
        <v>0</v>
      </c>
      <c r="GL169" s="9">
        <f>GH169+GI169+GJ169+GK169</f>
        <v/>
      </c>
      <c r="GM169" s="9">
        <f>GG169+GL169</f>
        <v/>
      </c>
      <c r="GN169" s="8" t="n">
        <v>227167.8</v>
      </c>
      <c r="GO169" s="8" t="n">
        <v>191.28</v>
      </c>
      <c r="GP169" s="8" t="n">
        <v>0</v>
      </c>
      <c r="GQ169" s="8" t="n">
        <v>13912.02</v>
      </c>
      <c r="GR169" s="9">
        <f>GN169+GO169+GP169+GQ169</f>
        <v/>
      </c>
      <c r="GS169" s="8" t="n">
        <v>386699</v>
      </c>
      <c r="GT169" s="8" t="n">
        <v>893</v>
      </c>
      <c r="GU169" s="8" t="n">
        <v>0</v>
      </c>
      <c r="GV169" s="8" t="n">
        <v>2679</v>
      </c>
      <c r="GW169" s="9">
        <f>GS169+GT169+GU169+GV169</f>
        <v/>
      </c>
      <c r="GX169" s="9">
        <f>GM169+GR169+GW169</f>
        <v/>
      </c>
      <c r="GY169" s="8" t="n">
        <v>28590086.65</v>
      </c>
      <c r="GZ169" s="8" t="n">
        <v>0</v>
      </c>
      <c r="HA169" s="9">
        <f>GY169+GZ169</f>
        <v/>
      </c>
      <c r="HB169" s="9">
        <f>IF(GX169=0,"",AU169/GX169)</f>
        <v/>
      </c>
      <c r="HC169" s="10">
        <f>IF((GX169+GY169)=0,"",GB169/(GX169+GY169))</f>
        <v/>
      </c>
      <c r="HD169" s="9">
        <f>IF(GX169=0,"",GB169/GX169)</f>
        <v/>
      </c>
      <c r="HE169" s="8" t="n">
        <v>8</v>
      </c>
      <c r="HF169" s="8" t="n">
        <v>1</v>
      </c>
      <c r="HG169" s="8" t="n">
        <v>54</v>
      </c>
      <c r="HH169" s="8" t="n">
        <v>8</v>
      </c>
      <c r="HI169" s="8" t="n">
        <v>3</v>
      </c>
      <c r="HJ169" s="9">
        <f>HF169+HI169</f>
        <v/>
      </c>
      <c r="HK169" s="10">
        <f>IF(HE169=0,"",HH169/HE169)</f>
        <v/>
      </c>
      <c r="HL169" s="8" t="n">
        <v>10</v>
      </c>
      <c r="HM169" s="8" t="n">
        <v>2</v>
      </c>
      <c r="HN169" s="11">
        <f>IF(HL169=0,"",HM169/HL169)</f>
        <v/>
      </c>
    </row>
    <row r="170">
      <c r="A170" s="12" t="inlineStr">
        <is>
          <t>Mulanje</t>
        </is>
      </c>
      <c r="B170" s="12" t="inlineStr">
        <is>
          <t>Muloza</t>
        </is>
      </c>
      <c r="C170" s="13" t="inlineStr">
        <is>
          <t>FY2025/26</t>
        </is>
      </c>
      <c r="D170" s="13" t="n">
        <v>2026</v>
      </c>
      <c r="E170" s="13" t="n">
        <v>3</v>
      </c>
      <c r="F170" s="13" t="inlineStr">
        <is>
          <t>March</t>
        </is>
      </c>
      <c r="G170" s="13" t="inlineStr">
        <is>
          <t>Q4</t>
        </is>
      </c>
      <c r="H170" s="14" t="n">
        <v>7750</v>
      </c>
      <c r="I170" s="14" t="n">
        <v>2798</v>
      </c>
      <c r="J170" s="14" t="n">
        <v>5</v>
      </c>
      <c r="K170" s="14" t="n">
        <v>0</v>
      </c>
      <c r="L170" s="14" t="n">
        <v>17</v>
      </c>
      <c r="M170" s="15">
        <f>SUM(I170,J170,K170,L170)</f>
        <v/>
      </c>
      <c r="N170" s="14" t="n">
        <v>2632</v>
      </c>
      <c r="O170" s="14" t="n">
        <v>10</v>
      </c>
      <c r="P170" s="14" t="n">
        <v>59</v>
      </c>
      <c r="Q170" s="14" t="n">
        <v>62</v>
      </c>
      <c r="R170" s="15">
        <f>SUM(N170,O170,P170,Q170)</f>
        <v/>
      </c>
      <c r="S170" s="15">
        <f>M170+R170</f>
        <v/>
      </c>
      <c r="T170" s="14" t="n">
        <v>2167</v>
      </c>
      <c r="U170" s="16">
        <f>IF(H170=0,"",T170/H170)</f>
        <v/>
      </c>
      <c r="V170" s="14" t="n">
        <v>14</v>
      </c>
      <c r="W170" s="17">
        <f>IF(H170=0,"",V170/H170)</f>
        <v/>
      </c>
      <c r="X170" s="14" t="n">
        <v>0</v>
      </c>
      <c r="Y170" s="17">
        <f>IF(H170=0,"",X170/H170)</f>
        <v/>
      </c>
      <c r="Z170" s="14" t="n">
        <v>0</v>
      </c>
      <c r="AA170" s="17">
        <f>IF(H170=0,"",Z170/H170)</f>
        <v/>
      </c>
      <c r="AB170" s="14" t="n">
        <v>0</v>
      </c>
      <c r="AC170" s="17">
        <f>IF(H170=0,"",AB170/H170)</f>
        <v/>
      </c>
      <c r="AD170" s="14" t="n">
        <v>0</v>
      </c>
      <c r="AE170" s="17">
        <f>IF(H170=0,"",AD170/H170)</f>
        <v/>
      </c>
      <c r="AF170" s="14" t="n">
        <v>0</v>
      </c>
      <c r="AG170" s="17">
        <f>IF(H170=0,"",AF170/H170)</f>
        <v/>
      </c>
      <c r="AH170" s="14" t="n">
        <v>71563.38</v>
      </c>
      <c r="AI170" s="15">
        <f>IF(H170=0,"",AH170/H170)</f>
        <v/>
      </c>
      <c r="AJ170" s="14" t="n">
        <v>9698</v>
      </c>
      <c r="AK170" s="17">
        <f>IF(H170=0,"",AJ170/H170)</f>
        <v/>
      </c>
      <c r="AL170" s="14" t="n">
        <v>16426.5</v>
      </c>
      <c r="AM170" s="15">
        <f>IF(H170=0,"",AL170/H170)</f>
        <v/>
      </c>
      <c r="AN170" s="14" t="n">
        <v>0</v>
      </c>
      <c r="AO170" s="14" t="n">
        <v>0</v>
      </c>
      <c r="AP170" s="14" t="n">
        <v>0</v>
      </c>
      <c r="AQ170" s="14" t="n">
        <v>0</v>
      </c>
      <c r="AR170" s="14" t="n">
        <v>0</v>
      </c>
      <c r="AS170" s="14" t="n">
        <v>0</v>
      </c>
      <c r="AT170" s="14" t="n">
        <v>0</v>
      </c>
      <c r="AU170" s="15">
        <f>AH170+AL170+AP170+AQ170+AR170+AS170+AT170</f>
        <v/>
      </c>
      <c r="AV170" s="15">
        <f>IF(H170=0,"",AU170/H170)</f>
        <v/>
      </c>
      <c r="AW170" s="15">
        <f>IF(S170=0,"",AU170/S170)</f>
        <v/>
      </c>
      <c r="AX170" s="14" t="n">
        <v>6</v>
      </c>
      <c r="AY170" s="15">
        <f>IF(H170=0,"",AX170/(H170/1000/12))</f>
        <v/>
      </c>
      <c r="AZ170" s="14" t="n">
        <v>6</v>
      </c>
      <c r="BA170" s="14" t="n">
        <v>48</v>
      </c>
      <c r="BB170" s="14" t="n">
        <v>8</v>
      </c>
      <c r="BC170" s="14" t="n">
        <v>0</v>
      </c>
      <c r="BD170" s="14" t="n">
        <v>4</v>
      </c>
      <c r="BE170" s="15">
        <f>BC170+BD170</f>
        <v/>
      </c>
      <c r="BF170" s="15">
        <f>BA170+BB170-BE170</f>
        <v/>
      </c>
      <c r="BG170" s="14" t="n">
        <v>0</v>
      </c>
      <c r="BH170" s="14" t="n">
        <v>0</v>
      </c>
      <c r="BI170" s="14" t="n">
        <v>0</v>
      </c>
      <c r="BJ170" s="14" t="n">
        <v>0</v>
      </c>
      <c r="BK170" s="15">
        <f>BI170+BJ170</f>
        <v/>
      </c>
      <c r="BL170" s="15">
        <f>BG170+BH170-BK170</f>
        <v/>
      </c>
      <c r="BM170" s="14" t="n">
        <v>6</v>
      </c>
      <c r="BN170" s="14" t="n">
        <v>0</v>
      </c>
      <c r="BO170" s="14" t="n">
        <v>0</v>
      </c>
      <c r="BP170" s="14" t="n">
        <v>1</v>
      </c>
      <c r="BQ170" s="15">
        <f>BO170+BP170</f>
        <v/>
      </c>
      <c r="BR170" s="15">
        <f>BM170+BN170-BQ170</f>
        <v/>
      </c>
      <c r="BS170" s="14" t="n">
        <v>0</v>
      </c>
      <c r="BT170" s="14" t="n">
        <v>0</v>
      </c>
      <c r="BU170" s="14" t="n">
        <v>0</v>
      </c>
      <c r="BV170" s="14" t="n">
        <v>0</v>
      </c>
      <c r="BW170" s="15">
        <f>BU170+BV170</f>
        <v/>
      </c>
      <c r="BX170" s="15">
        <f>BS170+BT170-BW170</f>
        <v/>
      </c>
      <c r="BY170" s="15">
        <f>BA170+BG170+BM170+BS170</f>
        <v/>
      </c>
      <c r="BZ170" s="15">
        <f>BB170+BH170+BN170+BT170</f>
        <v/>
      </c>
      <c r="CA170" s="15">
        <f>BE170+BK170+BQ170+BW170</f>
        <v/>
      </c>
      <c r="CB170" s="15">
        <f>BF170+BL170+BR170+BX170</f>
        <v/>
      </c>
      <c r="CC170" s="14" t="n">
        <v>10</v>
      </c>
      <c r="CD170" s="14" t="n">
        <v>428</v>
      </c>
      <c r="CE170" s="14" t="n">
        <v>18</v>
      </c>
      <c r="CF170" s="14" t="n">
        <v>70</v>
      </c>
      <c r="CG170" s="14" t="n">
        <v>0</v>
      </c>
      <c r="CH170" s="15">
        <f>CD170+CE170+CF170+CG170</f>
        <v/>
      </c>
      <c r="CI170" s="14" t="n">
        <v>425</v>
      </c>
      <c r="CJ170" s="14" t="n">
        <v>0</v>
      </c>
      <c r="CK170" s="14" t="n">
        <v>3</v>
      </c>
      <c r="CL170" s="14" t="n">
        <v>1</v>
      </c>
      <c r="CM170" s="15">
        <f>CI170+CJ170+CK170+CL170</f>
        <v/>
      </c>
      <c r="CN170" s="14" t="n">
        <v>700</v>
      </c>
      <c r="CO170" s="14" t="n">
        <v>25</v>
      </c>
      <c r="CP170" s="14" t="n">
        <v>46</v>
      </c>
      <c r="CQ170" s="14" t="n">
        <v>2</v>
      </c>
      <c r="CR170" s="15">
        <f>CN170+CO170+CP170+CQ170</f>
        <v/>
      </c>
      <c r="CS170" s="15">
        <f>CM170+CR170</f>
        <v/>
      </c>
      <c r="CT170" s="14" t="n">
        <v>1718</v>
      </c>
      <c r="CU170" s="14" t="n">
        <v>9810</v>
      </c>
      <c r="CV170" s="14" t="n">
        <v>9015</v>
      </c>
      <c r="CW170" s="16">
        <f>IF(CU170=0,"",CV170/CU170)</f>
        <v/>
      </c>
      <c r="CX170" s="14" t="n"/>
      <c r="CY170" s="14" t="n"/>
      <c r="CZ170" s="14" t="n"/>
      <c r="DA170" s="14" t="n"/>
      <c r="DB170" s="15">
        <f>CX170+CY170-CZ170-DA170</f>
        <v/>
      </c>
      <c r="DC170" s="14" t="n">
        <v>0</v>
      </c>
      <c r="DD170" s="14" t="n">
        <v>0</v>
      </c>
      <c r="DE170" s="14" t="n">
        <v>0</v>
      </c>
      <c r="DF170" s="14" t="n">
        <v>0</v>
      </c>
      <c r="DG170" s="15">
        <f>DC170+DD170-DE170-DF170</f>
        <v/>
      </c>
      <c r="DH170" s="14" t="n">
        <v>0</v>
      </c>
      <c r="DI170" s="14" t="n">
        <v>0</v>
      </c>
      <c r="DJ170" s="14" t="n">
        <v>0</v>
      </c>
      <c r="DK170" s="14" t="n">
        <v>0</v>
      </c>
      <c r="DL170" s="15">
        <f>DH170+DI170-DJ170-DK170</f>
        <v/>
      </c>
      <c r="DM170" s="14" t="n">
        <v>15</v>
      </c>
      <c r="DN170" s="14" t="n">
        <v>1</v>
      </c>
      <c r="DO170" s="14" t="n">
        <v>16</v>
      </c>
      <c r="DP170" s="14" t="n">
        <v>0</v>
      </c>
      <c r="DQ170" s="15">
        <f>DM170+DN170-DO170-DP170</f>
        <v/>
      </c>
      <c r="DR170" s="15">
        <f>CX170+DC170+DH170+DM170</f>
        <v/>
      </c>
      <c r="DS170" s="15">
        <f>CY170+DD170+DI170+DN170</f>
        <v/>
      </c>
      <c r="DT170" s="15">
        <f>CZ170+DE170+DJ170+DO170</f>
        <v/>
      </c>
      <c r="DU170" s="15">
        <f>DA170+DF170+DK170+DP170</f>
        <v/>
      </c>
      <c r="DV170" s="15">
        <f>DB170+DG170+DL170+DQ170</f>
        <v/>
      </c>
      <c r="DW170" s="14" t="n">
        <v>17</v>
      </c>
      <c r="DX170" s="14" t="n">
        <v>10</v>
      </c>
      <c r="DY170" s="14" t="n">
        <v>3</v>
      </c>
      <c r="DZ170" s="14" t="n">
        <v>0</v>
      </c>
      <c r="EA170" s="14" t="n">
        <v>0</v>
      </c>
      <c r="EB170" s="14" t="n">
        <v>0</v>
      </c>
      <c r="EC170" s="14" t="n">
        <v>0</v>
      </c>
      <c r="ED170" s="14" t="n">
        <v>0</v>
      </c>
      <c r="EE170" s="14" t="n">
        <v>1</v>
      </c>
      <c r="EF170" s="14" t="n">
        <v>0</v>
      </c>
      <c r="EG170" s="14" t="n">
        <v>0</v>
      </c>
      <c r="EH170" s="14" t="n">
        <v>0</v>
      </c>
      <c r="EI170" s="14" t="n">
        <v>0</v>
      </c>
      <c r="EJ170" s="14" t="n">
        <v>0</v>
      </c>
      <c r="EK170" s="14" t="n">
        <v>0</v>
      </c>
      <c r="EL170" s="14" t="n">
        <v>0</v>
      </c>
      <c r="EM170" s="14" t="n">
        <v>0</v>
      </c>
      <c r="EN170" s="14" t="n">
        <v>0</v>
      </c>
      <c r="EO170" s="14" t="n">
        <v>0</v>
      </c>
      <c r="EP170" s="14" t="n">
        <v>0</v>
      </c>
      <c r="EQ170" s="14" t="n">
        <v>0</v>
      </c>
      <c r="ER170" s="14" t="n">
        <v>0</v>
      </c>
      <c r="ES170" s="14" t="n">
        <v>0</v>
      </c>
      <c r="ET170" s="14" t="n">
        <v>0</v>
      </c>
      <c r="EU170" s="14" t="n">
        <v>0</v>
      </c>
      <c r="EV170" s="14" t="n">
        <v>0</v>
      </c>
      <c r="EW170" s="14" t="n">
        <v>0</v>
      </c>
      <c r="EX170" s="14" t="n">
        <v>0</v>
      </c>
      <c r="EY170" s="14" t="n">
        <v>0</v>
      </c>
      <c r="EZ170" s="14" t="n">
        <v>0</v>
      </c>
      <c r="FA170" s="14" t="n">
        <v>0</v>
      </c>
      <c r="FB170" s="14" t="n">
        <v>0</v>
      </c>
      <c r="FC170" s="14" t="n">
        <v>0</v>
      </c>
      <c r="FD170" s="14" t="n">
        <v>0</v>
      </c>
      <c r="FE170" s="14" t="n">
        <v>0</v>
      </c>
      <c r="FF170" s="14" t="n">
        <v>0</v>
      </c>
      <c r="FG170" s="15">
        <f>SUM(DW170,DX170,DY170,DZ170,EA170,EB170,EC170,ED170,EE170,EF170,EG170,EH170,EI170,EJ170,EK170,EL170,EM170,EN170,EO170,EP170,EQ170,ER170,ES170,ET170,EU170,EV170,EW170,EX170,EY170,EZ170,FA170,FB170,FC170,FD170,FE170,FF170)</f>
        <v/>
      </c>
      <c r="FH170" s="14" t="n">
        <v>0</v>
      </c>
      <c r="FI170" s="14" t="n">
        <v>0</v>
      </c>
      <c r="FJ170" s="14" t="n">
        <v>21</v>
      </c>
      <c r="FK170" s="14" t="n">
        <v>165</v>
      </c>
      <c r="FL170" s="14" t="n">
        <v>0</v>
      </c>
      <c r="FM170" s="14" t="n">
        <v>0</v>
      </c>
      <c r="FN170" s="14" t="n">
        <v>0</v>
      </c>
      <c r="FO170" s="14" t="n">
        <v>0</v>
      </c>
      <c r="FP170" s="14" t="n">
        <v>0</v>
      </c>
      <c r="FQ170" s="15">
        <f>FL170+FM170+FN170+FO170+FP170</f>
        <v/>
      </c>
      <c r="FR170" s="14" t="n">
        <v>3213964.44</v>
      </c>
      <c r="FS170" s="14" t="n">
        <v>10000</v>
      </c>
      <c r="FT170" s="14" t="n">
        <v>164067.22</v>
      </c>
      <c r="FU170" s="14" t="n">
        <v>0</v>
      </c>
      <c r="FV170" s="15">
        <f>FR170+FS170+FT170+FU170</f>
        <v/>
      </c>
      <c r="FW170" s="14" t="n">
        <v>3482928</v>
      </c>
      <c r="FX170" s="14" t="n">
        <v>2200</v>
      </c>
      <c r="FY170" s="14" t="n">
        <v>305200</v>
      </c>
      <c r="FZ170" s="14" t="n">
        <v>217300</v>
      </c>
      <c r="GA170" s="15">
        <f>FW170+FX170+FY170+FZ170</f>
        <v/>
      </c>
      <c r="GB170" s="15">
        <f>FV170+GA170</f>
        <v/>
      </c>
      <c r="GC170" s="14" t="n">
        <v>2471806.85</v>
      </c>
      <c r="GD170" s="14" t="n">
        <v>956.4</v>
      </c>
      <c r="GE170" s="14" t="n">
        <v>0</v>
      </c>
      <c r="GF170" s="14" t="n">
        <v>42161.17</v>
      </c>
      <c r="GG170" s="15">
        <f>GC170+GD170+GE170+GF170</f>
        <v/>
      </c>
      <c r="GH170" s="14" t="n">
        <v>0</v>
      </c>
      <c r="GI170" s="14" t="n">
        <v>0</v>
      </c>
      <c r="GJ170" s="14" t="n">
        <v>0</v>
      </c>
      <c r="GK170" s="14" t="n">
        <v>0</v>
      </c>
      <c r="GL170" s="15">
        <f>GH170+GI170+GJ170+GK170</f>
        <v/>
      </c>
      <c r="GM170" s="15">
        <f>GG170+GL170</f>
        <v/>
      </c>
      <c r="GN170" s="14" t="n">
        <v>222972.21</v>
      </c>
      <c r="GO170" s="14" t="n">
        <v>191.28</v>
      </c>
      <c r="GP170" s="14" t="n">
        <v>0</v>
      </c>
      <c r="GQ170" s="14" t="n">
        <v>13912.2</v>
      </c>
      <c r="GR170" s="15">
        <f>GN170+GO170+GP170+GQ170</f>
        <v/>
      </c>
      <c r="GS170" s="14" t="n">
        <v>379525</v>
      </c>
      <c r="GT170" s="14" t="n">
        <v>893</v>
      </c>
      <c r="GU170" s="14" t="n">
        <v>0</v>
      </c>
      <c r="GV170" s="14" t="n">
        <v>2679</v>
      </c>
      <c r="GW170" s="15">
        <f>GS170+GT170+GU170+GV170</f>
        <v/>
      </c>
      <c r="GX170" s="15">
        <f>GM170+GR170+GW170</f>
        <v/>
      </c>
      <c r="GY170" s="14" t="n">
        <v>28685558.11</v>
      </c>
      <c r="GZ170" s="14" t="n">
        <v>0</v>
      </c>
      <c r="HA170" s="15">
        <f>GY170+GZ170</f>
        <v/>
      </c>
      <c r="HB170" s="15">
        <f>IF(GX170=0,"",AU170/GX170)</f>
        <v/>
      </c>
      <c r="HC170" s="16">
        <f>IF((GX170+GY170)=0,"",GB170/(GX170+GY170))</f>
        <v/>
      </c>
      <c r="HD170" s="15">
        <f>IF(GX170=0,"",GB170/GX170)</f>
        <v/>
      </c>
      <c r="HE170" s="14" t="n">
        <v>8</v>
      </c>
      <c r="HF170" s="14" t="n">
        <v>1</v>
      </c>
      <c r="HG170" s="14" t="n">
        <v>57</v>
      </c>
      <c r="HH170" s="14" t="n">
        <v>6</v>
      </c>
      <c r="HI170" s="14" t="n">
        <v>3</v>
      </c>
      <c r="HJ170" s="15">
        <f>HF170+HI170</f>
        <v/>
      </c>
      <c r="HK170" s="16">
        <f>IF(HE170=0,"",HH170/HE170)</f>
        <v/>
      </c>
      <c r="HL170" s="14" t="n">
        <v>12</v>
      </c>
      <c r="HM170" s="14" t="n">
        <v>3</v>
      </c>
      <c r="HN170" s="17">
        <f>IF(HL170=0,"",HM170/HL170)</f>
        <v/>
      </c>
    </row>
    <row r="171">
      <c r="A171" s="6" t="inlineStr">
        <is>
          <t>Mulanje</t>
        </is>
      </c>
      <c r="B171" s="6" t="inlineStr">
        <is>
          <t>Nkando</t>
        </is>
      </c>
      <c r="C171" s="7" t="inlineStr">
        <is>
          <t>FY2025/26</t>
        </is>
      </c>
      <c r="D171" s="7" t="n">
        <v>2025</v>
      </c>
      <c r="E171" s="7" t="n">
        <v>4</v>
      </c>
      <c r="F171" s="7" t="inlineStr">
        <is>
          <t>April</t>
        </is>
      </c>
      <c r="G171" s="7" t="inlineStr">
        <is>
          <t>Q1</t>
        </is>
      </c>
      <c r="H171" s="8" t="n">
        <v>1150</v>
      </c>
      <c r="I171" s="8" t="n">
        <v>176</v>
      </c>
      <c r="J171" s="8" t="n">
        <v>0</v>
      </c>
      <c r="K171" s="8" t="n">
        <v>0</v>
      </c>
      <c r="L171" s="8" t="n">
        <v>0</v>
      </c>
      <c r="M171" s="9">
        <f>SUM(I171,J171,K171,L171)</f>
        <v/>
      </c>
      <c r="N171" s="8" t="n">
        <v>617</v>
      </c>
      <c r="O171" s="8" t="n">
        <v>27</v>
      </c>
      <c r="P171" s="8" t="n">
        <v>24</v>
      </c>
      <c r="Q171" s="8" t="n">
        <v>1</v>
      </c>
      <c r="R171" s="9">
        <f>SUM(N171,O171,P171,Q171)</f>
        <v/>
      </c>
      <c r="S171" s="9">
        <f>M171+R171</f>
        <v/>
      </c>
      <c r="T171" s="8" t="n">
        <v>305</v>
      </c>
      <c r="U171" s="10">
        <f>IF(H171=0,"",T171/H171)</f>
        <v/>
      </c>
      <c r="V171" s="8" t="n">
        <v>1</v>
      </c>
      <c r="W171" s="11">
        <f>IF(H171=0,"",V171/H171)</f>
        <v/>
      </c>
      <c r="X171" s="8" t="n">
        <v>0</v>
      </c>
      <c r="Y171" s="11">
        <f>IF(H171=0,"",X171/H171)</f>
        <v/>
      </c>
      <c r="Z171" s="8" t="n">
        <v>0</v>
      </c>
      <c r="AA171" s="11">
        <f>IF(H171=0,"",Z171/H171)</f>
        <v/>
      </c>
      <c r="AB171" s="8" t="n">
        <v>0</v>
      </c>
      <c r="AC171" s="11">
        <f>IF(H171=0,"",AB171/H171)</f>
        <v/>
      </c>
      <c r="AD171" s="8" t="n">
        <v>0</v>
      </c>
      <c r="AE171" s="11">
        <f>IF(H171=0,"",AD171/H171)</f>
        <v/>
      </c>
      <c r="AF171" s="8" t="n">
        <v>0</v>
      </c>
      <c r="AG171" s="11">
        <f>IF(H171=0,"",AF171/H171)</f>
        <v/>
      </c>
      <c r="AH171" s="8" t="n">
        <v>5111.67</v>
      </c>
      <c r="AI171" s="9">
        <f>IF(H171=0,"",AH171/H171)</f>
        <v/>
      </c>
      <c r="AJ171" s="8" t="n">
        <v>2360</v>
      </c>
      <c r="AK171" s="11">
        <f>IF(H171=0,"",AJ171/H171)</f>
        <v/>
      </c>
      <c r="AL171" s="8" t="n">
        <v>343880.04</v>
      </c>
      <c r="AM171" s="9">
        <f>IF(H171=0,"",AL171/H171)</f>
        <v/>
      </c>
      <c r="AN171" s="8" t="n">
        <v>0</v>
      </c>
      <c r="AO171" s="8" t="n">
        <v>0</v>
      </c>
      <c r="AP171" s="8" t="n">
        <v>0</v>
      </c>
      <c r="AQ171" s="8" t="n">
        <v>0</v>
      </c>
      <c r="AR171" s="8" t="n">
        <v>0</v>
      </c>
      <c r="AS171" s="8" t="n">
        <v>619615.66</v>
      </c>
      <c r="AT171" s="8" t="n">
        <v>0</v>
      </c>
      <c r="AU171" s="9">
        <f>AH171+AL171+AP171+AQ171+AR171+AS171+AT171</f>
        <v/>
      </c>
      <c r="AV171" s="9">
        <f>IF(H171=0,"",AU171/H171)</f>
        <v/>
      </c>
      <c r="AW171" s="9">
        <f>IF(S171=0,"",AU171/S171)</f>
        <v/>
      </c>
      <c r="AX171" s="8" t="n">
        <v>5</v>
      </c>
      <c r="AY171" s="9">
        <f>IF(H171=0,"",AX171/(H171/1000/12))</f>
        <v/>
      </c>
      <c r="AZ171" s="8" t="n">
        <v>1</v>
      </c>
      <c r="BA171" s="8" t="n">
        <v>1</v>
      </c>
      <c r="BB171" s="8" t="n">
        <v>6</v>
      </c>
      <c r="BC171" s="8" t="n">
        <v>0</v>
      </c>
      <c r="BD171" s="8" t="n">
        <v>0</v>
      </c>
      <c r="BE171" s="9">
        <f>BC171+BD171</f>
        <v/>
      </c>
      <c r="BF171" s="9">
        <f>BA171+BB171-BE171</f>
        <v/>
      </c>
      <c r="BG171" s="8" t="n">
        <v>0</v>
      </c>
      <c r="BH171" s="8" t="n">
        <v>0</v>
      </c>
      <c r="BI171" s="8" t="n">
        <v>0</v>
      </c>
      <c r="BJ171" s="8" t="n">
        <v>0</v>
      </c>
      <c r="BK171" s="9">
        <f>BI171+BJ171</f>
        <v/>
      </c>
      <c r="BL171" s="9">
        <f>BG171+BH171-BK171</f>
        <v/>
      </c>
      <c r="BM171" s="8" t="n">
        <v>0</v>
      </c>
      <c r="BN171" s="8" t="n">
        <v>0</v>
      </c>
      <c r="BO171" s="8" t="n">
        <v>0</v>
      </c>
      <c r="BP171" s="8" t="n">
        <v>0</v>
      </c>
      <c r="BQ171" s="9">
        <f>BO171+BP171</f>
        <v/>
      </c>
      <c r="BR171" s="9">
        <f>BM171+BN171-BQ171</f>
        <v/>
      </c>
      <c r="BS171" s="8" t="n">
        <v>0</v>
      </c>
      <c r="BT171" s="8" t="n">
        <v>0</v>
      </c>
      <c r="BU171" s="8" t="n">
        <v>0</v>
      </c>
      <c r="BV171" s="8" t="n">
        <v>0</v>
      </c>
      <c r="BW171" s="9">
        <f>BU171+BV171</f>
        <v/>
      </c>
      <c r="BX171" s="9">
        <f>BS171+BT171-BW171</f>
        <v/>
      </c>
      <c r="BY171" s="9">
        <f>BA171+BG171+BM171+BS171</f>
        <v/>
      </c>
      <c r="BZ171" s="9">
        <f>BB171+BH171+BN171+BT171</f>
        <v/>
      </c>
      <c r="CA171" s="9">
        <f>BE171+BK171+BQ171+BW171</f>
        <v/>
      </c>
      <c r="CB171" s="9">
        <f>BF171+BL171+BR171+BX171</f>
        <v/>
      </c>
      <c r="CC171" s="8" t="n">
        <v>0</v>
      </c>
      <c r="CD171" s="8" t="n">
        <v>26</v>
      </c>
      <c r="CE171" s="8" t="n">
        <v>5</v>
      </c>
      <c r="CF171" s="8" t="n">
        <v>5</v>
      </c>
      <c r="CG171" s="8" t="n">
        <v>11</v>
      </c>
      <c r="CH171" s="9">
        <f>CD171+CE171+CF171+CG171</f>
        <v/>
      </c>
      <c r="CI171" s="8" t="n">
        <v>26</v>
      </c>
      <c r="CJ171" s="8" t="n">
        <v>0</v>
      </c>
      <c r="CK171" s="8" t="n">
        <v>0</v>
      </c>
      <c r="CL171" s="8" t="n">
        <v>0</v>
      </c>
      <c r="CM171" s="9">
        <f>CI171+CJ171+CK171+CL171</f>
        <v/>
      </c>
      <c r="CN171" s="8" t="n">
        <v>181</v>
      </c>
      <c r="CO171" s="8" t="n">
        <v>8</v>
      </c>
      <c r="CP171" s="8" t="n">
        <v>12</v>
      </c>
      <c r="CQ171" s="8" t="n">
        <v>2</v>
      </c>
      <c r="CR171" s="9">
        <f>CN171+CO171+CP171+CQ171</f>
        <v/>
      </c>
      <c r="CS171" s="9">
        <f>CM171+CR171</f>
        <v/>
      </c>
      <c r="CT171" s="8" t="n">
        <v>276</v>
      </c>
      <c r="CU171" s="8" t="n">
        <v>2250</v>
      </c>
      <c r="CV171" s="8" t="n">
        <v>1150</v>
      </c>
      <c r="CW171" s="10">
        <f>IF(CU171=0,"",CV171/CU171)</f>
        <v/>
      </c>
      <c r="CX171" s="8" t="n">
        <v>0</v>
      </c>
      <c r="CY171" s="8" t="n">
        <v>0</v>
      </c>
      <c r="CZ171" s="8" t="n">
        <v>0</v>
      </c>
      <c r="DA171" s="8" t="n">
        <v>0</v>
      </c>
      <c r="DB171" s="9">
        <f>CX171+CY171-CZ171-DA171</f>
        <v/>
      </c>
      <c r="DC171" s="8" t="n">
        <v>0</v>
      </c>
      <c r="DD171" s="8" t="n">
        <v>0</v>
      </c>
      <c r="DE171" s="8" t="n">
        <v>0</v>
      </c>
      <c r="DF171" s="8" t="n">
        <v>0</v>
      </c>
      <c r="DG171" s="9">
        <f>DC171+DD171-DE171-DF171</f>
        <v/>
      </c>
      <c r="DH171" s="8" t="n">
        <v>0</v>
      </c>
      <c r="DI171" s="8" t="n">
        <v>0</v>
      </c>
      <c r="DJ171" s="8" t="n">
        <v>0</v>
      </c>
      <c r="DK171" s="8" t="n">
        <v>0</v>
      </c>
      <c r="DL171" s="9">
        <f>DH171+DI171-DJ171-DK171</f>
        <v/>
      </c>
      <c r="DM171" s="8" t="n">
        <v>0</v>
      </c>
      <c r="DN171" s="8" t="n">
        <v>0</v>
      </c>
      <c r="DO171" s="8" t="n">
        <v>0</v>
      </c>
      <c r="DP171" s="8" t="n">
        <v>0</v>
      </c>
      <c r="DQ171" s="9">
        <f>DM171+DN171-DO171-DP171</f>
        <v/>
      </c>
      <c r="DR171" s="9">
        <f>CX171+DC171+DH171+DM171</f>
        <v/>
      </c>
      <c r="DS171" s="9">
        <f>CY171+DD171+DI171+DN171</f>
        <v/>
      </c>
      <c r="DT171" s="9">
        <f>CZ171+DE171+DJ171+DO171</f>
        <v/>
      </c>
      <c r="DU171" s="9">
        <f>DA171+DF171+DK171+DP171</f>
        <v/>
      </c>
      <c r="DV171" s="9">
        <f>DB171+DG171+DL171+DQ171</f>
        <v/>
      </c>
      <c r="DW171" s="8" t="n">
        <v>4</v>
      </c>
      <c r="DX171" s="8" t="n">
        <v>0</v>
      </c>
      <c r="DY171" s="8" t="n">
        <v>0</v>
      </c>
      <c r="DZ171" s="8" t="n">
        <v>0</v>
      </c>
      <c r="EA171" s="8" t="n">
        <v>0</v>
      </c>
      <c r="EB171" s="8" t="n">
        <v>0</v>
      </c>
      <c r="EC171" s="8" t="n">
        <v>0</v>
      </c>
      <c r="ED171" s="8" t="n">
        <v>0</v>
      </c>
      <c r="EE171" s="8" t="n">
        <v>0</v>
      </c>
      <c r="EF171" s="8" t="n">
        <v>0</v>
      </c>
      <c r="EG171" s="8" t="n">
        <v>0</v>
      </c>
      <c r="EH171" s="8" t="n">
        <v>0</v>
      </c>
      <c r="EI171" s="8" t="n">
        <v>0</v>
      </c>
      <c r="EJ171" s="8" t="n">
        <v>0</v>
      </c>
      <c r="EK171" s="8" t="n">
        <v>0</v>
      </c>
      <c r="EL171" s="8" t="n">
        <v>0</v>
      </c>
      <c r="EM171" s="8" t="n">
        <v>0</v>
      </c>
      <c r="EN171" s="8" t="n">
        <v>0</v>
      </c>
      <c r="EO171" s="8" t="n">
        <v>0</v>
      </c>
      <c r="EP171" s="8" t="n">
        <v>0</v>
      </c>
      <c r="EQ171" s="8" t="n">
        <v>0</v>
      </c>
      <c r="ER171" s="8" t="n">
        <v>0</v>
      </c>
      <c r="ES171" s="8" t="n">
        <v>0</v>
      </c>
      <c r="ET171" s="8" t="n">
        <v>0</v>
      </c>
      <c r="EU171" s="8" t="n">
        <v>0</v>
      </c>
      <c r="EV171" s="8" t="n">
        <v>0</v>
      </c>
      <c r="EW171" s="8" t="n">
        <v>0</v>
      </c>
      <c r="EX171" s="8" t="n">
        <v>0</v>
      </c>
      <c r="EY171" s="8" t="n">
        <v>0</v>
      </c>
      <c r="EZ171" s="8" t="n">
        <v>0</v>
      </c>
      <c r="FA171" s="8" t="n">
        <v>0</v>
      </c>
      <c r="FB171" s="8" t="n">
        <v>0</v>
      </c>
      <c r="FC171" s="8" t="n">
        <v>0</v>
      </c>
      <c r="FD171" s="8" t="n">
        <v>0</v>
      </c>
      <c r="FE171" s="8" t="n">
        <v>0</v>
      </c>
      <c r="FF171" s="8" t="n">
        <v>0</v>
      </c>
      <c r="FG171" s="9">
        <f>SUM(DW171,DX171,DY171,DZ171,EA171,EB171,EC171,ED171,EE171,EF171,EG171,EH171,EI171,EJ171,EK171,EL171,EM171,EN171,EO171,EP171,EQ171,ER171,ES171,ET171,EU171,EV171,EW171,EX171,EY171,EZ171,FA171,FB171,FC171,FD171,FE171,FF171)</f>
        <v/>
      </c>
      <c r="FH171" s="8" t="n">
        <v>0</v>
      </c>
      <c r="FI171" s="8" t="n">
        <v>0</v>
      </c>
      <c r="FJ171" s="8" t="n">
        <v>8</v>
      </c>
      <c r="FK171" s="8" t="n">
        <v>8</v>
      </c>
      <c r="FL171" s="8" t="n">
        <v>0</v>
      </c>
      <c r="FM171" s="8" t="n">
        <v>0</v>
      </c>
      <c r="FN171" s="8" t="n">
        <v>0</v>
      </c>
      <c r="FO171" s="8" t="n">
        <v>0</v>
      </c>
      <c r="FP171" s="8" t="n">
        <v>0</v>
      </c>
      <c r="FQ171" s="9">
        <f>FL171+FM171+FN171+FO171+FP171</f>
        <v/>
      </c>
      <c r="FR171" s="8" t="n">
        <v>0</v>
      </c>
      <c r="FS171" s="8" t="n">
        <v>154400</v>
      </c>
      <c r="FT171" s="8" t="n">
        <v>0</v>
      </c>
      <c r="FU171" s="8" t="n">
        <v>0</v>
      </c>
      <c r="FV171" s="9">
        <f>FR171+FS171+FT171+FU171</f>
        <v/>
      </c>
      <c r="FW171" s="8" t="n">
        <v>1347869.419999999</v>
      </c>
      <c r="FX171" s="8" t="n">
        <v>106</v>
      </c>
      <c r="FY171" s="8" t="n">
        <v>326300</v>
      </c>
      <c r="FZ171" s="8" t="n">
        <v>77039.39999999999</v>
      </c>
      <c r="GA171" s="9">
        <f>FW171+FX171+FY171+FZ171</f>
        <v/>
      </c>
      <c r="GB171" s="9">
        <f>FV171+GA171</f>
        <v/>
      </c>
      <c r="GC171" s="8" t="n">
        <v>155723.46</v>
      </c>
      <c r="GD171" s="8" t="n">
        <v>0</v>
      </c>
      <c r="GE171" s="8" t="n">
        <v>0</v>
      </c>
      <c r="GF171" s="8" t="n">
        <v>0</v>
      </c>
      <c r="GG171" s="9">
        <f>GC171+GD171+GE171+GF171</f>
        <v/>
      </c>
      <c r="GH171" s="8" t="n">
        <v>0</v>
      </c>
      <c r="GI171" s="8" t="n">
        <v>0</v>
      </c>
      <c r="GJ171" s="8" t="n">
        <v>0</v>
      </c>
      <c r="GK171" s="8" t="n">
        <v>0</v>
      </c>
      <c r="GL171" s="9">
        <f>GH171+GI171+GJ171+GK171</f>
        <v/>
      </c>
      <c r="GM171" s="9">
        <f>GG171+GL171</f>
        <v/>
      </c>
      <c r="GN171" s="8" t="n">
        <v>14617.9</v>
      </c>
      <c r="GO171" s="8" t="n">
        <v>0</v>
      </c>
      <c r="GP171" s="8" t="n">
        <v>0</v>
      </c>
      <c r="GQ171" s="8" t="n">
        <v>0</v>
      </c>
      <c r="GR171" s="9">
        <f>GN171+GO171+GP171+GQ171</f>
        <v/>
      </c>
      <c r="GS171" s="8" t="n">
        <v>23218</v>
      </c>
      <c r="GT171" s="8" t="n">
        <v>0</v>
      </c>
      <c r="GU171" s="8" t="n">
        <v>0</v>
      </c>
      <c r="GV171" s="8" t="n">
        <v>0</v>
      </c>
      <c r="GW171" s="9">
        <f>GS171+GT171+GU171+GV171</f>
        <v/>
      </c>
      <c r="GX171" s="9">
        <f>GM171+GR171+GW171</f>
        <v/>
      </c>
      <c r="GY171" s="8" t="n">
        <v>16345692.09</v>
      </c>
      <c r="GZ171" s="8" t="n">
        <v>6094751.91</v>
      </c>
      <c r="HA171" s="9">
        <f>GY171+GZ171</f>
        <v/>
      </c>
      <c r="HB171" s="9">
        <f>IF(GX171=0,"",AU171/GX171)</f>
        <v/>
      </c>
      <c r="HC171" s="10">
        <f>IF((GX171+GY171)=0,"",GB171/(GX171+GY171))</f>
        <v/>
      </c>
      <c r="HD171" s="9">
        <f>IF(GX171=0,"",GB171/GX171)</f>
        <v/>
      </c>
      <c r="HE171" s="8" t="n">
        <v>6</v>
      </c>
      <c r="HF171" s="8" t="n">
        <v>1</v>
      </c>
      <c r="HG171" s="8" t="n">
        <v>7</v>
      </c>
      <c r="HH171" s="8" t="n">
        <v>6</v>
      </c>
      <c r="HI171" s="8" t="n">
        <v>30</v>
      </c>
      <c r="HJ171" s="9">
        <f>HF171+HI171</f>
        <v/>
      </c>
      <c r="HK171" s="10">
        <f>IF(HE171=0,"",HH171/HE171)</f>
        <v/>
      </c>
      <c r="HL171" s="8" t="n">
        <v>5</v>
      </c>
      <c r="HM171" s="8" t="n">
        <v>10</v>
      </c>
      <c r="HN171" s="11">
        <f>IF(HL171=0,"",HM171/HL171)</f>
        <v/>
      </c>
    </row>
    <row r="172">
      <c r="A172" s="12" t="inlineStr">
        <is>
          <t>Mulanje</t>
        </is>
      </c>
      <c r="B172" s="12" t="inlineStr">
        <is>
          <t>Nkando</t>
        </is>
      </c>
      <c r="C172" s="13" t="inlineStr">
        <is>
          <t>FY2025/26</t>
        </is>
      </c>
      <c r="D172" s="13" t="n">
        <v>2025</v>
      </c>
      <c r="E172" s="13" t="n">
        <v>5</v>
      </c>
      <c r="F172" s="13" t="inlineStr">
        <is>
          <t>May</t>
        </is>
      </c>
      <c r="G172" s="13" t="inlineStr">
        <is>
          <t>Q1</t>
        </is>
      </c>
      <c r="H172" s="14" t="n">
        <v>1200</v>
      </c>
      <c r="I172" s="14" t="n">
        <v>193</v>
      </c>
      <c r="J172" s="14" t="n">
        <v>0</v>
      </c>
      <c r="K172" s="14" t="n">
        <v>0</v>
      </c>
      <c r="L172" s="14" t="n">
        <v>0</v>
      </c>
      <c r="M172" s="15">
        <f>SUM(I172,J172,K172,L172)</f>
        <v/>
      </c>
      <c r="N172" s="14" t="n">
        <v>586</v>
      </c>
      <c r="O172" s="14" t="n">
        <v>24</v>
      </c>
      <c r="P172" s="14" t="n">
        <v>25</v>
      </c>
      <c r="Q172" s="14" t="n">
        <v>42</v>
      </c>
      <c r="R172" s="15">
        <f>SUM(N172,O172,P172,Q172)</f>
        <v/>
      </c>
      <c r="S172" s="15">
        <f>M172+R172</f>
        <v/>
      </c>
      <c r="T172" s="14" t="n">
        <v>330</v>
      </c>
      <c r="U172" s="16">
        <f>IF(H172=0,"",T172/H172)</f>
        <v/>
      </c>
      <c r="V172" s="14" t="n">
        <v>1</v>
      </c>
      <c r="W172" s="17">
        <f>IF(H172=0,"",V172/H172)</f>
        <v/>
      </c>
      <c r="X172" s="14" t="n">
        <v>0</v>
      </c>
      <c r="Y172" s="17">
        <f>IF(H172=0,"",X172/H172)</f>
        <v/>
      </c>
      <c r="Z172" s="14" t="n">
        <v>0</v>
      </c>
      <c r="AA172" s="17">
        <f>IF(H172=0,"",Z172/H172)</f>
        <v/>
      </c>
      <c r="AB172" s="14" t="n">
        <v>0</v>
      </c>
      <c r="AC172" s="17">
        <f>IF(H172=0,"",AB172/H172)</f>
        <v/>
      </c>
      <c r="AD172" s="14" t="n">
        <v>0</v>
      </c>
      <c r="AE172" s="17">
        <f>IF(H172=0,"",AD172/H172)</f>
        <v/>
      </c>
      <c r="AF172" s="14" t="n">
        <v>0</v>
      </c>
      <c r="AG172" s="17">
        <f>IF(H172=0,"",AF172/H172)</f>
        <v/>
      </c>
      <c r="AH172" s="14" t="n">
        <v>5111.67</v>
      </c>
      <c r="AI172" s="15">
        <f>IF(H172=0,"",AH172/H172)</f>
        <v/>
      </c>
      <c r="AJ172" s="14" t="n">
        <v>1570</v>
      </c>
      <c r="AK172" s="17">
        <f>IF(H172=0,"",AJ172/H172)</f>
        <v/>
      </c>
      <c r="AL172" s="14" t="n">
        <v>234266.355</v>
      </c>
      <c r="AM172" s="15">
        <f>IF(H172=0,"",AL172/H172)</f>
        <v/>
      </c>
      <c r="AN172" s="14" t="n">
        <v>0</v>
      </c>
      <c r="AO172" s="14" t="n">
        <v>0</v>
      </c>
      <c r="AP172" s="14" t="n">
        <v>0</v>
      </c>
      <c r="AQ172" s="14" t="n">
        <v>0</v>
      </c>
      <c r="AR172" s="14" t="n">
        <v>0</v>
      </c>
      <c r="AS172" s="14" t="n">
        <v>612692.58</v>
      </c>
      <c r="AT172" s="14" t="n">
        <v>0</v>
      </c>
      <c r="AU172" s="15">
        <f>AH172+AL172+AP172+AQ172+AR172+AS172+AT172</f>
        <v/>
      </c>
      <c r="AV172" s="15">
        <f>IF(H172=0,"",AU172/H172)</f>
        <v/>
      </c>
      <c r="AW172" s="15">
        <f>IF(S172=0,"",AU172/S172)</f>
        <v/>
      </c>
      <c r="AX172" s="14" t="n">
        <v>5</v>
      </c>
      <c r="AY172" s="15">
        <f>IF(H172=0,"",AX172/(H172/1000/12))</f>
        <v/>
      </c>
      <c r="AZ172" s="14" t="n">
        <v>1</v>
      </c>
      <c r="BA172" s="14" t="n">
        <v>7</v>
      </c>
      <c r="BB172" s="14" t="n">
        <v>0</v>
      </c>
      <c r="BC172" s="14" t="n">
        <v>0</v>
      </c>
      <c r="BD172" s="14" t="n">
        <v>0</v>
      </c>
      <c r="BE172" s="15">
        <f>BC172+BD172</f>
        <v/>
      </c>
      <c r="BF172" s="15">
        <f>BA172+BB172-BE172</f>
        <v/>
      </c>
      <c r="BG172" s="14" t="n">
        <v>0</v>
      </c>
      <c r="BH172" s="14" t="n">
        <v>0</v>
      </c>
      <c r="BI172" s="14" t="n">
        <v>0</v>
      </c>
      <c r="BJ172" s="14" t="n">
        <v>0</v>
      </c>
      <c r="BK172" s="15">
        <f>BI172+BJ172</f>
        <v/>
      </c>
      <c r="BL172" s="15">
        <f>BG172+BH172-BK172</f>
        <v/>
      </c>
      <c r="BM172" s="14" t="n">
        <v>0</v>
      </c>
      <c r="BN172" s="14" t="n">
        <v>0</v>
      </c>
      <c r="BO172" s="14" t="n">
        <v>0</v>
      </c>
      <c r="BP172" s="14" t="n">
        <v>0</v>
      </c>
      <c r="BQ172" s="15">
        <f>BO172+BP172</f>
        <v/>
      </c>
      <c r="BR172" s="15">
        <f>BM172+BN172-BQ172</f>
        <v/>
      </c>
      <c r="BS172" s="14" t="n">
        <v>0</v>
      </c>
      <c r="BT172" s="14" t="n">
        <v>0</v>
      </c>
      <c r="BU172" s="14" t="n">
        <v>0</v>
      </c>
      <c r="BV172" s="14" t="n">
        <v>0</v>
      </c>
      <c r="BW172" s="15">
        <f>BU172+BV172</f>
        <v/>
      </c>
      <c r="BX172" s="15">
        <f>BS172+BT172-BW172</f>
        <v/>
      </c>
      <c r="BY172" s="15">
        <f>BA172+BG172+BM172+BS172</f>
        <v/>
      </c>
      <c r="BZ172" s="15">
        <f>BB172+BH172+BN172+BT172</f>
        <v/>
      </c>
      <c r="CA172" s="15">
        <f>BE172+BK172+BQ172+BW172</f>
        <v/>
      </c>
      <c r="CB172" s="15">
        <f>BF172+BL172+BR172+BX172</f>
        <v/>
      </c>
      <c r="CC172" s="14" t="n">
        <v>0</v>
      </c>
      <c r="CD172" s="14" t="n">
        <v>24</v>
      </c>
      <c r="CE172" s="14" t="n">
        <v>5</v>
      </c>
      <c r="CF172" s="14" t="n">
        <v>5</v>
      </c>
      <c r="CG172" s="14" t="n">
        <v>11</v>
      </c>
      <c r="CH172" s="15">
        <f>CD172+CE172+CF172+CG172</f>
        <v/>
      </c>
      <c r="CI172" s="14" t="n">
        <v>27</v>
      </c>
      <c r="CJ172" s="14" t="n">
        <v>0</v>
      </c>
      <c r="CK172" s="14" t="n">
        <v>0</v>
      </c>
      <c r="CL172" s="14" t="n">
        <v>0</v>
      </c>
      <c r="CM172" s="15">
        <f>CI172+CJ172+CK172+CL172</f>
        <v/>
      </c>
      <c r="CN172" s="14" t="n">
        <v>180</v>
      </c>
      <c r="CO172" s="14" t="n">
        <v>8</v>
      </c>
      <c r="CP172" s="14" t="n">
        <v>14</v>
      </c>
      <c r="CQ172" s="14" t="n">
        <v>2</v>
      </c>
      <c r="CR172" s="15">
        <f>CN172+CO172+CP172+CQ172</f>
        <v/>
      </c>
      <c r="CS172" s="15">
        <f>CM172+CR172</f>
        <v/>
      </c>
      <c r="CT172" s="14" t="n">
        <v>276</v>
      </c>
      <c r="CU172" s="14" t="n">
        <v>2250</v>
      </c>
      <c r="CV172" s="14" t="n">
        <v>1160</v>
      </c>
      <c r="CW172" s="16">
        <f>IF(CU172=0,"",CV172/CU172)</f>
        <v/>
      </c>
      <c r="CX172" s="14" t="n">
        <v>0</v>
      </c>
      <c r="CY172" s="14" t="n">
        <v>0</v>
      </c>
      <c r="CZ172" s="14" t="n">
        <v>0</v>
      </c>
      <c r="DA172" s="14" t="n">
        <v>0</v>
      </c>
      <c r="DB172" s="15">
        <f>CX172+CY172-CZ172-DA172</f>
        <v/>
      </c>
      <c r="DC172" s="14" t="n">
        <v>0</v>
      </c>
      <c r="DD172" s="14" t="n">
        <v>0</v>
      </c>
      <c r="DE172" s="14" t="n">
        <v>0</v>
      </c>
      <c r="DF172" s="14" t="n">
        <v>0</v>
      </c>
      <c r="DG172" s="15">
        <f>DC172+DD172-DE172-DF172</f>
        <v/>
      </c>
      <c r="DH172" s="14" t="n">
        <v>0</v>
      </c>
      <c r="DI172" s="14" t="n">
        <v>0</v>
      </c>
      <c r="DJ172" s="14" t="n">
        <v>0</v>
      </c>
      <c r="DK172" s="14" t="n">
        <v>0</v>
      </c>
      <c r="DL172" s="15">
        <f>DH172+DI172-DJ172-DK172</f>
        <v/>
      </c>
      <c r="DM172" s="14" t="n">
        <v>0</v>
      </c>
      <c r="DN172" s="14" t="n">
        <v>0</v>
      </c>
      <c r="DO172" s="14" t="n">
        <v>0</v>
      </c>
      <c r="DP172" s="14" t="n">
        <v>0</v>
      </c>
      <c r="DQ172" s="15">
        <f>DM172+DN172-DO172-DP172</f>
        <v/>
      </c>
      <c r="DR172" s="15">
        <f>CX172+DC172+DH172+DM172</f>
        <v/>
      </c>
      <c r="DS172" s="15">
        <f>CY172+DD172+DI172+DN172</f>
        <v/>
      </c>
      <c r="DT172" s="15">
        <f>CZ172+DE172+DJ172+DO172</f>
        <v/>
      </c>
      <c r="DU172" s="15">
        <f>DA172+DF172+DK172+DP172</f>
        <v/>
      </c>
      <c r="DV172" s="15">
        <f>DB172+DG172+DL172+DQ172</f>
        <v/>
      </c>
      <c r="DW172" s="14" t="n">
        <v>14</v>
      </c>
      <c r="DX172" s="14" t="n">
        <v>0</v>
      </c>
      <c r="DY172" s="14" t="n">
        <v>0</v>
      </c>
      <c r="DZ172" s="14" t="n">
        <v>0</v>
      </c>
      <c r="EA172" s="14" t="n">
        <v>0</v>
      </c>
      <c r="EB172" s="14" t="n">
        <v>0</v>
      </c>
      <c r="EC172" s="14" t="n">
        <v>0</v>
      </c>
      <c r="ED172" s="14" t="n">
        <v>0</v>
      </c>
      <c r="EE172" s="14" t="n">
        <v>0</v>
      </c>
      <c r="EF172" s="14" t="n">
        <v>0</v>
      </c>
      <c r="EG172" s="14" t="n">
        <v>0</v>
      </c>
      <c r="EH172" s="14" t="n">
        <v>0</v>
      </c>
      <c r="EI172" s="14" t="n">
        <v>0</v>
      </c>
      <c r="EJ172" s="14" t="n">
        <v>0</v>
      </c>
      <c r="EK172" s="14" t="n">
        <v>0</v>
      </c>
      <c r="EL172" s="14" t="n">
        <v>0</v>
      </c>
      <c r="EM172" s="14" t="n">
        <v>0</v>
      </c>
      <c r="EN172" s="14" t="n">
        <v>0</v>
      </c>
      <c r="EO172" s="14" t="n">
        <v>0</v>
      </c>
      <c r="EP172" s="14" t="n">
        <v>0</v>
      </c>
      <c r="EQ172" s="14" t="n">
        <v>0</v>
      </c>
      <c r="ER172" s="14" t="n">
        <v>0</v>
      </c>
      <c r="ES172" s="14" t="n">
        <v>0</v>
      </c>
      <c r="ET172" s="14" t="n">
        <v>0</v>
      </c>
      <c r="EU172" s="14" t="n">
        <v>0</v>
      </c>
      <c r="EV172" s="14" t="n">
        <v>0</v>
      </c>
      <c r="EW172" s="14" t="n">
        <v>0</v>
      </c>
      <c r="EX172" s="14" t="n">
        <v>0</v>
      </c>
      <c r="EY172" s="14" t="n">
        <v>0</v>
      </c>
      <c r="EZ172" s="14" t="n">
        <v>0</v>
      </c>
      <c r="FA172" s="14" t="n">
        <v>0</v>
      </c>
      <c r="FB172" s="14" t="n">
        <v>0</v>
      </c>
      <c r="FC172" s="14" t="n">
        <v>0</v>
      </c>
      <c r="FD172" s="14" t="n">
        <v>0</v>
      </c>
      <c r="FE172" s="14" t="n">
        <v>0</v>
      </c>
      <c r="FF172" s="14" t="n">
        <v>0</v>
      </c>
      <c r="FG172" s="15">
        <f>SUM(DW172,DX172,DY172,DZ172,EA172,EB172,EC172,ED172,EE172,EF172,EG172,EH172,EI172,EJ172,EK172,EL172,EM172,EN172,EO172,EP172,EQ172,ER172,ES172,ET172,EU172,EV172,EW172,EX172,EY172,EZ172,FA172,FB172,FC172,FD172,FE172,FF172)</f>
        <v/>
      </c>
      <c r="FH172" s="14" t="n">
        <v>0</v>
      </c>
      <c r="FI172" s="14" t="n">
        <v>0</v>
      </c>
      <c r="FJ172" s="14" t="n">
        <v>8</v>
      </c>
      <c r="FK172" s="14" t="n">
        <v>0</v>
      </c>
      <c r="FL172" s="14" t="n">
        <v>0</v>
      </c>
      <c r="FM172" s="14" t="n">
        <v>0</v>
      </c>
      <c r="FN172" s="14" t="n">
        <v>0</v>
      </c>
      <c r="FO172" s="14" t="n">
        <v>0</v>
      </c>
      <c r="FP172" s="14" t="n">
        <v>0</v>
      </c>
      <c r="FQ172" s="15">
        <f>FL172+FM172+FN172+FO172+FP172</f>
        <v/>
      </c>
      <c r="FR172" s="14" t="n">
        <v>31605.87</v>
      </c>
      <c r="FS172" s="14" t="n">
        <v>0</v>
      </c>
      <c r="FT172" s="14" t="n">
        <v>0</v>
      </c>
      <c r="FU172" s="14" t="n">
        <v>0</v>
      </c>
      <c r="FV172" s="15">
        <f>FR172+FS172+FT172+FU172</f>
        <v/>
      </c>
      <c r="FW172" s="14" t="n">
        <v>1306715.9</v>
      </c>
      <c r="FX172" s="14" t="n">
        <v>5000</v>
      </c>
      <c r="FY172" s="14" t="n">
        <v>288820.23</v>
      </c>
      <c r="FZ172" s="14" t="n">
        <v>130000</v>
      </c>
      <c r="GA172" s="15">
        <f>FW172+FX172+FY172+FZ172</f>
        <v/>
      </c>
      <c r="GB172" s="15">
        <f>FV172+GA172</f>
        <v/>
      </c>
      <c r="GC172" s="14" t="n">
        <v>165753.05</v>
      </c>
      <c r="GD172" s="14" t="n">
        <v>0</v>
      </c>
      <c r="GE172" s="14" t="n">
        <v>0</v>
      </c>
      <c r="GF172" s="14" t="n">
        <v>0</v>
      </c>
      <c r="GG172" s="15">
        <f>GC172+GD172+GE172+GF172</f>
        <v/>
      </c>
      <c r="GH172" s="14" t="n">
        <v>0</v>
      </c>
      <c r="GI172" s="14" t="n">
        <v>0</v>
      </c>
      <c r="GJ172" s="14" t="n">
        <v>0</v>
      </c>
      <c r="GK172" s="14" t="n">
        <v>0</v>
      </c>
      <c r="GL172" s="15">
        <f>GH172+GI172+GJ172+GK172</f>
        <v/>
      </c>
      <c r="GM172" s="15">
        <f>GG172+GL172</f>
        <v/>
      </c>
      <c r="GN172" s="14" t="n">
        <v>15162.83</v>
      </c>
      <c r="GO172" s="14" t="n">
        <v>0</v>
      </c>
      <c r="GP172" s="14" t="n">
        <v>0</v>
      </c>
      <c r="GQ172" s="14" t="n">
        <v>0</v>
      </c>
      <c r="GR172" s="15">
        <f>GN172+GO172+GP172+GQ172</f>
        <v/>
      </c>
      <c r="GS172" s="14" t="n">
        <v>24111</v>
      </c>
      <c r="GT172" s="14" t="n">
        <v>0</v>
      </c>
      <c r="GU172" s="14" t="n">
        <v>0</v>
      </c>
      <c r="GV172" s="14" t="n">
        <v>0</v>
      </c>
      <c r="GW172" s="15">
        <f>GS172+GT172+GU172+GV172</f>
        <v/>
      </c>
      <c r="GX172" s="15">
        <f>GM172+GR172+GW172</f>
        <v/>
      </c>
      <c r="GY172" s="14" t="n">
        <v>16519113.1</v>
      </c>
      <c r="GZ172" s="14" t="n">
        <v>6094751.91</v>
      </c>
      <c r="HA172" s="15">
        <f>GY172+GZ172</f>
        <v/>
      </c>
      <c r="HB172" s="15">
        <f>IF(GX172=0,"",AU172/GX172)</f>
        <v/>
      </c>
      <c r="HC172" s="16">
        <f>IF((GX172+GY172)=0,"",GB172/(GX172+GY172))</f>
        <v/>
      </c>
      <c r="HD172" s="15">
        <f>IF(GX172=0,"",GB172/GX172)</f>
        <v/>
      </c>
      <c r="HE172" s="14" t="n">
        <v>0</v>
      </c>
      <c r="HF172" s="14" t="n">
        <v>1</v>
      </c>
      <c r="HG172" s="14" t="n">
        <v>7</v>
      </c>
      <c r="HH172" s="14" t="n">
        <v>0</v>
      </c>
      <c r="HI172" s="14" t="n">
        <v>30</v>
      </c>
      <c r="HJ172" s="15">
        <f>HF172+HI172</f>
        <v/>
      </c>
      <c r="HK172" s="16">
        <f>IF(HE172=0,"",HH172/HE172)</f>
        <v/>
      </c>
      <c r="HL172" s="14" t="n">
        <v>6</v>
      </c>
      <c r="HM172" s="14" t="n">
        <v>5</v>
      </c>
      <c r="HN172" s="17">
        <f>IF(HL172=0,"",HM172/HL172)</f>
        <v/>
      </c>
    </row>
    <row r="173">
      <c r="A173" s="6" t="inlineStr">
        <is>
          <t>Mulanje</t>
        </is>
      </c>
      <c r="B173" s="6" t="inlineStr">
        <is>
          <t>Nkando</t>
        </is>
      </c>
      <c r="C173" s="7" t="inlineStr">
        <is>
          <t>FY2025/26</t>
        </is>
      </c>
      <c r="D173" s="7" t="n">
        <v>2025</v>
      </c>
      <c r="E173" s="7" t="n">
        <v>6</v>
      </c>
      <c r="F173" s="7" t="inlineStr">
        <is>
          <t>June</t>
        </is>
      </c>
      <c r="G173" s="7" t="inlineStr">
        <is>
          <t>Q1</t>
        </is>
      </c>
      <c r="H173" s="8" t="n">
        <v>1350</v>
      </c>
      <c r="I173" s="8" t="n">
        <v>170</v>
      </c>
      <c r="J173" s="8" t="n">
        <v>0</v>
      </c>
      <c r="K173" s="8" t="n">
        <v>0</v>
      </c>
      <c r="L173" s="8" t="n">
        <v>0</v>
      </c>
      <c r="M173" s="9">
        <f>SUM(I173,J173,K173,L173)</f>
        <v/>
      </c>
      <c r="N173" s="8" t="n">
        <v>780</v>
      </c>
      <c r="O173" s="8" t="n">
        <v>1</v>
      </c>
      <c r="P173" s="8" t="n">
        <v>22</v>
      </c>
      <c r="Q173" s="8" t="n">
        <v>33</v>
      </c>
      <c r="R173" s="9">
        <f>SUM(N173,O173,P173,Q173)</f>
        <v/>
      </c>
      <c r="S173" s="9">
        <f>M173+R173</f>
        <v/>
      </c>
      <c r="T173" s="8" t="n">
        <v>344</v>
      </c>
      <c r="U173" s="10">
        <f>IF(H173=0,"",T173/H173)</f>
        <v/>
      </c>
      <c r="V173" s="8" t="n">
        <v>1</v>
      </c>
      <c r="W173" s="11">
        <f>IF(H173=0,"",V173/H173)</f>
        <v/>
      </c>
      <c r="X173" s="8" t="n">
        <v>0</v>
      </c>
      <c r="Y173" s="11">
        <f>IF(H173=0,"",X173/H173)</f>
        <v/>
      </c>
      <c r="Z173" s="8" t="n">
        <v>0</v>
      </c>
      <c r="AA173" s="11">
        <f>IF(H173=0,"",Z173/H173)</f>
        <v/>
      </c>
      <c r="AB173" s="8" t="n">
        <v>0</v>
      </c>
      <c r="AC173" s="11">
        <f>IF(H173=0,"",AB173/H173)</f>
        <v/>
      </c>
      <c r="AD173" s="8" t="n">
        <v>0</v>
      </c>
      <c r="AE173" s="11">
        <f>IF(H173=0,"",AD173/H173)</f>
        <v/>
      </c>
      <c r="AF173" s="8" t="n">
        <v>0</v>
      </c>
      <c r="AG173" s="11">
        <f>IF(H173=0,"",AF173/H173)</f>
        <v/>
      </c>
      <c r="AH173" s="8" t="n">
        <v>5111.67</v>
      </c>
      <c r="AI173" s="9">
        <f>IF(H173=0,"",AH173/H173)</f>
        <v/>
      </c>
      <c r="AJ173" s="8" t="n">
        <v>1180</v>
      </c>
      <c r="AK173" s="11">
        <f>IF(H173=0,"",AJ173/H173)</f>
        <v/>
      </c>
      <c r="AL173" s="8" t="n">
        <v>180153.27</v>
      </c>
      <c r="AM173" s="9">
        <f>IF(H173=0,"",AL173/H173)</f>
        <v/>
      </c>
      <c r="AN173" s="8" t="n">
        <v>0</v>
      </c>
      <c r="AO173" s="8" t="n">
        <v>0</v>
      </c>
      <c r="AP173" s="8" t="n">
        <v>0</v>
      </c>
      <c r="AQ173" s="8" t="n">
        <v>0</v>
      </c>
      <c r="AR173" s="8" t="n">
        <v>0</v>
      </c>
      <c r="AS173" s="8" t="n">
        <v>906231.92</v>
      </c>
      <c r="AT173" s="8" t="n">
        <v>0</v>
      </c>
      <c r="AU173" s="9">
        <f>AH173+AL173+AP173+AQ173+AR173+AS173+AT173</f>
        <v/>
      </c>
      <c r="AV173" s="9">
        <f>IF(H173=0,"",AU173/H173)</f>
        <v/>
      </c>
      <c r="AW173" s="9">
        <f>IF(S173=0,"",AU173/S173)</f>
        <v/>
      </c>
      <c r="AX173" s="8" t="n">
        <v>5</v>
      </c>
      <c r="AY173" s="9">
        <f>IF(H173=0,"",AX173/(H173/1000/12))</f>
        <v/>
      </c>
      <c r="AZ173" s="8" t="n">
        <v>2</v>
      </c>
      <c r="BA173" s="8" t="n">
        <v>7</v>
      </c>
      <c r="BB173" s="8" t="n">
        <v>3</v>
      </c>
      <c r="BC173" s="8" t="n">
        <v>7</v>
      </c>
      <c r="BD173" s="8" t="n">
        <v>0</v>
      </c>
      <c r="BE173" s="9">
        <f>BC173+BD173</f>
        <v/>
      </c>
      <c r="BF173" s="9">
        <f>BA173+BB173-BE173</f>
        <v/>
      </c>
      <c r="BG173" s="8" t="n">
        <v>0</v>
      </c>
      <c r="BH173" s="8" t="n">
        <v>0</v>
      </c>
      <c r="BI173" s="8" t="n">
        <v>0</v>
      </c>
      <c r="BJ173" s="8" t="n">
        <v>0</v>
      </c>
      <c r="BK173" s="9">
        <f>BI173+BJ173</f>
        <v/>
      </c>
      <c r="BL173" s="9">
        <f>BG173+BH173-BK173</f>
        <v/>
      </c>
      <c r="BM173" s="8" t="n">
        <v>0</v>
      </c>
      <c r="BN173" s="8" t="n">
        <v>0</v>
      </c>
      <c r="BO173" s="8" t="n">
        <v>0</v>
      </c>
      <c r="BP173" s="8" t="n">
        <v>0</v>
      </c>
      <c r="BQ173" s="9">
        <f>BO173+BP173</f>
        <v/>
      </c>
      <c r="BR173" s="9">
        <f>BM173+BN173-BQ173</f>
        <v/>
      </c>
      <c r="BS173" s="8" t="n">
        <v>0</v>
      </c>
      <c r="BT173" s="8" t="n">
        <v>0</v>
      </c>
      <c r="BU173" s="8" t="n">
        <v>0</v>
      </c>
      <c r="BV173" s="8" t="n">
        <v>0</v>
      </c>
      <c r="BW173" s="9">
        <f>BU173+BV173</f>
        <v/>
      </c>
      <c r="BX173" s="9">
        <f>BS173+BT173-BW173</f>
        <v/>
      </c>
      <c r="BY173" s="9">
        <f>BA173+BG173+BM173+BS173</f>
        <v/>
      </c>
      <c r="BZ173" s="9">
        <f>BB173+BH173+BN173+BT173</f>
        <v/>
      </c>
      <c r="CA173" s="9">
        <f>BE173+BK173+BQ173+BW173</f>
        <v/>
      </c>
      <c r="CB173" s="9">
        <f>BF173+BL173+BR173+BX173</f>
        <v/>
      </c>
      <c r="CC173" s="8" t="n">
        <v>0</v>
      </c>
      <c r="CD173" s="8" t="n">
        <v>13</v>
      </c>
      <c r="CE173" s="8" t="n">
        <v>5</v>
      </c>
      <c r="CF173" s="8" t="n">
        <v>5</v>
      </c>
      <c r="CG173" s="8" t="n">
        <v>11</v>
      </c>
      <c r="CH173" s="9">
        <f>CD173+CE173+CF173+CG173</f>
        <v/>
      </c>
      <c r="CI173" s="8" t="n">
        <v>21</v>
      </c>
      <c r="CJ173" s="8" t="n">
        <v>0</v>
      </c>
      <c r="CK173" s="8" t="n">
        <v>0</v>
      </c>
      <c r="CL173" s="8" t="n">
        <v>0</v>
      </c>
      <c r="CM173" s="9">
        <f>CI173+CJ173+CK173+CL173</f>
        <v/>
      </c>
      <c r="CN173" s="8" t="n">
        <v>192</v>
      </c>
      <c r="CO173" s="8" t="n">
        <v>9</v>
      </c>
      <c r="CP173" s="8" t="n">
        <v>14</v>
      </c>
      <c r="CQ173" s="8" t="n">
        <v>3</v>
      </c>
      <c r="CR173" s="9">
        <f>CN173+CO173+CP173+CQ173</f>
        <v/>
      </c>
      <c r="CS173" s="9">
        <f>CM173+CR173</f>
        <v/>
      </c>
      <c r="CT173" s="8" t="n">
        <v>273</v>
      </c>
      <c r="CU173" s="8" t="n">
        <v>2250</v>
      </c>
      <c r="CV173" s="8" t="n">
        <v>1160</v>
      </c>
      <c r="CW173" s="10">
        <f>IF(CU173=0,"",CV173/CU173)</f>
        <v/>
      </c>
      <c r="CX173" s="8" t="n">
        <v>0</v>
      </c>
      <c r="CY173" s="8" t="n">
        <v>0</v>
      </c>
      <c r="CZ173" s="8" t="n">
        <v>0</v>
      </c>
      <c r="DA173" s="8" t="n">
        <v>0</v>
      </c>
      <c r="DB173" s="9">
        <f>CX173+CY173-CZ173-DA173</f>
        <v/>
      </c>
      <c r="DC173" s="8" t="n">
        <v>0</v>
      </c>
      <c r="DD173" s="8" t="n">
        <v>0</v>
      </c>
      <c r="DE173" s="8" t="n">
        <v>0</v>
      </c>
      <c r="DF173" s="8" t="n">
        <v>0</v>
      </c>
      <c r="DG173" s="9">
        <f>DC173+DD173-DE173-DF173</f>
        <v/>
      </c>
      <c r="DH173" s="8" t="n">
        <v>0</v>
      </c>
      <c r="DI173" s="8" t="n">
        <v>0</v>
      </c>
      <c r="DJ173" s="8" t="n">
        <v>0</v>
      </c>
      <c r="DK173" s="8" t="n">
        <v>0</v>
      </c>
      <c r="DL173" s="9">
        <f>DH173+DI173-DJ173-DK173</f>
        <v/>
      </c>
      <c r="DM173" s="8" t="n">
        <v>0</v>
      </c>
      <c r="DN173" s="8" t="n">
        <v>0</v>
      </c>
      <c r="DO173" s="8" t="n">
        <v>0</v>
      </c>
      <c r="DP173" s="8" t="n">
        <v>0</v>
      </c>
      <c r="DQ173" s="9">
        <f>DM173+DN173-DO173-DP173</f>
        <v/>
      </c>
      <c r="DR173" s="9">
        <f>CX173+DC173+DH173+DM173</f>
        <v/>
      </c>
      <c r="DS173" s="9">
        <f>CY173+DD173+DI173+DN173</f>
        <v/>
      </c>
      <c r="DT173" s="9">
        <f>CZ173+DE173+DJ173+DO173</f>
        <v/>
      </c>
      <c r="DU173" s="9">
        <f>DA173+DF173+DK173+DP173</f>
        <v/>
      </c>
      <c r="DV173" s="9">
        <f>DB173+DG173+DL173+DQ173</f>
        <v/>
      </c>
      <c r="DW173" s="8" t="n">
        <v>3</v>
      </c>
      <c r="DX173" s="8" t="n">
        <v>2</v>
      </c>
      <c r="DY173" s="8" t="n">
        <v>0</v>
      </c>
      <c r="DZ173" s="8" t="n">
        <v>0</v>
      </c>
      <c r="EA173" s="8" t="n">
        <v>0</v>
      </c>
      <c r="EB173" s="8" t="n">
        <v>0</v>
      </c>
      <c r="EC173" s="8" t="n">
        <v>0</v>
      </c>
      <c r="ED173" s="8" t="n">
        <v>0</v>
      </c>
      <c r="EE173" s="8" t="n">
        <v>0</v>
      </c>
      <c r="EF173" s="8" t="n">
        <v>0</v>
      </c>
      <c r="EG173" s="8" t="n">
        <v>0</v>
      </c>
      <c r="EH173" s="8" t="n">
        <v>0</v>
      </c>
      <c r="EI173" s="8" t="n">
        <v>0</v>
      </c>
      <c r="EJ173" s="8" t="n">
        <v>0</v>
      </c>
      <c r="EK173" s="8" t="n">
        <v>0</v>
      </c>
      <c r="EL173" s="8" t="n">
        <v>0</v>
      </c>
      <c r="EM173" s="8" t="n">
        <v>0</v>
      </c>
      <c r="EN173" s="8" t="n">
        <v>0</v>
      </c>
      <c r="EO173" s="8" t="n">
        <v>0</v>
      </c>
      <c r="EP173" s="8" t="n">
        <v>0</v>
      </c>
      <c r="EQ173" s="8" t="n">
        <v>0</v>
      </c>
      <c r="ER173" s="8" t="n">
        <v>0</v>
      </c>
      <c r="ES173" s="8" t="n">
        <v>0</v>
      </c>
      <c r="ET173" s="8" t="n">
        <v>0</v>
      </c>
      <c r="EU173" s="8" t="n">
        <v>0</v>
      </c>
      <c r="EV173" s="8" t="n">
        <v>0</v>
      </c>
      <c r="EW173" s="8" t="n">
        <v>0</v>
      </c>
      <c r="EX173" s="8" t="n">
        <v>0</v>
      </c>
      <c r="EY173" s="8" t="n">
        <v>0</v>
      </c>
      <c r="EZ173" s="8" t="n">
        <v>0</v>
      </c>
      <c r="FA173" s="8" t="n">
        <v>0</v>
      </c>
      <c r="FB173" s="8" t="n">
        <v>0</v>
      </c>
      <c r="FC173" s="8" t="n">
        <v>0</v>
      </c>
      <c r="FD173" s="8" t="n">
        <v>0</v>
      </c>
      <c r="FE173" s="8" t="n">
        <v>0</v>
      </c>
      <c r="FF173" s="8" t="n">
        <v>0</v>
      </c>
      <c r="FG173" s="9">
        <f>SUM(DW173,DX173,DY173,DZ173,EA173,EB173,EC173,ED173,EE173,EF173,EG173,EH173,EI173,EJ173,EK173,EL173,EM173,EN173,EO173,EP173,EQ173,ER173,ES173,ET173,EU173,EV173,EW173,EX173,EY173,EZ173,FA173,FB173,FC173,FD173,FE173,FF173)</f>
        <v/>
      </c>
      <c r="FH173" s="8" t="n">
        <v>0</v>
      </c>
      <c r="FI173" s="8" t="n">
        <v>0</v>
      </c>
      <c r="FJ173" s="8" t="n">
        <v>8</v>
      </c>
      <c r="FK173" s="8" t="n">
        <v>0</v>
      </c>
      <c r="FL173" s="8" t="n">
        <v>0</v>
      </c>
      <c r="FM173" s="8" t="n">
        <v>0</v>
      </c>
      <c r="FN173" s="8" t="n">
        <v>0</v>
      </c>
      <c r="FO173" s="8" t="n">
        <v>0</v>
      </c>
      <c r="FP173" s="8" t="n">
        <v>0</v>
      </c>
      <c r="FQ173" s="9">
        <f>FL173+FM173+FN173+FO173+FP173</f>
        <v/>
      </c>
      <c r="FR173" s="8" t="n">
        <v>0</v>
      </c>
      <c r="FS173" s="8" t="n">
        <v>0</v>
      </c>
      <c r="FT173" s="8" t="n">
        <v>0</v>
      </c>
      <c r="FU173" s="8" t="n">
        <v>0</v>
      </c>
      <c r="FV173" s="9">
        <f>FR173+FS173+FT173+FU173</f>
        <v/>
      </c>
      <c r="FW173" s="8" t="n">
        <v>1671088.909999999</v>
      </c>
      <c r="FX173" s="8" t="n">
        <v>266</v>
      </c>
      <c r="FY173" s="8" t="n">
        <v>396720.23</v>
      </c>
      <c r="FZ173" s="8" t="n">
        <v>71500</v>
      </c>
      <c r="GA173" s="9">
        <f>FW173+FX173+FY173+FZ173</f>
        <v/>
      </c>
      <c r="GB173" s="9">
        <f>FV173+GA173</f>
        <v/>
      </c>
      <c r="GC173" s="8" t="n">
        <v>147101.28</v>
      </c>
      <c r="GD173" s="8" t="n">
        <v>0</v>
      </c>
      <c r="GE173" s="8" t="n">
        <v>0</v>
      </c>
      <c r="GF173" s="8" t="n">
        <v>0</v>
      </c>
      <c r="GG173" s="9">
        <f>GC173+GD173+GE173+GF173</f>
        <v/>
      </c>
      <c r="GH173" s="8" t="n">
        <v>0</v>
      </c>
      <c r="GI173" s="8" t="n">
        <v>0</v>
      </c>
      <c r="GJ173" s="8" t="n">
        <v>0</v>
      </c>
      <c r="GK173" s="8" t="n">
        <v>0</v>
      </c>
      <c r="GL173" s="9">
        <f>GH173+GI173+GJ173+GK173</f>
        <v/>
      </c>
      <c r="GM173" s="9">
        <f>GG173+GL173</f>
        <v/>
      </c>
      <c r="GN173" s="8" t="n">
        <v>11893.25</v>
      </c>
      <c r="GO173" s="8" t="n">
        <v>0</v>
      </c>
      <c r="GP173" s="8" t="n">
        <v>0</v>
      </c>
      <c r="GQ173" s="8" t="n">
        <v>0</v>
      </c>
      <c r="GR173" s="9">
        <f>GN173+GO173+GP173+GQ173</f>
        <v/>
      </c>
      <c r="GS173" s="8" t="n">
        <v>18753</v>
      </c>
      <c r="GT173" s="8" t="n">
        <v>0</v>
      </c>
      <c r="GU173" s="8" t="n">
        <v>0</v>
      </c>
      <c r="GV173" s="8" t="n">
        <v>0</v>
      </c>
      <c r="GW173" s="9">
        <f>GS173+GT173+GU173+GV173</f>
        <v/>
      </c>
      <c r="GX173" s="9">
        <f>GM173+GR173+GW173</f>
        <v/>
      </c>
      <c r="GY173" s="8" t="n">
        <v>16696860.63</v>
      </c>
      <c r="GZ173" s="8" t="n">
        <v>6094751.91</v>
      </c>
      <c r="HA173" s="9">
        <f>GY173+GZ173</f>
        <v/>
      </c>
      <c r="HB173" s="9">
        <f>IF(GX173=0,"",AU173/GX173)</f>
        <v/>
      </c>
      <c r="HC173" s="10">
        <f>IF((GX173+GY173)=0,"",GB173/(GX173+GY173))</f>
        <v/>
      </c>
      <c r="HD173" s="9">
        <f>IF(GX173=0,"",GB173/GX173)</f>
        <v/>
      </c>
      <c r="HE173" s="8" t="n">
        <v>3</v>
      </c>
      <c r="HF173" s="8" t="n">
        <v>1</v>
      </c>
      <c r="HG173" s="8" t="n">
        <v>3</v>
      </c>
      <c r="HH173" s="8" t="n">
        <v>3</v>
      </c>
      <c r="HI173" s="8" t="n">
        <v>30</v>
      </c>
      <c r="HJ173" s="9">
        <f>HF173+HI173</f>
        <v/>
      </c>
      <c r="HK173" s="10">
        <f>IF(HE173=0,"",HH173/HE173)</f>
        <v/>
      </c>
      <c r="HL173" s="8" t="n">
        <v>7</v>
      </c>
      <c r="HM173" s="8" t="n">
        <v>2</v>
      </c>
      <c r="HN173" s="11">
        <f>IF(HL173=0,"",HM173/HL173)</f>
        <v/>
      </c>
    </row>
    <row r="174">
      <c r="A174" s="12" t="inlineStr">
        <is>
          <t>Mulanje</t>
        </is>
      </c>
      <c r="B174" s="12" t="inlineStr">
        <is>
          <t>Nkando</t>
        </is>
      </c>
      <c r="C174" s="13" t="inlineStr">
        <is>
          <t>FY2025/26</t>
        </is>
      </c>
      <c r="D174" s="13" t="n">
        <v>2025</v>
      </c>
      <c r="E174" s="13" t="n">
        <v>7</v>
      </c>
      <c r="F174" s="13" t="inlineStr">
        <is>
          <t>July</t>
        </is>
      </c>
      <c r="G174" s="13" t="inlineStr">
        <is>
          <t>Q2</t>
        </is>
      </c>
      <c r="H174" s="14" t="n">
        <v>1650</v>
      </c>
      <c r="I174" s="14" t="n">
        <v>193</v>
      </c>
      <c r="J174" s="14" t="n">
        <v>0</v>
      </c>
      <c r="K174" s="14" t="n">
        <v>0</v>
      </c>
      <c r="L174" s="14" t="n">
        <v>30</v>
      </c>
      <c r="M174" s="15">
        <f>SUM(I174,J174,K174,L174)</f>
        <v/>
      </c>
      <c r="N174" s="14" t="n">
        <v>1068.5</v>
      </c>
      <c r="O174" s="14" t="n">
        <v>25</v>
      </c>
      <c r="P174" s="14" t="n">
        <v>80</v>
      </c>
      <c r="Q174" s="14" t="n">
        <v>39</v>
      </c>
      <c r="R174" s="15">
        <f>SUM(N174,O174,P174,Q174)</f>
        <v/>
      </c>
      <c r="S174" s="15">
        <f>M174+R174</f>
        <v/>
      </c>
      <c r="T174" s="14" t="n">
        <v>214.5</v>
      </c>
      <c r="U174" s="16">
        <f>IF(H174=0,"",T174/H174)</f>
        <v/>
      </c>
      <c r="V174" s="14" t="n">
        <v>1</v>
      </c>
      <c r="W174" s="17">
        <f>IF(H174=0,"",V174/H174)</f>
        <v/>
      </c>
      <c r="X174" s="14" t="n">
        <v>0</v>
      </c>
      <c r="Y174" s="17">
        <f>IF(H174=0,"",X174/H174)</f>
        <v/>
      </c>
      <c r="Z174" s="14" t="n">
        <v>0</v>
      </c>
      <c r="AA174" s="17">
        <f>IF(H174=0,"",Z174/H174)</f>
        <v/>
      </c>
      <c r="AB174" s="14" t="n">
        <v>0</v>
      </c>
      <c r="AC174" s="17">
        <f>IF(H174=0,"",AB174/H174)</f>
        <v/>
      </c>
      <c r="AD174" s="14" t="n">
        <v>0</v>
      </c>
      <c r="AE174" s="17">
        <f>IF(H174=0,"",AD174/H174)</f>
        <v/>
      </c>
      <c r="AF174" s="14" t="n">
        <v>0</v>
      </c>
      <c r="AG174" s="17">
        <f>IF(H174=0,"",AF174/H174)</f>
        <v/>
      </c>
      <c r="AH174" s="14" t="n">
        <v>5111.67</v>
      </c>
      <c r="AI174" s="15">
        <f>IF(H174=0,"",AH174/H174)</f>
        <v/>
      </c>
      <c r="AJ174" s="14" t="n">
        <v>1970</v>
      </c>
      <c r="AK174" s="17">
        <f>IF(H174=0,"",AJ174/H174)</f>
        <v/>
      </c>
      <c r="AL174" s="14" t="n">
        <v>289766.955</v>
      </c>
      <c r="AM174" s="15">
        <f>IF(H174=0,"",AL174/H174)</f>
        <v/>
      </c>
      <c r="AN174" s="14" t="n">
        <v>0</v>
      </c>
      <c r="AO174" s="14" t="n">
        <v>0</v>
      </c>
      <c r="AP174" s="14" t="n">
        <v>0</v>
      </c>
      <c r="AQ174" s="14" t="n">
        <v>0</v>
      </c>
      <c r="AR174" s="14" t="n">
        <v>0</v>
      </c>
      <c r="AS174" s="14" t="n">
        <v>833539.52</v>
      </c>
      <c r="AT174" s="14" t="n">
        <v>431062.5</v>
      </c>
      <c r="AU174" s="15">
        <f>AH174+AL174+AP174+AQ174+AR174+AS174+AT174</f>
        <v/>
      </c>
      <c r="AV174" s="15">
        <f>IF(H174=0,"",AU174/H174)</f>
        <v/>
      </c>
      <c r="AW174" s="15">
        <f>IF(S174=0,"",AU174/S174)</f>
        <v/>
      </c>
      <c r="AX174" s="14" t="n">
        <v>5</v>
      </c>
      <c r="AY174" s="15">
        <f>IF(H174=0,"",AX174/(H174/1000/12))</f>
        <v/>
      </c>
      <c r="AZ174" s="14" t="n">
        <v>2</v>
      </c>
      <c r="BA174" s="14" t="n">
        <v>3</v>
      </c>
      <c r="BB174" s="14" t="n">
        <v>3</v>
      </c>
      <c r="BC174" s="14" t="n">
        <v>0</v>
      </c>
      <c r="BD174" s="14" t="n">
        <v>0</v>
      </c>
      <c r="BE174" s="15">
        <f>BC174+BD174</f>
        <v/>
      </c>
      <c r="BF174" s="15">
        <f>BA174+BB174-BE174</f>
        <v/>
      </c>
      <c r="BG174" s="14" t="n">
        <v>0</v>
      </c>
      <c r="BH174" s="14" t="n">
        <v>0</v>
      </c>
      <c r="BI174" s="14" t="n">
        <v>0</v>
      </c>
      <c r="BJ174" s="14" t="n">
        <v>0</v>
      </c>
      <c r="BK174" s="15">
        <f>BI174+BJ174</f>
        <v/>
      </c>
      <c r="BL174" s="15">
        <f>BG174+BH174-BK174</f>
        <v/>
      </c>
      <c r="BM174" s="14" t="n">
        <v>0</v>
      </c>
      <c r="BN174" s="14" t="n">
        <v>0</v>
      </c>
      <c r="BO174" s="14" t="n">
        <v>0</v>
      </c>
      <c r="BP174" s="14" t="n">
        <v>0</v>
      </c>
      <c r="BQ174" s="15">
        <f>BO174+BP174</f>
        <v/>
      </c>
      <c r="BR174" s="15">
        <f>BM174+BN174-BQ174</f>
        <v/>
      </c>
      <c r="BS174" s="14" t="n">
        <v>0</v>
      </c>
      <c r="BT174" s="14" t="n">
        <v>0</v>
      </c>
      <c r="BU174" s="14" t="n">
        <v>0</v>
      </c>
      <c r="BV174" s="14" t="n">
        <v>0</v>
      </c>
      <c r="BW174" s="15">
        <f>BU174+BV174</f>
        <v/>
      </c>
      <c r="BX174" s="15">
        <f>BS174+BT174-BW174</f>
        <v/>
      </c>
      <c r="BY174" s="15">
        <f>BA174+BG174+BM174+BS174</f>
        <v/>
      </c>
      <c r="BZ174" s="15">
        <f>BB174+BH174+BN174+BT174</f>
        <v/>
      </c>
      <c r="CA174" s="15">
        <f>BE174+BK174+BQ174+BW174</f>
        <v/>
      </c>
      <c r="CB174" s="15">
        <f>BF174+BL174+BR174+BX174</f>
        <v/>
      </c>
      <c r="CC174" s="14" t="n">
        <v>0</v>
      </c>
      <c r="CD174" s="14" t="n">
        <v>13</v>
      </c>
      <c r="CE174" s="14" t="n">
        <v>5</v>
      </c>
      <c r="CF174" s="14" t="n">
        <v>5</v>
      </c>
      <c r="CG174" s="14" t="n">
        <v>11</v>
      </c>
      <c r="CH174" s="15">
        <f>CD174+CE174+CF174+CG174</f>
        <v/>
      </c>
      <c r="CI174" s="14" t="n">
        <v>25</v>
      </c>
      <c r="CJ174" s="14" t="n">
        <v>0</v>
      </c>
      <c r="CK174" s="14" t="n">
        <v>1</v>
      </c>
      <c r="CL174" s="14" t="n">
        <v>0</v>
      </c>
      <c r="CM174" s="15">
        <f>CI174+CJ174+CK174+CL174</f>
        <v/>
      </c>
      <c r="CN174" s="14" t="n">
        <v>188</v>
      </c>
      <c r="CO174" s="14" t="n">
        <v>9</v>
      </c>
      <c r="CP174" s="14" t="n">
        <v>13</v>
      </c>
      <c r="CQ174" s="14" t="n">
        <v>3</v>
      </c>
      <c r="CR174" s="15">
        <f>CN174+CO174+CP174+CQ174</f>
        <v/>
      </c>
      <c r="CS174" s="15">
        <f>CM174+CR174</f>
        <v/>
      </c>
      <c r="CT174" s="14" t="n">
        <v>273</v>
      </c>
      <c r="CU174" s="14" t="n">
        <v>2250</v>
      </c>
      <c r="CV174" s="14" t="n">
        <v>1160</v>
      </c>
      <c r="CW174" s="16">
        <f>IF(CU174=0,"",CV174/CU174)</f>
        <v/>
      </c>
      <c r="CX174" s="14" t="n">
        <v>0</v>
      </c>
      <c r="CY174" s="14" t="n">
        <v>0</v>
      </c>
      <c r="CZ174" s="14" t="n">
        <v>0</v>
      </c>
      <c r="DA174" s="14" t="n">
        <v>0</v>
      </c>
      <c r="DB174" s="15">
        <f>CX174+CY174-CZ174-DA174</f>
        <v/>
      </c>
      <c r="DC174" s="14" t="n">
        <v>0</v>
      </c>
      <c r="DD174" s="14" t="n">
        <v>0</v>
      </c>
      <c r="DE174" s="14" t="n">
        <v>0</v>
      </c>
      <c r="DF174" s="14" t="n">
        <v>0</v>
      </c>
      <c r="DG174" s="15">
        <f>DC174+DD174-DE174-DF174</f>
        <v/>
      </c>
      <c r="DH174" s="14" t="n">
        <v>0</v>
      </c>
      <c r="DI174" s="14" t="n">
        <v>0</v>
      </c>
      <c r="DJ174" s="14" t="n">
        <v>0</v>
      </c>
      <c r="DK174" s="14" t="n">
        <v>0</v>
      </c>
      <c r="DL174" s="15">
        <f>DH174+DI174-DJ174-DK174</f>
        <v/>
      </c>
      <c r="DM174" s="14" t="n">
        <v>0</v>
      </c>
      <c r="DN174" s="14" t="n">
        <v>0</v>
      </c>
      <c r="DO174" s="14" t="n">
        <v>0</v>
      </c>
      <c r="DP174" s="14" t="n">
        <v>0</v>
      </c>
      <c r="DQ174" s="15">
        <f>DM174+DN174-DO174-DP174</f>
        <v/>
      </c>
      <c r="DR174" s="15">
        <f>CX174+DC174+DH174+DM174</f>
        <v/>
      </c>
      <c r="DS174" s="15">
        <f>CY174+DD174+DI174+DN174</f>
        <v/>
      </c>
      <c r="DT174" s="15">
        <f>CZ174+DE174+DJ174+DO174</f>
        <v/>
      </c>
      <c r="DU174" s="15">
        <f>DA174+DF174+DK174+DP174</f>
        <v/>
      </c>
      <c r="DV174" s="15">
        <f>DB174+DG174+DL174+DQ174</f>
        <v/>
      </c>
      <c r="DW174" s="14" t="n">
        <v>3</v>
      </c>
      <c r="DX174" s="14" t="n">
        <v>2</v>
      </c>
      <c r="DY174" s="14" t="n">
        <v>0</v>
      </c>
      <c r="DZ174" s="14" t="n">
        <v>0</v>
      </c>
      <c r="EA174" s="14" t="n">
        <v>0</v>
      </c>
      <c r="EB174" s="14" t="n">
        <v>0</v>
      </c>
      <c r="EC174" s="14" t="n">
        <v>0</v>
      </c>
      <c r="ED174" s="14" t="n">
        <v>0</v>
      </c>
      <c r="EE174" s="14" t="n">
        <v>0</v>
      </c>
      <c r="EF174" s="14" t="n">
        <v>0</v>
      </c>
      <c r="EG174" s="14" t="n">
        <v>0</v>
      </c>
      <c r="EH174" s="14" t="n">
        <v>0</v>
      </c>
      <c r="EI174" s="14" t="n">
        <v>0</v>
      </c>
      <c r="EJ174" s="14" t="n">
        <v>0</v>
      </c>
      <c r="EK174" s="14" t="n">
        <v>0</v>
      </c>
      <c r="EL174" s="14" t="n">
        <v>0</v>
      </c>
      <c r="EM174" s="14" t="n">
        <v>0</v>
      </c>
      <c r="EN174" s="14" t="n">
        <v>0</v>
      </c>
      <c r="EO174" s="14" t="n">
        <v>0</v>
      </c>
      <c r="EP174" s="14" t="n">
        <v>0</v>
      </c>
      <c r="EQ174" s="14" t="n">
        <v>0</v>
      </c>
      <c r="ER174" s="14" t="n">
        <v>0</v>
      </c>
      <c r="ES174" s="14" t="n">
        <v>0</v>
      </c>
      <c r="ET174" s="14" t="n">
        <v>0</v>
      </c>
      <c r="EU174" s="14" t="n">
        <v>0</v>
      </c>
      <c r="EV174" s="14" t="n">
        <v>0</v>
      </c>
      <c r="EW174" s="14" t="n">
        <v>0</v>
      </c>
      <c r="EX174" s="14" t="n">
        <v>0</v>
      </c>
      <c r="EY174" s="14" t="n">
        <v>0</v>
      </c>
      <c r="EZ174" s="14" t="n">
        <v>0</v>
      </c>
      <c r="FA174" s="14" t="n">
        <v>0</v>
      </c>
      <c r="FB174" s="14" t="n">
        <v>0</v>
      </c>
      <c r="FC174" s="14" t="n">
        <v>0</v>
      </c>
      <c r="FD174" s="14" t="n">
        <v>0</v>
      </c>
      <c r="FE174" s="14" t="n">
        <v>0</v>
      </c>
      <c r="FF174" s="14" t="n">
        <v>0</v>
      </c>
      <c r="FG174" s="15">
        <f>SUM(DW174,DX174,DY174,DZ174,EA174,EB174,EC174,ED174,EE174,EF174,EG174,EH174,EI174,EJ174,EK174,EL174,EM174,EN174,EO174,EP174,EQ174,ER174,ES174,ET174,EU174,EV174,EW174,EX174,EY174,EZ174,FA174,FB174,FC174,FD174,FE174,FF174)</f>
        <v/>
      </c>
      <c r="FH174" s="14" t="n">
        <v>0</v>
      </c>
      <c r="FI174" s="14" t="n">
        <v>0</v>
      </c>
      <c r="FJ174" s="14" t="n">
        <v>8</v>
      </c>
      <c r="FK174" s="14" t="n">
        <v>0</v>
      </c>
      <c r="FL174" s="14" t="n">
        <v>0</v>
      </c>
      <c r="FM174" s="14" t="n">
        <v>0</v>
      </c>
      <c r="FN174" s="14" t="n">
        <v>0</v>
      </c>
      <c r="FO174" s="14" t="n">
        <v>0</v>
      </c>
      <c r="FP174" s="14" t="n">
        <v>0</v>
      </c>
      <c r="FQ174" s="15">
        <f>FL174+FM174+FN174+FO174+FP174</f>
        <v/>
      </c>
      <c r="FR174" s="14" t="n">
        <v>102000</v>
      </c>
      <c r="FS174" s="14" t="n">
        <v>0</v>
      </c>
      <c r="FT174" s="14" t="n">
        <v>0</v>
      </c>
      <c r="FU174" s="14" t="n">
        <v>75867.22</v>
      </c>
      <c r="FV174" s="15">
        <f>FR174+FS174+FT174+FU174</f>
        <v/>
      </c>
      <c r="FW174" s="14" t="n">
        <v>2204308</v>
      </c>
      <c r="FX174" s="14" t="n">
        <v>5400</v>
      </c>
      <c r="FY174" s="14" t="n">
        <v>333500</v>
      </c>
      <c r="FZ174" s="14" t="n">
        <v>246200</v>
      </c>
      <c r="GA174" s="15">
        <f>FW174+FX174+FY174+FZ174</f>
        <v/>
      </c>
      <c r="GB174" s="15">
        <f>FV174+GA174</f>
        <v/>
      </c>
      <c r="GC174" s="14" t="n">
        <v>167025.01</v>
      </c>
      <c r="GD174" s="14" t="n">
        <v>167025.01</v>
      </c>
      <c r="GE174" s="14" t="n">
        <v>0</v>
      </c>
      <c r="GF174" s="14" t="n">
        <v>124176.13</v>
      </c>
      <c r="GG174" s="15">
        <f>GC174+GD174+GE174+GF174</f>
        <v/>
      </c>
      <c r="GH174" s="14" t="n">
        <v>291201.14</v>
      </c>
      <c r="GI174" s="14" t="n">
        <v>0</v>
      </c>
      <c r="GJ174" s="14" t="n">
        <v>0</v>
      </c>
      <c r="GK174" s="14" t="n">
        <v>0</v>
      </c>
      <c r="GL174" s="15">
        <f>GH174+GI174+GJ174+GK174</f>
        <v/>
      </c>
      <c r="GM174" s="15">
        <f>GG174+GL174</f>
        <v/>
      </c>
      <c r="GN174" s="14" t="n">
        <v>14072.97</v>
      </c>
      <c r="GO174" s="14" t="n">
        <v>14072.97</v>
      </c>
      <c r="GP174" s="14" t="n">
        <v>0</v>
      </c>
      <c r="GQ174" s="14" t="n">
        <v>4637.34</v>
      </c>
      <c r="GR174" s="15">
        <f>GN174+GO174+GP174+GQ174</f>
        <v/>
      </c>
      <c r="GS174" s="14" t="n">
        <v>22325</v>
      </c>
      <c r="GT174" s="14" t="n">
        <v>22325</v>
      </c>
      <c r="GU174" s="14" t="n">
        <v>0</v>
      </c>
      <c r="GV174" s="14" t="n">
        <v>893</v>
      </c>
      <c r="GW174" s="15">
        <f>GS174+GT174+GU174+GV174</f>
        <v/>
      </c>
      <c r="GX174" s="15">
        <f>GM174+GR174+GW174</f>
        <v/>
      </c>
      <c r="GY174" s="14" t="n">
        <v>16852122.86</v>
      </c>
      <c r="GZ174" s="14" t="n">
        <v>6094751.91</v>
      </c>
      <c r="HA174" s="15">
        <f>GY174+GZ174</f>
        <v/>
      </c>
      <c r="HB174" s="15">
        <f>IF(GX174=0,"",AU174/GX174)</f>
        <v/>
      </c>
      <c r="HC174" s="16">
        <f>IF((GX174+GY174)=0,"",GB174/(GX174+GY174))</f>
        <v/>
      </c>
      <c r="HD174" s="15">
        <f>IF(GX174=0,"",GB174/GX174)</f>
        <v/>
      </c>
      <c r="HE174" s="14" t="n">
        <v>3</v>
      </c>
      <c r="HF174" s="14" t="n">
        <v>1</v>
      </c>
      <c r="HG174" s="14" t="n">
        <v>6</v>
      </c>
      <c r="HH174" s="14" t="n">
        <v>3</v>
      </c>
      <c r="HI174" s="14" t="n">
        <v>30</v>
      </c>
      <c r="HJ174" s="15">
        <f>HF174+HI174</f>
        <v/>
      </c>
      <c r="HK174" s="16">
        <f>IF(HE174=0,"",HH174/HE174)</f>
        <v/>
      </c>
      <c r="HL174" s="14" t="n">
        <v>9</v>
      </c>
      <c r="HM174" s="14" t="n">
        <v>5</v>
      </c>
      <c r="HN174" s="17">
        <f>IF(HL174=0,"",HM174/HL174)</f>
        <v/>
      </c>
    </row>
    <row r="175">
      <c r="A175" s="6" t="inlineStr">
        <is>
          <t>Mulanje</t>
        </is>
      </c>
      <c r="B175" s="6" t="inlineStr">
        <is>
          <t>Nkando</t>
        </is>
      </c>
      <c r="C175" s="7" t="inlineStr">
        <is>
          <t>FY2025/26</t>
        </is>
      </c>
      <c r="D175" s="7" t="n">
        <v>2025</v>
      </c>
      <c r="E175" s="7" t="n">
        <v>8</v>
      </c>
      <c r="F175" s="7" t="inlineStr">
        <is>
          <t>August</t>
        </is>
      </c>
      <c r="G175" s="7" t="inlineStr">
        <is>
          <t>Q2</t>
        </is>
      </c>
      <c r="H175" s="8" t="n">
        <v>1820</v>
      </c>
      <c r="I175" s="8" t="n">
        <v>214</v>
      </c>
      <c r="J175" s="8" t="n">
        <v>0</v>
      </c>
      <c r="K175" s="8" t="n">
        <v>4</v>
      </c>
      <c r="L175" s="8" t="n">
        <v>35</v>
      </c>
      <c r="M175" s="9">
        <f>SUM(I175,J175,K175,L175)</f>
        <v/>
      </c>
      <c r="N175" s="8" t="n">
        <v>1193.7</v>
      </c>
      <c r="O175" s="8" t="n">
        <v>0</v>
      </c>
      <c r="P175" s="8" t="n">
        <v>41.3</v>
      </c>
      <c r="Q175" s="8" t="n">
        <v>31</v>
      </c>
      <c r="R175" s="9">
        <f>SUM(N175,O175,P175,Q175)</f>
        <v/>
      </c>
      <c r="S175" s="9">
        <f>M175+R175</f>
        <v/>
      </c>
      <c r="T175" s="8" t="n">
        <v>301</v>
      </c>
      <c r="U175" s="10">
        <f>IF(H175=0,"",T175/H175)</f>
        <v/>
      </c>
      <c r="V175" s="8" t="n">
        <v>1</v>
      </c>
      <c r="W175" s="11">
        <f>IF(H175=0,"",V175/H175)</f>
        <v/>
      </c>
      <c r="X175" s="8" t="n">
        <v>0</v>
      </c>
      <c r="Y175" s="11">
        <f>IF(H175=0,"",X175/H175)</f>
        <v/>
      </c>
      <c r="Z175" s="8" t="n">
        <v>0</v>
      </c>
      <c r="AA175" s="11">
        <f>IF(H175=0,"",Z175/H175)</f>
        <v/>
      </c>
      <c r="AB175" s="8" t="n">
        <v>0</v>
      </c>
      <c r="AC175" s="11">
        <f>IF(H175=0,"",AB175/H175)</f>
        <v/>
      </c>
      <c r="AD175" s="8" t="n">
        <v>0</v>
      </c>
      <c r="AE175" s="11">
        <f>IF(H175=0,"",AD175/H175)</f>
        <v/>
      </c>
      <c r="AF175" s="8" t="n">
        <v>0</v>
      </c>
      <c r="AG175" s="11">
        <f>IF(H175=0,"",AF175/H175)</f>
        <v/>
      </c>
      <c r="AH175" s="8" t="n">
        <v>5111.67</v>
      </c>
      <c r="AI175" s="9">
        <f>IF(H175=0,"",AH175/H175)</f>
        <v/>
      </c>
      <c r="AJ175" s="8" t="n">
        <v>1765</v>
      </c>
      <c r="AK175" s="11">
        <f>IF(H175=0,"",AJ175/H175)</f>
        <v/>
      </c>
      <c r="AL175" s="8" t="n">
        <v>261322.8975</v>
      </c>
      <c r="AM175" s="9">
        <f>IF(H175=0,"",AL175/H175)</f>
        <v/>
      </c>
      <c r="AN175" s="8" t="n">
        <v>0</v>
      </c>
      <c r="AO175" s="8" t="n">
        <v>0</v>
      </c>
      <c r="AP175" s="8" t="n">
        <v>0</v>
      </c>
      <c r="AQ175" s="8" t="n">
        <v>0</v>
      </c>
      <c r="AR175" s="8" t="n">
        <v>0</v>
      </c>
      <c r="AS175" s="8" t="n">
        <v>935308.88</v>
      </c>
      <c r="AT175" s="8" t="n">
        <v>0</v>
      </c>
      <c r="AU175" s="9">
        <f>AH175+AL175+AP175+AQ175+AR175+AS175+AT175</f>
        <v/>
      </c>
      <c r="AV175" s="9">
        <f>IF(H175=0,"",AU175/H175)</f>
        <v/>
      </c>
      <c r="AW175" s="9">
        <f>IF(S175=0,"",AU175/S175)</f>
        <v/>
      </c>
      <c r="AX175" s="8" t="n">
        <v>5</v>
      </c>
      <c r="AY175" s="9">
        <f>IF(H175=0,"",AX175/(H175/1000/12))</f>
        <v/>
      </c>
      <c r="AZ175" s="8" t="n">
        <v>2</v>
      </c>
      <c r="BA175" s="8" t="n">
        <v>6</v>
      </c>
      <c r="BB175" s="8" t="n">
        <v>5</v>
      </c>
      <c r="BC175" s="8" t="n">
        <v>0</v>
      </c>
      <c r="BD175" s="8" t="n">
        <v>0</v>
      </c>
      <c r="BE175" s="9">
        <f>BC175+BD175</f>
        <v/>
      </c>
      <c r="BF175" s="9">
        <f>BA175+BB175-BE175</f>
        <v/>
      </c>
      <c r="BG175" s="8" t="n">
        <v>0</v>
      </c>
      <c r="BH175" s="8" t="n">
        <v>0</v>
      </c>
      <c r="BI175" s="8" t="n">
        <v>0</v>
      </c>
      <c r="BJ175" s="8" t="n">
        <v>0</v>
      </c>
      <c r="BK175" s="9">
        <f>BI175+BJ175</f>
        <v/>
      </c>
      <c r="BL175" s="9">
        <f>BG175+BH175-BK175</f>
        <v/>
      </c>
      <c r="BM175" s="8" t="n">
        <v>0</v>
      </c>
      <c r="BN175" s="8" t="n">
        <v>0</v>
      </c>
      <c r="BO175" s="8" t="n">
        <v>0</v>
      </c>
      <c r="BP175" s="8" t="n">
        <v>0</v>
      </c>
      <c r="BQ175" s="9">
        <f>BO175+BP175</f>
        <v/>
      </c>
      <c r="BR175" s="9">
        <f>BM175+BN175-BQ175</f>
        <v/>
      </c>
      <c r="BS175" s="8" t="n">
        <v>0</v>
      </c>
      <c r="BT175" s="8" t="n">
        <v>0</v>
      </c>
      <c r="BU175" s="8" t="n">
        <v>0</v>
      </c>
      <c r="BV175" s="8" t="n">
        <v>0</v>
      </c>
      <c r="BW175" s="9">
        <f>BU175+BV175</f>
        <v/>
      </c>
      <c r="BX175" s="9">
        <f>BS175+BT175-BW175</f>
        <v/>
      </c>
      <c r="BY175" s="9">
        <f>BA175+BG175+BM175+BS175</f>
        <v/>
      </c>
      <c r="BZ175" s="9">
        <f>BB175+BH175+BN175+BT175</f>
        <v/>
      </c>
      <c r="CA175" s="9">
        <f>BE175+BK175+BQ175+BW175</f>
        <v/>
      </c>
      <c r="CB175" s="9">
        <f>BF175+BL175+BR175+BX175</f>
        <v/>
      </c>
      <c r="CC175" s="8" t="n">
        <v>0</v>
      </c>
      <c r="CD175" s="8" t="n">
        <v>13</v>
      </c>
      <c r="CE175" s="8" t="n">
        <v>5</v>
      </c>
      <c r="CF175" s="8" t="n">
        <v>5</v>
      </c>
      <c r="CG175" s="8" t="n">
        <v>11</v>
      </c>
      <c r="CH175" s="9">
        <f>CD175+CE175+CF175+CG175</f>
        <v/>
      </c>
      <c r="CI175" s="8" t="n">
        <v>27</v>
      </c>
      <c r="CJ175" s="8" t="n">
        <v>1</v>
      </c>
      <c r="CK175" s="8" t="n">
        <v>1</v>
      </c>
      <c r="CL175" s="8" t="n">
        <v>0</v>
      </c>
      <c r="CM175" s="9">
        <f>CI175+CJ175+CK175+CL175</f>
        <v/>
      </c>
      <c r="CN175" s="8" t="n">
        <v>186</v>
      </c>
      <c r="CO175" s="8" t="n">
        <v>8</v>
      </c>
      <c r="CP175" s="8" t="n">
        <v>13</v>
      </c>
      <c r="CQ175" s="8" t="n">
        <v>3</v>
      </c>
      <c r="CR175" s="9">
        <f>CN175+CO175+CP175+CQ175</f>
        <v/>
      </c>
      <c r="CS175" s="9">
        <f>CM175+CR175</f>
        <v/>
      </c>
      <c r="CT175" s="8" t="n">
        <v>273</v>
      </c>
      <c r="CU175" s="8" t="n">
        <v>2250</v>
      </c>
      <c r="CV175" s="8" t="n">
        <v>1160</v>
      </c>
      <c r="CW175" s="10">
        <f>IF(CU175=0,"",CV175/CU175)</f>
        <v/>
      </c>
      <c r="CX175" s="8" t="n">
        <v>0</v>
      </c>
      <c r="CY175" s="8" t="n">
        <v>0</v>
      </c>
      <c r="CZ175" s="8" t="n">
        <v>0</v>
      </c>
      <c r="DA175" s="8" t="n">
        <v>0</v>
      </c>
      <c r="DB175" s="9">
        <f>CX175+CY175-CZ175-DA175</f>
        <v/>
      </c>
      <c r="DC175" s="8" t="n">
        <v>0</v>
      </c>
      <c r="DD175" s="8" t="n">
        <v>0</v>
      </c>
      <c r="DE175" s="8" t="n">
        <v>0</v>
      </c>
      <c r="DF175" s="8" t="n">
        <v>0</v>
      </c>
      <c r="DG175" s="9">
        <f>DC175+DD175-DE175-DF175</f>
        <v/>
      </c>
      <c r="DH175" s="8" t="n">
        <v>0</v>
      </c>
      <c r="DI175" s="8" t="n">
        <v>0</v>
      </c>
      <c r="DJ175" s="8" t="n">
        <v>0</v>
      </c>
      <c r="DK175" s="8" t="n">
        <v>0</v>
      </c>
      <c r="DL175" s="9">
        <f>DH175+DI175-DJ175-DK175</f>
        <v/>
      </c>
      <c r="DM175" s="8" t="n">
        <v>0</v>
      </c>
      <c r="DN175" s="8" t="n">
        <v>0</v>
      </c>
      <c r="DO175" s="8" t="n">
        <v>0</v>
      </c>
      <c r="DP175" s="8" t="n">
        <v>0</v>
      </c>
      <c r="DQ175" s="9">
        <f>DM175+DN175-DO175-DP175</f>
        <v/>
      </c>
      <c r="DR175" s="9">
        <f>CX175+DC175+DH175+DM175</f>
        <v/>
      </c>
      <c r="DS175" s="9">
        <f>CY175+DD175+DI175+DN175</f>
        <v/>
      </c>
      <c r="DT175" s="9">
        <f>CZ175+DE175+DJ175+DO175</f>
        <v/>
      </c>
      <c r="DU175" s="9">
        <f>DA175+DF175+DK175+DP175</f>
        <v/>
      </c>
      <c r="DV175" s="9">
        <f>DB175+DG175+DL175+DQ175</f>
        <v/>
      </c>
      <c r="DW175" s="8" t="n">
        <v>1</v>
      </c>
      <c r="DX175" s="8" t="n">
        <v>0</v>
      </c>
      <c r="DY175" s="8" t="n">
        <v>0</v>
      </c>
      <c r="DZ175" s="8" t="n">
        <v>0</v>
      </c>
      <c r="EA175" s="8" t="n">
        <v>0</v>
      </c>
      <c r="EB175" s="8" t="n">
        <v>0</v>
      </c>
      <c r="EC175" s="8" t="n">
        <v>0</v>
      </c>
      <c r="ED175" s="8" t="n">
        <v>0</v>
      </c>
      <c r="EE175" s="8" t="n">
        <v>0</v>
      </c>
      <c r="EF175" s="8" t="n">
        <v>0</v>
      </c>
      <c r="EG175" s="8" t="n">
        <v>0</v>
      </c>
      <c r="EH175" s="8" t="n">
        <v>0</v>
      </c>
      <c r="EI175" s="8" t="n">
        <v>0</v>
      </c>
      <c r="EJ175" s="8" t="n">
        <v>0</v>
      </c>
      <c r="EK175" s="8" t="n">
        <v>0</v>
      </c>
      <c r="EL175" s="8" t="n">
        <v>0</v>
      </c>
      <c r="EM175" s="8" t="n">
        <v>0</v>
      </c>
      <c r="EN175" s="8" t="n">
        <v>0</v>
      </c>
      <c r="EO175" s="8" t="n">
        <v>0</v>
      </c>
      <c r="EP175" s="8" t="n">
        <v>0</v>
      </c>
      <c r="EQ175" s="8" t="n">
        <v>0</v>
      </c>
      <c r="ER175" s="8" t="n">
        <v>0</v>
      </c>
      <c r="ES175" s="8" t="n">
        <v>0</v>
      </c>
      <c r="ET175" s="8" t="n">
        <v>0</v>
      </c>
      <c r="EU175" s="8" t="n">
        <v>0</v>
      </c>
      <c r="EV175" s="8" t="n">
        <v>0</v>
      </c>
      <c r="EW175" s="8" t="n">
        <v>0</v>
      </c>
      <c r="EX175" s="8" t="n">
        <v>0</v>
      </c>
      <c r="EY175" s="8" t="n">
        <v>0</v>
      </c>
      <c r="EZ175" s="8" t="n">
        <v>0</v>
      </c>
      <c r="FA175" s="8" t="n">
        <v>0</v>
      </c>
      <c r="FB175" s="8" t="n">
        <v>0</v>
      </c>
      <c r="FC175" s="8" t="n">
        <v>0</v>
      </c>
      <c r="FD175" s="8" t="n">
        <v>0</v>
      </c>
      <c r="FE175" s="8" t="n">
        <v>0</v>
      </c>
      <c r="FF175" s="8" t="n">
        <v>0</v>
      </c>
      <c r="FG175" s="9">
        <f>SUM(DW175,DX175,DY175,DZ175,EA175,EB175,EC175,ED175,EE175,EF175,EG175,EH175,EI175,EJ175,EK175,EL175,EM175,EN175,EO175,EP175,EQ175,ER175,ES175,ET175,EU175,EV175,EW175,EX175,EY175,EZ175,FA175,FB175,FC175,FD175,FE175,FF175)</f>
        <v/>
      </c>
      <c r="FH175" s="8" t="n">
        <v>0</v>
      </c>
      <c r="FI175" s="8" t="n">
        <v>0</v>
      </c>
      <c r="FJ175" s="8" t="n">
        <v>8</v>
      </c>
      <c r="FK175" s="8" t="n">
        <v>0</v>
      </c>
      <c r="FL175" s="8" t="n">
        <v>0</v>
      </c>
      <c r="FM175" s="8" t="n">
        <v>0</v>
      </c>
      <c r="FN175" s="8" t="n">
        <v>0</v>
      </c>
      <c r="FO175" s="8" t="n">
        <v>0</v>
      </c>
      <c r="FP175" s="8" t="n">
        <v>0</v>
      </c>
      <c r="FQ175" s="9">
        <f>FL175+FM175+FN175+FO175+FP175</f>
        <v/>
      </c>
      <c r="FR175" s="8" t="n">
        <v>0</v>
      </c>
      <c r="FS175" s="8" t="n">
        <v>0</v>
      </c>
      <c r="FT175" s="8" t="n">
        <v>0</v>
      </c>
      <c r="FU175" s="8" t="n">
        <v>0</v>
      </c>
      <c r="FV175" s="9">
        <f>FR175+FS175+FT175+FU175</f>
        <v/>
      </c>
      <c r="FW175" s="8" t="n">
        <v>2293269</v>
      </c>
      <c r="FX175" s="8" t="n">
        <v>127600</v>
      </c>
      <c r="FY175" s="8" t="n">
        <v>181500</v>
      </c>
      <c r="FZ175" s="8" t="n">
        <v>0</v>
      </c>
      <c r="GA175" s="9">
        <f>FW175+FX175+FY175+FZ175</f>
        <v/>
      </c>
      <c r="GB175" s="9">
        <f>FV175+GA175</f>
        <v/>
      </c>
      <c r="GC175" s="8" t="n">
        <v>184962</v>
      </c>
      <c r="GD175" s="8" t="n">
        <v>184962</v>
      </c>
      <c r="GE175" s="8" t="n">
        <v>8410.99</v>
      </c>
      <c r="GF175" s="8" t="n">
        <v>149165.53</v>
      </c>
      <c r="GG175" s="9">
        <f>GC175+GD175+GE175+GF175</f>
        <v/>
      </c>
      <c r="GH175" s="8" t="n">
        <v>342538.52</v>
      </c>
      <c r="GI175" s="8" t="n">
        <v>0</v>
      </c>
      <c r="GJ175" s="8" t="n">
        <v>0</v>
      </c>
      <c r="GK175" s="8" t="n">
        <v>0</v>
      </c>
      <c r="GL175" s="9">
        <f>GH175+GI175+GJ175+GK175</f>
        <v/>
      </c>
      <c r="GM175" s="9">
        <f>GG175+GL175</f>
        <v/>
      </c>
      <c r="GN175" s="8" t="n">
        <v>15162.83</v>
      </c>
      <c r="GO175" s="8" t="n">
        <v>15162.83</v>
      </c>
      <c r="GP175" s="8" t="n">
        <v>3393.64</v>
      </c>
      <c r="GQ175" s="8" t="n">
        <v>4637.34</v>
      </c>
      <c r="GR175" s="9">
        <f>GN175+GO175+GP175+GQ175</f>
        <v/>
      </c>
      <c r="GS175" s="8" t="n">
        <v>24111</v>
      </c>
      <c r="GT175" s="8" t="n">
        <v>24111</v>
      </c>
      <c r="GU175" s="8" t="n">
        <v>893</v>
      </c>
      <c r="GV175" s="8" t="n">
        <v>893</v>
      </c>
      <c r="GW175" s="9">
        <f>GS175+GT175+GU175+GV175</f>
        <v/>
      </c>
      <c r="GX175" s="9">
        <f>GM175+GR175+GW175</f>
        <v/>
      </c>
      <c r="GY175" s="8" t="n">
        <v>17243752.19</v>
      </c>
      <c r="GZ175" s="8" t="n">
        <v>6094751.91</v>
      </c>
      <c r="HA175" s="9">
        <f>GY175+GZ175</f>
        <v/>
      </c>
      <c r="HB175" s="9">
        <f>IF(GX175=0,"",AU175/GX175)</f>
        <v/>
      </c>
      <c r="HC175" s="10">
        <f>IF((GX175+GY175)=0,"",GB175/(GX175+GY175))</f>
        <v/>
      </c>
      <c r="HD175" s="9">
        <f>IF(GX175=0,"",GB175/GX175)</f>
        <v/>
      </c>
      <c r="HE175" s="8" t="n">
        <v>5</v>
      </c>
      <c r="HF175" s="8" t="n">
        <v>1</v>
      </c>
      <c r="HG175" s="8" t="n">
        <v>11</v>
      </c>
      <c r="HH175" s="8" t="n">
        <v>5</v>
      </c>
      <c r="HI175" s="8" t="n">
        <v>30</v>
      </c>
      <c r="HJ175" s="9">
        <f>HF175+HI175</f>
        <v/>
      </c>
      <c r="HK175" s="10">
        <f>IF(HE175=0,"",HH175/HE175)</f>
        <v/>
      </c>
      <c r="HL175" s="8" t="n">
        <v>7</v>
      </c>
      <c r="HM175" s="8" t="n">
        <v>4</v>
      </c>
      <c r="HN175" s="11">
        <f>IF(HL175=0,"",HM175/HL175)</f>
        <v/>
      </c>
    </row>
    <row r="176">
      <c r="A176" s="12" t="inlineStr">
        <is>
          <t>Mulanje</t>
        </is>
      </c>
      <c r="B176" s="12" t="inlineStr">
        <is>
          <t>Nkando</t>
        </is>
      </c>
      <c r="C176" s="13" t="inlineStr">
        <is>
          <t>FY2025/26</t>
        </is>
      </c>
      <c r="D176" s="13" t="n">
        <v>2025</v>
      </c>
      <c r="E176" s="13" t="n">
        <v>9</v>
      </c>
      <c r="F176" s="13" t="inlineStr">
        <is>
          <t>September</t>
        </is>
      </c>
      <c r="G176" s="13" t="inlineStr">
        <is>
          <t>Q2</t>
        </is>
      </c>
      <c r="H176" s="14" t="n">
        <v>1480</v>
      </c>
      <c r="I176" s="14" t="n">
        <v>0</v>
      </c>
      <c r="J176" s="14" t="n">
        <v>0</v>
      </c>
      <c r="K176" s="14" t="n">
        <v>0</v>
      </c>
      <c r="L176" s="14" t="n">
        <v>0</v>
      </c>
      <c r="M176" s="15">
        <f>SUM(I176,J176,K176,L176)</f>
        <v/>
      </c>
      <c r="N176" s="14" t="n">
        <v>1063.9</v>
      </c>
      <c r="O176" s="14" t="n">
        <v>22.2</v>
      </c>
      <c r="P176" s="14" t="n">
        <v>22.2</v>
      </c>
      <c r="Q176" s="14" t="n">
        <v>34</v>
      </c>
      <c r="R176" s="15">
        <f>SUM(N176,O176,P176,Q176)</f>
        <v/>
      </c>
      <c r="S176" s="15">
        <f>M176+R176</f>
        <v/>
      </c>
      <c r="T176" s="14" t="n">
        <v>337.699999999999</v>
      </c>
      <c r="U176" s="16">
        <f>IF(H176=0,"",T176/H176)</f>
        <v/>
      </c>
      <c r="V176" s="14" t="n">
        <v>1</v>
      </c>
      <c r="W176" s="17">
        <f>IF(H176=0,"",V176/H176)</f>
        <v/>
      </c>
      <c r="X176" s="14" t="n">
        <v>0</v>
      </c>
      <c r="Y176" s="17">
        <f>IF(H176=0,"",X176/H176)</f>
        <v/>
      </c>
      <c r="Z176" s="14" t="n">
        <v>0</v>
      </c>
      <c r="AA176" s="17">
        <f>IF(H176=0,"",Z176/H176)</f>
        <v/>
      </c>
      <c r="AB176" s="14" t="n">
        <v>0</v>
      </c>
      <c r="AC176" s="17">
        <f>IF(H176=0,"",AB176/H176)</f>
        <v/>
      </c>
      <c r="AD176" s="14" t="n">
        <v>0</v>
      </c>
      <c r="AE176" s="17">
        <f>IF(H176=0,"",AD176/H176)</f>
        <v/>
      </c>
      <c r="AF176" s="14" t="n">
        <v>0</v>
      </c>
      <c r="AG176" s="17">
        <f>IF(H176=0,"",AF176/H176)</f>
        <v/>
      </c>
      <c r="AH176" s="14" t="n">
        <v>5111.67</v>
      </c>
      <c r="AI176" s="15">
        <f>IF(H176=0,"",AH176/H176)</f>
        <v/>
      </c>
      <c r="AJ176" s="14" t="n">
        <v>1860</v>
      </c>
      <c r="AK176" s="17">
        <f>IF(H176=0,"",AJ176/H176)</f>
        <v/>
      </c>
      <c r="AL176" s="14" t="n">
        <v>274504.29</v>
      </c>
      <c r="AM176" s="15">
        <f>IF(H176=0,"",AL176/H176)</f>
        <v/>
      </c>
      <c r="AN176" s="14" t="n">
        <v>0</v>
      </c>
      <c r="AO176" s="14" t="n">
        <v>0</v>
      </c>
      <c r="AP176" s="14" t="n">
        <v>0</v>
      </c>
      <c r="AQ176" s="14" t="n">
        <v>0</v>
      </c>
      <c r="AR176" s="14" t="n">
        <v>0</v>
      </c>
      <c r="AS176" s="14" t="n">
        <v>925314.88</v>
      </c>
      <c r="AT176" s="14" t="n">
        <v>0</v>
      </c>
      <c r="AU176" s="15">
        <f>AH176+AL176+AP176+AQ176+AR176+AS176+AT176</f>
        <v/>
      </c>
      <c r="AV176" s="15">
        <f>IF(H176=0,"",AU176/H176)</f>
        <v/>
      </c>
      <c r="AW176" s="15">
        <f>IF(S176=0,"",AU176/S176)</f>
        <v/>
      </c>
      <c r="AX176" s="14" t="n">
        <v>5</v>
      </c>
      <c r="AY176" s="15">
        <f>IF(H176=0,"",AX176/(H176/1000/12))</f>
        <v/>
      </c>
      <c r="AZ176" s="14" t="n">
        <v>2</v>
      </c>
      <c r="BA176" s="14" t="n">
        <v>11</v>
      </c>
      <c r="BB176" s="14" t="n">
        <v>0</v>
      </c>
      <c r="BC176" s="14" t="n">
        <v>0</v>
      </c>
      <c r="BD176" s="14" t="n">
        <v>0</v>
      </c>
      <c r="BE176" s="15">
        <f>BC176+BD176</f>
        <v/>
      </c>
      <c r="BF176" s="15">
        <f>BA176+BB176-BE176</f>
        <v/>
      </c>
      <c r="BG176" s="14" t="n">
        <v>0</v>
      </c>
      <c r="BH176" s="14" t="n">
        <v>0</v>
      </c>
      <c r="BI176" s="14" t="n">
        <v>0</v>
      </c>
      <c r="BJ176" s="14" t="n">
        <v>0</v>
      </c>
      <c r="BK176" s="15">
        <f>BI176+BJ176</f>
        <v/>
      </c>
      <c r="BL176" s="15">
        <f>BG176+BH176-BK176</f>
        <v/>
      </c>
      <c r="BM176" s="14" t="n">
        <v>0</v>
      </c>
      <c r="BN176" s="14" t="n">
        <v>0</v>
      </c>
      <c r="BO176" s="14" t="n">
        <v>0</v>
      </c>
      <c r="BP176" s="14" t="n">
        <v>0</v>
      </c>
      <c r="BQ176" s="15">
        <f>BO176+BP176</f>
        <v/>
      </c>
      <c r="BR176" s="15">
        <f>BM176+BN176-BQ176</f>
        <v/>
      </c>
      <c r="BS176" s="14" t="n">
        <v>0</v>
      </c>
      <c r="BT176" s="14" t="n">
        <v>0</v>
      </c>
      <c r="BU176" s="14" t="n">
        <v>0</v>
      </c>
      <c r="BV176" s="14" t="n">
        <v>0</v>
      </c>
      <c r="BW176" s="15">
        <f>BU176+BV176</f>
        <v/>
      </c>
      <c r="BX176" s="15">
        <f>BS176+BT176-BW176</f>
        <v/>
      </c>
      <c r="BY176" s="15">
        <f>BA176+BG176+BM176+BS176</f>
        <v/>
      </c>
      <c r="BZ176" s="15">
        <f>BB176+BH176+BN176+BT176</f>
        <v/>
      </c>
      <c r="CA176" s="15">
        <f>BE176+BK176+BQ176+BW176</f>
        <v/>
      </c>
      <c r="CB176" s="15">
        <f>BF176+BL176+BR176+BX176</f>
        <v/>
      </c>
      <c r="CC176" s="14" t="n">
        <v>0</v>
      </c>
      <c r="CD176" s="14" t="n">
        <v>13</v>
      </c>
      <c r="CE176" s="14" t="n">
        <v>5</v>
      </c>
      <c r="CF176" s="14" t="n">
        <v>5</v>
      </c>
      <c r="CG176" s="14" t="n">
        <v>11</v>
      </c>
      <c r="CH176" s="15">
        <f>CD176+CE176+CF176+CG176</f>
        <v/>
      </c>
      <c r="CI176" s="14" t="n">
        <v>0</v>
      </c>
      <c r="CJ176" s="14" t="n">
        <v>0</v>
      </c>
      <c r="CK176" s="14" t="n">
        <v>0</v>
      </c>
      <c r="CL176" s="14" t="n">
        <v>0</v>
      </c>
      <c r="CM176" s="15">
        <f>CI176+CJ176+CK176+CL176</f>
        <v/>
      </c>
      <c r="CN176" s="14" t="n">
        <v>213</v>
      </c>
      <c r="CO176" s="14" t="n">
        <v>9</v>
      </c>
      <c r="CP176" s="14" t="n">
        <v>14</v>
      </c>
      <c r="CQ176" s="14" t="n">
        <v>3</v>
      </c>
      <c r="CR176" s="15">
        <f>CN176+CO176+CP176+CQ176</f>
        <v/>
      </c>
      <c r="CS176" s="15">
        <f>CM176+CR176</f>
        <v/>
      </c>
      <c r="CT176" s="14" t="n">
        <v>273</v>
      </c>
      <c r="CU176" s="14" t="n">
        <v>2250</v>
      </c>
      <c r="CV176" s="14" t="n">
        <v>1160</v>
      </c>
      <c r="CW176" s="16">
        <f>IF(CU176=0,"",CV176/CU176)</f>
        <v/>
      </c>
      <c r="CX176" s="14" t="n">
        <v>0</v>
      </c>
      <c r="CY176" s="14" t="n">
        <v>0</v>
      </c>
      <c r="CZ176" s="14" t="n">
        <v>0</v>
      </c>
      <c r="DA176" s="14" t="n">
        <v>0</v>
      </c>
      <c r="DB176" s="15">
        <f>CX176+CY176-CZ176-DA176</f>
        <v/>
      </c>
      <c r="DC176" s="14" t="n">
        <v>0</v>
      </c>
      <c r="DD176" s="14" t="n">
        <v>0</v>
      </c>
      <c r="DE176" s="14" t="n">
        <v>0</v>
      </c>
      <c r="DF176" s="14" t="n">
        <v>0</v>
      </c>
      <c r="DG176" s="15">
        <f>DC176+DD176-DE176-DF176</f>
        <v/>
      </c>
      <c r="DH176" s="14" t="n">
        <v>0</v>
      </c>
      <c r="DI176" s="14" t="n">
        <v>0</v>
      </c>
      <c r="DJ176" s="14" t="n">
        <v>0</v>
      </c>
      <c r="DK176" s="14" t="n">
        <v>0</v>
      </c>
      <c r="DL176" s="15">
        <f>DH176+DI176-DJ176-DK176</f>
        <v/>
      </c>
      <c r="DM176" s="14" t="n">
        <v>0</v>
      </c>
      <c r="DN176" s="14" t="n">
        <v>0</v>
      </c>
      <c r="DO176" s="14" t="n">
        <v>0</v>
      </c>
      <c r="DP176" s="14" t="n">
        <v>0</v>
      </c>
      <c r="DQ176" s="15">
        <f>DM176+DN176-DO176-DP176</f>
        <v/>
      </c>
      <c r="DR176" s="15">
        <f>CX176+DC176+DH176+DM176</f>
        <v/>
      </c>
      <c r="DS176" s="15">
        <f>CY176+DD176+DI176+DN176</f>
        <v/>
      </c>
      <c r="DT176" s="15">
        <f>CZ176+DE176+DJ176+DO176</f>
        <v/>
      </c>
      <c r="DU176" s="15">
        <f>DA176+DF176+DK176+DP176</f>
        <v/>
      </c>
      <c r="DV176" s="15">
        <f>DB176+DG176+DL176+DQ176</f>
        <v/>
      </c>
      <c r="DW176" s="14" t="n">
        <v>1</v>
      </c>
      <c r="DX176" s="14" t="n">
        <v>1</v>
      </c>
      <c r="DY176" s="14" t="n">
        <v>1</v>
      </c>
      <c r="DZ176" s="14" t="n">
        <v>0</v>
      </c>
      <c r="EA176" s="14" t="n">
        <v>0</v>
      </c>
      <c r="EB176" s="14" t="n">
        <v>0</v>
      </c>
      <c r="EC176" s="14" t="n">
        <v>0</v>
      </c>
      <c r="ED176" s="14" t="n">
        <v>0</v>
      </c>
      <c r="EE176" s="14" t="n">
        <v>0</v>
      </c>
      <c r="EF176" s="14" t="n">
        <v>0</v>
      </c>
      <c r="EG176" s="14" t="n">
        <v>0</v>
      </c>
      <c r="EH176" s="14" t="n">
        <v>0</v>
      </c>
      <c r="EI176" s="14" t="n">
        <v>0</v>
      </c>
      <c r="EJ176" s="14" t="n">
        <v>0</v>
      </c>
      <c r="EK176" s="14" t="n">
        <v>0</v>
      </c>
      <c r="EL176" s="14" t="n">
        <v>0</v>
      </c>
      <c r="EM176" s="14" t="n">
        <v>0</v>
      </c>
      <c r="EN176" s="14" t="n">
        <v>0</v>
      </c>
      <c r="EO176" s="14" t="n">
        <v>0</v>
      </c>
      <c r="EP176" s="14" t="n">
        <v>0</v>
      </c>
      <c r="EQ176" s="14" t="n">
        <v>0</v>
      </c>
      <c r="ER176" s="14" t="n">
        <v>0</v>
      </c>
      <c r="ES176" s="14" t="n">
        <v>0</v>
      </c>
      <c r="ET176" s="14" t="n">
        <v>0</v>
      </c>
      <c r="EU176" s="14" t="n">
        <v>0</v>
      </c>
      <c r="EV176" s="14" t="n">
        <v>0</v>
      </c>
      <c r="EW176" s="14" t="n">
        <v>0</v>
      </c>
      <c r="EX176" s="14" t="n">
        <v>0</v>
      </c>
      <c r="EY176" s="14" t="n">
        <v>0</v>
      </c>
      <c r="EZ176" s="14" t="n">
        <v>0</v>
      </c>
      <c r="FA176" s="14" t="n">
        <v>0</v>
      </c>
      <c r="FB176" s="14" t="n">
        <v>0</v>
      </c>
      <c r="FC176" s="14" t="n">
        <v>0</v>
      </c>
      <c r="FD176" s="14" t="n">
        <v>0</v>
      </c>
      <c r="FE176" s="14" t="n">
        <v>0</v>
      </c>
      <c r="FF176" s="14" t="n">
        <v>0</v>
      </c>
      <c r="FG176" s="15">
        <f>SUM(DW176,DX176,DY176,DZ176,EA176,EB176,EC176,ED176,EE176,EF176,EG176,EH176,EI176,EJ176,EK176,EL176,EM176,EN176,EO176,EP176,EQ176,ER176,ES176,ET176,EU176,EV176,EW176,EX176,EY176,EZ176,FA176,FB176,FC176,FD176,FE176,FF176)</f>
        <v/>
      </c>
      <c r="FH176" s="14" t="n">
        <v>2</v>
      </c>
      <c r="FI176" s="14" t="n">
        <v>0</v>
      </c>
      <c r="FJ176" s="14" t="n">
        <v>8</v>
      </c>
      <c r="FK176" s="14" t="n">
        <v>0</v>
      </c>
      <c r="FL176" s="14" t="n">
        <v>0</v>
      </c>
      <c r="FM176" s="14" t="n">
        <v>0</v>
      </c>
      <c r="FN176" s="14" t="n">
        <v>0</v>
      </c>
      <c r="FO176" s="14" t="n">
        <v>0</v>
      </c>
      <c r="FP176" s="14" t="n">
        <v>0</v>
      </c>
      <c r="FQ176" s="15">
        <f>FL176+FM176+FN176+FO176+FP176</f>
        <v/>
      </c>
      <c r="FR176" s="14" t="n">
        <v>0</v>
      </c>
      <c r="FS176" s="14" t="n">
        <v>0</v>
      </c>
      <c r="FT176" s="14" t="n">
        <v>0</v>
      </c>
      <c r="FU176" s="14" t="n">
        <v>0</v>
      </c>
      <c r="FV176" s="15">
        <f>FR176+FS176+FT176+FU176</f>
        <v/>
      </c>
      <c r="FW176" s="14" t="n">
        <v>1948827.079999998</v>
      </c>
      <c r="FX176" s="14" t="n">
        <v>7100</v>
      </c>
      <c r="FY176" s="14" t="n">
        <v>191848.32</v>
      </c>
      <c r="FZ176" s="14" t="n">
        <v>65000</v>
      </c>
      <c r="GA176" s="15">
        <f>FW176+FX176+FY176+FZ176</f>
        <v/>
      </c>
      <c r="GB176" s="15">
        <f>FV176+GA176</f>
        <v/>
      </c>
      <c r="GC176" s="14" t="n">
        <v>0</v>
      </c>
      <c r="GD176" s="14" t="n">
        <v>0</v>
      </c>
      <c r="GE176" s="14" t="n">
        <v>0</v>
      </c>
      <c r="GF176" s="14" t="n">
        <v>0</v>
      </c>
      <c r="GG176" s="15">
        <f>GC176+GD176+GE176+GF176</f>
        <v/>
      </c>
      <c r="GH176" s="14" t="n">
        <v>0</v>
      </c>
      <c r="GI176" s="14" t="n">
        <v>0</v>
      </c>
      <c r="GJ176" s="14" t="n">
        <v>0</v>
      </c>
      <c r="GK176" s="14" t="n">
        <v>0</v>
      </c>
      <c r="GL176" s="15">
        <f>GH176+GI176+GJ176+GK176</f>
        <v/>
      </c>
      <c r="GM176" s="15">
        <f>GG176+GL176</f>
        <v/>
      </c>
      <c r="GN176" s="14" t="n">
        <v>0</v>
      </c>
      <c r="GO176" s="14" t="n">
        <v>0</v>
      </c>
      <c r="GP176" s="14" t="n">
        <v>0</v>
      </c>
      <c r="GQ176" s="14" t="n">
        <v>0</v>
      </c>
      <c r="GR176" s="15">
        <f>GN176+GO176+GP176+GQ176</f>
        <v/>
      </c>
      <c r="GS176" s="14" t="n">
        <v>0</v>
      </c>
      <c r="GT176" s="14" t="n">
        <v>0</v>
      </c>
      <c r="GU176" s="14" t="n">
        <v>0</v>
      </c>
      <c r="GV176" s="14" t="n">
        <v>0</v>
      </c>
      <c r="GW176" s="15">
        <f>GS176+GT176+GU176+GV176</f>
        <v/>
      </c>
      <c r="GX176" s="15">
        <f>GM176+GR176+GW176</f>
        <v/>
      </c>
      <c r="GY176" s="14" t="n">
        <v>17243752.19</v>
      </c>
      <c r="GZ176" s="14" t="n">
        <v>6094751.91</v>
      </c>
      <c r="HA176" s="15">
        <f>GY176+GZ176</f>
        <v/>
      </c>
      <c r="HB176" s="15">
        <f>IF(GX176=0,"",AU176/GX176)</f>
        <v/>
      </c>
      <c r="HC176" s="16">
        <f>IF((GX176+GY176)=0,"",GB176/(GX176+GY176))</f>
        <v/>
      </c>
      <c r="HD176" s="15">
        <f>IF(GX176=0,"",GB176/GX176)</f>
        <v/>
      </c>
      <c r="HE176" s="14" t="n">
        <v>0</v>
      </c>
      <c r="HF176" s="14" t="n">
        <v>0</v>
      </c>
      <c r="HG176" s="14" t="n">
        <v>11</v>
      </c>
      <c r="HH176" s="14" t="n">
        <v>0</v>
      </c>
      <c r="HI176" s="14" t="n">
        <v>0</v>
      </c>
      <c r="HJ176" s="15">
        <f>HF176+HI176</f>
        <v/>
      </c>
      <c r="HK176" s="16">
        <f>IF(HE176=0,"",HH176/HE176)</f>
        <v/>
      </c>
      <c r="HL176" s="14" t="n">
        <v>10</v>
      </c>
      <c r="HM176" s="14" t="n">
        <v>5</v>
      </c>
      <c r="HN176" s="17">
        <f>IF(HL176=0,"",HM176/HL176)</f>
        <v/>
      </c>
    </row>
    <row r="177">
      <c r="A177" s="6" t="inlineStr">
        <is>
          <t>Mulanje</t>
        </is>
      </c>
      <c r="B177" s="6" t="inlineStr">
        <is>
          <t>Nkando</t>
        </is>
      </c>
      <c r="C177" s="7" t="inlineStr">
        <is>
          <t>FY2025/26</t>
        </is>
      </c>
      <c r="D177" s="7" t="n">
        <v>2025</v>
      </c>
      <c r="E177" s="7" t="n">
        <v>10</v>
      </c>
      <c r="F177" s="7" t="inlineStr">
        <is>
          <t>October</t>
        </is>
      </c>
      <c r="G177" s="7" t="inlineStr">
        <is>
          <t>Q3</t>
        </is>
      </c>
      <c r="H177" s="8" t="n">
        <v>1280</v>
      </c>
      <c r="I177" s="8" t="n">
        <v>0</v>
      </c>
      <c r="J177" s="8" t="n">
        <v>0</v>
      </c>
      <c r="K177" s="8" t="n">
        <v>0</v>
      </c>
      <c r="L177" s="8" t="n">
        <v>0</v>
      </c>
      <c r="M177" s="9">
        <f>SUM(I177,J177,K177,L177)</f>
        <v/>
      </c>
      <c r="N177" s="8" t="n">
        <v>859.500000000001</v>
      </c>
      <c r="O177" s="8" t="n">
        <v>8</v>
      </c>
      <c r="P177" s="8" t="n">
        <v>38</v>
      </c>
      <c r="Q177" s="8" t="n">
        <v>42.5</v>
      </c>
      <c r="R177" s="9">
        <f>SUM(N177,O177,P177,Q177)</f>
        <v/>
      </c>
      <c r="S177" s="9">
        <f>M177+R177</f>
        <v/>
      </c>
      <c r="T177" s="8" t="n">
        <v>331.999999999999</v>
      </c>
      <c r="U177" s="10">
        <f>IF(H177=0,"",T177/H177)</f>
        <v/>
      </c>
      <c r="V177" s="8" t="n">
        <v>1</v>
      </c>
      <c r="W177" s="11">
        <f>IF(H177=0,"",V177/H177)</f>
        <v/>
      </c>
      <c r="X177" s="8" t="n">
        <v>0</v>
      </c>
      <c r="Y177" s="11">
        <f>IF(H177=0,"",X177/H177)</f>
        <v/>
      </c>
      <c r="Z177" s="8" t="n">
        <v>0</v>
      </c>
      <c r="AA177" s="11">
        <f>IF(H177=0,"",Z177/H177)</f>
        <v/>
      </c>
      <c r="AB177" s="8" t="n">
        <v>0</v>
      </c>
      <c r="AC177" s="11">
        <f>IF(H177=0,"",AB177/H177)</f>
        <v/>
      </c>
      <c r="AD177" s="8" t="n">
        <v>0</v>
      </c>
      <c r="AE177" s="11">
        <f>IF(H177=0,"",AD177/H177)</f>
        <v/>
      </c>
      <c r="AF177" s="8" t="n">
        <v>0</v>
      </c>
      <c r="AG177" s="11">
        <f>IF(H177=0,"",AF177/H177)</f>
        <v/>
      </c>
      <c r="AH177" s="8" t="n">
        <v>5111.67</v>
      </c>
      <c r="AI177" s="9">
        <f>IF(H177=0,"",AH177/H177)</f>
        <v/>
      </c>
      <c r="AJ177" s="8" t="n">
        <v>1860</v>
      </c>
      <c r="AK177" s="11">
        <f>IF(H177=0,"",AJ177/H177)</f>
        <v/>
      </c>
      <c r="AL177" s="8" t="n">
        <v>274504.29</v>
      </c>
      <c r="AM177" s="9">
        <f>IF(H177=0,"",AL177/H177)</f>
        <v/>
      </c>
      <c r="AN177" s="8" t="n">
        <v>0</v>
      </c>
      <c r="AO177" s="8" t="n">
        <v>0</v>
      </c>
      <c r="AP177" s="8" t="n">
        <v>0</v>
      </c>
      <c r="AQ177" s="8" t="n">
        <v>0</v>
      </c>
      <c r="AR177" s="8" t="n">
        <v>0</v>
      </c>
      <c r="AS177" s="8" t="n">
        <v>0</v>
      </c>
      <c r="AT177" s="8" t="n">
        <v>0</v>
      </c>
      <c r="AU177" s="9">
        <f>AH177+AL177+AP177+AQ177+AR177+AS177+AT177</f>
        <v/>
      </c>
      <c r="AV177" s="9">
        <f>IF(H177=0,"",AU177/H177)</f>
        <v/>
      </c>
      <c r="AW177" s="9">
        <f>IF(S177=0,"",AU177/S177)</f>
        <v/>
      </c>
      <c r="AX177" s="8" t="n">
        <v>5</v>
      </c>
      <c r="AY177" s="9">
        <f>IF(H177=0,"",AX177/(H177/1000/12))</f>
        <v/>
      </c>
      <c r="AZ177" s="8" t="n">
        <v>1</v>
      </c>
      <c r="BA177" s="8" t="n">
        <v>11</v>
      </c>
      <c r="BB177" s="8" t="n">
        <v>0</v>
      </c>
      <c r="BC177" s="8" t="n">
        <v>0</v>
      </c>
      <c r="BD177" s="8" t="n">
        <v>0</v>
      </c>
      <c r="BE177" s="9">
        <f>BC177+BD177</f>
        <v/>
      </c>
      <c r="BF177" s="9">
        <f>BA177+BB177-BE177</f>
        <v/>
      </c>
      <c r="BG177" s="8" t="n">
        <v>0</v>
      </c>
      <c r="BH177" s="8" t="n">
        <v>0</v>
      </c>
      <c r="BI177" s="8" t="n">
        <v>0</v>
      </c>
      <c r="BJ177" s="8" t="n">
        <v>0</v>
      </c>
      <c r="BK177" s="9">
        <f>BI177+BJ177</f>
        <v/>
      </c>
      <c r="BL177" s="9">
        <f>BG177+BH177-BK177</f>
        <v/>
      </c>
      <c r="BM177" s="8" t="n">
        <v>0</v>
      </c>
      <c r="BN177" s="8" t="n">
        <v>0</v>
      </c>
      <c r="BO177" s="8" t="n">
        <v>0</v>
      </c>
      <c r="BP177" s="8" t="n">
        <v>0</v>
      </c>
      <c r="BQ177" s="9">
        <f>BO177+BP177</f>
        <v/>
      </c>
      <c r="BR177" s="9">
        <f>BM177+BN177-BQ177</f>
        <v/>
      </c>
      <c r="BS177" s="8" t="n">
        <v>0</v>
      </c>
      <c r="BT177" s="8" t="n">
        <v>0</v>
      </c>
      <c r="BU177" s="8" t="n">
        <v>0</v>
      </c>
      <c r="BV177" s="8" t="n">
        <v>0</v>
      </c>
      <c r="BW177" s="9">
        <f>BU177+BV177</f>
        <v/>
      </c>
      <c r="BX177" s="9">
        <f>BS177+BT177-BW177</f>
        <v/>
      </c>
      <c r="BY177" s="9">
        <f>BA177+BG177+BM177+BS177</f>
        <v/>
      </c>
      <c r="BZ177" s="9">
        <f>BB177+BH177+BN177+BT177</f>
        <v/>
      </c>
      <c r="CA177" s="9">
        <f>BE177+BK177+BQ177+BW177</f>
        <v/>
      </c>
      <c r="CB177" s="9">
        <f>BF177+BL177+BR177+BX177</f>
        <v/>
      </c>
      <c r="CC177" s="8" t="n">
        <v>0</v>
      </c>
      <c r="CD177" s="8" t="n">
        <v>13</v>
      </c>
      <c r="CE177" s="8" t="n">
        <v>5</v>
      </c>
      <c r="CF177" s="8" t="n">
        <v>5</v>
      </c>
      <c r="CG177" s="8" t="n">
        <v>11</v>
      </c>
      <c r="CH177" s="9">
        <f>CD177+CE177+CF177+CG177</f>
        <v/>
      </c>
      <c r="CI177" s="8" t="n">
        <v>0</v>
      </c>
      <c r="CJ177" s="8" t="n">
        <v>0</v>
      </c>
      <c r="CK177" s="8" t="n">
        <v>0</v>
      </c>
      <c r="CL177" s="8" t="n">
        <v>0</v>
      </c>
      <c r="CM177" s="9">
        <f>CI177+CJ177+CK177+CL177</f>
        <v/>
      </c>
      <c r="CN177" s="8" t="n">
        <v>213</v>
      </c>
      <c r="CO177" s="8" t="n">
        <v>9</v>
      </c>
      <c r="CP177" s="8" t="n">
        <v>14</v>
      </c>
      <c r="CQ177" s="8" t="n">
        <v>3</v>
      </c>
      <c r="CR177" s="9">
        <f>CN177+CO177+CP177+CQ177</f>
        <v/>
      </c>
      <c r="CS177" s="9">
        <f>CM177+CR177</f>
        <v/>
      </c>
      <c r="CT177" s="8" t="n">
        <v>273</v>
      </c>
      <c r="CU177" s="8" t="n">
        <v>2250</v>
      </c>
      <c r="CV177" s="8" t="n">
        <v>1160</v>
      </c>
      <c r="CW177" s="10">
        <f>IF(CU177=0,"",CV177/CU177)</f>
        <v/>
      </c>
      <c r="CX177" s="8" t="n">
        <v>0</v>
      </c>
      <c r="CY177" s="8" t="n">
        <v>0</v>
      </c>
      <c r="CZ177" s="8" t="n">
        <v>0</v>
      </c>
      <c r="DA177" s="8" t="n">
        <v>0</v>
      </c>
      <c r="DB177" s="9">
        <f>CX177+CY177-CZ177-DA177</f>
        <v/>
      </c>
      <c r="DC177" s="8" t="n">
        <v>0</v>
      </c>
      <c r="DD177" s="8" t="n">
        <v>0</v>
      </c>
      <c r="DE177" s="8" t="n">
        <v>0</v>
      </c>
      <c r="DF177" s="8" t="n">
        <v>0</v>
      </c>
      <c r="DG177" s="9">
        <f>DC177+DD177-DE177-DF177</f>
        <v/>
      </c>
      <c r="DH177" s="8" t="n">
        <v>0</v>
      </c>
      <c r="DI177" s="8" t="n">
        <v>0</v>
      </c>
      <c r="DJ177" s="8" t="n">
        <v>0</v>
      </c>
      <c r="DK177" s="8" t="n">
        <v>0</v>
      </c>
      <c r="DL177" s="9">
        <f>DH177+DI177-DJ177-DK177</f>
        <v/>
      </c>
      <c r="DM177" s="8" t="n">
        <v>0</v>
      </c>
      <c r="DN177" s="8" t="n">
        <v>0</v>
      </c>
      <c r="DO177" s="8" t="n">
        <v>0</v>
      </c>
      <c r="DP177" s="8" t="n">
        <v>0</v>
      </c>
      <c r="DQ177" s="9">
        <f>DM177+DN177-DO177-DP177</f>
        <v/>
      </c>
      <c r="DR177" s="9">
        <f>CX177+DC177+DH177+DM177</f>
        <v/>
      </c>
      <c r="DS177" s="9">
        <f>CY177+DD177+DI177+DN177</f>
        <v/>
      </c>
      <c r="DT177" s="9">
        <f>CZ177+DE177+DJ177+DO177</f>
        <v/>
      </c>
      <c r="DU177" s="9">
        <f>DA177+DF177+DK177+DP177</f>
        <v/>
      </c>
      <c r="DV177" s="9">
        <f>DB177+DG177+DL177+DQ177</f>
        <v/>
      </c>
      <c r="DW177" s="8" t="n">
        <v>5</v>
      </c>
      <c r="DX177" s="8" t="n">
        <v>0</v>
      </c>
      <c r="DY177" s="8" t="n">
        <v>0</v>
      </c>
      <c r="DZ177" s="8" t="n">
        <v>0</v>
      </c>
      <c r="EA177" s="8" t="n">
        <v>0</v>
      </c>
      <c r="EB177" s="8" t="n">
        <v>0</v>
      </c>
      <c r="EC177" s="8" t="n">
        <v>0</v>
      </c>
      <c r="ED177" s="8" t="n">
        <v>0</v>
      </c>
      <c r="EE177" s="8" t="n">
        <v>0</v>
      </c>
      <c r="EF177" s="8" t="n">
        <v>0</v>
      </c>
      <c r="EG177" s="8" t="n">
        <v>0</v>
      </c>
      <c r="EH177" s="8" t="n">
        <v>0</v>
      </c>
      <c r="EI177" s="8" t="n">
        <v>0</v>
      </c>
      <c r="EJ177" s="8" t="n">
        <v>0</v>
      </c>
      <c r="EK177" s="8" t="n">
        <v>0</v>
      </c>
      <c r="EL177" s="8" t="n">
        <v>0</v>
      </c>
      <c r="EM177" s="8" t="n">
        <v>0</v>
      </c>
      <c r="EN177" s="8" t="n">
        <v>0</v>
      </c>
      <c r="EO177" s="8" t="n">
        <v>0</v>
      </c>
      <c r="EP177" s="8" t="n">
        <v>0</v>
      </c>
      <c r="EQ177" s="8" t="n">
        <v>0</v>
      </c>
      <c r="ER177" s="8" t="n">
        <v>0</v>
      </c>
      <c r="ES177" s="8" t="n">
        <v>0</v>
      </c>
      <c r="ET177" s="8" t="n">
        <v>0</v>
      </c>
      <c r="EU177" s="8" t="n">
        <v>0</v>
      </c>
      <c r="EV177" s="8" t="n">
        <v>0</v>
      </c>
      <c r="EW177" s="8" t="n">
        <v>0</v>
      </c>
      <c r="EX177" s="8" t="n">
        <v>0</v>
      </c>
      <c r="EY177" s="8" t="n">
        <v>0</v>
      </c>
      <c r="EZ177" s="8" t="n">
        <v>0</v>
      </c>
      <c r="FA177" s="8" t="n">
        <v>0</v>
      </c>
      <c r="FB177" s="8" t="n">
        <v>0</v>
      </c>
      <c r="FC177" s="8" t="n">
        <v>0</v>
      </c>
      <c r="FD177" s="8" t="n">
        <v>0</v>
      </c>
      <c r="FE177" s="8" t="n">
        <v>0</v>
      </c>
      <c r="FF177" s="8" t="n">
        <v>0</v>
      </c>
      <c r="FG177" s="9">
        <f>SUM(DW177,DX177,DY177,DZ177,EA177,EB177,EC177,ED177,EE177,EF177,EG177,EH177,EI177,EJ177,EK177,EL177,EM177,EN177,EO177,EP177,EQ177,ER177,ES177,ET177,EU177,EV177,EW177,EX177,EY177,EZ177,FA177,FB177,FC177,FD177,FE177,FF177)</f>
        <v/>
      </c>
      <c r="FH177" s="8" t="n">
        <v>5</v>
      </c>
      <c r="FI177" s="8" t="n">
        <v>0</v>
      </c>
      <c r="FJ177" s="8" t="n">
        <v>6</v>
      </c>
      <c r="FK177" s="8" t="n">
        <v>0</v>
      </c>
      <c r="FL177" s="8" t="n">
        <v>0</v>
      </c>
      <c r="FM177" s="8" t="n">
        <v>0</v>
      </c>
      <c r="FN177" s="8" t="n">
        <v>0</v>
      </c>
      <c r="FO177" s="8" t="n">
        <v>0</v>
      </c>
      <c r="FP177" s="8" t="n">
        <v>0</v>
      </c>
      <c r="FQ177" s="9">
        <f>FL177+FM177+FN177+FO177+FP177</f>
        <v/>
      </c>
      <c r="FR177" s="8" t="n">
        <v>0</v>
      </c>
      <c r="FS177" s="8" t="n">
        <v>0</v>
      </c>
      <c r="FT177" s="8" t="n">
        <v>0</v>
      </c>
      <c r="FU177" s="8" t="n">
        <v>0</v>
      </c>
      <c r="FV177" s="9">
        <f>FR177+FS177+FT177+FU177</f>
        <v/>
      </c>
      <c r="FW177" s="8" t="n">
        <v>1561894.339999999</v>
      </c>
      <c r="FX177" s="8" t="n">
        <v>1700</v>
      </c>
      <c r="FY177" s="8" t="n">
        <v>339728.09</v>
      </c>
      <c r="FZ177" s="8" t="n">
        <v>115378.8</v>
      </c>
      <c r="GA177" s="9">
        <f>FW177+FX177+FY177+FZ177</f>
        <v/>
      </c>
      <c r="GB177" s="9">
        <f>FV177+GA177</f>
        <v/>
      </c>
      <c r="GC177" s="8" t="n">
        <v>0</v>
      </c>
      <c r="GD177" s="8" t="n">
        <v>0</v>
      </c>
      <c r="GE177" s="8" t="n">
        <v>0</v>
      </c>
      <c r="GF177" s="8" t="n">
        <v>0</v>
      </c>
      <c r="GG177" s="9">
        <f>GC177+GD177+GE177+GF177</f>
        <v/>
      </c>
      <c r="GH177" s="8" t="n">
        <v>0</v>
      </c>
      <c r="GI177" s="8" t="n">
        <v>0</v>
      </c>
      <c r="GJ177" s="8" t="n">
        <v>0</v>
      </c>
      <c r="GK177" s="8" t="n">
        <v>0</v>
      </c>
      <c r="GL177" s="9">
        <f>GH177+GI177+GJ177+GK177</f>
        <v/>
      </c>
      <c r="GM177" s="9">
        <f>GG177+GL177</f>
        <v/>
      </c>
      <c r="GN177" s="8" t="n">
        <v>0</v>
      </c>
      <c r="GO177" s="8" t="n">
        <v>0</v>
      </c>
      <c r="GP177" s="8" t="n">
        <v>0</v>
      </c>
      <c r="GQ177" s="8" t="n">
        <v>0</v>
      </c>
      <c r="GR177" s="9">
        <f>GN177+GO177+GP177+GQ177</f>
        <v/>
      </c>
      <c r="GS177" s="8" t="n">
        <v>0</v>
      </c>
      <c r="GT177" s="8" t="n">
        <v>0</v>
      </c>
      <c r="GU177" s="8" t="n">
        <v>0</v>
      </c>
      <c r="GV177" s="8" t="n">
        <v>0</v>
      </c>
      <c r="GW177" s="9">
        <f>GS177+GT177+GU177+GV177</f>
        <v/>
      </c>
      <c r="GX177" s="9">
        <f>GM177+GR177+GW177</f>
        <v/>
      </c>
      <c r="GY177" s="8" t="n">
        <v>17243752.19</v>
      </c>
      <c r="GZ177" s="8" t="n">
        <v>6094751.91</v>
      </c>
      <c r="HA177" s="9">
        <f>GY177+GZ177</f>
        <v/>
      </c>
      <c r="HB177" s="9">
        <f>IF(GX177=0,"",AU177/GX177)</f>
        <v/>
      </c>
      <c r="HC177" s="10">
        <f>IF((GX177+GY177)=0,"",GB177/(GX177+GY177))</f>
        <v/>
      </c>
      <c r="HD177" s="9">
        <f>IF(GX177=0,"",GB177/GX177)</f>
        <v/>
      </c>
      <c r="HE177" s="8" t="n">
        <v>0</v>
      </c>
      <c r="HF177" s="8" t="n">
        <v>1</v>
      </c>
      <c r="HG177" s="8" t="n">
        <v>11</v>
      </c>
      <c r="HH177" s="8" t="n">
        <v>0</v>
      </c>
      <c r="HI177" s="8" t="n">
        <v>0</v>
      </c>
      <c r="HJ177" s="9">
        <f>HF177+HI177</f>
        <v/>
      </c>
      <c r="HK177" s="10">
        <f>IF(HE177=0,"",HH177/HE177)</f>
        <v/>
      </c>
      <c r="HL177" s="8" t="n">
        <v>15</v>
      </c>
      <c r="HM177" s="8" t="n">
        <v>20</v>
      </c>
      <c r="HN177" s="11">
        <f>IF(HL177=0,"",HM177/HL177)</f>
        <v/>
      </c>
    </row>
    <row r="178">
      <c r="A178" s="12" t="inlineStr">
        <is>
          <t>Mulanje</t>
        </is>
      </c>
      <c r="B178" s="12" t="inlineStr">
        <is>
          <t>Nkando</t>
        </is>
      </c>
      <c r="C178" s="13" t="inlineStr">
        <is>
          <t>FY2025/26</t>
        </is>
      </c>
      <c r="D178" s="13" t="n">
        <v>2025</v>
      </c>
      <c r="E178" s="13" t="n">
        <v>11</v>
      </c>
      <c r="F178" s="13" t="inlineStr">
        <is>
          <t>November</t>
        </is>
      </c>
      <c r="G178" s="13" t="inlineStr">
        <is>
          <t>Q3</t>
        </is>
      </c>
      <c r="H178" s="14" t="n">
        <v>1105</v>
      </c>
      <c r="I178" s="14" t="n">
        <v>0</v>
      </c>
      <c r="J178" s="14" t="n">
        <v>0</v>
      </c>
      <c r="K178" s="14" t="n">
        <v>0</v>
      </c>
      <c r="L178" s="14" t="n">
        <v>0</v>
      </c>
      <c r="M178" s="15">
        <f>SUM(I178,J178,K178,L178)</f>
        <v/>
      </c>
      <c r="N178" s="14" t="n">
        <v>685.8</v>
      </c>
      <c r="O178" s="14" t="n">
        <v>3.8</v>
      </c>
      <c r="P178" s="14" t="n">
        <v>83.90000000000001</v>
      </c>
      <c r="Q178" s="14" t="n">
        <v>23.1</v>
      </c>
      <c r="R178" s="15">
        <f>SUM(N178,O178,P178,Q178)</f>
        <v/>
      </c>
      <c r="S178" s="15">
        <f>M178+R178</f>
        <v/>
      </c>
      <c r="T178" s="14" t="n">
        <v>308.4</v>
      </c>
      <c r="U178" s="16">
        <f>IF(H178=0,"",T178/H178)</f>
        <v/>
      </c>
      <c r="V178" s="14" t="n">
        <v>1</v>
      </c>
      <c r="W178" s="17">
        <f>IF(H178=0,"",V178/H178)</f>
        <v/>
      </c>
      <c r="X178" s="14" t="n">
        <v>0</v>
      </c>
      <c r="Y178" s="17">
        <f>IF(H178=0,"",X178/H178)</f>
        <v/>
      </c>
      <c r="Z178" s="14" t="n">
        <v>0</v>
      </c>
      <c r="AA178" s="17">
        <f>IF(H178=0,"",Z178/H178)</f>
        <v/>
      </c>
      <c r="AB178" s="14" t="n">
        <v>0</v>
      </c>
      <c r="AC178" s="17">
        <f>IF(H178=0,"",AB178/H178)</f>
        <v/>
      </c>
      <c r="AD178" s="14" t="n">
        <v>0</v>
      </c>
      <c r="AE178" s="17">
        <f>IF(H178=0,"",AD178/H178)</f>
        <v/>
      </c>
      <c r="AF178" s="14" t="n">
        <v>0</v>
      </c>
      <c r="AG178" s="17">
        <f>IF(H178=0,"",AF178/H178)</f>
        <v/>
      </c>
      <c r="AH178" s="14" t="n">
        <v>5111.67</v>
      </c>
      <c r="AI178" s="15">
        <f>IF(H178=0,"",AH178/H178)</f>
        <v/>
      </c>
      <c r="AJ178" s="14" t="n">
        <v>1880</v>
      </c>
      <c r="AK178" s="17">
        <f>IF(H178=0,"",AJ178/H178)</f>
        <v/>
      </c>
      <c r="AL178" s="14" t="n">
        <v>277279.32</v>
      </c>
      <c r="AM178" s="15">
        <f>IF(H178=0,"",AL178/H178)</f>
        <v/>
      </c>
      <c r="AN178" s="14" t="n">
        <v>0</v>
      </c>
      <c r="AO178" s="14" t="n">
        <v>0</v>
      </c>
      <c r="AP178" s="14" t="n">
        <v>0</v>
      </c>
      <c r="AQ178" s="14" t="n">
        <v>0</v>
      </c>
      <c r="AR178" s="14" t="n">
        <v>0</v>
      </c>
      <c r="AS178" s="14" t="n">
        <v>0</v>
      </c>
      <c r="AT178" s="14" t="n">
        <v>0</v>
      </c>
      <c r="AU178" s="15">
        <f>AH178+AL178+AP178+AQ178+AR178+AS178+AT178</f>
        <v/>
      </c>
      <c r="AV178" s="15">
        <f>IF(H178=0,"",AU178/H178)</f>
        <v/>
      </c>
      <c r="AW178" s="15">
        <f>IF(S178=0,"",AU178/S178)</f>
        <v/>
      </c>
      <c r="AX178" s="14" t="n">
        <v>5</v>
      </c>
      <c r="AY178" s="15">
        <f>IF(H178=0,"",AX178/(H178/1000/12))</f>
        <v/>
      </c>
      <c r="AZ178" s="14" t="n">
        <v>1</v>
      </c>
      <c r="BA178" s="14" t="n">
        <v>11</v>
      </c>
      <c r="BB178" s="14" t="n">
        <v>0</v>
      </c>
      <c r="BC178" s="14" t="n">
        <v>0</v>
      </c>
      <c r="BD178" s="14" t="n">
        <v>0</v>
      </c>
      <c r="BE178" s="15">
        <f>BC178+BD178</f>
        <v/>
      </c>
      <c r="BF178" s="15">
        <f>BA178+BB178-BE178</f>
        <v/>
      </c>
      <c r="BG178" s="14" t="n">
        <v>0</v>
      </c>
      <c r="BH178" s="14" t="n">
        <v>0</v>
      </c>
      <c r="BI178" s="14" t="n">
        <v>0</v>
      </c>
      <c r="BJ178" s="14" t="n">
        <v>0</v>
      </c>
      <c r="BK178" s="15">
        <f>BI178+BJ178</f>
        <v/>
      </c>
      <c r="BL178" s="15">
        <f>BG178+BH178-BK178</f>
        <v/>
      </c>
      <c r="BM178" s="14" t="n">
        <v>0</v>
      </c>
      <c r="BN178" s="14" t="n">
        <v>0</v>
      </c>
      <c r="BO178" s="14" t="n">
        <v>0</v>
      </c>
      <c r="BP178" s="14" t="n">
        <v>0</v>
      </c>
      <c r="BQ178" s="15">
        <f>BO178+BP178</f>
        <v/>
      </c>
      <c r="BR178" s="15">
        <f>BM178+BN178-BQ178</f>
        <v/>
      </c>
      <c r="BS178" s="14" t="n">
        <v>0</v>
      </c>
      <c r="BT178" s="14" t="n">
        <v>0</v>
      </c>
      <c r="BU178" s="14" t="n">
        <v>0</v>
      </c>
      <c r="BV178" s="14" t="n">
        <v>0</v>
      </c>
      <c r="BW178" s="15">
        <f>BU178+BV178</f>
        <v/>
      </c>
      <c r="BX178" s="15">
        <f>BS178+BT178-BW178</f>
        <v/>
      </c>
      <c r="BY178" s="15">
        <f>BA178+BG178+BM178+BS178</f>
        <v/>
      </c>
      <c r="BZ178" s="15">
        <f>BB178+BH178+BN178+BT178</f>
        <v/>
      </c>
      <c r="CA178" s="15">
        <f>BE178+BK178+BQ178+BW178</f>
        <v/>
      </c>
      <c r="CB178" s="15">
        <f>BF178+BL178+BR178+BX178</f>
        <v/>
      </c>
      <c r="CC178" s="14" t="n">
        <v>0</v>
      </c>
      <c r="CD178" s="14" t="n">
        <v>13</v>
      </c>
      <c r="CE178" s="14" t="n">
        <v>5</v>
      </c>
      <c r="CF178" s="14" t="n">
        <v>5</v>
      </c>
      <c r="CG178" s="14" t="n">
        <v>0</v>
      </c>
      <c r="CH178" s="15">
        <f>CD178+CE178+CF178+CG178</f>
        <v/>
      </c>
      <c r="CI178" s="14" t="n">
        <v>0</v>
      </c>
      <c r="CJ178" s="14" t="n">
        <v>0</v>
      </c>
      <c r="CK178" s="14" t="n">
        <v>0</v>
      </c>
      <c r="CL178" s="14" t="n">
        <v>0</v>
      </c>
      <c r="CM178" s="15">
        <f>CI178+CJ178+CK178+CL178</f>
        <v/>
      </c>
      <c r="CN178" s="14" t="n">
        <v>213</v>
      </c>
      <c r="CO178" s="14" t="n">
        <v>9</v>
      </c>
      <c r="CP178" s="14" t="n">
        <v>14</v>
      </c>
      <c r="CQ178" s="14" t="n">
        <v>3</v>
      </c>
      <c r="CR178" s="15">
        <f>CN178+CO178+CP178+CQ178</f>
        <v/>
      </c>
      <c r="CS178" s="15">
        <f>CM178+CR178</f>
        <v/>
      </c>
      <c r="CT178" s="14" t="n">
        <v>262</v>
      </c>
      <c r="CU178" s="14" t="n">
        <v>2250</v>
      </c>
      <c r="CV178" s="14" t="n">
        <v>1160</v>
      </c>
      <c r="CW178" s="16">
        <f>IF(CU178=0,"",CV178/CU178)</f>
        <v/>
      </c>
      <c r="CX178" s="14" t="n">
        <v>0</v>
      </c>
      <c r="CY178" s="14" t="n"/>
      <c r="CZ178" s="14" t="n"/>
      <c r="DA178" s="14" t="n"/>
      <c r="DB178" s="15">
        <f>CX178+CY178-CZ178-DA178</f>
        <v/>
      </c>
      <c r="DC178" s="14" t="n">
        <v>0</v>
      </c>
      <c r="DD178" s="14" t="n">
        <v>0</v>
      </c>
      <c r="DE178" s="14" t="n">
        <v>0</v>
      </c>
      <c r="DF178" s="14" t="n">
        <v>0</v>
      </c>
      <c r="DG178" s="15">
        <f>DC178+DD178-DE178-DF178</f>
        <v/>
      </c>
      <c r="DH178" s="14" t="n">
        <v>0</v>
      </c>
      <c r="DI178" s="14" t="n">
        <v>0</v>
      </c>
      <c r="DJ178" s="14" t="n">
        <v>0</v>
      </c>
      <c r="DK178" s="14" t="n">
        <v>0</v>
      </c>
      <c r="DL178" s="15">
        <f>DH178+DI178-DJ178-DK178</f>
        <v/>
      </c>
      <c r="DM178" s="14" t="n">
        <v>0</v>
      </c>
      <c r="DN178" s="14" t="n">
        <v>0</v>
      </c>
      <c r="DO178" s="14" t="n">
        <v>0</v>
      </c>
      <c r="DP178" s="14" t="n">
        <v>0</v>
      </c>
      <c r="DQ178" s="15">
        <f>DM178+DN178-DO178-DP178</f>
        <v/>
      </c>
      <c r="DR178" s="15">
        <f>CX178+DC178+DH178+DM178</f>
        <v/>
      </c>
      <c r="DS178" s="15">
        <f>CY178+DD178+DI178+DN178</f>
        <v/>
      </c>
      <c r="DT178" s="15">
        <f>CZ178+DE178+DJ178+DO178</f>
        <v/>
      </c>
      <c r="DU178" s="15">
        <f>DA178+DF178+DK178+DP178</f>
        <v/>
      </c>
      <c r="DV178" s="15">
        <f>DB178+DG178+DL178+DQ178</f>
        <v/>
      </c>
      <c r="DW178" s="14" t="n">
        <v>3</v>
      </c>
      <c r="DX178" s="14" t="n">
        <v>2</v>
      </c>
      <c r="DY178" s="14" t="n">
        <v>0</v>
      </c>
      <c r="DZ178" s="14" t="n">
        <v>0</v>
      </c>
      <c r="EA178" s="14" t="n">
        <v>0</v>
      </c>
      <c r="EB178" s="14" t="n">
        <v>0</v>
      </c>
      <c r="EC178" s="14" t="n">
        <v>0</v>
      </c>
      <c r="ED178" s="14" t="n">
        <v>0</v>
      </c>
      <c r="EE178" s="14" t="n">
        <v>0</v>
      </c>
      <c r="EF178" s="14" t="n">
        <v>0</v>
      </c>
      <c r="EG178" s="14" t="n">
        <v>0</v>
      </c>
      <c r="EH178" s="14" t="n">
        <v>0</v>
      </c>
      <c r="EI178" s="14" t="n">
        <v>0</v>
      </c>
      <c r="EJ178" s="14" t="n">
        <v>0</v>
      </c>
      <c r="EK178" s="14" t="n">
        <v>0</v>
      </c>
      <c r="EL178" s="14" t="n">
        <v>0</v>
      </c>
      <c r="EM178" s="14" t="n">
        <v>0</v>
      </c>
      <c r="EN178" s="14" t="n">
        <v>0</v>
      </c>
      <c r="EO178" s="14" t="n">
        <v>0</v>
      </c>
      <c r="EP178" s="14" t="n">
        <v>0</v>
      </c>
      <c r="EQ178" s="14" t="n">
        <v>0</v>
      </c>
      <c r="ER178" s="14" t="n">
        <v>0</v>
      </c>
      <c r="ES178" s="14" t="n">
        <v>0</v>
      </c>
      <c r="ET178" s="14" t="n">
        <v>0</v>
      </c>
      <c r="EU178" s="14" t="n">
        <v>0</v>
      </c>
      <c r="EV178" s="14" t="n">
        <v>0</v>
      </c>
      <c r="EW178" s="14" t="n">
        <v>0</v>
      </c>
      <c r="EX178" s="14" t="n">
        <v>0</v>
      </c>
      <c r="EY178" s="14" t="n">
        <v>0</v>
      </c>
      <c r="EZ178" s="14" t="n">
        <v>0</v>
      </c>
      <c r="FA178" s="14" t="n">
        <v>0</v>
      </c>
      <c r="FB178" s="14" t="n">
        <v>0</v>
      </c>
      <c r="FC178" s="14" t="n">
        <v>0</v>
      </c>
      <c r="FD178" s="14" t="n">
        <v>0</v>
      </c>
      <c r="FE178" s="14" t="n">
        <v>0</v>
      </c>
      <c r="FF178" s="14" t="n">
        <v>0</v>
      </c>
      <c r="FG178" s="15">
        <f>SUM(DW178,DX178,DY178,DZ178,EA178,EB178,EC178,ED178,EE178,EF178,EG178,EH178,EI178,EJ178,EK178,EL178,EM178,EN178,EO178,EP178,EQ178,ER178,ES178,ET178,EU178,EV178,EW178,EX178,EY178,EZ178,FA178,FB178,FC178,FD178,FE178,FF178)</f>
        <v/>
      </c>
      <c r="FH178" s="14" t="n">
        <v>5</v>
      </c>
      <c r="FI178" s="14" t="n">
        <v>0</v>
      </c>
      <c r="FJ178" s="14" t="n">
        <v>6</v>
      </c>
      <c r="FK178" s="14" t="n">
        <v>0</v>
      </c>
      <c r="FL178" s="14" t="n">
        <v>0</v>
      </c>
      <c r="FM178" s="14" t="n">
        <v>0</v>
      </c>
      <c r="FN178" s="14" t="n">
        <v>0</v>
      </c>
      <c r="FO178" s="14" t="n">
        <v>0</v>
      </c>
      <c r="FP178" s="14" t="n">
        <v>0</v>
      </c>
      <c r="FQ178" s="15">
        <f>FL178+FM178+FN178+FO178+FP178</f>
        <v/>
      </c>
      <c r="FR178" s="14" t="n">
        <v>0</v>
      </c>
      <c r="FS178" s="14" t="n">
        <v>0</v>
      </c>
      <c r="FT178" s="14" t="n">
        <v>0</v>
      </c>
      <c r="FU178" s="14" t="n">
        <v>0</v>
      </c>
      <c r="FV178" s="15">
        <f>FR178+FS178+FT178+FU178</f>
        <v/>
      </c>
      <c r="FW178" s="14" t="n">
        <v>1244342</v>
      </c>
      <c r="FX178" s="14" t="n">
        <v>2000</v>
      </c>
      <c r="FY178" s="14" t="n">
        <v>220700</v>
      </c>
      <c r="FZ178" s="14" t="n">
        <v>555200</v>
      </c>
      <c r="GA178" s="15">
        <f>FW178+FX178+FY178+FZ178</f>
        <v/>
      </c>
      <c r="GB178" s="15">
        <f>FV178+GA178</f>
        <v/>
      </c>
      <c r="GC178" s="14" t="n">
        <v>0</v>
      </c>
      <c r="GD178" s="14" t="n">
        <v>0</v>
      </c>
      <c r="GE178" s="14" t="n">
        <v>0</v>
      </c>
      <c r="GF178" s="14" t="n">
        <v>0</v>
      </c>
      <c r="GG178" s="15">
        <f>GC178+GD178+GE178+GF178</f>
        <v/>
      </c>
      <c r="GH178" s="14" t="n">
        <v>0</v>
      </c>
      <c r="GI178" s="14" t="n">
        <v>0</v>
      </c>
      <c r="GJ178" s="14" t="n">
        <v>0</v>
      </c>
      <c r="GK178" s="14" t="n">
        <v>0</v>
      </c>
      <c r="GL178" s="15">
        <f>GH178+GI178+GJ178+GK178</f>
        <v/>
      </c>
      <c r="GM178" s="15">
        <f>GG178+GL178</f>
        <v/>
      </c>
      <c r="GN178" s="14" t="n">
        <v>0</v>
      </c>
      <c r="GO178" s="14" t="n">
        <v>0</v>
      </c>
      <c r="GP178" s="14" t="n">
        <v>0</v>
      </c>
      <c r="GQ178" s="14" t="n">
        <v>0</v>
      </c>
      <c r="GR178" s="15">
        <f>GN178+GO178+GP178+GQ178</f>
        <v/>
      </c>
      <c r="GS178" s="14" t="n">
        <v>0</v>
      </c>
      <c r="GT178" s="14" t="n">
        <v>0</v>
      </c>
      <c r="GU178" s="14" t="n">
        <v>0</v>
      </c>
      <c r="GV178" s="14" t="n">
        <v>0</v>
      </c>
      <c r="GW178" s="15">
        <f>GS178+GT178+GU178+GV178</f>
        <v/>
      </c>
      <c r="GX178" s="15">
        <f>GM178+GR178+GW178</f>
        <v/>
      </c>
      <c r="GY178" s="14" t="n">
        <v>17243752.19</v>
      </c>
      <c r="GZ178" s="14" t="n">
        <v>6094751.91</v>
      </c>
      <c r="HA178" s="15">
        <f>GY178+GZ178</f>
        <v/>
      </c>
      <c r="HB178" s="15">
        <f>IF(GX178=0,"",AU178/GX178)</f>
        <v/>
      </c>
      <c r="HC178" s="16">
        <f>IF((GX178+GY178)=0,"",GB178/(GX178+GY178))</f>
        <v/>
      </c>
      <c r="HD178" s="15">
        <f>IF(GX178=0,"",GB178/GX178)</f>
        <v/>
      </c>
      <c r="HE178" s="14" t="n">
        <v>0</v>
      </c>
      <c r="HF178" s="14" t="n">
        <v>1</v>
      </c>
      <c r="HG178" s="14" t="n">
        <v>11</v>
      </c>
      <c r="HH178" s="14" t="n">
        <v>0</v>
      </c>
      <c r="HI178" s="14" t="n">
        <v>0</v>
      </c>
      <c r="HJ178" s="15">
        <f>HF178+HI178</f>
        <v/>
      </c>
      <c r="HK178" s="16">
        <f>IF(HE178=0,"",HH178/HE178)</f>
        <v/>
      </c>
      <c r="HL178" s="14" t="n">
        <v>15</v>
      </c>
      <c r="HM178" s="14" t="n">
        <v>14</v>
      </c>
      <c r="HN178" s="17">
        <f>IF(HL178=0,"",HM178/HL178)</f>
        <v/>
      </c>
    </row>
    <row r="179">
      <c r="A179" s="6" t="inlineStr">
        <is>
          <t>Mulanje</t>
        </is>
      </c>
      <c r="B179" s="6" t="inlineStr">
        <is>
          <t>Nkando</t>
        </is>
      </c>
      <c r="C179" s="7" t="inlineStr">
        <is>
          <t>FY2025/26</t>
        </is>
      </c>
      <c r="D179" s="7" t="n">
        <v>2025</v>
      </c>
      <c r="E179" s="7" t="n">
        <v>12</v>
      </c>
      <c r="F179" s="7" t="inlineStr">
        <is>
          <t>December</t>
        </is>
      </c>
      <c r="G179" s="7" t="inlineStr">
        <is>
          <t>Q3</t>
        </is>
      </c>
      <c r="H179" s="8" t="n">
        <v>1050</v>
      </c>
      <c r="I179" s="8" t="n">
        <v>0</v>
      </c>
      <c r="J179" s="8" t="n">
        <v>0</v>
      </c>
      <c r="K179" s="8" t="n">
        <v>0</v>
      </c>
      <c r="L179" s="8" t="n">
        <v>0</v>
      </c>
      <c r="M179" s="9">
        <f>SUM(I179,J179,K179,L179)</f>
        <v/>
      </c>
      <c r="N179" s="8" t="n">
        <v>642.9</v>
      </c>
      <c r="O179" s="8" t="n">
        <v>3.8</v>
      </c>
      <c r="P179" s="8" t="n">
        <v>36.3</v>
      </c>
      <c r="Q179" s="8" t="n">
        <v>53.7</v>
      </c>
      <c r="R179" s="9">
        <f>SUM(N179,O179,P179,Q179)</f>
        <v/>
      </c>
      <c r="S179" s="9">
        <f>M179+R179</f>
        <v/>
      </c>
      <c r="T179" s="8" t="n">
        <v>313.3</v>
      </c>
      <c r="U179" s="10">
        <f>IF(H179=0,"",T179/H179)</f>
        <v/>
      </c>
      <c r="V179" s="8" t="n">
        <v>1</v>
      </c>
      <c r="W179" s="11">
        <f>IF(H179=0,"",V179/H179)</f>
        <v/>
      </c>
      <c r="X179" s="8" t="n">
        <v>0</v>
      </c>
      <c r="Y179" s="11">
        <f>IF(H179=0,"",X179/H179)</f>
        <v/>
      </c>
      <c r="Z179" s="8" t="n">
        <v>0</v>
      </c>
      <c r="AA179" s="11">
        <f>IF(H179=0,"",Z179/H179)</f>
        <v/>
      </c>
      <c r="AB179" s="8" t="n">
        <v>0</v>
      </c>
      <c r="AC179" s="11">
        <f>IF(H179=0,"",AB179/H179)</f>
        <v/>
      </c>
      <c r="AD179" s="8" t="n">
        <v>0</v>
      </c>
      <c r="AE179" s="11">
        <f>IF(H179=0,"",AD179/H179)</f>
        <v/>
      </c>
      <c r="AF179" s="8" t="n">
        <v>0</v>
      </c>
      <c r="AG179" s="11">
        <f>IF(H179=0,"",AF179/H179)</f>
        <v/>
      </c>
      <c r="AH179" s="8" t="n">
        <v>5111.67</v>
      </c>
      <c r="AI179" s="9">
        <f>IF(H179=0,"",AH179/H179)</f>
        <v/>
      </c>
      <c r="AJ179" s="8" t="n">
        <v>2200</v>
      </c>
      <c r="AK179" s="11">
        <f>IF(H179=0,"",AJ179/H179)</f>
        <v/>
      </c>
      <c r="AL179" s="8" t="n">
        <v>321679.8</v>
      </c>
      <c r="AM179" s="9">
        <f>IF(H179=0,"",AL179/H179)</f>
        <v/>
      </c>
      <c r="AN179" s="8" t="n">
        <v>0</v>
      </c>
      <c r="AO179" s="8" t="n">
        <v>0</v>
      </c>
      <c r="AP179" s="8" t="n">
        <v>0</v>
      </c>
      <c r="AQ179" s="8" t="n">
        <v>0</v>
      </c>
      <c r="AR179" s="8" t="n">
        <v>0</v>
      </c>
      <c r="AS179" s="8" t="n">
        <v>702693.2</v>
      </c>
      <c r="AT179" s="8" t="n">
        <v>0</v>
      </c>
      <c r="AU179" s="9">
        <f>AH179+AL179+AP179+AQ179+AR179+AS179+AT179</f>
        <v/>
      </c>
      <c r="AV179" s="9">
        <f>IF(H179=0,"",AU179/H179)</f>
        <v/>
      </c>
      <c r="AW179" s="9">
        <f>IF(S179=0,"",AU179/S179)</f>
        <v/>
      </c>
      <c r="AX179" s="8" t="n">
        <v>5</v>
      </c>
      <c r="AY179" s="9">
        <f>IF(H179=0,"",AX179/(H179/1000/12))</f>
        <v/>
      </c>
      <c r="AZ179" s="8" t="n">
        <v>1</v>
      </c>
      <c r="BA179" s="8" t="n">
        <v>11</v>
      </c>
      <c r="BB179" s="8" t="n">
        <v>0</v>
      </c>
      <c r="BC179" s="8" t="n">
        <v>0</v>
      </c>
      <c r="BD179" s="8" t="n">
        <v>0</v>
      </c>
      <c r="BE179" s="9">
        <f>BC179+BD179</f>
        <v/>
      </c>
      <c r="BF179" s="9">
        <f>BA179+BB179-BE179</f>
        <v/>
      </c>
      <c r="BG179" s="8" t="n">
        <v>0</v>
      </c>
      <c r="BH179" s="8" t="n">
        <v>0</v>
      </c>
      <c r="BI179" s="8" t="n">
        <v>0</v>
      </c>
      <c r="BJ179" s="8" t="n">
        <v>0</v>
      </c>
      <c r="BK179" s="9">
        <f>BI179+BJ179</f>
        <v/>
      </c>
      <c r="BL179" s="9">
        <f>BG179+BH179-BK179</f>
        <v/>
      </c>
      <c r="BM179" s="8" t="n">
        <v>0</v>
      </c>
      <c r="BN179" s="8" t="n">
        <v>0</v>
      </c>
      <c r="BO179" s="8" t="n">
        <v>0</v>
      </c>
      <c r="BP179" s="8" t="n">
        <v>0</v>
      </c>
      <c r="BQ179" s="9">
        <f>BO179+BP179</f>
        <v/>
      </c>
      <c r="BR179" s="9">
        <f>BM179+BN179-BQ179</f>
        <v/>
      </c>
      <c r="BS179" s="8" t="n">
        <v>0</v>
      </c>
      <c r="BT179" s="8" t="n">
        <v>0</v>
      </c>
      <c r="BU179" s="8" t="n">
        <v>0</v>
      </c>
      <c r="BV179" s="8" t="n">
        <v>0</v>
      </c>
      <c r="BW179" s="9">
        <f>BU179+BV179</f>
        <v/>
      </c>
      <c r="BX179" s="9">
        <f>BS179+BT179-BW179</f>
        <v/>
      </c>
      <c r="BY179" s="9">
        <f>BA179+BG179+BM179+BS179</f>
        <v/>
      </c>
      <c r="BZ179" s="9">
        <f>BB179+BH179+BN179+BT179</f>
        <v/>
      </c>
      <c r="CA179" s="9">
        <f>BE179+BK179+BQ179+BW179</f>
        <v/>
      </c>
      <c r="CB179" s="9">
        <f>BF179+BL179+BR179+BX179</f>
        <v/>
      </c>
      <c r="CC179" s="8" t="n">
        <v>0</v>
      </c>
      <c r="CD179" s="8" t="n">
        <v>13</v>
      </c>
      <c r="CE179" s="8" t="n">
        <v>5</v>
      </c>
      <c r="CF179" s="8" t="n">
        <v>5</v>
      </c>
      <c r="CG179" s="8" t="n">
        <v>11</v>
      </c>
      <c r="CH179" s="9">
        <f>CD179+CE179+CF179+CG179</f>
        <v/>
      </c>
      <c r="CI179" s="8" t="n">
        <v>0</v>
      </c>
      <c r="CJ179" s="8" t="n">
        <v>0</v>
      </c>
      <c r="CK179" s="8" t="n">
        <v>0</v>
      </c>
      <c r="CL179" s="8" t="n">
        <v>0</v>
      </c>
      <c r="CM179" s="9">
        <f>CI179+CJ179+CK179+CL179</f>
        <v/>
      </c>
      <c r="CN179" s="8" t="n">
        <v>213</v>
      </c>
      <c r="CO179" s="8" t="n">
        <v>9</v>
      </c>
      <c r="CP179" s="8" t="n">
        <v>14</v>
      </c>
      <c r="CQ179" s="8" t="n">
        <v>3</v>
      </c>
      <c r="CR179" s="9">
        <f>CN179+CO179+CP179+CQ179</f>
        <v/>
      </c>
      <c r="CS179" s="9">
        <f>CM179+CR179</f>
        <v/>
      </c>
      <c r="CT179" s="8" t="n">
        <v>273</v>
      </c>
      <c r="CU179" s="8" t="n">
        <v>2250</v>
      </c>
      <c r="CV179" s="8" t="n">
        <v>1160</v>
      </c>
      <c r="CW179" s="10">
        <f>IF(CU179=0,"",CV179/CU179)</f>
        <v/>
      </c>
      <c r="CX179" s="8" t="n">
        <v>0</v>
      </c>
      <c r="CY179" s="8" t="n">
        <v>0</v>
      </c>
      <c r="CZ179" s="8" t="n">
        <v>0</v>
      </c>
      <c r="DA179" s="8" t="n">
        <v>0</v>
      </c>
      <c r="DB179" s="9">
        <f>CX179+CY179-CZ179-DA179</f>
        <v/>
      </c>
      <c r="DC179" s="8" t="n">
        <v>0</v>
      </c>
      <c r="DD179" s="8" t="n">
        <v>0</v>
      </c>
      <c r="DE179" s="8" t="n">
        <v>0</v>
      </c>
      <c r="DF179" s="8" t="n">
        <v>0</v>
      </c>
      <c r="DG179" s="9">
        <f>DC179+DD179-DE179-DF179</f>
        <v/>
      </c>
      <c r="DH179" s="8" t="n">
        <v>0</v>
      </c>
      <c r="DI179" s="8" t="n">
        <v>0</v>
      </c>
      <c r="DJ179" s="8" t="n">
        <v>0</v>
      </c>
      <c r="DK179" s="8" t="n">
        <v>0</v>
      </c>
      <c r="DL179" s="9">
        <f>DH179+DI179-DJ179-DK179</f>
        <v/>
      </c>
      <c r="DM179" s="8" t="n">
        <v>0</v>
      </c>
      <c r="DN179" s="8" t="n">
        <v>0</v>
      </c>
      <c r="DO179" s="8" t="n">
        <v>0</v>
      </c>
      <c r="DP179" s="8" t="n">
        <v>0</v>
      </c>
      <c r="DQ179" s="9">
        <f>DM179+DN179-DO179-DP179</f>
        <v/>
      </c>
      <c r="DR179" s="9">
        <f>CX179+DC179+DH179+DM179</f>
        <v/>
      </c>
      <c r="DS179" s="9">
        <f>CY179+DD179+DI179+DN179</f>
        <v/>
      </c>
      <c r="DT179" s="9">
        <f>CZ179+DE179+DJ179+DO179</f>
        <v/>
      </c>
      <c r="DU179" s="9">
        <f>DA179+DF179+DK179+DP179</f>
        <v/>
      </c>
      <c r="DV179" s="9">
        <f>DB179+DG179+DL179+DQ179</f>
        <v/>
      </c>
      <c r="DW179" s="8" t="n">
        <v>2</v>
      </c>
      <c r="DX179" s="8" t="n">
        <v>1</v>
      </c>
      <c r="DY179" s="8" t="n">
        <v>0</v>
      </c>
      <c r="DZ179" s="8" t="n">
        <v>0</v>
      </c>
      <c r="EA179" s="8" t="n">
        <v>0</v>
      </c>
      <c r="EB179" s="8" t="n">
        <v>0</v>
      </c>
      <c r="EC179" s="8" t="n">
        <v>0</v>
      </c>
      <c r="ED179" s="8" t="n">
        <v>0</v>
      </c>
      <c r="EE179" s="8" t="n">
        <v>0</v>
      </c>
      <c r="EF179" s="8" t="n">
        <v>0</v>
      </c>
      <c r="EG179" s="8" t="n">
        <v>0</v>
      </c>
      <c r="EH179" s="8" t="n">
        <v>0</v>
      </c>
      <c r="EI179" s="8" t="n">
        <v>0</v>
      </c>
      <c r="EJ179" s="8" t="n">
        <v>0</v>
      </c>
      <c r="EK179" s="8" t="n">
        <v>0</v>
      </c>
      <c r="EL179" s="8" t="n">
        <v>0</v>
      </c>
      <c r="EM179" s="8" t="n">
        <v>0</v>
      </c>
      <c r="EN179" s="8" t="n">
        <v>0</v>
      </c>
      <c r="EO179" s="8" t="n">
        <v>0</v>
      </c>
      <c r="EP179" s="8" t="n">
        <v>0</v>
      </c>
      <c r="EQ179" s="8" t="n">
        <v>0</v>
      </c>
      <c r="ER179" s="8" t="n">
        <v>0</v>
      </c>
      <c r="ES179" s="8" t="n">
        <v>0</v>
      </c>
      <c r="ET179" s="8" t="n">
        <v>0</v>
      </c>
      <c r="EU179" s="8" t="n">
        <v>0</v>
      </c>
      <c r="EV179" s="8" t="n">
        <v>0</v>
      </c>
      <c r="EW179" s="8" t="n">
        <v>0</v>
      </c>
      <c r="EX179" s="8" t="n">
        <v>0</v>
      </c>
      <c r="EY179" s="8" t="n">
        <v>0</v>
      </c>
      <c r="EZ179" s="8" t="n">
        <v>0</v>
      </c>
      <c r="FA179" s="8" t="n">
        <v>0</v>
      </c>
      <c r="FB179" s="8" t="n">
        <v>0</v>
      </c>
      <c r="FC179" s="8" t="n">
        <v>0</v>
      </c>
      <c r="FD179" s="8" t="n">
        <v>0</v>
      </c>
      <c r="FE179" s="8" t="n">
        <v>0</v>
      </c>
      <c r="FF179" s="8" t="n">
        <v>0</v>
      </c>
      <c r="FG179" s="9">
        <f>SUM(DW179,DX179,DY179,DZ179,EA179,EB179,EC179,ED179,EE179,EF179,EG179,EH179,EI179,EJ179,EK179,EL179,EM179,EN179,EO179,EP179,EQ179,ER179,ES179,ET179,EU179,EV179,EW179,EX179,EY179,EZ179,FA179,FB179,FC179,FD179,FE179,FF179)</f>
        <v/>
      </c>
      <c r="FH179" s="8" t="n">
        <v>3</v>
      </c>
      <c r="FI179" s="8" t="n">
        <v>0</v>
      </c>
      <c r="FJ179" s="8" t="n">
        <v>4</v>
      </c>
      <c r="FK179" s="8" t="n">
        <v>0</v>
      </c>
      <c r="FL179" s="8" t="n">
        <v>0</v>
      </c>
      <c r="FM179" s="8" t="n">
        <v>0</v>
      </c>
      <c r="FN179" s="8" t="n">
        <v>0</v>
      </c>
      <c r="FO179" s="8" t="n">
        <v>0</v>
      </c>
      <c r="FP179" s="8" t="n">
        <v>0</v>
      </c>
      <c r="FQ179" s="9">
        <f>FL179+FM179+FN179+FO179+FP179</f>
        <v/>
      </c>
      <c r="FR179" s="8" t="n">
        <v>0</v>
      </c>
      <c r="FS179" s="8" t="n">
        <v>0</v>
      </c>
      <c r="FT179" s="8" t="n">
        <v>0</v>
      </c>
      <c r="FU179" s="8" t="n">
        <v>0</v>
      </c>
      <c r="FV179" s="9">
        <f>FR179+FS179+FT179+FU179</f>
        <v/>
      </c>
      <c r="FW179" s="8" t="n">
        <v>1079280</v>
      </c>
      <c r="FX179" s="8" t="n">
        <v>2000</v>
      </c>
      <c r="FY179" s="8" t="n">
        <v>349500</v>
      </c>
      <c r="FZ179" s="8" t="n">
        <v>110000</v>
      </c>
      <c r="GA179" s="9">
        <f>FW179+FX179+FY179+FZ179</f>
        <v/>
      </c>
      <c r="GB179" s="9">
        <f>FV179+GA179</f>
        <v/>
      </c>
      <c r="GC179" s="8" t="n">
        <v>0</v>
      </c>
      <c r="GD179" s="8" t="n">
        <v>0</v>
      </c>
      <c r="GE179" s="8" t="n">
        <v>0</v>
      </c>
      <c r="GF179" s="8" t="n">
        <v>0</v>
      </c>
      <c r="GG179" s="9">
        <f>GC179+GD179+GE179+GF179</f>
        <v/>
      </c>
      <c r="GH179" s="8" t="n">
        <v>0</v>
      </c>
      <c r="GI179" s="8" t="n">
        <v>0</v>
      </c>
      <c r="GJ179" s="8" t="n">
        <v>0</v>
      </c>
      <c r="GK179" s="8" t="n">
        <v>0</v>
      </c>
      <c r="GL179" s="9">
        <f>GH179+GI179+GJ179+GK179</f>
        <v/>
      </c>
      <c r="GM179" s="9">
        <f>GG179+GL179</f>
        <v/>
      </c>
      <c r="GN179" s="8" t="n">
        <v>0</v>
      </c>
      <c r="GO179" s="8" t="n">
        <v>0</v>
      </c>
      <c r="GP179" s="8" t="n">
        <v>0</v>
      </c>
      <c r="GQ179" s="8" t="n">
        <v>0</v>
      </c>
      <c r="GR179" s="9">
        <f>GN179+GO179+GP179+GQ179</f>
        <v/>
      </c>
      <c r="GS179" s="8" t="n">
        <v>0</v>
      </c>
      <c r="GT179" s="8" t="n">
        <v>0</v>
      </c>
      <c r="GU179" s="8" t="n">
        <v>0</v>
      </c>
      <c r="GV179" s="8" t="n">
        <v>0</v>
      </c>
      <c r="GW179" s="9">
        <f>GS179+GT179+GU179+GV179</f>
        <v/>
      </c>
      <c r="GX179" s="9">
        <f>GM179+GR179+GW179</f>
        <v/>
      </c>
      <c r="GY179" s="8" t="n">
        <v>17241752.19</v>
      </c>
      <c r="GZ179" s="8" t="n">
        <v>6094751.91</v>
      </c>
      <c r="HA179" s="9">
        <f>GY179+GZ179</f>
        <v/>
      </c>
      <c r="HB179" s="9">
        <f>IF(GX179=0,"",AU179/GX179)</f>
        <v/>
      </c>
      <c r="HC179" s="10">
        <f>IF((GX179+GY179)=0,"",GB179/(GX179+GY179))</f>
        <v/>
      </c>
      <c r="HD179" s="9">
        <f>IF(GX179=0,"",GB179/GX179)</f>
        <v/>
      </c>
      <c r="HE179" s="8" t="n">
        <v>0</v>
      </c>
      <c r="HF179" s="8" t="n">
        <v>1</v>
      </c>
      <c r="HG179" s="8" t="n">
        <v>11</v>
      </c>
      <c r="HH179" s="8" t="n">
        <v>0</v>
      </c>
      <c r="HI179" s="8" t="n">
        <v>0</v>
      </c>
      <c r="HJ179" s="9">
        <f>HF179+HI179</f>
        <v/>
      </c>
      <c r="HK179" s="10">
        <f>IF(HE179=0,"",HH179/HE179)</f>
        <v/>
      </c>
      <c r="HL179" s="8" t="n">
        <v>20</v>
      </c>
      <c r="HM179" s="8" t="n">
        <v>40</v>
      </c>
      <c r="HN179" s="11">
        <f>IF(HL179=0,"",HM179/HL179)</f>
        <v/>
      </c>
    </row>
    <row r="180">
      <c r="A180" s="12" t="inlineStr">
        <is>
          <t>Mulanje</t>
        </is>
      </c>
      <c r="B180" s="12" t="inlineStr">
        <is>
          <t>Nkando</t>
        </is>
      </c>
      <c r="C180" s="13" t="inlineStr">
        <is>
          <t>FY2025/26</t>
        </is>
      </c>
      <c r="D180" s="13" t="n">
        <v>2026</v>
      </c>
      <c r="E180" s="13" t="n">
        <v>1</v>
      </c>
      <c r="F180" s="13" t="inlineStr">
        <is>
          <t>January</t>
        </is>
      </c>
      <c r="G180" s="13" t="inlineStr">
        <is>
          <t>Q4</t>
        </is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  <c r="M180" s="15" t="n">
        <v>0</v>
      </c>
      <c r="N180" s="14" t="n">
        <v>0</v>
      </c>
      <c r="O180" s="14" t="n">
        <v>0</v>
      </c>
      <c r="P180" s="14" t="n">
        <v>0</v>
      </c>
      <c r="Q180" s="14" t="n">
        <v>0</v>
      </c>
      <c r="R180" s="15" t="n">
        <v>0</v>
      </c>
      <c r="S180" s="15" t="n">
        <v>0</v>
      </c>
      <c r="T180" s="14" t="n">
        <v>0</v>
      </c>
      <c r="U180" s="16" t="n"/>
      <c r="V180" s="14" t="n">
        <v>0</v>
      </c>
      <c r="W180" s="17" t="n"/>
      <c r="X180" s="14" t="n">
        <v>0</v>
      </c>
      <c r="Y180" s="17" t="n"/>
      <c r="Z180" s="14" t="n">
        <v>0</v>
      </c>
      <c r="AA180" s="17" t="n"/>
      <c r="AB180" s="14" t="n">
        <v>0</v>
      </c>
      <c r="AC180" s="17" t="n">
        <v>0</v>
      </c>
      <c r="AD180" s="14" t="n">
        <v>0</v>
      </c>
      <c r="AE180" s="17" t="n"/>
      <c r="AF180" s="14" t="n">
        <v>0</v>
      </c>
      <c r="AG180" s="17" t="n"/>
      <c r="AH180" s="14" t="n">
        <v>0</v>
      </c>
      <c r="AI180" s="15" t="n"/>
      <c r="AJ180" s="14" t="n">
        <v>0</v>
      </c>
      <c r="AK180" s="17" t="n"/>
      <c r="AL180" s="14" t="n">
        <v>16426.5</v>
      </c>
      <c r="AM180" s="15" t="n"/>
      <c r="AN180" s="14" t="n">
        <v>0</v>
      </c>
      <c r="AO180" s="14" t="n">
        <v>0</v>
      </c>
      <c r="AP180" s="14" t="n">
        <v>0</v>
      </c>
      <c r="AQ180" s="14" t="n">
        <v>0</v>
      </c>
      <c r="AR180" s="14" t="n">
        <v>0</v>
      </c>
      <c r="AS180" s="14" t="n">
        <v>0</v>
      </c>
      <c r="AT180" s="14" t="n">
        <v>0</v>
      </c>
      <c r="AU180" s="15" t="n">
        <v>16426.5</v>
      </c>
      <c r="AV180" s="15" t="n"/>
      <c r="AW180" s="15" t="n"/>
      <c r="AX180" s="14" t="n">
        <v>0</v>
      </c>
      <c r="AY180" s="15" t="n"/>
      <c r="AZ180" s="14" t="n">
        <v>0</v>
      </c>
      <c r="BA180" s="14" t="n">
        <v>11</v>
      </c>
      <c r="BB180" s="14" t="n">
        <v>0</v>
      </c>
      <c r="BC180" s="14" t="n">
        <v>0</v>
      </c>
      <c r="BD180" s="14" t="n">
        <v>0</v>
      </c>
      <c r="BE180" s="15" t="n">
        <v>0</v>
      </c>
      <c r="BF180" s="15" t="n">
        <v>11</v>
      </c>
      <c r="BG180" s="14" t="n">
        <v>0</v>
      </c>
      <c r="BH180" s="14" t="n">
        <v>0</v>
      </c>
      <c r="BI180" s="14" t="n">
        <v>0</v>
      </c>
      <c r="BJ180" s="14" t="n">
        <v>0</v>
      </c>
      <c r="BK180" s="15" t="n">
        <v>0</v>
      </c>
      <c r="BL180" s="15" t="n">
        <v>0</v>
      </c>
      <c r="BM180" s="14" t="n">
        <v>0</v>
      </c>
      <c r="BN180" s="14" t="n">
        <v>0</v>
      </c>
      <c r="BO180" s="14" t="n">
        <v>0</v>
      </c>
      <c r="BP180" s="14" t="n">
        <v>0</v>
      </c>
      <c r="BQ180" s="15" t="n">
        <v>0</v>
      </c>
      <c r="BR180" s="15" t="n">
        <v>0</v>
      </c>
      <c r="BS180" s="14" t="n">
        <v>0</v>
      </c>
      <c r="BT180" s="14" t="n">
        <v>0</v>
      </c>
      <c r="BU180" s="14" t="n">
        <v>0</v>
      </c>
      <c r="BV180" s="14" t="n">
        <v>0</v>
      </c>
      <c r="BW180" s="15" t="n">
        <v>0</v>
      </c>
      <c r="BX180" s="15" t="n">
        <v>0</v>
      </c>
      <c r="BY180" s="15" t="n">
        <v>11</v>
      </c>
      <c r="BZ180" s="15" t="n">
        <v>0</v>
      </c>
      <c r="CA180" s="15" t="n">
        <v>0</v>
      </c>
      <c r="CB180" s="15" t="n">
        <v>11</v>
      </c>
      <c r="CC180" s="14" t="n">
        <v>0</v>
      </c>
      <c r="CD180" s="14" t="n">
        <v>13</v>
      </c>
      <c r="CE180" s="14" t="n">
        <v>5</v>
      </c>
      <c r="CF180" s="14" t="n">
        <v>5</v>
      </c>
      <c r="CG180" s="14" t="n">
        <v>11</v>
      </c>
      <c r="CH180" s="15" t="n">
        <v>34</v>
      </c>
      <c r="CI180" s="14" t="n">
        <v>0</v>
      </c>
      <c r="CJ180" s="14" t="n">
        <v>0</v>
      </c>
      <c r="CK180" s="14" t="n">
        <v>0</v>
      </c>
      <c r="CL180" s="14" t="n">
        <v>0</v>
      </c>
      <c r="CM180" s="15" t="n">
        <v>0</v>
      </c>
      <c r="CN180" s="14" t="n">
        <v>213</v>
      </c>
      <c r="CO180" s="14" t="n">
        <v>9</v>
      </c>
      <c r="CP180" s="14" t="n">
        <v>14</v>
      </c>
      <c r="CQ180" s="14" t="n">
        <v>3</v>
      </c>
      <c r="CR180" s="15" t="n">
        <v>239</v>
      </c>
      <c r="CS180" s="15" t="n">
        <v>239</v>
      </c>
      <c r="CT180" s="14" t="n">
        <v>273</v>
      </c>
      <c r="CU180" s="14" t="n">
        <v>2250</v>
      </c>
      <c r="CV180" s="14" t="n">
        <v>1160</v>
      </c>
      <c r="CW180" s="16" t="n">
        <v>0.5155555555555555</v>
      </c>
      <c r="CX180" s="14" t="n">
        <v>0</v>
      </c>
      <c r="CY180" s="14" t="n">
        <v>0</v>
      </c>
      <c r="CZ180" s="14" t="n">
        <v>0</v>
      </c>
      <c r="DA180" s="14" t="n">
        <v>0</v>
      </c>
      <c r="DB180" s="15" t="n">
        <v>0</v>
      </c>
      <c r="DC180" s="14" t="n">
        <v>0</v>
      </c>
      <c r="DD180" s="14" t="n">
        <v>0</v>
      </c>
      <c r="DE180" s="14" t="n">
        <v>0</v>
      </c>
      <c r="DF180" s="14" t="n">
        <v>0</v>
      </c>
      <c r="DG180" s="15" t="n">
        <v>0</v>
      </c>
      <c r="DH180" s="14" t="n">
        <v>0</v>
      </c>
      <c r="DI180" s="14" t="n">
        <v>0</v>
      </c>
      <c r="DJ180" s="14" t="n">
        <v>0</v>
      </c>
      <c r="DK180" s="14" t="n">
        <v>0</v>
      </c>
      <c r="DL180" s="15" t="n">
        <v>0</v>
      </c>
      <c r="DM180" s="14" t="n">
        <v>0</v>
      </c>
      <c r="DN180" s="14" t="n">
        <v>0</v>
      </c>
      <c r="DO180" s="14" t="n">
        <v>0</v>
      </c>
      <c r="DP180" s="14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4" t="n">
        <v>0</v>
      </c>
      <c r="DX180" s="14" t="n">
        <v>0</v>
      </c>
      <c r="DY180" s="14" t="n">
        <v>0</v>
      </c>
      <c r="DZ180" s="14" t="n">
        <v>0</v>
      </c>
      <c r="EA180" s="14" t="n">
        <v>0</v>
      </c>
      <c r="EB180" s="14" t="n">
        <v>0</v>
      </c>
      <c r="EC180" s="14" t="n">
        <v>0</v>
      </c>
      <c r="ED180" s="14" t="n">
        <v>0</v>
      </c>
      <c r="EE180" s="14" t="n">
        <v>0</v>
      </c>
      <c r="EF180" s="14" t="n">
        <v>0</v>
      </c>
      <c r="EG180" s="14" t="n">
        <v>0</v>
      </c>
      <c r="EH180" s="14" t="n">
        <v>0</v>
      </c>
      <c r="EI180" s="14" t="n">
        <v>0</v>
      </c>
      <c r="EJ180" s="14" t="n">
        <v>0</v>
      </c>
      <c r="EK180" s="14" t="n">
        <v>0</v>
      </c>
      <c r="EL180" s="14" t="n">
        <v>0</v>
      </c>
      <c r="EM180" s="14" t="n">
        <v>0</v>
      </c>
      <c r="EN180" s="14" t="n">
        <v>0</v>
      </c>
      <c r="EO180" s="14" t="n">
        <v>0</v>
      </c>
      <c r="EP180" s="14" t="n">
        <v>0</v>
      </c>
      <c r="EQ180" s="14" t="n">
        <v>0</v>
      </c>
      <c r="ER180" s="14" t="n">
        <v>0</v>
      </c>
      <c r="ES180" s="14" t="n">
        <v>0</v>
      </c>
      <c r="ET180" s="14" t="n">
        <v>0</v>
      </c>
      <c r="EU180" s="14" t="n">
        <v>0</v>
      </c>
      <c r="EV180" s="14" t="n">
        <v>0</v>
      </c>
      <c r="EW180" s="14" t="n">
        <v>0</v>
      </c>
      <c r="EX180" s="14" t="n">
        <v>0</v>
      </c>
      <c r="EY180" s="14" t="n">
        <v>0</v>
      </c>
      <c r="EZ180" s="14" t="n">
        <v>0</v>
      </c>
      <c r="FA180" s="14" t="n">
        <v>0</v>
      </c>
      <c r="FB180" s="14" t="n">
        <v>0</v>
      </c>
      <c r="FC180" s="14" t="n">
        <v>0</v>
      </c>
      <c r="FD180" s="14" t="n">
        <v>0</v>
      </c>
      <c r="FE180" s="14" t="n">
        <v>0</v>
      </c>
      <c r="FF180" s="14" t="n">
        <v>0</v>
      </c>
      <c r="FG180" s="15" t="n">
        <v>0</v>
      </c>
      <c r="FH180" s="14" t="n">
        <v>0</v>
      </c>
      <c r="FI180" s="14" t="n">
        <v>0</v>
      </c>
      <c r="FJ180" s="14" t="n">
        <v>0</v>
      </c>
      <c r="FK180" s="14" t="n">
        <v>0</v>
      </c>
      <c r="FL180" s="14" t="n">
        <v>0</v>
      </c>
      <c r="FM180" s="14" t="n">
        <v>0</v>
      </c>
      <c r="FN180" s="14" t="n">
        <v>0</v>
      </c>
      <c r="FO180" s="14" t="n">
        <v>0</v>
      </c>
      <c r="FP180" s="14" t="n">
        <v>0</v>
      </c>
      <c r="FQ180" s="15" t="n">
        <v>0</v>
      </c>
      <c r="FR180" s="14" t="n">
        <v>0</v>
      </c>
      <c r="FS180" s="14" t="n">
        <v>0</v>
      </c>
      <c r="FT180" s="14" t="n">
        <v>0</v>
      </c>
      <c r="FU180" s="14" t="n">
        <v>0</v>
      </c>
      <c r="FV180" s="15" t="n">
        <v>0</v>
      </c>
      <c r="FW180" s="14" t="n">
        <v>7700</v>
      </c>
      <c r="FX180" s="14" t="n">
        <v>0</v>
      </c>
      <c r="FY180" s="14" t="n">
        <v>0</v>
      </c>
      <c r="FZ180" s="14" t="n">
        <v>0</v>
      </c>
      <c r="GA180" s="15" t="n">
        <v>0</v>
      </c>
      <c r="GB180" s="15" t="n">
        <v>7700</v>
      </c>
      <c r="GC180" s="14" t="n">
        <v>0</v>
      </c>
      <c r="GD180" s="14" t="n">
        <v>0</v>
      </c>
      <c r="GE180" s="14" t="n">
        <v>0</v>
      </c>
      <c r="GF180" s="14" t="n">
        <v>0</v>
      </c>
      <c r="GG180" s="15" t="n">
        <v>0</v>
      </c>
      <c r="GH180" s="14" t="n">
        <v>0</v>
      </c>
      <c r="GI180" s="14" t="n">
        <v>0</v>
      </c>
      <c r="GJ180" s="14" t="n">
        <v>0</v>
      </c>
      <c r="GK180" s="14" t="n">
        <v>0</v>
      </c>
      <c r="GL180" s="15" t="n">
        <v>0</v>
      </c>
      <c r="GM180" s="15" t="n">
        <v>0</v>
      </c>
      <c r="GN180" s="14" t="n">
        <v>0</v>
      </c>
      <c r="GO180" s="14" t="n">
        <v>0</v>
      </c>
      <c r="GP180" s="14" t="n">
        <v>0</v>
      </c>
      <c r="GQ180" s="14" t="n">
        <v>0</v>
      </c>
      <c r="GR180" s="15" t="n">
        <v>0</v>
      </c>
      <c r="GS180" s="14" t="n">
        <v>0</v>
      </c>
      <c r="GT180" s="14" t="n">
        <v>0</v>
      </c>
      <c r="GU180" s="14" t="n">
        <v>0</v>
      </c>
      <c r="GV180" s="14" t="n">
        <v>0</v>
      </c>
      <c r="GW180" s="15" t="n">
        <v>0</v>
      </c>
      <c r="GX180" s="15" t="n">
        <v>0</v>
      </c>
      <c r="GY180" s="14" t="n">
        <v>17241752.19</v>
      </c>
      <c r="GZ180" s="14" t="n">
        <v>6094751.91</v>
      </c>
      <c r="HA180" s="15" t="n">
        <v>0</v>
      </c>
      <c r="HB180" s="15" t="n">
        <v>0</v>
      </c>
      <c r="HC180" s="16" t="n">
        <v>0</v>
      </c>
      <c r="HD180" s="15" t="n">
        <v>0</v>
      </c>
      <c r="HE180" s="14" t="n">
        <v>0</v>
      </c>
      <c r="HF180" s="14" t="n">
        <v>0</v>
      </c>
      <c r="HG180" s="14" t="n">
        <v>11</v>
      </c>
      <c r="HH180" s="14" t="n">
        <v>0</v>
      </c>
      <c r="HI180" s="14" t="n">
        <v>0</v>
      </c>
      <c r="HJ180" s="15" t="n">
        <v>0</v>
      </c>
      <c r="HK180" s="16" t="n"/>
      <c r="HL180" s="14" t="n">
        <v>0</v>
      </c>
      <c r="HM180" s="14" t="n">
        <v>0</v>
      </c>
      <c r="HN180" s="17" t="n">
        <v>0</v>
      </c>
    </row>
    <row r="181">
      <c r="A181" s="6" t="inlineStr">
        <is>
          <t>Mulanje</t>
        </is>
      </c>
      <c r="B181" s="6" t="inlineStr">
        <is>
          <t>Nkando</t>
        </is>
      </c>
      <c r="C181" s="7" t="inlineStr">
        <is>
          <t>FY2025/26</t>
        </is>
      </c>
      <c r="D181" s="7" t="n">
        <v>2026</v>
      </c>
      <c r="E181" s="7" t="n">
        <v>2</v>
      </c>
      <c r="F181" s="7" t="inlineStr">
        <is>
          <t>February</t>
        </is>
      </c>
      <c r="G181" s="7" t="inlineStr">
        <is>
          <t>Q4</t>
        </is>
      </c>
      <c r="H181" s="8" t="n">
        <v>1125</v>
      </c>
      <c r="I181" s="8" t="n">
        <v>0</v>
      </c>
      <c r="J181" s="8" t="n">
        <v>0</v>
      </c>
      <c r="K181" s="8" t="n">
        <v>0</v>
      </c>
      <c r="L181" s="8" t="n">
        <v>0</v>
      </c>
      <c r="M181" s="9">
        <f>SUM(I181,J181,K181,L181)</f>
        <v/>
      </c>
      <c r="N181" s="8" t="n">
        <v>767.6999999999996</v>
      </c>
      <c r="O181" s="8" t="n">
        <v>8</v>
      </c>
      <c r="P181" s="8" t="n">
        <v>15.1</v>
      </c>
      <c r="Q181" s="8" t="n">
        <v>13.8</v>
      </c>
      <c r="R181" s="9">
        <f>SUM(N181,O181,P181,Q181)</f>
        <v/>
      </c>
      <c r="S181" s="9">
        <f>M181+R181</f>
        <v/>
      </c>
      <c r="T181" s="8" t="n">
        <v>320.4000000000004</v>
      </c>
      <c r="U181" s="10">
        <f>IF(H181=0,"",T181/H181)</f>
        <v/>
      </c>
      <c r="V181" s="8" t="n">
        <v>1</v>
      </c>
      <c r="W181" s="11">
        <f>IF(H181=0,"",V181/H181)</f>
        <v/>
      </c>
      <c r="X181" s="8" t="n">
        <v>0</v>
      </c>
      <c r="Y181" s="11">
        <f>IF(H181=0,"",X181/H181)</f>
        <v/>
      </c>
      <c r="Z181" s="8" t="n">
        <v>0</v>
      </c>
      <c r="AA181" s="11">
        <f>IF(H181=0,"",Z181/H181)</f>
        <v/>
      </c>
      <c r="AB181" s="8" t="n">
        <v>0</v>
      </c>
      <c r="AC181" s="11">
        <f>IF(H181=0,"",AB181/H181)</f>
        <v/>
      </c>
      <c r="AD181" s="8" t="n">
        <v>0</v>
      </c>
      <c r="AE181" s="11">
        <f>IF(H181=0,"",AD181/H181)</f>
        <v/>
      </c>
      <c r="AF181" s="8" t="n">
        <v>0</v>
      </c>
      <c r="AG181" s="11">
        <f>IF(H181=0,"",AF181/H181)</f>
        <v/>
      </c>
      <c r="AH181" s="8" t="n">
        <v>5111.67</v>
      </c>
      <c r="AI181" s="9">
        <f>IF(H181=0,"",AH181/H181)</f>
        <v/>
      </c>
      <c r="AJ181" s="8" t="n">
        <v>2000</v>
      </c>
      <c r="AK181" s="11">
        <f>IF(H181=0,"",AJ181/H181)</f>
        <v/>
      </c>
      <c r="AL181" s="8" t="n">
        <v>293929.5</v>
      </c>
      <c r="AM181" s="9">
        <f>IF(H181=0,"",AL181/H181)</f>
        <v/>
      </c>
      <c r="AN181" s="8" t="n">
        <v>0</v>
      </c>
      <c r="AO181" s="8" t="n">
        <v>0</v>
      </c>
      <c r="AP181" s="8" t="n">
        <v>0</v>
      </c>
      <c r="AQ181" s="8" t="n">
        <v>0</v>
      </c>
      <c r="AR181" s="8" t="n">
        <v>0</v>
      </c>
      <c r="AS181" s="8" t="n">
        <v>0</v>
      </c>
      <c r="AT181" s="8" t="n">
        <v>0</v>
      </c>
      <c r="AU181" s="9">
        <f>AH181+AL181+AP181+AQ181+AR181+AS181+AT181</f>
        <v/>
      </c>
      <c r="AV181" s="9">
        <f>IF(H181=0,"",AU181/H181)</f>
        <v/>
      </c>
      <c r="AW181" s="9">
        <f>IF(S181=0,"",AU181/S181)</f>
        <v/>
      </c>
      <c r="AX181" s="8" t="n">
        <v>5</v>
      </c>
      <c r="AY181" s="9">
        <f>IF(H181=0,"",AX181/(H181/1000/12))</f>
        <v/>
      </c>
      <c r="AZ181" s="8" t="n">
        <v>1</v>
      </c>
      <c r="BA181" s="8" t="n">
        <v>11</v>
      </c>
      <c r="BB181" s="8" t="n">
        <v>0</v>
      </c>
      <c r="BC181" s="8" t="n">
        <v>0</v>
      </c>
      <c r="BD181" s="8" t="n">
        <v>0</v>
      </c>
      <c r="BE181" s="9">
        <f>BC181+BD181</f>
        <v/>
      </c>
      <c r="BF181" s="9">
        <f>BA181+BB181-BE181</f>
        <v/>
      </c>
      <c r="BG181" s="8" t="n">
        <v>0</v>
      </c>
      <c r="BH181" s="8" t="n">
        <v>0</v>
      </c>
      <c r="BI181" s="8" t="n">
        <v>0</v>
      </c>
      <c r="BJ181" s="8" t="n">
        <v>0</v>
      </c>
      <c r="BK181" s="9">
        <f>BI181+BJ181</f>
        <v/>
      </c>
      <c r="BL181" s="9">
        <f>BG181+BH181-BK181</f>
        <v/>
      </c>
      <c r="BM181" s="8" t="n">
        <v>0</v>
      </c>
      <c r="BN181" s="8" t="n">
        <v>0</v>
      </c>
      <c r="BO181" s="8" t="n">
        <v>0</v>
      </c>
      <c r="BP181" s="8" t="n">
        <v>0</v>
      </c>
      <c r="BQ181" s="9">
        <f>BO181+BP181</f>
        <v/>
      </c>
      <c r="BR181" s="9">
        <f>BM181+BN181-BQ181</f>
        <v/>
      </c>
      <c r="BS181" s="8" t="n">
        <v>0</v>
      </c>
      <c r="BT181" s="8" t="n">
        <v>0</v>
      </c>
      <c r="BU181" s="8" t="n">
        <v>0</v>
      </c>
      <c r="BV181" s="8" t="n">
        <v>0</v>
      </c>
      <c r="BW181" s="9">
        <f>BU181+BV181</f>
        <v/>
      </c>
      <c r="BX181" s="9">
        <f>BS181+BT181-BW181</f>
        <v/>
      </c>
      <c r="BY181" s="9">
        <f>BA181+BG181+BM181+BS181</f>
        <v/>
      </c>
      <c r="BZ181" s="9">
        <f>BB181+BH181+BN181+BT181</f>
        <v/>
      </c>
      <c r="CA181" s="9">
        <f>BE181+BK181+BQ181+BW181</f>
        <v/>
      </c>
      <c r="CB181" s="9">
        <f>BF181+BL181+BR181+BX181</f>
        <v/>
      </c>
      <c r="CC181" s="8" t="n">
        <v>0</v>
      </c>
      <c r="CD181" s="8" t="n">
        <v>13</v>
      </c>
      <c r="CE181" s="8" t="n">
        <v>5</v>
      </c>
      <c r="CF181" s="8" t="n">
        <v>5</v>
      </c>
      <c r="CG181" s="8" t="n">
        <v>11</v>
      </c>
      <c r="CH181" s="9">
        <f>CD181+CE181+CF181+CG181</f>
        <v/>
      </c>
      <c r="CI181" s="8" t="n">
        <v>0</v>
      </c>
      <c r="CJ181" s="8" t="n">
        <v>0</v>
      </c>
      <c r="CK181" s="8" t="n">
        <v>0</v>
      </c>
      <c r="CL181" s="8" t="n">
        <v>0</v>
      </c>
      <c r="CM181" s="9">
        <f>CI181+CJ181+CK181+CL181</f>
        <v/>
      </c>
      <c r="CN181" s="8" t="n">
        <v>213</v>
      </c>
      <c r="CO181" s="8" t="n">
        <v>9</v>
      </c>
      <c r="CP181" s="8" t="n">
        <v>14</v>
      </c>
      <c r="CQ181" s="8" t="n">
        <v>3</v>
      </c>
      <c r="CR181" s="9">
        <f>CN181+CO181+CP181+CQ181</f>
        <v/>
      </c>
      <c r="CS181" s="9">
        <f>CM181+CR181</f>
        <v/>
      </c>
      <c r="CT181" s="8" t="n">
        <v>273</v>
      </c>
      <c r="CU181" s="8" t="n">
        <v>2250</v>
      </c>
      <c r="CV181" s="8" t="n">
        <v>1160</v>
      </c>
      <c r="CW181" s="10">
        <f>IF(CU181=0,"",CV181/CU181)</f>
        <v/>
      </c>
      <c r="CX181" s="8" t="n">
        <v>0</v>
      </c>
      <c r="CY181" s="8" t="n"/>
      <c r="CZ181" s="8" t="n"/>
      <c r="DA181" s="8" t="n"/>
      <c r="DB181" s="9">
        <f>CX181+CY181-CZ181-DA181</f>
        <v/>
      </c>
      <c r="DC181" s="8" t="n">
        <v>0</v>
      </c>
      <c r="DD181" s="8" t="n">
        <v>0</v>
      </c>
      <c r="DE181" s="8" t="n">
        <v>0</v>
      </c>
      <c r="DF181" s="8" t="n">
        <v>0</v>
      </c>
      <c r="DG181" s="9">
        <f>DC181+DD181-DE181-DF181</f>
        <v/>
      </c>
      <c r="DH181" s="8" t="n">
        <v>0</v>
      </c>
      <c r="DI181" s="8" t="n">
        <v>0</v>
      </c>
      <c r="DJ181" s="8" t="n">
        <v>0</v>
      </c>
      <c r="DK181" s="8" t="n">
        <v>0</v>
      </c>
      <c r="DL181" s="9">
        <f>DH181+DI181-DJ181-DK181</f>
        <v/>
      </c>
      <c r="DM181" s="8" t="n">
        <v>0</v>
      </c>
      <c r="DN181" s="8" t="n">
        <v>0</v>
      </c>
      <c r="DO181" s="8" t="n">
        <v>0</v>
      </c>
      <c r="DP181" s="8" t="n">
        <v>0</v>
      </c>
      <c r="DQ181" s="9">
        <f>DM181+DN181-DO181-DP181</f>
        <v/>
      </c>
      <c r="DR181" s="9">
        <f>CX181+DC181+DH181+DM181</f>
        <v/>
      </c>
      <c r="DS181" s="9">
        <f>CY181+DD181+DI181+DN181</f>
        <v/>
      </c>
      <c r="DT181" s="9">
        <f>CZ181+DE181+DJ181+DO181</f>
        <v/>
      </c>
      <c r="DU181" s="9">
        <f>DA181+DF181+DK181+DP181</f>
        <v/>
      </c>
      <c r="DV181" s="9">
        <f>DB181+DG181+DL181+DQ181</f>
        <v/>
      </c>
      <c r="DW181" s="8" t="n">
        <v>3</v>
      </c>
      <c r="DX181" s="8" t="n">
        <v>1</v>
      </c>
      <c r="DY181" s="8" t="n">
        <v>0</v>
      </c>
      <c r="DZ181" s="8" t="n">
        <v>0</v>
      </c>
      <c r="EA181" s="8" t="n">
        <v>0</v>
      </c>
      <c r="EB181" s="8" t="n">
        <v>0</v>
      </c>
      <c r="EC181" s="8" t="n">
        <v>0</v>
      </c>
      <c r="ED181" s="8" t="n">
        <v>0</v>
      </c>
      <c r="EE181" s="8" t="n">
        <v>0</v>
      </c>
      <c r="EF181" s="8" t="n">
        <v>0</v>
      </c>
      <c r="EG181" s="8" t="n">
        <v>0</v>
      </c>
      <c r="EH181" s="8" t="n">
        <v>0</v>
      </c>
      <c r="EI181" s="8" t="n">
        <v>0</v>
      </c>
      <c r="EJ181" s="8" t="n">
        <v>0</v>
      </c>
      <c r="EK181" s="8" t="n">
        <v>0</v>
      </c>
      <c r="EL181" s="8" t="n">
        <v>0</v>
      </c>
      <c r="EM181" s="8" t="n">
        <v>0</v>
      </c>
      <c r="EN181" s="8" t="n">
        <v>0</v>
      </c>
      <c r="EO181" s="8" t="n">
        <v>0</v>
      </c>
      <c r="EP181" s="8" t="n">
        <v>0</v>
      </c>
      <c r="EQ181" s="8" t="n">
        <v>0</v>
      </c>
      <c r="ER181" s="8" t="n">
        <v>0</v>
      </c>
      <c r="ES181" s="8" t="n">
        <v>0</v>
      </c>
      <c r="ET181" s="8" t="n">
        <v>0</v>
      </c>
      <c r="EU181" s="8" t="n">
        <v>0</v>
      </c>
      <c r="EV181" s="8" t="n">
        <v>0</v>
      </c>
      <c r="EW181" s="8" t="n">
        <v>0</v>
      </c>
      <c r="EX181" s="8" t="n">
        <v>0</v>
      </c>
      <c r="EY181" s="8" t="n">
        <v>0</v>
      </c>
      <c r="EZ181" s="8" t="n">
        <v>0</v>
      </c>
      <c r="FA181" s="8" t="n">
        <v>0</v>
      </c>
      <c r="FB181" s="8" t="n">
        <v>0</v>
      </c>
      <c r="FC181" s="8" t="n">
        <v>0</v>
      </c>
      <c r="FD181" s="8" t="n">
        <v>0</v>
      </c>
      <c r="FE181" s="8" t="n">
        <v>0</v>
      </c>
      <c r="FF181" s="8" t="n">
        <v>0</v>
      </c>
      <c r="FG181" s="9">
        <f>SUM(DW181,DX181,DY181,DZ181,EA181,EB181,EC181,ED181,EE181,EF181,EG181,EH181,EI181,EJ181,EK181,EL181,EM181,EN181,EO181,EP181,EQ181,ER181,ES181,ET181,EU181,EV181,EW181,EX181,EY181,EZ181,FA181,FB181,FC181,FD181,FE181,FF181)</f>
        <v/>
      </c>
      <c r="FH181" s="8" t="n">
        <v>0</v>
      </c>
      <c r="FI181" s="8" t="n">
        <v>0</v>
      </c>
      <c r="FJ181" s="8" t="n">
        <v>10</v>
      </c>
      <c r="FK181" s="8" t="n">
        <v>0</v>
      </c>
      <c r="FL181" s="8" t="n">
        <v>0</v>
      </c>
      <c r="FM181" s="8" t="n">
        <v>0</v>
      </c>
      <c r="FN181" s="8" t="n">
        <v>0</v>
      </c>
      <c r="FO181" s="8" t="n">
        <v>0</v>
      </c>
      <c r="FP181" s="8" t="n">
        <v>0</v>
      </c>
      <c r="FQ181" s="9">
        <f>FL181+FM181+FN181+FO181+FP181</f>
        <v/>
      </c>
      <c r="FR181" s="8" t="n">
        <v>0</v>
      </c>
      <c r="FS181" s="8" t="n">
        <v>0</v>
      </c>
      <c r="FT181" s="8" t="n">
        <v>0</v>
      </c>
      <c r="FU181" s="8" t="n">
        <v>0</v>
      </c>
      <c r="FV181" s="9">
        <f>FR181+FS181+FT181+FU181</f>
        <v/>
      </c>
      <c r="FW181" s="8" t="n">
        <v>1247391</v>
      </c>
      <c r="FX181" s="8" t="n">
        <v>1700</v>
      </c>
      <c r="FY181" s="8" t="n">
        <v>114900</v>
      </c>
      <c r="FZ181" s="8" t="n">
        <v>46000</v>
      </c>
      <c r="GA181" s="9">
        <f>FW181+FX181+FY181+FZ181</f>
        <v/>
      </c>
      <c r="GB181" s="9">
        <f>FV181+GA181</f>
        <v/>
      </c>
      <c r="GC181" s="8" t="n">
        <v>0</v>
      </c>
      <c r="GD181" s="8" t="n">
        <v>0</v>
      </c>
      <c r="GE181" s="8" t="n">
        <v>0</v>
      </c>
      <c r="GF181" s="8" t="n">
        <v>0</v>
      </c>
      <c r="GG181" s="9">
        <f>GC181+GD181+GE181+GF181</f>
        <v/>
      </c>
      <c r="GH181" s="8" t="n">
        <v>0</v>
      </c>
      <c r="GI181" s="8" t="n">
        <v>0</v>
      </c>
      <c r="GJ181" s="8" t="n">
        <v>0</v>
      </c>
      <c r="GK181" s="8" t="n">
        <v>0</v>
      </c>
      <c r="GL181" s="9">
        <f>GH181+GI181+GJ181+GK181</f>
        <v/>
      </c>
      <c r="GM181" s="9">
        <f>GG181+GL181</f>
        <v/>
      </c>
      <c r="GN181" s="8" t="n">
        <v>0</v>
      </c>
      <c r="GO181" s="8" t="n">
        <v>0</v>
      </c>
      <c r="GP181" s="8" t="n">
        <v>0</v>
      </c>
      <c r="GQ181" s="8" t="n">
        <v>0</v>
      </c>
      <c r="GR181" s="9">
        <f>GN181+GO181+GP181+GQ181</f>
        <v/>
      </c>
      <c r="GS181" s="8" t="n">
        <v>0</v>
      </c>
      <c r="GT181" s="8" t="n">
        <v>0</v>
      </c>
      <c r="GU181" s="8" t="n">
        <v>0</v>
      </c>
      <c r="GV181" s="8" t="n">
        <v>0</v>
      </c>
      <c r="GW181" s="9">
        <f>GS181+GT181+GU181+GV181</f>
        <v/>
      </c>
      <c r="GX181" s="9">
        <f>GM181+GR181+GW181</f>
        <v/>
      </c>
      <c r="GY181" s="8" t="n">
        <v>17241752.19</v>
      </c>
      <c r="GZ181" s="8" t="n">
        <v>6094751.91</v>
      </c>
      <c r="HA181" s="9">
        <f>GY181+GZ181</f>
        <v/>
      </c>
      <c r="HB181" s="9">
        <f>IF(GX181=0,"",AU181/GX181)</f>
        <v/>
      </c>
      <c r="HC181" s="10">
        <f>IF((GX181+GY181)=0,"",GB181/(GX181+GY181))</f>
        <v/>
      </c>
      <c r="HD181" s="9">
        <f>IF(GX181=0,"",GB181/GX181)</f>
        <v/>
      </c>
      <c r="HE181" s="8" t="n">
        <v>0</v>
      </c>
      <c r="HF181" s="8" t="n">
        <v>0</v>
      </c>
      <c r="HG181" s="8" t="n">
        <v>11</v>
      </c>
      <c r="HH181" s="8" t="n">
        <v>0</v>
      </c>
      <c r="HI181" s="8" t="n">
        <v>0</v>
      </c>
      <c r="HJ181" s="9">
        <f>HF181+HI181</f>
        <v/>
      </c>
      <c r="HK181" s="10">
        <f>IF(HE181=0,"",HH181/HE181)</f>
        <v/>
      </c>
      <c r="HL181" s="8" t="n">
        <v>0</v>
      </c>
      <c r="HM181" s="8" t="n">
        <v>0</v>
      </c>
      <c r="HN181" s="11">
        <f>IF(HL181=0,"",HM181/HL181)</f>
        <v/>
      </c>
    </row>
    <row r="182">
      <c r="A182" s="12" t="inlineStr">
        <is>
          <t>Mulanje</t>
        </is>
      </c>
      <c r="B182" s="12" t="inlineStr">
        <is>
          <t>Nkando</t>
        </is>
      </c>
      <c r="C182" s="13" t="inlineStr">
        <is>
          <t>FY2025/26</t>
        </is>
      </c>
      <c r="D182" s="13" t="n">
        <v>2026</v>
      </c>
      <c r="E182" s="13" t="n">
        <v>3</v>
      </c>
      <c r="F182" s="13" t="inlineStr">
        <is>
          <t>March</t>
        </is>
      </c>
      <c r="G182" s="13" t="inlineStr">
        <is>
          <t>Q4</t>
        </is>
      </c>
      <c r="H182" s="14" t="n">
        <v>1100</v>
      </c>
      <c r="I182" s="14" t="n">
        <v>0</v>
      </c>
      <c r="J182" s="14" t="n">
        <v>0</v>
      </c>
      <c r="K182" s="14" t="n">
        <v>0</v>
      </c>
      <c r="L182" s="14" t="n">
        <v>0</v>
      </c>
      <c r="M182" s="15">
        <f>SUM(I182,J182,K182,L182)</f>
        <v/>
      </c>
      <c r="N182" s="14" t="n">
        <v>901</v>
      </c>
      <c r="O182" s="14" t="n">
        <v>9</v>
      </c>
      <c r="P182" s="14" t="n">
        <v>47</v>
      </c>
      <c r="Q182" s="14" t="n">
        <v>32</v>
      </c>
      <c r="R182" s="15">
        <f>SUM(N182,O182,P182,Q182)</f>
        <v/>
      </c>
      <c r="S182" s="15">
        <f>M182+R182</f>
        <v/>
      </c>
      <c r="T182" s="14" t="n">
        <v>111</v>
      </c>
      <c r="U182" s="16">
        <f>IF(H182=0,"",T182/H182)</f>
        <v/>
      </c>
      <c r="V182" s="14" t="n">
        <v>1</v>
      </c>
      <c r="W182" s="17">
        <f>IF(H182=0,"",V182/H182)</f>
        <v/>
      </c>
      <c r="X182" s="14" t="n">
        <v>0</v>
      </c>
      <c r="Y182" s="17">
        <f>IF(H182=0,"",X182/H182)</f>
        <v/>
      </c>
      <c r="Z182" s="14" t="n">
        <v>0</v>
      </c>
      <c r="AA182" s="17">
        <f>IF(H182=0,"",Z182/H182)</f>
        <v/>
      </c>
      <c r="AB182" s="14" t="n">
        <v>0</v>
      </c>
      <c r="AC182" s="17">
        <f>IF(H182=0,"",AB182/H182)</f>
        <v/>
      </c>
      <c r="AD182" s="14" t="n">
        <v>0</v>
      </c>
      <c r="AE182" s="17">
        <f>IF(H182=0,"",AD182/H182)</f>
        <v/>
      </c>
      <c r="AF182" s="14" t="n">
        <v>0</v>
      </c>
      <c r="AG182" s="17">
        <f>IF(H182=0,"",AF182/H182)</f>
        <v/>
      </c>
      <c r="AH182" s="14" t="n">
        <v>5111.67</v>
      </c>
      <c r="AI182" s="15">
        <f>IF(H182=0,"",AH182/H182)</f>
        <v/>
      </c>
      <c r="AJ182" s="14" t="n">
        <v>1200</v>
      </c>
      <c r="AK182" s="17">
        <f>IF(H182=0,"",AJ182/H182)</f>
        <v/>
      </c>
      <c r="AL182" s="14" t="n">
        <v>16426.5</v>
      </c>
      <c r="AM182" s="15">
        <f>IF(H182=0,"",AL182/H182)</f>
        <v/>
      </c>
      <c r="AN182" s="14" t="n">
        <v>0</v>
      </c>
      <c r="AO182" s="14" t="n">
        <v>0</v>
      </c>
      <c r="AP182" s="14" t="n">
        <v>0</v>
      </c>
      <c r="AQ182" s="14" t="n">
        <v>0</v>
      </c>
      <c r="AR182" s="14" t="n">
        <v>0</v>
      </c>
      <c r="AS182" s="14" t="n">
        <v>0</v>
      </c>
      <c r="AT182" s="14" t="n">
        <v>0</v>
      </c>
      <c r="AU182" s="15">
        <f>AH182+AL182+AP182+AQ182+AR182+AS182+AT182</f>
        <v/>
      </c>
      <c r="AV182" s="15">
        <f>IF(H182=0,"",AU182/H182)</f>
        <v/>
      </c>
      <c r="AW182" s="15">
        <f>IF(S182=0,"",AU182/S182)</f>
        <v/>
      </c>
      <c r="AX182" s="14" t="n">
        <v>5</v>
      </c>
      <c r="AY182" s="15">
        <f>IF(H182=0,"",AX182/(H182/1000/12))</f>
        <v/>
      </c>
      <c r="AZ182" s="14" t="n">
        <v>1</v>
      </c>
      <c r="BA182" s="14" t="n">
        <v>11</v>
      </c>
      <c r="BB182" s="14" t="n">
        <v>6</v>
      </c>
      <c r="BC182" s="14" t="n">
        <v>0</v>
      </c>
      <c r="BD182" s="14" t="n">
        <v>1</v>
      </c>
      <c r="BE182" s="15">
        <f>BC182+BD182</f>
        <v/>
      </c>
      <c r="BF182" s="15">
        <f>BA182+BB182-BE182</f>
        <v/>
      </c>
      <c r="BG182" s="14" t="n">
        <v>0</v>
      </c>
      <c r="BH182" s="14" t="n">
        <v>0</v>
      </c>
      <c r="BI182" s="14" t="n">
        <v>0</v>
      </c>
      <c r="BJ182" s="14" t="n">
        <v>0</v>
      </c>
      <c r="BK182" s="15">
        <f>BI182+BJ182</f>
        <v/>
      </c>
      <c r="BL182" s="15">
        <f>BG182+BH182-BK182</f>
        <v/>
      </c>
      <c r="BM182" s="14" t="n">
        <v>0</v>
      </c>
      <c r="BN182" s="14" t="n">
        <v>0</v>
      </c>
      <c r="BO182" s="14" t="n">
        <v>0</v>
      </c>
      <c r="BP182" s="14" t="n">
        <v>0</v>
      </c>
      <c r="BQ182" s="15">
        <f>BO182+BP182</f>
        <v/>
      </c>
      <c r="BR182" s="15">
        <f>BM182+BN182-BQ182</f>
        <v/>
      </c>
      <c r="BS182" s="14" t="n">
        <v>0</v>
      </c>
      <c r="BT182" s="14" t="n">
        <v>0</v>
      </c>
      <c r="BU182" s="14" t="n">
        <v>0</v>
      </c>
      <c r="BV182" s="14" t="n">
        <v>0</v>
      </c>
      <c r="BW182" s="15">
        <f>BU182+BV182</f>
        <v/>
      </c>
      <c r="BX182" s="15">
        <f>BS182+BT182-BW182</f>
        <v/>
      </c>
      <c r="BY182" s="15">
        <f>BA182+BG182+BM182+BS182</f>
        <v/>
      </c>
      <c r="BZ182" s="15">
        <f>BB182+BH182+BN182+BT182</f>
        <v/>
      </c>
      <c r="CA182" s="15">
        <f>BE182+BK182+BQ182+BW182</f>
        <v/>
      </c>
      <c r="CB182" s="15">
        <f>BF182+BL182+BR182+BX182</f>
        <v/>
      </c>
      <c r="CC182" s="14" t="n">
        <v>1</v>
      </c>
      <c r="CD182" s="14" t="n">
        <v>13</v>
      </c>
      <c r="CE182" s="14" t="n">
        <v>5</v>
      </c>
      <c r="CF182" s="14" t="n">
        <v>5</v>
      </c>
      <c r="CG182" s="14" t="n">
        <v>11</v>
      </c>
      <c r="CH182" s="15">
        <f>CD182+CE182+CF182+CG182</f>
        <v/>
      </c>
      <c r="CI182" s="14" t="n">
        <v>0</v>
      </c>
      <c r="CJ182" s="14" t="n">
        <v>0</v>
      </c>
      <c r="CK182" s="14" t="n">
        <v>0</v>
      </c>
      <c r="CL182" s="14" t="n">
        <v>0</v>
      </c>
      <c r="CM182" s="15">
        <f>CI182+CJ182+CK182+CL182</f>
        <v/>
      </c>
      <c r="CN182" s="14" t="n">
        <v>213</v>
      </c>
      <c r="CO182" s="14" t="n">
        <v>9</v>
      </c>
      <c r="CP182" s="14" t="n">
        <v>14</v>
      </c>
      <c r="CQ182" s="14" t="n">
        <v>3</v>
      </c>
      <c r="CR182" s="15">
        <f>CN182+CO182+CP182+CQ182</f>
        <v/>
      </c>
      <c r="CS182" s="15">
        <f>CM182+CR182</f>
        <v/>
      </c>
      <c r="CT182" s="14" t="n">
        <v>273</v>
      </c>
      <c r="CU182" s="14" t="n">
        <v>2250</v>
      </c>
      <c r="CV182" s="14" t="n">
        <v>1160</v>
      </c>
      <c r="CW182" s="16">
        <f>IF(CU182=0,"",CV182/CU182)</f>
        <v/>
      </c>
      <c r="CX182" s="14" t="n"/>
      <c r="CY182" s="14" t="n"/>
      <c r="CZ182" s="14" t="n"/>
      <c r="DA182" s="14" t="n"/>
      <c r="DB182" s="15">
        <f>CX182+CY182-CZ182-DA182</f>
        <v/>
      </c>
      <c r="DC182" s="14" t="n">
        <v>0</v>
      </c>
      <c r="DD182" s="14" t="n">
        <v>0</v>
      </c>
      <c r="DE182" s="14" t="n">
        <v>0</v>
      </c>
      <c r="DF182" s="14" t="n">
        <v>0</v>
      </c>
      <c r="DG182" s="15">
        <f>DC182+DD182-DE182-DF182</f>
        <v/>
      </c>
      <c r="DH182" s="14" t="n">
        <v>0</v>
      </c>
      <c r="DI182" s="14" t="n">
        <v>0</v>
      </c>
      <c r="DJ182" s="14" t="n">
        <v>0</v>
      </c>
      <c r="DK182" s="14" t="n">
        <v>0</v>
      </c>
      <c r="DL182" s="15">
        <f>DH182+DI182-DJ182-DK182</f>
        <v/>
      </c>
      <c r="DM182" s="14" t="n">
        <v>0</v>
      </c>
      <c r="DN182" s="14" t="n">
        <v>0</v>
      </c>
      <c r="DO182" s="14" t="n">
        <v>0</v>
      </c>
      <c r="DP182" s="14" t="n">
        <v>0</v>
      </c>
      <c r="DQ182" s="15">
        <f>DM182+DN182-DO182-DP182</f>
        <v/>
      </c>
      <c r="DR182" s="15">
        <f>CX182+DC182+DH182+DM182</f>
        <v/>
      </c>
      <c r="DS182" s="15">
        <f>CY182+DD182+DI182+DN182</f>
        <v/>
      </c>
      <c r="DT182" s="15">
        <f>CZ182+DE182+DJ182+DO182</f>
        <v/>
      </c>
      <c r="DU182" s="15">
        <f>DA182+DF182+DK182+DP182</f>
        <v/>
      </c>
      <c r="DV182" s="15">
        <f>DB182+DG182+DL182+DQ182</f>
        <v/>
      </c>
      <c r="DW182" s="14" t="n">
        <v>3</v>
      </c>
      <c r="DX182" s="14" t="n">
        <v>0</v>
      </c>
      <c r="DY182" s="14" t="n">
        <v>0</v>
      </c>
      <c r="DZ182" s="14" t="n">
        <v>0</v>
      </c>
      <c r="EA182" s="14" t="n">
        <v>0</v>
      </c>
      <c r="EB182" s="14" t="n">
        <v>0</v>
      </c>
      <c r="EC182" s="14" t="n">
        <v>0</v>
      </c>
      <c r="ED182" s="14" t="n">
        <v>0</v>
      </c>
      <c r="EE182" s="14" t="n">
        <v>0</v>
      </c>
      <c r="EF182" s="14" t="n">
        <v>0</v>
      </c>
      <c r="EG182" s="14" t="n">
        <v>0</v>
      </c>
      <c r="EH182" s="14" t="n">
        <v>0</v>
      </c>
      <c r="EI182" s="14" t="n">
        <v>0</v>
      </c>
      <c r="EJ182" s="14" t="n">
        <v>0</v>
      </c>
      <c r="EK182" s="14" t="n">
        <v>0</v>
      </c>
      <c r="EL182" s="14" t="n">
        <v>0</v>
      </c>
      <c r="EM182" s="14" t="n">
        <v>0</v>
      </c>
      <c r="EN182" s="14" t="n">
        <v>0</v>
      </c>
      <c r="EO182" s="14" t="n">
        <v>0</v>
      </c>
      <c r="EP182" s="14" t="n">
        <v>0</v>
      </c>
      <c r="EQ182" s="14" t="n">
        <v>0</v>
      </c>
      <c r="ER182" s="14" t="n">
        <v>0</v>
      </c>
      <c r="ES182" s="14" t="n">
        <v>0</v>
      </c>
      <c r="ET182" s="14" t="n">
        <v>0</v>
      </c>
      <c r="EU182" s="14" t="n">
        <v>0</v>
      </c>
      <c r="EV182" s="14" t="n">
        <v>0</v>
      </c>
      <c r="EW182" s="14" t="n">
        <v>0</v>
      </c>
      <c r="EX182" s="14" t="n">
        <v>0</v>
      </c>
      <c r="EY182" s="14" t="n">
        <v>0</v>
      </c>
      <c r="EZ182" s="14" t="n">
        <v>0</v>
      </c>
      <c r="FA182" s="14" t="n">
        <v>0</v>
      </c>
      <c r="FB182" s="14" t="n">
        <v>0</v>
      </c>
      <c r="FC182" s="14" t="n">
        <v>0</v>
      </c>
      <c r="FD182" s="14" t="n">
        <v>0</v>
      </c>
      <c r="FE182" s="14" t="n">
        <v>0</v>
      </c>
      <c r="FF182" s="14" t="n">
        <v>0</v>
      </c>
      <c r="FG182" s="15">
        <f>SUM(DW182,DX182,DY182,DZ182,EA182,EB182,EC182,ED182,EE182,EF182,EG182,EH182,EI182,EJ182,EK182,EL182,EM182,EN182,EO182,EP182,EQ182,ER182,ES182,ET182,EU182,EV182,EW182,EX182,EY182,EZ182,FA182,FB182,FC182,FD182,FE182,FF182)</f>
        <v/>
      </c>
      <c r="FH182" s="14" t="n">
        <v>0</v>
      </c>
      <c r="FI182" s="14" t="n">
        <v>0</v>
      </c>
      <c r="FJ182" s="14" t="n">
        <v>10</v>
      </c>
      <c r="FK182" s="14" t="n">
        <v>0</v>
      </c>
      <c r="FL182" s="14" t="n">
        <v>0</v>
      </c>
      <c r="FM182" s="14" t="n">
        <v>0</v>
      </c>
      <c r="FN182" s="14" t="n">
        <v>0</v>
      </c>
      <c r="FO182" s="14" t="n">
        <v>0</v>
      </c>
      <c r="FP182" s="14" t="n">
        <v>0</v>
      </c>
      <c r="FQ182" s="15">
        <f>FL182+FM182+FN182+FO182+FP182</f>
        <v/>
      </c>
      <c r="FR182" s="14" t="n">
        <v>0</v>
      </c>
      <c r="FS182" s="14" t="n">
        <v>0</v>
      </c>
      <c r="FT182" s="14" t="n">
        <v>0</v>
      </c>
      <c r="FU182" s="14" t="n">
        <v>0</v>
      </c>
      <c r="FV182" s="15">
        <f>FR182+FS182+FT182+FU182</f>
        <v/>
      </c>
      <c r="FW182" s="14" t="n">
        <v>1451444</v>
      </c>
      <c r="FX182" s="14" t="n">
        <v>3000</v>
      </c>
      <c r="FY182" s="14" t="n">
        <v>171700</v>
      </c>
      <c r="FZ182" s="14" t="n">
        <v>141200</v>
      </c>
      <c r="GA182" s="15">
        <f>FW182+FX182+FY182+FZ182</f>
        <v/>
      </c>
      <c r="GB182" s="15">
        <f>FV182+GA182</f>
        <v/>
      </c>
      <c r="GC182" s="14" t="n">
        <v>0</v>
      </c>
      <c r="GD182" s="14" t="n">
        <v>0</v>
      </c>
      <c r="GE182" s="14" t="n">
        <v>0</v>
      </c>
      <c r="GF182" s="14" t="n">
        <v>0</v>
      </c>
      <c r="GG182" s="15">
        <f>GC182+GD182+GE182+GF182</f>
        <v/>
      </c>
      <c r="GH182" s="14" t="n">
        <v>0</v>
      </c>
      <c r="GI182" s="14" t="n">
        <v>0</v>
      </c>
      <c r="GJ182" s="14" t="n">
        <v>0</v>
      </c>
      <c r="GK182" s="14" t="n">
        <v>0</v>
      </c>
      <c r="GL182" s="15">
        <f>GH182+GI182+GJ182+GK182</f>
        <v/>
      </c>
      <c r="GM182" s="15">
        <f>GG182+GL182</f>
        <v/>
      </c>
      <c r="GN182" s="14" t="n">
        <v>0</v>
      </c>
      <c r="GO182" s="14" t="n">
        <v>0</v>
      </c>
      <c r="GP182" s="14" t="n">
        <v>0</v>
      </c>
      <c r="GQ182" s="14" t="n">
        <v>0</v>
      </c>
      <c r="GR182" s="15">
        <f>GN182+GO182+GP182+GQ182</f>
        <v/>
      </c>
      <c r="GS182" s="14" t="n">
        <v>0</v>
      </c>
      <c r="GT182" s="14" t="n">
        <v>0</v>
      </c>
      <c r="GU182" s="14" t="n">
        <v>0</v>
      </c>
      <c r="GV182" s="14" t="n">
        <v>0</v>
      </c>
      <c r="GW182" s="15">
        <f>GS182+GT182+GU182+GV182</f>
        <v/>
      </c>
      <c r="GX182" s="15">
        <f>GM182+GR182+GW182</f>
        <v/>
      </c>
      <c r="GY182" s="14" t="n">
        <v>17241752.19</v>
      </c>
      <c r="GZ182" s="14" t="n">
        <v>6094751.91</v>
      </c>
      <c r="HA182" s="15">
        <f>GY182+GZ182</f>
        <v/>
      </c>
      <c r="HB182" s="15">
        <f>IF(GX182=0,"",AU182/GX182)</f>
        <v/>
      </c>
      <c r="HC182" s="16">
        <f>IF((GX182+GY182)=0,"",GB182/(GX182+GY182))</f>
        <v/>
      </c>
      <c r="HD182" s="15">
        <f>IF(GX182=0,"",GB182/GX182)</f>
        <v/>
      </c>
      <c r="HE182" s="14" t="n">
        <v>6</v>
      </c>
      <c r="HF182" s="14" t="n">
        <v>1</v>
      </c>
      <c r="HG182" s="14" t="n">
        <v>16</v>
      </c>
      <c r="HH182" s="14" t="n">
        <v>6</v>
      </c>
      <c r="HI182" s="14" t="n">
        <v>30</v>
      </c>
      <c r="HJ182" s="15">
        <f>HF182+HI182</f>
        <v/>
      </c>
      <c r="HK182" s="16">
        <f>IF(HE182=0,"",HH182/HE182)</f>
        <v/>
      </c>
      <c r="HL182" s="14" t="n">
        <v>10</v>
      </c>
      <c r="HM182" s="14" t="n">
        <v>2</v>
      </c>
      <c r="HN182" s="17">
        <f>IF(HL182=0,"",HM182/HL182)</f>
        <v/>
      </c>
    </row>
    <row r="183">
      <c r="A183" s="6" t="inlineStr">
        <is>
          <t>Mulanje</t>
        </is>
      </c>
      <c r="B183" s="6" t="inlineStr">
        <is>
          <t>Phalombe</t>
        </is>
      </c>
      <c r="C183" s="7" t="inlineStr">
        <is>
          <t>FY2025/26</t>
        </is>
      </c>
      <c r="D183" s="7" t="n">
        <v>2025</v>
      </c>
      <c r="E183" s="7" t="n">
        <v>4</v>
      </c>
      <c r="F183" s="7" t="inlineStr">
        <is>
          <t>April</t>
        </is>
      </c>
      <c r="G183" s="7" t="inlineStr">
        <is>
          <t>Q1</t>
        </is>
      </c>
      <c r="H183" s="8" t="n">
        <v>9088</v>
      </c>
      <c r="I183" s="8" t="n">
        <v>4331</v>
      </c>
      <c r="J183" s="8" t="n">
        <v>0</v>
      </c>
      <c r="K183" s="8" t="n">
        <v>7</v>
      </c>
      <c r="L183" s="8" t="n">
        <v>7</v>
      </c>
      <c r="M183" s="9">
        <f>SUM(I183,J183,K183,L183)</f>
        <v/>
      </c>
      <c r="N183" s="8" t="n">
        <v>1509.4</v>
      </c>
      <c r="O183" s="8" t="n">
        <v>108</v>
      </c>
      <c r="P183" s="8" t="n">
        <v>175</v>
      </c>
      <c r="Q183" s="8" t="n">
        <v>148</v>
      </c>
      <c r="R183" s="9">
        <f>SUM(N183,O183,P183,Q183)</f>
        <v/>
      </c>
      <c r="S183" s="9">
        <f>M183+R183</f>
        <v/>
      </c>
      <c r="T183" s="8" t="n">
        <v>2802.6</v>
      </c>
      <c r="U183" s="10">
        <f>IF(H183=0,"",T183/H183)</f>
        <v/>
      </c>
      <c r="V183" s="8" t="n">
        <v>24</v>
      </c>
      <c r="W183" s="11">
        <f>IF(H183=0,"",V183/H183)</f>
        <v/>
      </c>
      <c r="X183" s="8" t="n">
        <v>0</v>
      </c>
      <c r="Y183" s="11">
        <f>IF(H183=0,"",X183/H183)</f>
        <v/>
      </c>
      <c r="Z183" s="8" t="n">
        <v>0</v>
      </c>
      <c r="AA183" s="11">
        <f>IF(H183=0,"",Z183/H183)</f>
        <v/>
      </c>
      <c r="AB183" s="8" t="n">
        <v>0</v>
      </c>
      <c r="AC183" s="11">
        <f>IF(H183=0,"",AB183/H183)</f>
        <v/>
      </c>
      <c r="AD183" s="8" t="n">
        <v>0</v>
      </c>
      <c r="AE183" s="11">
        <f>IF(H183=0,"",AD183/H183)</f>
        <v/>
      </c>
      <c r="AF183" s="8" t="n">
        <v>0</v>
      </c>
      <c r="AG183" s="11">
        <f>IF(H183=0,"",AF183/H183)</f>
        <v/>
      </c>
      <c r="AH183" s="8" t="n">
        <v>122680.08</v>
      </c>
      <c r="AI183" s="9">
        <f>IF(H183=0,"",AH183/H183)</f>
        <v/>
      </c>
      <c r="AJ183" s="8" t="n">
        <v>13</v>
      </c>
      <c r="AK183" s="11">
        <f>IF(H183=0,"",AJ183/H183)</f>
        <v/>
      </c>
      <c r="AL183" s="8" t="n">
        <v>18230.2695</v>
      </c>
      <c r="AM183" s="9">
        <f>IF(H183=0,"",AL183/H183)</f>
        <v/>
      </c>
      <c r="AN183" s="8" t="n">
        <v>0</v>
      </c>
      <c r="AO183" s="8" t="n">
        <v>0</v>
      </c>
      <c r="AP183" s="8" t="n">
        <v>0</v>
      </c>
      <c r="AQ183" s="8" t="n">
        <v>0</v>
      </c>
      <c r="AR183" s="8" t="n">
        <v>4665532.69</v>
      </c>
      <c r="AS183" s="8" t="n">
        <v>1339604.31</v>
      </c>
      <c r="AT183" s="8" t="n">
        <v>1332040.44</v>
      </c>
      <c r="AU183" s="9">
        <f>AH183+AL183+AP183+AQ183+AR183+AS183+AT183</f>
        <v/>
      </c>
      <c r="AV183" s="9">
        <f>IF(H183=0,"",AU183/H183)</f>
        <v/>
      </c>
      <c r="AW183" s="9">
        <f>IF(S183=0,"",AU183/S183)</f>
        <v/>
      </c>
      <c r="AX183" s="8" t="n">
        <v>5</v>
      </c>
      <c r="AY183" s="9">
        <f>IF(H183=0,"",AX183/(H183/1000/12))</f>
        <v/>
      </c>
      <c r="AZ183" s="8" t="n">
        <v>6</v>
      </c>
      <c r="BA183" s="8" t="n">
        <v>37</v>
      </c>
      <c r="BB183" s="8" t="n">
        <v>4</v>
      </c>
      <c r="BC183" s="8" t="n">
        <v>9</v>
      </c>
      <c r="BD183" s="8" t="n">
        <v>0</v>
      </c>
      <c r="BE183" s="9">
        <f>BC183+BD183</f>
        <v/>
      </c>
      <c r="BF183" s="9">
        <f>BA183+BB183-BE183</f>
        <v/>
      </c>
      <c r="BG183" s="8" t="n">
        <v>0</v>
      </c>
      <c r="BH183" s="8" t="n">
        <v>0</v>
      </c>
      <c r="BI183" s="8" t="n">
        <v>0</v>
      </c>
      <c r="BJ183" s="8" t="n">
        <v>0</v>
      </c>
      <c r="BK183" s="9">
        <f>BI183+BJ183</f>
        <v/>
      </c>
      <c r="BL183" s="9">
        <f>BG183+BH183-BK183</f>
        <v/>
      </c>
      <c r="BM183" s="8" t="n">
        <v>0</v>
      </c>
      <c r="BN183" s="8" t="n">
        <v>0</v>
      </c>
      <c r="BO183" s="8" t="n">
        <v>0</v>
      </c>
      <c r="BP183" s="8" t="n">
        <v>0</v>
      </c>
      <c r="BQ183" s="9">
        <f>BO183+BP183</f>
        <v/>
      </c>
      <c r="BR183" s="9">
        <f>BM183+BN183-BQ183</f>
        <v/>
      </c>
      <c r="BS183" s="8" t="n">
        <v>0</v>
      </c>
      <c r="BT183" s="8" t="n">
        <v>0</v>
      </c>
      <c r="BU183" s="8" t="n">
        <v>0</v>
      </c>
      <c r="BV183" s="8" t="n">
        <v>0</v>
      </c>
      <c r="BW183" s="9">
        <f>BU183+BV183</f>
        <v/>
      </c>
      <c r="BX183" s="9">
        <f>BS183+BT183-BW183</f>
        <v/>
      </c>
      <c r="BY183" s="9">
        <f>BA183+BG183+BM183+BS183</f>
        <v/>
      </c>
      <c r="BZ183" s="9">
        <f>BB183+BH183+BN183+BT183</f>
        <v/>
      </c>
      <c r="CA183" s="9">
        <f>BE183+BK183+BQ183+BW183</f>
        <v/>
      </c>
      <c r="CB183" s="9">
        <f>BF183+BL183+BR183+BX183</f>
        <v/>
      </c>
      <c r="CC183" s="8" t="n">
        <v>23</v>
      </c>
      <c r="CD183" s="8" t="n">
        <v>225</v>
      </c>
      <c r="CE183" s="8" t="n">
        <v>14</v>
      </c>
      <c r="CF183" s="8" t="n">
        <v>25</v>
      </c>
      <c r="CG183" s="8" t="n">
        <v>0</v>
      </c>
      <c r="CH183" s="9">
        <f>CD183+CE183+CF183+CG183</f>
        <v/>
      </c>
      <c r="CI183" s="8" t="n">
        <v>498</v>
      </c>
      <c r="CJ183" s="8" t="n">
        <v>1</v>
      </c>
      <c r="CK183" s="8" t="n">
        <v>1</v>
      </c>
      <c r="CL183" s="8" t="n">
        <v>0</v>
      </c>
      <c r="CM183" s="9">
        <f>CI183+CJ183+CK183+CL183</f>
        <v/>
      </c>
      <c r="CN183" s="8" t="n">
        <v>235</v>
      </c>
      <c r="CO183" s="8" t="n">
        <v>25</v>
      </c>
      <c r="CP183" s="8" t="n">
        <v>19</v>
      </c>
      <c r="CQ183" s="8" t="n">
        <v>8</v>
      </c>
      <c r="CR183" s="9">
        <f>CN183+CO183+CP183+CQ183</f>
        <v/>
      </c>
      <c r="CS183" s="9">
        <f>CM183+CR183</f>
        <v/>
      </c>
      <c r="CT183" s="8" t="n">
        <v>1051</v>
      </c>
      <c r="CU183" s="8" t="n">
        <v>10013</v>
      </c>
      <c r="CV183" s="8" t="n">
        <v>7445</v>
      </c>
      <c r="CW183" s="10">
        <f>IF(CU183=0,"",CV183/CU183)</f>
        <v/>
      </c>
      <c r="CX183" s="8" t="n">
        <v>0</v>
      </c>
      <c r="CY183" s="8" t="n">
        <v>0</v>
      </c>
      <c r="CZ183" s="8" t="n">
        <v>0</v>
      </c>
      <c r="DA183" s="8" t="n">
        <v>0</v>
      </c>
      <c r="DB183" s="9">
        <f>CX183+CY183-CZ183-DA183</f>
        <v/>
      </c>
      <c r="DC183" s="8" t="n">
        <v>0</v>
      </c>
      <c r="DD183" s="8" t="n">
        <v>0</v>
      </c>
      <c r="DE183" s="8" t="n">
        <v>0</v>
      </c>
      <c r="DF183" s="8" t="n">
        <v>0</v>
      </c>
      <c r="DG183" s="9">
        <f>DC183+DD183-DE183-DF183</f>
        <v/>
      </c>
      <c r="DH183" s="8" t="n">
        <v>0</v>
      </c>
      <c r="DI183" s="8" t="n">
        <v>0</v>
      </c>
      <c r="DJ183" s="8" t="n">
        <v>0</v>
      </c>
      <c r="DK183" s="8" t="n">
        <v>0</v>
      </c>
      <c r="DL183" s="9">
        <f>DH183+DI183-DJ183-DK183</f>
        <v/>
      </c>
      <c r="DM183" s="8" t="n">
        <v>16</v>
      </c>
      <c r="DN183" s="8" t="n">
        <v>6</v>
      </c>
      <c r="DO183" s="8" t="n">
        <v>10</v>
      </c>
      <c r="DP183" s="8" t="n">
        <v>2</v>
      </c>
      <c r="DQ183" s="9">
        <f>DM183+DN183-DO183-DP183</f>
        <v/>
      </c>
      <c r="DR183" s="9">
        <f>CX183+DC183+DH183+DM183</f>
        <v/>
      </c>
      <c r="DS183" s="9">
        <f>CY183+DD183+DI183+DN183</f>
        <v/>
      </c>
      <c r="DT183" s="9">
        <f>CZ183+DE183+DJ183+DO183</f>
        <v/>
      </c>
      <c r="DU183" s="9">
        <f>DA183+DF183+DK183+DP183</f>
        <v/>
      </c>
      <c r="DV183" s="9">
        <f>DB183+DG183+DL183+DQ183</f>
        <v/>
      </c>
      <c r="DW183" s="8" t="n">
        <v>6</v>
      </c>
      <c r="DX183" s="8" t="n">
        <v>6</v>
      </c>
      <c r="DY183" s="8" t="n">
        <v>6</v>
      </c>
      <c r="DZ183" s="8" t="n">
        <v>3</v>
      </c>
      <c r="EA183" s="8" t="n">
        <v>4</v>
      </c>
      <c r="EB183" s="8" t="n">
        <v>3</v>
      </c>
      <c r="EC183" s="8" t="n">
        <v>1</v>
      </c>
      <c r="ED183" s="8" t="n">
        <v>1</v>
      </c>
      <c r="EE183" s="8" t="n">
        <v>0</v>
      </c>
      <c r="EF183" s="8" t="n">
        <v>0</v>
      </c>
      <c r="EG183" s="8" t="n">
        <v>0</v>
      </c>
      <c r="EH183" s="8" t="n">
        <v>0</v>
      </c>
      <c r="EI183" s="8" t="n">
        <v>0</v>
      </c>
      <c r="EJ183" s="8" t="n">
        <v>1</v>
      </c>
      <c r="EK183" s="8" t="n">
        <v>1</v>
      </c>
      <c r="EL183" s="8" t="n">
        <v>0</v>
      </c>
      <c r="EM183" s="8" t="n">
        <v>0</v>
      </c>
      <c r="EN183" s="8" t="n">
        <v>0</v>
      </c>
      <c r="EO183" s="8" t="n">
        <v>0</v>
      </c>
      <c r="EP183" s="8" t="n">
        <v>0</v>
      </c>
      <c r="EQ183" s="8" t="n">
        <v>0</v>
      </c>
      <c r="ER183" s="8" t="n">
        <v>0</v>
      </c>
      <c r="ES183" s="8" t="n">
        <v>0</v>
      </c>
      <c r="ET183" s="8" t="n">
        <v>0</v>
      </c>
      <c r="EU183" s="8" t="n">
        <v>0</v>
      </c>
      <c r="EV183" s="8" t="n">
        <v>0</v>
      </c>
      <c r="EW183" s="8" t="n">
        <v>0</v>
      </c>
      <c r="EX183" s="8" t="n">
        <v>0</v>
      </c>
      <c r="EY183" s="8" t="n">
        <v>0</v>
      </c>
      <c r="EZ183" s="8" t="n">
        <v>0</v>
      </c>
      <c r="FA183" s="8" t="n">
        <v>0</v>
      </c>
      <c r="FB183" s="8" t="n">
        <v>0</v>
      </c>
      <c r="FC183" s="8" t="n">
        <v>0</v>
      </c>
      <c r="FD183" s="8" t="n">
        <v>0</v>
      </c>
      <c r="FE183" s="8" t="n">
        <v>0</v>
      </c>
      <c r="FF183" s="8" t="n">
        <v>0</v>
      </c>
      <c r="FG183" s="9">
        <f>SUM(DW183,DX183,DY183,DZ183,EA183,EB183,EC183,ED183,EE183,EF183,EG183,EH183,EI183,EJ183,EK183,EL183,EM183,EN183,EO183,EP183,EQ183,ER183,ES183,ET183,EU183,EV183,EW183,EX183,EY183,EZ183,FA183,FB183,FC183,FD183,FE183,FF183)</f>
        <v/>
      </c>
      <c r="FH183" s="8" t="n">
        <v>0</v>
      </c>
      <c r="FI183" s="8" t="n">
        <v>0</v>
      </c>
      <c r="FJ183" s="8" t="n">
        <v>24</v>
      </c>
      <c r="FK183" s="8" t="n">
        <v>0</v>
      </c>
      <c r="FL183" s="8" t="n">
        <v>0</v>
      </c>
      <c r="FM183" s="8" t="n">
        <v>0</v>
      </c>
      <c r="FN183" s="8" t="n">
        <v>0</v>
      </c>
      <c r="FO183" s="8" t="n">
        <v>0</v>
      </c>
      <c r="FP183" s="8" t="n">
        <v>0</v>
      </c>
      <c r="FQ183" s="9">
        <f>FL183+FM183+FN183+FO183+FP183</f>
        <v/>
      </c>
      <c r="FR183" s="8" t="n">
        <v>4226582</v>
      </c>
      <c r="FS183" s="8" t="n">
        <v>0</v>
      </c>
      <c r="FT183" s="8" t="n">
        <v>0</v>
      </c>
      <c r="FU183" s="8" t="n">
        <v>0</v>
      </c>
      <c r="FV183" s="9">
        <f>FR183+FS183+FT183+FU183</f>
        <v/>
      </c>
      <c r="FW183" s="8" t="n">
        <v>1148986</v>
      </c>
      <c r="FX183" s="8" t="n">
        <v>23025</v>
      </c>
      <c r="FY183" s="8" t="n">
        <v>700500</v>
      </c>
      <c r="FZ183" s="8" t="n">
        <v>531000</v>
      </c>
      <c r="GA183" s="9">
        <f>FW183+FX183+FY183+FZ183</f>
        <v/>
      </c>
      <c r="GB183" s="9">
        <f>FV183+GA183</f>
        <v/>
      </c>
      <c r="GC183" s="8" t="n">
        <v>3839735.99</v>
      </c>
      <c r="GD183" s="8" t="n">
        <v>3839735.99</v>
      </c>
      <c r="GE183" s="8" t="n">
        <v>16397.47</v>
      </c>
      <c r="GF183" s="8" t="n">
        <v>18567.91</v>
      </c>
      <c r="GG183" s="9">
        <f>GC183+GD183+GE183+GF183</f>
        <v/>
      </c>
      <c r="GH183" s="8" t="n">
        <v>0</v>
      </c>
      <c r="GI183" s="8" t="n">
        <v>0</v>
      </c>
      <c r="GJ183" s="8" t="n">
        <v>0</v>
      </c>
      <c r="GK183" s="8" t="n">
        <v>0</v>
      </c>
      <c r="GL183" s="9">
        <f>GH183+GI183+GJ183+GK183</f>
        <v/>
      </c>
      <c r="GM183" s="9">
        <f>GG183+GL183</f>
        <v/>
      </c>
      <c r="GN183" s="8" t="n">
        <v>284028.31</v>
      </c>
      <c r="GO183" s="8" t="n">
        <v>284028.31</v>
      </c>
      <c r="GP183" s="8" t="n">
        <v>3393.64</v>
      </c>
      <c r="GQ183" s="8" t="n">
        <v>4637.34</v>
      </c>
      <c r="GR183" s="9">
        <f>GN183+GO183+GP183+GQ183</f>
        <v/>
      </c>
      <c r="GS183" s="8" t="n">
        <v>444714</v>
      </c>
      <c r="GT183" s="8" t="n">
        <v>444714</v>
      </c>
      <c r="GU183" s="8" t="n">
        <v>893</v>
      </c>
      <c r="GV183" s="8" t="n">
        <v>893</v>
      </c>
      <c r="GW183" s="9">
        <f>GS183+GT183+GU183+GV183</f>
        <v/>
      </c>
      <c r="GX183" s="9">
        <f>GM183+GR183+GW183</f>
        <v/>
      </c>
      <c r="GY183" s="8" t="n">
        <v>33524228.94</v>
      </c>
      <c r="GZ183" s="8" t="n">
        <v>458783.83</v>
      </c>
      <c r="HA183" s="9">
        <f>GY183+GZ183</f>
        <v/>
      </c>
      <c r="HB183" s="9">
        <f>IF(GX183=0,"",AU183/GX183)</f>
        <v/>
      </c>
      <c r="HC183" s="10">
        <f>IF((GX183+GY183)=0,"",GB183/(GX183+GY183))</f>
        <v/>
      </c>
      <c r="HD183" s="9">
        <f>IF(GX183=0,"",GB183/GX183)</f>
        <v/>
      </c>
      <c r="HE183" s="8" t="n">
        <v>4</v>
      </c>
      <c r="HF183" s="8" t="n">
        <v>1</v>
      </c>
      <c r="HG183" s="8" t="n">
        <v>32</v>
      </c>
      <c r="HH183" s="8" t="n">
        <v>4</v>
      </c>
      <c r="HI183" s="8" t="n">
        <v>5</v>
      </c>
      <c r="HJ183" s="9">
        <f>HF183+HI183</f>
        <v/>
      </c>
      <c r="HK183" s="10">
        <f>IF(HE183=0,"",HH183/HE183)</f>
        <v/>
      </c>
      <c r="HL183" s="8" t="n">
        <v>12</v>
      </c>
      <c r="HM183" s="8" t="n">
        <v>4</v>
      </c>
      <c r="HN183" s="11">
        <f>IF(HL183=0,"",HM183/HL183)</f>
        <v/>
      </c>
    </row>
    <row r="184">
      <c r="A184" s="12" t="inlineStr">
        <is>
          <t>Mulanje</t>
        </is>
      </c>
      <c r="B184" s="12" t="inlineStr">
        <is>
          <t>Phalombe</t>
        </is>
      </c>
      <c r="C184" s="13" t="inlineStr">
        <is>
          <t>FY2025/26</t>
        </is>
      </c>
      <c r="D184" s="13" t="n">
        <v>2025</v>
      </c>
      <c r="E184" s="13" t="n">
        <v>5</v>
      </c>
      <c r="F184" s="13" t="inlineStr">
        <is>
          <t>May</t>
        </is>
      </c>
      <c r="G184" s="13" t="inlineStr">
        <is>
          <t>Q1</t>
        </is>
      </c>
      <c r="H184" s="14" t="n">
        <v>8810</v>
      </c>
      <c r="I184" s="14" t="n">
        <v>4029</v>
      </c>
      <c r="J184" s="14" t="n">
        <v>0</v>
      </c>
      <c r="K184" s="14" t="n">
        <v>5</v>
      </c>
      <c r="L184" s="14" t="n">
        <v>5</v>
      </c>
      <c r="M184" s="15">
        <f>SUM(I184,J184,K184,L184)</f>
        <v/>
      </c>
      <c r="N184" s="14" t="n">
        <v>1319</v>
      </c>
      <c r="O184" s="14" t="n">
        <v>90</v>
      </c>
      <c r="P184" s="14" t="n">
        <v>355.3</v>
      </c>
      <c r="Q184" s="14" t="n">
        <v>112</v>
      </c>
      <c r="R184" s="15">
        <f>SUM(N184,O184,P184,Q184)</f>
        <v/>
      </c>
      <c r="S184" s="15">
        <f>M184+R184</f>
        <v/>
      </c>
      <c r="T184" s="14" t="n">
        <v>2894.7</v>
      </c>
      <c r="U184" s="16">
        <f>IF(H184=0,"",T184/H184)</f>
        <v/>
      </c>
      <c r="V184" s="14" t="n">
        <v>24</v>
      </c>
      <c r="W184" s="17">
        <f>IF(H184=0,"",V184/H184)</f>
        <v/>
      </c>
      <c r="X184" s="14" t="n">
        <v>0</v>
      </c>
      <c r="Y184" s="17">
        <f>IF(H184=0,"",X184/H184)</f>
        <v/>
      </c>
      <c r="Z184" s="14" t="n">
        <v>0</v>
      </c>
      <c r="AA184" s="17">
        <f>IF(H184=0,"",Z184/H184)</f>
        <v/>
      </c>
      <c r="AB184" s="14" t="n">
        <v>0</v>
      </c>
      <c r="AC184" s="17">
        <f>IF(H184=0,"",AB184/H184)</f>
        <v/>
      </c>
      <c r="AD184" s="14" t="n">
        <v>0</v>
      </c>
      <c r="AE184" s="17">
        <f>IF(H184=0,"",AD184/H184)</f>
        <v/>
      </c>
      <c r="AF184" s="14" t="n">
        <v>0</v>
      </c>
      <c r="AG184" s="17">
        <f>IF(H184=0,"",AF184/H184)</f>
        <v/>
      </c>
      <c r="AH184" s="14" t="n">
        <v>122680.08</v>
      </c>
      <c r="AI184" s="15">
        <f>IF(H184=0,"",AH184/H184)</f>
        <v/>
      </c>
      <c r="AJ184" s="14" t="n">
        <v>14</v>
      </c>
      <c r="AK184" s="17">
        <f>IF(H184=0,"",AJ184/H184)</f>
        <v/>
      </c>
      <c r="AL184" s="14" t="n">
        <v>18369.021</v>
      </c>
      <c r="AM184" s="15">
        <f>IF(H184=0,"",AL184/H184)</f>
        <v/>
      </c>
      <c r="AN184" s="14" t="n">
        <v>0</v>
      </c>
      <c r="AO184" s="14" t="n">
        <v>0</v>
      </c>
      <c r="AP184" s="14" t="n">
        <v>0</v>
      </c>
      <c r="AQ184" s="14" t="n">
        <v>0</v>
      </c>
      <c r="AR184" s="14" t="n">
        <v>4684849.99</v>
      </c>
      <c r="AS184" s="14" t="n">
        <v>1537754.41</v>
      </c>
      <c r="AT184" s="14" t="n">
        <v>0</v>
      </c>
      <c r="AU184" s="15">
        <f>AH184+AL184+AP184+AQ184+AR184+AS184+AT184</f>
        <v/>
      </c>
      <c r="AV184" s="15">
        <f>IF(H184=0,"",AU184/H184)</f>
        <v/>
      </c>
      <c r="AW184" s="15">
        <f>IF(S184=0,"",AU184/S184)</f>
        <v/>
      </c>
      <c r="AX184" s="14" t="n">
        <v>5</v>
      </c>
      <c r="AY184" s="15">
        <f>IF(H184=0,"",AX184/(H184/1000/12))</f>
        <v/>
      </c>
      <c r="AZ184" s="14" t="n">
        <v>10</v>
      </c>
      <c r="BA184" s="14" t="n">
        <v>32</v>
      </c>
      <c r="BB184" s="14" t="n">
        <v>7</v>
      </c>
      <c r="BC184" s="14" t="n">
        <v>4</v>
      </c>
      <c r="BD184" s="14" t="n">
        <v>0</v>
      </c>
      <c r="BE184" s="15">
        <f>BC184+BD184</f>
        <v/>
      </c>
      <c r="BF184" s="15">
        <f>BA184+BB184-BE184</f>
        <v/>
      </c>
      <c r="BG184" s="14" t="n">
        <v>0</v>
      </c>
      <c r="BH184" s="14" t="n">
        <v>0</v>
      </c>
      <c r="BI184" s="14" t="n">
        <v>0</v>
      </c>
      <c r="BJ184" s="14" t="n">
        <v>0</v>
      </c>
      <c r="BK184" s="15">
        <f>BI184+BJ184</f>
        <v/>
      </c>
      <c r="BL184" s="15">
        <f>BG184+BH184-BK184</f>
        <v/>
      </c>
      <c r="BM184" s="14" t="n">
        <v>0</v>
      </c>
      <c r="BN184" s="14" t="n">
        <v>0</v>
      </c>
      <c r="BO184" s="14" t="n">
        <v>0</v>
      </c>
      <c r="BP184" s="14" t="n">
        <v>0</v>
      </c>
      <c r="BQ184" s="15">
        <f>BO184+BP184</f>
        <v/>
      </c>
      <c r="BR184" s="15">
        <f>BM184+BN184-BQ184</f>
        <v/>
      </c>
      <c r="BS184" s="14" t="n">
        <v>0</v>
      </c>
      <c r="BT184" s="14" t="n">
        <v>0</v>
      </c>
      <c r="BU184" s="14" t="n">
        <v>0</v>
      </c>
      <c r="BV184" s="14" t="n">
        <v>0</v>
      </c>
      <c r="BW184" s="15">
        <f>BU184+BV184</f>
        <v/>
      </c>
      <c r="BX184" s="15">
        <f>BS184+BT184-BW184</f>
        <v/>
      </c>
      <c r="BY184" s="15">
        <f>BA184+BG184+BM184+BS184</f>
        <v/>
      </c>
      <c r="BZ184" s="15">
        <f>BB184+BH184+BN184+BT184</f>
        <v/>
      </c>
      <c r="CA184" s="15">
        <f>BE184+BK184+BQ184+BW184</f>
        <v/>
      </c>
      <c r="CB184" s="15">
        <f>BF184+BL184+BR184+BX184</f>
        <v/>
      </c>
      <c r="CC184" s="14" t="n">
        <v>16</v>
      </c>
      <c r="CD184" s="14" t="n">
        <v>224</v>
      </c>
      <c r="CE184" s="14" t="n">
        <v>14</v>
      </c>
      <c r="CF184" s="14" t="n">
        <v>25</v>
      </c>
      <c r="CG184" s="14" t="n">
        <v>0</v>
      </c>
      <c r="CH184" s="15">
        <f>CD184+CE184+CF184+CG184</f>
        <v/>
      </c>
      <c r="CI184" s="14" t="n">
        <v>485</v>
      </c>
      <c r="CJ184" s="14" t="n">
        <v>1</v>
      </c>
      <c r="CK184" s="14" t="n">
        <v>1</v>
      </c>
      <c r="CL184" s="14" t="n">
        <v>0</v>
      </c>
      <c r="CM184" s="15">
        <f>CI184+CJ184+CK184+CL184</f>
        <v/>
      </c>
      <c r="CN184" s="14" t="n">
        <v>263</v>
      </c>
      <c r="CO184" s="14" t="n">
        <v>26</v>
      </c>
      <c r="CP184" s="14" t="n">
        <v>23</v>
      </c>
      <c r="CQ184" s="14" t="n">
        <v>8</v>
      </c>
      <c r="CR184" s="15">
        <f>CN184+CO184+CP184+CQ184</f>
        <v/>
      </c>
      <c r="CS184" s="15">
        <f>CM184+CR184</f>
        <v/>
      </c>
      <c r="CT184" s="14" t="n">
        <v>1070</v>
      </c>
      <c r="CU184" s="14" t="n">
        <v>10013</v>
      </c>
      <c r="CV184" s="14" t="n">
        <v>7460</v>
      </c>
      <c r="CW184" s="16">
        <f>IF(CU184=0,"",CV184/CU184)</f>
        <v/>
      </c>
      <c r="CX184" s="14" t="n">
        <v>0</v>
      </c>
      <c r="CY184" s="14" t="n">
        <v>0</v>
      </c>
      <c r="CZ184" s="14" t="n">
        <v>0</v>
      </c>
      <c r="DA184" s="14" t="n">
        <v>0</v>
      </c>
      <c r="DB184" s="15">
        <f>CX184+CY184-CZ184-DA184</f>
        <v/>
      </c>
      <c r="DC184" s="14" t="n">
        <v>0</v>
      </c>
      <c r="DD184" s="14" t="n">
        <v>0</v>
      </c>
      <c r="DE184" s="14" t="n">
        <v>0</v>
      </c>
      <c r="DF184" s="14" t="n">
        <v>0</v>
      </c>
      <c r="DG184" s="15">
        <f>DC184+DD184-DE184-DF184</f>
        <v/>
      </c>
      <c r="DH184" s="14" t="n">
        <v>0</v>
      </c>
      <c r="DI184" s="14" t="n">
        <v>0</v>
      </c>
      <c r="DJ184" s="14" t="n">
        <v>0</v>
      </c>
      <c r="DK184" s="14" t="n">
        <v>0</v>
      </c>
      <c r="DL184" s="15">
        <f>DH184+DI184-DJ184-DK184</f>
        <v/>
      </c>
      <c r="DM184" s="14" t="n">
        <v>10</v>
      </c>
      <c r="DN184" s="14" t="n">
        <v>5</v>
      </c>
      <c r="DO184" s="14" t="n">
        <v>3</v>
      </c>
      <c r="DP184" s="14" t="n">
        <v>6</v>
      </c>
      <c r="DQ184" s="15">
        <f>DM184+DN184-DO184-DP184</f>
        <v/>
      </c>
      <c r="DR184" s="15">
        <f>CX184+DC184+DH184+DM184</f>
        <v/>
      </c>
      <c r="DS184" s="15">
        <f>CY184+DD184+DI184+DN184</f>
        <v/>
      </c>
      <c r="DT184" s="15">
        <f>CZ184+DE184+DJ184+DO184</f>
        <v/>
      </c>
      <c r="DU184" s="15">
        <f>DA184+DF184+DK184+DP184</f>
        <v/>
      </c>
      <c r="DV184" s="15">
        <f>DB184+DG184+DL184+DQ184</f>
        <v/>
      </c>
      <c r="DW184" s="14" t="n">
        <v>6</v>
      </c>
      <c r="DX184" s="14" t="n">
        <v>6</v>
      </c>
      <c r="DY184" s="14" t="n">
        <v>8</v>
      </c>
      <c r="DZ184" s="14" t="n">
        <v>3</v>
      </c>
      <c r="EA184" s="14" t="n">
        <v>3</v>
      </c>
      <c r="EB184" s="14" t="n">
        <v>2</v>
      </c>
      <c r="EC184" s="14" t="n">
        <v>1</v>
      </c>
      <c r="ED184" s="14" t="n">
        <v>1</v>
      </c>
      <c r="EE184" s="14" t="n">
        <v>0</v>
      </c>
      <c r="EF184" s="14" t="n">
        <v>0</v>
      </c>
      <c r="EG184" s="14" t="n">
        <v>0</v>
      </c>
      <c r="EH184" s="14" t="n">
        <v>0</v>
      </c>
      <c r="EI184" s="14" t="n">
        <v>0</v>
      </c>
      <c r="EJ184" s="14" t="n">
        <v>1</v>
      </c>
      <c r="EK184" s="14" t="n">
        <v>1</v>
      </c>
      <c r="EL184" s="14" t="n">
        <v>0</v>
      </c>
      <c r="EM184" s="14" t="n">
        <v>0</v>
      </c>
      <c r="EN184" s="14" t="n">
        <v>0</v>
      </c>
      <c r="EO184" s="14" t="n">
        <v>0</v>
      </c>
      <c r="EP184" s="14" t="n">
        <v>0</v>
      </c>
      <c r="EQ184" s="14" t="n">
        <v>0</v>
      </c>
      <c r="ER184" s="14" t="n">
        <v>0</v>
      </c>
      <c r="ES184" s="14" t="n">
        <v>0</v>
      </c>
      <c r="ET184" s="14" t="n">
        <v>0</v>
      </c>
      <c r="EU184" s="14" t="n">
        <v>0</v>
      </c>
      <c r="EV184" s="14" t="n">
        <v>0</v>
      </c>
      <c r="EW184" s="14" t="n">
        <v>0</v>
      </c>
      <c r="EX184" s="14" t="n">
        <v>0</v>
      </c>
      <c r="EY184" s="14" t="n">
        <v>0</v>
      </c>
      <c r="EZ184" s="14" t="n">
        <v>0</v>
      </c>
      <c r="FA184" s="14" t="n">
        <v>0</v>
      </c>
      <c r="FB184" s="14" t="n">
        <v>0</v>
      </c>
      <c r="FC184" s="14" t="n">
        <v>0</v>
      </c>
      <c r="FD184" s="14" t="n">
        <v>0</v>
      </c>
      <c r="FE184" s="14" t="n">
        <v>0</v>
      </c>
      <c r="FF184" s="14" t="n">
        <v>0</v>
      </c>
      <c r="FG184" s="15">
        <f>SUM(DW184,DX184,DY184,DZ184,EA184,EB184,EC184,ED184,EE184,EF184,EG184,EH184,EI184,EJ184,EK184,EL184,EM184,EN184,EO184,EP184,EQ184,ER184,ES184,ET184,EU184,EV184,EW184,EX184,EY184,EZ184,FA184,FB184,FC184,FD184,FE184,FF184)</f>
        <v/>
      </c>
      <c r="FH184" s="14" t="n">
        <v>0</v>
      </c>
      <c r="FI184" s="14" t="n">
        <v>0</v>
      </c>
      <c r="FJ184" s="14" t="n">
        <v>24</v>
      </c>
      <c r="FK184" s="14" t="n">
        <v>0</v>
      </c>
      <c r="FL184" s="14" t="n">
        <v>0</v>
      </c>
      <c r="FM184" s="14" t="n">
        <v>0</v>
      </c>
      <c r="FN184" s="14" t="n">
        <v>0</v>
      </c>
      <c r="FO184" s="14" t="n">
        <v>0</v>
      </c>
      <c r="FP184" s="14" t="n">
        <v>0</v>
      </c>
      <c r="FQ184" s="15">
        <f>FL184+FM184+FN184+FO184+FP184</f>
        <v/>
      </c>
      <c r="FR184" s="14" t="n">
        <v>4588876.39</v>
      </c>
      <c r="FS184" s="14" t="n">
        <v>0</v>
      </c>
      <c r="FT184" s="14" t="n">
        <v>0</v>
      </c>
      <c r="FU184" s="14" t="n">
        <v>0</v>
      </c>
      <c r="FV184" s="15">
        <f>FR184+FS184+FT184+FU184</f>
        <v/>
      </c>
      <c r="FW184" s="14" t="n">
        <v>1751274.84</v>
      </c>
      <c r="FX184" s="14" t="n">
        <v>19365.55</v>
      </c>
      <c r="FY184" s="14" t="n">
        <v>531100</v>
      </c>
      <c r="FZ184" s="14" t="n">
        <v>2303000.26</v>
      </c>
      <c r="GA184" s="15">
        <f>FW184+FX184+FY184+FZ184</f>
        <v/>
      </c>
      <c r="GB184" s="15">
        <f>FV184+GA184</f>
        <v/>
      </c>
      <c r="GC184" s="14" t="n">
        <v>3580971.59</v>
      </c>
      <c r="GD184" s="14" t="n">
        <v>3580971.59</v>
      </c>
      <c r="GE184" s="14" t="n">
        <v>11073.15</v>
      </c>
      <c r="GF184" s="14" t="n">
        <v>11796.63</v>
      </c>
      <c r="GG184" s="15">
        <f>GC184+GD184+GE184+GF184</f>
        <v/>
      </c>
      <c r="GH184" s="14" t="n">
        <v>0</v>
      </c>
      <c r="GI184" s="14" t="n">
        <v>0</v>
      </c>
      <c r="GJ184" s="14" t="n">
        <v>0</v>
      </c>
      <c r="GK184" s="14" t="n">
        <v>0</v>
      </c>
      <c r="GL184" s="15">
        <f>GH184+GI184+GJ184+GK184</f>
        <v/>
      </c>
      <c r="GM184" s="15">
        <f>GG184+GL184</f>
        <v/>
      </c>
      <c r="GN184" s="14" t="n">
        <v>277169.08</v>
      </c>
      <c r="GO184" s="14" t="n">
        <v>277169.08</v>
      </c>
      <c r="GP184" s="14" t="n">
        <v>3393.64</v>
      </c>
      <c r="GQ184" s="14" t="n">
        <v>4637.34</v>
      </c>
      <c r="GR184" s="15">
        <f>GN184+GO184+GP184+GQ184</f>
        <v/>
      </c>
      <c r="GS184" s="14" t="n">
        <v>433105</v>
      </c>
      <c r="GT184" s="14" t="n">
        <v>433105</v>
      </c>
      <c r="GU184" s="14" t="n">
        <v>893</v>
      </c>
      <c r="GV184" s="14" t="n">
        <v>893</v>
      </c>
      <c r="GW184" s="15">
        <f>GS184+GT184+GU184+GV184</f>
        <v/>
      </c>
      <c r="GX184" s="15">
        <f>GM184+GR184+GW184</f>
        <v/>
      </c>
      <c r="GY184" s="14" t="n">
        <v>32238010.9</v>
      </c>
      <c r="GZ184" s="14" t="n">
        <v>458783.83</v>
      </c>
      <c r="HA184" s="15">
        <f>GY184+GZ184</f>
        <v/>
      </c>
      <c r="HB184" s="15">
        <f>IF(GX184=0,"",AU184/GX184)</f>
        <v/>
      </c>
      <c r="HC184" s="16">
        <f>IF((GX184+GY184)=0,"",GB184/(GX184+GY184))</f>
        <v/>
      </c>
      <c r="HD184" s="15">
        <f>IF(GX184=0,"",GB184/GX184)</f>
        <v/>
      </c>
      <c r="HE184" s="14" t="n">
        <v>7</v>
      </c>
      <c r="HF184" s="14" t="n">
        <v>1</v>
      </c>
      <c r="HG184" s="14" t="n">
        <v>35</v>
      </c>
      <c r="HH184" s="14" t="n">
        <v>7</v>
      </c>
      <c r="HI184" s="14" t="n">
        <v>5</v>
      </c>
      <c r="HJ184" s="15">
        <f>HF184+HI184</f>
        <v/>
      </c>
      <c r="HK184" s="16">
        <f>IF(HE184=0,"",HH184/HE184)</f>
        <v/>
      </c>
      <c r="HL184" s="14" t="n">
        <v>10</v>
      </c>
      <c r="HM184" s="14" t="n">
        <v>3</v>
      </c>
      <c r="HN184" s="17">
        <f>IF(HL184=0,"",HM184/HL184)</f>
        <v/>
      </c>
    </row>
    <row r="185">
      <c r="A185" s="6" t="inlineStr">
        <is>
          <t>Mulanje</t>
        </is>
      </c>
      <c r="B185" s="6" t="inlineStr">
        <is>
          <t>Phalombe</t>
        </is>
      </c>
      <c r="C185" s="7" t="inlineStr">
        <is>
          <t>FY2025/26</t>
        </is>
      </c>
      <c r="D185" s="7" t="n">
        <v>2025</v>
      </c>
      <c r="E185" s="7" t="n">
        <v>6</v>
      </c>
      <c r="F185" s="7" t="inlineStr">
        <is>
          <t>June</t>
        </is>
      </c>
      <c r="G185" s="7" t="inlineStr">
        <is>
          <t>Q1</t>
        </is>
      </c>
      <c r="H185" s="8" t="n">
        <v>9081</v>
      </c>
      <c r="I185" s="8" t="n">
        <v>4267</v>
      </c>
      <c r="J185" s="8" t="n">
        <v>0</v>
      </c>
      <c r="K185" s="8" t="n">
        <v>4</v>
      </c>
      <c r="L185" s="8" t="n">
        <v>4</v>
      </c>
      <c r="M185" s="9">
        <f>SUM(I185,J185,K185,L185)</f>
        <v/>
      </c>
      <c r="N185" s="8" t="n">
        <v>1194</v>
      </c>
      <c r="O185" s="8" t="n">
        <v>101</v>
      </c>
      <c r="P185" s="8" t="n">
        <v>424</v>
      </c>
      <c r="Q185" s="8" t="n">
        <v>93</v>
      </c>
      <c r="R185" s="9">
        <f>SUM(N185,O185,P185,Q185)</f>
        <v/>
      </c>
      <c r="S185" s="9">
        <f>M185+R185</f>
        <v/>
      </c>
      <c r="T185" s="8" t="n">
        <v>2994</v>
      </c>
      <c r="U185" s="10">
        <f>IF(H185=0,"",T185/H185)</f>
        <v/>
      </c>
      <c r="V185" s="8" t="n">
        <v>24</v>
      </c>
      <c r="W185" s="11">
        <f>IF(H185=0,"",V185/H185)</f>
        <v/>
      </c>
      <c r="X185" s="8" t="n">
        <v>0</v>
      </c>
      <c r="Y185" s="11">
        <f>IF(H185=0,"",X185/H185)</f>
        <v/>
      </c>
      <c r="Z185" s="8" t="n">
        <v>0</v>
      </c>
      <c r="AA185" s="11">
        <f>IF(H185=0,"",Z185/H185)</f>
        <v/>
      </c>
      <c r="AB185" s="8" t="n">
        <v>0</v>
      </c>
      <c r="AC185" s="11">
        <f>IF(H185=0,"",AB185/H185)</f>
        <v/>
      </c>
      <c r="AD185" s="8" t="n">
        <v>0</v>
      </c>
      <c r="AE185" s="11">
        <f>IF(H185=0,"",AD185/H185)</f>
        <v/>
      </c>
      <c r="AF185" s="8" t="n">
        <v>0</v>
      </c>
      <c r="AG185" s="11">
        <f>IF(H185=0,"",AF185/H185)</f>
        <v/>
      </c>
      <c r="AH185" s="8" t="n">
        <v>122680.08</v>
      </c>
      <c r="AI185" s="9">
        <f>IF(H185=0,"",AH185/H185)</f>
        <v/>
      </c>
      <c r="AJ185" s="8" t="n">
        <v>18</v>
      </c>
      <c r="AK185" s="11">
        <f>IF(H185=0,"",AJ185/H185)</f>
        <v/>
      </c>
      <c r="AL185" s="8" t="n">
        <v>18924.027</v>
      </c>
      <c r="AM185" s="9">
        <f>IF(H185=0,"",AL185/H185)</f>
        <v/>
      </c>
      <c r="AN185" s="8" t="n">
        <v>0</v>
      </c>
      <c r="AO185" s="8" t="n">
        <v>0</v>
      </c>
      <c r="AP185" s="8" t="n">
        <v>0</v>
      </c>
      <c r="AQ185" s="8" t="n">
        <v>0</v>
      </c>
      <c r="AR185" s="8" t="n">
        <v>5026425.6</v>
      </c>
      <c r="AS185" s="8" t="n">
        <v>2008813.68</v>
      </c>
      <c r="AT185" s="8" t="n">
        <v>0</v>
      </c>
      <c r="AU185" s="9">
        <f>AH185+AL185+AP185+AQ185+AR185+AS185+AT185</f>
        <v/>
      </c>
      <c r="AV185" s="9">
        <f>IF(H185=0,"",AU185/H185)</f>
        <v/>
      </c>
      <c r="AW185" s="9">
        <f>IF(S185=0,"",AU185/S185)</f>
        <v/>
      </c>
      <c r="AX185" s="8" t="n">
        <v>5</v>
      </c>
      <c r="AY185" s="9">
        <f>IF(H185=0,"",AX185/(H185/1000/12))</f>
        <v/>
      </c>
      <c r="AZ185" s="8" t="n">
        <v>10</v>
      </c>
      <c r="BA185" s="8" t="n">
        <v>35</v>
      </c>
      <c r="BB185" s="8" t="n">
        <v>7</v>
      </c>
      <c r="BC185" s="8" t="n">
        <v>0</v>
      </c>
      <c r="BD185" s="8" t="n">
        <v>0</v>
      </c>
      <c r="BE185" s="9">
        <f>BC185+BD185</f>
        <v/>
      </c>
      <c r="BF185" s="9">
        <f>BA185+BB185-BE185</f>
        <v/>
      </c>
      <c r="BG185" s="8" t="n">
        <v>0</v>
      </c>
      <c r="BH185" s="8" t="n">
        <v>0</v>
      </c>
      <c r="BI185" s="8" t="n">
        <v>0</v>
      </c>
      <c r="BJ185" s="8" t="n">
        <v>0</v>
      </c>
      <c r="BK185" s="9">
        <f>BI185+BJ185</f>
        <v/>
      </c>
      <c r="BL185" s="9">
        <f>BG185+BH185-BK185</f>
        <v/>
      </c>
      <c r="BM185" s="8" t="n">
        <v>0</v>
      </c>
      <c r="BN185" s="8" t="n">
        <v>0</v>
      </c>
      <c r="BO185" s="8" t="n">
        <v>0</v>
      </c>
      <c r="BP185" s="8" t="n">
        <v>0</v>
      </c>
      <c r="BQ185" s="9">
        <f>BO185+BP185</f>
        <v/>
      </c>
      <c r="BR185" s="9">
        <f>BM185+BN185-BQ185</f>
        <v/>
      </c>
      <c r="BS185" s="8" t="n">
        <v>0</v>
      </c>
      <c r="BT185" s="8" t="n">
        <v>0</v>
      </c>
      <c r="BU185" s="8" t="n">
        <v>0</v>
      </c>
      <c r="BV185" s="8" t="n">
        <v>0</v>
      </c>
      <c r="BW185" s="9">
        <f>BU185+BV185</f>
        <v/>
      </c>
      <c r="BX185" s="9">
        <f>BS185+BT185-BW185</f>
        <v/>
      </c>
      <c r="BY185" s="9">
        <f>BA185+BG185+BM185+BS185</f>
        <v/>
      </c>
      <c r="BZ185" s="9">
        <f>BB185+BH185+BN185+BT185</f>
        <v/>
      </c>
      <c r="CA185" s="9">
        <f>BE185+BK185+BQ185+BW185</f>
        <v/>
      </c>
      <c r="CB185" s="9">
        <f>BF185+BL185+BR185+BX185</f>
        <v/>
      </c>
      <c r="CC185" s="8" t="n">
        <v>11</v>
      </c>
      <c r="CD185" s="8" t="n">
        <v>228</v>
      </c>
      <c r="CE185" s="8" t="n">
        <v>14</v>
      </c>
      <c r="CF185" s="8" t="n">
        <v>25</v>
      </c>
      <c r="CG185" s="8" t="n">
        <v>0</v>
      </c>
      <c r="CH185" s="9">
        <f>CD185+CE185+CF185+CG185</f>
        <v/>
      </c>
      <c r="CI185" s="8" t="n">
        <v>481</v>
      </c>
      <c r="CJ185" s="8" t="n">
        <v>1</v>
      </c>
      <c r="CK185" s="8" t="n">
        <v>1</v>
      </c>
      <c r="CL185" s="8" t="n">
        <v>0</v>
      </c>
      <c r="CM185" s="9">
        <f>CI185+CJ185+CK185+CL185</f>
        <v/>
      </c>
      <c r="CN185" s="8" t="n">
        <v>263</v>
      </c>
      <c r="CO185" s="8" t="n">
        <v>25</v>
      </c>
      <c r="CP185" s="8" t="n">
        <v>23</v>
      </c>
      <c r="CQ185" s="8" t="n">
        <v>8</v>
      </c>
      <c r="CR185" s="9">
        <f>CN185+CO185+CP185+CQ185</f>
        <v/>
      </c>
      <c r="CS185" s="9">
        <f>CM185+CR185</f>
        <v/>
      </c>
      <c r="CT185" s="8" t="n">
        <v>1069</v>
      </c>
      <c r="CU185" s="8" t="n">
        <v>10013</v>
      </c>
      <c r="CV185" s="8" t="n">
        <v>7460</v>
      </c>
      <c r="CW185" s="10">
        <f>IF(CU185=0,"",CV185/CU185)</f>
        <v/>
      </c>
      <c r="CX185" s="8" t="n">
        <v>0</v>
      </c>
      <c r="CY185" s="8" t="n">
        <v>0</v>
      </c>
      <c r="CZ185" s="8" t="n">
        <v>0</v>
      </c>
      <c r="DA185" s="8" t="n">
        <v>0</v>
      </c>
      <c r="DB185" s="9">
        <f>CX185+CY185-CZ185-DA185</f>
        <v/>
      </c>
      <c r="DC185" s="8" t="n">
        <v>0</v>
      </c>
      <c r="DD185" s="8" t="n">
        <v>0</v>
      </c>
      <c r="DE185" s="8" t="n">
        <v>0</v>
      </c>
      <c r="DF185" s="8" t="n">
        <v>0</v>
      </c>
      <c r="DG185" s="9">
        <f>DC185+DD185-DE185-DF185</f>
        <v/>
      </c>
      <c r="DH185" s="8" t="n">
        <v>0</v>
      </c>
      <c r="DI185" s="8" t="n">
        <v>0</v>
      </c>
      <c r="DJ185" s="8" t="n">
        <v>0</v>
      </c>
      <c r="DK185" s="8" t="n">
        <v>0</v>
      </c>
      <c r="DL185" s="9">
        <f>DH185+DI185-DJ185-DK185</f>
        <v/>
      </c>
      <c r="DM185" s="8" t="n">
        <v>6</v>
      </c>
      <c r="DN185" s="8" t="n">
        <v>1</v>
      </c>
      <c r="DO185" s="8" t="n">
        <v>2</v>
      </c>
      <c r="DP185" s="8" t="n">
        <v>2</v>
      </c>
      <c r="DQ185" s="9">
        <f>DM185+DN185-DO185-DP185</f>
        <v/>
      </c>
      <c r="DR185" s="9">
        <f>CX185+DC185+DH185+DM185</f>
        <v/>
      </c>
      <c r="DS185" s="9">
        <f>CY185+DD185+DI185+DN185</f>
        <v/>
      </c>
      <c r="DT185" s="9">
        <f>CZ185+DE185+DJ185+DO185</f>
        <v/>
      </c>
      <c r="DU185" s="9">
        <f>DA185+DF185+DK185+DP185</f>
        <v/>
      </c>
      <c r="DV185" s="9">
        <f>DB185+DG185+DL185+DQ185</f>
        <v/>
      </c>
      <c r="DW185" s="8" t="n">
        <v>5</v>
      </c>
      <c r="DX185" s="8" t="n">
        <v>5</v>
      </c>
      <c r="DY185" s="8" t="n">
        <v>5</v>
      </c>
      <c r="DZ185" s="8" t="n">
        <v>2</v>
      </c>
      <c r="EA185" s="8" t="n">
        <v>3</v>
      </c>
      <c r="EB185" s="8" t="n">
        <v>2</v>
      </c>
      <c r="EC185" s="8" t="n">
        <v>1</v>
      </c>
      <c r="ED185" s="8" t="n">
        <v>0</v>
      </c>
      <c r="EE185" s="8" t="n">
        <v>2</v>
      </c>
      <c r="EF185" s="8" t="n">
        <v>0</v>
      </c>
      <c r="EG185" s="8" t="n">
        <v>0</v>
      </c>
      <c r="EH185" s="8" t="n">
        <v>0</v>
      </c>
      <c r="EI185" s="8" t="n">
        <v>0</v>
      </c>
      <c r="EJ185" s="8" t="n">
        <v>0</v>
      </c>
      <c r="EK185" s="8" t="n">
        <v>0</v>
      </c>
      <c r="EL185" s="8" t="n">
        <v>0</v>
      </c>
      <c r="EM185" s="8" t="n">
        <v>0</v>
      </c>
      <c r="EN185" s="8" t="n">
        <v>0</v>
      </c>
      <c r="EO185" s="8" t="n">
        <v>0</v>
      </c>
      <c r="EP185" s="8" t="n">
        <v>0</v>
      </c>
      <c r="EQ185" s="8" t="n">
        <v>0</v>
      </c>
      <c r="ER185" s="8" t="n">
        <v>0</v>
      </c>
      <c r="ES185" s="8" t="n">
        <v>0</v>
      </c>
      <c r="ET185" s="8" t="n">
        <v>0</v>
      </c>
      <c r="EU185" s="8" t="n">
        <v>0</v>
      </c>
      <c r="EV185" s="8" t="n">
        <v>0</v>
      </c>
      <c r="EW185" s="8" t="n">
        <v>0</v>
      </c>
      <c r="EX185" s="8" t="n">
        <v>0</v>
      </c>
      <c r="EY185" s="8" t="n">
        <v>0</v>
      </c>
      <c r="EZ185" s="8" t="n">
        <v>0</v>
      </c>
      <c r="FA185" s="8" t="n">
        <v>0</v>
      </c>
      <c r="FB185" s="8" t="n">
        <v>0</v>
      </c>
      <c r="FC185" s="8" t="n">
        <v>0</v>
      </c>
      <c r="FD185" s="8" t="n">
        <v>0</v>
      </c>
      <c r="FE185" s="8" t="n">
        <v>0</v>
      </c>
      <c r="FF185" s="8" t="n">
        <v>0</v>
      </c>
      <c r="FG185" s="9">
        <f>SUM(DW185,DX185,DY185,DZ185,EA185,EB185,EC185,ED185,EE185,EF185,EG185,EH185,EI185,EJ185,EK185,EL185,EM185,EN185,EO185,EP185,EQ185,ER185,ES185,ET185,EU185,EV185,EW185,EX185,EY185,EZ185,FA185,FB185,FC185,FD185,FE185,FF185)</f>
        <v/>
      </c>
      <c r="FH185" s="8" t="n">
        <v>0</v>
      </c>
      <c r="FI185" s="8" t="n">
        <v>0</v>
      </c>
      <c r="FJ185" s="8" t="n">
        <v>24</v>
      </c>
      <c r="FK185" s="8" t="n">
        <v>0</v>
      </c>
      <c r="FL185" s="8" t="n">
        <v>0</v>
      </c>
      <c r="FM185" s="8" t="n">
        <v>0</v>
      </c>
      <c r="FN185" s="8" t="n">
        <v>0</v>
      </c>
      <c r="FO185" s="8" t="n">
        <v>0</v>
      </c>
      <c r="FP185" s="8" t="n">
        <v>0</v>
      </c>
      <c r="FQ185" s="9">
        <f>FL185+FM185+FN185+FO185+FP185</f>
        <v/>
      </c>
      <c r="FR185" s="8" t="n">
        <v>3819445.22</v>
      </c>
      <c r="FS185" s="8" t="n">
        <v>0</v>
      </c>
      <c r="FT185" s="8" t="n">
        <v>0</v>
      </c>
      <c r="FU185" s="8" t="n">
        <v>0</v>
      </c>
      <c r="FV185" s="9">
        <f>FR185+FS185+FT185+FU185</f>
        <v/>
      </c>
      <c r="FW185" s="8" t="n">
        <v>1579526.3</v>
      </c>
      <c r="FX185" s="8" t="n">
        <v>23288</v>
      </c>
      <c r="FY185" s="8" t="n">
        <v>440900</v>
      </c>
      <c r="FZ185" s="8" t="n">
        <v>2798202</v>
      </c>
      <c r="GA185" s="9">
        <f>FW185+FX185+FY185+FZ185</f>
        <v/>
      </c>
      <c r="GB185" s="9">
        <f>FV185+GA185</f>
        <v/>
      </c>
      <c r="GC185" s="8" t="n">
        <v>3729537.53</v>
      </c>
      <c r="GD185" s="8" t="n">
        <v>3729537.53</v>
      </c>
      <c r="GE185" s="8" t="n">
        <v>8410.99</v>
      </c>
      <c r="GF185" s="8" t="n">
        <v>8410.99</v>
      </c>
      <c r="GG185" s="9">
        <f>GC185+GD185+GE185+GF185</f>
        <v/>
      </c>
      <c r="GH185" s="8" t="n">
        <v>0</v>
      </c>
      <c r="GI185" s="8" t="n">
        <v>0</v>
      </c>
      <c r="GJ185" s="8" t="n">
        <v>0</v>
      </c>
      <c r="GK185" s="8" t="n">
        <v>0</v>
      </c>
      <c r="GL185" s="9">
        <f>GH185+GI185+GJ185+GK185</f>
        <v/>
      </c>
      <c r="GM185" s="9">
        <f>GG185+GL185</f>
        <v/>
      </c>
      <c r="GN185" s="8" t="n">
        <v>274539.64</v>
      </c>
      <c r="GO185" s="8" t="n">
        <v>274539.64</v>
      </c>
      <c r="GP185" s="8" t="n">
        <v>3393.64</v>
      </c>
      <c r="GQ185" s="8" t="n">
        <v>4637.34</v>
      </c>
      <c r="GR185" s="9">
        <f>GN185+GO185+GP185+GQ185</f>
        <v/>
      </c>
      <c r="GS185" s="8" t="n">
        <v>429533</v>
      </c>
      <c r="GT185" s="8" t="n">
        <v>429533</v>
      </c>
      <c r="GU185" s="8" t="n">
        <v>893</v>
      </c>
      <c r="GV185" s="8" t="n">
        <v>893</v>
      </c>
      <c r="GW185" s="9">
        <f>GS185+GT185+GU185+GV185</f>
        <v/>
      </c>
      <c r="GX185" s="9">
        <f>GM185+GR185+GW185</f>
        <v/>
      </c>
      <c r="GY185" s="8" t="n">
        <v>32709264.81</v>
      </c>
      <c r="GZ185" s="8" t="n">
        <v>458783.83</v>
      </c>
      <c r="HA185" s="9">
        <f>GY185+GZ185</f>
        <v/>
      </c>
      <c r="HB185" s="9">
        <f>IF(GX185=0,"",AU185/GX185)</f>
        <v/>
      </c>
      <c r="HC185" s="10">
        <f>IF((GX185+GY185)=0,"",GB185/(GX185+GY185))</f>
        <v/>
      </c>
      <c r="HD185" s="9">
        <f>IF(GX185=0,"",GB185/GX185)</f>
        <v/>
      </c>
      <c r="HE185" s="8" t="n">
        <v>7</v>
      </c>
      <c r="HF185" s="8" t="n">
        <v>1</v>
      </c>
      <c r="HG185" s="8" t="n">
        <v>42</v>
      </c>
      <c r="HH185" s="8" t="n">
        <v>7</v>
      </c>
      <c r="HI185" s="8" t="n">
        <v>5</v>
      </c>
      <c r="HJ185" s="9">
        <f>HF185+HI185</f>
        <v/>
      </c>
      <c r="HK185" s="10">
        <f>IF(HE185=0,"",HH185/HE185)</f>
        <v/>
      </c>
      <c r="HL185" s="8" t="n">
        <v>5</v>
      </c>
      <c r="HM185" s="8" t="n">
        <v>1</v>
      </c>
      <c r="HN185" s="11">
        <f>IF(HL185=0,"",HM185/HL185)</f>
        <v/>
      </c>
    </row>
    <row r="186">
      <c r="A186" s="12" t="inlineStr">
        <is>
          <t>Mulanje</t>
        </is>
      </c>
      <c r="B186" s="12" t="inlineStr">
        <is>
          <t>Phalombe</t>
        </is>
      </c>
      <c r="C186" s="13" t="inlineStr">
        <is>
          <t>FY2025/26</t>
        </is>
      </c>
      <c r="D186" s="13" t="n">
        <v>2025</v>
      </c>
      <c r="E186" s="13" t="n">
        <v>7</v>
      </c>
      <c r="F186" s="13" t="inlineStr">
        <is>
          <t>July</t>
        </is>
      </c>
      <c r="G186" s="13" t="inlineStr">
        <is>
          <t>Q2</t>
        </is>
      </c>
      <c r="H186" s="14" t="n">
        <v>8315</v>
      </c>
      <c r="I186" s="14" t="n">
        <v>3096</v>
      </c>
      <c r="J186" s="14" t="n">
        <v>0</v>
      </c>
      <c r="K186" s="14" t="n">
        <v>0</v>
      </c>
      <c r="L186" s="14" t="n">
        <v>13</v>
      </c>
      <c r="M186" s="15">
        <f>SUM(I186,J186,K186,L186)</f>
        <v/>
      </c>
      <c r="N186" s="14" t="n">
        <v>1344</v>
      </c>
      <c r="O186" s="14" t="n">
        <v>120</v>
      </c>
      <c r="P186" s="14" t="n">
        <v>729</v>
      </c>
      <c r="Q186" s="14" t="n">
        <v>115</v>
      </c>
      <c r="R186" s="15">
        <f>SUM(N186,O186,P186,Q186)</f>
        <v/>
      </c>
      <c r="S186" s="15">
        <f>M186+R186</f>
        <v/>
      </c>
      <c r="T186" s="14" t="n">
        <v>2898</v>
      </c>
      <c r="U186" s="16">
        <f>IF(H186=0,"",T186/H186)</f>
        <v/>
      </c>
      <c r="V186" s="14" t="n">
        <v>24</v>
      </c>
      <c r="W186" s="17">
        <f>IF(H186=0,"",V186/H186)</f>
        <v/>
      </c>
      <c r="X186" s="14" t="n">
        <v>0</v>
      </c>
      <c r="Y186" s="17">
        <f>IF(H186=0,"",X186/H186)</f>
        <v/>
      </c>
      <c r="Z186" s="14" t="n">
        <v>0</v>
      </c>
      <c r="AA186" s="17">
        <f>IF(H186=0,"",Z186/H186)</f>
        <v/>
      </c>
      <c r="AB186" s="14" t="n">
        <v>0</v>
      </c>
      <c r="AC186" s="17">
        <f>IF(H186=0,"",AB186/H186)</f>
        <v/>
      </c>
      <c r="AD186" s="14" t="n">
        <v>0</v>
      </c>
      <c r="AE186" s="17">
        <f>IF(H186=0,"",AD186/H186)</f>
        <v/>
      </c>
      <c r="AF186" s="14" t="n">
        <v>0</v>
      </c>
      <c r="AG186" s="17">
        <f>IF(H186=0,"",AF186/H186)</f>
        <v/>
      </c>
      <c r="AH186" s="14" t="n">
        <v>122680.08</v>
      </c>
      <c r="AI186" s="15">
        <f>IF(H186=0,"",AH186/H186)</f>
        <v/>
      </c>
      <c r="AJ186" s="14" t="n">
        <v>20</v>
      </c>
      <c r="AK186" s="17">
        <f>IF(H186=0,"",AJ186/H186)</f>
        <v/>
      </c>
      <c r="AL186" s="14" t="n">
        <v>19201.53</v>
      </c>
      <c r="AM186" s="15">
        <f>IF(H186=0,"",AL186/H186)</f>
        <v/>
      </c>
      <c r="AN186" s="14" t="n">
        <v>0</v>
      </c>
      <c r="AO186" s="14" t="n">
        <v>0</v>
      </c>
      <c r="AP186" s="14" t="n">
        <v>0</v>
      </c>
      <c r="AQ186" s="14" t="n">
        <v>0</v>
      </c>
      <c r="AR186" s="14" t="n">
        <v>4661227.53</v>
      </c>
      <c r="AS186" s="14" t="n">
        <v>1916998.12</v>
      </c>
      <c r="AT186" s="14" t="n">
        <v>2178357</v>
      </c>
      <c r="AU186" s="15">
        <f>AH186+AL186+AP186+AQ186+AR186+AS186+AT186</f>
        <v/>
      </c>
      <c r="AV186" s="15">
        <f>IF(H186=0,"",AU186/H186)</f>
        <v/>
      </c>
      <c r="AW186" s="15">
        <f>IF(S186=0,"",AU186/S186)</f>
        <v/>
      </c>
      <c r="AX186" s="14" t="n">
        <v>5</v>
      </c>
      <c r="AY186" s="15">
        <f>IF(H186=0,"",AX186/(H186/1000/12))</f>
        <v/>
      </c>
      <c r="AZ186" s="14" t="n">
        <v>10</v>
      </c>
      <c r="BA186" s="14" t="n">
        <v>42</v>
      </c>
      <c r="BB186" s="14" t="n">
        <v>3</v>
      </c>
      <c r="BC186" s="14" t="n">
        <v>0</v>
      </c>
      <c r="BD186" s="14" t="n">
        <v>0</v>
      </c>
      <c r="BE186" s="15">
        <f>BC186+BD186</f>
        <v/>
      </c>
      <c r="BF186" s="15">
        <f>BA186+BB186-BE186</f>
        <v/>
      </c>
      <c r="BG186" s="14" t="n">
        <v>0</v>
      </c>
      <c r="BH186" s="14" t="n">
        <v>0</v>
      </c>
      <c r="BI186" s="14" t="n">
        <v>0</v>
      </c>
      <c r="BJ186" s="14" t="n">
        <v>0</v>
      </c>
      <c r="BK186" s="15">
        <f>BI186+BJ186</f>
        <v/>
      </c>
      <c r="BL186" s="15">
        <f>BG186+BH186-BK186</f>
        <v/>
      </c>
      <c r="BM186" s="14" t="n">
        <v>0</v>
      </c>
      <c r="BN186" s="14" t="n">
        <v>0</v>
      </c>
      <c r="BO186" s="14" t="n">
        <v>0</v>
      </c>
      <c r="BP186" s="14" t="n">
        <v>0</v>
      </c>
      <c r="BQ186" s="15">
        <f>BO186+BP186</f>
        <v/>
      </c>
      <c r="BR186" s="15">
        <f>BM186+BN186-BQ186</f>
        <v/>
      </c>
      <c r="BS186" s="14" t="n">
        <v>0</v>
      </c>
      <c r="BT186" s="14" t="n">
        <v>0</v>
      </c>
      <c r="BU186" s="14" t="n">
        <v>0</v>
      </c>
      <c r="BV186" s="14" t="n">
        <v>0</v>
      </c>
      <c r="BW186" s="15">
        <f>BU186+BV186</f>
        <v/>
      </c>
      <c r="BX186" s="15">
        <f>BS186+BT186-BW186</f>
        <v/>
      </c>
      <c r="BY186" s="15">
        <f>BA186+BG186+BM186+BS186</f>
        <v/>
      </c>
      <c r="BZ186" s="15">
        <f>BB186+BH186+BN186+BT186</f>
        <v/>
      </c>
      <c r="CA186" s="15">
        <f>BE186+BK186+BQ186+BW186</f>
        <v/>
      </c>
      <c r="CB186" s="15">
        <f>BF186+BL186+BR186+BX186</f>
        <v/>
      </c>
      <c r="CC186" s="14" t="n">
        <v>0</v>
      </c>
      <c r="CD186" s="14" t="n">
        <v>320</v>
      </c>
      <c r="CE186" s="14" t="n">
        <v>14</v>
      </c>
      <c r="CF186" s="14" t="n">
        <v>25</v>
      </c>
      <c r="CG186" s="14" t="n">
        <v>0</v>
      </c>
      <c r="CH186" s="15">
        <f>CD186+CE186+CF186+CG186</f>
        <v/>
      </c>
      <c r="CI186" s="14" t="n">
        <v>389</v>
      </c>
      <c r="CJ186" s="14" t="n">
        <v>1</v>
      </c>
      <c r="CK186" s="14" t="n">
        <v>1</v>
      </c>
      <c r="CL186" s="14" t="n">
        <v>0</v>
      </c>
      <c r="CM186" s="15">
        <f>CI186+CJ186+CK186+CL186</f>
        <v/>
      </c>
      <c r="CN186" s="14" t="n">
        <v>263</v>
      </c>
      <c r="CO186" s="14" t="n">
        <v>25</v>
      </c>
      <c r="CP186" s="14" t="n">
        <v>23</v>
      </c>
      <c r="CQ186" s="14" t="n">
        <v>8</v>
      </c>
      <c r="CR186" s="15">
        <f>CN186+CO186+CP186+CQ186</f>
        <v/>
      </c>
      <c r="CS186" s="15">
        <f>CM186+CR186</f>
        <v/>
      </c>
      <c r="CT186" s="14" t="n">
        <v>1069</v>
      </c>
      <c r="CU186" s="14" t="n">
        <v>10013</v>
      </c>
      <c r="CV186" s="14" t="n">
        <v>7460</v>
      </c>
      <c r="CW186" s="16">
        <f>IF(CU186=0,"",CV186/CU186)</f>
        <v/>
      </c>
      <c r="CX186" s="14" t="n">
        <v>0</v>
      </c>
      <c r="CY186" s="14" t="n">
        <v>0</v>
      </c>
      <c r="CZ186" s="14" t="n">
        <v>0</v>
      </c>
      <c r="DA186" s="14" t="n">
        <v>0</v>
      </c>
      <c r="DB186" s="15">
        <f>CX186+CY186-CZ186-DA186</f>
        <v/>
      </c>
      <c r="DC186" s="14" t="n">
        <v>0</v>
      </c>
      <c r="DD186" s="14" t="n">
        <v>0</v>
      </c>
      <c r="DE186" s="14" t="n">
        <v>0</v>
      </c>
      <c r="DF186" s="14" t="n">
        <v>0</v>
      </c>
      <c r="DG186" s="15">
        <f>DC186+DD186-DE186-DF186</f>
        <v/>
      </c>
      <c r="DH186" s="14" t="n">
        <v>0</v>
      </c>
      <c r="DI186" s="14" t="n">
        <v>0</v>
      </c>
      <c r="DJ186" s="14" t="n">
        <v>0</v>
      </c>
      <c r="DK186" s="14" t="n">
        <v>0</v>
      </c>
      <c r="DL186" s="15">
        <f>DH186+DI186-DJ186-DK186</f>
        <v/>
      </c>
      <c r="DM186" s="14" t="n">
        <v>3</v>
      </c>
      <c r="DN186" s="14" t="n">
        <v>1</v>
      </c>
      <c r="DO186" s="14" t="n">
        <v>0</v>
      </c>
      <c r="DP186" s="14" t="n">
        <v>0</v>
      </c>
      <c r="DQ186" s="15">
        <f>DM186+DN186-DO186-DP186</f>
        <v/>
      </c>
      <c r="DR186" s="15">
        <f>CX186+DC186+DH186+DM186</f>
        <v/>
      </c>
      <c r="DS186" s="15">
        <f>CY186+DD186+DI186+DN186</f>
        <v/>
      </c>
      <c r="DT186" s="15">
        <f>CZ186+DE186+DJ186+DO186</f>
        <v/>
      </c>
      <c r="DU186" s="15">
        <f>DA186+DF186+DK186+DP186</f>
        <v/>
      </c>
      <c r="DV186" s="15">
        <f>DB186+DG186+DL186+DQ186</f>
        <v/>
      </c>
      <c r="DW186" s="14" t="n">
        <v>7</v>
      </c>
      <c r="DX186" s="14" t="n">
        <v>6</v>
      </c>
      <c r="DY186" s="14" t="n">
        <v>5</v>
      </c>
      <c r="DZ186" s="14" t="n">
        <v>3</v>
      </c>
      <c r="EA186" s="14" t="n">
        <v>3</v>
      </c>
      <c r="EB186" s="14" t="n">
        <v>1</v>
      </c>
      <c r="EC186" s="14" t="n">
        <v>1</v>
      </c>
      <c r="ED186" s="14" t="n">
        <v>3</v>
      </c>
      <c r="EE186" s="14" t="n">
        <v>1</v>
      </c>
      <c r="EF186" s="14" t="n">
        <v>0</v>
      </c>
      <c r="EG186" s="14" t="n">
        <v>0</v>
      </c>
      <c r="EH186" s="14" t="n">
        <v>0</v>
      </c>
      <c r="EI186" s="14" t="n">
        <v>0</v>
      </c>
      <c r="EJ186" s="14" t="n">
        <v>0</v>
      </c>
      <c r="EK186" s="14" t="n">
        <v>1</v>
      </c>
      <c r="EL186" s="14" t="n">
        <v>1</v>
      </c>
      <c r="EM186" s="14" t="n">
        <v>0</v>
      </c>
      <c r="EN186" s="14" t="n">
        <v>0</v>
      </c>
      <c r="EO186" s="14" t="n">
        <v>0</v>
      </c>
      <c r="EP186" s="14" t="n">
        <v>0</v>
      </c>
      <c r="EQ186" s="14" t="n">
        <v>0</v>
      </c>
      <c r="ER186" s="14" t="n">
        <v>0</v>
      </c>
      <c r="ES186" s="14" t="n">
        <v>0</v>
      </c>
      <c r="ET186" s="14" t="n">
        <v>0</v>
      </c>
      <c r="EU186" s="14" t="n">
        <v>0</v>
      </c>
      <c r="EV186" s="14" t="n">
        <v>0</v>
      </c>
      <c r="EW186" s="14" t="n">
        <v>0</v>
      </c>
      <c r="EX186" s="14" t="n">
        <v>0</v>
      </c>
      <c r="EY186" s="14" t="n">
        <v>0</v>
      </c>
      <c r="EZ186" s="14" t="n">
        <v>0</v>
      </c>
      <c r="FA186" s="14" t="n">
        <v>0</v>
      </c>
      <c r="FB186" s="14" t="n">
        <v>0</v>
      </c>
      <c r="FC186" s="14" t="n">
        <v>0</v>
      </c>
      <c r="FD186" s="14" t="n">
        <v>0</v>
      </c>
      <c r="FE186" s="14" t="n">
        <v>0</v>
      </c>
      <c r="FF186" s="14" t="n">
        <v>0</v>
      </c>
      <c r="FG186" s="15">
        <f>SUM(DW186,DX186,DY186,DZ186,EA186,EB186,EC186,ED186,EE186,EF186,EG186,EH186,EI186,EJ186,EK186,EL186,EM186,EN186,EO186,EP186,EQ186,ER186,ES186,ET186,EU186,EV186,EW186,EX186,EY186,EZ186,FA186,FB186,FC186,FD186,FE186,FF186)</f>
        <v/>
      </c>
      <c r="FH186" s="14" t="n">
        <v>0</v>
      </c>
      <c r="FI186" s="14" t="n">
        <v>0</v>
      </c>
      <c r="FJ186" s="14" t="n">
        <v>24</v>
      </c>
      <c r="FK186" s="14" t="n">
        <v>0</v>
      </c>
      <c r="FL186" s="14" t="n">
        <v>0</v>
      </c>
      <c r="FM186" s="14" t="n">
        <v>0</v>
      </c>
      <c r="FN186" s="14" t="n">
        <v>0</v>
      </c>
      <c r="FO186" s="14" t="n">
        <v>0</v>
      </c>
      <c r="FP186" s="14" t="n">
        <v>0</v>
      </c>
      <c r="FQ186" s="15">
        <f>FL186+FM186+FN186+FO186+FP186</f>
        <v/>
      </c>
      <c r="FR186" s="14" t="n">
        <v>13251802.24</v>
      </c>
      <c r="FS186" s="14" t="n">
        <v>0</v>
      </c>
      <c r="FT186" s="14" t="n">
        <v>0</v>
      </c>
      <c r="FU186" s="14" t="n">
        <v>0</v>
      </c>
      <c r="FV186" s="15">
        <f>FR186+FS186+FT186+FU186</f>
        <v/>
      </c>
      <c r="FW186" s="14" t="n">
        <v>1845532</v>
      </c>
      <c r="FX186" s="14" t="n">
        <v>25600</v>
      </c>
      <c r="FY186" s="14" t="n">
        <v>545300</v>
      </c>
      <c r="FZ186" s="14" t="n">
        <v>2220000</v>
      </c>
      <c r="GA186" s="15">
        <f>FW186+FX186+FY186+FZ186</f>
        <v/>
      </c>
      <c r="GB186" s="15">
        <f>FV186+GA186</f>
        <v/>
      </c>
      <c r="GC186" s="14" t="n">
        <v>2728868.93</v>
      </c>
      <c r="GD186" s="14" t="n">
        <v>2728868.93</v>
      </c>
      <c r="GE186" s="14" t="n">
        <v>8410.99</v>
      </c>
      <c r="GF186" s="14" t="n">
        <v>41014.69</v>
      </c>
      <c r="GG186" s="15">
        <f>GC186+GD186+GE186+GF186</f>
        <v/>
      </c>
      <c r="GH186" s="14" t="n">
        <v>2778294.61</v>
      </c>
      <c r="GI186" s="14" t="n">
        <v>0</v>
      </c>
      <c r="GJ186" s="14" t="n">
        <v>0</v>
      </c>
      <c r="GK186" s="14" t="n">
        <v>0</v>
      </c>
      <c r="GL186" s="15">
        <f>GH186+GI186+GJ186+GK186</f>
        <v/>
      </c>
      <c r="GM186" s="15">
        <f>GG186+GL186</f>
        <v/>
      </c>
      <c r="GN186" s="14" t="n">
        <v>222995.91</v>
      </c>
      <c r="GO186" s="14" t="n">
        <v>222995.91</v>
      </c>
      <c r="GP186" s="14" t="n">
        <v>3393.64</v>
      </c>
      <c r="GQ186" s="14" t="n">
        <v>4637.34</v>
      </c>
      <c r="GR186" s="15">
        <f>GN186+GO186+GP186+GQ186</f>
        <v/>
      </c>
      <c r="GS186" s="14" t="n">
        <v>347377</v>
      </c>
      <c r="GT186" s="14" t="n">
        <v>347377</v>
      </c>
      <c r="GU186" s="14" t="n">
        <v>893</v>
      </c>
      <c r="GV186" s="14" t="n">
        <v>893</v>
      </c>
      <c r="GW186" s="15">
        <f>GS186+GT186+GU186+GV186</f>
        <v/>
      </c>
      <c r="GX186" s="15">
        <f>GM186+GR186+GW186</f>
        <v/>
      </c>
      <c r="GY186" s="14" t="n">
        <v>24021738.57</v>
      </c>
      <c r="GZ186" s="14" t="n">
        <v>458783.83</v>
      </c>
      <c r="HA186" s="15">
        <f>GY186+GZ186</f>
        <v/>
      </c>
      <c r="HB186" s="15">
        <f>IF(GX186=0,"",AU186/GX186)</f>
        <v/>
      </c>
      <c r="HC186" s="16">
        <f>IF((GX186+GY186)=0,"",GB186/(GX186+GY186))</f>
        <v/>
      </c>
      <c r="HD186" s="15">
        <f>IF(GX186=0,"",GB186/GX186)</f>
        <v/>
      </c>
      <c r="HE186" s="14" t="n">
        <v>3</v>
      </c>
      <c r="HF186" s="14" t="n">
        <v>1</v>
      </c>
      <c r="HG186" s="14" t="n">
        <v>45</v>
      </c>
      <c r="HH186" s="14" t="n">
        <v>3</v>
      </c>
      <c r="HI186" s="14" t="n">
        <v>5</v>
      </c>
      <c r="HJ186" s="15">
        <f>HF186+HI186</f>
        <v/>
      </c>
      <c r="HK186" s="16">
        <f>IF(HE186=0,"",HH186/HE186)</f>
        <v/>
      </c>
      <c r="HL186" s="14" t="n">
        <v>3</v>
      </c>
      <c r="HM186" s="14" t="n">
        <v>1</v>
      </c>
      <c r="HN186" s="17">
        <f>IF(HL186=0,"",HM186/HL186)</f>
        <v/>
      </c>
    </row>
    <row r="187">
      <c r="A187" s="6" t="inlineStr">
        <is>
          <t>Mulanje</t>
        </is>
      </c>
      <c r="B187" s="6" t="inlineStr">
        <is>
          <t>Phalombe</t>
        </is>
      </c>
      <c r="C187" s="7" t="inlineStr">
        <is>
          <t>FY2025/26</t>
        </is>
      </c>
      <c r="D187" s="7" t="n">
        <v>2025</v>
      </c>
      <c r="E187" s="7" t="n">
        <v>8</v>
      </c>
      <c r="F187" s="7" t="inlineStr">
        <is>
          <t>August</t>
        </is>
      </c>
      <c r="G187" s="7" t="inlineStr">
        <is>
          <t>Q2</t>
        </is>
      </c>
      <c r="H187" s="8" t="n">
        <v>8068</v>
      </c>
      <c r="I187" s="8" t="n">
        <v>2908</v>
      </c>
      <c r="J187" s="8" t="n">
        <v>0</v>
      </c>
      <c r="K187" s="8" t="n">
        <v>2</v>
      </c>
      <c r="L187" s="8" t="n">
        <v>4</v>
      </c>
      <c r="M187" s="9">
        <f>SUM(I187,J187,K187,L187)</f>
        <v/>
      </c>
      <c r="N187" s="8" t="n">
        <v>1883</v>
      </c>
      <c r="O187" s="8" t="n">
        <v>127.7</v>
      </c>
      <c r="P187" s="8" t="n">
        <v>600</v>
      </c>
      <c r="Q187" s="8" t="n">
        <v>113</v>
      </c>
      <c r="R187" s="9">
        <f>SUM(N187,O187,P187,Q187)</f>
        <v/>
      </c>
      <c r="S187" s="9">
        <f>M187+R187</f>
        <v/>
      </c>
      <c r="T187" s="8" t="n">
        <v>2430.3</v>
      </c>
      <c r="U187" s="10">
        <f>IF(H187=0,"",T187/H187)</f>
        <v/>
      </c>
      <c r="V187" s="8" t="n">
        <v>24</v>
      </c>
      <c r="W187" s="11">
        <f>IF(H187=0,"",V187/H187)</f>
        <v/>
      </c>
      <c r="X187" s="8" t="n">
        <v>0</v>
      </c>
      <c r="Y187" s="11">
        <f>IF(H187=0,"",X187/H187)</f>
        <v/>
      </c>
      <c r="Z187" s="8" t="n">
        <v>0</v>
      </c>
      <c r="AA187" s="11">
        <f>IF(H187=0,"",Z187/H187)</f>
        <v/>
      </c>
      <c r="AB187" s="8" t="n">
        <v>0</v>
      </c>
      <c r="AC187" s="11">
        <f>IF(H187=0,"",AB187/H187)</f>
        <v/>
      </c>
      <c r="AD187" s="8" t="n">
        <v>0</v>
      </c>
      <c r="AE187" s="11">
        <f>IF(H187=0,"",AD187/H187)</f>
        <v/>
      </c>
      <c r="AF187" s="8" t="n">
        <v>0</v>
      </c>
      <c r="AG187" s="11">
        <f>IF(H187=0,"",AF187/H187)</f>
        <v/>
      </c>
      <c r="AH187" s="8" t="n">
        <v>122680.08</v>
      </c>
      <c r="AI187" s="9">
        <f>IF(H187=0,"",AH187/H187)</f>
        <v/>
      </c>
      <c r="AJ187" s="8" t="n">
        <v>25</v>
      </c>
      <c r="AK187" s="11">
        <f>IF(H187=0,"",AJ187/H187)</f>
        <v/>
      </c>
      <c r="AL187" s="8" t="n">
        <v>19895.2875</v>
      </c>
      <c r="AM187" s="9">
        <f>IF(H187=0,"",AL187/H187)</f>
        <v/>
      </c>
      <c r="AN187" s="8" t="n">
        <v>0</v>
      </c>
      <c r="AO187" s="8" t="n">
        <v>0</v>
      </c>
      <c r="AP187" s="8" t="n">
        <v>0</v>
      </c>
      <c r="AQ187" s="8" t="n">
        <v>0</v>
      </c>
      <c r="AR187" s="8" t="n">
        <v>4835972.73</v>
      </c>
      <c r="AS187" s="8" t="n">
        <v>1927511.63</v>
      </c>
      <c r="AT187" s="8" t="n">
        <v>4917298.61</v>
      </c>
      <c r="AU187" s="9">
        <f>AH187+AL187+AP187+AQ187+AR187+AS187+AT187</f>
        <v/>
      </c>
      <c r="AV187" s="9">
        <f>IF(H187=0,"",AU187/H187)</f>
        <v/>
      </c>
      <c r="AW187" s="9">
        <f>IF(S187=0,"",AU187/S187)</f>
        <v/>
      </c>
      <c r="AX187" s="8" t="n">
        <v>5</v>
      </c>
      <c r="AY187" s="9">
        <f>IF(H187=0,"",AX187/(H187/1000/12))</f>
        <v/>
      </c>
      <c r="AZ187" s="8" t="n">
        <v>7</v>
      </c>
      <c r="BA187" s="8" t="n">
        <v>45</v>
      </c>
      <c r="BB187" s="8" t="n">
        <v>5</v>
      </c>
      <c r="BC187" s="8" t="n">
        <v>0</v>
      </c>
      <c r="BD187" s="8" t="n">
        <v>9</v>
      </c>
      <c r="BE187" s="9">
        <f>BC187+BD187</f>
        <v/>
      </c>
      <c r="BF187" s="9">
        <f>BA187+BB187-BE187</f>
        <v/>
      </c>
      <c r="BG187" s="8" t="n">
        <v>0</v>
      </c>
      <c r="BH187" s="8" t="n">
        <v>0</v>
      </c>
      <c r="BI187" s="8" t="n">
        <v>0</v>
      </c>
      <c r="BJ187" s="8" t="n">
        <v>0</v>
      </c>
      <c r="BK187" s="9">
        <f>BI187+BJ187</f>
        <v/>
      </c>
      <c r="BL187" s="9">
        <f>BG187+BH187-BK187</f>
        <v/>
      </c>
      <c r="BM187" s="8" t="n">
        <v>0</v>
      </c>
      <c r="BN187" s="8" t="n">
        <v>0</v>
      </c>
      <c r="BO187" s="8" t="n">
        <v>0</v>
      </c>
      <c r="BP187" s="8" t="n">
        <v>0</v>
      </c>
      <c r="BQ187" s="9">
        <f>BO187+BP187</f>
        <v/>
      </c>
      <c r="BR187" s="9">
        <f>BM187+BN187-BQ187</f>
        <v/>
      </c>
      <c r="BS187" s="8" t="n">
        <v>0</v>
      </c>
      <c r="BT187" s="8" t="n">
        <v>0</v>
      </c>
      <c r="BU187" s="8" t="n">
        <v>0</v>
      </c>
      <c r="BV187" s="8" t="n">
        <v>0</v>
      </c>
      <c r="BW187" s="9">
        <f>BU187+BV187</f>
        <v/>
      </c>
      <c r="BX187" s="9">
        <f>BS187+BT187-BW187</f>
        <v/>
      </c>
      <c r="BY187" s="9">
        <f>BA187+BG187+BM187+BS187</f>
        <v/>
      </c>
      <c r="BZ187" s="9">
        <f>BB187+BH187+BN187+BT187</f>
        <v/>
      </c>
      <c r="CA187" s="9">
        <f>BE187+BK187+BQ187+BW187</f>
        <v/>
      </c>
      <c r="CB187" s="9">
        <f>BF187+BL187+BR187+BX187</f>
        <v/>
      </c>
      <c r="CC187" s="8" t="n">
        <v>9</v>
      </c>
      <c r="CD187" s="8" t="n">
        <v>320</v>
      </c>
      <c r="CE187" s="8" t="n">
        <v>14</v>
      </c>
      <c r="CF187" s="8" t="n">
        <v>25</v>
      </c>
      <c r="CG187" s="8" t="n">
        <v>0</v>
      </c>
      <c r="CH187" s="9">
        <f>CD187+CE187+CF187+CG187</f>
        <v/>
      </c>
      <c r="CI187" s="8" t="n">
        <v>418</v>
      </c>
      <c r="CJ187" s="8" t="n">
        <v>1</v>
      </c>
      <c r="CK187" s="8" t="n">
        <v>1</v>
      </c>
      <c r="CL187" s="8" t="n">
        <v>0</v>
      </c>
      <c r="CM187" s="9">
        <f>CI187+CJ187+CK187+CL187</f>
        <v/>
      </c>
      <c r="CN187" s="8" t="n">
        <v>299</v>
      </c>
      <c r="CO187" s="8" t="n">
        <v>25</v>
      </c>
      <c r="CP187" s="8" t="n">
        <v>23</v>
      </c>
      <c r="CQ187" s="8" t="n">
        <v>2</v>
      </c>
      <c r="CR187" s="9">
        <f>CN187+CO187+CP187+CQ187</f>
        <v/>
      </c>
      <c r="CS187" s="9">
        <f>CM187+CR187</f>
        <v/>
      </c>
      <c r="CT187" s="8" t="n">
        <v>1128</v>
      </c>
      <c r="CU187" s="8" t="n">
        <v>10013</v>
      </c>
      <c r="CV187" s="8" t="n">
        <v>7470</v>
      </c>
      <c r="CW187" s="10">
        <f>IF(CU187=0,"",CV187/CU187)</f>
        <v/>
      </c>
      <c r="CX187" s="8" t="n">
        <v>0</v>
      </c>
      <c r="CY187" s="8" t="n">
        <v>0</v>
      </c>
      <c r="CZ187" s="8" t="n">
        <v>0</v>
      </c>
      <c r="DA187" s="8" t="n">
        <v>0</v>
      </c>
      <c r="DB187" s="9">
        <f>CX187+CY187-CZ187-DA187</f>
        <v/>
      </c>
      <c r="DC187" s="8" t="n">
        <v>0</v>
      </c>
      <c r="DD187" s="8" t="n">
        <v>0</v>
      </c>
      <c r="DE187" s="8" t="n">
        <v>0</v>
      </c>
      <c r="DF187" s="8" t="n">
        <v>0</v>
      </c>
      <c r="DG187" s="9">
        <f>DC187+DD187-DE187-DF187</f>
        <v/>
      </c>
      <c r="DH187" s="8" t="n">
        <v>0</v>
      </c>
      <c r="DI187" s="8" t="n">
        <v>0</v>
      </c>
      <c r="DJ187" s="8" t="n">
        <v>0</v>
      </c>
      <c r="DK187" s="8" t="n">
        <v>0</v>
      </c>
      <c r="DL187" s="9">
        <f>DH187+DI187-DJ187-DK187</f>
        <v/>
      </c>
      <c r="DM187" s="8" t="n">
        <v>4</v>
      </c>
      <c r="DN187" s="8" t="n">
        <v>13</v>
      </c>
      <c r="DO187" s="8" t="n">
        <v>0</v>
      </c>
      <c r="DP187" s="8" t="n">
        <v>0</v>
      </c>
      <c r="DQ187" s="9">
        <f>DM187+DN187-DO187-DP187</f>
        <v/>
      </c>
      <c r="DR187" s="9">
        <f>CX187+DC187+DH187+DM187</f>
        <v/>
      </c>
      <c r="DS187" s="9">
        <f>CY187+DD187+DI187+DN187</f>
        <v/>
      </c>
      <c r="DT187" s="9">
        <f>CZ187+DE187+DJ187+DO187</f>
        <v/>
      </c>
      <c r="DU187" s="9">
        <f>DA187+DF187+DK187+DP187</f>
        <v/>
      </c>
      <c r="DV187" s="9">
        <f>DB187+DG187+DL187+DQ187</f>
        <v/>
      </c>
      <c r="DW187" s="8" t="n">
        <v>5</v>
      </c>
      <c r="DX187" s="8" t="n">
        <v>6</v>
      </c>
      <c r="DY187" s="8" t="n">
        <v>5</v>
      </c>
      <c r="DZ187" s="8" t="n">
        <v>2</v>
      </c>
      <c r="EA187" s="8" t="n">
        <v>2</v>
      </c>
      <c r="EB187" s="8" t="n">
        <v>1</v>
      </c>
      <c r="EC187" s="8" t="n">
        <v>1</v>
      </c>
      <c r="ED187" s="8" t="n">
        <v>1</v>
      </c>
      <c r="EE187" s="8" t="n">
        <v>2</v>
      </c>
      <c r="EF187" s="8" t="n">
        <v>0</v>
      </c>
      <c r="EG187" s="8" t="n">
        <v>0</v>
      </c>
      <c r="EH187" s="8" t="n">
        <v>0</v>
      </c>
      <c r="EI187" s="8" t="n">
        <v>0</v>
      </c>
      <c r="EJ187" s="8" t="n">
        <v>0</v>
      </c>
      <c r="EK187" s="8" t="n">
        <v>0</v>
      </c>
      <c r="EL187" s="8" t="n">
        <v>0</v>
      </c>
      <c r="EM187" s="8" t="n">
        <v>0</v>
      </c>
      <c r="EN187" s="8" t="n">
        <v>0</v>
      </c>
      <c r="EO187" s="8" t="n">
        <v>0</v>
      </c>
      <c r="EP187" s="8" t="n">
        <v>0</v>
      </c>
      <c r="EQ187" s="8" t="n">
        <v>0</v>
      </c>
      <c r="ER187" s="8" t="n">
        <v>0</v>
      </c>
      <c r="ES187" s="8" t="n">
        <v>0</v>
      </c>
      <c r="ET187" s="8" t="n">
        <v>0</v>
      </c>
      <c r="EU187" s="8" t="n">
        <v>0</v>
      </c>
      <c r="EV187" s="8" t="n">
        <v>0</v>
      </c>
      <c r="EW187" s="8" t="n">
        <v>0</v>
      </c>
      <c r="EX187" s="8" t="n">
        <v>0</v>
      </c>
      <c r="EY187" s="8" t="n">
        <v>0</v>
      </c>
      <c r="EZ187" s="8" t="n">
        <v>0</v>
      </c>
      <c r="FA187" s="8" t="n">
        <v>0</v>
      </c>
      <c r="FB187" s="8" t="n">
        <v>0</v>
      </c>
      <c r="FC187" s="8" t="n">
        <v>0</v>
      </c>
      <c r="FD187" s="8" t="n">
        <v>0</v>
      </c>
      <c r="FE187" s="8" t="n">
        <v>0</v>
      </c>
      <c r="FF187" s="8" t="n">
        <v>0</v>
      </c>
      <c r="FG187" s="9">
        <f>SUM(DW187,DX187,DY187,DZ187,EA187,EB187,EC187,ED187,EE187,EF187,EG187,EH187,EI187,EJ187,EK187,EL187,EM187,EN187,EO187,EP187,EQ187,ER187,ES187,ET187,EU187,EV187,EW187,EX187,EY187,EZ187,FA187,FB187,FC187,FD187,FE187,FF187)</f>
        <v/>
      </c>
      <c r="FH187" s="8" t="n">
        <v>0</v>
      </c>
      <c r="FI187" s="8" t="n">
        <v>0</v>
      </c>
      <c r="FJ187" s="8" t="n">
        <v>24</v>
      </c>
      <c r="FK187" s="8" t="n">
        <v>0</v>
      </c>
      <c r="FL187" s="8" t="n">
        <v>0</v>
      </c>
      <c r="FM187" s="8" t="n">
        <v>0</v>
      </c>
      <c r="FN187" s="8" t="n">
        <v>0</v>
      </c>
      <c r="FO187" s="8" t="n">
        <v>0</v>
      </c>
      <c r="FP187" s="8" t="n">
        <v>0</v>
      </c>
      <c r="FQ187" s="9">
        <f>FL187+FM187+FN187+FO187+FP187</f>
        <v/>
      </c>
      <c r="FR187" s="8" t="n">
        <v>1734103.32</v>
      </c>
      <c r="FS187" s="8" t="n">
        <v>0</v>
      </c>
      <c r="FT187" s="8" t="n">
        <v>0</v>
      </c>
      <c r="FU187" s="8" t="n">
        <v>0</v>
      </c>
      <c r="FV187" s="9">
        <f>FR187+FS187+FT187+FU187</f>
        <v/>
      </c>
      <c r="FW187" s="8" t="n">
        <v>2571177.1</v>
      </c>
      <c r="FX187" s="8" t="n">
        <v>27800</v>
      </c>
      <c r="FY187" s="8" t="n">
        <v>533628.0900000001</v>
      </c>
      <c r="FZ187" s="8" t="n">
        <v>4382011</v>
      </c>
      <c r="GA187" s="9">
        <f>FW187+FX187+FY187+FZ187</f>
        <v/>
      </c>
      <c r="GB187" s="9">
        <f>FV187+GA187</f>
        <v/>
      </c>
      <c r="GC187" s="8" t="n">
        <v>4016950.34</v>
      </c>
      <c r="GD187" s="8" t="n">
        <v>4016950.34</v>
      </c>
      <c r="GE187" s="8" t="n">
        <v>8410.99</v>
      </c>
      <c r="GF187" s="8" t="n">
        <v>8410.99</v>
      </c>
      <c r="GG187" s="9">
        <f>GC187+GD187+GE187+GF187</f>
        <v/>
      </c>
      <c r="GH187" s="8" t="n">
        <v>4033772.32</v>
      </c>
      <c r="GI187" s="8" t="n">
        <v>0</v>
      </c>
      <c r="GJ187" s="8" t="n">
        <v>0</v>
      </c>
      <c r="GK187" s="8" t="n">
        <v>0</v>
      </c>
      <c r="GL187" s="9">
        <f>GH187+GI187+GJ187+GK187</f>
        <v/>
      </c>
      <c r="GM187" s="9">
        <f>GG187+GL187</f>
        <v/>
      </c>
      <c r="GN187" s="8" t="n">
        <v>239084.75</v>
      </c>
      <c r="GO187" s="8" t="n">
        <v>239084.75</v>
      </c>
      <c r="GP187" s="8" t="n">
        <v>3393.64</v>
      </c>
      <c r="GQ187" s="8" t="n">
        <v>4637.34</v>
      </c>
      <c r="GR187" s="9">
        <f>GN187+GO187+GP187+GQ187</f>
        <v/>
      </c>
      <c r="GS187" s="8" t="n">
        <v>373274</v>
      </c>
      <c r="GT187" s="8" t="n">
        <v>373274</v>
      </c>
      <c r="GU187" s="8" t="n">
        <v>893</v>
      </c>
      <c r="GV187" s="8" t="n">
        <v>893</v>
      </c>
      <c r="GW187" s="9">
        <f>GS187+GT187+GU187+GV187</f>
        <v/>
      </c>
      <c r="GX187" s="9">
        <f>GM187+GR187+GW187</f>
        <v/>
      </c>
      <c r="GY187" s="8" t="n">
        <v>26001330.17</v>
      </c>
      <c r="GZ187" s="8" t="n">
        <v>459017.25</v>
      </c>
      <c r="HA187" s="9">
        <f>GY187+GZ187</f>
        <v/>
      </c>
      <c r="HB187" s="9">
        <f>IF(GX187=0,"",AU187/GX187)</f>
        <v/>
      </c>
      <c r="HC187" s="10">
        <f>IF((GX187+GY187)=0,"",GB187/(GX187+GY187))</f>
        <v/>
      </c>
      <c r="HD187" s="9">
        <f>IF(GX187=0,"",GB187/GX187)</f>
        <v/>
      </c>
      <c r="HE187" s="8" t="n">
        <v>5</v>
      </c>
      <c r="HF187" s="8" t="n">
        <v>1</v>
      </c>
      <c r="HG187" s="8" t="n">
        <v>41</v>
      </c>
      <c r="HH187" s="8" t="n">
        <v>5</v>
      </c>
      <c r="HI187" s="8" t="n">
        <v>5</v>
      </c>
      <c r="HJ187" s="9">
        <f>HF187+HI187</f>
        <v/>
      </c>
      <c r="HK187" s="10">
        <f>IF(HE187=0,"",HH187/HE187)</f>
        <v/>
      </c>
      <c r="HL187" s="8" t="n">
        <v>8</v>
      </c>
      <c r="HM187" s="8" t="n">
        <v>1</v>
      </c>
      <c r="HN187" s="11">
        <f>IF(HL187=0,"",HM187/HL187)</f>
        <v/>
      </c>
    </row>
    <row r="188">
      <c r="A188" s="12" t="inlineStr">
        <is>
          <t>Mulanje</t>
        </is>
      </c>
      <c r="B188" s="12" t="inlineStr">
        <is>
          <t>Phalombe</t>
        </is>
      </c>
      <c r="C188" s="13" t="inlineStr">
        <is>
          <t>FY2025/26</t>
        </is>
      </c>
      <c r="D188" s="13" t="n">
        <v>2025</v>
      </c>
      <c r="E188" s="13" t="n">
        <v>9</v>
      </c>
      <c r="F188" s="13" t="inlineStr">
        <is>
          <t>September</t>
        </is>
      </c>
      <c r="G188" s="13" t="inlineStr">
        <is>
          <t>Q2</t>
        </is>
      </c>
      <c r="H188" s="14" t="n">
        <v>8035</v>
      </c>
      <c r="I188" s="14" t="n">
        <v>3794</v>
      </c>
      <c r="J188" s="14" t="n">
        <v>0</v>
      </c>
      <c r="K188" s="14" t="n">
        <v>2</v>
      </c>
      <c r="L188" s="14" t="n">
        <v>5</v>
      </c>
      <c r="M188" s="15">
        <f>SUM(I188,J188,K188,L188)</f>
        <v/>
      </c>
      <c r="N188" s="14" t="n">
        <v>1558</v>
      </c>
      <c r="O188" s="14" t="n">
        <v>95.40000000000001</v>
      </c>
      <c r="P188" s="14" t="n">
        <v>95.09999999999999</v>
      </c>
      <c r="Q188" s="14" t="n">
        <v>129</v>
      </c>
      <c r="R188" s="15">
        <f>SUM(N188,O188,P188,Q188)</f>
        <v/>
      </c>
      <c r="S188" s="15">
        <f>M188+R188</f>
        <v/>
      </c>
      <c r="T188" s="14" t="n">
        <v>2356.5</v>
      </c>
      <c r="U188" s="16">
        <f>IF(H188=0,"",T188/H188)</f>
        <v/>
      </c>
      <c r="V188" s="14" t="n">
        <v>24</v>
      </c>
      <c r="W188" s="17">
        <f>IF(H188=0,"",V188/H188)</f>
        <v/>
      </c>
      <c r="X188" s="14" t="n">
        <v>0</v>
      </c>
      <c r="Y188" s="17">
        <f>IF(H188=0,"",X188/H188)</f>
        <v/>
      </c>
      <c r="Z188" s="14" t="n">
        <v>0</v>
      </c>
      <c r="AA188" s="17">
        <f>IF(H188=0,"",Z188/H188)</f>
        <v/>
      </c>
      <c r="AB188" s="14" t="n">
        <v>0</v>
      </c>
      <c r="AC188" s="17">
        <f>IF(H188=0,"",AB188/H188)</f>
        <v/>
      </c>
      <c r="AD188" s="14" t="n">
        <v>0</v>
      </c>
      <c r="AE188" s="17">
        <f>IF(H188=0,"",AD188/H188)</f>
        <v/>
      </c>
      <c r="AF188" s="14" t="n">
        <v>0</v>
      </c>
      <c r="AG188" s="17">
        <f>IF(H188=0,"",AF188/H188)</f>
        <v/>
      </c>
      <c r="AH188" s="14" t="n">
        <v>122680.08</v>
      </c>
      <c r="AI188" s="15">
        <f>IF(H188=0,"",AH188/H188)</f>
        <v/>
      </c>
      <c r="AJ188" s="14" t="n">
        <v>30</v>
      </c>
      <c r="AK188" s="17">
        <f>IF(H188=0,"",AJ188/H188)</f>
        <v/>
      </c>
      <c r="AL188" s="14" t="n">
        <v>20589.045</v>
      </c>
      <c r="AM188" s="15">
        <f>IF(H188=0,"",AL188/H188)</f>
        <v/>
      </c>
      <c r="AN188" s="14" t="n">
        <v>0</v>
      </c>
      <c r="AO188" s="14" t="n">
        <v>0</v>
      </c>
      <c r="AP188" s="14" t="n">
        <v>0</v>
      </c>
      <c r="AQ188" s="14" t="n">
        <v>0</v>
      </c>
      <c r="AR188" s="14" t="n">
        <v>5128074.05</v>
      </c>
      <c r="AS188" s="14" t="n">
        <v>1833917.38</v>
      </c>
      <c r="AT188" s="14" t="n">
        <v>0</v>
      </c>
      <c r="AU188" s="15">
        <f>AH188+AL188+AP188+AQ188+AR188+AS188+AT188</f>
        <v/>
      </c>
      <c r="AV188" s="15">
        <f>IF(H188=0,"",AU188/H188)</f>
        <v/>
      </c>
      <c r="AW188" s="15">
        <f>IF(S188=0,"",AU188/S188)</f>
        <v/>
      </c>
      <c r="AX188" s="14" t="n">
        <v>5</v>
      </c>
      <c r="AY188" s="15">
        <f>IF(H188=0,"",AX188/(H188/1000/12))</f>
        <v/>
      </c>
      <c r="AZ188" s="14" t="n">
        <v>10</v>
      </c>
      <c r="BA188" s="14" t="n">
        <v>41</v>
      </c>
      <c r="BB188" s="14" t="n">
        <v>2</v>
      </c>
      <c r="BC188" s="14" t="n">
        <v>0</v>
      </c>
      <c r="BD188" s="14" t="n">
        <v>0</v>
      </c>
      <c r="BE188" s="15">
        <f>BC188+BD188</f>
        <v/>
      </c>
      <c r="BF188" s="15">
        <f>BA188+BB188-BE188</f>
        <v/>
      </c>
      <c r="BG188" s="14" t="n">
        <v>0</v>
      </c>
      <c r="BH188" s="14" t="n">
        <v>0</v>
      </c>
      <c r="BI188" s="14" t="n">
        <v>0</v>
      </c>
      <c r="BJ188" s="14" t="n">
        <v>0</v>
      </c>
      <c r="BK188" s="15">
        <f>BI188+BJ188</f>
        <v/>
      </c>
      <c r="BL188" s="15">
        <f>BG188+BH188-BK188</f>
        <v/>
      </c>
      <c r="BM188" s="14" t="n">
        <v>0</v>
      </c>
      <c r="BN188" s="14" t="n">
        <v>0</v>
      </c>
      <c r="BO188" s="14" t="n">
        <v>0</v>
      </c>
      <c r="BP188" s="14" t="n">
        <v>0</v>
      </c>
      <c r="BQ188" s="15">
        <f>BO188+BP188</f>
        <v/>
      </c>
      <c r="BR188" s="15">
        <f>BM188+BN188-BQ188</f>
        <v/>
      </c>
      <c r="BS188" s="14" t="n">
        <v>0</v>
      </c>
      <c r="BT188" s="14" t="n">
        <v>0</v>
      </c>
      <c r="BU188" s="14" t="n">
        <v>0</v>
      </c>
      <c r="BV188" s="14" t="n">
        <v>0</v>
      </c>
      <c r="BW188" s="15">
        <f>BU188+BV188</f>
        <v/>
      </c>
      <c r="BX188" s="15">
        <f>BS188+BT188-BW188</f>
        <v/>
      </c>
      <c r="BY188" s="15">
        <f>BA188+BG188+BM188+BS188</f>
        <v/>
      </c>
      <c r="BZ188" s="15">
        <f>BB188+BH188+BN188+BT188</f>
        <v/>
      </c>
      <c r="CA188" s="15">
        <f>BE188+BK188+BQ188+BW188</f>
        <v/>
      </c>
      <c r="CB188" s="15">
        <f>BF188+BL188+BR188+BX188</f>
        <v/>
      </c>
      <c r="CC188" s="14" t="n">
        <v>0</v>
      </c>
      <c r="CD188" s="14" t="n">
        <v>249</v>
      </c>
      <c r="CE188" s="14" t="n">
        <v>14</v>
      </c>
      <c r="CF188" s="14" t="n">
        <v>25</v>
      </c>
      <c r="CG188" s="14" t="n">
        <v>0</v>
      </c>
      <c r="CH188" s="15">
        <f>CD188+CE188+CF188+CG188</f>
        <v/>
      </c>
      <c r="CI188" s="14" t="n">
        <v>404</v>
      </c>
      <c r="CJ188" s="14" t="n">
        <v>1</v>
      </c>
      <c r="CK188" s="14" t="n">
        <v>1</v>
      </c>
      <c r="CL188" s="14" t="n">
        <v>0</v>
      </c>
      <c r="CM188" s="15">
        <f>CI188+CJ188+CK188+CL188</f>
        <v/>
      </c>
      <c r="CN188" s="14" t="n">
        <v>326</v>
      </c>
      <c r="CO188" s="14" t="n">
        <v>24</v>
      </c>
      <c r="CP188" s="14" t="n">
        <v>23</v>
      </c>
      <c r="CQ188" s="14" t="n">
        <v>2</v>
      </c>
      <c r="CR188" s="15">
        <f>CN188+CO188+CP188+CQ188</f>
        <v/>
      </c>
      <c r="CS188" s="15">
        <f>CM188+CR188</f>
        <v/>
      </c>
      <c r="CT188" s="14" t="n">
        <v>1069</v>
      </c>
      <c r="CU188" s="14" t="n">
        <v>10013</v>
      </c>
      <c r="CV188" s="14" t="n">
        <v>7470</v>
      </c>
      <c r="CW188" s="16">
        <f>IF(CU188=0,"",CV188/CU188)</f>
        <v/>
      </c>
      <c r="CX188" s="14" t="n"/>
      <c r="CY188" s="14" t="n"/>
      <c r="CZ188" s="14" t="n"/>
      <c r="DA188" s="14" t="n"/>
      <c r="DB188" s="15">
        <f>CX188+CY188-CZ188-DA188</f>
        <v/>
      </c>
      <c r="DC188" s="14" t="n">
        <v>0</v>
      </c>
      <c r="DD188" s="14" t="n">
        <v>0</v>
      </c>
      <c r="DE188" s="14" t="n">
        <v>0</v>
      </c>
      <c r="DF188" s="14" t="n">
        <v>0</v>
      </c>
      <c r="DG188" s="15">
        <f>DC188+DD188-DE188-DF188</f>
        <v/>
      </c>
      <c r="DH188" s="14" t="n">
        <v>0</v>
      </c>
      <c r="DI188" s="14" t="n">
        <v>0</v>
      </c>
      <c r="DJ188" s="14" t="n">
        <v>0</v>
      </c>
      <c r="DK188" s="14" t="n">
        <v>0</v>
      </c>
      <c r="DL188" s="15">
        <f>DH188+DI188-DJ188-DK188</f>
        <v/>
      </c>
      <c r="DM188" s="14" t="n">
        <v>17</v>
      </c>
      <c r="DN188" s="14" t="n">
        <v>15</v>
      </c>
      <c r="DO188" s="14" t="n">
        <v>8</v>
      </c>
      <c r="DP188" s="14" t="n">
        <v>1</v>
      </c>
      <c r="DQ188" s="15">
        <f>DM188+DN188-DO188-DP188</f>
        <v/>
      </c>
      <c r="DR188" s="15">
        <f>CX188+DC188+DH188+DM188</f>
        <v/>
      </c>
      <c r="DS188" s="15">
        <f>CY188+DD188+DI188+DN188</f>
        <v/>
      </c>
      <c r="DT188" s="15">
        <f>CZ188+DE188+DJ188+DO188</f>
        <v/>
      </c>
      <c r="DU188" s="15">
        <f>DA188+DF188+DK188+DP188</f>
        <v/>
      </c>
      <c r="DV188" s="15">
        <f>DB188+DG188+DL188+DQ188</f>
        <v/>
      </c>
      <c r="DW188" s="14" t="n">
        <v>4</v>
      </c>
      <c r="DX188" s="14" t="n">
        <v>5</v>
      </c>
      <c r="DY188" s="14" t="n">
        <v>4</v>
      </c>
      <c r="DZ188" s="14" t="n">
        <v>2</v>
      </c>
      <c r="EA188" s="14" t="n">
        <v>4</v>
      </c>
      <c r="EB188" s="14" t="n">
        <v>3</v>
      </c>
      <c r="EC188" s="14" t="n">
        <v>3</v>
      </c>
      <c r="ED188" s="14" t="n">
        <v>1</v>
      </c>
      <c r="EE188" s="14" t="n">
        <v>2</v>
      </c>
      <c r="EF188" s="14" t="n">
        <v>0</v>
      </c>
      <c r="EG188" s="14" t="n">
        <v>0</v>
      </c>
      <c r="EH188" s="14" t="n">
        <v>0</v>
      </c>
      <c r="EI188" s="14" t="n">
        <v>0</v>
      </c>
      <c r="EJ188" s="14" t="n">
        <v>0</v>
      </c>
      <c r="EK188" s="14" t="n">
        <v>0</v>
      </c>
      <c r="EL188" s="14" t="n">
        <v>0</v>
      </c>
      <c r="EM188" s="14" t="n">
        <v>0</v>
      </c>
      <c r="EN188" s="14" t="n">
        <v>0</v>
      </c>
      <c r="EO188" s="14" t="n">
        <v>0</v>
      </c>
      <c r="EP188" s="14" t="n">
        <v>0</v>
      </c>
      <c r="EQ188" s="14" t="n">
        <v>0</v>
      </c>
      <c r="ER188" s="14" t="n">
        <v>0</v>
      </c>
      <c r="ES188" s="14" t="n">
        <v>0</v>
      </c>
      <c r="ET188" s="14" t="n">
        <v>0</v>
      </c>
      <c r="EU188" s="14" t="n">
        <v>0</v>
      </c>
      <c r="EV188" s="14" t="n">
        <v>0</v>
      </c>
      <c r="EW188" s="14" t="n">
        <v>0</v>
      </c>
      <c r="EX188" s="14" t="n">
        <v>0</v>
      </c>
      <c r="EY188" s="14" t="n">
        <v>0</v>
      </c>
      <c r="EZ188" s="14" t="n">
        <v>0</v>
      </c>
      <c r="FA188" s="14" t="n">
        <v>0</v>
      </c>
      <c r="FB188" s="14" t="n">
        <v>0</v>
      </c>
      <c r="FC188" s="14" t="n">
        <v>0</v>
      </c>
      <c r="FD188" s="14" t="n">
        <v>0</v>
      </c>
      <c r="FE188" s="14" t="n">
        <v>0</v>
      </c>
      <c r="FF188" s="14" t="n">
        <v>0</v>
      </c>
      <c r="FG188" s="15">
        <f>SUM(DW188,DX188,DY188,DZ188,EA188,EB188,EC188,ED188,EE188,EF188,EG188,EH188,EI188,EJ188,EK188,EL188,EM188,EN188,EO188,EP188,EQ188,ER188,ES188,ET188,EU188,EV188,EW188,EX188,EY188,EZ188,FA188,FB188,FC188,FD188,FE188,FF188)</f>
        <v/>
      </c>
      <c r="FH188" s="14" t="n">
        <v>25</v>
      </c>
      <c r="FI188" s="14" t="n">
        <v>0</v>
      </c>
      <c r="FJ188" s="14" t="n">
        <v>24</v>
      </c>
      <c r="FK188" s="14" t="n">
        <v>24</v>
      </c>
      <c r="FL188" s="14" t="n">
        <v>0</v>
      </c>
      <c r="FM188" s="14" t="n">
        <v>0</v>
      </c>
      <c r="FN188" s="14" t="n">
        <v>0</v>
      </c>
      <c r="FO188" s="14" t="n">
        <v>0</v>
      </c>
      <c r="FP188" s="14" t="n">
        <v>0</v>
      </c>
      <c r="FQ188" s="15">
        <f>FL188+FM188+FN188+FO188+FP188</f>
        <v/>
      </c>
      <c r="FR188" s="14" t="n">
        <v>3468309.44</v>
      </c>
      <c r="FS188" s="14" t="n">
        <v>3468309.44</v>
      </c>
      <c r="FT188" s="14" t="n">
        <v>0</v>
      </c>
      <c r="FU188" s="14" t="n">
        <v>0</v>
      </c>
      <c r="FV188" s="15">
        <f>FR188+FS188+FT188+FU188</f>
        <v/>
      </c>
      <c r="FW188" s="14" t="n">
        <v>2700269.25</v>
      </c>
      <c r="FX188" s="14" t="n">
        <v>20206.22</v>
      </c>
      <c r="FY188" s="14" t="n">
        <v>609100</v>
      </c>
      <c r="FZ188" s="14" t="n">
        <v>290000</v>
      </c>
      <c r="GA188" s="15">
        <f>FW188+FX188+FY188+FZ188</f>
        <v/>
      </c>
      <c r="GB188" s="15">
        <f>FV188+GA188</f>
        <v/>
      </c>
      <c r="GC188" s="14" t="n">
        <v>3362886.62</v>
      </c>
      <c r="GD188" s="14" t="n">
        <v>3362886.62</v>
      </c>
      <c r="GE188" s="14" t="n">
        <v>8410.99</v>
      </c>
      <c r="GF188" s="14" t="n">
        <v>11796.63</v>
      </c>
      <c r="GG188" s="15">
        <f>GC188+GD188+GE188+GF188</f>
        <v/>
      </c>
      <c r="GH188" s="14" t="n">
        <v>3383094.24</v>
      </c>
      <c r="GI188" s="14" t="n">
        <v>0</v>
      </c>
      <c r="GJ188" s="14" t="n">
        <v>0</v>
      </c>
      <c r="GK188" s="14" t="n">
        <v>0</v>
      </c>
      <c r="GL188" s="15">
        <f>GH188+GI188+GJ188+GK188</f>
        <v/>
      </c>
      <c r="GM188" s="15">
        <f>GG188+GL188</f>
        <v/>
      </c>
      <c r="GN188" s="14" t="n">
        <v>230781.15</v>
      </c>
      <c r="GO188" s="14" t="n">
        <v>230781.15</v>
      </c>
      <c r="GP188" s="14" t="n">
        <v>3393.64</v>
      </c>
      <c r="GQ188" s="14" t="n">
        <v>4637.34</v>
      </c>
      <c r="GR188" s="15">
        <f>GN188+GO188+GP188+GQ188</f>
        <v/>
      </c>
      <c r="GS188" s="14" t="n">
        <v>360772</v>
      </c>
      <c r="GT188" s="14" t="n">
        <v>360772</v>
      </c>
      <c r="GU188" s="14" t="n">
        <v>893</v>
      </c>
      <c r="GV188" s="14" t="n">
        <v>893</v>
      </c>
      <c r="GW188" s="15">
        <f>GS188+GT188+GU188+GV188</f>
        <v/>
      </c>
      <c r="GX188" s="15">
        <f>GM188+GR188+GW188</f>
        <v/>
      </c>
      <c r="GY188" s="14" t="n">
        <v>26347257.7</v>
      </c>
      <c r="GZ188" s="14" t="n">
        <v>458783.83</v>
      </c>
      <c r="HA188" s="15">
        <f>GY188+GZ188</f>
        <v/>
      </c>
      <c r="HB188" s="15">
        <f>IF(GX188=0,"",AU188/GX188)</f>
        <v/>
      </c>
      <c r="HC188" s="16">
        <f>IF((GX188+GY188)=0,"",GB188/(GX188+GY188))</f>
        <v/>
      </c>
      <c r="HD188" s="15">
        <f>IF(GX188=0,"",GB188/GX188)</f>
        <v/>
      </c>
      <c r="HE188" s="14" t="n">
        <v>2</v>
      </c>
      <c r="HF188" s="14" t="n">
        <v>1</v>
      </c>
      <c r="HG188" s="14" t="n">
        <v>43</v>
      </c>
      <c r="HH188" s="14" t="n">
        <v>2</v>
      </c>
      <c r="HI188" s="14" t="n">
        <v>5</v>
      </c>
      <c r="HJ188" s="15">
        <f>HF188+HI188</f>
        <v/>
      </c>
      <c r="HK188" s="16">
        <f>IF(HE188=0,"",HH188/HE188)</f>
        <v/>
      </c>
      <c r="HL188" s="14" t="n">
        <v>5</v>
      </c>
      <c r="HM188" s="14" t="n">
        <v>1</v>
      </c>
      <c r="HN188" s="17">
        <f>IF(HL188=0,"",HM188/HL188)</f>
        <v/>
      </c>
    </row>
    <row r="189">
      <c r="A189" s="6" t="inlineStr">
        <is>
          <t>Mulanje</t>
        </is>
      </c>
      <c r="B189" s="6" t="inlineStr">
        <is>
          <t>Phalombe</t>
        </is>
      </c>
      <c r="C189" s="7" t="inlineStr">
        <is>
          <t>FY2025/26</t>
        </is>
      </c>
      <c r="D189" s="7" t="n">
        <v>2025</v>
      </c>
      <c r="E189" s="7" t="n">
        <v>10</v>
      </c>
      <c r="F189" s="7" t="inlineStr">
        <is>
          <t>October</t>
        </is>
      </c>
      <c r="G189" s="7" t="inlineStr">
        <is>
          <t>Q3</t>
        </is>
      </c>
      <c r="H189" s="8" t="n">
        <v>10434</v>
      </c>
      <c r="I189" s="8" t="n">
        <v>3967</v>
      </c>
      <c r="J189" s="8" t="n">
        <v>0</v>
      </c>
      <c r="K189" s="8" t="n">
        <v>0</v>
      </c>
      <c r="L189" s="8" t="n">
        <v>56</v>
      </c>
      <c r="M189" s="9">
        <f>SUM(I189,J189,K189,L189)</f>
        <v/>
      </c>
      <c r="N189" s="8" t="n">
        <v>2346</v>
      </c>
      <c r="O189" s="8" t="n">
        <v>37.6</v>
      </c>
      <c r="P189" s="8" t="n">
        <v>874.8</v>
      </c>
      <c r="Q189" s="8" t="n">
        <v>131.3</v>
      </c>
      <c r="R189" s="9">
        <f>SUM(N189,O189,P189,Q189)</f>
        <v/>
      </c>
      <c r="S189" s="9">
        <f>M189+R189</f>
        <v/>
      </c>
      <c r="T189" s="8" t="n">
        <v>3021.3</v>
      </c>
      <c r="U189" s="10">
        <f>IF(H189=0,"",T189/H189)</f>
        <v/>
      </c>
      <c r="V189" s="8" t="n">
        <v>24</v>
      </c>
      <c r="W189" s="11">
        <f>IF(H189=0,"",V189/H189)</f>
        <v/>
      </c>
      <c r="X189" s="8" t="n">
        <v>0</v>
      </c>
      <c r="Y189" s="11">
        <f>IF(H189=0,"",X189/H189)</f>
        <v/>
      </c>
      <c r="Z189" s="8" t="n">
        <v>0</v>
      </c>
      <c r="AA189" s="11">
        <f>IF(H189=0,"",Z189/H189)</f>
        <v/>
      </c>
      <c r="AB189" s="8" t="n">
        <v>0</v>
      </c>
      <c r="AC189" s="11">
        <f>IF(H189=0,"",AB189/H189)</f>
        <v/>
      </c>
      <c r="AD189" s="8" t="n">
        <v>0</v>
      </c>
      <c r="AE189" s="11">
        <f>IF(H189=0,"",AD189/H189)</f>
        <v/>
      </c>
      <c r="AF189" s="8" t="n">
        <v>0</v>
      </c>
      <c r="AG189" s="11">
        <f>IF(H189=0,"",AF189/H189)</f>
        <v/>
      </c>
      <c r="AH189" s="8" t="n">
        <v>122680.08</v>
      </c>
      <c r="AI189" s="9">
        <f>IF(H189=0,"",AH189/H189)</f>
        <v/>
      </c>
      <c r="AJ189" s="8" t="n">
        <v>35</v>
      </c>
      <c r="AK189" s="11">
        <f>IF(H189=0,"",AJ189/H189)</f>
        <v/>
      </c>
      <c r="AL189" s="8" t="n">
        <v>21282.8025</v>
      </c>
      <c r="AM189" s="9">
        <f>IF(H189=0,"",AL189/H189)</f>
        <v/>
      </c>
      <c r="AN189" s="8" t="n">
        <v>0</v>
      </c>
      <c r="AO189" s="8" t="n">
        <v>0</v>
      </c>
      <c r="AP189" s="8" t="n">
        <v>0</v>
      </c>
      <c r="AQ189" s="8" t="n">
        <v>0</v>
      </c>
      <c r="AR189" s="8" t="n">
        <v>4194834.81</v>
      </c>
      <c r="AS189" s="8" t="n">
        <v>0</v>
      </c>
      <c r="AT189" s="8" t="n">
        <v>0</v>
      </c>
      <c r="AU189" s="9">
        <f>AH189+AL189+AP189+AQ189+AR189+AS189+AT189</f>
        <v/>
      </c>
      <c r="AV189" s="9">
        <f>IF(H189=0,"",AU189/H189)</f>
        <v/>
      </c>
      <c r="AW189" s="9">
        <f>IF(S189=0,"",AU189/S189)</f>
        <v/>
      </c>
      <c r="AX189" s="8" t="n">
        <v>5</v>
      </c>
      <c r="AY189" s="9">
        <f>IF(H189=0,"",AX189/(H189/1000/12))</f>
        <v/>
      </c>
      <c r="AZ189" s="8" t="n">
        <v>10</v>
      </c>
      <c r="BA189" s="8" t="n">
        <v>43</v>
      </c>
      <c r="BB189" s="8" t="n">
        <v>2</v>
      </c>
      <c r="BC189" s="8" t="n">
        <v>0</v>
      </c>
      <c r="BD189" s="8" t="n">
        <v>0</v>
      </c>
      <c r="BE189" s="9">
        <f>BC189+BD189</f>
        <v/>
      </c>
      <c r="BF189" s="9">
        <f>BA189+BB189-BE189</f>
        <v/>
      </c>
      <c r="BG189" s="8" t="n">
        <v>0</v>
      </c>
      <c r="BH189" s="8" t="n">
        <v>0</v>
      </c>
      <c r="BI189" s="8" t="n">
        <v>0</v>
      </c>
      <c r="BJ189" s="8" t="n">
        <v>0</v>
      </c>
      <c r="BK189" s="9">
        <f>BI189+BJ189</f>
        <v/>
      </c>
      <c r="BL189" s="9">
        <f>BG189+BH189-BK189</f>
        <v/>
      </c>
      <c r="BM189" s="8" t="n">
        <v>0</v>
      </c>
      <c r="BN189" s="8" t="n">
        <v>0</v>
      </c>
      <c r="BO189" s="8" t="n">
        <v>0</v>
      </c>
      <c r="BP189" s="8" t="n">
        <v>0</v>
      </c>
      <c r="BQ189" s="9">
        <f>BO189+BP189</f>
        <v/>
      </c>
      <c r="BR189" s="9">
        <f>BM189+BN189-BQ189</f>
        <v/>
      </c>
      <c r="BS189" s="8" t="n">
        <v>0</v>
      </c>
      <c r="BT189" s="8" t="n">
        <v>0</v>
      </c>
      <c r="BU189" s="8" t="n">
        <v>0</v>
      </c>
      <c r="BV189" s="8" t="n">
        <v>0</v>
      </c>
      <c r="BW189" s="9">
        <f>BU189+BV189</f>
        <v/>
      </c>
      <c r="BX189" s="9">
        <f>BS189+BT189-BW189</f>
        <v/>
      </c>
      <c r="BY189" s="9">
        <f>BA189+BG189+BM189+BS189</f>
        <v/>
      </c>
      <c r="BZ189" s="9">
        <f>BB189+BH189+BN189+BT189</f>
        <v/>
      </c>
      <c r="CA189" s="9">
        <f>BE189+BK189+BQ189+BW189</f>
        <v/>
      </c>
      <c r="CB189" s="9">
        <f>BF189+BL189+BR189+BX189</f>
        <v/>
      </c>
      <c r="CC189" s="8" t="n">
        <v>0</v>
      </c>
      <c r="CD189" s="8" t="n">
        <v>213</v>
      </c>
      <c r="CE189" s="8" t="n">
        <v>14</v>
      </c>
      <c r="CF189" s="8" t="n">
        <v>25</v>
      </c>
      <c r="CG189" s="8" t="n">
        <v>0</v>
      </c>
      <c r="CH189" s="9">
        <f>CD189+CE189+CF189+CG189</f>
        <v/>
      </c>
      <c r="CI189" s="8" t="n">
        <v>403</v>
      </c>
      <c r="CJ189" s="8" t="n">
        <v>0</v>
      </c>
      <c r="CK189" s="8" t="n">
        <v>1</v>
      </c>
      <c r="CL189" s="8" t="n">
        <v>0</v>
      </c>
      <c r="CM189" s="9">
        <f>CI189+CJ189+CK189+CL189</f>
        <v/>
      </c>
      <c r="CN189" s="8" t="n">
        <v>363</v>
      </c>
      <c r="CO189" s="8" t="n">
        <v>25</v>
      </c>
      <c r="CP189" s="8" t="n">
        <v>23</v>
      </c>
      <c r="CQ189" s="8" t="n">
        <v>2</v>
      </c>
      <c r="CR189" s="9">
        <f>CN189+CO189+CP189+CQ189</f>
        <v/>
      </c>
      <c r="CS189" s="9">
        <f>CM189+CR189</f>
        <v/>
      </c>
      <c r="CT189" s="8" t="n">
        <v>1069</v>
      </c>
      <c r="CU189" s="8" t="n">
        <v>10013</v>
      </c>
      <c r="CV189" s="8" t="n">
        <v>7470</v>
      </c>
      <c r="CW189" s="10">
        <f>IF(CU189=0,"",CV189/CU189)</f>
        <v/>
      </c>
      <c r="CX189" s="8" t="n"/>
      <c r="CY189" s="8" t="n"/>
      <c r="CZ189" s="8" t="n"/>
      <c r="DA189" s="8" t="n"/>
      <c r="DB189" s="9">
        <f>CX189+CY189-CZ189-DA189</f>
        <v/>
      </c>
      <c r="DC189" s="8" t="n">
        <v>0</v>
      </c>
      <c r="DD189" s="8" t="n">
        <v>0</v>
      </c>
      <c r="DE189" s="8" t="n">
        <v>0</v>
      </c>
      <c r="DF189" s="8" t="n">
        <v>0</v>
      </c>
      <c r="DG189" s="9">
        <f>DC189+DD189-DE189-DF189</f>
        <v/>
      </c>
      <c r="DH189" s="8" t="n">
        <v>0</v>
      </c>
      <c r="DI189" s="8" t="n">
        <v>0</v>
      </c>
      <c r="DJ189" s="8" t="n">
        <v>0</v>
      </c>
      <c r="DK189" s="8" t="n">
        <v>0</v>
      </c>
      <c r="DL189" s="9">
        <f>DH189+DI189-DJ189-DK189</f>
        <v/>
      </c>
      <c r="DM189" s="8" t="n">
        <v>23</v>
      </c>
      <c r="DN189" s="8" t="n">
        <v>0</v>
      </c>
      <c r="DO189" s="8" t="n">
        <v>0</v>
      </c>
      <c r="DP189" s="8" t="n">
        <v>0</v>
      </c>
      <c r="DQ189" s="9">
        <f>DM189+DN189-DO189-DP189</f>
        <v/>
      </c>
      <c r="DR189" s="9">
        <f>CX189+DC189+DH189+DM189</f>
        <v/>
      </c>
      <c r="DS189" s="9">
        <f>CY189+DD189+DI189+DN189</f>
        <v/>
      </c>
      <c r="DT189" s="9">
        <f>CZ189+DE189+DJ189+DO189</f>
        <v/>
      </c>
      <c r="DU189" s="9">
        <f>DA189+DF189+DK189+DP189</f>
        <v/>
      </c>
      <c r="DV189" s="9">
        <f>DB189+DG189+DL189+DQ189</f>
        <v/>
      </c>
      <c r="DW189" s="8" t="n">
        <v>5</v>
      </c>
      <c r="DX189" s="8" t="n">
        <v>6</v>
      </c>
      <c r="DY189" s="8" t="n">
        <v>3</v>
      </c>
      <c r="DZ189" s="8" t="n">
        <v>3</v>
      </c>
      <c r="EA189" s="8" t="n">
        <v>3</v>
      </c>
      <c r="EB189" s="8" t="n">
        <v>2</v>
      </c>
      <c r="EC189" s="8" t="n">
        <v>1</v>
      </c>
      <c r="ED189" s="8" t="n">
        <v>1</v>
      </c>
      <c r="EE189" s="8" t="n">
        <v>1</v>
      </c>
      <c r="EF189" s="8" t="n">
        <v>0</v>
      </c>
      <c r="EG189" s="8" t="n">
        <v>0</v>
      </c>
      <c r="EH189" s="8" t="n">
        <v>0</v>
      </c>
      <c r="EI189" s="8" t="n">
        <v>0</v>
      </c>
      <c r="EJ189" s="8" t="n">
        <v>0</v>
      </c>
      <c r="EK189" s="8" t="n">
        <v>0</v>
      </c>
      <c r="EL189" s="8" t="n">
        <v>0</v>
      </c>
      <c r="EM189" s="8" t="n">
        <v>0</v>
      </c>
      <c r="EN189" s="8" t="n">
        <v>0</v>
      </c>
      <c r="EO189" s="8" t="n">
        <v>0</v>
      </c>
      <c r="EP189" s="8" t="n">
        <v>0</v>
      </c>
      <c r="EQ189" s="8" t="n">
        <v>0</v>
      </c>
      <c r="ER189" s="8" t="n">
        <v>0</v>
      </c>
      <c r="ES189" s="8" t="n">
        <v>0</v>
      </c>
      <c r="ET189" s="8" t="n">
        <v>0</v>
      </c>
      <c r="EU189" s="8" t="n">
        <v>0</v>
      </c>
      <c r="EV189" s="8" t="n">
        <v>0</v>
      </c>
      <c r="EW189" s="8" t="n">
        <v>0</v>
      </c>
      <c r="EX189" s="8" t="n">
        <v>0</v>
      </c>
      <c r="EY189" s="8" t="n">
        <v>0</v>
      </c>
      <c r="EZ189" s="8" t="n">
        <v>0</v>
      </c>
      <c r="FA189" s="8" t="n">
        <v>0</v>
      </c>
      <c r="FB189" s="8" t="n">
        <v>0</v>
      </c>
      <c r="FC189" s="8" t="n">
        <v>0</v>
      </c>
      <c r="FD189" s="8" t="n">
        <v>0</v>
      </c>
      <c r="FE189" s="8" t="n">
        <v>0</v>
      </c>
      <c r="FF189" s="8" t="n">
        <v>0</v>
      </c>
      <c r="FG189" s="9">
        <f>SUM(DW189,DX189,DY189,DZ189,EA189,EB189,EC189,ED189,EE189,EF189,EG189,EH189,EI189,EJ189,EK189,EL189,EM189,EN189,EO189,EP189,EQ189,ER189,ES189,ET189,EU189,EV189,EW189,EX189,EY189,EZ189,FA189,FB189,FC189,FD189,FE189,FF189)</f>
        <v/>
      </c>
      <c r="FH189" s="8" t="n">
        <v>25</v>
      </c>
      <c r="FI189" s="8" t="n">
        <v>0</v>
      </c>
      <c r="FJ189" s="8" t="n">
        <v>24</v>
      </c>
      <c r="FK189" s="8" t="n">
        <v>24</v>
      </c>
      <c r="FL189" s="8" t="n">
        <v>0</v>
      </c>
      <c r="FM189" s="8" t="n">
        <v>0</v>
      </c>
      <c r="FN189" s="8" t="n">
        <v>0</v>
      </c>
      <c r="FO189" s="8" t="n">
        <v>0</v>
      </c>
      <c r="FP189" s="8" t="n">
        <v>0</v>
      </c>
      <c r="FQ189" s="9">
        <f>FL189+FM189+FN189+FO189+FP189</f>
        <v/>
      </c>
      <c r="FR189" s="8" t="n">
        <v>4253924.22</v>
      </c>
      <c r="FS189" s="8" t="n">
        <v>0</v>
      </c>
      <c r="FT189" s="8" t="n">
        <v>1000</v>
      </c>
      <c r="FU189" s="8" t="n">
        <v>0</v>
      </c>
      <c r="FV189" s="9">
        <f>FR189+FS189+FT189+FU189</f>
        <v/>
      </c>
      <c r="FW189" s="8" t="n">
        <v>3158530.29</v>
      </c>
      <c r="FX189" s="8" t="n">
        <v>8000</v>
      </c>
      <c r="FY189" s="8" t="n">
        <v>627020.23</v>
      </c>
      <c r="FZ189" s="8" t="n">
        <v>2658560.2</v>
      </c>
      <c r="GA189" s="9">
        <f>FW189+FX189+FY189+FZ189</f>
        <v/>
      </c>
      <c r="GB189" s="9">
        <f>FV189+GA189</f>
        <v/>
      </c>
      <c r="GC189" s="8" t="n">
        <v>3532145.31</v>
      </c>
      <c r="GD189" s="8" t="n">
        <v>3532145.31</v>
      </c>
      <c r="GE189" s="8" t="n">
        <v>0</v>
      </c>
      <c r="GF189" s="8" t="n">
        <v>254121.01</v>
      </c>
      <c r="GG189" s="9">
        <f>GC189+GD189+GE189+GF189</f>
        <v/>
      </c>
      <c r="GH189" s="8" t="n">
        <v>3786266.32</v>
      </c>
      <c r="GI189" s="8" t="n">
        <v>0</v>
      </c>
      <c r="GJ189" s="8" t="n">
        <v>0</v>
      </c>
      <c r="GK189" s="8" t="n">
        <v>0</v>
      </c>
      <c r="GL189" s="9">
        <f>GH189+GI189+GJ189+GK189</f>
        <v/>
      </c>
      <c r="GM189" s="9">
        <f>GG189+GL189</f>
        <v/>
      </c>
      <c r="GN189" s="8" t="n">
        <v>230461.08</v>
      </c>
      <c r="GO189" s="8" t="n">
        <v>230461.08</v>
      </c>
      <c r="GP189" s="8" t="n">
        <v>0</v>
      </c>
      <c r="GQ189" s="8" t="n">
        <v>4637.34</v>
      </c>
      <c r="GR189" s="9">
        <f>GN189+GO189+GP189+GQ189</f>
        <v/>
      </c>
      <c r="GS189" s="8" t="n">
        <v>359879</v>
      </c>
      <c r="GT189" s="8" t="n">
        <v>359879</v>
      </c>
      <c r="GU189" s="8" t="n">
        <v>0</v>
      </c>
      <c r="GV189" s="8" t="n">
        <v>893</v>
      </c>
      <c r="GW189" s="9">
        <f>GS189+GT189+GU189+GV189</f>
        <v/>
      </c>
      <c r="GX189" s="9">
        <f>GM189+GR189+GW189</f>
        <v/>
      </c>
      <c r="GY189" s="8" t="n">
        <v>26071990.17</v>
      </c>
      <c r="GZ189" s="8" t="n">
        <v>458783.83</v>
      </c>
      <c r="HA189" s="9">
        <f>GY189+GZ189</f>
        <v/>
      </c>
      <c r="HB189" s="9">
        <f>IF(GX189=0,"",AU189/GX189)</f>
        <v/>
      </c>
      <c r="HC189" s="10">
        <f>IF((GX189+GY189)=0,"",GB189/(GX189+GY189))</f>
        <v/>
      </c>
      <c r="HD189" s="9">
        <f>IF(GX189=0,"",GB189/GX189)</f>
        <v/>
      </c>
      <c r="HE189" s="8" t="n">
        <v>2</v>
      </c>
      <c r="HF189" s="8" t="n">
        <v>1</v>
      </c>
      <c r="HG189" s="8" t="n">
        <v>45</v>
      </c>
      <c r="HH189" s="8" t="n">
        <v>2</v>
      </c>
      <c r="HI189" s="8" t="n">
        <v>5</v>
      </c>
      <c r="HJ189" s="9">
        <f>HF189+HI189</f>
        <v/>
      </c>
      <c r="HK189" s="10">
        <f>IF(HE189=0,"",HH189/HE189)</f>
        <v/>
      </c>
      <c r="HL189" s="8" t="n">
        <v>6</v>
      </c>
      <c r="HM189" s="8" t="n">
        <v>1</v>
      </c>
      <c r="HN189" s="11">
        <f>IF(HL189=0,"",HM189/HL189)</f>
        <v/>
      </c>
    </row>
    <row r="190">
      <c r="A190" s="12" t="inlineStr">
        <is>
          <t>Mulanje</t>
        </is>
      </c>
      <c r="B190" s="12" t="inlineStr">
        <is>
          <t>Phalombe</t>
        </is>
      </c>
      <c r="C190" s="13" t="inlineStr">
        <is>
          <t>FY2025/26</t>
        </is>
      </c>
      <c r="D190" s="13" t="n">
        <v>2025</v>
      </c>
      <c r="E190" s="13" t="n">
        <v>11</v>
      </c>
      <c r="F190" s="13" t="inlineStr">
        <is>
          <t>November</t>
        </is>
      </c>
      <c r="G190" s="13" t="inlineStr">
        <is>
          <t>Q3</t>
        </is>
      </c>
      <c r="H190" s="14" t="n">
        <v>12476</v>
      </c>
      <c r="I190" s="14" t="n">
        <v>4072</v>
      </c>
      <c r="J190" s="14" t="n">
        <v>0</v>
      </c>
      <c r="K190" s="14" t="n">
        <v>0</v>
      </c>
      <c r="L190" s="14" t="n">
        <v>13</v>
      </c>
      <c r="M190" s="15">
        <f>SUM(I190,J190,K190,L190)</f>
        <v/>
      </c>
      <c r="N190" s="14" t="n">
        <v>3106</v>
      </c>
      <c r="O190" s="14" t="n">
        <v>63</v>
      </c>
      <c r="P190" s="14" t="n">
        <v>1398</v>
      </c>
      <c r="Q190" s="14" t="n">
        <v>142</v>
      </c>
      <c r="R190" s="15">
        <f>SUM(N190,O190,P190,Q190)</f>
        <v/>
      </c>
      <c r="S190" s="15">
        <f>M190+R190</f>
        <v/>
      </c>
      <c r="T190" s="14" t="n">
        <v>3682</v>
      </c>
      <c r="U190" s="16">
        <f>IF(H190=0,"",T190/H190)</f>
        <v/>
      </c>
      <c r="V190" s="14" t="n">
        <v>26</v>
      </c>
      <c r="W190" s="17">
        <f>IF(H190=0,"",V190/H190)</f>
        <v/>
      </c>
      <c r="X190" s="14" t="n">
        <v>0</v>
      </c>
      <c r="Y190" s="17">
        <f>IF(H190=0,"",X190/H190)</f>
        <v/>
      </c>
      <c r="Z190" s="14" t="n">
        <v>0</v>
      </c>
      <c r="AA190" s="17">
        <f>IF(H190=0,"",Z190/H190)</f>
        <v/>
      </c>
      <c r="AB190" s="14" t="n">
        <v>0</v>
      </c>
      <c r="AC190" s="17">
        <f>IF(H190=0,"",AB190/H190)</f>
        <v/>
      </c>
      <c r="AD190" s="14" t="n">
        <v>0</v>
      </c>
      <c r="AE190" s="17">
        <f>IF(H190=0,"",AD190/H190)</f>
        <v/>
      </c>
      <c r="AF190" s="14" t="n">
        <v>0</v>
      </c>
      <c r="AG190" s="17">
        <f>IF(H190=0,"",AF190/H190)</f>
        <v/>
      </c>
      <c r="AH190" s="14" t="n">
        <v>132903.42</v>
      </c>
      <c r="AI190" s="15">
        <f>IF(H190=0,"",AH190/H190)</f>
        <v/>
      </c>
      <c r="AJ190" s="14" t="n">
        <v>32</v>
      </c>
      <c r="AK190" s="17">
        <f>IF(H190=0,"",AJ190/H190)</f>
        <v/>
      </c>
      <c r="AL190" s="14" t="n">
        <v>20866.548</v>
      </c>
      <c r="AM190" s="15">
        <f>IF(H190=0,"",AL190/H190)</f>
        <v/>
      </c>
      <c r="AN190" s="14" t="n">
        <v>0</v>
      </c>
      <c r="AO190" s="14" t="n">
        <v>0</v>
      </c>
      <c r="AP190" s="14" t="n">
        <v>0</v>
      </c>
      <c r="AQ190" s="14" t="n">
        <v>0</v>
      </c>
      <c r="AR190" s="14" t="n">
        <v>4908627.36</v>
      </c>
      <c r="AS190" s="14" t="n">
        <v>0</v>
      </c>
      <c r="AT190" s="14" t="n">
        <v>0</v>
      </c>
      <c r="AU190" s="15">
        <f>AH190+AL190+AP190+AQ190+AR190+AS190+AT190</f>
        <v/>
      </c>
      <c r="AV190" s="15">
        <f>IF(H190=0,"",AU190/H190)</f>
        <v/>
      </c>
      <c r="AW190" s="15">
        <f>IF(S190=0,"",AU190/S190)</f>
        <v/>
      </c>
      <c r="AX190" s="14" t="n">
        <v>5</v>
      </c>
      <c r="AY190" s="15">
        <f>IF(H190=0,"",AX190/(H190/1000/12))</f>
        <v/>
      </c>
      <c r="AZ190" s="14" t="n">
        <v>6</v>
      </c>
      <c r="BA190" s="14" t="n">
        <v>45</v>
      </c>
      <c r="BB190" s="14" t="n">
        <v>1</v>
      </c>
      <c r="BC190" s="14" t="n">
        <v>0</v>
      </c>
      <c r="BD190" s="14" t="n">
        <v>13</v>
      </c>
      <c r="BE190" s="15">
        <f>BC190+BD190</f>
        <v/>
      </c>
      <c r="BF190" s="15">
        <f>BA190+BB190-BE190</f>
        <v/>
      </c>
      <c r="BG190" s="14" t="n">
        <v>0</v>
      </c>
      <c r="BH190" s="14" t="n">
        <v>0</v>
      </c>
      <c r="BI190" s="14" t="n">
        <v>0</v>
      </c>
      <c r="BJ190" s="14" t="n">
        <v>0</v>
      </c>
      <c r="BK190" s="15">
        <f>BI190+BJ190</f>
        <v/>
      </c>
      <c r="BL190" s="15">
        <f>BG190+BH190-BK190</f>
        <v/>
      </c>
      <c r="BM190" s="14" t="n">
        <v>0</v>
      </c>
      <c r="BN190" s="14" t="n">
        <v>0</v>
      </c>
      <c r="BO190" s="14" t="n">
        <v>0</v>
      </c>
      <c r="BP190" s="14" t="n">
        <v>0</v>
      </c>
      <c r="BQ190" s="15">
        <f>BO190+BP190</f>
        <v/>
      </c>
      <c r="BR190" s="15">
        <f>BM190+BN190-BQ190</f>
        <v/>
      </c>
      <c r="BS190" s="14" t="n">
        <v>0</v>
      </c>
      <c r="BT190" s="14" t="n">
        <v>0</v>
      </c>
      <c r="BU190" s="14" t="n">
        <v>0</v>
      </c>
      <c r="BV190" s="14" t="n">
        <v>0</v>
      </c>
      <c r="BW190" s="15">
        <f>BU190+BV190</f>
        <v/>
      </c>
      <c r="BX190" s="15">
        <f>BS190+BT190-BW190</f>
        <v/>
      </c>
      <c r="BY190" s="15">
        <f>BA190+BG190+BM190+BS190</f>
        <v/>
      </c>
      <c r="BZ190" s="15">
        <f>BB190+BH190+BN190+BT190</f>
        <v/>
      </c>
      <c r="CA190" s="15">
        <f>BE190+BK190+BQ190+BW190</f>
        <v/>
      </c>
      <c r="CB190" s="15">
        <f>BF190+BL190+BR190+BX190</f>
        <v/>
      </c>
      <c r="CC190" s="14" t="n">
        <v>45</v>
      </c>
      <c r="CD190" s="14" t="n">
        <v>213</v>
      </c>
      <c r="CE190" s="14" t="n">
        <v>14</v>
      </c>
      <c r="CF190" s="14" t="n">
        <v>25</v>
      </c>
      <c r="CG190" s="14" t="n">
        <v>0</v>
      </c>
      <c r="CH190" s="15">
        <f>CD190+CE190+CF190+CG190</f>
        <v/>
      </c>
      <c r="CI190" s="14" t="n">
        <v>373</v>
      </c>
      <c r="CJ190" s="14" t="n">
        <v>0</v>
      </c>
      <c r="CK190" s="14" t="n">
        <v>1</v>
      </c>
      <c r="CL190" s="14" t="n">
        <v>0</v>
      </c>
      <c r="CM190" s="15">
        <f>CI190+CJ190+CK190+CL190</f>
        <v/>
      </c>
      <c r="CN190" s="14" t="n">
        <v>393</v>
      </c>
      <c r="CO190" s="14" t="n">
        <v>25</v>
      </c>
      <c r="CP190" s="14" t="n">
        <v>23</v>
      </c>
      <c r="CQ190" s="14" t="n">
        <v>2</v>
      </c>
      <c r="CR190" s="15">
        <f>CN190+CO190+CP190+CQ190</f>
        <v/>
      </c>
      <c r="CS190" s="15">
        <f>CM190+CR190</f>
        <v/>
      </c>
      <c r="CT190" s="14" t="n">
        <v>1069</v>
      </c>
      <c r="CU190" s="14" t="n">
        <v>10013</v>
      </c>
      <c r="CV190" s="14" t="n">
        <v>7480</v>
      </c>
      <c r="CW190" s="16">
        <f>IF(CU190=0,"",CV190/CU190)</f>
        <v/>
      </c>
      <c r="CX190" s="14" t="n"/>
      <c r="CY190" s="14" t="n"/>
      <c r="CZ190" s="14" t="n"/>
      <c r="DA190" s="14" t="n"/>
      <c r="DB190" s="15">
        <f>CX190+CY190-CZ190-DA190</f>
        <v/>
      </c>
      <c r="DC190" s="14" t="n">
        <v>0</v>
      </c>
      <c r="DD190" s="14" t="n">
        <v>0</v>
      </c>
      <c r="DE190" s="14" t="n">
        <v>0</v>
      </c>
      <c r="DF190" s="14" t="n">
        <v>0</v>
      </c>
      <c r="DG190" s="15">
        <f>DC190+DD190-DE190-DF190</f>
        <v/>
      </c>
      <c r="DH190" s="14" t="n">
        <v>0</v>
      </c>
      <c r="DI190" s="14" t="n">
        <v>0</v>
      </c>
      <c r="DJ190" s="14" t="n">
        <v>0</v>
      </c>
      <c r="DK190" s="14" t="n">
        <v>0</v>
      </c>
      <c r="DL190" s="15">
        <f>DH190+DI190-DJ190-DK190</f>
        <v/>
      </c>
      <c r="DM190" s="14" t="n">
        <v>23</v>
      </c>
      <c r="DN190" s="14" t="n">
        <v>0</v>
      </c>
      <c r="DO190" s="14" t="n">
        <v>0</v>
      </c>
      <c r="DP190" s="14" t="n">
        <v>0</v>
      </c>
      <c r="DQ190" s="15">
        <f>DM190+DN190-DO190-DP190</f>
        <v/>
      </c>
      <c r="DR190" s="15">
        <f>CX190+DC190+DH190+DM190</f>
        <v/>
      </c>
      <c r="DS190" s="15">
        <f>CY190+DD190+DI190+DN190</f>
        <v/>
      </c>
      <c r="DT190" s="15">
        <f>CZ190+DE190+DJ190+DO190</f>
        <v/>
      </c>
      <c r="DU190" s="15">
        <f>DA190+DF190+DK190+DP190</f>
        <v/>
      </c>
      <c r="DV190" s="15">
        <f>DB190+DG190+DL190+DQ190</f>
        <v/>
      </c>
      <c r="DW190" s="14" t="n">
        <v>6</v>
      </c>
      <c r="DX190" s="14" t="n">
        <v>6</v>
      </c>
      <c r="DY190" s="14" t="n">
        <v>3</v>
      </c>
      <c r="DZ190" s="14" t="n">
        <v>4</v>
      </c>
      <c r="EA190" s="14" t="n">
        <v>2</v>
      </c>
      <c r="EB190" s="14" t="n">
        <v>3</v>
      </c>
      <c r="EC190" s="14" t="n">
        <v>0</v>
      </c>
      <c r="ED190" s="14" t="n">
        <v>1</v>
      </c>
      <c r="EE190" s="14" t="n">
        <v>1</v>
      </c>
      <c r="EF190" s="14" t="n">
        <v>0</v>
      </c>
      <c r="EG190" s="14" t="n">
        <v>0</v>
      </c>
      <c r="EH190" s="14" t="n">
        <v>0</v>
      </c>
      <c r="EI190" s="14" t="n">
        <v>0</v>
      </c>
      <c r="EJ190" s="14" t="n">
        <v>0</v>
      </c>
      <c r="EK190" s="14" t="n">
        <v>0</v>
      </c>
      <c r="EL190" s="14" t="n">
        <v>0</v>
      </c>
      <c r="EM190" s="14" t="n">
        <v>0</v>
      </c>
      <c r="EN190" s="14" t="n">
        <v>0</v>
      </c>
      <c r="EO190" s="14" t="n">
        <v>0</v>
      </c>
      <c r="EP190" s="14" t="n">
        <v>0</v>
      </c>
      <c r="EQ190" s="14" t="n">
        <v>0</v>
      </c>
      <c r="ER190" s="14" t="n">
        <v>0</v>
      </c>
      <c r="ES190" s="14" t="n">
        <v>0</v>
      </c>
      <c r="ET190" s="14" t="n">
        <v>0</v>
      </c>
      <c r="EU190" s="14" t="n">
        <v>0</v>
      </c>
      <c r="EV190" s="14" t="n">
        <v>0</v>
      </c>
      <c r="EW190" s="14" t="n">
        <v>0</v>
      </c>
      <c r="EX190" s="14" t="n">
        <v>0</v>
      </c>
      <c r="EY190" s="14" t="n">
        <v>0</v>
      </c>
      <c r="EZ190" s="14" t="n">
        <v>0</v>
      </c>
      <c r="FA190" s="14" t="n">
        <v>0</v>
      </c>
      <c r="FB190" s="14" t="n">
        <v>0</v>
      </c>
      <c r="FC190" s="14" t="n">
        <v>0</v>
      </c>
      <c r="FD190" s="14" t="n">
        <v>0</v>
      </c>
      <c r="FE190" s="14" t="n">
        <v>0</v>
      </c>
      <c r="FF190" s="14" t="n">
        <v>0</v>
      </c>
      <c r="FG190" s="15">
        <f>SUM(DW190,DX190,DY190,DZ190,EA190,EB190,EC190,ED190,EE190,EF190,EG190,EH190,EI190,EJ190,EK190,EL190,EM190,EN190,EO190,EP190,EQ190,ER190,ES190,ET190,EU190,EV190,EW190,EX190,EY190,EZ190,FA190,FB190,FC190,FD190,FE190,FF190)</f>
        <v/>
      </c>
      <c r="FH190" s="14" t="n">
        <v>26</v>
      </c>
      <c r="FI190" s="14" t="n">
        <v>0</v>
      </c>
      <c r="FJ190" s="14" t="n">
        <v>24</v>
      </c>
      <c r="FK190" s="14" t="n">
        <v>24</v>
      </c>
      <c r="FL190" s="14" t="n">
        <v>0</v>
      </c>
      <c r="FM190" s="14" t="n">
        <v>0</v>
      </c>
      <c r="FN190" s="14" t="n">
        <v>0</v>
      </c>
      <c r="FO190" s="14" t="n">
        <v>0</v>
      </c>
      <c r="FP190" s="14" t="n">
        <v>0</v>
      </c>
      <c r="FQ190" s="15">
        <f>FL190+FM190+FN190+FO190+FP190</f>
        <v/>
      </c>
      <c r="FR190" s="14" t="n">
        <v>4037766.22</v>
      </c>
      <c r="FS190" s="14" t="n">
        <v>4037766.22</v>
      </c>
      <c r="FT190" s="14" t="n">
        <v>0</v>
      </c>
      <c r="FU190" s="14" t="n">
        <v>0</v>
      </c>
      <c r="FV190" s="15">
        <f>FR190+FS190+FT190+FU190</f>
        <v/>
      </c>
      <c r="FW190" s="14" t="n">
        <v>4253442</v>
      </c>
      <c r="FX190" s="14" t="n">
        <v>13400</v>
      </c>
      <c r="FY190" s="14" t="n">
        <v>676900</v>
      </c>
      <c r="FZ190" s="14" t="n">
        <v>9649300</v>
      </c>
      <c r="GA190" s="15">
        <f>FW190+FX190+FY190+FZ190</f>
        <v/>
      </c>
      <c r="GB190" s="15">
        <f>FV190+GA190</f>
        <v/>
      </c>
      <c r="GC190" s="14" t="n">
        <v>3661246.95</v>
      </c>
      <c r="GD190" s="14" t="n">
        <v>3661246.95</v>
      </c>
      <c r="GE190" s="14" t="n">
        <v>0</v>
      </c>
      <c r="GF190" s="14" t="n">
        <v>41014.69</v>
      </c>
      <c r="GG190" s="15">
        <f>GC190+GD190+GE190+GF190</f>
        <v/>
      </c>
      <c r="GH190" s="14" t="n">
        <v>3702261.64</v>
      </c>
      <c r="GI190" s="14" t="n">
        <v>0</v>
      </c>
      <c r="GJ190" s="14" t="n">
        <v>0</v>
      </c>
      <c r="GK190" s="14" t="n">
        <v>0</v>
      </c>
      <c r="GL190" s="15">
        <f>GH190+GI190+GJ190+GK190</f>
        <v/>
      </c>
      <c r="GM190" s="15">
        <f>GG190+GL190</f>
        <v/>
      </c>
      <c r="GN190" s="14" t="n">
        <v>213438.6</v>
      </c>
      <c r="GO190" s="14" t="n">
        <v>213438.6</v>
      </c>
      <c r="GP190" s="14" t="n">
        <v>0</v>
      </c>
      <c r="GQ190" s="14" t="n">
        <v>4637.34</v>
      </c>
      <c r="GR190" s="15">
        <f>GN190+GO190+GP190+GQ190</f>
        <v/>
      </c>
      <c r="GS190" s="14" t="n">
        <v>333089</v>
      </c>
      <c r="GT190" s="14" t="n">
        <v>333089</v>
      </c>
      <c r="GU190" s="14" t="n">
        <v>0</v>
      </c>
      <c r="GV190" s="14" t="n">
        <v>893</v>
      </c>
      <c r="GW190" s="15">
        <f>GS190+GT190+GU190+GV190</f>
        <v/>
      </c>
      <c r="GX190" s="15">
        <f>GM190+GR190+GW190</f>
        <v/>
      </c>
      <c r="GY190" s="14" t="n">
        <v>26071990.17</v>
      </c>
      <c r="GZ190" s="14" t="n">
        <v>458783.83</v>
      </c>
      <c r="HA190" s="15">
        <f>GY190+GZ190</f>
        <v/>
      </c>
      <c r="HB190" s="15">
        <f>IF(GX190=0,"",AU190/GX190)</f>
        <v/>
      </c>
      <c r="HC190" s="16">
        <f>IF((GX190+GY190)=0,"",GB190/(GX190+GY190))</f>
        <v/>
      </c>
      <c r="HD190" s="15">
        <f>IF(GX190=0,"",GB190/GX190)</f>
        <v/>
      </c>
      <c r="HE190" s="14" t="n">
        <v>1</v>
      </c>
      <c r="HF190" s="14" t="n">
        <v>1</v>
      </c>
      <c r="HG190" s="14" t="n">
        <v>33</v>
      </c>
      <c r="HH190" s="14" t="n">
        <v>1</v>
      </c>
      <c r="HI190" s="14" t="n">
        <v>5</v>
      </c>
      <c r="HJ190" s="15">
        <f>HF190+HI190</f>
        <v/>
      </c>
      <c r="HK190" s="16">
        <f>IF(HE190=0,"",HH190/HE190)</f>
        <v/>
      </c>
      <c r="HL190" s="14" t="n">
        <v>10</v>
      </c>
      <c r="HM190" s="14" t="n">
        <v>2</v>
      </c>
      <c r="HN190" s="17">
        <f>IF(HL190=0,"",HM190/HL190)</f>
        <v/>
      </c>
    </row>
    <row r="191">
      <c r="A191" s="6" t="inlineStr">
        <is>
          <t>Mulanje</t>
        </is>
      </c>
      <c r="B191" s="6" t="inlineStr">
        <is>
          <t>Phalombe</t>
        </is>
      </c>
      <c r="C191" s="7" t="inlineStr">
        <is>
          <t>FY2025/26</t>
        </is>
      </c>
      <c r="D191" s="7" t="n">
        <v>2025</v>
      </c>
      <c r="E191" s="7" t="n">
        <v>12</v>
      </c>
      <c r="F191" s="7" t="inlineStr">
        <is>
          <t>December</t>
        </is>
      </c>
      <c r="G191" s="7" t="inlineStr">
        <is>
          <t>Q3</t>
        </is>
      </c>
      <c r="H191" s="8" t="n">
        <v>11113</v>
      </c>
      <c r="I191" s="8" t="n">
        <v>4397</v>
      </c>
      <c r="J191" s="8" t="n">
        <v>0</v>
      </c>
      <c r="K191" s="8" t="n">
        <v>0</v>
      </c>
      <c r="L191" s="8" t="n">
        <v>7</v>
      </c>
      <c r="M191" s="9">
        <f>SUM(I191,J191,K191,L191)</f>
        <v/>
      </c>
      <c r="N191" s="8" t="n">
        <v>2104</v>
      </c>
      <c r="O191" s="8" t="n">
        <v>48</v>
      </c>
      <c r="P191" s="8" t="n">
        <v>1045</v>
      </c>
      <c r="Q191" s="8" t="n">
        <v>93</v>
      </c>
      <c r="R191" s="9">
        <f>SUM(N191,O191,P191,Q191)</f>
        <v/>
      </c>
      <c r="S191" s="9">
        <f>M191+R191</f>
        <v/>
      </c>
      <c r="T191" s="8" t="n">
        <v>3419</v>
      </c>
      <c r="U191" s="10">
        <f>IF(H191=0,"",T191/H191)</f>
        <v/>
      </c>
      <c r="V191" s="8" t="n">
        <v>24</v>
      </c>
      <c r="W191" s="11">
        <f>IF(H191=0,"",V191/H191)</f>
        <v/>
      </c>
      <c r="X191" s="8" t="n">
        <v>0</v>
      </c>
      <c r="Y191" s="11">
        <f>IF(H191=0,"",X191/H191)</f>
        <v/>
      </c>
      <c r="Z191" s="8" t="n">
        <v>0</v>
      </c>
      <c r="AA191" s="11">
        <f>IF(H191=0,"",Z191/H191)</f>
        <v/>
      </c>
      <c r="AB191" s="8" t="n">
        <v>0</v>
      </c>
      <c r="AC191" s="11">
        <f>IF(H191=0,"",AB191/H191)</f>
        <v/>
      </c>
      <c r="AD191" s="8" t="n">
        <v>0</v>
      </c>
      <c r="AE191" s="11">
        <f>IF(H191=0,"",AD191/H191)</f>
        <v/>
      </c>
      <c r="AF191" s="8" t="n">
        <v>0</v>
      </c>
      <c r="AG191" s="11">
        <f>IF(H191=0,"",AF191/H191)</f>
        <v/>
      </c>
      <c r="AH191" s="8" t="n">
        <v>122680.08</v>
      </c>
      <c r="AI191" s="9">
        <f>IF(H191=0,"",AH191/H191)</f>
        <v/>
      </c>
      <c r="AJ191" s="8" t="n">
        <v>40</v>
      </c>
      <c r="AK191" s="11">
        <f>IF(H191=0,"",AJ191/H191)</f>
        <v/>
      </c>
      <c r="AL191" s="8" t="n">
        <v>21976.56</v>
      </c>
      <c r="AM191" s="9">
        <f>IF(H191=0,"",AL191/H191)</f>
        <v/>
      </c>
      <c r="AN191" s="8" t="n">
        <v>0</v>
      </c>
      <c r="AO191" s="8" t="n">
        <v>0</v>
      </c>
      <c r="AP191" s="8" t="n">
        <v>0</v>
      </c>
      <c r="AQ191" s="8" t="n">
        <v>0</v>
      </c>
      <c r="AR191" s="8" t="n">
        <v>5193085.95</v>
      </c>
      <c r="AS191" s="8" t="n">
        <v>1676771.36</v>
      </c>
      <c r="AT191" s="8" t="n">
        <v>0</v>
      </c>
      <c r="AU191" s="9">
        <f>AH191+AL191+AP191+AQ191+AR191+AS191+AT191</f>
        <v/>
      </c>
      <c r="AV191" s="9">
        <f>IF(H191=0,"",AU191/H191)</f>
        <v/>
      </c>
      <c r="AW191" s="9">
        <f>IF(S191=0,"",AU191/S191)</f>
        <v/>
      </c>
      <c r="AX191" s="8" t="n">
        <v>5</v>
      </c>
      <c r="AY191" s="9">
        <f>IF(H191=0,"",AX191/(H191/1000/12))</f>
        <v/>
      </c>
      <c r="AZ191" s="8" t="n">
        <v>9</v>
      </c>
      <c r="BA191" s="8" t="n">
        <v>33</v>
      </c>
      <c r="BB191" s="8" t="n">
        <v>3</v>
      </c>
      <c r="BC191" s="8" t="n">
        <v>0</v>
      </c>
      <c r="BD191" s="8" t="n">
        <v>0</v>
      </c>
      <c r="BE191" s="9">
        <f>BC191+BD191</f>
        <v/>
      </c>
      <c r="BF191" s="9">
        <f>BA191+BB191-BE191</f>
        <v/>
      </c>
      <c r="BG191" s="8" t="n">
        <v>0</v>
      </c>
      <c r="BH191" s="8" t="n">
        <v>0</v>
      </c>
      <c r="BI191" s="8" t="n">
        <v>0</v>
      </c>
      <c r="BJ191" s="8" t="n">
        <v>0</v>
      </c>
      <c r="BK191" s="9">
        <f>BI191+BJ191</f>
        <v/>
      </c>
      <c r="BL191" s="9">
        <f>BG191+BH191-BK191</f>
        <v/>
      </c>
      <c r="BM191" s="8" t="n">
        <v>0</v>
      </c>
      <c r="BN191" s="8" t="n">
        <v>0</v>
      </c>
      <c r="BO191" s="8" t="n">
        <v>0</v>
      </c>
      <c r="BP191" s="8" t="n">
        <v>0</v>
      </c>
      <c r="BQ191" s="9">
        <f>BO191+BP191</f>
        <v/>
      </c>
      <c r="BR191" s="9">
        <f>BM191+BN191-BQ191</f>
        <v/>
      </c>
      <c r="BS191" s="8" t="n">
        <v>0</v>
      </c>
      <c r="BT191" s="8" t="n">
        <v>0</v>
      </c>
      <c r="BU191" s="8" t="n">
        <v>0</v>
      </c>
      <c r="BV191" s="8" t="n">
        <v>0</v>
      </c>
      <c r="BW191" s="9">
        <f>BU191+BV191</f>
        <v/>
      </c>
      <c r="BX191" s="9">
        <f>BS191+BT191-BW191</f>
        <v/>
      </c>
      <c r="BY191" s="9">
        <f>BA191+BG191+BM191+BS191</f>
        <v/>
      </c>
      <c r="BZ191" s="9">
        <f>BB191+BH191+BN191+BT191</f>
        <v/>
      </c>
      <c r="CA191" s="9">
        <f>BE191+BK191+BQ191+BW191</f>
        <v/>
      </c>
      <c r="CB191" s="9">
        <f>BF191+BL191+BR191+BX191</f>
        <v/>
      </c>
      <c r="CC191" s="8" t="n">
        <v>5</v>
      </c>
      <c r="CD191" s="8" t="n">
        <v>222</v>
      </c>
      <c r="CE191" s="8" t="n">
        <v>14</v>
      </c>
      <c r="CF191" s="8" t="n">
        <v>25</v>
      </c>
      <c r="CG191" s="8" t="n">
        <v>0</v>
      </c>
      <c r="CH191" s="9">
        <f>CD191+CE191+CF191+CG191</f>
        <v/>
      </c>
      <c r="CI191" s="8" t="n">
        <v>367</v>
      </c>
      <c r="CJ191" s="8" t="n">
        <v>0</v>
      </c>
      <c r="CK191" s="8" t="n">
        <v>1</v>
      </c>
      <c r="CL191" s="8" t="n">
        <v>0</v>
      </c>
      <c r="CM191" s="9">
        <f>CI191+CJ191+CK191+CL191</f>
        <v/>
      </c>
      <c r="CN191" s="8" t="n">
        <v>393</v>
      </c>
      <c r="CO191" s="8" t="n">
        <v>25</v>
      </c>
      <c r="CP191" s="8" t="n">
        <v>23</v>
      </c>
      <c r="CQ191" s="8" t="n">
        <v>2</v>
      </c>
      <c r="CR191" s="9">
        <f>CN191+CO191+CP191+CQ191</f>
        <v/>
      </c>
      <c r="CS191" s="9">
        <f>CM191+CR191</f>
        <v/>
      </c>
      <c r="CT191" s="8" t="n">
        <v>1072</v>
      </c>
      <c r="CU191" s="8" t="n">
        <v>10013</v>
      </c>
      <c r="CV191" s="8" t="n">
        <v>7480</v>
      </c>
      <c r="CW191" s="10">
        <f>IF(CU191=0,"",CV191/CU191)</f>
        <v/>
      </c>
      <c r="CX191" s="8" t="n">
        <v>0</v>
      </c>
      <c r="CY191" s="8" t="n">
        <v>0</v>
      </c>
      <c r="CZ191" s="8" t="n">
        <v>0</v>
      </c>
      <c r="DA191" s="8" t="n">
        <v>0</v>
      </c>
      <c r="DB191" s="9">
        <f>CX191+CY191-CZ191-DA191</f>
        <v/>
      </c>
      <c r="DC191" s="8" t="n">
        <v>0</v>
      </c>
      <c r="DD191" s="8" t="n">
        <v>0</v>
      </c>
      <c r="DE191" s="8" t="n">
        <v>0</v>
      </c>
      <c r="DF191" s="8" t="n">
        <v>0</v>
      </c>
      <c r="DG191" s="9">
        <f>DC191+DD191-DE191-DF191</f>
        <v/>
      </c>
      <c r="DH191" s="8" t="n">
        <v>0</v>
      </c>
      <c r="DI191" s="8" t="n">
        <v>0</v>
      </c>
      <c r="DJ191" s="8" t="n">
        <v>0</v>
      </c>
      <c r="DK191" s="8" t="n">
        <v>0</v>
      </c>
      <c r="DL191" s="9">
        <f>DH191+DI191-DJ191-DK191</f>
        <v/>
      </c>
      <c r="DM191" s="8" t="n">
        <v>23</v>
      </c>
      <c r="DN191" s="8" t="n">
        <v>0</v>
      </c>
      <c r="DO191" s="8" t="n">
        <v>0</v>
      </c>
      <c r="DP191" s="8" t="n">
        <v>0</v>
      </c>
      <c r="DQ191" s="9">
        <f>DM191+DN191-DO191-DP191</f>
        <v/>
      </c>
      <c r="DR191" s="9">
        <f>CX191+DC191+DH191+DM191</f>
        <v/>
      </c>
      <c r="DS191" s="9">
        <f>CY191+DD191+DI191+DN191</f>
        <v/>
      </c>
      <c r="DT191" s="9">
        <f>CZ191+DE191+DJ191+DO191</f>
        <v/>
      </c>
      <c r="DU191" s="9">
        <f>DA191+DF191+DK191+DP191</f>
        <v/>
      </c>
      <c r="DV191" s="9">
        <f>DB191+DG191+DL191+DQ191</f>
        <v/>
      </c>
      <c r="DW191" s="8" t="n">
        <v>5</v>
      </c>
      <c r="DX191" s="8" t="n">
        <v>4</v>
      </c>
      <c r="DY191" s="8" t="n">
        <v>4</v>
      </c>
      <c r="DZ191" s="8" t="n">
        <v>4</v>
      </c>
      <c r="EA191" s="8" t="n">
        <v>4</v>
      </c>
      <c r="EB191" s="8" t="n">
        <v>4</v>
      </c>
      <c r="EC191" s="8" t="n">
        <v>1</v>
      </c>
      <c r="ED191" s="8" t="n">
        <v>1</v>
      </c>
      <c r="EE191" s="8" t="n">
        <v>2</v>
      </c>
      <c r="EF191" s="8" t="n">
        <v>0</v>
      </c>
      <c r="EG191" s="8" t="n">
        <v>0</v>
      </c>
      <c r="EH191" s="8" t="n">
        <v>0</v>
      </c>
      <c r="EI191" s="8" t="n">
        <v>0</v>
      </c>
      <c r="EJ191" s="8" t="n">
        <v>0</v>
      </c>
      <c r="EK191" s="8" t="n">
        <v>0</v>
      </c>
      <c r="EL191" s="8" t="n">
        <v>0</v>
      </c>
      <c r="EM191" s="8" t="n">
        <v>0</v>
      </c>
      <c r="EN191" s="8" t="n">
        <v>0</v>
      </c>
      <c r="EO191" s="8" t="n">
        <v>0</v>
      </c>
      <c r="EP191" s="8" t="n">
        <v>0</v>
      </c>
      <c r="EQ191" s="8" t="n">
        <v>0</v>
      </c>
      <c r="ER191" s="8" t="n">
        <v>0</v>
      </c>
      <c r="ES191" s="8" t="n">
        <v>0</v>
      </c>
      <c r="ET191" s="8" t="n">
        <v>0</v>
      </c>
      <c r="EU191" s="8" t="n">
        <v>0</v>
      </c>
      <c r="EV191" s="8" t="n">
        <v>0</v>
      </c>
      <c r="EW191" s="8" t="n">
        <v>0</v>
      </c>
      <c r="EX191" s="8" t="n">
        <v>0</v>
      </c>
      <c r="EY191" s="8" t="n">
        <v>0</v>
      </c>
      <c r="EZ191" s="8" t="n">
        <v>0</v>
      </c>
      <c r="FA191" s="8" t="n">
        <v>0</v>
      </c>
      <c r="FB191" s="8" t="n">
        <v>0</v>
      </c>
      <c r="FC191" s="8" t="n">
        <v>0</v>
      </c>
      <c r="FD191" s="8" t="n">
        <v>0</v>
      </c>
      <c r="FE191" s="8" t="n">
        <v>0</v>
      </c>
      <c r="FF191" s="8" t="n">
        <v>0</v>
      </c>
      <c r="FG191" s="9">
        <f>SUM(DW191,DX191,DY191,DZ191,EA191,EB191,EC191,ED191,EE191,EF191,EG191,EH191,EI191,EJ191,EK191,EL191,EM191,EN191,EO191,EP191,EQ191,ER191,ES191,ET191,EU191,EV191,EW191,EX191,EY191,EZ191,FA191,FB191,FC191,FD191,FE191,FF191)</f>
        <v/>
      </c>
      <c r="FH191" s="8" t="n">
        <v>29</v>
      </c>
      <c r="FI191" s="8" t="n">
        <v>0</v>
      </c>
      <c r="FJ191" s="8" t="n">
        <v>24</v>
      </c>
      <c r="FK191" s="8" t="n">
        <v>24</v>
      </c>
      <c r="FL191" s="8" t="n">
        <v>0</v>
      </c>
      <c r="FM191" s="8" t="n">
        <v>0</v>
      </c>
      <c r="FN191" s="8" t="n">
        <v>0</v>
      </c>
      <c r="FO191" s="8" t="n">
        <v>0</v>
      </c>
      <c r="FP191" s="8" t="n">
        <v>0</v>
      </c>
      <c r="FQ191" s="9">
        <f>FL191+FM191+FN191+FO191+FP191</f>
        <v/>
      </c>
      <c r="FR191" s="8" t="n">
        <v>4650267.76</v>
      </c>
      <c r="FS191" s="8" t="n">
        <v>0</v>
      </c>
      <c r="FT191" s="8" t="n">
        <v>0</v>
      </c>
      <c r="FU191" s="8" t="n">
        <v>0</v>
      </c>
      <c r="FV191" s="9">
        <f>FR191+FS191+FT191+FU191</f>
        <v/>
      </c>
      <c r="FW191" s="8" t="n">
        <v>2786080.49</v>
      </c>
      <c r="FX191" s="8" t="n">
        <v>10100</v>
      </c>
      <c r="FY191" s="8" t="n">
        <v>490900</v>
      </c>
      <c r="FZ191" s="8" t="n">
        <v>3356000</v>
      </c>
      <c r="GA191" s="9">
        <f>FW191+FX191+FY191+FZ191</f>
        <v/>
      </c>
      <c r="GB191" s="9">
        <f>FV191+GA191</f>
        <v/>
      </c>
      <c r="GC191" s="8" t="n">
        <v>3946637.7</v>
      </c>
      <c r="GD191" s="8" t="n">
        <v>3946637.7</v>
      </c>
      <c r="GE191" s="8" t="n">
        <v>0</v>
      </c>
      <c r="GF191" s="8" t="n">
        <v>18567.91</v>
      </c>
      <c r="GG191" s="9">
        <f>GC191+GD191+GE191+GF191</f>
        <v/>
      </c>
      <c r="GH191" s="8" t="n">
        <v>3965205.61</v>
      </c>
      <c r="GI191" s="8" t="n">
        <v>0</v>
      </c>
      <c r="GJ191" s="8" t="n">
        <v>0</v>
      </c>
      <c r="GK191" s="8" t="n">
        <v>0</v>
      </c>
      <c r="GL191" s="9">
        <f>GH191+GI191+GJ191+GK191</f>
        <v/>
      </c>
      <c r="GM191" s="9">
        <f>GG191+GL191</f>
        <v/>
      </c>
      <c r="GN191" s="8" t="n">
        <v>210557.73</v>
      </c>
      <c r="GO191" s="8" t="n">
        <v>210557.73</v>
      </c>
      <c r="GP191" s="8" t="n">
        <v>0</v>
      </c>
      <c r="GQ191" s="8" t="n">
        <v>4637.34</v>
      </c>
      <c r="GR191" s="9">
        <f>GN191+GO191+GP191+GQ191</f>
        <v/>
      </c>
      <c r="GS191" s="8" t="n">
        <v>327731</v>
      </c>
      <c r="GT191" s="8" t="n">
        <v>327731</v>
      </c>
      <c r="GU191" s="8" t="n">
        <v>0</v>
      </c>
      <c r="GV191" s="8" t="n">
        <v>893</v>
      </c>
      <c r="GW191" s="9">
        <f>GS191+GT191+GU191+GV191</f>
        <v/>
      </c>
      <c r="GX191" s="9">
        <f>GM191+GR191+GW191</f>
        <v/>
      </c>
      <c r="GY191" s="8" t="n">
        <v>20530534.43</v>
      </c>
      <c r="GZ191" s="8" t="n">
        <v>458783.83</v>
      </c>
      <c r="HA191" s="9">
        <f>GY191+GZ191</f>
        <v/>
      </c>
      <c r="HB191" s="9">
        <f>IF(GX191=0,"",AU191/GX191)</f>
        <v/>
      </c>
      <c r="HC191" s="10">
        <f>IF((GX191+GY191)=0,"",GB191/(GX191+GY191))</f>
        <v/>
      </c>
      <c r="HD191" s="9">
        <f>IF(GX191=0,"",GB191/GX191)</f>
        <v/>
      </c>
      <c r="HE191" s="8" t="n">
        <v>3</v>
      </c>
      <c r="HF191" s="8" t="n">
        <v>1</v>
      </c>
      <c r="HG191" s="8" t="n">
        <v>36</v>
      </c>
      <c r="HH191" s="8" t="n">
        <v>3</v>
      </c>
      <c r="HI191" s="8" t="n">
        <v>5</v>
      </c>
      <c r="HJ191" s="9">
        <f>HF191+HI191</f>
        <v/>
      </c>
      <c r="HK191" s="10">
        <f>IF(HE191=0,"",HH191/HE191)</f>
        <v/>
      </c>
      <c r="HL191" s="8" t="n">
        <v>5</v>
      </c>
      <c r="HM191" s="8" t="n">
        <v>2</v>
      </c>
      <c r="HN191" s="11">
        <f>IF(HL191=0,"",HM191/HL191)</f>
        <v/>
      </c>
    </row>
    <row r="192">
      <c r="A192" s="12" t="inlineStr">
        <is>
          <t>Mulanje</t>
        </is>
      </c>
      <c r="B192" s="12" t="inlineStr">
        <is>
          <t>Phalombe</t>
        </is>
      </c>
      <c r="C192" s="13" t="inlineStr">
        <is>
          <t>FY2025/26</t>
        </is>
      </c>
      <c r="D192" s="13" t="n">
        <v>2026</v>
      </c>
      <c r="E192" s="13" t="n">
        <v>1</v>
      </c>
      <c r="F192" s="13" t="inlineStr">
        <is>
          <t>January</t>
        </is>
      </c>
      <c r="G192" s="13" t="inlineStr">
        <is>
          <t>Q4</t>
        </is>
      </c>
      <c r="H192" s="14" t="n">
        <v>9336</v>
      </c>
      <c r="I192" s="14" t="n">
        <v>3254</v>
      </c>
      <c r="J192" s="14" t="n">
        <v>0</v>
      </c>
      <c r="K192" s="14" t="n">
        <v>0</v>
      </c>
      <c r="L192" s="14" t="n">
        <v>4</v>
      </c>
      <c r="M192" s="15" t="n">
        <v>3258</v>
      </c>
      <c r="N192" s="14" t="n">
        <v>3028.900000000002</v>
      </c>
      <c r="O192" s="14" t="n">
        <v>49</v>
      </c>
      <c r="P192" s="14" t="n">
        <v>78.09999999999999</v>
      </c>
      <c r="Q192" s="14" t="n">
        <v>121</v>
      </c>
      <c r="R192" s="15" t="n">
        <v>3277.000000000002</v>
      </c>
      <c r="S192" s="15" t="n">
        <v>6535.000000000002</v>
      </c>
      <c r="T192" s="14" t="n">
        <v>2800.999999999998</v>
      </c>
      <c r="U192" s="16" t="n">
        <v>0.3000214224507282</v>
      </c>
      <c r="V192" s="14" t="n">
        <v>22</v>
      </c>
      <c r="W192" s="17" t="n">
        <v>2.356469580119966</v>
      </c>
      <c r="X192" s="14" t="n">
        <v>0</v>
      </c>
      <c r="Y192" s="17" t="n">
        <v>0</v>
      </c>
      <c r="Z192" s="14" t="n">
        <v>0</v>
      </c>
      <c r="AA192" s="17" t="n">
        <v>0</v>
      </c>
      <c r="AB192" s="14" t="n">
        <v>0</v>
      </c>
      <c r="AC192" s="17" t="n">
        <v>0</v>
      </c>
      <c r="AD192" s="14" t="n">
        <v>0</v>
      </c>
      <c r="AE192" s="17" t="n">
        <v>0</v>
      </c>
      <c r="AF192" s="14" t="n">
        <v>0</v>
      </c>
      <c r="AG192" s="17" t="n">
        <v>0</v>
      </c>
      <c r="AH192" s="14" t="n">
        <v>112456.74</v>
      </c>
      <c r="AI192" s="15" t="n">
        <v>12.04549485861182</v>
      </c>
      <c r="AJ192" s="14" t="n">
        <v>55</v>
      </c>
      <c r="AK192" s="17" t="n">
        <v>0.005891173950299915</v>
      </c>
      <c r="AL192" s="14" t="n">
        <v>24057.8325</v>
      </c>
      <c r="AM192" s="15" t="n">
        <v>2.576888656812339</v>
      </c>
      <c r="AN192" s="14" t="n">
        <v>0</v>
      </c>
      <c r="AO192" s="14" t="n">
        <v>0</v>
      </c>
      <c r="AP192" s="14" t="n">
        <v>0</v>
      </c>
      <c r="AQ192" s="14" t="n">
        <v>0</v>
      </c>
      <c r="AR192" s="14" t="n">
        <v>4820587.23</v>
      </c>
      <c r="AS192" s="14" t="n">
        <v>0</v>
      </c>
      <c r="AT192" s="14" t="n">
        <v>550000</v>
      </c>
      <c r="AU192" s="15" t="n">
        <v>5507101.8025</v>
      </c>
      <c r="AV192" s="15" t="n">
        <v>589.8780851006856</v>
      </c>
      <c r="AW192" s="15" t="n">
        <v>842.7087685539401</v>
      </c>
      <c r="AX192" s="14" t="n">
        <v>5</v>
      </c>
      <c r="AY192" s="15" t="n">
        <v>16.60239931448158</v>
      </c>
      <c r="AZ192" s="14" t="n">
        <v>8</v>
      </c>
      <c r="BA192" s="14" t="n">
        <v>36</v>
      </c>
      <c r="BB192" s="14" t="n">
        <v>1</v>
      </c>
      <c r="BC192" s="14" t="n">
        <v>0</v>
      </c>
      <c r="BD192" s="14" t="n">
        <v>0</v>
      </c>
      <c r="BE192" s="15" t="n">
        <v>0</v>
      </c>
      <c r="BF192" s="15" t="n">
        <v>37</v>
      </c>
      <c r="BG192" s="14" t="n">
        <v>0</v>
      </c>
      <c r="BH192" s="14" t="n">
        <v>0</v>
      </c>
      <c r="BI192" s="14" t="n">
        <v>0</v>
      </c>
      <c r="BJ192" s="14" t="n">
        <v>0</v>
      </c>
      <c r="BK192" s="15" t="n">
        <v>0</v>
      </c>
      <c r="BL192" s="15" t="n">
        <v>0</v>
      </c>
      <c r="BM192" s="14" t="n">
        <v>0</v>
      </c>
      <c r="BN192" s="14" t="n">
        <v>0</v>
      </c>
      <c r="BO192" s="14" t="n">
        <v>0</v>
      </c>
      <c r="BP192" s="14" t="n">
        <v>0</v>
      </c>
      <c r="BQ192" s="15" t="n">
        <v>0</v>
      </c>
      <c r="BR192" s="15" t="n">
        <v>0</v>
      </c>
      <c r="BS192" s="14" t="n">
        <v>0</v>
      </c>
      <c r="BT192" s="14" t="n">
        <v>0</v>
      </c>
      <c r="BU192" s="14" t="n">
        <v>0</v>
      </c>
      <c r="BV192" s="14" t="n">
        <v>0</v>
      </c>
      <c r="BW192" s="15" t="n">
        <v>0</v>
      </c>
      <c r="BX192" s="15" t="n">
        <v>0</v>
      </c>
      <c r="BY192" s="15" t="n">
        <v>36</v>
      </c>
      <c r="BZ192" s="15" t="n">
        <v>1</v>
      </c>
      <c r="CA192" s="15" t="n">
        <v>0</v>
      </c>
      <c r="CB192" s="15" t="n">
        <v>37</v>
      </c>
      <c r="CC192" s="14" t="n">
        <v>0</v>
      </c>
      <c r="CD192" s="14" t="n">
        <v>226</v>
      </c>
      <c r="CE192" s="14" t="n">
        <v>14</v>
      </c>
      <c r="CF192" s="14" t="n">
        <v>25</v>
      </c>
      <c r="CG192" s="14" t="n">
        <v>0</v>
      </c>
      <c r="CH192" s="15" t="n">
        <v>265</v>
      </c>
      <c r="CI192" s="14" t="n">
        <v>226</v>
      </c>
      <c r="CJ192" s="14" t="n">
        <v>14</v>
      </c>
      <c r="CK192" s="14" t="n">
        <v>25</v>
      </c>
      <c r="CL192" s="14" t="n">
        <v>0</v>
      </c>
      <c r="CM192" s="15" t="n">
        <v>265</v>
      </c>
      <c r="CN192" s="14" t="n">
        <v>393</v>
      </c>
      <c r="CO192" s="14" t="n">
        <v>25</v>
      </c>
      <c r="CP192" s="14" t="n">
        <v>23</v>
      </c>
      <c r="CQ192" s="14" t="n">
        <v>2</v>
      </c>
      <c r="CR192" s="15" t="n">
        <v>443</v>
      </c>
      <c r="CS192" s="15" t="n">
        <v>708</v>
      </c>
      <c r="CT192" s="14" t="n">
        <v>973</v>
      </c>
      <c r="CU192" s="14" t="n">
        <v>10013</v>
      </c>
      <c r="CV192" s="14" t="n">
        <v>7480</v>
      </c>
      <c r="CW192" s="16" t="n">
        <v>0.7470288624787776</v>
      </c>
      <c r="CX192" s="14" t="n">
        <v>0</v>
      </c>
      <c r="CY192" s="14" t="n">
        <v>0</v>
      </c>
      <c r="CZ192" s="14" t="n">
        <v>0</v>
      </c>
      <c r="DA192" s="14" t="n">
        <v>0</v>
      </c>
      <c r="DB192" s="15" t="n">
        <v>0</v>
      </c>
      <c r="DC192" s="14" t="n">
        <v>0</v>
      </c>
      <c r="DD192" s="14" t="n">
        <v>0</v>
      </c>
      <c r="DE192" s="14" t="n">
        <v>0</v>
      </c>
      <c r="DF192" s="14" t="n">
        <v>0</v>
      </c>
      <c r="DG192" s="15" t="n">
        <v>0</v>
      </c>
      <c r="DH192" s="14" t="n">
        <v>0</v>
      </c>
      <c r="DI192" s="14" t="n">
        <v>0</v>
      </c>
      <c r="DJ192" s="14" t="n">
        <v>0</v>
      </c>
      <c r="DK192" s="14" t="n">
        <v>0</v>
      </c>
      <c r="DL192" s="15" t="n">
        <v>0</v>
      </c>
      <c r="DM192" s="14" t="n">
        <v>23</v>
      </c>
      <c r="DN192" s="14" t="n">
        <v>0</v>
      </c>
      <c r="DO192" s="14" t="n">
        <v>7</v>
      </c>
      <c r="DP192" s="14" t="n">
        <v>1</v>
      </c>
      <c r="DQ192" s="15" t="n">
        <v>1</v>
      </c>
      <c r="DR192" s="15" t="n">
        <v>15</v>
      </c>
      <c r="DS192" s="15" t="n">
        <v>23</v>
      </c>
      <c r="DT192" s="15" t="n">
        <v>0</v>
      </c>
      <c r="DU192" s="15" t="n">
        <v>7</v>
      </c>
      <c r="DV192" s="15" t="n">
        <v>1</v>
      </c>
      <c r="DW192" s="14" t="n">
        <v>5</v>
      </c>
      <c r="DX192" s="14" t="n">
        <v>5</v>
      </c>
      <c r="DY192" s="14" t="n">
        <v>5</v>
      </c>
      <c r="DZ192" s="14" t="n">
        <v>1</v>
      </c>
      <c r="EA192" s="14" t="n">
        <v>3</v>
      </c>
      <c r="EB192" s="14" t="n">
        <v>5</v>
      </c>
      <c r="EC192" s="14" t="n">
        <v>0</v>
      </c>
      <c r="ED192" s="14" t="n">
        <v>2</v>
      </c>
      <c r="EE192" s="14" t="n">
        <v>2</v>
      </c>
      <c r="EF192" s="14" t="n">
        <v>0</v>
      </c>
      <c r="EG192" s="14" t="n">
        <v>0</v>
      </c>
      <c r="EH192" s="14" t="n">
        <v>0</v>
      </c>
      <c r="EI192" s="14" t="n">
        <v>0</v>
      </c>
      <c r="EJ192" s="14" t="n">
        <v>0</v>
      </c>
      <c r="EK192" s="14" t="n">
        <v>0</v>
      </c>
      <c r="EL192" s="14" t="n">
        <v>0</v>
      </c>
      <c r="EM192" s="14" t="n">
        <v>0</v>
      </c>
      <c r="EN192" s="14" t="n">
        <v>0</v>
      </c>
      <c r="EO192" s="14" t="n">
        <v>0</v>
      </c>
      <c r="EP192" s="14" t="n">
        <v>0</v>
      </c>
      <c r="EQ192" s="14" t="n">
        <v>0</v>
      </c>
      <c r="ER192" s="14" t="n">
        <v>0</v>
      </c>
      <c r="ES192" s="14" t="n">
        <v>0</v>
      </c>
      <c r="ET192" s="14" t="n">
        <v>0</v>
      </c>
      <c r="EU192" s="14" t="n">
        <v>0</v>
      </c>
      <c r="EV192" s="14" t="n">
        <v>0</v>
      </c>
      <c r="EW192" s="14" t="n">
        <v>0</v>
      </c>
      <c r="EX192" s="14" t="n">
        <v>0</v>
      </c>
      <c r="EY192" s="14" t="n">
        <v>0</v>
      </c>
      <c r="EZ192" s="14" t="n">
        <v>0</v>
      </c>
      <c r="FA192" s="14" t="n">
        <v>0</v>
      </c>
      <c r="FB192" s="14" t="n">
        <v>0</v>
      </c>
      <c r="FC192" s="14" t="n">
        <v>0</v>
      </c>
      <c r="FD192" s="14" t="n">
        <v>0</v>
      </c>
      <c r="FE192" s="14" t="n">
        <v>0</v>
      </c>
      <c r="FF192" s="14" t="n">
        <v>0</v>
      </c>
      <c r="FG192" s="15" t="n">
        <v>0</v>
      </c>
      <c r="FH192" s="14" t="n">
        <v>28</v>
      </c>
      <c r="FI192" s="14" t="n">
        <v>0</v>
      </c>
      <c r="FJ192" s="14" t="n">
        <v>24</v>
      </c>
      <c r="FK192" s="14" t="n">
        <v>24</v>
      </c>
      <c r="FL192" s="14" t="n">
        <v>0</v>
      </c>
      <c r="FM192" s="14" t="n">
        <v>0</v>
      </c>
      <c r="FN192" s="14" t="n">
        <v>0</v>
      </c>
      <c r="FO192" s="14" t="n">
        <v>0</v>
      </c>
      <c r="FP192" s="14" t="n">
        <v>0</v>
      </c>
      <c r="FQ192" s="15" t="n">
        <v>0</v>
      </c>
      <c r="FR192" s="14" t="n">
        <v>2839083.44</v>
      </c>
      <c r="FS192" s="14" t="n">
        <v>0</v>
      </c>
      <c r="FT192" s="14" t="n">
        <v>0</v>
      </c>
      <c r="FU192" s="14" t="n">
        <v>0</v>
      </c>
      <c r="FV192" s="15" t="n">
        <v>0</v>
      </c>
      <c r="FW192" s="14" t="n">
        <v>3911747</v>
      </c>
      <c r="FX192" s="14" t="n">
        <v>10500</v>
      </c>
      <c r="FY192" s="14" t="n">
        <v>580200</v>
      </c>
      <c r="FZ192" s="14" t="n">
        <v>237000</v>
      </c>
      <c r="GA192" s="15" t="n">
        <v>237000</v>
      </c>
      <c r="GB192" s="15" t="n">
        <v>4739447</v>
      </c>
      <c r="GC192" s="14" t="n">
        <v>2870605.71</v>
      </c>
      <c r="GD192" s="14" t="n">
        <v>2870605.71</v>
      </c>
      <c r="GE192" s="14" t="n">
        <v>0</v>
      </c>
      <c r="GF192" s="14" t="n">
        <v>8410.99</v>
      </c>
      <c r="GG192" s="15" t="n">
        <v>8410.99</v>
      </c>
      <c r="GH192" s="14" t="n">
        <v>2879016.7</v>
      </c>
      <c r="GI192" s="14" t="n">
        <v>0</v>
      </c>
      <c r="GJ192" s="14" t="n">
        <v>0</v>
      </c>
      <c r="GK192" s="14" t="n">
        <v>0</v>
      </c>
      <c r="GL192" s="15" t="n">
        <v>0</v>
      </c>
      <c r="GM192" s="15" t="n">
        <v>4739447</v>
      </c>
      <c r="GN192" s="14" t="n">
        <v>208378.01</v>
      </c>
      <c r="GO192" s="14" t="n">
        <v>208378.01</v>
      </c>
      <c r="GP192" s="14" t="n">
        <v>0</v>
      </c>
      <c r="GQ192" s="14" t="n">
        <v>4637.34</v>
      </c>
      <c r="GR192" s="15" t="n">
        <v>4637.34</v>
      </c>
      <c r="GS192" s="14" t="n">
        <v>324159</v>
      </c>
      <c r="GT192" s="14" t="n">
        <v>324159</v>
      </c>
      <c r="GU192" s="14" t="n">
        <v>0</v>
      </c>
      <c r="GV192" s="14" t="n">
        <v>893</v>
      </c>
      <c r="GW192" s="15" t="n">
        <v>893</v>
      </c>
      <c r="GX192" s="15" t="n">
        <v>325052</v>
      </c>
      <c r="GY192" s="14" t="n">
        <v>12219287.51</v>
      </c>
      <c r="GZ192" s="14" t="n">
        <v>458783.83</v>
      </c>
      <c r="HA192" s="15" t="n">
        <v>458783.83</v>
      </c>
      <c r="HB192" s="15" t="n">
        <v>12678071.34</v>
      </c>
      <c r="HC192" s="16" t="n">
        <v>8156531.05</v>
      </c>
      <c r="HD192" s="15" t="n">
        <v>12219287.51</v>
      </c>
      <c r="HE192" s="14" t="n">
        <v>1</v>
      </c>
      <c r="HF192" s="14" t="n">
        <v>1</v>
      </c>
      <c r="HG192" s="14" t="n">
        <v>37</v>
      </c>
      <c r="HH192" s="14" t="n">
        <v>1</v>
      </c>
      <c r="HI192" s="14" t="n">
        <v>5</v>
      </c>
      <c r="HJ192" s="15" t="n">
        <v>5</v>
      </c>
      <c r="HK192" s="16" t="n">
        <v>5</v>
      </c>
      <c r="HL192" s="14" t="n">
        <v>6</v>
      </c>
      <c r="HM192" s="14" t="n">
        <v>3</v>
      </c>
      <c r="HN192" s="17" t="n">
        <v>3</v>
      </c>
    </row>
    <row r="193">
      <c r="A193" s="6" t="inlineStr">
        <is>
          <t>Mulanje</t>
        </is>
      </c>
      <c r="B193" s="6" t="inlineStr">
        <is>
          <t>Phalombe</t>
        </is>
      </c>
      <c r="C193" s="7" t="inlineStr">
        <is>
          <t>FY2025/26</t>
        </is>
      </c>
      <c r="D193" s="7" t="n">
        <v>2026</v>
      </c>
      <c r="E193" s="7" t="n">
        <v>2</v>
      </c>
      <c r="F193" s="7" t="inlineStr">
        <is>
          <t>February</t>
        </is>
      </c>
      <c r="G193" s="7" t="inlineStr">
        <is>
          <t>Q4</t>
        </is>
      </c>
      <c r="H193" s="8" t="n">
        <v>9207</v>
      </c>
      <c r="I193" s="8" t="n">
        <v>2907</v>
      </c>
      <c r="J193" s="8" t="n">
        <v>0</v>
      </c>
      <c r="K193" s="8" t="n">
        <v>0</v>
      </c>
      <c r="L193" s="8" t="n">
        <v>8</v>
      </c>
      <c r="M193" s="9">
        <f>SUM(I193,J193,K193,L193)</f>
        <v/>
      </c>
      <c r="N193" s="8" t="n">
        <v>2836.699999999999</v>
      </c>
      <c r="O193" s="8" t="n">
        <v>12</v>
      </c>
      <c r="P193" s="8" t="n">
        <v>654.8</v>
      </c>
      <c r="Q193" s="8" t="n">
        <v>61</v>
      </c>
      <c r="R193" s="9">
        <f>SUM(N193,O193,P193,Q193)</f>
        <v/>
      </c>
      <c r="S193" s="9">
        <f>M193+R193</f>
        <v/>
      </c>
      <c r="T193" s="8" t="n">
        <v>2727.500000000001</v>
      </c>
      <c r="U193" s="10">
        <f>IF(H193=0,"",T193/H193)</f>
        <v/>
      </c>
      <c r="V193" s="8" t="n">
        <v>24</v>
      </c>
      <c r="W193" s="11">
        <f>IF(H193=0,"",V193/H193)</f>
        <v/>
      </c>
      <c r="X193" s="8" t="n">
        <v>0</v>
      </c>
      <c r="Y193" s="11">
        <f>IF(H193=0,"",X193/H193)</f>
        <v/>
      </c>
      <c r="Z193" s="8" t="n">
        <v>0</v>
      </c>
      <c r="AA193" s="11">
        <f>IF(H193=0,"",Z193/H193)</f>
        <v/>
      </c>
      <c r="AB193" s="8" t="n">
        <v>0</v>
      </c>
      <c r="AC193" s="11">
        <f>IF(H193=0,"",AB193/H193)</f>
        <v/>
      </c>
      <c r="AD193" s="8" t="n">
        <v>0</v>
      </c>
      <c r="AE193" s="11">
        <f>IF(H193=0,"",AD193/H193)</f>
        <v/>
      </c>
      <c r="AF193" s="8" t="n">
        <v>0</v>
      </c>
      <c r="AG193" s="11">
        <f>IF(H193=0,"",AF193/H193)</f>
        <v/>
      </c>
      <c r="AH193" s="8" t="n">
        <v>122680.08</v>
      </c>
      <c r="AI193" s="9">
        <f>IF(H193=0,"",AH193/H193)</f>
        <v/>
      </c>
      <c r="AJ193" s="8" t="n">
        <v>60</v>
      </c>
      <c r="AK193" s="11">
        <f>IF(H193=0,"",AJ193/H193)</f>
        <v/>
      </c>
      <c r="AL193" s="8" t="n">
        <v>24751.59</v>
      </c>
      <c r="AM193" s="9">
        <f>IF(H193=0,"",AL193/H193)</f>
        <v/>
      </c>
      <c r="AN193" s="8" t="n">
        <v>0</v>
      </c>
      <c r="AO193" s="8" t="n">
        <v>0</v>
      </c>
      <c r="AP193" s="8" t="n">
        <v>0</v>
      </c>
      <c r="AQ193" s="8" t="n">
        <v>0</v>
      </c>
      <c r="AR193" s="8" t="n">
        <v>3985768.16</v>
      </c>
      <c r="AS193" s="8" t="n">
        <v>2305560</v>
      </c>
      <c r="AT193" s="8" t="n">
        <v>353061.72</v>
      </c>
      <c r="AU193" s="9">
        <f>AH193+AL193+AP193+AQ193+AR193+AS193+AT193</f>
        <v/>
      </c>
      <c r="AV193" s="9">
        <f>IF(H193=0,"",AU193/H193)</f>
        <v/>
      </c>
      <c r="AW193" s="9">
        <f>IF(S193=0,"",AU193/S193)</f>
        <v/>
      </c>
      <c r="AX193" s="8" t="n">
        <v>5</v>
      </c>
      <c r="AY193" s="9">
        <f>IF(H193=0,"",AX193/(H193/1000/12))</f>
        <v/>
      </c>
      <c r="AZ193" s="8" t="n">
        <v>8</v>
      </c>
      <c r="BA193" s="8" t="n">
        <v>37</v>
      </c>
      <c r="BB193" s="8" t="n">
        <v>2</v>
      </c>
      <c r="BC193" s="8" t="n">
        <v>0</v>
      </c>
      <c r="BD193" s="8" t="n">
        <v>5</v>
      </c>
      <c r="BE193" s="9">
        <f>BC193+BD193</f>
        <v/>
      </c>
      <c r="BF193" s="9">
        <f>BA193+BB193-BE193</f>
        <v/>
      </c>
      <c r="BG193" s="8" t="n">
        <v>0</v>
      </c>
      <c r="BH193" s="8" t="n">
        <v>0</v>
      </c>
      <c r="BI193" s="8" t="n">
        <v>0</v>
      </c>
      <c r="BJ193" s="8" t="n">
        <v>0</v>
      </c>
      <c r="BK193" s="9">
        <f>BI193+BJ193</f>
        <v/>
      </c>
      <c r="BL193" s="9">
        <f>BG193+BH193-BK193</f>
        <v/>
      </c>
      <c r="BM193" s="8" t="n">
        <v>0</v>
      </c>
      <c r="BN193" s="8" t="n">
        <v>0</v>
      </c>
      <c r="BO193" s="8" t="n">
        <v>0</v>
      </c>
      <c r="BP193" s="8" t="n">
        <v>0</v>
      </c>
      <c r="BQ193" s="9">
        <f>BO193+BP193</f>
        <v/>
      </c>
      <c r="BR193" s="9">
        <f>BM193+BN193-BQ193</f>
        <v/>
      </c>
      <c r="BS193" s="8" t="n">
        <v>0</v>
      </c>
      <c r="BT193" s="8" t="n">
        <v>0</v>
      </c>
      <c r="BU193" s="8" t="n">
        <v>0</v>
      </c>
      <c r="BV193" s="8" t="n">
        <v>0</v>
      </c>
      <c r="BW193" s="9">
        <f>BU193+BV193</f>
        <v/>
      </c>
      <c r="BX193" s="9">
        <f>BS193+BT193-BW193</f>
        <v/>
      </c>
      <c r="BY193" s="9">
        <f>BA193+BG193+BM193+BS193</f>
        <v/>
      </c>
      <c r="BZ193" s="9">
        <f>BB193+BH193+BN193+BT193</f>
        <v/>
      </c>
      <c r="CA193" s="9">
        <f>BE193+BK193+BQ193+BW193</f>
        <v/>
      </c>
      <c r="CB193" s="9">
        <f>BF193+BL193+BR193+BX193</f>
        <v/>
      </c>
      <c r="CC193" s="8" t="n">
        <v>0</v>
      </c>
      <c r="CD193" s="8" t="n">
        <v>219</v>
      </c>
      <c r="CE193" s="8" t="n">
        <v>14</v>
      </c>
      <c r="CF193" s="8" t="n">
        <v>25</v>
      </c>
      <c r="CG193" s="8" t="n">
        <v>0</v>
      </c>
      <c r="CH193" s="9">
        <f>CD193+CE193+CF193+CG193</f>
        <v/>
      </c>
      <c r="CI193" s="8" t="n">
        <v>334</v>
      </c>
      <c r="CJ193" s="8" t="n">
        <v>0</v>
      </c>
      <c r="CK193" s="8" t="n">
        <v>1</v>
      </c>
      <c r="CL193" s="8" t="n">
        <v>0</v>
      </c>
      <c r="CM193" s="9">
        <f>CI193+CJ193+CK193+CL193</f>
        <v/>
      </c>
      <c r="CN193" s="8" t="n">
        <v>434</v>
      </c>
      <c r="CO193" s="8" t="n">
        <v>25</v>
      </c>
      <c r="CP193" s="8" t="n">
        <v>23</v>
      </c>
      <c r="CQ193" s="8" t="n">
        <v>2</v>
      </c>
      <c r="CR193" s="9">
        <f>CN193+CO193+CP193+CQ193</f>
        <v/>
      </c>
      <c r="CS193" s="9">
        <f>CM193+CR193</f>
        <v/>
      </c>
      <c r="CT193" s="8" t="n">
        <v>1077</v>
      </c>
      <c r="CU193" s="8" t="n">
        <v>10013</v>
      </c>
      <c r="CV193" s="8" t="n">
        <v>7480</v>
      </c>
      <c r="CW193" s="10">
        <f>IF(CU193=0,"",CV193/CU193)</f>
        <v/>
      </c>
      <c r="CX193" s="8" t="n"/>
      <c r="CY193" s="8" t="n"/>
      <c r="CZ193" s="8" t="n"/>
      <c r="DA193" s="8" t="n"/>
      <c r="DB193" s="9">
        <f>CX193+CY193-CZ193-DA193</f>
        <v/>
      </c>
      <c r="DC193" s="8" t="n">
        <v>0</v>
      </c>
      <c r="DD193" s="8" t="n">
        <v>0</v>
      </c>
      <c r="DE193" s="8" t="n">
        <v>0</v>
      </c>
      <c r="DF193" s="8" t="n">
        <v>0</v>
      </c>
      <c r="DG193" s="9">
        <f>DC193+DD193-DE193-DF193</f>
        <v/>
      </c>
      <c r="DH193" s="8" t="n">
        <v>0</v>
      </c>
      <c r="DI193" s="8" t="n">
        <v>0</v>
      </c>
      <c r="DJ193" s="8" t="n">
        <v>0</v>
      </c>
      <c r="DK193" s="8" t="n">
        <v>0</v>
      </c>
      <c r="DL193" s="9">
        <f>DH193+DI193-DJ193-DK193</f>
        <v/>
      </c>
      <c r="DM193" s="8" t="n">
        <v>15</v>
      </c>
      <c r="DN193" s="8" t="n">
        <v>0</v>
      </c>
      <c r="DO193" s="8" t="n">
        <v>0</v>
      </c>
      <c r="DP193" s="8" t="n">
        <v>0</v>
      </c>
      <c r="DQ193" s="9">
        <f>DM193+DN193-DO193-DP193</f>
        <v/>
      </c>
      <c r="DR193" s="9">
        <f>CX193+DC193+DH193+DM193</f>
        <v/>
      </c>
      <c r="DS193" s="9">
        <f>CY193+DD193+DI193+DN193</f>
        <v/>
      </c>
      <c r="DT193" s="9">
        <f>CZ193+DE193+DJ193+DO193</f>
        <v/>
      </c>
      <c r="DU193" s="9">
        <f>DA193+DF193+DK193+DP193</f>
        <v/>
      </c>
      <c r="DV193" s="9">
        <f>DB193+DG193+DL193+DQ193</f>
        <v/>
      </c>
      <c r="DW193" s="8" t="n">
        <v>6</v>
      </c>
      <c r="DX193" s="8" t="n">
        <v>5</v>
      </c>
      <c r="DY193" s="8" t="n">
        <v>4</v>
      </c>
      <c r="DZ193" s="8" t="n">
        <v>3</v>
      </c>
      <c r="EA193" s="8" t="n">
        <v>4</v>
      </c>
      <c r="EB193" s="8" t="n">
        <v>4</v>
      </c>
      <c r="EC193" s="8" t="n">
        <v>0</v>
      </c>
      <c r="ED193" s="8" t="n">
        <v>2</v>
      </c>
      <c r="EE193" s="8" t="n">
        <v>2</v>
      </c>
      <c r="EF193" s="8" t="n">
        <v>0</v>
      </c>
      <c r="EG193" s="8" t="n">
        <v>0</v>
      </c>
      <c r="EH193" s="8" t="n">
        <v>0</v>
      </c>
      <c r="EI193" s="8" t="n">
        <v>0</v>
      </c>
      <c r="EJ193" s="8" t="n">
        <v>0</v>
      </c>
      <c r="EK193" s="8" t="n">
        <v>0</v>
      </c>
      <c r="EL193" s="8" t="n">
        <v>0</v>
      </c>
      <c r="EM193" s="8" t="n">
        <v>0</v>
      </c>
      <c r="EN193" s="8" t="n">
        <v>0</v>
      </c>
      <c r="EO193" s="8" t="n">
        <v>0</v>
      </c>
      <c r="EP193" s="8" t="n">
        <v>0</v>
      </c>
      <c r="EQ193" s="8" t="n">
        <v>0</v>
      </c>
      <c r="ER193" s="8" t="n">
        <v>0</v>
      </c>
      <c r="ES193" s="8" t="n">
        <v>0</v>
      </c>
      <c r="ET193" s="8" t="n">
        <v>0</v>
      </c>
      <c r="EU193" s="8" t="n">
        <v>0</v>
      </c>
      <c r="EV193" s="8" t="n">
        <v>0</v>
      </c>
      <c r="EW193" s="8" t="n">
        <v>0</v>
      </c>
      <c r="EX193" s="8" t="n">
        <v>0</v>
      </c>
      <c r="EY193" s="8" t="n">
        <v>0</v>
      </c>
      <c r="EZ193" s="8" t="n">
        <v>0</v>
      </c>
      <c r="FA193" s="8" t="n">
        <v>0</v>
      </c>
      <c r="FB193" s="8" t="n">
        <v>0</v>
      </c>
      <c r="FC193" s="8" t="n">
        <v>0</v>
      </c>
      <c r="FD193" s="8" t="n">
        <v>0</v>
      </c>
      <c r="FE193" s="8" t="n">
        <v>0</v>
      </c>
      <c r="FF193" s="8" t="n">
        <v>0</v>
      </c>
      <c r="FG193" s="9">
        <f>SUM(DW193,DX193,DY193,DZ193,EA193,EB193,EC193,ED193,EE193,EF193,EG193,EH193,EI193,EJ193,EK193,EL193,EM193,EN193,EO193,EP193,EQ193,ER193,ES193,ET193,EU193,EV193,EW193,EX193,EY193,EZ193,FA193,FB193,FC193,FD193,FE193,FF193)</f>
        <v/>
      </c>
      <c r="FH193" s="8" t="n">
        <v>0</v>
      </c>
      <c r="FI193" s="8" t="n">
        <v>0</v>
      </c>
      <c r="FJ193" s="8" t="n">
        <v>24</v>
      </c>
      <c r="FK193" s="8" t="n">
        <v>0</v>
      </c>
      <c r="FL193" s="8" t="n">
        <v>0</v>
      </c>
      <c r="FM193" s="8" t="n">
        <v>0</v>
      </c>
      <c r="FN193" s="8" t="n">
        <v>0</v>
      </c>
      <c r="FO193" s="8" t="n">
        <v>0</v>
      </c>
      <c r="FP193" s="8" t="n">
        <v>0</v>
      </c>
      <c r="FQ193" s="9">
        <f>FL193+FM193+FN193+FO193+FP193</f>
        <v/>
      </c>
      <c r="FR193" s="8" t="n">
        <v>3139220</v>
      </c>
      <c r="FS193" s="8" t="n">
        <v>0</v>
      </c>
      <c r="FT193" s="8" t="n">
        <v>0</v>
      </c>
      <c r="FU193" s="8" t="n">
        <v>0</v>
      </c>
      <c r="FV193" s="9">
        <f>FR193+FS193+FT193+FU193</f>
        <v/>
      </c>
      <c r="FW193" s="8" t="n">
        <v>3119782</v>
      </c>
      <c r="FX193" s="8" t="n">
        <v>2500</v>
      </c>
      <c r="FY193" s="8" t="n">
        <v>299500</v>
      </c>
      <c r="FZ193" s="8" t="n">
        <v>4389800</v>
      </c>
      <c r="GA193" s="9">
        <f>FW193+FX193+FY193+FZ193</f>
        <v/>
      </c>
      <c r="GB193" s="9">
        <f>FV193+GA193</f>
        <v/>
      </c>
      <c r="GC193" s="8" t="n">
        <v>2583063.77</v>
      </c>
      <c r="GD193" s="8" t="n">
        <v>0</v>
      </c>
      <c r="GE193" s="8" t="n">
        <v>0</v>
      </c>
      <c r="GF193" s="8" t="n">
        <v>21953.55</v>
      </c>
      <c r="GG193" s="9">
        <f>GC193+GD193+GE193+GF193</f>
        <v/>
      </c>
      <c r="GH193" s="8" t="n">
        <v>0</v>
      </c>
      <c r="GI193" s="8" t="n">
        <v>0</v>
      </c>
      <c r="GJ193" s="8" t="n">
        <v>0</v>
      </c>
      <c r="GK193" s="8" t="n">
        <v>0</v>
      </c>
      <c r="GL193" s="9">
        <f>GH193+GI193+GJ193+GK193</f>
        <v/>
      </c>
      <c r="GM193" s="9">
        <f>GG193+GL193</f>
        <v/>
      </c>
      <c r="GN193" s="8" t="n">
        <v>188977.28</v>
      </c>
      <c r="GO193" s="8" t="n">
        <v>0</v>
      </c>
      <c r="GP193" s="8" t="n">
        <v>0</v>
      </c>
      <c r="GQ193" s="8" t="n">
        <v>4637.34</v>
      </c>
      <c r="GR193" s="9">
        <f>GN193+GO193+GP193+GQ193</f>
        <v/>
      </c>
      <c r="GS193" s="8" t="n">
        <v>298262</v>
      </c>
      <c r="GT193" s="8" t="n">
        <v>0</v>
      </c>
      <c r="GU193" s="8" t="n">
        <v>0</v>
      </c>
      <c r="GV193" s="8" t="n">
        <v>893</v>
      </c>
      <c r="GW193" s="9">
        <f>GS193+GT193+GU193+GV193</f>
        <v/>
      </c>
      <c r="GX193" s="9">
        <f>GM193+GR193+GW193</f>
        <v/>
      </c>
      <c r="GY193" s="8" t="n">
        <v>23072327.17</v>
      </c>
      <c r="GZ193" s="8" t="n">
        <v>458783.83</v>
      </c>
      <c r="HA193" s="9">
        <f>GY193+GZ193</f>
        <v/>
      </c>
      <c r="HB193" s="9">
        <f>IF(GX193=0,"",AU193/GX193)</f>
        <v/>
      </c>
      <c r="HC193" s="10">
        <f>IF((GX193+GY193)=0,"",GB193/(GX193+GY193))</f>
        <v/>
      </c>
      <c r="HD193" s="9">
        <f>IF(GX193=0,"",GB193/GX193)</f>
        <v/>
      </c>
      <c r="HE193" s="8" t="n">
        <v>2</v>
      </c>
      <c r="HF193" s="8" t="n">
        <v>1</v>
      </c>
      <c r="HG193" s="8" t="n">
        <v>34</v>
      </c>
      <c r="HH193" s="8" t="n">
        <v>2</v>
      </c>
      <c r="HI193" s="8" t="n">
        <v>5</v>
      </c>
      <c r="HJ193" s="9">
        <f>HF193+HI193</f>
        <v/>
      </c>
      <c r="HK193" s="10">
        <f>IF(HE193=0,"",HH193/HE193)</f>
        <v/>
      </c>
      <c r="HL193" s="8" t="n">
        <v>3</v>
      </c>
      <c r="HM193" s="8" t="n">
        <v>1</v>
      </c>
      <c r="HN193" s="11">
        <f>IF(HL193=0,"",HM193/HL193)</f>
        <v/>
      </c>
    </row>
    <row r="194">
      <c r="A194" s="12" t="inlineStr">
        <is>
          <t>Mulanje</t>
        </is>
      </c>
      <c r="B194" s="12" t="inlineStr">
        <is>
          <t>Phalombe</t>
        </is>
      </c>
      <c r="C194" s="13" t="inlineStr">
        <is>
          <t>FY2025/26</t>
        </is>
      </c>
      <c r="D194" s="13" t="n">
        <v>2026</v>
      </c>
      <c r="E194" s="13" t="n">
        <v>3</v>
      </c>
      <c r="F194" s="13" t="inlineStr">
        <is>
          <t>March</t>
        </is>
      </c>
      <c r="G194" s="13" t="inlineStr">
        <is>
          <t>Q4</t>
        </is>
      </c>
      <c r="H194" s="14" t="n">
        <v>9056</v>
      </c>
      <c r="I194" s="14" t="n">
        <v>2891</v>
      </c>
      <c r="J194" s="14" t="n">
        <v>0</v>
      </c>
      <c r="K194" s="14" t="n">
        <v>0</v>
      </c>
      <c r="L194" s="14" t="n">
        <v>5</v>
      </c>
      <c r="M194" s="15">
        <f>SUM(I194,J194,K194,L194)</f>
        <v/>
      </c>
      <c r="N194" s="14" t="n">
        <v>3114.799999999999</v>
      </c>
      <c r="O194" s="14" t="n">
        <v>26</v>
      </c>
      <c r="P194" s="14" t="n">
        <v>241.1</v>
      </c>
      <c r="Q194" s="14" t="n">
        <v>188.2</v>
      </c>
      <c r="R194" s="15">
        <f>SUM(N194,O194,P194,Q194)</f>
        <v/>
      </c>
      <c r="S194" s="15">
        <f>M194+R194</f>
        <v/>
      </c>
      <c r="T194" s="14" t="n">
        <v>2589.900000000001</v>
      </c>
      <c r="U194" s="16">
        <f>IF(H194=0,"",T194/H194)</f>
        <v/>
      </c>
      <c r="V194" s="14" t="n">
        <v>24</v>
      </c>
      <c r="W194" s="17">
        <f>IF(H194=0,"",V194/H194)</f>
        <v/>
      </c>
      <c r="X194" s="14" t="n">
        <v>0</v>
      </c>
      <c r="Y194" s="17">
        <f>IF(H194=0,"",X194/H194)</f>
        <v/>
      </c>
      <c r="Z194" s="14" t="n">
        <v>0</v>
      </c>
      <c r="AA194" s="17">
        <f>IF(H194=0,"",Z194/H194)</f>
        <v/>
      </c>
      <c r="AB194" s="14" t="n">
        <v>0</v>
      </c>
      <c r="AC194" s="17">
        <f>IF(H194=0,"",AB194/H194)</f>
        <v/>
      </c>
      <c r="AD194" s="14" t="n">
        <v>0</v>
      </c>
      <c r="AE194" s="17">
        <f>IF(H194=0,"",AD194/H194)</f>
        <v/>
      </c>
      <c r="AF194" s="14" t="n">
        <v>0</v>
      </c>
      <c r="AG194" s="17">
        <f>IF(H194=0,"",AF194/H194)</f>
        <v/>
      </c>
      <c r="AH194" s="14" t="n">
        <v>122680.08</v>
      </c>
      <c r="AI194" s="15">
        <f>IF(H194=0,"",AH194/H194)</f>
        <v/>
      </c>
      <c r="AJ194" s="14" t="n">
        <v>55</v>
      </c>
      <c r="AK194" s="17">
        <f>IF(H194=0,"",AJ194/H194)</f>
        <v/>
      </c>
      <c r="AL194" s="14" t="n">
        <v>16426.5</v>
      </c>
      <c r="AM194" s="15">
        <f>IF(H194=0,"",AL194/H194)</f>
        <v/>
      </c>
      <c r="AN194" s="14" t="n">
        <v>0</v>
      </c>
      <c r="AO194" s="14" t="n">
        <v>0</v>
      </c>
      <c r="AP194" s="14" t="n">
        <v>0</v>
      </c>
      <c r="AQ194" s="14" t="n">
        <v>0</v>
      </c>
      <c r="AR194" s="14" t="n">
        <v>4789723.32</v>
      </c>
      <c r="AS194" s="14" t="n">
        <v>0</v>
      </c>
      <c r="AT194" s="14" t="n">
        <v>0</v>
      </c>
      <c r="AU194" s="15">
        <f>AH194+AL194+AP194+AQ194+AR194+AS194+AT194</f>
        <v/>
      </c>
      <c r="AV194" s="15">
        <f>IF(H194=0,"",AU194/H194)</f>
        <v/>
      </c>
      <c r="AW194" s="15">
        <f>IF(S194=0,"",AU194/S194)</f>
        <v/>
      </c>
      <c r="AX194" s="14" t="n">
        <v>5</v>
      </c>
      <c r="AY194" s="15">
        <f>IF(H194=0,"",AX194/(H194/1000/12))</f>
        <v/>
      </c>
      <c r="AZ194" s="14" t="n">
        <v>8</v>
      </c>
      <c r="BA194" s="14" t="n">
        <v>34</v>
      </c>
      <c r="BB194" s="14" t="n">
        <v>4</v>
      </c>
      <c r="BC194" s="14" t="n">
        <v>0</v>
      </c>
      <c r="BD194" s="14" t="n">
        <v>11</v>
      </c>
      <c r="BE194" s="15">
        <f>BC194+BD194</f>
        <v/>
      </c>
      <c r="BF194" s="15">
        <f>BA194+BB194-BE194</f>
        <v/>
      </c>
      <c r="BG194" s="14" t="n">
        <v>0</v>
      </c>
      <c r="BH194" s="14" t="n">
        <v>0</v>
      </c>
      <c r="BI194" s="14" t="n">
        <v>0</v>
      </c>
      <c r="BJ194" s="14" t="n">
        <v>0</v>
      </c>
      <c r="BK194" s="15">
        <f>BI194+BJ194</f>
        <v/>
      </c>
      <c r="BL194" s="15">
        <f>BG194+BH194-BK194</f>
        <v/>
      </c>
      <c r="BM194" s="14" t="n">
        <v>0</v>
      </c>
      <c r="BN194" s="14" t="n">
        <v>0</v>
      </c>
      <c r="BO194" s="14" t="n">
        <v>0</v>
      </c>
      <c r="BP194" s="14" t="n">
        <v>0</v>
      </c>
      <c r="BQ194" s="15">
        <f>BO194+BP194</f>
        <v/>
      </c>
      <c r="BR194" s="15">
        <f>BM194+BN194-BQ194</f>
        <v/>
      </c>
      <c r="BS194" s="14" t="n">
        <v>0</v>
      </c>
      <c r="BT194" s="14" t="n">
        <v>0</v>
      </c>
      <c r="BU194" s="14" t="n">
        <v>0</v>
      </c>
      <c r="BV194" s="14" t="n">
        <v>0</v>
      </c>
      <c r="BW194" s="15">
        <f>BU194+BV194</f>
        <v/>
      </c>
      <c r="BX194" s="15">
        <f>BS194+BT194-BW194</f>
        <v/>
      </c>
      <c r="BY194" s="15">
        <f>BA194+BG194+BM194+BS194</f>
        <v/>
      </c>
      <c r="BZ194" s="15">
        <f>BB194+BH194+BN194+BT194</f>
        <v/>
      </c>
      <c r="CA194" s="15">
        <f>BE194+BK194+BQ194+BW194</f>
        <v/>
      </c>
      <c r="CB194" s="15">
        <f>BF194+BL194+BR194+BX194</f>
        <v/>
      </c>
      <c r="CC194" s="14" t="n">
        <v>0</v>
      </c>
      <c r="CD194" s="14" t="n">
        <v>219</v>
      </c>
      <c r="CE194" s="14" t="n">
        <v>14</v>
      </c>
      <c r="CF194" s="14" t="n">
        <v>25</v>
      </c>
      <c r="CG194" s="14" t="n">
        <v>0</v>
      </c>
      <c r="CH194" s="15">
        <f>CD194+CE194+CF194+CG194</f>
        <v/>
      </c>
      <c r="CI194" s="14" t="n">
        <v>330</v>
      </c>
      <c r="CJ194" s="14" t="n">
        <v>0</v>
      </c>
      <c r="CK194" s="14" t="n">
        <v>1</v>
      </c>
      <c r="CL194" s="14" t="n">
        <v>0</v>
      </c>
      <c r="CM194" s="15">
        <f>CI194+CJ194+CK194+CL194</f>
        <v/>
      </c>
      <c r="CN194" s="14" t="n">
        <v>449</v>
      </c>
      <c r="CO194" s="14" t="n">
        <v>25</v>
      </c>
      <c r="CP194" s="14" t="n">
        <v>23</v>
      </c>
      <c r="CQ194" s="14" t="n">
        <v>2</v>
      </c>
      <c r="CR194" s="15">
        <f>CN194+CO194+CP194+CQ194</f>
        <v/>
      </c>
      <c r="CS194" s="15">
        <f>CM194+CR194</f>
        <v/>
      </c>
      <c r="CT194" s="14" t="n">
        <v>1088</v>
      </c>
      <c r="CU194" s="14" t="n">
        <v>10013</v>
      </c>
      <c r="CV194" s="14" t="n">
        <v>7480</v>
      </c>
      <c r="CW194" s="16">
        <f>IF(CU194=0,"",CV194/CU194)</f>
        <v/>
      </c>
      <c r="CX194" s="14" t="n"/>
      <c r="CY194" s="14" t="n"/>
      <c r="CZ194" s="14" t="n"/>
      <c r="DA194" s="14" t="n"/>
      <c r="DB194" s="15">
        <f>CX194+CY194-CZ194-DA194</f>
        <v/>
      </c>
      <c r="DC194" s="14" t="n">
        <v>0</v>
      </c>
      <c r="DD194" s="14" t="n">
        <v>0</v>
      </c>
      <c r="DE194" s="14" t="n">
        <v>0</v>
      </c>
      <c r="DF194" s="14" t="n">
        <v>0</v>
      </c>
      <c r="DG194" s="15">
        <f>DC194+DD194-DE194-DF194</f>
        <v/>
      </c>
      <c r="DH194" s="14" t="n">
        <v>0</v>
      </c>
      <c r="DI194" s="14" t="n">
        <v>0</v>
      </c>
      <c r="DJ194" s="14" t="n">
        <v>0</v>
      </c>
      <c r="DK194" s="14" t="n">
        <v>0</v>
      </c>
      <c r="DL194" s="15">
        <f>DH194+DI194-DJ194-DK194</f>
        <v/>
      </c>
      <c r="DM194" s="14" t="n">
        <v>15</v>
      </c>
      <c r="DN194" s="14" t="n">
        <v>1</v>
      </c>
      <c r="DO194" s="14" t="n">
        <v>3</v>
      </c>
      <c r="DP194" s="14" t="n">
        <v>1</v>
      </c>
      <c r="DQ194" s="15">
        <f>DM194+DN194-DO194-DP194</f>
        <v/>
      </c>
      <c r="DR194" s="15">
        <f>CX194+DC194+DH194+DM194</f>
        <v/>
      </c>
      <c r="DS194" s="15">
        <f>CY194+DD194+DI194+DN194</f>
        <v/>
      </c>
      <c r="DT194" s="15">
        <f>CZ194+DE194+DJ194+DO194</f>
        <v/>
      </c>
      <c r="DU194" s="15">
        <f>DA194+DF194+DK194+DP194</f>
        <v/>
      </c>
      <c r="DV194" s="15">
        <f>DB194+DG194+DL194+DQ194</f>
        <v/>
      </c>
      <c r="DW194" s="14" t="n">
        <v>7</v>
      </c>
      <c r="DX194" s="14" t="n">
        <v>5</v>
      </c>
      <c r="DY194" s="14" t="n">
        <v>5</v>
      </c>
      <c r="DZ194" s="14" t="n">
        <v>2</v>
      </c>
      <c r="EA194" s="14" t="n">
        <v>3</v>
      </c>
      <c r="EB194" s="14" t="n">
        <v>3</v>
      </c>
      <c r="EC194" s="14" t="n">
        <v>0</v>
      </c>
      <c r="ED194" s="14" t="n">
        <v>2</v>
      </c>
      <c r="EE194" s="14" t="n">
        <v>1</v>
      </c>
      <c r="EF194" s="14" t="n">
        <v>0</v>
      </c>
      <c r="EG194" s="14" t="n">
        <v>0</v>
      </c>
      <c r="EH194" s="14" t="n">
        <v>0</v>
      </c>
      <c r="EI194" s="14" t="n">
        <v>0</v>
      </c>
      <c r="EJ194" s="14" t="n">
        <v>0</v>
      </c>
      <c r="EK194" s="14" t="n">
        <v>0</v>
      </c>
      <c r="EL194" s="14" t="n">
        <v>0</v>
      </c>
      <c r="EM194" s="14" t="n">
        <v>0</v>
      </c>
      <c r="EN194" s="14" t="n">
        <v>0</v>
      </c>
      <c r="EO194" s="14" t="n">
        <v>0</v>
      </c>
      <c r="EP194" s="14" t="n">
        <v>0</v>
      </c>
      <c r="EQ194" s="14" t="n">
        <v>0</v>
      </c>
      <c r="ER194" s="14" t="n">
        <v>0</v>
      </c>
      <c r="ES194" s="14" t="n">
        <v>0</v>
      </c>
      <c r="ET194" s="14" t="n">
        <v>0</v>
      </c>
      <c r="EU194" s="14" t="n">
        <v>0</v>
      </c>
      <c r="EV194" s="14" t="n">
        <v>0</v>
      </c>
      <c r="EW194" s="14" t="n">
        <v>0</v>
      </c>
      <c r="EX194" s="14" t="n">
        <v>0</v>
      </c>
      <c r="EY194" s="14" t="n">
        <v>0</v>
      </c>
      <c r="EZ194" s="14" t="n">
        <v>0</v>
      </c>
      <c r="FA194" s="14" t="n">
        <v>0</v>
      </c>
      <c r="FB194" s="14" t="n">
        <v>0</v>
      </c>
      <c r="FC194" s="14" t="n">
        <v>0</v>
      </c>
      <c r="FD194" s="14" t="n">
        <v>0</v>
      </c>
      <c r="FE194" s="14" t="n">
        <v>0</v>
      </c>
      <c r="FF194" s="14" t="n">
        <v>0</v>
      </c>
      <c r="FG194" s="15">
        <f>SUM(DW194,DX194,DY194,DZ194,EA194,EB194,EC194,ED194,EE194,EF194,EG194,EH194,EI194,EJ194,EK194,EL194,EM194,EN194,EO194,EP194,EQ194,ER194,ES194,ET194,EU194,EV194,EW194,EX194,EY194,EZ194,FA194,FB194,FC194,FD194,FE194,FF194)</f>
        <v/>
      </c>
      <c r="FH194" s="14" t="n">
        <v>0</v>
      </c>
      <c r="FI194" s="14" t="n">
        <v>0</v>
      </c>
      <c r="FJ194" s="14" t="n">
        <v>24</v>
      </c>
      <c r="FK194" s="14" t="n">
        <v>0</v>
      </c>
      <c r="FL194" s="14" t="n">
        <v>0</v>
      </c>
      <c r="FM194" s="14" t="n">
        <v>0</v>
      </c>
      <c r="FN194" s="14" t="n">
        <v>0</v>
      </c>
      <c r="FO194" s="14" t="n">
        <v>0</v>
      </c>
      <c r="FP194" s="14" t="n">
        <v>0</v>
      </c>
      <c r="FQ194" s="15">
        <f>FL194+FM194+FN194+FO194+FP194</f>
        <v/>
      </c>
      <c r="FR194" s="14" t="n">
        <v>826833.22</v>
      </c>
      <c r="FS194" s="14" t="n">
        <v>0</v>
      </c>
      <c r="FT194" s="14" t="n">
        <v>0</v>
      </c>
      <c r="FU194" s="14" t="n">
        <v>0</v>
      </c>
      <c r="FV194" s="15">
        <f>FR194+FS194+FT194+FU194</f>
        <v/>
      </c>
      <c r="FW194" s="14" t="n">
        <v>3459245</v>
      </c>
      <c r="FX194" s="14" t="n">
        <v>5800</v>
      </c>
      <c r="FY194" s="14" t="n">
        <v>902000</v>
      </c>
      <c r="FZ194" s="14" t="n">
        <v>747619</v>
      </c>
      <c r="GA194" s="15">
        <f>FW194+FX194+FY194+FZ194</f>
        <v/>
      </c>
      <c r="GB194" s="15">
        <f>FV194+GA194</f>
        <v/>
      </c>
      <c r="GC194" s="14" t="n">
        <v>2559769.42</v>
      </c>
      <c r="GD194" s="14" t="n">
        <v>0</v>
      </c>
      <c r="GE194" s="14" t="n">
        <v>0</v>
      </c>
      <c r="GF194" s="14" t="n">
        <v>11796.63</v>
      </c>
      <c r="GG194" s="15">
        <f>GC194+GD194+GE194+GF194</f>
        <v/>
      </c>
      <c r="GH194" s="14" t="n">
        <v>0</v>
      </c>
      <c r="GI194" s="14" t="n">
        <v>0</v>
      </c>
      <c r="GJ194" s="14" t="n">
        <v>0</v>
      </c>
      <c r="GK194" s="14" t="n">
        <v>0</v>
      </c>
      <c r="GL194" s="15">
        <f>GH194+GI194+GJ194+GK194</f>
        <v/>
      </c>
      <c r="GM194" s="15">
        <f>GG194+GL194</f>
        <v/>
      </c>
      <c r="GN194" s="14" t="n">
        <v>186797.56</v>
      </c>
      <c r="GO194" s="14" t="n">
        <v>0</v>
      </c>
      <c r="GP194" s="14" t="n">
        <v>0</v>
      </c>
      <c r="GQ194" s="14" t="n">
        <v>4637.34</v>
      </c>
      <c r="GR194" s="15">
        <f>GN194+GO194+GP194+GQ194</f>
        <v/>
      </c>
      <c r="GS194" s="14" t="n">
        <v>294690</v>
      </c>
      <c r="GT194" s="14" t="n">
        <v>0</v>
      </c>
      <c r="GU194" s="14" t="n">
        <v>0</v>
      </c>
      <c r="GV194" s="14" t="n">
        <v>893</v>
      </c>
      <c r="GW194" s="15">
        <f>GS194+GT194+GU194+GV194</f>
        <v/>
      </c>
      <c r="GX194" s="15">
        <f>GM194+GR194+GW194</f>
        <v/>
      </c>
      <c r="GY194" s="14" t="n">
        <v>22791713.83</v>
      </c>
      <c r="GZ194" s="14" t="n">
        <v>458783.83</v>
      </c>
      <c r="HA194" s="15">
        <f>GY194+GZ194</f>
        <v/>
      </c>
      <c r="HB194" s="15">
        <f>IF(GX194=0,"",AU194/GX194)</f>
        <v/>
      </c>
      <c r="HC194" s="16">
        <f>IF((GX194+GY194)=0,"",GB194/(GX194+GY194))</f>
        <v/>
      </c>
      <c r="HD194" s="15">
        <f>IF(GX194=0,"",GB194/GX194)</f>
        <v/>
      </c>
      <c r="HE194" s="14" t="n">
        <v>4</v>
      </c>
      <c r="HF194" s="14" t="n">
        <v>1</v>
      </c>
      <c r="HG194" s="14" t="n">
        <v>27</v>
      </c>
      <c r="HH194" s="14" t="n">
        <v>4</v>
      </c>
      <c r="HI194" s="14" t="n">
        <v>5</v>
      </c>
      <c r="HJ194" s="15">
        <f>HF194+HI194</f>
        <v/>
      </c>
      <c r="HK194" s="16">
        <f>IF(HE194=0,"",HH194/HE194)</f>
        <v/>
      </c>
      <c r="HL194" s="14" t="n">
        <v>5</v>
      </c>
      <c r="HM194" s="14" t="n">
        <v>1</v>
      </c>
      <c r="HN194" s="17">
        <f>IF(HL194=0,"",HM194/HL194)</f>
        <v/>
      </c>
    </row>
    <row r="195">
      <c r="A195" s="6" t="inlineStr">
        <is>
          <t>Mulanje</t>
        </is>
      </c>
      <c r="B195" s="6" t="inlineStr">
        <is>
          <t>Thyolo</t>
        </is>
      </c>
      <c r="C195" s="7" t="inlineStr">
        <is>
          <t>FY2025/26</t>
        </is>
      </c>
      <c r="D195" s="7" t="n">
        <v>2025</v>
      </c>
      <c r="E195" s="7" t="n">
        <v>4</v>
      </c>
      <c r="F195" s="7" t="inlineStr">
        <is>
          <t>April</t>
        </is>
      </c>
      <c r="G195" s="7" t="inlineStr">
        <is>
          <t>Q1</t>
        </is>
      </c>
      <c r="H195" s="8" t="n">
        <v>19230</v>
      </c>
      <c r="I195" s="8" t="n">
        <v>5616</v>
      </c>
      <c r="J195" s="8" t="n">
        <v>15</v>
      </c>
      <c r="K195" s="8" t="n">
        <v>4</v>
      </c>
      <c r="L195" s="8" t="n">
        <v>36</v>
      </c>
      <c r="M195" s="9">
        <f>SUM(I195,J195,K195,L195)</f>
        <v/>
      </c>
      <c r="N195" s="8" t="n">
        <v>3781.3</v>
      </c>
      <c r="O195" s="8" t="n">
        <v>16</v>
      </c>
      <c r="P195" s="8" t="n">
        <v>1228.3</v>
      </c>
      <c r="Q195" s="8" t="n">
        <v>319</v>
      </c>
      <c r="R195" s="9">
        <f>SUM(N195,O195,P195,Q195)</f>
        <v/>
      </c>
      <c r="S195" s="9">
        <f>M195+R195</f>
        <v/>
      </c>
      <c r="T195" s="8" t="n">
        <v>8214.400000000011</v>
      </c>
      <c r="U195" s="10">
        <f>IF(H195=0,"",T195/H195)</f>
        <v/>
      </c>
      <c r="V195" s="8" t="n">
        <v>84</v>
      </c>
      <c r="W195" s="11">
        <f>IF(H195=0,"",V195/H195)</f>
        <v/>
      </c>
      <c r="X195" s="8" t="n">
        <v>0</v>
      </c>
      <c r="Y195" s="11">
        <f>IF(H195=0,"",X195/H195)</f>
        <v/>
      </c>
      <c r="Z195" s="8" t="n">
        <v>0</v>
      </c>
      <c r="AA195" s="11">
        <f>IF(H195=0,"",Z195/H195)</f>
        <v/>
      </c>
      <c r="AB195" s="8" t="n">
        <v>102</v>
      </c>
      <c r="AC195" s="11">
        <f>IF(H195=0,"",AB195/H195)</f>
        <v/>
      </c>
      <c r="AD195" s="8" t="n">
        <v>0</v>
      </c>
      <c r="AE195" s="11">
        <f>IF(H195=0,"",AD195/H195)</f>
        <v/>
      </c>
      <c r="AF195" s="8" t="n">
        <v>0</v>
      </c>
      <c r="AG195" s="11">
        <f>IF(H195=0,"",AF195/H195)</f>
        <v/>
      </c>
      <c r="AH195" s="8" t="n">
        <v>1039335.18</v>
      </c>
      <c r="AI195" s="9">
        <f>IF(H195=0,"",AH195/H195)</f>
        <v/>
      </c>
      <c r="AJ195" s="8" t="n">
        <v>23450</v>
      </c>
      <c r="AK195" s="11">
        <f>IF(H195=0,"",AJ195/H195)</f>
        <v/>
      </c>
      <c r="AL195" s="8" t="n">
        <v>3270149.175</v>
      </c>
      <c r="AM195" s="9">
        <f>IF(H195=0,"",AL195/H195)</f>
        <v/>
      </c>
      <c r="AN195" s="8" t="n">
        <v>0</v>
      </c>
      <c r="AO195" s="8" t="n">
        <v>20</v>
      </c>
      <c r="AP195" s="8" t="n">
        <v>54680</v>
      </c>
      <c r="AQ195" s="8" t="n">
        <v>0</v>
      </c>
      <c r="AR195" s="8" t="n">
        <v>10710183.28</v>
      </c>
      <c r="AS195" s="8" t="n">
        <v>2483796.94</v>
      </c>
      <c r="AT195" s="8" t="n">
        <v>2604200</v>
      </c>
      <c r="AU195" s="9">
        <f>AH195+AL195+AP195+AQ195+AR195+AS195+AT195</f>
        <v/>
      </c>
      <c r="AV195" s="9">
        <f>IF(H195=0,"",AU195/H195)</f>
        <v/>
      </c>
      <c r="AW195" s="9">
        <f>IF(S195=0,"",AU195/S195)</f>
        <v/>
      </c>
      <c r="AX195" s="8" t="n">
        <v>10</v>
      </c>
      <c r="AY195" s="9">
        <f>IF(H195=0,"",AX195/(H195/1000/12))</f>
        <v/>
      </c>
      <c r="AZ195" s="8" t="n">
        <v>16</v>
      </c>
      <c r="BA195" s="8" t="n">
        <v>4</v>
      </c>
      <c r="BB195" s="8" t="n">
        <v>12</v>
      </c>
      <c r="BC195" s="8" t="n">
        <v>1</v>
      </c>
      <c r="BD195" s="8" t="n">
        <v>11</v>
      </c>
      <c r="BE195" s="9">
        <f>BC195+BD195</f>
        <v/>
      </c>
      <c r="BF195" s="9">
        <f>BA195+BB195-BE195</f>
        <v/>
      </c>
      <c r="BG195" s="8" t="n">
        <v>0</v>
      </c>
      <c r="BH195" s="8" t="n">
        <v>0</v>
      </c>
      <c r="BI195" s="8" t="n">
        <v>0</v>
      </c>
      <c r="BJ195" s="8" t="n">
        <v>0</v>
      </c>
      <c r="BK195" s="9">
        <f>BI195+BJ195</f>
        <v/>
      </c>
      <c r="BL195" s="9">
        <f>BG195+BH195-BK195</f>
        <v/>
      </c>
      <c r="BM195" s="8" t="n">
        <v>0</v>
      </c>
      <c r="BN195" s="8" t="n">
        <v>0</v>
      </c>
      <c r="BO195" s="8" t="n">
        <v>0</v>
      </c>
      <c r="BP195" s="8" t="n">
        <v>0</v>
      </c>
      <c r="BQ195" s="9">
        <f>BO195+BP195</f>
        <v/>
      </c>
      <c r="BR195" s="9">
        <f>BM195+BN195-BQ195</f>
        <v/>
      </c>
      <c r="BS195" s="8" t="n">
        <v>0</v>
      </c>
      <c r="BT195" s="8" t="n">
        <v>0</v>
      </c>
      <c r="BU195" s="8" t="n">
        <v>0</v>
      </c>
      <c r="BV195" s="8" t="n">
        <v>0</v>
      </c>
      <c r="BW195" s="9">
        <f>BU195+BV195</f>
        <v/>
      </c>
      <c r="BX195" s="9">
        <f>BS195+BT195-BW195</f>
        <v/>
      </c>
      <c r="BY195" s="9">
        <f>BA195+BG195+BM195+BS195</f>
        <v/>
      </c>
      <c r="BZ195" s="9">
        <f>BB195+BH195+BN195+BT195</f>
        <v/>
      </c>
      <c r="CA195" s="9">
        <f>BE195+BK195+BQ195+BW195</f>
        <v/>
      </c>
      <c r="CB195" s="9">
        <f>BF195+BL195+BR195+BX195</f>
        <v/>
      </c>
      <c r="CC195" s="8" t="n">
        <v>11</v>
      </c>
      <c r="CD195" s="8" t="n">
        <v>474</v>
      </c>
      <c r="CE195" s="8" t="n">
        <v>13</v>
      </c>
      <c r="CF195" s="8" t="n">
        <v>13</v>
      </c>
      <c r="CG195" s="8" t="n">
        <v>16</v>
      </c>
      <c r="CH195" s="9">
        <f>CD195+CE195+CF195+CG195</f>
        <v/>
      </c>
      <c r="CI195" s="8" t="n">
        <v>847</v>
      </c>
      <c r="CJ195" s="8" t="n">
        <v>1</v>
      </c>
      <c r="CK195" s="8" t="n">
        <v>2</v>
      </c>
      <c r="CL195" s="8" t="n">
        <v>2</v>
      </c>
      <c r="CM195" s="9">
        <f>CI195+CJ195+CK195+CL195</f>
        <v/>
      </c>
      <c r="CN195" s="8" t="n">
        <v>740</v>
      </c>
      <c r="CO195" s="8" t="n">
        <v>51</v>
      </c>
      <c r="CP195" s="8" t="n">
        <v>53</v>
      </c>
      <c r="CQ195" s="8" t="n">
        <v>2</v>
      </c>
      <c r="CR195" s="9">
        <f>CN195+CO195+CP195+CQ195</f>
        <v/>
      </c>
      <c r="CS195" s="9">
        <f>CM195+CR195</f>
        <v/>
      </c>
      <c r="CT195" s="8" t="n">
        <v>2214</v>
      </c>
      <c r="CU195" s="8" t="n">
        <v>12005</v>
      </c>
      <c r="CV195" s="8" t="n">
        <v>11055</v>
      </c>
      <c r="CW195" s="10">
        <f>IF(CU195=0,"",CV195/CU195)</f>
        <v/>
      </c>
      <c r="CX195" s="8" t="n">
        <v>0</v>
      </c>
      <c r="CY195" s="8" t="n">
        <v>0</v>
      </c>
      <c r="CZ195" s="8" t="n">
        <v>0</v>
      </c>
      <c r="DA195" s="8" t="n">
        <v>0</v>
      </c>
      <c r="DB195" s="9">
        <f>CX195+CY195-CZ195-DA195</f>
        <v/>
      </c>
      <c r="DC195" s="8" t="n">
        <v>0</v>
      </c>
      <c r="DD195" s="8" t="n">
        <v>0</v>
      </c>
      <c r="DE195" s="8" t="n">
        <v>0</v>
      </c>
      <c r="DF195" s="8" t="n">
        <v>0</v>
      </c>
      <c r="DG195" s="9">
        <f>DC195+DD195-DE195-DF195</f>
        <v/>
      </c>
      <c r="DH195" s="8" t="n">
        <v>0</v>
      </c>
      <c r="DI195" s="8" t="n">
        <v>0</v>
      </c>
      <c r="DJ195" s="8" t="n">
        <v>0</v>
      </c>
      <c r="DK195" s="8" t="n">
        <v>0</v>
      </c>
      <c r="DL195" s="9">
        <f>DH195+DI195-DJ195-DK195</f>
        <v/>
      </c>
      <c r="DM195" s="8" t="n">
        <v>14</v>
      </c>
      <c r="DN195" s="8" t="n">
        <v>23</v>
      </c>
      <c r="DO195" s="8" t="n">
        <v>7</v>
      </c>
      <c r="DP195" s="8" t="n">
        <v>0</v>
      </c>
      <c r="DQ195" s="9">
        <f>DM195+DN195-DO195-DP195</f>
        <v/>
      </c>
      <c r="DR195" s="9">
        <f>CX195+DC195+DH195+DM195</f>
        <v/>
      </c>
      <c r="DS195" s="9">
        <f>CY195+DD195+DI195+DN195</f>
        <v/>
      </c>
      <c r="DT195" s="9">
        <f>CZ195+DE195+DJ195+DO195</f>
        <v/>
      </c>
      <c r="DU195" s="9">
        <f>DA195+DF195+DK195+DP195</f>
        <v/>
      </c>
      <c r="DV195" s="9">
        <f>DB195+DG195+DL195+DQ195</f>
        <v/>
      </c>
      <c r="DW195" s="8" t="n">
        <v>46</v>
      </c>
      <c r="DX195" s="8" t="n">
        <v>28</v>
      </c>
      <c r="DY195" s="8" t="n">
        <v>20</v>
      </c>
      <c r="DZ195" s="8" t="n">
        <v>4</v>
      </c>
      <c r="EA195" s="8" t="n">
        <v>6</v>
      </c>
      <c r="EB195" s="8" t="n">
        <v>1</v>
      </c>
      <c r="EC195" s="8" t="n">
        <v>0</v>
      </c>
      <c r="ED195" s="8" t="n">
        <v>2</v>
      </c>
      <c r="EE195" s="8" t="n">
        <v>2</v>
      </c>
      <c r="EF195" s="8" t="n">
        <v>3</v>
      </c>
      <c r="EG195" s="8" t="n">
        <v>0</v>
      </c>
      <c r="EH195" s="8" t="n">
        <v>0</v>
      </c>
      <c r="EI195" s="8" t="n">
        <v>0</v>
      </c>
      <c r="EJ195" s="8" t="n">
        <v>15</v>
      </c>
      <c r="EK195" s="8" t="n">
        <v>0</v>
      </c>
      <c r="EL195" s="8" t="n">
        <v>0</v>
      </c>
      <c r="EM195" s="8" t="n">
        <v>0</v>
      </c>
      <c r="EN195" s="8" t="n">
        <v>0</v>
      </c>
      <c r="EO195" s="8" t="n">
        <v>0</v>
      </c>
      <c r="EP195" s="8" t="n">
        <v>0</v>
      </c>
      <c r="EQ195" s="8" t="n">
        <v>0</v>
      </c>
      <c r="ER195" s="8" t="n">
        <v>0</v>
      </c>
      <c r="ES195" s="8" t="n">
        <v>0</v>
      </c>
      <c r="ET195" s="8" t="n">
        <v>0</v>
      </c>
      <c r="EU195" s="8" t="n">
        <v>0</v>
      </c>
      <c r="EV195" s="8" t="n">
        <v>0</v>
      </c>
      <c r="EW195" s="8" t="n">
        <v>0</v>
      </c>
      <c r="EX195" s="8" t="n">
        <v>0</v>
      </c>
      <c r="EY195" s="8" t="n">
        <v>0</v>
      </c>
      <c r="EZ195" s="8" t="n">
        <v>0</v>
      </c>
      <c r="FA195" s="8" t="n">
        <v>0</v>
      </c>
      <c r="FB195" s="8" t="n">
        <v>0</v>
      </c>
      <c r="FC195" s="8" t="n">
        <v>0</v>
      </c>
      <c r="FD195" s="8" t="n">
        <v>0</v>
      </c>
      <c r="FE195" s="8" t="n">
        <v>0</v>
      </c>
      <c r="FF195" s="8" t="n">
        <v>0</v>
      </c>
      <c r="FG195" s="9">
        <f>SUM(DW195,DX195,DY195,DZ195,EA195,EB195,EC195,ED195,EE195,EF195,EG195,EH195,EI195,EJ195,EK195,EL195,EM195,EN195,EO195,EP195,EQ195,ER195,ES195,ET195,EU195,EV195,EW195,EX195,EY195,EZ195,FA195,FB195,FC195,FD195,FE195,FF195)</f>
        <v/>
      </c>
      <c r="FH195" s="8" t="n">
        <v>9</v>
      </c>
      <c r="FI195" s="8" t="n">
        <v>32</v>
      </c>
      <c r="FJ195" s="8" t="n">
        <v>8</v>
      </c>
      <c r="FK195" s="8" t="n">
        <v>81</v>
      </c>
      <c r="FL195" s="8" t="n">
        <v>0</v>
      </c>
      <c r="FM195" s="8" t="n">
        <v>0</v>
      </c>
      <c r="FN195" s="8" t="n">
        <v>0</v>
      </c>
      <c r="FO195" s="8" t="n">
        <v>0</v>
      </c>
      <c r="FP195" s="8" t="n">
        <v>0</v>
      </c>
      <c r="FQ195" s="9">
        <f>FL195+FM195+FN195+FO195+FP195</f>
        <v/>
      </c>
      <c r="FR195" s="8" t="n">
        <v>6426002</v>
      </c>
      <c r="FS195" s="8" t="n">
        <v>10000</v>
      </c>
      <c r="FT195" s="8" t="n">
        <v>0</v>
      </c>
      <c r="FU195" s="8" t="n">
        <v>0</v>
      </c>
      <c r="FV195" s="9">
        <f>FR195+FS195+FT195+FU195</f>
        <v/>
      </c>
      <c r="FW195" s="8" t="n">
        <v>5302236.679999994</v>
      </c>
      <c r="FX195" s="8" t="n">
        <v>4600</v>
      </c>
      <c r="FY195" s="8" t="n">
        <v>1514306.18</v>
      </c>
      <c r="FZ195" s="8" t="n">
        <v>3744425.42</v>
      </c>
      <c r="GA195" s="9">
        <f>FW195+FX195+FY195+FZ195</f>
        <v/>
      </c>
      <c r="GB195" s="9">
        <f>FV195+GA195</f>
        <v/>
      </c>
      <c r="GC195" s="8" t="n">
        <v>5045888.53</v>
      </c>
      <c r="GD195" s="8" t="n">
        <v>2869.2</v>
      </c>
      <c r="GE195" s="8" t="n">
        <v>8410.99</v>
      </c>
      <c r="GF195" s="8" t="n">
        <v>128403.14</v>
      </c>
      <c r="GG195" s="9">
        <f>GC195+GD195+GE195+GF195</f>
        <v/>
      </c>
      <c r="GH195" s="8" t="n">
        <v>0</v>
      </c>
      <c r="GI195" s="8" t="n">
        <v>0</v>
      </c>
      <c r="GJ195" s="8" t="n">
        <v>0</v>
      </c>
      <c r="GK195" s="8" t="n">
        <v>0</v>
      </c>
      <c r="GL195" s="9">
        <f>GH195+GI195+GJ195+GK195</f>
        <v/>
      </c>
      <c r="GM195" s="9">
        <f>GG195+GL195</f>
        <v/>
      </c>
      <c r="GN195" s="8" t="n">
        <v>455781.15</v>
      </c>
      <c r="GO195" s="8" t="n">
        <v>382.56</v>
      </c>
      <c r="GP195" s="8" t="n">
        <v>3393.64</v>
      </c>
      <c r="GQ195" s="8" t="n">
        <v>9274.68</v>
      </c>
      <c r="GR195" s="9">
        <f>GN195+GO195+GP195+GQ195</f>
        <v/>
      </c>
      <c r="GS195" s="8" t="n">
        <v>756371</v>
      </c>
      <c r="GT195" s="8" t="n">
        <v>1786</v>
      </c>
      <c r="GU195" s="8" t="n">
        <v>893</v>
      </c>
      <c r="GV195" s="8" t="n">
        <v>1786</v>
      </c>
      <c r="GW195" s="9">
        <f>GS195+GT195+GU195+GV195</f>
        <v/>
      </c>
      <c r="GX195" s="9">
        <f>GM195+GR195+GW195</f>
        <v/>
      </c>
      <c r="GY195" s="8" t="n">
        <v>49295660.51</v>
      </c>
      <c r="GZ195" s="8" t="n">
        <v>482881.09</v>
      </c>
      <c r="HA195" s="9">
        <f>GY195+GZ195</f>
        <v/>
      </c>
      <c r="HB195" s="9">
        <f>IF(GX195=0,"",AU195/GX195)</f>
        <v/>
      </c>
      <c r="HC195" s="10">
        <f>IF((GX195+GY195)=0,"",GB195/(GX195+GY195))</f>
        <v/>
      </c>
      <c r="HD195" s="9">
        <f>IF(GX195=0,"",GB195/GX195)</f>
        <v/>
      </c>
      <c r="HE195" s="8" t="n">
        <v>11</v>
      </c>
      <c r="HF195" s="8" t="n">
        <v>5</v>
      </c>
      <c r="HG195" s="8" t="n">
        <v>4</v>
      </c>
      <c r="HH195" s="8" t="n">
        <v>12</v>
      </c>
      <c r="HI195" s="8" t="n">
        <v>5</v>
      </c>
      <c r="HJ195" s="9">
        <f>HF195+HI195</f>
        <v/>
      </c>
      <c r="HK195" s="10">
        <f>IF(HE195=0,"",HH195/HE195)</f>
        <v/>
      </c>
      <c r="HL195" s="8" t="n">
        <v>12</v>
      </c>
      <c r="HM195" s="8" t="n">
        <v>5</v>
      </c>
      <c r="HN195" s="11">
        <f>IF(HL195=0,"",HM195/HL195)</f>
        <v/>
      </c>
    </row>
    <row r="196">
      <c r="A196" s="12" t="inlineStr">
        <is>
          <t>Mulanje</t>
        </is>
      </c>
      <c r="B196" s="12" t="inlineStr">
        <is>
          <t>Thyolo</t>
        </is>
      </c>
      <c r="C196" s="13" t="inlineStr">
        <is>
          <t>FY2025/26</t>
        </is>
      </c>
      <c r="D196" s="13" t="n">
        <v>2025</v>
      </c>
      <c r="E196" s="13" t="n">
        <v>5</v>
      </c>
      <c r="F196" s="13" t="inlineStr">
        <is>
          <t>May</t>
        </is>
      </c>
      <c r="G196" s="13" t="inlineStr">
        <is>
          <t>Q1</t>
        </is>
      </c>
      <c r="H196" s="14" t="n">
        <v>16945</v>
      </c>
      <c r="I196" s="14" t="n">
        <v>5478</v>
      </c>
      <c r="J196" s="14" t="n">
        <v>10</v>
      </c>
      <c r="K196" s="14" t="n">
        <v>3</v>
      </c>
      <c r="L196" s="14" t="n">
        <v>47</v>
      </c>
      <c r="M196" s="15">
        <f>SUM(I196,J196,K196,L196)</f>
        <v/>
      </c>
      <c r="N196" s="14" t="n">
        <v>3702.3</v>
      </c>
      <c r="O196" s="14" t="n">
        <v>15</v>
      </c>
      <c r="P196" s="14" t="n">
        <v>95.3</v>
      </c>
      <c r="Q196" s="14" t="n">
        <v>251.7</v>
      </c>
      <c r="R196" s="15">
        <f>SUM(N196,O196,P196,Q196)</f>
        <v/>
      </c>
      <c r="S196" s="15">
        <f>M196+R196</f>
        <v/>
      </c>
      <c r="T196" s="14" t="n">
        <v>7342.7</v>
      </c>
      <c r="U196" s="16">
        <f>IF(H196=0,"",T196/H196)</f>
        <v/>
      </c>
      <c r="V196" s="14" t="n">
        <v>81</v>
      </c>
      <c r="W196" s="17">
        <f>IF(H196=0,"",V196/H196)</f>
        <v/>
      </c>
      <c r="X196" s="14" t="n">
        <v>0</v>
      </c>
      <c r="Y196" s="17">
        <f>IF(H196=0,"",X196/H196)</f>
        <v/>
      </c>
      <c r="Z196" s="14" t="n">
        <v>0</v>
      </c>
      <c r="AA196" s="17">
        <f>IF(H196=0,"",Z196/H196)</f>
        <v/>
      </c>
      <c r="AB196" s="14" t="n">
        <v>75</v>
      </c>
      <c r="AC196" s="17">
        <f>IF(H196=0,"",AB196/H196)</f>
        <v/>
      </c>
      <c r="AD196" s="14" t="n">
        <v>0</v>
      </c>
      <c r="AE196" s="17">
        <f>IF(H196=0,"",AD196/H196)</f>
        <v/>
      </c>
      <c r="AF196" s="14" t="n">
        <v>0</v>
      </c>
      <c r="AG196" s="17">
        <f>IF(H196=0,"",AF196/H196)</f>
        <v/>
      </c>
      <c r="AH196" s="14" t="n">
        <v>862541.52</v>
      </c>
      <c r="AI196" s="15">
        <f>IF(H196=0,"",AH196/H196)</f>
        <v/>
      </c>
      <c r="AJ196" s="14" t="n">
        <v>23450</v>
      </c>
      <c r="AK196" s="17">
        <f>IF(H196=0,"",AJ196/H196)</f>
        <v/>
      </c>
      <c r="AL196" s="14" t="n">
        <v>3270149.175</v>
      </c>
      <c r="AM196" s="15">
        <f>IF(H196=0,"",AL196/H196)</f>
        <v/>
      </c>
      <c r="AN196" s="14" t="n">
        <v>0</v>
      </c>
      <c r="AO196" s="14" t="n">
        <v>10</v>
      </c>
      <c r="AP196" s="14" t="n">
        <v>27340</v>
      </c>
      <c r="AQ196" s="14" t="n">
        <v>0</v>
      </c>
      <c r="AR196" s="14" t="n">
        <v>10963219.69</v>
      </c>
      <c r="AS196" s="14" t="n">
        <v>2542812.35</v>
      </c>
      <c r="AT196" s="14" t="n">
        <v>960000</v>
      </c>
      <c r="AU196" s="15">
        <f>AH196+AL196+AP196+AQ196+AR196+AS196+AT196</f>
        <v/>
      </c>
      <c r="AV196" s="15">
        <f>IF(H196=0,"",AU196/H196)</f>
        <v/>
      </c>
      <c r="AW196" s="15">
        <f>IF(S196=0,"",AU196/S196)</f>
        <v/>
      </c>
      <c r="AX196" s="14" t="n">
        <v>10</v>
      </c>
      <c r="AY196" s="15">
        <f>IF(H196=0,"",AX196/(H196/1000/12))</f>
        <v/>
      </c>
      <c r="AZ196" s="14" t="n">
        <v>15</v>
      </c>
      <c r="BA196" s="14" t="n">
        <v>4</v>
      </c>
      <c r="BB196" s="14" t="n">
        <v>17</v>
      </c>
      <c r="BC196" s="14" t="n">
        <v>0</v>
      </c>
      <c r="BD196" s="14" t="n">
        <v>10</v>
      </c>
      <c r="BE196" s="15">
        <f>BC196+BD196</f>
        <v/>
      </c>
      <c r="BF196" s="15">
        <f>BA196+BB196-BE196</f>
        <v/>
      </c>
      <c r="BG196" s="14" t="n">
        <v>0</v>
      </c>
      <c r="BH196" s="14" t="n">
        <v>0</v>
      </c>
      <c r="BI196" s="14" t="n">
        <v>0</v>
      </c>
      <c r="BJ196" s="14" t="n">
        <v>0</v>
      </c>
      <c r="BK196" s="15">
        <f>BI196+BJ196</f>
        <v/>
      </c>
      <c r="BL196" s="15">
        <f>BG196+BH196-BK196</f>
        <v/>
      </c>
      <c r="BM196" s="14" t="n">
        <v>0</v>
      </c>
      <c r="BN196" s="14" t="n">
        <v>0</v>
      </c>
      <c r="BO196" s="14" t="n">
        <v>0</v>
      </c>
      <c r="BP196" s="14" t="n">
        <v>0</v>
      </c>
      <c r="BQ196" s="15">
        <f>BO196+BP196</f>
        <v/>
      </c>
      <c r="BR196" s="15">
        <f>BM196+BN196-BQ196</f>
        <v/>
      </c>
      <c r="BS196" s="14" t="n">
        <v>0</v>
      </c>
      <c r="BT196" s="14" t="n">
        <v>0</v>
      </c>
      <c r="BU196" s="14" t="n">
        <v>0</v>
      </c>
      <c r="BV196" s="14" t="n">
        <v>0</v>
      </c>
      <c r="BW196" s="15">
        <f>BU196+BV196</f>
        <v/>
      </c>
      <c r="BX196" s="15">
        <f>BS196+BT196-BW196</f>
        <v/>
      </c>
      <c r="BY196" s="15">
        <f>BA196+BG196+BM196+BS196</f>
        <v/>
      </c>
      <c r="BZ196" s="15">
        <f>BB196+BH196+BN196+BT196</f>
        <v/>
      </c>
      <c r="CA196" s="15">
        <f>BE196+BK196+BQ196+BW196</f>
        <v/>
      </c>
      <c r="CB196" s="15">
        <f>BF196+BL196+BR196+BX196</f>
        <v/>
      </c>
      <c r="CC196" s="14" t="n">
        <v>27</v>
      </c>
      <c r="CD196" s="14" t="n">
        <v>491</v>
      </c>
      <c r="CE196" s="14" t="n">
        <v>13</v>
      </c>
      <c r="CF196" s="14" t="n">
        <v>13</v>
      </c>
      <c r="CG196" s="14" t="n">
        <v>16</v>
      </c>
      <c r="CH196" s="15">
        <f>CD196+CE196+CF196+CG196</f>
        <v/>
      </c>
      <c r="CI196" s="14" t="n">
        <v>830</v>
      </c>
      <c r="CJ196" s="14" t="n">
        <v>1</v>
      </c>
      <c r="CK196" s="14" t="n">
        <v>2</v>
      </c>
      <c r="CL196" s="14" t="n">
        <v>2</v>
      </c>
      <c r="CM196" s="15">
        <f>CI196+CJ196+CK196+CL196</f>
        <v/>
      </c>
      <c r="CN196" s="14" t="n">
        <v>761</v>
      </c>
      <c r="CO196" s="14" t="n">
        <v>51</v>
      </c>
      <c r="CP196" s="14" t="n">
        <v>54</v>
      </c>
      <c r="CQ196" s="14" t="n">
        <v>2</v>
      </c>
      <c r="CR196" s="15">
        <f>CN196+CO196+CP196+CQ196</f>
        <v/>
      </c>
      <c r="CS196" s="15">
        <f>CM196+CR196</f>
        <v/>
      </c>
      <c r="CT196" s="14" t="n">
        <v>2236</v>
      </c>
      <c r="CU196" s="14" t="n">
        <v>12005</v>
      </c>
      <c r="CV196" s="14" t="n">
        <v>11070</v>
      </c>
      <c r="CW196" s="16">
        <f>IF(CU196=0,"",CV196/CU196)</f>
        <v/>
      </c>
      <c r="CX196" s="14" t="n">
        <v>0</v>
      </c>
      <c r="CY196" s="14" t="n">
        <v>0</v>
      </c>
      <c r="CZ196" s="14" t="n">
        <v>0</v>
      </c>
      <c r="DA196" s="14" t="n">
        <v>0</v>
      </c>
      <c r="DB196" s="15">
        <f>CX196+CY196-CZ196-DA196</f>
        <v/>
      </c>
      <c r="DC196" s="14" t="n">
        <v>0</v>
      </c>
      <c r="DD196" s="14" t="n">
        <v>0</v>
      </c>
      <c r="DE196" s="14" t="n">
        <v>0</v>
      </c>
      <c r="DF196" s="14" t="n">
        <v>0</v>
      </c>
      <c r="DG196" s="15">
        <f>DC196+DD196-DE196-DF196</f>
        <v/>
      </c>
      <c r="DH196" s="14" t="n">
        <v>0</v>
      </c>
      <c r="DI196" s="14" t="n">
        <v>0</v>
      </c>
      <c r="DJ196" s="14" t="n">
        <v>0</v>
      </c>
      <c r="DK196" s="14" t="n">
        <v>0</v>
      </c>
      <c r="DL196" s="15">
        <f>DH196+DI196-DJ196-DK196</f>
        <v/>
      </c>
      <c r="DM196" s="14" t="n">
        <v>30</v>
      </c>
      <c r="DN196" s="14" t="n">
        <v>67</v>
      </c>
      <c r="DO196" s="14" t="n">
        <v>17</v>
      </c>
      <c r="DP196" s="14" t="n">
        <v>0</v>
      </c>
      <c r="DQ196" s="15">
        <f>DM196+DN196-DO196-DP196</f>
        <v/>
      </c>
      <c r="DR196" s="15">
        <f>CX196+DC196+DH196+DM196</f>
        <v/>
      </c>
      <c r="DS196" s="15">
        <f>CY196+DD196+DI196+DN196</f>
        <v/>
      </c>
      <c r="DT196" s="15">
        <f>CZ196+DE196+DJ196+DO196</f>
        <v/>
      </c>
      <c r="DU196" s="15">
        <f>DA196+DF196+DK196+DP196</f>
        <v/>
      </c>
      <c r="DV196" s="15">
        <f>DB196+DG196+DL196+DQ196</f>
        <v/>
      </c>
      <c r="DW196" s="14" t="n">
        <v>51</v>
      </c>
      <c r="DX196" s="14" t="n">
        <v>30</v>
      </c>
      <c r="DY196" s="14" t="n">
        <v>25</v>
      </c>
      <c r="DZ196" s="14" t="n">
        <v>3</v>
      </c>
      <c r="EA196" s="14" t="n">
        <v>5</v>
      </c>
      <c r="EB196" s="14" t="n">
        <v>4</v>
      </c>
      <c r="EC196" s="14" t="n">
        <v>0</v>
      </c>
      <c r="ED196" s="14" t="n">
        <v>0</v>
      </c>
      <c r="EE196" s="14" t="n">
        <v>0</v>
      </c>
      <c r="EF196" s="14" t="n">
        <v>0</v>
      </c>
      <c r="EG196" s="14" t="n">
        <v>0</v>
      </c>
      <c r="EH196" s="14" t="n">
        <v>0</v>
      </c>
      <c r="EI196" s="14" t="n">
        <v>0</v>
      </c>
      <c r="EJ196" s="14" t="n">
        <v>7</v>
      </c>
      <c r="EK196" s="14" t="n">
        <v>7</v>
      </c>
      <c r="EL196" s="14" t="n">
        <v>0</v>
      </c>
      <c r="EM196" s="14" t="n">
        <v>0</v>
      </c>
      <c r="EN196" s="14" t="n">
        <v>0</v>
      </c>
      <c r="EO196" s="14" t="n">
        <v>0</v>
      </c>
      <c r="EP196" s="14" t="n">
        <v>0</v>
      </c>
      <c r="EQ196" s="14" t="n">
        <v>0</v>
      </c>
      <c r="ER196" s="14" t="n">
        <v>0</v>
      </c>
      <c r="ES196" s="14" t="n">
        <v>0</v>
      </c>
      <c r="ET196" s="14" t="n">
        <v>0</v>
      </c>
      <c r="EU196" s="14" t="n">
        <v>0</v>
      </c>
      <c r="EV196" s="14" t="n">
        <v>0</v>
      </c>
      <c r="EW196" s="14" t="n">
        <v>0</v>
      </c>
      <c r="EX196" s="14" t="n">
        <v>0</v>
      </c>
      <c r="EY196" s="14" t="n">
        <v>0</v>
      </c>
      <c r="EZ196" s="14" t="n">
        <v>0</v>
      </c>
      <c r="FA196" s="14" t="n">
        <v>0</v>
      </c>
      <c r="FB196" s="14" t="n">
        <v>0</v>
      </c>
      <c r="FC196" s="14" t="n">
        <v>0</v>
      </c>
      <c r="FD196" s="14" t="n">
        <v>0</v>
      </c>
      <c r="FE196" s="14" t="n">
        <v>0</v>
      </c>
      <c r="FF196" s="14" t="n">
        <v>0</v>
      </c>
      <c r="FG196" s="15">
        <f>SUM(DW196,DX196,DY196,DZ196,EA196,EB196,EC196,ED196,EE196,EF196,EG196,EH196,EI196,EJ196,EK196,EL196,EM196,EN196,EO196,EP196,EQ196,ER196,ES196,ET196,EU196,EV196,EW196,EX196,EY196,EZ196,FA196,FB196,FC196,FD196,FE196,FF196)</f>
        <v/>
      </c>
      <c r="FH196" s="14" t="n">
        <v>6</v>
      </c>
      <c r="FI196" s="14" t="n">
        <v>19</v>
      </c>
      <c r="FJ196" s="14" t="n">
        <v>8</v>
      </c>
      <c r="FK196" s="14" t="n">
        <v>70</v>
      </c>
      <c r="FL196" s="14" t="n">
        <v>70</v>
      </c>
      <c r="FM196" s="14" t="n">
        <v>0</v>
      </c>
      <c r="FN196" s="14" t="n">
        <v>0</v>
      </c>
      <c r="FO196" s="14" t="n">
        <v>0</v>
      </c>
      <c r="FP196" s="14" t="n">
        <v>0</v>
      </c>
      <c r="FQ196" s="15">
        <f>FL196+FM196+FN196+FO196+FP196</f>
        <v/>
      </c>
      <c r="FR196" s="14" t="n">
        <v>4913723.82</v>
      </c>
      <c r="FS196" s="14" t="n">
        <v>4913723.82</v>
      </c>
      <c r="FT196" s="14" t="n">
        <v>1800</v>
      </c>
      <c r="FU196" s="14" t="n">
        <v>0</v>
      </c>
      <c r="FV196" s="15">
        <f>FR196+FS196+FT196+FU196</f>
        <v/>
      </c>
      <c r="FW196" s="14" t="n">
        <v>5280820.139999994</v>
      </c>
      <c r="FX196" s="14" t="n">
        <v>3200</v>
      </c>
      <c r="FY196" s="14" t="n">
        <v>1240700</v>
      </c>
      <c r="FZ196" s="14" t="n">
        <v>316500</v>
      </c>
      <c r="GA196" s="15">
        <f>FW196+FX196+FY196+FZ196</f>
        <v/>
      </c>
      <c r="GB196" s="15">
        <f>FV196+GA196</f>
        <v/>
      </c>
      <c r="GC196" s="14" t="n">
        <v>4836998</v>
      </c>
      <c r="GD196" s="14" t="n">
        <v>1912.8</v>
      </c>
      <c r="GE196" s="14" t="n">
        <v>8410.99</v>
      </c>
      <c r="GF196" s="14" t="n">
        <v>183379.82</v>
      </c>
      <c r="GG196" s="15">
        <f>GC196+GD196+GE196+GF196</f>
        <v/>
      </c>
      <c r="GH196" s="14" t="n">
        <v>0</v>
      </c>
      <c r="GI196" s="14" t="n">
        <v>0</v>
      </c>
      <c r="GJ196" s="14" t="n">
        <v>0</v>
      </c>
      <c r="GK196" s="14" t="n">
        <v>0</v>
      </c>
      <c r="GL196" s="15">
        <f>GH196+GI196+GJ196+GK196</f>
        <v/>
      </c>
      <c r="GM196" s="15">
        <f>GG196+GL196</f>
        <v/>
      </c>
      <c r="GN196" s="14" t="n">
        <v>447092.55</v>
      </c>
      <c r="GO196" s="14" t="n">
        <v>382.56</v>
      </c>
      <c r="GP196" s="14" t="n">
        <v>3393.64</v>
      </c>
      <c r="GQ196" s="14" t="n">
        <v>9274.68</v>
      </c>
      <c r="GR196" s="15">
        <f>GN196+GO196+GP196+GQ196</f>
        <v/>
      </c>
      <c r="GS196" s="14" t="n">
        <v>741190</v>
      </c>
      <c r="GT196" s="14" t="n">
        <v>1786</v>
      </c>
      <c r="GU196" s="14" t="n">
        <v>893</v>
      </c>
      <c r="GV196" s="14" t="n">
        <v>1786</v>
      </c>
      <c r="GW196" s="15">
        <f>GS196+GT196+GU196+GV196</f>
        <v/>
      </c>
      <c r="GX196" s="15">
        <f>GM196+GR196+GW196</f>
        <v/>
      </c>
      <c r="GY196" s="14" t="n">
        <v>50610978.84</v>
      </c>
      <c r="GZ196" s="14" t="n">
        <v>488538.98</v>
      </c>
      <c r="HA196" s="15">
        <f>GY196+GZ196</f>
        <v/>
      </c>
      <c r="HB196" s="15">
        <f>IF(GX196=0,"",AU196/GX196)</f>
        <v/>
      </c>
      <c r="HC196" s="16">
        <f>IF((GX196+GY196)=0,"",GB196/(GX196+GY196))</f>
        <v/>
      </c>
      <c r="HD196" s="15">
        <f>IF(GX196=0,"",GB196/GX196)</f>
        <v/>
      </c>
      <c r="HE196" s="14" t="n">
        <v>17</v>
      </c>
      <c r="HF196" s="14" t="n">
        <v>2</v>
      </c>
      <c r="HG196" s="14" t="n">
        <v>11</v>
      </c>
      <c r="HH196" s="14" t="n">
        <v>17</v>
      </c>
      <c r="HI196" s="14" t="n">
        <v>5</v>
      </c>
      <c r="HJ196" s="15">
        <f>HF196+HI196</f>
        <v/>
      </c>
      <c r="HK196" s="16">
        <f>IF(HE196=0,"",HH196/HE196)</f>
        <v/>
      </c>
      <c r="HL196" s="14" t="n">
        <v>15</v>
      </c>
      <c r="HM196" s="14" t="n">
        <v>5</v>
      </c>
      <c r="HN196" s="17">
        <f>IF(HL196=0,"",HM196/HL196)</f>
        <v/>
      </c>
    </row>
    <row r="197">
      <c r="A197" s="6" t="inlineStr">
        <is>
          <t>Mulanje</t>
        </is>
      </c>
      <c r="B197" s="6" t="inlineStr">
        <is>
          <t>Thyolo</t>
        </is>
      </c>
      <c r="C197" s="7" t="inlineStr">
        <is>
          <t>FY2025/26</t>
        </is>
      </c>
      <c r="D197" s="7" t="n">
        <v>2025</v>
      </c>
      <c r="E197" s="7" t="n">
        <v>6</v>
      </c>
      <c r="F197" s="7" t="inlineStr">
        <is>
          <t>June</t>
        </is>
      </c>
      <c r="G197" s="7" t="inlineStr">
        <is>
          <t>Q1</t>
        </is>
      </c>
      <c r="H197" s="8" t="n">
        <v>20350</v>
      </c>
      <c r="I197" s="8" t="n">
        <v>5799</v>
      </c>
      <c r="J197" s="8" t="n">
        <v>18</v>
      </c>
      <c r="K197" s="8" t="n">
        <v>4</v>
      </c>
      <c r="L197" s="8" t="n">
        <v>4</v>
      </c>
      <c r="M197" s="9">
        <f>SUM(I197,J197,K197,L197)</f>
        <v/>
      </c>
      <c r="N197" s="8" t="n">
        <v>3877.1</v>
      </c>
      <c r="O197" s="8" t="n">
        <v>11</v>
      </c>
      <c r="P197" s="8" t="n">
        <v>244</v>
      </c>
      <c r="Q197" s="8" t="n">
        <v>1830.5</v>
      </c>
      <c r="R197" s="9">
        <f>SUM(N197,O197,P197,Q197)</f>
        <v/>
      </c>
      <c r="S197" s="9">
        <f>M197+R197</f>
        <v/>
      </c>
      <c r="T197" s="8" t="n">
        <v>8562.4</v>
      </c>
      <c r="U197" s="10">
        <f>IF(H197=0,"",T197/H197)</f>
        <v/>
      </c>
      <c r="V197" s="8" t="n">
        <v>85</v>
      </c>
      <c r="W197" s="11">
        <f>IF(H197=0,"",V197/H197)</f>
        <v/>
      </c>
      <c r="X197" s="8" t="n">
        <v>0</v>
      </c>
      <c r="Y197" s="11">
        <f>IF(H197=0,"",X197/H197)</f>
        <v/>
      </c>
      <c r="Z197" s="8" t="n">
        <v>0</v>
      </c>
      <c r="AA197" s="11">
        <f>IF(H197=0,"",Z197/H197)</f>
        <v/>
      </c>
      <c r="AB197" s="8" t="n">
        <v>81</v>
      </c>
      <c r="AC197" s="11">
        <f>IF(H197=0,"",AB197/H197)</f>
        <v/>
      </c>
      <c r="AD197" s="8" t="n">
        <v>0</v>
      </c>
      <c r="AE197" s="11">
        <f>IF(H197=0,"",AD197/H197)</f>
        <v/>
      </c>
      <c r="AF197" s="8" t="n">
        <v>0</v>
      </c>
      <c r="AG197" s="11">
        <f>IF(H197=0,"",AF197/H197)</f>
        <v/>
      </c>
      <c r="AH197" s="8" t="n">
        <v>918867.9</v>
      </c>
      <c r="AI197" s="9">
        <f>IF(H197=0,"",AH197/H197)</f>
        <v/>
      </c>
      <c r="AJ197" s="8" t="n">
        <v>23450</v>
      </c>
      <c r="AK197" s="11">
        <f>IF(H197=0,"",AJ197/H197)</f>
        <v/>
      </c>
      <c r="AL197" s="8" t="n">
        <v>3270149.175</v>
      </c>
      <c r="AM197" s="9">
        <f>IF(H197=0,"",AL197/H197)</f>
        <v/>
      </c>
      <c r="AN197" s="8" t="n">
        <v>0</v>
      </c>
      <c r="AO197" s="8" t="n">
        <v>0</v>
      </c>
      <c r="AP197" s="8" t="n">
        <v>0</v>
      </c>
      <c r="AQ197" s="8" t="n">
        <v>0</v>
      </c>
      <c r="AR197" s="8" t="n">
        <v>12746421.71</v>
      </c>
      <c r="AS197" s="8" t="n">
        <v>3117737.76</v>
      </c>
      <c r="AT197" s="8" t="n">
        <v>80000</v>
      </c>
      <c r="AU197" s="9">
        <f>AH197+AL197+AP197+AQ197+AR197+AS197+AT197</f>
        <v/>
      </c>
      <c r="AV197" s="9">
        <f>IF(H197=0,"",AU197/H197)</f>
        <v/>
      </c>
      <c r="AW197" s="9">
        <f>IF(S197=0,"",AU197/S197)</f>
        <v/>
      </c>
      <c r="AX197" s="8" t="n">
        <v>10</v>
      </c>
      <c r="AY197" s="9">
        <f>IF(H197=0,"",AX197/(H197/1000/12))</f>
        <v/>
      </c>
      <c r="AZ197" s="8" t="n">
        <v>15</v>
      </c>
      <c r="BA197" s="8" t="n">
        <v>11</v>
      </c>
      <c r="BB197" s="8" t="n">
        <v>13</v>
      </c>
      <c r="BC197" s="8" t="n">
        <v>10</v>
      </c>
      <c r="BD197" s="8" t="n">
        <v>3</v>
      </c>
      <c r="BE197" s="9">
        <f>BC197+BD197</f>
        <v/>
      </c>
      <c r="BF197" s="9">
        <f>BA197+BB197-BE197</f>
        <v/>
      </c>
      <c r="BG197" s="8" t="n">
        <v>0</v>
      </c>
      <c r="BH197" s="8" t="n">
        <v>0</v>
      </c>
      <c r="BI197" s="8" t="n">
        <v>0</v>
      </c>
      <c r="BJ197" s="8" t="n">
        <v>0</v>
      </c>
      <c r="BK197" s="9">
        <f>BI197+BJ197</f>
        <v/>
      </c>
      <c r="BL197" s="9">
        <f>BG197+BH197-BK197</f>
        <v/>
      </c>
      <c r="BM197" s="8" t="n">
        <v>0</v>
      </c>
      <c r="BN197" s="8" t="n">
        <v>0</v>
      </c>
      <c r="BO197" s="8" t="n">
        <v>0</v>
      </c>
      <c r="BP197" s="8" t="n">
        <v>0</v>
      </c>
      <c r="BQ197" s="9">
        <f>BO197+BP197</f>
        <v/>
      </c>
      <c r="BR197" s="9">
        <f>BM197+BN197-BQ197</f>
        <v/>
      </c>
      <c r="BS197" s="8" t="n">
        <v>0</v>
      </c>
      <c r="BT197" s="8" t="n">
        <v>0</v>
      </c>
      <c r="BU197" s="8" t="n">
        <v>0</v>
      </c>
      <c r="BV197" s="8" t="n">
        <v>0</v>
      </c>
      <c r="BW197" s="9">
        <f>BU197+BV197</f>
        <v/>
      </c>
      <c r="BX197" s="9">
        <f>BS197+BT197-BW197</f>
        <v/>
      </c>
      <c r="BY197" s="9">
        <f>BA197+BG197+BM197+BS197</f>
        <v/>
      </c>
      <c r="BZ197" s="9">
        <f>BB197+BH197+BN197+BT197</f>
        <v/>
      </c>
      <c r="CA197" s="9">
        <f>BE197+BK197+BQ197+BW197</f>
        <v/>
      </c>
      <c r="CB197" s="9">
        <f>BF197+BL197+BR197+BX197</f>
        <v/>
      </c>
      <c r="CC197" s="8" t="n">
        <v>9</v>
      </c>
      <c r="CD197" s="8" t="n">
        <v>467</v>
      </c>
      <c r="CE197" s="8" t="n">
        <v>13</v>
      </c>
      <c r="CF197" s="8" t="n">
        <v>13</v>
      </c>
      <c r="CG197" s="8" t="n">
        <v>16</v>
      </c>
      <c r="CH197" s="9">
        <f>CD197+CE197+CF197+CG197</f>
        <v/>
      </c>
      <c r="CI197" s="8" t="n">
        <v>849</v>
      </c>
      <c r="CJ197" s="8" t="n">
        <v>1</v>
      </c>
      <c r="CK197" s="8" t="n">
        <v>2</v>
      </c>
      <c r="CL197" s="8" t="n">
        <v>1</v>
      </c>
      <c r="CM197" s="9">
        <f>CI197+CJ197+CK197+CL197</f>
        <v/>
      </c>
      <c r="CN197" s="8" t="n">
        <v>769</v>
      </c>
      <c r="CO197" s="8" t="n">
        <v>52</v>
      </c>
      <c r="CP197" s="8" t="n">
        <v>54</v>
      </c>
      <c r="CQ197" s="8" t="n">
        <v>2</v>
      </c>
      <c r="CR197" s="9">
        <f>CN197+CO197+CP197+CQ197</f>
        <v/>
      </c>
      <c r="CS197" s="9">
        <f>CM197+CR197</f>
        <v/>
      </c>
      <c r="CT197" s="8" t="n">
        <v>2239</v>
      </c>
      <c r="CU197" s="8" t="n">
        <v>12005</v>
      </c>
      <c r="CV197" s="8" t="n">
        <v>11070</v>
      </c>
      <c r="CW197" s="10">
        <f>IF(CU197=0,"",CV197/CU197)</f>
        <v/>
      </c>
      <c r="CX197" s="8" t="n">
        <v>0</v>
      </c>
      <c r="CY197" s="8" t="n">
        <v>0</v>
      </c>
      <c r="CZ197" s="8" t="n">
        <v>0</v>
      </c>
      <c r="DA197" s="8" t="n">
        <v>0</v>
      </c>
      <c r="DB197" s="9">
        <f>CX197+CY197-CZ197-DA197</f>
        <v/>
      </c>
      <c r="DC197" s="8" t="n">
        <v>0</v>
      </c>
      <c r="DD197" s="8" t="n">
        <v>1</v>
      </c>
      <c r="DE197" s="8" t="n">
        <v>0</v>
      </c>
      <c r="DF197" s="8" t="n">
        <v>1</v>
      </c>
      <c r="DG197" s="9">
        <f>DC197+DD197-DE197-DF197</f>
        <v/>
      </c>
      <c r="DH197" s="8" t="n">
        <v>0</v>
      </c>
      <c r="DI197" s="8" t="n">
        <v>0</v>
      </c>
      <c r="DJ197" s="8" t="n">
        <v>0</v>
      </c>
      <c r="DK197" s="8" t="n">
        <v>0</v>
      </c>
      <c r="DL197" s="9">
        <f>DH197+DI197-DJ197-DK197</f>
        <v/>
      </c>
      <c r="DM197" s="8" t="n">
        <v>80</v>
      </c>
      <c r="DN197" s="8" t="n">
        <v>71</v>
      </c>
      <c r="DO197" s="8" t="n">
        <v>74</v>
      </c>
      <c r="DP197" s="8" t="n">
        <v>74</v>
      </c>
      <c r="DQ197" s="9">
        <f>DM197+DN197-DO197-DP197</f>
        <v/>
      </c>
      <c r="DR197" s="9">
        <f>CX197+DC197+DH197+DM197</f>
        <v/>
      </c>
      <c r="DS197" s="9">
        <f>CY197+DD197+DI197+DN197</f>
        <v/>
      </c>
      <c r="DT197" s="9">
        <f>CZ197+DE197+DJ197+DO197</f>
        <v/>
      </c>
      <c r="DU197" s="9">
        <f>DA197+DF197+DK197+DP197</f>
        <v/>
      </c>
      <c r="DV197" s="9">
        <f>DB197+DG197+DL197+DQ197</f>
        <v/>
      </c>
      <c r="DW197" s="8" t="n">
        <v>52</v>
      </c>
      <c r="DX197" s="8" t="n">
        <v>33</v>
      </c>
      <c r="DY197" s="8" t="n">
        <v>22</v>
      </c>
      <c r="DZ197" s="8" t="n">
        <v>2</v>
      </c>
      <c r="EA197" s="8" t="n">
        <v>7</v>
      </c>
      <c r="EB197" s="8" t="n">
        <v>0</v>
      </c>
      <c r="EC197" s="8" t="n">
        <v>0</v>
      </c>
      <c r="ED197" s="8" t="n">
        <v>2</v>
      </c>
      <c r="EE197" s="8" t="n">
        <v>0</v>
      </c>
      <c r="EF197" s="8" t="n">
        <v>2</v>
      </c>
      <c r="EG197" s="8" t="n">
        <v>0</v>
      </c>
      <c r="EH197" s="8" t="n">
        <v>0</v>
      </c>
      <c r="EI197" s="8" t="n">
        <v>0</v>
      </c>
      <c r="EJ197" s="8" t="n">
        <v>4</v>
      </c>
      <c r="EK197" s="8" t="n">
        <v>0</v>
      </c>
      <c r="EL197" s="8" t="n">
        <v>0</v>
      </c>
      <c r="EM197" s="8" t="n">
        <v>0</v>
      </c>
      <c r="EN197" s="8" t="n">
        <v>0</v>
      </c>
      <c r="EO197" s="8" t="n">
        <v>0</v>
      </c>
      <c r="EP197" s="8" t="n">
        <v>0</v>
      </c>
      <c r="EQ197" s="8" t="n">
        <v>0</v>
      </c>
      <c r="ER197" s="8" t="n">
        <v>0</v>
      </c>
      <c r="ES197" s="8" t="n">
        <v>0</v>
      </c>
      <c r="ET197" s="8" t="n">
        <v>0</v>
      </c>
      <c r="EU197" s="8" t="n">
        <v>0</v>
      </c>
      <c r="EV197" s="8" t="n">
        <v>0</v>
      </c>
      <c r="EW197" s="8" t="n">
        <v>0</v>
      </c>
      <c r="EX197" s="8" t="n">
        <v>0</v>
      </c>
      <c r="EY197" s="8" t="n">
        <v>0</v>
      </c>
      <c r="EZ197" s="8" t="n">
        <v>0</v>
      </c>
      <c r="FA197" s="8" t="n">
        <v>0</v>
      </c>
      <c r="FB197" s="8" t="n">
        <v>0</v>
      </c>
      <c r="FC197" s="8" t="n">
        <v>0</v>
      </c>
      <c r="FD197" s="8" t="n">
        <v>0</v>
      </c>
      <c r="FE197" s="8" t="n">
        <v>0</v>
      </c>
      <c r="FF197" s="8" t="n">
        <v>0</v>
      </c>
      <c r="FG197" s="9">
        <f>SUM(DW197,DX197,DY197,DZ197,EA197,EB197,EC197,ED197,EE197,EF197,EG197,EH197,EI197,EJ197,EK197,EL197,EM197,EN197,EO197,EP197,EQ197,ER197,ES197,ET197,EU197,EV197,EW197,EX197,EY197,EZ197,FA197,FB197,FC197,FD197,FE197,FF197)</f>
        <v/>
      </c>
      <c r="FH197" s="8" t="n">
        <v>2</v>
      </c>
      <c r="FI197" s="8" t="n">
        <v>9</v>
      </c>
      <c r="FJ197" s="8" t="n">
        <v>8</v>
      </c>
      <c r="FK197" s="8" t="n">
        <v>50</v>
      </c>
      <c r="FL197" s="8" t="n">
        <v>50</v>
      </c>
      <c r="FM197" s="8" t="n">
        <v>0</v>
      </c>
      <c r="FN197" s="8" t="n">
        <v>0</v>
      </c>
      <c r="FO197" s="8" t="n">
        <v>0</v>
      </c>
      <c r="FP197" s="8" t="n">
        <v>0</v>
      </c>
      <c r="FQ197" s="9">
        <f>FL197+FM197+FN197+FO197+FP197</f>
        <v/>
      </c>
      <c r="FR197" s="8" t="n">
        <v>7325940.1</v>
      </c>
      <c r="FS197" s="8" t="n">
        <v>5000</v>
      </c>
      <c r="FT197" s="8" t="n">
        <v>0</v>
      </c>
      <c r="FU197" s="8" t="n">
        <v>0</v>
      </c>
      <c r="FV197" s="9">
        <f>FR197+FS197+FT197+FU197</f>
        <v/>
      </c>
      <c r="FW197" s="8" t="n">
        <v>5401541.899999999</v>
      </c>
      <c r="FX197" s="8" t="n">
        <v>2400</v>
      </c>
      <c r="FY197" s="8" t="n">
        <v>1154728.09</v>
      </c>
      <c r="FZ197" s="8" t="n">
        <v>5584457.5</v>
      </c>
      <c r="GA197" s="9">
        <f>FW197+FX197+FY197+FZ197</f>
        <v/>
      </c>
      <c r="GB197" s="9">
        <f>FV197+GA197</f>
        <v/>
      </c>
      <c r="GC197" s="8" t="n">
        <v>5092702.99</v>
      </c>
      <c r="GD197" s="8" t="n">
        <v>765.12</v>
      </c>
      <c r="GE197" s="8" t="n">
        <v>8410.99</v>
      </c>
      <c r="GF197" s="8" t="n">
        <v>50678.38</v>
      </c>
      <c r="GG197" s="9">
        <f>GC197+GD197+GE197+GF197</f>
        <v/>
      </c>
      <c r="GH197" s="8" t="n">
        <v>0</v>
      </c>
      <c r="GI197" s="8" t="n">
        <v>0</v>
      </c>
      <c r="GJ197" s="8" t="n">
        <v>0</v>
      </c>
      <c r="GK197" s="8" t="n">
        <v>0</v>
      </c>
      <c r="GL197" s="9">
        <f>GH197+GI197+GJ197+GK197</f>
        <v/>
      </c>
      <c r="GM197" s="9">
        <f>GG197+GL197</f>
        <v/>
      </c>
      <c r="GN197" s="8" t="n">
        <v>456504.95</v>
      </c>
      <c r="GO197" s="8" t="n">
        <v>191.28</v>
      </c>
      <c r="GP197" s="8" t="n">
        <v>3393.64</v>
      </c>
      <c r="GQ197" s="8" t="n">
        <v>9274.68</v>
      </c>
      <c r="GR197" s="9">
        <f>GN197+GO197+GP197+GQ197</f>
        <v/>
      </c>
      <c r="GS197" s="8" t="n">
        <v>758157</v>
      </c>
      <c r="GT197" s="8" t="n">
        <v>893</v>
      </c>
      <c r="GU197" s="8" t="n">
        <v>893</v>
      </c>
      <c r="GV197" s="8" t="n">
        <v>1786</v>
      </c>
      <c r="GW197" s="9">
        <f>GS197+GT197+GU197+GV197</f>
        <v/>
      </c>
      <c r="GX197" s="9">
        <f>GM197+GR197+GW197</f>
        <v/>
      </c>
      <c r="GY197" s="8" t="n">
        <v>48403899.88</v>
      </c>
      <c r="GZ197" s="8" t="n">
        <v>494196.87</v>
      </c>
      <c r="HA197" s="9">
        <f>GY197+GZ197</f>
        <v/>
      </c>
      <c r="HB197" s="9">
        <f>IF(GX197=0,"",AU197/GX197)</f>
        <v/>
      </c>
      <c r="HC197" s="10">
        <f>IF((GX197+GY197)=0,"",GB197/(GX197+GY197))</f>
        <v/>
      </c>
      <c r="HD197" s="9">
        <f>IF(GX197=0,"",GB197/GX197)</f>
        <v/>
      </c>
      <c r="HE197" s="8" t="n">
        <v>13</v>
      </c>
      <c r="HF197" s="8" t="n">
        <v>1</v>
      </c>
      <c r="HG197" s="8" t="n">
        <v>11</v>
      </c>
      <c r="HH197" s="8" t="n">
        <v>13</v>
      </c>
      <c r="HI197" s="8" t="n">
        <v>5</v>
      </c>
      <c r="HJ197" s="9">
        <f>HF197+HI197</f>
        <v/>
      </c>
      <c r="HK197" s="10">
        <f>IF(HE197=0,"",HH197/HE197)</f>
        <v/>
      </c>
      <c r="HL197" s="8" t="n">
        <v>15</v>
      </c>
      <c r="HM197" s="8" t="n">
        <v>3</v>
      </c>
      <c r="HN197" s="11">
        <f>IF(HL197=0,"",HM197/HL197)</f>
        <v/>
      </c>
    </row>
    <row r="198">
      <c r="A198" s="12" t="inlineStr">
        <is>
          <t>Mulanje</t>
        </is>
      </c>
      <c r="B198" s="12" t="inlineStr">
        <is>
          <t>Thyolo</t>
        </is>
      </c>
      <c r="C198" s="13" t="inlineStr">
        <is>
          <t>FY2025/26</t>
        </is>
      </c>
      <c r="D198" s="13" t="n">
        <v>2025</v>
      </c>
      <c r="E198" s="13" t="n">
        <v>7</v>
      </c>
      <c r="F198" s="13" t="inlineStr">
        <is>
          <t>July</t>
        </is>
      </c>
      <c r="G198" s="13" t="inlineStr">
        <is>
          <t>Q2</t>
        </is>
      </c>
      <c r="H198" s="14" t="n">
        <v>16900</v>
      </c>
      <c r="I198" s="14" t="n">
        <v>5161</v>
      </c>
      <c r="J198" s="14" t="n">
        <v>4</v>
      </c>
      <c r="K198" s="14" t="n">
        <v>4</v>
      </c>
      <c r="L198" s="14" t="n">
        <v>54</v>
      </c>
      <c r="M198" s="15">
        <f>SUM(I198,J198,K198,L198)</f>
        <v/>
      </c>
      <c r="N198" s="14" t="n">
        <v>2865</v>
      </c>
      <c r="O198" s="14" t="n">
        <v>9</v>
      </c>
      <c r="P198" s="14" t="n">
        <v>1364</v>
      </c>
      <c r="Q198" s="14" t="n">
        <v>373</v>
      </c>
      <c r="R198" s="15">
        <f>SUM(N198,O198,P198,Q198)</f>
        <v/>
      </c>
      <c r="S198" s="15">
        <f>M198+R198</f>
        <v/>
      </c>
      <c r="T198" s="14" t="n">
        <v>7066</v>
      </c>
      <c r="U198" s="16">
        <f>IF(H198=0,"",T198/H198)</f>
        <v/>
      </c>
      <c r="V198" s="14" t="n">
        <v>60</v>
      </c>
      <c r="W198" s="17">
        <f>IF(H198=0,"",V198/H198)</f>
        <v/>
      </c>
      <c r="X198" s="14" t="n">
        <v>0</v>
      </c>
      <c r="Y198" s="17">
        <f>IF(H198=0,"",X198/H198)</f>
        <v/>
      </c>
      <c r="Z198" s="14" t="n">
        <v>0</v>
      </c>
      <c r="AA198" s="17">
        <f>IF(H198=0,"",Z198/H198)</f>
        <v/>
      </c>
      <c r="AB198" s="14" t="n">
        <v>63</v>
      </c>
      <c r="AC198" s="17">
        <f>IF(H198=0,"",AB198/H198)</f>
        <v/>
      </c>
      <c r="AD198" s="14" t="n">
        <v>0</v>
      </c>
      <c r="AE198" s="17">
        <f>IF(H198=0,"",AD198/H198)</f>
        <v/>
      </c>
      <c r="AF198" s="14" t="n">
        <v>0</v>
      </c>
      <c r="AG198" s="17">
        <f>IF(H198=0,"",AF198/H198)</f>
        <v/>
      </c>
      <c r="AH198" s="14" t="n">
        <v>683437.05</v>
      </c>
      <c r="AI198" s="15">
        <f>IF(H198=0,"",AH198/H198)</f>
        <v/>
      </c>
      <c r="AJ198" s="14" t="n">
        <v>23450</v>
      </c>
      <c r="AK198" s="17">
        <f>IF(H198=0,"",AJ198/H198)</f>
        <v/>
      </c>
      <c r="AL198" s="14" t="n">
        <v>3270149.175</v>
      </c>
      <c r="AM198" s="15">
        <f>IF(H198=0,"",AL198/H198)</f>
        <v/>
      </c>
      <c r="AN198" s="14" t="n">
        <v>0</v>
      </c>
      <c r="AO198" s="14" t="n">
        <v>20</v>
      </c>
      <c r="AP198" s="14" t="n">
        <v>54680</v>
      </c>
      <c r="AQ198" s="14" t="n">
        <v>0</v>
      </c>
      <c r="AR198" s="14" t="n">
        <v>12087168.62</v>
      </c>
      <c r="AS198" s="14" t="n">
        <v>2867102.86</v>
      </c>
      <c r="AT198" s="14" t="n">
        <v>5392360</v>
      </c>
      <c r="AU198" s="15">
        <f>AH198+AL198+AP198+AQ198+AR198+AS198+AT198</f>
        <v/>
      </c>
      <c r="AV198" s="15">
        <f>IF(H198=0,"",AU198/H198)</f>
        <v/>
      </c>
      <c r="AW198" s="15">
        <f>IF(S198=0,"",AU198/S198)</f>
        <v/>
      </c>
      <c r="AX198" s="14" t="n">
        <v>10</v>
      </c>
      <c r="AY198" s="15">
        <f>IF(H198=0,"",AX198/(H198/1000/12))</f>
        <v/>
      </c>
      <c r="AZ198" s="14" t="n">
        <v>15</v>
      </c>
      <c r="BA198" s="14" t="n">
        <v>11</v>
      </c>
      <c r="BB198" s="14" t="n">
        <v>16</v>
      </c>
      <c r="BC198" s="14" t="n">
        <v>10</v>
      </c>
      <c r="BD198" s="14" t="n">
        <v>4</v>
      </c>
      <c r="BE198" s="15">
        <f>BC198+BD198</f>
        <v/>
      </c>
      <c r="BF198" s="15">
        <f>BA198+BB198-BE198</f>
        <v/>
      </c>
      <c r="BG198" s="14" t="n">
        <v>0</v>
      </c>
      <c r="BH198" s="14" t="n">
        <v>0</v>
      </c>
      <c r="BI198" s="14" t="n">
        <v>0</v>
      </c>
      <c r="BJ198" s="14" t="n">
        <v>0</v>
      </c>
      <c r="BK198" s="15">
        <f>BI198+BJ198</f>
        <v/>
      </c>
      <c r="BL198" s="15">
        <f>BG198+BH198-BK198</f>
        <v/>
      </c>
      <c r="BM198" s="14" t="n">
        <v>0</v>
      </c>
      <c r="BN198" s="14" t="n">
        <v>0</v>
      </c>
      <c r="BO198" s="14" t="n">
        <v>0</v>
      </c>
      <c r="BP198" s="14" t="n">
        <v>0</v>
      </c>
      <c r="BQ198" s="15">
        <f>BO198+BP198</f>
        <v/>
      </c>
      <c r="BR198" s="15">
        <f>BM198+BN198-BQ198</f>
        <v/>
      </c>
      <c r="BS198" s="14" t="n">
        <v>0</v>
      </c>
      <c r="BT198" s="14" t="n">
        <v>0</v>
      </c>
      <c r="BU198" s="14" t="n">
        <v>0</v>
      </c>
      <c r="BV198" s="14" t="n">
        <v>0</v>
      </c>
      <c r="BW198" s="15">
        <f>BU198+BV198</f>
        <v/>
      </c>
      <c r="BX198" s="15">
        <f>BS198+BT198-BW198</f>
        <v/>
      </c>
      <c r="BY198" s="15">
        <f>BA198+BG198+BM198+BS198</f>
        <v/>
      </c>
      <c r="BZ198" s="15">
        <f>BB198+BH198+BN198+BT198</f>
        <v/>
      </c>
      <c r="CA198" s="15">
        <f>BE198+BK198+BQ198+BW198</f>
        <v/>
      </c>
      <c r="CB198" s="15">
        <f>BF198+BL198+BR198+BX198</f>
        <v/>
      </c>
      <c r="CC198" s="14" t="n">
        <v>4</v>
      </c>
      <c r="CD198" s="14" t="n">
        <v>514</v>
      </c>
      <c r="CE198" s="14" t="n">
        <v>13</v>
      </c>
      <c r="CF198" s="14" t="n">
        <v>13</v>
      </c>
      <c r="CG198" s="14" t="n">
        <v>16</v>
      </c>
      <c r="CH198" s="15">
        <f>CD198+CE198+CF198+CG198</f>
        <v/>
      </c>
      <c r="CI198" s="14" t="n">
        <v>809</v>
      </c>
      <c r="CJ198" s="14" t="n">
        <v>1</v>
      </c>
      <c r="CK198" s="14" t="n">
        <v>2</v>
      </c>
      <c r="CL198" s="14" t="n">
        <v>1</v>
      </c>
      <c r="CM198" s="15">
        <f>CI198+CJ198+CK198+CL198</f>
        <v/>
      </c>
      <c r="CN198" s="14" t="n">
        <v>772</v>
      </c>
      <c r="CO198" s="14" t="n">
        <v>52</v>
      </c>
      <c r="CP198" s="14" t="n">
        <v>54</v>
      </c>
      <c r="CQ198" s="14" t="n">
        <v>2</v>
      </c>
      <c r="CR198" s="15">
        <f>CN198+CO198+CP198+CQ198</f>
        <v/>
      </c>
      <c r="CS198" s="15">
        <f>CM198+CR198</f>
        <v/>
      </c>
      <c r="CT198" s="14" t="n">
        <v>2249</v>
      </c>
      <c r="CU198" s="14" t="n">
        <v>12005</v>
      </c>
      <c r="CV198" s="14" t="n">
        <v>11080</v>
      </c>
      <c r="CW198" s="16">
        <f>IF(CU198=0,"",CV198/CU198)</f>
        <v/>
      </c>
      <c r="CX198" s="14" t="n">
        <v>0</v>
      </c>
      <c r="CY198" s="14" t="n">
        <v>0</v>
      </c>
      <c r="CZ198" s="14" t="n">
        <v>0</v>
      </c>
      <c r="DA198" s="14" t="n">
        <v>0</v>
      </c>
      <c r="DB198" s="15">
        <f>CX198+CY198-CZ198-DA198</f>
        <v/>
      </c>
      <c r="DC198" s="14" t="n">
        <v>0</v>
      </c>
      <c r="DD198" s="14" t="n">
        <v>0</v>
      </c>
      <c r="DE198" s="14" t="n">
        <v>0</v>
      </c>
      <c r="DF198" s="14" t="n">
        <v>0</v>
      </c>
      <c r="DG198" s="15">
        <f>DC198+DD198-DE198-DF198</f>
        <v/>
      </c>
      <c r="DH198" s="14" t="n">
        <v>0</v>
      </c>
      <c r="DI198" s="14" t="n">
        <v>0</v>
      </c>
      <c r="DJ198" s="14" t="n">
        <v>0</v>
      </c>
      <c r="DK198" s="14" t="n">
        <v>0</v>
      </c>
      <c r="DL198" s="15">
        <f>DH198+DI198-DJ198-DK198</f>
        <v/>
      </c>
      <c r="DM198" s="14" t="n">
        <v>77</v>
      </c>
      <c r="DN198" s="14" t="n">
        <v>20</v>
      </c>
      <c r="DO198" s="14" t="n">
        <v>61</v>
      </c>
      <c r="DP198" s="14" t="n">
        <v>0</v>
      </c>
      <c r="DQ198" s="15">
        <f>DM198+DN198-DO198-DP198</f>
        <v/>
      </c>
      <c r="DR198" s="15">
        <f>CX198+DC198+DH198+DM198</f>
        <v/>
      </c>
      <c r="DS198" s="15">
        <f>CY198+DD198+DI198+DN198</f>
        <v/>
      </c>
      <c r="DT198" s="15">
        <f>CZ198+DE198+DJ198+DO198</f>
        <v/>
      </c>
      <c r="DU198" s="15">
        <f>DA198+DF198+DK198+DP198</f>
        <v/>
      </c>
      <c r="DV198" s="15">
        <f>DB198+DG198+DL198+DQ198</f>
        <v/>
      </c>
      <c r="DW198" s="14" t="n">
        <v>35</v>
      </c>
      <c r="DX198" s="14" t="n">
        <v>28</v>
      </c>
      <c r="DY198" s="14" t="n">
        <v>18</v>
      </c>
      <c r="DZ198" s="14" t="n">
        <v>1</v>
      </c>
      <c r="EA198" s="14" t="n">
        <v>6</v>
      </c>
      <c r="EB198" s="14" t="n">
        <v>3</v>
      </c>
      <c r="EC198" s="14" t="n">
        <v>0</v>
      </c>
      <c r="ED198" s="14" t="n">
        <v>2</v>
      </c>
      <c r="EE198" s="14" t="n">
        <v>0</v>
      </c>
      <c r="EF198" s="14" t="n">
        <v>0</v>
      </c>
      <c r="EG198" s="14" t="n">
        <v>0</v>
      </c>
      <c r="EH198" s="14" t="n">
        <v>0</v>
      </c>
      <c r="EI198" s="14" t="n">
        <v>0</v>
      </c>
      <c r="EJ198" s="14" t="n">
        <v>7</v>
      </c>
      <c r="EK198" s="14" t="n">
        <v>7</v>
      </c>
      <c r="EL198" s="14" t="n">
        <v>0</v>
      </c>
      <c r="EM198" s="14" t="n">
        <v>0</v>
      </c>
      <c r="EN198" s="14" t="n">
        <v>0</v>
      </c>
      <c r="EO198" s="14" t="n">
        <v>0</v>
      </c>
      <c r="EP198" s="14" t="n">
        <v>0</v>
      </c>
      <c r="EQ198" s="14" t="n">
        <v>0</v>
      </c>
      <c r="ER198" s="14" t="n">
        <v>0</v>
      </c>
      <c r="ES198" s="14" t="n">
        <v>0</v>
      </c>
      <c r="ET198" s="14" t="n">
        <v>0</v>
      </c>
      <c r="EU198" s="14" t="n">
        <v>0</v>
      </c>
      <c r="EV198" s="14" t="n">
        <v>0</v>
      </c>
      <c r="EW198" s="14" t="n">
        <v>0</v>
      </c>
      <c r="EX198" s="14" t="n">
        <v>0</v>
      </c>
      <c r="EY198" s="14" t="n">
        <v>0</v>
      </c>
      <c r="EZ198" s="14" t="n">
        <v>0</v>
      </c>
      <c r="FA198" s="14" t="n">
        <v>0</v>
      </c>
      <c r="FB198" s="14" t="n">
        <v>0</v>
      </c>
      <c r="FC198" s="14" t="n">
        <v>0</v>
      </c>
      <c r="FD198" s="14" t="n">
        <v>0</v>
      </c>
      <c r="FE198" s="14" t="n">
        <v>0</v>
      </c>
      <c r="FF198" s="14" t="n">
        <v>0</v>
      </c>
      <c r="FG198" s="15">
        <f>SUM(DW198,DX198,DY198,DZ198,EA198,EB198,EC198,ED198,EE198,EF198,EG198,EH198,EI198,EJ198,EK198,EL198,EM198,EN198,EO198,EP198,EQ198,ER198,ES198,ET198,EU198,EV198,EW198,EX198,EY198,EZ198,FA198,FB198,FC198,FD198,FE198,FF198)</f>
        <v/>
      </c>
      <c r="FH198" s="14" t="n">
        <v>1</v>
      </c>
      <c r="FI198" s="14" t="n">
        <v>336</v>
      </c>
      <c r="FJ198" s="14" t="n">
        <v>6</v>
      </c>
      <c r="FK198" s="14" t="n">
        <v>72</v>
      </c>
      <c r="FL198" s="14" t="n">
        <v>0</v>
      </c>
      <c r="FM198" s="14" t="n">
        <v>0</v>
      </c>
      <c r="FN198" s="14" t="n">
        <v>0</v>
      </c>
      <c r="FO198" s="14" t="n">
        <v>0</v>
      </c>
      <c r="FP198" s="14" t="n">
        <v>0</v>
      </c>
      <c r="FQ198" s="15">
        <f>FL198+FM198+FN198+FO198+FP198</f>
        <v/>
      </c>
      <c r="FR198" s="14" t="n">
        <v>11157183.76</v>
      </c>
      <c r="FS198" s="14" t="n">
        <v>8000</v>
      </c>
      <c r="FT198" s="14" t="n">
        <v>850719.4399999999</v>
      </c>
      <c r="FU198" s="14" t="n">
        <v>0</v>
      </c>
      <c r="FV198" s="15">
        <f>FR198+FS198+FT198+FU198</f>
        <v/>
      </c>
      <c r="FW198" s="14" t="n">
        <v>3907337.13</v>
      </c>
      <c r="FX198" s="14" t="n">
        <v>2000</v>
      </c>
      <c r="FY198" s="14" t="n">
        <v>1771856.18</v>
      </c>
      <c r="FZ198" s="14" t="n">
        <v>4148973.67</v>
      </c>
      <c r="GA198" s="15">
        <f>FW198+FX198+FY198+FZ198</f>
        <v/>
      </c>
      <c r="GB198" s="15">
        <f>FV198+GA198</f>
        <v/>
      </c>
      <c r="GC198" s="14" t="n">
        <v>4572562.2</v>
      </c>
      <c r="GD198" s="14" t="n">
        <v>765.12</v>
      </c>
      <c r="GE198" s="14" t="n">
        <v>8410.99</v>
      </c>
      <c r="GF198" s="14" t="n">
        <v>218364.98</v>
      </c>
      <c r="GG198" s="15">
        <f>GC198+GD198+GE198+GF198</f>
        <v/>
      </c>
      <c r="GH198" s="14" t="n">
        <v>4800103.29</v>
      </c>
      <c r="GI198" s="14" t="n">
        <v>0</v>
      </c>
      <c r="GJ198" s="14" t="n">
        <v>0</v>
      </c>
      <c r="GK198" s="14" t="n">
        <v>0</v>
      </c>
      <c r="GL198" s="15">
        <f>GH198+GI198+GJ198+GK198</f>
        <v/>
      </c>
      <c r="GM198" s="15">
        <f>GG198+GL198</f>
        <v/>
      </c>
      <c r="GN198" s="14" t="n">
        <v>434280.68</v>
      </c>
      <c r="GO198" s="14" t="n">
        <v>191.28</v>
      </c>
      <c r="GP198" s="14" t="n">
        <v>3393.64</v>
      </c>
      <c r="GQ198" s="14" t="n">
        <v>9274.68</v>
      </c>
      <c r="GR198" s="15">
        <f>GN198+GO198+GP198+GQ198</f>
        <v/>
      </c>
      <c r="GS198" s="14" t="n">
        <v>722437</v>
      </c>
      <c r="GT198" s="14" t="n">
        <v>893</v>
      </c>
      <c r="GU198" s="14" t="n">
        <v>893</v>
      </c>
      <c r="GV198" s="14" t="n">
        <v>1786</v>
      </c>
      <c r="GW198" s="15">
        <f>GS198+GT198+GU198+GV198</f>
        <v/>
      </c>
      <c r="GX198" s="15">
        <f>GM198+GR198+GW198</f>
        <v/>
      </c>
      <c r="GY198" s="14" t="n">
        <v>40191094.61</v>
      </c>
      <c r="GZ198" s="14" t="n">
        <v>499854.7</v>
      </c>
      <c r="HA198" s="15">
        <f>GY198+GZ198</f>
        <v/>
      </c>
      <c r="HB198" s="15">
        <f>IF(GX198=0,"",AU198/GX198)</f>
        <v/>
      </c>
      <c r="HC198" s="16">
        <f>IF((GX198+GY198)=0,"",GB198/(GX198+GY198))</f>
        <v/>
      </c>
      <c r="HD198" s="15">
        <f>IF(GX198=0,"",GB198/GX198)</f>
        <v/>
      </c>
      <c r="HE198" s="14" t="n">
        <v>16</v>
      </c>
      <c r="HF198" s="14" t="n">
        <v>5</v>
      </c>
      <c r="HG198" s="14" t="n">
        <v>13</v>
      </c>
      <c r="HH198" s="14" t="n">
        <v>16</v>
      </c>
      <c r="HI198" s="14" t="n">
        <v>5</v>
      </c>
      <c r="HJ198" s="15">
        <f>HF198+HI198</f>
        <v/>
      </c>
      <c r="HK198" s="16">
        <f>IF(HE198=0,"",HH198/HE198)</f>
        <v/>
      </c>
      <c r="HL198" s="14" t="n">
        <v>18</v>
      </c>
      <c r="HM198" s="14" t="n">
        <v>5</v>
      </c>
      <c r="HN198" s="17">
        <f>IF(HL198=0,"",HM198/HL198)</f>
        <v/>
      </c>
    </row>
    <row r="199">
      <c r="A199" s="6" t="inlineStr">
        <is>
          <t>Mulanje</t>
        </is>
      </c>
      <c r="B199" s="6" t="inlineStr">
        <is>
          <t>Thyolo</t>
        </is>
      </c>
      <c r="C199" s="7" t="inlineStr">
        <is>
          <t>FY2025/26</t>
        </is>
      </c>
      <c r="D199" s="7" t="n">
        <v>2025</v>
      </c>
      <c r="E199" s="7" t="n">
        <v>8</v>
      </c>
      <c r="F199" s="7" t="inlineStr">
        <is>
          <t>August</t>
        </is>
      </c>
      <c r="G199" s="7" t="inlineStr">
        <is>
          <t>Q2</t>
        </is>
      </c>
      <c r="H199" s="8" t="n">
        <v>16190</v>
      </c>
      <c r="I199" s="8" t="n">
        <v>4613</v>
      </c>
      <c r="J199" s="8" t="n">
        <v>0</v>
      </c>
      <c r="K199" s="8" t="n">
        <v>4</v>
      </c>
      <c r="L199" s="8" t="n">
        <v>18</v>
      </c>
      <c r="M199" s="9">
        <f>SUM(I199,J199,K199,L199)</f>
        <v/>
      </c>
      <c r="N199" s="8" t="n">
        <v>4200.7</v>
      </c>
      <c r="O199" s="8" t="n">
        <v>13</v>
      </c>
      <c r="P199" s="8" t="n">
        <v>203</v>
      </c>
      <c r="Q199" s="8" t="n">
        <v>582.9</v>
      </c>
      <c r="R199" s="9">
        <f>SUM(N199,O199,P199,Q199)</f>
        <v/>
      </c>
      <c r="S199" s="9">
        <f>M199+R199</f>
        <v/>
      </c>
      <c r="T199" s="8" t="n">
        <v>6555.4</v>
      </c>
      <c r="U199" s="10">
        <f>IF(H199=0,"",T199/H199)</f>
        <v/>
      </c>
      <c r="V199" s="8" t="n">
        <v>80</v>
      </c>
      <c r="W199" s="11">
        <f>IF(H199=0,"",V199/H199)</f>
        <v/>
      </c>
      <c r="X199" s="8" t="n">
        <v>0</v>
      </c>
      <c r="Y199" s="11">
        <f>IF(H199=0,"",X199/H199)</f>
        <v/>
      </c>
      <c r="Z199" s="8" t="n">
        <v>0</v>
      </c>
      <c r="AA199" s="11">
        <f>IF(H199=0,"",Z199/H199)</f>
        <v/>
      </c>
      <c r="AB199" s="8" t="n">
        <v>50</v>
      </c>
      <c r="AC199" s="11">
        <f>IF(H199=0,"",AB199/H199)</f>
        <v/>
      </c>
      <c r="AD199" s="8" t="n">
        <v>0</v>
      </c>
      <c r="AE199" s="11">
        <f>IF(H199=0,"",AD199/H199)</f>
        <v/>
      </c>
      <c r="AF199" s="8" t="n">
        <v>0</v>
      </c>
      <c r="AG199" s="11">
        <f>IF(H199=0,"",AF199/H199)</f>
        <v/>
      </c>
      <c r="AH199" s="8" t="n">
        <v>707931.1</v>
      </c>
      <c r="AI199" s="9">
        <f>IF(H199=0,"",AH199/H199)</f>
        <v/>
      </c>
      <c r="AJ199" s="8" t="n">
        <v>23450</v>
      </c>
      <c r="AK199" s="11">
        <f>IF(H199=0,"",AJ199/H199)</f>
        <v/>
      </c>
      <c r="AL199" s="8" t="n">
        <v>3270149.175</v>
      </c>
      <c r="AM199" s="9">
        <f>IF(H199=0,"",AL199/H199)</f>
        <v/>
      </c>
      <c r="AN199" s="8" t="n">
        <v>0</v>
      </c>
      <c r="AO199" s="8" t="n">
        <v>0</v>
      </c>
      <c r="AP199" s="8" t="n">
        <v>0</v>
      </c>
      <c r="AQ199" s="8" t="n">
        <v>0</v>
      </c>
      <c r="AR199" s="8" t="n">
        <v>12287931.9</v>
      </c>
      <c r="AS199" s="8" t="n">
        <v>3855261.78</v>
      </c>
      <c r="AT199" s="8" t="n">
        <v>1970933.5</v>
      </c>
      <c r="AU199" s="9">
        <f>AH199+AL199+AP199+AQ199+AR199+AS199+AT199</f>
        <v/>
      </c>
      <c r="AV199" s="9">
        <f>IF(H199=0,"",AU199/H199)</f>
        <v/>
      </c>
      <c r="AW199" s="9">
        <f>IF(S199=0,"",AU199/S199)</f>
        <v/>
      </c>
      <c r="AX199" s="8" t="n">
        <v>10</v>
      </c>
      <c r="AY199" s="9">
        <f>IF(H199=0,"",AX199/(H199/1000/12))</f>
        <v/>
      </c>
      <c r="AZ199" s="8" t="n">
        <v>15</v>
      </c>
      <c r="BA199" s="8" t="n">
        <v>13</v>
      </c>
      <c r="BB199" s="8" t="n">
        <v>8</v>
      </c>
      <c r="BC199" s="8" t="n">
        <v>3</v>
      </c>
      <c r="BD199" s="8" t="n">
        <v>10</v>
      </c>
      <c r="BE199" s="9">
        <f>BC199+BD199</f>
        <v/>
      </c>
      <c r="BF199" s="9">
        <f>BA199+BB199-BE199</f>
        <v/>
      </c>
      <c r="BG199" s="8" t="n">
        <v>0</v>
      </c>
      <c r="BH199" s="8" t="n">
        <v>0</v>
      </c>
      <c r="BI199" s="8" t="n">
        <v>0</v>
      </c>
      <c r="BJ199" s="8" t="n">
        <v>0</v>
      </c>
      <c r="BK199" s="9">
        <f>BI199+BJ199</f>
        <v/>
      </c>
      <c r="BL199" s="9">
        <f>BG199+BH199-BK199</f>
        <v/>
      </c>
      <c r="BM199" s="8" t="n">
        <v>0</v>
      </c>
      <c r="BN199" s="8" t="n">
        <v>0</v>
      </c>
      <c r="BO199" s="8" t="n">
        <v>0</v>
      </c>
      <c r="BP199" s="8" t="n">
        <v>0</v>
      </c>
      <c r="BQ199" s="9">
        <f>BO199+BP199</f>
        <v/>
      </c>
      <c r="BR199" s="9">
        <f>BM199+BN199-BQ199</f>
        <v/>
      </c>
      <c r="BS199" s="8" t="n">
        <v>0</v>
      </c>
      <c r="BT199" s="8" t="n">
        <v>0</v>
      </c>
      <c r="BU199" s="8" t="n">
        <v>0</v>
      </c>
      <c r="BV199" s="8" t="n">
        <v>0</v>
      </c>
      <c r="BW199" s="9">
        <f>BU199+BV199</f>
        <v/>
      </c>
      <c r="BX199" s="9">
        <f>BS199+BT199-BW199</f>
        <v/>
      </c>
      <c r="BY199" s="9">
        <f>BA199+BG199+BM199+BS199</f>
        <v/>
      </c>
      <c r="BZ199" s="9">
        <f>BB199+BH199+BN199+BT199</f>
        <v/>
      </c>
      <c r="CA199" s="9">
        <f>BE199+BK199+BQ199+BW199</f>
        <v/>
      </c>
      <c r="CB199" s="9">
        <f>BF199+BL199+BR199+BX199</f>
        <v/>
      </c>
      <c r="CC199" s="8" t="n">
        <v>23</v>
      </c>
      <c r="CD199" s="8" t="n">
        <v>524</v>
      </c>
      <c r="CE199" s="8" t="n">
        <v>13</v>
      </c>
      <c r="CF199" s="8" t="n">
        <v>13</v>
      </c>
      <c r="CG199" s="8" t="n">
        <v>16</v>
      </c>
      <c r="CH199" s="9">
        <f>CD199+CE199+CF199+CG199</f>
        <v/>
      </c>
      <c r="CI199" s="8" t="n">
        <v>793</v>
      </c>
      <c r="CJ199" s="8" t="n">
        <v>1</v>
      </c>
      <c r="CK199" s="8" t="n">
        <v>2</v>
      </c>
      <c r="CL199" s="8" t="n">
        <v>1</v>
      </c>
      <c r="CM199" s="9">
        <f>CI199+CJ199+CK199+CL199</f>
        <v/>
      </c>
      <c r="CN199" s="8" t="n">
        <v>798</v>
      </c>
      <c r="CO199" s="8" t="n">
        <v>53</v>
      </c>
      <c r="CP199" s="8" t="n">
        <v>56</v>
      </c>
      <c r="CQ199" s="8" t="n">
        <v>2</v>
      </c>
      <c r="CR199" s="9">
        <f>CN199+CO199+CP199+CQ199</f>
        <v/>
      </c>
      <c r="CS199" s="9">
        <f>CM199+CR199</f>
        <v/>
      </c>
      <c r="CT199" s="8" t="n">
        <v>2272</v>
      </c>
      <c r="CU199" s="8" t="n">
        <v>12005</v>
      </c>
      <c r="CV199" s="8" t="n">
        <v>11080</v>
      </c>
      <c r="CW199" s="10">
        <f>IF(CU199=0,"",CV199/CU199)</f>
        <v/>
      </c>
      <c r="CX199" s="8" t="n">
        <v>0</v>
      </c>
      <c r="CY199" s="8" t="n">
        <v>0</v>
      </c>
      <c r="CZ199" s="8" t="n">
        <v>0</v>
      </c>
      <c r="DA199" s="8" t="n">
        <v>0</v>
      </c>
      <c r="DB199" s="9">
        <f>CX199+CY199-CZ199-DA199</f>
        <v/>
      </c>
      <c r="DC199" s="8" t="n">
        <v>0</v>
      </c>
      <c r="DD199" s="8" t="n">
        <v>0</v>
      </c>
      <c r="DE199" s="8" t="n">
        <v>0</v>
      </c>
      <c r="DF199" s="8" t="n">
        <v>0</v>
      </c>
      <c r="DG199" s="9">
        <f>DC199+DD199-DE199-DF199</f>
        <v/>
      </c>
      <c r="DH199" s="8" t="n">
        <v>0</v>
      </c>
      <c r="DI199" s="8" t="n">
        <v>0</v>
      </c>
      <c r="DJ199" s="8" t="n">
        <v>0</v>
      </c>
      <c r="DK199" s="8" t="n">
        <v>0</v>
      </c>
      <c r="DL199" s="9">
        <f>DH199+DI199-DJ199-DK199</f>
        <v/>
      </c>
      <c r="DM199" s="8" t="n">
        <v>36</v>
      </c>
      <c r="DN199" s="8" t="n">
        <v>35</v>
      </c>
      <c r="DO199" s="8" t="n">
        <v>13</v>
      </c>
      <c r="DP199" s="8" t="n">
        <v>0</v>
      </c>
      <c r="DQ199" s="9">
        <f>DM199+DN199-DO199-DP199</f>
        <v/>
      </c>
      <c r="DR199" s="9">
        <f>CX199+DC199+DH199+DM199</f>
        <v/>
      </c>
      <c r="DS199" s="9">
        <f>CY199+DD199+DI199+DN199</f>
        <v/>
      </c>
      <c r="DT199" s="9">
        <f>CZ199+DE199+DJ199+DO199</f>
        <v/>
      </c>
      <c r="DU199" s="9">
        <f>DA199+DF199+DK199+DP199</f>
        <v/>
      </c>
      <c r="DV199" s="9">
        <f>DB199+DG199+DL199+DQ199</f>
        <v/>
      </c>
      <c r="DW199" s="8" t="n">
        <v>37</v>
      </c>
      <c r="DX199" s="8" t="n">
        <v>28</v>
      </c>
      <c r="DY199" s="8" t="n">
        <v>20</v>
      </c>
      <c r="DZ199" s="8" t="n">
        <v>1</v>
      </c>
      <c r="EA199" s="8" t="n">
        <v>5</v>
      </c>
      <c r="EB199" s="8" t="n">
        <v>3</v>
      </c>
      <c r="EC199" s="8" t="n">
        <v>0</v>
      </c>
      <c r="ED199" s="8" t="n">
        <v>0</v>
      </c>
      <c r="EE199" s="8" t="n">
        <v>0</v>
      </c>
      <c r="EF199" s="8" t="n">
        <v>3</v>
      </c>
      <c r="EG199" s="8" t="n">
        <v>0</v>
      </c>
      <c r="EH199" s="8" t="n">
        <v>0</v>
      </c>
      <c r="EI199" s="8" t="n">
        <v>0</v>
      </c>
      <c r="EJ199" s="8" t="n">
        <v>4</v>
      </c>
      <c r="EK199" s="8" t="n">
        <v>0</v>
      </c>
      <c r="EL199" s="8" t="n">
        <v>0</v>
      </c>
      <c r="EM199" s="8" t="n">
        <v>0</v>
      </c>
      <c r="EN199" s="8" t="n">
        <v>0</v>
      </c>
      <c r="EO199" s="8" t="n">
        <v>0</v>
      </c>
      <c r="EP199" s="8" t="n">
        <v>0</v>
      </c>
      <c r="EQ199" s="8" t="n">
        <v>0</v>
      </c>
      <c r="ER199" s="8" t="n">
        <v>0</v>
      </c>
      <c r="ES199" s="8" t="n">
        <v>0</v>
      </c>
      <c r="ET199" s="8" t="n">
        <v>0</v>
      </c>
      <c r="EU199" s="8" t="n">
        <v>0</v>
      </c>
      <c r="EV199" s="8" t="n">
        <v>0</v>
      </c>
      <c r="EW199" s="8" t="n">
        <v>0</v>
      </c>
      <c r="EX199" s="8" t="n">
        <v>0</v>
      </c>
      <c r="EY199" s="8" t="n">
        <v>0</v>
      </c>
      <c r="EZ199" s="8" t="n">
        <v>0</v>
      </c>
      <c r="FA199" s="8" t="n">
        <v>0</v>
      </c>
      <c r="FB199" s="8" t="n">
        <v>0</v>
      </c>
      <c r="FC199" s="8" t="n">
        <v>0</v>
      </c>
      <c r="FD199" s="8" t="n">
        <v>0</v>
      </c>
      <c r="FE199" s="8" t="n">
        <v>1</v>
      </c>
      <c r="FF199" s="8" t="n">
        <v>1</v>
      </c>
      <c r="FG199" s="9">
        <f>SUM(DW199,DX199,DY199,DZ199,EA199,EB199,EC199,ED199,EE199,EF199,EG199,EH199,EI199,EJ199,EK199,EL199,EM199,EN199,EO199,EP199,EQ199,ER199,ES199,ET199,EU199,EV199,EW199,EX199,EY199,EZ199,FA199,FB199,FC199,FD199,FE199,FF199)</f>
        <v/>
      </c>
      <c r="FH199" s="8" t="n">
        <v>17</v>
      </c>
      <c r="FI199" s="8" t="n">
        <v>60</v>
      </c>
      <c r="FJ199" s="8" t="n">
        <v>8</v>
      </c>
      <c r="FK199" s="8" t="n">
        <v>68</v>
      </c>
      <c r="FL199" s="8" t="n">
        <v>0</v>
      </c>
      <c r="FM199" s="8" t="n">
        <v>0</v>
      </c>
      <c r="FN199" s="8" t="n">
        <v>0</v>
      </c>
      <c r="FO199" s="8" t="n">
        <v>0</v>
      </c>
      <c r="FP199" s="8" t="n">
        <v>0</v>
      </c>
      <c r="FQ199" s="9">
        <f>FL199+FM199+FN199+FO199+FP199</f>
        <v/>
      </c>
      <c r="FR199" s="8" t="n">
        <v>3557185.87</v>
      </c>
      <c r="FS199" s="8" t="n">
        <v>3557185.87</v>
      </c>
      <c r="FT199" s="8" t="n">
        <v>135232.78</v>
      </c>
      <c r="FU199" s="8" t="n">
        <v>0</v>
      </c>
      <c r="FV199" s="9">
        <f>FR199+FS199+FT199+FU199</f>
        <v/>
      </c>
      <c r="FW199" s="8" t="n">
        <v>5667119.009999997</v>
      </c>
      <c r="FX199" s="8" t="n">
        <v>2700</v>
      </c>
      <c r="FY199" s="8" t="n">
        <v>2833579.36</v>
      </c>
      <c r="FZ199" s="8" t="n">
        <v>622192.89</v>
      </c>
      <c r="GA199" s="9">
        <f>FW199+FX199+FY199+FZ199</f>
        <v/>
      </c>
      <c r="GB199" s="9">
        <f>FV199+GA199</f>
        <v/>
      </c>
      <c r="GC199" s="8" t="n">
        <v>4091683.78</v>
      </c>
      <c r="GD199" s="8" t="n">
        <v>765.12</v>
      </c>
      <c r="GE199" s="8" t="n">
        <v>765.12</v>
      </c>
      <c r="GF199" s="8" t="n">
        <v>51389.36</v>
      </c>
      <c r="GG199" s="9">
        <f>GC199+GD199+GE199+GF199</f>
        <v/>
      </c>
      <c r="GH199" s="8" t="n">
        <v>4143838.26</v>
      </c>
      <c r="GI199" s="8" t="n">
        <v>0</v>
      </c>
      <c r="GJ199" s="8" t="n">
        <v>0</v>
      </c>
      <c r="GK199" s="8" t="n">
        <v>0</v>
      </c>
      <c r="GL199" s="9">
        <f>GH199+GI199+GJ199+GK199</f>
        <v/>
      </c>
      <c r="GM199" s="9">
        <f>GG199+GL199</f>
        <v/>
      </c>
      <c r="GN199" s="8" t="n">
        <v>426422.88</v>
      </c>
      <c r="GO199" s="8" t="n">
        <v>191.28</v>
      </c>
      <c r="GP199" s="8" t="n">
        <v>191.28</v>
      </c>
      <c r="GQ199" s="8" t="n">
        <v>9274.68</v>
      </c>
      <c r="GR199" s="9">
        <f>GN199+GO199+GP199+GQ199</f>
        <v/>
      </c>
      <c r="GS199" s="8" t="n">
        <v>708149</v>
      </c>
      <c r="GT199" s="8" t="n">
        <v>893</v>
      </c>
      <c r="GU199" s="8" t="n">
        <v>893</v>
      </c>
      <c r="GV199" s="8" t="n">
        <v>1786</v>
      </c>
      <c r="GW199" s="9">
        <f>GS199+GT199+GU199+GV199</f>
        <v/>
      </c>
      <c r="GX199" s="9">
        <f>GM199+GR199+GW199</f>
        <v/>
      </c>
      <c r="GY199" s="8" t="n">
        <v>41702743.3</v>
      </c>
      <c r="GZ199" s="8" t="n">
        <v>499854.76</v>
      </c>
      <c r="HA199" s="9">
        <f>GY199+GZ199</f>
        <v/>
      </c>
      <c r="HB199" s="9">
        <f>IF(GX199=0,"",AU199/GX199)</f>
        <v/>
      </c>
      <c r="HC199" s="10">
        <f>IF((GX199+GY199)=0,"",GB199/(GX199+GY199))</f>
        <v/>
      </c>
      <c r="HD199" s="9">
        <f>IF(GX199=0,"",GB199/GX199)</f>
        <v/>
      </c>
      <c r="HE199" s="8" t="n">
        <v>8</v>
      </c>
      <c r="HF199" s="8" t="n">
        <v>2</v>
      </c>
      <c r="HG199" s="8" t="n">
        <v>8</v>
      </c>
      <c r="HH199" s="8" t="n">
        <v>8</v>
      </c>
      <c r="HI199" s="8" t="n">
        <v>5</v>
      </c>
      <c r="HJ199" s="9">
        <f>HF199+HI199</f>
        <v/>
      </c>
      <c r="HK199" s="10">
        <f>IF(HE199=0,"",HH199/HE199)</f>
        <v/>
      </c>
      <c r="HL199" s="8" t="n">
        <v>21</v>
      </c>
      <c r="HM199" s="8" t="n">
        <v>2</v>
      </c>
      <c r="HN199" s="11">
        <f>IF(HL199=0,"",HM199/HL199)</f>
        <v/>
      </c>
    </row>
    <row r="200">
      <c r="A200" s="12" t="inlineStr">
        <is>
          <t>Mulanje</t>
        </is>
      </c>
      <c r="B200" s="12" t="inlineStr">
        <is>
          <t>Thyolo</t>
        </is>
      </c>
      <c r="C200" s="13" t="inlineStr">
        <is>
          <t>FY2025/26</t>
        </is>
      </c>
      <c r="D200" s="13" t="n">
        <v>2025</v>
      </c>
      <c r="E200" s="13" t="n">
        <v>9</v>
      </c>
      <c r="F200" s="13" t="inlineStr">
        <is>
          <t>September</t>
        </is>
      </c>
      <c r="G200" s="13" t="inlineStr">
        <is>
          <t>Q2</t>
        </is>
      </c>
      <c r="H200" s="14" t="n">
        <v>21080</v>
      </c>
      <c r="I200" s="14" t="n">
        <v>5544</v>
      </c>
      <c r="J200" s="14" t="n">
        <v>8</v>
      </c>
      <c r="K200" s="14" t="n">
        <v>0</v>
      </c>
      <c r="L200" s="14" t="n">
        <v>57</v>
      </c>
      <c r="M200" s="15">
        <f>SUM(I200,J200,K200,L200)</f>
        <v/>
      </c>
      <c r="N200" s="14" t="n">
        <v>4901.60000000001</v>
      </c>
      <c r="O200" s="14" t="n">
        <v>22.6</v>
      </c>
      <c r="P200" s="14" t="n">
        <v>845.7</v>
      </c>
      <c r="Q200" s="14" t="n">
        <v>621.2</v>
      </c>
      <c r="R200" s="15">
        <f>SUM(N200,O200,P200,Q200)</f>
        <v/>
      </c>
      <c r="S200" s="15">
        <f>M200+R200</f>
        <v/>
      </c>
      <c r="T200" s="14" t="n">
        <v>9079.899999999991</v>
      </c>
      <c r="U200" s="16">
        <f>IF(H200=0,"",T200/H200)</f>
        <v/>
      </c>
      <c r="V200" s="14" t="n">
        <v>70</v>
      </c>
      <c r="W200" s="17">
        <f>IF(H200=0,"",V200/H200)</f>
        <v/>
      </c>
      <c r="X200" s="14" t="n">
        <v>0</v>
      </c>
      <c r="Y200" s="17">
        <f>IF(H200=0,"",X200/H200)</f>
        <v/>
      </c>
      <c r="Z200" s="14" t="n">
        <v>0</v>
      </c>
      <c r="AA200" s="17">
        <f>IF(H200=0,"",Z200/H200)</f>
        <v/>
      </c>
      <c r="AB200" s="14" t="n">
        <v>44</v>
      </c>
      <c r="AC200" s="17">
        <f>IF(H200=0,"",AB200/H200)</f>
        <v/>
      </c>
      <c r="AD200" s="14" t="n">
        <v>0</v>
      </c>
      <c r="AE200" s="17">
        <f>IF(H200=0,"",AD200/H200)</f>
        <v/>
      </c>
      <c r="AF200" s="14" t="n">
        <v>0</v>
      </c>
      <c r="AG200" s="17">
        <f>IF(H200=0,"",AF200/H200)</f>
        <v/>
      </c>
      <c r="AH200" s="14" t="n">
        <v>620934.7</v>
      </c>
      <c r="AI200" s="15">
        <f>IF(H200=0,"",AH200/H200)</f>
        <v/>
      </c>
      <c r="AJ200" s="14" t="n">
        <v>23450</v>
      </c>
      <c r="AK200" s="17">
        <f>IF(H200=0,"",AJ200/H200)</f>
        <v/>
      </c>
      <c r="AL200" s="14" t="n">
        <v>3270149.175</v>
      </c>
      <c r="AM200" s="15">
        <f>IF(H200=0,"",AL200/H200)</f>
        <v/>
      </c>
      <c r="AN200" s="14" t="n">
        <v>0</v>
      </c>
      <c r="AO200" s="14" t="n">
        <v>0</v>
      </c>
      <c r="AP200" s="14" t="n">
        <v>0</v>
      </c>
      <c r="AQ200" s="14" t="n">
        <v>0</v>
      </c>
      <c r="AR200" s="14" t="n">
        <v>11467032.98</v>
      </c>
      <c r="AS200" s="14" t="n">
        <v>3684088.6</v>
      </c>
      <c r="AT200" s="14" t="n">
        <v>650000</v>
      </c>
      <c r="AU200" s="15">
        <f>AH200+AL200+AP200+AQ200+AR200+AS200+AT200</f>
        <v/>
      </c>
      <c r="AV200" s="15">
        <f>IF(H200=0,"",AU200/H200)</f>
        <v/>
      </c>
      <c r="AW200" s="15">
        <f>IF(S200=0,"",AU200/S200)</f>
        <v/>
      </c>
      <c r="AX200" s="14" t="n">
        <v>10</v>
      </c>
      <c r="AY200" s="15">
        <f>IF(H200=0,"",AX200/(H200/1000/12))</f>
        <v/>
      </c>
      <c r="AZ200" s="14" t="n">
        <v>15</v>
      </c>
      <c r="BA200" s="14" t="n">
        <v>8</v>
      </c>
      <c r="BB200" s="14" t="n">
        <v>7</v>
      </c>
      <c r="BC200" s="14" t="n">
        <v>4</v>
      </c>
      <c r="BD200" s="14" t="n">
        <v>9</v>
      </c>
      <c r="BE200" s="15">
        <f>BC200+BD200</f>
        <v/>
      </c>
      <c r="BF200" s="15">
        <f>BA200+BB200-BE200</f>
        <v/>
      </c>
      <c r="BG200" s="14" t="n">
        <v>0</v>
      </c>
      <c r="BH200" s="14" t="n">
        <v>0</v>
      </c>
      <c r="BI200" s="14" t="n">
        <v>0</v>
      </c>
      <c r="BJ200" s="14" t="n">
        <v>0</v>
      </c>
      <c r="BK200" s="15">
        <f>BI200+BJ200</f>
        <v/>
      </c>
      <c r="BL200" s="15">
        <f>BG200+BH200-BK200</f>
        <v/>
      </c>
      <c r="BM200" s="14" t="n">
        <v>0</v>
      </c>
      <c r="BN200" s="14" t="n">
        <v>0</v>
      </c>
      <c r="BO200" s="14" t="n">
        <v>0</v>
      </c>
      <c r="BP200" s="14" t="n">
        <v>0</v>
      </c>
      <c r="BQ200" s="15">
        <f>BO200+BP200</f>
        <v/>
      </c>
      <c r="BR200" s="15">
        <f>BM200+BN200-BQ200</f>
        <v/>
      </c>
      <c r="BS200" s="14" t="n">
        <v>0</v>
      </c>
      <c r="BT200" s="14" t="n">
        <v>0</v>
      </c>
      <c r="BU200" s="14" t="n">
        <v>0</v>
      </c>
      <c r="BV200" s="14" t="n">
        <v>0</v>
      </c>
      <c r="BW200" s="15">
        <f>BU200+BV200</f>
        <v/>
      </c>
      <c r="BX200" s="15">
        <f>BS200+BT200-BW200</f>
        <v/>
      </c>
      <c r="BY200" s="15">
        <f>BA200+BG200+BM200+BS200</f>
        <v/>
      </c>
      <c r="BZ200" s="15">
        <f>BB200+BH200+BN200+BT200</f>
        <v/>
      </c>
      <c r="CA200" s="15">
        <f>BE200+BK200+BQ200+BW200</f>
        <v/>
      </c>
      <c r="CB200" s="15">
        <f>BF200+BL200+BR200+BX200</f>
        <v/>
      </c>
      <c r="CC200" s="14" t="n">
        <v>9</v>
      </c>
      <c r="CD200" s="14" t="n">
        <v>484</v>
      </c>
      <c r="CE200" s="14" t="n">
        <v>13</v>
      </c>
      <c r="CF200" s="14" t="n">
        <v>13</v>
      </c>
      <c r="CG200" s="14" t="n">
        <v>16</v>
      </c>
      <c r="CH200" s="15">
        <f>CD200+CE200+CF200+CG200</f>
        <v/>
      </c>
      <c r="CI200" s="14" t="n">
        <v>808</v>
      </c>
      <c r="CJ200" s="14" t="n">
        <v>1</v>
      </c>
      <c r="CK200" s="14" t="n">
        <v>2</v>
      </c>
      <c r="CL200" s="14" t="n">
        <v>1</v>
      </c>
      <c r="CM200" s="15">
        <f>CI200+CJ200+CK200+CL200</f>
        <v/>
      </c>
      <c r="CN200" s="14" t="n">
        <v>827</v>
      </c>
      <c r="CO200" s="14" t="n">
        <v>54</v>
      </c>
      <c r="CP200" s="14" t="n">
        <v>55</v>
      </c>
      <c r="CQ200" s="14" t="n">
        <v>2</v>
      </c>
      <c r="CR200" s="15">
        <f>CN200+CO200+CP200+CQ200</f>
        <v/>
      </c>
      <c r="CS200" s="15">
        <f>CM200+CR200</f>
        <v/>
      </c>
      <c r="CT200" s="14" t="n">
        <v>2276</v>
      </c>
      <c r="CU200" s="14" t="n">
        <v>12005</v>
      </c>
      <c r="CV200" s="14" t="n">
        <v>11080</v>
      </c>
      <c r="CW200" s="16">
        <f>IF(CU200=0,"",CV200/CU200)</f>
        <v/>
      </c>
      <c r="CX200" s="14" t="n"/>
      <c r="CY200" s="14" t="n"/>
      <c r="CZ200" s="14" t="n"/>
      <c r="DA200" s="14" t="n"/>
      <c r="DB200" s="15">
        <f>CX200+CY200-CZ200-DA200</f>
        <v/>
      </c>
      <c r="DC200" s="14" t="n">
        <v>0</v>
      </c>
      <c r="DD200" s="14" t="n">
        <v>0</v>
      </c>
      <c r="DE200" s="14" t="n">
        <v>0</v>
      </c>
      <c r="DF200" s="14" t="n">
        <v>0</v>
      </c>
      <c r="DG200" s="15">
        <f>DC200+DD200-DE200-DF200</f>
        <v/>
      </c>
      <c r="DH200" s="14" t="n">
        <v>0</v>
      </c>
      <c r="DI200" s="14" t="n">
        <v>0</v>
      </c>
      <c r="DJ200" s="14" t="n">
        <v>0</v>
      </c>
      <c r="DK200" s="14" t="n">
        <v>0</v>
      </c>
      <c r="DL200" s="15">
        <f>DH200+DI200-DJ200-DK200</f>
        <v/>
      </c>
      <c r="DM200" s="14" t="n">
        <v>58</v>
      </c>
      <c r="DN200" s="14" t="n">
        <v>15</v>
      </c>
      <c r="DO200" s="14" t="n">
        <v>26</v>
      </c>
      <c r="DP200" s="14" t="n">
        <v>0</v>
      </c>
      <c r="DQ200" s="15">
        <f>DM200+DN200-DO200-DP200</f>
        <v/>
      </c>
      <c r="DR200" s="15">
        <f>CX200+DC200+DH200+DM200</f>
        <v/>
      </c>
      <c r="DS200" s="15">
        <f>CY200+DD200+DI200+DN200</f>
        <v/>
      </c>
      <c r="DT200" s="15">
        <f>CZ200+DE200+DJ200+DO200</f>
        <v/>
      </c>
      <c r="DU200" s="15">
        <f>DA200+DF200+DK200+DP200</f>
        <v/>
      </c>
      <c r="DV200" s="15">
        <f>DB200+DG200+DL200+DQ200</f>
        <v/>
      </c>
      <c r="DW200" s="14" t="n">
        <v>51</v>
      </c>
      <c r="DX200" s="14" t="n">
        <v>35</v>
      </c>
      <c r="DY200" s="14" t="n">
        <v>25</v>
      </c>
      <c r="DZ200" s="14" t="n">
        <v>0</v>
      </c>
      <c r="EA200" s="14" t="n">
        <v>7</v>
      </c>
      <c r="EB200" s="14" t="n">
        <v>3</v>
      </c>
      <c r="EC200" s="14" t="n">
        <v>0</v>
      </c>
      <c r="ED200" s="14" t="n">
        <v>1</v>
      </c>
      <c r="EE200" s="14" t="n">
        <v>2</v>
      </c>
      <c r="EF200" s="14" t="n">
        <v>3</v>
      </c>
      <c r="EG200" s="14" t="n">
        <v>0</v>
      </c>
      <c r="EH200" s="14" t="n">
        <v>0</v>
      </c>
      <c r="EI200" s="14" t="n">
        <v>0</v>
      </c>
      <c r="EJ200" s="14" t="n">
        <v>7</v>
      </c>
      <c r="EK200" s="14" t="n">
        <v>7</v>
      </c>
      <c r="EL200" s="14" t="n">
        <v>0</v>
      </c>
      <c r="EM200" s="14" t="n">
        <v>0</v>
      </c>
      <c r="EN200" s="14" t="n">
        <v>0</v>
      </c>
      <c r="EO200" s="14" t="n">
        <v>0</v>
      </c>
      <c r="EP200" s="14" t="n">
        <v>0</v>
      </c>
      <c r="EQ200" s="14" t="n">
        <v>0</v>
      </c>
      <c r="ER200" s="14" t="n">
        <v>0</v>
      </c>
      <c r="ES200" s="14" t="n">
        <v>0</v>
      </c>
      <c r="ET200" s="14" t="n">
        <v>0</v>
      </c>
      <c r="EU200" s="14" t="n">
        <v>0</v>
      </c>
      <c r="EV200" s="14" t="n">
        <v>0</v>
      </c>
      <c r="EW200" s="14" t="n">
        <v>0</v>
      </c>
      <c r="EX200" s="14" t="n">
        <v>0</v>
      </c>
      <c r="EY200" s="14" t="n">
        <v>0</v>
      </c>
      <c r="EZ200" s="14" t="n">
        <v>0</v>
      </c>
      <c r="FA200" s="14" t="n">
        <v>0</v>
      </c>
      <c r="FB200" s="14" t="n">
        <v>0</v>
      </c>
      <c r="FC200" s="14" t="n">
        <v>0</v>
      </c>
      <c r="FD200" s="14" t="n">
        <v>0</v>
      </c>
      <c r="FE200" s="14" t="n">
        <v>0</v>
      </c>
      <c r="FF200" s="14" t="n">
        <v>1</v>
      </c>
      <c r="FG200" s="15">
        <f>SUM(DW200,DX200,DY200,DZ200,EA200,EB200,EC200,ED200,EE200,EF200,EG200,EH200,EI200,EJ200,EK200,EL200,EM200,EN200,EO200,EP200,EQ200,ER200,ES200,ET200,EU200,EV200,EW200,EX200,EY200,EZ200,FA200,FB200,FC200,FD200,FE200,FF200)</f>
        <v/>
      </c>
      <c r="FH200" s="14" t="n">
        <v>22</v>
      </c>
      <c r="FI200" s="14" t="n">
        <v>61</v>
      </c>
      <c r="FJ200" s="14" t="n">
        <v>8</v>
      </c>
      <c r="FK200" s="14" t="n">
        <v>44</v>
      </c>
      <c r="FL200" s="14" t="n">
        <v>44</v>
      </c>
      <c r="FM200" s="14" t="n">
        <v>0</v>
      </c>
      <c r="FN200" s="14" t="n">
        <v>0</v>
      </c>
      <c r="FO200" s="14" t="n">
        <v>0</v>
      </c>
      <c r="FP200" s="14" t="n">
        <v>0</v>
      </c>
      <c r="FQ200" s="15">
        <f>FL200+FM200+FN200+FO200+FP200</f>
        <v/>
      </c>
      <c r="FR200" s="14" t="n">
        <v>4682507.22</v>
      </c>
      <c r="FS200" s="14" t="n">
        <v>7000</v>
      </c>
      <c r="FT200" s="14" t="n">
        <v>7000</v>
      </c>
      <c r="FU200" s="14" t="n">
        <v>82000</v>
      </c>
      <c r="FV200" s="15">
        <f>FR200+FS200+FT200+FU200</f>
        <v/>
      </c>
      <c r="FW200" s="14" t="n">
        <v>6489702.419999996</v>
      </c>
      <c r="FX200" s="14" t="n">
        <v>4800</v>
      </c>
      <c r="FY200" s="14" t="n">
        <v>2939028.09</v>
      </c>
      <c r="FZ200" s="14" t="n">
        <v>2576700</v>
      </c>
      <c r="GA200" s="15">
        <f>FW200+FX200+FY200+FZ200</f>
        <v/>
      </c>
      <c r="GB200" s="15">
        <f>FV200+GA200</f>
        <v/>
      </c>
      <c r="GC200" s="14" t="n">
        <v>4908447.57</v>
      </c>
      <c r="GD200" s="14" t="n">
        <v>1530.24</v>
      </c>
      <c r="GE200" s="14" t="n">
        <v>1530.24</v>
      </c>
      <c r="GF200" s="14" t="n">
        <v>236062.4</v>
      </c>
      <c r="GG200" s="15">
        <f>GC200+GD200+GE200+GF200</f>
        <v/>
      </c>
      <c r="GH200" s="14" t="n">
        <v>5146040.21</v>
      </c>
      <c r="GI200" s="14" t="n">
        <v>0</v>
      </c>
      <c r="GJ200" s="14" t="n">
        <v>0</v>
      </c>
      <c r="GK200" s="14" t="n">
        <v>0</v>
      </c>
      <c r="GL200" s="15">
        <f>GH200+GI200+GJ200+GK200</f>
        <v/>
      </c>
      <c r="GM200" s="15">
        <f>GG200+GL200</f>
        <v/>
      </c>
      <c r="GN200" s="14" t="n">
        <v>434616.01</v>
      </c>
      <c r="GO200" s="14" t="n">
        <v>191.28</v>
      </c>
      <c r="GP200" s="14" t="n">
        <v>191.28</v>
      </c>
      <c r="GQ200" s="14" t="n">
        <v>9274.68</v>
      </c>
      <c r="GR200" s="15">
        <f>GN200+GO200+GP200+GQ200</f>
        <v/>
      </c>
      <c r="GS200" s="14" t="n">
        <v>721544</v>
      </c>
      <c r="GT200" s="14" t="n">
        <v>893</v>
      </c>
      <c r="GU200" s="14" t="n">
        <v>893</v>
      </c>
      <c r="GV200" s="14" t="n">
        <v>1786</v>
      </c>
      <c r="GW200" s="15">
        <f>GS200+GT200+GU200+GV200</f>
        <v/>
      </c>
      <c r="GX200" s="15">
        <f>GM200+GR200+GW200</f>
        <v/>
      </c>
      <c r="GY200" s="14" t="n">
        <v>41702743.3</v>
      </c>
      <c r="GZ200" s="14" t="n">
        <v>499854.76</v>
      </c>
      <c r="HA200" s="15">
        <f>GY200+GZ200</f>
        <v/>
      </c>
      <c r="HB200" s="15">
        <f>IF(GX200=0,"",AU200/GX200)</f>
        <v/>
      </c>
      <c r="HC200" s="16">
        <f>IF((GX200+GY200)=0,"",GB200/(GX200+GY200))</f>
        <v/>
      </c>
      <c r="HD200" s="15">
        <f>IF(GX200=0,"",GB200/GX200)</f>
        <v/>
      </c>
      <c r="HE200" s="14" t="n">
        <v>7</v>
      </c>
      <c r="HF200" s="14" t="n">
        <v>5</v>
      </c>
      <c r="HG200" s="14" t="n">
        <v>2</v>
      </c>
      <c r="HH200" s="14" t="n">
        <v>7</v>
      </c>
      <c r="HI200" s="14" t="n">
        <v>5</v>
      </c>
      <c r="HJ200" s="15">
        <f>HF200+HI200</f>
        <v/>
      </c>
      <c r="HK200" s="16">
        <f>IF(HE200=0,"",HH200/HE200)</f>
        <v/>
      </c>
      <c r="HL200" s="14" t="n">
        <v>15</v>
      </c>
      <c r="HM200" s="14" t="n">
        <v>3</v>
      </c>
      <c r="HN200" s="17">
        <f>IF(HL200=0,"",HM200/HL200)</f>
        <v/>
      </c>
    </row>
    <row r="201">
      <c r="A201" s="6" t="inlineStr">
        <is>
          <t>Mulanje</t>
        </is>
      </c>
      <c r="B201" s="6" t="inlineStr">
        <is>
          <t>Thyolo</t>
        </is>
      </c>
      <c r="C201" s="7" t="inlineStr">
        <is>
          <t>FY2025/26</t>
        </is>
      </c>
      <c r="D201" s="7" t="n">
        <v>2025</v>
      </c>
      <c r="E201" s="7" t="n">
        <v>10</v>
      </c>
      <c r="F201" s="7" t="inlineStr">
        <is>
          <t>October</t>
        </is>
      </c>
      <c r="G201" s="7" t="inlineStr">
        <is>
          <t>Q3</t>
        </is>
      </c>
      <c r="H201" s="8" t="n">
        <v>22320</v>
      </c>
      <c r="I201" s="8" t="n">
        <v>5280</v>
      </c>
      <c r="J201" s="8" t="n">
        <v>8</v>
      </c>
      <c r="K201" s="8" t="n">
        <v>0</v>
      </c>
      <c r="L201" s="8" t="n">
        <v>61</v>
      </c>
      <c r="M201" s="9">
        <f>SUM(I201,J201,K201,L201)</f>
        <v/>
      </c>
      <c r="N201" s="8" t="n">
        <v>4632</v>
      </c>
      <c r="O201" s="8" t="n">
        <v>18</v>
      </c>
      <c r="P201" s="8" t="n">
        <v>1790</v>
      </c>
      <c r="Q201" s="8" t="n">
        <v>434</v>
      </c>
      <c r="R201" s="9">
        <f>SUM(N201,O201,P201,Q201)</f>
        <v/>
      </c>
      <c r="S201" s="9">
        <f>M201+R201</f>
        <v/>
      </c>
      <c r="T201" s="8" t="n">
        <v>10097</v>
      </c>
      <c r="U201" s="10">
        <f>IF(H201=0,"",T201/H201)</f>
        <v/>
      </c>
      <c r="V201" s="8" t="n">
        <v>65</v>
      </c>
      <c r="W201" s="11">
        <f>IF(H201=0,"",V201/H201)</f>
        <v/>
      </c>
      <c r="X201" s="8" t="n">
        <v>0</v>
      </c>
      <c r="Y201" s="11">
        <f>IF(H201=0,"",X201/H201)</f>
        <v/>
      </c>
      <c r="Z201" s="8" t="n">
        <v>0</v>
      </c>
      <c r="AA201" s="11">
        <f>IF(H201=0,"",Z201/H201)</f>
        <v/>
      </c>
      <c r="AB201" s="8" t="n">
        <v>65</v>
      </c>
      <c r="AC201" s="11">
        <f>IF(H201=0,"",AB201/H201)</f>
        <v/>
      </c>
      <c r="AD201" s="8" t="n">
        <v>0</v>
      </c>
      <c r="AE201" s="11">
        <f>IF(H201=0,"",AD201/H201)</f>
        <v/>
      </c>
      <c r="AF201" s="8" t="n">
        <v>0</v>
      </c>
      <c r="AG201" s="11">
        <f>IF(H201=0,"",AF201/H201)</f>
        <v/>
      </c>
      <c r="AH201" s="8" t="n">
        <v>720955.3</v>
      </c>
      <c r="AI201" s="9">
        <f>IF(H201=0,"",AH201/H201)</f>
        <v/>
      </c>
      <c r="AJ201" s="8" t="n">
        <v>23450</v>
      </c>
      <c r="AK201" s="11">
        <f>IF(H201=0,"",AJ201/H201)</f>
        <v/>
      </c>
      <c r="AL201" s="8" t="n">
        <v>3270149.175</v>
      </c>
      <c r="AM201" s="9">
        <f>IF(H201=0,"",AL201/H201)</f>
        <v/>
      </c>
      <c r="AN201" s="8" t="n">
        <v>0</v>
      </c>
      <c r="AO201" s="8" t="n">
        <v>0</v>
      </c>
      <c r="AP201" s="8" t="n">
        <v>0</v>
      </c>
      <c r="AQ201" s="8" t="n">
        <v>0</v>
      </c>
      <c r="AR201" s="8" t="n">
        <v>6540311.87</v>
      </c>
      <c r="AS201" s="8" t="n">
        <v>0</v>
      </c>
      <c r="AT201" s="8" t="n">
        <v>7545869.59</v>
      </c>
      <c r="AU201" s="9">
        <f>AH201+AL201+AP201+AQ201+AR201+AS201+AT201</f>
        <v/>
      </c>
      <c r="AV201" s="9">
        <f>IF(H201=0,"",AU201/H201)</f>
        <v/>
      </c>
      <c r="AW201" s="9">
        <f>IF(S201=0,"",AU201/S201)</f>
        <v/>
      </c>
      <c r="AX201" s="8" t="n">
        <v>10</v>
      </c>
      <c r="AY201" s="9">
        <f>IF(H201=0,"",AX201/(H201/1000/12))</f>
        <v/>
      </c>
      <c r="AZ201" s="8" t="n">
        <v>15</v>
      </c>
      <c r="BA201" s="8" t="n">
        <v>2</v>
      </c>
      <c r="BB201" s="8" t="n">
        <v>12</v>
      </c>
      <c r="BC201" s="8" t="n">
        <v>1</v>
      </c>
      <c r="BD201" s="8" t="n">
        <v>8</v>
      </c>
      <c r="BE201" s="9">
        <f>BC201+BD201</f>
        <v/>
      </c>
      <c r="BF201" s="9">
        <f>BA201+BB201-BE201</f>
        <v/>
      </c>
      <c r="BG201" s="8" t="n">
        <v>0</v>
      </c>
      <c r="BH201" s="8" t="n">
        <v>0</v>
      </c>
      <c r="BI201" s="8" t="n">
        <v>0</v>
      </c>
      <c r="BJ201" s="8" t="n">
        <v>0</v>
      </c>
      <c r="BK201" s="9">
        <f>BI201+BJ201</f>
        <v/>
      </c>
      <c r="BL201" s="9">
        <f>BG201+BH201-BK201</f>
        <v/>
      </c>
      <c r="BM201" s="8" t="n">
        <v>0</v>
      </c>
      <c r="BN201" s="8" t="n">
        <v>0</v>
      </c>
      <c r="BO201" s="8" t="n">
        <v>0</v>
      </c>
      <c r="BP201" s="8" t="n">
        <v>0</v>
      </c>
      <c r="BQ201" s="9">
        <f>BO201+BP201</f>
        <v/>
      </c>
      <c r="BR201" s="9">
        <f>BM201+BN201-BQ201</f>
        <v/>
      </c>
      <c r="BS201" s="8" t="n">
        <v>0</v>
      </c>
      <c r="BT201" s="8" t="n">
        <v>0</v>
      </c>
      <c r="BU201" s="8" t="n">
        <v>0</v>
      </c>
      <c r="BV201" s="8" t="n">
        <v>0</v>
      </c>
      <c r="BW201" s="9">
        <f>BU201+BV201</f>
        <v/>
      </c>
      <c r="BX201" s="9">
        <f>BS201+BT201-BW201</f>
        <v/>
      </c>
      <c r="BY201" s="9">
        <f>BA201+BG201+BM201+BS201</f>
        <v/>
      </c>
      <c r="BZ201" s="9">
        <f>BB201+BH201+BN201+BT201</f>
        <v/>
      </c>
      <c r="CA201" s="9">
        <f>BE201+BK201+BQ201+BW201</f>
        <v/>
      </c>
      <c r="CB201" s="9">
        <f>BF201+BL201+BR201+BX201</f>
        <v/>
      </c>
      <c r="CC201" s="8" t="n">
        <v>27</v>
      </c>
      <c r="CD201" s="8" t="n">
        <v>470</v>
      </c>
      <c r="CE201" s="8" t="n">
        <v>13</v>
      </c>
      <c r="CF201" s="8" t="n">
        <v>13</v>
      </c>
      <c r="CG201" s="8" t="n">
        <v>16</v>
      </c>
      <c r="CH201" s="9">
        <f>CD201+CE201+CF201+CG201</f>
        <v/>
      </c>
      <c r="CI201" s="8" t="n">
        <v>806</v>
      </c>
      <c r="CJ201" s="8" t="n">
        <v>0</v>
      </c>
      <c r="CK201" s="8" t="n">
        <v>2</v>
      </c>
      <c r="CL201" s="8" t="n">
        <v>1</v>
      </c>
      <c r="CM201" s="9">
        <f>CI201+CJ201+CK201+CL201</f>
        <v/>
      </c>
      <c r="CN201" s="8" t="n">
        <v>855</v>
      </c>
      <c r="CO201" s="8" t="n">
        <v>55</v>
      </c>
      <c r="CP201" s="8" t="n">
        <v>56</v>
      </c>
      <c r="CQ201" s="8" t="n">
        <v>2</v>
      </c>
      <c r="CR201" s="9">
        <f>CN201+CO201+CP201+CQ201</f>
        <v/>
      </c>
      <c r="CS201" s="9">
        <f>CM201+CR201</f>
        <v/>
      </c>
      <c r="CT201" s="8" t="n">
        <v>2289</v>
      </c>
      <c r="CU201" s="8" t="n">
        <v>12005</v>
      </c>
      <c r="CV201" s="8" t="n">
        <v>11090</v>
      </c>
      <c r="CW201" s="10">
        <f>IF(CU201=0,"",CV201/CU201)</f>
        <v/>
      </c>
      <c r="CX201" s="8" t="n"/>
      <c r="CY201" s="8" t="n"/>
      <c r="CZ201" s="8" t="n"/>
      <c r="DA201" s="8" t="n"/>
      <c r="DB201" s="9">
        <f>CX201+CY201-CZ201-DA201</f>
        <v/>
      </c>
      <c r="DC201" s="8" t="n">
        <v>0</v>
      </c>
      <c r="DD201" s="8" t="n">
        <v>0</v>
      </c>
      <c r="DE201" s="8" t="n">
        <v>0</v>
      </c>
      <c r="DF201" s="8" t="n">
        <v>0</v>
      </c>
      <c r="DG201" s="9">
        <f>DC201+DD201-DE201-DF201</f>
        <v/>
      </c>
      <c r="DH201" s="8" t="n">
        <v>0</v>
      </c>
      <c r="DI201" s="8" t="n">
        <v>0</v>
      </c>
      <c r="DJ201" s="8" t="n">
        <v>0</v>
      </c>
      <c r="DK201" s="8" t="n">
        <v>0</v>
      </c>
      <c r="DL201" s="9">
        <f>DH201+DI201-DJ201-DK201</f>
        <v/>
      </c>
      <c r="DM201" s="8" t="n">
        <v>47</v>
      </c>
      <c r="DN201" s="8" t="n">
        <v>10</v>
      </c>
      <c r="DO201" s="8" t="n">
        <v>19</v>
      </c>
      <c r="DP201" s="8" t="n">
        <v>0</v>
      </c>
      <c r="DQ201" s="9">
        <f>DM201+DN201-DO201-DP201</f>
        <v/>
      </c>
      <c r="DR201" s="9">
        <f>CX201+DC201+DH201+DM201</f>
        <v/>
      </c>
      <c r="DS201" s="9">
        <f>CY201+DD201+DI201+DN201</f>
        <v/>
      </c>
      <c r="DT201" s="9">
        <f>CZ201+DE201+DJ201+DO201</f>
        <v/>
      </c>
      <c r="DU201" s="9">
        <f>DA201+DF201+DK201+DP201</f>
        <v/>
      </c>
      <c r="DV201" s="9">
        <f>DB201+DG201+DL201+DQ201</f>
        <v/>
      </c>
      <c r="DW201" s="8" t="n">
        <v>45</v>
      </c>
      <c r="DX201" s="8" t="n">
        <v>30</v>
      </c>
      <c r="DY201" s="8" t="n">
        <v>22</v>
      </c>
      <c r="DZ201" s="8" t="n">
        <v>0</v>
      </c>
      <c r="EA201" s="8" t="n">
        <v>6</v>
      </c>
      <c r="EB201" s="8" t="n">
        <v>0</v>
      </c>
      <c r="EC201" s="8" t="n">
        <v>0</v>
      </c>
      <c r="ED201" s="8" t="n">
        <v>1</v>
      </c>
      <c r="EE201" s="8" t="n">
        <v>2</v>
      </c>
      <c r="EF201" s="8" t="n">
        <v>1</v>
      </c>
      <c r="EG201" s="8" t="n">
        <v>0</v>
      </c>
      <c r="EH201" s="8" t="n">
        <v>0</v>
      </c>
      <c r="EI201" s="8" t="n">
        <v>0</v>
      </c>
      <c r="EJ201" s="8" t="n">
        <v>6</v>
      </c>
      <c r="EK201" s="8" t="n">
        <v>2</v>
      </c>
      <c r="EL201" s="8" t="n">
        <v>2</v>
      </c>
      <c r="EM201" s="8" t="n">
        <v>0</v>
      </c>
      <c r="EN201" s="8" t="n">
        <v>0</v>
      </c>
      <c r="EO201" s="8" t="n">
        <v>0</v>
      </c>
      <c r="EP201" s="8" t="n">
        <v>0</v>
      </c>
      <c r="EQ201" s="8" t="n">
        <v>0</v>
      </c>
      <c r="ER201" s="8" t="n">
        <v>0</v>
      </c>
      <c r="ES201" s="8" t="n">
        <v>0</v>
      </c>
      <c r="ET201" s="8" t="n">
        <v>0</v>
      </c>
      <c r="EU201" s="8" t="n">
        <v>0</v>
      </c>
      <c r="EV201" s="8" t="n">
        <v>0</v>
      </c>
      <c r="EW201" s="8" t="n">
        <v>0</v>
      </c>
      <c r="EX201" s="8" t="n">
        <v>0</v>
      </c>
      <c r="EY201" s="8" t="n">
        <v>0</v>
      </c>
      <c r="EZ201" s="8" t="n">
        <v>0</v>
      </c>
      <c r="FA201" s="8" t="n">
        <v>0</v>
      </c>
      <c r="FB201" s="8" t="n">
        <v>0</v>
      </c>
      <c r="FC201" s="8" t="n">
        <v>0</v>
      </c>
      <c r="FD201" s="8" t="n">
        <v>0</v>
      </c>
      <c r="FE201" s="8" t="n">
        <v>0</v>
      </c>
      <c r="FF201" s="8" t="n">
        <v>1</v>
      </c>
      <c r="FG201" s="9">
        <f>SUM(DW201,DX201,DY201,DZ201,EA201,EB201,EC201,ED201,EE201,EF201,EG201,EH201,EI201,EJ201,EK201,EL201,EM201,EN201,EO201,EP201,EQ201,ER201,ES201,ET201,EU201,EV201,EW201,EX201,EY201,EZ201,FA201,FB201,FC201,FD201,FE201,FF201)</f>
        <v/>
      </c>
      <c r="FH201" s="8" t="n">
        <v>0</v>
      </c>
      <c r="FI201" s="8" t="n">
        <v>4</v>
      </c>
      <c r="FJ201" s="8" t="n">
        <v>6</v>
      </c>
      <c r="FK201" s="8" t="n">
        <v>180</v>
      </c>
      <c r="FL201" s="8" t="n">
        <v>180</v>
      </c>
      <c r="FM201" s="8" t="n">
        <v>0</v>
      </c>
      <c r="FN201" s="8" t="n">
        <v>0</v>
      </c>
      <c r="FO201" s="8" t="n">
        <v>0</v>
      </c>
      <c r="FP201" s="8" t="n">
        <v>0</v>
      </c>
      <c r="FQ201" s="9">
        <f>FL201+FM201+FN201+FO201+FP201</f>
        <v/>
      </c>
      <c r="FR201" s="8" t="n">
        <v>6299018.44</v>
      </c>
      <c r="FS201" s="8" t="n">
        <v>6299018.44</v>
      </c>
      <c r="FT201" s="8" t="n">
        <v>0</v>
      </c>
      <c r="FU201" s="8" t="n">
        <v>0</v>
      </c>
      <c r="FV201" s="9">
        <f>FR201+FS201+FT201+FU201</f>
        <v/>
      </c>
      <c r="FW201" s="8" t="n">
        <v>6088487.729999994</v>
      </c>
      <c r="FX201" s="8" t="n">
        <v>5000</v>
      </c>
      <c r="FY201" s="8" t="n">
        <v>2051056.18</v>
      </c>
      <c r="FZ201" s="8" t="n">
        <v>5458318.200000001</v>
      </c>
      <c r="GA201" s="9">
        <f>FW201+FX201+FY201+FZ201</f>
        <v/>
      </c>
      <c r="GB201" s="9">
        <f>FV201+GA201</f>
        <v/>
      </c>
      <c r="GC201" s="8" t="n">
        <v>4680017.22</v>
      </c>
      <c r="GD201" s="8" t="n">
        <v>1530.24</v>
      </c>
      <c r="GE201" s="8" t="n">
        <v>1530.24</v>
      </c>
      <c r="GF201" s="8" t="n">
        <v>256053.92</v>
      </c>
      <c r="GG201" s="9">
        <f>GC201+GD201+GE201+GF201</f>
        <v/>
      </c>
      <c r="GH201" s="8" t="n">
        <v>4937601.38</v>
      </c>
      <c r="GI201" s="8" t="n">
        <v>0</v>
      </c>
      <c r="GJ201" s="8" t="n">
        <v>0</v>
      </c>
      <c r="GK201" s="8" t="n">
        <v>0</v>
      </c>
      <c r="GL201" s="9">
        <f>GH201+GI201+GJ201+GK201</f>
        <v/>
      </c>
      <c r="GM201" s="9">
        <f>GG201+GL201</f>
        <v/>
      </c>
      <c r="GN201" s="8" t="n">
        <v>433975.87</v>
      </c>
      <c r="GO201" s="8" t="n">
        <v>191.28</v>
      </c>
      <c r="GP201" s="8" t="n">
        <v>191.28</v>
      </c>
      <c r="GQ201" s="8" t="n">
        <v>9274.68</v>
      </c>
      <c r="GR201" s="9">
        <f>GN201+GO201+GP201+GQ201</f>
        <v/>
      </c>
      <c r="GS201" s="8" t="n">
        <v>719758</v>
      </c>
      <c r="GT201" s="8" t="n">
        <v>893</v>
      </c>
      <c r="GU201" s="8" t="n">
        <v>893</v>
      </c>
      <c r="GV201" s="8" t="n">
        <v>1786</v>
      </c>
      <c r="GW201" s="9">
        <f>GS201+GT201+GU201+GV201</f>
        <v/>
      </c>
      <c r="GX201" s="9">
        <f>GM201+GR201+GW201</f>
        <v/>
      </c>
      <c r="GY201" s="8" t="n">
        <v>43073027.14</v>
      </c>
      <c r="GZ201" s="8" t="n">
        <v>499854.76</v>
      </c>
      <c r="HA201" s="9">
        <f>GY201+GZ201</f>
        <v/>
      </c>
      <c r="HB201" s="9">
        <f>IF(GX201=0,"",AU201/GX201)</f>
        <v/>
      </c>
      <c r="HC201" s="10">
        <f>IF((GX201+GY201)=0,"",GB201/(GX201+GY201))</f>
        <v/>
      </c>
      <c r="HD201" s="9">
        <f>IF(GX201=0,"",GB201/GX201)</f>
        <v/>
      </c>
      <c r="HE201" s="8" t="n">
        <v>12</v>
      </c>
      <c r="HF201" s="8" t="n">
        <v>5</v>
      </c>
      <c r="HG201" s="8" t="n">
        <v>5</v>
      </c>
      <c r="HH201" s="8" t="n">
        <v>12</v>
      </c>
      <c r="HI201" s="8" t="n">
        <v>5</v>
      </c>
      <c r="HJ201" s="9">
        <f>HF201+HI201</f>
        <v/>
      </c>
      <c r="HK201" s="10">
        <f>IF(HE201=0,"",HH201/HE201)</f>
        <v/>
      </c>
      <c r="HL201" s="8" t="n">
        <v>25</v>
      </c>
      <c r="HM201" s="8" t="n">
        <v>5</v>
      </c>
      <c r="HN201" s="11">
        <f>IF(HL201=0,"",HM201/HL201)</f>
        <v/>
      </c>
    </row>
    <row r="202">
      <c r="A202" s="12" t="inlineStr">
        <is>
          <t>Mulanje</t>
        </is>
      </c>
      <c r="B202" s="12" t="inlineStr">
        <is>
          <t>Thyolo</t>
        </is>
      </c>
      <c r="C202" s="13" t="inlineStr">
        <is>
          <t>FY2025/26</t>
        </is>
      </c>
      <c r="D202" s="13" t="n">
        <v>2025</v>
      </c>
      <c r="E202" s="13" t="n">
        <v>11</v>
      </c>
      <c r="F202" s="13" t="inlineStr">
        <is>
          <t>November</t>
        </is>
      </c>
      <c r="G202" s="13" t="inlineStr">
        <is>
          <t>Q3</t>
        </is>
      </c>
      <c r="H202" s="14" t="n">
        <v>24330</v>
      </c>
      <c r="I202" s="14" t="n">
        <v>5649</v>
      </c>
      <c r="J202" s="14" t="n">
        <v>9</v>
      </c>
      <c r="K202" s="14" t="n">
        <v>0</v>
      </c>
      <c r="L202" s="14" t="n">
        <v>113</v>
      </c>
      <c r="M202" s="15">
        <f>SUM(I202,J202,K202,L202)</f>
        <v/>
      </c>
      <c r="N202" s="14" t="n">
        <v>4430.40000000001</v>
      </c>
      <c r="O202" s="14" t="n">
        <v>15.6</v>
      </c>
      <c r="P202" s="14" t="n">
        <v>2847.8</v>
      </c>
      <c r="Q202" s="14" t="n">
        <v>345.2</v>
      </c>
      <c r="R202" s="15">
        <f>SUM(N202,O202,P202,Q202)</f>
        <v/>
      </c>
      <c r="S202" s="15">
        <f>M202+R202</f>
        <v/>
      </c>
      <c r="T202" s="14" t="n">
        <v>10920</v>
      </c>
      <c r="U202" s="16">
        <f>IF(H202=0,"",T202/H202)</f>
        <v/>
      </c>
      <c r="V202" s="14" t="n">
        <v>72</v>
      </c>
      <c r="W202" s="17">
        <f>IF(H202=0,"",V202/H202)</f>
        <v/>
      </c>
      <c r="X202" s="14" t="n">
        <v>0</v>
      </c>
      <c r="Y202" s="17">
        <f>IF(H202=0,"",X202/H202)</f>
        <v/>
      </c>
      <c r="Z202" s="14" t="n">
        <v>0</v>
      </c>
      <c r="AA202" s="17">
        <f>IF(H202=0,"",Z202/H202)</f>
        <v/>
      </c>
      <c r="AB202" s="14" t="n">
        <v>69</v>
      </c>
      <c r="AC202" s="17">
        <f>IF(H202=0,"",AB202/H202)</f>
        <v/>
      </c>
      <c r="AD202" s="14" t="n">
        <v>0</v>
      </c>
      <c r="AE202" s="17">
        <f>IF(H202=0,"",AD202/H202)</f>
        <v/>
      </c>
      <c r="AF202" s="14" t="n">
        <v>0</v>
      </c>
      <c r="AG202" s="17">
        <f>IF(H202=0,"",AF202/H202)</f>
        <v/>
      </c>
      <c r="AH202" s="14" t="n">
        <v>780656.79</v>
      </c>
      <c r="AI202" s="15">
        <f>IF(H202=0,"",AH202/H202)</f>
        <v/>
      </c>
      <c r="AJ202" s="14" t="n">
        <v>23450</v>
      </c>
      <c r="AK202" s="17">
        <f>IF(H202=0,"",AJ202/H202)</f>
        <v/>
      </c>
      <c r="AL202" s="14" t="n">
        <v>3270149.175</v>
      </c>
      <c r="AM202" s="15">
        <f>IF(H202=0,"",AL202/H202)</f>
        <v/>
      </c>
      <c r="AN202" s="14" t="n">
        <v>0</v>
      </c>
      <c r="AO202" s="14" t="n">
        <v>0</v>
      </c>
      <c r="AP202" s="14" t="n">
        <v>0</v>
      </c>
      <c r="AQ202" s="14" t="n">
        <v>0</v>
      </c>
      <c r="AR202" s="14" t="n">
        <v>11883148.73</v>
      </c>
      <c r="AS202" s="14" t="n">
        <v>0</v>
      </c>
      <c r="AT202" s="14" t="n">
        <v>0</v>
      </c>
      <c r="AU202" s="15">
        <f>AH202+AL202+AP202+AQ202+AR202+AS202+AT202</f>
        <v/>
      </c>
      <c r="AV202" s="15">
        <f>IF(H202=0,"",AU202/H202)</f>
        <v/>
      </c>
      <c r="AW202" s="15">
        <f>IF(S202=0,"",AU202/S202)</f>
        <v/>
      </c>
      <c r="AX202" s="14" t="n">
        <v>10</v>
      </c>
      <c r="AY202" s="15">
        <f>IF(H202=0,"",AX202/(H202/1000/12))</f>
        <v/>
      </c>
      <c r="AZ202" s="14" t="n">
        <v>15</v>
      </c>
      <c r="BA202" s="14" t="n">
        <v>5</v>
      </c>
      <c r="BB202" s="14" t="n">
        <v>13</v>
      </c>
      <c r="BC202" s="14" t="n">
        <v>4</v>
      </c>
      <c r="BD202" s="14" t="n">
        <v>10</v>
      </c>
      <c r="BE202" s="15">
        <f>BC202+BD202</f>
        <v/>
      </c>
      <c r="BF202" s="15">
        <f>BA202+BB202-BE202</f>
        <v/>
      </c>
      <c r="BG202" s="14" t="n">
        <v>0</v>
      </c>
      <c r="BH202" s="14" t="n">
        <v>0</v>
      </c>
      <c r="BI202" s="14" t="n">
        <v>0</v>
      </c>
      <c r="BJ202" s="14" t="n">
        <v>0</v>
      </c>
      <c r="BK202" s="15">
        <f>BI202+BJ202</f>
        <v/>
      </c>
      <c r="BL202" s="15">
        <f>BG202+BH202-BK202</f>
        <v/>
      </c>
      <c r="BM202" s="14" t="n">
        <v>0</v>
      </c>
      <c r="BN202" s="14" t="n">
        <v>0</v>
      </c>
      <c r="BO202" s="14" t="n">
        <v>0</v>
      </c>
      <c r="BP202" s="14" t="n">
        <v>0</v>
      </c>
      <c r="BQ202" s="15">
        <f>BO202+BP202</f>
        <v/>
      </c>
      <c r="BR202" s="15">
        <f>BM202+BN202-BQ202</f>
        <v/>
      </c>
      <c r="BS202" s="14" t="n">
        <v>0</v>
      </c>
      <c r="BT202" s="14" t="n">
        <v>0</v>
      </c>
      <c r="BU202" s="14" t="n">
        <v>0</v>
      </c>
      <c r="BV202" s="14" t="n">
        <v>0</v>
      </c>
      <c r="BW202" s="15">
        <f>BU202+BV202</f>
        <v/>
      </c>
      <c r="BX202" s="15">
        <f>BS202+BT202-BW202</f>
        <v/>
      </c>
      <c r="BY202" s="15">
        <f>BA202+BG202+BM202+BS202</f>
        <v/>
      </c>
      <c r="BZ202" s="15">
        <f>BB202+BH202+BN202+BT202</f>
        <v/>
      </c>
      <c r="CA202" s="15">
        <f>BE202+BK202+BQ202+BW202</f>
        <v/>
      </c>
      <c r="CB202" s="15">
        <f>BF202+BL202+BR202+BX202</f>
        <v/>
      </c>
      <c r="CC202" s="14" t="n">
        <v>22</v>
      </c>
      <c r="CD202" s="14" t="n">
        <v>470</v>
      </c>
      <c r="CE202" s="14" t="n">
        <v>13</v>
      </c>
      <c r="CF202" s="14" t="n">
        <v>13</v>
      </c>
      <c r="CG202" s="14" t="n">
        <v>16</v>
      </c>
      <c r="CH202" s="15">
        <f>CD202+CE202+CF202+CG202</f>
        <v/>
      </c>
      <c r="CI202" s="14" t="n">
        <v>805</v>
      </c>
      <c r="CJ202" s="14" t="n">
        <v>0</v>
      </c>
      <c r="CK202" s="14" t="n">
        <v>4</v>
      </c>
      <c r="CL202" s="14" t="n">
        <v>1</v>
      </c>
      <c r="CM202" s="15">
        <f>CI202+CJ202+CK202+CL202</f>
        <v/>
      </c>
      <c r="CN202" s="14" t="n">
        <v>864</v>
      </c>
      <c r="CO202" s="14" t="n">
        <v>55</v>
      </c>
      <c r="CP202" s="14" t="n">
        <v>56</v>
      </c>
      <c r="CQ202" s="14" t="n">
        <v>2</v>
      </c>
      <c r="CR202" s="15">
        <f>CN202+CO202+CP202+CQ202</f>
        <v/>
      </c>
      <c r="CS202" s="15">
        <f>CM202+CR202</f>
        <v/>
      </c>
      <c r="CT202" s="14" t="n">
        <v>2299</v>
      </c>
      <c r="CU202" s="14" t="n">
        <v>12005</v>
      </c>
      <c r="CV202" s="14" t="n">
        <v>11100</v>
      </c>
      <c r="CW202" s="16">
        <f>IF(CU202=0,"",CV202/CU202)</f>
        <v/>
      </c>
      <c r="CX202" s="14" t="n"/>
      <c r="CY202" s="14" t="n"/>
      <c r="CZ202" s="14" t="n"/>
      <c r="DA202" s="14" t="n"/>
      <c r="DB202" s="15">
        <f>CX202+CY202-CZ202-DA202</f>
        <v/>
      </c>
      <c r="DC202" s="14" t="n">
        <v>0</v>
      </c>
      <c r="DD202" s="14" t="n">
        <v>0</v>
      </c>
      <c r="DE202" s="14" t="n">
        <v>0</v>
      </c>
      <c r="DF202" s="14" t="n">
        <v>0</v>
      </c>
      <c r="DG202" s="15">
        <f>DC202+DD202-DE202-DF202</f>
        <v/>
      </c>
      <c r="DH202" s="14" t="n">
        <v>0</v>
      </c>
      <c r="DI202" s="14" t="n">
        <v>0</v>
      </c>
      <c r="DJ202" s="14" t="n">
        <v>0</v>
      </c>
      <c r="DK202" s="14" t="n">
        <v>0</v>
      </c>
      <c r="DL202" s="15">
        <f>DH202+DI202-DJ202-DK202</f>
        <v/>
      </c>
      <c r="DM202" s="14" t="n">
        <v>38</v>
      </c>
      <c r="DN202" s="14" t="n">
        <v>20</v>
      </c>
      <c r="DO202" s="14" t="n">
        <v>4</v>
      </c>
      <c r="DP202" s="14" t="n">
        <v>0</v>
      </c>
      <c r="DQ202" s="15">
        <f>DM202+DN202-DO202-DP202</f>
        <v/>
      </c>
      <c r="DR202" s="15">
        <f>CX202+DC202+DH202+DM202</f>
        <v/>
      </c>
      <c r="DS202" s="15">
        <f>CY202+DD202+DI202+DN202</f>
        <v/>
      </c>
      <c r="DT202" s="15">
        <f>CZ202+DE202+DJ202+DO202</f>
        <v/>
      </c>
      <c r="DU202" s="15">
        <f>DA202+DF202+DK202+DP202</f>
        <v/>
      </c>
      <c r="DV202" s="15">
        <f>DB202+DG202+DL202+DQ202</f>
        <v/>
      </c>
      <c r="DW202" s="14" t="n">
        <v>50</v>
      </c>
      <c r="DX202" s="14" t="n">
        <v>30</v>
      </c>
      <c r="DY202" s="14" t="n">
        <v>25</v>
      </c>
      <c r="DZ202" s="14" t="n">
        <v>2</v>
      </c>
      <c r="EA202" s="14" t="n">
        <v>7</v>
      </c>
      <c r="EB202" s="14" t="n">
        <v>4</v>
      </c>
      <c r="EC202" s="14" t="n">
        <v>0</v>
      </c>
      <c r="ED202" s="14" t="n">
        <v>4</v>
      </c>
      <c r="EE202" s="14" t="n">
        <v>6</v>
      </c>
      <c r="EF202" s="14" t="n">
        <v>3</v>
      </c>
      <c r="EG202" s="14" t="n">
        <v>0</v>
      </c>
      <c r="EH202" s="14" t="n">
        <v>0</v>
      </c>
      <c r="EI202" s="14" t="n">
        <v>0</v>
      </c>
      <c r="EJ202" s="14" t="n">
        <v>8</v>
      </c>
      <c r="EK202" s="14" t="n">
        <v>8</v>
      </c>
      <c r="EL202" s="14" t="n">
        <v>0</v>
      </c>
      <c r="EM202" s="14" t="n">
        <v>0</v>
      </c>
      <c r="EN202" s="14" t="n">
        <v>0</v>
      </c>
      <c r="EO202" s="14" t="n">
        <v>0</v>
      </c>
      <c r="EP202" s="14" t="n">
        <v>0</v>
      </c>
      <c r="EQ202" s="14" t="n">
        <v>0</v>
      </c>
      <c r="ER202" s="14" t="n">
        <v>0</v>
      </c>
      <c r="ES202" s="14" t="n">
        <v>0</v>
      </c>
      <c r="ET202" s="14" t="n">
        <v>0</v>
      </c>
      <c r="EU202" s="14" t="n">
        <v>0</v>
      </c>
      <c r="EV202" s="14" t="n">
        <v>0</v>
      </c>
      <c r="EW202" s="14" t="n">
        <v>0</v>
      </c>
      <c r="EX202" s="14" t="n">
        <v>0</v>
      </c>
      <c r="EY202" s="14" t="n">
        <v>0</v>
      </c>
      <c r="EZ202" s="14" t="n">
        <v>0</v>
      </c>
      <c r="FA202" s="14" t="n">
        <v>0</v>
      </c>
      <c r="FB202" s="14" t="n">
        <v>0</v>
      </c>
      <c r="FC202" s="14" t="n">
        <v>0</v>
      </c>
      <c r="FD202" s="14" t="n">
        <v>0</v>
      </c>
      <c r="FE202" s="14" t="n">
        <v>0</v>
      </c>
      <c r="FF202" s="14" t="n">
        <v>1</v>
      </c>
      <c r="FG202" s="15">
        <f>SUM(DW202,DX202,DY202,DZ202,EA202,EB202,EC202,ED202,EE202,EF202,EG202,EH202,EI202,EJ202,EK202,EL202,EM202,EN202,EO202,EP202,EQ202,ER202,ES202,ET202,EU202,EV202,EW202,EX202,EY202,EZ202,FA202,FB202,FC202,FD202,FE202,FF202)</f>
        <v/>
      </c>
      <c r="FH202" s="14" t="n">
        <v>29</v>
      </c>
      <c r="FI202" s="14" t="n">
        <v>54</v>
      </c>
      <c r="FJ202" s="14" t="n">
        <v>6</v>
      </c>
      <c r="FK202" s="14" t="n">
        <v>33</v>
      </c>
      <c r="FL202" s="14" t="n">
        <v>33</v>
      </c>
      <c r="FM202" s="14" t="n">
        <v>0</v>
      </c>
      <c r="FN202" s="14" t="n">
        <v>0</v>
      </c>
      <c r="FO202" s="14" t="n">
        <v>0</v>
      </c>
      <c r="FP202" s="14" t="n">
        <v>0</v>
      </c>
      <c r="FQ202" s="15">
        <f>FL202+FM202+FN202+FO202+FP202</f>
        <v/>
      </c>
      <c r="FR202" s="14" t="n">
        <v>6618546.88</v>
      </c>
      <c r="FS202" s="14" t="n">
        <v>10000</v>
      </c>
      <c r="FT202" s="14" t="n">
        <v>54000</v>
      </c>
      <c r="FU202" s="14" t="n">
        <v>0</v>
      </c>
      <c r="FV202" s="15">
        <f>FR202+FS202+FT202+FU202</f>
        <v/>
      </c>
      <c r="FW202" s="14" t="n">
        <v>5832123</v>
      </c>
      <c r="FX202" s="14" t="n">
        <v>4500</v>
      </c>
      <c r="FY202" s="14" t="n">
        <v>1651400</v>
      </c>
      <c r="FZ202" s="14" t="n">
        <v>8702500</v>
      </c>
      <c r="GA202" s="15">
        <f>FW202+FX202+FY202+FZ202</f>
        <v/>
      </c>
      <c r="GB202" s="15">
        <f>FV202+GA202</f>
        <v/>
      </c>
      <c r="GC202" s="14" t="n">
        <v>5134315.92</v>
      </c>
      <c r="GD202" s="14" t="n">
        <v>1721.52</v>
      </c>
      <c r="GE202" s="14" t="n">
        <v>1721.52</v>
      </c>
      <c r="GF202" s="14" t="n">
        <v>478602.88</v>
      </c>
      <c r="GG202" s="15">
        <f>GC202+GD202+GE202+GF202</f>
        <v/>
      </c>
      <c r="GH202" s="14" t="n">
        <v>5614640.32</v>
      </c>
      <c r="GI202" s="14" t="n">
        <v>0</v>
      </c>
      <c r="GJ202" s="14" t="n">
        <v>0</v>
      </c>
      <c r="GK202" s="14" t="n">
        <v>0</v>
      </c>
      <c r="GL202" s="15">
        <f>GH202+GI202+GJ202+GK202</f>
        <v/>
      </c>
      <c r="GM202" s="15">
        <f>GG202+GL202</f>
        <v/>
      </c>
      <c r="GN202" s="14" t="n">
        <v>433472.77</v>
      </c>
      <c r="GO202" s="14" t="n">
        <v>191.28</v>
      </c>
      <c r="GP202" s="14" t="n">
        <v>191.28</v>
      </c>
      <c r="GQ202" s="14" t="n">
        <v>18549.36</v>
      </c>
      <c r="GR202" s="15">
        <f>GN202+GO202+GP202+GQ202</f>
        <v/>
      </c>
      <c r="GS202" s="14" t="n">
        <v>718865</v>
      </c>
      <c r="GT202" s="14" t="n">
        <v>893</v>
      </c>
      <c r="GU202" s="14" t="n">
        <v>893</v>
      </c>
      <c r="GV202" s="14" t="n">
        <v>3572</v>
      </c>
      <c r="GW202" s="15">
        <f>GS202+GT202+GU202+GV202</f>
        <v/>
      </c>
      <c r="GX202" s="15">
        <f>GM202+GR202+GW202</f>
        <v/>
      </c>
      <c r="GY202" s="14" t="n">
        <v>21764191.68</v>
      </c>
      <c r="GZ202" s="14" t="n">
        <v>499854.76</v>
      </c>
      <c r="HA202" s="15">
        <f>GY202+GZ202</f>
        <v/>
      </c>
      <c r="HB202" s="15">
        <f>IF(GX202=0,"",AU202/GX202)</f>
        <v/>
      </c>
      <c r="HC202" s="16">
        <f>IF((GX202+GY202)=0,"",GB202/(GX202+GY202))</f>
        <v/>
      </c>
      <c r="HD202" s="15">
        <f>IF(GX202=0,"",GB202/GX202)</f>
        <v/>
      </c>
      <c r="HE202" s="14" t="n">
        <v>13</v>
      </c>
      <c r="HF202" s="14" t="n">
        <v>5</v>
      </c>
      <c r="HG202" s="14" t="n">
        <v>4</v>
      </c>
      <c r="HH202" s="14" t="n">
        <v>13</v>
      </c>
      <c r="HI202" s="14" t="n">
        <v>5</v>
      </c>
      <c r="HJ202" s="15">
        <f>HF202+HI202</f>
        <v/>
      </c>
      <c r="HK202" s="16">
        <f>IF(HE202=0,"",HH202/HE202)</f>
        <v/>
      </c>
      <c r="HL202" s="14" t="n">
        <v>21</v>
      </c>
      <c r="HM202" s="14" t="n">
        <v>3</v>
      </c>
      <c r="HN202" s="17">
        <f>IF(HL202=0,"",HM202/HL202)</f>
        <v/>
      </c>
    </row>
    <row r="203">
      <c r="A203" s="6" t="inlineStr">
        <is>
          <t>Mulanje</t>
        </is>
      </c>
      <c r="B203" s="6" t="inlineStr">
        <is>
          <t>Thyolo</t>
        </is>
      </c>
      <c r="C203" s="7" t="inlineStr">
        <is>
          <t>FY2025/26</t>
        </is>
      </c>
      <c r="D203" s="7" t="n">
        <v>2025</v>
      </c>
      <c r="E203" s="7" t="n">
        <v>12</v>
      </c>
      <c r="F203" s="7" t="inlineStr">
        <is>
          <t>December</t>
        </is>
      </c>
      <c r="G203" s="7" t="inlineStr">
        <is>
          <t>Q3</t>
        </is>
      </c>
      <c r="H203" s="8" t="n">
        <v>18130</v>
      </c>
      <c r="I203" s="8" t="n">
        <v>5296</v>
      </c>
      <c r="J203" s="8" t="n">
        <v>6</v>
      </c>
      <c r="K203" s="8" t="n">
        <v>0</v>
      </c>
      <c r="L203" s="8" t="n">
        <v>118</v>
      </c>
      <c r="M203" s="9">
        <f>SUM(I203,J203,K203,L203)</f>
        <v/>
      </c>
      <c r="N203" s="8" t="n">
        <v>4153.6</v>
      </c>
      <c r="O203" s="8" t="n">
        <v>9.4</v>
      </c>
      <c r="P203" s="8" t="n">
        <v>272.2</v>
      </c>
      <c r="Q203" s="8" t="n">
        <v>923.8</v>
      </c>
      <c r="R203" s="9">
        <f>SUM(N203,O203,P203,Q203)</f>
        <v/>
      </c>
      <c r="S203" s="9">
        <f>M203+R203</f>
        <v/>
      </c>
      <c r="T203" s="8" t="n">
        <v>7351</v>
      </c>
      <c r="U203" s="10">
        <f>IF(H203=0,"",T203/H203)</f>
        <v/>
      </c>
      <c r="V203" s="8" t="n">
        <v>78</v>
      </c>
      <c r="W203" s="11">
        <f>IF(H203=0,"",V203/H203)</f>
        <v/>
      </c>
      <c r="X203" s="8" t="n">
        <v>0</v>
      </c>
      <c r="Y203" s="11">
        <f>IF(H203=0,"",X203/H203)</f>
        <v/>
      </c>
      <c r="Z203" s="8" t="n">
        <v>0</v>
      </c>
      <c r="AA203" s="11">
        <f>IF(H203=0,"",Z203/H203)</f>
        <v/>
      </c>
      <c r="AB203" s="8" t="n">
        <v>136</v>
      </c>
      <c r="AC203" s="11">
        <f>IF(H203=0,"",AB203/H203)</f>
        <v/>
      </c>
      <c r="AD203" s="8" t="n">
        <v>0</v>
      </c>
      <c r="AE203" s="11">
        <f>IF(H203=0,"",AD203/H203)</f>
        <v/>
      </c>
      <c r="AF203" s="8" t="n">
        <v>0</v>
      </c>
      <c r="AG203" s="11">
        <f>IF(H203=0,"",AF203/H203)</f>
        <v/>
      </c>
      <c r="AH203" s="8" t="n">
        <v>1211983.46</v>
      </c>
      <c r="AI203" s="9">
        <f>IF(H203=0,"",AH203/H203)</f>
        <v/>
      </c>
      <c r="AJ203" s="8" t="n">
        <v>23450</v>
      </c>
      <c r="AK203" s="11">
        <f>IF(H203=0,"",AJ203/H203)</f>
        <v/>
      </c>
      <c r="AL203" s="8" t="n">
        <v>3270149.175</v>
      </c>
      <c r="AM203" s="9">
        <f>IF(H203=0,"",AL203/H203)</f>
        <v/>
      </c>
      <c r="AN203" s="8" t="n">
        <v>0</v>
      </c>
      <c r="AO203" s="8" t="n">
        <v>10</v>
      </c>
      <c r="AP203" s="8" t="n">
        <v>27340</v>
      </c>
      <c r="AQ203" s="8" t="n">
        <v>0</v>
      </c>
      <c r="AR203" s="8" t="n">
        <v>11719529.11</v>
      </c>
      <c r="AS203" s="8" t="n">
        <v>3387142.06</v>
      </c>
      <c r="AT203" s="8" t="n">
        <v>100000</v>
      </c>
      <c r="AU203" s="9">
        <f>AH203+AL203+AP203+AQ203+AR203+AS203+AT203</f>
        <v/>
      </c>
      <c r="AV203" s="9">
        <f>IF(H203=0,"",AU203/H203)</f>
        <v/>
      </c>
      <c r="AW203" s="9">
        <f>IF(S203=0,"",AU203/S203)</f>
        <v/>
      </c>
      <c r="AX203" s="8" t="n">
        <v>10</v>
      </c>
      <c r="AY203" s="9">
        <f>IF(H203=0,"",AX203/(H203/1000/12))</f>
        <v/>
      </c>
      <c r="AZ203" s="8" t="n">
        <v>17</v>
      </c>
      <c r="BA203" s="8" t="n">
        <v>4</v>
      </c>
      <c r="BB203" s="8" t="n">
        <v>10</v>
      </c>
      <c r="BC203" s="8" t="n">
        <v>5</v>
      </c>
      <c r="BD203" s="8" t="n">
        <v>6</v>
      </c>
      <c r="BE203" s="9">
        <f>BC203+BD203</f>
        <v/>
      </c>
      <c r="BF203" s="9">
        <f>BA203+BB203-BE203</f>
        <v/>
      </c>
      <c r="BG203" s="8" t="n">
        <v>0</v>
      </c>
      <c r="BH203" s="8" t="n">
        <v>0</v>
      </c>
      <c r="BI203" s="8" t="n">
        <v>0</v>
      </c>
      <c r="BJ203" s="8" t="n">
        <v>0</v>
      </c>
      <c r="BK203" s="9">
        <f>BI203+BJ203</f>
        <v/>
      </c>
      <c r="BL203" s="9">
        <f>BG203+BH203-BK203</f>
        <v/>
      </c>
      <c r="BM203" s="8" t="n">
        <v>0</v>
      </c>
      <c r="BN203" s="8" t="n">
        <v>0</v>
      </c>
      <c r="BO203" s="8" t="n">
        <v>0</v>
      </c>
      <c r="BP203" s="8" t="n">
        <v>0</v>
      </c>
      <c r="BQ203" s="9">
        <f>BO203+BP203</f>
        <v/>
      </c>
      <c r="BR203" s="9">
        <f>BM203+BN203-BQ203</f>
        <v/>
      </c>
      <c r="BS203" s="8" t="n">
        <v>0</v>
      </c>
      <c r="BT203" s="8" t="n">
        <v>0</v>
      </c>
      <c r="BU203" s="8" t="n">
        <v>0</v>
      </c>
      <c r="BV203" s="8" t="n">
        <v>0</v>
      </c>
      <c r="BW203" s="9">
        <f>BU203+BV203</f>
        <v/>
      </c>
      <c r="BX203" s="9">
        <f>BS203+BT203-BW203</f>
        <v/>
      </c>
      <c r="BY203" s="9">
        <f>BA203+BG203+BM203+BS203</f>
        <v/>
      </c>
      <c r="BZ203" s="9">
        <f>BB203+BH203+BN203+BT203</f>
        <v/>
      </c>
      <c r="CA203" s="9">
        <f>BE203+BK203+BQ203+BW203</f>
        <v/>
      </c>
      <c r="CB203" s="9">
        <f>BF203+BL203+BR203+BX203</f>
        <v/>
      </c>
      <c r="CC203" s="8" t="n">
        <v>10</v>
      </c>
      <c r="CD203" s="8" t="n">
        <v>477</v>
      </c>
      <c r="CE203" s="8" t="n">
        <v>13</v>
      </c>
      <c r="CF203" s="8" t="n">
        <v>13</v>
      </c>
      <c r="CG203" s="8" t="n">
        <v>16</v>
      </c>
      <c r="CH203" s="9">
        <f>CD203+CE203+CF203+CG203</f>
        <v/>
      </c>
      <c r="CI203" s="8" t="n">
        <v>809</v>
      </c>
      <c r="CJ203" s="8" t="n">
        <v>0</v>
      </c>
      <c r="CK203" s="8" t="n">
        <v>4</v>
      </c>
      <c r="CL203" s="8" t="n">
        <v>1</v>
      </c>
      <c r="CM203" s="9">
        <f>CI203+CJ203+CK203+CL203</f>
        <v/>
      </c>
      <c r="CN203" s="8" t="n">
        <v>864</v>
      </c>
      <c r="CO203" s="8" t="n">
        <v>55</v>
      </c>
      <c r="CP203" s="8" t="n">
        <v>56</v>
      </c>
      <c r="CQ203" s="8" t="n">
        <v>2</v>
      </c>
      <c r="CR203" s="9">
        <f>CN203+CO203+CP203+CQ203</f>
        <v/>
      </c>
      <c r="CS203" s="9">
        <f>CM203+CR203</f>
        <v/>
      </c>
      <c r="CT203" s="8" t="n">
        <v>2310</v>
      </c>
      <c r="CU203" s="8" t="n">
        <v>12005</v>
      </c>
      <c r="CV203" s="8" t="n">
        <v>11100</v>
      </c>
      <c r="CW203" s="10">
        <f>IF(CU203=0,"",CV203/CU203)</f>
        <v/>
      </c>
      <c r="CX203" s="8" t="n">
        <v>0</v>
      </c>
      <c r="CY203" s="8" t="n">
        <v>0</v>
      </c>
      <c r="CZ203" s="8" t="n">
        <v>0</v>
      </c>
      <c r="DA203" s="8" t="n">
        <v>0</v>
      </c>
      <c r="DB203" s="9">
        <f>CX203+CY203-CZ203-DA203</f>
        <v/>
      </c>
      <c r="DC203" s="8" t="n">
        <v>0</v>
      </c>
      <c r="DD203" s="8" t="n">
        <v>0</v>
      </c>
      <c r="DE203" s="8" t="n">
        <v>0</v>
      </c>
      <c r="DF203" s="8" t="n">
        <v>0</v>
      </c>
      <c r="DG203" s="9">
        <f>DC203+DD203-DE203-DF203</f>
        <v/>
      </c>
      <c r="DH203" s="8" t="n">
        <v>0</v>
      </c>
      <c r="DI203" s="8" t="n">
        <v>0</v>
      </c>
      <c r="DJ203" s="8" t="n">
        <v>0</v>
      </c>
      <c r="DK203" s="8" t="n">
        <v>0</v>
      </c>
      <c r="DL203" s="9">
        <f>DH203+DI203-DJ203-DK203</f>
        <v/>
      </c>
      <c r="DM203" s="8" t="n">
        <v>54</v>
      </c>
      <c r="DN203" s="8" t="n">
        <v>3</v>
      </c>
      <c r="DO203" s="8" t="n">
        <v>24</v>
      </c>
      <c r="DP203" s="8" t="n">
        <v>0</v>
      </c>
      <c r="DQ203" s="9">
        <f>DM203+DN203-DO203-DP203</f>
        <v/>
      </c>
      <c r="DR203" s="9">
        <f>CX203+DC203+DH203+DM203</f>
        <v/>
      </c>
      <c r="DS203" s="9">
        <f>CY203+DD203+DI203+DN203</f>
        <v/>
      </c>
      <c r="DT203" s="9">
        <f>CZ203+DE203+DJ203+DO203</f>
        <v/>
      </c>
      <c r="DU203" s="9">
        <f>DA203+DF203+DK203+DP203</f>
        <v/>
      </c>
      <c r="DV203" s="9">
        <f>DB203+DG203+DL203+DQ203</f>
        <v/>
      </c>
      <c r="DW203" s="8" t="n">
        <v>38</v>
      </c>
      <c r="DX203" s="8" t="n">
        <v>26</v>
      </c>
      <c r="DY203" s="8" t="n">
        <v>20</v>
      </c>
      <c r="DZ203" s="8" t="n">
        <v>3</v>
      </c>
      <c r="EA203" s="8" t="n">
        <v>10</v>
      </c>
      <c r="EB203" s="8" t="n">
        <v>2</v>
      </c>
      <c r="EC203" s="8" t="n">
        <v>1</v>
      </c>
      <c r="ED203" s="8" t="n">
        <v>3</v>
      </c>
      <c r="EE203" s="8" t="n">
        <v>2</v>
      </c>
      <c r="EF203" s="8" t="n">
        <v>2</v>
      </c>
      <c r="EG203" s="8" t="n">
        <v>0</v>
      </c>
      <c r="EH203" s="8" t="n">
        <v>0</v>
      </c>
      <c r="EI203" s="8" t="n">
        <v>0</v>
      </c>
      <c r="EJ203" s="8" t="n">
        <v>6</v>
      </c>
      <c r="EK203" s="8" t="n">
        <v>6</v>
      </c>
      <c r="EL203" s="8" t="n">
        <v>0</v>
      </c>
      <c r="EM203" s="8" t="n">
        <v>0</v>
      </c>
      <c r="EN203" s="8" t="n">
        <v>0</v>
      </c>
      <c r="EO203" s="8" t="n">
        <v>0</v>
      </c>
      <c r="EP203" s="8" t="n">
        <v>0</v>
      </c>
      <c r="EQ203" s="8" t="n">
        <v>0</v>
      </c>
      <c r="ER203" s="8" t="n">
        <v>0</v>
      </c>
      <c r="ES203" s="8" t="n">
        <v>0</v>
      </c>
      <c r="ET203" s="8" t="n">
        <v>0</v>
      </c>
      <c r="EU203" s="8" t="n">
        <v>0</v>
      </c>
      <c r="EV203" s="8" t="n">
        <v>0</v>
      </c>
      <c r="EW203" s="8" t="n">
        <v>0</v>
      </c>
      <c r="EX203" s="8" t="n">
        <v>0</v>
      </c>
      <c r="EY203" s="8" t="n">
        <v>0</v>
      </c>
      <c r="EZ203" s="8" t="n">
        <v>0</v>
      </c>
      <c r="FA203" s="8" t="n">
        <v>0</v>
      </c>
      <c r="FB203" s="8" t="n">
        <v>0</v>
      </c>
      <c r="FC203" s="8" t="n">
        <v>0</v>
      </c>
      <c r="FD203" s="8" t="n">
        <v>0</v>
      </c>
      <c r="FE203" s="8" t="n">
        <v>0</v>
      </c>
      <c r="FF203" s="8" t="n">
        <v>0</v>
      </c>
      <c r="FG203" s="9">
        <f>SUM(DW203,DX203,DY203,DZ203,EA203,EB203,EC203,ED203,EE203,EF203,EG203,EH203,EI203,EJ203,EK203,EL203,EM203,EN203,EO203,EP203,EQ203,ER203,ES203,ET203,EU203,EV203,EW203,EX203,EY203,EZ203,FA203,FB203,FC203,FD203,FE203,FF203)</f>
        <v/>
      </c>
      <c r="FH203" s="8" t="n">
        <v>8</v>
      </c>
      <c r="FI203" s="8" t="n">
        <v>45</v>
      </c>
      <c r="FJ203" s="8" t="n">
        <v>5</v>
      </c>
      <c r="FK203" s="8" t="n">
        <v>237</v>
      </c>
      <c r="FL203" s="8" t="n">
        <v>237</v>
      </c>
      <c r="FM203" s="8" t="n">
        <v>0</v>
      </c>
      <c r="FN203" s="8" t="n">
        <v>0</v>
      </c>
      <c r="FO203" s="8" t="n">
        <v>0</v>
      </c>
      <c r="FP203" s="8" t="n">
        <v>0</v>
      </c>
      <c r="FQ203" s="9">
        <f>FL203+FM203+FN203+FO203+FP203</f>
        <v/>
      </c>
      <c r="FR203" s="8" t="n">
        <v>5212059.88</v>
      </c>
      <c r="FS203" s="8" t="n">
        <v>10000</v>
      </c>
      <c r="FT203" s="8" t="n">
        <v>64000</v>
      </c>
      <c r="FU203" s="8" t="n">
        <v>0</v>
      </c>
      <c r="FV203" s="9">
        <f>FR203+FS203+FT203+FU203</f>
        <v/>
      </c>
      <c r="FW203" s="8" t="n">
        <v>5425920</v>
      </c>
      <c r="FX203" s="8" t="n">
        <v>2000</v>
      </c>
      <c r="FY203" s="8" t="n">
        <v>1288870</v>
      </c>
      <c r="FZ203" s="8" t="n">
        <v>2830450</v>
      </c>
      <c r="GA203" s="9">
        <f>FW203+FX203+FY203+FZ203</f>
        <v/>
      </c>
      <c r="GB203" s="9">
        <f>FV203+GA203</f>
        <v/>
      </c>
      <c r="GC203" s="8" t="n">
        <v>4708896.44</v>
      </c>
      <c r="GD203" s="8" t="n">
        <v>1147.68</v>
      </c>
      <c r="GE203" s="8" t="n">
        <v>1147.68</v>
      </c>
      <c r="GF203" s="8" t="n">
        <v>500888.5</v>
      </c>
      <c r="GG203" s="9">
        <f>GC203+GD203+GE203+GF203</f>
        <v/>
      </c>
      <c r="GH203" s="8" t="n">
        <v>5210932.62</v>
      </c>
      <c r="GI203" s="8" t="n">
        <v>0</v>
      </c>
      <c r="GJ203" s="8" t="n">
        <v>0</v>
      </c>
      <c r="GK203" s="8" t="n">
        <v>0</v>
      </c>
      <c r="GL203" s="9">
        <f>GH203+GI203+GJ203+GK203</f>
        <v/>
      </c>
      <c r="GM203" s="9">
        <f>GG203+GL203</f>
        <v/>
      </c>
      <c r="GN203" s="8" t="n">
        <v>434041.2</v>
      </c>
      <c r="GO203" s="8" t="n">
        <v>191.28</v>
      </c>
      <c r="GP203" s="8" t="n">
        <v>191.28</v>
      </c>
      <c r="GQ203" s="8" t="n">
        <v>18549.36</v>
      </c>
      <c r="GR203" s="9">
        <f>GN203+GO203+GP203+GQ203</f>
        <v/>
      </c>
      <c r="GS203" s="8" t="n">
        <v>722437</v>
      </c>
      <c r="GT203" s="8" t="n">
        <v>893</v>
      </c>
      <c r="GU203" s="8" t="n">
        <v>893</v>
      </c>
      <c r="GV203" s="8" t="n">
        <v>3572</v>
      </c>
      <c r="GW203" s="9">
        <f>GS203+GT203+GU203+GV203</f>
        <v/>
      </c>
      <c r="GX203" s="9">
        <f>GM203+GR203+GW203</f>
        <v/>
      </c>
      <c r="GY203" s="8" t="n">
        <v>22787648.26</v>
      </c>
      <c r="GZ203" s="8" t="n">
        <v>499854.76</v>
      </c>
      <c r="HA203" s="9">
        <f>GY203+GZ203</f>
        <v/>
      </c>
      <c r="HB203" s="9">
        <f>IF(GX203=0,"",AU203/GX203)</f>
        <v/>
      </c>
      <c r="HC203" s="10">
        <f>IF((GX203+GY203)=0,"",GB203/(GX203+GY203))</f>
        <v/>
      </c>
      <c r="HD203" s="9">
        <f>IF(GX203=0,"",GB203/GX203)</f>
        <v/>
      </c>
      <c r="HE203" s="8" t="n">
        <v>10</v>
      </c>
      <c r="HF203" s="8" t="n">
        <v>5</v>
      </c>
      <c r="HG203" s="8" t="n">
        <v>3</v>
      </c>
      <c r="HH203" s="8" t="n">
        <v>10</v>
      </c>
      <c r="HI203" s="8" t="n">
        <v>5</v>
      </c>
      <c r="HJ203" s="9">
        <f>HF203+HI203</f>
        <v/>
      </c>
      <c r="HK203" s="10">
        <f>IF(HE203=0,"",HH203/HE203)</f>
        <v/>
      </c>
      <c r="HL203" s="8" t="n">
        <v>15</v>
      </c>
      <c r="HM203" s="8" t="n">
        <v>5</v>
      </c>
      <c r="HN203" s="11">
        <f>IF(HL203=0,"",HM203/HL203)</f>
        <v/>
      </c>
    </row>
    <row r="204">
      <c r="A204" s="12" t="inlineStr">
        <is>
          <t>Mulanje</t>
        </is>
      </c>
      <c r="B204" s="12" t="inlineStr">
        <is>
          <t>Thyolo</t>
        </is>
      </c>
      <c r="C204" s="13" t="inlineStr">
        <is>
          <t>FY2025/26</t>
        </is>
      </c>
      <c r="D204" s="13" t="n">
        <v>2026</v>
      </c>
      <c r="E204" s="13" t="n">
        <v>1</v>
      </c>
      <c r="F204" s="13" t="inlineStr">
        <is>
          <t>January</t>
        </is>
      </c>
      <c r="G204" s="13" t="inlineStr">
        <is>
          <t>Q4</t>
        </is>
      </c>
      <c r="H204" s="14" t="n">
        <v>18150</v>
      </c>
      <c r="I204" s="14" t="n">
        <v>4916</v>
      </c>
      <c r="J204" s="14" t="n">
        <v>6</v>
      </c>
      <c r="K204" s="14" t="n">
        <v>0</v>
      </c>
      <c r="L204" s="14" t="n">
        <v>88</v>
      </c>
      <c r="M204" s="15" t="n">
        <v>5010</v>
      </c>
      <c r="N204" s="14" t="n">
        <v>4169</v>
      </c>
      <c r="O204" s="14" t="n">
        <v>7</v>
      </c>
      <c r="P204" s="14" t="n">
        <v>858</v>
      </c>
      <c r="Q204" s="14" t="n">
        <v>387</v>
      </c>
      <c r="R204" s="15" t="n">
        <v>5421</v>
      </c>
      <c r="S204" s="15" t="n">
        <v>10431</v>
      </c>
      <c r="T204" s="14" t="n">
        <v>7719</v>
      </c>
      <c r="U204" s="16" t="n">
        <v>0.4252892561983471</v>
      </c>
      <c r="V204" s="14" t="n">
        <v>88</v>
      </c>
      <c r="W204" s="17" t="n">
        <v>4.848484848484849</v>
      </c>
      <c r="X204" s="14" t="n">
        <v>0</v>
      </c>
      <c r="Y204" s="17" t="n">
        <v>0</v>
      </c>
      <c r="Z204" s="14" t="n">
        <v>0</v>
      </c>
      <c r="AA204" s="17" t="n">
        <v>0</v>
      </c>
      <c r="AB204" s="14" t="n">
        <v>104</v>
      </c>
      <c r="AC204" s="17" t="n">
        <v>20.75848303393214</v>
      </c>
      <c r="AD204" s="14" t="n">
        <v>0</v>
      </c>
      <c r="AE204" s="17" t="n">
        <v>0</v>
      </c>
      <c r="AF204" s="14" t="n">
        <v>0</v>
      </c>
      <c r="AG204" s="17" t="n">
        <v>0</v>
      </c>
      <c r="AH204" s="14" t="n">
        <v>1071741.76</v>
      </c>
      <c r="AI204" s="15" t="n">
        <v>59.04913278236915</v>
      </c>
      <c r="AJ204" s="14" t="n">
        <v>23450</v>
      </c>
      <c r="AK204" s="17" t="n">
        <v>0</v>
      </c>
      <c r="AL204" s="14" t="n">
        <v>3270149.175</v>
      </c>
      <c r="AM204" s="15" t="n">
        <v>0.9050413223140495</v>
      </c>
      <c r="AN204" s="14" t="n">
        <v>0</v>
      </c>
      <c r="AO204" s="14" t="n">
        <v>0</v>
      </c>
      <c r="AP204" s="14" t="n">
        <v>0</v>
      </c>
      <c r="AQ204" s="14" t="n">
        <v>0</v>
      </c>
      <c r="AR204" s="14" t="n">
        <v>11568925.78</v>
      </c>
      <c r="AS204" s="14" t="n">
        <v>0</v>
      </c>
      <c r="AT204" s="14" t="n">
        <v>860000</v>
      </c>
      <c r="AU204" s="15" t="n">
        <v>13517094.04</v>
      </c>
      <c r="AV204" s="15" t="n">
        <v>744.7434732782368</v>
      </c>
      <c r="AW204" s="15" t="n">
        <v>1295.857927331991</v>
      </c>
      <c r="AX204" s="14" t="n">
        <v>10</v>
      </c>
      <c r="AY204" s="15" t="n">
        <v>17.07988980716253</v>
      </c>
      <c r="AZ204" s="14" t="n">
        <v>17</v>
      </c>
      <c r="BA204" s="14" t="n">
        <v>3</v>
      </c>
      <c r="BB204" s="14" t="n">
        <v>15</v>
      </c>
      <c r="BC204" s="14" t="n">
        <v>0</v>
      </c>
      <c r="BD204" s="14" t="n">
        <v>8</v>
      </c>
      <c r="BE204" s="15" t="n">
        <v>8</v>
      </c>
      <c r="BF204" s="15" t="n">
        <v>10</v>
      </c>
      <c r="BG204" s="14" t="n">
        <v>0</v>
      </c>
      <c r="BH204" s="14" t="n">
        <v>0</v>
      </c>
      <c r="BI204" s="14" t="n">
        <v>0</v>
      </c>
      <c r="BJ204" s="14" t="n">
        <v>0</v>
      </c>
      <c r="BK204" s="15" t="n">
        <v>0</v>
      </c>
      <c r="BL204" s="15" t="n">
        <v>0</v>
      </c>
      <c r="BM204" s="14" t="n">
        <v>0</v>
      </c>
      <c r="BN204" s="14" t="n">
        <v>0</v>
      </c>
      <c r="BO204" s="14" t="n">
        <v>0</v>
      </c>
      <c r="BP204" s="14" t="n">
        <v>0</v>
      </c>
      <c r="BQ204" s="15" t="n">
        <v>0</v>
      </c>
      <c r="BR204" s="15" t="n">
        <v>0</v>
      </c>
      <c r="BS204" s="14" t="n">
        <v>0</v>
      </c>
      <c r="BT204" s="14" t="n">
        <v>0</v>
      </c>
      <c r="BU204" s="14" t="n">
        <v>0</v>
      </c>
      <c r="BV204" s="14" t="n">
        <v>0</v>
      </c>
      <c r="BW204" s="15" t="n">
        <v>0</v>
      </c>
      <c r="BX204" s="15" t="n">
        <v>0</v>
      </c>
      <c r="BY204" s="15" t="n">
        <v>3</v>
      </c>
      <c r="BZ204" s="15" t="n">
        <v>15</v>
      </c>
      <c r="CA204" s="15" t="n">
        <v>8</v>
      </c>
      <c r="CB204" s="15" t="n">
        <v>10</v>
      </c>
      <c r="CC204" s="14" t="n">
        <v>16</v>
      </c>
      <c r="CD204" s="14" t="n">
        <v>499</v>
      </c>
      <c r="CE204" s="14" t="n">
        <v>13</v>
      </c>
      <c r="CF204" s="14" t="n">
        <v>13</v>
      </c>
      <c r="CG204" s="14" t="n">
        <v>16</v>
      </c>
      <c r="CH204" s="15" t="n">
        <v>541</v>
      </c>
      <c r="CI204" s="14" t="n">
        <v>787</v>
      </c>
      <c r="CJ204" s="14" t="n">
        <v>0</v>
      </c>
      <c r="CK204" s="14" t="n">
        <v>3</v>
      </c>
      <c r="CL204" s="14" t="n">
        <v>1</v>
      </c>
      <c r="CM204" s="15" t="n">
        <v>791</v>
      </c>
      <c r="CN204" s="14" t="n">
        <v>872</v>
      </c>
      <c r="CO204" s="14" t="n">
        <v>55</v>
      </c>
      <c r="CP204" s="14" t="n">
        <v>57</v>
      </c>
      <c r="CQ204" s="14" t="n">
        <v>2</v>
      </c>
      <c r="CR204" s="15" t="n">
        <v>986</v>
      </c>
      <c r="CS204" s="15" t="n">
        <v>1777</v>
      </c>
      <c r="CT204" s="14" t="n">
        <v>2318</v>
      </c>
      <c r="CU204" s="14" t="n">
        <v>12005</v>
      </c>
      <c r="CV204" s="14" t="n">
        <v>11100</v>
      </c>
      <c r="CW204" s="16" t="n">
        <v>0.9246147438567264</v>
      </c>
      <c r="CX204" s="14" t="n">
        <v>0</v>
      </c>
      <c r="CY204" s="14" t="n">
        <v>0</v>
      </c>
      <c r="CZ204" s="14" t="n">
        <v>0</v>
      </c>
      <c r="DA204" s="14" t="n">
        <v>0</v>
      </c>
      <c r="DB204" s="15" t="n">
        <v>0</v>
      </c>
      <c r="DC204" s="14" t="n">
        <v>0</v>
      </c>
      <c r="DD204" s="14" t="n">
        <v>0</v>
      </c>
      <c r="DE204" s="14" t="n">
        <v>0</v>
      </c>
      <c r="DF204" s="14" t="n">
        <v>0</v>
      </c>
      <c r="DG204" s="15" t="n">
        <v>0</v>
      </c>
      <c r="DH204" s="14" t="n">
        <v>0</v>
      </c>
      <c r="DI204" s="14" t="n">
        <v>0</v>
      </c>
      <c r="DJ204" s="14" t="n">
        <v>0</v>
      </c>
      <c r="DK204" s="14" t="n">
        <v>0</v>
      </c>
      <c r="DL204" s="15" t="n">
        <v>0</v>
      </c>
      <c r="DM204" s="14" t="n">
        <v>33</v>
      </c>
      <c r="DN204" s="14" t="n">
        <v>5</v>
      </c>
      <c r="DO204" s="14" t="n">
        <v>15</v>
      </c>
      <c r="DP204" s="14" t="n">
        <v>15</v>
      </c>
      <c r="DQ204" s="15" t="n">
        <v>0</v>
      </c>
      <c r="DR204" s="15" t="n">
        <v>23</v>
      </c>
      <c r="DS204" s="15" t="n">
        <v>33</v>
      </c>
      <c r="DT204" s="15" t="n">
        <v>5</v>
      </c>
      <c r="DU204" s="15" t="n">
        <v>15</v>
      </c>
      <c r="DV204" s="15" t="n">
        <v>0</v>
      </c>
      <c r="DW204" s="14" t="n">
        <v>55</v>
      </c>
      <c r="DX204" s="14" t="n">
        <v>32</v>
      </c>
      <c r="DY204" s="14" t="n">
        <v>28</v>
      </c>
      <c r="DZ204" s="14" t="n">
        <v>0</v>
      </c>
      <c r="EA204" s="14" t="n">
        <v>2</v>
      </c>
      <c r="EB204" s="14" t="n">
        <v>0</v>
      </c>
      <c r="EC204" s="14" t="n">
        <v>0</v>
      </c>
      <c r="ED204" s="14" t="n">
        <v>1</v>
      </c>
      <c r="EE204" s="14" t="n">
        <v>0</v>
      </c>
      <c r="EF204" s="14" t="n">
        <v>0</v>
      </c>
      <c r="EG204" s="14" t="n">
        <v>0</v>
      </c>
      <c r="EH204" s="14" t="n">
        <v>0</v>
      </c>
      <c r="EI204" s="14" t="n">
        <v>0</v>
      </c>
      <c r="EJ204" s="14" t="n">
        <v>10</v>
      </c>
      <c r="EK204" s="14" t="n">
        <v>0</v>
      </c>
      <c r="EL204" s="14" t="n">
        <v>0</v>
      </c>
      <c r="EM204" s="14" t="n">
        <v>0</v>
      </c>
      <c r="EN204" s="14" t="n">
        <v>0</v>
      </c>
      <c r="EO204" s="14" t="n">
        <v>0</v>
      </c>
      <c r="EP204" s="14" t="n">
        <v>0</v>
      </c>
      <c r="EQ204" s="14" t="n">
        <v>0</v>
      </c>
      <c r="ER204" s="14" t="n">
        <v>0</v>
      </c>
      <c r="ES204" s="14" t="n">
        <v>0</v>
      </c>
      <c r="ET204" s="14" t="n">
        <v>0</v>
      </c>
      <c r="EU204" s="14" t="n">
        <v>0</v>
      </c>
      <c r="EV204" s="14" t="n">
        <v>0</v>
      </c>
      <c r="EW204" s="14" t="n">
        <v>0</v>
      </c>
      <c r="EX204" s="14" t="n">
        <v>0</v>
      </c>
      <c r="EY204" s="14" t="n">
        <v>0</v>
      </c>
      <c r="EZ204" s="14" t="n">
        <v>0</v>
      </c>
      <c r="FA204" s="14" t="n">
        <v>0</v>
      </c>
      <c r="FB204" s="14" t="n">
        <v>0</v>
      </c>
      <c r="FC204" s="14" t="n">
        <v>0</v>
      </c>
      <c r="FD204" s="14" t="n">
        <v>0</v>
      </c>
      <c r="FE204" s="14" t="n">
        <v>0</v>
      </c>
      <c r="FF204" s="14" t="n">
        <v>0</v>
      </c>
      <c r="FG204" s="15" t="n">
        <v>0</v>
      </c>
      <c r="FH204" s="14" t="n">
        <v>0</v>
      </c>
      <c r="FI204" s="14" t="n">
        <v>0</v>
      </c>
      <c r="FJ204" s="14" t="n">
        <v>5</v>
      </c>
      <c r="FK204" s="14" t="n">
        <v>133</v>
      </c>
      <c r="FL204" s="14" t="n">
        <v>133</v>
      </c>
      <c r="FM204" s="14" t="n">
        <v>0</v>
      </c>
      <c r="FN204" s="14" t="n">
        <v>0</v>
      </c>
      <c r="FO204" s="14" t="n">
        <v>0</v>
      </c>
      <c r="FP204" s="14" t="n">
        <v>0</v>
      </c>
      <c r="FQ204" s="15" t="n">
        <v>0</v>
      </c>
      <c r="FR204" s="14" t="n">
        <v>5452361.88</v>
      </c>
      <c r="FS204" s="14" t="n">
        <v>0</v>
      </c>
      <c r="FT204" s="14" t="n">
        <v>70000</v>
      </c>
      <c r="FU204" s="14" t="n">
        <v>0</v>
      </c>
      <c r="FV204" s="15" t="n">
        <v>0</v>
      </c>
      <c r="FW204" s="14" t="n">
        <v>5343124</v>
      </c>
      <c r="FX204" s="14" t="n">
        <v>1400</v>
      </c>
      <c r="FY204" s="14" t="n">
        <v>1853117.22</v>
      </c>
      <c r="FZ204" s="14" t="n">
        <v>2612250</v>
      </c>
      <c r="GA204" s="15" t="n">
        <v>2612250</v>
      </c>
      <c r="GB204" s="15" t="n">
        <v>9809891.219999999</v>
      </c>
      <c r="GC204" s="14" t="n">
        <v>4405784.7</v>
      </c>
      <c r="GD204" s="14" t="n">
        <v>765.12</v>
      </c>
      <c r="GE204" s="14" t="n">
        <v>765.12</v>
      </c>
      <c r="GF204" s="14" t="n">
        <v>377613.63</v>
      </c>
      <c r="GG204" s="15" t="n">
        <v>377613.63</v>
      </c>
      <c r="GH204" s="14" t="n">
        <v>4784163.45</v>
      </c>
      <c r="GI204" s="14" t="n">
        <v>0</v>
      </c>
      <c r="GJ204" s="14" t="n">
        <v>0</v>
      </c>
      <c r="GK204" s="14" t="n">
        <v>0</v>
      </c>
      <c r="GL204" s="15" t="n">
        <v>0</v>
      </c>
      <c r="GM204" s="15" t="n">
        <v>0</v>
      </c>
      <c r="GN204" s="14" t="n">
        <v>424361.26</v>
      </c>
      <c r="GO204" s="14" t="n">
        <v>191.28</v>
      </c>
      <c r="GP204" s="14" t="n">
        <v>191.28</v>
      </c>
      <c r="GQ204" s="14" t="n">
        <v>13912.02</v>
      </c>
      <c r="GR204" s="15" t="n">
        <v>13912.02</v>
      </c>
      <c r="GS204" s="14" t="n">
        <v>702791</v>
      </c>
      <c r="GT204" s="14" t="n">
        <v>893</v>
      </c>
      <c r="GU204" s="14" t="n">
        <v>893</v>
      </c>
      <c r="GV204" s="14" t="n">
        <v>2679</v>
      </c>
      <c r="GW204" s="15" t="n">
        <v>2679</v>
      </c>
      <c r="GX204" s="15" t="n">
        <v>706363</v>
      </c>
      <c r="GY204" s="14" t="n">
        <v>23316977.39</v>
      </c>
      <c r="GZ204" s="14" t="n">
        <v>499854.76</v>
      </c>
      <c r="HA204" s="15" t="n">
        <v>499854.76</v>
      </c>
      <c r="HB204" s="15" t="n">
        <v>23816832.15</v>
      </c>
      <c r="HC204" s="16" t="n">
        <v>5928991.01</v>
      </c>
      <c r="HD204" s="15" t="n">
        <v>23316977.39</v>
      </c>
      <c r="HE204" s="14" t="n">
        <v>15</v>
      </c>
      <c r="HF204" s="14" t="n">
        <v>5</v>
      </c>
      <c r="HG204" s="14" t="n">
        <v>10</v>
      </c>
      <c r="HH204" s="14" t="n">
        <v>15</v>
      </c>
      <c r="HI204" s="14" t="n">
        <v>5</v>
      </c>
      <c r="HJ204" s="15" t="n">
        <v>5</v>
      </c>
      <c r="HK204" s="16" t="n">
        <v>0.3333333333333333</v>
      </c>
      <c r="HL204" s="14" t="n">
        <v>10</v>
      </c>
      <c r="HM204" s="14" t="n">
        <v>2</v>
      </c>
      <c r="HN204" s="17" t="n">
        <v>2</v>
      </c>
    </row>
    <row r="205">
      <c r="A205" s="6" t="inlineStr">
        <is>
          <t>Mulanje</t>
        </is>
      </c>
      <c r="B205" s="6" t="inlineStr">
        <is>
          <t>Thyolo</t>
        </is>
      </c>
      <c r="C205" s="7" t="inlineStr">
        <is>
          <t>FY2025/26</t>
        </is>
      </c>
      <c r="D205" s="7" t="n">
        <v>2026</v>
      </c>
      <c r="E205" s="7" t="n">
        <v>2</v>
      </c>
      <c r="F205" s="7" t="inlineStr">
        <is>
          <t>February</t>
        </is>
      </c>
      <c r="G205" s="7" t="inlineStr">
        <is>
          <t>Q4</t>
        </is>
      </c>
      <c r="H205" s="8" t="n">
        <v>16140</v>
      </c>
      <c r="I205" s="8" t="n">
        <v>4697</v>
      </c>
      <c r="J205" s="8" t="n">
        <v>5</v>
      </c>
      <c r="K205" s="8" t="n">
        <v>0</v>
      </c>
      <c r="L205" s="8" t="n">
        <v>67</v>
      </c>
      <c r="M205" s="9">
        <f>SUM(I205,J205,K205,L205)</f>
        <v/>
      </c>
      <c r="N205" s="8" t="n">
        <v>4259.500000000001</v>
      </c>
      <c r="O205" s="8" t="n">
        <v>13.6</v>
      </c>
      <c r="P205" s="8" t="n">
        <v>201.3</v>
      </c>
      <c r="Q205" s="8" t="n">
        <v>321.5000000000001</v>
      </c>
      <c r="R205" s="9">
        <f>SUM(N205,O205,P205,Q205)</f>
        <v/>
      </c>
      <c r="S205" s="9">
        <f>M205+R205</f>
        <v/>
      </c>
      <c r="T205" s="8" t="n">
        <v>6575.099999999999</v>
      </c>
      <c r="U205" s="10">
        <f>IF(H205=0,"",T205/H205)</f>
        <v/>
      </c>
      <c r="V205" s="8" t="n">
        <v>72</v>
      </c>
      <c r="W205" s="11">
        <f>IF(H205=0,"",V205/H205)</f>
        <v/>
      </c>
      <c r="X205" s="8" t="n">
        <v>0</v>
      </c>
      <c r="Y205" s="11">
        <f>IF(H205=0,"",X205/H205)</f>
        <v/>
      </c>
      <c r="Z205" s="8" t="n">
        <v>0</v>
      </c>
      <c r="AA205" s="11">
        <f>IF(H205=0,"",Z205/H205)</f>
        <v/>
      </c>
      <c r="AB205" s="8" t="n">
        <v>82</v>
      </c>
      <c r="AC205" s="11">
        <f>IF(H205=0,"",AB205/H205)</f>
        <v/>
      </c>
      <c r="AD205" s="8" t="n">
        <v>0</v>
      </c>
      <c r="AE205" s="11">
        <f>IF(H205=0,"",AD205/H205)</f>
        <v/>
      </c>
      <c r="AF205" s="8" t="n">
        <v>0</v>
      </c>
      <c r="AG205" s="11">
        <f>IF(H205=0,"",AF205/H205)</f>
        <v/>
      </c>
      <c r="AH205" s="8" t="n">
        <v>858396.1399999999</v>
      </c>
      <c r="AI205" s="9">
        <f>IF(H205=0,"",AH205/H205)</f>
        <v/>
      </c>
      <c r="AJ205" s="8" t="n">
        <v>23450</v>
      </c>
      <c r="AK205" s="11">
        <f>IF(H205=0,"",AJ205/H205)</f>
        <v/>
      </c>
      <c r="AL205" s="8" t="n">
        <v>3270149.175</v>
      </c>
      <c r="AM205" s="9">
        <f>IF(H205=0,"",AL205/H205)</f>
        <v/>
      </c>
      <c r="AN205" s="8" t="n">
        <v>0</v>
      </c>
      <c r="AO205" s="8" t="n">
        <v>0</v>
      </c>
      <c r="AP205" s="8" t="n">
        <v>0</v>
      </c>
      <c r="AQ205" s="8" t="n">
        <v>0</v>
      </c>
      <c r="AR205" s="8" t="n">
        <v>9504246.689999999</v>
      </c>
      <c r="AS205" s="8" t="n">
        <v>0</v>
      </c>
      <c r="AT205" s="8" t="n">
        <v>2418000</v>
      </c>
      <c r="AU205" s="9">
        <f>AH205+AL205+AP205+AQ205+AR205+AS205+AT205</f>
        <v/>
      </c>
      <c r="AV205" s="9">
        <f>IF(H205=0,"",AU205/H205)</f>
        <v/>
      </c>
      <c r="AW205" s="9">
        <f>IF(S205=0,"",AU205/S205)</f>
        <v/>
      </c>
      <c r="AX205" s="8" t="n">
        <v>10</v>
      </c>
      <c r="AY205" s="9">
        <f>IF(H205=0,"",AX205/(H205/1000/12))</f>
        <v/>
      </c>
      <c r="AZ205" s="8" t="n">
        <v>17</v>
      </c>
      <c r="BA205" s="8" t="n">
        <v>10</v>
      </c>
      <c r="BB205" s="8" t="n">
        <v>14</v>
      </c>
      <c r="BC205" s="8" t="n">
        <v>0</v>
      </c>
      <c r="BD205" s="8" t="n">
        <v>23</v>
      </c>
      <c r="BE205" s="9">
        <f>BC205+BD205</f>
        <v/>
      </c>
      <c r="BF205" s="9">
        <f>BA205+BB205-BE205</f>
        <v/>
      </c>
      <c r="BG205" s="8" t="n">
        <v>0</v>
      </c>
      <c r="BH205" s="8" t="n">
        <v>0</v>
      </c>
      <c r="BI205" s="8" t="n">
        <v>0</v>
      </c>
      <c r="BJ205" s="8" t="n">
        <v>0</v>
      </c>
      <c r="BK205" s="9">
        <f>BI205+BJ205</f>
        <v/>
      </c>
      <c r="BL205" s="9">
        <f>BG205+BH205-BK205</f>
        <v/>
      </c>
      <c r="BM205" s="8" t="n">
        <v>0</v>
      </c>
      <c r="BN205" s="8" t="n">
        <v>0</v>
      </c>
      <c r="BO205" s="8" t="n">
        <v>0</v>
      </c>
      <c r="BP205" s="8" t="n">
        <v>0</v>
      </c>
      <c r="BQ205" s="9">
        <f>BO205+BP205</f>
        <v/>
      </c>
      <c r="BR205" s="9">
        <f>BM205+BN205-BQ205</f>
        <v/>
      </c>
      <c r="BS205" s="8" t="n">
        <v>0</v>
      </c>
      <c r="BT205" s="8" t="n">
        <v>0</v>
      </c>
      <c r="BU205" s="8" t="n">
        <v>0</v>
      </c>
      <c r="BV205" s="8" t="n">
        <v>0</v>
      </c>
      <c r="BW205" s="9">
        <f>BU205+BV205</f>
        <v/>
      </c>
      <c r="BX205" s="9">
        <f>BS205+BT205-BW205</f>
        <v/>
      </c>
      <c r="BY205" s="9">
        <f>BA205+BG205+BM205+BS205</f>
        <v/>
      </c>
      <c r="BZ205" s="9">
        <f>BB205+BH205+BN205+BT205</f>
        <v/>
      </c>
      <c r="CA205" s="9">
        <f>BE205+BK205+BQ205+BW205</f>
        <v/>
      </c>
      <c r="CB205" s="9">
        <f>BF205+BL205+BR205+BX205</f>
        <v/>
      </c>
      <c r="CC205" s="8" t="n">
        <v>33</v>
      </c>
      <c r="CD205" s="8" t="n">
        <v>534</v>
      </c>
      <c r="CE205" s="8" t="n">
        <v>13</v>
      </c>
      <c r="CF205" s="8" t="n">
        <v>13</v>
      </c>
      <c r="CG205" s="8" t="n">
        <v>16</v>
      </c>
      <c r="CH205" s="9">
        <f>CD205+CE205+CF205+CG205</f>
        <v/>
      </c>
      <c r="CI205" s="8" t="n">
        <v>778</v>
      </c>
      <c r="CJ205" s="8" t="n">
        <v>0</v>
      </c>
      <c r="CK205" s="8" t="n">
        <v>3</v>
      </c>
      <c r="CL205" s="8" t="n">
        <v>1</v>
      </c>
      <c r="CM205" s="9">
        <f>CI205+CJ205+CK205+CL205</f>
        <v/>
      </c>
      <c r="CN205" s="8" t="n">
        <v>872</v>
      </c>
      <c r="CO205" s="8" t="n">
        <v>55</v>
      </c>
      <c r="CP205" s="8" t="n">
        <v>54</v>
      </c>
      <c r="CQ205" s="8" t="n">
        <v>2</v>
      </c>
      <c r="CR205" s="9">
        <f>CN205+CO205+CP205+CQ205</f>
        <v/>
      </c>
      <c r="CS205" s="9">
        <f>CM205+CR205</f>
        <v/>
      </c>
      <c r="CT205" s="8" t="n">
        <v>2341</v>
      </c>
      <c r="CU205" s="8" t="n">
        <v>12005</v>
      </c>
      <c r="CV205" s="8" t="n">
        <v>11100</v>
      </c>
      <c r="CW205" s="10">
        <f>IF(CU205=0,"",CV205/CU205)</f>
        <v/>
      </c>
      <c r="CX205" s="8" t="n"/>
      <c r="CY205" s="8" t="n"/>
      <c r="CZ205" s="8" t="n"/>
      <c r="DA205" s="8" t="n"/>
      <c r="DB205" s="9">
        <f>CX205+CY205-CZ205-DA205</f>
        <v/>
      </c>
      <c r="DC205" s="8" t="n">
        <v>0</v>
      </c>
      <c r="DD205" s="8" t="n">
        <v>0</v>
      </c>
      <c r="DE205" s="8" t="n">
        <v>0</v>
      </c>
      <c r="DF205" s="8" t="n">
        <v>0</v>
      </c>
      <c r="DG205" s="9">
        <f>DC205+DD205-DE205-DF205</f>
        <v/>
      </c>
      <c r="DH205" s="8" t="n">
        <v>0</v>
      </c>
      <c r="DI205" s="8" t="n">
        <v>0</v>
      </c>
      <c r="DJ205" s="8" t="n">
        <v>0</v>
      </c>
      <c r="DK205" s="8" t="n">
        <v>0</v>
      </c>
      <c r="DL205" s="9">
        <f>DH205+DI205-DJ205-DK205</f>
        <v/>
      </c>
      <c r="DM205" s="8" t="n">
        <v>23</v>
      </c>
      <c r="DN205" s="8" t="n">
        <v>8</v>
      </c>
      <c r="DO205" s="8" t="n">
        <v>18</v>
      </c>
      <c r="DP205" s="8" t="n">
        <v>0</v>
      </c>
      <c r="DQ205" s="9">
        <f>DM205+DN205-DO205-DP205</f>
        <v/>
      </c>
      <c r="DR205" s="9">
        <f>CX205+DC205+DH205+DM205</f>
        <v/>
      </c>
      <c r="DS205" s="9">
        <f>CY205+DD205+DI205+DN205</f>
        <v/>
      </c>
      <c r="DT205" s="9">
        <f>CZ205+DE205+DJ205+DO205</f>
        <v/>
      </c>
      <c r="DU205" s="9">
        <f>DA205+DF205+DK205+DP205</f>
        <v/>
      </c>
      <c r="DV205" s="9">
        <f>DB205+DG205+DL205+DQ205</f>
        <v/>
      </c>
      <c r="DW205" s="8" t="n">
        <v>52</v>
      </c>
      <c r="DX205" s="8" t="n">
        <v>35</v>
      </c>
      <c r="DY205" s="8" t="n">
        <v>24</v>
      </c>
      <c r="DZ205" s="8" t="n">
        <v>2</v>
      </c>
      <c r="EA205" s="8" t="n">
        <v>7</v>
      </c>
      <c r="EB205" s="8" t="n">
        <v>3</v>
      </c>
      <c r="EC205" s="8" t="n">
        <v>1</v>
      </c>
      <c r="ED205" s="8" t="n">
        <v>2</v>
      </c>
      <c r="EE205" s="8" t="n">
        <v>6</v>
      </c>
      <c r="EF205" s="8" t="n">
        <v>3</v>
      </c>
      <c r="EG205" s="8" t="n">
        <v>0</v>
      </c>
      <c r="EH205" s="8" t="n">
        <v>0</v>
      </c>
      <c r="EI205" s="8" t="n">
        <v>0</v>
      </c>
      <c r="EJ205" s="8" t="n">
        <v>10</v>
      </c>
      <c r="EK205" s="8" t="n">
        <v>0</v>
      </c>
      <c r="EL205" s="8" t="n">
        <v>0</v>
      </c>
      <c r="EM205" s="8" t="n">
        <v>0</v>
      </c>
      <c r="EN205" s="8" t="n">
        <v>0</v>
      </c>
      <c r="EO205" s="8" t="n">
        <v>0</v>
      </c>
      <c r="EP205" s="8" t="n">
        <v>0</v>
      </c>
      <c r="EQ205" s="8" t="n">
        <v>0</v>
      </c>
      <c r="ER205" s="8" t="n">
        <v>0</v>
      </c>
      <c r="ES205" s="8" t="n">
        <v>0</v>
      </c>
      <c r="ET205" s="8" t="n">
        <v>0</v>
      </c>
      <c r="EU205" s="8" t="n">
        <v>0</v>
      </c>
      <c r="EV205" s="8" t="n">
        <v>0</v>
      </c>
      <c r="EW205" s="8" t="n">
        <v>0</v>
      </c>
      <c r="EX205" s="8" t="n">
        <v>0</v>
      </c>
      <c r="EY205" s="8" t="n">
        <v>0</v>
      </c>
      <c r="EZ205" s="8" t="n">
        <v>0</v>
      </c>
      <c r="FA205" s="8" t="n">
        <v>0</v>
      </c>
      <c r="FB205" s="8" t="n">
        <v>0</v>
      </c>
      <c r="FC205" s="8" t="n">
        <v>0</v>
      </c>
      <c r="FD205" s="8" t="n">
        <v>0</v>
      </c>
      <c r="FE205" s="8" t="n">
        <v>0</v>
      </c>
      <c r="FF205" s="8" t="n">
        <v>0</v>
      </c>
      <c r="FG205" s="9">
        <f>SUM(DW205,DX205,DY205,DZ205,EA205,EB205,EC205,ED205,EE205,EF205,EG205,EH205,EI205,EJ205,EK205,EL205,EM205,EN205,EO205,EP205,EQ205,ER205,ES205,ET205,EU205,EV205,EW205,EX205,EY205,EZ205,FA205,FB205,FC205,FD205,FE205,FF205)</f>
        <v/>
      </c>
      <c r="FH205" s="8" t="n">
        <v>11</v>
      </c>
      <c r="FI205" s="8" t="n">
        <v>75</v>
      </c>
      <c r="FJ205" s="8" t="n">
        <v>5</v>
      </c>
      <c r="FK205" s="8" t="n">
        <v>41</v>
      </c>
      <c r="FL205" s="8" t="n">
        <v>0</v>
      </c>
      <c r="FM205" s="8" t="n">
        <v>0</v>
      </c>
      <c r="FN205" s="8" t="n">
        <v>0</v>
      </c>
      <c r="FO205" s="8" t="n">
        <v>0</v>
      </c>
      <c r="FP205" s="8" t="n">
        <v>0</v>
      </c>
      <c r="FQ205" s="9">
        <f>FL205+FM205+FN205+FO205+FP205</f>
        <v/>
      </c>
      <c r="FR205" s="8" t="n">
        <v>4868670.439999999</v>
      </c>
      <c r="FS205" s="8" t="n">
        <v>10000</v>
      </c>
      <c r="FT205" s="8" t="n">
        <v>0</v>
      </c>
      <c r="FU205" s="8" t="n">
        <v>0</v>
      </c>
      <c r="FV205" s="9">
        <f>FR205+FS205+FT205+FU205</f>
        <v/>
      </c>
      <c r="FW205" s="8" t="n">
        <v>5521384</v>
      </c>
      <c r="FX205" s="8" t="n">
        <v>4700</v>
      </c>
      <c r="FY205" s="8" t="n">
        <v>732450</v>
      </c>
      <c r="FZ205" s="8" t="n">
        <v>1534878.09</v>
      </c>
      <c r="GA205" s="9">
        <f>FW205+FX205+FY205+FZ205</f>
        <v/>
      </c>
      <c r="GB205" s="9">
        <f>FV205+GA205</f>
        <v/>
      </c>
      <c r="GC205" s="8" t="n">
        <v>4206068.5</v>
      </c>
      <c r="GD205" s="8" t="n">
        <v>956.4</v>
      </c>
      <c r="GE205" s="8" t="n">
        <v>0</v>
      </c>
      <c r="GF205" s="8" t="n">
        <v>257577.15</v>
      </c>
      <c r="GG205" s="9">
        <f>GC205+GD205+GE205+GF205</f>
        <v/>
      </c>
      <c r="GH205" s="8" t="n">
        <v>0</v>
      </c>
      <c r="GI205" s="8" t="n">
        <v>0</v>
      </c>
      <c r="GJ205" s="8" t="n">
        <v>0</v>
      </c>
      <c r="GK205" s="8" t="n">
        <v>0</v>
      </c>
      <c r="GL205" s="9">
        <f>GH205+GI205+GJ205+GK205</f>
        <v/>
      </c>
      <c r="GM205" s="9">
        <f>GG205+GL205</f>
        <v/>
      </c>
      <c r="GN205" s="8" t="n">
        <v>419990.27</v>
      </c>
      <c r="GO205" s="8" t="n">
        <v>191.28</v>
      </c>
      <c r="GP205" s="8" t="n">
        <v>0</v>
      </c>
      <c r="GQ205" s="8" t="n">
        <v>13912.02</v>
      </c>
      <c r="GR205" s="9">
        <f>GN205+GO205+GP205+GQ205</f>
        <v/>
      </c>
      <c r="GS205" s="8" t="n">
        <v>694754</v>
      </c>
      <c r="GT205" s="8" t="n">
        <v>893</v>
      </c>
      <c r="GU205" s="8" t="n">
        <v>0</v>
      </c>
      <c r="GV205" s="8" t="n">
        <v>2679</v>
      </c>
      <c r="GW205" s="9">
        <f>GS205+GT205+GU205+GV205</f>
        <v/>
      </c>
      <c r="GX205" s="9">
        <f>GM205+GR205+GW205</f>
        <v/>
      </c>
      <c r="GY205" s="8" t="n">
        <v>24035328.57</v>
      </c>
      <c r="GZ205" s="8" t="n">
        <v>499854.76</v>
      </c>
      <c r="HA205" s="9">
        <f>GY205+GZ205</f>
        <v/>
      </c>
      <c r="HB205" s="9">
        <f>IF(GX205=0,"",AU205/GX205)</f>
        <v/>
      </c>
      <c r="HC205" s="10">
        <f>IF((GX205+GY205)=0,"",GB205/(GX205+GY205))</f>
        <v/>
      </c>
      <c r="HD205" s="9">
        <f>IF(GX205=0,"",GB205/GX205)</f>
        <v/>
      </c>
      <c r="HE205" s="8" t="n">
        <v>14</v>
      </c>
      <c r="HF205" s="8" t="n">
        <v>5</v>
      </c>
      <c r="HG205" s="8" t="n">
        <v>1</v>
      </c>
      <c r="HH205" s="8" t="n">
        <v>14</v>
      </c>
      <c r="HI205" s="8" t="n">
        <v>5</v>
      </c>
      <c r="HJ205" s="9">
        <f>HF205+HI205</f>
        <v/>
      </c>
      <c r="HK205" s="10">
        <f>IF(HE205=0,"",HH205/HE205)</f>
        <v/>
      </c>
      <c r="HL205" s="8" t="n">
        <v>18</v>
      </c>
      <c r="HM205" s="8" t="n">
        <v>5</v>
      </c>
      <c r="HN205" s="11">
        <f>IF(HL205=0,"",HM205/HL205)</f>
        <v/>
      </c>
    </row>
    <row r="206">
      <c r="A206" s="12" t="inlineStr">
        <is>
          <t>Mulanje</t>
        </is>
      </c>
      <c r="B206" s="12" t="inlineStr">
        <is>
          <t>Thyolo</t>
        </is>
      </c>
      <c r="C206" s="13" t="inlineStr">
        <is>
          <t>FY2025/26</t>
        </is>
      </c>
      <c r="D206" s="13" t="n">
        <v>2026</v>
      </c>
      <c r="E206" s="13" t="n">
        <v>3</v>
      </c>
      <c r="F206" s="13" t="inlineStr">
        <is>
          <t>March</t>
        </is>
      </c>
      <c r="G206" s="13" t="inlineStr">
        <is>
          <t>Q4</t>
        </is>
      </c>
      <c r="H206" s="14" t="n">
        <v>15150</v>
      </c>
      <c r="I206" s="14" t="n">
        <v>4192</v>
      </c>
      <c r="J206" s="14" t="n">
        <v>5</v>
      </c>
      <c r="K206" s="14" t="n">
        <v>0</v>
      </c>
      <c r="L206" s="14" t="n">
        <v>53</v>
      </c>
      <c r="M206" s="15">
        <f>SUM(I206,J206,K206,L206)</f>
        <v/>
      </c>
      <c r="N206" s="14" t="n">
        <v>3660.799999999996</v>
      </c>
      <c r="O206" s="14" t="n">
        <v>7</v>
      </c>
      <c r="P206" s="14" t="n">
        <v>839</v>
      </c>
      <c r="Q206" s="14" t="n">
        <v>570</v>
      </c>
      <c r="R206" s="15">
        <f>SUM(N206,O206,P206,Q206)</f>
        <v/>
      </c>
      <c r="S206" s="15">
        <f>M206+R206</f>
        <v/>
      </c>
      <c r="T206" s="14" t="n">
        <v>5823.200000000004</v>
      </c>
      <c r="U206" s="16">
        <f>IF(H206=0,"",T206/H206)</f>
        <v/>
      </c>
      <c r="V206" s="14" t="n">
        <v>76</v>
      </c>
      <c r="W206" s="17">
        <f>IF(H206=0,"",V206/H206)</f>
        <v/>
      </c>
      <c r="X206" s="14" t="n">
        <v>0</v>
      </c>
      <c r="Y206" s="17">
        <f>IF(H206=0,"",X206/H206)</f>
        <v/>
      </c>
      <c r="Z206" s="14" t="n">
        <v>0</v>
      </c>
      <c r="AA206" s="17">
        <f>IF(H206=0,"",Z206/H206)</f>
        <v/>
      </c>
      <c r="AB206" s="14" t="n">
        <v>104</v>
      </c>
      <c r="AC206" s="17">
        <f>IF(H206=0,"",AB206/H206)</f>
        <v/>
      </c>
      <c r="AD206" s="14" t="n">
        <v>0</v>
      </c>
      <c r="AE206" s="17">
        <f>IF(H206=0,"",AD206/H206)</f>
        <v/>
      </c>
      <c r="AF206" s="14" t="n">
        <v>0</v>
      </c>
      <c r="AG206" s="17">
        <f>IF(H206=0,"",AF206/H206)</f>
        <v/>
      </c>
      <c r="AH206" s="14" t="n">
        <v>1010401.72</v>
      </c>
      <c r="AI206" s="15">
        <f>IF(H206=0,"",AH206/H206)</f>
        <v/>
      </c>
      <c r="AJ206" s="14" t="n">
        <v>23450</v>
      </c>
      <c r="AK206" s="17">
        <f>IF(H206=0,"",AJ206/H206)</f>
        <v/>
      </c>
      <c r="AL206" s="14" t="n">
        <v>16426.5</v>
      </c>
      <c r="AM206" s="15">
        <f>IF(H206=0,"",AL206/H206)</f>
        <v/>
      </c>
      <c r="AN206" s="14" t="n">
        <v>0</v>
      </c>
      <c r="AO206" s="14" t="n">
        <v>0</v>
      </c>
      <c r="AP206" s="14" t="n">
        <v>0</v>
      </c>
      <c r="AQ206" s="14" t="n">
        <v>0</v>
      </c>
      <c r="AR206" s="14" t="n">
        <v>11476840.62</v>
      </c>
      <c r="AS206" s="14" t="n">
        <v>0</v>
      </c>
      <c r="AT206" s="14" t="n">
        <v>0</v>
      </c>
      <c r="AU206" s="15">
        <f>AH206+AL206+AP206+AQ206+AR206+AS206+AT206</f>
        <v/>
      </c>
      <c r="AV206" s="15">
        <f>IF(H206=0,"",AU206/H206)</f>
        <v/>
      </c>
      <c r="AW206" s="15">
        <f>IF(S206=0,"",AU206/S206)</f>
        <v/>
      </c>
      <c r="AX206" s="14" t="n">
        <v>10</v>
      </c>
      <c r="AY206" s="15">
        <f>IF(H206=0,"",AX206/(H206/1000/12))</f>
        <v/>
      </c>
      <c r="AZ206" s="14" t="n">
        <v>17</v>
      </c>
      <c r="BA206" s="14" t="n">
        <v>3</v>
      </c>
      <c r="BB206" s="14" t="n">
        <v>11</v>
      </c>
      <c r="BC206" s="14" t="n">
        <v>0</v>
      </c>
      <c r="BD206" s="14" t="n">
        <v>5</v>
      </c>
      <c r="BE206" s="15">
        <f>BC206+BD206</f>
        <v/>
      </c>
      <c r="BF206" s="15">
        <f>BA206+BB206-BE206</f>
        <v/>
      </c>
      <c r="BG206" s="14" t="n">
        <v>0</v>
      </c>
      <c r="BH206" s="14" t="n">
        <v>0</v>
      </c>
      <c r="BI206" s="14" t="n">
        <v>0</v>
      </c>
      <c r="BJ206" s="14" t="n">
        <v>0</v>
      </c>
      <c r="BK206" s="15">
        <f>BI206+BJ206</f>
        <v/>
      </c>
      <c r="BL206" s="15">
        <f>BG206+BH206-BK206</f>
        <v/>
      </c>
      <c r="BM206" s="14" t="n">
        <v>0</v>
      </c>
      <c r="BN206" s="14" t="n">
        <v>0</v>
      </c>
      <c r="BO206" s="14" t="n">
        <v>0</v>
      </c>
      <c r="BP206" s="14" t="n">
        <v>0</v>
      </c>
      <c r="BQ206" s="15">
        <f>BO206+BP206</f>
        <v/>
      </c>
      <c r="BR206" s="15">
        <f>BM206+BN206-BQ206</f>
        <v/>
      </c>
      <c r="BS206" s="14" t="n">
        <v>0</v>
      </c>
      <c r="BT206" s="14" t="n">
        <v>0</v>
      </c>
      <c r="BU206" s="14" t="n">
        <v>0</v>
      </c>
      <c r="BV206" s="14" t="n">
        <v>0</v>
      </c>
      <c r="BW206" s="15">
        <f>BU206+BV206</f>
        <v/>
      </c>
      <c r="BX206" s="15">
        <f>BS206+BT206-BW206</f>
        <v/>
      </c>
      <c r="BY206" s="15">
        <f>BA206+BG206+BM206+BS206</f>
        <v/>
      </c>
      <c r="BZ206" s="15">
        <f>BB206+BH206+BN206+BT206</f>
        <v/>
      </c>
      <c r="CA206" s="15">
        <f>BE206+BK206+BQ206+BW206</f>
        <v/>
      </c>
      <c r="CB206" s="15">
        <f>BF206+BL206+BR206+BX206</f>
        <v/>
      </c>
      <c r="CC206" s="14" t="n">
        <v>5</v>
      </c>
      <c r="CD206" s="14" t="n">
        <v>534</v>
      </c>
      <c r="CE206" s="14" t="n">
        <v>13</v>
      </c>
      <c r="CF206" s="14" t="n">
        <v>13</v>
      </c>
      <c r="CG206" s="14" t="n">
        <v>16</v>
      </c>
      <c r="CH206" s="15">
        <f>CD206+CE206+CF206+CG206</f>
        <v/>
      </c>
      <c r="CI206" s="14" t="n">
        <v>770</v>
      </c>
      <c r="CJ206" s="14" t="n">
        <v>0</v>
      </c>
      <c r="CK206" s="14" t="n">
        <v>3</v>
      </c>
      <c r="CL206" s="14" t="n">
        <v>1</v>
      </c>
      <c r="CM206" s="15">
        <f>CI206+CJ206+CK206+CL206</f>
        <v/>
      </c>
      <c r="CN206" s="14" t="n">
        <v>879</v>
      </c>
      <c r="CO206" s="14" t="n">
        <v>55</v>
      </c>
      <c r="CP206" s="14" t="n">
        <v>55</v>
      </c>
      <c r="CQ206" s="14" t="n">
        <v>2</v>
      </c>
      <c r="CR206" s="15">
        <f>CN206+CO206+CP206+CQ206</f>
        <v/>
      </c>
      <c r="CS206" s="15">
        <f>CM206+CR206</f>
        <v/>
      </c>
      <c r="CT206" s="14" t="n">
        <v>2341</v>
      </c>
      <c r="CU206" s="14" t="n">
        <v>12005</v>
      </c>
      <c r="CV206" s="14" t="n">
        <v>11100</v>
      </c>
      <c r="CW206" s="16">
        <f>IF(CU206=0,"",CV206/CU206)</f>
        <v/>
      </c>
      <c r="CX206" s="14" t="n"/>
      <c r="CY206" s="14" t="n"/>
      <c r="CZ206" s="14" t="n"/>
      <c r="DA206" s="14" t="n"/>
      <c r="DB206" s="15">
        <f>CX206+CY206-CZ206-DA206</f>
        <v/>
      </c>
      <c r="DC206" s="14" t="n">
        <v>0</v>
      </c>
      <c r="DD206" s="14" t="n">
        <v>0</v>
      </c>
      <c r="DE206" s="14" t="n">
        <v>0</v>
      </c>
      <c r="DF206" s="14" t="n">
        <v>0</v>
      </c>
      <c r="DG206" s="15">
        <f>DC206+DD206-DE206-DF206</f>
        <v/>
      </c>
      <c r="DH206" s="14" t="n">
        <v>0</v>
      </c>
      <c r="DI206" s="14" t="n">
        <v>0</v>
      </c>
      <c r="DJ206" s="14" t="n">
        <v>0</v>
      </c>
      <c r="DK206" s="14" t="n">
        <v>0</v>
      </c>
      <c r="DL206" s="15">
        <f>DH206+DI206-DJ206-DK206</f>
        <v/>
      </c>
      <c r="DM206" s="14" t="n">
        <v>13</v>
      </c>
      <c r="DN206" s="14" t="n">
        <v>0</v>
      </c>
      <c r="DO206" s="14" t="n">
        <v>2</v>
      </c>
      <c r="DP206" s="14" t="n">
        <v>0</v>
      </c>
      <c r="DQ206" s="15">
        <f>DM206+DN206-DO206-DP206</f>
        <v/>
      </c>
      <c r="DR206" s="15">
        <f>CX206+DC206+DH206+DM206</f>
        <v/>
      </c>
      <c r="DS206" s="15">
        <f>CY206+DD206+DI206+DN206</f>
        <v/>
      </c>
      <c r="DT206" s="15">
        <f>CZ206+DE206+DJ206+DO206</f>
        <v/>
      </c>
      <c r="DU206" s="15">
        <f>DA206+DF206+DK206+DP206</f>
        <v/>
      </c>
      <c r="DV206" s="15">
        <f>DB206+DG206+DL206+DQ206</f>
        <v/>
      </c>
      <c r="DW206" s="14" t="n">
        <v>56</v>
      </c>
      <c r="DX206" s="14" t="n">
        <v>30</v>
      </c>
      <c r="DY206" s="14" t="n">
        <v>25</v>
      </c>
      <c r="DZ206" s="14" t="n">
        <v>3</v>
      </c>
      <c r="EA206" s="14" t="n">
        <v>7</v>
      </c>
      <c r="EB206" s="14" t="n">
        <v>0</v>
      </c>
      <c r="EC206" s="14" t="n">
        <v>0</v>
      </c>
      <c r="ED206" s="14" t="n">
        <v>0</v>
      </c>
      <c r="EE206" s="14" t="n">
        <v>0</v>
      </c>
      <c r="EF206" s="14" t="n">
        <v>1</v>
      </c>
      <c r="EG206" s="14" t="n">
        <v>0</v>
      </c>
      <c r="EH206" s="14" t="n">
        <v>0</v>
      </c>
      <c r="EI206" s="14" t="n">
        <v>0</v>
      </c>
      <c r="EJ206" s="14" t="n">
        <v>8</v>
      </c>
      <c r="EK206" s="14" t="n">
        <v>0</v>
      </c>
      <c r="EL206" s="14" t="n">
        <v>0</v>
      </c>
      <c r="EM206" s="14" t="n">
        <v>0</v>
      </c>
      <c r="EN206" s="14" t="n">
        <v>0</v>
      </c>
      <c r="EO206" s="14" t="n">
        <v>0</v>
      </c>
      <c r="EP206" s="14" t="n">
        <v>0</v>
      </c>
      <c r="EQ206" s="14" t="n">
        <v>0</v>
      </c>
      <c r="ER206" s="14" t="n">
        <v>0</v>
      </c>
      <c r="ES206" s="14" t="n">
        <v>0</v>
      </c>
      <c r="ET206" s="14" t="n">
        <v>0</v>
      </c>
      <c r="EU206" s="14" t="n">
        <v>0</v>
      </c>
      <c r="EV206" s="14" t="n">
        <v>0</v>
      </c>
      <c r="EW206" s="14" t="n">
        <v>0</v>
      </c>
      <c r="EX206" s="14" t="n">
        <v>0</v>
      </c>
      <c r="EY206" s="14" t="n">
        <v>0</v>
      </c>
      <c r="EZ206" s="14" t="n">
        <v>0</v>
      </c>
      <c r="FA206" s="14" t="n">
        <v>0</v>
      </c>
      <c r="FB206" s="14" t="n">
        <v>0</v>
      </c>
      <c r="FC206" s="14" t="n">
        <v>0</v>
      </c>
      <c r="FD206" s="14" t="n">
        <v>0</v>
      </c>
      <c r="FE206" s="14" t="n">
        <v>0</v>
      </c>
      <c r="FF206" s="14" t="n">
        <v>0</v>
      </c>
      <c r="FG206" s="15">
        <f>SUM(DW206,DX206,DY206,DZ206,EA206,EB206,EC206,ED206,EE206,EF206,EG206,EH206,EI206,EJ206,EK206,EL206,EM206,EN206,EO206,EP206,EQ206,ER206,ES206,ET206,EU206,EV206,EW206,EX206,EY206,EZ206,FA206,FB206,FC206,FD206,FE206,FF206)</f>
        <v/>
      </c>
      <c r="FH206" s="14" t="n">
        <v>4</v>
      </c>
      <c r="FI206" s="14" t="n">
        <v>39</v>
      </c>
      <c r="FJ206" s="14" t="n">
        <v>5</v>
      </c>
      <c r="FK206" s="14" t="n">
        <v>75</v>
      </c>
      <c r="FL206" s="14" t="n">
        <v>0</v>
      </c>
      <c r="FM206" s="14" t="n">
        <v>0</v>
      </c>
      <c r="FN206" s="14" t="n">
        <v>0</v>
      </c>
      <c r="FO206" s="14" t="n">
        <v>0</v>
      </c>
      <c r="FP206" s="14" t="n">
        <v>0</v>
      </c>
      <c r="FQ206" s="15">
        <f>FL206+FM206+FN206+FO206+FP206</f>
        <v/>
      </c>
      <c r="FR206" s="14" t="n">
        <v>4129575.22</v>
      </c>
      <c r="FS206" s="14" t="n">
        <v>0</v>
      </c>
      <c r="FT206" s="14" t="n">
        <v>1308800</v>
      </c>
      <c r="FU206" s="14" t="n">
        <v>0</v>
      </c>
      <c r="FV206" s="15">
        <f>FR206+FS206+FT206+FU206</f>
        <v/>
      </c>
      <c r="FW206" s="14" t="n">
        <v>4664496</v>
      </c>
      <c r="FX206" s="14" t="n">
        <v>1400</v>
      </c>
      <c r="FY206" s="14" t="n">
        <v>2706319</v>
      </c>
      <c r="FZ206" s="14" t="n">
        <v>2568000</v>
      </c>
      <c r="GA206" s="15">
        <f>FW206+FX206+FY206+FZ206</f>
        <v/>
      </c>
      <c r="GB206" s="15">
        <f>FV206+GA206</f>
        <v/>
      </c>
      <c r="GC206" s="14" t="n">
        <v>3788332.56</v>
      </c>
      <c r="GD206" s="14" t="n">
        <v>956.4</v>
      </c>
      <c r="GE206" s="14" t="n">
        <v>0</v>
      </c>
      <c r="GF206" s="14" t="n">
        <v>209517.35</v>
      </c>
      <c r="GG206" s="15">
        <f>GC206+GD206+GE206+GF206</f>
        <v/>
      </c>
      <c r="GH206" s="14" t="n">
        <v>0</v>
      </c>
      <c r="GI206" s="14" t="n">
        <v>0</v>
      </c>
      <c r="GJ206" s="14" t="n">
        <v>0</v>
      </c>
      <c r="GK206" s="14" t="n">
        <v>0</v>
      </c>
      <c r="GL206" s="15">
        <f>GH206+GI206+GJ206+GK206</f>
        <v/>
      </c>
      <c r="GM206" s="15">
        <f>GG206+GL206</f>
        <v/>
      </c>
      <c r="GN206" s="14" t="n">
        <v>414792.4</v>
      </c>
      <c r="GO206" s="14" t="n">
        <v>191.28</v>
      </c>
      <c r="GP206" s="14" t="n">
        <v>0</v>
      </c>
      <c r="GQ206" s="14" t="n">
        <v>13912.02</v>
      </c>
      <c r="GR206" s="15">
        <f>GN206+GO206+GP206+GQ206</f>
        <v/>
      </c>
      <c r="GS206" s="14" t="n">
        <v>687610</v>
      </c>
      <c r="GT206" s="14" t="n">
        <v>893</v>
      </c>
      <c r="GU206" s="14" t="n">
        <v>0</v>
      </c>
      <c r="GV206" s="14" t="n">
        <v>2679</v>
      </c>
      <c r="GW206" s="15">
        <f>GS206+GT206+GU206+GV206</f>
        <v/>
      </c>
      <c r="GX206" s="15">
        <f>GM206+GR206+GW206</f>
        <v/>
      </c>
      <c r="GY206" s="14" t="n">
        <v>19831213.56</v>
      </c>
      <c r="GZ206" s="14" t="n">
        <v>499854.76</v>
      </c>
      <c r="HA206" s="15">
        <f>GY206+GZ206</f>
        <v/>
      </c>
      <c r="HB206" s="15">
        <f>IF(GX206=0,"",AU206/GX206)</f>
        <v/>
      </c>
      <c r="HC206" s="16">
        <f>IF((GX206+GY206)=0,"",GB206/(GX206+GY206))</f>
        <v/>
      </c>
      <c r="HD206" s="15">
        <f>IF(GX206=0,"",GB206/GX206)</f>
        <v/>
      </c>
      <c r="HE206" s="14" t="n">
        <v>11</v>
      </c>
      <c r="HF206" s="14" t="n">
        <v>5</v>
      </c>
      <c r="HG206" s="14" t="n">
        <v>7</v>
      </c>
      <c r="HH206" s="14" t="n">
        <v>3</v>
      </c>
      <c r="HI206" s="14" t="n">
        <v>5</v>
      </c>
      <c r="HJ206" s="15">
        <f>HF206+HI206</f>
        <v/>
      </c>
      <c r="HK206" s="16">
        <f>IF(HE206=0,"",HH206/HE206)</f>
        <v/>
      </c>
      <c r="HL206" s="14" t="n">
        <v>25</v>
      </c>
      <c r="HM206" s="14" t="n">
        <v>5</v>
      </c>
      <c r="HN206" s="17">
        <f>IF(HL206=0,"",HM206/HL206)</f>
        <v/>
      </c>
    </row>
    <row r="207">
      <c r="A207" s="6" t="inlineStr">
        <is>
          <t>Ngabu</t>
        </is>
      </c>
      <c r="B207" s="6" t="inlineStr">
        <is>
          <t>Bangula</t>
        </is>
      </c>
      <c r="C207" s="7" t="inlineStr">
        <is>
          <t>FY2025/26</t>
        </is>
      </c>
      <c r="D207" s="7" t="n">
        <v>2025</v>
      </c>
      <c r="E207" s="7" t="n">
        <v>4</v>
      </c>
      <c r="F207" s="7" t="inlineStr">
        <is>
          <t>April</t>
        </is>
      </c>
      <c r="G207" s="7" t="inlineStr">
        <is>
          <t>Q1</t>
        </is>
      </c>
      <c r="H207" s="8" t="n">
        <v>7191</v>
      </c>
      <c r="I207" s="8" t="n">
        <v>282</v>
      </c>
      <c r="J207" s="8" t="n">
        <v>89</v>
      </c>
      <c r="K207" s="8" t="n">
        <v>8</v>
      </c>
      <c r="L207" s="8" t="n">
        <v>0</v>
      </c>
      <c r="M207" s="9">
        <f>SUM(I207,J207,K207,L207)</f>
        <v/>
      </c>
      <c r="N207" s="8" t="n">
        <v>4869</v>
      </c>
      <c r="O207" s="8" t="n">
        <v>390</v>
      </c>
      <c r="P207" s="8" t="n">
        <v>246</v>
      </c>
      <c r="Q207" s="8" t="n">
        <v>259</v>
      </c>
      <c r="R207" s="9">
        <f>SUM(N207,O207,P207,Q207)</f>
        <v/>
      </c>
      <c r="S207" s="9">
        <f>M207+R207</f>
        <v/>
      </c>
      <c r="T207" s="8" t="n">
        <v>1048</v>
      </c>
      <c r="U207" s="10">
        <f>IF(H207=0,"",T207/H207)</f>
        <v/>
      </c>
      <c r="V207" s="8" t="n">
        <v>11</v>
      </c>
      <c r="W207" s="11">
        <f>IF(H207=0,"",V207/H207)</f>
        <v/>
      </c>
      <c r="X207" s="8" t="n">
        <v>0</v>
      </c>
      <c r="Y207" s="11">
        <f>IF(H207=0,"",X207/H207)</f>
        <v/>
      </c>
      <c r="Z207" s="8" t="n">
        <v>0</v>
      </c>
      <c r="AA207" s="11">
        <f>IF(H207=0,"",Z207/H207)</f>
        <v/>
      </c>
      <c r="AB207" s="8" t="n">
        <v>0</v>
      </c>
      <c r="AC207" s="11">
        <f>IF(H207=0,"",AB207/H207)</f>
        <v/>
      </c>
      <c r="AD207" s="8" t="n">
        <v>0</v>
      </c>
      <c r="AE207" s="11">
        <f>IF(H207=0,"",AD207/H207)</f>
        <v/>
      </c>
      <c r="AF207" s="8" t="n">
        <v>0</v>
      </c>
      <c r="AG207" s="11">
        <f>IF(H207=0,"",AF207/H207)</f>
        <v/>
      </c>
      <c r="AH207" s="8" t="n">
        <v>38778.19</v>
      </c>
      <c r="AI207" s="9">
        <f>IF(H207=0,"",AH207/H207)</f>
        <v/>
      </c>
      <c r="AJ207" s="8" t="n">
        <v>2573.59</v>
      </c>
      <c r="AK207" s="11">
        <f>IF(H207=0,"",AJ207/H207)</f>
        <v/>
      </c>
      <c r="AL207" s="8" t="n">
        <v>373515.972885</v>
      </c>
      <c r="AM207" s="9">
        <f>IF(H207=0,"",AL207/H207)</f>
        <v/>
      </c>
      <c r="AN207" s="8" t="n">
        <v>0</v>
      </c>
      <c r="AO207" s="8" t="n">
        <v>0</v>
      </c>
      <c r="AP207" s="8" t="n">
        <v>0</v>
      </c>
      <c r="AQ207" s="8" t="n">
        <v>0</v>
      </c>
      <c r="AR207" s="8" t="n">
        <v>0</v>
      </c>
      <c r="AS207" s="8" t="n">
        <v>0</v>
      </c>
      <c r="AT207" s="8" t="n">
        <v>0</v>
      </c>
      <c r="AU207" s="9">
        <f>AH207+AL207+AP207+AQ207+AR207+AS207+AT207</f>
        <v/>
      </c>
      <c r="AV207" s="9">
        <f>IF(H207=0,"",AU207/H207)</f>
        <v/>
      </c>
      <c r="AW207" s="9">
        <f>IF(S207=0,"",AU207/S207)</f>
        <v/>
      </c>
      <c r="AX207" s="8" t="n">
        <v>2</v>
      </c>
      <c r="AY207" s="9">
        <f>IF(H207=0,"",AX207/(H207/1000/12))</f>
        <v/>
      </c>
      <c r="AZ207" s="8" t="n">
        <v>6</v>
      </c>
      <c r="BA207" s="8" t="n">
        <v>31</v>
      </c>
      <c r="BB207" s="8" t="n">
        <v>8</v>
      </c>
      <c r="BC207" s="8" t="n">
        <v>6</v>
      </c>
      <c r="BD207" s="8" t="n">
        <v>2</v>
      </c>
      <c r="BE207" s="9">
        <f>BC207+BD207</f>
        <v/>
      </c>
      <c r="BF207" s="9">
        <f>BA207+BB207-BE207</f>
        <v/>
      </c>
      <c r="BG207" s="8" t="n">
        <v>0</v>
      </c>
      <c r="BH207" s="8" t="n">
        <v>0</v>
      </c>
      <c r="BI207" s="8" t="n">
        <v>0</v>
      </c>
      <c r="BJ207" s="8" t="n">
        <v>0</v>
      </c>
      <c r="BK207" s="9">
        <f>BI207+BJ207</f>
        <v/>
      </c>
      <c r="BL207" s="9">
        <f>BG207+BH207-BK207</f>
        <v/>
      </c>
      <c r="BM207" s="8" t="n">
        <v>0</v>
      </c>
      <c r="BN207" s="8" t="n">
        <v>0</v>
      </c>
      <c r="BO207" s="8" t="n">
        <v>0</v>
      </c>
      <c r="BP207" s="8" t="n">
        <v>0</v>
      </c>
      <c r="BQ207" s="9">
        <f>BO207+BP207</f>
        <v/>
      </c>
      <c r="BR207" s="9">
        <f>BM207+BN207-BQ207</f>
        <v/>
      </c>
      <c r="BS207" s="8" t="n">
        <v>0</v>
      </c>
      <c r="BT207" s="8" t="n">
        <v>0</v>
      </c>
      <c r="BU207" s="8" t="n">
        <v>0</v>
      </c>
      <c r="BV207" s="8" t="n">
        <v>0</v>
      </c>
      <c r="BW207" s="9">
        <f>BU207+BV207</f>
        <v/>
      </c>
      <c r="BX207" s="9">
        <f>BS207+BT207-BW207</f>
        <v/>
      </c>
      <c r="BY207" s="9">
        <f>BA207+BG207+BM207+BS207</f>
        <v/>
      </c>
      <c r="BZ207" s="9">
        <f>BB207+BH207+BN207+BT207</f>
        <v/>
      </c>
      <c r="CA207" s="9">
        <f>BE207+BK207+BQ207+BW207</f>
        <v/>
      </c>
      <c r="CB207" s="9">
        <f>BF207+BL207+BR207+BX207</f>
        <v/>
      </c>
      <c r="CC207" s="8" t="n">
        <v>0</v>
      </c>
      <c r="CD207" s="8" t="n">
        <v>246</v>
      </c>
      <c r="CE207" s="8" t="n">
        <v>12</v>
      </c>
      <c r="CF207" s="8" t="n">
        <v>12</v>
      </c>
      <c r="CG207" s="8" t="n">
        <v>7</v>
      </c>
      <c r="CH207" s="9">
        <f>CD207+CE207+CF207+CG207</f>
        <v/>
      </c>
      <c r="CI207" s="8" t="n">
        <v>59</v>
      </c>
      <c r="CJ207" s="8" t="n">
        <v>0</v>
      </c>
      <c r="CK207" s="8" t="n">
        <v>0</v>
      </c>
      <c r="CL207" s="8" t="n">
        <v>1</v>
      </c>
      <c r="CM207" s="9">
        <f>CI207+CJ207+CK207+CL207</f>
        <v/>
      </c>
      <c r="CN207" s="8" t="n">
        <v>726</v>
      </c>
      <c r="CO207" s="8" t="n">
        <v>35</v>
      </c>
      <c r="CP207" s="8" t="n">
        <v>25</v>
      </c>
      <c r="CQ207" s="8" t="n">
        <v>18</v>
      </c>
      <c r="CR207" s="9">
        <f>CN207+CO207+CP207+CQ207</f>
        <v/>
      </c>
      <c r="CS207" s="9">
        <f>CM207+CR207</f>
        <v/>
      </c>
      <c r="CT207" s="8" t="n">
        <v>1141</v>
      </c>
      <c r="CU207" s="8" t="n">
        <v>11637</v>
      </c>
      <c r="CV207" s="8" t="n">
        <v>7320</v>
      </c>
      <c r="CW207" s="10">
        <f>IF(CU207=0,"",CV207/CU207)</f>
        <v/>
      </c>
      <c r="CX207" s="8" t="n">
        <v>0</v>
      </c>
      <c r="CY207" s="8" t="n">
        <v>0</v>
      </c>
      <c r="CZ207" s="8" t="n">
        <v>0</v>
      </c>
      <c r="DA207" s="8" t="n">
        <v>0</v>
      </c>
      <c r="DB207" s="9">
        <f>CX207+CY207-CZ207-DA207</f>
        <v/>
      </c>
      <c r="DC207" s="8" t="n">
        <v>0</v>
      </c>
      <c r="DD207" s="8" t="n">
        <v>0</v>
      </c>
      <c r="DE207" s="8" t="n">
        <v>0</v>
      </c>
      <c r="DF207" s="8" t="n">
        <v>0</v>
      </c>
      <c r="DG207" s="9">
        <f>DC207+DD207-DE207-DF207</f>
        <v/>
      </c>
      <c r="DH207" s="8" t="n">
        <v>0</v>
      </c>
      <c r="DI207" s="8" t="n">
        <v>0</v>
      </c>
      <c r="DJ207" s="8" t="n">
        <v>0</v>
      </c>
      <c r="DK207" s="8" t="n">
        <v>0</v>
      </c>
      <c r="DL207" s="9">
        <f>DH207+DI207-DJ207-DK207</f>
        <v/>
      </c>
      <c r="DM207" s="8" t="n">
        <v>0</v>
      </c>
      <c r="DN207" s="8" t="n">
        <v>0</v>
      </c>
      <c r="DO207" s="8" t="n">
        <v>0</v>
      </c>
      <c r="DP207" s="8" t="n">
        <v>0</v>
      </c>
      <c r="DQ207" s="9">
        <f>DM207+DN207-DO207-DP207</f>
        <v/>
      </c>
      <c r="DR207" s="9">
        <f>CX207+DC207+DH207+DM207</f>
        <v/>
      </c>
      <c r="DS207" s="9">
        <f>CY207+DD207+DI207+DN207</f>
        <v/>
      </c>
      <c r="DT207" s="9">
        <f>CZ207+DE207+DJ207+DO207</f>
        <v/>
      </c>
      <c r="DU207" s="9">
        <f>DA207+DF207+DK207+DP207</f>
        <v/>
      </c>
      <c r="DV207" s="9">
        <f>DB207+DG207+DL207+DQ207</f>
        <v/>
      </c>
      <c r="DW207" s="8" t="n">
        <v>10</v>
      </c>
      <c r="DX207" s="8" t="n">
        <v>1</v>
      </c>
      <c r="DY207" s="8" t="n">
        <v>2</v>
      </c>
      <c r="DZ207" s="8" t="n">
        <v>3</v>
      </c>
      <c r="EA207" s="8" t="n">
        <v>1</v>
      </c>
      <c r="EB207" s="8" t="n">
        <v>1</v>
      </c>
      <c r="EC207" s="8" t="n">
        <v>0</v>
      </c>
      <c r="ED207" s="8" t="n">
        <v>0</v>
      </c>
      <c r="EE207" s="8" t="n">
        <v>0</v>
      </c>
      <c r="EF207" s="8" t="n">
        <v>0</v>
      </c>
      <c r="EG207" s="8" t="n">
        <v>0</v>
      </c>
      <c r="EH207" s="8" t="n">
        <v>0</v>
      </c>
      <c r="EI207" s="8" t="n">
        <v>0</v>
      </c>
      <c r="EJ207" s="8" t="n">
        <v>5</v>
      </c>
      <c r="EK207" s="8" t="n">
        <v>0</v>
      </c>
      <c r="EL207" s="8" t="n">
        <v>0</v>
      </c>
      <c r="EM207" s="8" t="n">
        <v>0</v>
      </c>
      <c r="EN207" s="8" t="n">
        <v>0</v>
      </c>
      <c r="EO207" s="8" t="n">
        <v>0</v>
      </c>
      <c r="EP207" s="8" t="n">
        <v>0</v>
      </c>
      <c r="EQ207" s="8" t="n">
        <v>0</v>
      </c>
      <c r="ER207" s="8" t="n">
        <v>0</v>
      </c>
      <c r="ES207" s="8" t="n">
        <v>0</v>
      </c>
      <c r="ET207" s="8" t="n">
        <v>0</v>
      </c>
      <c r="EU207" s="8" t="n">
        <v>0</v>
      </c>
      <c r="EV207" s="8" t="n">
        <v>0</v>
      </c>
      <c r="EW207" s="8" t="n">
        <v>0</v>
      </c>
      <c r="EX207" s="8" t="n">
        <v>0</v>
      </c>
      <c r="EY207" s="8" t="n">
        <v>0</v>
      </c>
      <c r="EZ207" s="8" t="n">
        <v>0</v>
      </c>
      <c r="FA207" s="8" t="n">
        <v>0</v>
      </c>
      <c r="FB207" s="8" t="n">
        <v>0</v>
      </c>
      <c r="FC207" s="8" t="n">
        <v>0</v>
      </c>
      <c r="FD207" s="8" t="n">
        <v>0</v>
      </c>
      <c r="FE207" s="8" t="n">
        <v>0</v>
      </c>
      <c r="FF207" s="8" t="n">
        <v>0</v>
      </c>
      <c r="FG207" s="9">
        <f>SUM(DW207,DX207,DY207,DZ207,EA207,EB207,EC207,ED207,EE207,EF207,EG207,EH207,EI207,EJ207,EK207,EL207,EM207,EN207,EO207,EP207,EQ207,ER207,ES207,ET207,EU207,EV207,EW207,EX207,EY207,EZ207,FA207,FB207,FC207,FD207,FE207,FF207)</f>
        <v/>
      </c>
      <c r="FH207" s="8" t="n">
        <v>0</v>
      </c>
      <c r="FI207" s="8" t="n">
        <v>0</v>
      </c>
      <c r="FJ207" s="8" t="n">
        <v>0</v>
      </c>
      <c r="FK207" s="8" t="n">
        <v>0</v>
      </c>
      <c r="FL207" s="8" t="n">
        <v>0</v>
      </c>
      <c r="FM207" s="8" t="n">
        <v>0</v>
      </c>
      <c r="FN207" s="8" t="n">
        <v>0</v>
      </c>
      <c r="FO207" s="8" t="n">
        <v>0</v>
      </c>
      <c r="FP207" s="8" t="n">
        <v>0</v>
      </c>
      <c r="FQ207" s="9">
        <f>FL207+FM207+FN207+FO207+FP207</f>
        <v/>
      </c>
      <c r="FR207" s="8" t="n">
        <v>176069</v>
      </c>
      <c r="FS207" s="8" t="n">
        <v>0</v>
      </c>
      <c r="FT207" s="8" t="n">
        <v>0</v>
      </c>
      <c r="FU207" s="8" t="n">
        <v>0</v>
      </c>
      <c r="FV207" s="9">
        <f>FR207+FS207+FT207+FU207</f>
        <v/>
      </c>
      <c r="FW207" s="8" t="n">
        <v>6458933</v>
      </c>
      <c r="FX207" s="8" t="n">
        <v>130806</v>
      </c>
      <c r="FY207" s="8" t="n">
        <v>1044928</v>
      </c>
      <c r="FZ207" s="8" t="n">
        <v>691950</v>
      </c>
      <c r="GA207" s="9">
        <f>FW207+FX207+FY207+FZ207</f>
        <v/>
      </c>
      <c r="GB207" s="9">
        <f>FV207+GA207</f>
        <v/>
      </c>
      <c r="GC207" s="8" t="n">
        <v>322571.86</v>
      </c>
      <c r="GD207" s="8" t="n">
        <v>17023.92</v>
      </c>
      <c r="GE207" s="8" t="n">
        <v>27470.62</v>
      </c>
      <c r="GF207" s="8" t="n">
        <v>8410.99</v>
      </c>
      <c r="GG207" s="9">
        <f>GC207+GD207+GE207+GF207</f>
        <v/>
      </c>
      <c r="GH207" s="8" t="n">
        <v>6130337.65</v>
      </c>
      <c r="GI207" s="8" t="n">
        <v>130806.22</v>
      </c>
      <c r="GJ207" s="8" t="n">
        <v>682200</v>
      </c>
      <c r="GK207" s="8" t="n">
        <v>1028908.09</v>
      </c>
      <c r="GL207" s="9">
        <f>GH207+GI207+GJ207+GK207</f>
        <v/>
      </c>
      <c r="GM207" s="9">
        <f>GG207+GL207</f>
        <v/>
      </c>
      <c r="GN207" s="8" t="n">
        <v>32955.1</v>
      </c>
      <c r="GO207" s="8" t="n">
        <v>382.56</v>
      </c>
      <c r="GP207" s="8" t="n">
        <v>6787.28</v>
      </c>
      <c r="GQ207" s="8" t="n">
        <v>4637.34</v>
      </c>
      <c r="GR207" s="9">
        <f>GN207+GO207+GP207+GQ207</f>
        <v/>
      </c>
      <c r="GS207" s="8" t="n">
        <v>51794</v>
      </c>
      <c r="GT207" s="8" t="n">
        <v>1786</v>
      </c>
      <c r="GU207" s="8" t="n">
        <v>1786</v>
      </c>
      <c r="GV207" s="8" t="n">
        <v>893</v>
      </c>
      <c r="GW207" s="9">
        <f>GS207+GT207+GU207+GV207</f>
        <v/>
      </c>
      <c r="GX207" s="9">
        <f>GM207+GR207+GW207</f>
        <v/>
      </c>
      <c r="GY207" s="8" t="n">
        <v>0</v>
      </c>
      <c r="GZ207" s="8" t="n">
        <v>0</v>
      </c>
      <c r="HA207" s="9">
        <f>GY207+GZ207</f>
        <v/>
      </c>
      <c r="HB207" s="9">
        <f>IF(GX207=0,"",AU207/GX207)</f>
        <v/>
      </c>
      <c r="HC207" s="10">
        <f>IF((GX207+GY207)=0,"",GB207/(GX207+GY207))</f>
        <v/>
      </c>
      <c r="HD207" s="9">
        <f>IF(GX207=0,"",GB207/GX207)</f>
        <v/>
      </c>
      <c r="HE207" s="8" t="n">
        <v>8</v>
      </c>
      <c r="HF207" s="8" t="n">
        <v>2</v>
      </c>
      <c r="HG207" s="8" t="n">
        <v>31</v>
      </c>
      <c r="HH207" s="8" t="n">
        <v>8</v>
      </c>
      <c r="HI207" s="8" t="n">
        <v>18</v>
      </c>
      <c r="HJ207" s="9">
        <f>HF207+HI207</f>
        <v/>
      </c>
      <c r="HK207" s="10">
        <f>IF(HE207=0,"",HH207/HE207)</f>
        <v/>
      </c>
      <c r="HL207" s="8" t="n">
        <v>10</v>
      </c>
      <c r="HM207" s="8" t="n">
        <v>18</v>
      </c>
      <c r="HN207" s="11">
        <f>IF(HL207=0,"",HM207/HL207)</f>
        <v/>
      </c>
    </row>
    <row r="208">
      <c r="A208" s="12" t="inlineStr">
        <is>
          <t>Ngabu</t>
        </is>
      </c>
      <c r="B208" s="12" t="inlineStr">
        <is>
          <t>Bangula</t>
        </is>
      </c>
      <c r="C208" s="13" t="inlineStr">
        <is>
          <t>FY2025/26</t>
        </is>
      </c>
      <c r="D208" s="13" t="n">
        <v>2025</v>
      </c>
      <c r="E208" s="13" t="n">
        <v>5</v>
      </c>
      <c r="F208" s="13" t="inlineStr">
        <is>
          <t>May</t>
        </is>
      </c>
      <c r="G208" s="13" t="inlineStr">
        <is>
          <t>Q1</t>
        </is>
      </c>
      <c r="H208" s="14" t="n">
        <v>7229</v>
      </c>
      <c r="I208" s="14" t="n">
        <v>376</v>
      </c>
      <c r="J208" s="14" t="n">
        <v>215</v>
      </c>
      <c r="K208" s="14" t="n">
        <v>8</v>
      </c>
      <c r="L208" s="14" t="n">
        <v>0</v>
      </c>
      <c r="M208" s="15">
        <f>SUM(I208,J208,K208,L208)</f>
        <v/>
      </c>
      <c r="N208" s="14" t="n">
        <v>4480</v>
      </c>
      <c r="O208" s="14" t="n">
        <v>432</v>
      </c>
      <c r="P208" s="14" t="n">
        <v>269</v>
      </c>
      <c r="Q208" s="14" t="n">
        <v>192</v>
      </c>
      <c r="R208" s="15">
        <f>SUM(N208,O208,P208,Q208)</f>
        <v/>
      </c>
      <c r="S208" s="15">
        <f>M208+R208</f>
        <v/>
      </c>
      <c r="T208" s="14" t="n">
        <v>1257</v>
      </c>
      <c r="U208" s="16">
        <f>IF(H208=0,"",T208/H208)</f>
        <v/>
      </c>
      <c r="V208" s="14" t="n">
        <v>10</v>
      </c>
      <c r="W208" s="17">
        <f>IF(H208=0,"",V208/H208)</f>
        <v/>
      </c>
      <c r="X208" s="14" t="n">
        <v>0</v>
      </c>
      <c r="Y208" s="17">
        <f>IF(H208=0,"",X208/H208)</f>
        <v/>
      </c>
      <c r="Z208" s="14" t="n">
        <v>0</v>
      </c>
      <c r="AA208" s="17">
        <f>IF(H208=0,"",Z208/H208)</f>
        <v/>
      </c>
      <c r="AB208" s="14" t="n">
        <v>0</v>
      </c>
      <c r="AC208" s="17">
        <f>IF(H208=0,"",AB208/H208)</f>
        <v/>
      </c>
      <c r="AD208" s="14" t="n">
        <v>0</v>
      </c>
      <c r="AE208" s="17">
        <f>IF(H208=0,"",AD208/H208)</f>
        <v/>
      </c>
      <c r="AF208" s="14" t="n">
        <v>0</v>
      </c>
      <c r="AG208" s="17">
        <f>IF(H208=0,"",AF208/H208)</f>
        <v/>
      </c>
      <c r="AH208" s="14" t="n">
        <v>35252.9</v>
      </c>
      <c r="AI208" s="15">
        <f>IF(H208=0,"",AH208/H208)</f>
        <v/>
      </c>
      <c r="AJ208" s="14" t="n">
        <v>2451.84</v>
      </c>
      <c r="AK208" s="17">
        <f>IF(H208=0,"",AJ208/H208)</f>
        <v/>
      </c>
      <c r="AL208" s="14" t="n">
        <v>356622.97776</v>
      </c>
      <c r="AM208" s="15">
        <f>IF(H208=0,"",AL208/H208)</f>
        <v/>
      </c>
      <c r="AN208" s="14" t="n">
        <v>0</v>
      </c>
      <c r="AO208" s="14" t="n">
        <v>0</v>
      </c>
      <c r="AP208" s="14" t="n">
        <v>0</v>
      </c>
      <c r="AQ208" s="14" t="n">
        <v>0</v>
      </c>
      <c r="AR208" s="14" t="n">
        <v>0</v>
      </c>
      <c r="AS208" s="14" t="n">
        <v>0</v>
      </c>
      <c r="AT208" s="14" t="n">
        <v>0</v>
      </c>
      <c r="AU208" s="15">
        <f>AH208+AL208+AP208+AQ208+AR208+AS208+AT208</f>
        <v/>
      </c>
      <c r="AV208" s="15">
        <f>IF(H208=0,"",AU208/H208)</f>
        <v/>
      </c>
      <c r="AW208" s="15">
        <f>IF(S208=0,"",AU208/S208)</f>
        <v/>
      </c>
      <c r="AX208" s="14" t="n">
        <v>2</v>
      </c>
      <c r="AY208" s="15">
        <f>IF(H208=0,"",AX208/(H208/1000/12))</f>
        <v/>
      </c>
      <c r="AZ208" s="14" t="n">
        <v>6</v>
      </c>
      <c r="BA208" s="14" t="n">
        <v>31</v>
      </c>
      <c r="BB208" s="14" t="n">
        <v>14</v>
      </c>
      <c r="BC208" s="14" t="n">
        <v>14</v>
      </c>
      <c r="BD208" s="14" t="n">
        <v>0</v>
      </c>
      <c r="BE208" s="15">
        <f>BC208+BD208</f>
        <v/>
      </c>
      <c r="BF208" s="15">
        <f>BA208+BB208-BE208</f>
        <v/>
      </c>
      <c r="BG208" s="14" t="n">
        <v>0</v>
      </c>
      <c r="BH208" s="14" t="n">
        <v>0</v>
      </c>
      <c r="BI208" s="14" t="n">
        <v>0</v>
      </c>
      <c r="BJ208" s="14" t="n">
        <v>0</v>
      </c>
      <c r="BK208" s="15">
        <f>BI208+BJ208</f>
        <v/>
      </c>
      <c r="BL208" s="15">
        <f>BG208+BH208-BK208</f>
        <v/>
      </c>
      <c r="BM208" s="14" t="n">
        <v>0</v>
      </c>
      <c r="BN208" s="14" t="n">
        <v>0</v>
      </c>
      <c r="BO208" s="14" t="n">
        <v>0</v>
      </c>
      <c r="BP208" s="14" t="n">
        <v>0</v>
      </c>
      <c r="BQ208" s="15">
        <f>BO208+BP208</f>
        <v/>
      </c>
      <c r="BR208" s="15">
        <f>BM208+BN208-BQ208</f>
        <v/>
      </c>
      <c r="BS208" s="14" t="n">
        <v>0</v>
      </c>
      <c r="BT208" s="14" t="n">
        <v>0</v>
      </c>
      <c r="BU208" s="14" t="n">
        <v>0</v>
      </c>
      <c r="BV208" s="14" t="n">
        <v>0</v>
      </c>
      <c r="BW208" s="15">
        <f>BU208+BV208</f>
        <v/>
      </c>
      <c r="BX208" s="15">
        <f>BS208+BT208-BW208</f>
        <v/>
      </c>
      <c r="BY208" s="15">
        <f>BA208+BG208+BM208+BS208</f>
        <v/>
      </c>
      <c r="BZ208" s="15">
        <f>BB208+BH208+BN208+BT208</f>
        <v/>
      </c>
      <c r="CA208" s="15">
        <f>BE208+BK208+BQ208+BW208</f>
        <v/>
      </c>
      <c r="CB208" s="15">
        <f>BF208+BL208+BR208+BX208</f>
        <v/>
      </c>
      <c r="CC208" s="14" t="n">
        <v>0</v>
      </c>
      <c r="CD208" s="14" t="n">
        <v>254</v>
      </c>
      <c r="CE208" s="14" t="n">
        <v>18</v>
      </c>
      <c r="CF208" s="14" t="n">
        <v>13</v>
      </c>
      <c r="CG208" s="14" t="n">
        <v>9</v>
      </c>
      <c r="CH208" s="15">
        <f>CD208+CE208+CF208+CG208</f>
        <v/>
      </c>
      <c r="CI208" s="14" t="n">
        <v>56</v>
      </c>
      <c r="CJ208" s="14" t="n">
        <v>0</v>
      </c>
      <c r="CK208" s="14" t="n">
        <v>0</v>
      </c>
      <c r="CL208" s="14" t="n">
        <v>1</v>
      </c>
      <c r="CM208" s="15">
        <f>CI208+CJ208+CK208+CL208</f>
        <v/>
      </c>
      <c r="CN208" s="14" t="n">
        <v>726</v>
      </c>
      <c r="CO208" s="14" t="n">
        <v>35</v>
      </c>
      <c r="CP208" s="14" t="n">
        <v>25</v>
      </c>
      <c r="CQ208" s="14" t="n">
        <v>18</v>
      </c>
      <c r="CR208" s="15">
        <f>CN208+CO208+CP208+CQ208</f>
        <v/>
      </c>
      <c r="CS208" s="15">
        <f>CM208+CR208</f>
        <v/>
      </c>
      <c r="CT208" s="14" t="n">
        <v>1155</v>
      </c>
      <c r="CU208" s="14" t="n">
        <v>11656.7829</v>
      </c>
      <c r="CV208" s="14" t="n">
        <v>7348</v>
      </c>
      <c r="CW208" s="16">
        <f>IF(CU208=0,"",CV208/CU208)</f>
        <v/>
      </c>
      <c r="CX208" s="14" t="n">
        <v>0</v>
      </c>
      <c r="CY208" s="14" t="n"/>
      <c r="CZ208" s="14" t="n"/>
      <c r="DA208" s="14" t="n"/>
      <c r="DB208" s="15">
        <f>CX208+CY208-CZ208-DA208</f>
        <v/>
      </c>
      <c r="DC208" s="14" t="n">
        <v>0</v>
      </c>
      <c r="DD208" s="14" t="n">
        <v>0</v>
      </c>
      <c r="DE208" s="14" t="n">
        <v>0</v>
      </c>
      <c r="DF208" s="14" t="n">
        <v>0</v>
      </c>
      <c r="DG208" s="15">
        <f>DC208+DD208-DE208-DF208</f>
        <v/>
      </c>
      <c r="DH208" s="14" t="n">
        <v>0</v>
      </c>
      <c r="DI208" s="14" t="n">
        <v>0</v>
      </c>
      <c r="DJ208" s="14" t="n">
        <v>0</v>
      </c>
      <c r="DK208" s="14" t="n">
        <v>0</v>
      </c>
      <c r="DL208" s="15">
        <f>DH208+DI208-DJ208-DK208</f>
        <v/>
      </c>
      <c r="DM208" s="14" t="n">
        <v>0</v>
      </c>
      <c r="DN208" s="14" t="n">
        <v>0</v>
      </c>
      <c r="DO208" s="14" t="n">
        <v>0</v>
      </c>
      <c r="DP208" s="14" t="n">
        <v>0</v>
      </c>
      <c r="DQ208" s="15">
        <f>DM208+DN208-DO208-DP208</f>
        <v/>
      </c>
      <c r="DR208" s="15">
        <f>CX208+DC208+DH208+DM208</f>
        <v/>
      </c>
      <c r="DS208" s="15">
        <f>CY208+DD208+DI208+DN208</f>
        <v/>
      </c>
      <c r="DT208" s="15">
        <f>CZ208+DE208+DJ208+DO208</f>
        <v/>
      </c>
      <c r="DU208" s="15">
        <f>DA208+DF208+DK208+DP208</f>
        <v/>
      </c>
      <c r="DV208" s="15">
        <f>DB208+DG208+DL208+DQ208</f>
        <v/>
      </c>
      <c r="DW208" s="14" t="n">
        <v>20</v>
      </c>
      <c r="DX208" s="14" t="n">
        <v>4</v>
      </c>
      <c r="DY208" s="14" t="n">
        <v>2</v>
      </c>
      <c r="DZ208" s="14" t="n">
        <v>4</v>
      </c>
      <c r="EA208" s="14" t="n">
        <v>2</v>
      </c>
      <c r="EB208" s="14" t="n">
        <v>1</v>
      </c>
      <c r="EC208" s="14" t="n">
        <v>0</v>
      </c>
      <c r="ED208" s="14" t="n">
        <v>0</v>
      </c>
      <c r="EE208" s="14" t="n">
        <v>0</v>
      </c>
      <c r="EF208" s="14" t="n">
        <v>0</v>
      </c>
      <c r="EG208" s="14" t="n">
        <v>0</v>
      </c>
      <c r="EH208" s="14" t="n">
        <v>0</v>
      </c>
      <c r="EI208" s="14" t="n">
        <v>0</v>
      </c>
      <c r="EJ208" s="14" t="n">
        <v>8</v>
      </c>
      <c r="EK208" s="14" t="n">
        <v>0</v>
      </c>
      <c r="EL208" s="14" t="n">
        <v>0</v>
      </c>
      <c r="EM208" s="14" t="n">
        <v>0</v>
      </c>
      <c r="EN208" s="14" t="n">
        <v>0</v>
      </c>
      <c r="EO208" s="14" t="n">
        <v>0</v>
      </c>
      <c r="EP208" s="14" t="n">
        <v>0</v>
      </c>
      <c r="EQ208" s="14" t="n">
        <v>0</v>
      </c>
      <c r="ER208" s="14" t="n">
        <v>0</v>
      </c>
      <c r="ES208" s="14" t="n">
        <v>0</v>
      </c>
      <c r="ET208" s="14" t="n">
        <v>0</v>
      </c>
      <c r="EU208" s="14" t="n">
        <v>0</v>
      </c>
      <c r="EV208" s="14" t="n">
        <v>0</v>
      </c>
      <c r="EW208" s="14" t="n">
        <v>0</v>
      </c>
      <c r="EX208" s="14" t="n">
        <v>0</v>
      </c>
      <c r="EY208" s="14" t="n">
        <v>0</v>
      </c>
      <c r="EZ208" s="14" t="n">
        <v>0</v>
      </c>
      <c r="FA208" s="14" t="n">
        <v>0</v>
      </c>
      <c r="FB208" s="14" t="n">
        <v>0</v>
      </c>
      <c r="FC208" s="14" t="n">
        <v>0</v>
      </c>
      <c r="FD208" s="14" t="n">
        <v>0</v>
      </c>
      <c r="FE208" s="14" t="n">
        <v>0</v>
      </c>
      <c r="FF208" s="14" t="n">
        <v>0</v>
      </c>
      <c r="FG208" s="15">
        <f>SUM(DW208,DX208,DY208,DZ208,EA208,EB208,EC208,ED208,EE208,EF208,EG208,EH208,EI208,EJ208,EK208,EL208,EM208,EN208,EO208,EP208,EQ208,ER208,ES208,ET208,EU208,EV208,EW208,EX208,EY208,EZ208,FA208,FB208,FC208,FD208,FE208,FF208)</f>
        <v/>
      </c>
      <c r="FH208" s="14" t="n">
        <v>0</v>
      </c>
      <c r="FI208" s="14" t="n">
        <v>0</v>
      </c>
      <c r="FJ208" s="14" t="n">
        <v>0</v>
      </c>
      <c r="FK208" s="14" t="n">
        <v>0</v>
      </c>
      <c r="FL208" s="14" t="n">
        <v>0</v>
      </c>
      <c r="FM208" s="14" t="n">
        <v>0</v>
      </c>
      <c r="FN208" s="14" t="n">
        <v>0</v>
      </c>
      <c r="FO208" s="14" t="n">
        <v>0</v>
      </c>
      <c r="FP208" s="14" t="n">
        <v>0</v>
      </c>
      <c r="FQ208" s="15">
        <f>FL208+FM208+FN208+FO208+FP208</f>
        <v/>
      </c>
      <c r="FR208" s="14" t="n">
        <v>616317</v>
      </c>
      <c r="FS208" s="14" t="n">
        <v>6200</v>
      </c>
      <c r="FT208" s="14" t="n">
        <v>0</v>
      </c>
      <c r="FU208" s="14" t="n">
        <v>76000</v>
      </c>
      <c r="FV208" s="15">
        <f>FR208+FS208+FT208+FU208</f>
        <v/>
      </c>
      <c r="FW208" s="14" t="n">
        <v>5280327</v>
      </c>
      <c r="FX208" s="14" t="n">
        <v>110000</v>
      </c>
      <c r="FY208" s="14" t="n">
        <v>1239900</v>
      </c>
      <c r="FZ208" s="14" t="n">
        <v>339550</v>
      </c>
      <c r="GA208" s="15">
        <f>FW208+FX208+FY208+FZ208</f>
        <v/>
      </c>
      <c r="GB208" s="15">
        <f>FV208+GA208</f>
        <v/>
      </c>
      <c r="GC208" s="14" t="n">
        <v>393963.84</v>
      </c>
      <c r="GD208" s="14" t="n">
        <v>41125.2</v>
      </c>
      <c r="GE208" s="14" t="n">
        <v>27470.62</v>
      </c>
      <c r="GF208" s="14" t="n">
        <v>0</v>
      </c>
      <c r="GG208" s="15">
        <f>GC208+GD208+GE208+GF208</f>
        <v/>
      </c>
      <c r="GH208" s="14" t="n">
        <v>5022265.19</v>
      </c>
      <c r="GI208" s="14" t="n">
        <v>110000</v>
      </c>
      <c r="GJ208" s="14" t="n">
        <v>329200</v>
      </c>
      <c r="GK208" s="14" t="n">
        <v>906881.36</v>
      </c>
      <c r="GL208" s="15">
        <f>GH208+GI208+GJ208+GK208</f>
        <v/>
      </c>
      <c r="GM208" s="15">
        <f>GG208+GL208</f>
        <v/>
      </c>
      <c r="GN208" s="14" t="n">
        <v>37444.19</v>
      </c>
      <c r="GO208" s="14" t="n">
        <v>191.28</v>
      </c>
      <c r="GP208" s="14" t="n">
        <v>6787.28</v>
      </c>
      <c r="GQ208" s="14" t="n">
        <v>0</v>
      </c>
      <c r="GR208" s="15">
        <f>GN208+GO208+GP208+GQ208</f>
        <v/>
      </c>
      <c r="GS208" s="14" t="n">
        <v>58045</v>
      </c>
      <c r="GT208" s="14" t="n">
        <v>893</v>
      </c>
      <c r="GU208" s="14" t="n">
        <v>1786</v>
      </c>
      <c r="GV208" s="14" t="n">
        <v>0</v>
      </c>
      <c r="GW208" s="15">
        <f>GS208+GT208+GU208+GV208</f>
        <v/>
      </c>
      <c r="GX208" s="15">
        <f>GM208+GR208+GW208</f>
        <v/>
      </c>
      <c r="GY208" s="14" t="n">
        <v>1633660.24</v>
      </c>
      <c r="GZ208" s="14" t="n">
        <v>108131.7</v>
      </c>
      <c r="HA208" s="15">
        <f>GY208+GZ208</f>
        <v/>
      </c>
      <c r="HB208" s="15">
        <f>IF(GX208=0,"",AU208/GX208)</f>
        <v/>
      </c>
      <c r="HC208" s="16">
        <f>IF((GX208+GY208)=0,"",GB208/(GX208+GY208))</f>
        <v/>
      </c>
      <c r="HD208" s="15">
        <f>IF(GX208=0,"",GB208/GX208)</f>
        <v/>
      </c>
      <c r="HE208" s="14" t="n">
        <v>14</v>
      </c>
      <c r="HF208" s="14" t="n">
        <v>2</v>
      </c>
      <c r="HG208" s="14" t="n">
        <v>31</v>
      </c>
      <c r="HH208" s="14" t="n">
        <v>14</v>
      </c>
      <c r="HI208" s="14" t="n">
        <v>18</v>
      </c>
      <c r="HJ208" s="15">
        <f>HF208+HI208</f>
        <v/>
      </c>
      <c r="HK208" s="16">
        <f>IF(HE208=0,"",HH208/HE208)</f>
        <v/>
      </c>
      <c r="HL208" s="14" t="n">
        <v>8</v>
      </c>
      <c r="HM208" s="14" t="n">
        <v>15</v>
      </c>
      <c r="HN208" s="17">
        <f>IF(HL208=0,"",HM208/HL208)</f>
        <v/>
      </c>
    </row>
    <row r="209">
      <c r="A209" s="6" t="inlineStr">
        <is>
          <t>Ngabu</t>
        </is>
      </c>
      <c r="B209" s="6" t="inlineStr">
        <is>
          <t>Bangula</t>
        </is>
      </c>
      <c r="C209" s="7" t="inlineStr">
        <is>
          <t>FY2025/26</t>
        </is>
      </c>
      <c r="D209" s="7" t="n">
        <v>2025</v>
      </c>
      <c r="E209" s="7" t="n">
        <v>6</v>
      </c>
      <c r="F209" s="7" t="inlineStr">
        <is>
          <t>June</t>
        </is>
      </c>
      <c r="G209" s="7" t="inlineStr">
        <is>
          <t>Q1</t>
        </is>
      </c>
      <c r="H209" s="8" t="n">
        <v>7927</v>
      </c>
      <c r="I209" s="8" t="n">
        <v>419</v>
      </c>
      <c r="J209" s="8" t="n">
        <v>0</v>
      </c>
      <c r="K209" s="8" t="n">
        <v>8</v>
      </c>
      <c r="L209" s="8" t="n">
        <v>0</v>
      </c>
      <c r="M209" s="9">
        <f>SUM(I209,J209,K209,L209)</f>
        <v/>
      </c>
      <c r="N209" s="8" t="n">
        <v>5031</v>
      </c>
      <c r="O209" s="8" t="n">
        <v>487</v>
      </c>
      <c r="P209" s="8" t="n">
        <v>241</v>
      </c>
      <c r="Q209" s="8" t="n">
        <v>279</v>
      </c>
      <c r="R209" s="9">
        <f>SUM(N209,O209,P209,Q209)</f>
        <v/>
      </c>
      <c r="S209" s="9">
        <f>M209+R209</f>
        <v/>
      </c>
      <c r="T209" s="8" t="n">
        <v>1462</v>
      </c>
      <c r="U209" s="10">
        <f>IF(H209=0,"",T209/H209)</f>
        <v/>
      </c>
      <c r="V209" s="8" t="n">
        <v>16</v>
      </c>
      <c r="W209" s="11">
        <f>IF(H209=0,"",V209/H209)</f>
        <v/>
      </c>
      <c r="X209" s="8" t="n">
        <v>0</v>
      </c>
      <c r="Y209" s="11">
        <f>IF(H209=0,"",X209/H209)</f>
        <v/>
      </c>
      <c r="Z209" s="8" t="n">
        <v>0</v>
      </c>
      <c r="AA209" s="11">
        <f>IF(H209=0,"",Z209/H209)</f>
        <v/>
      </c>
      <c r="AB209" s="8" t="n">
        <v>0</v>
      </c>
      <c r="AC209" s="11">
        <f>IF(H209=0,"",AB209/H209)</f>
        <v/>
      </c>
      <c r="AD209" s="8" t="n">
        <v>0</v>
      </c>
      <c r="AE209" s="11">
        <f>IF(H209=0,"",AD209/H209)</f>
        <v/>
      </c>
      <c r="AF209" s="8" t="n">
        <v>0</v>
      </c>
      <c r="AG209" s="11">
        <f>IF(H209=0,"",AF209/H209)</f>
        <v/>
      </c>
      <c r="AH209" s="8" t="n">
        <v>56404.64</v>
      </c>
      <c r="AI209" s="9">
        <f>IF(H209=0,"",AH209/H209)</f>
        <v/>
      </c>
      <c r="AJ209" s="8" t="n">
        <v>2876.79</v>
      </c>
      <c r="AK209" s="11">
        <f>IF(H209=0,"",AJ209/H209)</f>
        <v/>
      </c>
      <c r="AL209" s="8" t="n">
        <v>415585.427685</v>
      </c>
      <c r="AM209" s="9">
        <f>IF(H209=0,"",AL209/H209)</f>
        <v/>
      </c>
      <c r="AN209" s="8" t="n">
        <v>0</v>
      </c>
      <c r="AO209" s="8" t="n">
        <v>0</v>
      </c>
      <c r="AP209" s="8" t="n">
        <v>0</v>
      </c>
      <c r="AQ209" s="8" t="n">
        <v>0</v>
      </c>
      <c r="AR209" s="8" t="n">
        <v>0</v>
      </c>
      <c r="AS209" s="8" t="n">
        <v>0</v>
      </c>
      <c r="AT209" s="8" t="n">
        <v>0</v>
      </c>
      <c r="AU209" s="9">
        <f>AH209+AL209+AP209+AQ209+AR209+AS209+AT209</f>
        <v/>
      </c>
      <c r="AV209" s="9">
        <f>IF(H209=0,"",AU209/H209)</f>
        <v/>
      </c>
      <c r="AW209" s="9">
        <f>IF(S209=0,"",AU209/S209)</f>
        <v/>
      </c>
      <c r="AX209" s="8" t="n">
        <v>2</v>
      </c>
      <c r="AY209" s="9">
        <f>IF(H209=0,"",AX209/(H209/1000/12))</f>
        <v/>
      </c>
      <c r="AZ209" s="8" t="n">
        <v>6</v>
      </c>
      <c r="BA209" s="8" t="n">
        <v>31</v>
      </c>
      <c r="BB209" s="8" t="n">
        <v>5</v>
      </c>
      <c r="BC209" s="8" t="n">
        <v>7</v>
      </c>
      <c r="BD209" s="8" t="n">
        <v>0</v>
      </c>
      <c r="BE209" s="9">
        <f>BC209+BD209</f>
        <v/>
      </c>
      <c r="BF209" s="9">
        <f>BA209+BB209-BE209</f>
        <v/>
      </c>
      <c r="BG209" s="8" t="n">
        <v>0</v>
      </c>
      <c r="BH209" s="8" t="n">
        <v>0</v>
      </c>
      <c r="BI209" s="8" t="n">
        <v>0</v>
      </c>
      <c r="BJ209" s="8" t="n">
        <v>0</v>
      </c>
      <c r="BK209" s="9">
        <f>BI209+BJ209</f>
        <v/>
      </c>
      <c r="BL209" s="9">
        <f>BG209+BH209-BK209</f>
        <v/>
      </c>
      <c r="BM209" s="8" t="n">
        <v>0</v>
      </c>
      <c r="BN209" s="8" t="n">
        <v>0</v>
      </c>
      <c r="BO209" s="8" t="n">
        <v>0</v>
      </c>
      <c r="BP209" s="8" t="n">
        <v>0</v>
      </c>
      <c r="BQ209" s="9">
        <f>BO209+BP209</f>
        <v/>
      </c>
      <c r="BR209" s="9">
        <f>BM209+BN209-BQ209</f>
        <v/>
      </c>
      <c r="BS209" s="8" t="n">
        <v>0</v>
      </c>
      <c r="BT209" s="8" t="n">
        <v>0</v>
      </c>
      <c r="BU209" s="8" t="n">
        <v>0</v>
      </c>
      <c r="BV209" s="8" t="n">
        <v>0</v>
      </c>
      <c r="BW209" s="9">
        <f>BU209+BV209</f>
        <v/>
      </c>
      <c r="BX209" s="9">
        <f>BS209+BT209-BW209</f>
        <v/>
      </c>
      <c r="BY209" s="9">
        <f>BA209+BG209+BM209+BS209</f>
        <v/>
      </c>
      <c r="BZ209" s="9">
        <f>BB209+BH209+BN209+BT209</f>
        <v/>
      </c>
      <c r="CA209" s="9">
        <f>BE209+BK209+BQ209+BW209</f>
        <v/>
      </c>
      <c r="CB209" s="9">
        <f>BF209+BL209+BR209+BX209</f>
        <v/>
      </c>
      <c r="CC209" s="8" t="n">
        <v>0</v>
      </c>
      <c r="CD209" s="8" t="n">
        <v>253</v>
      </c>
      <c r="CE209" s="8" t="n">
        <v>18</v>
      </c>
      <c r="CF209" s="8" t="n">
        <v>13</v>
      </c>
      <c r="CG209" s="8" t="n">
        <v>9</v>
      </c>
      <c r="CH209" s="9">
        <f>CD209+CE209+CF209+CG209</f>
        <v/>
      </c>
      <c r="CI209" s="8" t="n">
        <v>64</v>
      </c>
      <c r="CJ209" s="8" t="n">
        <v>0</v>
      </c>
      <c r="CK209" s="8" t="n">
        <v>0</v>
      </c>
      <c r="CL209" s="8" t="n">
        <v>1</v>
      </c>
      <c r="CM209" s="9">
        <f>CI209+CJ209+CK209+CL209</f>
        <v/>
      </c>
      <c r="CN209" s="8" t="n">
        <v>726</v>
      </c>
      <c r="CO209" s="8" t="n">
        <v>35</v>
      </c>
      <c r="CP209" s="8" t="n">
        <v>25</v>
      </c>
      <c r="CQ209" s="8" t="n">
        <v>18</v>
      </c>
      <c r="CR209" s="9">
        <f>CN209+CO209+CP209+CQ209</f>
        <v/>
      </c>
      <c r="CS209" s="9">
        <f>CM209+CR209</f>
        <v/>
      </c>
      <c r="CT209" s="8" t="n">
        <v>1162</v>
      </c>
      <c r="CU209" s="8" t="n">
        <v>11676.59943093</v>
      </c>
      <c r="CV209" s="8" t="n">
        <v>7362</v>
      </c>
      <c r="CW209" s="10">
        <f>IF(CU209=0,"",CV209/CU209)</f>
        <v/>
      </c>
      <c r="CX209" s="8" t="n">
        <v>0</v>
      </c>
      <c r="CY209" s="8" t="n"/>
      <c r="CZ209" s="8" t="n"/>
      <c r="DA209" s="8" t="n"/>
      <c r="DB209" s="9">
        <f>CX209+CY209-CZ209-DA209</f>
        <v/>
      </c>
      <c r="DC209" s="8" t="n">
        <v>0</v>
      </c>
      <c r="DD209" s="8" t="n">
        <v>0</v>
      </c>
      <c r="DE209" s="8" t="n">
        <v>0</v>
      </c>
      <c r="DF209" s="8" t="n">
        <v>0</v>
      </c>
      <c r="DG209" s="9">
        <f>DC209+DD209-DE209-DF209</f>
        <v/>
      </c>
      <c r="DH209" s="8" t="n">
        <v>0</v>
      </c>
      <c r="DI209" s="8" t="n">
        <v>0</v>
      </c>
      <c r="DJ209" s="8" t="n">
        <v>0</v>
      </c>
      <c r="DK209" s="8" t="n">
        <v>0</v>
      </c>
      <c r="DL209" s="9">
        <f>DH209+DI209-DJ209-DK209</f>
        <v/>
      </c>
      <c r="DM209" s="8" t="n">
        <v>0</v>
      </c>
      <c r="DN209" s="8" t="n">
        <v>0</v>
      </c>
      <c r="DO209" s="8" t="n">
        <v>0</v>
      </c>
      <c r="DP209" s="8" t="n">
        <v>0</v>
      </c>
      <c r="DQ209" s="9">
        <f>DM209+DN209-DO209-DP209</f>
        <v/>
      </c>
      <c r="DR209" s="9">
        <f>CX209+DC209+DH209+DM209</f>
        <v/>
      </c>
      <c r="DS209" s="9">
        <f>CY209+DD209+DI209+DN209</f>
        <v/>
      </c>
      <c r="DT209" s="9">
        <f>CZ209+DE209+DJ209+DO209</f>
        <v/>
      </c>
      <c r="DU209" s="9">
        <f>DA209+DF209+DK209+DP209</f>
        <v/>
      </c>
      <c r="DV209" s="9">
        <f>DB209+DG209+DL209+DQ209</f>
        <v/>
      </c>
      <c r="DW209" s="8" t="n">
        <v>21</v>
      </c>
      <c r="DX209" s="8" t="n">
        <v>5</v>
      </c>
      <c r="DY209" s="8" t="n">
        <v>2</v>
      </c>
      <c r="DZ209" s="8" t="n">
        <v>3</v>
      </c>
      <c r="EA209" s="8" t="n">
        <v>1</v>
      </c>
      <c r="EB209" s="8" t="n">
        <v>2</v>
      </c>
      <c r="EC209" s="8" t="n">
        <v>0</v>
      </c>
      <c r="ED209" s="8" t="n">
        <v>0</v>
      </c>
      <c r="EE209" s="8" t="n">
        <v>0</v>
      </c>
      <c r="EF209" s="8" t="n">
        <v>0</v>
      </c>
      <c r="EG209" s="8" t="n">
        <v>0</v>
      </c>
      <c r="EH209" s="8" t="n">
        <v>0</v>
      </c>
      <c r="EI209" s="8" t="n">
        <v>0</v>
      </c>
      <c r="EJ209" s="8" t="n">
        <v>7</v>
      </c>
      <c r="EK209" s="8" t="n">
        <v>0</v>
      </c>
      <c r="EL209" s="8" t="n">
        <v>0</v>
      </c>
      <c r="EM209" s="8" t="n">
        <v>0</v>
      </c>
      <c r="EN209" s="8" t="n">
        <v>0</v>
      </c>
      <c r="EO209" s="8" t="n">
        <v>0</v>
      </c>
      <c r="EP209" s="8" t="n">
        <v>0</v>
      </c>
      <c r="EQ209" s="8" t="n">
        <v>0</v>
      </c>
      <c r="ER209" s="8" t="n">
        <v>0</v>
      </c>
      <c r="ES209" s="8" t="n">
        <v>0</v>
      </c>
      <c r="ET209" s="8" t="n">
        <v>0</v>
      </c>
      <c r="EU209" s="8" t="n">
        <v>0</v>
      </c>
      <c r="EV209" s="8" t="n">
        <v>0</v>
      </c>
      <c r="EW209" s="8" t="n">
        <v>0</v>
      </c>
      <c r="EX209" s="8" t="n">
        <v>0</v>
      </c>
      <c r="EY209" s="8" t="n">
        <v>0</v>
      </c>
      <c r="EZ209" s="8" t="n">
        <v>0</v>
      </c>
      <c r="FA209" s="8" t="n">
        <v>0</v>
      </c>
      <c r="FB209" s="8" t="n">
        <v>0</v>
      </c>
      <c r="FC209" s="8" t="n">
        <v>0</v>
      </c>
      <c r="FD209" s="8" t="n">
        <v>0</v>
      </c>
      <c r="FE209" s="8" t="n">
        <v>0</v>
      </c>
      <c r="FF209" s="8" t="n">
        <v>0</v>
      </c>
      <c r="FG209" s="9">
        <f>SUM(DW209,DX209,DY209,DZ209,EA209,EB209,EC209,ED209,EE209,EF209,EG209,EH209,EI209,EJ209,EK209,EL209,EM209,EN209,EO209,EP209,EQ209,ER209,ES209,ET209,EU209,EV209,EW209,EX209,EY209,EZ209,FA209,FB209,FC209,FD209,FE209,FF209)</f>
        <v/>
      </c>
      <c r="FH209" s="8" t="n">
        <v>0</v>
      </c>
      <c r="FI209" s="8" t="n">
        <v>0</v>
      </c>
      <c r="FJ209" s="8" t="n">
        <v>0</v>
      </c>
      <c r="FK209" s="8" t="n">
        <v>0</v>
      </c>
      <c r="FL209" s="8" t="n">
        <v>0</v>
      </c>
      <c r="FM209" s="8" t="n">
        <v>0</v>
      </c>
      <c r="FN209" s="8" t="n">
        <v>0</v>
      </c>
      <c r="FO209" s="8" t="n">
        <v>0</v>
      </c>
      <c r="FP209" s="8" t="n">
        <v>0</v>
      </c>
      <c r="FQ209" s="9">
        <f>FL209+FM209+FN209+FO209+FP209</f>
        <v/>
      </c>
      <c r="FR209" s="8" t="n">
        <v>293840</v>
      </c>
      <c r="FS209" s="8" t="n">
        <v>0</v>
      </c>
      <c r="FT209" s="8" t="n">
        <v>0</v>
      </c>
      <c r="FU209" s="8" t="n">
        <v>0</v>
      </c>
      <c r="FV209" s="9">
        <f>FR209+FS209+FT209+FU209</f>
        <v/>
      </c>
      <c r="FW209" s="8" t="n">
        <v>5641829</v>
      </c>
      <c r="FX209" s="8" t="n">
        <v>109100</v>
      </c>
      <c r="FY209" s="8" t="n">
        <v>1264100</v>
      </c>
      <c r="FZ209" s="8" t="n">
        <v>186900</v>
      </c>
      <c r="GA209" s="9">
        <f>FW209+FX209+FY209+FZ209</f>
        <v/>
      </c>
      <c r="GB209" s="9">
        <f>FV209+GA209</f>
        <v/>
      </c>
      <c r="GC209" s="8" t="n">
        <v>424609.75</v>
      </c>
      <c r="GD209" s="8" t="n">
        <v>0</v>
      </c>
      <c r="GE209" s="8" t="n">
        <v>27470.62</v>
      </c>
      <c r="GF209" s="8" t="n">
        <v>0</v>
      </c>
      <c r="GG209" s="9">
        <f>GC209+GD209+GE209+GF209</f>
        <v/>
      </c>
      <c r="GH209" s="8" t="n">
        <v>5309753.25</v>
      </c>
      <c r="GI209" s="8" t="n">
        <v>109100</v>
      </c>
      <c r="GJ209" s="8" t="n">
        <v>170100</v>
      </c>
      <c r="GK209" s="8" t="n">
        <v>1017881.78</v>
      </c>
      <c r="GL209" s="9">
        <f>GH209+GI209+GJ209+GK209</f>
        <v/>
      </c>
      <c r="GM209" s="9">
        <f>GG209+GL209</f>
        <v/>
      </c>
      <c r="GN209" s="8" t="n">
        <v>42028.49</v>
      </c>
      <c r="GO209" s="8" t="n">
        <v>0</v>
      </c>
      <c r="GP209" s="8" t="n">
        <v>6787.28</v>
      </c>
      <c r="GQ209" s="8" t="n">
        <v>0</v>
      </c>
      <c r="GR209" s="9">
        <f>GN209+GO209+GP209+GQ209</f>
        <v/>
      </c>
      <c r="GS209" s="8" t="n">
        <v>65189</v>
      </c>
      <c r="GT209" s="8" t="n">
        <v>0</v>
      </c>
      <c r="GU209" s="8" t="n">
        <v>1786</v>
      </c>
      <c r="GV209" s="8" t="n">
        <v>0</v>
      </c>
      <c r="GW209" s="9">
        <f>GS209+GT209+GU209+GV209</f>
        <v/>
      </c>
      <c r="GX209" s="9">
        <f>GM209+GR209+GW209</f>
        <v/>
      </c>
      <c r="GY209" s="8" t="n">
        <v>1627640.47</v>
      </c>
      <c r="GZ209" s="8" t="n">
        <v>144175.6</v>
      </c>
      <c r="HA209" s="9">
        <f>GY209+GZ209</f>
        <v/>
      </c>
      <c r="HB209" s="9">
        <f>IF(GX209=0,"",AU209/GX209)</f>
        <v/>
      </c>
      <c r="HC209" s="10">
        <f>IF((GX209+GY209)=0,"",GB209/(GX209+GY209))</f>
        <v/>
      </c>
      <c r="HD209" s="9">
        <f>IF(GX209=0,"",GB209/GX209)</f>
        <v/>
      </c>
      <c r="HE209" s="8" t="n">
        <v>5</v>
      </c>
      <c r="HF209" s="8" t="n">
        <v>2</v>
      </c>
      <c r="HG209" s="8" t="n">
        <v>29</v>
      </c>
      <c r="HH209" s="8" t="n">
        <v>5</v>
      </c>
      <c r="HI209" s="8" t="n">
        <v>18</v>
      </c>
      <c r="HJ209" s="9">
        <f>HF209+HI209</f>
        <v/>
      </c>
      <c r="HK209" s="10">
        <f>IF(HE209=0,"",HH209/HE209)</f>
        <v/>
      </c>
      <c r="HL209" s="8" t="n">
        <v>12</v>
      </c>
      <c r="HM209" s="8" t="n">
        <v>18</v>
      </c>
      <c r="HN209" s="11">
        <f>IF(HL209=0,"",HM209/HL209)</f>
        <v/>
      </c>
    </row>
    <row r="210">
      <c r="A210" s="12" t="inlineStr">
        <is>
          <t>Ngabu</t>
        </is>
      </c>
      <c r="B210" s="12" t="inlineStr">
        <is>
          <t>Bangula</t>
        </is>
      </c>
      <c r="C210" s="13" t="inlineStr">
        <is>
          <t>FY2025/26</t>
        </is>
      </c>
      <c r="D210" s="13" t="n">
        <v>2025</v>
      </c>
      <c r="E210" s="13" t="n">
        <v>7</v>
      </c>
      <c r="F210" s="13" t="inlineStr">
        <is>
          <t>July</t>
        </is>
      </c>
      <c r="G210" s="13" t="inlineStr">
        <is>
          <t>Q2</t>
        </is>
      </c>
      <c r="H210" s="14" t="n">
        <v>9304</v>
      </c>
      <c r="I210" s="14" t="n">
        <v>501</v>
      </c>
      <c r="J210" s="14" t="n">
        <v>0</v>
      </c>
      <c r="K210" s="14" t="n">
        <v>16</v>
      </c>
      <c r="L210" s="14" t="n">
        <v>0</v>
      </c>
      <c r="M210" s="15">
        <f>SUM(I210,J210,K210,L210)</f>
        <v/>
      </c>
      <c r="N210" s="14" t="n">
        <v>4618</v>
      </c>
      <c r="O210" s="14" t="n">
        <v>451</v>
      </c>
      <c r="P210" s="14" t="n">
        <v>114</v>
      </c>
      <c r="Q210" s="14" t="n">
        <v>190</v>
      </c>
      <c r="R210" s="15">
        <f>SUM(N210,O210,P210,Q210)</f>
        <v/>
      </c>
      <c r="S210" s="15">
        <f>M210+R210</f>
        <v/>
      </c>
      <c r="T210" s="14" t="n">
        <v>3414</v>
      </c>
      <c r="U210" s="16">
        <f>IF(H210=0,"",T210/H210)</f>
        <v/>
      </c>
      <c r="V210" s="14" t="n">
        <v>18</v>
      </c>
      <c r="W210" s="17">
        <f>IF(H210=0,"",V210/H210)</f>
        <v/>
      </c>
      <c r="X210" s="14" t="n">
        <v>0</v>
      </c>
      <c r="Y210" s="17">
        <f>IF(H210=0,"",X210/H210)</f>
        <v/>
      </c>
      <c r="Z210" s="14" t="n">
        <v>0</v>
      </c>
      <c r="AA210" s="17">
        <f>IF(H210=0,"",Z210/H210)</f>
        <v/>
      </c>
      <c r="AB210" s="14" t="n">
        <v>0</v>
      </c>
      <c r="AC210" s="17">
        <f>IF(H210=0,"",AB210/H210)</f>
        <v/>
      </c>
      <c r="AD210" s="14" t="n">
        <v>0</v>
      </c>
      <c r="AE210" s="17">
        <f>IF(H210=0,"",AD210/H210)</f>
        <v/>
      </c>
      <c r="AF210" s="14" t="n">
        <v>0</v>
      </c>
      <c r="AG210" s="17">
        <f>IF(H210=0,"",AF210/H210)</f>
        <v/>
      </c>
      <c r="AH210" s="14" t="n">
        <v>63455.22</v>
      </c>
      <c r="AI210" s="15">
        <f>IF(H210=0,"",AH210/H210)</f>
        <v/>
      </c>
      <c r="AJ210" s="14" t="n">
        <v>3136</v>
      </c>
      <c r="AK210" s="17">
        <f>IF(H210=0,"",AJ210/H210)</f>
        <v/>
      </c>
      <c r="AL210" s="14" t="n">
        <v>451551.204</v>
      </c>
      <c r="AM210" s="15">
        <f>IF(H210=0,"",AL210/H210)</f>
        <v/>
      </c>
      <c r="AN210" s="14" t="n">
        <v>0</v>
      </c>
      <c r="AO210" s="14" t="n">
        <v>0</v>
      </c>
      <c r="AP210" s="14" t="n">
        <v>0</v>
      </c>
      <c r="AQ210" s="14" t="n">
        <v>0</v>
      </c>
      <c r="AR210" s="14" t="n">
        <v>0</v>
      </c>
      <c r="AS210" s="14" t="n">
        <v>0</v>
      </c>
      <c r="AT210" s="14" t="n">
        <v>0</v>
      </c>
      <c r="AU210" s="15">
        <f>AH210+AL210+AP210+AQ210+AR210+AS210+AT210</f>
        <v/>
      </c>
      <c r="AV210" s="15">
        <f>IF(H210=0,"",AU210/H210)</f>
        <v/>
      </c>
      <c r="AW210" s="15">
        <f>IF(S210=0,"",AU210/S210)</f>
        <v/>
      </c>
      <c r="AX210" s="14" t="n">
        <v>2</v>
      </c>
      <c r="AY210" s="15">
        <f>IF(H210=0,"",AX210/(H210/1000/12))</f>
        <v/>
      </c>
      <c r="AZ210" s="14" t="n">
        <v>10</v>
      </c>
      <c r="BA210" s="14" t="n">
        <v>29</v>
      </c>
      <c r="BB210" s="14" t="n">
        <v>6</v>
      </c>
      <c r="BC210" s="14" t="n">
        <v>18</v>
      </c>
      <c r="BD210" s="14" t="n">
        <v>0</v>
      </c>
      <c r="BE210" s="15">
        <f>BC210+BD210</f>
        <v/>
      </c>
      <c r="BF210" s="15">
        <f>BA210+BB210-BE210</f>
        <v/>
      </c>
      <c r="BG210" s="14" t="n">
        <v>0</v>
      </c>
      <c r="BH210" s="14" t="n">
        <v>0</v>
      </c>
      <c r="BI210" s="14" t="n">
        <v>0</v>
      </c>
      <c r="BJ210" s="14" t="n">
        <v>0</v>
      </c>
      <c r="BK210" s="15">
        <f>BI210+BJ210</f>
        <v/>
      </c>
      <c r="BL210" s="15">
        <f>BG210+BH210-BK210</f>
        <v/>
      </c>
      <c r="BM210" s="14" t="n">
        <v>0</v>
      </c>
      <c r="BN210" s="14" t="n">
        <v>0</v>
      </c>
      <c r="BO210" s="14" t="n">
        <v>0</v>
      </c>
      <c r="BP210" s="14" t="n">
        <v>0</v>
      </c>
      <c r="BQ210" s="15">
        <f>BO210+BP210</f>
        <v/>
      </c>
      <c r="BR210" s="15">
        <f>BM210+BN210-BQ210</f>
        <v/>
      </c>
      <c r="BS210" s="14" t="n">
        <v>0</v>
      </c>
      <c r="BT210" s="14" t="n">
        <v>0</v>
      </c>
      <c r="BU210" s="14" t="n">
        <v>0</v>
      </c>
      <c r="BV210" s="14" t="n">
        <v>0</v>
      </c>
      <c r="BW210" s="15">
        <f>BU210+BV210</f>
        <v/>
      </c>
      <c r="BX210" s="15">
        <f>BS210+BT210-BW210</f>
        <v/>
      </c>
      <c r="BY210" s="15">
        <f>BA210+BG210+BM210+BS210</f>
        <v/>
      </c>
      <c r="BZ210" s="15">
        <f>BB210+BH210+BN210+BT210</f>
        <v/>
      </c>
      <c r="CA210" s="15">
        <f>BE210+BK210+BQ210+BW210</f>
        <v/>
      </c>
      <c r="CB210" s="15">
        <f>BF210+BL210+BR210+BX210</f>
        <v/>
      </c>
      <c r="CC210" s="14" t="n">
        <v>0</v>
      </c>
      <c r="CD210" s="14" t="n">
        <v>250</v>
      </c>
      <c r="CE210" s="14" t="n">
        <v>18</v>
      </c>
      <c r="CF210" s="14" t="n">
        <v>13</v>
      </c>
      <c r="CG210" s="14" t="n">
        <v>10</v>
      </c>
      <c r="CH210" s="15">
        <f>CD210+CE210+CF210+CG210</f>
        <v/>
      </c>
      <c r="CI210" s="14" t="n">
        <v>84</v>
      </c>
      <c r="CJ210" s="14" t="n">
        <v>0</v>
      </c>
      <c r="CK210" s="14" t="n">
        <v>0</v>
      </c>
      <c r="CL210" s="14" t="n">
        <v>1</v>
      </c>
      <c r="CM210" s="15">
        <f>CI210+CJ210+CK210+CL210</f>
        <v/>
      </c>
      <c r="CN210" s="14" t="n">
        <v>726</v>
      </c>
      <c r="CO210" s="14" t="n">
        <v>35</v>
      </c>
      <c r="CP210" s="14" t="n">
        <v>25</v>
      </c>
      <c r="CQ210" s="14" t="n">
        <v>18</v>
      </c>
      <c r="CR210" s="15">
        <f>CN210+CO210+CP210+CQ210</f>
        <v/>
      </c>
      <c r="CS210" s="15">
        <f>CM210+CR210</f>
        <v/>
      </c>
      <c r="CT210" s="14" t="n">
        <v>1180</v>
      </c>
      <c r="CU210" s="14" t="n">
        <v>11696.4496499626</v>
      </c>
      <c r="CV210" s="14" t="n">
        <v>7398</v>
      </c>
      <c r="CW210" s="16">
        <f>IF(CU210=0,"",CV210/CU210)</f>
        <v/>
      </c>
      <c r="CX210" s="14" t="n">
        <v>0</v>
      </c>
      <c r="CY210" s="14" t="n"/>
      <c r="CZ210" s="14" t="n"/>
      <c r="DA210" s="14" t="n"/>
      <c r="DB210" s="15">
        <f>CX210+CY210-CZ210-DA210</f>
        <v/>
      </c>
      <c r="DC210" s="14" t="n">
        <v>0</v>
      </c>
      <c r="DD210" s="14" t="n">
        <v>0</v>
      </c>
      <c r="DE210" s="14" t="n">
        <v>0</v>
      </c>
      <c r="DF210" s="14" t="n">
        <v>0</v>
      </c>
      <c r="DG210" s="15">
        <f>DC210+DD210-DE210-DF210</f>
        <v/>
      </c>
      <c r="DH210" s="14" t="n">
        <v>0</v>
      </c>
      <c r="DI210" s="14" t="n">
        <v>0</v>
      </c>
      <c r="DJ210" s="14" t="n">
        <v>0</v>
      </c>
      <c r="DK210" s="14" t="n">
        <v>0</v>
      </c>
      <c r="DL210" s="15">
        <f>DH210+DI210-DJ210-DK210</f>
        <v/>
      </c>
      <c r="DM210" s="14" t="n">
        <v>0</v>
      </c>
      <c r="DN210" s="14" t="n">
        <v>0</v>
      </c>
      <c r="DO210" s="14" t="n">
        <v>0</v>
      </c>
      <c r="DP210" s="14" t="n">
        <v>0</v>
      </c>
      <c r="DQ210" s="15">
        <f>DM210+DN210-DO210-DP210</f>
        <v/>
      </c>
      <c r="DR210" s="15">
        <f>CX210+DC210+DH210+DM210</f>
        <v/>
      </c>
      <c r="DS210" s="15">
        <f>CY210+DD210+DI210+DN210</f>
        <v/>
      </c>
      <c r="DT210" s="15">
        <f>CZ210+DE210+DJ210+DO210</f>
        <v/>
      </c>
      <c r="DU210" s="15">
        <f>DA210+DF210+DK210+DP210</f>
        <v/>
      </c>
      <c r="DV210" s="15">
        <f>DB210+DG210+DL210+DQ210</f>
        <v/>
      </c>
      <c r="DW210" s="14" t="n">
        <v>30</v>
      </c>
      <c r="DX210" s="14" t="n">
        <v>4</v>
      </c>
      <c r="DY210" s="14" t="n">
        <v>3</v>
      </c>
      <c r="DZ210" s="14" t="n">
        <v>3</v>
      </c>
      <c r="EA210" s="14" t="n">
        <v>2</v>
      </c>
      <c r="EB210" s="14" t="n">
        <v>2</v>
      </c>
      <c r="EC210" s="14" t="n">
        <v>0</v>
      </c>
      <c r="ED210" s="14" t="n">
        <v>0</v>
      </c>
      <c r="EE210" s="14" t="n">
        <v>0</v>
      </c>
      <c r="EF210" s="14" t="n">
        <v>0</v>
      </c>
      <c r="EG210" s="14" t="n">
        <v>0</v>
      </c>
      <c r="EH210" s="14" t="n">
        <v>0</v>
      </c>
      <c r="EI210" s="14" t="n">
        <v>0</v>
      </c>
      <c r="EJ210" s="14" t="n">
        <v>5</v>
      </c>
      <c r="EK210" s="14" t="n">
        <v>0</v>
      </c>
      <c r="EL210" s="14" t="n">
        <v>0</v>
      </c>
      <c r="EM210" s="14" t="n">
        <v>0</v>
      </c>
      <c r="EN210" s="14" t="n">
        <v>0</v>
      </c>
      <c r="EO210" s="14" t="n">
        <v>0</v>
      </c>
      <c r="EP210" s="14" t="n">
        <v>0</v>
      </c>
      <c r="EQ210" s="14" t="n">
        <v>0</v>
      </c>
      <c r="ER210" s="14" t="n">
        <v>0</v>
      </c>
      <c r="ES210" s="14" t="n">
        <v>0</v>
      </c>
      <c r="ET210" s="14" t="n">
        <v>0</v>
      </c>
      <c r="EU210" s="14" t="n">
        <v>0</v>
      </c>
      <c r="EV210" s="14" t="n">
        <v>0</v>
      </c>
      <c r="EW210" s="14" t="n">
        <v>0</v>
      </c>
      <c r="EX210" s="14" t="n">
        <v>0</v>
      </c>
      <c r="EY210" s="14" t="n">
        <v>0</v>
      </c>
      <c r="EZ210" s="14" t="n">
        <v>0</v>
      </c>
      <c r="FA210" s="14" t="n">
        <v>0</v>
      </c>
      <c r="FB210" s="14" t="n">
        <v>0</v>
      </c>
      <c r="FC210" s="14" t="n">
        <v>0</v>
      </c>
      <c r="FD210" s="14" t="n">
        <v>0</v>
      </c>
      <c r="FE210" s="14" t="n">
        <v>0</v>
      </c>
      <c r="FF210" s="14" t="n">
        <v>0</v>
      </c>
      <c r="FG210" s="15">
        <f>SUM(DW210,DX210,DY210,DZ210,EA210,EB210,EC210,ED210,EE210,EF210,EG210,EH210,EI210,EJ210,EK210,EL210,EM210,EN210,EO210,EP210,EQ210,ER210,ES210,ET210,EU210,EV210,EW210,EX210,EY210,EZ210,FA210,FB210,FC210,FD210,FE210,FF210)</f>
        <v/>
      </c>
      <c r="FH210" s="14" t="n">
        <v>0</v>
      </c>
      <c r="FI210" s="14" t="n">
        <v>0</v>
      </c>
      <c r="FJ210" s="14" t="n">
        <v>0</v>
      </c>
      <c r="FK210" s="14" t="n">
        <v>0</v>
      </c>
      <c r="FL210" s="14" t="n">
        <v>0</v>
      </c>
      <c r="FM210" s="14" t="n">
        <v>0</v>
      </c>
      <c r="FN210" s="14" t="n">
        <v>0</v>
      </c>
      <c r="FO210" s="14" t="n">
        <v>0</v>
      </c>
      <c r="FP210" s="14" t="n">
        <v>0</v>
      </c>
      <c r="FQ210" s="15">
        <f>FL210+FM210+FN210+FO210+FP210</f>
        <v/>
      </c>
      <c r="FR210" s="14" t="n">
        <v>1633194</v>
      </c>
      <c r="FS210" s="14" t="n">
        <v>0</v>
      </c>
      <c r="FT210" s="14" t="n">
        <v>0</v>
      </c>
      <c r="FU210" s="14" t="n">
        <v>0</v>
      </c>
      <c r="FV210" s="15">
        <f>FR210+FS210+FT210+FU210</f>
        <v/>
      </c>
      <c r="FW210" s="14" t="n">
        <v>5554788</v>
      </c>
      <c r="FX210" s="14" t="n">
        <v>121700</v>
      </c>
      <c r="FY210" s="14" t="n">
        <v>1108800</v>
      </c>
      <c r="FZ210" s="14" t="n">
        <v>1151850</v>
      </c>
      <c r="GA210" s="15">
        <f>FW210+FX210+FY210+FZ210</f>
        <v/>
      </c>
      <c r="GB210" s="15">
        <f>FV210+GA210</f>
        <v/>
      </c>
      <c r="GC210" s="14" t="n">
        <v>501207.79</v>
      </c>
      <c r="GD210" s="14" t="n">
        <v>0</v>
      </c>
      <c r="GE210" s="14" t="n">
        <v>51295.66</v>
      </c>
      <c r="GF210" s="14" t="n">
        <v>0</v>
      </c>
      <c r="GG210" s="15">
        <f>GC210+GD210+GE210+GF210</f>
        <v/>
      </c>
      <c r="GH210" s="14" t="n">
        <v>5230381.14</v>
      </c>
      <c r="GI210" s="14" t="n">
        <v>121700</v>
      </c>
      <c r="GJ210" s="14" t="n">
        <v>1120154.61</v>
      </c>
      <c r="GK210" s="14" t="n">
        <v>1090786.74</v>
      </c>
      <c r="GL210" s="15">
        <f>GH210+GI210+GJ210+GK210</f>
        <v/>
      </c>
      <c r="GM210" s="15">
        <f>GG210+GL210</f>
        <v/>
      </c>
      <c r="GN210" s="14" t="n">
        <v>51197.09</v>
      </c>
      <c r="GO210" s="14" t="n">
        <v>0</v>
      </c>
      <c r="GP210" s="14" t="n">
        <v>6787.28</v>
      </c>
      <c r="GQ210" s="14" t="n">
        <v>0</v>
      </c>
      <c r="GR210" s="15">
        <f>GN210+GO210+GP210+GQ210</f>
        <v/>
      </c>
      <c r="GS210" s="14" t="n">
        <v>79477</v>
      </c>
      <c r="GT210" s="14" t="n">
        <v>0</v>
      </c>
      <c r="GU210" s="14" t="n">
        <v>1786</v>
      </c>
      <c r="GV210" s="14" t="n">
        <v>0</v>
      </c>
      <c r="GW210" s="15">
        <f>GS210+GT210+GU210+GV210</f>
        <v/>
      </c>
      <c r="GX210" s="15">
        <f>GM210+GR210+GW210</f>
        <v/>
      </c>
      <c r="GY210" s="14" t="n">
        <v>837303.64</v>
      </c>
      <c r="GZ210" s="14" t="n">
        <v>204044.54</v>
      </c>
      <c r="HA210" s="15">
        <f>GY210+GZ210</f>
        <v/>
      </c>
      <c r="HB210" s="15">
        <f>IF(GX210=0,"",AU210/GX210)</f>
        <v/>
      </c>
      <c r="HC210" s="16">
        <f>IF((GX210+GY210)=0,"",GB210/(GX210+GY210))</f>
        <v/>
      </c>
      <c r="HD210" s="15">
        <f>IF(GX210=0,"",GB210/GX210)</f>
        <v/>
      </c>
      <c r="HE210" s="14" t="n">
        <v>6</v>
      </c>
      <c r="HF210" s="14" t="n">
        <v>2</v>
      </c>
      <c r="HG210" s="14" t="n">
        <v>17</v>
      </c>
      <c r="HH210" s="14" t="n">
        <v>6</v>
      </c>
      <c r="HI210" s="14" t="n">
        <v>466</v>
      </c>
      <c r="HJ210" s="15">
        <f>HF210+HI210</f>
        <v/>
      </c>
      <c r="HK210" s="16">
        <f>IF(HE210=0,"",HH210/HE210)</f>
        <v/>
      </c>
      <c r="HL210" s="14" t="n">
        <v>16</v>
      </c>
      <c r="HM210" s="14" t="n">
        <v>18</v>
      </c>
      <c r="HN210" s="17">
        <f>IF(HL210=0,"",HM210/HL210)</f>
        <v/>
      </c>
    </row>
    <row r="211">
      <c r="A211" s="6" t="inlineStr">
        <is>
          <t>Ngabu</t>
        </is>
      </c>
      <c r="B211" s="6" t="inlineStr">
        <is>
          <t>Bangula</t>
        </is>
      </c>
      <c r="C211" s="7" t="inlineStr">
        <is>
          <t>FY2025/26</t>
        </is>
      </c>
      <c r="D211" s="7" t="n">
        <v>2025</v>
      </c>
      <c r="E211" s="7" t="n">
        <v>8</v>
      </c>
      <c r="F211" s="7" t="inlineStr">
        <is>
          <t>August</t>
        </is>
      </c>
      <c r="G211" s="7" t="inlineStr">
        <is>
          <t>Q2</t>
        </is>
      </c>
      <c r="H211" s="8" t="n">
        <v>10145</v>
      </c>
      <c r="I211" s="8" t="n">
        <v>968</v>
      </c>
      <c r="J211" s="8" t="n">
        <v>0</v>
      </c>
      <c r="K211" s="8" t="n">
        <v>13</v>
      </c>
      <c r="L211" s="8" t="n">
        <v>6</v>
      </c>
      <c r="M211" s="9">
        <f>SUM(I211,J211,K211,L211)</f>
        <v/>
      </c>
      <c r="N211" s="8" t="n">
        <v>6045</v>
      </c>
      <c r="O211" s="8" t="n">
        <v>604</v>
      </c>
      <c r="P211" s="8" t="n">
        <v>564</v>
      </c>
      <c r="Q211" s="8" t="n">
        <v>106</v>
      </c>
      <c r="R211" s="9">
        <f>SUM(N211,O211,P211,Q211)</f>
        <v/>
      </c>
      <c r="S211" s="9">
        <f>M211+R211</f>
        <v/>
      </c>
      <c r="T211" s="8" t="n">
        <v>1839</v>
      </c>
      <c r="U211" s="10">
        <f>IF(H211=0,"",T211/H211)</f>
        <v/>
      </c>
      <c r="V211" s="8" t="n">
        <v>18</v>
      </c>
      <c r="W211" s="11">
        <f>IF(H211=0,"",V211/H211)</f>
        <v/>
      </c>
      <c r="X211" s="8" t="n">
        <v>0</v>
      </c>
      <c r="Y211" s="11">
        <f>IF(H211=0,"",X211/H211)</f>
        <v/>
      </c>
      <c r="Z211" s="8" t="n">
        <v>0</v>
      </c>
      <c r="AA211" s="11">
        <f>IF(H211=0,"",Z211/H211)</f>
        <v/>
      </c>
      <c r="AB211" s="8" t="n">
        <v>0</v>
      </c>
      <c r="AC211" s="11">
        <f>IF(H211=0,"",AB211/H211)</f>
        <v/>
      </c>
      <c r="AD211" s="8" t="n">
        <v>0</v>
      </c>
      <c r="AE211" s="11">
        <f>IF(H211=0,"",AD211/H211)</f>
        <v/>
      </c>
      <c r="AF211" s="8" t="n">
        <v>0</v>
      </c>
      <c r="AG211" s="11">
        <f>IF(H211=0,"",AF211/H211)</f>
        <v/>
      </c>
      <c r="AH211" s="8" t="n">
        <v>63455.22</v>
      </c>
      <c r="AI211" s="9">
        <f>IF(H211=0,"",AH211/H211)</f>
        <v/>
      </c>
      <c r="AJ211" s="8" t="n">
        <v>3659</v>
      </c>
      <c r="AK211" s="11">
        <f>IF(H211=0,"",AJ211/H211)</f>
        <v/>
      </c>
      <c r="AL211" s="8" t="n">
        <v>524118.2385</v>
      </c>
      <c r="AM211" s="9">
        <f>IF(H211=0,"",AL211/H211)</f>
        <v/>
      </c>
      <c r="AN211" s="8" t="n">
        <v>0</v>
      </c>
      <c r="AO211" s="8" t="n">
        <v>0</v>
      </c>
      <c r="AP211" s="8" t="n">
        <v>0</v>
      </c>
      <c r="AQ211" s="8" t="n">
        <v>0</v>
      </c>
      <c r="AR211" s="8" t="n">
        <v>0</v>
      </c>
      <c r="AS211" s="8" t="n">
        <v>0</v>
      </c>
      <c r="AT211" s="8" t="n">
        <v>0</v>
      </c>
      <c r="AU211" s="9">
        <f>AH211+AL211+AP211+AQ211+AR211+AS211+AT211</f>
        <v/>
      </c>
      <c r="AV211" s="9">
        <f>IF(H211=0,"",AU211/H211)</f>
        <v/>
      </c>
      <c r="AW211" s="9">
        <f>IF(S211=0,"",AU211/S211)</f>
        <v/>
      </c>
      <c r="AX211" s="8" t="n">
        <v>2</v>
      </c>
      <c r="AY211" s="9">
        <f>IF(H211=0,"",AX211/(H211/1000/12))</f>
        <v/>
      </c>
      <c r="AZ211" s="8" t="n">
        <v>8</v>
      </c>
      <c r="BA211" s="8" t="n">
        <v>17</v>
      </c>
      <c r="BB211" s="8" t="n">
        <v>5</v>
      </c>
      <c r="BC211" s="8" t="n">
        <v>16</v>
      </c>
      <c r="BD211" s="8" t="n">
        <v>0</v>
      </c>
      <c r="BE211" s="9">
        <f>BC211+BD211</f>
        <v/>
      </c>
      <c r="BF211" s="9">
        <f>BA211+BB211-BE211</f>
        <v/>
      </c>
      <c r="BG211" s="8" t="n">
        <v>0</v>
      </c>
      <c r="BH211" s="8" t="n">
        <v>0</v>
      </c>
      <c r="BI211" s="8" t="n">
        <v>0</v>
      </c>
      <c r="BJ211" s="8" t="n">
        <v>0</v>
      </c>
      <c r="BK211" s="9">
        <f>BI211+BJ211</f>
        <v/>
      </c>
      <c r="BL211" s="9">
        <f>BG211+BH211-BK211</f>
        <v/>
      </c>
      <c r="BM211" s="8" t="n">
        <v>0</v>
      </c>
      <c r="BN211" s="8" t="n">
        <v>0</v>
      </c>
      <c r="BO211" s="8" t="n">
        <v>0</v>
      </c>
      <c r="BP211" s="8" t="n">
        <v>0</v>
      </c>
      <c r="BQ211" s="9">
        <f>BO211+BP211</f>
        <v/>
      </c>
      <c r="BR211" s="9">
        <f>BM211+BN211-BQ211</f>
        <v/>
      </c>
      <c r="BS211" s="8" t="n">
        <v>0</v>
      </c>
      <c r="BT211" s="8" t="n">
        <v>0</v>
      </c>
      <c r="BU211" s="8" t="n">
        <v>0</v>
      </c>
      <c r="BV211" s="8" t="n">
        <v>0</v>
      </c>
      <c r="BW211" s="9">
        <f>BU211+BV211</f>
        <v/>
      </c>
      <c r="BX211" s="9">
        <f>BS211+BT211-BW211</f>
        <v/>
      </c>
      <c r="BY211" s="9">
        <f>BA211+BG211+BM211+BS211</f>
        <v/>
      </c>
      <c r="BZ211" s="9">
        <f>BB211+BH211+BN211+BT211</f>
        <v/>
      </c>
      <c r="CA211" s="9">
        <f>BE211+BK211+BQ211+BW211</f>
        <v/>
      </c>
      <c r="CB211" s="9">
        <f>BF211+BL211+BR211+BX211</f>
        <v/>
      </c>
      <c r="CC211" s="8" t="n">
        <v>0</v>
      </c>
      <c r="CD211" s="8" t="n">
        <v>254</v>
      </c>
      <c r="CE211" s="8" t="n">
        <v>18</v>
      </c>
      <c r="CF211" s="8" t="n">
        <v>13</v>
      </c>
      <c r="CG211" s="8" t="n">
        <v>10</v>
      </c>
      <c r="CH211" s="9">
        <f>CD211+CE211+CF211+CG211</f>
        <v/>
      </c>
      <c r="CI211" s="8" t="n">
        <v>96</v>
      </c>
      <c r="CJ211" s="8" t="n">
        <v>0</v>
      </c>
      <c r="CK211" s="8" t="n">
        <v>0</v>
      </c>
      <c r="CL211" s="8" t="n">
        <v>1</v>
      </c>
      <c r="CM211" s="9">
        <f>CI211+CJ211+CK211+CL211</f>
        <v/>
      </c>
      <c r="CN211" s="8" t="n">
        <v>726</v>
      </c>
      <c r="CO211" s="8" t="n">
        <v>35</v>
      </c>
      <c r="CP211" s="8" t="n">
        <v>25</v>
      </c>
      <c r="CQ211" s="8" t="n">
        <v>18</v>
      </c>
      <c r="CR211" s="9">
        <f>CN211+CO211+CP211+CQ211</f>
        <v/>
      </c>
      <c r="CS211" s="9">
        <f>CM211+CR211</f>
        <v/>
      </c>
      <c r="CT211" s="8" t="n">
        <v>1196</v>
      </c>
      <c r="CU211" s="8" t="n">
        <v>11716.3336143675</v>
      </c>
      <c r="CV211" s="8" t="n">
        <v>7430</v>
      </c>
      <c r="CW211" s="10">
        <f>IF(CU211=0,"",CV211/CU211)</f>
        <v/>
      </c>
      <c r="CX211" s="8" t="n">
        <v>0</v>
      </c>
      <c r="CY211" s="8" t="n"/>
      <c r="CZ211" s="8" t="n"/>
      <c r="DA211" s="8" t="n"/>
      <c r="DB211" s="9">
        <f>CX211+CY211-CZ211-DA211</f>
        <v/>
      </c>
      <c r="DC211" s="8" t="n">
        <v>0</v>
      </c>
      <c r="DD211" s="8" t="n">
        <v>0</v>
      </c>
      <c r="DE211" s="8" t="n">
        <v>0</v>
      </c>
      <c r="DF211" s="8" t="n">
        <v>0</v>
      </c>
      <c r="DG211" s="9">
        <f>DC211+DD211-DE211-DF211</f>
        <v/>
      </c>
      <c r="DH211" s="8" t="n">
        <v>0</v>
      </c>
      <c r="DI211" s="8" t="n">
        <v>0</v>
      </c>
      <c r="DJ211" s="8" t="n">
        <v>0</v>
      </c>
      <c r="DK211" s="8" t="n">
        <v>0</v>
      </c>
      <c r="DL211" s="9">
        <f>DH211+DI211-DJ211-DK211</f>
        <v/>
      </c>
      <c r="DM211" s="8" t="n">
        <v>0</v>
      </c>
      <c r="DN211" s="8" t="n">
        <v>0</v>
      </c>
      <c r="DO211" s="8" t="n">
        <v>0</v>
      </c>
      <c r="DP211" s="8" t="n">
        <v>0</v>
      </c>
      <c r="DQ211" s="9">
        <f>DM211+DN211-DO211-DP211</f>
        <v/>
      </c>
      <c r="DR211" s="9">
        <f>CX211+DC211+DH211+DM211</f>
        <v/>
      </c>
      <c r="DS211" s="9">
        <f>CY211+DD211+DI211+DN211</f>
        <v/>
      </c>
      <c r="DT211" s="9">
        <f>CZ211+DE211+DJ211+DO211</f>
        <v/>
      </c>
      <c r="DU211" s="9">
        <f>DA211+DF211+DK211+DP211</f>
        <v/>
      </c>
      <c r="DV211" s="9">
        <f>DB211+DG211+DL211+DQ211</f>
        <v/>
      </c>
      <c r="DW211" s="8" t="n">
        <v>20</v>
      </c>
      <c r="DX211" s="8" t="n">
        <v>10</v>
      </c>
      <c r="DY211" s="8" t="n">
        <v>4</v>
      </c>
      <c r="DZ211" s="8" t="n">
        <v>4</v>
      </c>
      <c r="EA211" s="8" t="n">
        <v>1</v>
      </c>
      <c r="EB211" s="8" t="n">
        <v>1</v>
      </c>
      <c r="EC211" s="8" t="n">
        <v>0</v>
      </c>
      <c r="ED211" s="8" t="n">
        <v>0</v>
      </c>
      <c r="EE211" s="8" t="n">
        <v>1</v>
      </c>
      <c r="EF211" s="8" t="n">
        <v>0</v>
      </c>
      <c r="EG211" s="8" t="n">
        <v>0</v>
      </c>
      <c r="EH211" s="8" t="n">
        <v>0</v>
      </c>
      <c r="EI211" s="8" t="n">
        <v>0</v>
      </c>
      <c r="EJ211" s="8" t="n">
        <v>6</v>
      </c>
      <c r="EK211" s="8" t="n">
        <v>0</v>
      </c>
      <c r="EL211" s="8" t="n">
        <v>0</v>
      </c>
      <c r="EM211" s="8" t="n">
        <v>0</v>
      </c>
      <c r="EN211" s="8" t="n">
        <v>0</v>
      </c>
      <c r="EO211" s="8" t="n">
        <v>0</v>
      </c>
      <c r="EP211" s="8" t="n">
        <v>0</v>
      </c>
      <c r="EQ211" s="8" t="n">
        <v>0</v>
      </c>
      <c r="ER211" s="8" t="n">
        <v>0</v>
      </c>
      <c r="ES211" s="8" t="n">
        <v>0</v>
      </c>
      <c r="ET211" s="8" t="n">
        <v>0</v>
      </c>
      <c r="EU211" s="8" t="n">
        <v>0</v>
      </c>
      <c r="EV211" s="8" t="n">
        <v>0</v>
      </c>
      <c r="EW211" s="8" t="n">
        <v>0</v>
      </c>
      <c r="EX211" s="8" t="n">
        <v>0</v>
      </c>
      <c r="EY211" s="8" t="n">
        <v>0</v>
      </c>
      <c r="EZ211" s="8" t="n">
        <v>0</v>
      </c>
      <c r="FA211" s="8" t="n">
        <v>0</v>
      </c>
      <c r="FB211" s="8" t="n">
        <v>0</v>
      </c>
      <c r="FC211" s="8" t="n">
        <v>0</v>
      </c>
      <c r="FD211" s="8" t="n">
        <v>0</v>
      </c>
      <c r="FE211" s="8" t="n">
        <v>0</v>
      </c>
      <c r="FF211" s="8" t="n">
        <v>0</v>
      </c>
      <c r="FG211" s="9">
        <f>SUM(DW211,DX211,DY211,DZ211,EA211,EB211,EC211,ED211,EE211,EF211,EG211,EH211,EI211,EJ211,EK211,EL211,EM211,EN211,EO211,EP211,EQ211,ER211,ES211,ET211,EU211,EV211,EW211,EX211,EY211,EZ211,FA211,FB211,FC211,FD211,FE211,FF211)</f>
        <v/>
      </c>
      <c r="FH211" s="8" t="n">
        <v>0</v>
      </c>
      <c r="FI211" s="8" t="n">
        <v>0</v>
      </c>
      <c r="FJ211" s="8" t="n">
        <v>0</v>
      </c>
      <c r="FK211" s="8" t="n">
        <v>0</v>
      </c>
      <c r="FL211" s="8" t="n">
        <v>0</v>
      </c>
      <c r="FM211" s="8" t="n">
        <v>0</v>
      </c>
      <c r="FN211" s="8" t="n">
        <v>0</v>
      </c>
      <c r="FO211" s="8" t="n">
        <v>0</v>
      </c>
      <c r="FP211" s="8" t="n">
        <v>0</v>
      </c>
      <c r="FQ211" s="9">
        <f>FL211+FM211+FN211+FO211+FP211</f>
        <v/>
      </c>
      <c r="FR211" s="8" t="n">
        <v>263830</v>
      </c>
      <c r="FS211" s="8" t="n">
        <v>0</v>
      </c>
      <c r="FT211" s="8" t="n">
        <v>0</v>
      </c>
      <c r="FU211" s="8" t="n">
        <v>0</v>
      </c>
      <c r="FV211" s="9">
        <f>FR211+FS211+FT211+FU211</f>
        <v/>
      </c>
      <c r="FW211" s="8" t="n">
        <v>6184831</v>
      </c>
      <c r="FX211" s="8" t="n">
        <v>73320</v>
      </c>
      <c r="FY211" s="8" t="n">
        <v>915600</v>
      </c>
      <c r="FZ211" s="8" t="n">
        <v>747950</v>
      </c>
      <c r="GA211" s="9">
        <f>FW211+FX211+FY211+FZ211</f>
        <v/>
      </c>
      <c r="GB211" s="9">
        <f>FV211+GA211</f>
        <v/>
      </c>
      <c r="GC211" s="8" t="n">
        <v>902386.89</v>
      </c>
      <c r="GD211" s="8" t="n">
        <v>0</v>
      </c>
      <c r="GE211" s="8" t="n">
        <v>41819.69</v>
      </c>
      <c r="GF211" s="8" t="n">
        <v>15182.27</v>
      </c>
      <c r="GG211" s="9">
        <f>GC211+GD211+GE211+GF211</f>
        <v/>
      </c>
      <c r="GH211" s="8" t="n">
        <v>5929710.39</v>
      </c>
      <c r="GI211" s="8" t="n">
        <v>73320</v>
      </c>
      <c r="GJ211" s="8" t="n">
        <v>743200</v>
      </c>
      <c r="GK211" s="8" t="n">
        <v>915600</v>
      </c>
      <c r="GL211" s="9">
        <f>GH211+GI211+GJ211+GK211</f>
        <v/>
      </c>
      <c r="GM211" s="9">
        <f>GG211+GL211</f>
        <v/>
      </c>
      <c r="GN211" s="8" t="n">
        <v>68375.78999999999</v>
      </c>
      <c r="GO211" s="8" t="n">
        <v>0</v>
      </c>
      <c r="GP211" s="8" t="n">
        <v>6787.28</v>
      </c>
      <c r="GQ211" s="8" t="n">
        <v>4637.34</v>
      </c>
      <c r="GR211" s="9">
        <f>GN211+GO211+GP211+GQ211</f>
        <v/>
      </c>
      <c r="GS211" s="8" t="n">
        <v>107160</v>
      </c>
      <c r="GT211" s="8" t="n">
        <v>0</v>
      </c>
      <c r="GU211" s="8" t="n">
        <v>1786</v>
      </c>
      <c r="GV211" s="8" t="n">
        <v>893</v>
      </c>
      <c r="GW211" s="9">
        <f>GS211+GT211+GU211+GV211</f>
        <v/>
      </c>
      <c r="GX211" s="9">
        <f>GM211+GR211+GW211</f>
        <v/>
      </c>
      <c r="GY211" s="8" t="n">
        <v>2445873.05</v>
      </c>
      <c r="GZ211" s="8" t="n">
        <v>254437.51</v>
      </c>
      <c r="HA211" s="9">
        <f>GY211+GZ211</f>
        <v/>
      </c>
      <c r="HB211" s="9">
        <f>IF(GX211=0,"",AU211/GX211)</f>
        <v/>
      </c>
      <c r="HC211" s="10">
        <f>IF((GX211+GY211)=0,"",GB211/(GX211+GY211))</f>
        <v/>
      </c>
      <c r="HD211" s="9">
        <f>IF(GX211=0,"",GB211/GX211)</f>
        <v/>
      </c>
      <c r="HE211" s="8" t="n">
        <v>5</v>
      </c>
      <c r="HF211" s="8" t="n">
        <v>11</v>
      </c>
      <c r="HG211" s="8" t="n">
        <v>6</v>
      </c>
      <c r="HH211" s="8" t="n">
        <v>5</v>
      </c>
      <c r="HI211" s="8" t="n">
        <v>32</v>
      </c>
      <c r="HJ211" s="9">
        <f>HF211+HI211</f>
        <v/>
      </c>
      <c r="HK211" s="10">
        <f>IF(HE211=0,"",HH211/HE211)</f>
        <v/>
      </c>
      <c r="HL211" s="8" t="n">
        <v>11</v>
      </c>
      <c r="HM211" s="8" t="n">
        <v>18</v>
      </c>
      <c r="HN211" s="11">
        <f>IF(HL211=0,"",HM211/HL211)</f>
        <v/>
      </c>
    </row>
    <row r="212">
      <c r="A212" s="12" t="inlineStr">
        <is>
          <t>Ngabu</t>
        </is>
      </c>
      <c r="B212" s="12" t="inlineStr">
        <is>
          <t>Bangula</t>
        </is>
      </c>
      <c r="C212" s="13" t="inlineStr">
        <is>
          <t>FY2025/26</t>
        </is>
      </c>
      <c r="D212" s="13" t="n">
        <v>2025</v>
      </c>
      <c r="E212" s="13" t="n">
        <v>9</v>
      </c>
      <c r="F212" s="13" t="inlineStr">
        <is>
          <t>September</t>
        </is>
      </c>
      <c r="G212" s="13" t="inlineStr">
        <is>
          <t>Q2</t>
        </is>
      </c>
      <c r="H212" s="14" t="n">
        <v>9928</v>
      </c>
      <c r="I212" s="14" t="n">
        <v>739</v>
      </c>
      <c r="J212" s="14" t="n">
        <v>0</v>
      </c>
      <c r="K212" s="14" t="n">
        <v>18</v>
      </c>
      <c r="L212" s="14" t="n">
        <v>6</v>
      </c>
      <c r="M212" s="15">
        <f>SUM(I212,J212,K212,L212)</f>
        <v/>
      </c>
      <c r="N212" s="14" t="n">
        <v>6175</v>
      </c>
      <c r="O212" s="14" t="n">
        <v>393</v>
      </c>
      <c r="P212" s="14" t="n">
        <v>298</v>
      </c>
      <c r="Q212" s="14" t="n">
        <v>198</v>
      </c>
      <c r="R212" s="15">
        <f>SUM(N212,O212,P212,Q212)</f>
        <v/>
      </c>
      <c r="S212" s="15">
        <f>M212+R212</f>
        <v/>
      </c>
      <c r="T212" s="14" t="n">
        <v>2101</v>
      </c>
      <c r="U212" s="16">
        <f>IF(H212=0,"",T212/H212)</f>
        <v/>
      </c>
      <c r="V212" s="14" t="n">
        <v>16</v>
      </c>
      <c r="W212" s="17">
        <f>IF(H212=0,"",V212/H212)</f>
        <v/>
      </c>
      <c r="X212" s="14" t="n">
        <v>0</v>
      </c>
      <c r="Y212" s="17">
        <f>IF(H212=0,"",X212/H212)</f>
        <v/>
      </c>
      <c r="Z212" s="14" t="n">
        <v>0</v>
      </c>
      <c r="AA212" s="17">
        <f>IF(H212=0,"",Z212/H212)</f>
        <v/>
      </c>
      <c r="AB212" s="14" t="n">
        <v>0</v>
      </c>
      <c r="AC212" s="17">
        <f>IF(H212=0,"",AB212/H212)</f>
        <v/>
      </c>
      <c r="AD212" s="14" t="n">
        <v>0</v>
      </c>
      <c r="AE212" s="17">
        <f>IF(H212=0,"",AD212/H212)</f>
        <v/>
      </c>
      <c r="AF212" s="14" t="n">
        <v>0</v>
      </c>
      <c r="AG212" s="17">
        <f>IF(H212=0,"",AF212/H212)</f>
        <v/>
      </c>
      <c r="AH212" s="14" t="n">
        <v>56404.64</v>
      </c>
      <c r="AI212" s="15">
        <f>IF(H212=0,"",AH212/H212)</f>
        <v/>
      </c>
      <c r="AJ212" s="14" t="n">
        <v>3735</v>
      </c>
      <c r="AK212" s="17">
        <f>IF(H212=0,"",AJ212/H212)</f>
        <v/>
      </c>
      <c r="AL212" s="14" t="n">
        <v>534663.3525</v>
      </c>
      <c r="AM212" s="15">
        <f>IF(H212=0,"",AL212/H212)</f>
        <v/>
      </c>
      <c r="AN212" s="14" t="n">
        <v>0</v>
      </c>
      <c r="AO212" s="14" t="n">
        <v>0</v>
      </c>
      <c r="AP212" s="14" t="n">
        <v>0</v>
      </c>
      <c r="AQ212" s="14" t="n">
        <v>0</v>
      </c>
      <c r="AR212" s="14" t="n">
        <v>0</v>
      </c>
      <c r="AS212" s="14" t="n">
        <v>0</v>
      </c>
      <c r="AT212" s="14" t="n">
        <v>0</v>
      </c>
      <c r="AU212" s="15">
        <f>AH212+AL212+AP212+AQ212+AR212+AS212+AT212</f>
        <v/>
      </c>
      <c r="AV212" s="15">
        <f>IF(H212=0,"",AU212/H212)</f>
        <v/>
      </c>
      <c r="AW212" s="15">
        <f>IF(S212=0,"",AU212/S212)</f>
        <v/>
      </c>
      <c r="AX212" s="14" t="n">
        <v>2</v>
      </c>
      <c r="AY212" s="15">
        <f>IF(H212=0,"",AX212/(H212/1000/12))</f>
        <v/>
      </c>
      <c r="AZ212" s="14" t="n">
        <v>8</v>
      </c>
      <c r="BA212" s="14" t="n">
        <v>6</v>
      </c>
      <c r="BB212" s="14" t="n">
        <v>31</v>
      </c>
      <c r="BC212" s="14" t="n">
        <v>0</v>
      </c>
      <c r="BD212" s="14" t="n">
        <v>7</v>
      </c>
      <c r="BE212" s="15">
        <f>BC212+BD212</f>
        <v/>
      </c>
      <c r="BF212" s="15">
        <f>BA212+BB212-BE212</f>
        <v/>
      </c>
      <c r="BG212" s="14" t="n">
        <v>0</v>
      </c>
      <c r="BH212" s="14" t="n">
        <v>0</v>
      </c>
      <c r="BI212" s="14" t="n">
        <v>0</v>
      </c>
      <c r="BJ212" s="14" t="n">
        <v>0</v>
      </c>
      <c r="BK212" s="15">
        <f>BI212+BJ212</f>
        <v/>
      </c>
      <c r="BL212" s="15">
        <f>BG212+BH212-BK212</f>
        <v/>
      </c>
      <c r="BM212" s="14" t="n">
        <v>0</v>
      </c>
      <c r="BN212" s="14" t="n">
        <v>0</v>
      </c>
      <c r="BO212" s="14" t="n">
        <v>0</v>
      </c>
      <c r="BP212" s="14" t="n">
        <v>0</v>
      </c>
      <c r="BQ212" s="15">
        <f>BO212+BP212</f>
        <v/>
      </c>
      <c r="BR212" s="15">
        <f>BM212+BN212-BQ212</f>
        <v/>
      </c>
      <c r="BS212" s="14" t="n">
        <v>0</v>
      </c>
      <c r="BT212" s="14" t="n">
        <v>0</v>
      </c>
      <c r="BU212" s="14" t="n">
        <v>0</v>
      </c>
      <c r="BV212" s="14" t="n">
        <v>0</v>
      </c>
      <c r="BW212" s="15">
        <f>BU212+BV212</f>
        <v/>
      </c>
      <c r="BX212" s="15">
        <f>BS212+BT212-BW212</f>
        <v/>
      </c>
      <c r="BY212" s="15">
        <f>BA212+BG212+BM212+BS212</f>
        <v/>
      </c>
      <c r="BZ212" s="15">
        <f>BB212+BH212+BN212+BT212</f>
        <v/>
      </c>
      <c r="CA212" s="15">
        <f>BE212+BK212+BQ212+BW212</f>
        <v/>
      </c>
      <c r="CB212" s="15">
        <f>BF212+BL212+BR212+BX212</f>
        <v/>
      </c>
      <c r="CC212" s="14" t="n">
        <v>0</v>
      </c>
      <c r="CD212" s="14" t="n">
        <v>252</v>
      </c>
      <c r="CE212" s="14" t="n">
        <v>18</v>
      </c>
      <c r="CF212" s="14" t="n">
        <v>13</v>
      </c>
      <c r="CG212" s="14" t="n">
        <v>10</v>
      </c>
      <c r="CH212" s="15">
        <f>CD212+CE212+CF212+CG212</f>
        <v/>
      </c>
      <c r="CI212" s="14" t="n">
        <v>98</v>
      </c>
      <c r="CJ212" s="14" t="n">
        <v>0</v>
      </c>
      <c r="CK212" s="14" t="n">
        <v>0</v>
      </c>
      <c r="CL212" s="14" t="n">
        <v>1</v>
      </c>
      <c r="CM212" s="15">
        <f>CI212+CJ212+CK212+CL212</f>
        <v/>
      </c>
      <c r="CN212" s="14" t="n">
        <v>733</v>
      </c>
      <c r="CO212" s="14" t="n">
        <v>35</v>
      </c>
      <c r="CP212" s="14" t="n">
        <v>25</v>
      </c>
      <c r="CQ212" s="14" t="n">
        <v>18</v>
      </c>
      <c r="CR212" s="15">
        <f>CN212+CO212+CP212+CQ212</f>
        <v/>
      </c>
      <c r="CS212" s="15">
        <f>CM212+CR212</f>
        <v/>
      </c>
      <c r="CT212" s="14" t="n">
        <v>1203</v>
      </c>
      <c r="CU212" s="14" t="n">
        <v>11736</v>
      </c>
      <c r="CV212" s="14" t="n">
        <v>7444</v>
      </c>
      <c r="CW212" s="16">
        <f>IF(CU212=0,"",CV212/CU212)</f>
        <v/>
      </c>
      <c r="CX212" s="14" t="n">
        <v>0</v>
      </c>
      <c r="CY212" s="14" t="n"/>
      <c r="CZ212" s="14" t="n"/>
      <c r="DA212" s="14" t="n"/>
      <c r="DB212" s="15">
        <f>CX212+CY212-CZ212-DA212</f>
        <v/>
      </c>
      <c r="DC212" s="14" t="n">
        <v>0</v>
      </c>
      <c r="DD212" s="14" t="n">
        <v>0</v>
      </c>
      <c r="DE212" s="14" t="n">
        <v>0</v>
      </c>
      <c r="DF212" s="14" t="n">
        <v>0</v>
      </c>
      <c r="DG212" s="15">
        <f>DC212+DD212-DE212-DF212</f>
        <v/>
      </c>
      <c r="DH212" s="14" t="n">
        <v>0</v>
      </c>
      <c r="DI212" s="14" t="n">
        <v>0</v>
      </c>
      <c r="DJ212" s="14" t="n">
        <v>0</v>
      </c>
      <c r="DK212" s="14" t="n">
        <v>0</v>
      </c>
      <c r="DL212" s="15">
        <f>DH212+DI212-DJ212-DK212</f>
        <v/>
      </c>
      <c r="DM212" s="14" t="n">
        <v>0</v>
      </c>
      <c r="DN212" s="14" t="n">
        <v>0</v>
      </c>
      <c r="DO212" s="14" t="n">
        <v>0</v>
      </c>
      <c r="DP212" s="14" t="n">
        <v>0</v>
      </c>
      <c r="DQ212" s="15">
        <f>DM212+DN212-DO212-DP212</f>
        <v/>
      </c>
      <c r="DR212" s="15">
        <f>CX212+DC212+DH212+DM212</f>
        <v/>
      </c>
      <c r="DS212" s="15">
        <f>CY212+DD212+DI212+DN212</f>
        <v/>
      </c>
      <c r="DT212" s="15">
        <f>CZ212+DE212+DJ212+DO212</f>
        <v/>
      </c>
      <c r="DU212" s="15">
        <f>DA212+DF212+DK212+DP212</f>
        <v/>
      </c>
      <c r="DV212" s="15">
        <f>DB212+DG212+DL212+DQ212</f>
        <v/>
      </c>
      <c r="DW212" s="14" t="n">
        <v>25</v>
      </c>
      <c r="DX212" s="14" t="n">
        <v>10</v>
      </c>
      <c r="DY212" s="14" t="n">
        <v>3</v>
      </c>
      <c r="DZ212" s="14" t="n">
        <v>5</v>
      </c>
      <c r="EA212" s="14" t="n">
        <v>1</v>
      </c>
      <c r="EB212" s="14" t="n">
        <v>0</v>
      </c>
      <c r="EC212" s="14" t="n">
        <v>0</v>
      </c>
      <c r="ED212" s="14" t="n">
        <v>0</v>
      </c>
      <c r="EE212" s="14" t="n">
        <v>0</v>
      </c>
      <c r="EF212" s="14" t="n">
        <v>0</v>
      </c>
      <c r="EG212" s="14" t="n">
        <v>0</v>
      </c>
      <c r="EH212" s="14" t="n">
        <v>0</v>
      </c>
      <c r="EI212" s="14" t="n">
        <v>0</v>
      </c>
      <c r="EJ212" s="14" t="n">
        <v>8</v>
      </c>
      <c r="EK212" s="14" t="n">
        <v>0</v>
      </c>
      <c r="EL212" s="14" t="n">
        <v>0</v>
      </c>
      <c r="EM212" s="14" t="n">
        <v>0</v>
      </c>
      <c r="EN212" s="14" t="n">
        <v>0</v>
      </c>
      <c r="EO212" s="14" t="n">
        <v>0</v>
      </c>
      <c r="EP212" s="14" t="n">
        <v>0</v>
      </c>
      <c r="EQ212" s="14" t="n">
        <v>0</v>
      </c>
      <c r="ER212" s="14" t="n">
        <v>0</v>
      </c>
      <c r="ES212" s="14" t="n">
        <v>0</v>
      </c>
      <c r="ET212" s="14" t="n">
        <v>0</v>
      </c>
      <c r="EU212" s="14" t="n">
        <v>0</v>
      </c>
      <c r="EV212" s="14" t="n">
        <v>0</v>
      </c>
      <c r="EW212" s="14" t="n">
        <v>0</v>
      </c>
      <c r="EX212" s="14" t="n">
        <v>0</v>
      </c>
      <c r="EY212" s="14" t="n">
        <v>0</v>
      </c>
      <c r="EZ212" s="14" t="n">
        <v>0</v>
      </c>
      <c r="FA212" s="14" t="n">
        <v>0</v>
      </c>
      <c r="FB212" s="14" t="n">
        <v>0</v>
      </c>
      <c r="FC212" s="14" t="n">
        <v>0</v>
      </c>
      <c r="FD212" s="14" t="n">
        <v>0</v>
      </c>
      <c r="FE212" s="14" t="n">
        <v>0</v>
      </c>
      <c r="FF212" s="14" t="n">
        <v>0</v>
      </c>
      <c r="FG212" s="15">
        <f>SUM(DW212,DX212,DY212,DZ212,EA212,EB212,EC212,ED212,EE212,EF212,EG212,EH212,EI212,EJ212,EK212,EL212,EM212,EN212,EO212,EP212,EQ212,ER212,ES212,ET212,EU212,EV212,EW212,EX212,EY212,EZ212,FA212,FB212,FC212,FD212,FE212,FF212)</f>
        <v/>
      </c>
      <c r="FH212" s="14" t="n">
        <v>0</v>
      </c>
      <c r="FI212" s="14" t="n">
        <v>0</v>
      </c>
      <c r="FJ212" s="14" t="n">
        <v>0</v>
      </c>
      <c r="FK212" s="14" t="n">
        <v>0</v>
      </c>
      <c r="FL212" s="14" t="n">
        <v>0</v>
      </c>
      <c r="FM212" s="14" t="n">
        <v>0</v>
      </c>
      <c r="FN212" s="14" t="n">
        <v>0</v>
      </c>
      <c r="FO212" s="14" t="n">
        <v>0</v>
      </c>
      <c r="FP212" s="14" t="n">
        <v>0</v>
      </c>
      <c r="FQ212" s="15">
        <f>FL212+FM212+FN212+FO212+FP212</f>
        <v/>
      </c>
      <c r="FR212" s="14" t="n">
        <v>669265</v>
      </c>
      <c r="FS212" s="14" t="n">
        <v>0</v>
      </c>
      <c r="FT212" s="14" t="n">
        <v>0</v>
      </c>
      <c r="FU212" s="14" t="n">
        <v>0</v>
      </c>
      <c r="FV212" s="15">
        <f>FR212+FS212+FT212+FU212</f>
        <v/>
      </c>
      <c r="FW212" s="14" t="n">
        <v>6845913</v>
      </c>
      <c r="FX212" s="14" t="n">
        <v>116100</v>
      </c>
      <c r="FY212" s="14" t="n">
        <v>1288500</v>
      </c>
      <c r="FZ212" s="14" t="n">
        <v>768900</v>
      </c>
      <c r="GA212" s="15">
        <f>FW212+FX212+FY212+FZ212</f>
        <v/>
      </c>
      <c r="GB212" s="15">
        <f>FV212+GA212</f>
        <v/>
      </c>
      <c r="GC212" s="14" t="n">
        <v>736339.5699999999</v>
      </c>
      <c r="GD212" s="14" t="n">
        <v>0</v>
      </c>
      <c r="GE212" s="14" t="n">
        <v>61649.92</v>
      </c>
      <c r="GF212" s="14" t="n">
        <v>15182.27</v>
      </c>
      <c r="GG212" s="15">
        <f>GC212+GD212+GE212+GF212</f>
        <v/>
      </c>
      <c r="GH212" s="14" t="n">
        <v>6565858.6</v>
      </c>
      <c r="GI212" s="14" t="n">
        <v>116100</v>
      </c>
      <c r="GJ212" s="14" t="n">
        <v>729900</v>
      </c>
      <c r="GK212" s="14" t="n">
        <v>1214460</v>
      </c>
      <c r="GL212" s="15">
        <f>GH212+GI212+GJ212+GK212</f>
        <v/>
      </c>
      <c r="GM212" s="15">
        <f>GG212+GL212</f>
        <v/>
      </c>
      <c r="GN212" s="14" t="n">
        <v>72415.16</v>
      </c>
      <c r="GO212" s="14" t="n">
        <v>0</v>
      </c>
      <c r="GP212" s="14" t="n">
        <v>13574.56</v>
      </c>
      <c r="GQ212" s="14" t="n">
        <v>4637.34</v>
      </c>
      <c r="GR212" s="15">
        <f>GN212+GO212+GP212+GQ212</f>
        <v/>
      </c>
      <c r="GS212" s="14" t="n">
        <v>113411</v>
      </c>
      <c r="GT212" s="14" t="n">
        <v>0</v>
      </c>
      <c r="GU212" s="14" t="n">
        <v>3572</v>
      </c>
      <c r="GV212" s="14" t="n">
        <v>893</v>
      </c>
      <c r="GW212" s="15">
        <f>GS212+GT212+GU212+GV212</f>
        <v/>
      </c>
      <c r="GX212" s="15">
        <f>GM212+GR212+GW212</f>
        <v/>
      </c>
      <c r="GY212" s="14" t="n">
        <v>2660753.23</v>
      </c>
      <c r="GZ212" s="14" t="n">
        <v>418729.43</v>
      </c>
      <c r="HA212" s="15">
        <f>GY212+GZ212</f>
        <v/>
      </c>
      <c r="HB212" s="15">
        <f>IF(GX212=0,"",AU212/GX212)</f>
        <v/>
      </c>
      <c r="HC212" s="16">
        <f>IF((GX212+GY212)=0,"",GB212/(GX212+GY212))</f>
        <v/>
      </c>
      <c r="HD212" s="15">
        <f>IF(GX212=0,"",GB212/GX212)</f>
        <v/>
      </c>
      <c r="HE212" s="14" t="n">
        <v>31</v>
      </c>
      <c r="HF212" s="14" t="n">
        <v>2</v>
      </c>
      <c r="HG212" s="14" t="n">
        <v>30</v>
      </c>
      <c r="HH212" s="14" t="n">
        <v>31</v>
      </c>
      <c r="HI212" s="14" t="n">
        <v>42</v>
      </c>
      <c r="HJ212" s="15">
        <f>HF212+HI212</f>
        <v/>
      </c>
      <c r="HK212" s="16">
        <f>IF(HE212=0,"",HH212/HE212)</f>
        <v/>
      </c>
      <c r="HL212" s="14" t="n">
        <v>20</v>
      </c>
      <c r="HM212" s="14" t="n">
        <v>18</v>
      </c>
      <c r="HN212" s="17">
        <f>IF(HL212=0,"",HM212/HL212)</f>
        <v/>
      </c>
    </row>
    <row r="213">
      <c r="A213" s="6" t="inlineStr">
        <is>
          <t>Ngabu</t>
        </is>
      </c>
      <c r="B213" s="6" t="inlineStr">
        <is>
          <t>Bangula</t>
        </is>
      </c>
      <c r="C213" s="7" t="inlineStr">
        <is>
          <t>FY2025/26</t>
        </is>
      </c>
      <c r="D213" s="7" t="n">
        <v>2025</v>
      </c>
      <c r="E213" s="7" t="n">
        <v>10</v>
      </c>
      <c r="F213" s="7" t="inlineStr">
        <is>
          <t>October</t>
        </is>
      </c>
      <c r="G213" s="7" t="inlineStr">
        <is>
          <t>Q3</t>
        </is>
      </c>
      <c r="H213" s="8" t="n">
        <v>9690</v>
      </c>
      <c r="I213" s="8" t="n">
        <v>706</v>
      </c>
      <c r="J213" s="8" t="n">
        <v>0</v>
      </c>
      <c r="K213" s="8" t="n">
        <v>45</v>
      </c>
      <c r="L213" s="8" t="n">
        <v>13</v>
      </c>
      <c r="M213" s="9">
        <f>SUM(I213,J213,K213,L213)</f>
        <v/>
      </c>
      <c r="N213" s="8" t="n">
        <v>5582</v>
      </c>
      <c r="O213" s="8" t="n">
        <v>633</v>
      </c>
      <c r="P213" s="8" t="n">
        <v>290</v>
      </c>
      <c r="Q213" s="8" t="n">
        <v>249</v>
      </c>
      <c r="R213" s="9">
        <f>SUM(N213,O213,P213,Q213)</f>
        <v/>
      </c>
      <c r="S213" s="9">
        <f>M213+R213</f>
        <v/>
      </c>
      <c r="T213" s="8" t="n">
        <v>2172</v>
      </c>
      <c r="U213" s="10">
        <f>IF(H213=0,"",T213/H213)</f>
        <v/>
      </c>
      <c r="V213" s="8" t="n">
        <v>10</v>
      </c>
      <c r="W213" s="11">
        <f>IF(H213=0,"",V213/H213)</f>
        <v/>
      </c>
      <c r="X213" s="8" t="n">
        <v>0</v>
      </c>
      <c r="Y213" s="11">
        <f>IF(H213=0,"",X213/H213)</f>
        <v/>
      </c>
      <c r="Z213" s="8" t="n">
        <v>0</v>
      </c>
      <c r="AA213" s="11">
        <f>IF(H213=0,"",Z213/H213)</f>
        <v/>
      </c>
      <c r="AB213" s="8" t="n">
        <v>0</v>
      </c>
      <c r="AC213" s="11">
        <f>IF(H213=0,"",AB213/H213)</f>
        <v/>
      </c>
      <c r="AD213" s="8" t="n">
        <v>0</v>
      </c>
      <c r="AE213" s="11">
        <f>IF(H213=0,"",AD213/H213)</f>
        <v/>
      </c>
      <c r="AF213" s="8" t="n">
        <v>0</v>
      </c>
      <c r="AG213" s="11">
        <f>IF(H213=0,"",AF213/H213)</f>
        <v/>
      </c>
      <c r="AH213" s="8" t="n">
        <v>35252.9</v>
      </c>
      <c r="AI213" s="9">
        <f>IF(H213=0,"",AH213/H213)</f>
        <v/>
      </c>
      <c r="AJ213" s="8" t="n">
        <v>3567.38</v>
      </c>
      <c r="AK213" s="11">
        <f>IF(H213=0,"",AJ213/H213)</f>
        <v/>
      </c>
      <c r="AL213" s="8" t="n">
        <v>511405.82607</v>
      </c>
      <c r="AM213" s="9">
        <f>IF(H213=0,"",AL213/H213)</f>
        <v/>
      </c>
      <c r="AN213" s="8" t="n">
        <v>0</v>
      </c>
      <c r="AO213" s="8" t="n">
        <v>0</v>
      </c>
      <c r="AP213" s="8" t="n">
        <v>0</v>
      </c>
      <c r="AQ213" s="8" t="n">
        <v>0</v>
      </c>
      <c r="AR213" s="8" t="n">
        <v>0</v>
      </c>
      <c r="AS213" s="8" t="n">
        <v>0</v>
      </c>
      <c r="AT213" s="8" t="n">
        <v>0</v>
      </c>
      <c r="AU213" s="9">
        <f>AH213+AL213+AP213+AQ213+AR213+AS213+AT213</f>
        <v/>
      </c>
      <c r="AV213" s="9">
        <f>IF(H213=0,"",AU213/H213)</f>
        <v/>
      </c>
      <c r="AW213" s="9">
        <f>IF(S213=0,"",AU213/S213)</f>
        <v/>
      </c>
      <c r="AX213" s="8" t="n">
        <v>2</v>
      </c>
      <c r="AY213" s="9">
        <f>IF(H213=0,"",AX213/(H213/1000/12))</f>
        <v/>
      </c>
      <c r="AZ213" s="8" t="n">
        <v>8</v>
      </c>
      <c r="BA213" s="8" t="n">
        <v>30</v>
      </c>
      <c r="BB213" s="8" t="n">
        <v>7</v>
      </c>
      <c r="BC213" s="8" t="n">
        <v>6</v>
      </c>
      <c r="BD213" s="8" t="n">
        <v>0</v>
      </c>
      <c r="BE213" s="9">
        <f>BC213+BD213</f>
        <v/>
      </c>
      <c r="BF213" s="9">
        <f>BA213+BB213-BE213</f>
        <v/>
      </c>
      <c r="BG213" s="8" t="n">
        <v>0</v>
      </c>
      <c r="BH213" s="8" t="n">
        <v>0</v>
      </c>
      <c r="BI213" s="8" t="n">
        <v>0</v>
      </c>
      <c r="BJ213" s="8" t="n">
        <v>0</v>
      </c>
      <c r="BK213" s="9">
        <f>BI213+BJ213</f>
        <v/>
      </c>
      <c r="BL213" s="9">
        <f>BG213+BH213-BK213</f>
        <v/>
      </c>
      <c r="BM213" s="8" t="n">
        <v>0</v>
      </c>
      <c r="BN213" s="8" t="n">
        <v>0</v>
      </c>
      <c r="BO213" s="8" t="n">
        <v>0</v>
      </c>
      <c r="BP213" s="8" t="n">
        <v>0</v>
      </c>
      <c r="BQ213" s="9">
        <f>BO213+BP213</f>
        <v/>
      </c>
      <c r="BR213" s="9">
        <f>BM213+BN213-BQ213</f>
        <v/>
      </c>
      <c r="BS213" s="8" t="n">
        <v>0</v>
      </c>
      <c r="BT213" s="8" t="n">
        <v>0</v>
      </c>
      <c r="BU213" s="8" t="n">
        <v>0</v>
      </c>
      <c r="BV213" s="8" t="n">
        <v>0</v>
      </c>
      <c r="BW213" s="9">
        <f>BU213+BV213</f>
        <v/>
      </c>
      <c r="BX213" s="9">
        <f>BS213+BT213-BW213</f>
        <v/>
      </c>
      <c r="BY213" s="9">
        <f>BA213+BG213+BM213+BS213</f>
        <v/>
      </c>
      <c r="BZ213" s="9">
        <f>BB213+BH213+BN213+BT213</f>
        <v/>
      </c>
      <c r="CA213" s="9">
        <f>BE213+BK213+BQ213+BW213</f>
        <v/>
      </c>
      <c r="CB213" s="9">
        <f>BF213+BL213+BR213+BX213</f>
        <v/>
      </c>
      <c r="CC213" s="8" t="n">
        <v>0</v>
      </c>
      <c r="CD213" s="8" t="n">
        <v>251</v>
      </c>
      <c r="CE213" s="8" t="n">
        <v>18</v>
      </c>
      <c r="CF213" s="8" t="n">
        <v>13</v>
      </c>
      <c r="CG213" s="8" t="n">
        <v>10</v>
      </c>
      <c r="CH213" s="9">
        <f>CD213+CE213+CF213+CG213</f>
        <v/>
      </c>
      <c r="CI213" s="8" t="n">
        <v>105</v>
      </c>
      <c r="CJ213" s="8" t="n">
        <v>0</v>
      </c>
      <c r="CK213" s="8" t="n">
        <v>0</v>
      </c>
      <c r="CL213" s="8" t="n">
        <v>1</v>
      </c>
      <c r="CM213" s="9">
        <f>CI213+CJ213+CK213+CL213</f>
        <v/>
      </c>
      <c r="CN213" s="8" t="n">
        <v>733</v>
      </c>
      <c r="CO213" s="8" t="n">
        <v>35</v>
      </c>
      <c r="CP213" s="8" t="n">
        <v>25</v>
      </c>
      <c r="CQ213" s="8" t="n">
        <v>18</v>
      </c>
      <c r="CR213" s="9">
        <f>CN213+CO213+CP213+CQ213</f>
        <v/>
      </c>
      <c r="CS213" s="9">
        <f>CM213+CR213</f>
        <v/>
      </c>
      <c r="CT213" s="8" t="n">
        <v>1209</v>
      </c>
      <c r="CU213" s="8" t="n">
        <v>11756.2030088605</v>
      </c>
      <c r="CV213" s="8" t="n">
        <v>7456</v>
      </c>
      <c r="CW213" s="10">
        <f>IF(CU213=0,"",CV213/CU213)</f>
        <v/>
      </c>
      <c r="CX213" s="8" t="n">
        <v>0</v>
      </c>
      <c r="CY213" s="8" t="n"/>
      <c r="CZ213" s="8" t="n"/>
      <c r="DA213" s="8" t="n"/>
      <c r="DB213" s="9">
        <f>CX213+CY213-CZ213-DA213</f>
        <v/>
      </c>
      <c r="DC213" s="8" t="n">
        <v>0</v>
      </c>
      <c r="DD213" s="8" t="n">
        <v>0</v>
      </c>
      <c r="DE213" s="8" t="n">
        <v>0</v>
      </c>
      <c r="DF213" s="8" t="n">
        <v>0</v>
      </c>
      <c r="DG213" s="9">
        <f>DC213+DD213-DE213-DF213</f>
        <v/>
      </c>
      <c r="DH213" s="8" t="n">
        <v>0</v>
      </c>
      <c r="DI213" s="8" t="n">
        <v>0</v>
      </c>
      <c r="DJ213" s="8" t="n">
        <v>0</v>
      </c>
      <c r="DK213" s="8" t="n">
        <v>0</v>
      </c>
      <c r="DL213" s="9">
        <f>DH213+DI213-DJ213-DK213</f>
        <v/>
      </c>
      <c r="DM213" s="8" t="n">
        <v>0</v>
      </c>
      <c r="DN213" s="8" t="n">
        <v>0</v>
      </c>
      <c r="DO213" s="8" t="n">
        <v>0</v>
      </c>
      <c r="DP213" s="8" t="n">
        <v>0</v>
      </c>
      <c r="DQ213" s="9">
        <f>DM213+DN213-DO213-DP213</f>
        <v/>
      </c>
      <c r="DR213" s="9">
        <f>CX213+DC213+DH213+DM213</f>
        <v/>
      </c>
      <c r="DS213" s="9">
        <f>CY213+DD213+DI213+DN213</f>
        <v/>
      </c>
      <c r="DT213" s="9">
        <f>CZ213+DE213+DJ213+DO213</f>
        <v/>
      </c>
      <c r="DU213" s="9">
        <f>DA213+DF213+DK213+DP213</f>
        <v/>
      </c>
      <c r="DV213" s="9">
        <f>DB213+DG213+DL213+DQ213</f>
        <v/>
      </c>
      <c r="DW213" s="8" t="n">
        <v>20</v>
      </c>
      <c r="DX213" s="8" t="n">
        <v>6</v>
      </c>
      <c r="DY213" s="8" t="n">
        <v>6</v>
      </c>
      <c r="DZ213" s="8" t="n">
        <v>4</v>
      </c>
      <c r="EA213" s="8" t="n">
        <v>2</v>
      </c>
      <c r="EB213" s="8" t="n">
        <v>3</v>
      </c>
      <c r="EC213" s="8" t="n">
        <v>0</v>
      </c>
      <c r="ED213" s="8" t="n">
        <v>0</v>
      </c>
      <c r="EE213" s="8" t="n">
        <v>0</v>
      </c>
      <c r="EF213" s="8" t="n">
        <v>0</v>
      </c>
      <c r="EG213" s="8" t="n">
        <v>0</v>
      </c>
      <c r="EH213" s="8" t="n">
        <v>0</v>
      </c>
      <c r="EI213" s="8" t="n">
        <v>0</v>
      </c>
      <c r="EJ213" s="8" t="n">
        <v>7</v>
      </c>
      <c r="EK213" s="8" t="n">
        <v>0</v>
      </c>
      <c r="EL213" s="8" t="n">
        <v>0</v>
      </c>
      <c r="EM213" s="8" t="n">
        <v>0</v>
      </c>
      <c r="EN213" s="8" t="n">
        <v>0</v>
      </c>
      <c r="EO213" s="8" t="n">
        <v>0</v>
      </c>
      <c r="EP213" s="8" t="n">
        <v>0</v>
      </c>
      <c r="EQ213" s="8" t="n">
        <v>0</v>
      </c>
      <c r="ER213" s="8" t="n">
        <v>0</v>
      </c>
      <c r="ES213" s="8" t="n">
        <v>0</v>
      </c>
      <c r="ET213" s="8" t="n">
        <v>0</v>
      </c>
      <c r="EU213" s="8" t="n">
        <v>0</v>
      </c>
      <c r="EV213" s="8" t="n">
        <v>0</v>
      </c>
      <c r="EW213" s="8" t="n">
        <v>0</v>
      </c>
      <c r="EX213" s="8" t="n">
        <v>0</v>
      </c>
      <c r="EY213" s="8" t="n">
        <v>0</v>
      </c>
      <c r="EZ213" s="8" t="n">
        <v>0</v>
      </c>
      <c r="FA213" s="8" t="n">
        <v>0</v>
      </c>
      <c r="FB213" s="8" t="n">
        <v>0</v>
      </c>
      <c r="FC213" s="8" t="n">
        <v>0</v>
      </c>
      <c r="FD213" s="8" t="n">
        <v>0</v>
      </c>
      <c r="FE213" s="8" t="n">
        <v>0</v>
      </c>
      <c r="FF213" s="8" t="n">
        <v>0</v>
      </c>
      <c r="FG213" s="9">
        <f>SUM(DW213,DX213,DY213,DZ213,EA213,EB213,EC213,ED213,EE213,EF213,EG213,EH213,EI213,EJ213,EK213,EL213,EM213,EN213,EO213,EP213,EQ213,ER213,ES213,ET213,EU213,EV213,EW213,EX213,EY213,EZ213,FA213,FB213,FC213,FD213,FE213,FF213)</f>
        <v/>
      </c>
      <c r="FH213" s="8" t="n">
        <v>0</v>
      </c>
      <c r="FI213" s="8" t="n">
        <v>0</v>
      </c>
      <c r="FJ213" s="8" t="n">
        <v>0</v>
      </c>
      <c r="FK213" s="8" t="n">
        <v>0</v>
      </c>
      <c r="FL213" s="8" t="n">
        <v>0</v>
      </c>
      <c r="FM213" s="8" t="n">
        <v>0</v>
      </c>
      <c r="FN213" s="8" t="n">
        <v>0</v>
      </c>
      <c r="FO213" s="8" t="n">
        <v>0</v>
      </c>
      <c r="FP213" s="8" t="n">
        <v>0</v>
      </c>
      <c r="FQ213" s="9">
        <f>FL213+FM213+FN213+FO213+FP213</f>
        <v/>
      </c>
      <c r="FR213" s="8" t="n">
        <v>572322</v>
      </c>
      <c r="FS213" s="8" t="n">
        <v>0</v>
      </c>
      <c r="FT213" s="8" t="n">
        <v>54000</v>
      </c>
      <c r="FU213" s="8" t="n">
        <v>0</v>
      </c>
      <c r="FV213" s="9">
        <f>FR213+FS213+FT213+FU213</f>
        <v/>
      </c>
      <c r="FW213" s="8" t="n">
        <v>7193305</v>
      </c>
      <c r="FX213" s="8" t="n">
        <v>134500</v>
      </c>
      <c r="FY213" s="8" t="n">
        <v>1184700</v>
      </c>
      <c r="FZ213" s="8" t="n">
        <v>886889</v>
      </c>
      <c r="GA213" s="9">
        <f>FW213+FX213+FY213+FZ213</f>
        <v/>
      </c>
      <c r="GB213" s="9">
        <f>FV213+GA213</f>
        <v/>
      </c>
      <c r="GC213" s="8" t="n">
        <v>701647.25</v>
      </c>
      <c r="GD213" s="8" t="n">
        <v>0</v>
      </c>
      <c r="GE213" s="8" t="n">
        <v>151144.92</v>
      </c>
      <c r="GF213" s="8" t="n">
        <v>41014.69</v>
      </c>
      <c r="GG213" s="9">
        <f>GC213+GD213+GE213+GF213</f>
        <v/>
      </c>
      <c r="GH213" s="8" t="n">
        <v>6942754.15</v>
      </c>
      <c r="GI213" s="8" t="n">
        <v>134500</v>
      </c>
      <c r="GJ213" s="8" t="n">
        <v>880889.4</v>
      </c>
      <c r="GK213" s="8" t="n">
        <v>1178880</v>
      </c>
      <c r="GL213" s="9">
        <f>GH213+GI213+GJ213+GK213</f>
        <v/>
      </c>
      <c r="GM213" s="9">
        <f>GG213+GL213</f>
        <v/>
      </c>
      <c r="GN213" s="8" t="n">
        <v>65590.13</v>
      </c>
      <c r="GO213" s="8" t="n">
        <v>0</v>
      </c>
      <c r="GP213" s="8" t="n">
        <v>13574.56</v>
      </c>
      <c r="GQ213" s="8" t="n">
        <v>4637.34</v>
      </c>
      <c r="GR213" s="9">
        <f>GN213+GO213+GP213+GQ213</f>
        <v/>
      </c>
      <c r="GS213" s="8" t="n">
        <v>102695</v>
      </c>
      <c r="GT213" s="8" t="n">
        <v>0</v>
      </c>
      <c r="GU213" s="8" t="n">
        <v>3572</v>
      </c>
      <c r="GV213" s="8" t="n">
        <v>893</v>
      </c>
      <c r="GW213" s="9">
        <f>GS213+GT213+GU213+GV213</f>
        <v/>
      </c>
      <c r="GX213" s="9">
        <f>GM213+GR213+GW213</f>
        <v/>
      </c>
      <c r="GY213" s="8" t="n">
        <v>2371150.29</v>
      </c>
      <c r="GZ213" s="8" t="n">
        <v>587020.91</v>
      </c>
      <c r="HA213" s="9">
        <f>GY213+GZ213</f>
        <v/>
      </c>
      <c r="HB213" s="9">
        <f>IF(GX213=0,"",AU213/GX213)</f>
        <v/>
      </c>
      <c r="HC213" s="10">
        <f>IF((GX213+GY213)=0,"",GB213/(GX213+GY213))</f>
        <v/>
      </c>
      <c r="HD213" s="9">
        <f>IF(GX213=0,"",GB213/GX213)</f>
        <v/>
      </c>
      <c r="HE213" s="8" t="n">
        <v>7</v>
      </c>
      <c r="HF213" s="8" t="n">
        <v>2</v>
      </c>
      <c r="HG213" s="8" t="n">
        <v>31</v>
      </c>
      <c r="HH213" s="8" t="n">
        <v>7</v>
      </c>
      <c r="HI213" s="8" t="n">
        <v>38</v>
      </c>
      <c r="HJ213" s="9">
        <f>HF213+HI213</f>
        <v/>
      </c>
      <c r="HK213" s="10">
        <f>IF(HE213=0,"",HH213/HE213)</f>
        <v/>
      </c>
      <c r="HL213" s="8" t="n">
        <v>16</v>
      </c>
      <c r="HM213" s="8" t="n">
        <v>18</v>
      </c>
      <c r="HN213" s="11">
        <f>IF(HL213=0,"",HM213/HL213)</f>
        <v/>
      </c>
    </row>
    <row r="214">
      <c r="A214" s="12" t="inlineStr">
        <is>
          <t>Ngabu</t>
        </is>
      </c>
      <c r="B214" s="12" t="inlineStr">
        <is>
          <t>Bangula</t>
        </is>
      </c>
      <c r="C214" s="13" t="inlineStr">
        <is>
          <t>FY2025/26</t>
        </is>
      </c>
      <c r="D214" s="13" t="n">
        <v>2025</v>
      </c>
      <c r="E214" s="13" t="n">
        <v>11</v>
      </c>
      <c r="F214" s="13" t="inlineStr">
        <is>
          <t>November</t>
        </is>
      </c>
      <c r="G214" s="13" t="inlineStr">
        <is>
          <t>Q3</t>
        </is>
      </c>
      <c r="H214" s="14" t="n">
        <v>10704</v>
      </c>
      <c r="I214" s="14" t="n">
        <v>829</v>
      </c>
      <c r="J214" s="14" t="n">
        <v>0</v>
      </c>
      <c r="K214" s="14" t="n">
        <v>52</v>
      </c>
      <c r="L214" s="14" t="n">
        <v>0</v>
      </c>
      <c r="M214" s="15">
        <f>SUM(I214,J214,K214,L214)</f>
        <v/>
      </c>
      <c r="N214" s="14" t="n">
        <v>6868</v>
      </c>
      <c r="O214" s="14" t="n">
        <v>666</v>
      </c>
      <c r="P214" s="14" t="n">
        <v>440</v>
      </c>
      <c r="Q214" s="14" t="n">
        <v>224</v>
      </c>
      <c r="R214" s="15">
        <f>SUM(N214,O214,P214,Q214)</f>
        <v/>
      </c>
      <c r="S214" s="15">
        <f>M214+R214</f>
        <v/>
      </c>
      <c r="T214" s="14" t="n">
        <v>1625</v>
      </c>
      <c r="U214" s="16">
        <f>IF(H214=0,"",T214/H214)</f>
        <v/>
      </c>
      <c r="V214" s="14" t="n">
        <v>10</v>
      </c>
      <c r="W214" s="17">
        <f>IF(H214=0,"",V214/H214)</f>
        <v/>
      </c>
      <c r="X214" s="14" t="n">
        <v>0</v>
      </c>
      <c r="Y214" s="17">
        <f>IF(H214=0,"",X214/H214)</f>
        <v/>
      </c>
      <c r="Z214" s="14" t="n">
        <v>0</v>
      </c>
      <c r="AA214" s="17">
        <f>IF(H214=0,"",Z214/H214)</f>
        <v/>
      </c>
      <c r="AB214" s="14" t="n">
        <v>0</v>
      </c>
      <c r="AC214" s="17">
        <f>IF(H214=0,"",AB214/H214)</f>
        <v/>
      </c>
      <c r="AD214" s="14" t="n">
        <v>0</v>
      </c>
      <c r="AE214" s="17">
        <f>IF(H214=0,"",AD214/H214)</f>
        <v/>
      </c>
      <c r="AF214" s="14" t="n">
        <v>0</v>
      </c>
      <c r="AG214" s="17">
        <f>IF(H214=0,"",AF214/H214)</f>
        <v/>
      </c>
      <c r="AH214" s="14" t="n">
        <v>35252.9</v>
      </c>
      <c r="AI214" s="15">
        <f>IF(H214=0,"",AH214/H214)</f>
        <v/>
      </c>
      <c r="AJ214" s="14" t="n">
        <v>3642.42</v>
      </c>
      <c r="AK214" s="17">
        <f>IF(H214=0,"",AJ214/H214)</f>
        <v/>
      </c>
      <c r="AL214" s="14" t="n">
        <v>521817.73863</v>
      </c>
      <c r="AM214" s="15">
        <f>IF(H214=0,"",AL214/H214)</f>
        <v/>
      </c>
      <c r="AN214" s="14" t="n">
        <v>0</v>
      </c>
      <c r="AO214" s="14" t="n">
        <v>0</v>
      </c>
      <c r="AP214" s="14" t="n">
        <v>0</v>
      </c>
      <c r="AQ214" s="14" t="n">
        <v>0</v>
      </c>
      <c r="AR214" s="14" t="n">
        <v>0</v>
      </c>
      <c r="AS214" s="14" t="n">
        <v>0</v>
      </c>
      <c r="AT214" s="14" t="n">
        <v>0</v>
      </c>
      <c r="AU214" s="15">
        <f>AH214+AL214+AP214+AQ214+AR214+AS214+AT214</f>
        <v/>
      </c>
      <c r="AV214" s="15">
        <f>IF(H214=0,"",AU214/H214)</f>
        <v/>
      </c>
      <c r="AW214" s="15">
        <f>IF(S214=0,"",AU214/S214)</f>
        <v/>
      </c>
      <c r="AX214" s="14" t="n">
        <v>2</v>
      </c>
      <c r="AY214" s="15">
        <f>IF(H214=0,"",AX214/(H214/1000/12))</f>
        <v/>
      </c>
      <c r="AZ214" s="14" t="n">
        <v>8</v>
      </c>
      <c r="BA214" s="14" t="n">
        <v>31</v>
      </c>
      <c r="BB214" s="14" t="n">
        <v>7</v>
      </c>
      <c r="BC214" s="14" t="n">
        <v>9</v>
      </c>
      <c r="BD214" s="14" t="n">
        <v>0</v>
      </c>
      <c r="BE214" s="15">
        <f>BC214+BD214</f>
        <v/>
      </c>
      <c r="BF214" s="15">
        <f>BA214+BB214-BE214</f>
        <v/>
      </c>
      <c r="BG214" s="14" t="n">
        <v>0</v>
      </c>
      <c r="BH214" s="14" t="n">
        <v>0</v>
      </c>
      <c r="BI214" s="14" t="n">
        <v>0</v>
      </c>
      <c r="BJ214" s="14" t="n">
        <v>0</v>
      </c>
      <c r="BK214" s="15">
        <f>BI214+BJ214</f>
        <v/>
      </c>
      <c r="BL214" s="15">
        <f>BG214+BH214-BK214</f>
        <v/>
      </c>
      <c r="BM214" s="14" t="n">
        <v>0</v>
      </c>
      <c r="BN214" s="14" t="n">
        <v>0</v>
      </c>
      <c r="BO214" s="14" t="n">
        <v>0</v>
      </c>
      <c r="BP214" s="14" t="n">
        <v>0</v>
      </c>
      <c r="BQ214" s="15">
        <f>BO214+BP214</f>
        <v/>
      </c>
      <c r="BR214" s="15">
        <f>BM214+BN214-BQ214</f>
        <v/>
      </c>
      <c r="BS214" s="14" t="n">
        <v>0</v>
      </c>
      <c r="BT214" s="14" t="n">
        <v>0</v>
      </c>
      <c r="BU214" s="14" t="n">
        <v>0</v>
      </c>
      <c r="BV214" s="14" t="n">
        <v>0</v>
      </c>
      <c r="BW214" s="15">
        <f>BU214+BV214</f>
        <v/>
      </c>
      <c r="BX214" s="15">
        <f>BS214+BT214-BW214</f>
        <v/>
      </c>
      <c r="BY214" s="15">
        <f>BA214+BG214+BM214+BS214</f>
        <v/>
      </c>
      <c r="BZ214" s="15">
        <f>BB214+BH214+BN214+BT214</f>
        <v/>
      </c>
      <c r="CA214" s="15">
        <f>BE214+BK214+BQ214+BW214</f>
        <v/>
      </c>
      <c r="CB214" s="15">
        <f>BF214+BL214+BR214+BX214</f>
        <v/>
      </c>
      <c r="CC214" s="14" t="n">
        <v>0</v>
      </c>
      <c r="CD214" s="14" t="n">
        <v>243</v>
      </c>
      <c r="CE214" s="14" t="n">
        <v>18</v>
      </c>
      <c r="CF214" s="14" t="n">
        <v>13</v>
      </c>
      <c r="CG214" s="14" t="n">
        <v>9</v>
      </c>
      <c r="CH214" s="15">
        <f>CD214+CE214+CF214+CG214</f>
        <v/>
      </c>
      <c r="CI214" s="14" t="n">
        <v>123</v>
      </c>
      <c r="CJ214" s="14" t="n">
        <v>0</v>
      </c>
      <c r="CK214" s="14" t="n">
        <v>0</v>
      </c>
      <c r="CL214" s="14" t="n">
        <v>1</v>
      </c>
      <c r="CM214" s="15">
        <f>CI214+CJ214+CK214+CL214</f>
        <v/>
      </c>
      <c r="CN214" s="14" t="n">
        <v>733</v>
      </c>
      <c r="CO214" s="14" t="n">
        <v>35</v>
      </c>
      <c r="CP214" s="14" t="n">
        <v>25</v>
      </c>
      <c r="CQ214" s="14" t="n">
        <v>18</v>
      </c>
      <c r="CR214" s="15">
        <f>CN214+CO214+CP214+CQ214</f>
        <v/>
      </c>
      <c r="CS214" s="15">
        <f>CM214+CR214</f>
        <v/>
      </c>
      <c r="CT214" s="14" t="n">
        <v>1218</v>
      </c>
      <c r="CU214" s="14" t="n">
        <v>11776.1885539756</v>
      </c>
      <c r="CV214" s="14" t="n">
        <v>7456</v>
      </c>
      <c r="CW214" s="16">
        <f>IF(CU214=0,"",CV214/CU214)</f>
        <v/>
      </c>
      <c r="CX214" s="14" t="n">
        <v>0</v>
      </c>
      <c r="CY214" s="14" t="n"/>
      <c r="CZ214" s="14" t="n"/>
      <c r="DA214" s="14" t="n"/>
      <c r="DB214" s="15">
        <f>CX214+CY214-CZ214-DA214</f>
        <v/>
      </c>
      <c r="DC214" s="14" t="n">
        <v>0</v>
      </c>
      <c r="DD214" s="14" t="n">
        <v>0</v>
      </c>
      <c r="DE214" s="14" t="n">
        <v>0</v>
      </c>
      <c r="DF214" s="14" t="n">
        <v>0</v>
      </c>
      <c r="DG214" s="15">
        <f>DC214+DD214-DE214-DF214</f>
        <v/>
      </c>
      <c r="DH214" s="14" t="n">
        <v>0</v>
      </c>
      <c r="DI214" s="14" t="n">
        <v>0</v>
      </c>
      <c r="DJ214" s="14" t="n">
        <v>0</v>
      </c>
      <c r="DK214" s="14" t="n">
        <v>0</v>
      </c>
      <c r="DL214" s="15">
        <f>DH214+DI214-DJ214-DK214</f>
        <v/>
      </c>
      <c r="DM214" s="14" t="n">
        <v>0</v>
      </c>
      <c r="DN214" s="14" t="n">
        <v>0</v>
      </c>
      <c r="DO214" s="14" t="n">
        <v>0</v>
      </c>
      <c r="DP214" s="14" t="n">
        <v>0</v>
      </c>
      <c r="DQ214" s="15">
        <f>DM214+DN214-DO214-DP214</f>
        <v/>
      </c>
      <c r="DR214" s="15">
        <f>CX214+DC214+DH214+DM214</f>
        <v/>
      </c>
      <c r="DS214" s="15">
        <f>CY214+DD214+DI214+DN214</f>
        <v/>
      </c>
      <c r="DT214" s="15">
        <f>CZ214+DE214+DJ214+DO214</f>
        <v/>
      </c>
      <c r="DU214" s="15">
        <f>DA214+DF214+DK214+DP214</f>
        <v/>
      </c>
      <c r="DV214" s="15">
        <f>DB214+DG214+DL214+DQ214</f>
        <v/>
      </c>
      <c r="DW214" s="14" t="n">
        <v>25</v>
      </c>
      <c r="DX214" s="14" t="n">
        <v>4</v>
      </c>
      <c r="DY214" s="14" t="n">
        <v>4</v>
      </c>
      <c r="DZ214" s="14" t="n">
        <v>5</v>
      </c>
      <c r="EA214" s="14" t="n">
        <v>1</v>
      </c>
      <c r="EB214" s="14" t="n">
        <v>2</v>
      </c>
      <c r="EC214" s="14" t="n">
        <v>0</v>
      </c>
      <c r="ED214" s="14" t="n">
        <v>0</v>
      </c>
      <c r="EE214" s="14" t="n">
        <v>0</v>
      </c>
      <c r="EF214" s="14" t="n">
        <v>0</v>
      </c>
      <c r="EG214" s="14" t="n">
        <v>0</v>
      </c>
      <c r="EH214" s="14" t="n">
        <v>0</v>
      </c>
      <c r="EI214" s="14" t="n">
        <v>0</v>
      </c>
      <c r="EJ214" s="14" t="n">
        <v>6</v>
      </c>
      <c r="EK214" s="14" t="n">
        <v>0</v>
      </c>
      <c r="EL214" s="14" t="n">
        <v>0</v>
      </c>
      <c r="EM214" s="14" t="n">
        <v>0</v>
      </c>
      <c r="EN214" s="14" t="n">
        <v>0</v>
      </c>
      <c r="EO214" s="14" t="n">
        <v>0</v>
      </c>
      <c r="EP214" s="14" t="n">
        <v>0</v>
      </c>
      <c r="EQ214" s="14" t="n">
        <v>0</v>
      </c>
      <c r="ER214" s="14" t="n">
        <v>0</v>
      </c>
      <c r="ES214" s="14" t="n">
        <v>0</v>
      </c>
      <c r="ET214" s="14" t="n">
        <v>0</v>
      </c>
      <c r="EU214" s="14" t="n">
        <v>0</v>
      </c>
      <c r="EV214" s="14" t="n">
        <v>0</v>
      </c>
      <c r="EW214" s="14" t="n">
        <v>0</v>
      </c>
      <c r="EX214" s="14" t="n">
        <v>0</v>
      </c>
      <c r="EY214" s="14" t="n">
        <v>0</v>
      </c>
      <c r="EZ214" s="14" t="n">
        <v>0</v>
      </c>
      <c r="FA214" s="14" t="n">
        <v>0</v>
      </c>
      <c r="FB214" s="14" t="n">
        <v>0</v>
      </c>
      <c r="FC214" s="14" t="n">
        <v>0</v>
      </c>
      <c r="FD214" s="14" t="n">
        <v>0</v>
      </c>
      <c r="FE214" s="14" t="n">
        <v>0</v>
      </c>
      <c r="FF214" s="14" t="n">
        <v>0</v>
      </c>
      <c r="FG214" s="15">
        <f>SUM(DW214,DX214,DY214,DZ214,EA214,EB214,EC214,ED214,EE214,EF214,EG214,EH214,EI214,EJ214,EK214,EL214,EM214,EN214,EO214,EP214,EQ214,ER214,ES214,ET214,EU214,EV214,EW214,EX214,EY214,EZ214,FA214,FB214,FC214,FD214,FE214,FF214)</f>
        <v/>
      </c>
      <c r="FH214" s="14" t="n">
        <v>0</v>
      </c>
      <c r="FI214" s="14" t="n">
        <v>0</v>
      </c>
      <c r="FJ214" s="14" t="n">
        <v>0</v>
      </c>
      <c r="FK214" s="14" t="n">
        <v>0</v>
      </c>
      <c r="FL214" s="14" t="n">
        <v>0</v>
      </c>
      <c r="FM214" s="14" t="n">
        <v>0</v>
      </c>
      <c r="FN214" s="14" t="n">
        <v>0</v>
      </c>
      <c r="FO214" s="14" t="n">
        <v>0</v>
      </c>
      <c r="FP214" s="14" t="n">
        <v>0</v>
      </c>
      <c r="FQ214" s="15">
        <f>FL214+FM214+FN214+FO214+FP214</f>
        <v/>
      </c>
      <c r="FR214" s="14" t="n">
        <v>331262</v>
      </c>
      <c r="FS214" s="14" t="n">
        <v>0</v>
      </c>
      <c r="FT214" s="14" t="n">
        <v>0</v>
      </c>
      <c r="FU214" s="14" t="n">
        <v>0</v>
      </c>
      <c r="FV214" s="15">
        <f>FR214+FS214+FT214+FU214</f>
        <v/>
      </c>
      <c r="FW214" s="14" t="n">
        <v>7251628</v>
      </c>
      <c r="FX214" s="14" t="n">
        <v>104400</v>
      </c>
      <c r="FY214" s="14" t="n">
        <v>722828</v>
      </c>
      <c r="FZ214" s="14" t="n">
        <v>136818</v>
      </c>
      <c r="GA214" s="15">
        <f>FW214+FX214+FY214+FZ214</f>
        <v/>
      </c>
      <c r="GB214" s="15">
        <f>FV214+GA214</f>
        <v/>
      </c>
      <c r="GC214" s="14" t="n">
        <v>795805.45</v>
      </c>
      <c r="GD214" s="14" t="n">
        <v>0</v>
      </c>
      <c r="GE214" s="14" t="n">
        <v>175836.58</v>
      </c>
      <c r="GF214" s="14" t="n">
        <v>0</v>
      </c>
      <c r="GG214" s="15">
        <f>GC214+GD214+GE214+GF214</f>
        <v/>
      </c>
      <c r="GH214" s="14" t="n">
        <v>7096841.09</v>
      </c>
      <c r="GI214" s="14" t="n">
        <v>96660</v>
      </c>
      <c r="GJ214" s="14" t="n">
        <v>131118.2</v>
      </c>
      <c r="GK214" s="14" t="n">
        <v>720008.09</v>
      </c>
      <c r="GL214" s="15">
        <f>GH214+GI214+GJ214+GK214</f>
        <v/>
      </c>
      <c r="GM214" s="15">
        <f>GG214+GL214</f>
        <v/>
      </c>
      <c r="GN214" s="14" t="n">
        <v>62960.69</v>
      </c>
      <c r="GO214" s="14" t="n">
        <v>0</v>
      </c>
      <c r="GP214" s="14" t="n">
        <v>6787.28</v>
      </c>
      <c r="GQ214" s="14" t="n">
        <v>0</v>
      </c>
      <c r="GR214" s="15">
        <f>GN214+GO214+GP214+GQ214</f>
        <v/>
      </c>
      <c r="GS214" s="14" t="n">
        <v>99123</v>
      </c>
      <c r="GT214" s="14" t="n">
        <v>0</v>
      </c>
      <c r="GU214" s="14" t="n">
        <v>1786</v>
      </c>
      <c r="GV214" s="14" t="n">
        <v>0</v>
      </c>
      <c r="GW214" s="15">
        <f>GS214+GT214+GU214+GV214</f>
        <v/>
      </c>
      <c r="GX214" s="15">
        <f>GM214+GR214+GW214</f>
        <v/>
      </c>
      <c r="GY214" s="14" t="n">
        <v>2460341.13</v>
      </c>
      <c r="GZ214" s="14" t="n">
        <v>635141.8100000001</v>
      </c>
      <c r="HA214" s="15">
        <f>GY214+GZ214</f>
        <v/>
      </c>
      <c r="HB214" s="15">
        <f>IF(GX214=0,"",AU214/GX214)</f>
        <v/>
      </c>
      <c r="HC214" s="16">
        <f>IF((GX214+GY214)=0,"",GB214/(GX214+GY214))</f>
        <v/>
      </c>
      <c r="HD214" s="15">
        <f>IF(GX214=0,"",GB214/GX214)</f>
        <v/>
      </c>
      <c r="HE214" s="14" t="n">
        <v>7</v>
      </c>
      <c r="HF214" s="14" t="n">
        <v>2</v>
      </c>
      <c r="HG214" s="14" t="n">
        <v>29</v>
      </c>
      <c r="HH214" s="14" t="n">
        <v>7</v>
      </c>
      <c r="HI214" s="14" t="n">
        <v>45</v>
      </c>
      <c r="HJ214" s="15">
        <f>HF214+HI214</f>
        <v/>
      </c>
      <c r="HK214" s="16">
        <f>IF(HE214=0,"",HH214/HE214)</f>
        <v/>
      </c>
      <c r="HL214" s="14" t="n">
        <v>10</v>
      </c>
      <c r="HM214" s="14" t="n">
        <v>18</v>
      </c>
      <c r="HN214" s="17">
        <f>IF(HL214=0,"",HM214/HL214)</f>
        <v/>
      </c>
    </row>
    <row r="215">
      <c r="A215" s="6" t="inlineStr">
        <is>
          <t>Ngabu</t>
        </is>
      </c>
      <c r="B215" s="6" t="inlineStr">
        <is>
          <t>Bangula</t>
        </is>
      </c>
      <c r="C215" s="7" t="inlineStr">
        <is>
          <t>FY2025/26</t>
        </is>
      </c>
      <c r="D215" s="7" t="n">
        <v>2025</v>
      </c>
      <c r="E215" s="7" t="n">
        <v>12</v>
      </c>
      <c r="F215" s="7" t="inlineStr">
        <is>
          <t>December</t>
        </is>
      </c>
      <c r="G215" s="7" t="inlineStr">
        <is>
          <t>Q3</t>
        </is>
      </c>
      <c r="H215" s="8" t="n">
        <v>8167</v>
      </c>
      <c r="I215" s="8" t="n">
        <v>701</v>
      </c>
      <c r="J215" s="8" t="n">
        <v>0</v>
      </c>
      <c r="K215" s="8" t="n">
        <v>56</v>
      </c>
      <c r="L215" s="8" t="n">
        <v>0</v>
      </c>
      <c r="M215" s="9">
        <f>SUM(I215,J215,K215,L215)</f>
        <v/>
      </c>
      <c r="N215" s="8" t="n">
        <v>5020</v>
      </c>
      <c r="O215" s="8" t="n">
        <v>302</v>
      </c>
      <c r="P215" s="8" t="n">
        <v>265</v>
      </c>
      <c r="Q215" s="8" t="n">
        <v>74</v>
      </c>
      <c r="R215" s="9">
        <f>SUM(N215,O215,P215,Q215)</f>
        <v/>
      </c>
      <c r="S215" s="9">
        <f>M215+R215</f>
        <v/>
      </c>
      <c r="T215" s="8" t="n">
        <v>1749</v>
      </c>
      <c r="U215" s="10">
        <f>IF(H215=0,"",T215/H215)</f>
        <v/>
      </c>
      <c r="V215" s="8" t="n">
        <v>10</v>
      </c>
      <c r="W215" s="11">
        <f>IF(H215=0,"",V215/H215)</f>
        <v/>
      </c>
      <c r="X215" s="8" t="n">
        <v>0</v>
      </c>
      <c r="Y215" s="11">
        <f>IF(H215=0,"",X215/H215)</f>
        <v/>
      </c>
      <c r="Z215" s="8" t="n">
        <v>0</v>
      </c>
      <c r="AA215" s="11">
        <f>IF(H215=0,"",Z215/H215)</f>
        <v/>
      </c>
      <c r="AB215" s="8" t="n">
        <v>0</v>
      </c>
      <c r="AC215" s="11">
        <f>IF(H215=0,"",AB215/H215)</f>
        <v/>
      </c>
      <c r="AD215" s="8" t="n">
        <v>0</v>
      </c>
      <c r="AE215" s="11">
        <f>IF(H215=0,"",AD215/H215)</f>
        <v/>
      </c>
      <c r="AF215" s="8" t="n">
        <v>0</v>
      </c>
      <c r="AG215" s="11">
        <f>IF(H215=0,"",AF215/H215)</f>
        <v/>
      </c>
      <c r="AH215" s="8" t="n">
        <v>35252.9</v>
      </c>
      <c r="AI215" s="9">
        <f>IF(H215=0,"",AH215/H215)</f>
        <v/>
      </c>
      <c r="AJ215" s="8" t="n">
        <v>2155.4</v>
      </c>
      <c r="AK215" s="11">
        <f>IF(H215=0,"",AJ215/H215)</f>
        <v/>
      </c>
      <c r="AL215" s="8" t="n">
        <v>315491.4831</v>
      </c>
      <c r="AM215" s="9">
        <f>IF(H215=0,"",AL215/H215)</f>
        <v/>
      </c>
      <c r="AN215" s="8" t="n">
        <v>0</v>
      </c>
      <c r="AO215" s="8" t="n">
        <v>0</v>
      </c>
      <c r="AP215" s="8" t="n">
        <v>0</v>
      </c>
      <c r="AQ215" s="8" t="n">
        <v>0</v>
      </c>
      <c r="AR215" s="8" t="n">
        <v>0</v>
      </c>
      <c r="AS215" s="8" t="n">
        <v>0</v>
      </c>
      <c r="AT215" s="8" t="n">
        <v>0</v>
      </c>
      <c r="AU215" s="9">
        <f>AH215+AL215+AP215+AQ215+AR215+AS215+AT215</f>
        <v/>
      </c>
      <c r="AV215" s="9">
        <f>IF(H215=0,"",AU215/H215)</f>
        <v/>
      </c>
      <c r="AW215" s="9">
        <f>IF(S215=0,"",AU215/S215)</f>
        <v/>
      </c>
      <c r="AX215" s="8" t="n">
        <v>2</v>
      </c>
      <c r="AY215" s="9">
        <f>IF(H215=0,"",AX215/(H215/1000/12))</f>
        <v/>
      </c>
      <c r="AZ215" s="8" t="n">
        <v>8</v>
      </c>
      <c r="BA215" s="8" t="n">
        <v>29</v>
      </c>
      <c r="BB215" s="8" t="n">
        <v>10</v>
      </c>
      <c r="BC215" s="8" t="n">
        <v>9</v>
      </c>
      <c r="BD215" s="8" t="n">
        <v>0</v>
      </c>
      <c r="BE215" s="9">
        <f>BC215+BD215</f>
        <v/>
      </c>
      <c r="BF215" s="9">
        <f>BA215+BB215-BE215</f>
        <v/>
      </c>
      <c r="BG215" s="8" t="n">
        <v>0</v>
      </c>
      <c r="BH215" s="8" t="n">
        <v>0</v>
      </c>
      <c r="BI215" s="8" t="n">
        <v>0</v>
      </c>
      <c r="BJ215" s="8" t="n">
        <v>0</v>
      </c>
      <c r="BK215" s="9">
        <f>BI215+BJ215</f>
        <v/>
      </c>
      <c r="BL215" s="9">
        <f>BG215+BH215-BK215</f>
        <v/>
      </c>
      <c r="BM215" s="8" t="n">
        <v>0</v>
      </c>
      <c r="BN215" s="8" t="n">
        <v>0</v>
      </c>
      <c r="BO215" s="8" t="n">
        <v>0</v>
      </c>
      <c r="BP215" s="8" t="n">
        <v>0</v>
      </c>
      <c r="BQ215" s="9">
        <f>BO215+BP215</f>
        <v/>
      </c>
      <c r="BR215" s="9">
        <f>BM215+BN215-BQ215</f>
        <v/>
      </c>
      <c r="BS215" s="8" t="n">
        <v>0</v>
      </c>
      <c r="BT215" s="8" t="n">
        <v>0</v>
      </c>
      <c r="BU215" s="8" t="n">
        <v>0</v>
      </c>
      <c r="BV215" s="8" t="n">
        <v>0</v>
      </c>
      <c r="BW215" s="9">
        <f>BU215+BV215</f>
        <v/>
      </c>
      <c r="BX215" s="9">
        <f>BS215+BT215-BW215</f>
        <v/>
      </c>
      <c r="BY215" s="9">
        <f>BA215+BG215+BM215+BS215</f>
        <v/>
      </c>
      <c r="BZ215" s="9">
        <f>BB215+BH215+BN215+BT215</f>
        <v/>
      </c>
      <c r="CA215" s="9">
        <f>BE215+BK215+BQ215+BW215</f>
        <v/>
      </c>
      <c r="CB215" s="9">
        <f>BF215+BL215+BR215+BX215</f>
        <v/>
      </c>
      <c r="CC215" s="8" t="n">
        <v>0</v>
      </c>
      <c r="CD215" s="8" t="n">
        <v>231</v>
      </c>
      <c r="CE215" s="8" t="n">
        <v>18</v>
      </c>
      <c r="CF215" s="8" t="n">
        <v>13</v>
      </c>
      <c r="CG215" s="8" t="n">
        <v>9</v>
      </c>
      <c r="CH215" s="9">
        <f>CD215+CE215+CF215+CG215</f>
        <v/>
      </c>
      <c r="CI215" s="8" t="n">
        <v>144</v>
      </c>
      <c r="CJ215" s="8" t="n">
        <v>0</v>
      </c>
      <c r="CK215" s="8" t="n">
        <v>0</v>
      </c>
      <c r="CL215" s="8" t="n">
        <v>1</v>
      </c>
      <c r="CM215" s="9">
        <f>CI215+CJ215+CK215+CL215</f>
        <v/>
      </c>
      <c r="CN215" s="8" t="n">
        <v>733</v>
      </c>
      <c r="CO215" s="8" t="n">
        <v>35</v>
      </c>
      <c r="CP215" s="8" t="n">
        <v>25</v>
      </c>
      <c r="CQ215" s="8" t="n">
        <v>18</v>
      </c>
      <c r="CR215" s="9">
        <f>CN215+CO215+CP215+CQ215</f>
        <v/>
      </c>
      <c r="CS215" s="9">
        <f>CM215+CR215</f>
        <v/>
      </c>
      <c r="CT215" s="8" t="n">
        <v>1227</v>
      </c>
      <c r="CU215" s="8" t="n">
        <v>11796.2080745173</v>
      </c>
      <c r="CV215" s="8" t="n">
        <v>7456</v>
      </c>
      <c r="CW215" s="10">
        <f>IF(CU215=0,"",CV215/CU215)</f>
        <v/>
      </c>
      <c r="CX215" s="8" t="n">
        <v>0</v>
      </c>
      <c r="CY215" s="8" t="n"/>
      <c r="CZ215" s="8" t="n"/>
      <c r="DA215" s="8" t="n"/>
      <c r="DB215" s="9">
        <f>CX215+CY215-CZ215-DA215</f>
        <v/>
      </c>
      <c r="DC215" s="8" t="n">
        <v>0</v>
      </c>
      <c r="DD215" s="8" t="n">
        <v>0</v>
      </c>
      <c r="DE215" s="8" t="n">
        <v>0</v>
      </c>
      <c r="DF215" s="8" t="n">
        <v>0</v>
      </c>
      <c r="DG215" s="9">
        <f>DC215+DD215-DE215-DF215</f>
        <v/>
      </c>
      <c r="DH215" s="8" t="n">
        <v>0</v>
      </c>
      <c r="DI215" s="8" t="n">
        <v>0</v>
      </c>
      <c r="DJ215" s="8" t="n">
        <v>0</v>
      </c>
      <c r="DK215" s="8" t="n">
        <v>0</v>
      </c>
      <c r="DL215" s="9">
        <f>DH215+DI215-DJ215-DK215</f>
        <v/>
      </c>
      <c r="DM215" s="8" t="n">
        <v>0</v>
      </c>
      <c r="DN215" s="8" t="n">
        <v>0</v>
      </c>
      <c r="DO215" s="8" t="n">
        <v>0</v>
      </c>
      <c r="DP215" s="8" t="n">
        <v>0</v>
      </c>
      <c r="DQ215" s="9">
        <f>DM215+DN215-DO215-DP215</f>
        <v/>
      </c>
      <c r="DR215" s="9">
        <f>CX215+DC215+DH215+DM215</f>
        <v/>
      </c>
      <c r="DS215" s="9">
        <f>CY215+DD215+DI215+DN215</f>
        <v/>
      </c>
      <c r="DT215" s="9">
        <f>CZ215+DE215+DJ215+DO215</f>
        <v/>
      </c>
      <c r="DU215" s="9">
        <f>DA215+DF215+DK215+DP215</f>
        <v/>
      </c>
      <c r="DV215" s="9">
        <f>DB215+DG215+DL215+DQ215</f>
        <v/>
      </c>
      <c r="DW215" s="8" t="n">
        <v>10</v>
      </c>
      <c r="DX215" s="8" t="n">
        <v>2</v>
      </c>
      <c r="DY215" s="8" t="n">
        <v>1</v>
      </c>
      <c r="DZ215" s="8" t="n">
        <v>3</v>
      </c>
      <c r="EA215" s="8" t="n">
        <v>0</v>
      </c>
      <c r="EB215" s="8" t="n">
        <v>2</v>
      </c>
      <c r="EC215" s="8" t="n">
        <v>0</v>
      </c>
      <c r="ED215" s="8" t="n">
        <v>0</v>
      </c>
      <c r="EE215" s="8" t="n">
        <v>1</v>
      </c>
      <c r="EF215" s="8" t="n">
        <v>0</v>
      </c>
      <c r="EG215" s="8" t="n">
        <v>0</v>
      </c>
      <c r="EH215" s="8" t="n">
        <v>0</v>
      </c>
      <c r="EI215" s="8" t="n">
        <v>0</v>
      </c>
      <c r="EJ215" s="8" t="n">
        <v>5</v>
      </c>
      <c r="EK215" s="8" t="n">
        <v>0</v>
      </c>
      <c r="EL215" s="8" t="n">
        <v>0</v>
      </c>
      <c r="EM215" s="8" t="n">
        <v>0</v>
      </c>
      <c r="EN215" s="8" t="n">
        <v>0</v>
      </c>
      <c r="EO215" s="8" t="n">
        <v>0</v>
      </c>
      <c r="EP215" s="8" t="n">
        <v>0</v>
      </c>
      <c r="EQ215" s="8" t="n">
        <v>0</v>
      </c>
      <c r="ER215" s="8" t="n">
        <v>0</v>
      </c>
      <c r="ES215" s="8" t="n">
        <v>0</v>
      </c>
      <c r="ET215" s="8" t="n">
        <v>0</v>
      </c>
      <c r="EU215" s="8" t="n">
        <v>0</v>
      </c>
      <c r="EV215" s="8" t="n">
        <v>0</v>
      </c>
      <c r="EW215" s="8" t="n">
        <v>0</v>
      </c>
      <c r="EX215" s="8" t="n">
        <v>0</v>
      </c>
      <c r="EY215" s="8" t="n">
        <v>0</v>
      </c>
      <c r="EZ215" s="8" t="n">
        <v>0</v>
      </c>
      <c r="FA215" s="8" t="n">
        <v>0</v>
      </c>
      <c r="FB215" s="8" t="n">
        <v>0</v>
      </c>
      <c r="FC215" s="8" t="n">
        <v>0</v>
      </c>
      <c r="FD215" s="8" t="n">
        <v>0</v>
      </c>
      <c r="FE215" s="8" t="n">
        <v>0</v>
      </c>
      <c r="FF215" s="8" t="n">
        <v>0</v>
      </c>
      <c r="FG215" s="9">
        <f>SUM(DW215,DX215,DY215,DZ215,EA215,EB215,EC215,ED215,EE215,EF215,EG215,EH215,EI215,EJ215,EK215,EL215,EM215,EN215,EO215,EP215,EQ215,ER215,ES215,ET215,EU215,EV215,EW215,EX215,EY215,EZ215,FA215,FB215,FC215,FD215,FE215,FF215)</f>
        <v/>
      </c>
      <c r="FH215" s="8" t="n">
        <v>0</v>
      </c>
      <c r="FI215" s="8" t="n">
        <v>0</v>
      </c>
      <c r="FJ215" s="8" t="n">
        <v>0</v>
      </c>
      <c r="FK215" s="8" t="n">
        <v>0</v>
      </c>
      <c r="FL215" s="8" t="n">
        <v>0</v>
      </c>
      <c r="FM215" s="8" t="n">
        <v>0</v>
      </c>
      <c r="FN215" s="8" t="n">
        <v>0</v>
      </c>
      <c r="FO215" s="8" t="n">
        <v>0</v>
      </c>
      <c r="FP215" s="8" t="n">
        <v>0</v>
      </c>
      <c r="FQ215" s="9">
        <f>FL215+FM215+FN215+FO215+FP215</f>
        <v/>
      </c>
      <c r="FR215" s="8" t="n">
        <v>1059959</v>
      </c>
      <c r="FS215" s="8" t="n">
        <v>0</v>
      </c>
      <c r="FT215" s="8" t="n">
        <v>0</v>
      </c>
      <c r="FU215" s="8" t="n">
        <v>0</v>
      </c>
      <c r="FV215" s="9">
        <f>FR215+FS215+FT215+FU215</f>
        <v/>
      </c>
      <c r="FW215" s="8" t="n">
        <v>5169531</v>
      </c>
      <c r="FX215" s="8" t="n">
        <v>86700</v>
      </c>
      <c r="FY215" s="8" t="n">
        <v>667400</v>
      </c>
      <c r="FZ215" s="8" t="n">
        <v>642669</v>
      </c>
      <c r="GA215" s="9">
        <f>FW215+FX215+FY215+FZ215</f>
        <v/>
      </c>
      <c r="GB215" s="9">
        <f>FV215+GA215</f>
        <v/>
      </c>
      <c r="GC215" s="8" t="n">
        <v>562433.75</v>
      </c>
      <c r="GD215" s="8" t="n">
        <v>0</v>
      </c>
      <c r="GE215" s="8" t="n">
        <v>182755.52</v>
      </c>
      <c r="GF215" s="8" t="n">
        <v>0</v>
      </c>
      <c r="GG215" s="9">
        <f>GC215+GD215+GE215+GF215</f>
        <v/>
      </c>
      <c r="GH215" s="8" t="n">
        <v>5070433.63</v>
      </c>
      <c r="GI215" s="8" t="n">
        <v>86700</v>
      </c>
      <c r="GJ215" s="8" t="n">
        <v>642669</v>
      </c>
      <c r="GK215" s="8" t="n">
        <v>652100</v>
      </c>
      <c r="GL215" s="9">
        <f>GH215+GI215+GJ215+GK215</f>
        <v/>
      </c>
      <c r="GM215" s="9">
        <f>GG215+GL215</f>
        <v/>
      </c>
      <c r="GN215" s="8" t="n">
        <v>62286.11</v>
      </c>
      <c r="GO215" s="8" t="n">
        <v>0</v>
      </c>
      <c r="GP215" s="8" t="n">
        <v>6787.28</v>
      </c>
      <c r="GQ215" s="8" t="n">
        <v>0</v>
      </c>
      <c r="GR215" s="9">
        <f>GN215+GO215+GP215+GQ215</f>
        <v/>
      </c>
      <c r="GS215" s="8" t="n">
        <v>99123</v>
      </c>
      <c r="GT215" s="8" t="n">
        <v>0</v>
      </c>
      <c r="GU215" s="8" t="n">
        <v>1786</v>
      </c>
      <c r="GV215" s="8" t="n">
        <v>0</v>
      </c>
      <c r="GW215" s="9">
        <f>GS215+GT215+GU215+GV215</f>
        <v/>
      </c>
      <c r="GX215" s="9">
        <f>GM215+GR215+GW215</f>
        <v/>
      </c>
      <c r="GY215" s="8" t="n">
        <v>1685089.6</v>
      </c>
      <c r="GZ215" s="8" t="n">
        <v>191328.8</v>
      </c>
      <c r="HA215" s="9">
        <f>GY215+GZ215</f>
        <v/>
      </c>
      <c r="HB215" s="9">
        <f>IF(GX215=0,"",AU215/GX215)</f>
        <v/>
      </c>
      <c r="HC215" s="10">
        <f>IF((GX215+GY215)=0,"",GB215/(GX215+GY215))</f>
        <v/>
      </c>
      <c r="HD215" s="9">
        <f>IF(GX215=0,"",GB215/GX215)</f>
        <v/>
      </c>
      <c r="HE215" s="8" t="n">
        <v>10</v>
      </c>
      <c r="HF215" s="8" t="n">
        <v>2</v>
      </c>
      <c r="HG215" s="8" t="n">
        <v>30</v>
      </c>
      <c r="HH215" s="8" t="n">
        <v>10</v>
      </c>
      <c r="HI215" s="8" t="n">
        <v>42</v>
      </c>
      <c r="HJ215" s="9">
        <f>HF215+HI215</f>
        <v/>
      </c>
      <c r="HK215" s="10">
        <f>IF(HE215=0,"",HH215/HE215)</f>
        <v/>
      </c>
      <c r="HL215" s="8" t="n">
        <v>5</v>
      </c>
      <c r="HM215" s="8" t="n">
        <v>18</v>
      </c>
      <c r="HN215" s="11">
        <f>IF(HL215=0,"",HM215/HL215)</f>
        <v/>
      </c>
    </row>
    <row r="216">
      <c r="A216" s="12" t="inlineStr">
        <is>
          <t>Ngabu</t>
        </is>
      </c>
      <c r="B216" s="12" t="inlineStr">
        <is>
          <t>Bangula</t>
        </is>
      </c>
      <c r="C216" s="13" t="inlineStr">
        <is>
          <t>FY2025/26</t>
        </is>
      </c>
      <c r="D216" s="13" t="n">
        <v>2026</v>
      </c>
      <c r="E216" s="13" t="n">
        <v>1</v>
      </c>
      <c r="F216" s="13" t="inlineStr">
        <is>
          <t>January</t>
        </is>
      </c>
      <c r="G216" s="13" t="inlineStr">
        <is>
          <t>Q4</t>
        </is>
      </c>
      <c r="H216" s="14" t="n">
        <v>7564</v>
      </c>
      <c r="I216" s="14" t="n">
        <v>672</v>
      </c>
      <c r="J216" s="14" t="n">
        <v>0</v>
      </c>
      <c r="K216" s="14" t="n">
        <v>52</v>
      </c>
      <c r="L216" s="14" t="n">
        <v>0</v>
      </c>
      <c r="M216" s="15" t="n">
        <v>724</v>
      </c>
      <c r="N216" s="14" t="n">
        <v>4960</v>
      </c>
      <c r="O216" s="14" t="n">
        <v>323</v>
      </c>
      <c r="P216" s="14" t="n">
        <v>55</v>
      </c>
      <c r="Q216" s="14" t="n">
        <v>114</v>
      </c>
      <c r="R216" s="15" t="n">
        <v>5452</v>
      </c>
      <c r="S216" s="15" t="n">
        <v>6176</v>
      </c>
      <c r="T216" s="14" t="n">
        <v>1388</v>
      </c>
      <c r="U216" s="16" t="n">
        <v>0.1835007932310947</v>
      </c>
      <c r="V216" s="14" t="n">
        <v>10</v>
      </c>
      <c r="W216" s="17" t="n">
        <v>1.322051824431518</v>
      </c>
      <c r="X216" s="14" t="n">
        <v>0</v>
      </c>
      <c r="Y216" s="17" t="n">
        <v>0</v>
      </c>
      <c r="Z216" s="14" t="n">
        <v>0</v>
      </c>
      <c r="AA216" s="17" t="n">
        <v>0</v>
      </c>
      <c r="AB216" s="14" t="n">
        <v>0</v>
      </c>
      <c r="AC216" s="17" t="n">
        <v>0</v>
      </c>
      <c r="AD216" s="14" t="n">
        <v>0</v>
      </c>
      <c r="AE216" s="17" t="n">
        <v>0</v>
      </c>
      <c r="AF216" s="14" t="n">
        <v>0</v>
      </c>
      <c r="AG216" s="17" t="n">
        <v>0</v>
      </c>
      <c r="AH216" s="14" t="n">
        <v>35252.9</v>
      </c>
      <c r="AI216" s="15" t="n">
        <v>4.660616076150185</v>
      </c>
      <c r="AJ216" s="14" t="n">
        <v>2061</v>
      </c>
      <c r="AK216" s="17" t="n">
        <v>0.2724748810153358</v>
      </c>
      <c r="AL216" s="14" t="n">
        <v>302393.3415</v>
      </c>
      <c r="AM216" s="15" t="n">
        <v>39.9779668826018</v>
      </c>
      <c r="AN216" s="14" t="n">
        <v>0</v>
      </c>
      <c r="AO216" s="14" t="n">
        <v>0</v>
      </c>
      <c r="AP216" s="14" t="n">
        <v>0</v>
      </c>
      <c r="AQ216" s="14" t="n">
        <v>0</v>
      </c>
      <c r="AR216" s="14" t="n">
        <v>0</v>
      </c>
      <c r="AS216" s="14" t="n">
        <v>0</v>
      </c>
      <c r="AT216" s="14" t="n">
        <v>0</v>
      </c>
      <c r="AU216" s="15" t="n">
        <v>337646.2415</v>
      </c>
      <c r="AV216" s="15" t="n">
        <v>44.63858295875198</v>
      </c>
      <c r="AW216" s="15" t="n">
        <v>54.67069972474093</v>
      </c>
      <c r="AX216" s="14" t="n">
        <v>2</v>
      </c>
      <c r="AY216" s="15" t="n">
        <v>8.196721311475409</v>
      </c>
      <c r="AZ216" s="14" t="n">
        <v>8</v>
      </c>
      <c r="BA216" s="14" t="n">
        <v>30</v>
      </c>
      <c r="BB216" s="14" t="n">
        <v>7</v>
      </c>
      <c r="BC216" s="14" t="n">
        <v>7</v>
      </c>
      <c r="BD216" s="14" t="n">
        <v>0</v>
      </c>
      <c r="BE216" s="15" t="n">
        <v>7</v>
      </c>
      <c r="BF216" s="15" t="n">
        <v>30</v>
      </c>
      <c r="BG216" s="14" t="n">
        <v>0</v>
      </c>
      <c r="BH216" s="14" t="n">
        <v>0</v>
      </c>
      <c r="BI216" s="14" t="n">
        <v>0</v>
      </c>
      <c r="BJ216" s="14" t="n">
        <v>0</v>
      </c>
      <c r="BK216" s="15" t="n">
        <v>0</v>
      </c>
      <c r="BL216" s="15" t="n">
        <v>0</v>
      </c>
      <c r="BM216" s="14" t="n">
        <v>0</v>
      </c>
      <c r="BN216" s="14" t="n">
        <v>0</v>
      </c>
      <c r="BO216" s="14" t="n">
        <v>0</v>
      </c>
      <c r="BP216" s="14" t="n">
        <v>0</v>
      </c>
      <c r="BQ216" s="15" t="n">
        <v>0</v>
      </c>
      <c r="BR216" s="15" t="n">
        <v>0</v>
      </c>
      <c r="BS216" s="14" t="n">
        <v>0</v>
      </c>
      <c r="BT216" s="14" t="n">
        <v>0</v>
      </c>
      <c r="BU216" s="14" t="n">
        <v>0</v>
      </c>
      <c r="BV216" s="14" t="n">
        <v>0</v>
      </c>
      <c r="BW216" s="15" t="n">
        <v>0</v>
      </c>
      <c r="BX216" s="15" t="n">
        <v>0</v>
      </c>
      <c r="BY216" s="15" t="n">
        <v>30</v>
      </c>
      <c r="BZ216" s="15" t="n">
        <v>7</v>
      </c>
      <c r="CA216" s="15" t="n">
        <v>7</v>
      </c>
      <c r="CB216" s="15" t="n">
        <v>30</v>
      </c>
      <c r="CC216" s="14" t="n">
        <v>0</v>
      </c>
      <c r="CD216" s="14" t="n">
        <v>226</v>
      </c>
      <c r="CE216" s="14" t="n">
        <v>18</v>
      </c>
      <c r="CF216" s="14" t="n">
        <v>13</v>
      </c>
      <c r="CG216" s="14" t="n">
        <v>8</v>
      </c>
      <c r="CH216" s="15" t="n">
        <v>265</v>
      </c>
      <c r="CI216" s="14" t="n">
        <v>144</v>
      </c>
      <c r="CJ216" s="14" t="n">
        <v>0</v>
      </c>
      <c r="CK216" s="14" t="n">
        <v>0</v>
      </c>
      <c r="CL216" s="14" t="n">
        <v>1</v>
      </c>
      <c r="CM216" s="15" t="n">
        <v>145</v>
      </c>
      <c r="CN216" s="14" t="n">
        <v>763</v>
      </c>
      <c r="CO216" s="14" t="n">
        <v>35</v>
      </c>
      <c r="CP216" s="14" t="n">
        <v>25</v>
      </c>
      <c r="CQ216" s="14" t="n">
        <v>18</v>
      </c>
      <c r="CR216" s="15" t="n">
        <v>841</v>
      </c>
      <c r="CS216" s="15" t="n">
        <v>986</v>
      </c>
      <c r="CT216" s="14" t="n">
        <v>1251</v>
      </c>
      <c r="CU216" s="14" t="n">
        <v>11816.26162824402</v>
      </c>
      <c r="CV216" s="14" t="n">
        <v>7456</v>
      </c>
      <c r="CW216" s="16" t="n">
        <v>0.6309948302243216</v>
      </c>
      <c r="CX216" s="14" t="n">
        <v>0</v>
      </c>
      <c r="CY216" s="14" t="n">
        <v>0</v>
      </c>
      <c r="CZ216" s="14" t="n">
        <v>0</v>
      </c>
      <c r="DA216" s="14" t="n">
        <v>0</v>
      </c>
      <c r="DB216" s="15" t="n">
        <v>0</v>
      </c>
      <c r="DC216" s="14" t="n">
        <v>0</v>
      </c>
      <c r="DD216" s="14" t="n">
        <v>0</v>
      </c>
      <c r="DE216" s="14" t="n">
        <v>0</v>
      </c>
      <c r="DF216" s="14" t="n">
        <v>0</v>
      </c>
      <c r="DG216" s="15" t="n">
        <v>0</v>
      </c>
      <c r="DH216" s="14" t="n">
        <v>0</v>
      </c>
      <c r="DI216" s="14" t="n">
        <v>0</v>
      </c>
      <c r="DJ216" s="14" t="n">
        <v>0</v>
      </c>
      <c r="DK216" s="14" t="n">
        <v>0</v>
      </c>
      <c r="DL216" s="15" t="n">
        <v>0</v>
      </c>
      <c r="DM216" s="14" t="n">
        <v>0</v>
      </c>
      <c r="DN216" s="14" t="n">
        <v>0</v>
      </c>
      <c r="DO216" s="14" t="n">
        <v>0</v>
      </c>
      <c r="DP216" s="14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4" t="n">
        <v>20</v>
      </c>
      <c r="DX216" s="14" t="n">
        <v>5</v>
      </c>
      <c r="DY216" s="14" t="n">
        <v>4</v>
      </c>
      <c r="DZ216" s="14" t="n">
        <v>2</v>
      </c>
      <c r="EA216" s="14" t="n">
        <v>0</v>
      </c>
      <c r="EB216" s="14" t="n">
        <v>2</v>
      </c>
      <c r="EC216" s="14" t="n">
        <v>0</v>
      </c>
      <c r="ED216" s="14" t="n">
        <v>0</v>
      </c>
      <c r="EE216" s="14" t="n">
        <v>0</v>
      </c>
      <c r="EF216" s="14" t="n">
        <v>0</v>
      </c>
      <c r="EG216" s="14" t="n">
        <v>0</v>
      </c>
      <c r="EH216" s="14" t="n">
        <v>0</v>
      </c>
      <c r="EI216" s="14" t="n">
        <v>0</v>
      </c>
      <c r="EJ216" s="14" t="n">
        <v>5</v>
      </c>
      <c r="EK216" s="14" t="n">
        <v>0</v>
      </c>
      <c r="EL216" s="14" t="n">
        <v>0</v>
      </c>
      <c r="EM216" s="14" t="n">
        <v>0</v>
      </c>
      <c r="EN216" s="14" t="n">
        <v>0</v>
      </c>
      <c r="EO216" s="14" t="n">
        <v>0</v>
      </c>
      <c r="EP216" s="14" t="n">
        <v>0</v>
      </c>
      <c r="EQ216" s="14" t="n">
        <v>0</v>
      </c>
      <c r="ER216" s="14" t="n">
        <v>0</v>
      </c>
      <c r="ES216" s="14" t="n">
        <v>0</v>
      </c>
      <c r="ET216" s="14" t="n">
        <v>0</v>
      </c>
      <c r="EU216" s="14" t="n">
        <v>0</v>
      </c>
      <c r="EV216" s="14" t="n">
        <v>0</v>
      </c>
      <c r="EW216" s="14" t="n">
        <v>0</v>
      </c>
      <c r="EX216" s="14" t="n">
        <v>0</v>
      </c>
      <c r="EY216" s="14" t="n">
        <v>0</v>
      </c>
      <c r="EZ216" s="14" t="n">
        <v>0</v>
      </c>
      <c r="FA216" s="14" t="n">
        <v>0</v>
      </c>
      <c r="FB216" s="14" t="n">
        <v>0</v>
      </c>
      <c r="FC216" s="14" t="n">
        <v>0</v>
      </c>
      <c r="FD216" s="14" t="n">
        <v>0</v>
      </c>
      <c r="FE216" s="14" t="n">
        <v>0</v>
      </c>
      <c r="FF216" s="14" t="n">
        <v>0</v>
      </c>
      <c r="FG216" s="15" t="n">
        <v>38</v>
      </c>
      <c r="FH216" s="14" t="n">
        <v>0</v>
      </c>
      <c r="FI216" s="14" t="n">
        <v>0</v>
      </c>
      <c r="FJ216" s="14" t="n">
        <v>0</v>
      </c>
      <c r="FK216" s="14" t="n">
        <v>0</v>
      </c>
      <c r="FL216" s="14" t="n">
        <v>0</v>
      </c>
      <c r="FM216" s="14" t="n">
        <v>0</v>
      </c>
      <c r="FN216" s="14" t="n">
        <v>0</v>
      </c>
      <c r="FO216" s="14" t="n">
        <v>0</v>
      </c>
      <c r="FP216" s="14" t="n">
        <v>0</v>
      </c>
      <c r="FQ216" s="15" t="n">
        <v>0</v>
      </c>
      <c r="FR216" s="14" t="n">
        <v>376235.89</v>
      </c>
      <c r="FS216" s="14" t="n">
        <v>0</v>
      </c>
      <c r="FT216" s="14" t="n">
        <v>0</v>
      </c>
      <c r="FU216" s="14" t="n">
        <v>0</v>
      </c>
      <c r="FV216" s="15" t="n">
        <v>376235.89</v>
      </c>
      <c r="FW216" s="14" t="n">
        <v>5528122</v>
      </c>
      <c r="FX216" s="14" t="n">
        <v>97500</v>
      </c>
      <c r="FY216" s="14" t="n">
        <v>761170</v>
      </c>
      <c r="FZ216" s="14" t="n">
        <v>15990750</v>
      </c>
      <c r="GA216" s="15" t="n">
        <v>22377542</v>
      </c>
      <c r="GB216" s="15" t="n">
        <v>22753777.89</v>
      </c>
      <c r="GC216" s="14" t="n">
        <v>641431.5</v>
      </c>
      <c r="GD216" s="14" t="n">
        <v>0</v>
      </c>
      <c r="GE216" s="14" t="n">
        <v>158160.82</v>
      </c>
      <c r="GF216" s="14" t="n">
        <v>0</v>
      </c>
      <c r="GG216" s="15" t="n">
        <v>799592.3200000001</v>
      </c>
      <c r="GH216" s="14" t="n">
        <v>5528122</v>
      </c>
      <c r="GI216" s="14" t="n">
        <v>97500</v>
      </c>
      <c r="GJ216" s="14" t="n">
        <v>15990750</v>
      </c>
      <c r="GK216" s="14" t="n">
        <v>761170</v>
      </c>
      <c r="GL216" s="15" t="n">
        <v>22377542</v>
      </c>
      <c r="GM216" s="15" t="n">
        <v>23177134.32</v>
      </c>
      <c r="GN216" s="14" t="n">
        <v>62831.04</v>
      </c>
      <c r="GO216" s="14" t="n">
        <v>0</v>
      </c>
      <c r="GP216" s="14" t="n">
        <v>6787.28</v>
      </c>
      <c r="GQ216" s="14" t="n">
        <v>0</v>
      </c>
      <c r="GR216" s="15" t="n">
        <v>69618.32000000001</v>
      </c>
      <c r="GS216" s="14" t="n">
        <v>99016</v>
      </c>
      <c r="GT216" s="14" t="n">
        <v>0</v>
      </c>
      <c r="GU216" s="14" t="n">
        <v>1786</v>
      </c>
      <c r="GV216" s="14" t="n">
        <v>0</v>
      </c>
      <c r="GW216" s="15" t="n">
        <v>100802</v>
      </c>
      <c r="GX216" s="15" t="n">
        <v>23347554.64</v>
      </c>
      <c r="GY216" s="14" t="n">
        <v>2001523.21</v>
      </c>
      <c r="GZ216" s="14" t="n">
        <v>348062.9</v>
      </c>
      <c r="HA216" s="15" t="n">
        <v>2349586.11</v>
      </c>
      <c r="HB216" s="15" t="n">
        <v>23347554.64</v>
      </c>
      <c r="HC216" s="16" t="n">
        <v>2001523.21</v>
      </c>
      <c r="HD216" s="15" t="n">
        <v>348062.9</v>
      </c>
      <c r="HE216" s="14" t="n">
        <v>7</v>
      </c>
      <c r="HF216" s="14" t="n">
        <v>2</v>
      </c>
      <c r="HG216" s="14" t="n">
        <v>30</v>
      </c>
      <c r="HH216" s="14" t="n">
        <v>7</v>
      </c>
      <c r="HI216" s="14" t="n">
        <v>41</v>
      </c>
      <c r="HJ216" s="15" t="n">
        <v>5.857142857142857</v>
      </c>
      <c r="HK216" s="16" t="n">
        <v>23.33333333333333</v>
      </c>
      <c r="HL216" s="14" t="n">
        <v>7</v>
      </c>
      <c r="HM216" s="14" t="n">
        <v>18</v>
      </c>
      <c r="HN216" s="17" t="n">
        <v>0.3888888888888889</v>
      </c>
    </row>
    <row r="217">
      <c r="A217" s="6" t="inlineStr">
        <is>
          <t>Ngabu</t>
        </is>
      </c>
      <c r="B217" s="6" t="inlineStr">
        <is>
          <t>Bangula</t>
        </is>
      </c>
      <c r="C217" s="7" t="inlineStr">
        <is>
          <t>FY2025/26</t>
        </is>
      </c>
      <c r="D217" s="7" t="n">
        <v>2026</v>
      </c>
      <c r="E217" s="7" t="n">
        <v>2</v>
      </c>
      <c r="F217" s="7" t="inlineStr">
        <is>
          <t>February</t>
        </is>
      </c>
      <c r="G217" s="7" t="inlineStr">
        <is>
          <t>Q4</t>
        </is>
      </c>
      <c r="H217" s="8" t="n">
        <v>8167</v>
      </c>
      <c r="I217" s="8" t="n">
        <v>701</v>
      </c>
      <c r="J217" s="8" t="n">
        <v>0</v>
      </c>
      <c r="K217" s="8" t="n">
        <v>56</v>
      </c>
      <c r="L217" s="8" t="n">
        <v>0</v>
      </c>
      <c r="M217" s="9">
        <f>SUM(I217,J217,K217,L217)</f>
        <v/>
      </c>
      <c r="N217" s="8" t="n">
        <v>5020</v>
      </c>
      <c r="O217" s="8" t="n">
        <v>302</v>
      </c>
      <c r="P217" s="8" t="n">
        <v>265</v>
      </c>
      <c r="Q217" s="8" t="n">
        <v>74</v>
      </c>
      <c r="R217" s="9">
        <f>SUM(N217,O217,P217,Q217)</f>
        <v/>
      </c>
      <c r="S217" s="9">
        <f>M217+R217</f>
        <v/>
      </c>
      <c r="T217" s="8" t="n">
        <v>1749</v>
      </c>
      <c r="U217" s="10">
        <f>IF(H217=0,"",T217/H217)</f>
        <v/>
      </c>
      <c r="V217" s="8" t="n">
        <v>10</v>
      </c>
      <c r="W217" s="11">
        <f>IF(H217=0,"",V217/H217)</f>
        <v/>
      </c>
      <c r="X217" s="8" t="n">
        <v>0</v>
      </c>
      <c r="Y217" s="11">
        <f>IF(H217=0,"",X217/H217)</f>
        <v/>
      </c>
      <c r="Z217" s="8" t="n">
        <v>0</v>
      </c>
      <c r="AA217" s="11">
        <f>IF(H217=0,"",Z217/H217)</f>
        <v/>
      </c>
      <c r="AB217" s="8" t="n">
        <v>0</v>
      </c>
      <c r="AC217" s="11">
        <f>IF(H217=0,"",AB217/H217)</f>
        <v/>
      </c>
      <c r="AD217" s="8" t="n">
        <v>0</v>
      </c>
      <c r="AE217" s="11">
        <f>IF(H217=0,"",AD217/H217)</f>
        <v/>
      </c>
      <c r="AF217" s="8" t="n">
        <v>0</v>
      </c>
      <c r="AG217" s="11">
        <f>IF(H217=0,"",AF217/H217)</f>
        <v/>
      </c>
      <c r="AH217" s="8" t="n">
        <v>35252.9</v>
      </c>
      <c r="AI217" s="9">
        <f>IF(H217=0,"",AH217/H217)</f>
        <v/>
      </c>
      <c r="AJ217" s="8" t="n">
        <v>2155</v>
      </c>
      <c r="AK217" s="11">
        <f>IF(H217=0,"",AJ217/H217)</f>
        <v/>
      </c>
      <c r="AL217" s="8" t="n">
        <v>315435.9825</v>
      </c>
      <c r="AM217" s="9">
        <f>IF(H217=0,"",AL217/H217)</f>
        <v/>
      </c>
      <c r="AN217" s="8" t="n">
        <v>0</v>
      </c>
      <c r="AO217" s="8" t="n">
        <v>0</v>
      </c>
      <c r="AP217" s="8" t="n">
        <v>0</v>
      </c>
      <c r="AQ217" s="8" t="n">
        <v>0</v>
      </c>
      <c r="AR217" s="8" t="n">
        <v>0</v>
      </c>
      <c r="AS217" s="8" t="n">
        <v>0</v>
      </c>
      <c r="AT217" s="8" t="n">
        <v>0</v>
      </c>
      <c r="AU217" s="9">
        <f>AH217+AL217+AP217+AQ217+AR217+AS217+AT217</f>
        <v/>
      </c>
      <c r="AV217" s="9">
        <f>IF(H217=0,"",AU217/H217)</f>
        <v/>
      </c>
      <c r="AW217" s="9">
        <f>IF(S217=0,"",AU217/S217)</f>
        <v/>
      </c>
      <c r="AX217" s="8" t="n">
        <v>2</v>
      </c>
      <c r="AY217" s="9">
        <f>IF(H217=0,"",AX217/(H217/1000/12))</f>
        <v/>
      </c>
      <c r="AZ217" s="8" t="n">
        <v>8</v>
      </c>
      <c r="BA217" s="8" t="n">
        <v>30</v>
      </c>
      <c r="BB217" s="8" t="n">
        <v>10</v>
      </c>
      <c r="BC217" s="8" t="n">
        <v>9</v>
      </c>
      <c r="BD217" s="8" t="n">
        <v>0</v>
      </c>
      <c r="BE217" s="9">
        <f>BC217+BD217</f>
        <v/>
      </c>
      <c r="BF217" s="9">
        <f>BA217+BB217-BE217</f>
        <v/>
      </c>
      <c r="BG217" s="8" t="n">
        <v>0</v>
      </c>
      <c r="BH217" s="8" t="n">
        <v>0</v>
      </c>
      <c r="BI217" s="8" t="n">
        <v>0</v>
      </c>
      <c r="BJ217" s="8" t="n">
        <v>0</v>
      </c>
      <c r="BK217" s="9">
        <f>BI217+BJ217</f>
        <v/>
      </c>
      <c r="BL217" s="9">
        <f>BG217+BH217-BK217</f>
        <v/>
      </c>
      <c r="BM217" s="8" t="n">
        <v>0</v>
      </c>
      <c r="BN217" s="8" t="n">
        <v>0</v>
      </c>
      <c r="BO217" s="8" t="n">
        <v>0</v>
      </c>
      <c r="BP217" s="8" t="n">
        <v>0</v>
      </c>
      <c r="BQ217" s="9">
        <f>BO217+BP217</f>
        <v/>
      </c>
      <c r="BR217" s="9">
        <f>BM217+BN217-BQ217</f>
        <v/>
      </c>
      <c r="BS217" s="8" t="n">
        <v>0</v>
      </c>
      <c r="BT217" s="8" t="n">
        <v>0</v>
      </c>
      <c r="BU217" s="8" t="n">
        <v>0</v>
      </c>
      <c r="BV217" s="8" t="n">
        <v>0</v>
      </c>
      <c r="BW217" s="9">
        <f>BU217+BV217</f>
        <v/>
      </c>
      <c r="BX217" s="9">
        <f>BS217+BT217-BW217</f>
        <v/>
      </c>
      <c r="BY217" s="9">
        <f>BA217+BG217+BM217+BS217</f>
        <v/>
      </c>
      <c r="BZ217" s="9">
        <f>BB217+BH217+BN217+BT217</f>
        <v/>
      </c>
      <c r="CA217" s="9">
        <f>BE217+BK217+BQ217+BW217</f>
        <v/>
      </c>
      <c r="CB217" s="9">
        <f>BF217+BL217+BR217+BX217</f>
        <v/>
      </c>
      <c r="CC217" s="8" t="n">
        <v>0</v>
      </c>
      <c r="CD217" s="8" t="n">
        <v>231</v>
      </c>
      <c r="CE217" s="8" t="n">
        <v>18</v>
      </c>
      <c r="CF217" s="8" t="n">
        <v>13</v>
      </c>
      <c r="CG217" s="8" t="n">
        <v>9</v>
      </c>
      <c r="CH217" s="9">
        <f>CD217+CE217+CF217+CG217</f>
        <v/>
      </c>
      <c r="CI217" s="8" t="n">
        <v>160</v>
      </c>
      <c r="CJ217" s="8" t="n">
        <v>0</v>
      </c>
      <c r="CK217" s="8" t="n">
        <v>0</v>
      </c>
      <c r="CL217" s="8" t="n">
        <v>1</v>
      </c>
      <c r="CM217" s="9">
        <f>CI217+CJ217+CK217+CL217</f>
        <v/>
      </c>
      <c r="CN217" s="8" t="n">
        <v>733</v>
      </c>
      <c r="CO217" s="8" t="n">
        <v>35</v>
      </c>
      <c r="CP217" s="8" t="n">
        <v>25</v>
      </c>
      <c r="CQ217" s="8" t="n">
        <v>18</v>
      </c>
      <c r="CR217" s="9">
        <f>CN217+CO217+CP217+CQ217</f>
        <v/>
      </c>
      <c r="CS217" s="9">
        <f>CM217+CR217</f>
        <v/>
      </c>
      <c r="CT217" s="8" t="n">
        <v>1243</v>
      </c>
      <c r="CU217" s="8" t="n">
        <v>11836.34927301203</v>
      </c>
      <c r="CV217" s="8" t="n">
        <v>7524</v>
      </c>
      <c r="CW217" s="10">
        <f>IF(CU217=0,"",CV217/CU217)</f>
        <v/>
      </c>
      <c r="CX217" s="8" t="n">
        <v>0</v>
      </c>
      <c r="CY217" s="8" t="n"/>
      <c r="CZ217" s="8" t="n"/>
      <c r="DA217" s="8" t="n"/>
      <c r="DB217" s="9">
        <f>CX217+CY217-CZ217-DA217</f>
        <v/>
      </c>
      <c r="DC217" s="8" t="n">
        <v>0</v>
      </c>
      <c r="DD217" s="8" t="n">
        <v>0</v>
      </c>
      <c r="DE217" s="8" t="n">
        <v>0</v>
      </c>
      <c r="DF217" s="8" t="n">
        <v>0</v>
      </c>
      <c r="DG217" s="9">
        <f>DC217+DD217-DE217-DF217</f>
        <v/>
      </c>
      <c r="DH217" s="8" t="n">
        <v>0</v>
      </c>
      <c r="DI217" s="8" t="n">
        <v>0</v>
      </c>
      <c r="DJ217" s="8" t="n">
        <v>0</v>
      </c>
      <c r="DK217" s="8" t="n">
        <v>0</v>
      </c>
      <c r="DL217" s="9">
        <f>DH217+DI217-DJ217-DK217</f>
        <v/>
      </c>
      <c r="DM217" s="8" t="n">
        <v>0</v>
      </c>
      <c r="DN217" s="8" t="n">
        <v>0</v>
      </c>
      <c r="DO217" s="8" t="n">
        <v>0</v>
      </c>
      <c r="DP217" s="8" t="n">
        <v>0</v>
      </c>
      <c r="DQ217" s="9">
        <f>DM217+DN217-DO217-DP217</f>
        <v/>
      </c>
      <c r="DR217" s="9">
        <f>CX217+DC217+DH217+DM217</f>
        <v/>
      </c>
      <c r="DS217" s="9">
        <f>CY217+DD217+DI217+DN217</f>
        <v/>
      </c>
      <c r="DT217" s="9">
        <f>CZ217+DE217+DJ217+DO217</f>
        <v/>
      </c>
      <c r="DU217" s="9">
        <f>DA217+DF217+DK217+DP217</f>
        <v/>
      </c>
      <c r="DV217" s="9">
        <f>DB217+DG217+DL217+DQ217</f>
        <v/>
      </c>
      <c r="DW217" s="8" t="n">
        <v>20</v>
      </c>
      <c r="DX217" s="8" t="n">
        <v>2</v>
      </c>
      <c r="DY217" s="8" t="n">
        <v>2</v>
      </c>
      <c r="DZ217" s="8" t="n">
        <v>1</v>
      </c>
      <c r="EA217" s="8" t="n">
        <v>1</v>
      </c>
      <c r="EB217" s="8" t="n">
        <v>2</v>
      </c>
      <c r="EC217" s="8" t="n">
        <v>0</v>
      </c>
      <c r="ED217" s="8" t="n">
        <v>0</v>
      </c>
      <c r="EE217" s="8" t="n">
        <v>1</v>
      </c>
      <c r="EF217" s="8" t="n">
        <v>0</v>
      </c>
      <c r="EG217" s="8" t="n">
        <v>0</v>
      </c>
      <c r="EH217" s="8" t="n">
        <v>0</v>
      </c>
      <c r="EI217" s="8" t="n">
        <v>0</v>
      </c>
      <c r="EJ217" s="8" t="n">
        <v>6</v>
      </c>
      <c r="EK217" s="8" t="n">
        <v>0</v>
      </c>
      <c r="EL217" s="8" t="n">
        <v>0</v>
      </c>
      <c r="EM217" s="8" t="n">
        <v>0</v>
      </c>
      <c r="EN217" s="8" t="n">
        <v>0</v>
      </c>
      <c r="EO217" s="8" t="n">
        <v>0</v>
      </c>
      <c r="EP217" s="8" t="n">
        <v>0</v>
      </c>
      <c r="EQ217" s="8" t="n">
        <v>0</v>
      </c>
      <c r="ER217" s="8" t="n">
        <v>0</v>
      </c>
      <c r="ES217" s="8" t="n">
        <v>0</v>
      </c>
      <c r="ET217" s="8" t="n">
        <v>0</v>
      </c>
      <c r="EU217" s="8" t="n">
        <v>0</v>
      </c>
      <c r="EV217" s="8" t="n">
        <v>0</v>
      </c>
      <c r="EW217" s="8" t="n">
        <v>0</v>
      </c>
      <c r="EX217" s="8" t="n">
        <v>0</v>
      </c>
      <c r="EY217" s="8" t="n">
        <v>0</v>
      </c>
      <c r="EZ217" s="8" t="n">
        <v>0</v>
      </c>
      <c r="FA217" s="8" t="n">
        <v>0</v>
      </c>
      <c r="FB217" s="8" t="n">
        <v>0</v>
      </c>
      <c r="FC217" s="8" t="n">
        <v>0</v>
      </c>
      <c r="FD217" s="8" t="n">
        <v>0</v>
      </c>
      <c r="FE217" s="8" t="n">
        <v>0</v>
      </c>
      <c r="FF217" s="8" t="n">
        <v>0</v>
      </c>
      <c r="FG217" s="9">
        <f>SUM(DW217,DX217,DY217,DZ217,EA217,EB217,EC217,ED217,EE217,EF217,EG217,EH217,EI217,EJ217,EK217,EL217,EM217,EN217,EO217,EP217,EQ217,ER217,ES217,ET217,EU217,EV217,EW217,EX217,EY217,EZ217,FA217,FB217,FC217,FD217,FE217,FF217)</f>
        <v/>
      </c>
      <c r="FH217" s="8" t="n">
        <v>0</v>
      </c>
      <c r="FI217" s="8" t="n">
        <v>0</v>
      </c>
      <c r="FJ217" s="8" t="n">
        <v>0</v>
      </c>
      <c r="FK217" s="8" t="n">
        <v>0</v>
      </c>
      <c r="FL217" s="8" t="n">
        <v>0</v>
      </c>
      <c r="FM217" s="8" t="n">
        <v>0</v>
      </c>
      <c r="FN217" s="8" t="n">
        <v>0</v>
      </c>
      <c r="FO217" s="8" t="n">
        <v>0</v>
      </c>
      <c r="FP217" s="8" t="n">
        <v>0</v>
      </c>
      <c r="FQ217" s="9">
        <f>FL217+FM217+FN217+FO217+FP217</f>
        <v/>
      </c>
      <c r="FR217" s="8" t="n">
        <v>195478</v>
      </c>
      <c r="FS217" s="8" t="n">
        <v>0</v>
      </c>
      <c r="FT217" s="8" t="n">
        <v>0</v>
      </c>
      <c r="FU217" s="8" t="n">
        <v>0</v>
      </c>
      <c r="FV217" s="9">
        <f>FR217+FS217+FT217+FU217</f>
        <v/>
      </c>
      <c r="FW217" s="8" t="n">
        <v>6023840.879999999</v>
      </c>
      <c r="FX217" s="8" t="n">
        <v>114050</v>
      </c>
      <c r="FY217" s="8" t="n">
        <v>560070</v>
      </c>
      <c r="FZ217" s="8" t="n">
        <v>534150</v>
      </c>
      <c r="GA217" s="9">
        <f>FW217+FX217+FY217+FZ217</f>
        <v/>
      </c>
      <c r="GB217" s="9">
        <f>FV217+GA217</f>
        <v/>
      </c>
      <c r="GC217" s="8" t="n">
        <v>661030.04</v>
      </c>
      <c r="GD217" s="8" t="n">
        <v>0</v>
      </c>
      <c r="GE217" s="8" t="n">
        <v>82430.89</v>
      </c>
      <c r="GF217" s="8" t="n">
        <v>0</v>
      </c>
      <c r="GG217" s="9">
        <f>GC217+GD217+GE217+GF217</f>
        <v/>
      </c>
      <c r="GH217" s="8" t="n">
        <v>6028840.88</v>
      </c>
      <c r="GI217" s="8" t="n">
        <v>114050</v>
      </c>
      <c r="GJ217" s="8" t="n">
        <v>534150</v>
      </c>
      <c r="GK217" s="8" t="n">
        <v>560070</v>
      </c>
      <c r="GL217" s="9">
        <f>GH217+GI217+GJ217+GK217</f>
        <v/>
      </c>
      <c r="GM217" s="9">
        <f>GG217+GL217</f>
        <v/>
      </c>
      <c r="GN217" s="8" t="n">
        <v>66325.48</v>
      </c>
      <c r="GO217" s="8" t="n">
        <v>0</v>
      </c>
      <c r="GP217" s="8" t="n">
        <v>6787.28</v>
      </c>
      <c r="GQ217" s="8" t="n">
        <v>0</v>
      </c>
      <c r="GR217" s="9">
        <f>GN217+GO217+GP217+GQ217</f>
        <v/>
      </c>
      <c r="GS217" s="8" t="n">
        <v>105374</v>
      </c>
      <c r="GT217" s="8" t="n">
        <v>0</v>
      </c>
      <c r="GU217" s="8" t="n">
        <v>1786</v>
      </c>
      <c r="GV217" s="8" t="n">
        <v>0</v>
      </c>
      <c r="GW217" s="9">
        <f>GS217+GT217+GU217+GV217</f>
        <v/>
      </c>
      <c r="GX217" s="9">
        <f>GM217+GR217+GW217</f>
        <v/>
      </c>
      <c r="GY217" s="8" t="n">
        <v>2606691.11</v>
      </c>
      <c r="GZ217" s="8" t="n">
        <v>439067.07</v>
      </c>
      <c r="HA217" s="9">
        <f>GY217+GZ217</f>
        <v/>
      </c>
      <c r="HB217" s="9">
        <f>IF(GX217=0,"",AU217/GX217)</f>
        <v/>
      </c>
      <c r="HC217" s="10">
        <f>IF((GX217+GY217)=0,"",GB217/(GX217+GY217))</f>
        <v/>
      </c>
      <c r="HD217" s="9">
        <f>IF(GX217=0,"",GB217/GX217)</f>
        <v/>
      </c>
      <c r="HE217" s="8" t="n">
        <v>10</v>
      </c>
      <c r="HF217" s="8" t="n">
        <v>2</v>
      </c>
      <c r="HG217" s="8" t="n">
        <v>31</v>
      </c>
      <c r="HH217" s="8" t="n">
        <v>10</v>
      </c>
      <c r="HI217" s="8" t="n">
        <v>42</v>
      </c>
      <c r="HJ217" s="9">
        <f>HF217+HI217</f>
        <v/>
      </c>
      <c r="HK217" s="10">
        <f>IF(HE217=0,"",HH217/HE217)</f>
        <v/>
      </c>
      <c r="HL217" s="8" t="n">
        <v>5</v>
      </c>
      <c r="HM217" s="8" t="n">
        <v>18</v>
      </c>
      <c r="HN217" s="11">
        <f>IF(HL217=0,"",HM217/HL217)</f>
        <v/>
      </c>
    </row>
    <row r="218">
      <c r="A218" s="12" t="inlineStr">
        <is>
          <t>Ngabu</t>
        </is>
      </c>
      <c r="B218" s="12" t="inlineStr">
        <is>
          <t>Bangula</t>
        </is>
      </c>
      <c r="C218" s="13" t="inlineStr">
        <is>
          <t>FY2025/26</t>
        </is>
      </c>
      <c r="D218" s="13" t="n">
        <v>2026</v>
      </c>
      <c r="E218" s="13" t="n">
        <v>3</v>
      </c>
      <c r="F218" s="13" t="inlineStr">
        <is>
          <t>March</t>
        </is>
      </c>
      <c r="G218" s="13" t="inlineStr">
        <is>
          <t>Q4</t>
        </is>
      </c>
      <c r="H218" s="14" t="n">
        <v>7509</v>
      </c>
      <c r="I218" s="14" t="n">
        <v>698</v>
      </c>
      <c r="J218" s="14" t="n">
        <v>0</v>
      </c>
      <c r="K218" s="14" t="n">
        <v>56</v>
      </c>
      <c r="L218" s="14" t="n">
        <v>0</v>
      </c>
      <c r="M218" s="15">
        <f>SUM(I218,J218,K218,L218)</f>
        <v/>
      </c>
      <c r="N218" s="14" t="n">
        <v>4950</v>
      </c>
      <c r="O218" s="14" t="n">
        <v>400</v>
      </c>
      <c r="P218" s="14" t="n">
        <v>514</v>
      </c>
      <c r="Q218" s="14" t="n">
        <v>245</v>
      </c>
      <c r="R218" s="15">
        <f>SUM(N218,O218,P218,Q218)</f>
        <v/>
      </c>
      <c r="S218" s="15">
        <f>M218+R218</f>
        <v/>
      </c>
      <c r="T218" s="14" t="n">
        <v>646</v>
      </c>
      <c r="U218" s="16">
        <f>IF(H218=0,"",T218/H218)</f>
        <v/>
      </c>
      <c r="V218" s="14" t="n">
        <v>10</v>
      </c>
      <c r="W218" s="17">
        <f>IF(H218=0,"",V218/H218)</f>
        <v/>
      </c>
      <c r="X218" s="14" t="n">
        <v>0</v>
      </c>
      <c r="Y218" s="17">
        <f>IF(H218=0,"",X218/H218)</f>
        <v/>
      </c>
      <c r="Z218" s="14" t="n">
        <v>0</v>
      </c>
      <c r="AA218" s="17">
        <f>IF(H218=0,"",Z218/H218)</f>
        <v/>
      </c>
      <c r="AB218" s="14" t="n">
        <v>0</v>
      </c>
      <c r="AC218" s="17">
        <f>IF(H218=0,"",AB218/H218)</f>
        <v/>
      </c>
      <c r="AD218" s="14" t="n">
        <v>0</v>
      </c>
      <c r="AE218" s="17">
        <f>IF(H218=0,"",AD218/H218)</f>
        <v/>
      </c>
      <c r="AF218" s="14" t="n">
        <v>0</v>
      </c>
      <c r="AG218" s="17">
        <f>IF(H218=0,"",AF218/H218)</f>
        <v/>
      </c>
      <c r="AH218" s="14" t="n">
        <v>35252.9</v>
      </c>
      <c r="AI218" s="15">
        <f>IF(H218=0,"",AH218/H218)</f>
        <v/>
      </c>
      <c r="AJ218" s="14" t="n">
        <v>2066</v>
      </c>
      <c r="AK218" s="17">
        <f>IF(H218=0,"",AJ218/H218)</f>
        <v/>
      </c>
      <c r="AL218" s="14" t="n">
        <v>16426.5</v>
      </c>
      <c r="AM218" s="15">
        <f>IF(H218=0,"",AL218/H218)</f>
        <v/>
      </c>
      <c r="AN218" s="14" t="n">
        <v>0</v>
      </c>
      <c r="AO218" s="14" t="n">
        <v>0</v>
      </c>
      <c r="AP218" s="14" t="n">
        <v>0</v>
      </c>
      <c r="AQ218" s="14" t="n">
        <v>0</v>
      </c>
      <c r="AR218" s="14" t="n">
        <v>0</v>
      </c>
      <c r="AS218" s="14" t="n">
        <v>0</v>
      </c>
      <c r="AT218" s="14" t="n">
        <v>0</v>
      </c>
      <c r="AU218" s="15">
        <f>AH218+AL218+AP218+AQ218+AR218+AS218+AT218</f>
        <v/>
      </c>
      <c r="AV218" s="15">
        <f>IF(H218=0,"",AU218/H218)</f>
        <v/>
      </c>
      <c r="AW218" s="15">
        <f>IF(S218=0,"",AU218/S218)</f>
        <v/>
      </c>
      <c r="AX218" s="14" t="n">
        <v>2</v>
      </c>
      <c r="AY218" s="15">
        <f>IF(H218=0,"",AX218/(H218/1000/12))</f>
        <v/>
      </c>
      <c r="AZ218" s="14" t="n">
        <v>8</v>
      </c>
      <c r="BA218" s="14" t="n">
        <v>31</v>
      </c>
      <c r="BB218" s="14" t="n">
        <v>6</v>
      </c>
      <c r="BC218" s="14" t="n">
        <v>5</v>
      </c>
      <c r="BD218" s="14" t="n">
        <v>0</v>
      </c>
      <c r="BE218" s="15">
        <f>BC218+BD218</f>
        <v/>
      </c>
      <c r="BF218" s="15">
        <f>BA218+BB218-BE218</f>
        <v/>
      </c>
      <c r="BG218" s="14" t="n">
        <v>0</v>
      </c>
      <c r="BH218" s="14" t="n">
        <v>0</v>
      </c>
      <c r="BI218" s="14" t="n">
        <v>0</v>
      </c>
      <c r="BJ218" s="14" t="n">
        <v>0</v>
      </c>
      <c r="BK218" s="15">
        <f>BI218+BJ218</f>
        <v/>
      </c>
      <c r="BL218" s="15">
        <f>BG218+BH218-BK218</f>
        <v/>
      </c>
      <c r="BM218" s="14" t="n">
        <v>0</v>
      </c>
      <c r="BN218" s="14" t="n">
        <v>0</v>
      </c>
      <c r="BO218" s="14" t="n">
        <v>0</v>
      </c>
      <c r="BP218" s="14" t="n">
        <v>0</v>
      </c>
      <c r="BQ218" s="15">
        <f>BO218+BP218</f>
        <v/>
      </c>
      <c r="BR218" s="15">
        <f>BM218+BN218-BQ218</f>
        <v/>
      </c>
      <c r="BS218" s="14" t="n">
        <v>0</v>
      </c>
      <c r="BT218" s="14" t="n">
        <v>0</v>
      </c>
      <c r="BU218" s="14" t="n">
        <v>0</v>
      </c>
      <c r="BV218" s="14" t="n">
        <v>0</v>
      </c>
      <c r="BW218" s="15">
        <f>BU218+BV218</f>
        <v/>
      </c>
      <c r="BX218" s="15">
        <f>BS218+BT218-BW218</f>
        <v/>
      </c>
      <c r="BY218" s="15">
        <f>BA218+BG218+BM218+BS218</f>
        <v/>
      </c>
      <c r="BZ218" s="15">
        <f>BB218+BH218+BN218+BT218</f>
        <v/>
      </c>
      <c r="CA218" s="15">
        <f>BE218+BK218+BQ218+BW218</f>
        <v/>
      </c>
      <c r="CB218" s="15">
        <f>BF218+BL218+BR218+BX218</f>
        <v/>
      </c>
      <c r="CC218" s="14" t="n">
        <v>0</v>
      </c>
      <c r="CD218" s="14" t="n">
        <v>210</v>
      </c>
      <c r="CE218" s="14" t="n">
        <v>18</v>
      </c>
      <c r="CF218" s="14" t="n">
        <v>13</v>
      </c>
      <c r="CG218" s="14" t="n">
        <v>8</v>
      </c>
      <c r="CH218" s="15">
        <f>CD218+CE218+CF218+CG218</f>
        <v/>
      </c>
      <c r="CI218" s="14" t="n">
        <v>187</v>
      </c>
      <c r="CJ218" s="14" t="n">
        <v>0</v>
      </c>
      <c r="CK218" s="14" t="n">
        <v>0</v>
      </c>
      <c r="CL218" s="14" t="n">
        <v>1</v>
      </c>
      <c r="CM218" s="15">
        <f>CI218+CJ218+CK218+CL218</f>
        <v/>
      </c>
      <c r="CN218" s="14" t="n">
        <v>733</v>
      </c>
      <c r="CO218" s="14" t="n">
        <v>35</v>
      </c>
      <c r="CP218" s="14" t="n">
        <v>25</v>
      </c>
      <c r="CQ218" s="14" t="n">
        <v>18</v>
      </c>
      <c r="CR218" s="15">
        <f>CN218+CO218+CP218+CQ218</f>
        <v/>
      </c>
      <c r="CS218" s="15">
        <f>CM218+CR218</f>
        <v/>
      </c>
      <c r="CT218" s="14" t="n">
        <v>1248</v>
      </c>
      <c r="CU218" s="14" t="n">
        <v>11856.47106677615</v>
      </c>
      <c r="CV218" s="14" t="n">
        <v>7534</v>
      </c>
      <c r="CW218" s="16">
        <f>IF(CU218=0,"",CV218/CU218)</f>
        <v/>
      </c>
      <c r="CX218" s="14" t="n"/>
      <c r="CY218" s="14" t="n"/>
      <c r="CZ218" s="14" t="n"/>
      <c r="DA218" s="14" t="n"/>
      <c r="DB218" s="15">
        <f>CX218+CY218-CZ218-DA218</f>
        <v/>
      </c>
      <c r="DC218" s="14" t="n">
        <v>0</v>
      </c>
      <c r="DD218" s="14" t="n">
        <v>0</v>
      </c>
      <c r="DE218" s="14" t="n">
        <v>0</v>
      </c>
      <c r="DF218" s="14" t="n">
        <v>0</v>
      </c>
      <c r="DG218" s="15">
        <f>DC218+DD218-DE218-DF218</f>
        <v/>
      </c>
      <c r="DH218" s="14" t="n">
        <v>0</v>
      </c>
      <c r="DI218" s="14" t="n">
        <v>0</v>
      </c>
      <c r="DJ218" s="14" t="n">
        <v>0</v>
      </c>
      <c r="DK218" s="14" t="n">
        <v>0</v>
      </c>
      <c r="DL218" s="15">
        <f>DH218+DI218-DJ218-DK218</f>
        <v/>
      </c>
      <c r="DM218" s="14" t="n">
        <v>0</v>
      </c>
      <c r="DN218" s="14" t="n">
        <v>0</v>
      </c>
      <c r="DO218" s="14" t="n">
        <v>0</v>
      </c>
      <c r="DP218" s="14" t="n">
        <v>0</v>
      </c>
      <c r="DQ218" s="15">
        <f>DM218+DN218-DO218-DP218</f>
        <v/>
      </c>
      <c r="DR218" s="15">
        <f>CX218+DC218+DH218+DM218</f>
        <v/>
      </c>
      <c r="DS218" s="15">
        <f>CY218+DD218+DI218+DN218</f>
        <v/>
      </c>
      <c r="DT218" s="15">
        <f>CZ218+DE218+DJ218+DO218</f>
        <v/>
      </c>
      <c r="DU218" s="15">
        <f>DA218+DF218+DK218+DP218</f>
        <v/>
      </c>
      <c r="DV218" s="15">
        <f>DB218+DG218+DL218+DQ218</f>
        <v/>
      </c>
      <c r="DW218" s="14" t="n">
        <v>30</v>
      </c>
      <c r="DX218" s="14" t="n">
        <v>3</v>
      </c>
      <c r="DY218" s="14" t="n">
        <v>3</v>
      </c>
      <c r="DZ218" s="14" t="n">
        <v>5</v>
      </c>
      <c r="EA218" s="14" t="n">
        <v>1</v>
      </c>
      <c r="EB218" s="14" t="n">
        <v>0</v>
      </c>
      <c r="EC218" s="14" t="n">
        <v>0</v>
      </c>
      <c r="ED218" s="14" t="n">
        <v>0</v>
      </c>
      <c r="EE218" s="14" t="n">
        <v>1</v>
      </c>
      <c r="EF218" s="14" t="n">
        <v>0</v>
      </c>
      <c r="EG218" s="14" t="n">
        <v>0</v>
      </c>
      <c r="EH218" s="14" t="n">
        <v>0</v>
      </c>
      <c r="EI218" s="14" t="n">
        <v>0</v>
      </c>
      <c r="EJ218" s="14" t="n">
        <v>6</v>
      </c>
      <c r="EK218" s="14" t="n">
        <v>1</v>
      </c>
      <c r="EL218" s="14" t="n">
        <v>0</v>
      </c>
      <c r="EM218" s="14" t="n">
        <v>0</v>
      </c>
      <c r="EN218" s="14" t="n">
        <v>0</v>
      </c>
      <c r="EO218" s="14" t="n">
        <v>0</v>
      </c>
      <c r="EP218" s="14" t="n">
        <v>0</v>
      </c>
      <c r="EQ218" s="14" t="n">
        <v>0</v>
      </c>
      <c r="ER218" s="14" t="n">
        <v>0</v>
      </c>
      <c r="ES218" s="14" t="n">
        <v>0</v>
      </c>
      <c r="ET218" s="14" t="n">
        <v>0</v>
      </c>
      <c r="EU218" s="14" t="n">
        <v>0</v>
      </c>
      <c r="EV218" s="14" t="n">
        <v>0</v>
      </c>
      <c r="EW218" s="14" t="n">
        <v>0</v>
      </c>
      <c r="EX218" s="14" t="n">
        <v>0</v>
      </c>
      <c r="EY218" s="14" t="n">
        <v>0</v>
      </c>
      <c r="EZ218" s="14" t="n">
        <v>0</v>
      </c>
      <c r="FA218" s="14" t="n">
        <v>0</v>
      </c>
      <c r="FB218" s="14" t="n">
        <v>0</v>
      </c>
      <c r="FC218" s="14" t="n">
        <v>0</v>
      </c>
      <c r="FD218" s="14" t="n">
        <v>0</v>
      </c>
      <c r="FE218" s="14" t="n">
        <v>0</v>
      </c>
      <c r="FF218" s="14" t="n">
        <v>0</v>
      </c>
      <c r="FG218" s="15">
        <f>SUM(DW218,DX218,DY218,DZ218,EA218,EB218,EC218,ED218,EE218,EF218,EG218,EH218,EI218,EJ218,EK218,EL218,EM218,EN218,EO218,EP218,EQ218,ER218,ES218,ET218,EU218,EV218,EW218,EX218,EY218,EZ218,FA218,FB218,FC218,FD218,FE218,FF218)</f>
        <v/>
      </c>
      <c r="FH218" s="14" t="n">
        <v>0</v>
      </c>
      <c r="FI218" s="14" t="n">
        <v>0</v>
      </c>
      <c r="FJ218" s="14" t="n">
        <v>0</v>
      </c>
      <c r="FK218" s="14" t="n">
        <v>0</v>
      </c>
      <c r="FL218" s="14" t="n">
        <v>0</v>
      </c>
      <c r="FM218" s="14" t="n">
        <v>0</v>
      </c>
      <c r="FN218" s="14" t="n">
        <v>0</v>
      </c>
      <c r="FO218" s="14" t="n">
        <v>0</v>
      </c>
      <c r="FP218" s="14" t="n">
        <v>0</v>
      </c>
      <c r="FQ218" s="15">
        <f>FL218+FM218+FN218+FO218+FP218</f>
        <v/>
      </c>
      <c r="FR218" s="14" t="n">
        <v>436075</v>
      </c>
      <c r="FS218" s="14" t="n">
        <v>0</v>
      </c>
      <c r="FT218" s="14" t="n">
        <v>0</v>
      </c>
      <c r="FU218" s="14" t="n">
        <v>0</v>
      </c>
      <c r="FV218" s="15">
        <f>FR218+FS218+FT218+FU218</f>
        <v/>
      </c>
      <c r="FW218" s="14" t="n">
        <v>5297276</v>
      </c>
      <c r="FX218" s="14" t="n">
        <v>85750</v>
      </c>
      <c r="FY218" s="14" t="n">
        <v>237590</v>
      </c>
      <c r="FZ218" s="14" t="n">
        <v>417740</v>
      </c>
      <c r="GA218" s="15">
        <f>FW218+FX218+FY218+FZ218</f>
        <v/>
      </c>
      <c r="GB218" s="15">
        <f>FV218+GA218</f>
        <v/>
      </c>
      <c r="GC218" s="14" t="n">
        <v>661030.04</v>
      </c>
      <c r="GD218" s="14" t="n">
        <v>0</v>
      </c>
      <c r="GE218" s="14" t="n">
        <v>82430.89</v>
      </c>
      <c r="GF218" s="14" t="n">
        <v>0</v>
      </c>
      <c r="GG218" s="15">
        <f>GC218+GD218+GE218+GF218</f>
        <v/>
      </c>
      <c r="GH218" s="14" t="n">
        <v>5197588.38</v>
      </c>
      <c r="GI218" s="14" t="n">
        <v>85750</v>
      </c>
      <c r="GJ218" s="14" t="n">
        <v>236390</v>
      </c>
      <c r="GK218" s="14" t="n">
        <v>417740</v>
      </c>
      <c r="GL218" s="15">
        <f>GH218+GI218+GJ218+GK218</f>
        <v/>
      </c>
      <c r="GM218" s="15">
        <f>GG218+GL218</f>
        <v/>
      </c>
      <c r="GN218" s="14" t="n">
        <v>66325.48</v>
      </c>
      <c r="GO218" s="14" t="n">
        <v>0</v>
      </c>
      <c r="GP218" s="14" t="n">
        <v>6787.28</v>
      </c>
      <c r="GQ218" s="14" t="n">
        <v>0</v>
      </c>
      <c r="GR218" s="15">
        <f>GN218+GO218+GP218+GQ218</f>
        <v/>
      </c>
      <c r="GS218" s="14" t="n">
        <v>105374</v>
      </c>
      <c r="GT218" s="14" t="n">
        <v>0</v>
      </c>
      <c r="GU218" s="14" t="n">
        <v>1786</v>
      </c>
      <c r="GV218" s="14" t="n">
        <v>0</v>
      </c>
      <c r="GW218" s="15">
        <f>GS218+GT218+GU218+GV218</f>
        <v/>
      </c>
      <c r="GX218" s="15">
        <f>GM218+GR218+GW218</f>
        <v/>
      </c>
      <c r="GY218" s="14" t="n">
        <v>2946385.62</v>
      </c>
      <c r="GZ218" s="14" t="n">
        <v>191328.8</v>
      </c>
      <c r="HA218" s="15">
        <f>GY218+GZ218</f>
        <v/>
      </c>
      <c r="HB218" s="15">
        <f>IF(GX218=0,"",AU218/GX218)</f>
        <v/>
      </c>
      <c r="HC218" s="16">
        <f>IF((GX218+GY218)=0,"",GB218/(GX218+GY218))</f>
        <v/>
      </c>
      <c r="HD218" s="15">
        <f>IF(GX218=0,"",GB218/GX218)</f>
        <v/>
      </c>
      <c r="HE218" s="14" t="n">
        <v>15</v>
      </c>
      <c r="HF218" s="14" t="n">
        <v>2</v>
      </c>
      <c r="HG218" s="14" t="n">
        <v>32</v>
      </c>
      <c r="HH218" s="14" t="n">
        <v>6</v>
      </c>
      <c r="HI218" s="14" t="n">
        <v>30</v>
      </c>
      <c r="HJ218" s="15">
        <f>HF218+HI218</f>
        <v/>
      </c>
      <c r="HK218" s="16">
        <f>IF(HE218=0,"",HH218/HE218)</f>
        <v/>
      </c>
      <c r="HL218" s="14" t="n">
        <v>18</v>
      </c>
      <c r="HM218" s="14" t="n">
        <v>12</v>
      </c>
      <c r="HN218" s="17">
        <f>IF(HL218=0,"",HM218/HL218)</f>
        <v/>
      </c>
    </row>
    <row r="219">
      <c r="A219" s="6" t="inlineStr">
        <is>
          <t>Ngabu</t>
        </is>
      </c>
      <c r="B219" s="6" t="inlineStr">
        <is>
          <t>Chikwawa</t>
        </is>
      </c>
      <c r="C219" s="7" t="inlineStr">
        <is>
          <t>FY2025/26</t>
        </is>
      </c>
      <c r="D219" s="7" t="n">
        <v>2025</v>
      </c>
      <c r="E219" s="7" t="n">
        <v>4</v>
      </c>
      <c r="F219" s="7" t="inlineStr">
        <is>
          <t>April</t>
        </is>
      </c>
      <c r="G219" s="7" t="inlineStr">
        <is>
          <t>Q1</t>
        </is>
      </c>
      <c r="H219" s="8" t="n">
        <v>27891</v>
      </c>
      <c r="I219" s="8" t="n">
        <v>12961</v>
      </c>
      <c r="J219" s="8" t="n">
        <v>1260</v>
      </c>
      <c r="K219" s="8" t="n">
        <v>1511</v>
      </c>
      <c r="L219" s="8" t="n">
        <v>623</v>
      </c>
      <c r="M219" s="9">
        <f>SUM(I219,J219,K219,L219)</f>
        <v/>
      </c>
      <c r="N219" s="8" t="n">
        <v>1502</v>
      </c>
      <c r="O219" s="8" t="n">
        <v>0</v>
      </c>
      <c r="P219" s="8" t="n">
        <v>2029</v>
      </c>
      <c r="Q219" s="8" t="n">
        <v>595</v>
      </c>
      <c r="R219" s="9">
        <f>SUM(N219,O219,P219,Q219)</f>
        <v/>
      </c>
      <c r="S219" s="9">
        <f>M219+R219</f>
        <v/>
      </c>
      <c r="T219" s="8" t="n">
        <v>7410</v>
      </c>
      <c r="U219" s="10">
        <f>IF(H219=0,"",T219/H219)</f>
        <v/>
      </c>
      <c r="V219" s="8" t="n">
        <v>31</v>
      </c>
      <c r="W219" s="11">
        <f>IF(H219=0,"",V219/H219)</f>
        <v/>
      </c>
      <c r="X219" s="8" t="n">
        <v>0</v>
      </c>
      <c r="Y219" s="11">
        <f>IF(H219=0,"",X219/H219)</f>
        <v/>
      </c>
      <c r="Z219" s="8" t="n">
        <v>0</v>
      </c>
      <c r="AA219" s="11">
        <f>IF(H219=0,"",Z219/H219)</f>
        <v/>
      </c>
      <c r="AB219" s="8" t="n">
        <v>0</v>
      </c>
      <c r="AC219" s="11">
        <f>IF(H219=0,"",AB219/H219)</f>
        <v/>
      </c>
      <c r="AD219" s="8" t="n">
        <v>0</v>
      </c>
      <c r="AE219" s="11">
        <f>IF(H219=0,"",AD219/H219)</f>
        <v/>
      </c>
      <c r="AF219" s="8" t="n">
        <v>0</v>
      </c>
      <c r="AG219" s="11">
        <f>IF(H219=0,"",AF219/H219)</f>
        <v/>
      </c>
      <c r="AH219" s="8" t="n">
        <v>109283.99</v>
      </c>
      <c r="AI219" s="9">
        <f>IF(H219=0,"",AH219/H219)</f>
        <v/>
      </c>
      <c r="AJ219" s="8" t="n">
        <v>16369</v>
      </c>
      <c r="AK219" s="11">
        <f>IF(H219=0,"",AJ219/H219)</f>
        <v/>
      </c>
      <c r="AL219" s="8" t="n">
        <v>2287649.8035</v>
      </c>
      <c r="AM219" s="9">
        <f>IF(H219=0,"",AL219/H219)</f>
        <v/>
      </c>
      <c r="AN219" s="8" t="n">
        <v>2021</v>
      </c>
      <c r="AO219" s="8" t="n">
        <v>160</v>
      </c>
      <c r="AP219" s="8" t="n">
        <v>437440</v>
      </c>
      <c r="AQ219" s="8" t="n">
        <v>0</v>
      </c>
      <c r="AR219" s="8" t="n">
        <v>0</v>
      </c>
      <c r="AS219" s="8" t="n">
        <v>0</v>
      </c>
      <c r="AT219" s="8" t="n">
        <v>0</v>
      </c>
      <c r="AU219" s="9">
        <f>AH219+AL219+AP219+AQ219+AR219+AS219+AT219</f>
        <v/>
      </c>
      <c r="AV219" s="9">
        <f>IF(H219=0,"",AU219/H219)</f>
        <v/>
      </c>
      <c r="AW219" s="9">
        <f>IF(S219=0,"",AU219/S219)</f>
        <v/>
      </c>
      <c r="AX219" s="8" t="n">
        <v>7</v>
      </c>
      <c r="AY219" s="9">
        <f>IF(H219=0,"",AX219/(H219/1000/12))</f>
        <v/>
      </c>
      <c r="AZ219" s="8" t="n">
        <v>6</v>
      </c>
      <c r="BA219" s="8" t="n">
        <v>197</v>
      </c>
      <c r="BB219" s="8" t="n">
        <v>9</v>
      </c>
      <c r="BC219" s="8" t="n">
        <v>15</v>
      </c>
      <c r="BD219" s="8" t="n">
        <v>0</v>
      </c>
      <c r="BE219" s="9">
        <f>BC219+BD219</f>
        <v/>
      </c>
      <c r="BF219" s="9">
        <f>BA219+BB219-BE219</f>
        <v/>
      </c>
      <c r="BG219" s="8" t="n">
        <v>0</v>
      </c>
      <c r="BH219" s="8" t="n">
        <v>0</v>
      </c>
      <c r="BI219" s="8" t="n">
        <v>0</v>
      </c>
      <c r="BJ219" s="8" t="n">
        <v>0</v>
      </c>
      <c r="BK219" s="9">
        <f>BI219+BJ219</f>
        <v/>
      </c>
      <c r="BL219" s="9">
        <f>BG219+BH219-BK219</f>
        <v/>
      </c>
      <c r="BM219" s="8" t="n">
        <v>0</v>
      </c>
      <c r="BN219" s="8" t="n">
        <v>0</v>
      </c>
      <c r="BO219" s="8" t="n">
        <v>0</v>
      </c>
      <c r="BP219" s="8" t="n">
        <v>0</v>
      </c>
      <c r="BQ219" s="9">
        <f>BO219+BP219</f>
        <v/>
      </c>
      <c r="BR219" s="9">
        <f>BM219+BN219-BQ219</f>
        <v/>
      </c>
      <c r="BS219" s="8" t="n">
        <v>0</v>
      </c>
      <c r="BT219" s="8" t="n">
        <v>0</v>
      </c>
      <c r="BU219" s="8" t="n">
        <v>0</v>
      </c>
      <c r="BV219" s="8" t="n">
        <v>0</v>
      </c>
      <c r="BW219" s="9">
        <f>BU219+BV219</f>
        <v/>
      </c>
      <c r="BX219" s="9">
        <f>BS219+BT219-BW219</f>
        <v/>
      </c>
      <c r="BY219" s="9">
        <f>BA219+BG219+BM219+BS219</f>
        <v/>
      </c>
      <c r="BZ219" s="9">
        <f>BB219+BH219+BN219+BT219</f>
        <v/>
      </c>
      <c r="CA219" s="9">
        <f>BE219+BK219+BQ219+BW219</f>
        <v/>
      </c>
      <c r="CB219" s="9">
        <f>BF219+BL219+BR219+BX219</f>
        <v/>
      </c>
      <c r="CC219" s="8" t="n">
        <v>0</v>
      </c>
      <c r="CD219" s="8" t="n">
        <v>967</v>
      </c>
      <c r="CE219" s="8" t="n">
        <v>11</v>
      </c>
      <c r="CF219" s="8" t="n">
        <v>13</v>
      </c>
      <c r="CG219" s="8" t="n">
        <v>16</v>
      </c>
      <c r="CH219" s="9">
        <f>CD219+CE219+CF219+CG219</f>
        <v/>
      </c>
      <c r="CI219" s="8" t="n">
        <v>2084</v>
      </c>
      <c r="CJ219" s="8" t="n">
        <v>23</v>
      </c>
      <c r="CK219" s="8" t="n">
        <v>15</v>
      </c>
      <c r="CL219" s="8" t="n">
        <v>9</v>
      </c>
      <c r="CM219" s="9">
        <f>CI219+CJ219+CK219+CL219</f>
        <v/>
      </c>
      <c r="CN219" s="8" t="n">
        <v>636</v>
      </c>
      <c r="CO219" s="8" t="n">
        <v>42</v>
      </c>
      <c r="CP219" s="8" t="n">
        <v>56</v>
      </c>
      <c r="CQ219" s="8" t="n">
        <v>3</v>
      </c>
      <c r="CR219" s="9">
        <f>CN219+CO219+CP219+CQ219</f>
        <v/>
      </c>
      <c r="CS219" s="9">
        <f>CM219+CR219</f>
        <v/>
      </c>
      <c r="CT219" s="8" t="n">
        <v>3875</v>
      </c>
      <c r="CU219" s="8" t="n">
        <v>22129</v>
      </c>
      <c r="CV219" s="8" t="n">
        <v>16982</v>
      </c>
      <c r="CW219" s="10">
        <f>IF(CU219=0,"",CV219/CU219)</f>
        <v/>
      </c>
      <c r="CX219" s="8" t="n">
        <v>0</v>
      </c>
      <c r="CY219" s="8" t="n">
        <v>0</v>
      </c>
      <c r="CZ219" s="8" t="n">
        <v>0</v>
      </c>
      <c r="DA219" s="8" t="n">
        <v>0</v>
      </c>
      <c r="DB219" s="9">
        <f>CX219+CY219-CZ219-DA219</f>
        <v/>
      </c>
      <c r="DC219" s="8" t="n">
        <v>0</v>
      </c>
      <c r="DD219" s="8" t="n">
        <v>0</v>
      </c>
      <c r="DE219" s="8" t="n">
        <v>0</v>
      </c>
      <c r="DF219" s="8" t="n">
        <v>0</v>
      </c>
      <c r="DG219" s="9">
        <f>DC219+DD219-DE219-DF219</f>
        <v/>
      </c>
      <c r="DH219" s="8" t="n">
        <v>0</v>
      </c>
      <c r="DI219" s="8" t="n">
        <v>0</v>
      </c>
      <c r="DJ219" s="8" t="n">
        <v>0</v>
      </c>
      <c r="DK219" s="8" t="n">
        <v>0</v>
      </c>
      <c r="DL219" s="9">
        <f>DH219+DI219-DJ219-DK219</f>
        <v/>
      </c>
      <c r="DM219" s="8" t="n">
        <v>178</v>
      </c>
      <c r="DN219" s="8" t="n">
        <v>22</v>
      </c>
      <c r="DO219" s="8" t="n">
        <v>16</v>
      </c>
      <c r="DP219" s="8" t="n">
        <v>0</v>
      </c>
      <c r="DQ219" s="9">
        <f>DM219+DN219-DO219-DP219</f>
        <v/>
      </c>
      <c r="DR219" s="9">
        <f>CX219+DC219+DH219+DM219</f>
        <v/>
      </c>
      <c r="DS219" s="9">
        <f>CY219+DD219+DI219+DN219</f>
        <v/>
      </c>
      <c r="DT219" s="9">
        <f>CZ219+DE219+DJ219+DO219</f>
        <v/>
      </c>
      <c r="DU219" s="9">
        <f>DA219+DF219+DK219+DP219</f>
        <v/>
      </c>
      <c r="DV219" s="9">
        <f>DB219+DG219+DL219+DQ219</f>
        <v/>
      </c>
      <c r="DW219" s="8" t="n">
        <v>55</v>
      </c>
      <c r="DX219" s="8" t="n">
        <v>13</v>
      </c>
      <c r="DY219" s="8" t="n">
        <v>3</v>
      </c>
      <c r="DZ219" s="8" t="n">
        <v>1</v>
      </c>
      <c r="EA219" s="8" t="n">
        <v>0</v>
      </c>
      <c r="EB219" s="8" t="n">
        <v>0</v>
      </c>
      <c r="EC219" s="8" t="n">
        <v>0</v>
      </c>
      <c r="ED219" s="8" t="n">
        <v>0</v>
      </c>
      <c r="EE219" s="8" t="n">
        <v>3</v>
      </c>
      <c r="EF219" s="8" t="n">
        <v>1</v>
      </c>
      <c r="EG219" s="8" t="n">
        <v>0</v>
      </c>
      <c r="EH219" s="8" t="n">
        <v>0</v>
      </c>
      <c r="EI219" s="8" t="n">
        <v>0</v>
      </c>
      <c r="EJ219" s="8" t="n">
        <v>0</v>
      </c>
      <c r="EK219" s="8" t="n">
        <v>0</v>
      </c>
      <c r="EL219" s="8" t="n">
        <v>0</v>
      </c>
      <c r="EM219" s="8" t="n">
        <v>0</v>
      </c>
      <c r="EN219" s="8" t="n">
        <v>0</v>
      </c>
      <c r="EO219" s="8" t="n">
        <v>0</v>
      </c>
      <c r="EP219" s="8" t="n">
        <v>0</v>
      </c>
      <c r="EQ219" s="8" t="n">
        <v>0</v>
      </c>
      <c r="ER219" s="8" t="n">
        <v>0</v>
      </c>
      <c r="ES219" s="8" t="n">
        <v>0</v>
      </c>
      <c r="ET219" s="8" t="n">
        <v>0</v>
      </c>
      <c r="EU219" s="8" t="n">
        <v>0</v>
      </c>
      <c r="EV219" s="8" t="n">
        <v>0</v>
      </c>
      <c r="EW219" s="8" t="n">
        <v>0</v>
      </c>
      <c r="EX219" s="8" t="n">
        <v>0</v>
      </c>
      <c r="EY219" s="8" t="n">
        <v>0</v>
      </c>
      <c r="EZ219" s="8" t="n">
        <v>0</v>
      </c>
      <c r="FA219" s="8" t="n">
        <v>0</v>
      </c>
      <c r="FB219" s="8" t="n">
        <v>0</v>
      </c>
      <c r="FC219" s="8" t="n">
        <v>0</v>
      </c>
      <c r="FD219" s="8" t="n">
        <v>0</v>
      </c>
      <c r="FE219" s="8" t="n">
        <v>0</v>
      </c>
      <c r="FF219" s="8" t="n">
        <v>0</v>
      </c>
      <c r="FG219" s="9">
        <f>SUM(DW219,DX219,DY219,DZ219,EA219,EB219,EC219,ED219,EE219,EF219,EG219,EH219,EI219,EJ219,EK219,EL219,EM219,EN219,EO219,EP219,EQ219,ER219,ES219,ET219,EU219,EV219,EW219,EX219,EY219,EZ219,FA219,FB219,FC219,FD219,FE219,FF219)</f>
        <v/>
      </c>
      <c r="FH219" s="8" t="n">
        <v>0</v>
      </c>
      <c r="FI219" s="8" t="n">
        <v>60</v>
      </c>
      <c r="FJ219" s="8" t="n">
        <v>0</v>
      </c>
      <c r="FK219" s="8" t="n">
        <v>0</v>
      </c>
      <c r="FL219" s="8" t="n">
        <v>0</v>
      </c>
      <c r="FM219" s="8" t="n">
        <v>0</v>
      </c>
      <c r="FN219" s="8" t="n">
        <v>0</v>
      </c>
      <c r="FO219" s="8" t="n">
        <v>0</v>
      </c>
      <c r="FP219" s="8" t="n">
        <v>0</v>
      </c>
      <c r="FQ219" s="9">
        <f>FL219+FM219+FN219+FO219+FP219</f>
        <v/>
      </c>
      <c r="FR219" s="8" t="n">
        <v>7666633</v>
      </c>
      <c r="FS219" s="8" t="n">
        <v>84700</v>
      </c>
      <c r="FT219" s="8" t="n">
        <v>183600</v>
      </c>
      <c r="FU219" s="8" t="n">
        <v>469660</v>
      </c>
      <c r="FV219" s="9">
        <f>FR219+FS219+FT219+FU219</f>
        <v/>
      </c>
      <c r="FW219" s="8" t="n">
        <v>3481837</v>
      </c>
      <c r="FX219" s="8" t="n">
        <v>10000</v>
      </c>
      <c r="FY219" s="8" t="n">
        <v>702184</v>
      </c>
      <c r="FZ219" s="8" t="n">
        <v>7879439</v>
      </c>
      <c r="GA219" s="9">
        <f>FW219+FX219+FY219+FZ219</f>
        <v/>
      </c>
      <c r="GB219" s="9">
        <f>FV219+GA219</f>
        <v/>
      </c>
      <c r="GC219" s="8" t="n">
        <v>10404831.57</v>
      </c>
      <c r="GD219" s="8" t="n">
        <v>77277.12</v>
      </c>
      <c r="GE219" s="8" t="n">
        <v>767388.49</v>
      </c>
      <c r="GF219" s="8" t="n">
        <v>391303.52</v>
      </c>
      <c r="GG219" s="9">
        <f>GC219+GD219+GE219+GF219</f>
        <v/>
      </c>
      <c r="GH219" s="8" t="n">
        <v>3457451.06</v>
      </c>
      <c r="GI219" s="8" t="n">
        <v>10000</v>
      </c>
      <c r="GJ219" s="8" t="n">
        <v>7863982.81</v>
      </c>
      <c r="GK219" s="8" t="n">
        <v>702184.27</v>
      </c>
      <c r="GL219" s="9">
        <f>GH219+GI219+GJ219+GK219</f>
        <v/>
      </c>
      <c r="GM219" s="9">
        <f>GG219+GL219</f>
        <v/>
      </c>
      <c r="GN219" s="8" t="n">
        <v>1170979.21</v>
      </c>
      <c r="GO219" s="8" t="n">
        <v>1530.24</v>
      </c>
      <c r="GP219" s="8" t="n">
        <v>78053.72</v>
      </c>
      <c r="GQ219" s="8" t="n">
        <v>83472.12</v>
      </c>
      <c r="GR219" s="9">
        <f>GN219+GO219+GP219+GQ219</f>
        <v/>
      </c>
      <c r="GS219" s="8" t="n">
        <v>1967279</v>
      </c>
      <c r="GT219" s="8" t="n">
        <v>7144</v>
      </c>
      <c r="GU219" s="8" t="n">
        <v>20539</v>
      </c>
      <c r="GV219" s="8" t="n">
        <v>16074</v>
      </c>
      <c r="GW219" s="9">
        <f>GS219+GT219+GU219+GV219</f>
        <v/>
      </c>
      <c r="GX219" s="9">
        <f>GM219+GR219+GW219</f>
        <v/>
      </c>
      <c r="GY219" s="8" t="n">
        <v>0</v>
      </c>
      <c r="GZ219" s="8" t="n">
        <v>0</v>
      </c>
      <c r="HA219" s="9">
        <f>GY219+GZ219</f>
        <v/>
      </c>
      <c r="HB219" s="9">
        <f>IF(GX219=0,"",AU219/GX219)</f>
        <v/>
      </c>
      <c r="HC219" s="10">
        <f>IF((GX219+GY219)=0,"",GB219/(GX219+GY219))</f>
        <v/>
      </c>
      <c r="HD219" s="9">
        <f>IF(GX219=0,"",GB219/GX219)</f>
        <v/>
      </c>
      <c r="HE219" s="8" t="n">
        <v>9</v>
      </c>
      <c r="HF219" s="8" t="n">
        <v>1</v>
      </c>
      <c r="HG219" s="8" t="n">
        <v>191</v>
      </c>
      <c r="HH219" s="8" t="n">
        <v>9</v>
      </c>
      <c r="HI219" s="8" t="n">
        <v>30</v>
      </c>
      <c r="HJ219" s="9">
        <f>HF219+HI219</f>
        <v/>
      </c>
      <c r="HK219" s="10">
        <f>IF(HE219=0,"",HH219/HE219)</f>
        <v/>
      </c>
      <c r="HL219" s="8" t="n">
        <v>10</v>
      </c>
      <c r="HM219" s="8" t="n">
        <v>60</v>
      </c>
      <c r="HN219" s="11">
        <f>IF(HL219=0,"",HM219/HL219)</f>
        <v/>
      </c>
    </row>
    <row r="220">
      <c r="A220" s="12" t="inlineStr">
        <is>
          <t>Ngabu</t>
        </is>
      </c>
      <c r="B220" s="12" t="inlineStr">
        <is>
          <t>Chikwawa</t>
        </is>
      </c>
      <c r="C220" s="13" t="inlineStr">
        <is>
          <t>FY2025/26</t>
        </is>
      </c>
      <c r="D220" s="13" t="n">
        <v>2025</v>
      </c>
      <c r="E220" s="13" t="n">
        <v>5</v>
      </c>
      <c r="F220" s="13" t="inlineStr">
        <is>
          <t>May</t>
        </is>
      </c>
      <c r="G220" s="13" t="inlineStr">
        <is>
          <t>Q1</t>
        </is>
      </c>
      <c r="H220" s="14" t="n">
        <v>27956</v>
      </c>
      <c r="I220" s="14" t="n">
        <v>13296</v>
      </c>
      <c r="J220" s="14" t="n">
        <v>1321</v>
      </c>
      <c r="K220" s="14" t="n">
        <v>1605</v>
      </c>
      <c r="L220" s="14" t="n">
        <v>529</v>
      </c>
      <c r="M220" s="15">
        <f>SUM(I220,J220,K220,L220)</f>
        <v/>
      </c>
      <c r="N220" s="14" t="n">
        <v>1639</v>
      </c>
      <c r="O220" s="14" t="n">
        <v>0</v>
      </c>
      <c r="P220" s="14" t="n">
        <v>2032</v>
      </c>
      <c r="Q220" s="14" t="n">
        <v>601</v>
      </c>
      <c r="R220" s="15">
        <f>SUM(N220,O220,P220,Q220)</f>
        <v/>
      </c>
      <c r="S220" s="15">
        <f>M220+R220</f>
        <v/>
      </c>
      <c r="T220" s="14" t="n">
        <v>6933</v>
      </c>
      <c r="U220" s="16">
        <f>IF(H220=0,"",T220/H220)</f>
        <v/>
      </c>
      <c r="V220" s="14" t="n">
        <v>30</v>
      </c>
      <c r="W220" s="17">
        <f>IF(H220=0,"",V220/H220)</f>
        <v/>
      </c>
      <c r="X220" s="14" t="n">
        <v>0</v>
      </c>
      <c r="Y220" s="17">
        <f>IF(H220=0,"",X220/H220)</f>
        <v/>
      </c>
      <c r="Z220" s="14" t="n">
        <v>0</v>
      </c>
      <c r="AA220" s="17">
        <f>IF(H220=0,"",Z220/H220)</f>
        <v/>
      </c>
      <c r="AB220" s="14" t="n">
        <v>0</v>
      </c>
      <c r="AC220" s="17">
        <f>IF(H220=0,"",AB220/H220)</f>
        <v/>
      </c>
      <c r="AD220" s="14" t="n">
        <v>0</v>
      </c>
      <c r="AE220" s="17">
        <f>IF(H220=0,"",AD220/H220)</f>
        <v/>
      </c>
      <c r="AF220" s="14" t="n">
        <v>0</v>
      </c>
      <c r="AG220" s="17">
        <f>IF(H220=0,"",AF220/H220)</f>
        <v/>
      </c>
      <c r="AH220" s="14" t="n">
        <v>105758.7</v>
      </c>
      <c r="AI220" s="15">
        <f>IF(H220=0,"",AH220/H220)</f>
        <v/>
      </c>
      <c r="AJ220" s="14" t="n">
        <v>17051</v>
      </c>
      <c r="AK220" s="17">
        <f>IF(H220=0,"",AJ220/H220)</f>
        <v/>
      </c>
      <c r="AL220" s="14" t="n">
        <v>2382278.3265</v>
      </c>
      <c r="AM220" s="15">
        <f>IF(H220=0,"",AL220/H220)</f>
        <v/>
      </c>
      <c r="AN220" s="14" t="n">
        <v>1070</v>
      </c>
      <c r="AO220" s="14" t="n">
        <v>72</v>
      </c>
      <c r="AP220" s="14" t="n">
        <v>196848</v>
      </c>
      <c r="AQ220" s="14" t="n">
        <v>0</v>
      </c>
      <c r="AR220" s="14" t="n">
        <v>0</v>
      </c>
      <c r="AS220" s="14" t="n">
        <v>0</v>
      </c>
      <c r="AT220" s="14" t="n">
        <v>0</v>
      </c>
      <c r="AU220" s="15">
        <f>AH220+AL220+AP220+AQ220+AR220+AS220+AT220</f>
        <v/>
      </c>
      <c r="AV220" s="15">
        <f>IF(H220=0,"",AU220/H220)</f>
        <v/>
      </c>
      <c r="AW220" s="15">
        <f>IF(S220=0,"",AU220/S220)</f>
        <v/>
      </c>
      <c r="AX220" s="14" t="n">
        <v>7</v>
      </c>
      <c r="AY220" s="15">
        <f>IF(H220=0,"",AX220/(H220/1000/12))</f>
        <v/>
      </c>
      <c r="AZ220" s="14" t="n">
        <v>6</v>
      </c>
      <c r="BA220" s="14" t="n">
        <v>191</v>
      </c>
      <c r="BB220" s="14" t="n">
        <v>15</v>
      </c>
      <c r="BC220" s="14" t="n">
        <v>17</v>
      </c>
      <c r="BD220" s="14" t="n">
        <v>0</v>
      </c>
      <c r="BE220" s="15">
        <f>BC220+BD220</f>
        <v/>
      </c>
      <c r="BF220" s="15">
        <f>BA220+BB220-BE220</f>
        <v/>
      </c>
      <c r="BG220" s="14" t="n">
        <v>0</v>
      </c>
      <c r="BH220" s="14" t="n">
        <v>0</v>
      </c>
      <c r="BI220" s="14" t="n">
        <v>0</v>
      </c>
      <c r="BJ220" s="14" t="n">
        <v>0</v>
      </c>
      <c r="BK220" s="15">
        <f>BI220+BJ220</f>
        <v/>
      </c>
      <c r="BL220" s="15">
        <f>BG220+BH220-BK220</f>
        <v/>
      </c>
      <c r="BM220" s="14" t="n">
        <v>0</v>
      </c>
      <c r="BN220" s="14" t="n">
        <v>0</v>
      </c>
      <c r="BO220" s="14" t="n">
        <v>0</v>
      </c>
      <c r="BP220" s="14" t="n">
        <v>0</v>
      </c>
      <c r="BQ220" s="15">
        <f>BO220+BP220</f>
        <v/>
      </c>
      <c r="BR220" s="15">
        <f>BM220+BN220-BQ220</f>
        <v/>
      </c>
      <c r="BS220" s="14" t="n">
        <v>0</v>
      </c>
      <c r="BT220" s="14" t="n">
        <v>0</v>
      </c>
      <c r="BU220" s="14" t="n">
        <v>0</v>
      </c>
      <c r="BV220" s="14" t="n">
        <v>0</v>
      </c>
      <c r="BW220" s="15">
        <f>BU220+BV220</f>
        <v/>
      </c>
      <c r="BX220" s="15">
        <f>BS220+BT220-BW220</f>
        <v/>
      </c>
      <c r="BY220" s="15">
        <f>BA220+BG220+BM220+BS220</f>
        <v/>
      </c>
      <c r="BZ220" s="15">
        <f>BB220+BH220+BN220+BT220</f>
        <v/>
      </c>
      <c r="CA220" s="15">
        <f>BE220+BK220+BQ220+BW220</f>
        <v/>
      </c>
      <c r="CB220" s="15">
        <f>BF220+BL220+BR220+BX220</f>
        <v/>
      </c>
      <c r="CC220" s="14" t="n">
        <v>0</v>
      </c>
      <c r="CD220" s="14" t="n">
        <v>968</v>
      </c>
      <c r="CE220" s="14" t="n">
        <v>11</v>
      </c>
      <c r="CF220" s="14" t="n">
        <v>13</v>
      </c>
      <c r="CG220" s="14" t="n">
        <v>16</v>
      </c>
      <c r="CH220" s="15">
        <f>CD220+CE220+CF220+CG220</f>
        <v/>
      </c>
      <c r="CI220" s="14" t="n">
        <v>2100</v>
      </c>
      <c r="CJ220" s="14" t="n">
        <v>23</v>
      </c>
      <c r="CK220" s="14" t="n">
        <v>15</v>
      </c>
      <c r="CL220" s="14" t="n">
        <v>9</v>
      </c>
      <c r="CM220" s="15">
        <f>CI220+CJ220+CK220+CL220</f>
        <v/>
      </c>
      <c r="CN220" s="14" t="n">
        <v>636</v>
      </c>
      <c r="CO220" s="14" t="n">
        <v>42</v>
      </c>
      <c r="CP220" s="14" t="n">
        <v>56</v>
      </c>
      <c r="CQ220" s="14" t="n">
        <v>3</v>
      </c>
      <c r="CR220" s="15">
        <f>CN220+CO220+CP220+CQ220</f>
        <v/>
      </c>
      <c r="CS220" s="15">
        <f>CM220+CR220</f>
        <v/>
      </c>
      <c r="CT220" s="14" t="n">
        <v>3892</v>
      </c>
      <c r="CU220" s="14" t="n">
        <v>22173.258</v>
      </c>
      <c r="CV220" s="14" t="n">
        <v>16999</v>
      </c>
      <c r="CW220" s="16">
        <f>IF(CU220=0,"",CV220/CU220)</f>
        <v/>
      </c>
      <c r="CX220" s="14" t="n">
        <v>0</v>
      </c>
      <c r="CY220" s="14" t="n"/>
      <c r="CZ220" s="14" t="n"/>
      <c r="DA220" s="14" t="n"/>
      <c r="DB220" s="15">
        <f>CX220+CY220-CZ220-DA220</f>
        <v/>
      </c>
      <c r="DC220" s="14" t="n">
        <v>0</v>
      </c>
      <c r="DD220" s="14" t="n">
        <v>0</v>
      </c>
      <c r="DE220" s="14" t="n">
        <v>0</v>
      </c>
      <c r="DF220" s="14" t="n">
        <v>0</v>
      </c>
      <c r="DG220" s="15">
        <f>DC220+DD220-DE220-DF220</f>
        <v/>
      </c>
      <c r="DH220" s="14" t="n">
        <v>0</v>
      </c>
      <c r="DI220" s="14" t="n">
        <v>0</v>
      </c>
      <c r="DJ220" s="14" t="n">
        <v>0</v>
      </c>
      <c r="DK220" s="14" t="n">
        <v>0</v>
      </c>
      <c r="DL220" s="15">
        <f>DH220+DI220-DJ220-DK220</f>
        <v/>
      </c>
      <c r="DM220" s="14" t="n">
        <v>184</v>
      </c>
      <c r="DN220" s="14" t="n">
        <v>11</v>
      </c>
      <c r="DO220" s="14" t="n">
        <v>14</v>
      </c>
      <c r="DP220" s="14" t="n">
        <v>0</v>
      </c>
      <c r="DQ220" s="15">
        <f>DM220+DN220-DO220-DP220</f>
        <v/>
      </c>
      <c r="DR220" s="15">
        <f>CX220+DC220+DH220+DM220</f>
        <v/>
      </c>
      <c r="DS220" s="15">
        <f>CY220+DD220+DI220+DN220</f>
        <v/>
      </c>
      <c r="DT220" s="15">
        <f>CZ220+DE220+DJ220+DO220</f>
        <v/>
      </c>
      <c r="DU220" s="15">
        <f>DA220+DF220+DK220+DP220</f>
        <v/>
      </c>
      <c r="DV220" s="15">
        <f>DB220+DG220+DL220+DQ220</f>
        <v/>
      </c>
      <c r="DW220" s="14" t="n">
        <v>62</v>
      </c>
      <c r="DX220" s="14" t="n">
        <v>10</v>
      </c>
      <c r="DY220" s="14" t="n">
        <v>4</v>
      </c>
      <c r="DZ220" s="14" t="n">
        <v>0</v>
      </c>
      <c r="EA220" s="14" t="n">
        <v>0</v>
      </c>
      <c r="EB220" s="14" t="n">
        <v>2</v>
      </c>
      <c r="EC220" s="14" t="n">
        <v>0</v>
      </c>
      <c r="ED220" s="14" t="n">
        <v>0</v>
      </c>
      <c r="EE220" s="14" t="n">
        <v>3</v>
      </c>
      <c r="EF220" s="14" t="n">
        <v>0</v>
      </c>
      <c r="EG220" s="14" t="n">
        <v>0</v>
      </c>
      <c r="EH220" s="14" t="n">
        <v>0</v>
      </c>
      <c r="EI220" s="14" t="n">
        <v>0</v>
      </c>
      <c r="EJ220" s="14" t="n">
        <v>0</v>
      </c>
      <c r="EK220" s="14" t="n">
        <v>0</v>
      </c>
      <c r="EL220" s="14" t="n">
        <v>0</v>
      </c>
      <c r="EM220" s="14" t="n">
        <v>0</v>
      </c>
      <c r="EN220" s="14" t="n">
        <v>0</v>
      </c>
      <c r="EO220" s="14" t="n">
        <v>0</v>
      </c>
      <c r="EP220" s="14" t="n">
        <v>0</v>
      </c>
      <c r="EQ220" s="14" t="n">
        <v>0</v>
      </c>
      <c r="ER220" s="14" t="n">
        <v>0</v>
      </c>
      <c r="ES220" s="14" t="n">
        <v>0</v>
      </c>
      <c r="ET220" s="14" t="n">
        <v>0</v>
      </c>
      <c r="EU220" s="14" t="n">
        <v>0</v>
      </c>
      <c r="EV220" s="14" t="n">
        <v>0</v>
      </c>
      <c r="EW220" s="14" t="n">
        <v>0</v>
      </c>
      <c r="EX220" s="14" t="n">
        <v>0</v>
      </c>
      <c r="EY220" s="14" t="n">
        <v>0</v>
      </c>
      <c r="EZ220" s="14" t="n">
        <v>0</v>
      </c>
      <c r="FA220" s="14" t="n">
        <v>0</v>
      </c>
      <c r="FB220" s="14" t="n">
        <v>0</v>
      </c>
      <c r="FC220" s="14" t="n">
        <v>0</v>
      </c>
      <c r="FD220" s="14" t="n">
        <v>0</v>
      </c>
      <c r="FE220" s="14" t="n">
        <v>0</v>
      </c>
      <c r="FF220" s="14" t="n">
        <v>0</v>
      </c>
      <c r="FG220" s="15">
        <f>SUM(DW220,DX220,DY220,DZ220,EA220,EB220,EC220,ED220,EE220,EF220,EG220,EH220,EI220,EJ220,EK220,EL220,EM220,EN220,EO220,EP220,EQ220,ER220,ES220,ET220,EU220,EV220,EW220,EX220,EY220,EZ220,FA220,FB220,FC220,FD220,FE220,FF220)</f>
        <v/>
      </c>
      <c r="FH220" s="14" t="n">
        <v>0</v>
      </c>
      <c r="FI220" s="14" t="n">
        <v>0</v>
      </c>
      <c r="FJ220" s="14" t="n">
        <v>0</v>
      </c>
      <c r="FK220" s="14" t="n">
        <v>0</v>
      </c>
      <c r="FL220" s="14" t="n">
        <v>0</v>
      </c>
      <c r="FM220" s="14" t="n">
        <v>0</v>
      </c>
      <c r="FN220" s="14" t="n">
        <v>0</v>
      </c>
      <c r="FO220" s="14" t="n">
        <v>0</v>
      </c>
      <c r="FP220" s="14" t="n">
        <v>0</v>
      </c>
      <c r="FQ220" s="15">
        <f>FL220+FM220+FN220+FO220+FP220</f>
        <v/>
      </c>
      <c r="FR220" s="14" t="n">
        <v>12272480</v>
      </c>
      <c r="FS220" s="14" t="n">
        <v>76150</v>
      </c>
      <c r="FT220" s="14" t="n">
        <v>73100</v>
      </c>
      <c r="FU220" s="14" t="n">
        <v>113400</v>
      </c>
      <c r="FV220" s="15">
        <f>FR220+FS220+FT220+FU220</f>
        <v/>
      </c>
      <c r="FW220" s="14" t="n">
        <v>3259273</v>
      </c>
      <c r="FX220" s="14" t="n">
        <v>2000</v>
      </c>
      <c r="FY220" s="14" t="n">
        <v>3383000</v>
      </c>
      <c r="FZ220" s="14" t="n">
        <v>2371479</v>
      </c>
      <c r="GA220" s="15">
        <f>FW220+FX220+FY220+FZ220</f>
        <v/>
      </c>
      <c r="GB220" s="15">
        <f>FV220+GA220</f>
        <v/>
      </c>
      <c r="GC220" s="14" t="n">
        <v>12483381.58</v>
      </c>
      <c r="GD220" s="14" t="n">
        <v>79572.48</v>
      </c>
      <c r="GE220" s="14" t="n">
        <v>551087.36</v>
      </c>
      <c r="GF220" s="14" t="n">
        <v>212721.04</v>
      </c>
      <c r="GG220" s="15">
        <f>GC220+GD220+GE220+GF220</f>
        <v/>
      </c>
      <c r="GH220" s="14" t="n">
        <v>3237564.41</v>
      </c>
      <c r="GI220" s="14" t="n">
        <v>2000</v>
      </c>
      <c r="GJ220" s="14" t="n">
        <v>2192679.4</v>
      </c>
      <c r="GK220" s="14" t="n">
        <v>3383000</v>
      </c>
      <c r="GL220" s="15">
        <f>GH220+GI220+GJ220+GK220</f>
        <v/>
      </c>
      <c r="GM220" s="15">
        <f>GG220+GL220</f>
        <v/>
      </c>
      <c r="GN220" s="14" t="n">
        <v>1162873.9</v>
      </c>
      <c r="GO220" s="14" t="n">
        <v>1530.24</v>
      </c>
      <c r="GP220" s="14" t="n">
        <v>67872.8</v>
      </c>
      <c r="GQ220" s="14" t="n">
        <v>64922.76</v>
      </c>
      <c r="GR220" s="15">
        <f>GN220+GO220+GP220+GQ220</f>
        <v/>
      </c>
      <c r="GS220" s="14" t="n">
        <v>1952991</v>
      </c>
      <c r="GT220" s="14" t="n">
        <v>7144</v>
      </c>
      <c r="GU220" s="14" t="n">
        <v>17860</v>
      </c>
      <c r="GV220" s="14" t="n">
        <v>12502</v>
      </c>
      <c r="GW220" s="15">
        <f>GS220+GT220+GU220+GV220</f>
        <v/>
      </c>
      <c r="GX220" s="15">
        <f>GM220+GR220+GW220</f>
        <v/>
      </c>
      <c r="GY220" s="14" t="n">
        <v>67351313.95999999</v>
      </c>
      <c r="GZ220" s="14" t="n">
        <v>2104411.32</v>
      </c>
      <c r="HA220" s="15">
        <f>GY220+GZ220</f>
        <v/>
      </c>
      <c r="HB220" s="15">
        <f>IF(GX220=0,"",AU220/GX220)</f>
        <v/>
      </c>
      <c r="HC220" s="16">
        <f>IF((GX220+GY220)=0,"",GB220/(GX220+GY220))</f>
        <v/>
      </c>
      <c r="HD220" s="15">
        <f>IF(GX220=0,"",GB220/GX220)</f>
        <v/>
      </c>
      <c r="HE220" s="14" t="n">
        <v>15</v>
      </c>
      <c r="HF220" s="14" t="n">
        <v>1</v>
      </c>
      <c r="HG220" s="14" t="n">
        <v>189</v>
      </c>
      <c r="HH220" s="14" t="n">
        <v>15</v>
      </c>
      <c r="HI220" s="14" t="n">
        <v>30</v>
      </c>
      <c r="HJ220" s="15">
        <f>HF220+HI220</f>
        <v/>
      </c>
      <c r="HK220" s="16">
        <f>IF(HE220=0,"",HH220/HE220)</f>
        <v/>
      </c>
      <c r="HL220" s="14" t="n">
        <v>6</v>
      </c>
      <c r="HM220" s="14" t="n">
        <v>60</v>
      </c>
      <c r="HN220" s="17">
        <f>IF(HL220=0,"",HM220/HL220)</f>
        <v/>
      </c>
    </row>
    <row r="221">
      <c r="A221" s="6" t="inlineStr">
        <is>
          <t>Ngabu</t>
        </is>
      </c>
      <c r="B221" s="6" t="inlineStr">
        <is>
          <t>Chikwawa</t>
        </is>
      </c>
      <c r="C221" s="7" t="inlineStr">
        <is>
          <t>FY2025/26</t>
        </is>
      </c>
      <c r="D221" s="7" t="n">
        <v>2025</v>
      </c>
      <c r="E221" s="7" t="n">
        <v>6</v>
      </c>
      <c r="F221" s="7" t="inlineStr">
        <is>
          <t>June</t>
        </is>
      </c>
      <c r="G221" s="7" t="inlineStr">
        <is>
          <t>Q1</t>
        </is>
      </c>
      <c r="H221" s="8" t="n">
        <v>27151</v>
      </c>
      <c r="I221" s="8" t="n">
        <v>13455</v>
      </c>
      <c r="J221" s="8" t="n">
        <v>478</v>
      </c>
      <c r="K221" s="8" t="n">
        <v>323</v>
      </c>
      <c r="L221" s="8" t="n">
        <v>101</v>
      </c>
      <c r="M221" s="9">
        <f>SUM(I221,J221,K221,L221)</f>
        <v/>
      </c>
      <c r="N221" s="8" t="n">
        <v>1008</v>
      </c>
      <c r="O221" s="8" t="n">
        <v>0</v>
      </c>
      <c r="P221" s="8" t="n">
        <v>4406</v>
      </c>
      <c r="Q221" s="8" t="n">
        <v>711</v>
      </c>
      <c r="R221" s="9">
        <f>SUM(N221,O221,P221,Q221)</f>
        <v/>
      </c>
      <c r="S221" s="9">
        <f>M221+R221</f>
        <v/>
      </c>
      <c r="T221" s="8" t="n">
        <v>6669</v>
      </c>
      <c r="U221" s="10">
        <f>IF(H221=0,"",T221/H221)</f>
        <v/>
      </c>
      <c r="V221" s="8" t="n">
        <v>31</v>
      </c>
      <c r="W221" s="11">
        <f>IF(H221=0,"",V221/H221)</f>
        <v/>
      </c>
      <c r="X221" s="8" t="n">
        <v>0</v>
      </c>
      <c r="Y221" s="11">
        <f>IF(H221=0,"",X221/H221)</f>
        <v/>
      </c>
      <c r="Z221" s="8" t="n">
        <v>0</v>
      </c>
      <c r="AA221" s="11">
        <f>IF(H221=0,"",Z221/H221)</f>
        <v/>
      </c>
      <c r="AB221" s="8" t="n">
        <v>0</v>
      </c>
      <c r="AC221" s="11">
        <f>IF(H221=0,"",AB221/H221)</f>
        <v/>
      </c>
      <c r="AD221" s="8" t="n">
        <v>0</v>
      </c>
      <c r="AE221" s="11">
        <f>IF(H221=0,"",AD221/H221)</f>
        <v/>
      </c>
      <c r="AF221" s="8" t="n">
        <v>0</v>
      </c>
      <c r="AG221" s="11">
        <f>IF(H221=0,"",AF221/H221)</f>
        <v/>
      </c>
      <c r="AH221" s="8" t="n">
        <v>109283.99</v>
      </c>
      <c r="AI221" s="9">
        <f>IF(H221=0,"",AH221/H221)</f>
        <v/>
      </c>
      <c r="AJ221" s="8" t="n">
        <v>17600</v>
      </c>
      <c r="AK221" s="11">
        <f>IF(H221=0,"",AJ221/H221)</f>
        <v/>
      </c>
      <c r="AL221" s="8" t="n">
        <v>2458452.9</v>
      </c>
      <c r="AM221" s="9">
        <f>IF(H221=0,"",AL221/H221)</f>
        <v/>
      </c>
      <c r="AN221" s="8" t="n">
        <v>1165</v>
      </c>
      <c r="AO221" s="8" t="n">
        <v>90</v>
      </c>
      <c r="AP221" s="8" t="n">
        <v>246060</v>
      </c>
      <c r="AQ221" s="8" t="n">
        <v>0</v>
      </c>
      <c r="AR221" s="8" t="n">
        <v>0</v>
      </c>
      <c r="AS221" s="8" t="n">
        <v>0</v>
      </c>
      <c r="AT221" s="8" t="n">
        <v>0</v>
      </c>
      <c r="AU221" s="9">
        <f>AH221+AL221+AP221+AQ221+AR221+AS221+AT221</f>
        <v/>
      </c>
      <c r="AV221" s="9">
        <f>IF(H221=0,"",AU221/H221)</f>
        <v/>
      </c>
      <c r="AW221" s="9">
        <f>IF(S221=0,"",AU221/S221)</f>
        <v/>
      </c>
      <c r="AX221" s="8" t="n">
        <v>7</v>
      </c>
      <c r="AY221" s="9">
        <f>IF(H221=0,"",AX221/(H221/1000/12))</f>
        <v/>
      </c>
      <c r="AZ221" s="8" t="n">
        <v>6</v>
      </c>
      <c r="BA221" s="8" t="n">
        <v>189</v>
      </c>
      <c r="BB221" s="8" t="n">
        <v>12</v>
      </c>
      <c r="BC221" s="8" t="n">
        <v>13</v>
      </c>
      <c r="BD221" s="8" t="n">
        <v>0</v>
      </c>
      <c r="BE221" s="9">
        <f>BC221+BD221</f>
        <v/>
      </c>
      <c r="BF221" s="9">
        <f>BA221+BB221-BE221</f>
        <v/>
      </c>
      <c r="BG221" s="8" t="n">
        <v>0</v>
      </c>
      <c r="BH221" s="8" t="n">
        <v>0</v>
      </c>
      <c r="BI221" s="8" t="n">
        <v>0</v>
      </c>
      <c r="BJ221" s="8" t="n">
        <v>0</v>
      </c>
      <c r="BK221" s="9">
        <f>BI221+BJ221</f>
        <v/>
      </c>
      <c r="BL221" s="9">
        <f>BG221+BH221-BK221</f>
        <v/>
      </c>
      <c r="BM221" s="8" t="n">
        <v>0</v>
      </c>
      <c r="BN221" s="8" t="n">
        <v>0</v>
      </c>
      <c r="BO221" s="8" t="n">
        <v>0</v>
      </c>
      <c r="BP221" s="8" t="n">
        <v>0</v>
      </c>
      <c r="BQ221" s="9">
        <f>BO221+BP221</f>
        <v/>
      </c>
      <c r="BR221" s="9">
        <f>BM221+BN221-BQ221</f>
        <v/>
      </c>
      <c r="BS221" s="8" t="n">
        <v>0</v>
      </c>
      <c r="BT221" s="8" t="n">
        <v>0</v>
      </c>
      <c r="BU221" s="8" t="n">
        <v>0</v>
      </c>
      <c r="BV221" s="8" t="n">
        <v>0</v>
      </c>
      <c r="BW221" s="9">
        <f>BU221+BV221</f>
        <v/>
      </c>
      <c r="BX221" s="9">
        <f>BS221+BT221-BW221</f>
        <v/>
      </c>
      <c r="BY221" s="9">
        <f>BA221+BG221+BM221+BS221</f>
        <v/>
      </c>
      <c r="BZ221" s="9">
        <f>BB221+BH221+BN221+BT221</f>
        <v/>
      </c>
      <c r="CA221" s="9">
        <f>BE221+BK221+BQ221+BW221</f>
        <v/>
      </c>
      <c r="CB221" s="9">
        <f>BF221+BL221+BR221+BX221</f>
        <v/>
      </c>
      <c r="CC221" s="8" t="n">
        <v>0</v>
      </c>
      <c r="CD221" s="8" t="n">
        <v>1061</v>
      </c>
      <c r="CE221" s="8" t="n">
        <v>11</v>
      </c>
      <c r="CF221" s="8" t="n">
        <v>13</v>
      </c>
      <c r="CG221" s="8" t="n">
        <v>16</v>
      </c>
      <c r="CH221" s="9">
        <f>CD221+CE221+CF221+CG221</f>
        <v/>
      </c>
      <c r="CI221" s="8" t="n">
        <v>2020</v>
      </c>
      <c r="CJ221" s="8" t="n">
        <v>23</v>
      </c>
      <c r="CK221" s="8" t="n">
        <v>15</v>
      </c>
      <c r="CL221" s="8" t="n">
        <v>9</v>
      </c>
      <c r="CM221" s="9">
        <f>CI221+CJ221+CK221+CL221</f>
        <v/>
      </c>
      <c r="CN221" s="8" t="n">
        <v>636</v>
      </c>
      <c r="CO221" s="8" t="n">
        <v>42</v>
      </c>
      <c r="CP221" s="8" t="n">
        <v>56</v>
      </c>
      <c r="CQ221" s="8" t="n">
        <v>3</v>
      </c>
      <c r="CR221" s="9">
        <f>CN221+CO221+CP221+CQ221</f>
        <v/>
      </c>
      <c r="CS221" s="9">
        <f>CM221+CR221</f>
        <v/>
      </c>
      <c r="CT221" s="8" t="n">
        <v>3905</v>
      </c>
      <c r="CU221" s="8" t="n">
        <v>22217.604516</v>
      </c>
      <c r="CV221" s="8" t="n">
        <v>17012</v>
      </c>
      <c r="CW221" s="10">
        <f>IF(CU221=0,"",CV221/CU221)</f>
        <v/>
      </c>
      <c r="CX221" s="8" t="n">
        <v>0</v>
      </c>
      <c r="CY221" s="8" t="n"/>
      <c r="CZ221" s="8" t="n"/>
      <c r="DA221" s="8" t="n"/>
      <c r="DB221" s="9">
        <f>CX221+CY221-CZ221-DA221</f>
        <v/>
      </c>
      <c r="DC221" s="8" t="n">
        <v>0</v>
      </c>
      <c r="DD221" s="8" t="n">
        <v>0</v>
      </c>
      <c r="DE221" s="8" t="n">
        <v>0</v>
      </c>
      <c r="DF221" s="8" t="n">
        <v>0</v>
      </c>
      <c r="DG221" s="9">
        <f>DC221+DD221-DE221-DF221</f>
        <v/>
      </c>
      <c r="DH221" s="8" t="n">
        <v>0</v>
      </c>
      <c r="DI221" s="8" t="n">
        <v>0</v>
      </c>
      <c r="DJ221" s="8" t="n">
        <v>0</v>
      </c>
      <c r="DK221" s="8" t="n">
        <v>0</v>
      </c>
      <c r="DL221" s="9">
        <f>DH221+DI221-DJ221-DK221</f>
        <v/>
      </c>
      <c r="DM221" s="8" t="n">
        <v>181</v>
      </c>
      <c r="DN221" s="8" t="n">
        <v>16</v>
      </c>
      <c r="DO221" s="8" t="n">
        <v>21</v>
      </c>
      <c r="DP221" s="8" t="n">
        <v>0</v>
      </c>
      <c r="DQ221" s="9">
        <f>DM221+DN221-DO221-DP221</f>
        <v/>
      </c>
      <c r="DR221" s="9">
        <f>CX221+DC221+DH221+DM221</f>
        <v/>
      </c>
      <c r="DS221" s="9">
        <f>CY221+DD221+DI221+DN221</f>
        <v/>
      </c>
      <c r="DT221" s="9">
        <f>CZ221+DE221+DJ221+DO221</f>
        <v/>
      </c>
      <c r="DU221" s="9">
        <f>DA221+DF221+DK221+DP221</f>
        <v/>
      </c>
      <c r="DV221" s="9">
        <f>DB221+DG221+DL221+DQ221</f>
        <v/>
      </c>
      <c r="DW221" s="8" t="n">
        <v>56</v>
      </c>
      <c r="DX221" s="8" t="n">
        <v>9</v>
      </c>
      <c r="DY221" s="8" t="n">
        <v>0</v>
      </c>
      <c r="DZ221" s="8" t="n">
        <v>3</v>
      </c>
      <c r="EA221" s="8" t="n">
        <v>0</v>
      </c>
      <c r="EB221" s="8" t="n">
        <v>2</v>
      </c>
      <c r="EC221" s="8" t="n">
        <v>0</v>
      </c>
      <c r="ED221" s="8" t="n">
        <v>0</v>
      </c>
      <c r="EE221" s="8" t="n">
        <v>0</v>
      </c>
      <c r="EF221" s="8" t="n">
        <v>2</v>
      </c>
      <c r="EG221" s="8" t="n">
        <v>0</v>
      </c>
      <c r="EH221" s="8" t="n">
        <v>0</v>
      </c>
      <c r="EI221" s="8" t="n">
        <v>0</v>
      </c>
      <c r="EJ221" s="8" t="n">
        <v>0</v>
      </c>
      <c r="EK221" s="8" t="n">
        <v>0</v>
      </c>
      <c r="EL221" s="8" t="n">
        <v>0</v>
      </c>
      <c r="EM221" s="8" t="n">
        <v>0</v>
      </c>
      <c r="EN221" s="8" t="n">
        <v>0</v>
      </c>
      <c r="EO221" s="8" t="n">
        <v>0</v>
      </c>
      <c r="EP221" s="8" t="n">
        <v>0</v>
      </c>
      <c r="EQ221" s="8" t="n">
        <v>0</v>
      </c>
      <c r="ER221" s="8" t="n">
        <v>0</v>
      </c>
      <c r="ES221" s="8" t="n">
        <v>0</v>
      </c>
      <c r="ET221" s="8" t="n">
        <v>0</v>
      </c>
      <c r="EU221" s="8" t="n">
        <v>0</v>
      </c>
      <c r="EV221" s="8" t="n">
        <v>0</v>
      </c>
      <c r="EW221" s="8" t="n">
        <v>0</v>
      </c>
      <c r="EX221" s="8" t="n">
        <v>0</v>
      </c>
      <c r="EY221" s="8" t="n">
        <v>0</v>
      </c>
      <c r="EZ221" s="8" t="n">
        <v>0</v>
      </c>
      <c r="FA221" s="8" t="n">
        <v>0</v>
      </c>
      <c r="FB221" s="8" t="n">
        <v>0</v>
      </c>
      <c r="FC221" s="8" t="n">
        <v>0</v>
      </c>
      <c r="FD221" s="8" t="n">
        <v>0</v>
      </c>
      <c r="FE221" s="8" t="n">
        <v>0</v>
      </c>
      <c r="FF221" s="8" t="n">
        <v>0</v>
      </c>
      <c r="FG221" s="9">
        <f>SUM(DW221,DX221,DY221,DZ221,EA221,EB221,EC221,ED221,EE221,EF221,EG221,EH221,EI221,EJ221,EK221,EL221,EM221,EN221,EO221,EP221,EQ221,ER221,ES221,ET221,EU221,EV221,EW221,EX221,EY221,EZ221,FA221,FB221,FC221,FD221,FE221,FF221)</f>
        <v/>
      </c>
      <c r="FH221" s="8" t="n">
        <v>0</v>
      </c>
      <c r="FI221" s="8" t="n">
        <v>0</v>
      </c>
      <c r="FJ221" s="8" t="n">
        <v>0</v>
      </c>
      <c r="FK221" s="8" t="n">
        <v>0</v>
      </c>
      <c r="FL221" s="8" t="n">
        <v>0</v>
      </c>
      <c r="FM221" s="8" t="n">
        <v>0</v>
      </c>
      <c r="FN221" s="8" t="n">
        <v>0</v>
      </c>
      <c r="FO221" s="8" t="n">
        <v>0</v>
      </c>
      <c r="FP221" s="8" t="n">
        <v>0</v>
      </c>
      <c r="FQ221" s="9">
        <f>FL221+FM221+FN221+FO221+FP221</f>
        <v/>
      </c>
      <c r="FR221" s="8" t="n">
        <v>10462218</v>
      </c>
      <c r="FS221" s="8" t="n">
        <v>45000</v>
      </c>
      <c r="FT221" s="8" t="n">
        <v>58500</v>
      </c>
      <c r="FU221" s="8" t="n">
        <v>227000</v>
      </c>
      <c r="FV221" s="9">
        <f>FR221+FS221+FT221+FU221</f>
        <v/>
      </c>
      <c r="FW221" s="8" t="n">
        <v>2696767</v>
      </c>
      <c r="FX221" s="8" t="n">
        <v>0</v>
      </c>
      <c r="FY221" s="8" t="n">
        <v>255000</v>
      </c>
      <c r="FZ221" s="8" t="n">
        <v>3101700</v>
      </c>
      <c r="GA221" s="9">
        <f>FW221+FX221+FY221+FZ221</f>
        <v/>
      </c>
      <c r="GB221" s="9">
        <f>FV221+GA221</f>
        <v/>
      </c>
      <c r="GC221" s="8" t="n">
        <v>13668607</v>
      </c>
      <c r="GD221" s="8" t="n">
        <v>91431.84</v>
      </c>
      <c r="GE221" s="8" t="n">
        <v>1091671.11</v>
      </c>
      <c r="GF221" s="8" t="n">
        <v>341973.8</v>
      </c>
      <c r="GG221" s="9">
        <f>GC221+GD221+GE221+GF221</f>
        <v/>
      </c>
      <c r="GH221" s="8" t="n">
        <v>2662582.74</v>
      </c>
      <c r="GI221" s="8" t="n">
        <v>0</v>
      </c>
      <c r="GJ221" s="8" t="n">
        <v>2990805.03</v>
      </c>
      <c r="GK221" s="8" t="n">
        <v>255000</v>
      </c>
      <c r="GL221" s="9">
        <f>GH221+GI221+GJ221+GK221</f>
        <v/>
      </c>
      <c r="GM221" s="9">
        <f>GG221+GL221</f>
        <v/>
      </c>
      <c r="GN221" s="8" t="n">
        <v>1135570.1</v>
      </c>
      <c r="GO221" s="8" t="n">
        <v>1147.68</v>
      </c>
      <c r="GP221" s="8" t="n">
        <v>71266.44</v>
      </c>
      <c r="GQ221" s="8" t="n">
        <v>55648.08</v>
      </c>
      <c r="GR221" s="9">
        <f>GN221+GO221+GP221+GQ221</f>
        <v/>
      </c>
      <c r="GS221" s="8" t="n">
        <v>1905662</v>
      </c>
      <c r="GT221" s="8" t="n">
        <v>5358</v>
      </c>
      <c r="GU221" s="8" t="n">
        <v>18753</v>
      </c>
      <c r="GV221" s="8" t="n">
        <v>10716</v>
      </c>
      <c r="GW221" s="9">
        <f>GS221+GT221+GU221+GV221</f>
        <v/>
      </c>
      <c r="GX221" s="9">
        <f>GM221+GR221+GW221</f>
        <v/>
      </c>
      <c r="GY221" s="8" t="n">
        <v>69280393.62</v>
      </c>
      <c r="GZ221" s="8" t="n">
        <v>3258489.86</v>
      </c>
      <c r="HA221" s="9">
        <f>GY221+GZ221</f>
        <v/>
      </c>
      <c r="HB221" s="9">
        <f>IF(GX221=0,"",AU221/GX221)</f>
        <v/>
      </c>
      <c r="HC221" s="10">
        <f>IF((GX221+GY221)=0,"",GB221/(GX221+GY221))</f>
        <v/>
      </c>
      <c r="HD221" s="9">
        <f>IF(GX221=0,"",GB221/GX221)</f>
        <v/>
      </c>
      <c r="HE221" s="8" t="n">
        <v>12</v>
      </c>
      <c r="HF221" s="8" t="n">
        <v>1</v>
      </c>
      <c r="HG221" s="8" t="n">
        <v>188</v>
      </c>
      <c r="HH221" s="8" t="n">
        <v>12</v>
      </c>
      <c r="HI221" s="8" t="n">
        <v>30</v>
      </c>
      <c r="HJ221" s="9">
        <f>HF221+HI221</f>
        <v/>
      </c>
      <c r="HK221" s="10">
        <f>IF(HE221=0,"",HH221/HE221)</f>
        <v/>
      </c>
      <c r="HL221" s="8" t="n">
        <v>12</v>
      </c>
      <c r="HM221" s="8" t="n">
        <v>60</v>
      </c>
      <c r="HN221" s="11">
        <f>IF(HL221=0,"",HM221/HL221)</f>
        <v/>
      </c>
    </row>
    <row r="222">
      <c r="A222" s="12" t="inlineStr">
        <is>
          <t>Ngabu</t>
        </is>
      </c>
      <c r="B222" s="12" t="inlineStr">
        <is>
          <t>Chikwawa</t>
        </is>
      </c>
      <c r="C222" s="13" t="inlineStr">
        <is>
          <t>FY2025/26</t>
        </is>
      </c>
      <c r="D222" s="13" t="n">
        <v>2025</v>
      </c>
      <c r="E222" s="13" t="n">
        <v>7</v>
      </c>
      <c r="F222" s="13" t="inlineStr">
        <is>
          <t>July</t>
        </is>
      </c>
      <c r="G222" s="13" t="inlineStr">
        <is>
          <t>Q2</t>
        </is>
      </c>
      <c r="H222" s="14" t="n">
        <v>27725</v>
      </c>
      <c r="I222" s="14" t="n">
        <v>13238</v>
      </c>
      <c r="J222" s="14" t="n">
        <v>1214</v>
      </c>
      <c r="K222" s="14" t="n">
        <v>1522</v>
      </c>
      <c r="L222" s="14" t="n">
        <v>495</v>
      </c>
      <c r="M222" s="15">
        <f>SUM(I222,J222,K222,L222)</f>
        <v/>
      </c>
      <c r="N222" s="14" t="n">
        <v>1193</v>
      </c>
      <c r="O222" s="14" t="n">
        <v>0</v>
      </c>
      <c r="P222" s="14" t="n">
        <v>2511</v>
      </c>
      <c r="Q222" s="14" t="n">
        <v>621</v>
      </c>
      <c r="R222" s="15">
        <f>SUM(N222,O222,P222,Q222)</f>
        <v/>
      </c>
      <c r="S222" s="15">
        <f>M222+R222</f>
        <v/>
      </c>
      <c r="T222" s="14" t="n">
        <v>6931</v>
      </c>
      <c r="U222" s="16">
        <f>IF(H222=0,"",T222/H222)</f>
        <v/>
      </c>
      <c r="V222" s="14" t="n">
        <v>31</v>
      </c>
      <c r="W222" s="17">
        <f>IF(H222=0,"",V222/H222)</f>
        <v/>
      </c>
      <c r="X222" s="14" t="n">
        <v>0</v>
      </c>
      <c r="Y222" s="17">
        <f>IF(H222=0,"",X222/H222)</f>
        <v/>
      </c>
      <c r="Z222" s="14" t="n">
        <v>0</v>
      </c>
      <c r="AA222" s="17">
        <f>IF(H222=0,"",Z222/H222)</f>
        <v/>
      </c>
      <c r="AB222" s="14" t="n">
        <v>0</v>
      </c>
      <c r="AC222" s="17">
        <f>IF(H222=0,"",AB222/H222)</f>
        <v/>
      </c>
      <c r="AD222" s="14" t="n">
        <v>0</v>
      </c>
      <c r="AE222" s="17">
        <f>IF(H222=0,"",AD222/H222)</f>
        <v/>
      </c>
      <c r="AF222" s="14" t="n">
        <v>0</v>
      </c>
      <c r="AG222" s="17">
        <f>IF(H222=0,"",AF222/H222)</f>
        <v/>
      </c>
      <c r="AH222" s="14" t="n">
        <v>109283.99</v>
      </c>
      <c r="AI222" s="15">
        <f>IF(H222=0,"",AH222/H222)</f>
        <v/>
      </c>
      <c r="AJ222" s="14" t="n">
        <v>16151</v>
      </c>
      <c r="AK222" s="17">
        <f>IF(H222=0,"",AJ222/H222)</f>
        <v/>
      </c>
      <c r="AL222" s="14" t="n">
        <v>2257401.9765</v>
      </c>
      <c r="AM222" s="15">
        <f>IF(H222=0,"",AL222/H222)</f>
        <v/>
      </c>
      <c r="AN222" s="14" t="n">
        <v>853</v>
      </c>
      <c r="AO222" s="14" t="n">
        <v>130</v>
      </c>
      <c r="AP222" s="14" t="n">
        <v>355420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5">
        <f>AH222+AL222+AP222+AQ222+AR222+AS222+AT222</f>
        <v/>
      </c>
      <c r="AV222" s="15">
        <f>IF(H222=0,"",AU222/H222)</f>
        <v/>
      </c>
      <c r="AW222" s="15">
        <f>IF(S222=0,"",AU222/S222)</f>
        <v/>
      </c>
      <c r="AX222" s="14" t="n">
        <v>7</v>
      </c>
      <c r="AY222" s="15">
        <f>IF(H222=0,"",AX222/(H222/1000/12))</f>
        <v/>
      </c>
      <c r="AZ222" s="14" t="n">
        <v>6</v>
      </c>
      <c r="BA222" s="14" t="n">
        <v>188</v>
      </c>
      <c r="BB222" s="14" t="n">
        <v>9</v>
      </c>
      <c r="BC222" s="14" t="n">
        <v>43</v>
      </c>
      <c r="BD222" s="14" t="n">
        <v>0</v>
      </c>
      <c r="BE222" s="15">
        <f>BC222+BD222</f>
        <v/>
      </c>
      <c r="BF222" s="15">
        <f>BA222+BB222-BE222</f>
        <v/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5">
        <f>BI222+BJ222</f>
        <v/>
      </c>
      <c r="BL222" s="15">
        <f>BG222+BH222-BK222</f>
        <v/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5">
        <f>BO222+BP222</f>
        <v/>
      </c>
      <c r="BR222" s="15">
        <f>BM222+BN222-BQ222</f>
        <v/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5">
        <f>BU222+BV222</f>
        <v/>
      </c>
      <c r="BX222" s="15">
        <f>BS222+BT222-BW222</f>
        <v/>
      </c>
      <c r="BY222" s="15">
        <f>BA222+BG222+BM222+BS222</f>
        <v/>
      </c>
      <c r="BZ222" s="15">
        <f>BB222+BH222+BN222+BT222</f>
        <v/>
      </c>
      <c r="CA222" s="15">
        <f>BE222+BK222+BQ222+BW222</f>
        <v/>
      </c>
      <c r="CB222" s="15">
        <f>BF222+BL222+BR222+BX222</f>
        <v/>
      </c>
      <c r="CC222" s="14" t="n">
        <v>0</v>
      </c>
      <c r="CD222" s="14" t="n">
        <v>1596</v>
      </c>
      <c r="CE222" s="14" t="n">
        <v>11</v>
      </c>
      <c r="CF222" s="14" t="n">
        <v>13</v>
      </c>
      <c r="CG222" s="14" t="n">
        <v>21</v>
      </c>
      <c r="CH222" s="15">
        <f>CD222+CE222+CF222+CG222</f>
        <v/>
      </c>
      <c r="CI222" s="14" t="n">
        <v>1523</v>
      </c>
      <c r="CJ222" s="14" t="n">
        <v>23</v>
      </c>
      <c r="CK222" s="14" t="n">
        <v>15</v>
      </c>
      <c r="CL222" s="14" t="n">
        <v>9</v>
      </c>
      <c r="CM222" s="15">
        <f>CI222+CJ222+CK222+CL222</f>
        <v/>
      </c>
      <c r="CN222" s="14" t="n">
        <v>636</v>
      </c>
      <c r="CO222" s="14" t="n">
        <v>42</v>
      </c>
      <c r="CP222" s="14" t="n">
        <v>56</v>
      </c>
      <c r="CQ222" s="14" t="n">
        <v>3</v>
      </c>
      <c r="CR222" s="15">
        <f>CN222+CO222+CP222+CQ222</f>
        <v/>
      </c>
      <c r="CS222" s="15">
        <f>CM222+CR222</f>
        <v/>
      </c>
      <c r="CT222" s="14" t="n">
        <v>3948</v>
      </c>
      <c r="CU222" s="14" t="n">
        <v>22262.039725032</v>
      </c>
      <c r="CV222" s="14" t="n">
        <v>17055</v>
      </c>
      <c r="CW222" s="16">
        <f>IF(CU222=0,"",CV222/CU222)</f>
        <v/>
      </c>
      <c r="CX222" s="14" t="n">
        <v>0</v>
      </c>
      <c r="CY222" s="14" t="n"/>
      <c r="CZ222" s="14" t="n"/>
      <c r="DA222" s="14" t="n"/>
      <c r="DB222" s="15">
        <f>CX222+CY222-CZ222-DA222</f>
        <v/>
      </c>
      <c r="DC222" s="14" t="n">
        <v>0</v>
      </c>
      <c r="DD222" s="14" t="n">
        <v>0</v>
      </c>
      <c r="DE222" s="14" t="n">
        <v>0</v>
      </c>
      <c r="DF222" s="14" t="n">
        <v>0</v>
      </c>
      <c r="DG222" s="15">
        <f>DC222+DD222-DE222-DF222</f>
        <v/>
      </c>
      <c r="DH222" s="14" t="n">
        <v>0</v>
      </c>
      <c r="DI222" s="14" t="n">
        <v>0</v>
      </c>
      <c r="DJ222" s="14" t="n">
        <v>0</v>
      </c>
      <c r="DK222" s="14" t="n">
        <v>0</v>
      </c>
      <c r="DL222" s="15">
        <f>DH222+DI222-DJ222-DK222</f>
        <v/>
      </c>
      <c r="DM222" s="14" t="n">
        <v>176</v>
      </c>
      <c r="DN222" s="14" t="n">
        <v>17</v>
      </c>
      <c r="DO222" s="14" t="n">
        <v>25</v>
      </c>
      <c r="DP222" s="14" t="n">
        <v>0</v>
      </c>
      <c r="DQ222" s="15">
        <f>DM222+DN222-DO222-DP222</f>
        <v/>
      </c>
      <c r="DR222" s="15">
        <f>CX222+DC222+DH222+DM222</f>
        <v/>
      </c>
      <c r="DS222" s="15">
        <f>CY222+DD222+DI222+DN222</f>
        <v/>
      </c>
      <c r="DT222" s="15">
        <f>CZ222+DE222+DJ222+DO222</f>
        <v/>
      </c>
      <c r="DU222" s="15">
        <f>DA222+DF222+DK222+DP222</f>
        <v/>
      </c>
      <c r="DV222" s="15">
        <f>DB222+DG222+DL222+DQ222</f>
        <v/>
      </c>
      <c r="DW222" s="14" t="n">
        <v>61</v>
      </c>
      <c r="DX222" s="14" t="n">
        <v>11</v>
      </c>
      <c r="DY222" s="14" t="n">
        <v>2</v>
      </c>
      <c r="DZ222" s="14" t="n">
        <v>5</v>
      </c>
      <c r="EA222" s="14" t="n">
        <v>0</v>
      </c>
      <c r="EB222" s="14" t="n">
        <v>3</v>
      </c>
      <c r="EC222" s="14" t="n">
        <v>0</v>
      </c>
      <c r="ED222" s="14" t="n">
        <v>0</v>
      </c>
      <c r="EE222" s="14" t="n">
        <v>0</v>
      </c>
      <c r="EF222" s="14" t="n">
        <v>0</v>
      </c>
      <c r="EG222" s="14" t="n">
        <v>0</v>
      </c>
      <c r="EH222" s="14" t="n">
        <v>0</v>
      </c>
      <c r="EI222" s="14" t="n">
        <v>0</v>
      </c>
      <c r="EJ222" s="14" t="n">
        <v>0</v>
      </c>
      <c r="EK222" s="14" t="n">
        <v>0</v>
      </c>
      <c r="EL222" s="14" t="n">
        <v>0</v>
      </c>
      <c r="EM222" s="14" t="n">
        <v>0</v>
      </c>
      <c r="EN222" s="14" t="n">
        <v>0</v>
      </c>
      <c r="EO222" s="14" t="n">
        <v>0</v>
      </c>
      <c r="EP222" s="14" t="n">
        <v>0</v>
      </c>
      <c r="EQ222" s="14" t="n">
        <v>0</v>
      </c>
      <c r="ER222" s="14" t="n">
        <v>0</v>
      </c>
      <c r="ES222" s="14" t="n">
        <v>0</v>
      </c>
      <c r="ET222" s="14" t="n">
        <v>0</v>
      </c>
      <c r="EU222" s="14" t="n">
        <v>0</v>
      </c>
      <c r="EV222" s="14" t="n">
        <v>0</v>
      </c>
      <c r="EW222" s="14" t="n">
        <v>0</v>
      </c>
      <c r="EX222" s="14" t="n">
        <v>0</v>
      </c>
      <c r="EY222" s="14" t="n">
        <v>0</v>
      </c>
      <c r="EZ222" s="14" t="n">
        <v>0</v>
      </c>
      <c r="FA222" s="14" t="n">
        <v>0</v>
      </c>
      <c r="FB222" s="14" t="n">
        <v>0</v>
      </c>
      <c r="FC222" s="14" t="n">
        <v>0</v>
      </c>
      <c r="FD222" s="14" t="n">
        <v>0</v>
      </c>
      <c r="FE222" s="14" t="n">
        <v>0</v>
      </c>
      <c r="FF222" s="14" t="n">
        <v>0</v>
      </c>
      <c r="FG222" s="15">
        <f>SUM(DW222,DX222,DY222,DZ222,EA222,EB222,EC222,ED222,EE222,EF222,EG222,EH222,EI222,EJ222,EK222,EL222,EM222,EN222,EO222,EP222,EQ222,ER222,ES222,ET222,EU222,EV222,EW222,EX222,EY222,EZ222,FA222,FB222,FC222,FD222,FE222,FF222)</f>
        <v/>
      </c>
      <c r="FH222" s="14" t="n">
        <v>0</v>
      </c>
      <c r="FI222" s="14" t="n">
        <v>0</v>
      </c>
      <c r="FJ222" s="14" t="n">
        <v>0</v>
      </c>
      <c r="FK222" s="14" t="n">
        <v>0</v>
      </c>
      <c r="FL222" s="14" t="n">
        <v>0</v>
      </c>
      <c r="FM222" s="14" t="n">
        <v>0</v>
      </c>
      <c r="FN222" s="14" t="n">
        <v>0</v>
      </c>
      <c r="FO222" s="14" t="n">
        <v>0</v>
      </c>
      <c r="FP222" s="14" t="n">
        <v>0</v>
      </c>
      <c r="FQ222" s="15">
        <f>FL222+FM222+FN222+FO222+FP222</f>
        <v/>
      </c>
      <c r="FR222" s="14" t="n">
        <v>36541474</v>
      </c>
      <c r="FS222" s="14" t="n">
        <v>315100</v>
      </c>
      <c r="FT222" s="14" t="n">
        <v>982534</v>
      </c>
      <c r="FU222" s="14" t="n">
        <v>748567</v>
      </c>
      <c r="FV222" s="15">
        <f>FR222+FS222+FT222+FU222</f>
        <v/>
      </c>
      <c r="FW222" s="14" t="n">
        <v>3211328</v>
      </c>
      <c r="FX222" s="14" t="n">
        <v>0</v>
      </c>
      <c r="FY222" s="14" t="n">
        <v>412000</v>
      </c>
      <c r="FZ222" s="14" t="n">
        <v>14140650</v>
      </c>
      <c r="GA222" s="15">
        <f>FW222+FX222+FY222+FZ222</f>
        <v/>
      </c>
      <c r="GB222" s="15">
        <f>FV222+GA222</f>
        <v/>
      </c>
      <c r="GC222" s="14" t="n">
        <v>8809079.93</v>
      </c>
      <c r="GD222" s="14" t="n">
        <v>39786.24</v>
      </c>
      <c r="GE222" s="14" t="n">
        <v>642749.8</v>
      </c>
      <c r="GF222" s="14" t="n">
        <v>140301.55</v>
      </c>
      <c r="GG222" s="15">
        <f>GC222+GD222+GE222+GF222</f>
        <v/>
      </c>
      <c r="GH222" s="14" t="n">
        <v>3186891.2</v>
      </c>
      <c r="GI222" s="14" t="n">
        <v>0</v>
      </c>
      <c r="GJ222" s="14" t="n">
        <v>13960650</v>
      </c>
      <c r="GK222" s="14" t="n">
        <v>412000</v>
      </c>
      <c r="GL222" s="15">
        <f>GH222+GI222+GJ222+GK222</f>
        <v/>
      </c>
      <c r="GM222" s="15">
        <f>GG222+GL222</f>
        <v/>
      </c>
      <c r="GN222" s="14" t="n">
        <v>879185.23</v>
      </c>
      <c r="GO222" s="14" t="n">
        <v>956.4</v>
      </c>
      <c r="GP222" s="14" t="n">
        <v>50904.6</v>
      </c>
      <c r="GQ222" s="14" t="n">
        <v>32461.38</v>
      </c>
      <c r="GR222" s="15">
        <f>GN222+GO222+GP222+GQ222</f>
        <v/>
      </c>
      <c r="GS222" s="14" t="n">
        <v>1470771</v>
      </c>
      <c r="GT222" s="14" t="n">
        <v>4465</v>
      </c>
      <c r="GU222" s="14" t="n">
        <v>13395</v>
      </c>
      <c r="GV222" s="14" t="n">
        <v>6251</v>
      </c>
      <c r="GW222" s="15">
        <f>GS222+GT222+GU222+GV222</f>
        <v/>
      </c>
      <c r="GX222" s="15">
        <f>GM222+GR222+GW222</f>
        <v/>
      </c>
      <c r="GY222" s="14" t="n">
        <v>16111280.66</v>
      </c>
      <c r="GZ222" s="14" t="n">
        <v>2139435.31</v>
      </c>
      <c r="HA222" s="15">
        <f>GY222+GZ222</f>
        <v/>
      </c>
      <c r="HB222" s="15">
        <f>IF(GX222=0,"",AU222/GX222)</f>
        <v/>
      </c>
      <c r="HC222" s="16">
        <f>IF((GX222+GY222)=0,"",GB222/(GX222+GY222))</f>
        <v/>
      </c>
      <c r="HD222" s="15">
        <f>IF(GX222=0,"",GB222/GX222)</f>
        <v/>
      </c>
      <c r="HE222" s="14" t="n">
        <v>9</v>
      </c>
      <c r="HF222" s="14" t="n">
        <v>1</v>
      </c>
      <c r="HG222" s="14" t="n">
        <v>154</v>
      </c>
      <c r="HH222" s="14" t="n">
        <v>9</v>
      </c>
      <c r="HI222" s="14" t="n">
        <v>30</v>
      </c>
      <c r="HJ222" s="15">
        <f>HF222+HI222</f>
        <v/>
      </c>
      <c r="HK222" s="16">
        <f>IF(HE222=0,"",HH222/HE222)</f>
        <v/>
      </c>
      <c r="HL222" s="14" t="n">
        <v>8</v>
      </c>
      <c r="HM222" s="14" t="n">
        <v>60</v>
      </c>
      <c r="HN222" s="17">
        <f>IF(HL222=0,"",HM222/HL222)</f>
        <v/>
      </c>
    </row>
    <row r="223">
      <c r="A223" s="6" t="inlineStr">
        <is>
          <t>Ngabu</t>
        </is>
      </c>
      <c r="B223" s="6" t="inlineStr">
        <is>
          <t>Chikwawa</t>
        </is>
      </c>
      <c r="C223" s="7" t="inlineStr">
        <is>
          <t>FY2025/26</t>
        </is>
      </c>
      <c r="D223" s="7" t="n">
        <v>2025</v>
      </c>
      <c r="E223" s="7" t="n">
        <v>8</v>
      </c>
      <c r="F223" s="7" t="inlineStr">
        <is>
          <t>August</t>
        </is>
      </c>
      <c r="G223" s="7" t="inlineStr">
        <is>
          <t>Q2</t>
        </is>
      </c>
      <c r="H223" s="8" t="n">
        <v>27654</v>
      </c>
      <c r="I223" s="8" t="n">
        <v>12739</v>
      </c>
      <c r="J223" s="8" t="n">
        <v>146</v>
      </c>
      <c r="K223" s="8" t="n">
        <v>235</v>
      </c>
      <c r="L223" s="8" t="n">
        <v>52</v>
      </c>
      <c r="M223" s="9">
        <f>SUM(I223,J223,K223,L223)</f>
        <v/>
      </c>
      <c r="N223" s="8" t="n">
        <v>3043</v>
      </c>
      <c r="O223" s="8" t="n">
        <v>24</v>
      </c>
      <c r="P223" s="8" t="n">
        <v>4264</v>
      </c>
      <c r="Q223" s="8" t="n">
        <v>144</v>
      </c>
      <c r="R223" s="9">
        <f>SUM(N223,O223,P223,Q223)</f>
        <v/>
      </c>
      <c r="S223" s="9">
        <f>M223+R223</f>
        <v/>
      </c>
      <c r="T223" s="8" t="n">
        <v>7007</v>
      </c>
      <c r="U223" s="10">
        <f>IF(H223=0,"",T223/H223)</f>
        <v/>
      </c>
      <c r="V223" s="8" t="n">
        <v>30</v>
      </c>
      <c r="W223" s="11">
        <f>IF(H223=0,"",V223/H223)</f>
        <v/>
      </c>
      <c r="X223" s="8" t="n">
        <v>0</v>
      </c>
      <c r="Y223" s="11">
        <f>IF(H223=0,"",X223/H223)</f>
        <v/>
      </c>
      <c r="Z223" s="8" t="n">
        <v>0</v>
      </c>
      <c r="AA223" s="11">
        <f>IF(H223=0,"",Z223/H223)</f>
        <v/>
      </c>
      <c r="AB223" s="8" t="n">
        <v>0</v>
      </c>
      <c r="AC223" s="11">
        <f>IF(H223=0,"",AB223/H223)</f>
        <v/>
      </c>
      <c r="AD223" s="8" t="n">
        <v>0</v>
      </c>
      <c r="AE223" s="11">
        <f>IF(H223=0,"",AD223/H223)</f>
        <v/>
      </c>
      <c r="AF223" s="8" t="n">
        <v>0</v>
      </c>
      <c r="AG223" s="11">
        <f>IF(H223=0,"",AF223/H223)</f>
        <v/>
      </c>
      <c r="AH223" s="8" t="n">
        <v>105758.7</v>
      </c>
      <c r="AI223" s="9">
        <f>IF(H223=0,"",AH223/H223)</f>
        <v/>
      </c>
      <c r="AJ223" s="8" t="n">
        <v>16000</v>
      </c>
      <c r="AK223" s="11">
        <f>IF(H223=0,"",AJ223/H223)</f>
        <v/>
      </c>
      <c r="AL223" s="8" t="n">
        <v>2236450.5</v>
      </c>
      <c r="AM223" s="9">
        <f>IF(H223=0,"",AL223/H223)</f>
        <v/>
      </c>
      <c r="AN223" s="8" t="n">
        <v>1329</v>
      </c>
      <c r="AO223" s="8" t="n">
        <v>125</v>
      </c>
      <c r="AP223" s="8" t="n">
        <v>341750</v>
      </c>
      <c r="AQ223" s="8" t="n">
        <v>0</v>
      </c>
      <c r="AR223" s="8" t="n">
        <v>0</v>
      </c>
      <c r="AS223" s="8" t="n">
        <v>0</v>
      </c>
      <c r="AT223" s="8" t="n">
        <v>0</v>
      </c>
      <c r="AU223" s="9">
        <f>AH223+AL223+AP223+AQ223+AR223+AS223+AT223</f>
        <v/>
      </c>
      <c r="AV223" s="9">
        <f>IF(H223=0,"",AU223/H223)</f>
        <v/>
      </c>
      <c r="AW223" s="9">
        <f>IF(S223=0,"",AU223/S223)</f>
        <v/>
      </c>
      <c r="AX223" s="8" t="n">
        <v>7</v>
      </c>
      <c r="AY223" s="9">
        <f>IF(H223=0,"",AX223/(H223/1000/12))</f>
        <v/>
      </c>
      <c r="AZ223" s="8" t="n">
        <v>6</v>
      </c>
      <c r="BA223" s="8" t="n">
        <v>154</v>
      </c>
      <c r="BB223" s="8" t="n">
        <v>4</v>
      </c>
      <c r="BC223" s="8" t="n">
        <v>27</v>
      </c>
      <c r="BD223" s="8" t="n">
        <v>0</v>
      </c>
      <c r="BE223" s="9">
        <f>BC223+BD223</f>
        <v/>
      </c>
      <c r="BF223" s="9">
        <f>BA223+BB223-BE223</f>
        <v/>
      </c>
      <c r="BG223" s="8" t="n">
        <v>0</v>
      </c>
      <c r="BH223" s="8" t="n">
        <v>0</v>
      </c>
      <c r="BI223" s="8" t="n">
        <v>0</v>
      </c>
      <c r="BJ223" s="8" t="n">
        <v>0</v>
      </c>
      <c r="BK223" s="9">
        <f>BI223+BJ223</f>
        <v/>
      </c>
      <c r="BL223" s="9">
        <f>BG223+BH223-BK223</f>
        <v/>
      </c>
      <c r="BM223" s="8" t="n">
        <v>0</v>
      </c>
      <c r="BN223" s="8" t="n">
        <v>0</v>
      </c>
      <c r="BO223" s="8" t="n">
        <v>0</v>
      </c>
      <c r="BP223" s="8" t="n">
        <v>0</v>
      </c>
      <c r="BQ223" s="9">
        <f>BO223+BP223</f>
        <v/>
      </c>
      <c r="BR223" s="9">
        <f>BM223+BN223-BQ223</f>
        <v/>
      </c>
      <c r="BS223" s="8" t="n">
        <v>0</v>
      </c>
      <c r="BT223" s="8" t="n">
        <v>0</v>
      </c>
      <c r="BU223" s="8" t="n">
        <v>0</v>
      </c>
      <c r="BV223" s="8" t="n">
        <v>0</v>
      </c>
      <c r="BW223" s="9">
        <f>BU223+BV223</f>
        <v/>
      </c>
      <c r="BX223" s="9">
        <f>BS223+BT223-BW223</f>
        <v/>
      </c>
      <c r="BY223" s="9">
        <f>BA223+BG223+BM223+BS223</f>
        <v/>
      </c>
      <c r="BZ223" s="9">
        <f>BB223+BH223+BN223+BT223</f>
        <v/>
      </c>
      <c r="CA223" s="9">
        <f>BE223+BK223+BQ223+BW223</f>
        <v/>
      </c>
      <c r="CB223" s="9">
        <f>BF223+BL223+BR223+BX223</f>
        <v/>
      </c>
      <c r="CC223" s="8" t="n">
        <v>0</v>
      </c>
      <c r="CD223" s="8" t="n">
        <v>1580</v>
      </c>
      <c r="CE223" s="8" t="n">
        <v>11</v>
      </c>
      <c r="CF223" s="8" t="n">
        <v>13</v>
      </c>
      <c r="CG223" s="8" t="n">
        <v>21</v>
      </c>
      <c r="CH223" s="9">
        <f>CD223+CE223+CF223+CG223</f>
        <v/>
      </c>
      <c r="CI223" s="8" t="n">
        <v>1566</v>
      </c>
      <c r="CJ223" s="8" t="n">
        <v>23</v>
      </c>
      <c r="CK223" s="8" t="n">
        <v>15</v>
      </c>
      <c r="CL223" s="8" t="n">
        <v>9</v>
      </c>
      <c r="CM223" s="9">
        <f>CI223+CJ223+CK223+CL223</f>
        <v/>
      </c>
      <c r="CN223" s="8" t="n">
        <v>636</v>
      </c>
      <c r="CO223" s="8" t="n">
        <v>42</v>
      </c>
      <c r="CP223" s="8" t="n">
        <v>56</v>
      </c>
      <c r="CQ223" s="8" t="n">
        <v>3</v>
      </c>
      <c r="CR223" s="9">
        <f>CN223+CO223+CP223+CQ223</f>
        <v/>
      </c>
      <c r="CS223" s="9">
        <f>CM223+CR223</f>
        <v/>
      </c>
      <c r="CT223" s="8" t="n">
        <v>3975</v>
      </c>
      <c r="CU223" s="8" t="n">
        <v>22306.5638044821</v>
      </c>
      <c r="CV223" s="8" t="n">
        <v>17082</v>
      </c>
      <c r="CW223" s="10">
        <f>IF(CU223=0,"",CV223/CU223)</f>
        <v/>
      </c>
      <c r="CX223" s="8" t="n">
        <v>0</v>
      </c>
      <c r="CY223" s="8" t="n"/>
      <c r="CZ223" s="8" t="n"/>
      <c r="DA223" s="8" t="n"/>
      <c r="DB223" s="9">
        <f>CX223+CY223-CZ223-DA223</f>
        <v/>
      </c>
      <c r="DC223" s="8" t="n">
        <v>0</v>
      </c>
      <c r="DD223" s="8" t="n">
        <v>0</v>
      </c>
      <c r="DE223" s="8" t="n">
        <v>0</v>
      </c>
      <c r="DF223" s="8" t="n">
        <v>0</v>
      </c>
      <c r="DG223" s="9">
        <f>DC223+DD223-DE223-DF223</f>
        <v/>
      </c>
      <c r="DH223" s="8" t="n">
        <v>0</v>
      </c>
      <c r="DI223" s="8" t="n">
        <v>0</v>
      </c>
      <c r="DJ223" s="8" t="n">
        <v>0</v>
      </c>
      <c r="DK223" s="8" t="n">
        <v>0</v>
      </c>
      <c r="DL223" s="9">
        <f>DH223+DI223-DJ223-DK223</f>
        <v/>
      </c>
      <c r="DM223" s="8" t="n">
        <v>168</v>
      </c>
      <c r="DN223" s="8" t="n">
        <v>0</v>
      </c>
      <c r="DO223" s="8" t="n">
        <v>0</v>
      </c>
      <c r="DP223" s="8" t="n">
        <v>0</v>
      </c>
      <c r="DQ223" s="9">
        <f>DM223+DN223-DO223-DP223</f>
        <v/>
      </c>
      <c r="DR223" s="9">
        <f>CX223+DC223+DH223+DM223</f>
        <v/>
      </c>
      <c r="DS223" s="9">
        <f>CY223+DD223+DI223+DN223</f>
        <v/>
      </c>
      <c r="DT223" s="9">
        <f>CZ223+DE223+DJ223+DO223</f>
        <v/>
      </c>
      <c r="DU223" s="9">
        <f>DA223+DF223+DK223+DP223</f>
        <v/>
      </c>
      <c r="DV223" s="9">
        <f>DB223+DG223+DL223+DQ223</f>
        <v/>
      </c>
      <c r="DW223" s="8" t="n">
        <v>53</v>
      </c>
      <c r="DX223" s="8" t="n">
        <v>14</v>
      </c>
      <c r="DY223" s="8" t="n">
        <v>0</v>
      </c>
      <c r="DZ223" s="8" t="n">
        <v>0</v>
      </c>
      <c r="EA223" s="8" t="n">
        <v>3</v>
      </c>
      <c r="EB223" s="8" t="n">
        <v>0</v>
      </c>
      <c r="EC223" s="8" t="n">
        <v>0</v>
      </c>
      <c r="ED223" s="8" t="n">
        <v>1</v>
      </c>
      <c r="EE223" s="8" t="n">
        <v>0</v>
      </c>
      <c r="EF223" s="8" t="n">
        <v>0</v>
      </c>
      <c r="EG223" s="8" t="n">
        <v>0</v>
      </c>
      <c r="EH223" s="8" t="n">
        <v>0</v>
      </c>
      <c r="EI223" s="8" t="n">
        <v>0</v>
      </c>
      <c r="EJ223" s="8" t="n">
        <v>0</v>
      </c>
      <c r="EK223" s="8" t="n">
        <v>0</v>
      </c>
      <c r="EL223" s="8" t="n">
        <v>0</v>
      </c>
      <c r="EM223" s="8" t="n">
        <v>0</v>
      </c>
      <c r="EN223" s="8" t="n">
        <v>0</v>
      </c>
      <c r="EO223" s="8" t="n">
        <v>0</v>
      </c>
      <c r="EP223" s="8" t="n">
        <v>0</v>
      </c>
      <c r="EQ223" s="8" t="n">
        <v>0</v>
      </c>
      <c r="ER223" s="8" t="n">
        <v>0</v>
      </c>
      <c r="ES223" s="8" t="n">
        <v>0</v>
      </c>
      <c r="ET223" s="8" t="n">
        <v>0</v>
      </c>
      <c r="EU223" s="8" t="n">
        <v>0</v>
      </c>
      <c r="EV223" s="8" t="n">
        <v>0</v>
      </c>
      <c r="EW223" s="8" t="n">
        <v>0</v>
      </c>
      <c r="EX223" s="8" t="n">
        <v>0</v>
      </c>
      <c r="EY223" s="8" t="n">
        <v>0</v>
      </c>
      <c r="EZ223" s="8" t="n">
        <v>0</v>
      </c>
      <c r="FA223" s="8" t="n">
        <v>0</v>
      </c>
      <c r="FB223" s="8" t="n">
        <v>0</v>
      </c>
      <c r="FC223" s="8" t="n">
        <v>0</v>
      </c>
      <c r="FD223" s="8" t="n">
        <v>0</v>
      </c>
      <c r="FE223" s="8" t="n">
        <v>0</v>
      </c>
      <c r="FF223" s="8" t="n">
        <v>0</v>
      </c>
      <c r="FG223" s="9">
        <f>SUM(DW223,DX223,DY223,DZ223,EA223,EB223,EC223,ED223,EE223,EF223,EG223,EH223,EI223,EJ223,EK223,EL223,EM223,EN223,EO223,EP223,EQ223,ER223,ES223,ET223,EU223,EV223,EW223,EX223,EY223,EZ223,FA223,FB223,FC223,FD223,FE223,FF223)</f>
        <v/>
      </c>
      <c r="FH223" s="8" t="n">
        <v>0</v>
      </c>
      <c r="FI223" s="8" t="n">
        <v>0</v>
      </c>
      <c r="FJ223" s="8" t="n">
        <v>0</v>
      </c>
      <c r="FK223" s="8" t="n">
        <v>0</v>
      </c>
      <c r="FL223" s="8" t="n">
        <v>0</v>
      </c>
      <c r="FM223" s="8" t="n">
        <v>0</v>
      </c>
      <c r="FN223" s="8" t="n">
        <v>0</v>
      </c>
      <c r="FO223" s="8" t="n">
        <v>0</v>
      </c>
      <c r="FP223" s="8" t="n">
        <v>0</v>
      </c>
      <c r="FQ223" s="9">
        <f>FL223+FM223+FN223+FO223+FP223</f>
        <v/>
      </c>
      <c r="FR223" s="8" t="n">
        <v>10276730</v>
      </c>
      <c r="FS223" s="8" t="n">
        <v>28000</v>
      </c>
      <c r="FT223" s="8" t="n">
        <v>126500</v>
      </c>
      <c r="FU223" s="8" t="n">
        <v>903003</v>
      </c>
      <c r="FV223" s="9">
        <f>FR223+FS223+FT223+FU223</f>
        <v/>
      </c>
      <c r="FW223" s="8" t="n">
        <v>3803286</v>
      </c>
      <c r="FX223" s="8" t="n">
        <v>5000</v>
      </c>
      <c r="FY223" s="8" t="n">
        <v>685000</v>
      </c>
      <c r="FZ223" s="8" t="n">
        <v>13079250</v>
      </c>
      <c r="GA223" s="9">
        <f>FW223+FX223+FY223+FZ223</f>
        <v/>
      </c>
      <c r="GB223" s="9">
        <f>FV223+GA223</f>
        <v/>
      </c>
      <c r="GC223" s="8" t="n">
        <v>12359522.54</v>
      </c>
      <c r="GD223" s="8" t="n">
        <v>27926.88</v>
      </c>
      <c r="GE223" s="8" t="n">
        <v>726503.65</v>
      </c>
      <c r="GF223" s="8" t="n">
        <v>153568.63</v>
      </c>
      <c r="GG223" s="9">
        <f>GC223+GD223+GE223+GF223</f>
        <v/>
      </c>
      <c r="GH223" s="8" t="n">
        <v>3795425.62</v>
      </c>
      <c r="GI223" s="8" t="n">
        <v>5000</v>
      </c>
      <c r="GJ223" s="8" t="n">
        <v>12959250</v>
      </c>
      <c r="GK223" s="8" t="n">
        <v>679000</v>
      </c>
      <c r="GL223" s="9">
        <f>GH223+GI223+GJ223+GK223</f>
        <v/>
      </c>
      <c r="GM223" s="9">
        <f>GG223+GL223</f>
        <v/>
      </c>
      <c r="GN223" s="8" t="n">
        <v>900273.65</v>
      </c>
      <c r="GO223" s="8" t="n">
        <v>956.4</v>
      </c>
      <c r="GP223" s="8" t="n">
        <v>57691.88</v>
      </c>
      <c r="GQ223" s="8" t="n">
        <v>41736.06</v>
      </c>
      <c r="GR223" s="9">
        <f>GN223+GO223+GP223+GQ223</f>
        <v/>
      </c>
      <c r="GS223" s="8" t="n">
        <v>1505598</v>
      </c>
      <c r="GT223" s="8" t="n">
        <v>4465</v>
      </c>
      <c r="GU223" s="8" t="n">
        <v>15181</v>
      </c>
      <c r="GV223" s="8" t="n">
        <v>8037</v>
      </c>
      <c r="GW223" s="9">
        <f>GS223+GT223+GU223+GV223</f>
        <v/>
      </c>
      <c r="GX223" s="9">
        <f>GM223+GR223+GW223</f>
        <v/>
      </c>
      <c r="GY223" s="8" t="n">
        <v>55248980.78</v>
      </c>
      <c r="GZ223" s="8" t="n">
        <v>2640952.26</v>
      </c>
      <c r="HA223" s="9">
        <f>GY223+GZ223</f>
        <v/>
      </c>
      <c r="HB223" s="9">
        <f>IF(GX223=0,"",AU223/GX223)</f>
        <v/>
      </c>
      <c r="HC223" s="10">
        <f>IF((GX223+GY223)=0,"",GB223/(GX223+GY223))</f>
        <v/>
      </c>
      <c r="HD223" s="9">
        <f>IF(GX223=0,"",GB223/GX223)</f>
        <v/>
      </c>
      <c r="HE223" s="8" t="n">
        <v>4</v>
      </c>
      <c r="HF223" s="8" t="n">
        <v>1</v>
      </c>
      <c r="HG223" s="8" t="n">
        <v>131</v>
      </c>
      <c r="HH223" s="8" t="n">
        <v>4</v>
      </c>
      <c r="HI223" s="8" t="n">
        <v>30</v>
      </c>
      <c r="HJ223" s="9">
        <f>HF223+HI223</f>
        <v/>
      </c>
      <c r="HK223" s="10">
        <f>IF(HE223=0,"",HH223/HE223)</f>
        <v/>
      </c>
      <c r="HL223" s="8" t="n">
        <v>10</v>
      </c>
      <c r="HM223" s="8" t="n">
        <v>60</v>
      </c>
      <c r="HN223" s="11">
        <f>IF(HL223=0,"",HM223/HL223)</f>
        <v/>
      </c>
    </row>
    <row r="224">
      <c r="A224" s="12" t="inlineStr">
        <is>
          <t>Ngabu</t>
        </is>
      </c>
      <c r="B224" s="12" t="inlineStr">
        <is>
          <t>Chikwawa</t>
        </is>
      </c>
      <c r="C224" s="13" t="inlineStr">
        <is>
          <t>FY2025/26</t>
        </is>
      </c>
      <c r="D224" s="13" t="n">
        <v>2025</v>
      </c>
      <c r="E224" s="13" t="n">
        <v>9</v>
      </c>
      <c r="F224" s="13" t="inlineStr">
        <is>
          <t>September</t>
        </is>
      </c>
      <c r="G224" s="13" t="inlineStr">
        <is>
          <t>Q2</t>
        </is>
      </c>
      <c r="H224" s="14" t="n">
        <v>27201</v>
      </c>
      <c r="I224" s="14" t="n">
        <v>13478</v>
      </c>
      <c r="J224" s="14" t="n">
        <v>747</v>
      </c>
      <c r="K224" s="14" t="n">
        <v>3252</v>
      </c>
      <c r="L224" s="14" t="n">
        <v>106</v>
      </c>
      <c r="M224" s="15">
        <f>SUM(I224,J224,K224,L224)</f>
        <v/>
      </c>
      <c r="N224" s="14" t="n">
        <v>1101</v>
      </c>
      <c r="O224" s="14" t="n">
        <v>0</v>
      </c>
      <c r="P224" s="14" t="n">
        <v>2491</v>
      </c>
      <c r="Q224" s="14" t="n">
        <v>421</v>
      </c>
      <c r="R224" s="15">
        <f>SUM(N224,O224,P224,Q224)</f>
        <v/>
      </c>
      <c r="S224" s="15">
        <f>M224+R224</f>
        <v/>
      </c>
      <c r="T224" s="14" t="n">
        <v>5605</v>
      </c>
      <c r="U224" s="16">
        <f>IF(H224=0,"",T224/H224)</f>
        <v/>
      </c>
      <c r="V224" s="14" t="n">
        <v>31</v>
      </c>
      <c r="W224" s="17">
        <f>IF(H224=0,"",V224/H224)</f>
        <v/>
      </c>
      <c r="X224" s="14" t="n">
        <v>0</v>
      </c>
      <c r="Y224" s="17">
        <f>IF(H224=0,"",X224/H224)</f>
        <v/>
      </c>
      <c r="Z224" s="14" t="n">
        <v>0</v>
      </c>
      <c r="AA224" s="17">
        <f>IF(H224=0,"",Z224/H224)</f>
        <v/>
      </c>
      <c r="AB224" s="14" t="n">
        <v>0</v>
      </c>
      <c r="AC224" s="17">
        <f>IF(H224=0,"",AB224/H224)</f>
        <v/>
      </c>
      <c r="AD224" s="14" t="n">
        <v>0</v>
      </c>
      <c r="AE224" s="17">
        <f>IF(H224=0,"",AD224/H224)</f>
        <v/>
      </c>
      <c r="AF224" s="14" t="n">
        <v>0</v>
      </c>
      <c r="AG224" s="17">
        <f>IF(H224=0,"",AF224/H224)</f>
        <v/>
      </c>
      <c r="AH224" s="14" t="n">
        <v>109283.99</v>
      </c>
      <c r="AI224" s="15">
        <f>IF(H224=0,"",AH224/H224)</f>
        <v/>
      </c>
      <c r="AJ224" s="14" t="n">
        <v>15651</v>
      </c>
      <c r="AK224" s="17">
        <f>IF(H224=0,"",AJ224/H224)</f>
        <v/>
      </c>
      <c r="AL224" s="14" t="n">
        <v>2188026.2265</v>
      </c>
      <c r="AM224" s="15">
        <f>IF(H224=0,"",AL224/H224)</f>
        <v/>
      </c>
      <c r="AN224" s="14" t="n">
        <v>809</v>
      </c>
      <c r="AO224" s="14" t="n">
        <v>60</v>
      </c>
      <c r="AP224" s="14" t="n">
        <v>164040</v>
      </c>
      <c r="AQ224" s="14" t="n">
        <v>0</v>
      </c>
      <c r="AR224" s="14" t="n">
        <v>0</v>
      </c>
      <c r="AS224" s="14" t="n">
        <v>0</v>
      </c>
      <c r="AT224" s="14" t="n">
        <v>0</v>
      </c>
      <c r="AU224" s="15">
        <f>AH224+AL224+AP224+AQ224+AR224+AS224+AT224</f>
        <v/>
      </c>
      <c r="AV224" s="15">
        <f>IF(H224=0,"",AU224/H224)</f>
        <v/>
      </c>
      <c r="AW224" s="15">
        <f>IF(S224=0,"",AU224/S224)</f>
        <v/>
      </c>
      <c r="AX224" s="14" t="n">
        <v>7</v>
      </c>
      <c r="AY224" s="15">
        <f>IF(H224=0,"",AX224/(H224/1000/12))</f>
        <v/>
      </c>
      <c r="AZ224" s="14" t="n">
        <v>6</v>
      </c>
      <c r="BA224" s="14" t="n">
        <v>131</v>
      </c>
      <c r="BB224" s="14" t="n">
        <v>4</v>
      </c>
      <c r="BC224" s="14" t="n">
        <v>32</v>
      </c>
      <c r="BD224" s="14" t="n">
        <v>0</v>
      </c>
      <c r="BE224" s="15">
        <f>BC224+BD224</f>
        <v/>
      </c>
      <c r="BF224" s="15">
        <f>BA224+BB224-BE224</f>
        <v/>
      </c>
      <c r="BG224" s="14" t="n">
        <v>0</v>
      </c>
      <c r="BH224" s="14" t="n">
        <v>0</v>
      </c>
      <c r="BI224" s="14" t="n">
        <v>0</v>
      </c>
      <c r="BJ224" s="14" t="n">
        <v>0</v>
      </c>
      <c r="BK224" s="15">
        <f>BI224+BJ224</f>
        <v/>
      </c>
      <c r="BL224" s="15">
        <f>BG224+BH224-BK224</f>
        <v/>
      </c>
      <c r="BM224" s="14" t="n">
        <v>0</v>
      </c>
      <c r="BN224" s="14" t="n">
        <v>0</v>
      </c>
      <c r="BO224" s="14" t="n">
        <v>0</v>
      </c>
      <c r="BP224" s="14" t="n">
        <v>0</v>
      </c>
      <c r="BQ224" s="15">
        <f>BO224+BP224</f>
        <v/>
      </c>
      <c r="BR224" s="15">
        <f>BM224+BN224-BQ224</f>
        <v/>
      </c>
      <c r="BS224" s="14" t="n">
        <v>0</v>
      </c>
      <c r="BT224" s="14" t="n">
        <v>0</v>
      </c>
      <c r="BU224" s="14" t="n">
        <v>0</v>
      </c>
      <c r="BV224" s="14" t="n">
        <v>0</v>
      </c>
      <c r="BW224" s="15">
        <f>BU224+BV224</f>
        <v/>
      </c>
      <c r="BX224" s="15">
        <f>BS224+BT224-BW224</f>
        <v/>
      </c>
      <c r="BY224" s="15">
        <f>BA224+BG224+BM224+BS224</f>
        <v/>
      </c>
      <c r="BZ224" s="15">
        <f>BB224+BH224+BN224+BT224</f>
        <v/>
      </c>
      <c r="CA224" s="15">
        <f>BE224+BK224+BQ224+BW224</f>
        <v/>
      </c>
      <c r="CB224" s="15">
        <f>BF224+BL224+BR224+BX224</f>
        <v/>
      </c>
      <c r="CC224" s="14" t="n">
        <v>0</v>
      </c>
      <c r="CD224" s="14" t="n">
        <v>1425</v>
      </c>
      <c r="CE224" s="14" t="n">
        <v>11</v>
      </c>
      <c r="CF224" s="14" t="n">
        <v>13</v>
      </c>
      <c r="CG224" s="14" t="n">
        <v>20</v>
      </c>
      <c r="CH224" s="15">
        <f>CD224+CE224+CF224+CG224</f>
        <v/>
      </c>
      <c r="CI224" s="14" t="n">
        <v>1754</v>
      </c>
      <c r="CJ224" s="14" t="n">
        <v>23</v>
      </c>
      <c r="CK224" s="14" t="n">
        <v>15</v>
      </c>
      <c r="CL224" s="14" t="n">
        <v>9</v>
      </c>
      <c r="CM224" s="15">
        <f>CI224+CJ224+CK224+CL224</f>
        <v/>
      </c>
      <c r="CN224" s="14" t="n">
        <v>636</v>
      </c>
      <c r="CO224" s="14" t="n">
        <v>42</v>
      </c>
      <c r="CP224" s="14" t="n">
        <v>56</v>
      </c>
      <c r="CQ224" s="14" t="n">
        <v>3</v>
      </c>
      <c r="CR224" s="15">
        <f>CN224+CO224+CP224+CQ224</f>
        <v/>
      </c>
      <c r="CS224" s="15">
        <f>CM224+CR224</f>
        <v/>
      </c>
      <c r="CT224" s="14" t="n">
        <v>4007</v>
      </c>
      <c r="CU224" s="14" t="n">
        <v>22351</v>
      </c>
      <c r="CV224" s="14" t="n">
        <v>17114</v>
      </c>
      <c r="CW224" s="16">
        <f>IF(CU224=0,"",CV224/CU224)</f>
        <v/>
      </c>
      <c r="CX224" s="14" t="n">
        <v>0</v>
      </c>
      <c r="CY224" s="14" t="n"/>
      <c r="CZ224" s="14" t="n"/>
      <c r="DA224" s="14" t="n"/>
      <c r="DB224" s="15">
        <f>CX224+CY224-CZ224-DA224</f>
        <v/>
      </c>
      <c r="DC224" s="14" t="n">
        <v>0</v>
      </c>
      <c r="DD224" s="14" t="n">
        <v>0</v>
      </c>
      <c r="DE224" s="14" t="n">
        <v>0</v>
      </c>
      <c r="DF224" s="14" t="n">
        <v>0</v>
      </c>
      <c r="DG224" s="15">
        <f>DC224+DD224-DE224-DF224</f>
        <v/>
      </c>
      <c r="DH224" s="14" t="n">
        <v>0</v>
      </c>
      <c r="DI224" s="14" t="n">
        <v>0</v>
      </c>
      <c r="DJ224" s="14" t="n">
        <v>0</v>
      </c>
      <c r="DK224" s="14" t="n">
        <v>0</v>
      </c>
      <c r="DL224" s="15">
        <f>DH224+DI224-DJ224-DK224</f>
        <v/>
      </c>
      <c r="DM224" s="14" t="n">
        <v>168</v>
      </c>
      <c r="DN224" s="14" t="n">
        <v>14</v>
      </c>
      <c r="DO224" s="14" t="n">
        <v>22</v>
      </c>
      <c r="DP224" s="14" t="n">
        <v>0</v>
      </c>
      <c r="DQ224" s="15">
        <f>DM224+DN224-DO224-DP224</f>
        <v/>
      </c>
      <c r="DR224" s="15">
        <f>CX224+DC224+DH224+DM224</f>
        <v/>
      </c>
      <c r="DS224" s="15">
        <f>CY224+DD224+DI224+DN224</f>
        <v/>
      </c>
      <c r="DT224" s="15">
        <f>CZ224+DE224+DJ224+DO224</f>
        <v/>
      </c>
      <c r="DU224" s="15">
        <f>DA224+DF224+DK224+DP224</f>
        <v/>
      </c>
      <c r="DV224" s="15">
        <f>DB224+DG224+DL224+DQ224</f>
        <v/>
      </c>
      <c r="DW224" s="14" t="n">
        <v>49</v>
      </c>
      <c r="DX224" s="14" t="n">
        <v>12</v>
      </c>
      <c r="DY224" s="14" t="n">
        <v>0</v>
      </c>
      <c r="DZ224" s="14" t="n">
        <v>2</v>
      </c>
      <c r="EA224" s="14" t="n">
        <v>3</v>
      </c>
      <c r="EB224" s="14" t="n">
        <v>0</v>
      </c>
      <c r="EC224" s="14" t="n">
        <v>0</v>
      </c>
      <c r="ED224" s="14" t="n">
        <v>0</v>
      </c>
      <c r="EE224" s="14" t="n">
        <v>0</v>
      </c>
      <c r="EF224" s="14" t="n">
        <v>1</v>
      </c>
      <c r="EG224" s="14" t="n">
        <v>0</v>
      </c>
      <c r="EH224" s="14" t="n">
        <v>0</v>
      </c>
      <c r="EI224" s="14" t="n">
        <v>0</v>
      </c>
      <c r="EJ224" s="14" t="n">
        <v>0</v>
      </c>
      <c r="EK224" s="14" t="n">
        <v>0</v>
      </c>
      <c r="EL224" s="14" t="n">
        <v>0</v>
      </c>
      <c r="EM224" s="14" t="n">
        <v>0</v>
      </c>
      <c r="EN224" s="14" t="n">
        <v>0</v>
      </c>
      <c r="EO224" s="14" t="n">
        <v>0</v>
      </c>
      <c r="EP224" s="14" t="n">
        <v>0</v>
      </c>
      <c r="EQ224" s="14" t="n">
        <v>0</v>
      </c>
      <c r="ER224" s="14" t="n">
        <v>0</v>
      </c>
      <c r="ES224" s="14" t="n">
        <v>0</v>
      </c>
      <c r="ET224" s="14" t="n">
        <v>0</v>
      </c>
      <c r="EU224" s="14" t="n">
        <v>0</v>
      </c>
      <c r="EV224" s="14" t="n">
        <v>0</v>
      </c>
      <c r="EW224" s="14" t="n">
        <v>0</v>
      </c>
      <c r="EX224" s="14" t="n">
        <v>0</v>
      </c>
      <c r="EY224" s="14" t="n">
        <v>0</v>
      </c>
      <c r="EZ224" s="14" t="n">
        <v>0</v>
      </c>
      <c r="FA224" s="14" t="n">
        <v>0</v>
      </c>
      <c r="FB224" s="14" t="n">
        <v>0</v>
      </c>
      <c r="FC224" s="14" t="n">
        <v>0</v>
      </c>
      <c r="FD224" s="14" t="n">
        <v>0</v>
      </c>
      <c r="FE224" s="14" t="n">
        <v>0</v>
      </c>
      <c r="FF224" s="14" t="n">
        <v>0</v>
      </c>
      <c r="FG224" s="15">
        <f>SUM(DW224,DX224,DY224,DZ224,EA224,EB224,EC224,ED224,EE224,EF224,EG224,EH224,EI224,EJ224,EK224,EL224,EM224,EN224,EO224,EP224,EQ224,ER224,ES224,ET224,EU224,EV224,EW224,EX224,EY224,EZ224,FA224,FB224,FC224,FD224,FE224,FF224)</f>
        <v/>
      </c>
      <c r="FH224" s="14" t="n">
        <v>0</v>
      </c>
      <c r="FI224" s="14" t="n">
        <v>0</v>
      </c>
      <c r="FJ224" s="14" t="n">
        <v>0</v>
      </c>
      <c r="FK224" s="14" t="n">
        <v>0</v>
      </c>
      <c r="FL224" s="14" t="n">
        <v>0</v>
      </c>
      <c r="FM224" s="14" t="n">
        <v>0</v>
      </c>
      <c r="FN224" s="14" t="n">
        <v>0</v>
      </c>
      <c r="FO224" s="14" t="n">
        <v>0</v>
      </c>
      <c r="FP224" s="14" t="n">
        <v>0</v>
      </c>
      <c r="FQ224" s="15">
        <f>FL224+FM224+FN224+FO224+FP224</f>
        <v/>
      </c>
      <c r="FR224" s="14" t="n">
        <v>8502968</v>
      </c>
      <c r="FS224" s="14" t="n">
        <v>32000</v>
      </c>
      <c r="FT224" s="14" t="n">
        <v>519500</v>
      </c>
      <c r="FU224" s="14" t="n">
        <v>158700</v>
      </c>
      <c r="FV224" s="15">
        <f>FR224+FS224+FT224+FU224</f>
        <v/>
      </c>
      <c r="FW224" s="14" t="n">
        <v>2886978</v>
      </c>
      <c r="FX224" s="14" t="n">
        <v>0</v>
      </c>
      <c r="FY224" s="14" t="n">
        <v>425228</v>
      </c>
      <c r="FZ224" s="14" t="n">
        <v>12121897</v>
      </c>
      <c r="GA224" s="15">
        <f>FW224+FX224+FY224+FZ224</f>
        <v/>
      </c>
      <c r="GB224" s="15">
        <f>FV224+GA224</f>
        <v/>
      </c>
      <c r="GC224" s="14" t="n">
        <v>13191927.25</v>
      </c>
      <c r="GD224" s="14" t="n">
        <v>142886.16</v>
      </c>
      <c r="GE224" s="14" t="n">
        <v>11124818.66</v>
      </c>
      <c r="GF224" s="14" t="n">
        <v>344806.32</v>
      </c>
      <c r="GG224" s="15">
        <f>GC224+GD224+GE224+GF224</f>
        <v/>
      </c>
      <c r="GH224" s="14" t="n">
        <v>2878208.24</v>
      </c>
      <c r="GI224" s="14" t="n">
        <v>0</v>
      </c>
      <c r="GJ224" s="14" t="n">
        <v>11995897</v>
      </c>
      <c r="GK224" s="14" t="n">
        <v>425228.09</v>
      </c>
      <c r="GL224" s="15">
        <f>GH224+GI224+GJ224+GK224</f>
        <v/>
      </c>
      <c r="GM224" s="15">
        <f>GG224+GL224</f>
        <v/>
      </c>
      <c r="GN224" s="14" t="n">
        <v>993632.29</v>
      </c>
      <c r="GO224" s="14" t="n">
        <v>1721.52</v>
      </c>
      <c r="GP224" s="14" t="n">
        <v>64479.16</v>
      </c>
      <c r="GQ224" s="14" t="n">
        <v>64922.76</v>
      </c>
      <c r="GR224" s="15">
        <f>GN224+GO224+GP224+GQ224</f>
        <v/>
      </c>
      <c r="GS224" s="14" t="n">
        <v>1663659</v>
      </c>
      <c r="GT224" s="14" t="n">
        <v>8037</v>
      </c>
      <c r="GU224" s="14" t="n">
        <v>16967</v>
      </c>
      <c r="GV224" s="14" t="n">
        <v>12502</v>
      </c>
      <c r="GW224" s="15">
        <f>GS224+GT224+GU224+GV224</f>
        <v/>
      </c>
      <c r="GX224" s="15">
        <f>GM224+GR224+GW224</f>
        <v/>
      </c>
      <c r="GY224" s="14" t="n">
        <v>48693060.19</v>
      </c>
      <c r="GZ224" s="14" t="n">
        <v>13369936.32</v>
      </c>
      <c r="HA224" s="15">
        <f>GY224+GZ224</f>
        <v/>
      </c>
      <c r="HB224" s="15">
        <f>IF(GX224=0,"",AU224/GX224)</f>
        <v/>
      </c>
      <c r="HC224" s="16">
        <f>IF((GX224+GY224)=0,"",GB224/(GX224+GY224))</f>
        <v/>
      </c>
      <c r="HD224" s="15">
        <f>IF(GX224=0,"",GB224/GX224)</f>
        <v/>
      </c>
      <c r="HE224" s="14" t="n">
        <v>4</v>
      </c>
      <c r="HF224" s="14" t="n">
        <v>1</v>
      </c>
      <c r="HG224" s="14" t="n">
        <v>103</v>
      </c>
      <c r="HH224" s="14" t="n">
        <v>4</v>
      </c>
      <c r="HI224" s="14" t="n">
        <v>30</v>
      </c>
      <c r="HJ224" s="15">
        <f>HF224+HI224</f>
        <v/>
      </c>
      <c r="HK224" s="16">
        <f>IF(HE224=0,"",HH224/HE224)</f>
        <v/>
      </c>
      <c r="HL224" s="14" t="n">
        <v>60</v>
      </c>
      <c r="HM224" s="14" t="n">
        <v>60</v>
      </c>
      <c r="HN224" s="17">
        <f>IF(HL224=0,"",HM224/HL224)</f>
        <v/>
      </c>
    </row>
    <row r="225">
      <c r="A225" s="6" t="inlineStr">
        <is>
          <t>Ngabu</t>
        </is>
      </c>
      <c r="B225" s="6" t="inlineStr">
        <is>
          <t>Chikwawa</t>
        </is>
      </c>
      <c r="C225" s="7" t="inlineStr">
        <is>
          <t>FY2025/26</t>
        </is>
      </c>
      <c r="D225" s="7" t="n">
        <v>2025</v>
      </c>
      <c r="E225" s="7" t="n">
        <v>10</v>
      </c>
      <c r="F225" s="7" t="inlineStr">
        <is>
          <t>October</t>
        </is>
      </c>
      <c r="G225" s="7" t="inlineStr">
        <is>
          <t>Q3</t>
        </is>
      </c>
      <c r="H225" s="8" t="n">
        <v>27557</v>
      </c>
      <c r="I225" s="8" t="n">
        <v>13492</v>
      </c>
      <c r="J225" s="8" t="n">
        <v>855</v>
      </c>
      <c r="K225" s="8" t="n">
        <v>1275</v>
      </c>
      <c r="L225" s="8" t="n">
        <v>480</v>
      </c>
      <c r="M225" s="9">
        <f>SUM(I225,J225,K225,L225)</f>
        <v/>
      </c>
      <c r="N225" s="8" t="n">
        <v>2924</v>
      </c>
      <c r="O225" s="8" t="n">
        <v>0</v>
      </c>
      <c r="P225" s="8" t="n">
        <v>3350</v>
      </c>
      <c r="Q225" s="8" t="n">
        <v>93</v>
      </c>
      <c r="R225" s="9">
        <f>SUM(N225,O225,P225,Q225)</f>
        <v/>
      </c>
      <c r="S225" s="9">
        <f>M225+R225</f>
        <v/>
      </c>
      <c r="T225" s="8" t="n">
        <v>5088</v>
      </c>
      <c r="U225" s="10">
        <f>IF(H225=0,"",T225/H225)</f>
        <v/>
      </c>
      <c r="V225" s="8" t="n">
        <v>31</v>
      </c>
      <c r="W225" s="11">
        <f>IF(H225=0,"",V225/H225)</f>
        <v/>
      </c>
      <c r="X225" s="8" t="n">
        <v>0</v>
      </c>
      <c r="Y225" s="11">
        <f>IF(H225=0,"",X225/H225)</f>
        <v/>
      </c>
      <c r="Z225" s="8" t="n">
        <v>0</v>
      </c>
      <c r="AA225" s="11">
        <f>IF(H225=0,"",Z225/H225)</f>
        <v/>
      </c>
      <c r="AB225" s="8" t="n">
        <v>0</v>
      </c>
      <c r="AC225" s="11">
        <f>IF(H225=0,"",AB225/H225)</f>
        <v/>
      </c>
      <c r="AD225" s="8" t="n">
        <v>0</v>
      </c>
      <c r="AE225" s="11">
        <f>IF(H225=0,"",AD225/H225)</f>
        <v/>
      </c>
      <c r="AF225" s="8" t="n">
        <v>0</v>
      </c>
      <c r="AG225" s="11">
        <f>IF(H225=0,"",AF225/H225)</f>
        <v/>
      </c>
      <c r="AH225" s="8" t="n">
        <v>109283.99</v>
      </c>
      <c r="AI225" s="9">
        <f>IF(H225=0,"",AH225/H225)</f>
        <v/>
      </c>
      <c r="AJ225" s="8" t="n">
        <v>18123</v>
      </c>
      <c r="AK225" s="11">
        <f>IF(H225=0,"",AJ225/H225)</f>
        <v/>
      </c>
      <c r="AL225" s="8" t="n">
        <v>2531019.9345</v>
      </c>
      <c r="AM225" s="9">
        <f>IF(H225=0,"",AL225/H225)</f>
        <v/>
      </c>
      <c r="AN225" s="8" t="n">
        <v>720</v>
      </c>
      <c r="AO225" s="8" t="n">
        <v>88</v>
      </c>
      <c r="AP225" s="8" t="n">
        <v>240592</v>
      </c>
      <c r="AQ225" s="8" t="n">
        <v>0</v>
      </c>
      <c r="AR225" s="8" t="n">
        <v>0</v>
      </c>
      <c r="AS225" s="8" t="n">
        <v>0</v>
      </c>
      <c r="AT225" s="8" t="n">
        <v>0</v>
      </c>
      <c r="AU225" s="9">
        <f>AH225+AL225+AP225+AQ225+AR225+AS225+AT225</f>
        <v/>
      </c>
      <c r="AV225" s="9">
        <f>IF(H225=0,"",AU225/H225)</f>
        <v/>
      </c>
      <c r="AW225" s="9">
        <f>IF(S225=0,"",AU225/S225)</f>
        <v/>
      </c>
      <c r="AX225" s="8" t="n">
        <v>7</v>
      </c>
      <c r="AY225" s="9">
        <f>IF(H225=0,"",AX225/(H225/1000/12))</f>
        <v/>
      </c>
      <c r="AZ225" s="8" t="n">
        <v>6</v>
      </c>
      <c r="BA225" s="8" t="n">
        <v>103</v>
      </c>
      <c r="BB225" s="8" t="n">
        <v>8</v>
      </c>
      <c r="BC225" s="8" t="n">
        <v>13</v>
      </c>
      <c r="BD225" s="8" t="n">
        <v>0</v>
      </c>
      <c r="BE225" s="9">
        <f>BC225+BD225</f>
        <v/>
      </c>
      <c r="BF225" s="9">
        <f>BA225+BB225-BE225</f>
        <v/>
      </c>
      <c r="BG225" s="8" t="n">
        <v>0</v>
      </c>
      <c r="BH225" s="8" t="n">
        <v>0</v>
      </c>
      <c r="BI225" s="8" t="n">
        <v>0</v>
      </c>
      <c r="BJ225" s="8" t="n">
        <v>0</v>
      </c>
      <c r="BK225" s="9">
        <f>BI225+BJ225</f>
        <v/>
      </c>
      <c r="BL225" s="9">
        <f>BG225+BH225-BK225</f>
        <v/>
      </c>
      <c r="BM225" s="8" t="n">
        <v>0</v>
      </c>
      <c r="BN225" s="8" t="n">
        <v>0</v>
      </c>
      <c r="BO225" s="8" t="n">
        <v>0</v>
      </c>
      <c r="BP225" s="8" t="n">
        <v>0</v>
      </c>
      <c r="BQ225" s="9">
        <f>BO225+BP225</f>
        <v/>
      </c>
      <c r="BR225" s="9">
        <f>BM225+BN225-BQ225</f>
        <v/>
      </c>
      <c r="BS225" s="8" t="n">
        <v>0</v>
      </c>
      <c r="BT225" s="8" t="n">
        <v>0</v>
      </c>
      <c r="BU225" s="8" t="n">
        <v>0</v>
      </c>
      <c r="BV225" s="8" t="n">
        <v>0</v>
      </c>
      <c r="BW225" s="9">
        <f>BU225+BV225</f>
        <v/>
      </c>
      <c r="BX225" s="9">
        <f>BS225+BT225-BW225</f>
        <v/>
      </c>
      <c r="BY225" s="9">
        <f>BA225+BG225+BM225+BS225</f>
        <v/>
      </c>
      <c r="BZ225" s="9">
        <f>BB225+BH225+BN225+BT225</f>
        <v/>
      </c>
      <c r="CA225" s="9">
        <f>BE225+BK225+BQ225+BW225</f>
        <v/>
      </c>
      <c r="CB225" s="9">
        <f>BF225+BL225+BR225+BX225</f>
        <v/>
      </c>
      <c r="CC225" s="8" t="n">
        <v>0</v>
      </c>
      <c r="CD225" s="8" t="n">
        <v>1427</v>
      </c>
      <c r="CE225" s="8" t="n">
        <v>11</v>
      </c>
      <c r="CF225" s="8" t="n">
        <v>13</v>
      </c>
      <c r="CG225" s="8" t="n">
        <v>20</v>
      </c>
      <c r="CH225" s="9">
        <f>CD225+CE225+CF225+CG225</f>
        <v/>
      </c>
      <c r="CI225" s="8" t="n">
        <v>1765</v>
      </c>
      <c r="CJ225" s="8" t="n">
        <v>23</v>
      </c>
      <c r="CK225" s="8" t="n">
        <v>15</v>
      </c>
      <c r="CL225" s="8" t="n">
        <v>9</v>
      </c>
      <c r="CM225" s="9">
        <f>CI225+CJ225+CK225+CL225</f>
        <v/>
      </c>
      <c r="CN225" s="8" t="n">
        <v>636</v>
      </c>
      <c r="CO225" s="8" t="n">
        <v>42</v>
      </c>
      <c r="CP225" s="8" t="n">
        <v>56</v>
      </c>
      <c r="CQ225" s="8" t="n">
        <v>3</v>
      </c>
      <c r="CR225" s="9">
        <f>CN225+CO225+CP225+CQ225</f>
        <v/>
      </c>
      <c r="CS225" s="9">
        <f>CM225+CR225</f>
        <v/>
      </c>
      <c r="CT225" s="8" t="n">
        <v>4020</v>
      </c>
      <c r="CU225" s="8" t="n">
        <v>22395.8792859552</v>
      </c>
      <c r="CV225" s="8" t="n">
        <v>17127</v>
      </c>
      <c r="CW225" s="10">
        <f>IF(CU225=0,"",CV225/CU225)</f>
        <v/>
      </c>
      <c r="CX225" s="8" t="n">
        <v>0</v>
      </c>
      <c r="CY225" s="8" t="n"/>
      <c r="CZ225" s="8" t="n"/>
      <c r="DA225" s="8" t="n"/>
      <c r="DB225" s="9">
        <f>CX225+CY225-CZ225-DA225</f>
        <v/>
      </c>
      <c r="DC225" s="8" t="n">
        <v>0</v>
      </c>
      <c r="DD225" s="8" t="n">
        <v>0</v>
      </c>
      <c r="DE225" s="8" t="n">
        <v>0</v>
      </c>
      <c r="DF225" s="8" t="n">
        <v>0</v>
      </c>
      <c r="DG225" s="9">
        <f>DC225+DD225-DE225-DF225</f>
        <v/>
      </c>
      <c r="DH225" s="8" t="n">
        <v>0</v>
      </c>
      <c r="DI225" s="8" t="n">
        <v>0</v>
      </c>
      <c r="DJ225" s="8" t="n">
        <v>0</v>
      </c>
      <c r="DK225" s="8" t="n">
        <v>0</v>
      </c>
      <c r="DL225" s="9">
        <f>DH225+DI225-DJ225-DK225</f>
        <v/>
      </c>
      <c r="DM225" s="8" t="n">
        <v>160</v>
      </c>
      <c r="DN225" s="8" t="n">
        <v>9</v>
      </c>
      <c r="DO225" s="8" t="n">
        <v>15</v>
      </c>
      <c r="DP225" s="8" t="n">
        <v>0</v>
      </c>
      <c r="DQ225" s="9">
        <f>DM225+DN225-DO225-DP225</f>
        <v/>
      </c>
      <c r="DR225" s="9">
        <f>CX225+DC225+DH225+DM225</f>
        <v/>
      </c>
      <c r="DS225" s="9">
        <f>CY225+DD225+DI225+DN225</f>
        <v/>
      </c>
      <c r="DT225" s="9">
        <f>CZ225+DE225+DJ225+DO225</f>
        <v/>
      </c>
      <c r="DU225" s="9">
        <f>DA225+DF225+DK225+DP225</f>
        <v/>
      </c>
      <c r="DV225" s="9">
        <f>DB225+DG225+DL225+DQ225</f>
        <v/>
      </c>
      <c r="DW225" s="8" t="n">
        <v>52</v>
      </c>
      <c r="DX225" s="8" t="n">
        <v>14</v>
      </c>
      <c r="DY225" s="8" t="n">
        <v>2</v>
      </c>
      <c r="DZ225" s="8" t="n">
        <v>2</v>
      </c>
      <c r="EA225" s="8" t="n">
        <v>0</v>
      </c>
      <c r="EB225" s="8" t="n">
        <v>0</v>
      </c>
      <c r="EC225" s="8" t="n">
        <v>0</v>
      </c>
      <c r="ED225" s="8" t="n">
        <v>1</v>
      </c>
      <c r="EE225" s="8" t="n">
        <v>0</v>
      </c>
      <c r="EF225" s="8" t="n">
        <v>1</v>
      </c>
      <c r="EG225" s="8" t="n">
        <v>0</v>
      </c>
      <c r="EH225" s="8" t="n">
        <v>0</v>
      </c>
      <c r="EI225" s="8" t="n">
        <v>0</v>
      </c>
      <c r="EJ225" s="8" t="n">
        <v>0</v>
      </c>
      <c r="EK225" s="8" t="n">
        <v>0</v>
      </c>
      <c r="EL225" s="8" t="n">
        <v>0</v>
      </c>
      <c r="EM225" s="8" t="n">
        <v>0</v>
      </c>
      <c r="EN225" s="8" t="n">
        <v>0</v>
      </c>
      <c r="EO225" s="8" t="n">
        <v>0</v>
      </c>
      <c r="EP225" s="8" t="n">
        <v>0</v>
      </c>
      <c r="EQ225" s="8" t="n">
        <v>0</v>
      </c>
      <c r="ER225" s="8" t="n">
        <v>0</v>
      </c>
      <c r="ES225" s="8" t="n">
        <v>0</v>
      </c>
      <c r="ET225" s="8" t="n">
        <v>0</v>
      </c>
      <c r="EU225" s="8" t="n">
        <v>0</v>
      </c>
      <c r="EV225" s="8" t="n">
        <v>0</v>
      </c>
      <c r="EW225" s="8" t="n">
        <v>0</v>
      </c>
      <c r="EX225" s="8" t="n">
        <v>0</v>
      </c>
      <c r="EY225" s="8" t="n">
        <v>0</v>
      </c>
      <c r="EZ225" s="8" t="n">
        <v>0</v>
      </c>
      <c r="FA225" s="8" t="n">
        <v>0</v>
      </c>
      <c r="FB225" s="8" t="n">
        <v>0</v>
      </c>
      <c r="FC225" s="8" t="n">
        <v>0</v>
      </c>
      <c r="FD225" s="8" t="n">
        <v>0</v>
      </c>
      <c r="FE225" s="8" t="n">
        <v>0</v>
      </c>
      <c r="FF225" s="8" t="n">
        <v>0</v>
      </c>
      <c r="FG225" s="9">
        <f>SUM(DW225,DX225,DY225,DZ225,EA225,EB225,EC225,ED225,EE225,EF225,EG225,EH225,EI225,EJ225,EK225,EL225,EM225,EN225,EO225,EP225,EQ225,ER225,ES225,ET225,EU225,EV225,EW225,EX225,EY225,EZ225,FA225,FB225,FC225,FD225,FE225,FF225)</f>
        <v/>
      </c>
      <c r="FH225" s="8" t="n">
        <v>0</v>
      </c>
      <c r="FI225" s="8" t="n">
        <v>0</v>
      </c>
      <c r="FJ225" s="8" t="n">
        <v>0</v>
      </c>
      <c r="FK225" s="8" t="n">
        <v>0</v>
      </c>
      <c r="FL225" s="8" t="n">
        <v>0</v>
      </c>
      <c r="FM225" s="8" t="n">
        <v>0</v>
      </c>
      <c r="FN225" s="8" t="n">
        <v>0</v>
      </c>
      <c r="FO225" s="8" t="n">
        <v>0</v>
      </c>
      <c r="FP225" s="8" t="n">
        <v>0</v>
      </c>
      <c r="FQ225" s="9">
        <f>FL225+FM225+FN225+FO225+FP225</f>
        <v/>
      </c>
      <c r="FR225" s="8" t="n">
        <v>19216766</v>
      </c>
      <c r="FS225" s="8" t="n">
        <v>59500</v>
      </c>
      <c r="FT225" s="8" t="n">
        <v>147600</v>
      </c>
      <c r="FU225" s="8" t="n">
        <v>6819900</v>
      </c>
      <c r="FV225" s="9">
        <f>FR225+FS225+FT225+FU225</f>
        <v/>
      </c>
      <c r="FW225" s="8" t="n">
        <v>3654207</v>
      </c>
      <c r="FX225" s="8" t="n">
        <v>0</v>
      </c>
      <c r="FY225" s="8" t="n">
        <v>446500</v>
      </c>
      <c r="FZ225" s="8" t="n">
        <v>10300701</v>
      </c>
      <c r="GA225" s="9">
        <f>FW225+FX225+FY225+FZ225</f>
        <v/>
      </c>
      <c r="GB225" s="9">
        <f>FV225+GA225</f>
        <v/>
      </c>
      <c r="GC225" s="8" t="n">
        <v>11715902.52</v>
      </c>
      <c r="GD225" s="8" t="n">
        <v>65226.48</v>
      </c>
      <c r="GE225" s="8" t="n">
        <v>2983857.74</v>
      </c>
      <c r="GF225" s="8" t="n">
        <v>304351.07</v>
      </c>
      <c r="GG225" s="9">
        <f>GC225+GD225+GE225+GF225</f>
        <v/>
      </c>
      <c r="GH225" s="8" t="n">
        <v>3648207.4</v>
      </c>
      <c r="GI225" s="8" t="n">
        <v>0</v>
      </c>
      <c r="GJ225" s="8" t="n">
        <v>10180701.42</v>
      </c>
      <c r="GK225" s="8" t="n">
        <v>440500</v>
      </c>
      <c r="GL225" s="9">
        <f>GH225+GI225+GJ225+GK225</f>
        <v/>
      </c>
      <c r="GM225" s="9">
        <f>GG225+GL225</f>
        <v/>
      </c>
      <c r="GN225" s="8" t="n">
        <v>1002568.4</v>
      </c>
      <c r="GO225" s="8" t="n">
        <v>1530.24</v>
      </c>
      <c r="GP225" s="8" t="n">
        <v>64479.16</v>
      </c>
      <c r="GQ225" s="8" t="n">
        <v>69560.10000000001</v>
      </c>
      <c r="GR225" s="9">
        <f>GN225+GO225+GP225+GQ225</f>
        <v/>
      </c>
      <c r="GS225" s="8" t="n">
        <v>1678840</v>
      </c>
      <c r="GT225" s="8" t="n">
        <v>7144</v>
      </c>
      <c r="GU225" s="8" t="n">
        <v>16967</v>
      </c>
      <c r="GV225" s="8" t="n">
        <v>13395</v>
      </c>
      <c r="GW225" s="9">
        <f>GS225+GT225+GU225+GV225</f>
        <v/>
      </c>
      <c r="GX225" s="9">
        <f>GM225+GR225+GW225</f>
        <v/>
      </c>
      <c r="GY225" s="8" t="n">
        <v>45036848.62</v>
      </c>
      <c r="GZ225" s="8" t="n">
        <v>9662140.220000001</v>
      </c>
      <c r="HA225" s="9">
        <f>GY225+GZ225</f>
        <v/>
      </c>
      <c r="HB225" s="9">
        <f>IF(GX225=0,"",AU225/GX225)</f>
        <v/>
      </c>
      <c r="HC225" s="10">
        <f>IF((GX225+GY225)=0,"",GB225/(GX225+GY225))</f>
        <v/>
      </c>
      <c r="HD225" s="9">
        <f>IF(GX225=0,"",GB225/GX225)</f>
        <v/>
      </c>
      <c r="HE225" s="8" t="n">
        <v>8</v>
      </c>
      <c r="HF225" s="8" t="n">
        <v>1</v>
      </c>
      <c r="HG225" s="8" t="n">
        <v>98</v>
      </c>
      <c r="HH225" s="8" t="n">
        <v>8</v>
      </c>
      <c r="HI225" s="8" t="n">
        <v>30</v>
      </c>
      <c r="HJ225" s="9">
        <f>HF225+HI225</f>
        <v/>
      </c>
      <c r="HK225" s="10">
        <f>IF(HE225=0,"",HH225/HE225)</f>
        <v/>
      </c>
      <c r="HL225" s="8" t="n">
        <v>60</v>
      </c>
      <c r="HM225" s="8" t="n">
        <v>60</v>
      </c>
      <c r="HN225" s="11">
        <f>IF(HL225=0,"",HM225/HL225)</f>
        <v/>
      </c>
    </row>
    <row r="226">
      <c r="A226" s="12" t="inlineStr">
        <is>
          <t>Ngabu</t>
        </is>
      </c>
      <c r="B226" s="12" t="inlineStr">
        <is>
          <t>Chikwawa</t>
        </is>
      </c>
      <c r="C226" s="13" t="inlineStr">
        <is>
          <t>FY2025/26</t>
        </is>
      </c>
      <c r="D226" s="13" t="n">
        <v>2025</v>
      </c>
      <c r="E226" s="13" t="n">
        <v>11</v>
      </c>
      <c r="F226" s="13" t="inlineStr">
        <is>
          <t>November</t>
        </is>
      </c>
      <c r="G226" s="13" t="inlineStr">
        <is>
          <t>Q3</t>
        </is>
      </c>
      <c r="H226" s="14" t="n">
        <v>27105</v>
      </c>
      <c r="I226" s="14" t="n">
        <v>13015</v>
      </c>
      <c r="J226" s="14" t="n">
        <v>420</v>
      </c>
      <c r="K226" s="14" t="n">
        <v>1288</v>
      </c>
      <c r="L226" s="14" t="n">
        <v>91</v>
      </c>
      <c r="M226" s="15">
        <f>SUM(I226,J226,K226,L226)</f>
        <v/>
      </c>
      <c r="N226" s="14" t="n">
        <v>3115</v>
      </c>
      <c r="O226" s="14" t="n">
        <v>0</v>
      </c>
      <c r="P226" s="14" t="n">
        <v>5925</v>
      </c>
      <c r="Q226" s="14" t="n">
        <v>973</v>
      </c>
      <c r="R226" s="15">
        <f>SUM(N226,O226,P226,Q226)</f>
        <v/>
      </c>
      <c r="S226" s="15">
        <f>M226+R226</f>
        <v/>
      </c>
      <c r="T226" s="14" t="n">
        <v>2278</v>
      </c>
      <c r="U226" s="16">
        <f>IF(H226=0,"",T226/H226)</f>
        <v/>
      </c>
      <c r="V226" s="14" t="n">
        <v>30</v>
      </c>
      <c r="W226" s="17">
        <f>IF(H226=0,"",V226/H226)</f>
        <v/>
      </c>
      <c r="X226" s="14" t="n">
        <v>0</v>
      </c>
      <c r="Y226" s="17">
        <f>IF(H226=0,"",X226/H226)</f>
        <v/>
      </c>
      <c r="Z226" s="14" t="n">
        <v>0</v>
      </c>
      <c r="AA226" s="17">
        <f>IF(H226=0,"",Z226/H226)</f>
        <v/>
      </c>
      <c r="AB226" s="14" t="n">
        <v>0</v>
      </c>
      <c r="AC226" s="17">
        <f>IF(H226=0,"",AB226/H226)</f>
        <v/>
      </c>
      <c r="AD226" s="14" t="n">
        <v>0</v>
      </c>
      <c r="AE226" s="17">
        <f>IF(H226=0,"",AD226/H226)</f>
        <v/>
      </c>
      <c r="AF226" s="14" t="n">
        <v>0</v>
      </c>
      <c r="AG226" s="17">
        <f>IF(H226=0,"",AF226/H226)</f>
        <v/>
      </c>
      <c r="AH226" s="14" t="n">
        <v>105758.7</v>
      </c>
      <c r="AI226" s="15">
        <f>IF(H226=0,"",AH226/H226)</f>
        <v/>
      </c>
      <c r="AJ226" s="14" t="n">
        <v>17524</v>
      </c>
      <c r="AK226" s="17">
        <f>IF(H226=0,"",AJ226/H226)</f>
        <v/>
      </c>
      <c r="AL226" s="14" t="n">
        <v>2447907.786</v>
      </c>
      <c r="AM226" s="15">
        <f>IF(H226=0,"",AL226/H226)</f>
        <v/>
      </c>
      <c r="AN226" s="14" t="n">
        <v>1740</v>
      </c>
      <c r="AO226" s="14" t="n">
        <v>100</v>
      </c>
      <c r="AP226" s="14" t="n">
        <v>273400</v>
      </c>
      <c r="AQ226" s="14" t="n">
        <v>0</v>
      </c>
      <c r="AR226" s="14" t="n">
        <v>0</v>
      </c>
      <c r="AS226" s="14" t="n">
        <v>0</v>
      </c>
      <c r="AT226" s="14" t="n">
        <v>0</v>
      </c>
      <c r="AU226" s="15">
        <f>AH226+AL226+AP226+AQ226+AR226+AS226+AT226</f>
        <v/>
      </c>
      <c r="AV226" s="15">
        <f>IF(H226=0,"",AU226/H226)</f>
        <v/>
      </c>
      <c r="AW226" s="15">
        <f>IF(S226=0,"",AU226/S226)</f>
        <v/>
      </c>
      <c r="AX226" s="14" t="n">
        <v>7</v>
      </c>
      <c r="AY226" s="15">
        <f>IF(H226=0,"",AX226/(H226/1000/12))</f>
        <v/>
      </c>
      <c r="AZ226" s="14" t="n">
        <v>6</v>
      </c>
      <c r="BA226" s="14" t="n">
        <v>98</v>
      </c>
      <c r="BB226" s="14" t="n">
        <v>7</v>
      </c>
      <c r="BC226" s="14" t="n">
        <v>12</v>
      </c>
      <c r="BD226" s="14" t="n">
        <v>0</v>
      </c>
      <c r="BE226" s="15">
        <f>BC226+BD226</f>
        <v/>
      </c>
      <c r="BF226" s="15">
        <f>BA226+BB226-BE226</f>
        <v/>
      </c>
      <c r="BG226" s="14" t="n">
        <v>0</v>
      </c>
      <c r="BH226" s="14" t="n">
        <v>0</v>
      </c>
      <c r="BI226" s="14" t="n">
        <v>0</v>
      </c>
      <c r="BJ226" s="14" t="n">
        <v>0</v>
      </c>
      <c r="BK226" s="15">
        <f>BI226+BJ226</f>
        <v/>
      </c>
      <c r="BL226" s="15">
        <f>BG226+BH226-BK226</f>
        <v/>
      </c>
      <c r="BM226" s="14" t="n">
        <v>0</v>
      </c>
      <c r="BN226" s="14" t="n">
        <v>0</v>
      </c>
      <c r="BO226" s="14" t="n">
        <v>0</v>
      </c>
      <c r="BP226" s="14" t="n">
        <v>0</v>
      </c>
      <c r="BQ226" s="15">
        <f>BO226+BP226</f>
        <v/>
      </c>
      <c r="BR226" s="15">
        <f>BM226+BN226-BQ226</f>
        <v/>
      </c>
      <c r="BS226" s="14" t="n">
        <v>0</v>
      </c>
      <c r="BT226" s="14" t="n">
        <v>0</v>
      </c>
      <c r="BU226" s="14" t="n">
        <v>0</v>
      </c>
      <c r="BV226" s="14" t="n">
        <v>0</v>
      </c>
      <c r="BW226" s="15">
        <f>BU226+BV226</f>
        <v/>
      </c>
      <c r="BX226" s="15">
        <f>BS226+BT226-BW226</f>
        <v/>
      </c>
      <c r="BY226" s="15">
        <f>BA226+BG226+BM226+BS226</f>
        <v/>
      </c>
      <c r="BZ226" s="15">
        <f>BB226+BH226+BN226+BT226</f>
        <v/>
      </c>
      <c r="CA226" s="15">
        <f>BE226+BK226+BQ226+BW226</f>
        <v/>
      </c>
      <c r="CB226" s="15">
        <f>BF226+BL226+BR226+BX226</f>
        <v/>
      </c>
      <c r="CC226" s="14" t="n">
        <v>0</v>
      </c>
      <c r="CD226" s="14" t="n">
        <v>1420</v>
      </c>
      <c r="CE226" s="14" t="n">
        <v>11</v>
      </c>
      <c r="CF226" s="14" t="n">
        <v>13</v>
      </c>
      <c r="CG226" s="14" t="n">
        <v>20</v>
      </c>
      <c r="CH226" s="15">
        <f>CD226+CE226+CF226+CG226</f>
        <v/>
      </c>
      <c r="CI226" s="14" t="n">
        <v>1784</v>
      </c>
      <c r="CJ226" s="14" t="n">
        <v>23</v>
      </c>
      <c r="CK226" s="14" t="n">
        <v>15</v>
      </c>
      <c r="CL226" s="14" t="n">
        <v>9</v>
      </c>
      <c r="CM226" s="15">
        <f>CI226+CJ226+CK226+CL226</f>
        <v/>
      </c>
      <c r="CN226" s="14" t="n">
        <v>636</v>
      </c>
      <c r="CO226" s="14" t="n">
        <v>42</v>
      </c>
      <c r="CP226" s="14" t="n">
        <v>56</v>
      </c>
      <c r="CQ226" s="14" t="n">
        <v>3</v>
      </c>
      <c r="CR226" s="15">
        <f>CN226+CO226+CP226+CQ226</f>
        <v/>
      </c>
      <c r="CS226" s="15">
        <f>CM226+CR226</f>
        <v/>
      </c>
      <c r="CT226" s="14" t="n">
        <v>4032</v>
      </c>
      <c r="CU226" s="14" t="n">
        <v>22440.6710445271</v>
      </c>
      <c r="CV226" s="14" t="n">
        <v>17127</v>
      </c>
      <c r="CW226" s="16">
        <f>IF(CU226=0,"",CV226/CU226)</f>
        <v/>
      </c>
      <c r="CX226" s="14" t="n">
        <v>0</v>
      </c>
      <c r="CY226" s="14" t="n"/>
      <c r="CZ226" s="14" t="n"/>
      <c r="DA226" s="14" t="n"/>
      <c r="DB226" s="15">
        <f>CX226+CY226-CZ226-DA226</f>
        <v/>
      </c>
      <c r="DC226" s="14" t="n">
        <v>0</v>
      </c>
      <c r="DD226" s="14" t="n">
        <v>0</v>
      </c>
      <c r="DE226" s="14" t="n">
        <v>0</v>
      </c>
      <c r="DF226" s="14" t="n">
        <v>0</v>
      </c>
      <c r="DG226" s="15">
        <f>DC226+DD226-DE226-DF226</f>
        <v/>
      </c>
      <c r="DH226" s="14" t="n">
        <v>0</v>
      </c>
      <c r="DI226" s="14" t="n">
        <v>0</v>
      </c>
      <c r="DJ226" s="14" t="n">
        <v>0</v>
      </c>
      <c r="DK226" s="14" t="n">
        <v>0</v>
      </c>
      <c r="DL226" s="15">
        <f>DH226+DI226-DJ226-DK226</f>
        <v/>
      </c>
      <c r="DM226" s="14" t="n">
        <v>154</v>
      </c>
      <c r="DN226" s="14" t="n">
        <v>11</v>
      </c>
      <c r="DO226" s="14" t="n">
        <v>22</v>
      </c>
      <c r="DP226" s="14" t="n">
        <v>0</v>
      </c>
      <c r="DQ226" s="15">
        <f>DM226+DN226-DO226-DP226</f>
        <v/>
      </c>
      <c r="DR226" s="15">
        <f>CX226+DC226+DH226+DM226</f>
        <v/>
      </c>
      <c r="DS226" s="15">
        <f>CY226+DD226+DI226+DN226</f>
        <v/>
      </c>
      <c r="DT226" s="15">
        <f>CZ226+DE226+DJ226+DO226</f>
        <v/>
      </c>
      <c r="DU226" s="15">
        <f>DA226+DF226+DK226+DP226</f>
        <v/>
      </c>
      <c r="DV226" s="15">
        <f>DB226+DG226+DL226+DQ226</f>
        <v/>
      </c>
      <c r="DW226" s="14" t="n">
        <v>49</v>
      </c>
      <c r="DX226" s="14" t="n">
        <v>15</v>
      </c>
      <c r="DY226" s="14" t="n">
        <v>0</v>
      </c>
      <c r="DZ226" s="14" t="n">
        <v>0</v>
      </c>
      <c r="EA226" s="14" t="n">
        <v>2</v>
      </c>
      <c r="EB226" s="14" t="n">
        <v>3</v>
      </c>
      <c r="EC226" s="14" t="n">
        <v>0</v>
      </c>
      <c r="ED226" s="14" t="n">
        <v>0</v>
      </c>
      <c r="EE226" s="14" t="n">
        <v>2</v>
      </c>
      <c r="EF226" s="14" t="n">
        <v>2</v>
      </c>
      <c r="EG226" s="14" t="n">
        <v>0</v>
      </c>
      <c r="EH226" s="14" t="n">
        <v>0</v>
      </c>
      <c r="EI226" s="14" t="n">
        <v>0</v>
      </c>
      <c r="EJ226" s="14" t="n">
        <v>0</v>
      </c>
      <c r="EK226" s="14" t="n">
        <v>0</v>
      </c>
      <c r="EL226" s="14" t="n">
        <v>0</v>
      </c>
      <c r="EM226" s="14" t="n">
        <v>0</v>
      </c>
      <c r="EN226" s="14" t="n">
        <v>0</v>
      </c>
      <c r="EO226" s="14" t="n">
        <v>0</v>
      </c>
      <c r="EP226" s="14" t="n">
        <v>0</v>
      </c>
      <c r="EQ226" s="14" t="n">
        <v>0</v>
      </c>
      <c r="ER226" s="14" t="n">
        <v>0</v>
      </c>
      <c r="ES226" s="14" t="n">
        <v>0</v>
      </c>
      <c r="ET226" s="14" t="n">
        <v>0</v>
      </c>
      <c r="EU226" s="14" t="n">
        <v>0</v>
      </c>
      <c r="EV226" s="14" t="n">
        <v>0</v>
      </c>
      <c r="EW226" s="14" t="n">
        <v>0</v>
      </c>
      <c r="EX226" s="14" t="n">
        <v>0</v>
      </c>
      <c r="EY226" s="14" t="n">
        <v>0</v>
      </c>
      <c r="EZ226" s="14" t="n">
        <v>0</v>
      </c>
      <c r="FA226" s="14" t="n">
        <v>0</v>
      </c>
      <c r="FB226" s="14" t="n">
        <v>0</v>
      </c>
      <c r="FC226" s="14" t="n">
        <v>0</v>
      </c>
      <c r="FD226" s="14" t="n">
        <v>0</v>
      </c>
      <c r="FE226" s="14" t="n">
        <v>0</v>
      </c>
      <c r="FF226" s="14" t="n">
        <v>0</v>
      </c>
      <c r="FG226" s="15">
        <f>SUM(DW226,DX226,DY226,DZ226,EA226,EB226,EC226,ED226,EE226,EF226,EG226,EH226,EI226,EJ226,EK226,EL226,EM226,EN226,EO226,EP226,EQ226,ER226,ES226,ET226,EU226,EV226,EW226,EX226,EY226,EZ226,FA226,FB226,FC226,FD226,FE226,FF226)</f>
        <v/>
      </c>
      <c r="FH226" s="14" t="n">
        <v>0</v>
      </c>
      <c r="FI226" s="14" t="n">
        <v>0</v>
      </c>
      <c r="FJ226" s="14" t="n">
        <v>0</v>
      </c>
      <c r="FK226" s="14" t="n">
        <v>0</v>
      </c>
      <c r="FL226" s="14" t="n">
        <v>0</v>
      </c>
      <c r="FM226" s="14" t="n">
        <v>0</v>
      </c>
      <c r="FN226" s="14" t="n">
        <v>0</v>
      </c>
      <c r="FO226" s="14" t="n">
        <v>0</v>
      </c>
      <c r="FP226" s="14" t="n">
        <v>0</v>
      </c>
      <c r="FQ226" s="15">
        <f>FL226+FM226+FN226+FO226+FP226</f>
        <v/>
      </c>
      <c r="FR226" s="14" t="n">
        <v>8792440</v>
      </c>
      <c r="FS226" s="14" t="n">
        <v>26000</v>
      </c>
      <c r="FT226" s="14" t="n">
        <v>281000</v>
      </c>
      <c r="FU226" s="14" t="n">
        <v>836287</v>
      </c>
      <c r="FV226" s="15">
        <f>FR226+FS226+FT226+FU226</f>
        <v/>
      </c>
      <c r="FW226" s="14" t="n">
        <v>3942357</v>
      </c>
      <c r="FX226" s="14" t="n">
        <v>0</v>
      </c>
      <c r="FY226" s="14" t="n">
        <v>4606820</v>
      </c>
      <c r="FZ226" s="14" t="n">
        <v>18792449</v>
      </c>
      <c r="GA226" s="15">
        <f>FW226+FX226+FY226+FZ226</f>
        <v/>
      </c>
      <c r="GB226" s="15">
        <f>FV226+GA226</f>
        <v/>
      </c>
      <c r="GC226" s="14" t="n">
        <v>12810973.72</v>
      </c>
      <c r="GD226" s="14" t="n">
        <v>80337.60000000001</v>
      </c>
      <c r="GE226" s="14" t="n">
        <v>4380231.05</v>
      </c>
      <c r="GF226" s="14" t="n">
        <v>282073.55</v>
      </c>
      <c r="GG226" s="15">
        <f>GC226+GD226+GE226+GF226</f>
        <v/>
      </c>
      <c r="GH226" s="14" t="n">
        <v>3933116.8</v>
      </c>
      <c r="GI226" s="14" t="n">
        <v>0</v>
      </c>
      <c r="GJ226" s="14" t="n">
        <v>18010078.8</v>
      </c>
      <c r="GK226" s="14" t="n">
        <v>4599728.09</v>
      </c>
      <c r="GL226" s="15">
        <f>GH226+GI226+GJ226+GK226</f>
        <v/>
      </c>
      <c r="GM226" s="15">
        <f>GG226+GL226</f>
        <v/>
      </c>
      <c r="GN226" s="14" t="n">
        <v>1023942.69</v>
      </c>
      <c r="GO226" s="14" t="n">
        <v>1530.24</v>
      </c>
      <c r="GP226" s="14" t="n">
        <v>57691.88</v>
      </c>
      <c r="GQ226" s="14" t="n">
        <v>69560.10000000001</v>
      </c>
      <c r="GR226" s="15">
        <f>GN226+GO226+GP226+GQ226</f>
        <v/>
      </c>
      <c r="GS226" s="14" t="n">
        <v>1713667</v>
      </c>
      <c r="GT226" s="14" t="n">
        <v>7144</v>
      </c>
      <c r="GU226" s="14" t="n">
        <v>15181</v>
      </c>
      <c r="GV226" s="14" t="n">
        <v>13395</v>
      </c>
      <c r="GW226" s="15">
        <f>GS226+GT226+GU226+GV226</f>
        <v/>
      </c>
      <c r="GX226" s="15">
        <f>GM226+GR226+GW226</f>
        <v/>
      </c>
      <c r="GY226" s="14" t="n">
        <v>53225224.96</v>
      </c>
      <c r="GZ226" s="14" t="n">
        <v>13047988.03</v>
      </c>
      <c r="HA226" s="15">
        <f>GY226+GZ226</f>
        <v/>
      </c>
      <c r="HB226" s="15">
        <f>IF(GX226=0,"",AU226/GX226)</f>
        <v/>
      </c>
      <c r="HC226" s="16">
        <f>IF((GX226+GY226)=0,"",GB226/(GX226+GY226))</f>
        <v/>
      </c>
      <c r="HD226" s="15">
        <f>IF(GX226=0,"",GB226/GX226)</f>
        <v/>
      </c>
      <c r="HE226" s="14" t="n">
        <v>7</v>
      </c>
      <c r="HF226" s="14" t="n">
        <v>1</v>
      </c>
      <c r="HG226" s="14" t="n">
        <v>93</v>
      </c>
      <c r="HH226" s="14" t="n">
        <v>7</v>
      </c>
      <c r="HI226" s="14" t="n">
        <v>35</v>
      </c>
      <c r="HJ226" s="15">
        <f>HF226+HI226</f>
        <v/>
      </c>
      <c r="HK226" s="16">
        <f>IF(HE226=0,"",HH226/HE226)</f>
        <v/>
      </c>
      <c r="HL226" s="14" t="n">
        <v>60</v>
      </c>
      <c r="HM226" s="14" t="n">
        <v>60</v>
      </c>
      <c r="HN226" s="17">
        <f>IF(HL226=0,"",HM226/HL226)</f>
        <v/>
      </c>
    </row>
    <row r="227">
      <c r="A227" s="6" t="inlineStr">
        <is>
          <t>Ngabu</t>
        </is>
      </c>
      <c r="B227" s="6" t="inlineStr">
        <is>
          <t>Chikwawa</t>
        </is>
      </c>
      <c r="C227" s="7" t="inlineStr">
        <is>
          <t>FY2025/26</t>
        </is>
      </c>
      <c r="D227" s="7" t="n">
        <v>2025</v>
      </c>
      <c r="E227" s="7" t="n">
        <v>12</v>
      </c>
      <c r="F227" s="7" t="inlineStr">
        <is>
          <t>December</t>
        </is>
      </c>
      <c r="G227" s="7" t="inlineStr">
        <is>
          <t>Q3</t>
        </is>
      </c>
      <c r="H227" s="8" t="n">
        <v>27351</v>
      </c>
      <c r="I227" s="8" t="n">
        <v>13941</v>
      </c>
      <c r="J227" s="8" t="n">
        <v>705</v>
      </c>
      <c r="K227" s="8" t="n">
        <v>1305</v>
      </c>
      <c r="L227" s="8" t="n">
        <v>601</v>
      </c>
      <c r="M227" s="9">
        <f>SUM(I227,J227,K227,L227)</f>
        <v/>
      </c>
      <c r="N227" s="8" t="n">
        <v>969</v>
      </c>
      <c r="O227" s="8" t="n">
        <v>28</v>
      </c>
      <c r="P227" s="8" t="n">
        <v>2622</v>
      </c>
      <c r="Q227" s="8" t="n">
        <v>258</v>
      </c>
      <c r="R227" s="9">
        <f>SUM(N227,O227,P227,Q227)</f>
        <v/>
      </c>
      <c r="S227" s="9">
        <f>M227+R227</f>
        <v/>
      </c>
      <c r="T227" s="8" t="n">
        <v>6922</v>
      </c>
      <c r="U227" s="10">
        <f>IF(H227=0,"",T227/H227)</f>
        <v/>
      </c>
      <c r="V227" s="8" t="n">
        <v>31</v>
      </c>
      <c r="W227" s="11">
        <f>IF(H227=0,"",V227/H227)</f>
        <v/>
      </c>
      <c r="X227" s="8" t="n">
        <v>0</v>
      </c>
      <c r="Y227" s="11">
        <f>IF(H227=0,"",X227/H227)</f>
        <v/>
      </c>
      <c r="Z227" s="8" t="n">
        <v>0</v>
      </c>
      <c r="AA227" s="11">
        <f>IF(H227=0,"",Z227/H227)</f>
        <v/>
      </c>
      <c r="AB227" s="8" t="n">
        <v>0</v>
      </c>
      <c r="AC227" s="11">
        <f>IF(H227=0,"",AB227/H227)</f>
        <v/>
      </c>
      <c r="AD227" s="8" t="n">
        <v>0</v>
      </c>
      <c r="AE227" s="11">
        <f>IF(H227=0,"",AD227/H227)</f>
        <v/>
      </c>
      <c r="AF227" s="8" t="n">
        <v>0</v>
      </c>
      <c r="AG227" s="11">
        <f>IF(H227=0,"",AF227/H227)</f>
        <v/>
      </c>
      <c r="AH227" s="8" t="n">
        <v>109283.99</v>
      </c>
      <c r="AI227" s="9">
        <f>IF(H227=0,"",AH227/H227)</f>
        <v/>
      </c>
      <c r="AJ227" s="8" t="n">
        <v>19211</v>
      </c>
      <c r="AK227" s="11">
        <f>IF(H227=0,"",AJ227/H227)</f>
        <v/>
      </c>
      <c r="AL227" s="8" t="n">
        <v>2681981.5665</v>
      </c>
      <c r="AM227" s="9">
        <f>IF(H227=0,"",AL227/H227)</f>
        <v/>
      </c>
      <c r="AN227" s="8" t="n">
        <v>1270</v>
      </c>
      <c r="AO227" s="8" t="n">
        <v>70</v>
      </c>
      <c r="AP227" s="8" t="n">
        <v>191380</v>
      </c>
      <c r="AQ227" s="8" t="n">
        <v>0</v>
      </c>
      <c r="AR227" s="8" t="n">
        <v>0</v>
      </c>
      <c r="AS227" s="8" t="n">
        <v>0</v>
      </c>
      <c r="AT227" s="8" t="n">
        <v>0</v>
      </c>
      <c r="AU227" s="9">
        <f>AH227+AL227+AP227+AQ227+AR227+AS227+AT227</f>
        <v/>
      </c>
      <c r="AV227" s="9">
        <f>IF(H227=0,"",AU227/H227)</f>
        <v/>
      </c>
      <c r="AW227" s="9">
        <f>IF(S227=0,"",AU227/S227)</f>
        <v/>
      </c>
      <c r="AX227" s="8" t="n">
        <v>7</v>
      </c>
      <c r="AY227" s="9">
        <f>IF(H227=0,"",AX227/(H227/1000/12))</f>
        <v/>
      </c>
      <c r="AZ227" s="8" t="n">
        <v>6</v>
      </c>
      <c r="BA227" s="8" t="n">
        <v>93</v>
      </c>
      <c r="BB227" s="8" t="n">
        <v>5</v>
      </c>
      <c r="BC227" s="8" t="n">
        <v>11</v>
      </c>
      <c r="BD227" s="8" t="n">
        <v>0</v>
      </c>
      <c r="BE227" s="9">
        <f>BC227+BD227</f>
        <v/>
      </c>
      <c r="BF227" s="9">
        <f>BA227+BB227-BE227</f>
        <v/>
      </c>
      <c r="BG227" s="8" t="n">
        <v>0</v>
      </c>
      <c r="BH227" s="8" t="n">
        <v>0</v>
      </c>
      <c r="BI227" s="8" t="n">
        <v>0</v>
      </c>
      <c r="BJ227" s="8" t="n">
        <v>0</v>
      </c>
      <c r="BK227" s="9">
        <f>BI227+BJ227</f>
        <v/>
      </c>
      <c r="BL227" s="9">
        <f>BG227+BH227-BK227</f>
        <v/>
      </c>
      <c r="BM227" s="8" t="n">
        <v>0</v>
      </c>
      <c r="BN227" s="8" t="n">
        <v>0</v>
      </c>
      <c r="BO227" s="8" t="n">
        <v>0</v>
      </c>
      <c r="BP227" s="8" t="n">
        <v>0</v>
      </c>
      <c r="BQ227" s="9">
        <f>BO227+BP227</f>
        <v/>
      </c>
      <c r="BR227" s="9">
        <f>BM227+BN227-BQ227</f>
        <v/>
      </c>
      <c r="BS227" s="8" t="n">
        <v>0</v>
      </c>
      <c r="BT227" s="8" t="n">
        <v>0</v>
      </c>
      <c r="BU227" s="8" t="n">
        <v>0</v>
      </c>
      <c r="BV227" s="8" t="n">
        <v>0</v>
      </c>
      <c r="BW227" s="9">
        <f>BU227+BV227</f>
        <v/>
      </c>
      <c r="BX227" s="9">
        <f>BS227+BT227-BW227</f>
        <v/>
      </c>
      <c r="BY227" s="9">
        <f>BA227+BG227+BM227+BS227</f>
        <v/>
      </c>
      <c r="BZ227" s="9">
        <f>BB227+BH227+BN227+BT227</f>
        <v/>
      </c>
      <c r="CA227" s="9">
        <f>BE227+BK227+BQ227+BW227</f>
        <v/>
      </c>
      <c r="CB227" s="9">
        <f>BF227+BL227+BR227+BX227</f>
        <v/>
      </c>
      <c r="CC227" s="8" t="n">
        <v>0</v>
      </c>
      <c r="CD227" s="8" t="n">
        <v>118</v>
      </c>
      <c r="CE227" s="8" t="n">
        <v>11</v>
      </c>
      <c r="CF227" s="8" t="n">
        <v>13</v>
      </c>
      <c r="CG227" s="8" t="n">
        <v>20</v>
      </c>
      <c r="CH227" s="9">
        <f>CD227+CE227+CF227+CG227</f>
        <v/>
      </c>
      <c r="CI227" s="8" t="n">
        <v>3097</v>
      </c>
      <c r="CJ227" s="8" t="n">
        <v>23</v>
      </c>
      <c r="CK227" s="8" t="n">
        <v>15</v>
      </c>
      <c r="CL227" s="8" t="n">
        <v>9</v>
      </c>
      <c r="CM227" s="9">
        <f>CI227+CJ227+CK227+CL227</f>
        <v/>
      </c>
      <c r="CN227" s="8" t="n">
        <v>636</v>
      </c>
      <c r="CO227" s="8" t="n">
        <v>42</v>
      </c>
      <c r="CP227" s="8" t="n">
        <v>56</v>
      </c>
      <c r="CQ227" s="8" t="n">
        <v>3</v>
      </c>
      <c r="CR227" s="9">
        <f>CN227+CO227+CP227+CQ227</f>
        <v/>
      </c>
      <c r="CS227" s="9">
        <f>CM227+CR227</f>
        <v/>
      </c>
      <c r="CT227" s="8" t="n">
        <v>4043</v>
      </c>
      <c r="CU227" s="8" t="n">
        <v>22485.5523866162</v>
      </c>
      <c r="CV227" s="8" t="n">
        <v>17127</v>
      </c>
      <c r="CW227" s="10">
        <f>IF(CU227=0,"",CV227/CU227)</f>
        <v/>
      </c>
      <c r="CX227" s="8" t="n">
        <v>0</v>
      </c>
      <c r="CY227" s="8" t="n"/>
      <c r="CZ227" s="8" t="n"/>
      <c r="DA227" s="8" t="n"/>
      <c r="DB227" s="9">
        <f>CX227+CY227-CZ227-DA227</f>
        <v/>
      </c>
      <c r="DC227" s="8" t="n">
        <v>0</v>
      </c>
      <c r="DD227" s="8" t="n">
        <v>0</v>
      </c>
      <c r="DE227" s="8" t="n">
        <v>0</v>
      </c>
      <c r="DF227" s="8" t="n">
        <v>0</v>
      </c>
      <c r="DG227" s="9">
        <f>DC227+DD227-DE227-DF227</f>
        <v/>
      </c>
      <c r="DH227" s="8" t="n">
        <v>0</v>
      </c>
      <c r="DI227" s="8" t="n">
        <v>0</v>
      </c>
      <c r="DJ227" s="8" t="n">
        <v>0</v>
      </c>
      <c r="DK227" s="8" t="n">
        <v>0</v>
      </c>
      <c r="DL227" s="9">
        <f>DH227+DI227-DJ227-DK227</f>
        <v/>
      </c>
      <c r="DM227" s="8" t="n">
        <v>143</v>
      </c>
      <c r="DN227" s="8" t="n">
        <v>12</v>
      </c>
      <c r="DO227" s="8" t="n">
        <v>126</v>
      </c>
      <c r="DP227" s="8" t="n">
        <v>0</v>
      </c>
      <c r="DQ227" s="9">
        <f>DM227+DN227-DO227-DP227</f>
        <v/>
      </c>
      <c r="DR227" s="9">
        <f>CX227+DC227+DH227+DM227</f>
        <v/>
      </c>
      <c r="DS227" s="9">
        <f>CY227+DD227+DI227+DN227</f>
        <v/>
      </c>
      <c r="DT227" s="9">
        <f>CZ227+DE227+DJ227+DO227</f>
        <v/>
      </c>
      <c r="DU227" s="9">
        <f>DA227+DF227+DK227+DP227</f>
        <v/>
      </c>
      <c r="DV227" s="9">
        <f>DB227+DG227+DL227+DQ227</f>
        <v/>
      </c>
      <c r="DW227" s="8" t="n">
        <v>52</v>
      </c>
      <c r="DX227" s="8" t="n">
        <v>9</v>
      </c>
      <c r="DY227" s="8" t="n">
        <v>4</v>
      </c>
      <c r="DZ227" s="8" t="n">
        <v>2</v>
      </c>
      <c r="EA227" s="8" t="n">
        <v>2</v>
      </c>
      <c r="EB227" s="8" t="n">
        <v>0</v>
      </c>
      <c r="EC227" s="8" t="n">
        <v>0</v>
      </c>
      <c r="ED227" s="8" t="n">
        <v>0</v>
      </c>
      <c r="EE227" s="8" t="n">
        <v>0</v>
      </c>
      <c r="EF227" s="8" t="n">
        <v>0</v>
      </c>
      <c r="EG227" s="8" t="n">
        <v>0</v>
      </c>
      <c r="EH227" s="8" t="n">
        <v>0</v>
      </c>
      <c r="EI227" s="8" t="n">
        <v>0</v>
      </c>
      <c r="EJ227" s="8" t="n">
        <v>0</v>
      </c>
      <c r="EK227" s="8" t="n">
        <v>0</v>
      </c>
      <c r="EL227" s="8" t="n">
        <v>0</v>
      </c>
      <c r="EM227" s="8" t="n">
        <v>0</v>
      </c>
      <c r="EN227" s="8" t="n">
        <v>0</v>
      </c>
      <c r="EO227" s="8" t="n">
        <v>0</v>
      </c>
      <c r="EP227" s="8" t="n">
        <v>0</v>
      </c>
      <c r="EQ227" s="8" t="n">
        <v>0</v>
      </c>
      <c r="ER227" s="8" t="n">
        <v>0</v>
      </c>
      <c r="ES227" s="8" t="n">
        <v>0</v>
      </c>
      <c r="ET227" s="8" t="n">
        <v>0</v>
      </c>
      <c r="EU227" s="8" t="n">
        <v>0</v>
      </c>
      <c r="EV227" s="8" t="n">
        <v>0</v>
      </c>
      <c r="EW227" s="8" t="n">
        <v>0</v>
      </c>
      <c r="EX227" s="8" t="n">
        <v>0</v>
      </c>
      <c r="EY227" s="8" t="n">
        <v>0</v>
      </c>
      <c r="EZ227" s="8" t="n">
        <v>0</v>
      </c>
      <c r="FA227" s="8" t="n">
        <v>0</v>
      </c>
      <c r="FB227" s="8" t="n">
        <v>0</v>
      </c>
      <c r="FC227" s="8" t="n">
        <v>0</v>
      </c>
      <c r="FD227" s="8" t="n">
        <v>0</v>
      </c>
      <c r="FE227" s="8" t="n">
        <v>0</v>
      </c>
      <c r="FF227" s="8" t="n">
        <v>0</v>
      </c>
      <c r="FG227" s="9">
        <f>SUM(DW227,DX227,DY227,DZ227,EA227,EB227,EC227,ED227,EE227,EF227,EG227,EH227,EI227,EJ227,EK227,EL227,EM227,EN227,EO227,EP227,EQ227,ER227,ES227,ET227,EU227,EV227,EW227,EX227,EY227,EZ227,FA227,FB227,FC227,FD227,FE227,FF227)</f>
        <v/>
      </c>
      <c r="FH227" s="8" t="n">
        <v>0</v>
      </c>
      <c r="FI227" s="8" t="n">
        <v>0</v>
      </c>
      <c r="FJ227" s="8" t="n">
        <v>0</v>
      </c>
      <c r="FK227" s="8" t="n">
        <v>0</v>
      </c>
      <c r="FL227" s="8" t="n">
        <v>0</v>
      </c>
      <c r="FM227" s="8" t="n">
        <v>0</v>
      </c>
      <c r="FN227" s="8" t="n">
        <v>0</v>
      </c>
      <c r="FO227" s="8" t="n">
        <v>0</v>
      </c>
      <c r="FP227" s="8" t="n">
        <v>0</v>
      </c>
      <c r="FQ227" s="9">
        <f>FL227+FM227+FN227+FO227+FP227</f>
        <v/>
      </c>
      <c r="FR227" s="8" t="n">
        <v>22783185</v>
      </c>
      <c r="FS227" s="8" t="n">
        <v>66300</v>
      </c>
      <c r="FT227" s="8" t="n">
        <v>995000</v>
      </c>
      <c r="FU227" s="8" t="n">
        <v>6187200</v>
      </c>
      <c r="FV227" s="9">
        <f>FR227+FS227+FT227+FU227</f>
        <v/>
      </c>
      <c r="FW227" s="8" t="n">
        <v>3233005</v>
      </c>
      <c r="FX227" s="8" t="n">
        <v>6000</v>
      </c>
      <c r="FY227" s="8" t="n">
        <v>72456</v>
      </c>
      <c r="FZ227" s="8" t="n">
        <v>4056936</v>
      </c>
      <c r="GA227" s="9">
        <f>FW227+FX227+FY227+FZ227</f>
        <v/>
      </c>
      <c r="GB227" s="9">
        <f>FV227+GA227</f>
        <v/>
      </c>
      <c r="GC227" s="8" t="n">
        <v>10548523.46</v>
      </c>
      <c r="GD227" s="8" t="n">
        <v>53367.12</v>
      </c>
      <c r="GE227" s="8" t="n">
        <v>3391163.6</v>
      </c>
      <c r="GF227" s="8" t="n">
        <v>306417.8</v>
      </c>
      <c r="GG227" s="9">
        <f>GC227+GD227+GE227+GF227</f>
        <v/>
      </c>
      <c r="GH227" s="8" t="n">
        <v>3226585.26</v>
      </c>
      <c r="GI227" s="8" t="n">
        <v>6000</v>
      </c>
      <c r="GJ227" s="8" t="n">
        <v>4047818.2</v>
      </c>
      <c r="GK227" s="8" t="n">
        <v>72456.17999999999</v>
      </c>
      <c r="GL227" s="9">
        <f>GH227+GI227+GJ227+GK227</f>
        <v/>
      </c>
      <c r="GM227" s="9">
        <f>GG227+GL227</f>
        <v/>
      </c>
      <c r="GN227" s="8" t="n">
        <v>1030760.09</v>
      </c>
      <c r="GO227" s="8" t="n">
        <v>1338.96</v>
      </c>
      <c r="GP227" s="8" t="n">
        <v>50904.6</v>
      </c>
      <c r="GQ227" s="8" t="n">
        <v>55648.08</v>
      </c>
      <c r="GR227" s="9">
        <f>GN227+GO227+GP227+GQ227</f>
        <v/>
      </c>
      <c r="GS227" s="8" t="n">
        <v>1725276</v>
      </c>
      <c r="GT227" s="8" t="n">
        <v>6251</v>
      </c>
      <c r="GU227" s="8" t="n">
        <v>13395</v>
      </c>
      <c r="GV227" s="8" t="n">
        <v>10716</v>
      </c>
      <c r="GW227" s="9">
        <f>GS227+GT227+GU227+GV227</f>
        <v/>
      </c>
      <c r="GX227" s="9">
        <f>GM227+GR227+GW227</f>
        <v/>
      </c>
      <c r="GY227" s="8" t="n">
        <v>33969868.12</v>
      </c>
      <c r="GZ227" s="8" t="n">
        <v>12662270.7</v>
      </c>
      <c r="HA227" s="9">
        <f>GY227+GZ227</f>
        <v/>
      </c>
      <c r="HB227" s="9">
        <f>IF(GX227=0,"",AU227/GX227)</f>
        <v/>
      </c>
      <c r="HC227" s="10">
        <f>IF((GX227+GY227)=0,"",GB227/(GX227+GY227))</f>
        <v/>
      </c>
      <c r="HD227" s="9">
        <f>IF(GX227=0,"",GB227/GX227)</f>
        <v/>
      </c>
      <c r="HE227" s="8" t="n">
        <v>5</v>
      </c>
      <c r="HF227" s="8" t="n">
        <v>1</v>
      </c>
      <c r="HG227" s="8" t="n">
        <v>87</v>
      </c>
      <c r="HH227" s="8" t="n">
        <v>5</v>
      </c>
      <c r="HI227" s="8" t="n">
        <v>40</v>
      </c>
      <c r="HJ227" s="9">
        <f>HF227+HI227</f>
        <v/>
      </c>
      <c r="HK227" s="10">
        <f>IF(HE227=0,"",HH227/HE227)</f>
        <v/>
      </c>
      <c r="HL227" s="8" t="n">
        <v>8</v>
      </c>
      <c r="HM227" s="8" t="n">
        <v>60</v>
      </c>
      <c r="HN227" s="11">
        <f>IF(HL227=0,"",HM227/HL227)</f>
        <v/>
      </c>
    </row>
    <row r="228">
      <c r="A228" s="12" t="inlineStr">
        <is>
          <t>Ngabu</t>
        </is>
      </c>
      <c r="B228" s="12" t="inlineStr">
        <is>
          <t>Chikwawa</t>
        </is>
      </c>
      <c r="C228" s="13" t="inlineStr">
        <is>
          <t>FY2025/26</t>
        </is>
      </c>
      <c r="D228" s="13" t="n">
        <v>2026</v>
      </c>
      <c r="E228" s="13" t="n">
        <v>1</v>
      </c>
      <c r="F228" s="13" t="inlineStr">
        <is>
          <t>January</t>
        </is>
      </c>
      <c r="G228" s="13" t="inlineStr">
        <is>
          <t>Q4</t>
        </is>
      </c>
      <c r="H228" s="14" t="n">
        <v>27432</v>
      </c>
      <c r="I228" s="14" t="n">
        <v>13312</v>
      </c>
      <c r="J228" s="14" t="n">
        <v>811</v>
      </c>
      <c r="K228" s="14" t="n">
        <v>1892</v>
      </c>
      <c r="L228" s="14" t="n">
        <v>596</v>
      </c>
      <c r="M228" s="15" t="n">
        <v>16611</v>
      </c>
      <c r="N228" s="14" t="n">
        <v>901</v>
      </c>
      <c r="O228" s="14" t="n">
        <v>0</v>
      </c>
      <c r="P228" s="14" t="n">
        <v>2521</v>
      </c>
      <c r="Q228" s="14" t="n">
        <v>279</v>
      </c>
      <c r="R228" s="15" t="n">
        <v>3701</v>
      </c>
      <c r="S228" s="15" t="n">
        <v>20312</v>
      </c>
      <c r="T228" s="14" t="n">
        <v>7120</v>
      </c>
      <c r="U228" s="16" t="n">
        <v>0.2595508894721493</v>
      </c>
      <c r="V228" s="14" t="n">
        <v>31</v>
      </c>
      <c r="W228" s="17" t="n">
        <v>1.130067074948965</v>
      </c>
      <c r="X228" s="14" t="n">
        <v>0</v>
      </c>
      <c r="Y228" s="17" t="n">
        <v>0</v>
      </c>
      <c r="Z228" s="14" t="n">
        <v>0</v>
      </c>
      <c r="AA228" s="17" t="n">
        <v>0</v>
      </c>
      <c r="AB228" s="14" t="n">
        <v>0</v>
      </c>
      <c r="AC228" s="17" t="n">
        <v>0</v>
      </c>
      <c r="AD228" s="14" t="n">
        <v>0</v>
      </c>
      <c r="AE228" s="17" t="n">
        <v>0</v>
      </c>
      <c r="AF228" s="14" t="n">
        <v>0</v>
      </c>
      <c r="AG228" s="17" t="n">
        <v>0</v>
      </c>
      <c r="AH228" s="14" t="n">
        <v>109283.99</v>
      </c>
      <c r="AI228" s="15" t="n">
        <v>3.983814158646836</v>
      </c>
      <c r="AJ228" s="14" t="n">
        <v>19420</v>
      </c>
      <c r="AK228" s="17" t="n">
        <v>0.7079323417906095</v>
      </c>
      <c r="AL228" s="14" t="n">
        <v>2710980.63</v>
      </c>
      <c r="AM228" s="15" t="n">
        <v>98.82548228346457</v>
      </c>
      <c r="AN228" s="14" t="n">
        <v>912</v>
      </c>
      <c r="AO228" s="14" t="n">
        <v>52</v>
      </c>
      <c r="AP228" s="14" t="n">
        <v>142168</v>
      </c>
      <c r="AQ228" s="14" t="n">
        <v>0</v>
      </c>
      <c r="AR228" s="14" t="n">
        <v>0</v>
      </c>
      <c r="AS228" s="14" t="n">
        <v>0</v>
      </c>
      <c r="AT228" s="14" t="n">
        <v>0</v>
      </c>
      <c r="AU228" s="15" t="n">
        <v>2962432.62</v>
      </c>
      <c r="AV228" s="15" t="n">
        <v>107.9918569553806</v>
      </c>
      <c r="AW228" s="15" t="n">
        <v>145.8464267428121</v>
      </c>
      <c r="AX228" s="14" t="n">
        <v>7</v>
      </c>
      <c r="AY228" s="15" t="n">
        <v>7.910469524642753</v>
      </c>
      <c r="AZ228" s="14" t="n">
        <v>6</v>
      </c>
      <c r="BA228" s="14" t="n">
        <v>87</v>
      </c>
      <c r="BB228" s="14" t="n">
        <v>11</v>
      </c>
      <c r="BC228" s="14" t="n">
        <v>15</v>
      </c>
      <c r="BD228" s="14" t="n">
        <v>0</v>
      </c>
      <c r="BE228" s="15" t="n">
        <v>15</v>
      </c>
      <c r="BF228" s="15" t="n">
        <v>83</v>
      </c>
      <c r="BG228" s="14" t="n">
        <v>0</v>
      </c>
      <c r="BH228" s="14" t="n">
        <v>0</v>
      </c>
      <c r="BI228" s="14" t="n">
        <v>0</v>
      </c>
      <c r="BJ228" s="14" t="n">
        <v>0</v>
      </c>
      <c r="BK228" s="15" t="n">
        <v>0</v>
      </c>
      <c r="BL228" s="15" t="n">
        <v>0</v>
      </c>
      <c r="BM228" s="14" t="n">
        <v>0</v>
      </c>
      <c r="BN228" s="14" t="n">
        <v>0</v>
      </c>
      <c r="BO228" s="14" t="n">
        <v>0</v>
      </c>
      <c r="BP228" s="14" t="n">
        <v>0</v>
      </c>
      <c r="BQ228" s="15" t="n">
        <v>0</v>
      </c>
      <c r="BR228" s="15" t="n">
        <v>0</v>
      </c>
      <c r="BS228" s="14" t="n">
        <v>0</v>
      </c>
      <c r="BT228" s="14" t="n">
        <v>0</v>
      </c>
      <c r="BU228" s="14" t="n">
        <v>0</v>
      </c>
      <c r="BV228" s="14" t="n">
        <v>0</v>
      </c>
      <c r="BW228" s="15" t="n">
        <v>0</v>
      </c>
      <c r="BX228" s="15" t="n">
        <v>0</v>
      </c>
      <c r="BY228" s="15" t="n">
        <v>87</v>
      </c>
      <c r="BZ228" s="15" t="n">
        <v>11</v>
      </c>
      <c r="CA228" s="15" t="n">
        <v>15</v>
      </c>
      <c r="CB228" s="15" t="n">
        <v>83</v>
      </c>
      <c r="CC228" s="14" t="n">
        <v>0</v>
      </c>
      <c r="CD228" s="14" t="n">
        <v>119</v>
      </c>
      <c r="CE228" s="14" t="n">
        <v>11</v>
      </c>
      <c r="CF228" s="14" t="n">
        <v>13</v>
      </c>
      <c r="CG228" s="14" t="n">
        <v>20</v>
      </c>
      <c r="CH228" s="15" t="n">
        <v>163</v>
      </c>
      <c r="CI228" s="14" t="n">
        <v>3097</v>
      </c>
      <c r="CJ228" s="14" t="n">
        <v>23</v>
      </c>
      <c r="CK228" s="14" t="n">
        <v>15</v>
      </c>
      <c r="CL228" s="14" t="n">
        <v>9</v>
      </c>
      <c r="CM228" s="15" t="n">
        <v>3144</v>
      </c>
      <c r="CN228" s="14" t="n">
        <v>719</v>
      </c>
      <c r="CO228" s="14" t="n">
        <v>42</v>
      </c>
      <c r="CP228" s="14" t="n">
        <v>56</v>
      </c>
      <c r="CQ228" s="14" t="n">
        <v>3</v>
      </c>
      <c r="CR228" s="15" t="n">
        <v>820</v>
      </c>
      <c r="CS228" s="15" t="n">
        <v>3964</v>
      </c>
      <c r="CT228" s="14" t="n">
        <v>4127</v>
      </c>
      <c r="CU228" s="14" t="n">
        <v>22530.52349138941</v>
      </c>
      <c r="CV228" s="14" t="n">
        <v>17127</v>
      </c>
      <c r="CW228" s="16" t="n">
        <v>0.7601687553573934</v>
      </c>
      <c r="CX228" s="14" t="n">
        <v>0</v>
      </c>
      <c r="CY228" s="14" t="n">
        <v>0</v>
      </c>
      <c r="CZ228" s="14" t="n">
        <v>0</v>
      </c>
      <c r="DA228" s="14" t="n">
        <v>0</v>
      </c>
      <c r="DB228" s="15" t="n">
        <v>0</v>
      </c>
      <c r="DC228" s="14" t="n">
        <v>0</v>
      </c>
      <c r="DD228" s="14" t="n">
        <v>0</v>
      </c>
      <c r="DE228" s="14" t="n">
        <v>0</v>
      </c>
      <c r="DF228" s="14" t="n">
        <v>0</v>
      </c>
      <c r="DG228" s="15" t="n">
        <v>0</v>
      </c>
      <c r="DH228" s="14" t="n">
        <v>0</v>
      </c>
      <c r="DI228" s="14" t="n">
        <v>0</v>
      </c>
      <c r="DJ228" s="14" t="n">
        <v>0</v>
      </c>
      <c r="DK228" s="14" t="n">
        <v>0</v>
      </c>
      <c r="DL228" s="15" t="n">
        <v>0</v>
      </c>
      <c r="DM228" s="14" t="n">
        <v>29</v>
      </c>
      <c r="DN228" s="14" t="n">
        <v>6</v>
      </c>
      <c r="DO228" s="14" t="n">
        <v>14</v>
      </c>
      <c r="DP228" s="14" t="n">
        <v>0</v>
      </c>
      <c r="DQ228" s="15" t="n">
        <v>21</v>
      </c>
      <c r="DR228" s="15" t="n">
        <v>29</v>
      </c>
      <c r="DS228" s="15" t="n">
        <v>6</v>
      </c>
      <c r="DT228" s="15" t="n">
        <v>14</v>
      </c>
      <c r="DU228" s="15" t="n">
        <v>0</v>
      </c>
      <c r="DV228" s="15" t="n">
        <v>21</v>
      </c>
      <c r="DW228" s="14" t="n">
        <v>46</v>
      </c>
      <c r="DX228" s="14" t="n">
        <v>10</v>
      </c>
      <c r="DY228" s="14" t="n">
        <v>5</v>
      </c>
      <c r="DZ228" s="14" t="n">
        <v>0</v>
      </c>
      <c r="EA228" s="14" t="n">
        <v>0</v>
      </c>
      <c r="EB228" s="14" t="n">
        <v>3</v>
      </c>
      <c r="EC228" s="14" t="n">
        <v>0</v>
      </c>
      <c r="ED228" s="14" t="n">
        <v>0</v>
      </c>
      <c r="EE228" s="14" t="n">
        <v>2</v>
      </c>
      <c r="EF228" s="14" t="n">
        <v>2</v>
      </c>
      <c r="EG228" s="14" t="n">
        <v>0</v>
      </c>
      <c r="EH228" s="14" t="n">
        <v>0</v>
      </c>
      <c r="EI228" s="14" t="n">
        <v>0</v>
      </c>
      <c r="EJ228" s="14" t="n">
        <v>0</v>
      </c>
      <c r="EK228" s="14" t="n">
        <v>0</v>
      </c>
      <c r="EL228" s="14" t="n">
        <v>0</v>
      </c>
      <c r="EM228" s="14" t="n">
        <v>0</v>
      </c>
      <c r="EN228" s="14" t="n">
        <v>0</v>
      </c>
      <c r="EO228" s="14" t="n">
        <v>0</v>
      </c>
      <c r="EP228" s="14" t="n">
        <v>0</v>
      </c>
      <c r="EQ228" s="14" t="n">
        <v>0</v>
      </c>
      <c r="ER228" s="14" t="n">
        <v>0</v>
      </c>
      <c r="ES228" s="14" t="n">
        <v>0</v>
      </c>
      <c r="ET228" s="14" t="n">
        <v>0</v>
      </c>
      <c r="EU228" s="14" t="n">
        <v>0</v>
      </c>
      <c r="EV228" s="14" t="n">
        <v>0</v>
      </c>
      <c r="EW228" s="14" t="n">
        <v>0</v>
      </c>
      <c r="EX228" s="14" t="n">
        <v>0</v>
      </c>
      <c r="EY228" s="14" t="n">
        <v>0</v>
      </c>
      <c r="EZ228" s="14" t="n">
        <v>0</v>
      </c>
      <c r="FA228" s="14" t="n">
        <v>0</v>
      </c>
      <c r="FB228" s="14" t="n">
        <v>0</v>
      </c>
      <c r="FC228" s="14" t="n">
        <v>0</v>
      </c>
      <c r="FD228" s="14" t="n">
        <v>0</v>
      </c>
      <c r="FE228" s="14" t="n">
        <v>0</v>
      </c>
      <c r="FF228" s="14" t="n">
        <v>0</v>
      </c>
      <c r="FG228" s="15" t="n">
        <v>68</v>
      </c>
      <c r="FH228" s="14" t="n">
        <v>0</v>
      </c>
      <c r="FI228" s="14" t="n">
        <v>0</v>
      </c>
      <c r="FJ228" s="14" t="n">
        <v>0</v>
      </c>
      <c r="FK228" s="14" t="n">
        <v>0</v>
      </c>
      <c r="FL228" s="14" t="n">
        <v>0</v>
      </c>
      <c r="FM228" s="14" t="n">
        <v>0</v>
      </c>
      <c r="FN228" s="14" t="n">
        <v>0</v>
      </c>
      <c r="FO228" s="14" t="n">
        <v>0</v>
      </c>
      <c r="FP228" s="14" t="n">
        <v>0</v>
      </c>
      <c r="FQ228" s="15" t="n">
        <v>0</v>
      </c>
      <c r="FR228" s="14" t="n">
        <v>16567851.88</v>
      </c>
      <c r="FS228" s="14" t="n">
        <v>33000</v>
      </c>
      <c r="FT228" s="14" t="n">
        <v>773900</v>
      </c>
      <c r="FU228" s="14" t="n">
        <v>282180</v>
      </c>
      <c r="FV228" s="15" t="n">
        <v>17656931.88</v>
      </c>
      <c r="FW228" s="14" t="n">
        <v>3075015</v>
      </c>
      <c r="FX228" s="14" t="n">
        <v>10000</v>
      </c>
      <c r="FY228" s="14" t="n">
        <v>676000</v>
      </c>
      <c r="FZ228" s="14" t="n">
        <v>5138000</v>
      </c>
      <c r="GA228" s="15" t="n">
        <v>8899015</v>
      </c>
      <c r="GB228" s="15" t="n">
        <v>26555946.88</v>
      </c>
      <c r="GC228" s="14" t="n">
        <v>12420077.32</v>
      </c>
      <c r="GD228" s="14" t="n">
        <v>27544.32</v>
      </c>
      <c r="GE228" s="14" t="n">
        <v>2794609.45</v>
      </c>
      <c r="GF228" s="14" t="n">
        <v>163401.58</v>
      </c>
      <c r="GG228" s="15" t="n">
        <v>15405632.67</v>
      </c>
      <c r="GH228" s="14" t="n">
        <v>3075015</v>
      </c>
      <c r="GI228" s="14" t="n">
        <v>10000</v>
      </c>
      <c r="GJ228" s="14" t="n">
        <v>5138000</v>
      </c>
      <c r="GK228" s="14" t="n">
        <v>676000</v>
      </c>
      <c r="GL228" s="15" t="n">
        <v>8899015</v>
      </c>
      <c r="GM228" s="15" t="n">
        <v>24304647.67</v>
      </c>
      <c r="GN228" s="14" t="n">
        <v>1008029.04</v>
      </c>
      <c r="GO228" s="14" t="n">
        <v>1338.96</v>
      </c>
      <c r="GP228" s="14" t="n">
        <v>44117.32</v>
      </c>
      <c r="GQ228" s="14" t="n">
        <v>46373.4</v>
      </c>
      <c r="GR228" s="15" t="n">
        <v>1099858.72</v>
      </c>
      <c r="GS228" s="14" t="n">
        <v>1683798</v>
      </c>
      <c r="GT228" s="14" t="n">
        <v>6251</v>
      </c>
      <c r="GU228" s="14" t="n">
        <v>11109</v>
      </c>
      <c r="GV228" s="14" t="n">
        <v>8930</v>
      </c>
      <c r="GW228" s="15" t="n">
        <v>1710088</v>
      </c>
      <c r="GX228" s="15" t="n">
        <v>27114594.39</v>
      </c>
      <c r="GY228" s="14" t="n">
        <v>30849509.96</v>
      </c>
      <c r="GZ228" s="14" t="n">
        <v>14747111.16</v>
      </c>
      <c r="HA228" s="15" t="n">
        <v>45596621.12</v>
      </c>
      <c r="HB228" s="15" t="n">
        <v>27114594.39</v>
      </c>
      <c r="HC228" s="16" t="n">
        <v>30849509.96</v>
      </c>
      <c r="HD228" s="15" t="n">
        <v>14747111.16</v>
      </c>
      <c r="HE228" s="14" t="n">
        <v>11</v>
      </c>
      <c r="HF228" s="14" t="n">
        <v>1</v>
      </c>
      <c r="HG228" s="14" t="n">
        <v>83</v>
      </c>
      <c r="HH228" s="14" t="n">
        <v>11</v>
      </c>
      <c r="HI228" s="14" t="n">
        <v>30</v>
      </c>
      <c r="HJ228" s="15" t="n">
        <v>2.727272727272727</v>
      </c>
      <c r="HK228" s="16" t="n">
        <v>18.07228915662651</v>
      </c>
      <c r="HL228" s="14" t="n">
        <v>6</v>
      </c>
      <c r="HM228" s="14" t="n">
        <v>60</v>
      </c>
      <c r="HN228" s="17" t="n">
        <v>0.1</v>
      </c>
    </row>
    <row r="229">
      <c r="A229" s="6" t="inlineStr">
        <is>
          <t>Ngabu</t>
        </is>
      </c>
      <c r="B229" s="6" t="inlineStr">
        <is>
          <t>Chikwawa</t>
        </is>
      </c>
      <c r="C229" s="7" t="inlineStr">
        <is>
          <t>FY2025/26</t>
        </is>
      </c>
      <c r="D229" s="7" t="n">
        <v>2026</v>
      </c>
      <c r="E229" s="7" t="n">
        <v>2</v>
      </c>
      <c r="F229" s="7" t="inlineStr">
        <is>
          <t>February</t>
        </is>
      </c>
      <c r="G229" s="7" t="inlineStr">
        <is>
          <t>Q4</t>
        </is>
      </c>
      <c r="H229" s="8" t="n">
        <v>26151</v>
      </c>
      <c r="I229" s="8" t="n">
        <v>12956</v>
      </c>
      <c r="J229" s="8" t="n">
        <v>705</v>
      </c>
      <c r="K229" s="8" t="n">
        <v>1801</v>
      </c>
      <c r="L229" s="8" t="n">
        <v>571</v>
      </c>
      <c r="M229" s="9">
        <f>SUM(I229,J229,K229,L229)</f>
        <v/>
      </c>
      <c r="N229" s="8" t="n">
        <v>405</v>
      </c>
      <c r="O229" s="8" t="n">
        <v>0</v>
      </c>
      <c r="P229" s="8" t="n">
        <v>2456</v>
      </c>
      <c r="Q229" s="8" t="n">
        <v>261</v>
      </c>
      <c r="R229" s="9">
        <f>SUM(N229,O229,P229,Q229)</f>
        <v/>
      </c>
      <c r="S229" s="9">
        <f>M229+R229</f>
        <v/>
      </c>
      <c r="T229" s="8" t="n">
        <v>6996</v>
      </c>
      <c r="U229" s="10">
        <f>IF(H229=0,"",T229/H229)</f>
        <v/>
      </c>
      <c r="V229" s="8" t="n">
        <v>28</v>
      </c>
      <c r="W229" s="11">
        <f>IF(H229=0,"",V229/H229)</f>
        <v/>
      </c>
      <c r="X229" s="8" t="n">
        <v>0</v>
      </c>
      <c r="Y229" s="11">
        <f>IF(H229=0,"",X229/H229)</f>
        <v/>
      </c>
      <c r="Z229" s="8" t="n">
        <v>0</v>
      </c>
      <c r="AA229" s="11">
        <f>IF(H229=0,"",Z229/H229)</f>
        <v/>
      </c>
      <c r="AB229" s="8" t="n">
        <v>0</v>
      </c>
      <c r="AC229" s="11">
        <f>IF(H229=0,"",AB229/H229)</f>
        <v/>
      </c>
      <c r="AD229" s="8" t="n">
        <v>0</v>
      </c>
      <c r="AE229" s="11">
        <f>IF(H229=0,"",AD229/H229)</f>
        <v/>
      </c>
      <c r="AF229" s="8" t="n">
        <v>0</v>
      </c>
      <c r="AG229" s="11">
        <f>IF(H229=0,"",AF229/H229)</f>
        <v/>
      </c>
      <c r="AH229" s="8" t="n">
        <v>98708.12</v>
      </c>
      <c r="AI229" s="9">
        <f>IF(H229=0,"",AH229/H229)</f>
        <v/>
      </c>
      <c r="AJ229" s="8" t="n">
        <v>18156</v>
      </c>
      <c r="AK229" s="11">
        <f>IF(H229=0,"",AJ229/H229)</f>
        <v/>
      </c>
      <c r="AL229" s="8" t="n">
        <v>2535598.734</v>
      </c>
      <c r="AM229" s="9">
        <f>IF(H229=0,"",AL229/H229)</f>
        <v/>
      </c>
      <c r="AN229" s="8" t="n">
        <v>151</v>
      </c>
      <c r="AO229" s="8" t="n">
        <v>60</v>
      </c>
      <c r="AP229" s="8" t="n">
        <v>164040</v>
      </c>
      <c r="AQ229" s="8" t="n">
        <v>0</v>
      </c>
      <c r="AR229" s="8" t="n">
        <v>0</v>
      </c>
      <c r="AS229" s="8" t="n">
        <v>0</v>
      </c>
      <c r="AT229" s="8" t="n">
        <v>0</v>
      </c>
      <c r="AU229" s="9">
        <f>AH229+AL229+AP229+AQ229+AR229+AS229+AT229</f>
        <v/>
      </c>
      <c r="AV229" s="9">
        <f>IF(H229=0,"",AU229/H229)</f>
        <v/>
      </c>
      <c r="AW229" s="9">
        <f>IF(S229=0,"",AU229/S229)</f>
        <v/>
      </c>
      <c r="AX229" s="8" t="n">
        <v>0</v>
      </c>
      <c r="AY229" s="9">
        <f>IF(H229=0,"",AX229/(H229/1000/12))</f>
        <v/>
      </c>
      <c r="AZ229" s="8" t="n">
        <v>0</v>
      </c>
      <c r="BA229" s="8" t="n">
        <v>83</v>
      </c>
      <c r="BB229" s="8" t="n">
        <v>27</v>
      </c>
      <c r="BC229" s="8" t="n">
        <v>10</v>
      </c>
      <c r="BD229" s="8" t="n">
        <v>0</v>
      </c>
      <c r="BE229" s="9">
        <f>BC229+BD229</f>
        <v/>
      </c>
      <c r="BF229" s="9">
        <f>BA229+BB229-BE229</f>
        <v/>
      </c>
      <c r="BG229" s="8" t="n">
        <v>0</v>
      </c>
      <c r="BH229" s="8" t="n">
        <v>0</v>
      </c>
      <c r="BI229" s="8" t="n">
        <v>0</v>
      </c>
      <c r="BJ229" s="8" t="n">
        <v>0</v>
      </c>
      <c r="BK229" s="9">
        <f>BI229+BJ229</f>
        <v/>
      </c>
      <c r="BL229" s="9">
        <f>BG229+BH229-BK229</f>
        <v/>
      </c>
      <c r="BM229" s="8" t="n">
        <v>0</v>
      </c>
      <c r="BN229" s="8" t="n">
        <v>0</v>
      </c>
      <c r="BO229" s="8" t="n">
        <v>0</v>
      </c>
      <c r="BP229" s="8" t="n">
        <v>0</v>
      </c>
      <c r="BQ229" s="9">
        <f>BO229+BP229</f>
        <v/>
      </c>
      <c r="BR229" s="9">
        <f>BM229+BN229-BQ229</f>
        <v/>
      </c>
      <c r="BS229" s="8" t="n">
        <v>0</v>
      </c>
      <c r="BT229" s="8" t="n">
        <v>0</v>
      </c>
      <c r="BU229" s="8" t="n">
        <v>0</v>
      </c>
      <c r="BV229" s="8" t="n">
        <v>0</v>
      </c>
      <c r="BW229" s="9">
        <f>BU229+BV229</f>
        <v/>
      </c>
      <c r="BX229" s="9">
        <f>BS229+BT229-BW229</f>
        <v/>
      </c>
      <c r="BY229" s="9">
        <f>BA229+BG229+BM229+BS229</f>
        <v/>
      </c>
      <c r="BZ229" s="9">
        <f>BB229+BH229+BN229+BT229</f>
        <v/>
      </c>
      <c r="CA229" s="9">
        <f>BE229+BK229+BQ229+BW229</f>
        <v/>
      </c>
      <c r="CB229" s="9">
        <f>BF229+BL229+BR229+BX229</f>
        <v/>
      </c>
      <c r="CC229" s="8" t="n">
        <v>0</v>
      </c>
      <c r="CD229" s="8" t="n">
        <v>1545</v>
      </c>
      <c r="CE229" s="8" t="n">
        <v>8</v>
      </c>
      <c r="CF229" s="8" t="n">
        <v>11</v>
      </c>
      <c r="CG229" s="8" t="n">
        <v>22</v>
      </c>
      <c r="CH229" s="9">
        <f>CD229+CE229+CF229+CG229</f>
        <v/>
      </c>
      <c r="CI229" s="8" t="n">
        <v>1698</v>
      </c>
      <c r="CJ229" s="8" t="n">
        <v>23</v>
      </c>
      <c r="CK229" s="8" t="n">
        <v>15</v>
      </c>
      <c r="CL229" s="8" t="n">
        <v>9</v>
      </c>
      <c r="CM229" s="9">
        <f>CI229+CJ229+CK229+CL229</f>
        <v/>
      </c>
      <c r="CN229" s="8" t="n">
        <v>636</v>
      </c>
      <c r="CO229" s="8" t="n">
        <v>42</v>
      </c>
      <c r="CP229" s="8" t="n">
        <v>56</v>
      </c>
      <c r="CQ229" s="8" t="n">
        <v>3</v>
      </c>
      <c r="CR229" s="9">
        <f>CN229+CO229+CP229+CQ229</f>
        <v/>
      </c>
      <c r="CS229" s="9">
        <f>CM229+CR229</f>
        <v/>
      </c>
      <c r="CT229" s="8" t="n">
        <v>4068</v>
      </c>
      <c r="CU229" s="8" t="n">
        <v>22575.58453837219</v>
      </c>
      <c r="CV229" s="8" t="n">
        <v>17127</v>
      </c>
      <c r="CW229" s="10">
        <f>IF(CU229=0,"",CV229/CU229)</f>
        <v/>
      </c>
      <c r="CX229" s="8" t="n">
        <v>0</v>
      </c>
      <c r="CY229" s="8" t="n"/>
      <c r="CZ229" s="8" t="n"/>
      <c r="DA229" s="8" t="n"/>
      <c r="DB229" s="9">
        <f>CX229+CY229-CZ229-DA229</f>
        <v/>
      </c>
      <c r="DC229" s="8" t="n">
        <v>0</v>
      </c>
      <c r="DD229" s="8" t="n">
        <v>0</v>
      </c>
      <c r="DE229" s="8" t="n">
        <v>0</v>
      </c>
      <c r="DF229" s="8" t="n">
        <v>0</v>
      </c>
      <c r="DG229" s="9">
        <f>DC229+DD229-DE229-DF229</f>
        <v/>
      </c>
      <c r="DH229" s="8" t="n">
        <v>0</v>
      </c>
      <c r="DI229" s="8" t="n">
        <v>0</v>
      </c>
      <c r="DJ229" s="8" t="n">
        <v>0</v>
      </c>
      <c r="DK229" s="8" t="n">
        <v>0</v>
      </c>
      <c r="DL229" s="9">
        <f>DH229+DI229-DJ229-DK229</f>
        <v/>
      </c>
      <c r="DM229" s="8" t="n">
        <v>21</v>
      </c>
      <c r="DN229" s="8" t="n">
        <v>11</v>
      </c>
      <c r="DO229" s="8" t="n">
        <v>19</v>
      </c>
      <c r="DP229" s="8" t="n">
        <v>0</v>
      </c>
      <c r="DQ229" s="9">
        <f>DM229+DN229-DO229-DP229</f>
        <v/>
      </c>
      <c r="DR229" s="9">
        <f>CX229+DC229+DH229+DM229</f>
        <v/>
      </c>
      <c r="DS229" s="9">
        <f>CY229+DD229+DI229+DN229</f>
        <v/>
      </c>
      <c r="DT229" s="9">
        <f>CZ229+DE229+DJ229+DO229</f>
        <v/>
      </c>
      <c r="DU229" s="9">
        <f>DA229+DF229+DK229+DP229</f>
        <v/>
      </c>
      <c r="DV229" s="9">
        <f>DB229+DG229+DL229+DQ229</f>
        <v/>
      </c>
      <c r="DW229" s="8" t="n">
        <v>38</v>
      </c>
      <c r="DX229" s="8" t="n">
        <v>8</v>
      </c>
      <c r="DY229" s="8" t="n">
        <v>0</v>
      </c>
      <c r="DZ229" s="8" t="n">
        <v>3</v>
      </c>
      <c r="EA229" s="8" t="n">
        <v>0</v>
      </c>
      <c r="EB229" s="8" t="n">
        <v>3</v>
      </c>
      <c r="EC229" s="8" t="n">
        <v>0</v>
      </c>
      <c r="ED229" s="8" t="n">
        <v>0</v>
      </c>
      <c r="EE229" s="8" t="n">
        <v>2</v>
      </c>
      <c r="EF229" s="8" t="n">
        <v>1</v>
      </c>
      <c r="EG229" s="8" t="n">
        <v>0</v>
      </c>
      <c r="EH229" s="8" t="n">
        <v>0</v>
      </c>
      <c r="EI229" s="8" t="n">
        <v>0</v>
      </c>
      <c r="EJ229" s="8" t="n">
        <v>0</v>
      </c>
      <c r="EK229" s="8" t="n">
        <v>0</v>
      </c>
      <c r="EL229" s="8" t="n">
        <v>0</v>
      </c>
      <c r="EM229" s="8" t="n">
        <v>0</v>
      </c>
      <c r="EN229" s="8" t="n">
        <v>0</v>
      </c>
      <c r="EO229" s="8" t="n">
        <v>0</v>
      </c>
      <c r="EP229" s="8" t="n">
        <v>0</v>
      </c>
      <c r="EQ229" s="8" t="n">
        <v>0</v>
      </c>
      <c r="ER229" s="8" t="n">
        <v>0</v>
      </c>
      <c r="ES229" s="8" t="n">
        <v>0</v>
      </c>
      <c r="ET229" s="8" t="n">
        <v>0</v>
      </c>
      <c r="EU229" s="8" t="n">
        <v>0</v>
      </c>
      <c r="EV229" s="8" t="n">
        <v>0</v>
      </c>
      <c r="EW229" s="8" t="n">
        <v>0</v>
      </c>
      <c r="EX229" s="8" t="n">
        <v>0</v>
      </c>
      <c r="EY229" s="8" t="n">
        <v>0</v>
      </c>
      <c r="EZ229" s="8" t="n">
        <v>0</v>
      </c>
      <c r="FA229" s="8" t="n">
        <v>0</v>
      </c>
      <c r="FB229" s="8" t="n">
        <v>0</v>
      </c>
      <c r="FC229" s="8" t="n">
        <v>0</v>
      </c>
      <c r="FD229" s="8" t="n">
        <v>0</v>
      </c>
      <c r="FE229" s="8" t="n">
        <v>0</v>
      </c>
      <c r="FF229" s="8" t="n">
        <v>0</v>
      </c>
      <c r="FG229" s="9">
        <f>SUM(DW229,DX229,DY229,DZ229,EA229,EB229,EC229,ED229,EE229,EF229,EG229,EH229,EI229,EJ229,EK229,EL229,EM229,EN229,EO229,EP229,EQ229,ER229,ES229,ET229,EU229,EV229,EW229,EX229,EY229,EZ229,FA229,FB229,FC229,FD229,FE229,FF229)</f>
        <v/>
      </c>
      <c r="FH229" s="8" t="n">
        <v>0</v>
      </c>
      <c r="FI229" s="8" t="n">
        <v>0</v>
      </c>
      <c r="FJ229" s="8" t="n">
        <v>0</v>
      </c>
      <c r="FK229" s="8" t="n">
        <v>0</v>
      </c>
      <c r="FL229" s="8" t="n">
        <v>0</v>
      </c>
      <c r="FM229" s="8" t="n">
        <v>0</v>
      </c>
      <c r="FN229" s="8" t="n">
        <v>0</v>
      </c>
      <c r="FO229" s="8" t="n">
        <v>0</v>
      </c>
      <c r="FP229" s="8" t="n">
        <v>0</v>
      </c>
      <c r="FQ229" s="9">
        <f>FL229+FM229+FN229+FO229+FP229</f>
        <v/>
      </c>
      <c r="FR229" s="8" t="n">
        <v>9904133</v>
      </c>
      <c r="FS229" s="8" t="n">
        <v>60300</v>
      </c>
      <c r="FT229" s="8" t="n">
        <v>169800</v>
      </c>
      <c r="FU229" s="8" t="n">
        <v>1036000</v>
      </c>
      <c r="FV229" s="9">
        <f>FR229+FS229+FT229+FU229</f>
        <v/>
      </c>
      <c r="FW229" s="8" t="n">
        <v>4237376</v>
      </c>
      <c r="FX229" s="8" t="n">
        <v>0</v>
      </c>
      <c r="FY229" s="8" t="n">
        <v>2332000</v>
      </c>
      <c r="FZ229" s="8" t="n">
        <v>3083000</v>
      </c>
      <c r="GA229" s="9">
        <f>FW229+FX229+FY229+FZ229</f>
        <v/>
      </c>
      <c r="GB229" s="9">
        <f>FV229+GA229</f>
        <v/>
      </c>
      <c r="GC229" s="8" t="n">
        <v>10771070</v>
      </c>
      <c r="GD229" s="8" t="n">
        <v>40933.92</v>
      </c>
      <c r="GE229" s="8" t="n">
        <v>532880.12</v>
      </c>
      <c r="GF229" s="8" t="n">
        <v>170172.86</v>
      </c>
      <c r="GG229" s="9">
        <f>GC229+GD229+GE229+GF229</f>
        <v/>
      </c>
      <c r="GH229" s="8" t="n">
        <v>4237376</v>
      </c>
      <c r="GI229" s="8" t="n">
        <v>0</v>
      </c>
      <c r="GJ229" s="8" t="n">
        <v>3088000</v>
      </c>
      <c r="GK229" s="8" t="n">
        <v>2332000</v>
      </c>
      <c r="GL229" s="9">
        <f>GH229+GI229+GJ229+GK229</f>
        <v/>
      </c>
      <c r="GM229" s="9">
        <f>GG229+GL229</f>
        <v/>
      </c>
      <c r="GN229" s="8" t="n">
        <v>999630</v>
      </c>
      <c r="GO229" s="8" t="n">
        <v>1338.96</v>
      </c>
      <c r="GP229" s="8" t="n">
        <v>40723.68</v>
      </c>
      <c r="GQ229" s="8" t="n">
        <v>46373.4</v>
      </c>
      <c r="GR229" s="9">
        <f>GN229+GO229+GP229+GQ229</f>
        <v/>
      </c>
      <c r="GS229" s="8" t="n">
        <v>1670803</v>
      </c>
      <c r="GT229" s="8" t="n">
        <v>6251</v>
      </c>
      <c r="GU229" s="8" t="n">
        <v>10716</v>
      </c>
      <c r="GV229" s="8" t="n">
        <v>8930</v>
      </c>
      <c r="GW229" s="9">
        <f>GS229+GT229+GU229+GV229</f>
        <v/>
      </c>
      <c r="GX229" s="9">
        <f>GM229+GR229+GW229</f>
        <v/>
      </c>
      <c r="GY229" s="8" t="n">
        <v>32969386.11</v>
      </c>
      <c r="GZ229" s="8" t="n">
        <v>1536765.96</v>
      </c>
      <c r="HA229" s="9">
        <f>GY229+GZ229</f>
        <v/>
      </c>
      <c r="HB229" s="9">
        <f>IF(GX229=0,"",AU229/GX229)</f>
        <v/>
      </c>
      <c r="HC229" s="10">
        <f>IF((GX229+GY229)=0,"",GB229/(GX229+GY229))</f>
        <v/>
      </c>
      <c r="HD229" s="9">
        <f>IF(GX229=0,"",GB229/GX229)</f>
        <v/>
      </c>
      <c r="HE229" s="8" t="n">
        <v>27</v>
      </c>
      <c r="HF229" s="8" t="n">
        <v>1</v>
      </c>
      <c r="HG229" s="8" t="n">
        <v>100</v>
      </c>
      <c r="HH229" s="8" t="n">
        <v>27</v>
      </c>
      <c r="HI229" s="8" t="n">
        <v>30</v>
      </c>
      <c r="HJ229" s="9">
        <f>HF229+HI229</f>
        <v/>
      </c>
      <c r="HK229" s="10">
        <f>IF(HE229=0,"",HH229/HE229)</f>
        <v/>
      </c>
      <c r="HL229" s="8" t="n">
        <v>8</v>
      </c>
      <c r="HM229" s="8" t="n">
        <v>30</v>
      </c>
      <c r="HN229" s="11">
        <f>IF(HL229=0,"",HM229/HL229)</f>
        <v/>
      </c>
    </row>
    <row r="230">
      <c r="A230" s="12" t="inlineStr">
        <is>
          <t>Ngabu</t>
        </is>
      </c>
      <c r="B230" s="12" t="inlineStr">
        <is>
          <t>Chikwawa</t>
        </is>
      </c>
      <c r="C230" s="13" t="inlineStr">
        <is>
          <t>FY2025/26</t>
        </is>
      </c>
      <c r="D230" s="13" t="n">
        <v>2026</v>
      </c>
      <c r="E230" s="13" t="n">
        <v>3</v>
      </c>
      <c r="F230" s="13" t="inlineStr">
        <is>
          <t>March</t>
        </is>
      </c>
      <c r="G230" s="13" t="inlineStr">
        <is>
          <t>Q4</t>
        </is>
      </c>
      <c r="H230" s="14" t="n">
        <v>25222</v>
      </c>
      <c r="I230" s="14" t="n">
        <v>11986</v>
      </c>
      <c r="J230" s="14" t="n">
        <v>811</v>
      </c>
      <c r="K230" s="14" t="n">
        <v>854</v>
      </c>
      <c r="L230" s="14" t="n">
        <v>511</v>
      </c>
      <c r="M230" s="15">
        <f>SUM(I230,J230,K230,L230)</f>
        <v/>
      </c>
      <c r="N230" s="14" t="n">
        <v>679</v>
      </c>
      <c r="O230" s="14" t="n">
        <v>0</v>
      </c>
      <c r="P230" s="14" t="n">
        <v>3181</v>
      </c>
      <c r="Q230" s="14" t="n">
        <v>279</v>
      </c>
      <c r="R230" s="15">
        <f>SUM(N230,O230,P230,Q230)</f>
        <v/>
      </c>
      <c r="S230" s="15">
        <f>M230+R230</f>
        <v/>
      </c>
      <c r="T230" s="14" t="n">
        <v>6921</v>
      </c>
      <c r="U230" s="16">
        <f>IF(H230=0,"",T230/H230)</f>
        <v/>
      </c>
      <c r="V230" s="14" t="n">
        <v>25</v>
      </c>
      <c r="W230" s="17">
        <f>IF(H230=0,"",V230/H230)</f>
        <v/>
      </c>
      <c r="X230" s="14" t="n">
        <v>0</v>
      </c>
      <c r="Y230" s="17">
        <f>IF(H230=0,"",X230/H230)</f>
        <v/>
      </c>
      <c r="Z230" s="14" t="n">
        <v>0</v>
      </c>
      <c r="AA230" s="17">
        <f>IF(H230=0,"",Z230/H230)</f>
        <v/>
      </c>
      <c r="AB230" s="14" t="n">
        <v>0</v>
      </c>
      <c r="AC230" s="17">
        <f>IF(H230=0,"",AB230/H230)</f>
        <v/>
      </c>
      <c r="AD230" s="14" t="n">
        <v>0</v>
      </c>
      <c r="AE230" s="17">
        <f>IF(H230=0,"",AD230/H230)</f>
        <v/>
      </c>
      <c r="AF230" s="14" t="n">
        <v>0</v>
      </c>
      <c r="AG230" s="17">
        <f>IF(H230=0,"",AF230/H230)</f>
        <v/>
      </c>
      <c r="AH230" s="14" t="n">
        <v>88132.25</v>
      </c>
      <c r="AI230" s="15">
        <f>IF(H230=0,"",AH230/H230)</f>
        <v/>
      </c>
      <c r="AJ230" s="14" t="n">
        <v>16255</v>
      </c>
      <c r="AK230" s="17">
        <f>IF(H230=0,"",AJ230/H230)</f>
        <v/>
      </c>
      <c r="AL230" s="14" t="n">
        <v>16426.5</v>
      </c>
      <c r="AM230" s="15">
        <f>IF(H230=0,"",AL230/H230)</f>
        <v/>
      </c>
      <c r="AN230" s="14" t="n">
        <v>465</v>
      </c>
      <c r="AO230" s="14" t="n">
        <v>90</v>
      </c>
      <c r="AP230" s="14" t="n">
        <v>246060</v>
      </c>
      <c r="AQ230" s="14" t="n">
        <v>0</v>
      </c>
      <c r="AR230" s="14" t="n">
        <v>0</v>
      </c>
      <c r="AS230" s="14" t="n">
        <v>0</v>
      </c>
      <c r="AT230" s="14" t="n">
        <v>0</v>
      </c>
      <c r="AU230" s="15">
        <f>AH230+AL230+AP230+AQ230+AR230+AS230+AT230</f>
        <v/>
      </c>
      <c r="AV230" s="15">
        <f>IF(H230=0,"",AU230/H230)</f>
        <v/>
      </c>
      <c r="AW230" s="15">
        <f>IF(S230=0,"",AU230/S230)</f>
        <v/>
      </c>
      <c r="AX230" s="14" t="n">
        <v>7</v>
      </c>
      <c r="AY230" s="15">
        <f>IF(H230=0,"",AX230/(H230/1000/12))</f>
        <v/>
      </c>
      <c r="AZ230" s="14" t="n">
        <v>6</v>
      </c>
      <c r="BA230" s="14" t="n">
        <v>100</v>
      </c>
      <c r="BB230" s="14" t="n">
        <v>13</v>
      </c>
      <c r="BC230" s="14" t="n">
        <v>11</v>
      </c>
      <c r="BD230" s="14" t="n">
        <v>0</v>
      </c>
      <c r="BE230" s="15">
        <f>BC230+BD230</f>
        <v/>
      </c>
      <c r="BF230" s="15">
        <f>BA230+BB230-BE230</f>
        <v/>
      </c>
      <c r="BG230" s="14" t="n">
        <v>0</v>
      </c>
      <c r="BH230" s="14" t="n">
        <v>0</v>
      </c>
      <c r="BI230" s="14" t="n">
        <v>0</v>
      </c>
      <c r="BJ230" s="14" t="n">
        <v>0</v>
      </c>
      <c r="BK230" s="15">
        <f>BI230+BJ230</f>
        <v/>
      </c>
      <c r="BL230" s="15">
        <f>BG230+BH230-BK230</f>
        <v/>
      </c>
      <c r="BM230" s="14" t="n">
        <v>0</v>
      </c>
      <c r="BN230" s="14" t="n">
        <v>0</v>
      </c>
      <c r="BO230" s="14" t="n">
        <v>0</v>
      </c>
      <c r="BP230" s="14" t="n">
        <v>0</v>
      </c>
      <c r="BQ230" s="15">
        <f>BO230+BP230</f>
        <v/>
      </c>
      <c r="BR230" s="15">
        <f>BM230+BN230-BQ230</f>
        <v/>
      </c>
      <c r="BS230" s="14" t="n">
        <v>0</v>
      </c>
      <c r="BT230" s="14" t="n">
        <v>0</v>
      </c>
      <c r="BU230" s="14" t="n">
        <v>0</v>
      </c>
      <c r="BV230" s="14" t="n">
        <v>0</v>
      </c>
      <c r="BW230" s="15">
        <f>BU230+BV230</f>
        <v/>
      </c>
      <c r="BX230" s="15">
        <f>BS230+BT230-BW230</f>
        <v/>
      </c>
      <c r="BY230" s="15">
        <f>BA230+BG230+BM230+BS230</f>
        <v/>
      </c>
      <c r="BZ230" s="15">
        <f>BB230+BH230+BN230+BT230</f>
        <v/>
      </c>
      <c r="CA230" s="15">
        <f>BE230+BK230+BQ230+BW230</f>
        <v/>
      </c>
      <c r="CB230" s="15">
        <f>BF230+BL230+BR230+BX230</f>
        <v/>
      </c>
      <c r="CC230" s="14" t="n">
        <v>0</v>
      </c>
      <c r="CD230" s="14" t="n">
        <v>1560</v>
      </c>
      <c r="CE230" s="14" t="n">
        <v>8</v>
      </c>
      <c r="CF230" s="14" t="n">
        <v>11</v>
      </c>
      <c r="CG230" s="14" t="n">
        <v>22</v>
      </c>
      <c r="CH230" s="15">
        <f>CD230+CE230+CF230+CG230</f>
        <v/>
      </c>
      <c r="CI230" s="14" t="n">
        <v>1694</v>
      </c>
      <c r="CJ230" s="14" t="n">
        <v>23</v>
      </c>
      <c r="CK230" s="14" t="n">
        <v>15</v>
      </c>
      <c r="CL230" s="14" t="n">
        <v>9</v>
      </c>
      <c r="CM230" s="15">
        <f>CI230+CJ230+CK230+CL230</f>
        <v/>
      </c>
      <c r="CN230" s="14" t="n">
        <v>636</v>
      </c>
      <c r="CO230" s="14" t="n">
        <v>42</v>
      </c>
      <c r="CP230" s="14" t="n">
        <v>56</v>
      </c>
      <c r="CQ230" s="14" t="n">
        <v>3</v>
      </c>
      <c r="CR230" s="15">
        <f>CN230+CO230+CP230+CQ230</f>
        <v/>
      </c>
      <c r="CS230" s="15">
        <f>CM230+CR230</f>
        <v/>
      </c>
      <c r="CT230" s="14" t="n">
        <v>4079</v>
      </c>
      <c r="CU230" s="14" t="n">
        <v>22620.73570744893</v>
      </c>
      <c r="CV230" s="14" t="n">
        <v>17127</v>
      </c>
      <c r="CW230" s="16">
        <f>IF(CU230=0,"",CV230/CU230)</f>
        <v/>
      </c>
      <c r="CX230" s="14" t="n"/>
      <c r="CY230" s="14" t="n"/>
      <c r="CZ230" s="14" t="n"/>
      <c r="DA230" s="14" t="n"/>
      <c r="DB230" s="15">
        <f>CX230+CY230-CZ230-DA230</f>
        <v/>
      </c>
      <c r="DC230" s="14" t="n">
        <v>0</v>
      </c>
      <c r="DD230" s="14" t="n">
        <v>0</v>
      </c>
      <c r="DE230" s="14" t="n">
        <v>0</v>
      </c>
      <c r="DF230" s="14" t="n">
        <v>0</v>
      </c>
      <c r="DG230" s="15">
        <f>DC230+DD230-DE230-DF230</f>
        <v/>
      </c>
      <c r="DH230" s="14" t="n">
        <v>0</v>
      </c>
      <c r="DI230" s="14" t="n">
        <v>0</v>
      </c>
      <c r="DJ230" s="14" t="n">
        <v>0</v>
      </c>
      <c r="DK230" s="14" t="n">
        <v>0</v>
      </c>
      <c r="DL230" s="15">
        <f>DH230+DI230-DJ230-DK230</f>
        <v/>
      </c>
      <c r="DM230" s="14" t="n">
        <v>13</v>
      </c>
      <c r="DN230" s="14" t="n">
        <v>8</v>
      </c>
      <c r="DO230" s="14" t="n">
        <v>15</v>
      </c>
      <c r="DP230" s="14" t="n">
        <v>0</v>
      </c>
      <c r="DQ230" s="15">
        <f>DM230+DN230-DO230-DP230</f>
        <v/>
      </c>
      <c r="DR230" s="15">
        <f>CX230+DC230+DH230+DM230</f>
        <v/>
      </c>
      <c r="DS230" s="15">
        <f>CY230+DD230+DI230+DN230</f>
        <v/>
      </c>
      <c r="DT230" s="15">
        <f>CZ230+DE230+DJ230+DO230</f>
        <v/>
      </c>
      <c r="DU230" s="15">
        <f>DA230+DF230+DK230+DP230</f>
        <v/>
      </c>
      <c r="DV230" s="15">
        <f>DB230+DG230+DL230+DQ230</f>
        <v/>
      </c>
      <c r="DW230" s="14" t="n">
        <v>32</v>
      </c>
      <c r="DX230" s="14" t="n">
        <v>12</v>
      </c>
      <c r="DY230" s="14" t="n">
        <v>2</v>
      </c>
      <c r="DZ230" s="14" t="n">
        <v>0</v>
      </c>
      <c r="EA230" s="14" t="n">
        <v>3</v>
      </c>
      <c r="EB230" s="14" t="n">
        <v>0</v>
      </c>
      <c r="EC230" s="14" t="n">
        <v>0</v>
      </c>
      <c r="ED230" s="14" t="n">
        <v>0</v>
      </c>
      <c r="EE230" s="14" t="n">
        <v>0</v>
      </c>
      <c r="EF230" s="14" t="n">
        <v>2</v>
      </c>
      <c r="EG230" s="14" t="n">
        <v>0</v>
      </c>
      <c r="EH230" s="14" t="n">
        <v>0</v>
      </c>
      <c r="EI230" s="14" t="n">
        <v>0</v>
      </c>
      <c r="EJ230" s="14" t="n">
        <v>0</v>
      </c>
      <c r="EK230" s="14" t="n">
        <v>0</v>
      </c>
      <c r="EL230" s="14" t="n">
        <v>0</v>
      </c>
      <c r="EM230" s="14" t="n">
        <v>0</v>
      </c>
      <c r="EN230" s="14" t="n">
        <v>0</v>
      </c>
      <c r="EO230" s="14" t="n">
        <v>0</v>
      </c>
      <c r="EP230" s="14" t="n">
        <v>0</v>
      </c>
      <c r="EQ230" s="14" t="n">
        <v>0</v>
      </c>
      <c r="ER230" s="14" t="n">
        <v>0</v>
      </c>
      <c r="ES230" s="14" t="n">
        <v>0</v>
      </c>
      <c r="ET230" s="14" t="n">
        <v>0</v>
      </c>
      <c r="EU230" s="14" t="n">
        <v>0</v>
      </c>
      <c r="EV230" s="14" t="n">
        <v>0</v>
      </c>
      <c r="EW230" s="14" t="n">
        <v>0</v>
      </c>
      <c r="EX230" s="14" t="n">
        <v>0</v>
      </c>
      <c r="EY230" s="14" t="n">
        <v>0</v>
      </c>
      <c r="EZ230" s="14" t="n">
        <v>0</v>
      </c>
      <c r="FA230" s="14" t="n">
        <v>0</v>
      </c>
      <c r="FB230" s="14" t="n">
        <v>0</v>
      </c>
      <c r="FC230" s="14" t="n">
        <v>0</v>
      </c>
      <c r="FD230" s="14" t="n">
        <v>0</v>
      </c>
      <c r="FE230" s="14" t="n">
        <v>0</v>
      </c>
      <c r="FF230" s="14" t="n">
        <v>0</v>
      </c>
      <c r="FG230" s="15">
        <f>SUM(DW230,DX230,DY230,DZ230,EA230,EB230,EC230,ED230,EE230,EF230,EG230,EH230,EI230,EJ230,EK230,EL230,EM230,EN230,EO230,EP230,EQ230,ER230,ES230,ET230,EU230,EV230,EW230,EX230,EY230,EZ230,FA230,FB230,FC230,FD230,FE230,FF230)</f>
        <v/>
      </c>
      <c r="FH230" s="14" t="n">
        <v>0</v>
      </c>
      <c r="FI230" s="14" t="n">
        <v>0</v>
      </c>
      <c r="FJ230" s="14" t="n">
        <v>0</v>
      </c>
      <c r="FK230" s="14" t="n">
        <v>0</v>
      </c>
      <c r="FL230" s="14" t="n">
        <v>0</v>
      </c>
      <c r="FM230" s="14" t="n">
        <v>0</v>
      </c>
      <c r="FN230" s="14" t="n">
        <v>0</v>
      </c>
      <c r="FO230" s="14" t="n">
        <v>0</v>
      </c>
      <c r="FP230" s="14" t="n">
        <v>0</v>
      </c>
      <c r="FQ230" s="15">
        <f>FL230+FM230+FN230+FO230+FP230</f>
        <v/>
      </c>
      <c r="FR230" s="14" t="n">
        <v>10426644</v>
      </c>
      <c r="FS230" s="14" t="n">
        <v>56200</v>
      </c>
      <c r="FT230" s="14" t="n">
        <v>14000</v>
      </c>
      <c r="FU230" s="14" t="n">
        <v>290300</v>
      </c>
      <c r="FV230" s="15">
        <f>FR230+FS230+FT230+FU230</f>
        <v/>
      </c>
      <c r="FW230" s="14" t="n">
        <v>3749973</v>
      </c>
      <c r="FX230" s="14" t="n">
        <v>10000</v>
      </c>
      <c r="FY230" s="14" t="n">
        <v>198000</v>
      </c>
      <c r="FZ230" s="14" t="n">
        <v>4399000</v>
      </c>
      <c r="GA230" s="15">
        <f>FW230+FX230+FY230+FZ230</f>
        <v/>
      </c>
      <c r="GB230" s="15">
        <f>FV230+GA230</f>
        <v/>
      </c>
      <c r="GC230" s="14" t="n">
        <v>11835634</v>
      </c>
      <c r="GD230" s="14" t="n">
        <v>42081.6</v>
      </c>
      <c r="GE230" s="14" t="n">
        <v>564450.6800000001</v>
      </c>
      <c r="GF230" s="14" t="n">
        <v>191908.66</v>
      </c>
      <c r="GG230" s="15">
        <f>GC230+GD230+GE230+GF230</f>
        <v/>
      </c>
      <c r="GH230" s="14" t="n">
        <v>3717525.73</v>
      </c>
      <c r="GI230" s="14" t="n">
        <v>10000</v>
      </c>
      <c r="GJ230" s="14" t="n">
        <v>4395340</v>
      </c>
      <c r="GK230" s="14" t="n">
        <v>198000</v>
      </c>
      <c r="GL230" s="15">
        <f>GH230+GI230+GJ230+GK230</f>
        <v/>
      </c>
      <c r="GM230" s="15">
        <f>GG230+GL230</f>
        <v/>
      </c>
      <c r="GN230" s="14" t="n">
        <v>999630</v>
      </c>
      <c r="GO230" s="14" t="n">
        <v>1338.96</v>
      </c>
      <c r="GP230" s="14" t="n">
        <v>40723.68</v>
      </c>
      <c r="GQ230" s="14" t="n">
        <v>46373.4</v>
      </c>
      <c r="GR230" s="15">
        <f>GN230+GO230+GP230+GQ230</f>
        <v/>
      </c>
      <c r="GS230" s="14" t="n">
        <v>1670803</v>
      </c>
      <c r="GT230" s="14" t="n">
        <v>6251</v>
      </c>
      <c r="GU230" s="14" t="n">
        <v>10716</v>
      </c>
      <c r="GV230" s="14" t="n">
        <v>8930</v>
      </c>
      <c r="GW230" s="15">
        <f>GS230+GT230+GU230+GV230</f>
        <v/>
      </c>
      <c r="GX230" s="15">
        <f>GM230+GR230+GW230</f>
        <v/>
      </c>
      <c r="GY230" s="14" t="n">
        <v>38707870.77</v>
      </c>
      <c r="GZ230" s="14" t="n">
        <v>752619.53</v>
      </c>
      <c r="HA230" s="15">
        <f>GY230+GZ230</f>
        <v/>
      </c>
      <c r="HB230" s="15">
        <f>IF(GX230=0,"",AU230/GX230)</f>
        <v/>
      </c>
      <c r="HC230" s="16">
        <f>IF((GX230+GY230)=0,"",GB230/(GX230+GY230))</f>
        <v/>
      </c>
      <c r="HD230" s="15">
        <f>IF(GX230=0,"",GB230/GX230)</f>
        <v/>
      </c>
      <c r="HE230" s="14" t="n">
        <v>13</v>
      </c>
      <c r="HF230" s="14" t="n">
        <v>1</v>
      </c>
      <c r="HG230" s="14" t="n">
        <v>102</v>
      </c>
      <c r="HH230" s="14" t="n">
        <v>13</v>
      </c>
      <c r="HI230" s="14" t="n">
        <v>30</v>
      </c>
      <c r="HJ230" s="15">
        <f>HF230+HI230</f>
        <v/>
      </c>
      <c r="HK230" s="16">
        <f>IF(HE230=0,"",HH230/HE230)</f>
        <v/>
      </c>
      <c r="HL230" s="14" t="n">
        <v>10</v>
      </c>
      <c r="HM230" s="14" t="n">
        <v>30</v>
      </c>
      <c r="HN230" s="17">
        <f>IF(HL230=0,"",HM230/HL230)</f>
        <v/>
      </c>
    </row>
    <row r="231">
      <c r="A231" s="6" t="inlineStr">
        <is>
          <t>Ngabu</t>
        </is>
      </c>
      <c r="B231" s="6" t="inlineStr">
        <is>
          <t>Miseu Folo</t>
        </is>
      </c>
      <c r="C231" s="7" t="inlineStr">
        <is>
          <t>FY2025/26</t>
        </is>
      </c>
      <c r="D231" s="7" t="n">
        <v>2025</v>
      </c>
      <c r="E231" s="7" t="n">
        <v>4</v>
      </c>
      <c r="F231" s="7" t="inlineStr">
        <is>
          <t>April</t>
        </is>
      </c>
      <c r="G231" s="7" t="inlineStr">
        <is>
          <t>Q1</t>
        </is>
      </c>
      <c r="H231" s="8" t="n">
        <v>3408</v>
      </c>
      <c r="I231" s="8" t="n">
        <v>5</v>
      </c>
      <c r="J231" s="8" t="n">
        <v>156</v>
      </c>
      <c r="K231" s="8" t="n">
        <v>0</v>
      </c>
      <c r="L231" s="8" t="n">
        <v>36</v>
      </c>
      <c r="M231" s="9">
        <f>SUM(I231,J231,K231,L231)</f>
        <v/>
      </c>
      <c r="N231" s="8" t="n">
        <v>2337</v>
      </c>
      <c r="O231" s="8" t="n">
        <v>318</v>
      </c>
      <c r="P231" s="8" t="n">
        <v>3</v>
      </c>
      <c r="Q231" s="8" t="n">
        <v>22</v>
      </c>
      <c r="R231" s="9">
        <f>SUM(N231,O231,P231,Q231)</f>
        <v/>
      </c>
      <c r="S231" s="9">
        <f>M231+R231</f>
        <v/>
      </c>
      <c r="T231" s="8" t="n">
        <v>531</v>
      </c>
      <c r="U231" s="10">
        <f>IF(H231=0,"",T231/H231)</f>
        <v/>
      </c>
      <c r="V231" s="8" t="n">
        <v>6</v>
      </c>
      <c r="W231" s="11">
        <f>IF(H231=0,"",V231/H231)</f>
        <v/>
      </c>
      <c r="X231" s="8" t="n">
        <v>0</v>
      </c>
      <c r="Y231" s="11">
        <f>IF(H231=0,"",X231/H231)</f>
        <v/>
      </c>
      <c r="Z231" s="8" t="n">
        <v>0</v>
      </c>
      <c r="AA231" s="11">
        <f>IF(H231=0,"",Z231/H231)</f>
        <v/>
      </c>
      <c r="AB231" s="8" t="n">
        <v>0</v>
      </c>
      <c r="AC231" s="11">
        <f>IF(H231=0,"",AB231/H231)</f>
        <v/>
      </c>
      <c r="AD231" s="8" t="n">
        <v>0</v>
      </c>
      <c r="AE231" s="11">
        <f>IF(H231=0,"",AD231/H231)</f>
        <v/>
      </c>
      <c r="AF231" s="8" t="n">
        <v>0</v>
      </c>
      <c r="AG231" s="11">
        <f>IF(H231=0,"",AF231/H231)</f>
        <v/>
      </c>
      <c r="AH231" s="8" t="n">
        <v>21151.74</v>
      </c>
      <c r="AI231" s="9">
        <f>IF(H231=0,"",AH231/H231)</f>
        <v/>
      </c>
      <c r="AJ231" s="8" t="n">
        <v>1009</v>
      </c>
      <c r="AK231" s="11">
        <f>IF(H231=0,"",AJ231/H231)</f>
        <v/>
      </c>
      <c r="AL231" s="8" t="n">
        <v>156426.7635</v>
      </c>
      <c r="AM231" s="9">
        <f>IF(H231=0,"",AL231/H231)</f>
        <v/>
      </c>
      <c r="AN231" s="8" t="n">
        <v>0</v>
      </c>
      <c r="AO231" s="8" t="n">
        <v>0</v>
      </c>
      <c r="AP231" s="8" t="n">
        <v>0</v>
      </c>
      <c r="AQ231" s="8" t="n">
        <v>0</v>
      </c>
      <c r="AR231" s="8" t="n">
        <v>0</v>
      </c>
      <c r="AS231" s="8" t="n">
        <v>0</v>
      </c>
      <c r="AT231" s="8" t="n">
        <v>0</v>
      </c>
      <c r="AU231" s="9">
        <f>AH231+AL231+AP231+AQ231+AR231+AS231+AT231</f>
        <v/>
      </c>
      <c r="AV231" s="9">
        <f>IF(H231=0,"",AU231/H231)</f>
        <v/>
      </c>
      <c r="AW231" s="9">
        <f>IF(S231=0,"",AU231/S231)</f>
        <v/>
      </c>
      <c r="AX231" s="8" t="n">
        <v>7</v>
      </c>
      <c r="AY231" s="9">
        <f>IF(H231=0,"",AX231/(H231/1000/12))</f>
        <v/>
      </c>
      <c r="AZ231" s="8" t="n">
        <v>6</v>
      </c>
      <c r="BA231" s="8" t="n">
        <v>233</v>
      </c>
      <c r="BB231" s="8" t="n">
        <v>12</v>
      </c>
      <c r="BC231" s="8" t="n">
        <v>1</v>
      </c>
      <c r="BD231" s="8" t="n">
        <v>2</v>
      </c>
      <c r="BE231" s="9">
        <f>BC231+BD231</f>
        <v/>
      </c>
      <c r="BF231" s="9">
        <f>BA231+BB231-BE231</f>
        <v/>
      </c>
      <c r="BG231" s="8" t="n">
        <v>0</v>
      </c>
      <c r="BH231" s="8" t="n">
        <v>0</v>
      </c>
      <c r="BI231" s="8" t="n">
        <v>0</v>
      </c>
      <c r="BJ231" s="8" t="n">
        <v>0</v>
      </c>
      <c r="BK231" s="9">
        <f>BI231+BJ231</f>
        <v/>
      </c>
      <c r="BL231" s="9">
        <f>BG231+BH231-BK231</f>
        <v/>
      </c>
      <c r="BM231" s="8" t="n">
        <v>0</v>
      </c>
      <c r="BN231" s="8" t="n">
        <v>0</v>
      </c>
      <c r="BO231" s="8" t="n">
        <v>0</v>
      </c>
      <c r="BP231" s="8" t="n">
        <v>0</v>
      </c>
      <c r="BQ231" s="9">
        <f>BO231+BP231</f>
        <v/>
      </c>
      <c r="BR231" s="9">
        <f>BM231+BN231-BQ231</f>
        <v/>
      </c>
      <c r="BS231" s="8" t="n">
        <v>0</v>
      </c>
      <c r="BT231" s="8" t="n">
        <v>0</v>
      </c>
      <c r="BU231" s="8" t="n">
        <v>0</v>
      </c>
      <c r="BV231" s="8" t="n">
        <v>0</v>
      </c>
      <c r="BW231" s="9">
        <f>BU231+BV231</f>
        <v/>
      </c>
      <c r="BX231" s="9">
        <f>BS231+BT231-BW231</f>
        <v/>
      </c>
      <c r="BY231" s="9">
        <f>BA231+BG231+BM231+BS231</f>
        <v/>
      </c>
      <c r="BZ231" s="9">
        <f>BB231+BH231+BN231+BT231</f>
        <v/>
      </c>
      <c r="CA231" s="9">
        <f>BE231+BK231+BQ231+BW231</f>
        <v/>
      </c>
      <c r="CB231" s="9">
        <f>BF231+BL231+BR231+BX231</f>
        <v/>
      </c>
      <c r="CC231" s="8" t="n">
        <v>0</v>
      </c>
      <c r="CD231" s="8" t="n">
        <v>0</v>
      </c>
      <c r="CE231" s="8" t="n">
        <v>0</v>
      </c>
      <c r="CF231" s="8" t="n">
        <v>0</v>
      </c>
      <c r="CG231" s="8" t="n">
        <v>0</v>
      </c>
      <c r="CH231" s="9">
        <f>CD231+CE231+CF231+CG231</f>
        <v/>
      </c>
      <c r="CI231" s="8" t="n">
        <v>18</v>
      </c>
      <c r="CJ231" s="8" t="n">
        <v>0</v>
      </c>
      <c r="CK231" s="8" t="n">
        <v>0</v>
      </c>
      <c r="CL231" s="8" t="n">
        <v>0</v>
      </c>
      <c r="CM231" s="9">
        <f>CI231+CJ231+CK231+CL231</f>
        <v/>
      </c>
      <c r="CN231" s="8" t="n">
        <v>680</v>
      </c>
      <c r="CO231" s="8" t="n">
        <v>10</v>
      </c>
      <c r="CP231" s="8" t="n">
        <v>6</v>
      </c>
      <c r="CQ231" s="8" t="n">
        <v>14</v>
      </c>
      <c r="CR231" s="9">
        <f>CN231+CO231+CP231+CQ231</f>
        <v/>
      </c>
      <c r="CS231" s="9">
        <f>CM231+CR231</f>
        <v/>
      </c>
      <c r="CT231" s="8" t="n">
        <v>728</v>
      </c>
      <c r="CU231" s="8" t="n">
        <v>7192</v>
      </c>
      <c r="CV231" s="8" t="n">
        <v>5303</v>
      </c>
      <c r="CW231" s="10">
        <f>IF(CU231=0,"",CV231/CU231)</f>
        <v/>
      </c>
      <c r="CX231" s="8" t="n">
        <v>0</v>
      </c>
      <c r="CY231" s="8" t="n">
        <v>0</v>
      </c>
      <c r="CZ231" s="8" t="n">
        <v>0</v>
      </c>
      <c r="DA231" s="8" t="n">
        <v>0</v>
      </c>
      <c r="DB231" s="9">
        <f>CX231+CY231-CZ231-DA231</f>
        <v/>
      </c>
      <c r="DC231" s="8" t="n">
        <v>0</v>
      </c>
      <c r="DD231" s="8" t="n">
        <v>0</v>
      </c>
      <c r="DE231" s="8" t="n">
        <v>0</v>
      </c>
      <c r="DF231" s="8" t="n">
        <v>0</v>
      </c>
      <c r="DG231" s="9">
        <f>DC231+DD231-DE231-DF231</f>
        <v/>
      </c>
      <c r="DH231" s="8" t="n">
        <v>0</v>
      </c>
      <c r="DI231" s="8" t="n">
        <v>0</v>
      </c>
      <c r="DJ231" s="8" t="n">
        <v>0</v>
      </c>
      <c r="DK231" s="8" t="n">
        <v>0</v>
      </c>
      <c r="DL231" s="9">
        <f>DH231+DI231-DJ231-DK231</f>
        <v/>
      </c>
      <c r="DM231" s="8" t="n">
        <v>0</v>
      </c>
      <c r="DN231" s="8" t="n">
        <v>0</v>
      </c>
      <c r="DO231" s="8" t="n">
        <v>0</v>
      </c>
      <c r="DP231" s="8" t="n">
        <v>0</v>
      </c>
      <c r="DQ231" s="9">
        <f>DM231+DN231-DO231-DP231</f>
        <v/>
      </c>
      <c r="DR231" s="9">
        <f>CX231+DC231+DH231+DM231</f>
        <v/>
      </c>
      <c r="DS231" s="9">
        <f>CY231+DD231+DI231+DN231</f>
        <v/>
      </c>
      <c r="DT231" s="9">
        <f>CZ231+DE231+DJ231+DO231</f>
        <v/>
      </c>
      <c r="DU231" s="9">
        <f>DA231+DF231+DK231+DP231</f>
        <v/>
      </c>
      <c r="DV231" s="9">
        <f>DB231+DG231+DL231+DQ231</f>
        <v/>
      </c>
      <c r="DW231" s="8" t="n">
        <v>9</v>
      </c>
      <c r="DX231" s="8" t="n">
        <v>5</v>
      </c>
      <c r="DY231" s="8" t="n">
        <v>3</v>
      </c>
      <c r="DZ231" s="8" t="n">
        <v>1</v>
      </c>
      <c r="EA231" s="8" t="n">
        <v>0</v>
      </c>
      <c r="EB231" s="8" t="n">
        <v>3</v>
      </c>
      <c r="EC231" s="8" t="n">
        <v>0</v>
      </c>
      <c r="ED231" s="8" t="n">
        <v>2</v>
      </c>
      <c r="EE231" s="8" t="n">
        <v>3</v>
      </c>
      <c r="EF231" s="8" t="n">
        <v>0</v>
      </c>
      <c r="EG231" s="8" t="n">
        <v>0</v>
      </c>
      <c r="EH231" s="8" t="n">
        <v>0</v>
      </c>
      <c r="EI231" s="8" t="n">
        <v>0</v>
      </c>
      <c r="EJ231" s="8" t="n">
        <v>4</v>
      </c>
      <c r="EK231" s="8" t="n">
        <v>1</v>
      </c>
      <c r="EL231" s="8" t="n">
        <v>0</v>
      </c>
      <c r="EM231" s="8" t="n">
        <v>0</v>
      </c>
      <c r="EN231" s="8" t="n">
        <v>0</v>
      </c>
      <c r="EO231" s="8" t="n">
        <v>0</v>
      </c>
      <c r="EP231" s="8" t="n">
        <v>0</v>
      </c>
      <c r="EQ231" s="8" t="n">
        <v>0</v>
      </c>
      <c r="ER231" s="8" t="n">
        <v>0</v>
      </c>
      <c r="ES231" s="8" t="n">
        <v>0</v>
      </c>
      <c r="ET231" s="8" t="n">
        <v>0</v>
      </c>
      <c r="EU231" s="8" t="n">
        <v>0</v>
      </c>
      <c r="EV231" s="8" t="n">
        <v>0</v>
      </c>
      <c r="EW231" s="8" t="n">
        <v>0</v>
      </c>
      <c r="EX231" s="8" t="n">
        <v>0</v>
      </c>
      <c r="EY231" s="8" t="n">
        <v>0</v>
      </c>
      <c r="EZ231" s="8" t="n">
        <v>0</v>
      </c>
      <c r="FA231" s="8" t="n">
        <v>0</v>
      </c>
      <c r="FB231" s="8" t="n">
        <v>0</v>
      </c>
      <c r="FC231" s="8" t="n">
        <v>0</v>
      </c>
      <c r="FD231" s="8" t="n">
        <v>0</v>
      </c>
      <c r="FE231" s="8" t="n">
        <v>0</v>
      </c>
      <c r="FF231" s="8" t="n">
        <v>0</v>
      </c>
      <c r="FG231" s="9">
        <f>SUM(DW231,DX231,DY231,DZ231,EA231,EB231,EC231,ED231,EE231,EF231,EG231,EH231,EI231,EJ231,EK231,EL231,EM231,EN231,EO231,EP231,EQ231,ER231,ES231,ET231,EU231,EV231,EW231,EX231,EY231,EZ231,FA231,FB231,FC231,FD231,FE231,FF231)</f>
        <v/>
      </c>
      <c r="FH231" s="8" t="n">
        <v>0</v>
      </c>
      <c r="FI231" s="8" t="n">
        <v>0</v>
      </c>
      <c r="FJ231" s="8" t="n">
        <v>21</v>
      </c>
      <c r="FK231" s="8" t="n">
        <v>129</v>
      </c>
      <c r="FL231" s="8" t="n">
        <v>0</v>
      </c>
      <c r="FM231" s="8" t="n">
        <v>0</v>
      </c>
      <c r="FN231" s="8" t="n">
        <v>0</v>
      </c>
      <c r="FO231" s="8" t="n">
        <v>0</v>
      </c>
      <c r="FP231" s="8" t="n">
        <v>0</v>
      </c>
      <c r="FQ231" s="9">
        <f>FL231+FM231+FN231+FO231+FP231</f>
        <v/>
      </c>
      <c r="FR231" s="8" t="n">
        <v>260450</v>
      </c>
      <c r="FS231" s="8" t="n">
        <v>0</v>
      </c>
      <c r="FT231" s="8" t="n">
        <v>0</v>
      </c>
      <c r="FU231" s="8" t="n">
        <v>0</v>
      </c>
      <c r="FV231" s="9">
        <f>FR231+FS231+FT231+FU231</f>
        <v/>
      </c>
      <c r="FW231" s="8" t="n">
        <v>2902686</v>
      </c>
      <c r="FX231" s="8" t="n">
        <v>67606</v>
      </c>
      <c r="FY231" s="8" t="n">
        <v>107628</v>
      </c>
      <c r="FZ231" s="8" t="n">
        <v>9600</v>
      </c>
      <c r="GA231" s="9">
        <f>FW231+FX231+FY231+FZ231</f>
        <v/>
      </c>
      <c r="GB231" s="9">
        <f>FV231+GA231</f>
        <v/>
      </c>
      <c r="GC231" s="8" t="n">
        <v>11073.15</v>
      </c>
      <c r="GD231" s="8" t="n">
        <v>29839.68</v>
      </c>
      <c r="GE231" s="8" t="n">
        <v>0</v>
      </c>
      <c r="GF231" s="8" t="n">
        <v>585171.65</v>
      </c>
      <c r="GG231" s="9">
        <f>GC231+GD231+GE231+GF231</f>
        <v/>
      </c>
      <c r="GH231" s="8" t="n">
        <v>2902686.29</v>
      </c>
      <c r="GI231" s="8" t="n">
        <v>67606.22</v>
      </c>
      <c r="GJ231" s="8" t="n">
        <v>9600</v>
      </c>
      <c r="GK231" s="8" t="n">
        <v>107628.09</v>
      </c>
      <c r="GL231" s="9">
        <f>GH231+GI231+GJ231+GK231</f>
        <v/>
      </c>
      <c r="GM231" s="9">
        <f>GG231+GL231</f>
        <v/>
      </c>
      <c r="GN231" s="8" t="n">
        <v>3393.64</v>
      </c>
      <c r="GO231" s="8" t="n">
        <v>956.4</v>
      </c>
      <c r="GP231" s="8" t="n">
        <v>0</v>
      </c>
      <c r="GQ231" s="8" t="n">
        <v>42504.54</v>
      </c>
      <c r="GR231" s="9">
        <f>GN231+GO231+GP231+GQ231</f>
        <v/>
      </c>
      <c r="GS231" s="8" t="n">
        <v>893</v>
      </c>
      <c r="GT231" s="8" t="n">
        <v>4465</v>
      </c>
      <c r="GU231" s="8" t="n">
        <v>0</v>
      </c>
      <c r="GV231" s="8" t="n">
        <v>69654</v>
      </c>
      <c r="GW231" s="9">
        <f>GS231+GT231+GU231+GV231</f>
        <v/>
      </c>
      <c r="GX231" s="9">
        <f>GM231+GR231+GW231</f>
        <v/>
      </c>
      <c r="GY231" s="8" t="n">
        <v>0</v>
      </c>
      <c r="GZ231" s="8" t="n">
        <v>0</v>
      </c>
      <c r="HA231" s="9">
        <f>GY231+GZ231</f>
        <v/>
      </c>
      <c r="HB231" s="9">
        <f>IF(GX231=0,"",AU231/GX231)</f>
        <v/>
      </c>
      <c r="HC231" s="10">
        <f>IF((GX231+GY231)=0,"",GB231/(GX231+GY231))</f>
        <v/>
      </c>
      <c r="HD231" s="9">
        <f>IF(GX231=0,"",GB231/GX231)</f>
        <v/>
      </c>
      <c r="HE231" s="8" t="n">
        <v>12</v>
      </c>
      <c r="HF231" s="8" t="n">
        <v>3</v>
      </c>
      <c r="HG231" s="8" t="n">
        <v>242</v>
      </c>
      <c r="HH231" s="8" t="n">
        <v>12</v>
      </c>
      <c r="HI231" s="8" t="n">
        <v>3</v>
      </c>
      <c r="HJ231" s="9">
        <f>HF231+HI231</f>
        <v/>
      </c>
      <c r="HK231" s="10">
        <f>IF(HE231=0,"",HH231/HE231)</f>
        <v/>
      </c>
      <c r="HL231" s="8" t="n">
        <v>10</v>
      </c>
      <c r="HM231" s="8" t="n">
        <v>5</v>
      </c>
      <c r="HN231" s="11">
        <f>IF(HL231=0,"",HM231/HL231)</f>
        <v/>
      </c>
    </row>
    <row r="232">
      <c r="A232" s="12" t="inlineStr">
        <is>
          <t>Ngabu</t>
        </is>
      </c>
      <c r="B232" s="12" t="inlineStr">
        <is>
          <t>Miseu Folo</t>
        </is>
      </c>
      <c r="C232" s="13" t="inlineStr">
        <is>
          <t>FY2025/26</t>
        </is>
      </c>
      <c r="D232" s="13" t="n">
        <v>2025</v>
      </c>
      <c r="E232" s="13" t="n">
        <v>5</v>
      </c>
      <c r="F232" s="13" t="inlineStr">
        <is>
          <t>May</t>
        </is>
      </c>
      <c r="G232" s="13" t="inlineStr">
        <is>
          <t>Q1</t>
        </is>
      </c>
      <c r="H232" s="14" t="n">
        <v>3880</v>
      </c>
      <c r="I232" s="14" t="n">
        <v>663</v>
      </c>
      <c r="J232" s="14" t="n">
        <v>105</v>
      </c>
      <c r="K232" s="14" t="n">
        <v>1</v>
      </c>
      <c r="L232" s="14" t="n">
        <v>0</v>
      </c>
      <c r="M232" s="15">
        <f>SUM(I232,J232,K232,L232)</f>
        <v/>
      </c>
      <c r="N232" s="14" t="n">
        <v>1829</v>
      </c>
      <c r="O232" s="14" t="n">
        <v>199</v>
      </c>
      <c r="P232" s="14" t="n">
        <v>3</v>
      </c>
      <c r="Q232" s="14" t="n">
        <v>26</v>
      </c>
      <c r="R232" s="15">
        <f>SUM(N232,O232,P232,Q232)</f>
        <v/>
      </c>
      <c r="S232" s="15">
        <f>M232+R232</f>
        <v/>
      </c>
      <c r="T232" s="14" t="n">
        <v>1054</v>
      </c>
      <c r="U232" s="16">
        <f>IF(H232=0,"",T232/H232)</f>
        <v/>
      </c>
      <c r="V232" s="14" t="n">
        <v>7</v>
      </c>
      <c r="W232" s="17">
        <f>IF(H232=0,"",V232/H232)</f>
        <v/>
      </c>
      <c r="X232" s="14" t="n">
        <v>0</v>
      </c>
      <c r="Y232" s="17">
        <f>IF(H232=0,"",X232/H232)</f>
        <v/>
      </c>
      <c r="Z232" s="14" t="n">
        <v>0</v>
      </c>
      <c r="AA232" s="17">
        <f>IF(H232=0,"",Z232/H232)</f>
        <v/>
      </c>
      <c r="AB232" s="14" t="n">
        <v>0</v>
      </c>
      <c r="AC232" s="17">
        <f>IF(H232=0,"",AB232/H232)</f>
        <v/>
      </c>
      <c r="AD232" s="14" t="n">
        <v>0</v>
      </c>
      <c r="AE232" s="17">
        <f>IF(H232=0,"",AD232/H232)</f>
        <v/>
      </c>
      <c r="AF232" s="14" t="n">
        <v>0</v>
      </c>
      <c r="AG232" s="17">
        <f>IF(H232=0,"",AF232/H232)</f>
        <v/>
      </c>
      <c r="AH232" s="14" t="n">
        <v>24677.03</v>
      </c>
      <c r="AI232" s="15">
        <f>IF(H232=0,"",AH232/H232)</f>
        <v/>
      </c>
      <c r="AJ232" s="14" t="n">
        <v>1157</v>
      </c>
      <c r="AK232" s="17">
        <f>IF(H232=0,"",AJ232/H232)</f>
        <v/>
      </c>
      <c r="AL232" s="14" t="n">
        <v>176961.9855</v>
      </c>
      <c r="AM232" s="15">
        <f>IF(H232=0,"",AL232/H232)</f>
        <v/>
      </c>
      <c r="AN232" s="14" t="n">
        <v>0</v>
      </c>
      <c r="AO232" s="14" t="n">
        <v>0</v>
      </c>
      <c r="AP232" s="14" t="n">
        <v>0</v>
      </c>
      <c r="AQ232" s="14" t="n">
        <v>0</v>
      </c>
      <c r="AR232" s="14" t="n">
        <v>0</v>
      </c>
      <c r="AS232" s="14" t="n">
        <v>0</v>
      </c>
      <c r="AT232" s="14" t="n">
        <v>0</v>
      </c>
      <c r="AU232" s="15">
        <f>AH232+AL232+AP232+AQ232+AR232+AS232+AT232</f>
        <v/>
      </c>
      <c r="AV232" s="15">
        <f>IF(H232=0,"",AU232/H232)</f>
        <v/>
      </c>
      <c r="AW232" s="15">
        <f>IF(S232=0,"",AU232/S232)</f>
        <v/>
      </c>
      <c r="AX232" s="14" t="n">
        <v>7</v>
      </c>
      <c r="AY232" s="15">
        <f>IF(H232=0,"",AX232/(H232/1000/12))</f>
        <v/>
      </c>
      <c r="AZ232" s="14" t="n">
        <v>3</v>
      </c>
      <c r="BA232" s="14" t="n">
        <v>242</v>
      </c>
      <c r="BB232" s="14" t="n">
        <v>15</v>
      </c>
      <c r="BC232" s="14" t="n">
        <v>9</v>
      </c>
      <c r="BD232" s="14" t="n">
        <v>1</v>
      </c>
      <c r="BE232" s="15">
        <f>BC232+BD232</f>
        <v/>
      </c>
      <c r="BF232" s="15">
        <f>BA232+BB232-BE232</f>
        <v/>
      </c>
      <c r="BG232" s="14" t="n">
        <v>0</v>
      </c>
      <c r="BH232" s="14" t="n">
        <v>0</v>
      </c>
      <c r="BI232" s="14" t="n">
        <v>0</v>
      </c>
      <c r="BJ232" s="14" t="n">
        <v>0</v>
      </c>
      <c r="BK232" s="15">
        <f>BI232+BJ232</f>
        <v/>
      </c>
      <c r="BL232" s="15">
        <f>BG232+BH232-BK232</f>
        <v/>
      </c>
      <c r="BM232" s="14" t="n">
        <v>0</v>
      </c>
      <c r="BN232" s="14" t="n">
        <v>0</v>
      </c>
      <c r="BO232" s="14" t="n">
        <v>0</v>
      </c>
      <c r="BP232" s="14" t="n">
        <v>0</v>
      </c>
      <c r="BQ232" s="15">
        <f>BO232+BP232</f>
        <v/>
      </c>
      <c r="BR232" s="15">
        <f>BM232+BN232-BQ232</f>
        <v/>
      </c>
      <c r="BS232" s="14" t="n">
        <v>0</v>
      </c>
      <c r="BT232" s="14" t="n">
        <v>0</v>
      </c>
      <c r="BU232" s="14" t="n">
        <v>0</v>
      </c>
      <c r="BV232" s="14" t="n">
        <v>0</v>
      </c>
      <c r="BW232" s="15">
        <f>BU232+BV232</f>
        <v/>
      </c>
      <c r="BX232" s="15">
        <f>BS232+BT232-BW232</f>
        <v/>
      </c>
      <c r="BY232" s="15">
        <f>BA232+BG232+BM232+BS232</f>
        <v/>
      </c>
      <c r="BZ232" s="15">
        <f>BB232+BH232+BN232+BT232</f>
        <v/>
      </c>
      <c r="CA232" s="15">
        <f>BE232+BK232+BQ232+BW232</f>
        <v/>
      </c>
      <c r="CB232" s="15">
        <f>BF232+BL232+BR232+BX232</f>
        <v/>
      </c>
      <c r="CC232" s="14" t="n">
        <v>0</v>
      </c>
      <c r="CD232" s="14" t="n">
        <v>0</v>
      </c>
      <c r="CE232" s="14" t="n">
        <v>0</v>
      </c>
      <c r="CF232" s="14" t="n">
        <v>0</v>
      </c>
      <c r="CG232" s="14" t="n">
        <v>0</v>
      </c>
      <c r="CH232" s="15">
        <f>CD232+CE232+CF232+CG232</f>
        <v/>
      </c>
      <c r="CI232" s="14" t="n">
        <v>27</v>
      </c>
      <c r="CJ232" s="14" t="n">
        <v>0</v>
      </c>
      <c r="CK232" s="14" t="n">
        <v>0</v>
      </c>
      <c r="CL232" s="14" t="n">
        <v>0</v>
      </c>
      <c r="CM232" s="15">
        <f>CI232+CJ232+CK232+CL232</f>
        <v/>
      </c>
      <c r="CN232" s="14" t="n">
        <v>680</v>
      </c>
      <c r="CO232" s="14" t="n">
        <v>10</v>
      </c>
      <c r="CP232" s="14" t="n">
        <v>6</v>
      </c>
      <c r="CQ232" s="14" t="n">
        <v>14</v>
      </c>
      <c r="CR232" s="15">
        <f>CN232+CO232+CP232+CQ232</f>
        <v/>
      </c>
      <c r="CS232" s="15">
        <f>CM232+CR232</f>
        <v/>
      </c>
      <c r="CT232" s="14" t="n">
        <v>737</v>
      </c>
      <c r="CU232" s="14" t="n">
        <v>7206.384</v>
      </c>
      <c r="CV232" s="14" t="n">
        <v>5303</v>
      </c>
      <c r="CW232" s="16">
        <f>IF(CU232=0,"",CV232/CU232)</f>
        <v/>
      </c>
      <c r="CX232" s="14" t="n">
        <v>0</v>
      </c>
      <c r="CY232" s="14" t="n"/>
      <c r="CZ232" s="14" t="n"/>
      <c r="DA232" s="14" t="n"/>
      <c r="DB232" s="15">
        <f>CX232+CY232-CZ232-DA232</f>
        <v/>
      </c>
      <c r="DC232" s="14" t="n">
        <v>0</v>
      </c>
      <c r="DD232" s="14" t="n">
        <v>0</v>
      </c>
      <c r="DE232" s="14" t="n">
        <v>0</v>
      </c>
      <c r="DF232" s="14" t="n">
        <v>0</v>
      </c>
      <c r="DG232" s="15">
        <f>DC232+DD232-DE232-DF232</f>
        <v/>
      </c>
      <c r="DH232" s="14" t="n">
        <v>0</v>
      </c>
      <c r="DI232" s="14" t="n">
        <v>0</v>
      </c>
      <c r="DJ232" s="14" t="n">
        <v>0</v>
      </c>
      <c r="DK232" s="14" t="n">
        <v>0</v>
      </c>
      <c r="DL232" s="15">
        <f>DH232+DI232-DJ232-DK232</f>
        <v/>
      </c>
      <c r="DM232" s="14" t="n">
        <v>0</v>
      </c>
      <c r="DN232" s="14" t="n">
        <v>0</v>
      </c>
      <c r="DO232" s="14" t="n">
        <v>0</v>
      </c>
      <c r="DP232" s="14" t="n">
        <v>0</v>
      </c>
      <c r="DQ232" s="15">
        <f>DM232+DN232-DO232-DP232</f>
        <v/>
      </c>
      <c r="DR232" s="15">
        <f>CX232+DC232+DH232+DM232</f>
        <v/>
      </c>
      <c r="DS232" s="15">
        <f>CY232+DD232+DI232+DN232</f>
        <v/>
      </c>
      <c r="DT232" s="15">
        <f>CZ232+DE232+DJ232+DO232</f>
        <v/>
      </c>
      <c r="DU232" s="15">
        <f>DA232+DF232+DK232+DP232</f>
        <v/>
      </c>
      <c r="DV232" s="15">
        <f>DB232+DG232+DL232+DQ232</f>
        <v/>
      </c>
      <c r="DW232" s="14" t="n">
        <v>10</v>
      </c>
      <c r="DX232" s="14" t="n">
        <v>2</v>
      </c>
      <c r="DY232" s="14" t="n">
        <v>0</v>
      </c>
      <c r="DZ232" s="14" t="n">
        <v>0</v>
      </c>
      <c r="EA232" s="14" t="n">
        <v>1</v>
      </c>
      <c r="EB232" s="14" t="n">
        <v>0</v>
      </c>
      <c r="EC232" s="14" t="n">
        <v>0</v>
      </c>
      <c r="ED232" s="14" t="n">
        <v>2</v>
      </c>
      <c r="EE232" s="14" t="n">
        <v>1</v>
      </c>
      <c r="EF232" s="14" t="n">
        <v>0</v>
      </c>
      <c r="EG232" s="14" t="n">
        <v>0</v>
      </c>
      <c r="EH232" s="14" t="n">
        <v>0</v>
      </c>
      <c r="EI232" s="14" t="n">
        <v>0</v>
      </c>
      <c r="EJ232" s="14" t="n">
        <v>5</v>
      </c>
      <c r="EK232" s="14" t="n">
        <v>2</v>
      </c>
      <c r="EL232" s="14" t="n">
        <v>0</v>
      </c>
      <c r="EM232" s="14" t="n">
        <v>0</v>
      </c>
      <c r="EN232" s="14" t="n">
        <v>0</v>
      </c>
      <c r="EO232" s="14" t="n">
        <v>0</v>
      </c>
      <c r="EP232" s="14" t="n">
        <v>0</v>
      </c>
      <c r="EQ232" s="14" t="n">
        <v>0</v>
      </c>
      <c r="ER232" s="14" t="n">
        <v>0</v>
      </c>
      <c r="ES232" s="14" t="n">
        <v>0</v>
      </c>
      <c r="ET232" s="14" t="n">
        <v>0</v>
      </c>
      <c r="EU232" s="14" t="n">
        <v>0</v>
      </c>
      <c r="EV232" s="14" t="n">
        <v>0</v>
      </c>
      <c r="EW232" s="14" t="n">
        <v>0</v>
      </c>
      <c r="EX232" s="14" t="n">
        <v>0</v>
      </c>
      <c r="EY232" s="14" t="n">
        <v>0</v>
      </c>
      <c r="EZ232" s="14" t="n">
        <v>0</v>
      </c>
      <c r="FA232" s="14" t="n">
        <v>0</v>
      </c>
      <c r="FB232" s="14" t="n">
        <v>0</v>
      </c>
      <c r="FC232" s="14" t="n">
        <v>0</v>
      </c>
      <c r="FD232" s="14" t="n">
        <v>0</v>
      </c>
      <c r="FE232" s="14" t="n">
        <v>0</v>
      </c>
      <c r="FF232" s="14" t="n">
        <v>0</v>
      </c>
      <c r="FG232" s="15">
        <f>SUM(DW232,DX232,DY232,DZ232,EA232,EB232,EC232,ED232,EE232,EF232,EG232,EH232,EI232,EJ232,EK232,EL232,EM232,EN232,EO232,EP232,EQ232,ER232,ES232,ET232,EU232,EV232,EW232,EX232,EY232,EZ232,FA232,FB232,FC232,FD232,FE232,FF232)</f>
        <v/>
      </c>
      <c r="FH232" s="14" t="n">
        <v>0</v>
      </c>
      <c r="FI232" s="14" t="n">
        <v>0</v>
      </c>
      <c r="FJ232" s="14" t="n">
        <v>0</v>
      </c>
      <c r="FK232" s="14" t="n">
        <v>0</v>
      </c>
      <c r="FL232" s="14" t="n">
        <v>0</v>
      </c>
      <c r="FM232" s="14" t="n">
        <v>0</v>
      </c>
      <c r="FN232" s="14" t="n">
        <v>0</v>
      </c>
      <c r="FO232" s="14" t="n">
        <v>0</v>
      </c>
      <c r="FP232" s="14" t="n">
        <v>0</v>
      </c>
      <c r="FQ232" s="15">
        <f>FL232+FM232+FN232+FO232+FP232</f>
        <v/>
      </c>
      <c r="FR232" s="14" t="n">
        <v>45000</v>
      </c>
      <c r="FS232" s="14" t="n">
        <v>0</v>
      </c>
      <c r="FT232" s="14" t="n">
        <v>0</v>
      </c>
      <c r="FU232" s="14" t="n">
        <v>0</v>
      </c>
      <c r="FV232" s="15">
        <f>FR232+FS232+FT232+FU232</f>
        <v/>
      </c>
      <c r="FW232" s="14" t="n">
        <v>2277712</v>
      </c>
      <c r="FX232" s="14" t="n">
        <v>42319</v>
      </c>
      <c r="FY232" s="14" t="n">
        <v>120750</v>
      </c>
      <c r="FZ232" s="14" t="n">
        <v>9650</v>
      </c>
      <c r="GA232" s="15">
        <f>FW232+FX232+FY232+FZ232</f>
        <v/>
      </c>
      <c r="GB232" s="15">
        <f>FV232+GA232</f>
        <v/>
      </c>
      <c r="GC232" s="14" t="n">
        <v>633039.64</v>
      </c>
      <c r="GD232" s="14" t="n">
        <v>20084.4</v>
      </c>
      <c r="GE232" s="14" t="n">
        <v>8410.99</v>
      </c>
      <c r="GF232" s="14" t="n">
        <v>0</v>
      </c>
      <c r="GG232" s="15">
        <f>GC232+GD232+GE232+GF232</f>
        <v/>
      </c>
      <c r="GH232" s="14" t="n">
        <v>2271712.18</v>
      </c>
      <c r="GI232" s="14" t="n">
        <v>42318.66</v>
      </c>
      <c r="GJ232" s="14" t="n">
        <v>9650</v>
      </c>
      <c r="GK232" s="14" t="n">
        <v>120750</v>
      </c>
      <c r="GL232" s="15">
        <f>GH232+GI232+GJ232+GK232</f>
        <v/>
      </c>
      <c r="GM232" s="15">
        <f>GG232+GL232</f>
        <v/>
      </c>
      <c r="GN232" s="14" t="n">
        <v>53948.07</v>
      </c>
      <c r="GO232" s="14" t="n">
        <v>956.4</v>
      </c>
      <c r="GP232" s="14" t="n">
        <v>3393.64</v>
      </c>
      <c r="GQ232" s="14" t="n">
        <v>0</v>
      </c>
      <c r="GR232" s="15">
        <f>GN232+GO232+GP232+GQ232</f>
        <v/>
      </c>
      <c r="GS232" s="14" t="n">
        <v>88407</v>
      </c>
      <c r="GT232" s="14" t="n">
        <v>4465</v>
      </c>
      <c r="GU232" s="14" t="n">
        <v>893</v>
      </c>
      <c r="GV232" s="14" t="n">
        <v>0</v>
      </c>
      <c r="GW232" s="15">
        <f>GS232+GT232+GU232+GV232</f>
        <v/>
      </c>
      <c r="GX232" s="15">
        <f>GM232+GR232+GW232</f>
        <v/>
      </c>
      <c r="GY232" s="14" t="n">
        <v>5025296.72</v>
      </c>
      <c r="GZ232" s="14" t="n">
        <v>0</v>
      </c>
      <c r="HA232" s="15">
        <f>GY232+GZ232</f>
        <v/>
      </c>
      <c r="HB232" s="15">
        <f>IF(GX232=0,"",AU232/GX232)</f>
        <v/>
      </c>
      <c r="HC232" s="16">
        <f>IF((GX232+GY232)=0,"",GB232/(GX232+GY232))</f>
        <v/>
      </c>
      <c r="HD232" s="15">
        <f>IF(GX232=0,"",GB232/GX232)</f>
        <v/>
      </c>
      <c r="HE232" s="14" t="n">
        <v>15</v>
      </c>
      <c r="HF232" s="14" t="n">
        <v>10</v>
      </c>
      <c r="HG232" s="14" t="n">
        <v>247</v>
      </c>
      <c r="HH232" s="14" t="n">
        <v>15</v>
      </c>
      <c r="HI232" s="14" t="n">
        <v>10</v>
      </c>
      <c r="HJ232" s="15">
        <f>HF232+HI232</f>
        <v/>
      </c>
      <c r="HK232" s="16">
        <f>IF(HE232=0,"",HH232/HE232)</f>
        <v/>
      </c>
      <c r="HL232" s="14" t="n">
        <v>6</v>
      </c>
      <c r="HM232" s="14" t="n">
        <v>3</v>
      </c>
      <c r="HN232" s="17">
        <f>IF(HL232=0,"",HM232/HL232)</f>
        <v/>
      </c>
    </row>
    <row r="233">
      <c r="A233" s="6" t="inlineStr">
        <is>
          <t>Ngabu</t>
        </is>
      </c>
      <c r="B233" s="6" t="inlineStr">
        <is>
          <t>Miseu Folo</t>
        </is>
      </c>
      <c r="C233" s="7" t="inlineStr">
        <is>
          <t>FY2025/26</t>
        </is>
      </c>
      <c r="D233" s="7" t="n">
        <v>2025</v>
      </c>
      <c r="E233" s="7" t="n">
        <v>6</v>
      </c>
      <c r="F233" s="7" t="inlineStr">
        <is>
          <t>June</t>
        </is>
      </c>
      <c r="G233" s="7" t="inlineStr">
        <is>
          <t>Q1</t>
        </is>
      </c>
      <c r="H233" s="8" t="n">
        <v>3852</v>
      </c>
      <c r="I233" s="8" t="n">
        <v>632</v>
      </c>
      <c r="J233" s="8" t="n">
        <v>140</v>
      </c>
      <c r="K233" s="8" t="n">
        <v>0</v>
      </c>
      <c r="L233" s="8" t="n">
        <v>10</v>
      </c>
      <c r="M233" s="9">
        <f>SUM(I233,J233,K233,L233)</f>
        <v/>
      </c>
      <c r="N233" s="8" t="n">
        <v>1835</v>
      </c>
      <c r="O233" s="8" t="n">
        <v>146</v>
      </c>
      <c r="P233" s="8" t="n">
        <v>1</v>
      </c>
      <c r="Q233" s="8" t="n">
        <v>20</v>
      </c>
      <c r="R233" s="9">
        <f>SUM(N233,O233,P233,Q233)</f>
        <v/>
      </c>
      <c r="S233" s="9">
        <f>M233+R233</f>
        <v/>
      </c>
      <c r="T233" s="8" t="n">
        <v>1068</v>
      </c>
      <c r="U233" s="10">
        <f>IF(H233=0,"",T233/H233)</f>
        <v/>
      </c>
      <c r="V233" s="8" t="n">
        <v>7</v>
      </c>
      <c r="W233" s="11">
        <f>IF(H233=0,"",V233/H233)</f>
        <v/>
      </c>
      <c r="X233" s="8" t="n">
        <v>0</v>
      </c>
      <c r="Y233" s="11">
        <f>IF(H233=0,"",X233/H233)</f>
        <v/>
      </c>
      <c r="Z233" s="8" t="n">
        <v>0</v>
      </c>
      <c r="AA233" s="11">
        <f>IF(H233=0,"",Z233/H233)</f>
        <v/>
      </c>
      <c r="AB233" s="8" t="n">
        <v>0</v>
      </c>
      <c r="AC233" s="11">
        <f>IF(H233=0,"",AB233/H233)</f>
        <v/>
      </c>
      <c r="AD233" s="8" t="n">
        <v>0</v>
      </c>
      <c r="AE233" s="11">
        <f>IF(H233=0,"",AD233/H233)</f>
        <v/>
      </c>
      <c r="AF233" s="8" t="n">
        <v>0</v>
      </c>
      <c r="AG233" s="11">
        <f>IF(H233=0,"",AF233/H233)</f>
        <v/>
      </c>
      <c r="AH233" s="8" t="n">
        <v>24677.03</v>
      </c>
      <c r="AI233" s="9">
        <f>IF(H233=0,"",AH233/H233)</f>
        <v/>
      </c>
      <c r="AJ233" s="8" t="n">
        <v>1125</v>
      </c>
      <c r="AK233" s="11">
        <f>IF(H233=0,"",AJ233/H233)</f>
        <v/>
      </c>
      <c r="AL233" s="8" t="n">
        <v>172521.9375</v>
      </c>
      <c r="AM233" s="9">
        <f>IF(H233=0,"",AL233/H233)</f>
        <v/>
      </c>
      <c r="AN233" s="8" t="n">
        <v>0</v>
      </c>
      <c r="AO233" s="8" t="n">
        <v>0</v>
      </c>
      <c r="AP233" s="8" t="n">
        <v>0</v>
      </c>
      <c r="AQ233" s="8" t="n">
        <v>0</v>
      </c>
      <c r="AR233" s="8" t="n">
        <v>0</v>
      </c>
      <c r="AS233" s="8" t="n">
        <v>0</v>
      </c>
      <c r="AT233" s="8" t="n">
        <v>0</v>
      </c>
      <c r="AU233" s="9">
        <f>AH233+AL233+AP233+AQ233+AR233+AS233+AT233</f>
        <v/>
      </c>
      <c r="AV233" s="9">
        <f>IF(H233=0,"",AU233/H233)</f>
        <v/>
      </c>
      <c r="AW233" s="9">
        <f>IF(S233=0,"",AU233/S233)</f>
        <v/>
      </c>
      <c r="AX233" s="8" t="n">
        <v>7</v>
      </c>
      <c r="AY233" s="9">
        <f>IF(H233=0,"",AX233/(H233/1000/12))</f>
        <v/>
      </c>
      <c r="AZ233" s="8" t="n">
        <v>3</v>
      </c>
      <c r="BA233" s="8" t="n">
        <v>247</v>
      </c>
      <c r="BB233" s="8" t="n">
        <v>12</v>
      </c>
      <c r="BC233" s="8" t="n">
        <v>6</v>
      </c>
      <c r="BD233" s="8" t="n">
        <v>0</v>
      </c>
      <c r="BE233" s="9">
        <f>BC233+BD233</f>
        <v/>
      </c>
      <c r="BF233" s="9">
        <f>BA233+BB233-BE233</f>
        <v/>
      </c>
      <c r="BG233" s="8" t="n">
        <v>0</v>
      </c>
      <c r="BH233" s="8" t="n">
        <v>0</v>
      </c>
      <c r="BI233" s="8" t="n">
        <v>0</v>
      </c>
      <c r="BJ233" s="8" t="n">
        <v>0</v>
      </c>
      <c r="BK233" s="9">
        <f>BI233+BJ233</f>
        <v/>
      </c>
      <c r="BL233" s="9">
        <f>BG233+BH233-BK233</f>
        <v/>
      </c>
      <c r="BM233" s="8" t="n">
        <v>0</v>
      </c>
      <c r="BN233" s="8" t="n">
        <v>0</v>
      </c>
      <c r="BO233" s="8" t="n">
        <v>0</v>
      </c>
      <c r="BP233" s="8" t="n">
        <v>0</v>
      </c>
      <c r="BQ233" s="9">
        <f>BO233+BP233</f>
        <v/>
      </c>
      <c r="BR233" s="9">
        <f>BM233+BN233-BQ233</f>
        <v/>
      </c>
      <c r="BS233" s="8" t="n">
        <v>0</v>
      </c>
      <c r="BT233" s="8" t="n">
        <v>0</v>
      </c>
      <c r="BU233" s="8" t="n">
        <v>0</v>
      </c>
      <c r="BV233" s="8" t="n">
        <v>0</v>
      </c>
      <c r="BW233" s="9">
        <f>BU233+BV233</f>
        <v/>
      </c>
      <c r="BX233" s="9">
        <f>BS233+BT233-BW233</f>
        <v/>
      </c>
      <c r="BY233" s="9">
        <f>BA233+BG233+BM233+BS233</f>
        <v/>
      </c>
      <c r="BZ233" s="9">
        <f>BB233+BH233+BN233+BT233</f>
        <v/>
      </c>
      <c r="CA233" s="9">
        <f>BE233+BK233+BQ233+BW233</f>
        <v/>
      </c>
      <c r="CB233" s="9">
        <f>BF233+BL233+BR233+BX233</f>
        <v/>
      </c>
      <c r="CC233" s="8" t="n">
        <v>0</v>
      </c>
      <c r="CD233" s="8" t="n">
        <v>0</v>
      </c>
      <c r="CE233" s="8" t="n">
        <v>0</v>
      </c>
      <c r="CF233" s="8" t="n">
        <v>0</v>
      </c>
      <c r="CG233" s="8" t="n">
        <v>0</v>
      </c>
      <c r="CH233" s="9">
        <f>CD233+CE233+CF233+CG233</f>
        <v/>
      </c>
      <c r="CI233" s="8" t="n">
        <v>33</v>
      </c>
      <c r="CJ233" s="8" t="n">
        <v>0</v>
      </c>
      <c r="CK233" s="8" t="n">
        <v>0</v>
      </c>
      <c r="CL233" s="8" t="n">
        <v>0</v>
      </c>
      <c r="CM233" s="9">
        <f>CI233+CJ233+CK233+CL233</f>
        <v/>
      </c>
      <c r="CN233" s="8" t="n">
        <v>680</v>
      </c>
      <c r="CO233" s="8" t="n">
        <v>10</v>
      </c>
      <c r="CP233" s="8" t="n">
        <v>6</v>
      </c>
      <c r="CQ233" s="8" t="n">
        <v>14</v>
      </c>
      <c r="CR233" s="9">
        <f>CN233+CO233+CP233+CQ233</f>
        <v/>
      </c>
      <c r="CS233" s="9">
        <f>CM233+CR233</f>
        <v/>
      </c>
      <c r="CT233" s="8" t="n">
        <v>743</v>
      </c>
      <c r="CU233" s="8" t="n">
        <v>7220.796768</v>
      </c>
      <c r="CV233" s="8" t="n">
        <v>5303</v>
      </c>
      <c r="CW233" s="10">
        <f>IF(CU233=0,"",CV233/CU233)</f>
        <v/>
      </c>
      <c r="CX233" s="8" t="n">
        <v>0</v>
      </c>
      <c r="CY233" s="8" t="n"/>
      <c r="CZ233" s="8" t="n"/>
      <c r="DA233" s="8" t="n"/>
      <c r="DB233" s="9">
        <f>CX233+CY233-CZ233-DA233</f>
        <v/>
      </c>
      <c r="DC233" s="8" t="n">
        <v>0</v>
      </c>
      <c r="DD233" s="8" t="n">
        <v>0</v>
      </c>
      <c r="DE233" s="8" t="n">
        <v>0</v>
      </c>
      <c r="DF233" s="8" t="n">
        <v>0</v>
      </c>
      <c r="DG233" s="9">
        <f>DC233+DD233-DE233-DF233</f>
        <v/>
      </c>
      <c r="DH233" s="8" t="n">
        <v>0</v>
      </c>
      <c r="DI233" s="8" t="n">
        <v>0</v>
      </c>
      <c r="DJ233" s="8" t="n">
        <v>0</v>
      </c>
      <c r="DK233" s="8" t="n">
        <v>0</v>
      </c>
      <c r="DL233" s="9">
        <f>DH233+DI233-DJ233-DK233</f>
        <v/>
      </c>
      <c r="DM233" s="8" t="n">
        <v>0</v>
      </c>
      <c r="DN233" s="8" t="n">
        <v>0</v>
      </c>
      <c r="DO233" s="8" t="n">
        <v>0</v>
      </c>
      <c r="DP233" s="8" t="n">
        <v>0</v>
      </c>
      <c r="DQ233" s="9">
        <f>DM233+DN233-DO233-DP233</f>
        <v/>
      </c>
      <c r="DR233" s="9">
        <f>CX233+DC233+DH233+DM233</f>
        <v/>
      </c>
      <c r="DS233" s="9">
        <f>CY233+DD233+DI233+DN233</f>
        <v/>
      </c>
      <c r="DT233" s="9">
        <f>CZ233+DE233+DJ233+DO233</f>
        <v/>
      </c>
      <c r="DU233" s="9">
        <f>DA233+DF233+DK233+DP233</f>
        <v/>
      </c>
      <c r="DV233" s="9">
        <f>DB233+DG233+DL233+DQ233</f>
        <v/>
      </c>
      <c r="DW233" s="8" t="n">
        <v>11</v>
      </c>
      <c r="DX233" s="8" t="n">
        <v>6</v>
      </c>
      <c r="DY233" s="8" t="n">
        <v>0</v>
      </c>
      <c r="DZ233" s="8" t="n">
        <v>0</v>
      </c>
      <c r="EA233" s="8" t="n">
        <v>4</v>
      </c>
      <c r="EB233" s="8" t="n">
        <v>1</v>
      </c>
      <c r="EC233" s="8" t="n">
        <v>0</v>
      </c>
      <c r="ED233" s="8" t="n">
        <v>4</v>
      </c>
      <c r="EE233" s="8" t="n">
        <v>1</v>
      </c>
      <c r="EF233" s="8" t="n">
        <v>0</v>
      </c>
      <c r="EG233" s="8" t="n">
        <v>0</v>
      </c>
      <c r="EH233" s="8" t="n">
        <v>0</v>
      </c>
      <c r="EI233" s="8" t="n">
        <v>0</v>
      </c>
      <c r="EJ233" s="8" t="n">
        <v>0</v>
      </c>
      <c r="EK233" s="8" t="n">
        <v>0</v>
      </c>
      <c r="EL233" s="8" t="n">
        <v>0</v>
      </c>
      <c r="EM233" s="8" t="n">
        <v>0</v>
      </c>
      <c r="EN233" s="8" t="n">
        <v>0</v>
      </c>
      <c r="EO233" s="8" t="n">
        <v>0</v>
      </c>
      <c r="EP233" s="8" t="n">
        <v>0</v>
      </c>
      <c r="EQ233" s="8" t="n">
        <v>0</v>
      </c>
      <c r="ER233" s="8" t="n">
        <v>0</v>
      </c>
      <c r="ES233" s="8" t="n">
        <v>0</v>
      </c>
      <c r="ET233" s="8" t="n">
        <v>0</v>
      </c>
      <c r="EU233" s="8" t="n">
        <v>0</v>
      </c>
      <c r="EV233" s="8" t="n">
        <v>0</v>
      </c>
      <c r="EW233" s="8" t="n">
        <v>0</v>
      </c>
      <c r="EX233" s="8" t="n">
        <v>0</v>
      </c>
      <c r="EY233" s="8" t="n">
        <v>0</v>
      </c>
      <c r="EZ233" s="8" t="n">
        <v>0</v>
      </c>
      <c r="FA233" s="8" t="n">
        <v>0</v>
      </c>
      <c r="FB233" s="8" t="n">
        <v>0</v>
      </c>
      <c r="FC233" s="8" t="n">
        <v>0</v>
      </c>
      <c r="FD233" s="8" t="n">
        <v>0</v>
      </c>
      <c r="FE233" s="8" t="n">
        <v>0</v>
      </c>
      <c r="FF233" s="8" t="n">
        <v>0</v>
      </c>
      <c r="FG233" s="9">
        <f>SUM(DW233,DX233,DY233,DZ233,EA233,EB233,EC233,ED233,EE233,EF233,EG233,EH233,EI233,EJ233,EK233,EL233,EM233,EN233,EO233,EP233,EQ233,ER233,ES233,ET233,EU233,EV233,EW233,EX233,EY233,EZ233,FA233,FB233,FC233,FD233,FE233,FF233)</f>
        <v/>
      </c>
      <c r="FH233" s="8" t="n">
        <v>0</v>
      </c>
      <c r="FI233" s="8" t="n">
        <v>0</v>
      </c>
      <c r="FJ233" s="8" t="n">
        <v>0</v>
      </c>
      <c r="FK233" s="8" t="n">
        <v>0</v>
      </c>
      <c r="FL233" s="8" t="n">
        <v>0</v>
      </c>
      <c r="FM233" s="8" t="n">
        <v>0</v>
      </c>
      <c r="FN233" s="8" t="n">
        <v>0</v>
      </c>
      <c r="FO233" s="8" t="n">
        <v>0</v>
      </c>
      <c r="FP233" s="8" t="n">
        <v>0</v>
      </c>
      <c r="FQ233" s="9">
        <f>FL233+FM233+FN233+FO233+FP233</f>
        <v/>
      </c>
      <c r="FR233" s="8" t="n">
        <v>1093450</v>
      </c>
      <c r="FS233" s="8" t="n">
        <v>0</v>
      </c>
      <c r="FT233" s="8" t="n">
        <v>0</v>
      </c>
      <c r="FU233" s="8" t="n">
        <v>0</v>
      </c>
      <c r="FV233" s="9">
        <f>FR233+FS233+FT233+FU233</f>
        <v/>
      </c>
      <c r="FW233" s="8" t="n">
        <v>2281312</v>
      </c>
      <c r="FX233" s="8" t="n">
        <v>31000</v>
      </c>
      <c r="FY233" s="8" t="n">
        <v>93800</v>
      </c>
      <c r="FZ233" s="8" t="n">
        <v>3500</v>
      </c>
      <c r="GA233" s="9">
        <f>FW233+FX233+FY233+FZ233</f>
        <v/>
      </c>
      <c r="GB233" s="9">
        <f>FV233+GA233</f>
        <v/>
      </c>
      <c r="GC233" s="8" t="n">
        <v>627575.61</v>
      </c>
      <c r="GD233" s="8" t="n">
        <v>26779.2</v>
      </c>
      <c r="GE233" s="8" t="n">
        <v>8410.99</v>
      </c>
      <c r="GF233" s="8" t="n">
        <v>28724.83</v>
      </c>
      <c r="GG233" s="9">
        <f>GC233+GD233+GE233+GF233</f>
        <v/>
      </c>
      <c r="GH233" s="8" t="n">
        <v>2281312</v>
      </c>
      <c r="GI233" s="8" t="n">
        <v>31000</v>
      </c>
      <c r="GJ233" s="8" t="n">
        <v>3500</v>
      </c>
      <c r="GK233" s="8" t="n">
        <v>93800</v>
      </c>
      <c r="GL233" s="9">
        <f>GH233+GI233+GJ233+GK233</f>
        <v/>
      </c>
      <c r="GM233" s="9">
        <f>GG233+GL233</f>
        <v/>
      </c>
      <c r="GN233" s="8" t="n">
        <v>58307.51</v>
      </c>
      <c r="GO233" s="8" t="n">
        <v>1147.68</v>
      </c>
      <c r="GP233" s="8" t="n">
        <v>3393.64</v>
      </c>
      <c r="GQ233" s="8" t="n">
        <v>4637.34</v>
      </c>
      <c r="GR233" s="9">
        <f>GN233+GO233+GP233+GQ233</f>
        <v/>
      </c>
      <c r="GS233" s="8" t="n">
        <v>95551</v>
      </c>
      <c r="GT233" s="8" t="n">
        <v>5358</v>
      </c>
      <c r="GU233" s="8" t="n">
        <v>893</v>
      </c>
      <c r="GV233" s="8" t="n">
        <v>893</v>
      </c>
      <c r="GW233" s="9">
        <f>GS233+GT233+GU233+GV233</f>
        <v/>
      </c>
      <c r="GX233" s="9">
        <f>GM233+GR233+GW233</f>
        <v/>
      </c>
      <c r="GY233" s="8" t="n">
        <v>5143435.56</v>
      </c>
      <c r="GZ233" s="8" t="n">
        <v>56735.79</v>
      </c>
      <c r="HA233" s="9">
        <f>GY233+GZ233</f>
        <v/>
      </c>
      <c r="HB233" s="9">
        <f>IF(GX233=0,"",AU233/GX233)</f>
        <v/>
      </c>
      <c r="HC233" s="10">
        <f>IF((GX233+GY233)=0,"",GB233/(GX233+GY233))</f>
        <v/>
      </c>
      <c r="HD233" s="9">
        <f>IF(GX233=0,"",GB233/GX233)</f>
        <v/>
      </c>
      <c r="HE233" s="8" t="n">
        <v>12</v>
      </c>
      <c r="HF233" s="8" t="n">
        <v>5</v>
      </c>
      <c r="HG233" s="8" t="n">
        <v>253</v>
      </c>
      <c r="HH233" s="8" t="n">
        <v>12</v>
      </c>
      <c r="HI233" s="8" t="n">
        <v>6</v>
      </c>
      <c r="HJ233" s="9">
        <f>HF233+HI233</f>
        <v/>
      </c>
      <c r="HK233" s="10">
        <f>IF(HE233=0,"",HH233/HE233)</f>
        <v/>
      </c>
      <c r="HL233" s="8" t="n">
        <v>5</v>
      </c>
      <c r="HM233" s="8" t="n">
        <v>3</v>
      </c>
      <c r="HN233" s="11">
        <f>IF(HL233=0,"",HM233/HL233)</f>
        <v/>
      </c>
    </row>
    <row r="234">
      <c r="A234" s="12" t="inlineStr">
        <is>
          <t>Ngabu</t>
        </is>
      </c>
      <c r="B234" s="12" t="inlineStr">
        <is>
          <t>Miseu Folo</t>
        </is>
      </c>
      <c r="C234" s="13" t="inlineStr">
        <is>
          <t>FY2025/26</t>
        </is>
      </c>
      <c r="D234" s="13" t="n">
        <v>2025</v>
      </c>
      <c r="E234" s="13" t="n">
        <v>7</v>
      </c>
      <c r="F234" s="13" t="inlineStr">
        <is>
          <t>July</t>
        </is>
      </c>
      <c r="G234" s="13" t="inlineStr">
        <is>
          <t>Q2</t>
        </is>
      </c>
      <c r="H234" s="14" t="n">
        <v>3725</v>
      </c>
      <c r="I234" s="14" t="n">
        <v>776</v>
      </c>
      <c r="J234" s="14" t="n">
        <v>208</v>
      </c>
      <c r="K234" s="14" t="n">
        <v>1</v>
      </c>
      <c r="L234" s="14" t="n">
        <v>13</v>
      </c>
      <c r="M234" s="15">
        <f>SUM(I234,J234,K234,L234)</f>
        <v/>
      </c>
      <c r="N234" s="14" t="n">
        <v>2303</v>
      </c>
      <c r="O234" s="14" t="n">
        <v>191</v>
      </c>
      <c r="P234" s="14" t="n">
        <v>2</v>
      </c>
      <c r="Q234" s="14" t="n">
        <v>20</v>
      </c>
      <c r="R234" s="15">
        <f>SUM(N234,O234,P234,Q234)</f>
        <v/>
      </c>
      <c r="S234" s="15">
        <f>M234+R234</f>
        <v/>
      </c>
      <c r="T234" s="14" t="n">
        <v>211</v>
      </c>
      <c r="U234" s="16">
        <f>IF(H234=0,"",T234/H234)</f>
        <v/>
      </c>
      <c r="V234" s="14" t="n">
        <v>7</v>
      </c>
      <c r="W234" s="17">
        <f>IF(H234=0,"",V234/H234)</f>
        <v/>
      </c>
      <c r="X234" s="14" t="n">
        <v>0</v>
      </c>
      <c r="Y234" s="17">
        <f>IF(H234=0,"",X234/H234)</f>
        <v/>
      </c>
      <c r="Z234" s="14" t="n">
        <v>0</v>
      </c>
      <c r="AA234" s="17">
        <f>IF(H234=0,"",Z234/H234)</f>
        <v/>
      </c>
      <c r="AB234" s="14" t="n">
        <v>0</v>
      </c>
      <c r="AC234" s="17">
        <f>IF(H234=0,"",AB234/H234)</f>
        <v/>
      </c>
      <c r="AD234" s="14" t="n">
        <v>0</v>
      </c>
      <c r="AE234" s="17">
        <f>IF(H234=0,"",AD234/H234)</f>
        <v/>
      </c>
      <c r="AF234" s="14" t="n">
        <v>0</v>
      </c>
      <c r="AG234" s="17">
        <f>IF(H234=0,"",AF234/H234)</f>
        <v/>
      </c>
      <c r="AH234" s="14" t="n">
        <v>24677.03</v>
      </c>
      <c r="AI234" s="15">
        <f>IF(H234=0,"",AH234/H234)</f>
        <v/>
      </c>
      <c r="AJ234" s="14" t="n">
        <v>1130</v>
      </c>
      <c r="AK234" s="17">
        <f>IF(H234=0,"",AJ234/H234)</f>
        <v/>
      </c>
      <c r="AL234" s="14" t="n">
        <v>173215.695</v>
      </c>
      <c r="AM234" s="15">
        <f>IF(H234=0,"",AL234/H234)</f>
        <v/>
      </c>
      <c r="AN234" s="14" t="n">
        <v>0</v>
      </c>
      <c r="AO234" s="14" t="n">
        <v>0</v>
      </c>
      <c r="AP234" s="14" t="n">
        <v>0</v>
      </c>
      <c r="AQ234" s="14" t="n">
        <v>0</v>
      </c>
      <c r="AR234" s="14" t="n">
        <v>0</v>
      </c>
      <c r="AS234" s="14" t="n">
        <v>0</v>
      </c>
      <c r="AT234" s="14" t="n">
        <v>0</v>
      </c>
      <c r="AU234" s="15">
        <f>AH234+AL234+AP234+AQ234+AR234+AS234+AT234</f>
        <v/>
      </c>
      <c r="AV234" s="15">
        <f>IF(H234=0,"",AU234/H234)</f>
        <v/>
      </c>
      <c r="AW234" s="15">
        <f>IF(S234=0,"",AU234/S234)</f>
        <v/>
      </c>
      <c r="AX234" s="14" t="n">
        <v>7</v>
      </c>
      <c r="AY234" s="15">
        <f>IF(H234=0,"",AX234/(H234/1000/12))</f>
        <v/>
      </c>
      <c r="AZ234" s="14" t="n">
        <v>3</v>
      </c>
      <c r="BA234" s="14" t="n">
        <v>253</v>
      </c>
      <c r="BB234" s="14" t="n">
        <v>10</v>
      </c>
      <c r="BC234" s="14" t="n">
        <v>11</v>
      </c>
      <c r="BD234" s="14" t="n">
        <v>0</v>
      </c>
      <c r="BE234" s="15">
        <f>BC234+BD234</f>
        <v/>
      </c>
      <c r="BF234" s="15">
        <f>BA234+BB234-BE234</f>
        <v/>
      </c>
      <c r="BG234" s="14" t="n">
        <v>0</v>
      </c>
      <c r="BH234" s="14" t="n">
        <v>0</v>
      </c>
      <c r="BI234" s="14" t="n">
        <v>0</v>
      </c>
      <c r="BJ234" s="14" t="n">
        <v>0</v>
      </c>
      <c r="BK234" s="15">
        <f>BI234+BJ234</f>
        <v/>
      </c>
      <c r="BL234" s="15">
        <f>BG234+BH234-BK234</f>
        <v/>
      </c>
      <c r="BM234" s="14" t="n">
        <v>0</v>
      </c>
      <c r="BN234" s="14" t="n">
        <v>0</v>
      </c>
      <c r="BO234" s="14" t="n">
        <v>0</v>
      </c>
      <c r="BP234" s="14" t="n">
        <v>0</v>
      </c>
      <c r="BQ234" s="15">
        <f>BO234+BP234</f>
        <v/>
      </c>
      <c r="BR234" s="15">
        <f>BM234+BN234-BQ234</f>
        <v/>
      </c>
      <c r="BS234" s="14" t="n">
        <v>0</v>
      </c>
      <c r="BT234" s="14" t="n">
        <v>0</v>
      </c>
      <c r="BU234" s="14" t="n">
        <v>0</v>
      </c>
      <c r="BV234" s="14" t="n">
        <v>0</v>
      </c>
      <c r="BW234" s="15">
        <f>BU234+BV234</f>
        <v/>
      </c>
      <c r="BX234" s="15">
        <f>BS234+BT234-BW234</f>
        <v/>
      </c>
      <c r="BY234" s="15">
        <f>BA234+BG234+BM234+BS234</f>
        <v/>
      </c>
      <c r="BZ234" s="15">
        <f>BB234+BH234+BN234+BT234</f>
        <v/>
      </c>
      <c r="CA234" s="15">
        <f>BE234+BK234+BQ234+BW234</f>
        <v/>
      </c>
      <c r="CB234" s="15">
        <f>BF234+BL234+BR234+BX234</f>
        <v/>
      </c>
      <c r="CC234" s="14" t="n">
        <v>0</v>
      </c>
      <c r="CD234" s="14" t="n">
        <v>0</v>
      </c>
      <c r="CE234" s="14" t="n">
        <v>0</v>
      </c>
      <c r="CF234" s="14" t="n">
        <v>0</v>
      </c>
      <c r="CG234" s="14" t="n">
        <v>0</v>
      </c>
      <c r="CH234" s="15">
        <f>CD234+CE234+CF234+CG234</f>
        <v/>
      </c>
      <c r="CI234" s="14" t="n">
        <v>44</v>
      </c>
      <c r="CJ234" s="14" t="n">
        <v>0</v>
      </c>
      <c r="CK234" s="14" t="n">
        <v>0</v>
      </c>
      <c r="CL234" s="14" t="n">
        <v>0</v>
      </c>
      <c r="CM234" s="15">
        <f>CI234+CJ234+CK234+CL234</f>
        <v/>
      </c>
      <c r="CN234" s="14" t="n">
        <v>680</v>
      </c>
      <c r="CO234" s="14" t="n">
        <v>10</v>
      </c>
      <c r="CP234" s="14" t="n">
        <v>6</v>
      </c>
      <c r="CQ234" s="14" t="n">
        <v>14</v>
      </c>
      <c r="CR234" s="15">
        <f>CN234+CO234+CP234+CQ234</f>
        <v/>
      </c>
      <c r="CS234" s="15">
        <f>CM234+CR234</f>
        <v/>
      </c>
      <c r="CT234" s="14" t="n">
        <v>754</v>
      </c>
      <c r="CU234" s="14" t="n">
        <v>7235.238361536</v>
      </c>
      <c r="CV234" s="14" t="n">
        <v>5303</v>
      </c>
      <c r="CW234" s="16">
        <f>IF(CU234=0,"",CV234/CU234)</f>
        <v/>
      </c>
      <c r="CX234" s="14" t="n">
        <v>0</v>
      </c>
      <c r="CY234" s="14" t="n"/>
      <c r="CZ234" s="14" t="n"/>
      <c r="DA234" s="14" t="n"/>
      <c r="DB234" s="15">
        <f>CX234+CY234-CZ234-DA234</f>
        <v/>
      </c>
      <c r="DC234" s="14" t="n">
        <v>0</v>
      </c>
      <c r="DD234" s="14" t="n">
        <v>0</v>
      </c>
      <c r="DE234" s="14" t="n">
        <v>0</v>
      </c>
      <c r="DF234" s="14" t="n">
        <v>0</v>
      </c>
      <c r="DG234" s="15">
        <f>DC234+DD234-DE234-DF234</f>
        <v/>
      </c>
      <c r="DH234" s="14" t="n">
        <v>0</v>
      </c>
      <c r="DI234" s="14" t="n">
        <v>0</v>
      </c>
      <c r="DJ234" s="14" t="n">
        <v>0</v>
      </c>
      <c r="DK234" s="14" t="n">
        <v>0</v>
      </c>
      <c r="DL234" s="15">
        <f>DH234+DI234-DJ234-DK234</f>
        <v/>
      </c>
      <c r="DM234" s="14" t="n">
        <v>0</v>
      </c>
      <c r="DN234" s="14" t="n">
        <v>0</v>
      </c>
      <c r="DO234" s="14" t="n">
        <v>0</v>
      </c>
      <c r="DP234" s="14" t="n">
        <v>0</v>
      </c>
      <c r="DQ234" s="15">
        <f>DM234+DN234-DO234-DP234</f>
        <v/>
      </c>
      <c r="DR234" s="15">
        <f>CX234+DC234+DH234+DM234</f>
        <v/>
      </c>
      <c r="DS234" s="15">
        <f>CY234+DD234+DI234+DN234</f>
        <v/>
      </c>
      <c r="DT234" s="15">
        <f>CZ234+DE234+DJ234+DO234</f>
        <v/>
      </c>
      <c r="DU234" s="15">
        <f>DA234+DF234+DK234+DP234</f>
        <v/>
      </c>
      <c r="DV234" s="15">
        <f>DB234+DG234+DL234+DQ234</f>
        <v/>
      </c>
      <c r="DW234" s="14" t="n">
        <v>9</v>
      </c>
      <c r="DX234" s="14" t="n">
        <v>3</v>
      </c>
      <c r="DY234" s="14" t="n">
        <v>1</v>
      </c>
      <c r="DZ234" s="14" t="n">
        <v>0</v>
      </c>
      <c r="EA234" s="14" t="n">
        <v>3</v>
      </c>
      <c r="EB234" s="14" t="n">
        <v>1</v>
      </c>
      <c r="EC234" s="14" t="n">
        <v>0</v>
      </c>
      <c r="ED234" s="14" t="n">
        <v>5</v>
      </c>
      <c r="EE234" s="14" t="n">
        <v>1</v>
      </c>
      <c r="EF234" s="14" t="n">
        <v>0</v>
      </c>
      <c r="EG234" s="14" t="n">
        <v>0</v>
      </c>
      <c r="EH234" s="14" t="n">
        <v>0</v>
      </c>
      <c r="EI234" s="14" t="n">
        <v>0</v>
      </c>
      <c r="EJ234" s="14" t="n">
        <v>5</v>
      </c>
      <c r="EK234" s="14" t="n">
        <v>1</v>
      </c>
      <c r="EL234" s="14" t="n">
        <v>0</v>
      </c>
      <c r="EM234" s="14" t="n">
        <v>0</v>
      </c>
      <c r="EN234" s="14" t="n">
        <v>0</v>
      </c>
      <c r="EO234" s="14" t="n">
        <v>0</v>
      </c>
      <c r="EP234" s="14" t="n">
        <v>0</v>
      </c>
      <c r="EQ234" s="14" t="n">
        <v>0</v>
      </c>
      <c r="ER234" s="14" t="n">
        <v>0</v>
      </c>
      <c r="ES234" s="14" t="n">
        <v>0</v>
      </c>
      <c r="ET234" s="14" t="n">
        <v>0</v>
      </c>
      <c r="EU234" s="14" t="n">
        <v>0</v>
      </c>
      <c r="EV234" s="14" t="n">
        <v>0</v>
      </c>
      <c r="EW234" s="14" t="n">
        <v>0</v>
      </c>
      <c r="EX234" s="14" t="n">
        <v>0</v>
      </c>
      <c r="EY234" s="14" t="n">
        <v>0</v>
      </c>
      <c r="EZ234" s="14" t="n">
        <v>0</v>
      </c>
      <c r="FA234" s="14" t="n">
        <v>0</v>
      </c>
      <c r="FB234" s="14" t="n">
        <v>0</v>
      </c>
      <c r="FC234" s="14" t="n">
        <v>0</v>
      </c>
      <c r="FD234" s="14" t="n">
        <v>0</v>
      </c>
      <c r="FE234" s="14" t="n">
        <v>0</v>
      </c>
      <c r="FF234" s="14" t="n">
        <v>0</v>
      </c>
      <c r="FG234" s="15">
        <f>SUM(DW234,DX234,DY234,DZ234,EA234,EB234,EC234,ED234,EE234,EF234,EG234,EH234,EI234,EJ234,EK234,EL234,EM234,EN234,EO234,EP234,EQ234,ER234,ES234,ET234,EU234,EV234,EW234,EX234,EY234,EZ234,FA234,FB234,FC234,FD234,FE234,FF234)</f>
        <v/>
      </c>
      <c r="FH234" s="14" t="n">
        <v>0</v>
      </c>
      <c r="FI234" s="14" t="n">
        <v>0</v>
      </c>
      <c r="FJ234" s="14" t="n">
        <v>0</v>
      </c>
      <c r="FK234" s="14" t="n">
        <v>0</v>
      </c>
      <c r="FL234" s="14" t="n">
        <v>0</v>
      </c>
      <c r="FM234" s="14" t="n">
        <v>0</v>
      </c>
      <c r="FN234" s="14" t="n">
        <v>0</v>
      </c>
      <c r="FO234" s="14" t="n">
        <v>0</v>
      </c>
      <c r="FP234" s="14" t="n">
        <v>0</v>
      </c>
      <c r="FQ234" s="15">
        <f>FL234+FM234+FN234+FO234+FP234</f>
        <v/>
      </c>
      <c r="FR234" s="14" t="n">
        <v>1785850</v>
      </c>
      <c r="FS234" s="14" t="n">
        <v>142650</v>
      </c>
      <c r="FT234" s="14" t="n">
        <v>0</v>
      </c>
      <c r="FU234" s="14" t="n">
        <v>20000</v>
      </c>
      <c r="FV234" s="15">
        <f>FR234+FS234+FT234+FU234</f>
        <v/>
      </c>
      <c r="FW234" s="14" t="n">
        <v>2862843</v>
      </c>
      <c r="FX234" s="14" t="n">
        <v>40550</v>
      </c>
      <c r="FY234" s="14" t="n">
        <v>93100</v>
      </c>
      <c r="FZ234" s="14" t="n">
        <v>4600</v>
      </c>
      <c r="GA234" s="15">
        <f>FW234+FX234+FY234+FZ234</f>
        <v/>
      </c>
      <c r="GB234" s="15">
        <f>FV234+GA234</f>
        <v/>
      </c>
      <c r="GC234" s="14" t="n">
        <v>748849.7</v>
      </c>
      <c r="GD234" s="14" t="n">
        <v>39786.24</v>
      </c>
      <c r="GE234" s="14" t="n">
        <v>16821.98</v>
      </c>
      <c r="GF234" s="14" t="n">
        <v>41014.69</v>
      </c>
      <c r="GG234" s="15">
        <f>GC234+GD234+GE234+GF234</f>
        <v/>
      </c>
      <c r="GH234" s="14" t="n">
        <v>2860623</v>
      </c>
      <c r="GI234" s="14" t="n">
        <v>40550</v>
      </c>
      <c r="GJ234" s="14" t="n">
        <v>4600</v>
      </c>
      <c r="GK234" s="14" t="n">
        <v>93100</v>
      </c>
      <c r="GL234" s="15">
        <f>GH234+GI234+GJ234+GK234</f>
        <v/>
      </c>
      <c r="GM234" s="15">
        <f>GG234+GL234</f>
        <v/>
      </c>
      <c r="GN234" s="14" t="n">
        <v>58307.51</v>
      </c>
      <c r="GO234" s="14" t="n">
        <v>1147.68</v>
      </c>
      <c r="GP234" s="14" t="n">
        <v>6787.28</v>
      </c>
      <c r="GQ234" s="14" t="n">
        <v>4637.34</v>
      </c>
      <c r="GR234" s="15">
        <f>GN234+GO234+GP234+GQ234</f>
        <v/>
      </c>
      <c r="GS234" s="14" t="n">
        <v>95551</v>
      </c>
      <c r="GT234" s="14" t="n">
        <v>5358</v>
      </c>
      <c r="GU234" s="14" t="n">
        <v>1786</v>
      </c>
      <c r="GV234" s="14" t="n">
        <v>893</v>
      </c>
      <c r="GW234" s="15">
        <f>GS234+GT234+GU234+GV234</f>
        <v/>
      </c>
      <c r="GX234" s="15">
        <f>GM234+GR234+GW234</f>
        <v/>
      </c>
      <c r="GY234" s="14" t="n">
        <v>3872696.7</v>
      </c>
      <c r="GZ234" s="14" t="n">
        <v>90178.37</v>
      </c>
      <c r="HA234" s="15">
        <f>GY234+GZ234</f>
        <v/>
      </c>
      <c r="HB234" s="15">
        <f>IF(GX234=0,"",AU234/GX234)</f>
        <v/>
      </c>
      <c r="HC234" s="16">
        <f>IF((GX234+GY234)=0,"",GB234/(GX234+GY234))</f>
        <v/>
      </c>
      <c r="HD234" s="15">
        <f>IF(GX234=0,"",GB234/GX234)</f>
        <v/>
      </c>
      <c r="HE234" s="14" t="n">
        <v>10</v>
      </c>
      <c r="HF234" s="14" t="n">
        <v>3</v>
      </c>
      <c r="HG234" s="14" t="n">
        <v>252</v>
      </c>
      <c r="HH234" s="14" t="n">
        <v>10</v>
      </c>
      <c r="HI234" s="14" t="n">
        <v>11</v>
      </c>
      <c r="HJ234" s="15">
        <f>HF234+HI234</f>
        <v/>
      </c>
      <c r="HK234" s="16">
        <f>IF(HE234=0,"",HH234/HE234)</f>
        <v/>
      </c>
      <c r="HL234" s="14" t="n">
        <v>3</v>
      </c>
      <c r="HM234" s="14" t="n">
        <v>5</v>
      </c>
      <c r="HN234" s="17">
        <f>IF(HL234=0,"",HM234/HL234)</f>
        <v/>
      </c>
    </row>
    <row r="235">
      <c r="A235" s="6" t="inlineStr">
        <is>
          <t>Ngabu</t>
        </is>
      </c>
      <c r="B235" s="6" t="inlineStr">
        <is>
          <t>Miseu Folo</t>
        </is>
      </c>
      <c r="C235" s="7" t="inlineStr">
        <is>
          <t>FY2025/26</t>
        </is>
      </c>
      <c r="D235" s="7" t="n">
        <v>2025</v>
      </c>
      <c r="E235" s="7" t="n">
        <v>8</v>
      </c>
      <c r="F235" s="7" t="inlineStr">
        <is>
          <t>August</t>
        </is>
      </c>
      <c r="G235" s="7" t="inlineStr">
        <is>
          <t>Q2</t>
        </is>
      </c>
      <c r="H235" s="8" t="n">
        <v>3580</v>
      </c>
      <c r="I235" s="8" t="n">
        <v>97</v>
      </c>
      <c r="J235" s="8" t="n">
        <v>215</v>
      </c>
      <c r="K235" s="8" t="n">
        <v>4</v>
      </c>
      <c r="L235" s="8" t="n">
        <v>155</v>
      </c>
      <c r="M235" s="9">
        <f>SUM(I235,J235,K235,L235)</f>
        <v/>
      </c>
      <c r="N235" s="8" t="n">
        <v>2542</v>
      </c>
      <c r="O235" s="8" t="n">
        <v>193</v>
      </c>
      <c r="P235" s="8" t="n">
        <v>6</v>
      </c>
      <c r="Q235" s="8" t="n">
        <v>22</v>
      </c>
      <c r="R235" s="9">
        <f>SUM(N235,O235,P235,Q235)</f>
        <v/>
      </c>
      <c r="S235" s="9">
        <f>M235+R235</f>
        <v/>
      </c>
      <c r="T235" s="8" t="n">
        <v>346</v>
      </c>
      <c r="U235" s="10">
        <f>IF(H235=0,"",T235/H235)</f>
        <v/>
      </c>
      <c r="V235" s="8" t="n">
        <v>7</v>
      </c>
      <c r="W235" s="11">
        <f>IF(H235=0,"",V235/H235)</f>
        <v/>
      </c>
      <c r="X235" s="8" t="n">
        <v>0</v>
      </c>
      <c r="Y235" s="11">
        <f>IF(H235=0,"",X235/H235)</f>
        <v/>
      </c>
      <c r="Z235" s="8" t="n">
        <v>0</v>
      </c>
      <c r="AA235" s="11">
        <f>IF(H235=0,"",Z235/H235)</f>
        <v/>
      </c>
      <c r="AB235" s="8" t="n">
        <v>0</v>
      </c>
      <c r="AC235" s="11">
        <f>IF(H235=0,"",AB235/H235)</f>
        <v/>
      </c>
      <c r="AD235" s="8" t="n">
        <v>0</v>
      </c>
      <c r="AE235" s="11">
        <f>IF(H235=0,"",AD235/H235)</f>
        <v/>
      </c>
      <c r="AF235" s="8" t="n">
        <v>0</v>
      </c>
      <c r="AG235" s="11">
        <f>IF(H235=0,"",AF235/H235)</f>
        <v/>
      </c>
      <c r="AH235" s="8" t="n">
        <v>24677.03</v>
      </c>
      <c r="AI235" s="9">
        <f>IF(H235=0,"",AH235/H235)</f>
        <v/>
      </c>
      <c r="AJ235" s="8" t="n">
        <v>1105</v>
      </c>
      <c r="AK235" s="11">
        <f>IF(H235=0,"",AJ235/H235)</f>
        <v/>
      </c>
      <c r="AL235" s="8" t="n">
        <v>169746.9075</v>
      </c>
      <c r="AM235" s="9">
        <f>IF(H235=0,"",AL235/H235)</f>
        <v/>
      </c>
      <c r="AN235" s="8" t="n">
        <v>0</v>
      </c>
      <c r="AO235" s="8" t="n">
        <v>0</v>
      </c>
      <c r="AP235" s="8" t="n">
        <v>0</v>
      </c>
      <c r="AQ235" s="8" t="n">
        <v>0</v>
      </c>
      <c r="AR235" s="8" t="n">
        <v>0</v>
      </c>
      <c r="AS235" s="8" t="n">
        <v>0</v>
      </c>
      <c r="AT235" s="8" t="n">
        <v>0</v>
      </c>
      <c r="AU235" s="9">
        <f>AH235+AL235+AP235+AQ235+AR235+AS235+AT235</f>
        <v/>
      </c>
      <c r="AV235" s="9">
        <f>IF(H235=0,"",AU235/H235)</f>
        <v/>
      </c>
      <c r="AW235" s="9">
        <f>IF(S235=0,"",AU235/S235)</f>
        <v/>
      </c>
      <c r="AX235" s="8" t="n">
        <v>7</v>
      </c>
      <c r="AY235" s="9">
        <f>IF(H235=0,"",AX235/(H235/1000/12))</f>
        <v/>
      </c>
      <c r="AZ235" s="8" t="n">
        <v>3</v>
      </c>
      <c r="BA235" s="8" t="n">
        <v>252</v>
      </c>
      <c r="BB235" s="8" t="n">
        <v>6</v>
      </c>
      <c r="BC235" s="8" t="n">
        <v>18</v>
      </c>
      <c r="BD235" s="8" t="n">
        <v>0</v>
      </c>
      <c r="BE235" s="9">
        <f>BC235+BD235</f>
        <v/>
      </c>
      <c r="BF235" s="9">
        <f>BA235+BB235-BE235</f>
        <v/>
      </c>
      <c r="BG235" s="8" t="n">
        <v>0</v>
      </c>
      <c r="BH235" s="8" t="n">
        <v>0</v>
      </c>
      <c r="BI235" s="8" t="n">
        <v>0</v>
      </c>
      <c r="BJ235" s="8" t="n">
        <v>0</v>
      </c>
      <c r="BK235" s="9">
        <f>BI235+BJ235</f>
        <v/>
      </c>
      <c r="BL235" s="9">
        <f>BG235+BH235-BK235</f>
        <v/>
      </c>
      <c r="BM235" s="8" t="n">
        <v>0</v>
      </c>
      <c r="BN235" s="8" t="n">
        <v>0</v>
      </c>
      <c r="BO235" s="8" t="n">
        <v>0</v>
      </c>
      <c r="BP235" s="8" t="n">
        <v>0</v>
      </c>
      <c r="BQ235" s="9">
        <f>BO235+BP235</f>
        <v/>
      </c>
      <c r="BR235" s="9">
        <f>BM235+BN235-BQ235</f>
        <v/>
      </c>
      <c r="BS235" s="8" t="n">
        <v>0</v>
      </c>
      <c r="BT235" s="8" t="n">
        <v>0</v>
      </c>
      <c r="BU235" s="8" t="n">
        <v>0</v>
      </c>
      <c r="BV235" s="8" t="n">
        <v>0</v>
      </c>
      <c r="BW235" s="9">
        <f>BU235+BV235</f>
        <v/>
      </c>
      <c r="BX235" s="9">
        <f>BS235+BT235-BW235</f>
        <v/>
      </c>
      <c r="BY235" s="9">
        <f>BA235+BG235+BM235+BS235</f>
        <v/>
      </c>
      <c r="BZ235" s="9">
        <f>BB235+BH235+BN235+BT235</f>
        <v/>
      </c>
      <c r="CA235" s="9">
        <f>BE235+BK235+BQ235+BW235</f>
        <v/>
      </c>
      <c r="CB235" s="9">
        <f>BF235+BL235+BR235+BX235</f>
        <v/>
      </c>
      <c r="CC235" s="8" t="n">
        <v>0</v>
      </c>
      <c r="CD235" s="8" t="n">
        <v>0</v>
      </c>
      <c r="CE235" s="8" t="n">
        <v>0</v>
      </c>
      <c r="CF235" s="8" t="n">
        <v>0</v>
      </c>
      <c r="CG235" s="8" t="n">
        <v>0</v>
      </c>
      <c r="CH235" s="9">
        <f>CD235+CE235+CF235+CG235</f>
        <v/>
      </c>
      <c r="CI235" s="8" t="n">
        <v>62</v>
      </c>
      <c r="CJ235" s="8" t="n">
        <v>0</v>
      </c>
      <c r="CK235" s="8" t="n">
        <v>0</v>
      </c>
      <c r="CL235" s="8" t="n">
        <v>0</v>
      </c>
      <c r="CM235" s="9">
        <f>CI235+CJ235+CK235+CL235</f>
        <v/>
      </c>
      <c r="CN235" s="8" t="n">
        <v>680</v>
      </c>
      <c r="CO235" s="8" t="n">
        <v>10</v>
      </c>
      <c r="CP235" s="8" t="n">
        <v>6</v>
      </c>
      <c r="CQ235" s="8" t="n">
        <v>14</v>
      </c>
      <c r="CR235" s="9">
        <f>CN235+CO235+CP235+CQ235</f>
        <v/>
      </c>
      <c r="CS235" s="9">
        <f>CM235+CR235</f>
        <v/>
      </c>
      <c r="CT235" s="8" t="n">
        <v>772</v>
      </c>
      <c r="CU235" s="8" t="n">
        <v>7249.70883825907</v>
      </c>
      <c r="CV235" s="8" t="n">
        <v>5303</v>
      </c>
      <c r="CW235" s="10">
        <f>IF(CU235=0,"",CV235/CU235)</f>
        <v/>
      </c>
      <c r="CX235" s="8" t="n">
        <v>0</v>
      </c>
      <c r="CY235" s="8" t="n"/>
      <c r="CZ235" s="8" t="n"/>
      <c r="DA235" s="8" t="n"/>
      <c r="DB235" s="9">
        <f>CX235+CY235-CZ235-DA235</f>
        <v/>
      </c>
      <c r="DC235" s="8" t="n">
        <v>0</v>
      </c>
      <c r="DD235" s="8" t="n">
        <v>0</v>
      </c>
      <c r="DE235" s="8" t="n">
        <v>0</v>
      </c>
      <c r="DF235" s="8" t="n">
        <v>0</v>
      </c>
      <c r="DG235" s="9">
        <f>DC235+DD235-DE235-DF235</f>
        <v/>
      </c>
      <c r="DH235" s="8" t="n">
        <v>0</v>
      </c>
      <c r="DI235" s="8" t="n">
        <v>0</v>
      </c>
      <c r="DJ235" s="8" t="n">
        <v>0</v>
      </c>
      <c r="DK235" s="8" t="n">
        <v>0</v>
      </c>
      <c r="DL235" s="9">
        <f>DH235+DI235-DJ235-DK235</f>
        <v/>
      </c>
      <c r="DM235" s="8" t="n">
        <v>0</v>
      </c>
      <c r="DN235" s="8" t="n">
        <v>0</v>
      </c>
      <c r="DO235" s="8" t="n">
        <v>0</v>
      </c>
      <c r="DP235" s="8" t="n">
        <v>0</v>
      </c>
      <c r="DQ235" s="9">
        <f>DM235+DN235-DO235-DP235</f>
        <v/>
      </c>
      <c r="DR235" s="9">
        <f>CX235+DC235+DH235+DM235</f>
        <v/>
      </c>
      <c r="DS235" s="9">
        <f>CY235+DD235+DI235+DN235</f>
        <v/>
      </c>
      <c r="DT235" s="9">
        <f>CZ235+DE235+DJ235+DO235</f>
        <v/>
      </c>
      <c r="DU235" s="9">
        <f>DA235+DF235+DK235+DP235</f>
        <v/>
      </c>
      <c r="DV235" s="9">
        <f>DB235+DG235+DL235+DQ235</f>
        <v/>
      </c>
      <c r="DW235" s="8" t="n">
        <v>7</v>
      </c>
      <c r="DX235" s="8" t="n">
        <v>2</v>
      </c>
      <c r="DY235" s="8" t="n">
        <v>0</v>
      </c>
      <c r="DZ235" s="8" t="n">
        <v>0</v>
      </c>
      <c r="EA235" s="8" t="n">
        <v>4</v>
      </c>
      <c r="EB235" s="8" t="n">
        <v>0</v>
      </c>
      <c r="EC235" s="8" t="n">
        <v>0</v>
      </c>
      <c r="ED235" s="8" t="n">
        <v>2</v>
      </c>
      <c r="EE235" s="8" t="n">
        <v>2</v>
      </c>
      <c r="EF235" s="8" t="n">
        <v>0</v>
      </c>
      <c r="EG235" s="8" t="n">
        <v>0</v>
      </c>
      <c r="EH235" s="8" t="n">
        <v>0</v>
      </c>
      <c r="EI235" s="8" t="n">
        <v>0</v>
      </c>
      <c r="EJ235" s="8" t="n">
        <v>4</v>
      </c>
      <c r="EK235" s="8" t="n">
        <v>3</v>
      </c>
      <c r="EL235" s="8" t="n">
        <v>0</v>
      </c>
      <c r="EM235" s="8" t="n">
        <v>0</v>
      </c>
      <c r="EN235" s="8" t="n">
        <v>0</v>
      </c>
      <c r="EO235" s="8" t="n">
        <v>0</v>
      </c>
      <c r="EP235" s="8" t="n">
        <v>0</v>
      </c>
      <c r="EQ235" s="8" t="n">
        <v>0</v>
      </c>
      <c r="ER235" s="8" t="n">
        <v>0</v>
      </c>
      <c r="ES235" s="8" t="n">
        <v>0</v>
      </c>
      <c r="ET235" s="8" t="n">
        <v>0</v>
      </c>
      <c r="EU235" s="8" t="n">
        <v>0</v>
      </c>
      <c r="EV235" s="8" t="n">
        <v>0</v>
      </c>
      <c r="EW235" s="8" t="n">
        <v>0</v>
      </c>
      <c r="EX235" s="8" t="n">
        <v>0</v>
      </c>
      <c r="EY235" s="8" t="n">
        <v>0</v>
      </c>
      <c r="EZ235" s="8" t="n">
        <v>0</v>
      </c>
      <c r="FA235" s="8" t="n">
        <v>0</v>
      </c>
      <c r="FB235" s="8" t="n">
        <v>0</v>
      </c>
      <c r="FC235" s="8" t="n">
        <v>0</v>
      </c>
      <c r="FD235" s="8" t="n">
        <v>0</v>
      </c>
      <c r="FE235" s="8" t="n">
        <v>0</v>
      </c>
      <c r="FF235" s="8" t="n">
        <v>0</v>
      </c>
      <c r="FG235" s="9">
        <f>SUM(DW235,DX235,DY235,DZ235,EA235,EB235,EC235,ED235,EE235,EF235,EG235,EH235,EI235,EJ235,EK235,EL235,EM235,EN235,EO235,EP235,EQ235,ER235,ES235,ET235,EU235,EV235,EW235,EX235,EY235,EZ235,FA235,FB235,FC235,FD235,FE235,FF235)</f>
        <v/>
      </c>
      <c r="FH235" s="8" t="n">
        <v>0</v>
      </c>
      <c r="FI235" s="8" t="n">
        <v>0</v>
      </c>
      <c r="FJ235" s="8" t="n">
        <v>0</v>
      </c>
      <c r="FK235" s="8" t="n">
        <v>0</v>
      </c>
      <c r="FL235" s="8" t="n">
        <v>0</v>
      </c>
      <c r="FM235" s="8" t="n">
        <v>0</v>
      </c>
      <c r="FN235" s="8" t="n">
        <v>0</v>
      </c>
      <c r="FO235" s="8" t="n">
        <v>0</v>
      </c>
      <c r="FP235" s="8" t="n">
        <v>0</v>
      </c>
      <c r="FQ235" s="9">
        <f>FL235+FM235+FN235+FO235+FP235</f>
        <v/>
      </c>
      <c r="FR235" s="8" t="n">
        <v>217450</v>
      </c>
      <c r="FS235" s="8" t="n">
        <v>16000</v>
      </c>
      <c r="FT235" s="8" t="n">
        <v>0</v>
      </c>
      <c r="FU235" s="8" t="n">
        <v>20800</v>
      </c>
      <c r="FV235" s="9">
        <f>FR235+FS235+FT235+FU235</f>
        <v/>
      </c>
      <c r="FW235" s="8" t="n">
        <v>3155825</v>
      </c>
      <c r="FX235" s="8" t="n">
        <v>40950</v>
      </c>
      <c r="FY235" s="8" t="n">
        <v>105900</v>
      </c>
      <c r="FZ235" s="8" t="n">
        <v>19000</v>
      </c>
      <c r="GA235" s="9">
        <f>FW235+FX235+FY235+FZ235</f>
        <v/>
      </c>
      <c r="GB235" s="9">
        <f>FV235+GA235</f>
        <v/>
      </c>
      <c r="GC235" s="8" t="n">
        <v>1072736.64</v>
      </c>
      <c r="GD235" s="8" t="n">
        <v>41125.2</v>
      </c>
      <c r="GE235" s="8" t="n">
        <v>25235.97</v>
      </c>
      <c r="GF235" s="8" t="n">
        <v>723150.86</v>
      </c>
      <c r="GG235" s="9">
        <f>GC235+GD235+GE235+GF235</f>
        <v/>
      </c>
      <c r="GH235" s="8" t="n">
        <v>3155825</v>
      </c>
      <c r="GI235" s="8" t="n">
        <v>40950</v>
      </c>
      <c r="GJ235" s="8" t="n">
        <v>19000</v>
      </c>
      <c r="GK235" s="8" t="n">
        <v>105900</v>
      </c>
      <c r="GL235" s="9">
        <f>GH235+GI235+GJ235+GK235</f>
        <v/>
      </c>
      <c r="GM235" s="9">
        <f>GG235+GL235</f>
        <v/>
      </c>
      <c r="GN235" s="8" t="n">
        <v>88278.66</v>
      </c>
      <c r="GO235" s="8" t="n">
        <v>1147.68</v>
      </c>
      <c r="GP235" s="8" t="n">
        <v>10180.92</v>
      </c>
      <c r="GQ235" s="8" t="n">
        <v>9274.68</v>
      </c>
      <c r="GR235" s="9">
        <f>GN235+GO235+GP235+GQ235</f>
        <v/>
      </c>
      <c r="GS235" s="8" t="n">
        <v>144666</v>
      </c>
      <c r="GT235" s="8" t="n">
        <v>5358</v>
      </c>
      <c r="GU235" s="8" t="n">
        <v>2679</v>
      </c>
      <c r="GV235" s="8" t="n">
        <v>1786</v>
      </c>
      <c r="GW235" s="9">
        <f>GS235+GT235+GU235+GV235</f>
        <v/>
      </c>
      <c r="GX235" s="9">
        <f>GM235+GR235+GW235</f>
        <v/>
      </c>
      <c r="GY235" s="8" t="n">
        <v>6481503.24</v>
      </c>
      <c r="GZ235" s="8" t="n">
        <v>146291.67</v>
      </c>
      <c r="HA235" s="9">
        <f>GY235+GZ235</f>
        <v/>
      </c>
      <c r="HB235" s="9">
        <f>IF(GX235=0,"",AU235/GX235)</f>
        <v/>
      </c>
      <c r="HC235" s="10">
        <f>IF((GX235+GY235)=0,"",GB235/(GX235+GY235))</f>
        <v/>
      </c>
      <c r="HD235" s="9">
        <f>IF(GX235=0,"",GB235/GX235)</f>
        <v/>
      </c>
      <c r="HE235" s="8" t="n">
        <v>6</v>
      </c>
      <c r="HF235" s="8" t="n">
        <v>3</v>
      </c>
      <c r="HG235" s="8" t="n">
        <v>240</v>
      </c>
      <c r="HH235" s="8" t="n">
        <v>6</v>
      </c>
      <c r="HI235" s="8" t="n">
        <v>5</v>
      </c>
      <c r="HJ235" s="9">
        <f>HF235+HI235</f>
        <v/>
      </c>
      <c r="HK235" s="10">
        <f>IF(HE235=0,"",HH235/HE235)</f>
        <v/>
      </c>
      <c r="HL235" s="8" t="n">
        <v>6</v>
      </c>
      <c r="HM235" s="8" t="n">
        <v>2</v>
      </c>
      <c r="HN235" s="11">
        <f>IF(HL235=0,"",HM235/HL235)</f>
        <v/>
      </c>
    </row>
    <row r="236">
      <c r="A236" s="12" t="inlineStr">
        <is>
          <t>Ngabu</t>
        </is>
      </c>
      <c r="B236" s="12" t="inlineStr">
        <is>
          <t>Miseu Folo</t>
        </is>
      </c>
      <c r="C236" s="13" t="inlineStr">
        <is>
          <t>FY2025/26</t>
        </is>
      </c>
      <c r="D236" s="13" t="n">
        <v>2025</v>
      </c>
      <c r="E236" s="13" t="n">
        <v>9</v>
      </c>
      <c r="F236" s="13" t="inlineStr">
        <is>
          <t>September</t>
        </is>
      </c>
      <c r="G236" s="13" t="inlineStr">
        <is>
          <t>Q2</t>
        </is>
      </c>
      <c r="H236" s="14" t="n">
        <v>6587</v>
      </c>
      <c r="I236" s="14" t="n">
        <v>1548</v>
      </c>
      <c r="J236" s="14" t="n">
        <v>186</v>
      </c>
      <c r="K236" s="14" t="n">
        <v>16</v>
      </c>
      <c r="L236" s="14" t="n">
        <v>16</v>
      </c>
      <c r="M236" s="15">
        <f>SUM(I236,J236,K236,L236)</f>
        <v/>
      </c>
      <c r="N236" s="14" t="n">
        <v>2686</v>
      </c>
      <c r="O236" s="14" t="n">
        <v>318</v>
      </c>
      <c r="P236" s="14" t="n">
        <v>4</v>
      </c>
      <c r="Q236" s="14" t="n">
        <v>27</v>
      </c>
      <c r="R236" s="15">
        <f>SUM(N236,O236,P236,Q236)</f>
        <v/>
      </c>
      <c r="S236" s="15">
        <f>M236+R236</f>
        <v/>
      </c>
      <c r="T236" s="14" t="n">
        <v>1786</v>
      </c>
      <c r="U236" s="16">
        <f>IF(H236=0,"",T236/H236)</f>
        <v/>
      </c>
      <c r="V236" s="14" t="n">
        <v>7</v>
      </c>
      <c r="W236" s="17">
        <f>IF(H236=0,"",V236/H236)</f>
        <v/>
      </c>
      <c r="X236" s="14" t="n">
        <v>0</v>
      </c>
      <c r="Y236" s="17">
        <f>IF(H236=0,"",X236/H236)</f>
        <v/>
      </c>
      <c r="Z236" s="14" t="n">
        <v>0</v>
      </c>
      <c r="AA236" s="17">
        <f>IF(H236=0,"",Z236/H236)</f>
        <v/>
      </c>
      <c r="AB236" s="14" t="n">
        <v>0</v>
      </c>
      <c r="AC236" s="17">
        <f>IF(H236=0,"",AB236/H236)</f>
        <v/>
      </c>
      <c r="AD236" s="14" t="n">
        <v>0</v>
      </c>
      <c r="AE236" s="17">
        <f>IF(H236=0,"",AD236/H236)</f>
        <v/>
      </c>
      <c r="AF236" s="14" t="n">
        <v>0</v>
      </c>
      <c r="AG236" s="17">
        <f>IF(H236=0,"",AF236/H236)</f>
        <v/>
      </c>
      <c r="AH236" s="14" t="n">
        <v>24677.03</v>
      </c>
      <c r="AI236" s="15">
        <f>IF(H236=0,"",AH236/H236)</f>
        <v/>
      </c>
      <c r="AJ236" s="14" t="n">
        <v>1924</v>
      </c>
      <c r="AK236" s="17">
        <f>IF(H236=0,"",AJ236/H236)</f>
        <v/>
      </c>
      <c r="AL236" s="14" t="n">
        <v>283384.386</v>
      </c>
      <c r="AM236" s="15">
        <f>IF(H236=0,"",AL236/H236)</f>
        <v/>
      </c>
      <c r="AN236" s="14" t="n">
        <v>0</v>
      </c>
      <c r="AO236" s="14" t="n">
        <v>0</v>
      </c>
      <c r="AP236" s="14" t="n">
        <v>0</v>
      </c>
      <c r="AQ236" s="14" t="n">
        <v>0</v>
      </c>
      <c r="AR236" s="14" t="n">
        <v>0</v>
      </c>
      <c r="AS236" s="14" t="n">
        <v>0</v>
      </c>
      <c r="AT236" s="14" t="n">
        <v>0</v>
      </c>
      <c r="AU236" s="15">
        <f>AH236+AL236+AP236+AQ236+AR236+AS236+AT236</f>
        <v/>
      </c>
      <c r="AV236" s="15">
        <f>IF(H236=0,"",AU236/H236)</f>
        <v/>
      </c>
      <c r="AW236" s="15">
        <f>IF(S236=0,"",AU236/S236)</f>
        <v/>
      </c>
      <c r="AX236" s="14" t="n">
        <v>7</v>
      </c>
      <c r="AY236" s="15">
        <f>IF(H236=0,"",AX236/(H236/1000/12))</f>
        <v/>
      </c>
      <c r="AZ236" s="14" t="n">
        <v>3</v>
      </c>
      <c r="BA236" s="14" t="n">
        <v>240</v>
      </c>
      <c r="BB236" s="14" t="n">
        <v>12</v>
      </c>
      <c r="BC236" s="14" t="n">
        <v>0</v>
      </c>
      <c r="BD236" s="14" t="n">
        <v>14</v>
      </c>
      <c r="BE236" s="15">
        <f>BC236+BD236</f>
        <v/>
      </c>
      <c r="BF236" s="15">
        <f>BA236+BB236-BE236</f>
        <v/>
      </c>
      <c r="BG236" s="14" t="n">
        <v>0</v>
      </c>
      <c r="BH236" s="14" t="n">
        <v>0</v>
      </c>
      <c r="BI236" s="14" t="n">
        <v>0</v>
      </c>
      <c r="BJ236" s="14" t="n">
        <v>0</v>
      </c>
      <c r="BK236" s="15">
        <f>BI236+BJ236</f>
        <v/>
      </c>
      <c r="BL236" s="15">
        <f>BG236+BH236-BK236</f>
        <v/>
      </c>
      <c r="BM236" s="14" t="n">
        <v>0</v>
      </c>
      <c r="BN236" s="14" t="n">
        <v>0</v>
      </c>
      <c r="BO236" s="14" t="n">
        <v>0</v>
      </c>
      <c r="BP236" s="14" t="n">
        <v>0</v>
      </c>
      <c r="BQ236" s="15">
        <f>BO236+BP236</f>
        <v/>
      </c>
      <c r="BR236" s="15">
        <f>BM236+BN236-BQ236</f>
        <v/>
      </c>
      <c r="BS236" s="14" t="n">
        <v>0</v>
      </c>
      <c r="BT236" s="14" t="n">
        <v>0</v>
      </c>
      <c r="BU236" s="14" t="n">
        <v>0</v>
      </c>
      <c r="BV236" s="14" t="n">
        <v>0</v>
      </c>
      <c r="BW236" s="15">
        <f>BU236+BV236</f>
        <v/>
      </c>
      <c r="BX236" s="15">
        <f>BS236+BT236-BW236</f>
        <v/>
      </c>
      <c r="BY236" s="15">
        <f>BA236+BG236+BM236+BS236</f>
        <v/>
      </c>
      <c r="BZ236" s="15">
        <f>BB236+BH236+BN236+BT236</f>
        <v/>
      </c>
      <c r="CA236" s="15">
        <f>BE236+BK236+BQ236+BW236</f>
        <v/>
      </c>
      <c r="CB236" s="15">
        <f>BF236+BL236+BR236+BX236</f>
        <v/>
      </c>
      <c r="CC236" s="14" t="n">
        <v>0</v>
      </c>
      <c r="CD236" s="14" t="n">
        <v>0</v>
      </c>
      <c r="CE236" s="14" t="n">
        <v>0</v>
      </c>
      <c r="CF236" s="14" t="n">
        <v>0</v>
      </c>
      <c r="CG236" s="14" t="n">
        <v>0</v>
      </c>
      <c r="CH236" s="15">
        <f>CD236+CE236+CF236+CG236</f>
        <v/>
      </c>
      <c r="CI236" s="14" t="n">
        <v>62</v>
      </c>
      <c r="CJ236" s="14" t="n">
        <v>0</v>
      </c>
      <c r="CK236" s="14" t="n">
        <v>0</v>
      </c>
      <c r="CL236" s="14" t="n">
        <v>0</v>
      </c>
      <c r="CM236" s="15">
        <f>CI236+CJ236+CK236+CL236</f>
        <v/>
      </c>
      <c r="CN236" s="14" t="n">
        <v>680</v>
      </c>
      <c r="CO236" s="14" t="n">
        <v>10</v>
      </c>
      <c r="CP236" s="14" t="n">
        <v>6</v>
      </c>
      <c r="CQ236" s="14" t="n">
        <v>14</v>
      </c>
      <c r="CR236" s="15">
        <f>CN236+CO236+CP236+CQ236</f>
        <v/>
      </c>
      <c r="CS236" s="15">
        <f>CM236+CR236</f>
        <v/>
      </c>
      <c r="CT236" s="14" t="n">
        <v>772</v>
      </c>
      <c r="CU236" s="14" t="n">
        <v>7264.20825593559</v>
      </c>
      <c r="CV236" s="14" t="n">
        <v>5421</v>
      </c>
      <c r="CW236" s="16">
        <f>IF(CU236=0,"",CV236/CU236)</f>
        <v/>
      </c>
      <c r="CX236" s="14" t="n">
        <v>0</v>
      </c>
      <c r="CY236" s="14" t="n"/>
      <c r="CZ236" s="14" t="n"/>
      <c r="DA236" s="14" t="n"/>
      <c r="DB236" s="15">
        <f>CX236+CY236-CZ236-DA236</f>
        <v/>
      </c>
      <c r="DC236" s="14" t="n">
        <v>0</v>
      </c>
      <c r="DD236" s="14" t="n">
        <v>0</v>
      </c>
      <c r="DE236" s="14" t="n">
        <v>0</v>
      </c>
      <c r="DF236" s="14" t="n">
        <v>0</v>
      </c>
      <c r="DG236" s="15">
        <f>DC236+DD236-DE236-DF236</f>
        <v/>
      </c>
      <c r="DH236" s="14" t="n">
        <v>0</v>
      </c>
      <c r="DI236" s="14" t="n">
        <v>0</v>
      </c>
      <c r="DJ236" s="14" t="n">
        <v>0</v>
      </c>
      <c r="DK236" s="14" t="n">
        <v>0</v>
      </c>
      <c r="DL236" s="15">
        <f>DH236+DI236-DJ236-DK236</f>
        <v/>
      </c>
      <c r="DM236" s="14" t="n">
        <v>0</v>
      </c>
      <c r="DN236" s="14" t="n">
        <v>0</v>
      </c>
      <c r="DO236" s="14" t="n">
        <v>0</v>
      </c>
      <c r="DP236" s="14" t="n">
        <v>0</v>
      </c>
      <c r="DQ236" s="15">
        <f>DM236+DN236-DO236-DP236</f>
        <v/>
      </c>
      <c r="DR236" s="15">
        <f>CX236+DC236+DH236+DM236</f>
        <v/>
      </c>
      <c r="DS236" s="15">
        <f>CY236+DD236+DI236+DN236</f>
        <v/>
      </c>
      <c r="DT236" s="15">
        <f>CZ236+DE236+DJ236+DO236</f>
        <v/>
      </c>
      <c r="DU236" s="15">
        <f>DA236+DF236+DK236+DP236</f>
        <v/>
      </c>
      <c r="DV236" s="15">
        <f>DB236+DG236+DL236+DQ236</f>
        <v/>
      </c>
      <c r="DW236" s="14" t="n">
        <v>6</v>
      </c>
      <c r="DX236" s="14" t="n">
        <v>0</v>
      </c>
      <c r="DY236" s="14" t="n">
        <v>3</v>
      </c>
      <c r="DZ236" s="14" t="n">
        <v>0</v>
      </c>
      <c r="EA236" s="14" t="n">
        <v>3</v>
      </c>
      <c r="EB236" s="14" t="n">
        <v>1</v>
      </c>
      <c r="EC236" s="14" t="n">
        <v>0</v>
      </c>
      <c r="ED236" s="14" t="n">
        <v>1</v>
      </c>
      <c r="EE236" s="14" t="n">
        <v>1</v>
      </c>
      <c r="EF236" s="14" t="n">
        <v>0</v>
      </c>
      <c r="EG236" s="14" t="n">
        <v>0</v>
      </c>
      <c r="EH236" s="14" t="n">
        <v>0</v>
      </c>
      <c r="EI236" s="14" t="n">
        <v>0</v>
      </c>
      <c r="EJ236" s="14" t="n">
        <v>7</v>
      </c>
      <c r="EK236" s="14" t="n">
        <v>1</v>
      </c>
      <c r="EL236" s="14" t="n">
        <v>0</v>
      </c>
      <c r="EM236" s="14" t="n">
        <v>0</v>
      </c>
      <c r="EN236" s="14" t="n">
        <v>0</v>
      </c>
      <c r="EO236" s="14" t="n">
        <v>0</v>
      </c>
      <c r="EP236" s="14" t="n">
        <v>0</v>
      </c>
      <c r="EQ236" s="14" t="n">
        <v>0</v>
      </c>
      <c r="ER236" s="14" t="n">
        <v>0</v>
      </c>
      <c r="ES236" s="14" t="n">
        <v>0</v>
      </c>
      <c r="ET236" s="14" t="n">
        <v>0</v>
      </c>
      <c r="EU236" s="14" t="n">
        <v>0</v>
      </c>
      <c r="EV236" s="14" t="n">
        <v>0</v>
      </c>
      <c r="EW236" s="14" t="n">
        <v>0</v>
      </c>
      <c r="EX236" s="14" t="n">
        <v>0</v>
      </c>
      <c r="EY236" s="14" t="n">
        <v>0</v>
      </c>
      <c r="EZ236" s="14" t="n">
        <v>0</v>
      </c>
      <c r="FA236" s="14" t="n">
        <v>0</v>
      </c>
      <c r="FB236" s="14" t="n">
        <v>0</v>
      </c>
      <c r="FC236" s="14" t="n">
        <v>0</v>
      </c>
      <c r="FD236" s="14" t="n">
        <v>0</v>
      </c>
      <c r="FE236" s="14" t="n">
        <v>0</v>
      </c>
      <c r="FF236" s="14" t="n">
        <v>0</v>
      </c>
      <c r="FG236" s="15">
        <f>SUM(DW236,DX236,DY236,DZ236,EA236,EB236,EC236,ED236,EE236,EF236,EG236,EH236,EI236,EJ236,EK236,EL236,EM236,EN236,EO236,EP236,EQ236,ER236,ES236,ET236,EU236,EV236,EW236,EX236,EY236,EZ236,FA236,FB236,FC236,FD236,FE236,FF236)</f>
        <v/>
      </c>
      <c r="FH236" s="14" t="n">
        <v>0</v>
      </c>
      <c r="FI236" s="14" t="n">
        <v>0</v>
      </c>
      <c r="FJ236" s="14" t="n">
        <v>0</v>
      </c>
      <c r="FK236" s="14" t="n">
        <v>0</v>
      </c>
      <c r="FL236" s="14" t="n">
        <v>0</v>
      </c>
      <c r="FM236" s="14" t="n">
        <v>0</v>
      </c>
      <c r="FN236" s="14" t="n">
        <v>0</v>
      </c>
      <c r="FO236" s="14" t="n">
        <v>0</v>
      </c>
      <c r="FP236" s="14" t="n">
        <v>0</v>
      </c>
      <c r="FQ236" s="15">
        <f>FL236+FM236+FN236+FO236+FP236</f>
        <v/>
      </c>
      <c r="FR236" s="14" t="n">
        <v>48950</v>
      </c>
      <c r="FS236" s="14" t="n">
        <v>0</v>
      </c>
      <c r="FT236" s="14" t="n">
        <v>70000</v>
      </c>
      <c r="FU236" s="14" t="n">
        <v>0</v>
      </c>
      <c r="FV236" s="15">
        <f>FR236+FS236+FT236+FU236</f>
        <v/>
      </c>
      <c r="FW236" s="14" t="n">
        <v>3353292</v>
      </c>
      <c r="FX236" s="14" t="n">
        <v>67650</v>
      </c>
      <c r="FY236" s="14" t="n">
        <v>131000</v>
      </c>
      <c r="FZ236" s="14" t="n">
        <v>10700</v>
      </c>
      <c r="GA236" s="15">
        <f>FW236+FX236+FY236+FZ236</f>
        <v/>
      </c>
      <c r="GB236" s="15">
        <f>FV236+GA236</f>
        <v/>
      </c>
      <c r="GC236" s="14" t="n">
        <v>1454007.48</v>
      </c>
      <c r="GD236" s="14" t="n">
        <v>35578.08</v>
      </c>
      <c r="GE236" s="14" t="n">
        <v>43868.09</v>
      </c>
      <c r="GF236" s="14" t="n">
        <v>54205.81</v>
      </c>
      <c r="GG236" s="15">
        <f>GC236+GD236+GE236+GF236</f>
        <v/>
      </c>
      <c r="GH236" s="14" t="n">
        <v>3335852</v>
      </c>
      <c r="GI236" s="14" t="n">
        <v>67650</v>
      </c>
      <c r="GJ236" s="14" t="n">
        <v>10700</v>
      </c>
      <c r="GK236" s="14" t="n">
        <v>131000</v>
      </c>
      <c r="GL236" s="15">
        <f>GH236+GI236+GJ236+GK236</f>
        <v/>
      </c>
      <c r="GM236" s="15">
        <f>GG236+GL236</f>
        <v/>
      </c>
      <c r="GN236" s="14" t="n">
        <v>105171.49</v>
      </c>
      <c r="GO236" s="14" t="n">
        <v>1147.68</v>
      </c>
      <c r="GP236" s="14" t="n">
        <v>10180.92</v>
      </c>
      <c r="GQ236" s="14" t="n">
        <v>4637.34</v>
      </c>
      <c r="GR236" s="15">
        <f>GN236+GO236+GP236+GQ236</f>
        <v/>
      </c>
      <c r="GS236" s="14" t="n">
        <v>172349</v>
      </c>
      <c r="GT236" s="14" t="n">
        <v>5358</v>
      </c>
      <c r="GU236" s="14" t="n">
        <v>2679</v>
      </c>
      <c r="GV236" s="14" t="n">
        <v>893</v>
      </c>
      <c r="GW236" s="15">
        <f>GS236+GT236+GU236+GV236</f>
        <v/>
      </c>
      <c r="GX236" s="15">
        <f>GM236+GR236+GW236</f>
        <v/>
      </c>
      <c r="GY236" s="14" t="n">
        <v>7219990.61</v>
      </c>
      <c r="GZ236" s="14" t="n">
        <v>1794788.74</v>
      </c>
      <c r="HA236" s="15">
        <f>GY236+GZ236</f>
        <v/>
      </c>
      <c r="HB236" s="15">
        <f>IF(GX236=0,"",AU236/GX236)</f>
        <v/>
      </c>
      <c r="HC236" s="16">
        <f>IF((GX236+GY236)=0,"",GB236/(GX236+GY236))</f>
        <v/>
      </c>
      <c r="HD236" s="15">
        <f>IF(GX236=0,"",GB236/GX236)</f>
        <v/>
      </c>
      <c r="HE236" s="14" t="n">
        <v>12</v>
      </c>
      <c r="HF236" s="14" t="n">
        <v>3</v>
      </c>
      <c r="HG236" s="14" t="n">
        <v>238</v>
      </c>
      <c r="HH236" s="14" t="n">
        <v>12</v>
      </c>
      <c r="HI236" s="14" t="n">
        <v>14</v>
      </c>
      <c r="HJ236" s="15">
        <f>HF236+HI236</f>
        <v/>
      </c>
      <c r="HK236" s="16">
        <f>IF(HE236=0,"",HH236/HE236)</f>
        <v/>
      </c>
      <c r="HL236" s="14" t="n">
        <v>2</v>
      </c>
      <c r="HM236" s="14" t="n">
        <v>3</v>
      </c>
      <c r="HN236" s="17">
        <f>IF(HL236=0,"",HM236/HL236)</f>
        <v/>
      </c>
    </row>
    <row r="237">
      <c r="A237" s="6" t="inlineStr">
        <is>
          <t>Ngabu</t>
        </is>
      </c>
      <c r="B237" s="6" t="inlineStr">
        <is>
          <t>Miseu Folo</t>
        </is>
      </c>
      <c r="C237" s="7" t="inlineStr">
        <is>
          <t>FY2025/26</t>
        </is>
      </c>
      <c r="D237" s="7" t="n">
        <v>2025</v>
      </c>
      <c r="E237" s="7" t="n">
        <v>10</v>
      </c>
      <c r="F237" s="7" t="inlineStr">
        <is>
          <t>October</t>
        </is>
      </c>
      <c r="G237" s="7" t="inlineStr">
        <is>
          <t>Q3</t>
        </is>
      </c>
      <c r="H237" s="8" t="n">
        <v>6998</v>
      </c>
      <c r="I237" s="8" t="n">
        <v>1753</v>
      </c>
      <c r="J237" s="8" t="n">
        <v>178</v>
      </c>
      <c r="K237" s="8" t="n">
        <v>16</v>
      </c>
      <c r="L237" s="8" t="n">
        <v>19</v>
      </c>
      <c r="M237" s="9">
        <f>SUM(I237,J237,K237,L237)</f>
        <v/>
      </c>
      <c r="N237" s="8" t="n">
        <v>2586</v>
      </c>
      <c r="O237" s="8" t="n">
        <v>162</v>
      </c>
      <c r="P237" s="8" t="n">
        <v>4</v>
      </c>
      <c r="Q237" s="8" t="n">
        <v>30</v>
      </c>
      <c r="R237" s="9">
        <f>SUM(N237,O237,P237,Q237)</f>
        <v/>
      </c>
      <c r="S237" s="9">
        <f>M237+R237</f>
        <v/>
      </c>
      <c r="T237" s="8" t="n">
        <v>2250</v>
      </c>
      <c r="U237" s="10">
        <f>IF(H237=0,"",T237/H237)</f>
        <v/>
      </c>
      <c r="V237" s="8" t="n">
        <v>8</v>
      </c>
      <c r="W237" s="11">
        <f>IF(H237=0,"",V237/H237)</f>
        <v/>
      </c>
      <c r="X237" s="8" t="n">
        <v>0</v>
      </c>
      <c r="Y237" s="11">
        <f>IF(H237=0,"",X237/H237)</f>
        <v/>
      </c>
      <c r="Z237" s="8" t="n">
        <v>0</v>
      </c>
      <c r="AA237" s="11">
        <f>IF(H237=0,"",Z237/H237)</f>
        <v/>
      </c>
      <c r="AB237" s="8" t="n">
        <v>0</v>
      </c>
      <c r="AC237" s="11">
        <f>IF(H237=0,"",AB237/H237)</f>
        <v/>
      </c>
      <c r="AD237" s="8" t="n">
        <v>0</v>
      </c>
      <c r="AE237" s="11">
        <f>IF(H237=0,"",AD237/H237)</f>
        <v/>
      </c>
      <c r="AF237" s="8" t="n">
        <v>0</v>
      </c>
      <c r="AG237" s="11">
        <f>IF(H237=0,"",AF237/H237)</f>
        <v/>
      </c>
      <c r="AH237" s="8" t="n">
        <v>28202.32</v>
      </c>
      <c r="AI237" s="9">
        <f>IF(H237=0,"",AH237/H237)</f>
        <v/>
      </c>
      <c r="AJ237" s="8" t="n">
        <v>1965</v>
      </c>
      <c r="AK237" s="11">
        <f>IF(H237=0,"",AJ237/H237)</f>
        <v/>
      </c>
      <c r="AL237" s="8" t="n">
        <v>289073.1975</v>
      </c>
      <c r="AM237" s="9">
        <f>IF(H237=0,"",AL237/H237)</f>
        <v/>
      </c>
      <c r="AN237" s="8" t="n">
        <v>0</v>
      </c>
      <c r="AO237" s="8" t="n">
        <v>0</v>
      </c>
      <c r="AP237" s="8" t="n">
        <v>0</v>
      </c>
      <c r="AQ237" s="8" t="n">
        <v>0</v>
      </c>
      <c r="AR237" s="8" t="n">
        <v>0</v>
      </c>
      <c r="AS237" s="8" t="n">
        <v>0</v>
      </c>
      <c r="AT237" s="8" t="n">
        <v>0</v>
      </c>
      <c r="AU237" s="9">
        <f>AH237+AL237+AP237+AQ237+AR237+AS237+AT237</f>
        <v/>
      </c>
      <c r="AV237" s="9">
        <f>IF(H237=0,"",AU237/H237)</f>
        <v/>
      </c>
      <c r="AW237" s="9">
        <f>IF(S237=0,"",AU237/S237)</f>
        <v/>
      </c>
      <c r="AX237" s="8" t="n">
        <v>7</v>
      </c>
      <c r="AY237" s="9">
        <f>IF(H237=0,"",AX237/(H237/1000/12))</f>
        <v/>
      </c>
      <c r="AZ237" s="8" t="n">
        <v>3</v>
      </c>
      <c r="BA237" s="8" t="n">
        <v>238</v>
      </c>
      <c r="BB237" s="8" t="n">
        <v>15</v>
      </c>
      <c r="BC237" s="8" t="n">
        <v>7</v>
      </c>
      <c r="BD237" s="8" t="n">
        <v>0</v>
      </c>
      <c r="BE237" s="9">
        <f>BC237+BD237</f>
        <v/>
      </c>
      <c r="BF237" s="9">
        <f>BA237+BB237-BE237</f>
        <v/>
      </c>
      <c r="BG237" s="8" t="n">
        <v>0</v>
      </c>
      <c r="BH237" s="8" t="n">
        <v>0</v>
      </c>
      <c r="BI237" s="8" t="n">
        <v>0</v>
      </c>
      <c r="BJ237" s="8" t="n">
        <v>0</v>
      </c>
      <c r="BK237" s="9">
        <f>BI237+BJ237</f>
        <v/>
      </c>
      <c r="BL237" s="9">
        <f>BG237+BH237-BK237</f>
        <v/>
      </c>
      <c r="BM237" s="8" t="n">
        <v>0</v>
      </c>
      <c r="BN237" s="8" t="n">
        <v>0</v>
      </c>
      <c r="BO237" s="8" t="n">
        <v>0</v>
      </c>
      <c r="BP237" s="8" t="n">
        <v>0</v>
      </c>
      <c r="BQ237" s="9">
        <f>BO237+BP237</f>
        <v/>
      </c>
      <c r="BR237" s="9">
        <f>BM237+BN237-BQ237</f>
        <v/>
      </c>
      <c r="BS237" s="8" t="n">
        <v>0</v>
      </c>
      <c r="BT237" s="8" t="n">
        <v>0</v>
      </c>
      <c r="BU237" s="8" t="n">
        <v>0</v>
      </c>
      <c r="BV237" s="8" t="n">
        <v>0</v>
      </c>
      <c r="BW237" s="9">
        <f>BU237+BV237</f>
        <v/>
      </c>
      <c r="BX237" s="9">
        <f>BS237+BT237-BW237</f>
        <v/>
      </c>
      <c r="BY237" s="9">
        <f>BA237+BG237+BM237+BS237</f>
        <v/>
      </c>
      <c r="BZ237" s="9">
        <f>BB237+BH237+BN237+BT237</f>
        <v/>
      </c>
      <c r="CA237" s="9">
        <f>BE237+BK237+BQ237+BW237</f>
        <v/>
      </c>
      <c r="CB237" s="9">
        <f>BF237+BL237+BR237+BX237</f>
        <v/>
      </c>
      <c r="CC237" s="8" t="n">
        <v>0</v>
      </c>
      <c r="CD237" s="8" t="n">
        <v>0</v>
      </c>
      <c r="CE237" s="8" t="n">
        <v>0</v>
      </c>
      <c r="CF237" s="8" t="n">
        <v>0</v>
      </c>
      <c r="CG237" s="8" t="n">
        <v>0</v>
      </c>
      <c r="CH237" s="9">
        <f>CD237+CE237+CF237+CG237</f>
        <v/>
      </c>
      <c r="CI237" s="8" t="n">
        <v>69</v>
      </c>
      <c r="CJ237" s="8" t="n">
        <v>0</v>
      </c>
      <c r="CK237" s="8" t="n">
        <v>0</v>
      </c>
      <c r="CL237" s="8" t="n">
        <v>0</v>
      </c>
      <c r="CM237" s="9">
        <f>CI237+CJ237+CK237+CL237</f>
        <v/>
      </c>
      <c r="CN237" s="8" t="n">
        <v>680</v>
      </c>
      <c r="CO237" s="8" t="n">
        <v>10</v>
      </c>
      <c r="CP237" s="8" t="n">
        <v>6</v>
      </c>
      <c r="CQ237" s="8" t="n">
        <v>14</v>
      </c>
      <c r="CR237" s="9">
        <f>CN237+CO237+CP237+CQ237</f>
        <v/>
      </c>
      <c r="CS237" s="9">
        <f>CM237+CR237</f>
        <v/>
      </c>
      <c r="CT237" s="8" t="n">
        <v>779</v>
      </c>
      <c r="CU237" s="8" t="n">
        <v>7278.73667244746</v>
      </c>
      <c r="CV237" s="8" t="n">
        <v>5421</v>
      </c>
      <c r="CW237" s="10">
        <f>IF(CU237=0,"",CV237/CU237)</f>
        <v/>
      </c>
      <c r="CX237" s="8" t="n">
        <v>0</v>
      </c>
      <c r="CY237" s="8" t="n"/>
      <c r="CZ237" s="8" t="n"/>
      <c r="DA237" s="8" t="n"/>
      <c r="DB237" s="9">
        <f>CX237+CY237-CZ237-DA237</f>
        <v/>
      </c>
      <c r="DC237" s="8" t="n">
        <v>0</v>
      </c>
      <c r="DD237" s="8" t="n">
        <v>0</v>
      </c>
      <c r="DE237" s="8" t="n">
        <v>0</v>
      </c>
      <c r="DF237" s="8" t="n">
        <v>0</v>
      </c>
      <c r="DG237" s="9">
        <f>DC237+DD237-DE237-DF237</f>
        <v/>
      </c>
      <c r="DH237" s="8" t="n">
        <v>0</v>
      </c>
      <c r="DI237" s="8" t="n">
        <v>0</v>
      </c>
      <c r="DJ237" s="8" t="n">
        <v>0</v>
      </c>
      <c r="DK237" s="8" t="n">
        <v>0</v>
      </c>
      <c r="DL237" s="9">
        <f>DH237+DI237-DJ237-DK237</f>
        <v/>
      </c>
      <c r="DM237" s="8" t="n">
        <v>0</v>
      </c>
      <c r="DN237" s="8" t="n">
        <v>0</v>
      </c>
      <c r="DO237" s="8" t="n">
        <v>0</v>
      </c>
      <c r="DP237" s="8" t="n">
        <v>0</v>
      </c>
      <c r="DQ237" s="9">
        <f>DM237+DN237-DO237-DP237</f>
        <v/>
      </c>
      <c r="DR237" s="9">
        <f>CX237+DC237+DH237+DM237</f>
        <v/>
      </c>
      <c r="DS237" s="9">
        <f>CY237+DD237+DI237+DN237</f>
        <v/>
      </c>
      <c r="DT237" s="9">
        <f>CZ237+DE237+DJ237+DO237</f>
        <v/>
      </c>
      <c r="DU237" s="9">
        <f>DA237+DF237+DK237+DP237</f>
        <v/>
      </c>
      <c r="DV237" s="9">
        <f>DB237+DG237+DL237+DQ237</f>
        <v/>
      </c>
      <c r="DW237" s="8" t="n">
        <v>9</v>
      </c>
      <c r="DX237" s="8" t="n">
        <v>6</v>
      </c>
      <c r="DY237" s="8" t="n">
        <v>0</v>
      </c>
      <c r="DZ237" s="8" t="n">
        <v>0</v>
      </c>
      <c r="EA237" s="8" t="n">
        <v>4</v>
      </c>
      <c r="EB237" s="8" t="n">
        <v>0</v>
      </c>
      <c r="EC237" s="8" t="n">
        <v>0</v>
      </c>
      <c r="ED237" s="8" t="n">
        <v>3</v>
      </c>
      <c r="EE237" s="8" t="n">
        <v>4</v>
      </c>
      <c r="EF237" s="8" t="n">
        <v>0</v>
      </c>
      <c r="EG237" s="8" t="n">
        <v>0</v>
      </c>
      <c r="EH237" s="8" t="n">
        <v>0</v>
      </c>
      <c r="EI237" s="8" t="n">
        <v>0</v>
      </c>
      <c r="EJ237" s="8" t="n">
        <v>4</v>
      </c>
      <c r="EK237" s="8" t="n">
        <v>2</v>
      </c>
      <c r="EL237" s="8" t="n">
        <v>0</v>
      </c>
      <c r="EM237" s="8" t="n">
        <v>0</v>
      </c>
      <c r="EN237" s="8" t="n">
        <v>0</v>
      </c>
      <c r="EO237" s="8" t="n">
        <v>0</v>
      </c>
      <c r="EP237" s="8" t="n">
        <v>0</v>
      </c>
      <c r="EQ237" s="8" t="n">
        <v>0</v>
      </c>
      <c r="ER237" s="8" t="n">
        <v>0</v>
      </c>
      <c r="ES237" s="8" t="n">
        <v>0</v>
      </c>
      <c r="ET237" s="8" t="n">
        <v>0</v>
      </c>
      <c r="EU237" s="8" t="n">
        <v>0</v>
      </c>
      <c r="EV237" s="8" t="n">
        <v>0</v>
      </c>
      <c r="EW237" s="8" t="n">
        <v>0</v>
      </c>
      <c r="EX237" s="8" t="n">
        <v>0</v>
      </c>
      <c r="EY237" s="8" t="n">
        <v>0</v>
      </c>
      <c r="EZ237" s="8" t="n">
        <v>0</v>
      </c>
      <c r="FA237" s="8" t="n">
        <v>0</v>
      </c>
      <c r="FB237" s="8" t="n">
        <v>0</v>
      </c>
      <c r="FC237" s="8" t="n">
        <v>0</v>
      </c>
      <c r="FD237" s="8" t="n">
        <v>0</v>
      </c>
      <c r="FE237" s="8" t="n">
        <v>0</v>
      </c>
      <c r="FF237" s="8" t="n">
        <v>0</v>
      </c>
      <c r="FG237" s="9">
        <f>SUM(DW237,DX237,DY237,DZ237,EA237,EB237,EC237,ED237,EE237,EF237,EG237,EH237,EI237,EJ237,EK237,EL237,EM237,EN237,EO237,EP237,EQ237,ER237,ES237,ET237,EU237,EV237,EW237,EX237,EY237,EZ237,FA237,FB237,FC237,FD237,FE237,FF237)</f>
        <v/>
      </c>
      <c r="FH237" s="8" t="n">
        <v>0</v>
      </c>
      <c r="FI237" s="8" t="n">
        <v>0</v>
      </c>
      <c r="FJ237" s="8" t="n">
        <v>0</v>
      </c>
      <c r="FK237" s="8" t="n">
        <v>0</v>
      </c>
      <c r="FL237" s="8" t="n">
        <v>0</v>
      </c>
      <c r="FM237" s="8" t="n">
        <v>0</v>
      </c>
      <c r="FN237" s="8" t="n">
        <v>0</v>
      </c>
      <c r="FO237" s="8" t="n">
        <v>0</v>
      </c>
      <c r="FP237" s="8" t="n">
        <v>0</v>
      </c>
      <c r="FQ237" s="9">
        <f>FL237+FM237+FN237+FO237+FP237</f>
        <v/>
      </c>
      <c r="FR237" s="8" t="n">
        <v>898200</v>
      </c>
      <c r="FS237" s="8" t="n">
        <v>40700</v>
      </c>
      <c r="FT237" s="8" t="n">
        <v>60000</v>
      </c>
      <c r="FU237" s="8" t="n">
        <v>42000</v>
      </c>
      <c r="FV237" s="9">
        <f>FR237+FS237+FT237+FU237</f>
        <v/>
      </c>
      <c r="FW237" s="8" t="n">
        <v>3228168</v>
      </c>
      <c r="FX237" s="8" t="n">
        <v>34500</v>
      </c>
      <c r="FY237" s="8" t="n">
        <v>145599</v>
      </c>
      <c r="FZ237" s="8" t="n">
        <v>11800</v>
      </c>
      <c r="GA237" s="9">
        <f>FW237+FX237+FY237+FZ237</f>
        <v/>
      </c>
      <c r="GB237" s="9">
        <f>FV237+GA237</f>
        <v/>
      </c>
      <c r="GC237" s="8" t="n">
        <v>1648794.89</v>
      </c>
      <c r="GD237" s="8" t="n">
        <v>34047.84</v>
      </c>
      <c r="GE237" s="8" t="n">
        <v>35881.61</v>
      </c>
      <c r="GF237" s="8" t="n">
        <v>69199.45</v>
      </c>
      <c r="GG237" s="9">
        <f>GC237+GD237+GE237+GF237</f>
        <v/>
      </c>
      <c r="GH237" s="8" t="n">
        <v>3212568.18</v>
      </c>
      <c r="GI237" s="8" t="n">
        <v>34500</v>
      </c>
      <c r="GJ237" s="8" t="n">
        <v>11800</v>
      </c>
      <c r="GK237" s="8" t="n">
        <v>145599</v>
      </c>
      <c r="GL237" s="9">
        <f>GH237+GI237+GJ237+GK237</f>
        <v/>
      </c>
      <c r="GM237" s="9">
        <f>GG237+GL237</f>
        <v/>
      </c>
      <c r="GN237" s="8" t="n">
        <v>117159.95</v>
      </c>
      <c r="GO237" s="8" t="n">
        <v>1147.68</v>
      </c>
      <c r="GP237" s="8" t="n">
        <v>10180.92</v>
      </c>
      <c r="GQ237" s="8" t="n">
        <v>4637.34</v>
      </c>
      <c r="GR237" s="9">
        <f>GN237+GO237+GP237+GQ237</f>
        <v/>
      </c>
      <c r="GS237" s="8" t="n">
        <v>191995</v>
      </c>
      <c r="GT237" s="8" t="n">
        <v>5358</v>
      </c>
      <c r="GU237" s="8" t="n">
        <v>2679</v>
      </c>
      <c r="GV237" s="8" t="n">
        <v>893</v>
      </c>
      <c r="GW237" s="9">
        <f>GS237+GT237+GU237+GV237</f>
        <v/>
      </c>
      <c r="GX237" s="9">
        <f>GM237+GR237+GW237</f>
        <v/>
      </c>
      <c r="GY237" s="8" t="n">
        <v>841315.5</v>
      </c>
      <c r="GZ237" s="8" t="n">
        <v>209761.21</v>
      </c>
      <c r="HA237" s="9">
        <f>GY237+GZ237</f>
        <v/>
      </c>
      <c r="HB237" s="9">
        <f>IF(GX237=0,"",AU237/GX237)</f>
        <v/>
      </c>
      <c r="HC237" s="10">
        <f>IF((GX237+GY237)=0,"",GB237/(GX237+GY237))</f>
        <v/>
      </c>
      <c r="HD237" s="9">
        <f>IF(GX237=0,"",GB237/GX237)</f>
        <v/>
      </c>
      <c r="HE237" s="8" t="n">
        <v>15</v>
      </c>
      <c r="HF237" s="8" t="n">
        <v>3</v>
      </c>
      <c r="HG237" s="8" t="n">
        <v>246</v>
      </c>
      <c r="HH237" s="8" t="n">
        <v>15</v>
      </c>
      <c r="HI237" s="8" t="n">
        <v>7</v>
      </c>
      <c r="HJ237" s="9">
        <f>HF237+HI237</f>
        <v/>
      </c>
      <c r="HK237" s="10">
        <f>IF(HE237=0,"",HH237/HE237)</f>
        <v/>
      </c>
      <c r="HL237" s="8" t="n">
        <v>4</v>
      </c>
      <c r="HM237" s="8" t="n">
        <v>3</v>
      </c>
      <c r="HN237" s="11">
        <f>IF(HL237=0,"",HM237/HL237)</f>
        <v/>
      </c>
    </row>
    <row r="238">
      <c r="A238" s="12" t="inlineStr">
        <is>
          <t>Ngabu</t>
        </is>
      </c>
      <c r="B238" s="12" t="inlineStr">
        <is>
          <t>Miseu Folo</t>
        </is>
      </c>
      <c r="C238" s="13" t="inlineStr">
        <is>
          <t>FY2025/26</t>
        </is>
      </c>
      <c r="D238" s="13" t="n">
        <v>2025</v>
      </c>
      <c r="E238" s="13" t="n">
        <v>11</v>
      </c>
      <c r="F238" s="13" t="inlineStr">
        <is>
          <t>November</t>
        </is>
      </c>
      <c r="G238" s="13" t="inlineStr">
        <is>
          <t>Q3</t>
        </is>
      </c>
      <c r="H238" s="14" t="n">
        <v>5438</v>
      </c>
      <c r="I238" s="14" t="n">
        <v>1579</v>
      </c>
      <c r="J238" s="14" t="n">
        <v>195</v>
      </c>
      <c r="K238" s="14" t="n">
        <v>6</v>
      </c>
      <c r="L238" s="14" t="n">
        <v>14</v>
      </c>
      <c r="M238" s="15">
        <f>SUM(I238,J238,K238,L238)</f>
        <v/>
      </c>
      <c r="N238" s="14" t="n">
        <v>2198</v>
      </c>
      <c r="O238" s="14" t="n">
        <v>191</v>
      </c>
      <c r="P238" s="14" t="n">
        <v>6</v>
      </c>
      <c r="Q238" s="14" t="n">
        <v>24</v>
      </c>
      <c r="R238" s="15">
        <f>SUM(N238,O238,P238,Q238)</f>
        <v/>
      </c>
      <c r="S238" s="15">
        <f>M238+R238</f>
        <v/>
      </c>
      <c r="T238" s="14" t="n">
        <v>1225</v>
      </c>
      <c r="U238" s="16">
        <f>IF(H238=0,"",T238/H238)</f>
        <v/>
      </c>
      <c r="V238" s="14" t="n">
        <v>7</v>
      </c>
      <c r="W238" s="17">
        <f>IF(H238=0,"",V238/H238)</f>
        <v/>
      </c>
      <c r="X238" s="14" t="n">
        <v>0</v>
      </c>
      <c r="Y238" s="17">
        <f>IF(H238=0,"",X238/H238)</f>
        <v/>
      </c>
      <c r="Z238" s="14" t="n">
        <v>0</v>
      </c>
      <c r="AA238" s="17">
        <f>IF(H238=0,"",Z238/H238)</f>
        <v/>
      </c>
      <c r="AB238" s="14" t="n">
        <v>0</v>
      </c>
      <c r="AC238" s="17">
        <f>IF(H238=0,"",AB238/H238)</f>
        <v/>
      </c>
      <c r="AD238" s="14" t="n">
        <v>0</v>
      </c>
      <c r="AE238" s="17">
        <f>IF(H238=0,"",AD238/H238)</f>
        <v/>
      </c>
      <c r="AF238" s="14" t="n">
        <v>0</v>
      </c>
      <c r="AG238" s="17">
        <f>IF(H238=0,"",AF238/H238)</f>
        <v/>
      </c>
      <c r="AH238" s="14" t="n">
        <v>24677.03</v>
      </c>
      <c r="AI238" s="15">
        <f>IF(H238=0,"",AH238/H238)</f>
        <v/>
      </c>
      <c r="AJ238" s="14" t="n">
        <v>1644</v>
      </c>
      <c r="AK238" s="17">
        <f>IF(H238=0,"",AJ238/H238)</f>
        <v/>
      </c>
      <c r="AL238" s="14" t="n">
        <v>244533.966</v>
      </c>
      <c r="AM238" s="15">
        <f>IF(H238=0,"",AL238/H238)</f>
        <v/>
      </c>
      <c r="AN238" s="14" t="n">
        <v>0</v>
      </c>
      <c r="AO238" s="14" t="n">
        <v>0</v>
      </c>
      <c r="AP238" s="14" t="n">
        <v>0</v>
      </c>
      <c r="AQ238" s="14" t="n">
        <v>0</v>
      </c>
      <c r="AR238" s="14" t="n">
        <v>0</v>
      </c>
      <c r="AS238" s="14" t="n">
        <v>0</v>
      </c>
      <c r="AT238" s="14" t="n">
        <v>0</v>
      </c>
      <c r="AU238" s="15">
        <f>AH238+AL238+AP238+AQ238+AR238+AS238+AT238</f>
        <v/>
      </c>
      <c r="AV238" s="15">
        <f>IF(H238=0,"",AU238/H238)</f>
        <v/>
      </c>
      <c r="AW238" s="15">
        <f>IF(S238=0,"",AU238/S238)</f>
        <v/>
      </c>
      <c r="AX238" s="14" t="n">
        <v>7</v>
      </c>
      <c r="AY238" s="15">
        <f>IF(H238=0,"",AX238/(H238/1000/12))</f>
        <v/>
      </c>
      <c r="AZ238" s="14" t="n">
        <v>3</v>
      </c>
      <c r="BA238" s="14" t="n">
        <v>246</v>
      </c>
      <c r="BB238" s="14" t="n">
        <v>12</v>
      </c>
      <c r="BC238" s="14" t="n">
        <v>5</v>
      </c>
      <c r="BD238" s="14" t="n">
        <v>0</v>
      </c>
      <c r="BE238" s="15">
        <f>BC238+BD238</f>
        <v/>
      </c>
      <c r="BF238" s="15">
        <f>BA238+BB238-BE238</f>
        <v/>
      </c>
      <c r="BG238" s="14" t="n">
        <v>0</v>
      </c>
      <c r="BH238" s="14" t="n">
        <v>0</v>
      </c>
      <c r="BI238" s="14" t="n">
        <v>0</v>
      </c>
      <c r="BJ238" s="14" t="n">
        <v>0</v>
      </c>
      <c r="BK238" s="15">
        <f>BI238+BJ238</f>
        <v/>
      </c>
      <c r="BL238" s="15">
        <f>BG238+BH238-BK238</f>
        <v/>
      </c>
      <c r="BM238" s="14" t="n">
        <v>0</v>
      </c>
      <c r="BN238" s="14" t="n">
        <v>0</v>
      </c>
      <c r="BO238" s="14" t="n">
        <v>0</v>
      </c>
      <c r="BP238" s="14" t="n">
        <v>0</v>
      </c>
      <c r="BQ238" s="15">
        <f>BO238+BP238</f>
        <v/>
      </c>
      <c r="BR238" s="15">
        <f>BM238+BN238-BQ238</f>
        <v/>
      </c>
      <c r="BS238" s="14" t="n">
        <v>0</v>
      </c>
      <c r="BT238" s="14" t="n">
        <v>0</v>
      </c>
      <c r="BU238" s="14" t="n">
        <v>0</v>
      </c>
      <c r="BV238" s="14" t="n">
        <v>0</v>
      </c>
      <c r="BW238" s="15">
        <f>BU238+BV238</f>
        <v/>
      </c>
      <c r="BX238" s="15">
        <f>BS238+BT238-BW238</f>
        <v/>
      </c>
      <c r="BY238" s="15">
        <f>BA238+BG238+BM238+BS238</f>
        <v/>
      </c>
      <c r="BZ238" s="15">
        <f>BB238+BH238+BN238+BT238</f>
        <v/>
      </c>
      <c r="CA238" s="15">
        <f>BE238+BK238+BQ238+BW238</f>
        <v/>
      </c>
      <c r="CB238" s="15">
        <f>BF238+BL238+BR238+BX238</f>
        <v/>
      </c>
      <c r="CC238" s="14" t="n">
        <v>0</v>
      </c>
      <c r="CD238" s="14" t="n">
        <v>0</v>
      </c>
      <c r="CE238" s="14" t="n">
        <v>0</v>
      </c>
      <c r="CF238" s="14" t="n">
        <v>0</v>
      </c>
      <c r="CG238" s="14" t="n">
        <v>0</v>
      </c>
      <c r="CH238" s="15">
        <f>CD238+CE238+CF238+CG238</f>
        <v/>
      </c>
      <c r="CI238" s="14" t="n">
        <v>74</v>
      </c>
      <c r="CJ238" s="14" t="n">
        <v>0</v>
      </c>
      <c r="CK238" s="14" t="n">
        <v>0</v>
      </c>
      <c r="CL238" s="14" t="n">
        <v>0</v>
      </c>
      <c r="CM238" s="15">
        <f>CI238+CJ238+CK238+CL238</f>
        <v/>
      </c>
      <c r="CN238" s="14" t="n">
        <v>680</v>
      </c>
      <c r="CO238" s="14" t="n">
        <v>10</v>
      </c>
      <c r="CP238" s="14" t="n">
        <v>6</v>
      </c>
      <c r="CQ238" s="14" t="n">
        <v>14</v>
      </c>
      <c r="CR238" s="15">
        <f>CN238+CO238+CP238+CQ238</f>
        <v/>
      </c>
      <c r="CS238" s="15">
        <f>CM238+CR238</f>
        <v/>
      </c>
      <c r="CT238" s="14" t="n">
        <v>784</v>
      </c>
      <c r="CU238" s="14" t="n">
        <v>7293.29414579236</v>
      </c>
      <c r="CV238" s="14" t="n">
        <v>5421</v>
      </c>
      <c r="CW238" s="16">
        <f>IF(CU238=0,"",CV238/CU238)</f>
        <v/>
      </c>
      <c r="CX238" s="14" t="n">
        <v>0</v>
      </c>
      <c r="CY238" s="14" t="n"/>
      <c r="CZ238" s="14" t="n"/>
      <c r="DA238" s="14" t="n"/>
      <c r="DB238" s="15">
        <f>CX238+CY238-CZ238-DA238</f>
        <v/>
      </c>
      <c r="DC238" s="14" t="n">
        <v>0</v>
      </c>
      <c r="DD238" s="14" t="n">
        <v>0</v>
      </c>
      <c r="DE238" s="14" t="n">
        <v>0</v>
      </c>
      <c r="DF238" s="14" t="n">
        <v>0</v>
      </c>
      <c r="DG238" s="15">
        <f>DC238+DD238-DE238-DF238</f>
        <v/>
      </c>
      <c r="DH238" s="14" t="n">
        <v>0</v>
      </c>
      <c r="DI238" s="14" t="n">
        <v>0</v>
      </c>
      <c r="DJ238" s="14" t="n">
        <v>0</v>
      </c>
      <c r="DK238" s="14" t="n">
        <v>0</v>
      </c>
      <c r="DL238" s="15">
        <f>DH238+DI238-DJ238-DK238</f>
        <v/>
      </c>
      <c r="DM238" s="14" t="n">
        <v>0</v>
      </c>
      <c r="DN238" s="14" t="n">
        <v>0</v>
      </c>
      <c r="DO238" s="14" t="n">
        <v>0</v>
      </c>
      <c r="DP238" s="14" t="n">
        <v>0</v>
      </c>
      <c r="DQ238" s="15">
        <f>DM238+DN238-DO238-DP238</f>
        <v/>
      </c>
      <c r="DR238" s="15">
        <f>CX238+DC238+DH238+DM238</f>
        <v/>
      </c>
      <c r="DS238" s="15">
        <f>CY238+DD238+DI238+DN238</f>
        <v/>
      </c>
      <c r="DT238" s="15">
        <f>CZ238+DE238+DJ238+DO238</f>
        <v/>
      </c>
      <c r="DU238" s="15">
        <f>DA238+DF238+DK238+DP238</f>
        <v/>
      </c>
      <c r="DV238" s="15">
        <f>DB238+DG238+DL238+DQ238</f>
        <v/>
      </c>
      <c r="DW238" s="14" t="n">
        <v>14</v>
      </c>
      <c r="DX238" s="14" t="n">
        <v>6</v>
      </c>
      <c r="DY238" s="14" t="n">
        <v>0</v>
      </c>
      <c r="DZ238" s="14" t="n">
        <v>3</v>
      </c>
      <c r="EA238" s="14" t="n">
        <v>1</v>
      </c>
      <c r="EB238" s="14" t="n">
        <v>4</v>
      </c>
      <c r="EC238" s="14" t="n">
        <v>0</v>
      </c>
      <c r="ED238" s="14" t="n">
        <v>4</v>
      </c>
      <c r="EE238" s="14" t="n">
        <v>2</v>
      </c>
      <c r="EF238" s="14" t="n">
        <v>0</v>
      </c>
      <c r="EG238" s="14" t="n">
        <v>0</v>
      </c>
      <c r="EH238" s="14" t="n">
        <v>0</v>
      </c>
      <c r="EI238" s="14" t="n">
        <v>0</v>
      </c>
      <c r="EJ238" s="14" t="n">
        <v>6</v>
      </c>
      <c r="EK238" s="14" t="n">
        <v>1</v>
      </c>
      <c r="EL238" s="14" t="n">
        <v>0</v>
      </c>
      <c r="EM238" s="14" t="n">
        <v>0</v>
      </c>
      <c r="EN238" s="14" t="n">
        <v>0</v>
      </c>
      <c r="EO238" s="14" t="n">
        <v>0</v>
      </c>
      <c r="EP238" s="14" t="n">
        <v>0</v>
      </c>
      <c r="EQ238" s="14" t="n">
        <v>0</v>
      </c>
      <c r="ER238" s="14" t="n">
        <v>0</v>
      </c>
      <c r="ES238" s="14" t="n">
        <v>0</v>
      </c>
      <c r="ET238" s="14" t="n">
        <v>0</v>
      </c>
      <c r="EU238" s="14" t="n">
        <v>0</v>
      </c>
      <c r="EV238" s="14" t="n">
        <v>0</v>
      </c>
      <c r="EW238" s="14" t="n">
        <v>0</v>
      </c>
      <c r="EX238" s="14" t="n">
        <v>0</v>
      </c>
      <c r="EY238" s="14" t="n">
        <v>0</v>
      </c>
      <c r="EZ238" s="14" t="n">
        <v>0</v>
      </c>
      <c r="FA238" s="14" t="n">
        <v>0</v>
      </c>
      <c r="FB238" s="14" t="n">
        <v>0</v>
      </c>
      <c r="FC238" s="14" t="n">
        <v>0</v>
      </c>
      <c r="FD238" s="14" t="n">
        <v>0</v>
      </c>
      <c r="FE238" s="14" t="n">
        <v>0</v>
      </c>
      <c r="FF238" s="14" t="n">
        <v>0</v>
      </c>
      <c r="FG238" s="15">
        <f>SUM(DW238,DX238,DY238,DZ238,EA238,EB238,EC238,ED238,EE238,EF238,EG238,EH238,EI238,EJ238,EK238,EL238,EM238,EN238,EO238,EP238,EQ238,ER238,ES238,ET238,EU238,EV238,EW238,EX238,EY238,EZ238,FA238,FB238,FC238,FD238,FE238,FF238)</f>
        <v/>
      </c>
      <c r="FH238" s="14" t="n">
        <v>0</v>
      </c>
      <c r="FI238" s="14" t="n">
        <v>0</v>
      </c>
      <c r="FJ238" s="14" t="n">
        <v>0</v>
      </c>
      <c r="FK238" s="14" t="n">
        <v>0</v>
      </c>
      <c r="FL238" s="14" t="n">
        <v>0</v>
      </c>
      <c r="FM238" s="14" t="n">
        <v>0</v>
      </c>
      <c r="FN238" s="14" t="n">
        <v>0</v>
      </c>
      <c r="FO238" s="14" t="n">
        <v>0</v>
      </c>
      <c r="FP238" s="14" t="n">
        <v>0</v>
      </c>
      <c r="FQ238" s="15">
        <f>FL238+FM238+FN238+FO238+FP238</f>
        <v/>
      </c>
      <c r="FR238" s="14" t="n">
        <v>595050</v>
      </c>
      <c r="FS238" s="14" t="n">
        <v>0</v>
      </c>
      <c r="FT238" s="14" t="n">
        <v>0</v>
      </c>
      <c r="FU238" s="14" t="n">
        <v>13600</v>
      </c>
      <c r="FV238" s="15">
        <f>FR238+FS238+FT238+FU238</f>
        <v/>
      </c>
      <c r="FW238" s="14" t="n">
        <v>2743651</v>
      </c>
      <c r="FX238" s="14" t="n">
        <v>40700</v>
      </c>
      <c r="FY238" s="14" t="n">
        <v>114000</v>
      </c>
      <c r="FZ238" s="14" t="n">
        <v>18718</v>
      </c>
      <c r="GA238" s="15">
        <f>FW238+FX238+FY238+FZ238</f>
        <v/>
      </c>
      <c r="GB238" s="15">
        <f>FV238+GA238</f>
        <v/>
      </c>
      <c r="GC238" s="14" t="n">
        <v>1478513.65</v>
      </c>
      <c r="GD238" s="14" t="n">
        <v>37299.6</v>
      </c>
      <c r="GE238" s="14" t="n">
        <v>27895.13</v>
      </c>
      <c r="GF238" s="14" t="n">
        <v>45111.31</v>
      </c>
      <c r="GG238" s="15">
        <f>GC238+GD238+GE238+GF238</f>
        <v/>
      </c>
      <c r="GH238" s="14" t="n">
        <v>2727811.06</v>
      </c>
      <c r="GI238" s="14" t="n">
        <v>40700</v>
      </c>
      <c r="GJ238" s="14" t="n">
        <v>18718</v>
      </c>
      <c r="GK238" s="14" t="n">
        <v>114000</v>
      </c>
      <c r="GL238" s="15">
        <f>GH238+GI238+GJ238+GK238</f>
        <v/>
      </c>
      <c r="GM238" s="15">
        <f>GG238+GL238</f>
        <v/>
      </c>
      <c r="GN238" s="14" t="n">
        <v>120974.46</v>
      </c>
      <c r="GO238" s="14" t="n">
        <v>1338.96</v>
      </c>
      <c r="GP238" s="14" t="n">
        <v>10180.92</v>
      </c>
      <c r="GQ238" s="14" t="n">
        <v>4637.34</v>
      </c>
      <c r="GR238" s="15">
        <f>GN238+GO238+GP238+GQ238</f>
        <v/>
      </c>
      <c r="GS238" s="14" t="n">
        <v>198246</v>
      </c>
      <c r="GT238" s="14" t="n">
        <v>6251</v>
      </c>
      <c r="GU238" s="14" t="n">
        <v>2679</v>
      </c>
      <c r="GV238" s="14" t="n">
        <v>893</v>
      </c>
      <c r="GW238" s="15">
        <f>GS238+GT238+GU238+GV238</f>
        <v/>
      </c>
      <c r="GX238" s="15">
        <f>GM238+GR238+GW238</f>
        <v/>
      </c>
      <c r="GY238" s="14" t="n">
        <v>9712484.779999999</v>
      </c>
      <c r="GZ238" s="14" t="n">
        <v>236916.26</v>
      </c>
      <c r="HA238" s="15">
        <f>GY238+GZ238</f>
        <v/>
      </c>
      <c r="HB238" s="15">
        <f>IF(GX238=0,"",AU238/GX238)</f>
        <v/>
      </c>
      <c r="HC238" s="16">
        <f>IF((GX238+GY238)=0,"",GB238/(GX238+GY238))</f>
        <v/>
      </c>
      <c r="HD238" s="15">
        <f>IF(GX238=0,"",GB238/GX238)</f>
        <v/>
      </c>
      <c r="HE238" s="14" t="n">
        <v>12</v>
      </c>
      <c r="HF238" s="14" t="n">
        <v>3</v>
      </c>
      <c r="HG238" s="14" t="n">
        <v>253</v>
      </c>
      <c r="HH238" s="14" t="n">
        <v>12</v>
      </c>
      <c r="HI238" s="14" t="n">
        <v>5</v>
      </c>
      <c r="HJ238" s="15">
        <f>HF238+HI238</f>
        <v/>
      </c>
      <c r="HK238" s="16">
        <f>IF(HE238=0,"",HH238/HE238)</f>
        <v/>
      </c>
      <c r="HL238" s="14" t="n">
        <v>7</v>
      </c>
      <c r="HM238" s="14" t="n">
        <v>2</v>
      </c>
      <c r="HN238" s="17">
        <f>IF(HL238=0,"",HM238/HL238)</f>
        <v/>
      </c>
    </row>
    <row r="239">
      <c r="A239" s="6" t="inlineStr">
        <is>
          <t>Ngabu</t>
        </is>
      </c>
      <c r="B239" s="6" t="inlineStr">
        <is>
          <t>Miseu Folo</t>
        </is>
      </c>
      <c r="C239" s="7" t="inlineStr">
        <is>
          <t>FY2025/26</t>
        </is>
      </c>
      <c r="D239" s="7" t="n">
        <v>2025</v>
      </c>
      <c r="E239" s="7" t="n">
        <v>12</v>
      </c>
      <c r="F239" s="7" t="inlineStr">
        <is>
          <t>December</t>
        </is>
      </c>
      <c r="G239" s="7" t="inlineStr">
        <is>
          <t>Q3</t>
        </is>
      </c>
      <c r="H239" s="8" t="n">
        <v>5006</v>
      </c>
      <c r="I239" s="8" t="n">
        <v>1287</v>
      </c>
      <c r="J239" s="8" t="n">
        <v>172</v>
      </c>
      <c r="K239" s="8" t="n">
        <v>0</v>
      </c>
      <c r="L239" s="8" t="n">
        <v>11</v>
      </c>
      <c r="M239" s="9">
        <f>SUM(I239,J239,K239,L239)</f>
        <v/>
      </c>
      <c r="N239" s="8" t="n">
        <v>2182</v>
      </c>
      <c r="O239" s="8" t="n">
        <v>175</v>
      </c>
      <c r="P239" s="8" t="n">
        <v>5</v>
      </c>
      <c r="Q239" s="8" t="n">
        <v>25</v>
      </c>
      <c r="R239" s="9">
        <f>SUM(N239,O239,P239,Q239)</f>
        <v/>
      </c>
      <c r="S239" s="9">
        <f>M239+R239</f>
        <v/>
      </c>
      <c r="T239" s="8" t="n">
        <v>1149</v>
      </c>
      <c r="U239" s="10">
        <f>IF(H239=0,"",T239/H239)</f>
        <v/>
      </c>
      <c r="V239" s="8" t="n">
        <v>7</v>
      </c>
      <c r="W239" s="11">
        <f>IF(H239=0,"",V239/H239)</f>
        <v/>
      </c>
      <c r="X239" s="8" t="n">
        <v>0</v>
      </c>
      <c r="Y239" s="11">
        <f>IF(H239=0,"",X239/H239)</f>
        <v/>
      </c>
      <c r="Z239" s="8" t="n">
        <v>0</v>
      </c>
      <c r="AA239" s="11">
        <f>IF(H239=0,"",Z239/H239)</f>
        <v/>
      </c>
      <c r="AB239" s="8" t="n">
        <v>0</v>
      </c>
      <c r="AC239" s="11">
        <f>IF(H239=0,"",AB239/H239)</f>
        <v/>
      </c>
      <c r="AD239" s="8" t="n">
        <v>0</v>
      </c>
      <c r="AE239" s="11">
        <f>IF(H239=0,"",AD239/H239)</f>
        <v/>
      </c>
      <c r="AF239" s="8" t="n">
        <v>0</v>
      </c>
      <c r="AG239" s="11">
        <f>IF(H239=0,"",AF239/H239)</f>
        <v/>
      </c>
      <c r="AH239" s="8" t="n">
        <v>24677.03</v>
      </c>
      <c r="AI239" s="9">
        <f>IF(H239=0,"",AH239/H239)</f>
        <v/>
      </c>
      <c r="AJ239" s="8" t="n">
        <v>1494</v>
      </c>
      <c r="AK239" s="11">
        <f>IF(H239=0,"",AJ239/H239)</f>
        <v/>
      </c>
      <c r="AL239" s="8" t="n">
        <v>223721.241</v>
      </c>
      <c r="AM239" s="9">
        <f>IF(H239=0,"",AL239/H239)</f>
        <v/>
      </c>
      <c r="AN239" s="8" t="n">
        <v>0</v>
      </c>
      <c r="AO239" s="8" t="n">
        <v>0</v>
      </c>
      <c r="AP239" s="8" t="n">
        <v>0</v>
      </c>
      <c r="AQ239" s="8" t="n">
        <v>0</v>
      </c>
      <c r="AR239" s="8" t="n">
        <v>0</v>
      </c>
      <c r="AS239" s="8" t="n">
        <v>0</v>
      </c>
      <c r="AT239" s="8" t="n">
        <v>0</v>
      </c>
      <c r="AU239" s="9">
        <f>AH239+AL239+AP239+AQ239+AR239+AS239+AT239</f>
        <v/>
      </c>
      <c r="AV239" s="9">
        <f>IF(H239=0,"",AU239/H239)</f>
        <v/>
      </c>
      <c r="AW239" s="9">
        <f>IF(S239=0,"",AU239/S239)</f>
        <v/>
      </c>
      <c r="AX239" s="8" t="n">
        <v>7</v>
      </c>
      <c r="AY239" s="9">
        <f>IF(H239=0,"",AX239/(H239/1000/12))</f>
        <v/>
      </c>
      <c r="AZ239" s="8" t="n">
        <v>3</v>
      </c>
      <c r="BA239" s="8" t="n">
        <v>253</v>
      </c>
      <c r="BB239" s="8" t="n">
        <v>5</v>
      </c>
      <c r="BC239" s="8" t="n">
        <v>3</v>
      </c>
      <c r="BD239" s="8" t="n">
        <v>0</v>
      </c>
      <c r="BE239" s="9">
        <f>BC239+BD239</f>
        <v/>
      </c>
      <c r="BF239" s="9">
        <f>BA239+BB239-BE239</f>
        <v/>
      </c>
      <c r="BG239" s="8" t="n">
        <v>0</v>
      </c>
      <c r="BH239" s="8" t="n">
        <v>0</v>
      </c>
      <c r="BI239" s="8" t="n">
        <v>0</v>
      </c>
      <c r="BJ239" s="8" t="n">
        <v>0</v>
      </c>
      <c r="BK239" s="9">
        <f>BI239+BJ239</f>
        <v/>
      </c>
      <c r="BL239" s="9">
        <f>BG239+BH239-BK239</f>
        <v/>
      </c>
      <c r="BM239" s="8" t="n">
        <v>0</v>
      </c>
      <c r="BN239" s="8" t="n">
        <v>0</v>
      </c>
      <c r="BO239" s="8" t="n">
        <v>0</v>
      </c>
      <c r="BP239" s="8" t="n">
        <v>0</v>
      </c>
      <c r="BQ239" s="9">
        <f>BO239+BP239</f>
        <v/>
      </c>
      <c r="BR239" s="9">
        <f>BM239+BN239-BQ239</f>
        <v/>
      </c>
      <c r="BS239" s="8" t="n">
        <v>0</v>
      </c>
      <c r="BT239" s="8" t="n">
        <v>0</v>
      </c>
      <c r="BU239" s="8" t="n">
        <v>0</v>
      </c>
      <c r="BV239" s="8" t="n">
        <v>0</v>
      </c>
      <c r="BW239" s="9">
        <f>BU239+BV239</f>
        <v/>
      </c>
      <c r="BX239" s="9">
        <f>BS239+BT239-BW239</f>
        <v/>
      </c>
      <c r="BY239" s="9">
        <f>BA239+BG239+BM239+BS239</f>
        <v/>
      </c>
      <c r="BZ239" s="9">
        <f>BB239+BH239+BN239+BT239</f>
        <v/>
      </c>
      <c r="CA239" s="9">
        <f>BE239+BK239+BQ239+BW239</f>
        <v/>
      </c>
      <c r="CB239" s="9">
        <f>BF239+BL239+BR239+BX239</f>
        <v/>
      </c>
      <c r="CC239" s="8" t="n">
        <v>0</v>
      </c>
      <c r="CD239" s="8" t="n">
        <v>0</v>
      </c>
      <c r="CE239" s="8" t="n">
        <v>0</v>
      </c>
      <c r="CF239" s="8" t="n">
        <v>0</v>
      </c>
      <c r="CG239" s="8" t="n">
        <v>0</v>
      </c>
      <c r="CH239" s="9">
        <f>CD239+CE239+CF239+CG239</f>
        <v/>
      </c>
      <c r="CI239" s="8" t="n">
        <v>77</v>
      </c>
      <c r="CJ239" s="8" t="n">
        <v>0</v>
      </c>
      <c r="CK239" s="8" t="n">
        <v>0</v>
      </c>
      <c r="CL239" s="8" t="n">
        <v>0</v>
      </c>
      <c r="CM239" s="9">
        <f>CI239+CJ239+CK239+CL239</f>
        <v/>
      </c>
      <c r="CN239" s="8" t="n">
        <v>680</v>
      </c>
      <c r="CO239" s="8" t="n">
        <v>10</v>
      </c>
      <c r="CP239" s="8" t="n">
        <v>6</v>
      </c>
      <c r="CQ239" s="8" t="n">
        <v>14</v>
      </c>
      <c r="CR239" s="9">
        <f>CN239+CO239+CP239+CQ239</f>
        <v/>
      </c>
      <c r="CS239" s="9">
        <f>CM239+CR239</f>
        <v/>
      </c>
      <c r="CT239" s="8" t="n">
        <v>787</v>
      </c>
      <c r="CU239" s="8" t="n">
        <v>7307.88073408394</v>
      </c>
      <c r="CV239" s="8" t="n">
        <v>5421</v>
      </c>
      <c r="CW239" s="10">
        <f>IF(CU239=0,"",CV239/CU239)</f>
        <v/>
      </c>
      <c r="CX239" s="8" t="n">
        <v>0</v>
      </c>
      <c r="CY239" s="8" t="n"/>
      <c r="CZ239" s="8" t="n"/>
      <c r="DA239" s="8" t="n"/>
      <c r="DB239" s="9">
        <f>CX239+CY239-CZ239-DA239</f>
        <v/>
      </c>
      <c r="DC239" s="8" t="n">
        <v>0</v>
      </c>
      <c r="DD239" s="8" t="n">
        <v>0</v>
      </c>
      <c r="DE239" s="8" t="n">
        <v>0</v>
      </c>
      <c r="DF239" s="8" t="n">
        <v>0</v>
      </c>
      <c r="DG239" s="9">
        <f>DC239+DD239-DE239-DF239</f>
        <v/>
      </c>
      <c r="DH239" s="8" t="n">
        <v>0</v>
      </c>
      <c r="DI239" s="8" t="n">
        <v>0</v>
      </c>
      <c r="DJ239" s="8" t="n">
        <v>0</v>
      </c>
      <c r="DK239" s="8" t="n">
        <v>0</v>
      </c>
      <c r="DL239" s="9">
        <f>DH239+DI239-DJ239-DK239</f>
        <v/>
      </c>
      <c r="DM239" s="8" t="n">
        <v>0</v>
      </c>
      <c r="DN239" s="8" t="n">
        <v>0</v>
      </c>
      <c r="DO239" s="8" t="n">
        <v>0</v>
      </c>
      <c r="DP239" s="8" t="n">
        <v>0</v>
      </c>
      <c r="DQ239" s="9">
        <f>DM239+DN239-DO239-DP239</f>
        <v/>
      </c>
      <c r="DR239" s="9">
        <f>CX239+DC239+DH239+DM239</f>
        <v/>
      </c>
      <c r="DS239" s="9">
        <f>CY239+DD239+DI239+DN239</f>
        <v/>
      </c>
      <c r="DT239" s="9">
        <f>CZ239+DE239+DJ239+DO239</f>
        <v/>
      </c>
      <c r="DU239" s="9">
        <f>DA239+DF239+DK239+DP239</f>
        <v/>
      </c>
      <c r="DV239" s="9">
        <f>DB239+DG239+DL239+DQ239</f>
        <v/>
      </c>
      <c r="DW239" s="8" t="n">
        <v>12</v>
      </c>
      <c r="DX239" s="8" t="n">
        <v>4</v>
      </c>
      <c r="DY239" s="8" t="n">
        <v>0</v>
      </c>
      <c r="DZ239" s="8" t="n">
        <v>0</v>
      </c>
      <c r="EA239" s="8" t="n">
        <v>3</v>
      </c>
      <c r="EB239" s="8" t="n">
        <v>1</v>
      </c>
      <c r="EC239" s="8" t="n">
        <v>0</v>
      </c>
      <c r="ED239" s="8" t="n">
        <v>3</v>
      </c>
      <c r="EE239" s="8" t="n">
        <v>4</v>
      </c>
      <c r="EF239" s="8" t="n">
        <v>0</v>
      </c>
      <c r="EG239" s="8" t="n">
        <v>0</v>
      </c>
      <c r="EH239" s="8" t="n">
        <v>0</v>
      </c>
      <c r="EI239" s="8" t="n">
        <v>0</v>
      </c>
      <c r="EJ239" s="8" t="n">
        <v>4</v>
      </c>
      <c r="EK239" s="8" t="n">
        <v>1</v>
      </c>
      <c r="EL239" s="8" t="n">
        <v>0</v>
      </c>
      <c r="EM239" s="8" t="n">
        <v>0</v>
      </c>
      <c r="EN239" s="8" t="n">
        <v>0</v>
      </c>
      <c r="EO239" s="8" t="n">
        <v>0</v>
      </c>
      <c r="EP239" s="8" t="n">
        <v>0</v>
      </c>
      <c r="EQ239" s="8" t="n">
        <v>0</v>
      </c>
      <c r="ER239" s="8" t="n">
        <v>0</v>
      </c>
      <c r="ES239" s="8" t="n">
        <v>0</v>
      </c>
      <c r="ET239" s="8" t="n">
        <v>0</v>
      </c>
      <c r="EU239" s="8" t="n">
        <v>0</v>
      </c>
      <c r="EV239" s="8" t="n">
        <v>0</v>
      </c>
      <c r="EW239" s="8" t="n">
        <v>0</v>
      </c>
      <c r="EX239" s="8" t="n">
        <v>0</v>
      </c>
      <c r="EY239" s="8" t="n">
        <v>0</v>
      </c>
      <c r="EZ239" s="8" t="n">
        <v>0</v>
      </c>
      <c r="FA239" s="8" t="n">
        <v>0</v>
      </c>
      <c r="FB239" s="8" t="n">
        <v>0</v>
      </c>
      <c r="FC239" s="8" t="n">
        <v>0</v>
      </c>
      <c r="FD239" s="8" t="n">
        <v>0</v>
      </c>
      <c r="FE239" s="8" t="n">
        <v>0</v>
      </c>
      <c r="FF239" s="8" t="n">
        <v>0</v>
      </c>
      <c r="FG239" s="9">
        <f>SUM(DW239,DX239,DY239,DZ239,EA239,EB239,EC239,ED239,EE239,EF239,EG239,EH239,EI239,EJ239,EK239,EL239,EM239,EN239,EO239,EP239,EQ239,ER239,ES239,ET239,EU239,EV239,EW239,EX239,EY239,EZ239,FA239,FB239,FC239,FD239,FE239,FF239)</f>
        <v/>
      </c>
      <c r="FH239" s="8" t="n">
        <v>0</v>
      </c>
      <c r="FI239" s="8" t="n">
        <v>0</v>
      </c>
      <c r="FJ239" s="8" t="n">
        <v>0</v>
      </c>
      <c r="FK239" s="8" t="n">
        <v>0</v>
      </c>
      <c r="FL239" s="8" t="n">
        <v>0</v>
      </c>
      <c r="FM239" s="8" t="n">
        <v>0</v>
      </c>
      <c r="FN239" s="8" t="n">
        <v>0</v>
      </c>
      <c r="FO239" s="8" t="n">
        <v>0</v>
      </c>
      <c r="FP239" s="8" t="n">
        <v>0</v>
      </c>
      <c r="FQ239" s="9">
        <f>FL239+FM239+FN239+FO239+FP239</f>
        <v/>
      </c>
      <c r="FR239" s="8" t="n">
        <v>1806250</v>
      </c>
      <c r="FS239" s="8" t="n">
        <v>6200</v>
      </c>
      <c r="FT239" s="8" t="n">
        <v>135000</v>
      </c>
      <c r="FU239" s="8" t="n">
        <v>0</v>
      </c>
      <c r="FV239" s="9">
        <f>FR239+FS239+FT239+FU239</f>
        <v/>
      </c>
      <c r="FW239" s="8" t="n">
        <v>2723923</v>
      </c>
      <c r="FX239" s="8" t="n">
        <v>37100</v>
      </c>
      <c r="FY239" s="8" t="n">
        <v>118500</v>
      </c>
      <c r="FZ239" s="8" t="n">
        <v>14200</v>
      </c>
      <c r="GA239" s="9">
        <f>FW239+FX239+FY239+FZ239</f>
        <v/>
      </c>
      <c r="GB239" s="9">
        <f>FV239+GA239</f>
        <v/>
      </c>
      <c r="GC239" s="8" t="n">
        <v>1225983.73</v>
      </c>
      <c r="GD239" s="8" t="n">
        <v>32900.16</v>
      </c>
      <c r="GE239" s="8" t="n">
        <v>8410.99</v>
      </c>
      <c r="GF239" s="8" t="n">
        <v>32821.45</v>
      </c>
      <c r="GG239" s="9">
        <f>GC239+GD239+GE239+GF239</f>
        <v/>
      </c>
      <c r="GH239" s="8" t="n">
        <v>2710902.98</v>
      </c>
      <c r="GI239" s="8" t="n">
        <v>37100</v>
      </c>
      <c r="GJ239" s="8" t="n">
        <v>14200</v>
      </c>
      <c r="GK239" s="8" t="n">
        <v>118500</v>
      </c>
      <c r="GL239" s="9">
        <f>GH239+GI239+GJ239+GK239</f>
        <v/>
      </c>
      <c r="GM239" s="9">
        <f>GG239+GL239</f>
        <v/>
      </c>
      <c r="GN239" s="8" t="n">
        <v>117159.95</v>
      </c>
      <c r="GO239" s="8" t="n">
        <v>1338.96</v>
      </c>
      <c r="GP239" s="8" t="n">
        <v>3393.64</v>
      </c>
      <c r="GQ239" s="8" t="n">
        <v>4637.34</v>
      </c>
      <c r="GR239" s="9">
        <f>GN239+GO239+GP239+GQ239</f>
        <v/>
      </c>
      <c r="GS239" s="8" t="n">
        <v>191995</v>
      </c>
      <c r="GT239" s="8" t="n">
        <v>6251</v>
      </c>
      <c r="GU239" s="8" t="n">
        <v>893</v>
      </c>
      <c r="GV239" s="8" t="n">
        <v>893</v>
      </c>
      <c r="GW239" s="9">
        <f>GS239+GT239+GU239+GV239</f>
        <v/>
      </c>
      <c r="GX239" s="9">
        <f>GM239+GR239+GW239</f>
        <v/>
      </c>
      <c r="GY239" s="8" t="n">
        <v>8545050.01</v>
      </c>
      <c r="GZ239" s="8" t="n">
        <v>118281.52</v>
      </c>
      <c r="HA239" s="9">
        <f>GY239+GZ239</f>
        <v/>
      </c>
      <c r="HB239" s="9">
        <f>IF(GX239=0,"",AU239/GX239)</f>
        <v/>
      </c>
      <c r="HC239" s="10">
        <f>IF((GX239+GY239)=0,"",GB239/(GX239+GY239))</f>
        <v/>
      </c>
      <c r="HD239" s="9">
        <f>IF(GX239=0,"",GB239/GX239)</f>
        <v/>
      </c>
      <c r="HE239" s="8" t="n">
        <v>5</v>
      </c>
      <c r="HF239" s="8" t="n">
        <v>3</v>
      </c>
      <c r="HG239" s="8" t="n">
        <v>255</v>
      </c>
      <c r="HH239" s="8" t="n">
        <v>5</v>
      </c>
      <c r="HI239" s="8" t="n">
        <v>3</v>
      </c>
      <c r="HJ239" s="9">
        <f>HF239+HI239</f>
        <v/>
      </c>
      <c r="HK239" s="10">
        <f>IF(HE239=0,"",HH239/HE239)</f>
        <v/>
      </c>
      <c r="HL239" s="8" t="n">
        <v>2</v>
      </c>
      <c r="HM239" s="8" t="n">
        <v>3</v>
      </c>
      <c r="HN239" s="11">
        <f>IF(HL239=0,"",HM239/HL239)</f>
        <v/>
      </c>
    </row>
    <row r="240">
      <c r="A240" s="12" t="inlineStr">
        <is>
          <t>Ngabu</t>
        </is>
      </c>
      <c r="B240" s="12" t="inlineStr">
        <is>
          <t>Miseu Folo</t>
        </is>
      </c>
      <c r="C240" s="13" t="inlineStr">
        <is>
          <t>FY2025/26</t>
        </is>
      </c>
      <c r="D240" s="13" t="n">
        <v>2026</v>
      </c>
      <c r="E240" s="13" t="n">
        <v>1</v>
      </c>
      <c r="F240" s="13" t="inlineStr">
        <is>
          <t>January</t>
        </is>
      </c>
      <c r="G240" s="13" t="inlineStr">
        <is>
          <t>Q4</t>
        </is>
      </c>
      <c r="H240" s="14" t="n">
        <v>4579</v>
      </c>
      <c r="I240" s="14" t="n">
        <v>1308</v>
      </c>
      <c r="J240" s="14" t="n">
        <v>0</v>
      </c>
      <c r="K240" s="14" t="n">
        <v>0</v>
      </c>
      <c r="L240" s="14" t="n">
        <v>0</v>
      </c>
      <c r="M240" s="15" t="n">
        <v>1308</v>
      </c>
      <c r="N240" s="14" t="n">
        <v>2184</v>
      </c>
      <c r="O240" s="14" t="n">
        <v>0</v>
      </c>
      <c r="P240" s="14" t="n">
        <v>0</v>
      </c>
      <c r="Q240" s="14" t="n">
        <v>0</v>
      </c>
      <c r="R240" s="15" t="n">
        <v>2184</v>
      </c>
      <c r="S240" s="15" t="n">
        <v>3492</v>
      </c>
      <c r="T240" s="14" t="n">
        <v>1087</v>
      </c>
      <c r="U240" s="16" t="n">
        <v>0.2373880759991265</v>
      </c>
      <c r="V240" s="14" t="n">
        <v>6.4</v>
      </c>
      <c r="W240" s="17" t="n">
        <v>1.397685084079493</v>
      </c>
      <c r="X240" s="14" t="n">
        <v>0</v>
      </c>
      <c r="Y240" s="17" t="n">
        <v>0</v>
      </c>
      <c r="Z240" s="14" t="n">
        <v>0</v>
      </c>
      <c r="AA240" s="17" t="n">
        <v>0</v>
      </c>
      <c r="AB240" s="14" t="n">
        <v>0</v>
      </c>
      <c r="AC240" s="17" t="n">
        <v>0</v>
      </c>
      <c r="AD240" s="14" t="n">
        <v>0</v>
      </c>
      <c r="AE240" s="17" t="n">
        <v>0</v>
      </c>
      <c r="AF240" s="14" t="n">
        <v>0</v>
      </c>
      <c r="AG240" s="17" t="n">
        <v>0</v>
      </c>
      <c r="AH240" s="14" t="n">
        <v>22561.856</v>
      </c>
      <c r="AI240" s="15" t="n">
        <v>4.927245250054597</v>
      </c>
      <c r="AJ240" s="14" t="n">
        <v>1242</v>
      </c>
      <c r="AK240" s="17" t="n">
        <v>0.2712382616291767</v>
      </c>
      <c r="AL240" s="14" t="n">
        <v>188755.863</v>
      </c>
      <c r="AM240" s="15" t="n">
        <v>41.22207097619567</v>
      </c>
      <c r="AN240" s="14" t="n">
        <v>0</v>
      </c>
      <c r="AO240" s="14" t="n">
        <v>0</v>
      </c>
      <c r="AP240" s="14" t="n">
        <v>0</v>
      </c>
      <c r="AQ240" s="14" t="n">
        <v>0</v>
      </c>
      <c r="AR240" s="14" t="n">
        <v>0</v>
      </c>
      <c r="AS240" s="14" t="n">
        <v>0</v>
      </c>
      <c r="AT240" s="14" t="n">
        <v>0</v>
      </c>
      <c r="AU240" s="15" t="n">
        <v>211317.719</v>
      </c>
      <c r="AV240" s="15" t="n">
        <v>46.14931622625027</v>
      </c>
      <c r="AW240" s="15" t="n">
        <v>60.51481071019472</v>
      </c>
      <c r="AX240" s="14" t="n">
        <v>7</v>
      </c>
      <c r="AY240" s="15" t="n">
        <v>47.39025988207032</v>
      </c>
      <c r="AZ240" s="14" t="n">
        <v>3</v>
      </c>
      <c r="BA240" s="14" t="n">
        <v>255</v>
      </c>
      <c r="BB240" s="14" t="n">
        <v>2</v>
      </c>
      <c r="BC240" s="14" t="n">
        <v>1</v>
      </c>
      <c r="BD240" s="14" t="n">
        <v>0</v>
      </c>
      <c r="BE240" s="15" t="n">
        <v>1</v>
      </c>
      <c r="BF240" s="15" t="n">
        <v>256</v>
      </c>
      <c r="BG240" s="14" t="n">
        <v>0</v>
      </c>
      <c r="BH240" s="14" t="n">
        <v>0</v>
      </c>
      <c r="BI240" s="14" t="n">
        <v>0</v>
      </c>
      <c r="BJ240" s="14" t="n">
        <v>0</v>
      </c>
      <c r="BK240" s="15" t="n">
        <v>0</v>
      </c>
      <c r="BL240" s="15" t="n">
        <v>0</v>
      </c>
      <c r="BM240" s="14" t="n">
        <v>0</v>
      </c>
      <c r="BN240" s="14" t="n">
        <v>0</v>
      </c>
      <c r="BO240" s="14" t="n">
        <v>0</v>
      </c>
      <c r="BP240" s="14" t="n">
        <v>0</v>
      </c>
      <c r="BQ240" s="15" t="n">
        <v>0</v>
      </c>
      <c r="BR240" s="15" t="n">
        <v>0</v>
      </c>
      <c r="BS240" s="14" t="n">
        <v>0</v>
      </c>
      <c r="BT240" s="14" t="n">
        <v>0</v>
      </c>
      <c r="BU240" s="14" t="n">
        <v>0</v>
      </c>
      <c r="BV240" s="14" t="n">
        <v>0</v>
      </c>
      <c r="BW240" s="15" t="n">
        <v>0</v>
      </c>
      <c r="BX240" s="15" t="n">
        <v>0</v>
      </c>
      <c r="BY240" s="15" t="n">
        <v>255</v>
      </c>
      <c r="BZ240" s="15" t="n">
        <v>2</v>
      </c>
      <c r="CA240" s="15" t="n">
        <v>1</v>
      </c>
      <c r="CB240" s="15" t="n">
        <v>256</v>
      </c>
      <c r="CC240" s="14" t="n">
        <v>0</v>
      </c>
      <c r="CD240" s="14" t="n">
        <v>0</v>
      </c>
      <c r="CE240" s="14" t="n">
        <v>0</v>
      </c>
      <c r="CF240" s="14" t="n">
        <v>0</v>
      </c>
      <c r="CG240" s="14" t="n">
        <v>0</v>
      </c>
      <c r="CH240" s="15" t="n">
        <v>0</v>
      </c>
      <c r="CI240" s="14" t="n">
        <v>78</v>
      </c>
      <c r="CJ240" s="14" t="n">
        <v>0</v>
      </c>
      <c r="CK240" s="14" t="n">
        <v>0</v>
      </c>
      <c r="CL240" s="14" t="n">
        <v>0</v>
      </c>
      <c r="CM240" s="15" t="n">
        <v>78</v>
      </c>
      <c r="CN240" s="14" t="n">
        <v>680</v>
      </c>
      <c r="CO240" s="14" t="n">
        <v>10</v>
      </c>
      <c r="CP240" s="14" t="n">
        <v>6</v>
      </c>
      <c r="CQ240" s="14" t="n">
        <v>14</v>
      </c>
      <c r="CR240" s="15" t="n">
        <v>710</v>
      </c>
      <c r="CS240" s="15" t="n">
        <v>788</v>
      </c>
      <c r="CT240" s="14" t="n">
        <v>788</v>
      </c>
      <c r="CU240" s="14" t="n">
        <v>7322.49649555211</v>
      </c>
      <c r="CV240" s="14" t="n">
        <v>5421</v>
      </c>
      <c r="CW240" s="16" t="n">
        <v>0.7403212829521827</v>
      </c>
      <c r="CX240" s="14" t="n">
        <v>0</v>
      </c>
      <c r="CY240" s="14" t="n">
        <v>0</v>
      </c>
      <c r="CZ240" s="14" t="n">
        <v>0</v>
      </c>
      <c r="DA240" s="14" t="n">
        <v>0</v>
      </c>
      <c r="DB240" s="15" t="n">
        <v>0</v>
      </c>
      <c r="DC240" s="14" t="n">
        <v>0</v>
      </c>
      <c r="DD240" s="14" t="n">
        <v>0</v>
      </c>
      <c r="DE240" s="14" t="n">
        <v>0</v>
      </c>
      <c r="DF240" s="14" t="n">
        <v>0</v>
      </c>
      <c r="DG240" s="15" t="n">
        <v>0</v>
      </c>
      <c r="DH240" s="14" t="n">
        <v>0</v>
      </c>
      <c r="DI240" s="14" t="n">
        <v>0</v>
      </c>
      <c r="DJ240" s="14" t="n">
        <v>0</v>
      </c>
      <c r="DK240" s="14" t="n">
        <v>0</v>
      </c>
      <c r="DL240" s="15" t="n">
        <v>0</v>
      </c>
      <c r="DM240" s="14" t="n">
        <v>0</v>
      </c>
      <c r="DN240" s="14" t="n">
        <v>0</v>
      </c>
      <c r="DO240" s="14" t="n">
        <v>0</v>
      </c>
      <c r="DP240" s="14" t="n">
        <v>0</v>
      </c>
      <c r="DQ240" s="15" t="n">
        <v>0</v>
      </c>
      <c r="DR240" s="15" t="n">
        <v>0</v>
      </c>
      <c r="DS240" s="15" t="n">
        <v>0</v>
      </c>
      <c r="DT240" s="15" t="n">
        <v>0</v>
      </c>
      <c r="DU240" s="15" t="n">
        <v>0</v>
      </c>
      <c r="DV240" s="15" t="n">
        <v>0</v>
      </c>
      <c r="DW240" s="14" t="n">
        <v>10</v>
      </c>
      <c r="DX240" s="14" t="n">
        <v>3</v>
      </c>
      <c r="DY240" s="14" t="n">
        <v>0</v>
      </c>
      <c r="DZ240" s="14" t="n">
        <v>0</v>
      </c>
      <c r="EA240" s="14" t="n">
        <v>2</v>
      </c>
      <c r="EB240" s="14" t="n">
        <v>1</v>
      </c>
      <c r="EC240" s="14" t="n">
        <v>0</v>
      </c>
      <c r="ED240" s="14" t="n">
        <v>2</v>
      </c>
      <c r="EE240" s="14" t="n">
        <v>3</v>
      </c>
      <c r="EF240" s="14" t="n">
        <v>0</v>
      </c>
      <c r="EG240" s="14" t="n">
        <v>0</v>
      </c>
      <c r="EH240" s="14" t="n">
        <v>0</v>
      </c>
      <c r="EI240" s="14" t="n">
        <v>0</v>
      </c>
      <c r="EJ240" s="14" t="n">
        <v>5</v>
      </c>
      <c r="EK240" s="14" t="n">
        <v>2</v>
      </c>
      <c r="EL240" s="14" t="n">
        <v>0</v>
      </c>
      <c r="EM240" s="14" t="n">
        <v>0</v>
      </c>
      <c r="EN240" s="14" t="n">
        <v>0</v>
      </c>
      <c r="EO240" s="14" t="n">
        <v>0</v>
      </c>
      <c r="EP240" s="14" t="n">
        <v>0</v>
      </c>
      <c r="EQ240" s="14" t="n">
        <v>0</v>
      </c>
      <c r="ER240" s="14" t="n">
        <v>0</v>
      </c>
      <c r="ES240" s="14" t="n">
        <v>0</v>
      </c>
      <c r="ET240" s="14" t="n">
        <v>0</v>
      </c>
      <c r="EU240" s="14" t="n">
        <v>0</v>
      </c>
      <c r="EV240" s="14" t="n">
        <v>0</v>
      </c>
      <c r="EW240" s="14" t="n">
        <v>0</v>
      </c>
      <c r="EX240" s="14" t="n">
        <v>0</v>
      </c>
      <c r="EY240" s="14" t="n">
        <v>0</v>
      </c>
      <c r="EZ240" s="14" t="n">
        <v>0</v>
      </c>
      <c r="FA240" s="14" t="n">
        <v>0</v>
      </c>
      <c r="FB240" s="14" t="n">
        <v>0</v>
      </c>
      <c r="FC240" s="14" t="n">
        <v>0</v>
      </c>
      <c r="FD240" s="14" t="n">
        <v>0</v>
      </c>
      <c r="FE240" s="14" t="n">
        <v>0</v>
      </c>
      <c r="FF240" s="14" t="n">
        <v>0</v>
      </c>
      <c r="FG240" s="15" t="n">
        <v>28</v>
      </c>
      <c r="FH240" s="14" t="n">
        <v>0</v>
      </c>
      <c r="FI240" s="14" t="n">
        <v>0</v>
      </c>
      <c r="FJ240" s="14" t="n">
        <v>0</v>
      </c>
      <c r="FK240" s="14" t="n">
        <v>0</v>
      </c>
      <c r="FL240" s="14" t="n">
        <v>0</v>
      </c>
      <c r="FM240" s="14" t="n">
        <v>0</v>
      </c>
      <c r="FN240" s="14" t="n">
        <v>0</v>
      </c>
      <c r="FO240" s="14" t="n">
        <v>0</v>
      </c>
      <c r="FP240" s="14" t="n">
        <v>0</v>
      </c>
      <c r="FQ240" s="15" t="n">
        <v>0</v>
      </c>
      <c r="FR240" s="14" t="n">
        <v>513700</v>
      </c>
      <c r="FS240" s="14" t="n">
        <v>0</v>
      </c>
      <c r="FT240" s="14" t="n">
        <v>0</v>
      </c>
      <c r="FU240" s="14" t="n">
        <v>0</v>
      </c>
      <c r="FV240" s="15" t="n">
        <v>513700</v>
      </c>
      <c r="FW240" s="14" t="n">
        <v>1462124</v>
      </c>
      <c r="FX240" s="14" t="n">
        <v>51900</v>
      </c>
      <c r="FY240" s="14" t="n">
        <v>90550</v>
      </c>
      <c r="FZ240" s="14" t="n">
        <v>10800</v>
      </c>
      <c r="GA240" s="15" t="n">
        <v>1615374</v>
      </c>
      <c r="GB240" s="15" t="n">
        <v>2129074</v>
      </c>
      <c r="GC240" s="14" t="n">
        <v>8410.99</v>
      </c>
      <c r="GD240" s="14" t="n">
        <v>41232.44</v>
      </c>
      <c r="GE240" s="14" t="n">
        <v>323316.89</v>
      </c>
      <c r="GF240" s="14" t="n">
        <v>1120475.55</v>
      </c>
      <c r="GG240" s="15" t="n">
        <v>1493435.87</v>
      </c>
      <c r="GH240" s="14" t="n">
        <v>1462124</v>
      </c>
      <c r="GI240" s="14" t="n">
        <v>51900</v>
      </c>
      <c r="GJ240" s="14" t="n">
        <v>10800</v>
      </c>
      <c r="GK240" s="14" t="n">
        <v>90550</v>
      </c>
      <c r="GL240" s="15" t="n">
        <v>1615374</v>
      </c>
      <c r="GM240" s="15" t="n">
        <v>3108809.87</v>
      </c>
      <c r="GN240" s="14" t="n">
        <v>118794.74</v>
      </c>
      <c r="GO240" s="14" t="n">
        <v>1338.96</v>
      </c>
      <c r="GP240" s="14" t="n">
        <v>3393.64</v>
      </c>
      <c r="GQ240" s="14" t="n">
        <v>9274.68</v>
      </c>
      <c r="GR240" s="15" t="n">
        <v>132802.02</v>
      </c>
      <c r="GS240" s="14" t="n">
        <v>194674</v>
      </c>
      <c r="GT240" s="14" t="n">
        <v>6251</v>
      </c>
      <c r="GU240" s="14" t="n">
        <v>893</v>
      </c>
      <c r="GV240" s="14" t="n">
        <v>1786</v>
      </c>
      <c r="GW240" s="15" t="n">
        <v>203604</v>
      </c>
      <c r="GX240" s="15" t="n">
        <v>3445215.89</v>
      </c>
      <c r="GY240" s="14" t="n">
        <v>9464803</v>
      </c>
      <c r="GZ240" s="14" t="n">
        <v>130979.15</v>
      </c>
      <c r="HA240" s="15" t="n">
        <v>9595782.15</v>
      </c>
      <c r="HB240" s="15" t="n">
        <v>3445215.89</v>
      </c>
      <c r="HC240" s="16" t="n">
        <v>9464803</v>
      </c>
      <c r="HD240" s="15" t="n">
        <v>130979.15</v>
      </c>
      <c r="HE240" s="14" t="n">
        <v>2</v>
      </c>
      <c r="HF240" s="14" t="n">
        <v>3</v>
      </c>
      <c r="HG240" s="14" t="n">
        <v>256</v>
      </c>
      <c r="HH240" s="14" t="n">
        <v>2</v>
      </c>
      <c r="HI240" s="14" t="n">
        <v>1</v>
      </c>
      <c r="HJ240" s="15" t="n">
        <v>0.5</v>
      </c>
      <c r="HK240" s="16" t="n">
        <v>0.390625</v>
      </c>
      <c r="HL240" s="14" t="n">
        <v>3</v>
      </c>
      <c r="HM240" s="14" t="n">
        <v>2</v>
      </c>
      <c r="HN240" s="17" t="n">
        <v>1.5</v>
      </c>
    </row>
    <row r="241">
      <c r="A241" s="6" t="inlineStr">
        <is>
          <t>Ngabu</t>
        </is>
      </c>
      <c r="B241" s="6" t="inlineStr">
        <is>
          <t>Miseu Folo</t>
        </is>
      </c>
      <c r="C241" s="7" t="inlineStr">
        <is>
          <t>FY2025/26</t>
        </is>
      </c>
      <c r="D241" s="7" t="n">
        <v>2026</v>
      </c>
      <c r="E241" s="7" t="n">
        <v>2</v>
      </c>
      <c r="F241" s="7" t="inlineStr">
        <is>
          <t>February</t>
        </is>
      </c>
      <c r="G241" s="7" t="inlineStr">
        <is>
          <t>Q4</t>
        </is>
      </c>
      <c r="H241" s="8" t="n">
        <v>1623</v>
      </c>
      <c r="I241" s="8" t="n">
        <v>468</v>
      </c>
      <c r="J241" s="8" t="n">
        <v>0</v>
      </c>
      <c r="K241" s="8" t="n">
        <v>0</v>
      </c>
      <c r="L241" s="8" t="n">
        <v>0</v>
      </c>
      <c r="M241" s="9">
        <f>SUM(I241,J241,K241,L241)</f>
        <v/>
      </c>
      <c r="N241" s="8" t="n">
        <v>682</v>
      </c>
      <c r="O241" s="8" t="n">
        <v>0</v>
      </c>
      <c r="P241" s="8" t="n">
        <v>0</v>
      </c>
      <c r="Q241" s="8" t="n">
        <v>0</v>
      </c>
      <c r="R241" s="9">
        <f>SUM(N241,O241,P241,Q241)</f>
        <v/>
      </c>
      <c r="S241" s="9">
        <f>M241+R241</f>
        <v/>
      </c>
      <c r="T241" s="8" t="n">
        <v>473</v>
      </c>
      <c r="U241" s="10">
        <f>IF(H241=0,"",T241/H241)</f>
        <v/>
      </c>
      <c r="V241" s="8" t="n">
        <v>4.2</v>
      </c>
      <c r="W241" s="11">
        <f>IF(H241=0,"",V241/H241)</f>
        <v/>
      </c>
      <c r="X241" s="8" t="n">
        <v>0</v>
      </c>
      <c r="Y241" s="11">
        <f>IF(H241=0,"",X241/H241)</f>
        <v/>
      </c>
      <c r="Z241" s="8" t="n">
        <v>0</v>
      </c>
      <c r="AA241" s="11">
        <f>IF(H241=0,"",Z241/H241)</f>
        <v/>
      </c>
      <c r="AB241" s="8" t="n">
        <v>0</v>
      </c>
      <c r="AC241" s="11">
        <f>IF(H241=0,"",AB241/H241)</f>
        <v/>
      </c>
      <c r="AD241" s="8" t="n">
        <v>0</v>
      </c>
      <c r="AE241" s="11">
        <f>IF(H241=0,"",AD241/H241)</f>
        <v/>
      </c>
      <c r="AF241" s="8" t="n">
        <v>0</v>
      </c>
      <c r="AG241" s="11">
        <f>IF(H241=0,"",AF241/H241)</f>
        <v/>
      </c>
      <c r="AH241" s="8" t="n">
        <v>14806.218</v>
      </c>
      <c r="AI241" s="9">
        <f>IF(H241=0,"",AH241/H241)</f>
        <v/>
      </c>
      <c r="AJ241" s="8" t="n">
        <v>896</v>
      </c>
      <c r="AK241" s="11">
        <f>IF(H241=0,"",AJ241/H241)</f>
        <v/>
      </c>
      <c r="AL241" s="8" t="n">
        <v>140747.844</v>
      </c>
      <c r="AM241" s="9">
        <f>IF(H241=0,"",AL241/H241)</f>
        <v/>
      </c>
      <c r="AN241" s="8" t="n">
        <v>0</v>
      </c>
      <c r="AO241" s="8" t="n">
        <v>0</v>
      </c>
      <c r="AP241" s="8" t="n">
        <v>0</v>
      </c>
      <c r="AQ241" s="8" t="n">
        <v>0</v>
      </c>
      <c r="AR241" s="8" t="n">
        <v>0</v>
      </c>
      <c r="AS241" s="8" t="n">
        <v>0</v>
      </c>
      <c r="AT241" s="8" t="n">
        <v>0</v>
      </c>
      <c r="AU241" s="9">
        <f>AH241+AL241+AP241+AQ241+AR241+AS241+AT241</f>
        <v/>
      </c>
      <c r="AV241" s="9">
        <f>IF(H241=0,"",AU241/H241)</f>
        <v/>
      </c>
      <c r="AW241" s="9">
        <f>IF(S241=0,"",AU241/S241)</f>
        <v/>
      </c>
      <c r="AX241" s="8" t="n">
        <v>7</v>
      </c>
      <c r="AY241" s="9">
        <f>IF(H241=0,"",AX241/(H241/1000/12))</f>
        <v/>
      </c>
      <c r="AZ241" s="8" t="n">
        <v>3</v>
      </c>
      <c r="BA241" s="8" t="n">
        <v>256</v>
      </c>
      <c r="BB241" s="8" t="n">
        <v>5</v>
      </c>
      <c r="BC241" s="8" t="n">
        <v>4</v>
      </c>
      <c r="BD241" s="8" t="n">
        <v>0</v>
      </c>
      <c r="BE241" s="9">
        <f>BC241+BD241</f>
        <v/>
      </c>
      <c r="BF241" s="9">
        <f>BA241+BB241-BE241</f>
        <v/>
      </c>
      <c r="BG241" s="8" t="n">
        <v>0</v>
      </c>
      <c r="BH241" s="8" t="n">
        <v>0</v>
      </c>
      <c r="BI241" s="8" t="n">
        <v>0</v>
      </c>
      <c r="BJ241" s="8" t="n">
        <v>0</v>
      </c>
      <c r="BK241" s="9">
        <f>BI241+BJ241</f>
        <v/>
      </c>
      <c r="BL241" s="9">
        <f>BG241+BH241-BK241</f>
        <v/>
      </c>
      <c r="BM241" s="8" t="n">
        <v>0</v>
      </c>
      <c r="BN241" s="8" t="n">
        <v>0</v>
      </c>
      <c r="BO241" s="8" t="n">
        <v>0</v>
      </c>
      <c r="BP241" s="8" t="n">
        <v>0</v>
      </c>
      <c r="BQ241" s="9">
        <f>BO241+BP241</f>
        <v/>
      </c>
      <c r="BR241" s="9">
        <f>BM241+BN241-BQ241</f>
        <v/>
      </c>
      <c r="BS241" s="8" t="n">
        <v>0</v>
      </c>
      <c r="BT241" s="8" t="n">
        <v>0</v>
      </c>
      <c r="BU241" s="8" t="n">
        <v>0</v>
      </c>
      <c r="BV241" s="8" t="n">
        <v>0</v>
      </c>
      <c r="BW241" s="9">
        <f>BU241+BV241</f>
        <v/>
      </c>
      <c r="BX241" s="9">
        <f>BS241+BT241-BW241</f>
        <v/>
      </c>
      <c r="BY241" s="9">
        <f>BA241+BG241+BM241+BS241</f>
        <v/>
      </c>
      <c r="BZ241" s="9">
        <f>BB241+BH241+BN241+BT241</f>
        <v/>
      </c>
      <c r="CA241" s="9">
        <f>BE241+BK241+BQ241+BW241</f>
        <v/>
      </c>
      <c r="CB241" s="9">
        <f>BF241+BL241+BR241+BX241</f>
        <v/>
      </c>
      <c r="CC241" s="8" t="n">
        <v>0</v>
      </c>
      <c r="CD241" s="8" t="n">
        <v>0</v>
      </c>
      <c r="CE241" s="8" t="n">
        <v>0</v>
      </c>
      <c r="CF241" s="8" t="n">
        <v>0</v>
      </c>
      <c r="CG241" s="8" t="n">
        <v>0</v>
      </c>
      <c r="CH241" s="9">
        <f>CD241+CE241+CF241+CG241</f>
        <v/>
      </c>
      <c r="CI241" s="8" t="n">
        <v>82</v>
      </c>
      <c r="CJ241" s="8" t="n">
        <v>0</v>
      </c>
      <c r="CK241" s="8" t="n">
        <v>0</v>
      </c>
      <c r="CL241" s="8" t="n">
        <v>0</v>
      </c>
      <c r="CM241" s="9">
        <f>CI241+CJ241+CK241+CL241</f>
        <v/>
      </c>
      <c r="CN241" s="8" t="n">
        <v>680</v>
      </c>
      <c r="CO241" s="8" t="n">
        <v>10</v>
      </c>
      <c r="CP241" s="8" t="n">
        <v>6</v>
      </c>
      <c r="CQ241" s="8" t="n">
        <v>14</v>
      </c>
      <c r="CR241" s="9">
        <f>CN241+CO241+CP241+CQ241</f>
        <v/>
      </c>
      <c r="CS241" s="9">
        <f>CM241+CR241</f>
        <v/>
      </c>
      <c r="CT241" s="8" t="n">
        <v>792</v>
      </c>
      <c r="CU241" s="8" t="n">
        <v>7337.14148854321</v>
      </c>
      <c r="CV241" s="8" t="n">
        <v>5421</v>
      </c>
      <c r="CW241" s="10">
        <f>IF(CU241=0,"",CV241/CU241)</f>
        <v/>
      </c>
      <c r="CX241" s="8" t="n">
        <v>0</v>
      </c>
      <c r="CY241" s="8" t="n"/>
      <c r="CZ241" s="8" t="n"/>
      <c r="DA241" s="8" t="n"/>
      <c r="DB241" s="9">
        <f>CX241+CY241-CZ241-DA241</f>
        <v/>
      </c>
      <c r="DC241" s="8" t="n">
        <v>0</v>
      </c>
      <c r="DD241" s="8" t="n">
        <v>0</v>
      </c>
      <c r="DE241" s="8" t="n">
        <v>0</v>
      </c>
      <c r="DF241" s="8" t="n">
        <v>0</v>
      </c>
      <c r="DG241" s="9">
        <f>DC241+DD241-DE241-DF241</f>
        <v/>
      </c>
      <c r="DH241" s="8" t="n">
        <v>0</v>
      </c>
      <c r="DI241" s="8" t="n">
        <v>0</v>
      </c>
      <c r="DJ241" s="8" t="n">
        <v>0</v>
      </c>
      <c r="DK241" s="8" t="n">
        <v>0</v>
      </c>
      <c r="DL241" s="9">
        <f>DH241+DI241-DJ241-DK241</f>
        <v/>
      </c>
      <c r="DM241" s="8" t="n">
        <v>0</v>
      </c>
      <c r="DN241" s="8" t="n">
        <v>0</v>
      </c>
      <c r="DO241" s="8" t="n">
        <v>0</v>
      </c>
      <c r="DP241" s="8" t="n">
        <v>0</v>
      </c>
      <c r="DQ241" s="9">
        <f>DM241+DN241-DO241-DP241</f>
        <v/>
      </c>
      <c r="DR241" s="9">
        <f>CX241+DC241+DH241+DM241</f>
        <v/>
      </c>
      <c r="DS241" s="9">
        <f>CY241+DD241+DI241+DN241</f>
        <v/>
      </c>
      <c r="DT241" s="9">
        <f>CZ241+DE241+DJ241+DO241</f>
        <v/>
      </c>
      <c r="DU241" s="9">
        <f>DA241+DF241+DK241+DP241</f>
        <v/>
      </c>
      <c r="DV241" s="9">
        <f>DB241+DG241+DL241+DQ241</f>
        <v/>
      </c>
      <c r="DW241" s="8" t="n">
        <v>0</v>
      </c>
      <c r="DX241" s="8" t="n">
        <v>0</v>
      </c>
      <c r="DY241" s="8" t="n">
        <v>0</v>
      </c>
      <c r="DZ241" s="8" t="n">
        <v>0</v>
      </c>
      <c r="EA241" s="8" t="n">
        <v>0</v>
      </c>
      <c r="EB241" s="8" t="n">
        <v>0</v>
      </c>
      <c r="EC241" s="8" t="n">
        <v>0</v>
      </c>
      <c r="ED241" s="8" t="n">
        <v>0</v>
      </c>
      <c r="EE241" s="8" t="n">
        <v>0</v>
      </c>
      <c r="EF241" s="8" t="n">
        <v>0</v>
      </c>
      <c r="EG241" s="8" t="n">
        <v>0</v>
      </c>
      <c r="EH241" s="8" t="n">
        <v>0</v>
      </c>
      <c r="EI241" s="8" t="n">
        <v>0</v>
      </c>
      <c r="EJ241" s="8" t="n">
        <v>0</v>
      </c>
      <c r="EK241" s="8" t="n">
        <v>0</v>
      </c>
      <c r="EL241" s="8" t="n">
        <v>0</v>
      </c>
      <c r="EM241" s="8" t="n">
        <v>0</v>
      </c>
      <c r="EN241" s="8" t="n">
        <v>0</v>
      </c>
      <c r="EO241" s="8" t="n">
        <v>0</v>
      </c>
      <c r="EP241" s="8" t="n">
        <v>0</v>
      </c>
      <c r="EQ241" s="8" t="n">
        <v>0</v>
      </c>
      <c r="ER241" s="8" t="n">
        <v>0</v>
      </c>
      <c r="ES241" s="8" t="n">
        <v>0</v>
      </c>
      <c r="ET241" s="8" t="n">
        <v>0</v>
      </c>
      <c r="EU241" s="8" t="n">
        <v>0</v>
      </c>
      <c r="EV241" s="8" t="n">
        <v>0</v>
      </c>
      <c r="EW241" s="8" t="n">
        <v>0</v>
      </c>
      <c r="EX241" s="8" t="n">
        <v>0</v>
      </c>
      <c r="EY241" s="8" t="n">
        <v>0</v>
      </c>
      <c r="EZ241" s="8" t="n">
        <v>0</v>
      </c>
      <c r="FA241" s="8" t="n">
        <v>0</v>
      </c>
      <c r="FB241" s="8" t="n">
        <v>0</v>
      </c>
      <c r="FC241" s="8" t="n">
        <v>0</v>
      </c>
      <c r="FD241" s="8" t="n">
        <v>0</v>
      </c>
      <c r="FE241" s="8" t="n">
        <v>0</v>
      </c>
      <c r="FF241" s="8" t="n">
        <v>0</v>
      </c>
      <c r="FG241" s="9">
        <f>SUM(DW241,DX241,DY241,DZ241,EA241,EB241,EC241,ED241,EE241,EF241,EG241,EH241,EI241,EJ241,EK241,EL241,EM241,EN241,EO241,EP241,EQ241,ER241,ES241,ET241,EU241,EV241,EW241,EX241,EY241,EZ241,FA241,FB241,FC241,FD241,FE241,FF241)</f>
        <v/>
      </c>
      <c r="FH241" s="8" t="n">
        <v>0</v>
      </c>
      <c r="FI241" s="8" t="n">
        <v>0</v>
      </c>
      <c r="FJ241" s="8" t="n">
        <v>0</v>
      </c>
      <c r="FK241" s="8" t="n">
        <v>0</v>
      </c>
      <c r="FL241" s="8" t="n">
        <v>0</v>
      </c>
      <c r="FM241" s="8" t="n">
        <v>0</v>
      </c>
      <c r="FN241" s="8" t="n">
        <v>0</v>
      </c>
      <c r="FO241" s="8" t="n">
        <v>0</v>
      </c>
      <c r="FP241" s="8" t="n">
        <v>0</v>
      </c>
      <c r="FQ241" s="9">
        <f>FL241+FM241+FN241+FO241+FP241</f>
        <v/>
      </c>
      <c r="FR241" s="8" t="n">
        <v>853584</v>
      </c>
      <c r="FS241" s="8" t="n">
        <v>30000</v>
      </c>
      <c r="FT241" s="8" t="n">
        <v>0</v>
      </c>
      <c r="FU241" s="8" t="n">
        <v>0</v>
      </c>
      <c r="FV241" s="9">
        <f>FR241+FS241+FT241+FU241</f>
        <v/>
      </c>
      <c r="FW241" s="8" t="n">
        <v>1259544</v>
      </c>
      <c r="FX241" s="8" t="n">
        <v>17000</v>
      </c>
      <c r="FY241" s="8" t="n">
        <v>57450</v>
      </c>
      <c r="FZ241" s="8" t="n">
        <v>11400</v>
      </c>
      <c r="GA241" s="9">
        <f>FW241+FX241+FY241+FZ241</f>
        <v/>
      </c>
      <c r="GB241" s="9">
        <f>FV241+GA241</f>
        <v/>
      </c>
      <c r="GC241" s="8" t="n">
        <v>844008.08</v>
      </c>
      <c r="GD241" s="8" t="n">
        <v>5164.56</v>
      </c>
      <c r="GE241" s="8" t="n">
        <v>8410.99</v>
      </c>
      <c r="GF241" s="8" t="n">
        <v>16821.98</v>
      </c>
      <c r="GG241" s="9">
        <f>GC241+GD241+GE241+GF241</f>
        <v/>
      </c>
      <c r="GH241" s="8" t="n">
        <v>1259543.62</v>
      </c>
      <c r="GI241" s="8" t="n">
        <v>17000</v>
      </c>
      <c r="GJ241" s="8" t="n">
        <v>11400</v>
      </c>
      <c r="GK241" s="8" t="n">
        <v>57450</v>
      </c>
      <c r="GL241" s="9">
        <f>GH241+GI241+GJ241+GK241</f>
        <v/>
      </c>
      <c r="GM241" s="9">
        <f>GG241+GL241</f>
        <v/>
      </c>
      <c r="GN241" s="8" t="n">
        <v>123154.18</v>
      </c>
      <c r="GO241" s="8" t="n">
        <v>1338.96</v>
      </c>
      <c r="GP241" s="8" t="n">
        <v>3393.64</v>
      </c>
      <c r="GQ241" s="8" t="n">
        <v>9274.68</v>
      </c>
      <c r="GR241" s="9">
        <f>GN241+GO241+GP241+GQ241</f>
        <v/>
      </c>
      <c r="GS241" s="8" t="n">
        <v>201818</v>
      </c>
      <c r="GT241" s="8" t="n">
        <v>6251</v>
      </c>
      <c r="GU241" s="8" t="n">
        <v>893</v>
      </c>
      <c r="GV241" s="8" t="n">
        <v>1786</v>
      </c>
      <c r="GW241" s="9">
        <f>GS241+GT241+GU241+GV241</f>
        <v/>
      </c>
      <c r="GX241" s="9">
        <f>GM241+GR241+GW241</f>
        <v/>
      </c>
      <c r="GY241" s="8" t="n">
        <v>9223744.369999999</v>
      </c>
      <c r="GZ241" s="8" t="n">
        <v>728016.28</v>
      </c>
      <c r="HA241" s="9">
        <f>GY241+GZ241</f>
        <v/>
      </c>
      <c r="HB241" s="9">
        <f>IF(GX241=0,"",AU241/GX241)</f>
        <v/>
      </c>
      <c r="HC241" s="10">
        <f>IF((GX241+GY241)=0,"",GB241/(GX241+GY241))</f>
        <v/>
      </c>
      <c r="HD241" s="9">
        <f>IF(GX241=0,"",GB241/GX241)</f>
        <v/>
      </c>
      <c r="HE241" s="8" t="n">
        <v>5</v>
      </c>
      <c r="HF241" s="8" t="n">
        <v>3</v>
      </c>
      <c r="HG241" s="8" t="n">
        <v>257</v>
      </c>
      <c r="HH241" s="8" t="n">
        <v>5</v>
      </c>
      <c r="HI241" s="8" t="n">
        <v>3</v>
      </c>
      <c r="HJ241" s="9">
        <f>HF241+HI241</f>
        <v/>
      </c>
      <c r="HK241" s="10">
        <f>IF(HE241=0,"",HH241/HE241)</f>
        <v/>
      </c>
      <c r="HL241" s="8" t="n">
        <v>4</v>
      </c>
      <c r="HM241" s="8" t="n">
        <v>2</v>
      </c>
      <c r="HN241" s="11">
        <f>IF(HL241=0,"",HM241/HL241)</f>
        <v/>
      </c>
    </row>
    <row r="242">
      <c r="A242" s="12" t="inlineStr">
        <is>
          <t>Ngabu</t>
        </is>
      </c>
      <c r="B242" s="12" t="inlineStr">
        <is>
          <t>Miseu Folo</t>
        </is>
      </c>
      <c r="C242" s="13" t="inlineStr">
        <is>
          <t>FY2025/26</t>
        </is>
      </c>
      <c r="D242" s="13" t="n">
        <v>2026</v>
      </c>
      <c r="E242" s="13" t="n">
        <v>3</v>
      </c>
      <c r="F242" s="13" t="inlineStr">
        <is>
          <t>March</t>
        </is>
      </c>
      <c r="G242" s="13" t="inlineStr">
        <is>
          <t>Q4</t>
        </is>
      </c>
      <c r="H242" s="14" t="n">
        <v>5839</v>
      </c>
      <c r="I242" s="14" t="n">
        <v>602</v>
      </c>
      <c r="J242" s="14" t="n">
        <v>34</v>
      </c>
      <c r="K242" s="14" t="n">
        <v>0</v>
      </c>
      <c r="L242" s="14" t="n">
        <v>9</v>
      </c>
      <c r="M242" s="15">
        <f>SUM(I242,J242,K242,L242)</f>
        <v/>
      </c>
      <c r="N242" s="14" t="n">
        <v>4115</v>
      </c>
      <c r="O242" s="14" t="n">
        <v>678</v>
      </c>
      <c r="P242" s="14" t="n">
        <v>19</v>
      </c>
      <c r="Q242" s="14" t="n">
        <v>53</v>
      </c>
      <c r="R242" s="15">
        <f>SUM(N242,O242,P242,Q242)</f>
        <v/>
      </c>
      <c r="S242" s="15">
        <f>M242+R242</f>
        <v/>
      </c>
      <c r="T242" s="14" t="n">
        <v>329</v>
      </c>
      <c r="U242" s="16">
        <f>IF(H242=0,"",T242/H242)</f>
        <v/>
      </c>
      <c r="V242" s="14" t="n">
        <v>7.5</v>
      </c>
      <c r="W242" s="17">
        <f>IF(H242=0,"",V242/H242)</f>
        <v/>
      </c>
      <c r="X242" s="14" t="n">
        <v>0</v>
      </c>
      <c r="Y242" s="17">
        <f>IF(H242=0,"",X242/H242)</f>
        <v/>
      </c>
      <c r="Z242" s="14" t="n">
        <v>0</v>
      </c>
      <c r="AA242" s="17">
        <f>IF(H242=0,"",Z242/H242)</f>
        <v/>
      </c>
      <c r="AB242" s="14" t="n">
        <v>0</v>
      </c>
      <c r="AC242" s="17">
        <f>IF(H242=0,"",AB242/H242)</f>
        <v/>
      </c>
      <c r="AD242" s="14" t="n">
        <v>0</v>
      </c>
      <c r="AE242" s="17">
        <f>IF(H242=0,"",AD242/H242)</f>
        <v/>
      </c>
      <c r="AF242" s="14" t="n">
        <v>0</v>
      </c>
      <c r="AG242" s="17">
        <f>IF(H242=0,"",AF242/H242)</f>
        <v/>
      </c>
      <c r="AH242" s="14" t="n">
        <v>26439.675</v>
      </c>
      <c r="AI242" s="15">
        <f>IF(H242=0,"",AH242/H242)</f>
        <v/>
      </c>
      <c r="AJ242" s="14" t="n">
        <v>1306.14</v>
      </c>
      <c r="AK242" s="17">
        <f>IF(H242=0,"",AJ242/H242)</f>
        <v/>
      </c>
      <c r="AL242" s="14" t="n">
        <v>16426.5</v>
      </c>
      <c r="AM242" s="15">
        <f>IF(H242=0,"",AL242/H242)</f>
        <v/>
      </c>
      <c r="AN242" s="14" t="n">
        <v>0</v>
      </c>
      <c r="AO242" s="14" t="n">
        <v>0</v>
      </c>
      <c r="AP242" s="14" t="n">
        <v>0</v>
      </c>
      <c r="AQ242" s="14" t="n">
        <v>0</v>
      </c>
      <c r="AR242" s="14" t="n">
        <v>0</v>
      </c>
      <c r="AS242" s="14" t="n">
        <v>0</v>
      </c>
      <c r="AT242" s="14" t="n">
        <v>0</v>
      </c>
      <c r="AU242" s="15">
        <f>AH242+AL242+AP242+AQ242+AR242+AS242+AT242</f>
        <v/>
      </c>
      <c r="AV242" s="15">
        <f>IF(H242=0,"",AU242/H242)</f>
        <v/>
      </c>
      <c r="AW242" s="15">
        <f>IF(S242=0,"",AU242/S242)</f>
        <v/>
      </c>
      <c r="AX242" s="14" t="n">
        <v>6</v>
      </c>
      <c r="AY242" s="15">
        <f>IF(H242=0,"",AX242/(H242/1000/12))</f>
        <v/>
      </c>
      <c r="AZ242" s="14" t="n">
        <v>3</v>
      </c>
      <c r="BA242" s="14" t="n">
        <v>257</v>
      </c>
      <c r="BB242" s="14" t="n">
        <v>1</v>
      </c>
      <c r="BC242" s="14" t="n">
        <v>1</v>
      </c>
      <c r="BD242" s="14" t="n">
        <v>0</v>
      </c>
      <c r="BE242" s="15">
        <f>BC242+BD242</f>
        <v/>
      </c>
      <c r="BF242" s="15">
        <f>BA242+BB242-BE242</f>
        <v/>
      </c>
      <c r="BG242" s="14" t="n">
        <v>0</v>
      </c>
      <c r="BH242" s="14" t="n">
        <v>0</v>
      </c>
      <c r="BI242" s="14" t="n">
        <v>0</v>
      </c>
      <c r="BJ242" s="14" t="n">
        <v>0</v>
      </c>
      <c r="BK242" s="15">
        <f>BI242+BJ242</f>
        <v/>
      </c>
      <c r="BL242" s="15">
        <f>BG242+BH242-BK242</f>
        <v/>
      </c>
      <c r="BM242" s="14" t="n">
        <v>0</v>
      </c>
      <c r="BN242" s="14" t="n">
        <v>0</v>
      </c>
      <c r="BO242" s="14" t="n">
        <v>0</v>
      </c>
      <c r="BP242" s="14" t="n">
        <v>0</v>
      </c>
      <c r="BQ242" s="15">
        <f>BO242+BP242</f>
        <v/>
      </c>
      <c r="BR242" s="15">
        <f>BM242+BN242-BQ242</f>
        <v/>
      </c>
      <c r="BS242" s="14" t="n">
        <v>0</v>
      </c>
      <c r="BT242" s="14" t="n">
        <v>0</v>
      </c>
      <c r="BU242" s="14" t="n">
        <v>0</v>
      </c>
      <c r="BV242" s="14" t="n">
        <v>0</v>
      </c>
      <c r="BW242" s="15">
        <f>BU242+BV242</f>
        <v/>
      </c>
      <c r="BX242" s="15">
        <f>BS242+BT242-BW242</f>
        <v/>
      </c>
      <c r="BY242" s="15">
        <f>BA242+BG242+BM242+BS242</f>
        <v/>
      </c>
      <c r="BZ242" s="15">
        <f>BB242+BH242+BN242+BT242</f>
        <v/>
      </c>
      <c r="CA242" s="15">
        <f>BE242+BK242+BQ242+BW242</f>
        <v/>
      </c>
      <c r="CB242" s="15">
        <f>BF242+BL242+BR242+BX242</f>
        <v/>
      </c>
      <c r="CC242" s="14" t="n">
        <v>10</v>
      </c>
      <c r="CD242" s="14" t="n">
        <v>0</v>
      </c>
      <c r="CE242" s="14" t="n">
        <v>0</v>
      </c>
      <c r="CF242" s="14" t="n">
        <v>0</v>
      </c>
      <c r="CG242" s="14" t="n">
        <v>0</v>
      </c>
      <c r="CH242" s="15">
        <f>CD242+CE242+CF242+CG242</f>
        <v/>
      </c>
      <c r="CI242" s="14" t="n">
        <v>83</v>
      </c>
      <c r="CJ242" s="14" t="n">
        <v>0</v>
      </c>
      <c r="CK242" s="14" t="n">
        <v>0</v>
      </c>
      <c r="CL242" s="14" t="n">
        <v>0</v>
      </c>
      <c r="CM242" s="15">
        <f>CI242+CJ242+CK242+CL242</f>
        <v/>
      </c>
      <c r="CN242" s="14" t="n">
        <v>680</v>
      </c>
      <c r="CO242" s="14" t="n">
        <v>10</v>
      </c>
      <c r="CP242" s="14" t="n">
        <v>6</v>
      </c>
      <c r="CQ242" s="14" t="n">
        <v>14</v>
      </c>
      <c r="CR242" s="15">
        <f>CN242+CO242+CP242+CQ242</f>
        <v/>
      </c>
      <c r="CS242" s="15">
        <f>CM242+CR242</f>
        <v/>
      </c>
      <c r="CT242" s="14" t="n">
        <v>793</v>
      </c>
      <c r="CU242" s="14" t="n">
        <v>7351.815771520301</v>
      </c>
      <c r="CV242" s="14" t="n">
        <v>5421</v>
      </c>
      <c r="CW242" s="16">
        <f>IF(CU242=0,"",CV242/CU242)</f>
        <v/>
      </c>
      <c r="CX242" s="14" t="n"/>
      <c r="CY242" s="14" t="n"/>
      <c r="CZ242" s="14" t="n"/>
      <c r="DA242" s="14" t="n"/>
      <c r="DB242" s="15">
        <f>CX242+CY242-CZ242-DA242</f>
        <v/>
      </c>
      <c r="DC242" s="14" t="n">
        <v>0</v>
      </c>
      <c r="DD242" s="14" t="n">
        <v>0</v>
      </c>
      <c r="DE242" s="14" t="n">
        <v>0</v>
      </c>
      <c r="DF242" s="14" t="n">
        <v>0</v>
      </c>
      <c r="DG242" s="15">
        <f>DC242+DD242-DE242-DF242</f>
        <v/>
      </c>
      <c r="DH242" s="14" t="n">
        <v>0</v>
      </c>
      <c r="DI242" s="14" t="n">
        <v>0</v>
      </c>
      <c r="DJ242" s="14" t="n">
        <v>0</v>
      </c>
      <c r="DK242" s="14" t="n">
        <v>0</v>
      </c>
      <c r="DL242" s="15">
        <f>DH242+DI242-DJ242-DK242</f>
        <v/>
      </c>
      <c r="DM242" s="14" t="n">
        <v>0</v>
      </c>
      <c r="DN242" s="14" t="n">
        <v>0</v>
      </c>
      <c r="DO242" s="14" t="n">
        <v>0</v>
      </c>
      <c r="DP242" s="14" t="n">
        <v>0</v>
      </c>
      <c r="DQ242" s="15">
        <f>DM242+DN242-DO242-DP242</f>
        <v/>
      </c>
      <c r="DR242" s="15">
        <f>CX242+DC242+DH242+DM242</f>
        <v/>
      </c>
      <c r="DS242" s="15">
        <f>CY242+DD242+DI242+DN242</f>
        <v/>
      </c>
      <c r="DT242" s="15">
        <f>CZ242+DE242+DJ242+DO242</f>
        <v/>
      </c>
      <c r="DU242" s="15">
        <f>DA242+DF242+DK242+DP242</f>
        <v/>
      </c>
      <c r="DV242" s="15">
        <f>DB242+DG242+DL242+DQ242</f>
        <v/>
      </c>
      <c r="DW242" s="14" t="n">
        <v>9</v>
      </c>
      <c r="DX242" s="14" t="n">
        <v>3</v>
      </c>
      <c r="DY242" s="14" t="n">
        <v>0</v>
      </c>
      <c r="DZ242" s="14" t="n">
        <v>0</v>
      </c>
      <c r="EA242" s="14" t="n">
        <v>2</v>
      </c>
      <c r="EB242" s="14" t="n">
        <v>2</v>
      </c>
      <c r="EC242" s="14" t="n">
        <v>3</v>
      </c>
      <c r="ED242" s="14" t="n">
        <v>1</v>
      </c>
      <c r="EE242" s="14" t="n">
        <v>0</v>
      </c>
      <c r="EF242" s="14" t="n">
        <v>0</v>
      </c>
      <c r="EG242" s="14" t="n">
        <v>0</v>
      </c>
      <c r="EH242" s="14" t="n">
        <v>0</v>
      </c>
      <c r="EI242" s="14" t="n">
        <v>0</v>
      </c>
      <c r="EJ242" s="14" t="n">
        <v>4</v>
      </c>
      <c r="EK242" s="14" t="n">
        <v>2</v>
      </c>
      <c r="EL242" s="14" t="n">
        <v>0</v>
      </c>
      <c r="EM242" s="14" t="n">
        <v>0</v>
      </c>
      <c r="EN242" s="14" t="n">
        <v>0</v>
      </c>
      <c r="EO242" s="14" t="n">
        <v>0</v>
      </c>
      <c r="EP242" s="14" t="n">
        <v>0</v>
      </c>
      <c r="EQ242" s="14" t="n">
        <v>0</v>
      </c>
      <c r="ER242" s="14" t="n">
        <v>0</v>
      </c>
      <c r="ES242" s="14" t="n">
        <v>0</v>
      </c>
      <c r="ET242" s="14" t="n">
        <v>0</v>
      </c>
      <c r="EU242" s="14" t="n">
        <v>0</v>
      </c>
      <c r="EV242" s="14" t="n">
        <v>0</v>
      </c>
      <c r="EW242" s="14" t="n">
        <v>0</v>
      </c>
      <c r="EX242" s="14" t="n">
        <v>0</v>
      </c>
      <c r="EY242" s="14" t="n">
        <v>0</v>
      </c>
      <c r="EZ242" s="14" t="n">
        <v>0</v>
      </c>
      <c r="FA242" s="14" t="n">
        <v>0</v>
      </c>
      <c r="FB242" s="14" t="n">
        <v>0</v>
      </c>
      <c r="FC242" s="14" t="n">
        <v>0</v>
      </c>
      <c r="FD242" s="14" t="n">
        <v>0</v>
      </c>
      <c r="FE242" s="14" t="n">
        <v>0</v>
      </c>
      <c r="FF242" s="14" t="n">
        <v>0</v>
      </c>
      <c r="FG242" s="15">
        <f>SUM(DW242,DX242,DY242,DZ242,EA242,EB242,EC242,ED242,EE242,EF242,EG242,EH242,EI242,EJ242,EK242,EL242,EM242,EN242,EO242,EP242,EQ242,ER242,ES242,ET242,EU242,EV242,EW242,EX242,EY242,EZ242,FA242,FB242,FC242,FD242,FE242,FF242)</f>
        <v/>
      </c>
      <c r="FH242" s="14" t="n">
        <v>0</v>
      </c>
      <c r="FI242" s="14" t="n">
        <v>0</v>
      </c>
      <c r="FJ242" s="14" t="n">
        <v>0</v>
      </c>
      <c r="FK242" s="14" t="n">
        <v>0</v>
      </c>
      <c r="FL242" s="14" t="n">
        <v>0</v>
      </c>
      <c r="FM242" s="14" t="n">
        <v>0</v>
      </c>
      <c r="FN242" s="14" t="n">
        <v>0</v>
      </c>
      <c r="FO242" s="14" t="n">
        <v>0</v>
      </c>
      <c r="FP242" s="14" t="n">
        <v>0</v>
      </c>
      <c r="FQ242" s="15">
        <f>FL242+FM242+FN242+FO242+FP242</f>
        <v/>
      </c>
      <c r="FR242" s="14" t="n">
        <v>1049400</v>
      </c>
      <c r="FS242" s="14" t="n">
        <v>12500</v>
      </c>
      <c r="FT242" s="14" t="n">
        <v>0</v>
      </c>
      <c r="FU242" s="14" t="n">
        <v>34000</v>
      </c>
      <c r="FV242" s="15">
        <f>FR242+FS242+FT242+FU242</f>
        <v/>
      </c>
      <c r="FW242" s="14" t="n">
        <v>2407935</v>
      </c>
      <c r="FX242" s="14" t="n">
        <v>75190</v>
      </c>
      <c r="FY242" s="14" t="n">
        <v>103500</v>
      </c>
      <c r="FZ242" s="14" t="n">
        <v>42400</v>
      </c>
      <c r="GA242" s="15">
        <f>FW242+FX242+FY242+FZ242</f>
        <v/>
      </c>
      <c r="GB242" s="15">
        <f>FV242+GA242</f>
        <v/>
      </c>
      <c r="GC242" s="14" t="n">
        <v>867158.1899999999</v>
      </c>
      <c r="GD242" s="14" t="n">
        <v>6503.52</v>
      </c>
      <c r="GE242" s="14" t="n">
        <v>8410.99</v>
      </c>
      <c r="GF242" s="14" t="n">
        <v>20207.62</v>
      </c>
      <c r="GG242" s="15">
        <f>GC242+GD242+GE242+GF242</f>
        <v/>
      </c>
      <c r="GH242" s="14" t="n">
        <v>2395875.36</v>
      </c>
      <c r="GI242" s="14" t="n">
        <v>75190</v>
      </c>
      <c r="GJ242" s="14" t="n">
        <v>35426.65</v>
      </c>
      <c r="GK242" s="14" t="n">
        <v>103500</v>
      </c>
      <c r="GL242" s="15">
        <f>GH242+GI242+GJ242+GK242</f>
        <v/>
      </c>
      <c r="GM242" s="15">
        <f>GG242+GL242</f>
        <v/>
      </c>
      <c r="GN242" s="14" t="n">
        <v>123154.18</v>
      </c>
      <c r="GO242" s="14" t="n">
        <v>1338.96</v>
      </c>
      <c r="GP242" s="14" t="n">
        <v>3393.64</v>
      </c>
      <c r="GQ242" s="14" t="n">
        <v>9274.68</v>
      </c>
      <c r="GR242" s="15">
        <f>GN242+GO242+GP242+GQ242</f>
        <v/>
      </c>
      <c r="GS242" s="14" t="n">
        <v>201818</v>
      </c>
      <c r="GT242" s="14" t="n">
        <v>6251</v>
      </c>
      <c r="GU242" s="14" t="n">
        <v>893</v>
      </c>
      <c r="GV242" s="14" t="n">
        <v>1786</v>
      </c>
      <c r="GW242" s="15">
        <f>GS242+GT242+GU242+GV242</f>
        <v/>
      </c>
      <c r="GX242" s="15">
        <f>GM242+GR242+GW242</f>
        <v/>
      </c>
      <c r="GY242" s="14" t="n">
        <v>9758306.029999999</v>
      </c>
      <c r="GZ242" s="14" t="n">
        <v>342821.76</v>
      </c>
      <c r="HA242" s="15">
        <f>GY242+GZ242</f>
        <v/>
      </c>
      <c r="HB242" s="15">
        <f>IF(GX242=0,"",AU242/GX242)</f>
        <v/>
      </c>
      <c r="HC242" s="16">
        <f>IF((GX242+GY242)=0,"",GB242/(GX242+GY242))</f>
        <v/>
      </c>
      <c r="HD242" s="15">
        <f>IF(GX242=0,"",GB242/GX242)</f>
        <v/>
      </c>
      <c r="HE242" s="14" t="n">
        <v>1</v>
      </c>
      <c r="HF242" s="14" t="n">
        <v>3</v>
      </c>
      <c r="HG242" s="14" t="n">
        <v>257</v>
      </c>
      <c r="HH242" s="14" t="n">
        <v>1</v>
      </c>
      <c r="HI242" s="14" t="n">
        <v>0</v>
      </c>
      <c r="HJ242" s="15">
        <f>HF242+HI242</f>
        <v/>
      </c>
      <c r="HK242" s="16">
        <f>IF(HE242=0,"",HH242/HE242)</f>
        <v/>
      </c>
      <c r="HL242" s="14" t="n">
        <v>2</v>
      </c>
      <c r="HM242" s="14" t="n">
        <v>2</v>
      </c>
      <c r="HN242" s="17">
        <f>IF(HL242=0,"",HM242/HL242)</f>
        <v/>
      </c>
    </row>
    <row r="243">
      <c r="A243" s="6" t="inlineStr">
        <is>
          <t>Ngabu</t>
        </is>
      </c>
      <c r="B243" s="6" t="inlineStr">
        <is>
          <t>Nchalo</t>
        </is>
      </c>
      <c r="C243" s="7" t="inlineStr">
        <is>
          <t>FY2025/26</t>
        </is>
      </c>
      <c r="D243" s="7" t="n">
        <v>2025</v>
      </c>
      <c r="E243" s="7" t="n">
        <v>4</v>
      </c>
      <c r="F243" s="7" t="inlineStr">
        <is>
          <t>April</t>
        </is>
      </c>
      <c r="G243" s="7" t="inlineStr">
        <is>
          <t>Q1</t>
        </is>
      </c>
      <c r="H243" s="8" t="n">
        <v>30336</v>
      </c>
      <c r="I243" s="8" t="n">
        <v>13644</v>
      </c>
      <c r="J243" s="8" t="n">
        <v>628</v>
      </c>
      <c r="K243" s="8" t="n">
        <v>38</v>
      </c>
      <c r="L243" s="8" t="n">
        <v>15</v>
      </c>
      <c r="M243" s="9">
        <f>SUM(I243,J243,K243,L243)</f>
        <v/>
      </c>
      <c r="N243" s="8" t="n">
        <v>2580</v>
      </c>
      <c r="O243" s="8" t="n">
        <v>1043</v>
      </c>
      <c r="P243" s="8" t="n">
        <v>301</v>
      </c>
      <c r="Q243" s="8" t="n">
        <v>509</v>
      </c>
      <c r="R243" s="9">
        <f>SUM(N243,O243,P243,Q243)</f>
        <v/>
      </c>
      <c r="S243" s="9">
        <f>M243+R243</f>
        <v/>
      </c>
      <c r="T243" s="8" t="n">
        <v>11578</v>
      </c>
      <c r="U243" s="10">
        <f>IF(H243=0,"",T243/H243)</f>
        <v/>
      </c>
      <c r="V243" s="8" t="n">
        <v>18</v>
      </c>
      <c r="W243" s="11">
        <f>IF(H243=0,"",V243/H243)</f>
        <v/>
      </c>
      <c r="X243" s="8" t="n">
        <v>0</v>
      </c>
      <c r="Y243" s="11">
        <f>IF(H243=0,"",X243/H243)</f>
        <v/>
      </c>
      <c r="Z243" s="8" t="n">
        <v>0</v>
      </c>
      <c r="AA243" s="11">
        <f>IF(H243=0,"",Z243/H243)</f>
        <v/>
      </c>
      <c r="AB243" s="8" t="n">
        <v>0</v>
      </c>
      <c r="AC243" s="11">
        <f>IF(H243=0,"",AB243/H243)</f>
        <v/>
      </c>
      <c r="AD243" s="8" t="n">
        <v>0</v>
      </c>
      <c r="AE243" s="11">
        <f>IF(H243=0,"",AD243/H243)</f>
        <v/>
      </c>
      <c r="AF243" s="8" t="n">
        <v>0</v>
      </c>
      <c r="AG243" s="11">
        <f>IF(H243=0,"",AF243/H243)</f>
        <v/>
      </c>
      <c r="AH243" s="8" t="n">
        <v>63455.22</v>
      </c>
      <c r="AI243" s="9">
        <f>IF(H243=0,"",AH243/H243)</f>
        <v/>
      </c>
      <c r="AJ243" s="8" t="n">
        <v>7503</v>
      </c>
      <c r="AK243" s="11">
        <f>IF(H243=0,"",AJ243/H243)</f>
        <v/>
      </c>
      <c r="AL243" s="8" t="n">
        <v>1057479.0045</v>
      </c>
      <c r="AM243" s="9">
        <f>IF(H243=0,"",AL243/H243)</f>
        <v/>
      </c>
      <c r="AN243" s="8" t="n">
        <v>0</v>
      </c>
      <c r="AO243" s="8" t="n">
        <v>0</v>
      </c>
      <c r="AP243" s="8" t="n">
        <v>0</v>
      </c>
      <c r="AQ243" s="8" t="n">
        <v>0</v>
      </c>
      <c r="AR243" s="8" t="n">
        <v>0</v>
      </c>
      <c r="AS243" s="8" t="n">
        <v>0</v>
      </c>
      <c r="AT243" s="8" t="n">
        <v>0</v>
      </c>
      <c r="AU243" s="9">
        <f>AH243+AL243+AP243+AQ243+AR243+AS243+AT243</f>
        <v/>
      </c>
      <c r="AV243" s="9">
        <f>IF(H243=0,"",AU243/H243)</f>
        <v/>
      </c>
      <c r="AW243" s="9">
        <f>IF(S243=0,"",AU243/S243)</f>
        <v/>
      </c>
      <c r="AX243" s="8" t="n">
        <v>6</v>
      </c>
      <c r="AY243" s="9">
        <f>IF(H243=0,"",AX243/(H243/1000/12))</f>
        <v/>
      </c>
      <c r="AZ243" s="8" t="n">
        <v>6</v>
      </c>
      <c r="BA243" s="8" t="n">
        <v>11</v>
      </c>
      <c r="BB243" s="8" t="n">
        <v>15</v>
      </c>
      <c r="BC243" s="8" t="n">
        <v>10</v>
      </c>
      <c r="BD243" s="8" t="n">
        <v>0</v>
      </c>
      <c r="BE243" s="9">
        <f>BC243+BD243</f>
        <v/>
      </c>
      <c r="BF243" s="9">
        <f>BA243+BB243-BE243</f>
        <v/>
      </c>
      <c r="BG243" s="8" t="n">
        <v>0</v>
      </c>
      <c r="BH243" s="8" t="n">
        <v>0</v>
      </c>
      <c r="BI243" s="8" t="n">
        <v>0</v>
      </c>
      <c r="BJ243" s="8" t="n">
        <v>0</v>
      </c>
      <c r="BK243" s="9">
        <f>BI243+BJ243</f>
        <v/>
      </c>
      <c r="BL243" s="9">
        <f>BG243+BH243-BK243</f>
        <v/>
      </c>
      <c r="BM243" s="8" t="n">
        <v>2</v>
      </c>
      <c r="BN243" s="8" t="n">
        <v>0</v>
      </c>
      <c r="BO243" s="8" t="n">
        <v>0</v>
      </c>
      <c r="BP243" s="8" t="n">
        <v>0</v>
      </c>
      <c r="BQ243" s="9">
        <f>BO243+BP243</f>
        <v/>
      </c>
      <c r="BR243" s="9">
        <f>BM243+BN243-BQ243</f>
        <v/>
      </c>
      <c r="BS243" s="8" t="n">
        <v>0</v>
      </c>
      <c r="BT243" s="8" t="n">
        <v>0</v>
      </c>
      <c r="BU243" s="8" t="n">
        <v>0</v>
      </c>
      <c r="BV243" s="8" t="n">
        <v>0</v>
      </c>
      <c r="BW243" s="9">
        <f>BU243+BV243</f>
        <v/>
      </c>
      <c r="BX243" s="9">
        <f>BS243+BT243-BW243</f>
        <v/>
      </c>
      <c r="BY243" s="9">
        <f>BA243+BG243+BM243+BS243</f>
        <v/>
      </c>
      <c r="BZ243" s="9">
        <f>BB243+BH243+BN243+BT243</f>
        <v/>
      </c>
      <c r="CA243" s="9">
        <f>BE243+BK243+BQ243+BW243</f>
        <v/>
      </c>
      <c r="CB243" s="9">
        <f>BF243+BL243+BR243+BX243</f>
        <v/>
      </c>
      <c r="CC243" s="8" t="n">
        <v>0</v>
      </c>
      <c r="CD243" s="8" t="n">
        <v>640</v>
      </c>
      <c r="CE243" s="8" t="n">
        <v>17</v>
      </c>
      <c r="CF243" s="8" t="n">
        <v>27</v>
      </c>
      <c r="CG243" s="8" t="n">
        <v>11</v>
      </c>
      <c r="CH243" s="9">
        <f>CD243+CE243+CF243+CG243</f>
        <v/>
      </c>
      <c r="CI243" s="8" t="n">
        <v>1659</v>
      </c>
      <c r="CJ243" s="8" t="n">
        <v>11</v>
      </c>
      <c r="CK243" s="8" t="n">
        <v>10</v>
      </c>
      <c r="CL243" s="8" t="n">
        <v>8</v>
      </c>
      <c r="CM243" s="9">
        <f>CI243+CJ243+CK243+CL243</f>
        <v/>
      </c>
      <c r="CN243" s="8" t="n">
        <v>221</v>
      </c>
      <c r="CO243" s="8" t="n">
        <v>25</v>
      </c>
      <c r="CP243" s="8" t="n">
        <v>42</v>
      </c>
      <c r="CQ243" s="8" t="n">
        <v>1</v>
      </c>
      <c r="CR243" s="9">
        <f>CN243+CO243+CP243+CQ243</f>
        <v/>
      </c>
      <c r="CS243" s="9">
        <f>CM243+CR243</f>
        <v/>
      </c>
      <c r="CT243" s="8" t="n">
        <v>2672</v>
      </c>
      <c r="CU243" s="8" t="n">
        <v>20989</v>
      </c>
      <c r="CV243" s="8" t="n">
        <v>16373</v>
      </c>
      <c r="CW243" s="10">
        <f>IF(CU243=0,"",CV243/CU243)</f>
        <v/>
      </c>
      <c r="CX243" s="8" t="n">
        <v>0</v>
      </c>
      <c r="CY243" s="8" t="n">
        <v>0</v>
      </c>
      <c r="CZ243" s="8" t="n">
        <v>0</v>
      </c>
      <c r="DA243" s="8" t="n">
        <v>0</v>
      </c>
      <c r="DB243" s="9">
        <f>CX243+CY243-CZ243-DA243</f>
        <v/>
      </c>
      <c r="DC243" s="8" t="n">
        <v>0</v>
      </c>
      <c r="DD243" s="8" t="n">
        <v>0</v>
      </c>
      <c r="DE243" s="8" t="n">
        <v>0</v>
      </c>
      <c r="DF243" s="8" t="n">
        <v>0</v>
      </c>
      <c r="DG243" s="9">
        <f>DC243+DD243-DE243-DF243</f>
        <v/>
      </c>
      <c r="DH243" s="8" t="n">
        <v>0</v>
      </c>
      <c r="DI243" s="8" t="n">
        <v>0</v>
      </c>
      <c r="DJ243" s="8" t="n">
        <v>0</v>
      </c>
      <c r="DK243" s="8" t="n">
        <v>0</v>
      </c>
      <c r="DL243" s="9">
        <f>DH243+DI243-DJ243-DK243</f>
        <v/>
      </c>
      <c r="DM243" s="8" t="n">
        <v>300</v>
      </c>
      <c r="DN243" s="8" t="n">
        <v>0</v>
      </c>
      <c r="DO243" s="8" t="n">
        <v>0</v>
      </c>
      <c r="DP243" s="8" t="n">
        <v>0</v>
      </c>
      <c r="DQ243" s="9">
        <f>DM243+DN243-DO243-DP243</f>
        <v/>
      </c>
      <c r="DR243" s="9">
        <f>CX243+DC243+DH243+DM243</f>
        <v/>
      </c>
      <c r="DS243" s="9">
        <f>CY243+DD243+DI243+DN243</f>
        <v/>
      </c>
      <c r="DT243" s="9">
        <f>CZ243+DE243+DJ243+DO243</f>
        <v/>
      </c>
      <c r="DU243" s="9">
        <f>DA243+DF243+DK243+DP243</f>
        <v/>
      </c>
      <c r="DV243" s="9">
        <f>DB243+DG243+DL243+DQ243</f>
        <v/>
      </c>
      <c r="DW243" s="8" t="n">
        <v>24</v>
      </c>
      <c r="DX243" s="8" t="n">
        <v>24</v>
      </c>
      <c r="DY243" s="8" t="n">
        <v>10</v>
      </c>
      <c r="DZ243" s="8" t="n">
        <v>11</v>
      </c>
      <c r="EA243" s="8" t="n">
        <v>9</v>
      </c>
      <c r="EB243" s="8" t="n">
        <v>13</v>
      </c>
      <c r="EC243" s="8" t="n">
        <v>10</v>
      </c>
      <c r="ED243" s="8" t="n">
        <v>5</v>
      </c>
      <c r="EE243" s="8" t="n">
        <v>7</v>
      </c>
      <c r="EF243" s="8" t="n">
        <v>2</v>
      </c>
      <c r="EG243" s="8" t="n">
        <v>0</v>
      </c>
      <c r="EH243" s="8" t="n">
        <v>0</v>
      </c>
      <c r="EI243" s="8" t="n">
        <v>0</v>
      </c>
      <c r="EJ243" s="8" t="n">
        <v>8</v>
      </c>
      <c r="EK243" s="8" t="n">
        <v>6</v>
      </c>
      <c r="EL243" s="8" t="n">
        <v>0</v>
      </c>
      <c r="EM243" s="8" t="n">
        <v>0</v>
      </c>
      <c r="EN243" s="8" t="n">
        <v>0</v>
      </c>
      <c r="EO243" s="8" t="n">
        <v>0</v>
      </c>
      <c r="EP243" s="8" t="n">
        <v>0</v>
      </c>
      <c r="EQ243" s="8" t="n">
        <v>0</v>
      </c>
      <c r="ER243" s="8" t="n">
        <v>0</v>
      </c>
      <c r="ES243" s="8" t="n">
        <v>0</v>
      </c>
      <c r="ET243" s="8" t="n">
        <v>0</v>
      </c>
      <c r="EU243" s="8" t="n">
        <v>0</v>
      </c>
      <c r="EV243" s="8" t="n">
        <v>0</v>
      </c>
      <c r="EW243" s="8" t="n">
        <v>0</v>
      </c>
      <c r="EX243" s="8" t="n">
        <v>0</v>
      </c>
      <c r="EY243" s="8" t="n">
        <v>0</v>
      </c>
      <c r="EZ243" s="8" t="n">
        <v>0</v>
      </c>
      <c r="FA243" s="8" t="n">
        <v>0</v>
      </c>
      <c r="FB243" s="8" t="n">
        <v>0</v>
      </c>
      <c r="FC243" s="8" t="n">
        <v>0</v>
      </c>
      <c r="FD243" s="8" t="n">
        <v>0</v>
      </c>
      <c r="FE243" s="8" t="n">
        <v>4</v>
      </c>
      <c r="FF243" s="8" t="n">
        <v>0</v>
      </c>
      <c r="FG243" s="9">
        <f>SUM(DW243,DX243,DY243,DZ243,EA243,EB243,EC243,ED243,EE243,EF243,EG243,EH243,EI243,EJ243,EK243,EL243,EM243,EN243,EO243,EP243,EQ243,ER243,ES243,ET243,EU243,EV243,EW243,EX243,EY243,EZ243,FA243,FB243,FC243,FD243,FE243,FF243)</f>
        <v/>
      </c>
      <c r="FH243" s="8" t="n">
        <v>0</v>
      </c>
      <c r="FI243" s="8" t="n">
        <v>0</v>
      </c>
      <c r="FJ243" s="8" t="n">
        <v>0</v>
      </c>
      <c r="FK243" s="8" t="n">
        <v>0</v>
      </c>
      <c r="FL243" s="8" t="n">
        <v>0</v>
      </c>
      <c r="FM243" s="8" t="n">
        <v>0</v>
      </c>
      <c r="FN243" s="8" t="n">
        <v>0</v>
      </c>
      <c r="FO243" s="8" t="n">
        <v>0</v>
      </c>
      <c r="FP243" s="8" t="n">
        <v>0</v>
      </c>
      <c r="FQ243" s="9">
        <f>FL243+FM243+FN243+FO243+FP243</f>
        <v/>
      </c>
      <c r="FR243" s="8" t="n">
        <v>9169319</v>
      </c>
      <c r="FS243" s="8" t="n">
        <v>93800</v>
      </c>
      <c r="FT243" s="8" t="n">
        <v>125000</v>
      </c>
      <c r="FU243" s="8" t="n">
        <v>5000</v>
      </c>
      <c r="FV243" s="9">
        <f>FR243+FS243+FT243+FU243</f>
        <v/>
      </c>
      <c r="FW243" s="8" t="n">
        <v>2261717</v>
      </c>
      <c r="FX243" s="8" t="n">
        <v>0</v>
      </c>
      <c r="FY243" s="8" t="n">
        <v>2929526</v>
      </c>
      <c r="FZ243" s="8" t="n">
        <v>527300</v>
      </c>
      <c r="GA243" s="9">
        <f>FW243+FX243+FY243+FZ243</f>
        <v/>
      </c>
      <c r="GB243" s="9">
        <f>FV243+GA243</f>
        <v/>
      </c>
      <c r="GC243" s="8" t="n">
        <v>12580596.52</v>
      </c>
      <c r="GD243" s="8" t="n">
        <v>120123.84</v>
      </c>
      <c r="GE243" s="8" t="n">
        <v>103496.32</v>
      </c>
      <c r="GF243" s="8" t="n">
        <v>40521.46</v>
      </c>
      <c r="GG243" s="9">
        <f>GC243+GD243+GE243+GF243</f>
        <v/>
      </c>
      <c r="GH243" s="8" t="n">
        <v>2120078.63</v>
      </c>
      <c r="GI243" s="8" t="n">
        <v>0</v>
      </c>
      <c r="GJ243" s="8" t="n">
        <v>522901.5</v>
      </c>
      <c r="GK243" s="8" t="n">
        <v>2721921.12</v>
      </c>
      <c r="GL243" s="9">
        <f>GH243+GI243+GJ243+GK243</f>
        <v/>
      </c>
      <c r="GM243" s="9">
        <f>GG243+GL243</f>
        <v/>
      </c>
      <c r="GN243" s="8" t="n">
        <v>843609.66</v>
      </c>
      <c r="GO243" s="8" t="n">
        <v>1912.8</v>
      </c>
      <c r="GP243" s="8" t="n">
        <v>16968.2</v>
      </c>
      <c r="GQ243" s="8" t="n">
        <v>9274.68</v>
      </c>
      <c r="GR243" s="9">
        <f>GN243+GO243+GP243+GQ243</f>
        <v/>
      </c>
      <c r="GS243" s="8" t="n">
        <v>1377006</v>
      </c>
      <c r="GT243" s="8" t="n">
        <v>8930</v>
      </c>
      <c r="GU243" s="8" t="n">
        <v>4465</v>
      </c>
      <c r="GV243" s="8" t="n">
        <v>1786</v>
      </c>
      <c r="GW243" s="9">
        <f>GS243+GT243+GU243+GV243</f>
        <v/>
      </c>
      <c r="GX243" s="9">
        <f>GM243+GR243+GW243</f>
        <v/>
      </c>
      <c r="GY243" s="8" t="n">
        <v>0</v>
      </c>
      <c r="GZ243" s="8" t="n">
        <v>0</v>
      </c>
      <c r="HA243" s="9">
        <f>GY243+GZ243</f>
        <v/>
      </c>
      <c r="HB243" s="9">
        <f>IF(GX243=0,"",AU243/GX243)</f>
        <v/>
      </c>
      <c r="HC243" s="10">
        <f>IF((GX243+GY243)=0,"",GB243/(GX243+GY243))</f>
        <v/>
      </c>
      <c r="HD243" s="9">
        <f>IF(GX243=0,"",GB243/GX243)</f>
        <v/>
      </c>
      <c r="HE243" s="8" t="n">
        <v>15</v>
      </c>
      <c r="HF243" s="8" t="n">
        <v>0</v>
      </c>
      <c r="HG243" s="8" t="n">
        <v>18</v>
      </c>
      <c r="HH243" s="8" t="n">
        <v>15</v>
      </c>
      <c r="HI243" s="8" t="n">
        <v>0</v>
      </c>
      <c r="HJ243" s="9">
        <f>HF243+HI243</f>
        <v/>
      </c>
      <c r="HK243" s="10">
        <f>IF(HE243=0,"",HH243/HE243)</f>
        <v/>
      </c>
      <c r="HL243" s="8" t="n">
        <v>0</v>
      </c>
      <c r="HM243" s="8" t="n">
        <v>0</v>
      </c>
      <c r="HN243" s="11">
        <f>IF(HL243=0,"",HM243/HL243)</f>
        <v/>
      </c>
    </row>
    <row r="244">
      <c r="A244" s="12" t="inlineStr">
        <is>
          <t>Ngabu</t>
        </is>
      </c>
      <c r="B244" s="12" t="inlineStr">
        <is>
          <t>Nchalo</t>
        </is>
      </c>
      <c r="C244" s="13" t="inlineStr">
        <is>
          <t>FY2025/26</t>
        </is>
      </c>
      <c r="D244" s="13" t="n">
        <v>2025</v>
      </c>
      <c r="E244" s="13" t="n">
        <v>5</v>
      </c>
      <c r="F244" s="13" t="inlineStr">
        <is>
          <t>May</t>
        </is>
      </c>
      <c r="G244" s="13" t="inlineStr">
        <is>
          <t>Q1</t>
        </is>
      </c>
      <c r="H244" s="14" t="n">
        <v>29110</v>
      </c>
      <c r="I244" s="14" t="n">
        <v>11858</v>
      </c>
      <c r="J244" s="14" t="n">
        <v>493</v>
      </c>
      <c r="K244" s="14" t="n">
        <v>23</v>
      </c>
      <c r="L244" s="14" t="n">
        <v>20</v>
      </c>
      <c r="M244" s="15">
        <f>SUM(I244,J244,K244,L244)</f>
        <v/>
      </c>
      <c r="N244" s="14" t="n">
        <v>2034</v>
      </c>
      <c r="O244" s="14" t="n">
        <v>0</v>
      </c>
      <c r="P244" s="14" t="n">
        <v>659</v>
      </c>
      <c r="Q244" s="14" t="n">
        <v>2515</v>
      </c>
      <c r="R244" s="15">
        <f>SUM(N244,O244,P244,Q244)</f>
        <v/>
      </c>
      <c r="S244" s="15">
        <f>M244+R244</f>
        <v/>
      </c>
      <c r="T244" s="14" t="n">
        <v>11508</v>
      </c>
      <c r="U244" s="16">
        <f>IF(H244=0,"",T244/H244)</f>
        <v/>
      </c>
      <c r="V244" s="14" t="n">
        <v>17</v>
      </c>
      <c r="W244" s="17">
        <f>IF(H244=0,"",V244/H244)</f>
        <v/>
      </c>
      <c r="X244" s="14" t="n">
        <v>0</v>
      </c>
      <c r="Y244" s="17">
        <f>IF(H244=0,"",X244/H244)</f>
        <v/>
      </c>
      <c r="Z244" s="14" t="n">
        <v>0</v>
      </c>
      <c r="AA244" s="17">
        <f>IF(H244=0,"",Z244/H244)</f>
        <v/>
      </c>
      <c r="AB244" s="14" t="n">
        <v>0</v>
      </c>
      <c r="AC244" s="17">
        <f>IF(H244=0,"",AB244/H244)</f>
        <v/>
      </c>
      <c r="AD244" s="14" t="n">
        <v>0</v>
      </c>
      <c r="AE244" s="17">
        <f>IF(H244=0,"",AD244/H244)</f>
        <v/>
      </c>
      <c r="AF244" s="14" t="n">
        <v>0</v>
      </c>
      <c r="AG244" s="17">
        <f>IF(H244=0,"",AF244/H244)</f>
        <v/>
      </c>
      <c r="AH244" s="14" t="n">
        <v>59929.93</v>
      </c>
      <c r="AI244" s="15">
        <f>IF(H244=0,"",AH244/H244)</f>
        <v/>
      </c>
      <c r="AJ244" s="14" t="n">
        <v>4951</v>
      </c>
      <c r="AK244" s="17">
        <f>IF(H244=0,"",AJ244/H244)</f>
        <v/>
      </c>
      <c r="AL244" s="14" t="n">
        <v>703385.1764999999</v>
      </c>
      <c r="AM244" s="15">
        <f>IF(H244=0,"",AL244/H244)</f>
        <v/>
      </c>
      <c r="AN244" s="14" t="n">
        <v>0</v>
      </c>
      <c r="AO244" s="14" t="n">
        <v>0</v>
      </c>
      <c r="AP244" s="14" t="n">
        <v>0</v>
      </c>
      <c r="AQ244" s="14" t="n">
        <v>0</v>
      </c>
      <c r="AR244" s="14" t="n">
        <v>0</v>
      </c>
      <c r="AS244" s="14" t="n">
        <v>0</v>
      </c>
      <c r="AT244" s="14" t="n">
        <v>0</v>
      </c>
      <c r="AU244" s="15">
        <f>AH244+AL244+AP244+AQ244+AR244+AS244+AT244</f>
        <v/>
      </c>
      <c r="AV244" s="15">
        <f>IF(H244=0,"",AU244/H244)</f>
        <v/>
      </c>
      <c r="AW244" s="15">
        <f>IF(S244=0,"",AU244/S244)</f>
        <v/>
      </c>
      <c r="AX244" s="14" t="n">
        <v>6</v>
      </c>
      <c r="AY244" s="15">
        <f>IF(H244=0,"",AX244/(H244/1000/12))</f>
        <v/>
      </c>
      <c r="AZ244" s="14" t="n">
        <v>6</v>
      </c>
      <c r="BA244" s="14" t="n">
        <v>16</v>
      </c>
      <c r="BB244" s="14" t="n">
        <v>17</v>
      </c>
      <c r="BC244" s="14" t="n">
        <v>9</v>
      </c>
      <c r="BD244" s="14" t="n">
        <v>0</v>
      </c>
      <c r="BE244" s="15">
        <f>BC244+BD244</f>
        <v/>
      </c>
      <c r="BF244" s="15">
        <f>BA244+BB244-BE244</f>
        <v/>
      </c>
      <c r="BG244" s="14" t="n">
        <v>0</v>
      </c>
      <c r="BH244" s="14" t="n">
        <v>0</v>
      </c>
      <c r="BI244" s="14" t="n">
        <v>0</v>
      </c>
      <c r="BJ244" s="14" t="n">
        <v>0</v>
      </c>
      <c r="BK244" s="15">
        <f>BI244+BJ244</f>
        <v/>
      </c>
      <c r="BL244" s="15">
        <f>BG244+BH244-BK244</f>
        <v/>
      </c>
      <c r="BM244" s="14" t="n">
        <v>2</v>
      </c>
      <c r="BN244" s="14" t="n">
        <v>0</v>
      </c>
      <c r="BO244" s="14" t="n">
        <v>0</v>
      </c>
      <c r="BP244" s="14" t="n">
        <v>0</v>
      </c>
      <c r="BQ244" s="15">
        <f>BO244+BP244</f>
        <v/>
      </c>
      <c r="BR244" s="15">
        <f>BM244+BN244-BQ244</f>
        <v/>
      </c>
      <c r="BS244" s="14" t="n">
        <v>0</v>
      </c>
      <c r="BT244" s="14" t="n">
        <v>0</v>
      </c>
      <c r="BU244" s="14" t="n">
        <v>0</v>
      </c>
      <c r="BV244" s="14" t="n">
        <v>0</v>
      </c>
      <c r="BW244" s="15">
        <f>BU244+BV244</f>
        <v/>
      </c>
      <c r="BX244" s="15">
        <f>BS244+BT244-BW244</f>
        <v/>
      </c>
      <c r="BY244" s="15">
        <f>BA244+BG244+BM244+BS244</f>
        <v/>
      </c>
      <c r="BZ244" s="15">
        <f>BB244+BH244+BN244+BT244</f>
        <v/>
      </c>
      <c r="CA244" s="15">
        <f>BE244+BK244+BQ244+BW244</f>
        <v/>
      </c>
      <c r="CB244" s="15">
        <f>BF244+BL244+BR244+BX244</f>
        <v/>
      </c>
      <c r="CC244" s="14" t="n">
        <v>0</v>
      </c>
      <c r="CD244" s="14" t="n">
        <v>645</v>
      </c>
      <c r="CE244" s="14" t="n">
        <v>17</v>
      </c>
      <c r="CF244" s="14" t="n">
        <v>27</v>
      </c>
      <c r="CG244" s="14" t="n">
        <v>11</v>
      </c>
      <c r="CH244" s="15">
        <f>CD244+CE244+CF244+CG244</f>
        <v/>
      </c>
      <c r="CI244" s="14" t="n">
        <v>1663</v>
      </c>
      <c r="CJ244" s="14" t="n">
        <v>11</v>
      </c>
      <c r="CK244" s="14" t="n">
        <v>10</v>
      </c>
      <c r="CL244" s="14" t="n">
        <v>8</v>
      </c>
      <c r="CM244" s="15">
        <f>CI244+CJ244+CK244+CL244</f>
        <v/>
      </c>
      <c r="CN244" s="14" t="n">
        <v>221</v>
      </c>
      <c r="CO244" s="14" t="n">
        <v>25</v>
      </c>
      <c r="CP244" s="14" t="n">
        <v>42</v>
      </c>
      <c r="CQ244" s="14" t="n">
        <v>1</v>
      </c>
      <c r="CR244" s="15">
        <f>CN244+CO244+CP244+CQ244</f>
        <v/>
      </c>
      <c r="CS244" s="15">
        <f>CM244+CR244</f>
        <v/>
      </c>
      <c r="CT244" s="14" t="n">
        <v>2681</v>
      </c>
      <c r="CU244" s="14" t="n">
        <v>21030.978</v>
      </c>
      <c r="CV244" s="14" t="n">
        <v>16373</v>
      </c>
      <c r="CW244" s="16">
        <f>IF(CU244=0,"",CV244/CU244)</f>
        <v/>
      </c>
      <c r="CX244" s="14" t="n">
        <v>0</v>
      </c>
      <c r="CY244" s="14" t="n"/>
      <c r="CZ244" s="14" t="n"/>
      <c r="DA244" s="14" t="n"/>
      <c r="DB244" s="15">
        <f>CX244+CY244-CZ244-DA244</f>
        <v/>
      </c>
      <c r="DC244" s="14" t="n">
        <v>0</v>
      </c>
      <c r="DD244" s="14" t="n">
        <v>0</v>
      </c>
      <c r="DE244" s="14" t="n">
        <v>0</v>
      </c>
      <c r="DF244" s="14" t="n">
        <v>0</v>
      </c>
      <c r="DG244" s="15">
        <f>DC244+DD244-DE244-DF244</f>
        <v/>
      </c>
      <c r="DH244" s="14" t="n">
        <v>0</v>
      </c>
      <c r="DI244" s="14" t="n">
        <v>0</v>
      </c>
      <c r="DJ244" s="14" t="n">
        <v>0</v>
      </c>
      <c r="DK244" s="14" t="n">
        <v>0</v>
      </c>
      <c r="DL244" s="15">
        <f>DH244+DI244-DJ244-DK244</f>
        <v/>
      </c>
      <c r="DM244" s="14" t="n">
        <v>300</v>
      </c>
      <c r="DN244" s="14" t="n">
        <v>0</v>
      </c>
      <c r="DO244" s="14" t="n">
        <v>0</v>
      </c>
      <c r="DP244" s="14" t="n">
        <v>0</v>
      </c>
      <c r="DQ244" s="15">
        <f>DM244+DN244-DO244-DP244</f>
        <v/>
      </c>
      <c r="DR244" s="15">
        <f>CX244+DC244+DH244+DM244</f>
        <v/>
      </c>
      <c r="DS244" s="15">
        <f>CY244+DD244+DI244+DN244</f>
        <v/>
      </c>
      <c r="DT244" s="15">
        <f>CZ244+DE244+DJ244+DO244</f>
        <v/>
      </c>
      <c r="DU244" s="15">
        <f>DA244+DF244+DK244+DP244</f>
        <v/>
      </c>
      <c r="DV244" s="15">
        <f>DB244+DG244+DL244+DQ244</f>
        <v/>
      </c>
      <c r="DW244" s="14" t="n">
        <v>25</v>
      </c>
      <c r="DX244" s="14" t="n">
        <v>16</v>
      </c>
      <c r="DY244" s="14" t="n">
        <v>8</v>
      </c>
      <c r="DZ244" s="14" t="n">
        <v>5</v>
      </c>
      <c r="EA244" s="14" t="n">
        <v>7</v>
      </c>
      <c r="EB244" s="14" t="n">
        <v>9</v>
      </c>
      <c r="EC244" s="14" t="n">
        <v>10</v>
      </c>
      <c r="ED244" s="14" t="n">
        <v>4</v>
      </c>
      <c r="EE244" s="14" t="n">
        <v>2</v>
      </c>
      <c r="EF244" s="14" t="n">
        <v>3</v>
      </c>
      <c r="EG244" s="14" t="n">
        <v>0</v>
      </c>
      <c r="EH244" s="14" t="n">
        <v>0</v>
      </c>
      <c r="EI244" s="14" t="n">
        <v>0</v>
      </c>
      <c r="EJ244" s="14" t="n">
        <v>5</v>
      </c>
      <c r="EK244" s="14" t="n">
        <v>4</v>
      </c>
      <c r="EL244" s="14" t="n">
        <v>3</v>
      </c>
      <c r="EM244" s="14" t="n">
        <v>6</v>
      </c>
      <c r="EN244" s="14" t="n">
        <v>8</v>
      </c>
      <c r="EO244" s="14" t="n">
        <v>0</v>
      </c>
      <c r="EP244" s="14" t="n">
        <v>0</v>
      </c>
      <c r="EQ244" s="14" t="n">
        <v>0</v>
      </c>
      <c r="ER244" s="14" t="n">
        <v>0</v>
      </c>
      <c r="ES244" s="14" t="n">
        <v>0</v>
      </c>
      <c r="ET244" s="14" t="n">
        <v>0</v>
      </c>
      <c r="EU244" s="14" t="n">
        <v>0</v>
      </c>
      <c r="EV244" s="14" t="n">
        <v>0</v>
      </c>
      <c r="EW244" s="14" t="n">
        <v>0</v>
      </c>
      <c r="EX244" s="14" t="n">
        <v>0</v>
      </c>
      <c r="EY244" s="14" t="n">
        <v>0</v>
      </c>
      <c r="EZ244" s="14" t="n">
        <v>0</v>
      </c>
      <c r="FA244" s="14" t="n">
        <v>0</v>
      </c>
      <c r="FB244" s="14" t="n">
        <v>0</v>
      </c>
      <c r="FC244" s="14" t="n">
        <v>0</v>
      </c>
      <c r="FD244" s="14" t="n">
        <v>0</v>
      </c>
      <c r="FE244" s="14" t="n">
        <v>0</v>
      </c>
      <c r="FF244" s="14" t="n">
        <v>0</v>
      </c>
      <c r="FG244" s="15">
        <f>SUM(DW244,DX244,DY244,DZ244,EA244,EB244,EC244,ED244,EE244,EF244,EG244,EH244,EI244,EJ244,EK244,EL244,EM244,EN244,EO244,EP244,EQ244,ER244,ES244,ET244,EU244,EV244,EW244,EX244,EY244,EZ244,FA244,FB244,FC244,FD244,FE244,FF244)</f>
        <v/>
      </c>
      <c r="FH244" s="14" t="n">
        <v>0</v>
      </c>
      <c r="FI244" s="14" t="n">
        <v>0</v>
      </c>
      <c r="FJ244" s="14" t="n">
        <v>0</v>
      </c>
      <c r="FK244" s="14" t="n">
        <v>0</v>
      </c>
      <c r="FL244" s="14" t="n">
        <v>0</v>
      </c>
      <c r="FM244" s="14" t="n">
        <v>0</v>
      </c>
      <c r="FN244" s="14" t="n">
        <v>0</v>
      </c>
      <c r="FO244" s="14" t="n">
        <v>0</v>
      </c>
      <c r="FP244" s="14" t="n">
        <v>0</v>
      </c>
      <c r="FQ244" s="15">
        <f>FL244+FM244+FN244+FO244+FP244</f>
        <v/>
      </c>
      <c r="FR244" s="14" t="n">
        <v>11993717</v>
      </c>
      <c r="FS244" s="14" t="n">
        <v>103500</v>
      </c>
      <c r="FT244" s="14" t="n">
        <v>0</v>
      </c>
      <c r="FU244" s="14" t="n">
        <v>18000</v>
      </c>
      <c r="FV244" s="15">
        <f>FR244+FS244+FT244+FU244</f>
        <v/>
      </c>
      <c r="FW244" s="14" t="n">
        <v>2070580</v>
      </c>
      <c r="FX244" s="14" t="n">
        <v>0</v>
      </c>
      <c r="FY244" s="14" t="n">
        <v>1878700</v>
      </c>
      <c r="FZ244" s="14" t="n">
        <v>450400</v>
      </c>
      <c r="GA244" s="15">
        <f>FW244+FX244+FY244+FZ244</f>
        <v/>
      </c>
      <c r="GB244" s="15">
        <f>FV244+GA244</f>
        <v/>
      </c>
      <c r="GC244" s="14" t="n">
        <v>10943254.54</v>
      </c>
      <c r="GD244" s="14" t="n">
        <v>94301.03999999999</v>
      </c>
      <c r="GE244" s="14" t="n">
        <v>71606.38</v>
      </c>
      <c r="GF244" s="14" t="n">
        <v>57449.66</v>
      </c>
      <c r="GG244" s="15">
        <f>GC244+GD244+GE244+GF244</f>
        <v/>
      </c>
      <c r="GH244" s="14" t="n">
        <v>1958771.54</v>
      </c>
      <c r="GI244" s="14" t="n">
        <v>0</v>
      </c>
      <c r="GJ244" s="14" t="n">
        <v>450400</v>
      </c>
      <c r="GK244" s="14" t="n">
        <v>1866700</v>
      </c>
      <c r="GL244" s="15">
        <f>GH244+GI244+GJ244+GK244</f>
        <v/>
      </c>
      <c r="GM244" s="15">
        <f>GG244+GL244</f>
        <v/>
      </c>
      <c r="GN244" s="14" t="n">
        <v>851238.6800000001</v>
      </c>
      <c r="GO244" s="14" t="n">
        <v>1912.8</v>
      </c>
      <c r="GP244" s="14" t="n">
        <v>13574.56</v>
      </c>
      <c r="GQ244" s="14" t="n">
        <v>9274.68</v>
      </c>
      <c r="GR244" s="15">
        <f>GN244+GO244+GP244+GQ244</f>
        <v/>
      </c>
      <c r="GS244" s="14" t="n">
        <v>1389508</v>
      </c>
      <c r="GT244" s="14" t="n">
        <v>8930</v>
      </c>
      <c r="GU244" s="14" t="n">
        <v>3572</v>
      </c>
      <c r="GV244" s="14" t="n">
        <v>1786</v>
      </c>
      <c r="GW244" s="15">
        <f>GS244+GT244+GU244+GV244</f>
        <v/>
      </c>
      <c r="GX244" s="15">
        <f>GM244+GR244+GW244</f>
        <v/>
      </c>
      <c r="GY244" s="14" t="n">
        <v>47966118.94</v>
      </c>
      <c r="GZ244" s="14" t="n">
        <v>707025.83</v>
      </c>
      <c r="HA244" s="15">
        <f>GY244+GZ244</f>
        <v/>
      </c>
      <c r="HB244" s="15">
        <f>IF(GX244=0,"",AU244/GX244)</f>
        <v/>
      </c>
      <c r="HC244" s="16">
        <f>IF((GX244+GY244)=0,"",GB244/(GX244+GY244))</f>
        <v/>
      </c>
      <c r="HD244" s="15">
        <f>IF(GX244=0,"",GB244/GX244)</f>
        <v/>
      </c>
      <c r="HE244" s="14" t="n">
        <v>17</v>
      </c>
      <c r="HF244" s="14" t="n">
        <v>0</v>
      </c>
      <c r="HG244" s="14" t="n">
        <v>26</v>
      </c>
      <c r="HH244" s="14" t="n">
        <v>17</v>
      </c>
      <c r="HI244" s="14" t="n">
        <v>0</v>
      </c>
      <c r="HJ244" s="15">
        <f>HF244+HI244</f>
        <v/>
      </c>
      <c r="HK244" s="16">
        <f>IF(HE244=0,"",HH244/HE244)</f>
        <v/>
      </c>
      <c r="HL244" s="14" t="n">
        <v>0</v>
      </c>
      <c r="HM244" s="14" t="n">
        <v>0</v>
      </c>
      <c r="HN244" s="17">
        <f>IF(HL244=0,"",HM244/HL244)</f>
        <v/>
      </c>
    </row>
    <row r="245">
      <c r="A245" s="6" t="inlineStr">
        <is>
          <t>Ngabu</t>
        </is>
      </c>
      <c r="B245" s="6" t="inlineStr">
        <is>
          <t>Nchalo</t>
        </is>
      </c>
      <c r="C245" s="7" t="inlineStr">
        <is>
          <t>FY2025/26</t>
        </is>
      </c>
      <c r="D245" s="7" t="n">
        <v>2025</v>
      </c>
      <c r="E245" s="7" t="n">
        <v>6</v>
      </c>
      <c r="F245" s="7" t="inlineStr">
        <is>
          <t>June</t>
        </is>
      </c>
      <c r="G245" s="7" t="inlineStr">
        <is>
          <t>Q1</t>
        </is>
      </c>
      <c r="H245" s="8" t="n">
        <v>30257</v>
      </c>
      <c r="I245" s="8" t="n">
        <v>12807</v>
      </c>
      <c r="J245" s="8" t="n">
        <v>585</v>
      </c>
      <c r="K245" s="8" t="n">
        <v>27</v>
      </c>
      <c r="L245" s="8" t="n">
        <v>25</v>
      </c>
      <c r="M245" s="9">
        <f>SUM(I245,J245,K245,L245)</f>
        <v/>
      </c>
      <c r="N245" s="8" t="n">
        <v>2154</v>
      </c>
      <c r="O245" s="8" t="n">
        <v>0</v>
      </c>
      <c r="P245" s="8" t="n">
        <v>604</v>
      </c>
      <c r="Q245" s="8" t="n">
        <v>2333</v>
      </c>
      <c r="R245" s="9">
        <f>SUM(N245,O245,P245,Q245)</f>
        <v/>
      </c>
      <c r="S245" s="9">
        <f>M245+R245</f>
        <v/>
      </c>
      <c r="T245" s="8" t="n">
        <v>11722</v>
      </c>
      <c r="U245" s="10">
        <f>IF(H245=0,"",T245/H245)</f>
        <v/>
      </c>
      <c r="V245" s="8" t="n">
        <v>18</v>
      </c>
      <c r="W245" s="11">
        <f>IF(H245=0,"",V245/H245)</f>
        <v/>
      </c>
      <c r="X245" s="8" t="n">
        <v>0</v>
      </c>
      <c r="Y245" s="11">
        <f>IF(H245=0,"",X245/H245)</f>
        <v/>
      </c>
      <c r="Z245" s="8" t="n">
        <v>0</v>
      </c>
      <c r="AA245" s="11">
        <f>IF(H245=0,"",Z245/H245)</f>
        <v/>
      </c>
      <c r="AB245" s="8" t="n">
        <v>0</v>
      </c>
      <c r="AC245" s="11">
        <f>IF(H245=0,"",AB245/H245)</f>
        <v/>
      </c>
      <c r="AD245" s="8" t="n">
        <v>0</v>
      </c>
      <c r="AE245" s="11">
        <f>IF(H245=0,"",AD245/H245)</f>
        <v/>
      </c>
      <c r="AF245" s="8" t="n">
        <v>0</v>
      </c>
      <c r="AG245" s="11">
        <f>IF(H245=0,"",AF245/H245)</f>
        <v/>
      </c>
      <c r="AH245" s="8" t="n">
        <v>63455.22</v>
      </c>
      <c r="AI245" s="9">
        <f>IF(H245=0,"",AH245/H245)</f>
        <v/>
      </c>
      <c r="AJ245" s="8" t="n">
        <v>7704</v>
      </c>
      <c r="AK245" s="11">
        <f>IF(H245=0,"",AJ245/H245)</f>
        <v/>
      </c>
      <c r="AL245" s="8" t="n">
        <v>1085368.056</v>
      </c>
      <c r="AM245" s="9">
        <f>IF(H245=0,"",AL245/H245)</f>
        <v/>
      </c>
      <c r="AN245" s="8" t="n">
        <v>0</v>
      </c>
      <c r="AO245" s="8" t="n">
        <v>0</v>
      </c>
      <c r="AP245" s="8" t="n">
        <v>0</v>
      </c>
      <c r="AQ245" s="8" t="n">
        <v>0</v>
      </c>
      <c r="AR245" s="8" t="n">
        <v>0</v>
      </c>
      <c r="AS245" s="8" t="n">
        <v>0</v>
      </c>
      <c r="AT245" s="8" t="n">
        <v>0</v>
      </c>
      <c r="AU245" s="9">
        <f>AH245+AL245+AP245+AQ245+AR245+AS245+AT245</f>
        <v/>
      </c>
      <c r="AV245" s="9">
        <f>IF(H245=0,"",AU245/H245)</f>
        <v/>
      </c>
      <c r="AW245" s="9">
        <f>IF(S245=0,"",AU245/S245)</f>
        <v/>
      </c>
      <c r="AX245" s="8" t="n">
        <v>6</v>
      </c>
      <c r="AY245" s="9">
        <f>IF(H245=0,"",AX245/(H245/1000/12))</f>
        <v/>
      </c>
      <c r="AZ245" s="8" t="n">
        <v>6</v>
      </c>
      <c r="BA245" s="8" t="n">
        <v>24</v>
      </c>
      <c r="BB245" s="8" t="n">
        <v>15</v>
      </c>
      <c r="BC245" s="8" t="n">
        <v>13</v>
      </c>
      <c r="BD245" s="8" t="n">
        <v>0</v>
      </c>
      <c r="BE245" s="9">
        <f>BC245+BD245</f>
        <v/>
      </c>
      <c r="BF245" s="9">
        <f>BA245+BB245-BE245</f>
        <v/>
      </c>
      <c r="BG245" s="8" t="n">
        <v>0</v>
      </c>
      <c r="BH245" s="8" t="n">
        <v>0</v>
      </c>
      <c r="BI245" s="8" t="n">
        <v>0</v>
      </c>
      <c r="BJ245" s="8" t="n">
        <v>0</v>
      </c>
      <c r="BK245" s="9">
        <f>BI245+BJ245</f>
        <v/>
      </c>
      <c r="BL245" s="9">
        <f>BG245+BH245-BK245</f>
        <v/>
      </c>
      <c r="BM245" s="8" t="n">
        <v>2</v>
      </c>
      <c r="BN245" s="8" t="n">
        <v>0</v>
      </c>
      <c r="BO245" s="8" t="n">
        <v>0</v>
      </c>
      <c r="BP245" s="8" t="n">
        <v>0</v>
      </c>
      <c r="BQ245" s="9">
        <f>BO245+BP245</f>
        <v/>
      </c>
      <c r="BR245" s="9">
        <f>BM245+BN245-BQ245</f>
        <v/>
      </c>
      <c r="BS245" s="8" t="n">
        <v>0</v>
      </c>
      <c r="BT245" s="8" t="n">
        <v>0</v>
      </c>
      <c r="BU245" s="8" t="n">
        <v>0</v>
      </c>
      <c r="BV245" s="8" t="n">
        <v>0</v>
      </c>
      <c r="BW245" s="9">
        <f>BU245+BV245</f>
        <v/>
      </c>
      <c r="BX245" s="9">
        <f>BS245+BT245-BW245</f>
        <v/>
      </c>
      <c r="BY245" s="9">
        <f>BA245+BG245+BM245+BS245</f>
        <v/>
      </c>
      <c r="BZ245" s="9">
        <f>BB245+BH245+BN245+BT245</f>
        <v/>
      </c>
      <c r="CA245" s="9">
        <f>BE245+BK245+BQ245+BW245</f>
        <v/>
      </c>
      <c r="CB245" s="9">
        <f>BF245+BL245+BR245+BX245</f>
        <v/>
      </c>
      <c r="CC245" s="8" t="n">
        <v>0</v>
      </c>
      <c r="CD245" s="8" t="n">
        <v>666</v>
      </c>
      <c r="CE245" s="8" t="n">
        <v>6</v>
      </c>
      <c r="CF245" s="8" t="n">
        <v>15</v>
      </c>
      <c r="CG245" s="8" t="n">
        <v>6</v>
      </c>
      <c r="CH245" s="9">
        <f>CD245+CE245+CF245+CG245</f>
        <v/>
      </c>
      <c r="CI245" s="8" t="n">
        <v>1683</v>
      </c>
      <c r="CJ245" s="8" t="n">
        <v>11</v>
      </c>
      <c r="CK245" s="8" t="n">
        <v>10</v>
      </c>
      <c r="CL245" s="8" t="n">
        <v>8</v>
      </c>
      <c r="CM245" s="9">
        <f>CI245+CJ245+CK245+CL245</f>
        <v/>
      </c>
      <c r="CN245" s="8" t="n">
        <v>221</v>
      </c>
      <c r="CO245" s="8" t="n">
        <v>25</v>
      </c>
      <c r="CP245" s="8" t="n">
        <v>42</v>
      </c>
      <c r="CQ245" s="8" t="n">
        <v>1</v>
      </c>
      <c r="CR245" s="9">
        <f>CN245+CO245+CP245+CQ245</f>
        <v/>
      </c>
      <c r="CS245" s="9">
        <f>CM245+CR245</f>
        <v/>
      </c>
      <c r="CT245" s="8" t="n">
        <v>2694</v>
      </c>
      <c r="CU245" s="8" t="n">
        <v>21073.039956</v>
      </c>
      <c r="CV245" s="8" t="n">
        <v>16373</v>
      </c>
      <c r="CW245" s="10">
        <f>IF(CU245=0,"",CV245/CU245)</f>
        <v/>
      </c>
      <c r="CX245" s="8" t="n">
        <v>0</v>
      </c>
      <c r="CY245" s="8" t="n"/>
      <c r="CZ245" s="8" t="n"/>
      <c r="DA245" s="8" t="n"/>
      <c r="DB245" s="9">
        <f>CX245+CY245-CZ245-DA245</f>
        <v/>
      </c>
      <c r="DC245" s="8" t="n">
        <v>0</v>
      </c>
      <c r="DD245" s="8" t="n">
        <v>0</v>
      </c>
      <c r="DE245" s="8" t="n">
        <v>0</v>
      </c>
      <c r="DF245" s="8" t="n">
        <v>0</v>
      </c>
      <c r="DG245" s="9">
        <f>DC245+DD245-DE245-DF245</f>
        <v/>
      </c>
      <c r="DH245" s="8" t="n">
        <v>0</v>
      </c>
      <c r="DI245" s="8" t="n">
        <v>0</v>
      </c>
      <c r="DJ245" s="8" t="n">
        <v>0</v>
      </c>
      <c r="DK245" s="8" t="n">
        <v>0</v>
      </c>
      <c r="DL245" s="9">
        <f>DH245+DI245-DJ245-DK245</f>
        <v/>
      </c>
      <c r="DM245" s="8" t="n">
        <v>300</v>
      </c>
      <c r="DN245" s="8" t="n">
        <v>0</v>
      </c>
      <c r="DO245" s="8" t="n">
        <v>0</v>
      </c>
      <c r="DP245" s="8" t="n">
        <v>0</v>
      </c>
      <c r="DQ245" s="9">
        <f>DM245+DN245-DO245-DP245</f>
        <v/>
      </c>
      <c r="DR245" s="9">
        <f>CX245+DC245+DH245+DM245</f>
        <v/>
      </c>
      <c r="DS245" s="9">
        <f>CY245+DD245+DI245+DN245</f>
        <v/>
      </c>
      <c r="DT245" s="9">
        <f>CZ245+DE245+DJ245+DO245</f>
        <v/>
      </c>
      <c r="DU245" s="9">
        <f>DA245+DF245+DK245+DP245</f>
        <v/>
      </c>
      <c r="DV245" s="9">
        <f>DB245+DG245+DL245+DQ245</f>
        <v/>
      </c>
      <c r="DW245" s="8" t="n">
        <v>35</v>
      </c>
      <c r="DX245" s="8" t="n">
        <v>16</v>
      </c>
      <c r="DY245" s="8" t="n">
        <v>8</v>
      </c>
      <c r="DZ245" s="8" t="n">
        <v>8</v>
      </c>
      <c r="EA245" s="8" t="n">
        <v>6</v>
      </c>
      <c r="EB245" s="8" t="n">
        <v>5</v>
      </c>
      <c r="EC245" s="8" t="n">
        <v>10</v>
      </c>
      <c r="ED245" s="8" t="n">
        <v>7</v>
      </c>
      <c r="EE245" s="8" t="n">
        <v>4</v>
      </c>
      <c r="EF245" s="8" t="n">
        <v>6</v>
      </c>
      <c r="EG245" s="8" t="n">
        <v>2</v>
      </c>
      <c r="EH245" s="8" t="n">
        <v>0</v>
      </c>
      <c r="EI245" s="8" t="n">
        <v>0</v>
      </c>
      <c r="EJ245" s="8" t="n">
        <v>8</v>
      </c>
      <c r="EK245" s="8" t="n">
        <v>7</v>
      </c>
      <c r="EL245" s="8" t="n">
        <v>7</v>
      </c>
      <c r="EM245" s="8" t="n">
        <v>6</v>
      </c>
      <c r="EN245" s="8" t="n">
        <v>8</v>
      </c>
      <c r="EO245" s="8" t="n">
        <v>0</v>
      </c>
      <c r="EP245" s="8" t="n">
        <v>0</v>
      </c>
      <c r="EQ245" s="8" t="n">
        <v>0</v>
      </c>
      <c r="ER245" s="8" t="n">
        <v>0</v>
      </c>
      <c r="ES245" s="8" t="n">
        <v>0</v>
      </c>
      <c r="ET245" s="8" t="n">
        <v>0</v>
      </c>
      <c r="EU245" s="8" t="n">
        <v>0</v>
      </c>
      <c r="EV245" s="8" t="n">
        <v>0</v>
      </c>
      <c r="EW245" s="8" t="n">
        <v>0</v>
      </c>
      <c r="EX245" s="8" t="n">
        <v>0</v>
      </c>
      <c r="EY245" s="8" t="n">
        <v>0</v>
      </c>
      <c r="EZ245" s="8" t="n">
        <v>0</v>
      </c>
      <c r="FA245" s="8" t="n">
        <v>0</v>
      </c>
      <c r="FB245" s="8" t="n">
        <v>0</v>
      </c>
      <c r="FC245" s="8" t="n">
        <v>0</v>
      </c>
      <c r="FD245" s="8" t="n">
        <v>0</v>
      </c>
      <c r="FE245" s="8" t="n">
        <v>0</v>
      </c>
      <c r="FF245" s="8" t="n">
        <v>0</v>
      </c>
      <c r="FG245" s="9">
        <f>SUM(DW245,DX245,DY245,DZ245,EA245,EB245,EC245,ED245,EE245,EF245,EG245,EH245,EI245,EJ245,EK245,EL245,EM245,EN245,EO245,EP245,EQ245,ER245,ES245,ET245,EU245,EV245,EW245,EX245,EY245,EZ245,FA245,FB245,FC245,FD245,FE245,FF245)</f>
        <v/>
      </c>
      <c r="FH245" s="8" t="n">
        <v>0</v>
      </c>
      <c r="FI245" s="8" t="n">
        <v>0</v>
      </c>
      <c r="FJ245" s="8" t="n">
        <v>0</v>
      </c>
      <c r="FK245" s="8" t="n">
        <v>0</v>
      </c>
      <c r="FL245" s="8" t="n">
        <v>0</v>
      </c>
      <c r="FM245" s="8" t="n">
        <v>0</v>
      </c>
      <c r="FN245" s="8" t="n">
        <v>0</v>
      </c>
      <c r="FO245" s="8" t="n">
        <v>0</v>
      </c>
      <c r="FP245" s="8" t="n">
        <v>0</v>
      </c>
      <c r="FQ245" s="9">
        <f>FL245+FM245+FN245+FO245+FP245</f>
        <v/>
      </c>
      <c r="FR245" s="8" t="n">
        <v>13148924</v>
      </c>
      <c r="FS245" s="8" t="n">
        <v>71900</v>
      </c>
      <c r="FT245" s="8" t="n">
        <v>0</v>
      </c>
      <c r="FU245" s="8" t="n">
        <v>17500</v>
      </c>
      <c r="FV245" s="9">
        <f>FR245+FS245+FT245+FU245</f>
        <v/>
      </c>
      <c r="FW245" s="8" t="n">
        <v>1940159</v>
      </c>
      <c r="FX245" s="8" t="n">
        <v>0</v>
      </c>
      <c r="FY245" s="8" t="n">
        <v>1709600</v>
      </c>
      <c r="FZ245" s="8" t="n">
        <v>2908159</v>
      </c>
      <c r="GA245" s="9">
        <f>FW245+FX245+FY245+FZ245</f>
        <v/>
      </c>
      <c r="GB245" s="9">
        <f>FV245+GA245</f>
        <v/>
      </c>
      <c r="GC245" s="8" t="n">
        <v>11744173.29</v>
      </c>
      <c r="GD245" s="8" t="n">
        <v>111898.8</v>
      </c>
      <c r="GE245" s="8" t="n">
        <v>74346.96000000001</v>
      </c>
      <c r="GF245" s="8" t="n">
        <v>64114.72</v>
      </c>
      <c r="GG245" s="9">
        <f>GC245+GD245+GE245+GF245</f>
        <v/>
      </c>
      <c r="GH245" s="8" t="n">
        <v>1860119</v>
      </c>
      <c r="GI245" s="8" t="n">
        <v>0</v>
      </c>
      <c r="GJ245" s="8" t="n">
        <v>174200</v>
      </c>
      <c r="GK245" s="8" t="n">
        <v>1709600</v>
      </c>
      <c r="GL245" s="9">
        <f>GH245+GI245+GJ245+GK245</f>
        <v/>
      </c>
      <c r="GM245" s="9">
        <f>GG245+GL245</f>
        <v/>
      </c>
      <c r="GN245" s="8" t="n">
        <v>654212.11</v>
      </c>
      <c r="GO245" s="8" t="n">
        <v>1530.24</v>
      </c>
      <c r="GP245" s="8" t="n">
        <v>10180.92</v>
      </c>
      <c r="GQ245" s="8" t="n">
        <v>4637.34</v>
      </c>
      <c r="GR245" s="9">
        <f>GN245+GO245+GP245+GQ245</f>
        <v/>
      </c>
      <c r="GS245" s="8" t="n">
        <v>1416298</v>
      </c>
      <c r="GT245" s="8" t="n">
        <v>8930</v>
      </c>
      <c r="GU245" s="8" t="n">
        <v>4465</v>
      </c>
      <c r="GV245" s="8" t="n">
        <v>3572</v>
      </c>
      <c r="GW245" s="9">
        <f>GS245+GT245+GU245+GV245</f>
        <v/>
      </c>
      <c r="GX245" s="9">
        <f>GM245+GR245+GW245</f>
        <v/>
      </c>
      <c r="GY245" s="8" t="n">
        <v>49782082.09</v>
      </c>
      <c r="GZ245" s="8" t="n">
        <v>871067.61</v>
      </c>
      <c r="HA245" s="9">
        <f>GY245+GZ245</f>
        <v/>
      </c>
      <c r="HB245" s="9">
        <f>IF(GX245=0,"",AU245/GX245)</f>
        <v/>
      </c>
      <c r="HC245" s="10">
        <f>IF((GX245+GY245)=0,"",GB245/(GX245+GY245))</f>
        <v/>
      </c>
      <c r="HD245" s="9">
        <f>IF(GX245=0,"",GB245/GX245)</f>
        <v/>
      </c>
      <c r="HE245" s="8" t="n">
        <v>15</v>
      </c>
      <c r="HF245" s="8" t="n">
        <v>0</v>
      </c>
      <c r="HG245" s="8" t="n">
        <v>28</v>
      </c>
      <c r="HH245" s="8" t="n">
        <v>15</v>
      </c>
      <c r="HI245" s="8" t="n">
        <v>0</v>
      </c>
      <c r="HJ245" s="9">
        <f>HF245+HI245</f>
        <v/>
      </c>
      <c r="HK245" s="10">
        <f>IF(HE245=0,"",HH245/HE245)</f>
        <v/>
      </c>
      <c r="HL245" s="8" t="n">
        <v>0</v>
      </c>
      <c r="HM245" s="8" t="n">
        <v>0</v>
      </c>
      <c r="HN245" s="11">
        <f>IF(HL245=0,"",HM245/HL245)</f>
        <v/>
      </c>
    </row>
    <row r="246">
      <c r="A246" s="12" t="inlineStr">
        <is>
          <t>Ngabu</t>
        </is>
      </c>
      <c r="B246" s="12" t="inlineStr">
        <is>
          <t>Nchalo</t>
        </is>
      </c>
      <c r="C246" s="13" t="inlineStr">
        <is>
          <t>FY2025/26</t>
        </is>
      </c>
      <c r="D246" s="13" t="n">
        <v>2025</v>
      </c>
      <c r="E246" s="13" t="n">
        <v>7</v>
      </c>
      <c r="F246" s="13" t="inlineStr">
        <is>
          <t>July</t>
        </is>
      </c>
      <c r="G246" s="13" t="inlineStr">
        <is>
          <t>Q2</t>
        </is>
      </c>
      <c r="H246" s="14" t="n">
        <v>30317</v>
      </c>
      <c r="I246" s="14" t="n">
        <v>16240</v>
      </c>
      <c r="J246" s="14" t="n">
        <v>504</v>
      </c>
      <c r="K246" s="14" t="n">
        <v>478</v>
      </c>
      <c r="L246" s="14" t="n">
        <v>257</v>
      </c>
      <c r="M246" s="15">
        <f>SUM(I246,J246,K246,L246)</f>
        <v/>
      </c>
      <c r="N246" s="14" t="n">
        <v>1472</v>
      </c>
      <c r="O246" s="14" t="n">
        <v>0</v>
      </c>
      <c r="P246" s="14" t="n">
        <v>309</v>
      </c>
      <c r="Q246" s="14" t="n">
        <v>2513</v>
      </c>
      <c r="R246" s="15">
        <f>SUM(N246,O246,P246,Q246)</f>
        <v/>
      </c>
      <c r="S246" s="15">
        <f>M246+R246</f>
        <v/>
      </c>
      <c r="T246" s="14" t="n">
        <v>8544</v>
      </c>
      <c r="U246" s="16">
        <f>IF(H246=0,"",T246/H246)</f>
        <v/>
      </c>
      <c r="V246" s="14" t="n">
        <v>19</v>
      </c>
      <c r="W246" s="17">
        <f>IF(H246=0,"",V246/H246)</f>
        <v/>
      </c>
      <c r="X246" s="14" t="n">
        <v>0</v>
      </c>
      <c r="Y246" s="17">
        <f>IF(H246=0,"",X246/H246)</f>
        <v/>
      </c>
      <c r="Z246" s="14" t="n">
        <v>0</v>
      </c>
      <c r="AA246" s="17">
        <f>IF(H246=0,"",Z246/H246)</f>
        <v/>
      </c>
      <c r="AB246" s="14" t="n">
        <v>0</v>
      </c>
      <c r="AC246" s="17">
        <f>IF(H246=0,"",AB246/H246)</f>
        <v/>
      </c>
      <c r="AD246" s="14" t="n">
        <v>0</v>
      </c>
      <c r="AE246" s="17">
        <f>IF(H246=0,"",AD246/H246)</f>
        <v/>
      </c>
      <c r="AF246" s="14" t="n">
        <v>0</v>
      </c>
      <c r="AG246" s="17">
        <f>IF(H246=0,"",AF246/H246)</f>
        <v/>
      </c>
      <c r="AH246" s="14" t="n">
        <v>66980.50999999999</v>
      </c>
      <c r="AI246" s="15">
        <f>IF(H246=0,"",AH246/H246)</f>
        <v/>
      </c>
      <c r="AJ246" s="14" t="n">
        <v>7716</v>
      </c>
      <c r="AK246" s="17">
        <f>IF(H246=0,"",AJ246/H246)</f>
        <v/>
      </c>
      <c r="AL246" s="14" t="n">
        <v>1087033.074</v>
      </c>
      <c r="AM246" s="15">
        <f>IF(H246=0,"",AL246/H246)</f>
        <v/>
      </c>
      <c r="AN246" s="14" t="n">
        <v>0</v>
      </c>
      <c r="AO246" s="14" t="n">
        <v>0</v>
      </c>
      <c r="AP246" s="14" t="n">
        <v>0</v>
      </c>
      <c r="AQ246" s="14" t="n">
        <v>0</v>
      </c>
      <c r="AR246" s="14" t="n">
        <v>0</v>
      </c>
      <c r="AS246" s="14" t="n">
        <v>0</v>
      </c>
      <c r="AT246" s="14" t="n">
        <v>0</v>
      </c>
      <c r="AU246" s="15">
        <f>AH246+AL246+AP246+AQ246+AR246+AS246+AT246</f>
        <v/>
      </c>
      <c r="AV246" s="15">
        <f>IF(H246=0,"",AU246/H246)</f>
        <v/>
      </c>
      <c r="AW246" s="15">
        <f>IF(S246=0,"",AU246/S246)</f>
        <v/>
      </c>
      <c r="AX246" s="14" t="n">
        <v>6</v>
      </c>
      <c r="AY246" s="15">
        <f>IF(H246=0,"",AX246/(H246/1000/12))</f>
        <v/>
      </c>
      <c r="AZ246" s="14" t="n">
        <v>6</v>
      </c>
      <c r="BA246" s="14" t="n">
        <v>26</v>
      </c>
      <c r="BB246" s="14" t="n">
        <v>12</v>
      </c>
      <c r="BC246" s="14" t="n">
        <v>9</v>
      </c>
      <c r="BD246" s="14" t="n">
        <v>0</v>
      </c>
      <c r="BE246" s="15">
        <f>BC246+BD246</f>
        <v/>
      </c>
      <c r="BF246" s="15">
        <f>BA246+BB246-BE246</f>
        <v/>
      </c>
      <c r="BG246" s="14" t="n">
        <v>0</v>
      </c>
      <c r="BH246" s="14" t="n">
        <v>0</v>
      </c>
      <c r="BI246" s="14" t="n">
        <v>0</v>
      </c>
      <c r="BJ246" s="14" t="n">
        <v>0</v>
      </c>
      <c r="BK246" s="15">
        <f>BI246+BJ246</f>
        <v/>
      </c>
      <c r="BL246" s="15">
        <f>BG246+BH246-BK246</f>
        <v/>
      </c>
      <c r="BM246" s="14" t="n">
        <v>2</v>
      </c>
      <c r="BN246" s="14" t="n">
        <v>0</v>
      </c>
      <c r="BO246" s="14" t="n">
        <v>0</v>
      </c>
      <c r="BP246" s="14" t="n">
        <v>0</v>
      </c>
      <c r="BQ246" s="15">
        <f>BO246+BP246</f>
        <v/>
      </c>
      <c r="BR246" s="15">
        <f>BM246+BN246-BQ246</f>
        <v/>
      </c>
      <c r="BS246" s="14" t="n">
        <v>0</v>
      </c>
      <c r="BT246" s="14" t="n">
        <v>0</v>
      </c>
      <c r="BU246" s="14" t="n">
        <v>0</v>
      </c>
      <c r="BV246" s="14" t="n">
        <v>0</v>
      </c>
      <c r="BW246" s="15">
        <f>BU246+BV246</f>
        <v/>
      </c>
      <c r="BX246" s="15">
        <f>BS246+BT246-BW246</f>
        <v/>
      </c>
      <c r="BY246" s="15">
        <f>BA246+BG246+BM246+BS246</f>
        <v/>
      </c>
      <c r="BZ246" s="15">
        <f>BB246+BH246+BN246+BT246</f>
        <v/>
      </c>
      <c r="CA246" s="15">
        <f>BE246+BK246+BQ246+BW246</f>
        <v/>
      </c>
      <c r="CB246" s="15">
        <f>BF246+BL246+BR246+BX246</f>
        <v/>
      </c>
      <c r="CC246" s="14" t="n">
        <v>0</v>
      </c>
      <c r="CD246" s="14" t="n">
        <v>670</v>
      </c>
      <c r="CE246" s="14" t="n">
        <v>6</v>
      </c>
      <c r="CF246" s="14" t="n">
        <v>15</v>
      </c>
      <c r="CG246" s="14" t="n">
        <v>6</v>
      </c>
      <c r="CH246" s="15">
        <f>CD246+CE246+CF246+CG246</f>
        <v/>
      </c>
      <c r="CI246" s="14" t="n">
        <v>1688</v>
      </c>
      <c r="CJ246" s="14" t="n">
        <v>11</v>
      </c>
      <c r="CK246" s="14" t="n">
        <v>10</v>
      </c>
      <c r="CL246" s="14" t="n">
        <v>8</v>
      </c>
      <c r="CM246" s="15">
        <f>CI246+CJ246+CK246+CL246</f>
        <v/>
      </c>
      <c r="CN246" s="14" t="n">
        <v>221</v>
      </c>
      <c r="CO246" s="14" t="n">
        <v>25</v>
      </c>
      <c r="CP246" s="14" t="n">
        <v>42</v>
      </c>
      <c r="CQ246" s="14" t="n">
        <v>1</v>
      </c>
      <c r="CR246" s="15">
        <f>CN246+CO246+CP246+CQ246</f>
        <v/>
      </c>
      <c r="CS246" s="15">
        <f>CM246+CR246</f>
        <v/>
      </c>
      <c r="CT246" s="14" t="n">
        <v>2703</v>
      </c>
      <c r="CU246" s="14" t="n">
        <v>21115.186035912</v>
      </c>
      <c r="CV246" s="14" t="n">
        <v>16373</v>
      </c>
      <c r="CW246" s="16">
        <f>IF(CU246=0,"",CV246/CU246)</f>
        <v/>
      </c>
      <c r="CX246" s="14" t="n">
        <v>0</v>
      </c>
      <c r="CY246" s="14" t="n"/>
      <c r="CZ246" s="14" t="n"/>
      <c r="DA246" s="14" t="n"/>
      <c r="DB246" s="15">
        <f>CX246+CY246-CZ246-DA246</f>
        <v/>
      </c>
      <c r="DC246" s="14" t="n">
        <v>0</v>
      </c>
      <c r="DD246" s="14" t="n">
        <v>0</v>
      </c>
      <c r="DE246" s="14" t="n">
        <v>0</v>
      </c>
      <c r="DF246" s="14" t="n">
        <v>0</v>
      </c>
      <c r="DG246" s="15">
        <f>DC246+DD246-DE246-DF246</f>
        <v/>
      </c>
      <c r="DH246" s="14" t="n">
        <v>0</v>
      </c>
      <c r="DI246" s="14" t="n">
        <v>0</v>
      </c>
      <c r="DJ246" s="14" t="n">
        <v>0</v>
      </c>
      <c r="DK246" s="14" t="n">
        <v>0</v>
      </c>
      <c r="DL246" s="15">
        <f>DH246+DI246-DJ246-DK246</f>
        <v/>
      </c>
      <c r="DM246" s="14" t="n">
        <v>300</v>
      </c>
      <c r="DN246" s="14" t="n">
        <v>0</v>
      </c>
      <c r="DO246" s="14" t="n">
        <v>0</v>
      </c>
      <c r="DP246" s="14" t="n">
        <v>0</v>
      </c>
      <c r="DQ246" s="15">
        <f>DM246+DN246-DO246-DP246</f>
        <v/>
      </c>
      <c r="DR246" s="15">
        <f>CX246+DC246+DH246+DM246</f>
        <v/>
      </c>
      <c r="DS246" s="15">
        <f>CY246+DD246+DI246+DN246</f>
        <v/>
      </c>
      <c r="DT246" s="15">
        <f>CZ246+DE246+DJ246+DO246</f>
        <v/>
      </c>
      <c r="DU246" s="15">
        <f>DA246+DF246+DK246+DP246</f>
        <v/>
      </c>
      <c r="DV246" s="15">
        <f>DB246+DG246+DL246+DQ246</f>
        <v/>
      </c>
      <c r="DW246" s="14" t="n">
        <v>32</v>
      </c>
      <c r="DX246" s="14" t="n">
        <v>20</v>
      </c>
      <c r="DY246" s="14" t="n">
        <v>6</v>
      </c>
      <c r="DZ246" s="14" t="n">
        <v>13</v>
      </c>
      <c r="EA246" s="14" t="n">
        <v>10</v>
      </c>
      <c r="EB246" s="14" t="n">
        <v>12</v>
      </c>
      <c r="EC246" s="14" t="n">
        <v>11</v>
      </c>
      <c r="ED246" s="14" t="n">
        <v>6</v>
      </c>
      <c r="EE246" s="14" t="n">
        <v>9</v>
      </c>
      <c r="EF246" s="14" t="n">
        <v>8</v>
      </c>
      <c r="EG246" s="14" t="n">
        <v>0</v>
      </c>
      <c r="EH246" s="14" t="n">
        <v>0</v>
      </c>
      <c r="EI246" s="14" t="n">
        <v>0</v>
      </c>
      <c r="EJ246" s="14" t="n">
        <v>10</v>
      </c>
      <c r="EK246" s="14" t="n">
        <v>15</v>
      </c>
      <c r="EL246" s="14" t="n">
        <v>2</v>
      </c>
      <c r="EM246" s="14" t="n">
        <v>5</v>
      </c>
      <c r="EN246" s="14" t="n">
        <v>4</v>
      </c>
      <c r="EO246" s="14" t="n">
        <v>0</v>
      </c>
      <c r="EP246" s="14" t="n">
        <v>0</v>
      </c>
      <c r="EQ246" s="14" t="n">
        <v>0</v>
      </c>
      <c r="ER246" s="14" t="n">
        <v>0</v>
      </c>
      <c r="ES246" s="14" t="n">
        <v>0</v>
      </c>
      <c r="ET246" s="14" t="n">
        <v>0</v>
      </c>
      <c r="EU246" s="14" t="n">
        <v>0</v>
      </c>
      <c r="EV246" s="14" t="n">
        <v>0</v>
      </c>
      <c r="EW246" s="14" t="n">
        <v>0</v>
      </c>
      <c r="EX246" s="14" t="n">
        <v>0</v>
      </c>
      <c r="EY246" s="14" t="n">
        <v>0</v>
      </c>
      <c r="EZ246" s="14" t="n">
        <v>0</v>
      </c>
      <c r="FA246" s="14" t="n">
        <v>0</v>
      </c>
      <c r="FB246" s="14" t="n">
        <v>0</v>
      </c>
      <c r="FC246" s="14" t="n">
        <v>0</v>
      </c>
      <c r="FD246" s="14" t="n">
        <v>0</v>
      </c>
      <c r="FE246" s="14" t="n">
        <v>0</v>
      </c>
      <c r="FF246" s="14" t="n">
        <v>0</v>
      </c>
      <c r="FG246" s="15">
        <f>SUM(DW246,DX246,DY246,DZ246,EA246,EB246,EC246,ED246,EE246,EF246,EG246,EH246,EI246,EJ246,EK246,EL246,EM246,EN246,EO246,EP246,EQ246,ER246,ES246,ET246,EU246,EV246,EW246,EX246,EY246,EZ246,FA246,FB246,FC246,FD246,FE246,FF246)</f>
        <v/>
      </c>
      <c r="FH246" s="14" t="n">
        <v>0</v>
      </c>
      <c r="FI246" s="14" t="n">
        <v>0</v>
      </c>
      <c r="FJ246" s="14" t="n">
        <v>0</v>
      </c>
      <c r="FK246" s="14" t="n">
        <v>0</v>
      </c>
      <c r="FL246" s="14" t="n">
        <v>0</v>
      </c>
      <c r="FM246" s="14" t="n">
        <v>0</v>
      </c>
      <c r="FN246" s="14" t="n">
        <v>0</v>
      </c>
      <c r="FO246" s="14" t="n">
        <v>0</v>
      </c>
      <c r="FP246" s="14" t="n">
        <v>0</v>
      </c>
      <c r="FQ246" s="15">
        <f>FL246+FM246+FN246+FO246+FP246</f>
        <v/>
      </c>
      <c r="FR246" s="14" t="n">
        <v>39306648</v>
      </c>
      <c r="FS246" s="14" t="n">
        <v>194260</v>
      </c>
      <c r="FT246" s="14" t="n">
        <v>473400</v>
      </c>
      <c r="FU246" s="14" t="n">
        <v>286634</v>
      </c>
      <c r="FV246" s="15">
        <f>FR246+FS246+FT246+FU246</f>
        <v/>
      </c>
      <c r="FW246" s="14" t="n">
        <v>2025489</v>
      </c>
      <c r="FX246" s="14" t="n">
        <v>0</v>
      </c>
      <c r="FY246" s="14" t="n">
        <v>1998800</v>
      </c>
      <c r="FZ246" s="14" t="n">
        <v>2133900</v>
      </c>
      <c r="GA246" s="15">
        <f>FW246+FX246+FY246+FZ246</f>
        <v/>
      </c>
      <c r="GB246" s="15">
        <f>FV246+GA246</f>
        <v/>
      </c>
      <c r="GC246" s="14" t="n">
        <v>10150870.03</v>
      </c>
      <c r="GD246" s="14" t="n">
        <v>90475.44</v>
      </c>
      <c r="GE246" s="14" t="n">
        <v>74000.87</v>
      </c>
      <c r="GF246" s="14" t="n">
        <v>153581.17</v>
      </c>
      <c r="GG246" s="15">
        <f>GC246+GD246+GE246+GF246</f>
        <v/>
      </c>
      <c r="GH246" s="14" t="n">
        <v>1950129</v>
      </c>
      <c r="GI246" s="14" t="n">
        <v>0</v>
      </c>
      <c r="GJ246" s="14" t="n">
        <v>2133900</v>
      </c>
      <c r="GK246" s="14" t="n">
        <v>1986800</v>
      </c>
      <c r="GL246" s="15">
        <f>GH246+GI246+GJ246+GK246</f>
        <v/>
      </c>
      <c r="GM246" s="15">
        <f>GG246+GL246</f>
        <v/>
      </c>
      <c r="GN246" s="14" t="n">
        <v>764800.49</v>
      </c>
      <c r="GO246" s="14" t="n">
        <v>1912.8</v>
      </c>
      <c r="GP246" s="14" t="n">
        <v>16968.2</v>
      </c>
      <c r="GQ246" s="14" t="n">
        <v>13912.02</v>
      </c>
      <c r="GR246" s="15">
        <f>GN246+GO246+GP246+GQ246</f>
        <v/>
      </c>
      <c r="GS246" s="14" t="n">
        <v>1247521</v>
      </c>
      <c r="GT246" s="14" t="n">
        <v>8930</v>
      </c>
      <c r="GU246" s="14" t="n">
        <v>4465</v>
      </c>
      <c r="GV246" s="14" t="n">
        <v>2679</v>
      </c>
      <c r="GW246" s="15">
        <f>GS246+GT246+GU246+GV246</f>
        <v/>
      </c>
      <c r="GX246" s="15">
        <f>GM246+GR246+GW246</f>
        <v/>
      </c>
      <c r="GY246" s="14" t="n">
        <v>14812968.9</v>
      </c>
      <c r="GZ246" s="14" t="n">
        <v>680113.05</v>
      </c>
      <c r="HA246" s="15">
        <f>GY246+GZ246</f>
        <v/>
      </c>
      <c r="HB246" s="15">
        <f>IF(GX246=0,"",AU246/GX246)</f>
        <v/>
      </c>
      <c r="HC246" s="16">
        <f>IF((GX246+GY246)=0,"",GB246/(GX246+GY246))</f>
        <v/>
      </c>
      <c r="HD246" s="15">
        <f>IF(GX246=0,"",GB246/GX246)</f>
        <v/>
      </c>
      <c r="HE246" s="14" t="n">
        <v>12</v>
      </c>
      <c r="HF246" s="14" t="n">
        <v>2</v>
      </c>
      <c r="HG246" s="14" t="n">
        <v>31</v>
      </c>
      <c r="HH246" s="14" t="n">
        <v>12</v>
      </c>
      <c r="HI246" s="14" t="n">
        <v>0</v>
      </c>
      <c r="HJ246" s="15">
        <f>HF246+HI246</f>
        <v/>
      </c>
      <c r="HK246" s="16">
        <f>IF(HE246=0,"",HH246/HE246)</f>
        <v/>
      </c>
      <c r="HL246" s="14" t="n">
        <v>0</v>
      </c>
      <c r="HM246" s="14" t="n">
        <v>0</v>
      </c>
      <c r="HN246" s="17">
        <f>IF(HL246=0,"",HM246/HL246)</f>
        <v/>
      </c>
    </row>
    <row r="247">
      <c r="A247" s="6" t="inlineStr">
        <is>
          <t>Ngabu</t>
        </is>
      </c>
      <c r="B247" s="6" t="inlineStr">
        <is>
          <t>Nchalo</t>
        </is>
      </c>
      <c r="C247" s="7" t="inlineStr">
        <is>
          <t>FY2025/26</t>
        </is>
      </c>
      <c r="D247" s="7" t="n">
        <v>2025</v>
      </c>
      <c r="E247" s="7" t="n">
        <v>8</v>
      </c>
      <c r="F247" s="7" t="inlineStr">
        <is>
          <t>August</t>
        </is>
      </c>
      <c r="G247" s="7" t="inlineStr">
        <is>
          <t>Q2</t>
        </is>
      </c>
      <c r="H247" s="8" t="n">
        <v>30569</v>
      </c>
      <c r="I247" s="8" t="n">
        <v>15843</v>
      </c>
      <c r="J247" s="8" t="n">
        <v>634</v>
      </c>
      <c r="K247" s="8" t="n">
        <v>538</v>
      </c>
      <c r="L247" s="8" t="n">
        <v>312</v>
      </c>
      <c r="M247" s="9">
        <f>SUM(I247,J247,K247,L247)</f>
        <v/>
      </c>
      <c r="N247" s="8" t="n">
        <v>2019</v>
      </c>
      <c r="O247" s="8" t="n">
        <v>0</v>
      </c>
      <c r="P247" s="8" t="n">
        <v>637</v>
      </c>
      <c r="Q247" s="8" t="n">
        <v>2714</v>
      </c>
      <c r="R247" s="9">
        <f>SUM(N247,O247,P247,Q247)</f>
        <v/>
      </c>
      <c r="S247" s="9">
        <f>M247+R247</f>
        <v/>
      </c>
      <c r="T247" s="8" t="n">
        <v>7872</v>
      </c>
      <c r="U247" s="10">
        <f>IF(H247=0,"",T247/H247)</f>
        <v/>
      </c>
      <c r="V247" s="8" t="n">
        <v>20</v>
      </c>
      <c r="W247" s="11">
        <f>IF(H247=0,"",V247/H247)</f>
        <v/>
      </c>
      <c r="X247" s="8" t="n">
        <v>0</v>
      </c>
      <c r="Y247" s="11">
        <f>IF(H247=0,"",X247/H247)</f>
        <v/>
      </c>
      <c r="Z247" s="8" t="n">
        <v>0</v>
      </c>
      <c r="AA247" s="11">
        <f>IF(H247=0,"",Z247/H247)</f>
        <v/>
      </c>
      <c r="AB247" s="8" t="n">
        <v>0</v>
      </c>
      <c r="AC247" s="11">
        <f>IF(H247=0,"",AB247/H247)</f>
        <v/>
      </c>
      <c r="AD247" s="8" t="n">
        <v>0</v>
      </c>
      <c r="AE247" s="11">
        <f>IF(H247=0,"",AD247/H247)</f>
        <v/>
      </c>
      <c r="AF247" s="8" t="n">
        <v>0</v>
      </c>
      <c r="AG247" s="11">
        <f>IF(H247=0,"",AF247/H247)</f>
        <v/>
      </c>
      <c r="AH247" s="8" t="n">
        <v>70505.8</v>
      </c>
      <c r="AI247" s="9">
        <f>IF(H247=0,"",AH247/H247)</f>
        <v/>
      </c>
      <c r="AJ247" s="8" t="n">
        <v>7664</v>
      </c>
      <c r="AK247" s="11">
        <f>IF(H247=0,"",AJ247/H247)</f>
        <v/>
      </c>
      <c r="AL247" s="8" t="n">
        <v>1079817.996</v>
      </c>
      <c r="AM247" s="9">
        <f>IF(H247=0,"",AL247/H247)</f>
        <v/>
      </c>
      <c r="AN247" s="8" t="n">
        <v>0</v>
      </c>
      <c r="AO247" s="8" t="n">
        <v>0</v>
      </c>
      <c r="AP247" s="8" t="n">
        <v>0</v>
      </c>
      <c r="AQ247" s="8" t="n">
        <v>0</v>
      </c>
      <c r="AR247" s="8" t="n">
        <v>0</v>
      </c>
      <c r="AS247" s="8" t="n">
        <v>0</v>
      </c>
      <c r="AT247" s="8" t="n">
        <v>0</v>
      </c>
      <c r="AU247" s="9">
        <f>AH247+AL247+AP247+AQ247+AR247+AS247+AT247</f>
        <v/>
      </c>
      <c r="AV247" s="9">
        <f>IF(H247=0,"",AU247/H247)</f>
        <v/>
      </c>
      <c r="AW247" s="9">
        <f>IF(S247=0,"",AU247/S247)</f>
        <v/>
      </c>
      <c r="AX247" s="8" t="n">
        <v>6</v>
      </c>
      <c r="AY247" s="9">
        <f>IF(H247=0,"",AX247/(H247/1000/12))</f>
        <v/>
      </c>
      <c r="AZ247" s="8" t="n">
        <v>6</v>
      </c>
      <c r="BA247" s="8" t="n">
        <v>29</v>
      </c>
      <c r="BB247" s="8" t="n">
        <v>20</v>
      </c>
      <c r="BC247" s="8" t="n">
        <v>16</v>
      </c>
      <c r="BD247" s="8" t="n">
        <v>2</v>
      </c>
      <c r="BE247" s="9">
        <f>BC247+BD247</f>
        <v/>
      </c>
      <c r="BF247" s="9">
        <f>BA247+BB247-BE247</f>
        <v/>
      </c>
      <c r="BG247" s="8" t="n">
        <v>0</v>
      </c>
      <c r="BH247" s="8" t="n">
        <v>0</v>
      </c>
      <c r="BI247" s="8" t="n">
        <v>0</v>
      </c>
      <c r="BJ247" s="8" t="n">
        <v>0</v>
      </c>
      <c r="BK247" s="9">
        <f>BI247+BJ247</f>
        <v/>
      </c>
      <c r="BL247" s="9">
        <f>BG247+BH247-BK247</f>
        <v/>
      </c>
      <c r="BM247" s="8" t="n">
        <v>2</v>
      </c>
      <c r="BN247" s="8" t="n">
        <v>0</v>
      </c>
      <c r="BO247" s="8" t="n">
        <v>0</v>
      </c>
      <c r="BP247" s="8" t="n">
        <v>0</v>
      </c>
      <c r="BQ247" s="9">
        <f>BO247+BP247</f>
        <v/>
      </c>
      <c r="BR247" s="9">
        <f>BM247+BN247-BQ247</f>
        <v/>
      </c>
      <c r="BS247" s="8" t="n">
        <v>0</v>
      </c>
      <c r="BT247" s="8" t="n">
        <v>0</v>
      </c>
      <c r="BU247" s="8" t="n">
        <v>0</v>
      </c>
      <c r="BV247" s="8" t="n">
        <v>0</v>
      </c>
      <c r="BW247" s="9">
        <f>BU247+BV247</f>
        <v/>
      </c>
      <c r="BX247" s="9">
        <f>BS247+BT247-BW247</f>
        <v/>
      </c>
      <c r="BY247" s="9">
        <f>BA247+BG247+BM247+BS247</f>
        <v/>
      </c>
      <c r="BZ247" s="9">
        <f>BB247+BH247+BN247+BT247</f>
        <v/>
      </c>
      <c r="CA247" s="9">
        <f>BE247+BK247+BQ247+BW247</f>
        <v/>
      </c>
      <c r="CB247" s="9">
        <f>BF247+BL247+BR247+BX247</f>
        <v/>
      </c>
      <c r="CC247" s="8" t="n">
        <v>0</v>
      </c>
      <c r="CD247" s="8" t="n">
        <v>665</v>
      </c>
      <c r="CE247" s="8" t="n">
        <v>6</v>
      </c>
      <c r="CF247" s="8" t="n">
        <v>15</v>
      </c>
      <c r="CG247" s="8" t="n">
        <v>6</v>
      </c>
      <c r="CH247" s="9">
        <f>CD247+CE247+CF247+CG247</f>
        <v/>
      </c>
      <c r="CI247" s="8" t="n">
        <v>1709</v>
      </c>
      <c r="CJ247" s="8" t="n">
        <v>11</v>
      </c>
      <c r="CK247" s="8" t="n">
        <v>10</v>
      </c>
      <c r="CL247" s="8" t="n">
        <v>8</v>
      </c>
      <c r="CM247" s="9">
        <f>CI247+CJ247+CK247+CL247</f>
        <v/>
      </c>
      <c r="CN247" s="8" t="n">
        <v>221</v>
      </c>
      <c r="CO247" s="8" t="n">
        <v>25</v>
      </c>
      <c r="CP247" s="8" t="n">
        <v>42</v>
      </c>
      <c r="CQ247" s="8" t="n">
        <v>1</v>
      </c>
      <c r="CR247" s="9">
        <f>CN247+CO247+CP247+CQ247</f>
        <v/>
      </c>
      <c r="CS247" s="9">
        <f>CM247+CR247</f>
        <v/>
      </c>
      <c r="CT247" s="8" t="n">
        <v>2719</v>
      </c>
      <c r="CU247" s="8" t="n">
        <v>21157.4164079838</v>
      </c>
      <c r="CV247" s="8" t="n">
        <v>16373</v>
      </c>
      <c r="CW247" s="10">
        <f>IF(CU247=0,"",CV247/CU247)</f>
        <v/>
      </c>
      <c r="CX247" s="8" t="n">
        <v>0</v>
      </c>
      <c r="CY247" s="8" t="n"/>
      <c r="CZ247" s="8" t="n"/>
      <c r="DA247" s="8" t="n"/>
      <c r="DB247" s="9">
        <f>CX247+CY247-CZ247-DA247</f>
        <v/>
      </c>
      <c r="DC247" s="8" t="n">
        <v>0</v>
      </c>
      <c r="DD247" s="8" t="n">
        <v>0</v>
      </c>
      <c r="DE247" s="8" t="n">
        <v>0</v>
      </c>
      <c r="DF247" s="8" t="n">
        <v>0</v>
      </c>
      <c r="DG247" s="9">
        <f>DC247+DD247-DE247-DF247</f>
        <v/>
      </c>
      <c r="DH247" s="8" t="n">
        <v>0</v>
      </c>
      <c r="DI247" s="8" t="n">
        <v>0</v>
      </c>
      <c r="DJ247" s="8" t="n">
        <v>0</v>
      </c>
      <c r="DK247" s="8" t="n">
        <v>0</v>
      </c>
      <c r="DL247" s="9">
        <f>DH247+DI247-DJ247-DK247</f>
        <v/>
      </c>
      <c r="DM247" s="8" t="n">
        <v>300</v>
      </c>
      <c r="DN247" s="8" t="n">
        <v>0</v>
      </c>
      <c r="DO247" s="8" t="n">
        <v>0</v>
      </c>
      <c r="DP247" s="8" t="n">
        <v>0</v>
      </c>
      <c r="DQ247" s="9">
        <f>DM247+DN247-DO247-DP247</f>
        <v/>
      </c>
      <c r="DR247" s="9">
        <f>CX247+DC247+DH247+DM247</f>
        <v/>
      </c>
      <c r="DS247" s="9">
        <f>CY247+DD247+DI247+DN247</f>
        <v/>
      </c>
      <c r="DT247" s="9">
        <f>CZ247+DE247+DJ247+DO247</f>
        <v/>
      </c>
      <c r="DU247" s="9">
        <f>DA247+DF247+DK247+DP247</f>
        <v/>
      </c>
      <c r="DV247" s="9">
        <f>DB247+DG247+DL247+DQ247</f>
        <v/>
      </c>
      <c r="DW247" s="8" t="n">
        <v>34</v>
      </c>
      <c r="DX247" s="8" t="n">
        <v>34</v>
      </c>
      <c r="DY247" s="8" t="n">
        <v>16</v>
      </c>
      <c r="DZ247" s="8" t="n">
        <v>14</v>
      </c>
      <c r="EA247" s="8" t="n">
        <v>11</v>
      </c>
      <c r="EB247" s="8" t="n">
        <v>17</v>
      </c>
      <c r="EC247" s="8" t="n">
        <v>9</v>
      </c>
      <c r="ED247" s="8" t="n">
        <v>3</v>
      </c>
      <c r="EE247" s="8" t="n">
        <v>4</v>
      </c>
      <c r="EF247" s="8" t="n">
        <v>3</v>
      </c>
      <c r="EG247" s="8" t="n">
        <v>0</v>
      </c>
      <c r="EH247" s="8" t="n">
        <v>0</v>
      </c>
      <c r="EI247" s="8" t="n">
        <v>0</v>
      </c>
      <c r="EJ247" s="8" t="n">
        <v>6</v>
      </c>
      <c r="EK247" s="8" t="n">
        <v>5</v>
      </c>
      <c r="EL247" s="8" t="n">
        <v>3</v>
      </c>
      <c r="EM247" s="8" t="n">
        <v>4</v>
      </c>
      <c r="EN247" s="8" t="n">
        <v>5</v>
      </c>
      <c r="EO247" s="8" t="n">
        <v>0</v>
      </c>
      <c r="EP247" s="8" t="n">
        <v>0</v>
      </c>
      <c r="EQ247" s="8" t="n">
        <v>0</v>
      </c>
      <c r="ER247" s="8" t="n">
        <v>0</v>
      </c>
      <c r="ES247" s="8" t="n">
        <v>0</v>
      </c>
      <c r="ET247" s="8" t="n">
        <v>0</v>
      </c>
      <c r="EU247" s="8" t="n">
        <v>0</v>
      </c>
      <c r="EV247" s="8" t="n">
        <v>0</v>
      </c>
      <c r="EW247" s="8" t="n">
        <v>0</v>
      </c>
      <c r="EX247" s="8" t="n">
        <v>0</v>
      </c>
      <c r="EY247" s="8" t="n">
        <v>0</v>
      </c>
      <c r="EZ247" s="8" t="n">
        <v>0</v>
      </c>
      <c r="FA247" s="8" t="n">
        <v>0</v>
      </c>
      <c r="FB247" s="8" t="n">
        <v>0</v>
      </c>
      <c r="FC247" s="8" t="n">
        <v>0</v>
      </c>
      <c r="FD247" s="8" t="n">
        <v>0</v>
      </c>
      <c r="FE247" s="8" t="n">
        <v>0</v>
      </c>
      <c r="FF247" s="8" t="n">
        <v>0</v>
      </c>
      <c r="FG247" s="9">
        <f>SUM(DW247,DX247,DY247,DZ247,EA247,EB247,EC247,ED247,EE247,EF247,EG247,EH247,EI247,EJ247,EK247,EL247,EM247,EN247,EO247,EP247,EQ247,ER247,ES247,ET247,EU247,EV247,EW247,EX247,EY247,EZ247,FA247,FB247,FC247,FD247,FE247,FF247)</f>
        <v/>
      </c>
      <c r="FH247" s="8" t="n">
        <v>0</v>
      </c>
      <c r="FI247" s="8" t="n">
        <v>0</v>
      </c>
      <c r="FJ247" s="8" t="n">
        <v>0</v>
      </c>
      <c r="FK247" s="8" t="n">
        <v>0</v>
      </c>
      <c r="FL247" s="8" t="n">
        <v>0</v>
      </c>
      <c r="FM247" s="8" t="n">
        <v>0</v>
      </c>
      <c r="FN247" s="8" t="n">
        <v>0</v>
      </c>
      <c r="FO247" s="8" t="n">
        <v>0</v>
      </c>
      <c r="FP247" s="8" t="n">
        <v>0</v>
      </c>
      <c r="FQ247" s="9">
        <f>FL247+FM247+FN247+FO247+FP247</f>
        <v/>
      </c>
      <c r="FR247" s="8" t="n">
        <v>8876836</v>
      </c>
      <c r="FS247" s="8" t="n">
        <v>79320</v>
      </c>
      <c r="FT247" s="8" t="n">
        <v>158000</v>
      </c>
      <c r="FU247" s="8" t="n">
        <v>0</v>
      </c>
      <c r="FV247" s="9">
        <f>FR247+FS247+FT247+FU247</f>
        <v/>
      </c>
      <c r="FW247" s="8" t="n">
        <v>2087400</v>
      </c>
      <c r="FX247" s="8" t="n">
        <v>0</v>
      </c>
      <c r="FY247" s="8" t="n">
        <v>2434200</v>
      </c>
      <c r="FZ247" s="8" t="n">
        <v>565700</v>
      </c>
      <c r="GA247" s="9">
        <f>FW247+FX247+FY247+FZ247</f>
        <v/>
      </c>
      <c r="GB247" s="9">
        <f>FV247+GA247</f>
        <v/>
      </c>
      <c r="GC247" s="8" t="n">
        <v>11152698.99</v>
      </c>
      <c r="GD247" s="8" t="n">
        <v>101760.96</v>
      </c>
      <c r="GE247" s="8" t="n">
        <v>134450.56</v>
      </c>
      <c r="GF247" s="8" t="n">
        <v>103707.45</v>
      </c>
      <c r="GG247" s="9">
        <f>GC247+GD247+GE247+GF247</f>
        <v/>
      </c>
      <c r="GH247" s="8" t="n">
        <v>1997580</v>
      </c>
      <c r="GI247" s="8" t="n">
        <v>0</v>
      </c>
      <c r="GJ247" s="8" t="n">
        <v>565700</v>
      </c>
      <c r="GK247" s="8" t="n">
        <v>2342547.59</v>
      </c>
      <c r="GL247" s="9">
        <f>GH247+GI247+GJ247+GK247</f>
        <v/>
      </c>
      <c r="GM247" s="9">
        <f>GG247+GL247</f>
        <v/>
      </c>
      <c r="GN247" s="8" t="n">
        <v>789547.2</v>
      </c>
      <c r="GO247" s="8" t="n">
        <v>1912.8</v>
      </c>
      <c r="GP247" s="8" t="n">
        <v>16968.2</v>
      </c>
      <c r="GQ247" s="8" t="n">
        <v>23186.7</v>
      </c>
      <c r="GR247" s="9">
        <f>GN247+GO247+GP247+GQ247</f>
        <v/>
      </c>
      <c r="GS247" s="8" t="n">
        <v>1287706</v>
      </c>
      <c r="GT247" s="8" t="n">
        <v>8930</v>
      </c>
      <c r="GU247" s="8" t="n">
        <v>4465</v>
      </c>
      <c r="GV247" s="8" t="n">
        <v>4465</v>
      </c>
      <c r="GW247" s="9">
        <f>GS247+GT247+GU247+GV247</f>
        <v/>
      </c>
      <c r="GX247" s="9">
        <f>GM247+GR247+GW247</f>
        <v/>
      </c>
      <c r="GY247" s="8" t="n">
        <v>27249072.49</v>
      </c>
      <c r="GZ247" s="8" t="n">
        <v>1666842.79</v>
      </c>
      <c r="HA247" s="9">
        <f>GY247+GZ247</f>
        <v/>
      </c>
      <c r="HB247" s="9">
        <f>IF(GX247=0,"",AU247/GX247)</f>
        <v/>
      </c>
      <c r="HC247" s="10">
        <f>IF((GX247+GY247)=0,"",GB247/(GX247+GY247))</f>
        <v/>
      </c>
      <c r="HD247" s="9">
        <f>IF(GX247=0,"",GB247/GX247)</f>
        <v/>
      </c>
      <c r="HE247" s="8" t="n">
        <v>20</v>
      </c>
      <c r="HF247" s="8" t="n">
        <v>0</v>
      </c>
      <c r="HG247" s="8" t="n">
        <v>33</v>
      </c>
      <c r="HH247" s="8" t="n">
        <v>20</v>
      </c>
      <c r="HI247" s="8" t="n">
        <v>0</v>
      </c>
      <c r="HJ247" s="9">
        <f>HF247+HI247</f>
        <v/>
      </c>
      <c r="HK247" s="10">
        <f>IF(HE247=0,"",HH247/HE247)</f>
        <v/>
      </c>
      <c r="HL247" s="8" t="n">
        <v>0</v>
      </c>
      <c r="HM247" s="8" t="n">
        <v>0</v>
      </c>
      <c r="HN247" s="11">
        <f>IF(HL247=0,"",HM247/HL247)</f>
        <v/>
      </c>
    </row>
    <row r="248">
      <c r="A248" s="12" t="inlineStr">
        <is>
          <t>Ngabu</t>
        </is>
      </c>
      <c r="B248" s="12" t="inlineStr">
        <is>
          <t>Nchalo</t>
        </is>
      </c>
      <c r="C248" s="13" t="inlineStr">
        <is>
          <t>FY2025/26</t>
        </is>
      </c>
      <c r="D248" s="13" t="n">
        <v>2025</v>
      </c>
      <c r="E248" s="13" t="n">
        <v>9</v>
      </c>
      <c r="F248" s="13" t="inlineStr">
        <is>
          <t>September</t>
        </is>
      </c>
      <c r="G248" s="13" t="inlineStr">
        <is>
          <t>Q2</t>
        </is>
      </c>
      <c r="H248" s="14" t="n">
        <v>30839</v>
      </c>
      <c r="I248" s="14" t="n">
        <v>14096</v>
      </c>
      <c r="J248" s="14" t="n">
        <v>509</v>
      </c>
      <c r="K248" s="14" t="n">
        <v>46</v>
      </c>
      <c r="L248" s="14" t="n">
        <v>38</v>
      </c>
      <c r="M248" s="15">
        <f>SUM(I248,J248,K248,L248)</f>
        <v/>
      </c>
      <c r="N248" s="14" t="n">
        <v>3054</v>
      </c>
      <c r="O248" s="14" t="n">
        <v>0</v>
      </c>
      <c r="P248" s="14" t="n">
        <v>2109</v>
      </c>
      <c r="Q248" s="14" t="n">
        <v>3546</v>
      </c>
      <c r="R248" s="15">
        <f>SUM(N248,O248,P248,Q248)</f>
        <v/>
      </c>
      <c r="S248" s="15">
        <f>M248+R248</f>
        <v/>
      </c>
      <c r="T248" s="14" t="n">
        <v>7441</v>
      </c>
      <c r="U248" s="16">
        <f>IF(H248=0,"",T248/H248)</f>
        <v/>
      </c>
      <c r="V248" s="14" t="n">
        <v>19</v>
      </c>
      <c r="W248" s="17">
        <f>IF(H248=0,"",V248/H248)</f>
        <v/>
      </c>
      <c r="X248" s="14" t="n">
        <v>0</v>
      </c>
      <c r="Y248" s="17">
        <f>IF(H248=0,"",X248/H248)</f>
        <v/>
      </c>
      <c r="Z248" s="14" t="n">
        <v>0</v>
      </c>
      <c r="AA248" s="17">
        <f>IF(H248=0,"",Z248/H248)</f>
        <v/>
      </c>
      <c r="AB248" s="14" t="n">
        <v>0</v>
      </c>
      <c r="AC248" s="17">
        <f>IF(H248=0,"",AB248/H248)</f>
        <v/>
      </c>
      <c r="AD248" s="14" t="n">
        <v>0</v>
      </c>
      <c r="AE248" s="17">
        <f>IF(H248=0,"",AD248/H248)</f>
        <v/>
      </c>
      <c r="AF248" s="14" t="n">
        <v>0</v>
      </c>
      <c r="AG248" s="17">
        <f>IF(H248=0,"",AF248/H248)</f>
        <v/>
      </c>
      <c r="AH248" s="14" t="n">
        <v>66980.50999999999</v>
      </c>
      <c r="AI248" s="15">
        <f>IF(H248=0,"",AH248/H248)</f>
        <v/>
      </c>
      <c r="AJ248" s="14" t="n">
        <v>7604</v>
      </c>
      <c r="AK248" s="17">
        <f>IF(H248=0,"",AJ248/H248)</f>
        <v/>
      </c>
      <c r="AL248" s="14" t="n">
        <v>1071492.906</v>
      </c>
      <c r="AM248" s="15">
        <f>IF(H248=0,"",AL248/H248)</f>
        <v/>
      </c>
      <c r="AN248" s="14" t="n">
        <v>0</v>
      </c>
      <c r="AO248" s="14" t="n">
        <v>0</v>
      </c>
      <c r="AP248" s="14" t="n">
        <v>0</v>
      </c>
      <c r="AQ248" s="14" t="n">
        <v>0</v>
      </c>
      <c r="AR248" s="14" t="n">
        <v>0</v>
      </c>
      <c r="AS248" s="14" t="n">
        <v>0</v>
      </c>
      <c r="AT248" s="14" t="n">
        <v>0</v>
      </c>
      <c r="AU248" s="15">
        <f>AH248+AL248+AP248+AQ248+AR248+AS248+AT248</f>
        <v/>
      </c>
      <c r="AV248" s="15">
        <f>IF(H248=0,"",AU248/H248)</f>
        <v/>
      </c>
      <c r="AW248" s="15">
        <f>IF(S248=0,"",AU248/S248)</f>
        <v/>
      </c>
      <c r="AX248" s="14" t="n">
        <v>6</v>
      </c>
      <c r="AY248" s="15">
        <f>IF(H248=0,"",AX248/(H248/1000/12))</f>
        <v/>
      </c>
      <c r="AZ248" s="14" t="n">
        <v>6</v>
      </c>
      <c r="BA248" s="14" t="n">
        <v>31</v>
      </c>
      <c r="BB248" s="14" t="n">
        <v>15</v>
      </c>
      <c r="BC248" s="14" t="n">
        <v>23</v>
      </c>
      <c r="BD248" s="14" t="n">
        <v>2</v>
      </c>
      <c r="BE248" s="15">
        <f>BC248+BD248</f>
        <v/>
      </c>
      <c r="BF248" s="15">
        <f>BA248+BB248-BE248</f>
        <v/>
      </c>
      <c r="BG248" s="14" t="n">
        <v>0</v>
      </c>
      <c r="BH248" s="14" t="n">
        <v>0</v>
      </c>
      <c r="BI248" s="14" t="n">
        <v>0</v>
      </c>
      <c r="BJ248" s="14" t="n">
        <v>0</v>
      </c>
      <c r="BK248" s="15">
        <f>BI248+BJ248</f>
        <v/>
      </c>
      <c r="BL248" s="15">
        <f>BG248+BH248-BK248</f>
        <v/>
      </c>
      <c r="BM248" s="14" t="n">
        <v>2</v>
      </c>
      <c r="BN248" s="14" t="n">
        <v>0</v>
      </c>
      <c r="BO248" s="14" t="n">
        <v>0</v>
      </c>
      <c r="BP248" s="14" t="n">
        <v>0</v>
      </c>
      <c r="BQ248" s="15">
        <f>BO248+BP248</f>
        <v/>
      </c>
      <c r="BR248" s="15">
        <f>BM248+BN248-BQ248</f>
        <v/>
      </c>
      <c r="BS248" s="14" t="n">
        <v>0</v>
      </c>
      <c r="BT248" s="14" t="n">
        <v>0</v>
      </c>
      <c r="BU248" s="14" t="n">
        <v>0</v>
      </c>
      <c r="BV248" s="14" t="n">
        <v>0</v>
      </c>
      <c r="BW248" s="15">
        <f>BU248+BV248</f>
        <v/>
      </c>
      <c r="BX248" s="15">
        <f>BS248+BT248-BW248</f>
        <v/>
      </c>
      <c r="BY248" s="15">
        <f>BA248+BG248+BM248+BS248</f>
        <v/>
      </c>
      <c r="BZ248" s="15">
        <f>BB248+BH248+BN248+BT248</f>
        <v/>
      </c>
      <c r="CA248" s="15">
        <f>BE248+BK248+BQ248+BW248</f>
        <v/>
      </c>
      <c r="CB248" s="15">
        <f>BF248+BL248+BR248+BX248</f>
        <v/>
      </c>
      <c r="CC248" s="14" t="n">
        <v>0</v>
      </c>
      <c r="CD248" s="14" t="n">
        <v>713</v>
      </c>
      <c r="CE248" s="14" t="n">
        <v>17</v>
      </c>
      <c r="CF248" s="14" t="n">
        <v>32</v>
      </c>
      <c r="CG248" s="14" t="n">
        <v>6</v>
      </c>
      <c r="CH248" s="15">
        <f>CD248+CE248+CF248+CG248</f>
        <v/>
      </c>
      <c r="CI248" s="14" t="n">
        <v>1656</v>
      </c>
      <c r="CJ248" s="14" t="n">
        <v>11</v>
      </c>
      <c r="CK248" s="14" t="n">
        <v>10</v>
      </c>
      <c r="CL248" s="14" t="n">
        <v>8</v>
      </c>
      <c r="CM248" s="15">
        <f>CI248+CJ248+CK248+CL248</f>
        <v/>
      </c>
      <c r="CN248" s="14" t="n">
        <v>222</v>
      </c>
      <c r="CO248" s="14" t="n">
        <v>25</v>
      </c>
      <c r="CP248" s="14" t="n">
        <v>42</v>
      </c>
      <c r="CQ248" s="14" t="n">
        <v>1</v>
      </c>
      <c r="CR248" s="15">
        <f>CN248+CO248+CP248+CQ248</f>
        <v/>
      </c>
      <c r="CS248" s="15">
        <f>CM248+CR248</f>
        <v/>
      </c>
      <c r="CT248" s="14" t="n">
        <v>2743</v>
      </c>
      <c r="CU248" s="14" t="n">
        <v>21200</v>
      </c>
      <c r="CV248" s="14" t="n">
        <v>16521</v>
      </c>
      <c r="CW248" s="16">
        <f>IF(CU248=0,"",CV248/CU248)</f>
        <v/>
      </c>
      <c r="CX248" s="14" t="n">
        <v>0</v>
      </c>
      <c r="CY248" s="14" t="n"/>
      <c r="CZ248" s="14" t="n"/>
      <c r="DA248" s="14" t="n"/>
      <c r="DB248" s="15">
        <f>CX248+CY248-CZ248-DA248</f>
        <v/>
      </c>
      <c r="DC248" s="14" t="n">
        <v>0</v>
      </c>
      <c r="DD248" s="14" t="n">
        <v>0</v>
      </c>
      <c r="DE248" s="14" t="n">
        <v>0</v>
      </c>
      <c r="DF248" s="14" t="n">
        <v>0</v>
      </c>
      <c r="DG248" s="15">
        <f>DC248+DD248-DE248-DF248</f>
        <v/>
      </c>
      <c r="DH248" s="14" t="n">
        <v>0</v>
      </c>
      <c r="DI248" s="14" t="n">
        <v>0</v>
      </c>
      <c r="DJ248" s="14" t="n">
        <v>0</v>
      </c>
      <c r="DK248" s="14" t="n">
        <v>0</v>
      </c>
      <c r="DL248" s="15">
        <f>DH248+DI248-DJ248-DK248</f>
        <v/>
      </c>
      <c r="DM248" s="14" t="n">
        <v>300</v>
      </c>
      <c r="DN248" s="14" t="n">
        <v>0</v>
      </c>
      <c r="DO248" s="14" t="n">
        <v>0</v>
      </c>
      <c r="DP248" s="14" t="n">
        <v>0</v>
      </c>
      <c r="DQ248" s="15">
        <f>DM248+DN248-DO248-DP248</f>
        <v/>
      </c>
      <c r="DR248" s="15">
        <f>CX248+DC248+DH248+DM248</f>
        <v/>
      </c>
      <c r="DS248" s="15">
        <f>CY248+DD248+DI248+DN248</f>
        <v/>
      </c>
      <c r="DT248" s="15">
        <f>CZ248+DE248+DJ248+DO248</f>
        <v/>
      </c>
      <c r="DU248" s="15">
        <f>DA248+DF248+DK248+DP248</f>
        <v/>
      </c>
      <c r="DV248" s="15">
        <f>DB248+DG248+DL248+DQ248</f>
        <v/>
      </c>
      <c r="DW248" s="14" t="n">
        <v>38</v>
      </c>
      <c r="DX248" s="14" t="n">
        <v>20</v>
      </c>
      <c r="DY248" s="14" t="n">
        <v>15</v>
      </c>
      <c r="DZ248" s="14" t="n">
        <v>7</v>
      </c>
      <c r="EA248" s="14" t="n">
        <v>6</v>
      </c>
      <c r="EB248" s="14" t="n">
        <v>10</v>
      </c>
      <c r="EC248" s="14" t="n">
        <v>11</v>
      </c>
      <c r="ED248" s="14" t="n">
        <v>9</v>
      </c>
      <c r="EE248" s="14" t="n">
        <v>11</v>
      </c>
      <c r="EF248" s="14" t="n">
        <v>7</v>
      </c>
      <c r="EG248" s="14" t="n">
        <v>0</v>
      </c>
      <c r="EH248" s="14" t="n">
        <v>0</v>
      </c>
      <c r="EI248" s="14" t="n">
        <v>0</v>
      </c>
      <c r="EJ248" s="14" t="n">
        <v>9</v>
      </c>
      <c r="EK248" s="14" t="n">
        <v>12</v>
      </c>
      <c r="EL248" s="14" t="n">
        <v>10</v>
      </c>
      <c r="EM248" s="14" t="n">
        <v>11</v>
      </c>
      <c r="EN248" s="14" t="n">
        <v>0</v>
      </c>
      <c r="EO248" s="14" t="n">
        <v>0</v>
      </c>
      <c r="EP248" s="14" t="n">
        <v>0</v>
      </c>
      <c r="EQ248" s="14" t="n">
        <v>0</v>
      </c>
      <c r="ER248" s="14" t="n">
        <v>0</v>
      </c>
      <c r="ES248" s="14" t="n">
        <v>0</v>
      </c>
      <c r="ET248" s="14" t="n">
        <v>0</v>
      </c>
      <c r="EU248" s="14" t="n">
        <v>0</v>
      </c>
      <c r="EV248" s="14" t="n">
        <v>0</v>
      </c>
      <c r="EW248" s="14" t="n">
        <v>0</v>
      </c>
      <c r="EX248" s="14" t="n">
        <v>0</v>
      </c>
      <c r="EY248" s="14" t="n">
        <v>0</v>
      </c>
      <c r="EZ248" s="14" t="n">
        <v>0</v>
      </c>
      <c r="FA248" s="14" t="n">
        <v>0</v>
      </c>
      <c r="FB248" s="14" t="n">
        <v>0</v>
      </c>
      <c r="FC248" s="14" t="n">
        <v>0</v>
      </c>
      <c r="FD248" s="14" t="n">
        <v>0</v>
      </c>
      <c r="FE248" s="14" t="n">
        <v>0</v>
      </c>
      <c r="FF248" s="14" t="n">
        <v>0</v>
      </c>
      <c r="FG248" s="15">
        <f>SUM(DW248,DX248,DY248,DZ248,EA248,EB248,EC248,ED248,EE248,EF248,EG248,EH248,EI248,EJ248,EK248,EL248,EM248,EN248,EO248,EP248,EQ248,ER248,ES248,ET248,EU248,EV248,EW248,EX248,EY248,EZ248,FA248,FB248,FC248,FD248,FE248,FF248)</f>
        <v/>
      </c>
      <c r="FH248" s="14" t="n">
        <v>0</v>
      </c>
      <c r="FI248" s="14" t="n">
        <v>0</v>
      </c>
      <c r="FJ248" s="14" t="n">
        <v>0</v>
      </c>
      <c r="FK248" s="14" t="n">
        <v>0</v>
      </c>
      <c r="FL248" s="14" t="n">
        <v>0</v>
      </c>
      <c r="FM248" s="14" t="n">
        <v>0</v>
      </c>
      <c r="FN248" s="14" t="n">
        <v>0</v>
      </c>
      <c r="FO248" s="14" t="n">
        <v>0</v>
      </c>
      <c r="FP248" s="14" t="n">
        <v>0</v>
      </c>
      <c r="FQ248" s="15">
        <f>FL248+FM248+FN248+FO248+FP248</f>
        <v/>
      </c>
      <c r="FR248" s="14" t="n">
        <v>7449017</v>
      </c>
      <c r="FS248" s="14" t="n">
        <v>37620</v>
      </c>
      <c r="FT248" s="14" t="n">
        <v>0</v>
      </c>
      <c r="FU248" s="14" t="n">
        <v>49067</v>
      </c>
      <c r="FV248" s="15">
        <f>FR248+FS248+FT248+FU248</f>
        <v/>
      </c>
      <c r="FW248" s="14" t="n">
        <v>2080609</v>
      </c>
      <c r="FX248" s="14" t="n">
        <v>0</v>
      </c>
      <c r="FY248" s="14" t="n">
        <v>1639328</v>
      </c>
      <c r="FZ248" s="14" t="n">
        <v>308779</v>
      </c>
      <c r="GA248" s="15">
        <f>FW248+FX248+FY248+FZ248</f>
        <v/>
      </c>
      <c r="GB248" s="15">
        <f>FV248+GA248</f>
        <v/>
      </c>
      <c r="GC248" s="14" t="n">
        <v>12919964.51</v>
      </c>
      <c r="GD248" s="14" t="n">
        <v>97361.52</v>
      </c>
      <c r="GE248" s="14" t="n">
        <v>129926.11</v>
      </c>
      <c r="GF248" s="14" t="n">
        <v>104805.44</v>
      </c>
      <c r="GG248" s="15">
        <f>GC248+GD248+GE248+GF248</f>
        <v/>
      </c>
      <c r="GH248" s="14" t="n">
        <v>2007175.71</v>
      </c>
      <c r="GI248" s="14" t="n">
        <v>0</v>
      </c>
      <c r="GJ248" s="14" t="n">
        <v>308778.8</v>
      </c>
      <c r="GK248" s="14" t="n">
        <v>1564328.09</v>
      </c>
      <c r="GL248" s="15">
        <f>GH248+GI248+GJ248+GK248</f>
        <v/>
      </c>
      <c r="GM248" s="15">
        <f>GG248+GL248</f>
        <v/>
      </c>
      <c r="GN248" s="14" t="n">
        <v>860285.26</v>
      </c>
      <c r="GO248" s="14" t="n">
        <v>1912.8</v>
      </c>
      <c r="GP248" s="14" t="n">
        <v>20361.84</v>
      </c>
      <c r="GQ248" s="14" t="n">
        <v>27824.04</v>
      </c>
      <c r="GR248" s="15">
        <f>GN248+GO248+GP248+GQ248</f>
        <v/>
      </c>
      <c r="GS248" s="14" t="n">
        <v>1403796</v>
      </c>
      <c r="GT248" s="14" t="n">
        <v>8930</v>
      </c>
      <c r="GU248" s="14" t="n">
        <v>5358</v>
      </c>
      <c r="GV248" s="14" t="n">
        <v>5358</v>
      </c>
      <c r="GW248" s="15">
        <f>GS248+GT248+GU248+GV248</f>
        <v/>
      </c>
      <c r="GX248" s="15">
        <f>GM248+GR248+GW248</f>
        <v/>
      </c>
      <c r="GY248" s="14" t="n">
        <v>34704690.79</v>
      </c>
      <c r="GZ248" s="14" t="n">
        <v>1794788.74</v>
      </c>
      <c r="HA248" s="15">
        <f>GY248+GZ248</f>
        <v/>
      </c>
      <c r="HB248" s="15">
        <f>IF(GX248=0,"",AU248/GX248)</f>
        <v/>
      </c>
      <c r="HC248" s="16">
        <f>IF((GX248+GY248)=0,"",GB248/(GX248+GY248))</f>
        <v/>
      </c>
      <c r="HD248" s="15">
        <f>IF(GX248=0,"",GB248/GX248)</f>
        <v/>
      </c>
      <c r="HE248" s="14" t="n">
        <v>15</v>
      </c>
      <c r="HF248" s="14" t="n">
        <v>0</v>
      </c>
      <c r="HG248" s="14" t="n">
        <v>23</v>
      </c>
      <c r="HH248" s="14" t="n">
        <v>15</v>
      </c>
      <c r="HI248" s="14" t="n">
        <v>0</v>
      </c>
      <c r="HJ248" s="15">
        <f>HF248+HI248</f>
        <v/>
      </c>
      <c r="HK248" s="16">
        <f>IF(HE248=0,"",HH248/HE248)</f>
        <v/>
      </c>
      <c r="HL248" s="14" t="n">
        <v>0</v>
      </c>
      <c r="HM248" s="14" t="n">
        <v>0</v>
      </c>
      <c r="HN248" s="17">
        <f>IF(HL248=0,"",HM248/HL248)</f>
        <v/>
      </c>
    </row>
    <row r="249">
      <c r="A249" s="6" t="inlineStr">
        <is>
          <t>Ngabu</t>
        </is>
      </c>
      <c r="B249" s="6" t="inlineStr">
        <is>
          <t>Nchalo</t>
        </is>
      </c>
      <c r="C249" s="7" t="inlineStr">
        <is>
          <t>FY2025/26</t>
        </is>
      </c>
      <c r="D249" s="7" t="n">
        <v>2025</v>
      </c>
      <c r="E249" s="7" t="n">
        <v>10</v>
      </c>
      <c r="F249" s="7" t="inlineStr">
        <is>
          <t>October</t>
        </is>
      </c>
      <c r="G249" s="7" t="inlineStr">
        <is>
          <t>Q3</t>
        </is>
      </c>
      <c r="H249" s="8" t="n">
        <v>30375</v>
      </c>
      <c r="I249" s="8" t="n">
        <v>15702</v>
      </c>
      <c r="J249" s="8" t="n">
        <v>576</v>
      </c>
      <c r="K249" s="8" t="n">
        <v>388</v>
      </c>
      <c r="L249" s="8" t="n">
        <v>234</v>
      </c>
      <c r="M249" s="9">
        <f>SUM(I249,J249,K249,L249)</f>
        <v/>
      </c>
      <c r="N249" s="8" t="n">
        <v>2181</v>
      </c>
      <c r="O249" s="8" t="n">
        <v>0</v>
      </c>
      <c r="P249" s="8" t="n">
        <v>1018</v>
      </c>
      <c r="Q249" s="8" t="n">
        <v>2924</v>
      </c>
      <c r="R249" s="9">
        <f>SUM(N249,O249,P249,Q249)</f>
        <v/>
      </c>
      <c r="S249" s="9">
        <f>M249+R249</f>
        <v/>
      </c>
      <c r="T249" s="8" t="n">
        <v>7352</v>
      </c>
      <c r="U249" s="10">
        <f>IF(H249=0,"",T249/H249)</f>
        <v/>
      </c>
      <c r="V249" s="8" t="n">
        <v>19</v>
      </c>
      <c r="W249" s="11">
        <f>IF(H249=0,"",V249/H249)</f>
        <v/>
      </c>
      <c r="X249" s="8" t="n">
        <v>0</v>
      </c>
      <c r="Y249" s="11">
        <f>IF(H249=0,"",X249/H249)</f>
        <v/>
      </c>
      <c r="Z249" s="8" t="n">
        <v>0</v>
      </c>
      <c r="AA249" s="11">
        <f>IF(H249=0,"",Z249/H249)</f>
        <v/>
      </c>
      <c r="AB249" s="8" t="n">
        <v>0</v>
      </c>
      <c r="AC249" s="11">
        <f>IF(H249=0,"",AB249/H249)</f>
        <v/>
      </c>
      <c r="AD249" s="8" t="n">
        <v>0</v>
      </c>
      <c r="AE249" s="11">
        <f>IF(H249=0,"",AD249/H249)</f>
        <v/>
      </c>
      <c r="AF249" s="8" t="n">
        <v>0</v>
      </c>
      <c r="AG249" s="11">
        <f>IF(H249=0,"",AF249/H249)</f>
        <v/>
      </c>
      <c r="AH249" s="8" t="n">
        <v>66980.50999999999</v>
      </c>
      <c r="AI249" s="9">
        <f>IF(H249=0,"",AH249/H249)</f>
        <v/>
      </c>
      <c r="AJ249" s="8" t="n">
        <v>7661</v>
      </c>
      <c r="AK249" s="11">
        <f>IF(H249=0,"",AJ249/H249)</f>
        <v/>
      </c>
      <c r="AL249" s="8" t="n">
        <v>1079401.7415</v>
      </c>
      <c r="AM249" s="9">
        <f>IF(H249=0,"",AL249/H249)</f>
        <v/>
      </c>
      <c r="AN249" s="8" t="n">
        <v>0</v>
      </c>
      <c r="AO249" s="8" t="n">
        <v>0</v>
      </c>
      <c r="AP249" s="8" t="n">
        <v>0</v>
      </c>
      <c r="AQ249" s="8" t="n">
        <v>0</v>
      </c>
      <c r="AR249" s="8" t="n">
        <v>0</v>
      </c>
      <c r="AS249" s="8" t="n">
        <v>0</v>
      </c>
      <c r="AT249" s="8" t="n">
        <v>0</v>
      </c>
      <c r="AU249" s="9">
        <f>AH249+AL249+AP249+AQ249+AR249+AS249+AT249</f>
        <v/>
      </c>
      <c r="AV249" s="9">
        <f>IF(H249=0,"",AU249/H249)</f>
        <v/>
      </c>
      <c r="AW249" s="9">
        <f>IF(S249=0,"",AU249/S249)</f>
        <v/>
      </c>
      <c r="AX249" s="8" t="n">
        <v>6</v>
      </c>
      <c r="AY249" s="9">
        <f>IF(H249=0,"",AX249/(H249/1000/12))</f>
        <v/>
      </c>
      <c r="AZ249" s="8" t="n">
        <v>6</v>
      </c>
      <c r="BA249" s="8" t="n">
        <v>21</v>
      </c>
      <c r="BB249" s="8" t="n">
        <v>14</v>
      </c>
      <c r="BC249" s="8" t="n">
        <v>23</v>
      </c>
      <c r="BD249" s="8" t="n">
        <v>0</v>
      </c>
      <c r="BE249" s="9">
        <f>BC249+BD249</f>
        <v/>
      </c>
      <c r="BF249" s="9">
        <f>BA249+BB249-BE249</f>
        <v/>
      </c>
      <c r="BG249" s="8" t="n">
        <v>0</v>
      </c>
      <c r="BH249" s="8" t="n">
        <v>0</v>
      </c>
      <c r="BI249" s="8" t="n">
        <v>0</v>
      </c>
      <c r="BJ249" s="8" t="n">
        <v>0</v>
      </c>
      <c r="BK249" s="9">
        <f>BI249+BJ249</f>
        <v/>
      </c>
      <c r="BL249" s="9">
        <f>BG249+BH249-BK249</f>
        <v/>
      </c>
      <c r="BM249" s="8" t="n">
        <v>2</v>
      </c>
      <c r="BN249" s="8" t="n">
        <v>0</v>
      </c>
      <c r="BO249" s="8" t="n">
        <v>0</v>
      </c>
      <c r="BP249" s="8" t="n">
        <v>0</v>
      </c>
      <c r="BQ249" s="9">
        <f>BO249+BP249</f>
        <v/>
      </c>
      <c r="BR249" s="9">
        <f>BM249+BN249-BQ249</f>
        <v/>
      </c>
      <c r="BS249" s="8" t="n">
        <v>0</v>
      </c>
      <c r="BT249" s="8" t="n">
        <v>0</v>
      </c>
      <c r="BU249" s="8" t="n">
        <v>0</v>
      </c>
      <c r="BV249" s="8" t="n">
        <v>0</v>
      </c>
      <c r="BW249" s="9">
        <f>BU249+BV249</f>
        <v/>
      </c>
      <c r="BX249" s="9">
        <f>BS249+BT249-BW249</f>
        <v/>
      </c>
      <c r="BY249" s="9">
        <f>BA249+BG249+BM249+BS249</f>
        <v/>
      </c>
      <c r="BZ249" s="9">
        <f>BB249+BH249+BN249+BT249</f>
        <v/>
      </c>
      <c r="CA249" s="9">
        <f>BE249+BK249+BQ249+BW249</f>
        <v/>
      </c>
      <c r="CB249" s="9">
        <f>BF249+BL249+BR249+BX249</f>
        <v/>
      </c>
      <c r="CC249" s="8" t="n">
        <v>0</v>
      </c>
      <c r="CD249" s="8" t="n">
        <v>712</v>
      </c>
      <c r="CE249" s="8" t="n">
        <v>17</v>
      </c>
      <c r="CF249" s="8" t="n">
        <v>32</v>
      </c>
      <c r="CG249" s="8" t="n">
        <v>6</v>
      </c>
      <c r="CH249" s="9">
        <f>CD249+CE249+CF249+CG249</f>
        <v/>
      </c>
      <c r="CI249" s="8" t="n">
        <v>1680</v>
      </c>
      <c r="CJ249" s="8" t="n">
        <v>11</v>
      </c>
      <c r="CK249" s="8" t="n">
        <v>10</v>
      </c>
      <c r="CL249" s="8" t="n">
        <v>8</v>
      </c>
      <c r="CM249" s="9">
        <f>CI249+CJ249+CK249+CL249</f>
        <v/>
      </c>
      <c r="CN249" s="8" t="n">
        <v>221</v>
      </c>
      <c r="CO249" s="8" t="n">
        <v>25</v>
      </c>
      <c r="CP249" s="8" t="n">
        <v>42</v>
      </c>
      <c r="CQ249" s="8" t="n">
        <v>1</v>
      </c>
      <c r="CR249" s="9">
        <f>CN249+CO249+CP249+CQ249</f>
        <v/>
      </c>
      <c r="CS249" s="9">
        <f>CM249+CR249</f>
        <v/>
      </c>
      <c r="CT249" s="8" t="n">
        <v>2765</v>
      </c>
      <c r="CU249" s="8" t="n">
        <v>21242.4</v>
      </c>
      <c r="CV249" s="8" t="n">
        <v>16521</v>
      </c>
      <c r="CW249" s="10">
        <f>IF(CU249=0,"",CV249/CU249)</f>
        <v/>
      </c>
      <c r="CX249" s="8" t="n">
        <v>0</v>
      </c>
      <c r="CY249" s="8" t="n"/>
      <c r="CZ249" s="8" t="n"/>
      <c r="DA249" s="8" t="n"/>
      <c r="DB249" s="9">
        <f>CX249+CY249-CZ249-DA249</f>
        <v/>
      </c>
      <c r="DC249" s="8" t="n">
        <v>0</v>
      </c>
      <c r="DD249" s="8" t="n">
        <v>0</v>
      </c>
      <c r="DE249" s="8" t="n">
        <v>0</v>
      </c>
      <c r="DF249" s="8" t="n">
        <v>0</v>
      </c>
      <c r="DG249" s="9">
        <f>DC249+DD249-DE249-DF249</f>
        <v/>
      </c>
      <c r="DH249" s="8" t="n">
        <v>0</v>
      </c>
      <c r="DI249" s="8" t="n">
        <v>0</v>
      </c>
      <c r="DJ249" s="8" t="n">
        <v>0</v>
      </c>
      <c r="DK249" s="8" t="n">
        <v>0</v>
      </c>
      <c r="DL249" s="9">
        <f>DH249+DI249-DJ249-DK249</f>
        <v/>
      </c>
      <c r="DM249" s="8" t="n">
        <v>300</v>
      </c>
      <c r="DN249" s="8" t="n">
        <v>0</v>
      </c>
      <c r="DO249" s="8" t="n">
        <v>0</v>
      </c>
      <c r="DP249" s="8" t="n">
        <v>0</v>
      </c>
      <c r="DQ249" s="9">
        <f>DM249+DN249-DO249-DP249</f>
        <v/>
      </c>
      <c r="DR249" s="9">
        <f>CX249+DC249+DH249+DM249</f>
        <v/>
      </c>
      <c r="DS249" s="9">
        <f>CY249+DD249+DI249+DN249</f>
        <v/>
      </c>
      <c r="DT249" s="9">
        <f>CZ249+DE249+DJ249+DO249</f>
        <v/>
      </c>
      <c r="DU249" s="9">
        <f>DA249+DF249+DK249+DP249</f>
        <v/>
      </c>
      <c r="DV249" s="9">
        <f>DB249+DG249+DL249+DQ249</f>
        <v/>
      </c>
      <c r="DW249" s="8" t="n">
        <v>32</v>
      </c>
      <c r="DX249" s="8" t="n">
        <v>20</v>
      </c>
      <c r="DY249" s="8" t="n">
        <v>6</v>
      </c>
      <c r="DZ249" s="8" t="n">
        <v>13</v>
      </c>
      <c r="EA249" s="8" t="n">
        <v>10</v>
      </c>
      <c r="EB249" s="8" t="n">
        <v>12</v>
      </c>
      <c r="EC249" s="8" t="n">
        <v>11</v>
      </c>
      <c r="ED249" s="8" t="n">
        <v>6</v>
      </c>
      <c r="EE249" s="8" t="n">
        <v>9</v>
      </c>
      <c r="EF249" s="8" t="n">
        <v>8</v>
      </c>
      <c r="EG249" s="8" t="n">
        <v>0</v>
      </c>
      <c r="EH249" s="8" t="n">
        <v>0</v>
      </c>
      <c r="EI249" s="8" t="n">
        <v>0</v>
      </c>
      <c r="EJ249" s="8" t="n">
        <v>10</v>
      </c>
      <c r="EK249" s="8" t="n">
        <v>15</v>
      </c>
      <c r="EL249" s="8" t="n">
        <v>2</v>
      </c>
      <c r="EM249" s="8" t="n">
        <v>5</v>
      </c>
      <c r="EN249" s="8" t="n">
        <v>4</v>
      </c>
      <c r="EO249" s="8" t="n">
        <v>0</v>
      </c>
      <c r="EP249" s="8" t="n">
        <v>0</v>
      </c>
      <c r="EQ249" s="8" t="n">
        <v>0</v>
      </c>
      <c r="ER249" s="8" t="n">
        <v>0</v>
      </c>
      <c r="ES249" s="8" t="n">
        <v>0</v>
      </c>
      <c r="ET249" s="8" t="n">
        <v>0</v>
      </c>
      <c r="EU249" s="8" t="n">
        <v>0</v>
      </c>
      <c r="EV249" s="8" t="n">
        <v>0</v>
      </c>
      <c r="EW249" s="8" t="n">
        <v>0</v>
      </c>
      <c r="EX249" s="8" t="n">
        <v>0</v>
      </c>
      <c r="EY249" s="8" t="n">
        <v>0</v>
      </c>
      <c r="EZ249" s="8" t="n">
        <v>0</v>
      </c>
      <c r="FA249" s="8" t="n">
        <v>0</v>
      </c>
      <c r="FB249" s="8" t="n">
        <v>0</v>
      </c>
      <c r="FC249" s="8" t="n">
        <v>0</v>
      </c>
      <c r="FD249" s="8" t="n">
        <v>0</v>
      </c>
      <c r="FE249" s="8" t="n">
        <v>7</v>
      </c>
      <c r="FF249" s="8" t="n">
        <v>0</v>
      </c>
      <c r="FG249" s="9">
        <f>SUM(DW249,DX249,DY249,DZ249,EA249,EB249,EC249,ED249,EE249,EF249,EG249,EH249,EI249,EJ249,EK249,EL249,EM249,EN249,EO249,EP249,EQ249,ER249,ES249,ET249,EU249,EV249,EW249,EX249,EY249,EZ249,FA249,FB249,FC249,FD249,FE249,FF249)</f>
        <v/>
      </c>
      <c r="FH249" s="8" t="n">
        <v>0</v>
      </c>
      <c r="FI249" s="8" t="n">
        <v>0</v>
      </c>
      <c r="FJ249" s="8" t="n">
        <v>0</v>
      </c>
      <c r="FK249" s="8" t="n">
        <v>0</v>
      </c>
      <c r="FL249" s="8" t="n">
        <v>0</v>
      </c>
      <c r="FM249" s="8" t="n">
        <v>0</v>
      </c>
      <c r="FN249" s="8" t="n">
        <v>0</v>
      </c>
      <c r="FO249" s="8" t="n">
        <v>0</v>
      </c>
      <c r="FP249" s="8" t="n">
        <v>0</v>
      </c>
      <c r="FQ249" s="9">
        <f>FL249+FM249+FN249+FO249+FP249</f>
        <v/>
      </c>
      <c r="FR249" s="8" t="n">
        <v>14843845</v>
      </c>
      <c r="FS249" s="8" t="n">
        <v>190620</v>
      </c>
      <c r="FT249" s="8" t="n">
        <v>223867</v>
      </c>
      <c r="FU249" s="8" t="n">
        <v>21000</v>
      </c>
      <c r="FV249" s="9">
        <f>FR249+FS249+FT249+FU249</f>
        <v/>
      </c>
      <c r="FW249" s="8" t="n">
        <v>2522746</v>
      </c>
      <c r="FX249" s="8" t="n">
        <v>0</v>
      </c>
      <c r="FY249" s="8" t="n">
        <v>2284328</v>
      </c>
      <c r="FZ249" s="8" t="n">
        <v>1232720</v>
      </c>
      <c r="GA249" s="9">
        <f>FW249+FX249+FY249+FZ249</f>
        <v/>
      </c>
      <c r="GB249" s="9">
        <f>FV249+GA249</f>
        <v/>
      </c>
      <c r="GC249" s="8" t="n">
        <v>11446617.25</v>
      </c>
      <c r="GD249" s="8" t="n">
        <v>101378.4</v>
      </c>
      <c r="GE249" s="8" t="n">
        <v>162231.45</v>
      </c>
      <c r="GF249" s="8" t="n">
        <v>102672.5</v>
      </c>
      <c r="GG249" s="9">
        <f>GC249+GD249+GE249+GF249</f>
        <v/>
      </c>
      <c r="GH249" s="8" t="n">
        <v>2447159.75</v>
      </c>
      <c r="GI249" s="8" t="n">
        <v>0</v>
      </c>
      <c r="GJ249" s="8" t="n">
        <v>1229120</v>
      </c>
      <c r="GK249" s="8" t="n">
        <v>2265474.38</v>
      </c>
      <c r="GL249" s="9">
        <f>GH249+GI249+GJ249+GK249</f>
        <v/>
      </c>
      <c r="GM249" s="9">
        <f>GG249+GL249</f>
        <v/>
      </c>
      <c r="GN249" s="8" t="n">
        <v>873908.51</v>
      </c>
      <c r="GO249" s="8" t="n">
        <v>1912.8</v>
      </c>
      <c r="GP249" s="8" t="n">
        <v>16968.12</v>
      </c>
      <c r="GQ249" s="8" t="n">
        <v>27824.04</v>
      </c>
      <c r="GR249" s="9">
        <f>GN249+GO249+GP249+GQ249</f>
        <v/>
      </c>
      <c r="GS249" s="8" t="n">
        <v>1426121</v>
      </c>
      <c r="GT249" s="8" t="n">
        <v>8930</v>
      </c>
      <c r="GU249" s="8" t="n">
        <v>4465</v>
      </c>
      <c r="GV249" s="8" t="n">
        <v>5358</v>
      </c>
      <c r="GW249" s="9">
        <f>GS249+GT249+GU249+GV249</f>
        <v/>
      </c>
      <c r="GX249" s="9">
        <f>GM249+GR249+GW249</f>
        <v/>
      </c>
      <c r="GY249" s="8" t="n">
        <v>34363986.58</v>
      </c>
      <c r="GZ249" s="8" t="n">
        <v>1835005.5</v>
      </c>
      <c r="HA249" s="9">
        <f>GY249+GZ249</f>
        <v/>
      </c>
      <c r="HB249" s="9">
        <f>IF(GX249=0,"",AU249/GX249)</f>
        <v/>
      </c>
      <c r="HC249" s="10">
        <f>IF((GX249+GY249)=0,"",GB249/(GX249+GY249))</f>
        <v/>
      </c>
      <c r="HD249" s="9">
        <f>IF(GX249=0,"",GB249/GX249)</f>
        <v/>
      </c>
      <c r="HE249" s="8" t="n">
        <v>14</v>
      </c>
      <c r="HF249" s="8" t="n">
        <v>0</v>
      </c>
      <c r="HG249" s="8" t="n">
        <v>14</v>
      </c>
      <c r="HH249" s="8" t="n">
        <v>14</v>
      </c>
      <c r="HI249" s="8" t="n">
        <v>0</v>
      </c>
      <c r="HJ249" s="9">
        <f>HF249+HI249</f>
        <v/>
      </c>
      <c r="HK249" s="10">
        <f>IF(HE249=0,"",HH249/HE249)</f>
        <v/>
      </c>
      <c r="HL249" s="8" t="n">
        <v>0</v>
      </c>
      <c r="HM249" s="8" t="n">
        <v>0</v>
      </c>
      <c r="HN249" s="11">
        <f>IF(HL249=0,"",HM249/HL249)</f>
        <v/>
      </c>
    </row>
    <row r="250">
      <c r="A250" s="12" t="inlineStr">
        <is>
          <t>Ngabu</t>
        </is>
      </c>
      <c r="B250" s="12" t="inlineStr">
        <is>
          <t>Nchalo</t>
        </is>
      </c>
      <c r="C250" s="13" t="inlineStr">
        <is>
          <t>FY2025/26</t>
        </is>
      </c>
      <c r="D250" s="13" t="n">
        <v>2025</v>
      </c>
      <c r="E250" s="13" t="n">
        <v>11</v>
      </c>
      <c r="F250" s="13" t="inlineStr">
        <is>
          <t>November</t>
        </is>
      </c>
      <c r="G250" s="13" t="inlineStr">
        <is>
          <t>Q3</t>
        </is>
      </c>
      <c r="H250" s="14" t="n">
        <v>31617</v>
      </c>
      <c r="I250" s="14" t="n">
        <v>15363</v>
      </c>
      <c r="J250" s="14" t="n">
        <v>583</v>
      </c>
      <c r="K250" s="14" t="n">
        <v>268</v>
      </c>
      <c r="L250" s="14" t="n">
        <v>183</v>
      </c>
      <c r="M250" s="15">
        <f>SUM(I250,J250,K250,L250)</f>
        <v/>
      </c>
      <c r="N250" s="14" t="n">
        <v>2618</v>
      </c>
      <c r="O250" s="14" t="n">
        <v>0</v>
      </c>
      <c r="P250" s="14" t="n">
        <v>1564</v>
      </c>
      <c r="Q250" s="14" t="n">
        <v>3235</v>
      </c>
      <c r="R250" s="15">
        <f>SUM(N250,O250,P250,Q250)</f>
        <v/>
      </c>
      <c r="S250" s="15">
        <f>M250+R250</f>
        <v/>
      </c>
      <c r="T250" s="14" t="n">
        <v>7803</v>
      </c>
      <c r="U250" s="16">
        <f>IF(H250=0,"",T250/H250)</f>
        <v/>
      </c>
      <c r="V250" s="14" t="n">
        <v>18</v>
      </c>
      <c r="W250" s="17">
        <f>IF(H250=0,"",V250/H250)</f>
        <v/>
      </c>
      <c r="X250" s="14" t="n">
        <v>0</v>
      </c>
      <c r="Y250" s="17">
        <f>IF(H250=0,"",X250/H250)</f>
        <v/>
      </c>
      <c r="Z250" s="14" t="n">
        <v>0</v>
      </c>
      <c r="AA250" s="17">
        <f>IF(H250=0,"",Z250/H250)</f>
        <v/>
      </c>
      <c r="AB250" s="14" t="n">
        <v>0</v>
      </c>
      <c r="AC250" s="17">
        <f>IF(H250=0,"",AB250/H250)</f>
        <v/>
      </c>
      <c r="AD250" s="14" t="n">
        <v>0</v>
      </c>
      <c r="AE250" s="17">
        <f>IF(H250=0,"",AD250/H250)</f>
        <v/>
      </c>
      <c r="AF250" s="14" t="n">
        <v>0</v>
      </c>
      <c r="AG250" s="17">
        <f>IF(H250=0,"",AF250/H250)</f>
        <v/>
      </c>
      <c r="AH250" s="14" t="n">
        <v>63455.22</v>
      </c>
      <c r="AI250" s="15">
        <f>IF(H250=0,"",AH250/H250)</f>
        <v/>
      </c>
      <c r="AJ250" s="14" t="n">
        <v>7583</v>
      </c>
      <c r="AK250" s="17">
        <f>IF(H250=0,"",AJ250/H250)</f>
        <v/>
      </c>
      <c r="AL250" s="14" t="n">
        <v>1068579.1245</v>
      </c>
      <c r="AM250" s="15">
        <f>IF(H250=0,"",AL250/H250)</f>
        <v/>
      </c>
      <c r="AN250" s="14" t="n">
        <v>0</v>
      </c>
      <c r="AO250" s="14" t="n">
        <v>0</v>
      </c>
      <c r="AP250" s="14" t="n">
        <v>0</v>
      </c>
      <c r="AQ250" s="14" t="n">
        <v>0</v>
      </c>
      <c r="AR250" s="14" t="n">
        <v>0</v>
      </c>
      <c r="AS250" s="14" t="n">
        <v>0</v>
      </c>
      <c r="AT250" s="14" t="n">
        <v>0</v>
      </c>
      <c r="AU250" s="15">
        <f>AH250+AL250+AP250+AQ250+AR250+AS250+AT250</f>
        <v/>
      </c>
      <c r="AV250" s="15">
        <f>IF(H250=0,"",AU250/H250)</f>
        <v/>
      </c>
      <c r="AW250" s="15">
        <f>IF(S250=0,"",AU250/S250)</f>
        <v/>
      </c>
      <c r="AX250" s="14" t="n">
        <v>6</v>
      </c>
      <c r="AY250" s="15">
        <f>IF(H250=0,"",AX250/(H250/1000/12))</f>
        <v/>
      </c>
      <c r="AZ250" s="14" t="n">
        <v>6</v>
      </c>
      <c r="BA250" s="14" t="n">
        <v>12</v>
      </c>
      <c r="BB250" s="14" t="n">
        <v>13</v>
      </c>
      <c r="BC250" s="14" t="n">
        <v>5</v>
      </c>
      <c r="BD250" s="14" t="n">
        <v>2</v>
      </c>
      <c r="BE250" s="15">
        <f>BC250+BD250</f>
        <v/>
      </c>
      <c r="BF250" s="15">
        <f>BA250+BB250-BE250</f>
        <v/>
      </c>
      <c r="BG250" s="14" t="n">
        <v>0</v>
      </c>
      <c r="BH250" s="14" t="n">
        <v>0</v>
      </c>
      <c r="BI250" s="14" t="n">
        <v>0</v>
      </c>
      <c r="BJ250" s="14" t="n">
        <v>0</v>
      </c>
      <c r="BK250" s="15">
        <f>BI250+BJ250</f>
        <v/>
      </c>
      <c r="BL250" s="15">
        <f>BG250+BH250-BK250</f>
        <v/>
      </c>
      <c r="BM250" s="14" t="n">
        <v>2</v>
      </c>
      <c r="BN250" s="14" t="n">
        <v>0</v>
      </c>
      <c r="BO250" s="14" t="n">
        <v>0</v>
      </c>
      <c r="BP250" s="14" t="n">
        <v>0</v>
      </c>
      <c r="BQ250" s="15">
        <f>BO250+BP250</f>
        <v/>
      </c>
      <c r="BR250" s="15">
        <f>BM250+BN250-BQ250</f>
        <v/>
      </c>
      <c r="BS250" s="14" t="n">
        <v>0</v>
      </c>
      <c r="BT250" s="14" t="n">
        <v>0</v>
      </c>
      <c r="BU250" s="14" t="n">
        <v>0</v>
      </c>
      <c r="BV250" s="14" t="n">
        <v>0</v>
      </c>
      <c r="BW250" s="15">
        <f>BU250+BV250</f>
        <v/>
      </c>
      <c r="BX250" s="15">
        <f>BS250+BT250-BW250</f>
        <v/>
      </c>
      <c r="BY250" s="15">
        <f>BA250+BG250+BM250+BS250</f>
        <v/>
      </c>
      <c r="BZ250" s="15">
        <f>BB250+BH250+BN250+BT250</f>
        <v/>
      </c>
      <c r="CA250" s="15">
        <f>BE250+BK250+BQ250+BW250</f>
        <v/>
      </c>
      <c r="CB250" s="15">
        <f>BF250+BL250+BR250+BX250</f>
        <v/>
      </c>
      <c r="CC250" s="14" t="n">
        <v>0</v>
      </c>
      <c r="CD250" s="14" t="n">
        <v>710</v>
      </c>
      <c r="CE250" s="14" t="n">
        <v>17</v>
      </c>
      <c r="CF250" s="14" t="n">
        <v>32</v>
      </c>
      <c r="CG250" s="14" t="n">
        <v>6</v>
      </c>
      <c r="CH250" s="15">
        <f>CD250+CE250+CF250+CG250</f>
        <v/>
      </c>
      <c r="CI250" s="14" t="n">
        <v>1687</v>
      </c>
      <c r="CJ250" s="14" t="n">
        <v>11</v>
      </c>
      <c r="CK250" s="14" t="n">
        <v>10</v>
      </c>
      <c r="CL250" s="14" t="n">
        <v>8</v>
      </c>
      <c r="CM250" s="15">
        <f>CI250+CJ250+CK250+CL250</f>
        <v/>
      </c>
      <c r="CN250" s="14" t="n">
        <v>221</v>
      </c>
      <c r="CO250" s="14" t="n">
        <v>25</v>
      </c>
      <c r="CP250" s="14" t="n">
        <v>42</v>
      </c>
      <c r="CQ250" s="14" t="n">
        <v>1</v>
      </c>
      <c r="CR250" s="15">
        <f>CN250+CO250+CP250+CQ250</f>
        <v/>
      </c>
      <c r="CS250" s="15">
        <f>CM250+CR250</f>
        <v/>
      </c>
      <c r="CT250" s="14" t="n">
        <v>2770</v>
      </c>
      <c r="CU250" s="14" t="n">
        <v>21284.8848</v>
      </c>
      <c r="CV250" s="14" t="n">
        <v>16521</v>
      </c>
      <c r="CW250" s="16">
        <f>IF(CU250=0,"",CV250/CU250)</f>
        <v/>
      </c>
      <c r="CX250" s="14" t="n">
        <v>0</v>
      </c>
      <c r="CY250" s="14" t="n"/>
      <c r="CZ250" s="14" t="n"/>
      <c r="DA250" s="14" t="n"/>
      <c r="DB250" s="15">
        <f>CX250+CY250-CZ250-DA250</f>
        <v/>
      </c>
      <c r="DC250" s="14" t="n">
        <v>0</v>
      </c>
      <c r="DD250" s="14" t="n">
        <v>0</v>
      </c>
      <c r="DE250" s="14" t="n">
        <v>0</v>
      </c>
      <c r="DF250" s="14" t="n">
        <v>0</v>
      </c>
      <c r="DG250" s="15">
        <f>DC250+DD250-DE250-DF250</f>
        <v/>
      </c>
      <c r="DH250" s="14" t="n">
        <v>0</v>
      </c>
      <c r="DI250" s="14" t="n">
        <v>0</v>
      </c>
      <c r="DJ250" s="14" t="n">
        <v>0</v>
      </c>
      <c r="DK250" s="14" t="n">
        <v>0</v>
      </c>
      <c r="DL250" s="15">
        <f>DH250+DI250-DJ250-DK250</f>
        <v/>
      </c>
      <c r="DM250" s="14" t="n">
        <v>300</v>
      </c>
      <c r="DN250" s="14" t="n">
        <v>0</v>
      </c>
      <c r="DO250" s="14" t="n">
        <v>0</v>
      </c>
      <c r="DP250" s="14" t="n">
        <v>0</v>
      </c>
      <c r="DQ250" s="15">
        <f>DM250+DN250-DO250-DP250</f>
        <v/>
      </c>
      <c r="DR250" s="15">
        <f>CX250+DC250+DH250+DM250</f>
        <v/>
      </c>
      <c r="DS250" s="15">
        <f>CY250+DD250+DI250+DN250</f>
        <v/>
      </c>
      <c r="DT250" s="15">
        <f>CZ250+DE250+DJ250+DO250</f>
        <v/>
      </c>
      <c r="DU250" s="15">
        <f>DA250+DF250+DK250+DP250</f>
        <v/>
      </c>
      <c r="DV250" s="15">
        <f>DB250+DG250+DL250+DQ250</f>
        <v/>
      </c>
      <c r="DW250" s="14" t="n">
        <v>16</v>
      </c>
      <c r="DX250" s="14" t="n">
        <v>13</v>
      </c>
      <c r="DY250" s="14" t="n">
        <v>5</v>
      </c>
      <c r="DZ250" s="14" t="n">
        <v>6</v>
      </c>
      <c r="EA250" s="14" t="n">
        <v>4</v>
      </c>
      <c r="EB250" s="14" t="n">
        <v>9</v>
      </c>
      <c r="EC250" s="14" t="n">
        <v>4</v>
      </c>
      <c r="ED250" s="14" t="n">
        <v>0</v>
      </c>
      <c r="EE250" s="14" t="n">
        <v>2</v>
      </c>
      <c r="EF250" s="14" t="n">
        <v>1</v>
      </c>
      <c r="EG250" s="14" t="n">
        <v>0</v>
      </c>
      <c r="EH250" s="14" t="n">
        <v>0</v>
      </c>
      <c r="EI250" s="14" t="n">
        <v>0</v>
      </c>
      <c r="EJ250" s="14" t="n">
        <v>5</v>
      </c>
      <c r="EK250" s="14" t="n">
        <v>7</v>
      </c>
      <c r="EL250" s="14" t="n">
        <v>4</v>
      </c>
      <c r="EM250" s="14" t="n">
        <v>3</v>
      </c>
      <c r="EN250" s="14" t="n">
        <v>5</v>
      </c>
      <c r="EO250" s="14" t="n">
        <v>0</v>
      </c>
      <c r="EP250" s="14" t="n">
        <v>0</v>
      </c>
      <c r="EQ250" s="14" t="n">
        <v>0</v>
      </c>
      <c r="ER250" s="14" t="n">
        <v>0</v>
      </c>
      <c r="ES250" s="14" t="n">
        <v>0</v>
      </c>
      <c r="ET250" s="14" t="n">
        <v>0</v>
      </c>
      <c r="EU250" s="14" t="n">
        <v>0</v>
      </c>
      <c r="EV250" s="14" t="n">
        <v>0</v>
      </c>
      <c r="EW250" s="14" t="n">
        <v>0</v>
      </c>
      <c r="EX250" s="14" t="n">
        <v>0</v>
      </c>
      <c r="EY250" s="14" t="n">
        <v>0</v>
      </c>
      <c r="EZ250" s="14" t="n">
        <v>0</v>
      </c>
      <c r="FA250" s="14" t="n">
        <v>0</v>
      </c>
      <c r="FB250" s="14" t="n">
        <v>0</v>
      </c>
      <c r="FC250" s="14" t="n">
        <v>0</v>
      </c>
      <c r="FD250" s="14" t="n">
        <v>0</v>
      </c>
      <c r="FE250" s="14" t="n">
        <v>4</v>
      </c>
      <c r="FF250" s="14" t="n">
        <v>0</v>
      </c>
      <c r="FG250" s="15">
        <f>SUM(DW250,DX250,DY250,DZ250,EA250,EB250,EC250,ED250,EE250,EF250,EG250,EH250,EI250,EJ250,EK250,EL250,EM250,EN250,EO250,EP250,EQ250,ER250,ES250,ET250,EU250,EV250,EW250,EX250,EY250,EZ250,FA250,FB250,FC250,FD250,FE250,FF250)</f>
        <v/>
      </c>
      <c r="FH250" s="14" t="n">
        <v>0</v>
      </c>
      <c r="FI250" s="14" t="n">
        <v>0</v>
      </c>
      <c r="FJ250" s="14" t="n">
        <v>0</v>
      </c>
      <c r="FK250" s="14" t="n">
        <v>0</v>
      </c>
      <c r="FL250" s="14" t="n">
        <v>0</v>
      </c>
      <c r="FM250" s="14" t="n">
        <v>0</v>
      </c>
      <c r="FN250" s="14" t="n">
        <v>0</v>
      </c>
      <c r="FO250" s="14" t="n">
        <v>0</v>
      </c>
      <c r="FP250" s="14" t="n">
        <v>0</v>
      </c>
      <c r="FQ250" s="15">
        <f>FL250+FM250+FN250+FO250+FP250</f>
        <v/>
      </c>
      <c r="FR250" s="14" t="n">
        <v>8570434</v>
      </c>
      <c r="FS250" s="14" t="n">
        <v>68100</v>
      </c>
      <c r="FT250" s="14" t="n">
        <v>53000</v>
      </c>
      <c r="FU250" s="14" t="n">
        <v>901857</v>
      </c>
      <c r="FV250" s="15">
        <f>FR250+FS250+FT250+FU250</f>
        <v/>
      </c>
      <c r="FW250" s="14" t="n">
        <v>2284610</v>
      </c>
      <c r="FX250" s="14" t="n">
        <v>0</v>
      </c>
      <c r="FY250" s="14" t="n">
        <v>1757450</v>
      </c>
      <c r="FZ250" s="14" t="n">
        <v>1600200</v>
      </c>
      <c r="GA250" s="15">
        <f>FW250+FX250+FY250+FZ250</f>
        <v/>
      </c>
      <c r="GB250" s="15">
        <f>FV250+GA250</f>
        <v/>
      </c>
      <c r="GC250" s="14" t="n">
        <v>12282362.16</v>
      </c>
      <c r="GD250" s="14" t="n">
        <v>108264.48</v>
      </c>
      <c r="GE250" s="14" t="n">
        <v>183391.77</v>
      </c>
      <c r="GF250" s="14" t="n">
        <v>136538.65</v>
      </c>
      <c r="GG250" s="15">
        <f>GC250+GD250+GE250+GF250</f>
        <v/>
      </c>
      <c r="GH250" s="14" t="n">
        <v>2228835.08</v>
      </c>
      <c r="GI250" s="14" t="n">
        <v>0</v>
      </c>
      <c r="GJ250" s="14" t="n">
        <v>1575000</v>
      </c>
      <c r="GK250" s="14" t="n">
        <v>1745450</v>
      </c>
      <c r="GL250" s="15">
        <f>GH250+GI250+GJ250+GK250</f>
        <v/>
      </c>
      <c r="GM250" s="15">
        <f>GG250+GL250</f>
        <v/>
      </c>
      <c r="GN250" s="14" t="n">
        <v>883561.03</v>
      </c>
      <c r="GO250" s="14" t="n">
        <v>1912.8</v>
      </c>
      <c r="GP250" s="14" t="n">
        <v>13574.56</v>
      </c>
      <c r="GQ250" s="14" t="n">
        <v>23186.7</v>
      </c>
      <c r="GR250" s="15">
        <f>GN250+GO250+GP250+GQ250</f>
        <v/>
      </c>
      <c r="GS250" s="14" t="n">
        <v>1441302</v>
      </c>
      <c r="GT250" s="14" t="n">
        <v>8930</v>
      </c>
      <c r="GU250" s="14" t="n">
        <v>3572</v>
      </c>
      <c r="GV250" s="14" t="n">
        <v>4465</v>
      </c>
      <c r="GW250" s="15">
        <f>GS250+GT250+GU250+GV250</f>
        <v/>
      </c>
      <c r="GX250" s="15">
        <f>GM250+GR250+GW250</f>
        <v/>
      </c>
      <c r="GY250" s="14" t="n">
        <v>38289183.5</v>
      </c>
      <c r="GZ250" s="14" t="n">
        <v>894471.72</v>
      </c>
      <c r="HA250" s="15">
        <f>GY250+GZ250</f>
        <v/>
      </c>
      <c r="HB250" s="15">
        <f>IF(GX250=0,"",AU250/GX250)</f>
        <v/>
      </c>
      <c r="HC250" s="16">
        <f>IF((GX250+GY250)=0,"",GB250/(GX250+GY250))</f>
        <v/>
      </c>
      <c r="HD250" s="15">
        <f>IF(GX250=0,"",GB250/GX250)</f>
        <v/>
      </c>
      <c r="HE250" s="14" t="n">
        <v>13</v>
      </c>
      <c r="HF250" s="14" t="n">
        <v>0</v>
      </c>
      <c r="HG250" s="14" t="n">
        <v>20</v>
      </c>
      <c r="HH250" s="14" t="n">
        <v>13</v>
      </c>
      <c r="HI250" s="14" t="n">
        <v>0</v>
      </c>
      <c r="HJ250" s="15">
        <f>HF250+HI250</f>
        <v/>
      </c>
      <c r="HK250" s="16">
        <f>IF(HE250=0,"",HH250/HE250)</f>
        <v/>
      </c>
      <c r="HL250" s="14" t="n">
        <v>0</v>
      </c>
      <c r="HM250" s="14" t="n">
        <v>0</v>
      </c>
      <c r="HN250" s="17">
        <f>IF(HL250=0,"",HM250/HL250)</f>
        <v/>
      </c>
    </row>
    <row r="251">
      <c r="A251" s="6" t="inlineStr">
        <is>
          <t>Ngabu</t>
        </is>
      </c>
      <c r="B251" s="6" t="inlineStr">
        <is>
          <t>Nchalo</t>
        </is>
      </c>
      <c r="C251" s="7" t="inlineStr">
        <is>
          <t>FY2025/26</t>
        </is>
      </c>
      <c r="D251" s="7" t="n">
        <v>2025</v>
      </c>
      <c r="E251" s="7" t="n">
        <v>12</v>
      </c>
      <c r="F251" s="7" t="inlineStr">
        <is>
          <t>December</t>
        </is>
      </c>
      <c r="G251" s="7" t="inlineStr">
        <is>
          <t>Q3</t>
        </is>
      </c>
      <c r="H251" s="8" t="n">
        <v>32244</v>
      </c>
      <c r="I251" s="8" t="n">
        <v>15780</v>
      </c>
      <c r="J251" s="8" t="n">
        <v>623</v>
      </c>
      <c r="K251" s="8" t="n">
        <v>254</v>
      </c>
      <c r="L251" s="8" t="n">
        <v>192</v>
      </c>
      <c r="M251" s="9">
        <f>SUM(I251,J251,K251,L251)</f>
        <v/>
      </c>
      <c r="N251" s="8" t="n">
        <v>3541</v>
      </c>
      <c r="O251" s="8" t="n">
        <v>0</v>
      </c>
      <c r="P251" s="8" t="n">
        <v>1432</v>
      </c>
      <c r="Q251" s="8" t="n">
        <v>3147</v>
      </c>
      <c r="R251" s="9">
        <f>SUM(N251,O251,P251,Q251)</f>
        <v/>
      </c>
      <c r="S251" s="9">
        <f>M251+R251</f>
        <v/>
      </c>
      <c r="T251" s="8" t="n">
        <v>7275</v>
      </c>
      <c r="U251" s="10">
        <f>IF(H251=0,"",T251/H251)</f>
        <v/>
      </c>
      <c r="V251" s="8" t="n">
        <v>19</v>
      </c>
      <c r="W251" s="11">
        <f>IF(H251=0,"",V251/H251)</f>
        <v/>
      </c>
      <c r="X251" s="8" t="n">
        <v>0</v>
      </c>
      <c r="Y251" s="11">
        <f>IF(H251=0,"",X251/H251)</f>
        <v/>
      </c>
      <c r="Z251" s="8" t="n">
        <v>0</v>
      </c>
      <c r="AA251" s="11">
        <f>IF(H251=0,"",Z251/H251)</f>
        <v/>
      </c>
      <c r="AB251" s="8" t="n">
        <v>0</v>
      </c>
      <c r="AC251" s="11">
        <f>IF(H251=0,"",AB251/H251)</f>
        <v/>
      </c>
      <c r="AD251" s="8" t="n">
        <v>0</v>
      </c>
      <c r="AE251" s="11">
        <f>IF(H251=0,"",AD251/H251)</f>
        <v/>
      </c>
      <c r="AF251" s="8" t="n">
        <v>0</v>
      </c>
      <c r="AG251" s="11">
        <f>IF(H251=0,"",AF251/H251)</f>
        <v/>
      </c>
      <c r="AH251" s="8" t="n">
        <v>66980.50999999999</v>
      </c>
      <c r="AI251" s="9">
        <f>IF(H251=0,"",AH251/H251)</f>
        <v/>
      </c>
      <c r="AJ251" s="8" t="n">
        <v>7345</v>
      </c>
      <c r="AK251" s="11">
        <f>IF(H251=0,"",AJ251/H251)</f>
        <v/>
      </c>
      <c r="AL251" s="8" t="n">
        <v>1035556.2675</v>
      </c>
      <c r="AM251" s="9">
        <f>IF(H251=0,"",AL251/H251)</f>
        <v/>
      </c>
      <c r="AN251" s="8" t="n">
        <v>0</v>
      </c>
      <c r="AO251" s="8" t="n">
        <v>0</v>
      </c>
      <c r="AP251" s="8" t="n">
        <v>0</v>
      </c>
      <c r="AQ251" s="8" t="n">
        <v>0</v>
      </c>
      <c r="AR251" s="8" t="n">
        <v>0</v>
      </c>
      <c r="AS251" s="8" t="n">
        <v>0</v>
      </c>
      <c r="AT251" s="8" t="n">
        <v>0</v>
      </c>
      <c r="AU251" s="9">
        <f>AH251+AL251+AP251+AQ251+AR251+AS251+AT251</f>
        <v/>
      </c>
      <c r="AV251" s="9">
        <f>IF(H251=0,"",AU251/H251)</f>
        <v/>
      </c>
      <c r="AW251" s="9">
        <f>IF(S251=0,"",AU251/S251)</f>
        <v/>
      </c>
      <c r="AX251" s="8" t="n">
        <v>6</v>
      </c>
      <c r="AY251" s="9">
        <f>IF(H251=0,"",AX251/(H251/1000/12))</f>
        <v/>
      </c>
      <c r="AZ251" s="8" t="n">
        <v>6</v>
      </c>
      <c r="BA251" s="8" t="n">
        <v>18</v>
      </c>
      <c r="BB251" s="8" t="n">
        <v>17</v>
      </c>
      <c r="BC251" s="8" t="n">
        <v>14</v>
      </c>
      <c r="BD251" s="8" t="n">
        <v>2</v>
      </c>
      <c r="BE251" s="9">
        <f>BC251+BD251</f>
        <v/>
      </c>
      <c r="BF251" s="9">
        <f>BA251+BB251-BE251</f>
        <v/>
      </c>
      <c r="BG251" s="8" t="n">
        <v>0</v>
      </c>
      <c r="BH251" s="8" t="n">
        <v>0</v>
      </c>
      <c r="BI251" s="8" t="n">
        <v>0</v>
      </c>
      <c r="BJ251" s="8" t="n">
        <v>0</v>
      </c>
      <c r="BK251" s="9">
        <f>BI251+BJ251</f>
        <v/>
      </c>
      <c r="BL251" s="9">
        <f>BG251+BH251-BK251</f>
        <v/>
      </c>
      <c r="BM251" s="8" t="n">
        <v>2</v>
      </c>
      <c r="BN251" s="8" t="n">
        <v>0</v>
      </c>
      <c r="BO251" s="8" t="n">
        <v>0</v>
      </c>
      <c r="BP251" s="8" t="n">
        <v>0</v>
      </c>
      <c r="BQ251" s="9">
        <f>BO251+BP251</f>
        <v/>
      </c>
      <c r="BR251" s="9">
        <f>BM251+BN251-BQ251</f>
        <v/>
      </c>
      <c r="BS251" s="8" t="n">
        <v>0</v>
      </c>
      <c r="BT251" s="8" t="n">
        <v>0</v>
      </c>
      <c r="BU251" s="8" t="n">
        <v>0</v>
      </c>
      <c r="BV251" s="8" t="n">
        <v>0</v>
      </c>
      <c r="BW251" s="9">
        <f>BU251+BV251</f>
        <v/>
      </c>
      <c r="BX251" s="9">
        <f>BS251+BT251-BW251</f>
        <v/>
      </c>
      <c r="BY251" s="9">
        <f>BA251+BG251+BM251+BS251</f>
        <v/>
      </c>
      <c r="BZ251" s="9">
        <f>BB251+BH251+BN251+BT251</f>
        <v/>
      </c>
      <c r="CA251" s="9">
        <f>BE251+BK251+BQ251+BW251</f>
        <v/>
      </c>
      <c r="CB251" s="9">
        <f>BF251+BL251+BR251+BX251</f>
        <v/>
      </c>
      <c r="CC251" s="8" t="n">
        <v>0</v>
      </c>
      <c r="CD251" s="8" t="n">
        <v>691</v>
      </c>
      <c r="CE251" s="8" t="n">
        <v>17</v>
      </c>
      <c r="CF251" s="8" t="n">
        <v>32</v>
      </c>
      <c r="CG251" s="8" t="n">
        <v>6</v>
      </c>
      <c r="CH251" s="9">
        <f>CD251+CE251+CF251+CG251</f>
        <v/>
      </c>
      <c r="CI251" s="8" t="n">
        <v>1720</v>
      </c>
      <c r="CJ251" s="8" t="n">
        <v>11</v>
      </c>
      <c r="CK251" s="8" t="n">
        <v>10</v>
      </c>
      <c r="CL251" s="8" t="n">
        <v>8</v>
      </c>
      <c r="CM251" s="9">
        <f>CI251+CJ251+CK251+CL251</f>
        <v/>
      </c>
      <c r="CN251" s="8" t="n">
        <v>221</v>
      </c>
      <c r="CO251" s="8" t="n">
        <v>25</v>
      </c>
      <c r="CP251" s="8" t="n">
        <v>42</v>
      </c>
      <c r="CQ251" s="8" t="n">
        <v>1</v>
      </c>
      <c r="CR251" s="9">
        <f>CN251+CO251+CP251+CQ251</f>
        <v/>
      </c>
      <c r="CS251" s="9">
        <f>CM251+CR251</f>
        <v/>
      </c>
      <c r="CT251" s="8" t="n">
        <v>2784</v>
      </c>
      <c r="CU251" s="8" t="n">
        <v>21327.4545696</v>
      </c>
      <c r="CV251" s="8" t="n">
        <v>16521</v>
      </c>
      <c r="CW251" s="10">
        <f>IF(CU251=0,"",CV251/CU251)</f>
        <v/>
      </c>
      <c r="CX251" s="8" t="n">
        <v>0</v>
      </c>
      <c r="CY251" s="8" t="n"/>
      <c r="CZ251" s="8" t="n"/>
      <c r="DA251" s="8" t="n"/>
      <c r="DB251" s="9">
        <f>CX251+CY251-CZ251-DA251</f>
        <v/>
      </c>
      <c r="DC251" s="8" t="n">
        <v>0</v>
      </c>
      <c r="DD251" s="8" t="n">
        <v>0</v>
      </c>
      <c r="DE251" s="8" t="n">
        <v>0</v>
      </c>
      <c r="DF251" s="8" t="n">
        <v>0</v>
      </c>
      <c r="DG251" s="9">
        <f>DC251+DD251-DE251-DF251</f>
        <v/>
      </c>
      <c r="DH251" s="8" t="n">
        <v>0</v>
      </c>
      <c r="DI251" s="8" t="n">
        <v>0</v>
      </c>
      <c r="DJ251" s="8" t="n">
        <v>0</v>
      </c>
      <c r="DK251" s="8" t="n">
        <v>0</v>
      </c>
      <c r="DL251" s="9">
        <f>DH251+DI251-DJ251-DK251</f>
        <v/>
      </c>
      <c r="DM251" s="8" t="n">
        <v>300</v>
      </c>
      <c r="DN251" s="8" t="n">
        <v>0</v>
      </c>
      <c r="DO251" s="8" t="n">
        <v>0</v>
      </c>
      <c r="DP251" s="8" t="n">
        <v>0</v>
      </c>
      <c r="DQ251" s="9">
        <f>DM251+DN251-DO251-DP251</f>
        <v/>
      </c>
      <c r="DR251" s="9">
        <f>CX251+DC251+DH251+DM251</f>
        <v/>
      </c>
      <c r="DS251" s="9">
        <f>CY251+DD251+DI251+DN251</f>
        <v/>
      </c>
      <c r="DT251" s="9">
        <f>CZ251+DE251+DJ251+DO251</f>
        <v/>
      </c>
      <c r="DU251" s="9">
        <f>DA251+DF251+DK251+DP251</f>
        <v/>
      </c>
      <c r="DV251" s="9">
        <f>DB251+DG251+DL251+DQ251</f>
        <v/>
      </c>
      <c r="DW251" s="8" t="n">
        <v>9</v>
      </c>
      <c r="DX251" s="8" t="n">
        <v>4</v>
      </c>
      <c r="DY251" s="8" t="n">
        <v>2</v>
      </c>
      <c r="DZ251" s="8" t="n">
        <v>2</v>
      </c>
      <c r="EA251" s="8" t="n">
        <v>3</v>
      </c>
      <c r="EB251" s="8" t="n">
        <v>4</v>
      </c>
      <c r="EC251" s="8" t="n">
        <v>3</v>
      </c>
      <c r="ED251" s="8" t="n">
        <v>5</v>
      </c>
      <c r="EE251" s="8" t="n">
        <v>8</v>
      </c>
      <c r="EF251" s="8" t="n">
        <v>5</v>
      </c>
      <c r="EG251" s="8" t="n">
        <v>0</v>
      </c>
      <c r="EH251" s="8" t="n">
        <v>0</v>
      </c>
      <c r="EI251" s="8" t="n">
        <v>0</v>
      </c>
      <c r="EJ251" s="8" t="n">
        <v>10</v>
      </c>
      <c r="EK251" s="8" t="n">
        <v>8</v>
      </c>
      <c r="EL251" s="8" t="n">
        <v>2</v>
      </c>
      <c r="EM251" s="8" t="n">
        <v>9</v>
      </c>
      <c r="EN251" s="8" t="n">
        <v>6</v>
      </c>
      <c r="EO251" s="8" t="n">
        <v>0</v>
      </c>
      <c r="EP251" s="8" t="n">
        <v>0</v>
      </c>
      <c r="EQ251" s="8" t="n">
        <v>0</v>
      </c>
      <c r="ER251" s="8" t="n">
        <v>0</v>
      </c>
      <c r="ES251" s="8" t="n">
        <v>0</v>
      </c>
      <c r="ET251" s="8" t="n">
        <v>0</v>
      </c>
      <c r="EU251" s="8" t="n">
        <v>0</v>
      </c>
      <c r="EV251" s="8" t="n">
        <v>0</v>
      </c>
      <c r="EW251" s="8" t="n">
        <v>0</v>
      </c>
      <c r="EX251" s="8" t="n">
        <v>0</v>
      </c>
      <c r="EY251" s="8" t="n">
        <v>0</v>
      </c>
      <c r="EZ251" s="8" t="n">
        <v>0</v>
      </c>
      <c r="FA251" s="8" t="n">
        <v>0</v>
      </c>
      <c r="FB251" s="8" t="n">
        <v>0</v>
      </c>
      <c r="FC251" s="8" t="n">
        <v>0</v>
      </c>
      <c r="FD251" s="8" t="n">
        <v>0</v>
      </c>
      <c r="FE251" s="8" t="n">
        <v>4</v>
      </c>
      <c r="FF251" s="8" t="n">
        <v>0</v>
      </c>
      <c r="FG251" s="9">
        <f>SUM(DW251,DX251,DY251,DZ251,EA251,EB251,EC251,ED251,EE251,EF251,EG251,EH251,EI251,EJ251,EK251,EL251,EM251,EN251,EO251,EP251,EQ251,ER251,ES251,ET251,EU251,EV251,EW251,EX251,EY251,EZ251,FA251,FB251,FC251,FD251,FE251,FF251)</f>
        <v/>
      </c>
      <c r="FH251" s="8" t="n">
        <v>0</v>
      </c>
      <c r="FI251" s="8" t="n">
        <v>0</v>
      </c>
      <c r="FJ251" s="8" t="n">
        <v>0</v>
      </c>
      <c r="FK251" s="8" t="n">
        <v>0</v>
      </c>
      <c r="FL251" s="8" t="n">
        <v>0</v>
      </c>
      <c r="FM251" s="8" t="n">
        <v>0</v>
      </c>
      <c r="FN251" s="8" t="n">
        <v>0</v>
      </c>
      <c r="FO251" s="8" t="n">
        <v>0</v>
      </c>
      <c r="FP251" s="8" t="n">
        <v>0</v>
      </c>
      <c r="FQ251" s="9">
        <f>FL251+FM251+FN251+FO251+FP251</f>
        <v/>
      </c>
      <c r="FR251" s="8" t="n">
        <v>24663580</v>
      </c>
      <c r="FS251" s="8" t="n">
        <v>214500</v>
      </c>
      <c r="FT251" s="8" t="n">
        <v>168000</v>
      </c>
      <c r="FU251" s="8" t="n">
        <v>0</v>
      </c>
      <c r="FV251" s="9">
        <f>FR251+FS251+FT251+FU251</f>
        <v/>
      </c>
      <c r="FW251" s="8" t="n">
        <v>2460859</v>
      </c>
      <c r="FX251" s="8" t="n">
        <v>0</v>
      </c>
      <c r="FY251" s="8" t="n">
        <v>1965500</v>
      </c>
      <c r="FZ251" s="8" t="n">
        <v>530150</v>
      </c>
      <c r="GA251" s="9">
        <f>FW251+FX251+FY251+FZ251</f>
        <v/>
      </c>
      <c r="GB251" s="9">
        <f>FV251+GA251</f>
        <v/>
      </c>
      <c r="GC251" s="8" t="n">
        <v>11212101.81</v>
      </c>
      <c r="GD251" s="8" t="n">
        <v>97170.24000000001</v>
      </c>
      <c r="GE251" s="8" t="n">
        <v>95985.21000000001</v>
      </c>
      <c r="GF251" s="8" t="n">
        <v>102815.94</v>
      </c>
      <c r="GG251" s="9">
        <f>GC251+GD251+GE251+GF251</f>
        <v/>
      </c>
      <c r="GH251" s="8" t="n">
        <v>2406138.98</v>
      </c>
      <c r="GI251" s="8" t="n">
        <v>0</v>
      </c>
      <c r="GJ251" s="8" t="n">
        <v>507195.67</v>
      </c>
      <c r="GK251" s="8" t="n">
        <v>1928500</v>
      </c>
      <c r="GL251" s="9">
        <f>GH251+GI251+GJ251+GK251</f>
        <v/>
      </c>
      <c r="GM251" s="9">
        <f>GG251+GL251</f>
        <v/>
      </c>
      <c r="GN251" s="8" t="n">
        <v>877349.5699999999</v>
      </c>
      <c r="GO251" s="8" t="n">
        <v>1912.8</v>
      </c>
      <c r="GP251" s="8" t="n">
        <v>10180.92</v>
      </c>
      <c r="GQ251" s="8" t="n">
        <v>18549.36</v>
      </c>
      <c r="GR251" s="9">
        <f>GN251+GO251+GP251+GQ251</f>
        <v/>
      </c>
      <c r="GS251" s="8" t="n">
        <v>1430586</v>
      </c>
      <c r="GT251" s="8" t="n">
        <v>8930</v>
      </c>
      <c r="GU251" s="8" t="n">
        <v>2679</v>
      </c>
      <c r="GV251" s="8" t="n">
        <v>3572</v>
      </c>
      <c r="GW251" s="9">
        <f>GS251+GT251+GU251+GV251</f>
        <v/>
      </c>
      <c r="GX251" s="9">
        <f>GM251+GR251+GW251</f>
        <v/>
      </c>
      <c r="GY251" s="8" t="n">
        <v>28328823.77</v>
      </c>
      <c r="GZ251" s="8" t="n">
        <v>405663.92</v>
      </c>
      <c r="HA251" s="9">
        <f>GY251+GZ251</f>
        <v/>
      </c>
      <c r="HB251" s="9">
        <f>IF(GX251=0,"",AU251/GX251)</f>
        <v/>
      </c>
      <c r="HC251" s="10">
        <f>IF((GX251+GY251)=0,"",GB251/(GX251+GY251))</f>
        <v/>
      </c>
      <c r="HD251" s="9">
        <f>IF(GX251=0,"",GB251/GX251)</f>
        <v/>
      </c>
      <c r="HE251" s="8" t="n">
        <v>17</v>
      </c>
      <c r="HF251" s="8" t="n">
        <v>0</v>
      </c>
      <c r="HG251" s="8" t="n">
        <v>21</v>
      </c>
      <c r="HH251" s="8" t="n">
        <v>17</v>
      </c>
      <c r="HI251" s="8" t="n">
        <v>0</v>
      </c>
      <c r="HJ251" s="9">
        <f>HF251+HI251</f>
        <v/>
      </c>
      <c r="HK251" s="10">
        <f>IF(HE251=0,"",HH251/HE251)</f>
        <v/>
      </c>
      <c r="HL251" s="8" t="n">
        <v>0</v>
      </c>
      <c r="HM251" s="8" t="n">
        <v>0</v>
      </c>
      <c r="HN251" s="11">
        <f>IF(HL251=0,"",HM251/HL251)</f>
        <v/>
      </c>
    </row>
    <row r="252">
      <c r="A252" s="12" t="inlineStr">
        <is>
          <t>Ngabu</t>
        </is>
      </c>
      <c r="B252" s="12" t="inlineStr">
        <is>
          <t>Nchalo</t>
        </is>
      </c>
      <c r="C252" s="13" t="inlineStr">
        <is>
          <t>FY2025/26</t>
        </is>
      </c>
      <c r="D252" s="13" t="n">
        <v>2026</v>
      </c>
      <c r="E252" s="13" t="n">
        <v>1</v>
      </c>
      <c r="F252" s="13" t="inlineStr">
        <is>
          <t>January</t>
        </is>
      </c>
      <c r="G252" s="13" t="inlineStr">
        <is>
          <t>Q4</t>
        </is>
      </c>
      <c r="H252" s="14" t="n">
        <v>31123</v>
      </c>
      <c r="I252" s="14" t="n">
        <v>15615</v>
      </c>
      <c r="J252" s="14" t="n">
        <v>594</v>
      </c>
      <c r="K252" s="14" t="n">
        <v>303</v>
      </c>
      <c r="L252" s="14" t="n">
        <v>203</v>
      </c>
      <c r="M252" s="15" t="n">
        <v>16715</v>
      </c>
      <c r="N252" s="14" t="n">
        <v>2780</v>
      </c>
      <c r="O252" s="14" t="n">
        <v>0</v>
      </c>
      <c r="P252" s="14" t="n">
        <v>1338</v>
      </c>
      <c r="Q252" s="14" t="n">
        <v>3102</v>
      </c>
      <c r="R252" s="15" t="n">
        <v>7220</v>
      </c>
      <c r="S252" s="15" t="n">
        <v>23935</v>
      </c>
      <c r="T252" s="14" t="n">
        <v>7188</v>
      </c>
      <c r="U252" s="16" t="n">
        <v>0.2309545994923368</v>
      </c>
      <c r="V252" s="14" t="n">
        <v>18</v>
      </c>
      <c r="W252" s="17" t="n">
        <v>0.5783504160909938</v>
      </c>
      <c r="X252" s="14" t="n">
        <v>0</v>
      </c>
      <c r="Y252" s="17" t="n">
        <v>0</v>
      </c>
      <c r="Z252" s="14" t="n">
        <v>0</v>
      </c>
      <c r="AA252" s="17" t="n">
        <v>0</v>
      </c>
      <c r="AB252" s="14" t="n">
        <v>0</v>
      </c>
      <c r="AC252" s="17" t="n">
        <v>0</v>
      </c>
      <c r="AD252" s="14" t="n">
        <v>0</v>
      </c>
      <c r="AE252" s="17" t="n">
        <v>0</v>
      </c>
      <c r="AF252" s="14" t="n">
        <v>0</v>
      </c>
      <c r="AG252" s="17" t="n">
        <v>0</v>
      </c>
      <c r="AH252" s="14" t="n">
        <v>63455.22</v>
      </c>
      <c r="AI252" s="15" t="n">
        <v>2.03885293834142</v>
      </c>
      <c r="AJ252" s="14" t="n">
        <v>7310</v>
      </c>
      <c r="AK252" s="17" t="n">
        <v>0.2348745300902869</v>
      </c>
      <c r="AL252" s="14" t="n">
        <v>1030699.965</v>
      </c>
      <c r="AM252" s="15" t="n">
        <v>33.11698631237349</v>
      </c>
      <c r="AN252" s="14" t="n">
        <v>0</v>
      </c>
      <c r="AO252" s="14" t="n">
        <v>0</v>
      </c>
      <c r="AP252" s="14" t="n">
        <v>0</v>
      </c>
      <c r="AQ252" s="14" t="n">
        <v>0</v>
      </c>
      <c r="AR252" s="14" t="n">
        <v>0</v>
      </c>
      <c r="AS252" s="14" t="n">
        <v>0</v>
      </c>
      <c r="AT252" s="14" t="n">
        <v>0</v>
      </c>
      <c r="AU252" s="15" t="n">
        <v>1094155.185</v>
      </c>
      <c r="AV252" s="15" t="n">
        <v>35.15583925071491</v>
      </c>
      <c r="AW252" s="15" t="n">
        <v>45.71360706078964</v>
      </c>
      <c r="AX252" s="14" t="n">
        <v>6</v>
      </c>
      <c r="AY252" s="15" t="n">
        <v>5.976287632940269</v>
      </c>
      <c r="AZ252" s="14" t="n">
        <v>6</v>
      </c>
      <c r="BA252" s="14" t="n">
        <v>19</v>
      </c>
      <c r="BB252" s="14" t="n">
        <v>40</v>
      </c>
      <c r="BC252" s="14" t="n">
        <v>20</v>
      </c>
      <c r="BD252" s="14" t="n">
        <v>14</v>
      </c>
      <c r="BE252" s="15" t="n">
        <v>34</v>
      </c>
      <c r="BF252" s="15" t="n">
        <v>25</v>
      </c>
      <c r="BG252" s="14" t="n">
        <v>0</v>
      </c>
      <c r="BH252" s="14" t="n">
        <v>0</v>
      </c>
      <c r="BI252" s="14" t="n">
        <v>0</v>
      </c>
      <c r="BJ252" s="14" t="n">
        <v>0</v>
      </c>
      <c r="BK252" s="15" t="n">
        <v>0</v>
      </c>
      <c r="BL252" s="15" t="n">
        <v>0</v>
      </c>
      <c r="BM252" s="14" t="n">
        <v>2</v>
      </c>
      <c r="BN252" s="14" t="n">
        <v>0</v>
      </c>
      <c r="BO252" s="14" t="n">
        <v>0</v>
      </c>
      <c r="BP252" s="14" t="n">
        <v>0</v>
      </c>
      <c r="BQ252" s="15" t="n">
        <v>0</v>
      </c>
      <c r="BR252" s="15" t="n">
        <v>2</v>
      </c>
      <c r="BS252" s="14" t="n">
        <v>0</v>
      </c>
      <c r="BT252" s="14" t="n">
        <v>0</v>
      </c>
      <c r="BU252" s="14" t="n">
        <v>0</v>
      </c>
      <c r="BV252" s="14" t="n">
        <v>0</v>
      </c>
      <c r="BW252" s="15" t="n">
        <v>0</v>
      </c>
      <c r="BX252" s="15" t="n">
        <v>0</v>
      </c>
      <c r="BY252" s="15" t="n">
        <v>21</v>
      </c>
      <c r="BZ252" s="15" t="n">
        <v>40</v>
      </c>
      <c r="CA252" s="15" t="n">
        <v>34</v>
      </c>
      <c r="CB252" s="15" t="n">
        <v>27</v>
      </c>
      <c r="CC252" s="14" t="n">
        <v>0</v>
      </c>
      <c r="CD252" s="14" t="n">
        <v>693</v>
      </c>
      <c r="CE252" s="14" t="n">
        <v>17</v>
      </c>
      <c r="CF252" s="14" t="n">
        <v>32</v>
      </c>
      <c r="CG252" s="14" t="n">
        <v>6</v>
      </c>
      <c r="CH252" s="15" t="n">
        <v>748</v>
      </c>
      <c r="CI252" s="14" t="n">
        <v>1738</v>
      </c>
      <c r="CJ252" s="14" t="n">
        <v>11</v>
      </c>
      <c r="CK252" s="14" t="n">
        <v>10</v>
      </c>
      <c r="CL252" s="14" t="n">
        <v>8</v>
      </c>
      <c r="CM252" s="15" t="n">
        <v>1767</v>
      </c>
      <c r="CN252" s="14" t="n">
        <v>221</v>
      </c>
      <c r="CO252" s="14" t="n">
        <v>25</v>
      </c>
      <c r="CP252" s="14" t="n">
        <v>42</v>
      </c>
      <c r="CQ252" s="14" t="n">
        <v>1</v>
      </c>
      <c r="CR252" s="15" t="n">
        <v>289</v>
      </c>
      <c r="CS252" s="15" t="n">
        <v>2056</v>
      </c>
      <c r="CT252" s="14" t="n">
        <v>2804</v>
      </c>
      <c r="CU252" s="14" t="n">
        <v>21370.1094787392</v>
      </c>
      <c r="CV252" s="14" t="n">
        <v>16521</v>
      </c>
      <c r="CW252" s="16" t="n">
        <v>0.7730891606538794</v>
      </c>
      <c r="CX252" s="14" t="n">
        <v>0</v>
      </c>
      <c r="CY252" s="14" t="n">
        <v>0</v>
      </c>
      <c r="CZ252" s="14" t="n">
        <v>0</v>
      </c>
      <c r="DA252" s="14" t="n">
        <v>0</v>
      </c>
      <c r="DB252" s="15" t="n">
        <v>0</v>
      </c>
      <c r="DC252" s="14" t="n">
        <v>0</v>
      </c>
      <c r="DD252" s="14" t="n">
        <v>0</v>
      </c>
      <c r="DE252" s="14" t="n">
        <v>0</v>
      </c>
      <c r="DF252" s="14" t="n">
        <v>0</v>
      </c>
      <c r="DG252" s="15" t="n">
        <v>0</v>
      </c>
      <c r="DH252" s="14" t="n">
        <v>0</v>
      </c>
      <c r="DI252" s="14" t="n">
        <v>0</v>
      </c>
      <c r="DJ252" s="14" t="n">
        <v>0</v>
      </c>
      <c r="DK252" s="14" t="n">
        <v>0</v>
      </c>
      <c r="DL252" s="15" t="n">
        <v>0</v>
      </c>
      <c r="DM252" s="14" t="n">
        <v>300</v>
      </c>
      <c r="DN252" s="14" t="n">
        <v>0</v>
      </c>
      <c r="DO252" s="14" t="n">
        <v>0</v>
      </c>
      <c r="DP252" s="14" t="n">
        <v>0</v>
      </c>
      <c r="DQ252" s="15" t="n">
        <v>300</v>
      </c>
      <c r="DR252" s="15" t="n">
        <v>300</v>
      </c>
      <c r="DS252" s="15" t="n">
        <v>0</v>
      </c>
      <c r="DT252" s="15" t="n">
        <v>0</v>
      </c>
      <c r="DU252" s="15" t="n">
        <v>0</v>
      </c>
      <c r="DV252" s="15" t="n">
        <v>300</v>
      </c>
      <c r="DW252" s="14" t="n">
        <v>25</v>
      </c>
      <c r="DX252" s="14" t="n">
        <v>16</v>
      </c>
      <c r="DY252" s="14" t="n">
        <v>8</v>
      </c>
      <c r="DZ252" s="14" t="n">
        <v>6</v>
      </c>
      <c r="EA252" s="14" t="n">
        <v>7</v>
      </c>
      <c r="EB252" s="14" t="n">
        <v>16</v>
      </c>
      <c r="EC252" s="14" t="n">
        <v>9</v>
      </c>
      <c r="ED252" s="14" t="n">
        <v>4</v>
      </c>
      <c r="EE252" s="14" t="n">
        <v>2</v>
      </c>
      <c r="EF252" s="14" t="n">
        <v>3</v>
      </c>
      <c r="EG252" s="14" t="n">
        <v>0</v>
      </c>
      <c r="EH252" s="14" t="n">
        <v>0</v>
      </c>
      <c r="EI252" s="14" t="n">
        <v>0</v>
      </c>
      <c r="EJ252" s="14" t="n">
        <v>8</v>
      </c>
      <c r="EK252" s="14" t="n">
        <v>5</v>
      </c>
      <c r="EL252" s="14" t="n">
        <v>5</v>
      </c>
      <c r="EM252" s="14" t="n">
        <v>4</v>
      </c>
      <c r="EN252" s="14" t="n">
        <v>3</v>
      </c>
      <c r="EO252" s="14" t="n">
        <v>0</v>
      </c>
      <c r="EP252" s="14" t="n">
        <v>0</v>
      </c>
      <c r="EQ252" s="14" t="n">
        <v>0</v>
      </c>
      <c r="ER252" s="14" t="n">
        <v>0</v>
      </c>
      <c r="ES252" s="14" t="n">
        <v>0</v>
      </c>
      <c r="ET252" s="14" t="n">
        <v>0</v>
      </c>
      <c r="EU252" s="14" t="n">
        <v>0</v>
      </c>
      <c r="EV252" s="14" t="n">
        <v>0</v>
      </c>
      <c r="EW252" s="14" t="n">
        <v>0</v>
      </c>
      <c r="EX252" s="14" t="n">
        <v>0</v>
      </c>
      <c r="EY252" s="14" t="n">
        <v>0</v>
      </c>
      <c r="EZ252" s="14" t="n">
        <v>0</v>
      </c>
      <c r="FA252" s="14" t="n">
        <v>0</v>
      </c>
      <c r="FB252" s="14" t="n">
        <v>0</v>
      </c>
      <c r="FC252" s="14" t="n">
        <v>0</v>
      </c>
      <c r="FD252" s="14" t="n">
        <v>0</v>
      </c>
      <c r="FE252" s="14" t="n">
        <v>2</v>
      </c>
      <c r="FF252" s="14" t="n">
        <v>0</v>
      </c>
      <c r="FG252" s="15" t="n">
        <v>123</v>
      </c>
      <c r="FH252" s="14" t="n">
        <v>0</v>
      </c>
      <c r="FI252" s="14" t="n">
        <v>0</v>
      </c>
      <c r="FJ252" s="14" t="n">
        <v>0</v>
      </c>
      <c r="FK252" s="14" t="n">
        <v>0</v>
      </c>
      <c r="FL252" s="14" t="n">
        <v>192</v>
      </c>
      <c r="FM252" s="14" t="n">
        <v>0</v>
      </c>
      <c r="FN252" s="14" t="n">
        <v>0</v>
      </c>
      <c r="FO252" s="14" t="n">
        <v>0</v>
      </c>
      <c r="FP252" s="14" t="n">
        <v>0</v>
      </c>
      <c r="FQ252" s="15" t="n">
        <v>192</v>
      </c>
      <c r="FR252" s="14" t="n">
        <v>19575300.12</v>
      </c>
      <c r="FS252" s="14" t="n">
        <v>160000</v>
      </c>
      <c r="FT252" s="14" t="n">
        <v>219000</v>
      </c>
      <c r="FU252" s="14" t="n">
        <v>42000</v>
      </c>
      <c r="FV252" s="15" t="n">
        <v>19996300.12</v>
      </c>
      <c r="FW252" s="14" t="n">
        <v>2750930</v>
      </c>
      <c r="FX252" s="14" t="n">
        <v>0</v>
      </c>
      <c r="FY252" s="14" t="n">
        <v>2103846</v>
      </c>
      <c r="FZ252" s="14" t="n">
        <v>1415788</v>
      </c>
      <c r="GA252" s="15" t="n">
        <v>6270564</v>
      </c>
      <c r="GB252" s="15" t="n">
        <v>26266864.12</v>
      </c>
      <c r="GC252" s="14" t="n">
        <v>12565284.62</v>
      </c>
      <c r="GD252" s="14" t="n">
        <v>223415.04</v>
      </c>
      <c r="GE252" s="14" t="n">
        <v>57871.07</v>
      </c>
      <c r="GF252" s="14" t="n">
        <v>94432.42</v>
      </c>
      <c r="GG252" s="15" t="n">
        <v>12941003.15</v>
      </c>
      <c r="GH252" s="14" t="n">
        <v>2750930</v>
      </c>
      <c r="GI252" s="14" t="n">
        <v>0</v>
      </c>
      <c r="GJ252" s="14" t="n">
        <v>1415788</v>
      </c>
      <c r="GK252" s="14" t="n">
        <v>2103846</v>
      </c>
      <c r="GL252" s="15" t="n">
        <v>6270564</v>
      </c>
      <c r="GM252" s="15" t="n">
        <v>19211567.15</v>
      </c>
      <c r="GN252" s="14" t="n">
        <v>891456.74</v>
      </c>
      <c r="GO252" s="14" t="n">
        <v>1912.8</v>
      </c>
      <c r="GP252" s="14" t="n">
        <v>10180.92</v>
      </c>
      <c r="GQ252" s="14" t="n">
        <v>18549.36</v>
      </c>
      <c r="GR252" s="15" t="n">
        <v>922099.8200000001</v>
      </c>
      <c r="GS252" s="14" t="n">
        <v>1453804</v>
      </c>
      <c r="GT252" s="14" t="n">
        <v>11609</v>
      </c>
      <c r="GU252" s="14" t="n">
        <v>2679</v>
      </c>
      <c r="GV252" s="14" t="n">
        <v>3572</v>
      </c>
      <c r="GW252" s="15" t="n">
        <v>1471664</v>
      </c>
      <c r="GX252" s="15" t="n">
        <v>21605330.97</v>
      </c>
      <c r="GY252" s="14" t="n">
        <v>26778349.49</v>
      </c>
      <c r="GZ252" s="14" t="n">
        <v>434394.91</v>
      </c>
      <c r="HA252" s="15" t="n">
        <v>27212744.4</v>
      </c>
      <c r="HB252" s="15" t="n">
        <v>21605330.97</v>
      </c>
      <c r="HC252" s="16" t="n">
        <v>26778349.49</v>
      </c>
      <c r="HD252" s="15" t="n">
        <v>434394.91</v>
      </c>
      <c r="HE252" s="14" t="n">
        <v>0</v>
      </c>
      <c r="HF252" s="14" t="n">
        <v>0</v>
      </c>
      <c r="HG252" s="14" t="n">
        <v>27</v>
      </c>
      <c r="HH252" s="14" t="n">
        <v>40</v>
      </c>
      <c r="HI252" s="14" t="n">
        <v>0</v>
      </c>
      <c r="HJ252" s="15" t="n">
        <v>0</v>
      </c>
      <c r="HK252" s="16" t="n">
        <v>74.07407407407408</v>
      </c>
      <c r="HL252" s="14" t="n">
        <v>0</v>
      </c>
      <c r="HM252" s="14" t="n">
        <v>0</v>
      </c>
      <c r="HN252" s="17" t="n"/>
    </row>
    <row r="253">
      <c r="A253" s="6" t="inlineStr">
        <is>
          <t>Ngabu</t>
        </is>
      </c>
      <c r="B253" s="6" t="inlineStr">
        <is>
          <t>Nchalo</t>
        </is>
      </c>
      <c r="C253" s="7" t="inlineStr">
        <is>
          <t>FY2025/26</t>
        </is>
      </c>
      <c r="D253" s="7" t="n">
        <v>2026</v>
      </c>
      <c r="E253" s="7" t="n">
        <v>2</v>
      </c>
      <c r="F253" s="7" t="inlineStr">
        <is>
          <t>February</t>
        </is>
      </c>
      <c r="G253" s="7" t="inlineStr">
        <is>
          <t>Q4</t>
        </is>
      </c>
      <c r="H253" s="8" t="n">
        <v>31661</v>
      </c>
      <c r="I253" s="8" t="n">
        <v>15586</v>
      </c>
      <c r="J253" s="8" t="n">
        <v>600</v>
      </c>
      <c r="K253" s="8" t="n">
        <v>275</v>
      </c>
      <c r="L253" s="8" t="n">
        <v>193</v>
      </c>
      <c r="M253" s="9">
        <f>SUM(I253,J253,K253,L253)</f>
        <v/>
      </c>
      <c r="N253" s="8" t="n">
        <v>2980</v>
      </c>
      <c r="O253" s="8" t="n">
        <v>0</v>
      </c>
      <c r="P253" s="8" t="n">
        <v>1447</v>
      </c>
      <c r="Q253" s="8" t="n">
        <v>3161</v>
      </c>
      <c r="R253" s="9">
        <f>SUM(N253,O253,P253,Q253)</f>
        <v/>
      </c>
      <c r="S253" s="9">
        <f>M253+R253</f>
        <v/>
      </c>
      <c r="T253" s="8" t="n">
        <v>7419</v>
      </c>
      <c r="U253" s="10">
        <f>IF(H253=0,"",T253/H253)</f>
        <v/>
      </c>
      <c r="V253" s="8" t="n">
        <v>18</v>
      </c>
      <c r="W253" s="11">
        <f>IF(H253=0,"",V253/H253)</f>
        <v/>
      </c>
      <c r="X253" s="8" t="n">
        <v>0</v>
      </c>
      <c r="Y253" s="11">
        <f>IF(H253=0,"",X253/H253)</f>
        <v/>
      </c>
      <c r="Z253" s="8" t="n">
        <v>0</v>
      </c>
      <c r="AA253" s="11">
        <f>IF(H253=0,"",Z253/H253)</f>
        <v/>
      </c>
      <c r="AB253" s="8" t="n">
        <v>0</v>
      </c>
      <c r="AC253" s="11">
        <f>IF(H253=0,"",AB253/H253)</f>
        <v/>
      </c>
      <c r="AD253" s="8" t="n">
        <v>0</v>
      </c>
      <c r="AE253" s="11">
        <f>IF(H253=0,"",AD253/H253)</f>
        <v/>
      </c>
      <c r="AF253" s="8" t="n">
        <v>0</v>
      </c>
      <c r="AG253" s="11">
        <f>IF(H253=0,"",AF253/H253)</f>
        <v/>
      </c>
      <c r="AH253" s="8" t="n">
        <v>63455.22</v>
      </c>
      <c r="AI253" s="9">
        <f>IF(H253=0,"",AH253/H253)</f>
        <v/>
      </c>
      <c r="AJ253" s="8" t="n">
        <v>7413</v>
      </c>
      <c r="AK253" s="11">
        <f>IF(H253=0,"",AJ253/H253)</f>
        <v/>
      </c>
      <c r="AL253" s="8" t="n">
        <v>1044991.3695</v>
      </c>
      <c r="AM253" s="9">
        <f>IF(H253=0,"",AL253/H253)</f>
        <v/>
      </c>
      <c r="AN253" s="8" t="n">
        <v>0</v>
      </c>
      <c r="AO253" s="8" t="n">
        <v>0</v>
      </c>
      <c r="AP253" s="8" t="n">
        <v>0</v>
      </c>
      <c r="AQ253" s="8" t="n">
        <v>0</v>
      </c>
      <c r="AR253" s="8" t="n">
        <v>0</v>
      </c>
      <c r="AS253" s="8" t="n">
        <v>0</v>
      </c>
      <c r="AT253" s="8" t="n">
        <v>0</v>
      </c>
      <c r="AU253" s="9">
        <f>AH253+AL253+AP253+AQ253+AR253+AS253+AT253</f>
        <v/>
      </c>
      <c r="AV253" s="9">
        <f>IF(H253=0,"",AU253/H253)</f>
        <v/>
      </c>
      <c r="AW253" s="9">
        <f>IF(S253=0,"",AU253/S253)</f>
        <v/>
      </c>
      <c r="AX253" s="8" t="n">
        <v>6</v>
      </c>
      <c r="AY253" s="9">
        <f>IF(H253=0,"",AX253/(H253/1000/12))</f>
        <v/>
      </c>
      <c r="AZ253" s="8" t="n">
        <v>6</v>
      </c>
      <c r="BA253" s="8" t="n">
        <v>25</v>
      </c>
      <c r="BB253" s="8" t="n">
        <v>13</v>
      </c>
      <c r="BC253" s="8" t="n">
        <v>10</v>
      </c>
      <c r="BD253" s="8" t="n">
        <v>6</v>
      </c>
      <c r="BE253" s="9">
        <f>BC253+BD253</f>
        <v/>
      </c>
      <c r="BF253" s="9">
        <f>BA253+BB253-BE253</f>
        <v/>
      </c>
      <c r="BG253" s="8" t="n">
        <v>0</v>
      </c>
      <c r="BH253" s="8" t="n">
        <v>0</v>
      </c>
      <c r="BI253" s="8" t="n">
        <v>0</v>
      </c>
      <c r="BJ253" s="8" t="n">
        <v>0</v>
      </c>
      <c r="BK253" s="9">
        <f>BI253+BJ253</f>
        <v/>
      </c>
      <c r="BL253" s="9">
        <f>BG253+BH253-BK253</f>
        <v/>
      </c>
      <c r="BM253" s="8" t="n">
        <v>2</v>
      </c>
      <c r="BN253" s="8" t="n">
        <v>0</v>
      </c>
      <c r="BO253" s="8" t="n">
        <v>0</v>
      </c>
      <c r="BP253" s="8" t="n">
        <v>0</v>
      </c>
      <c r="BQ253" s="9">
        <f>BO253+BP253</f>
        <v/>
      </c>
      <c r="BR253" s="9">
        <f>BM253+BN253-BQ253</f>
        <v/>
      </c>
      <c r="BS253" s="8" t="n">
        <v>0</v>
      </c>
      <c r="BT253" s="8" t="n">
        <v>0</v>
      </c>
      <c r="BU253" s="8" t="n">
        <v>0</v>
      </c>
      <c r="BV253" s="8" t="n">
        <v>0</v>
      </c>
      <c r="BW253" s="9">
        <f>BU253+BV253</f>
        <v/>
      </c>
      <c r="BX253" s="9">
        <f>BS253+BT253-BW253</f>
        <v/>
      </c>
      <c r="BY253" s="9">
        <f>BA253+BG253+BM253+BS253</f>
        <v/>
      </c>
      <c r="BZ253" s="9">
        <f>BB253+BH253+BN253+BT253</f>
        <v/>
      </c>
      <c r="CA253" s="9">
        <f>BE253+BK253+BQ253+BW253</f>
        <v/>
      </c>
      <c r="CB253" s="9">
        <f>BF253+BL253+BR253+BX253</f>
        <v/>
      </c>
      <c r="CC253" s="8" t="n">
        <v>0</v>
      </c>
      <c r="CD253" s="8" t="n">
        <v>0</v>
      </c>
      <c r="CE253" s="8" t="n">
        <v>0</v>
      </c>
      <c r="CF253" s="8" t="n">
        <v>0</v>
      </c>
      <c r="CG253" s="8" t="n">
        <v>0</v>
      </c>
      <c r="CH253" s="9">
        <f>CD253+CE253+CF253+CG253</f>
        <v/>
      </c>
      <c r="CI253" s="8" t="n">
        <v>2496</v>
      </c>
      <c r="CJ253" s="8" t="n">
        <v>11</v>
      </c>
      <c r="CK253" s="8" t="n">
        <v>10</v>
      </c>
      <c r="CL253" s="8" t="n">
        <v>8</v>
      </c>
      <c r="CM253" s="9">
        <f>CI253+CJ253+CK253+CL253</f>
        <v/>
      </c>
      <c r="CN253" s="8" t="n">
        <v>221</v>
      </c>
      <c r="CO253" s="8" t="n">
        <v>25</v>
      </c>
      <c r="CP253" s="8" t="n">
        <v>42</v>
      </c>
      <c r="CQ253" s="8" t="n">
        <v>1</v>
      </c>
      <c r="CR253" s="9">
        <f>CN253+CO253+CP253+CQ253</f>
        <v/>
      </c>
      <c r="CS253" s="9">
        <f>CM253+CR253</f>
        <v/>
      </c>
      <c r="CT253" s="8" t="n">
        <v>2814</v>
      </c>
      <c r="CU253" s="8" t="n">
        <v>21412.8496976967</v>
      </c>
      <c r="CV253" s="8" t="n">
        <v>16521</v>
      </c>
      <c r="CW253" s="10">
        <f>IF(CU253=0,"",CV253/CU253)</f>
        <v/>
      </c>
      <c r="CX253" s="8" t="n">
        <v>0</v>
      </c>
      <c r="CY253" s="8" t="n"/>
      <c r="CZ253" s="8" t="n"/>
      <c r="DA253" s="8" t="n"/>
      <c r="DB253" s="9">
        <f>CX253+CY253-CZ253-DA253</f>
        <v/>
      </c>
      <c r="DC253" s="8" t="n">
        <v>0</v>
      </c>
      <c r="DD253" s="8" t="n">
        <v>0</v>
      </c>
      <c r="DE253" s="8" t="n">
        <v>0</v>
      </c>
      <c r="DF253" s="8" t="n">
        <v>0</v>
      </c>
      <c r="DG253" s="9">
        <f>DC253+DD253-DE253-DF253</f>
        <v/>
      </c>
      <c r="DH253" s="8" t="n">
        <v>0</v>
      </c>
      <c r="DI253" s="8" t="n">
        <v>0</v>
      </c>
      <c r="DJ253" s="8" t="n">
        <v>0</v>
      </c>
      <c r="DK253" s="8" t="n">
        <v>0</v>
      </c>
      <c r="DL253" s="9">
        <f>DH253+DI253-DJ253-DK253</f>
        <v/>
      </c>
      <c r="DM253" s="8" t="n">
        <v>300</v>
      </c>
      <c r="DN253" s="8" t="n">
        <v>0</v>
      </c>
      <c r="DO253" s="8" t="n">
        <v>0</v>
      </c>
      <c r="DP253" s="8" t="n">
        <v>0</v>
      </c>
      <c r="DQ253" s="9">
        <f>DM253+DN253-DO253-DP253</f>
        <v/>
      </c>
      <c r="DR253" s="9">
        <f>CX253+DC253+DH253+DM253</f>
        <v/>
      </c>
      <c r="DS253" s="9">
        <f>CY253+DD253+DI253+DN253</f>
        <v/>
      </c>
      <c r="DT253" s="9">
        <f>CZ253+DE253+DJ253+DO253</f>
        <v/>
      </c>
      <c r="DU253" s="9">
        <f>DA253+DF253+DK253+DP253</f>
        <v/>
      </c>
      <c r="DV253" s="9">
        <f>DB253+DG253+DL253+DQ253</f>
        <v/>
      </c>
      <c r="DW253" s="8" t="n">
        <v>0</v>
      </c>
      <c r="DX253" s="8" t="n">
        <v>0</v>
      </c>
      <c r="DY253" s="8" t="n">
        <v>0</v>
      </c>
      <c r="DZ253" s="8" t="n">
        <v>0</v>
      </c>
      <c r="EA253" s="8" t="n">
        <v>0</v>
      </c>
      <c r="EB253" s="8" t="n">
        <v>0</v>
      </c>
      <c r="EC253" s="8" t="n">
        <v>0</v>
      </c>
      <c r="ED253" s="8" t="n">
        <v>0</v>
      </c>
      <c r="EE253" s="8" t="n">
        <v>0</v>
      </c>
      <c r="EF253" s="8" t="n">
        <v>0</v>
      </c>
      <c r="EG253" s="8" t="n">
        <v>0</v>
      </c>
      <c r="EH253" s="8" t="n">
        <v>0</v>
      </c>
      <c r="EI253" s="8" t="n">
        <v>0</v>
      </c>
      <c r="EJ253" s="8" t="n">
        <v>0</v>
      </c>
      <c r="EK253" s="8" t="n">
        <v>0</v>
      </c>
      <c r="EL253" s="8" t="n">
        <v>0</v>
      </c>
      <c r="EM253" s="8" t="n">
        <v>0</v>
      </c>
      <c r="EN253" s="8" t="n">
        <v>0</v>
      </c>
      <c r="EO253" s="8" t="n">
        <v>0</v>
      </c>
      <c r="EP253" s="8" t="n">
        <v>0</v>
      </c>
      <c r="EQ253" s="8" t="n">
        <v>0</v>
      </c>
      <c r="ER253" s="8" t="n">
        <v>0</v>
      </c>
      <c r="ES253" s="8" t="n">
        <v>0</v>
      </c>
      <c r="ET253" s="8" t="n">
        <v>0</v>
      </c>
      <c r="EU253" s="8" t="n">
        <v>0</v>
      </c>
      <c r="EV253" s="8" t="n">
        <v>0</v>
      </c>
      <c r="EW253" s="8" t="n">
        <v>0</v>
      </c>
      <c r="EX253" s="8" t="n">
        <v>0</v>
      </c>
      <c r="EY253" s="8" t="n">
        <v>0</v>
      </c>
      <c r="EZ253" s="8" t="n">
        <v>0</v>
      </c>
      <c r="FA253" s="8" t="n">
        <v>0</v>
      </c>
      <c r="FB253" s="8" t="n">
        <v>0</v>
      </c>
      <c r="FC253" s="8" t="n">
        <v>0</v>
      </c>
      <c r="FD253" s="8" t="n">
        <v>0</v>
      </c>
      <c r="FE253" s="8" t="n">
        <v>0</v>
      </c>
      <c r="FF253" s="8" t="n">
        <v>0</v>
      </c>
      <c r="FG253" s="9">
        <f>SUM(DW253,DX253,DY253,DZ253,EA253,EB253,EC253,ED253,EE253,EF253,EG253,EH253,EI253,EJ253,EK253,EL253,EM253,EN253,EO253,EP253,EQ253,ER253,ES253,ET253,EU253,EV253,EW253,EX253,EY253,EZ253,FA253,FB253,FC253,FD253,FE253,FF253)</f>
        <v/>
      </c>
      <c r="FH253" s="8" t="n">
        <v>0</v>
      </c>
      <c r="FI253" s="8" t="n">
        <v>0</v>
      </c>
      <c r="FJ253" s="8" t="n">
        <v>0</v>
      </c>
      <c r="FK253" s="8" t="n">
        <v>0</v>
      </c>
      <c r="FL253" s="8" t="n">
        <v>0</v>
      </c>
      <c r="FM253" s="8" t="n">
        <v>0</v>
      </c>
      <c r="FN253" s="8" t="n">
        <v>0</v>
      </c>
      <c r="FO253" s="8" t="n">
        <v>0</v>
      </c>
      <c r="FP253" s="8" t="n">
        <v>0</v>
      </c>
      <c r="FQ253" s="9">
        <f>FL253+FM253+FN253+FO253+FP253</f>
        <v/>
      </c>
      <c r="FR253" s="8" t="n">
        <v>7103630</v>
      </c>
      <c r="FS253" s="8" t="n">
        <v>32000</v>
      </c>
      <c r="FT253" s="8" t="n">
        <v>74000</v>
      </c>
      <c r="FU253" s="8" t="n">
        <v>0</v>
      </c>
      <c r="FV253" s="9">
        <f>FR253+FS253+FT253+FU253</f>
        <v/>
      </c>
      <c r="FW253" s="8" t="n">
        <v>2979861</v>
      </c>
      <c r="FX253" s="8" t="n">
        <v>0</v>
      </c>
      <c r="FY253" s="8" t="n">
        <v>1684881</v>
      </c>
      <c r="FZ253" s="8" t="n">
        <v>332150</v>
      </c>
      <c r="GA253" s="9">
        <f>FW253+FX253+FY253+FZ253</f>
        <v/>
      </c>
      <c r="GB253" s="9">
        <f>FV253+GA253</f>
        <v/>
      </c>
      <c r="GC253" s="8" t="n">
        <v>12416876</v>
      </c>
      <c r="GD253" s="8" t="n">
        <v>91240.56</v>
      </c>
      <c r="GE253" s="8" t="n">
        <v>63195.39</v>
      </c>
      <c r="GF253" s="8" t="n">
        <v>116358.5</v>
      </c>
      <c r="GG253" s="9">
        <f>GC253+GD253+GE253+GF253</f>
        <v/>
      </c>
      <c r="GH253" s="8" t="n">
        <v>2979861.24</v>
      </c>
      <c r="GI253" s="8" t="n">
        <v>0</v>
      </c>
      <c r="GJ253" s="8" t="n">
        <v>332150</v>
      </c>
      <c r="GK253" s="8" t="n">
        <v>1684881</v>
      </c>
      <c r="GL253" s="9">
        <f>GH253+GI253+GJ253+GK253</f>
        <v/>
      </c>
      <c r="GM253" s="9">
        <f>GG253+GL253</f>
        <v/>
      </c>
      <c r="GN253" s="8" t="n">
        <v>867091.11</v>
      </c>
      <c r="GO253" s="8" t="n">
        <v>112.8</v>
      </c>
      <c r="GP253" s="8" t="n">
        <v>10180.92</v>
      </c>
      <c r="GQ253" s="8" t="n">
        <v>18549.36</v>
      </c>
      <c r="GR253" s="9">
        <f>GN253+GO253+GP253+GQ253</f>
        <v/>
      </c>
      <c r="GS253" s="8" t="n">
        <v>1414512</v>
      </c>
      <c r="GT253" s="8" t="n">
        <v>8930</v>
      </c>
      <c r="GU253" s="8" t="n">
        <v>2679</v>
      </c>
      <c r="GV253" s="8" t="n">
        <v>3572</v>
      </c>
      <c r="GW253" s="9">
        <f>GS253+GT253+GU253+GV253</f>
        <v/>
      </c>
      <c r="GX253" s="9">
        <f>GM253+GR253+GW253</f>
        <v/>
      </c>
      <c r="GY253" s="8" t="n">
        <v>29323339.15</v>
      </c>
      <c r="GZ253" s="8" t="n">
        <v>826665.12</v>
      </c>
      <c r="HA253" s="9">
        <f>GY253+GZ253</f>
        <v/>
      </c>
      <c r="HB253" s="9">
        <f>IF(GX253=0,"",AU253/GX253)</f>
        <v/>
      </c>
      <c r="HC253" s="10">
        <f>IF((GX253+GY253)=0,"",GB253/(GX253+GY253))</f>
        <v/>
      </c>
      <c r="HD253" s="9">
        <f>IF(GX253=0,"",GB253/GX253)</f>
        <v/>
      </c>
      <c r="HE253" s="8" t="n">
        <v>13</v>
      </c>
      <c r="HF253" s="8" t="n">
        <v>0</v>
      </c>
      <c r="HG253" s="8" t="n">
        <v>24</v>
      </c>
      <c r="HH253" s="8" t="n">
        <v>13</v>
      </c>
      <c r="HI253" s="8" t="n">
        <v>0</v>
      </c>
      <c r="HJ253" s="9">
        <f>HF253+HI253</f>
        <v/>
      </c>
      <c r="HK253" s="10">
        <f>IF(HE253=0,"",HH253/HE253)</f>
        <v/>
      </c>
      <c r="HL253" s="8" t="n">
        <v>0</v>
      </c>
      <c r="HM253" s="8" t="n">
        <v>0</v>
      </c>
      <c r="HN253" s="11">
        <f>IF(HL253=0,"",HM253/HL253)</f>
        <v/>
      </c>
    </row>
    <row r="254">
      <c r="A254" s="12" t="inlineStr">
        <is>
          <t>Ngabu</t>
        </is>
      </c>
      <c r="B254" s="12" t="inlineStr">
        <is>
          <t>Nchalo</t>
        </is>
      </c>
      <c r="C254" s="13" t="inlineStr">
        <is>
          <t>FY2025/26</t>
        </is>
      </c>
      <c r="D254" s="13" t="n">
        <v>2026</v>
      </c>
      <c r="E254" s="13" t="n">
        <v>3</v>
      </c>
      <c r="F254" s="13" t="inlineStr">
        <is>
          <t>March</t>
        </is>
      </c>
      <c r="G254" s="13" t="inlineStr">
        <is>
          <t>Q4</t>
        </is>
      </c>
      <c r="H254" s="14" t="n">
        <v>31007</v>
      </c>
      <c r="I254" s="14" t="n">
        <v>14983</v>
      </c>
      <c r="J254" s="14" t="n">
        <v>574</v>
      </c>
      <c r="K254" s="14" t="n">
        <v>312</v>
      </c>
      <c r="L254" s="14" t="n">
        <v>216</v>
      </c>
      <c r="M254" s="15">
        <f>SUM(I254,J254,K254,L254)</f>
        <v/>
      </c>
      <c r="N254" s="14" t="n">
        <v>2641</v>
      </c>
      <c r="O254" s="14" t="n">
        <v>0</v>
      </c>
      <c r="P254" s="14" t="n">
        <v>1230</v>
      </c>
      <c r="Q254" s="14" t="n">
        <v>2845</v>
      </c>
      <c r="R254" s="15">
        <f>SUM(N254,O254,P254,Q254)</f>
        <v/>
      </c>
      <c r="S254" s="15">
        <f>M254+R254</f>
        <v/>
      </c>
      <c r="T254" s="14" t="n">
        <v>8206</v>
      </c>
      <c r="U254" s="16">
        <f>IF(H254=0,"",T254/H254)</f>
        <v/>
      </c>
      <c r="V254" s="14" t="n">
        <v>18</v>
      </c>
      <c r="W254" s="17">
        <f>IF(H254=0,"",V254/H254)</f>
        <v/>
      </c>
      <c r="X254" s="14" t="n">
        <v>0</v>
      </c>
      <c r="Y254" s="17">
        <f>IF(H254=0,"",X254/H254)</f>
        <v/>
      </c>
      <c r="Z254" s="14" t="n">
        <v>0</v>
      </c>
      <c r="AA254" s="17">
        <f>IF(H254=0,"",Z254/H254)</f>
        <v/>
      </c>
      <c r="AB254" s="14" t="n">
        <v>0</v>
      </c>
      <c r="AC254" s="17">
        <f>IF(H254=0,"",AB254/H254)</f>
        <v/>
      </c>
      <c r="AD254" s="14" t="n">
        <v>0</v>
      </c>
      <c r="AE254" s="17">
        <f>IF(H254=0,"",AD254/H254)</f>
        <v/>
      </c>
      <c r="AF254" s="14" t="n">
        <v>0</v>
      </c>
      <c r="AG254" s="17">
        <f>IF(H254=0,"",AF254/H254)</f>
        <v/>
      </c>
      <c r="AH254" s="14" t="n">
        <v>63455.22</v>
      </c>
      <c r="AI254" s="15">
        <f>IF(H254=0,"",AH254/H254)</f>
        <v/>
      </c>
      <c r="AJ254" s="14" t="n">
        <v>7132</v>
      </c>
      <c r="AK254" s="17">
        <f>IF(H254=0,"",AJ254/H254)</f>
        <v/>
      </c>
      <c r="AL254" s="14" t="n">
        <v>16426.5</v>
      </c>
      <c r="AM254" s="15">
        <f>IF(H254=0,"",AL254/H254)</f>
        <v/>
      </c>
      <c r="AN254" s="14" t="n">
        <v>0</v>
      </c>
      <c r="AO254" s="14" t="n">
        <v>0</v>
      </c>
      <c r="AP254" s="14" t="n">
        <v>0</v>
      </c>
      <c r="AQ254" s="14" t="n">
        <v>0</v>
      </c>
      <c r="AR254" s="14" t="n">
        <v>0</v>
      </c>
      <c r="AS254" s="14" t="n">
        <v>0</v>
      </c>
      <c r="AT254" s="14" t="n">
        <v>0</v>
      </c>
      <c r="AU254" s="15">
        <f>AH254+AL254+AP254+AQ254+AR254+AS254+AT254</f>
        <v/>
      </c>
      <c r="AV254" s="15">
        <f>IF(H254=0,"",AU254/H254)</f>
        <v/>
      </c>
      <c r="AW254" s="15">
        <f>IF(S254=0,"",AU254/S254)</f>
        <v/>
      </c>
      <c r="AX254" s="14" t="n">
        <v>6</v>
      </c>
      <c r="AY254" s="15">
        <f>IF(H254=0,"",AX254/(H254/1000/12))</f>
        <v/>
      </c>
      <c r="AZ254" s="14" t="n">
        <v>6</v>
      </c>
      <c r="BA254" s="14" t="n">
        <v>22</v>
      </c>
      <c r="BB254" s="14" t="n">
        <v>20</v>
      </c>
      <c r="BC254" s="14" t="n">
        <v>12</v>
      </c>
      <c r="BD254" s="14" t="n">
        <v>1</v>
      </c>
      <c r="BE254" s="15">
        <f>BC254+BD254</f>
        <v/>
      </c>
      <c r="BF254" s="15">
        <f>BA254+BB254-BE254</f>
        <v/>
      </c>
      <c r="BG254" s="14" t="n">
        <v>0</v>
      </c>
      <c r="BH254" s="14" t="n">
        <v>0</v>
      </c>
      <c r="BI254" s="14" t="n">
        <v>0</v>
      </c>
      <c r="BJ254" s="14" t="n">
        <v>0</v>
      </c>
      <c r="BK254" s="15">
        <f>BI254+BJ254</f>
        <v/>
      </c>
      <c r="BL254" s="15">
        <f>BG254+BH254-BK254</f>
        <v/>
      </c>
      <c r="BM254" s="14" t="n">
        <v>2</v>
      </c>
      <c r="BN254" s="14" t="n">
        <v>0</v>
      </c>
      <c r="BO254" s="14" t="n">
        <v>0</v>
      </c>
      <c r="BP254" s="14" t="n">
        <v>0</v>
      </c>
      <c r="BQ254" s="15">
        <f>BO254+BP254</f>
        <v/>
      </c>
      <c r="BR254" s="15">
        <f>BM254+BN254-BQ254</f>
        <v/>
      </c>
      <c r="BS254" s="14" t="n">
        <v>0</v>
      </c>
      <c r="BT254" s="14" t="n">
        <v>0</v>
      </c>
      <c r="BU254" s="14" t="n">
        <v>0</v>
      </c>
      <c r="BV254" s="14" t="n">
        <v>0</v>
      </c>
      <c r="BW254" s="15">
        <f>BU254+BV254</f>
        <v/>
      </c>
      <c r="BX254" s="15">
        <f>BS254+BT254-BW254</f>
        <v/>
      </c>
      <c r="BY254" s="15">
        <f>BA254+BG254+BM254+BS254</f>
        <v/>
      </c>
      <c r="BZ254" s="15">
        <f>BB254+BH254+BN254+BT254</f>
        <v/>
      </c>
      <c r="CA254" s="15">
        <f>BE254+BK254+BQ254+BW254</f>
        <v/>
      </c>
      <c r="CB254" s="15">
        <f>BF254+BL254+BR254+BX254</f>
        <v/>
      </c>
      <c r="CC254" s="14" t="n">
        <v>0</v>
      </c>
      <c r="CD254" s="14" t="n">
        <v>650</v>
      </c>
      <c r="CE254" s="14" t="n">
        <v>15</v>
      </c>
      <c r="CF254" s="14" t="n">
        <v>30</v>
      </c>
      <c r="CG254" s="14" t="n">
        <v>6</v>
      </c>
      <c r="CH254" s="15">
        <f>CD254+CE254+CF254+CG254</f>
        <v/>
      </c>
      <c r="CI254" s="14" t="n">
        <v>1807</v>
      </c>
      <c r="CJ254" s="14" t="n">
        <v>11</v>
      </c>
      <c r="CK254" s="14" t="n">
        <v>10</v>
      </c>
      <c r="CL254" s="14" t="n">
        <v>8</v>
      </c>
      <c r="CM254" s="15">
        <f>CI254+CJ254+CK254+CL254</f>
        <v/>
      </c>
      <c r="CN254" s="14" t="n">
        <v>221</v>
      </c>
      <c r="CO254" s="14" t="n">
        <v>25</v>
      </c>
      <c r="CP254" s="14" t="n">
        <v>42</v>
      </c>
      <c r="CQ254" s="14" t="n">
        <v>1</v>
      </c>
      <c r="CR254" s="15">
        <f>CN254+CO254+CP254+CQ254</f>
        <v/>
      </c>
      <c r="CS254" s="15">
        <f>CM254+CR254</f>
        <v/>
      </c>
      <c r="CT254" s="14" t="n">
        <v>2826</v>
      </c>
      <c r="CU254" s="14" t="n">
        <v>21455.67539709207</v>
      </c>
      <c r="CV254" s="14" t="n">
        <v>16521</v>
      </c>
      <c r="CW254" s="16">
        <f>IF(CU254=0,"",CV254/CU254)</f>
        <v/>
      </c>
      <c r="CX254" s="14" t="n"/>
      <c r="CY254" s="14" t="n"/>
      <c r="CZ254" s="14" t="n"/>
      <c r="DA254" s="14" t="n"/>
      <c r="DB254" s="15">
        <f>CX254+CY254-CZ254-DA254</f>
        <v/>
      </c>
      <c r="DC254" s="14" t="n">
        <v>0</v>
      </c>
      <c r="DD254" s="14" t="n">
        <v>0</v>
      </c>
      <c r="DE254" s="14" t="n">
        <v>0</v>
      </c>
      <c r="DF254" s="14" t="n">
        <v>0</v>
      </c>
      <c r="DG254" s="15">
        <f>DC254+DD254-DE254-DF254</f>
        <v/>
      </c>
      <c r="DH254" s="14" t="n">
        <v>0</v>
      </c>
      <c r="DI254" s="14" t="n">
        <v>0</v>
      </c>
      <c r="DJ254" s="14" t="n">
        <v>0</v>
      </c>
      <c r="DK254" s="14" t="n">
        <v>0</v>
      </c>
      <c r="DL254" s="15">
        <f>DH254+DI254-DJ254-DK254</f>
        <v/>
      </c>
      <c r="DM254" s="14" t="n">
        <v>300</v>
      </c>
      <c r="DN254" s="14" t="n">
        <v>0</v>
      </c>
      <c r="DO254" s="14" t="n">
        <v>0</v>
      </c>
      <c r="DP254" s="14" t="n">
        <v>0</v>
      </c>
      <c r="DQ254" s="15">
        <f>DM254+DN254-DO254-DP254</f>
        <v/>
      </c>
      <c r="DR254" s="15">
        <f>CX254+DC254+DH254+DM254</f>
        <v/>
      </c>
      <c r="DS254" s="15">
        <f>CY254+DD254+DI254+DN254</f>
        <v/>
      </c>
      <c r="DT254" s="15">
        <f>CZ254+DE254+DJ254+DO254</f>
        <v/>
      </c>
      <c r="DU254" s="15">
        <f>DA254+DF254+DK254+DP254</f>
        <v/>
      </c>
      <c r="DV254" s="15">
        <f>DB254+DG254+DL254+DQ254</f>
        <v/>
      </c>
      <c r="DW254" s="14" t="n">
        <v>35</v>
      </c>
      <c r="DX254" s="14" t="n">
        <v>18</v>
      </c>
      <c r="DY254" s="14" t="n">
        <v>16</v>
      </c>
      <c r="DZ254" s="14" t="n">
        <v>14</v>
      </c>
      <c r="EA254" s="14" t="n">
        <v>7</v>
      </c>
      <c r="EB254" s="14" t="n">
        <v>10</v>
      </c>
      <c r="EC254" s="14" t="n">
        <v>12</v>
      </c>
      <c r="ED254" s="14" t="n">
        <v>4</v>
      </c>
      <c r="EE254" s="14" t="n">
        <v>12</v>
      </c>
      <c r="EF254" s="14" t="n">
        <v>8</v>
      </c>
      <c r="EG254" s="14" t="n">
        <v>0</v>
      </c>
      <c r="EH254" s="14" t="n">
        <v>0</v>
      </c>
      <c r="EI254" s="14" t="n">
        <v>0</v>
      </c>
      <c r="EJ254" s="14" t="n">
        <v>9</v>
      </c>
      <c r="EK254" s="14" t="n">
        <v>8</v>
      </c>
      <c r="EL254" s="14" t="n">
        <v>9</v>
      </c>
      <c r="EM254" s="14" t="n">
        <v>10</v>
      </c>
      <c r="EN254" s="14" t="n">
        <v>7</v>
      </c>
      <c r="EO254" s="14" t="n">
        <v>0</v>
      </c>
      <c r="EP254" s="14" t="n">
        <v>0</v>
      </c>
      <c r="EQ254" s="14" t="n">
        <v>0</v>
      </c>
      <c r="ER254" s="14" t="n">
        <v>0</v>
      </c>
      <c r="ES254" s="14" t="n">
        <v>0</v>
      </c>
      <c r="ET254" s="14" t="n">
        <v>0</v>
      </c>
      <c r="EU254" s="14" t="n">
        <v>0</v>
      </c>
      <c r="EV254" s="14" t="n">
        <v>0</v>
      </c>
      <c r="EW254" s="14" t="n">
        <v>0</v>
      </c>
      <c r="EX254" s="14" t="n">
        <v>0</v>
      </c>
      <c r="EY254" s="14" t="n">
        <v>0</v>
      </c>
      <c r="EZ254" s="14" t="n">
        <v>0</v>
      </c>
      <c r="FA254" s="14" t="n">
        <v>0</v>
      </c>
      <c r="FB254" s="14" t="n">
        <v>0</v>
      </c>
      <c r="FC254" s="14" t="n">
        <v>0</v>
      </c>
      <c r="FD254" s="14" t="n">
        <v>0</v>
      </c>
      <c r="FE254" s="14" t="n">
        <v>6</v>
      </c>
      <c r="FF254" s="14" t="n">
        <v>0</v>
      </c>
      <c r="FG254" s="15">
        <f>SUM(DW254,DX254,DY254,DZ254,EA254,EB254,EC254,ED254,EE254,EF254,EG254,EH254,EI254,EJ254,EK254,EL254,EM254,EN254,EO254,EP254,EQ254,ER254,ES254,ET254,EU254,EV254,EW254,EX254,EY254,EZ254,FA254,FB254,FC254,FD254,FE254,FF254)</f>
        <v/>
      </c>
      <c r="FH254" s="14" t="n">
        <v>0</v>
      </c>
      <c r="FI254" s="14" t="n">
        <v>0</v>
      </c>
      <c r="FJ254" s="14" t="n">
        <v>0</v>
      </c>
      <c r="FK254" s="14" t="n">
        <v>0</v>
      </c>
      <c r="FL254" s="14" t="n">
        <v>0</v>
      </c>
      <c r="FM254" s="14" t="n">
        <v>0</v>
      </c>
      <c r="FN254" s="14" t="n">
        <v>0</v>
      </c>
      <c r="FO254" s="14" t="n">
        <v>0</v>
      </c>
      <c r="FP254" s="14" t="n">
        <v>0</v>
      </c>
      <c r="FQ254" s="15">
        <f>FL254+FM254+FN254+FO254+FP254</f>
        <v/>
      </c>
      <c r="FR254" s="14" t="n">
        <v>12910465</v>
      </c>
      <c r="FS254" s="14" t="n">
        <v>155150</v>
      </c>
      <c r="FT254" s="14" t="n">
        <v>194000</v>
      </c>
      <c r="FU254" s="14" t="n">
        <v>26000</v>
      </c>
      <c r="FV254" s="15">
        <f>FR254+FS254+FT254+FU254</f>
        <v/>
      </c>
      <c r="FW254" s="14" t="n">
        <v>3069705</v>
      </c>
      <c r="FX254" s="14" t="n">
        <v>0</v>
      </c>
      <c r="FY254" s="14" t="n">
        <v>2117651</v>
      </c>
      <c r="FZ254" s="14" t="n">
        <v>300450</v>
      </c>
      <c r="GA254" s="15">
        <f>FW254+FX254+FY254+FZ254</f>
        <v/>
      </c>
      <c r="GB254" s="15">
        <f>FV254+GA254</f>
        <v/>
      </c>
      <c r="GC254" s="14" t="n">
        <v>13413770</v>
      </c>
      <c r="GD254" s="14" t="n">
        <v>92962.08</v>
      </c>
      <c r="GE254" s="14" t="n">
        <v>69211.89</v>
      </c>
      <c r="GF254" s="14" t="n">
        <v>123129.78</v>
      </c>
      <c r="GG254" s="15">
        <f>GC254+GD254+GE254+GF254</f>
        <v/>
      </c>
      <c r="GH254" s="14" t="n">
        <v>3035111.48</v>
      </c>
      <c r="GI254" s="14" t="n">
        <v>0</v>
      </c>
      <c r="GJ254" s="14" t="n">
        <v>300450</v>
      </c>
      <c r="GK254" s="14" t="n">
        <v>2105651</v>
      </c>
      <c r="GL254" s="15">
        <f>GH254+GI254+GJ254+GK254</f>
        <v/>
      </c>
      <c r="GM254" s="15">
        <f>GG254+GL254</f>
        <v/>
      </c>
      <c r="GN254" s="14" t="n">
        <v>867091</v>
      </c>
      <c r="GO254" s="14" t="n">
        <v>1920.8</v>
      </c>
      <c r="GP254" s="14" t="n">
        <v>10180.92</v>
      </c>
      <c r="GQ254" s="14" t="n">
        <v>18549.36</v>
      </c>
      <c r="GR254" s="15">
        <f>GN254+GO254+GP254+GQ254</f>
        <v/>
      </c>
      <c r="GS254" s="14" t="n">
        <v>1414512</v>
      </c>
      <c r="GT254" s="14" t="n">
        <v>8930</v>
      </c>
      <c r="GU254" s="14" t="n">
        <v>2679</v>
      </c>
      <c r="GV254" s="14" t="n">
        <v>3572</v>
      </c>
      <c r="GW254" s="15">
        <f>GS254+GT254+GU254+GV254</f>
        <v/>
      </c>
      <c r="GX254" s="15">
        <f>GM254+GR254+GW254</f>
        <v/>
      </c>
      <c r="GY254" s="14" t="n">
        <v>32615138.42</v>
      </c>
      <c r="GZ254" s="14" t="n">
        <v>496390.49</v>
      </c>
      <c r="HA254" s="15">
        <f>GY254+GZ254</f>
        <v/>
      </c>
      <c r="HB254" s="15">
        <f>IF(GX254=0,"",AU254/GX254)</f>
        <v/>
      </c>
      <c r="HC254" s="16">
        <f>IF((GX254+GY254)=0,"",GB254/(GX254+GY254))</f>
        <v/>
      </c>
      <c r="HD254" s="15">
        <f>IF(GX254=0,"",GB254/GX254)</f>
        <v/>
      </c>
      <c r="HE254" s="14" t="n">
        <v>20</v>
      </c>
      <c r="HF254" s="14" t="n">
        <v>2</v>
      </c>
      <c r="HG254" s="14" t="n">
        <v>31</v>
      </c>
      <c r="HH254" s="14" t="n">
        <v>20</v>
      </c>
      <c r="HI254" s="14" t="n">
        <v>0</v>
      </c>
      <c r="HJ254" s="15">
        <f>HF254+HI254</f>
        <v/>
      </c>
      <c r="HK254" s="16">
        <f>IF(HE254=0,"",HH254/HE254)</f>
        <v/>
      </c>
      <c r="HL254" s="14" t="n">
        <v>0</v>
      </c>
      <c r="HM254" s="14" t="n">
        <v>0</v>
      </c>
      <c r="HN254" s="17">
        <f>IF(HL254=0,"",HM254/HL254)</f>
        <v/>
      </c>
    </row>
    <row r="255">
      <c r="A255" s="6" t="inlineStr">
        <is>
          <t>Ngabu</t>
        </is>
      </c>
      <c r="B255" s="6" t="inlineStr">
        <is>
          <t>Ngabu</t>
        </is>
      </c>
      <c r="C255" s="7" t="inlineStr">
        <is>
          <t>FY2025/26</t>
        </is>
      </c>
      <c r="D255" s="7" t="n">
        <v>2025</v>
      </c>
      <c r="E255" s="7" t="n">
        <v>4</v>
      </c>
      <c r="F255" s="7" t="inlineStr">
        <is>
          <t>April</t>
        </is>
      </c>
      <c r="G255" s="7" t="inlineStr">
        <is>
          <t>Q1</t>
        </is>
      </c>
      <c r="H255" s="8" t="n">
        <v>12800</v>
      </c>
      <c r="I255" s="8" t="n">
        <v>6406</v>
      </c>
      <c r="J255" s="8" t="n">
        <v>620</v>
      </c>
      <c r="K255" s="8" t="n">
        <v>170</v>
      </c>
      <c r="L255" s="8" t="n">
        <v>1</v>
      </c>
      <c r="M255" s="9">
        <f>SUM(I255,J255,K255,L255)</f>
        <v/>
      </c>
      <c r="N255" s="8" t="n">
        <v>1237</v>
      </c>
      <c r="O255" s="8" t="n">
        <v>94</v>
      </c>
      <c r="P255" s="8" t="n">
        <v>961</v>
      </c>
      <c r="Q255" s="8" t="n">
        <v>105</v>
      </c>
      <c r="R255" s="9">
        <f>SUM(N255,O255,P255,Q255)</f>
        <v/>
      </c>
      <c r="S255" s="9">
        <f>M255+R255</f>
        <v/>
      </c>
      <c r="T255" s="8" t="n">
        <v>3206</v>
      </c>
      <c r="U255" s="10">
        <f>IF(H255=0,"",T255/H255)</f>
        <v/>
      </c>
      <c r="V255" s="8" t="n">
        <v>12</v>
      </c>
      <c r="W255" s="11">
        <f>IF(H255=0,"",V255/H255)</f>
        <v/>
      </c>
      <c r="X255" s="8" t="n">
        <v>0</v>
      </c>
      <c r="Y255" s="11">
        <f>IF(H255=0,"",X255/H255)</f>
        <v/>
      </c>
      <c r="Z255" s="8" t="n">
        <v>0</v>
      </c>
      <c r="AA255" s="11">
        <f>IF(H255=0,"",Z255/H255)</f>
        <v/>
      </c>
      <c r="AB255" s="8" t="n">
        <v>0</v>
      </c>
      <c r="AC255" s="11">
        <f>IF(H255=0,"",AB255/H255)</f>
        <v/>
      </c>
      <c r="AD255" s="8" t="n">
        <v>0</v>
      </c>
      <c r="AE255" s="11">
        <f>IF(H255=0,"",AD255/H255)</f>
        <v/>
      </c>
      <c r="AF255" s="8" t="n">
        <v>0</v>
      </c>
      <c r="AG255" s="11">
        <f>IF(H255=0,"",AF255/H255)</f>
        <v/>
      </c>
      <c r="AH255" s="8" t="n">
        <v>42303.48</v>
      </c>
      <c r="AI255" s="9">
        <f>IF(H255=0,"",AH255/H255)</f>
        <v/>
      </c>
      <c r="AJ255" s="8" t="n">
        <v>0</v>
      </c>
      <c r="AK255" s="11">
        <f>IF(H255=0,"",AJ255/H255)</f>
        <v/>
      </c>
      <c r="AL255" s="8" t="n">
        <v>16426.5</v>
      </c>
      <c r="AM255" s="9">
        <f>IF(H255=0,"",AL255/H255)</f>
        <v/>
      </c>
      <c r="AN255" s="8" t="n">
        <v>0</v>
      </c>
      <c r="AO255" s="8" t="n">
        <v>0</v>
      </c>
      <c r="AP255" s="8" t="n">
        <v>0</v>
      </c>
      <c r="AQ255" s="8" t="n">
        <v>0</v>
      </c>
      <c r="AR255" s="8" t="n">
        <v>0</v>
      </c>
      <c r="AS255" s="8" t="n">
        <v>0</v>
      </c>
      <c r="AT255" s="8" t="n">
        <v>0</v>
      </c>
      <c r="AU255" s="9">
        <f>AH255+AL255+AP255+AQ255+AR255+AS255+AT255</f>
        <v/>
      </c>
      <c r="AV255" s="9">
        <f>IF(H255=0,"",AU255/H255)</f>
        <v/>
      </c>
      <c r="AW255" s="9">
        <f>IF(S255=0,"",AU255/S255)</f>
        <v/>
      </c>
      <c r="AX255" s="8" t="n">
        <v>6</v>
      </c>
      <c r="AY255" s="9">
        <f>IF(H255=0,"",AX255/(H255/1000/12))</f>
        <v/>
      </c>
      <c r="AZ255" s="8" t="n">
        <v>6</v>
      </c>
      <c r="BA255" s="8" t="n">
        <v>43</v>
      </c>
      <c r="BB255" s="8" t="n">
        <v>0</v>
      </c>
      <c r="BC255" s="8" t="n">
        <v>6</v>
      </c>
      <c r="BD255" s="8" t="n">
        <v>0</v>
      </c>
      <c r="BE255" s="9">
        <f>BC255+BD255</f>
        <v/>
      </c>
      <c r="BF255" s="9">
        <f>BA255+BB255-BE255</f>
        <v/>
      </c>
      <c r="BG255" s="8" t="n">
        <v>0</v>
      </c>
      <c r="BH255" s="8" t="n">
        <v>0</v>
      </c>
      <c r="BI255" s="8" t="n">
        <v>0</v>
      </c>
      <c r="BJ255" s="8" t="n">
        <v>0</v>
      </c>
      <c r="BK255" s="9">
        <f>BI255+BJ255</f>
        <v/>
      </c>
      <c r="BL255" s="9">
        <f>BG255+BH255-BK255</f>
        <v/>
      </c>
      <c r="BM255" s="8" t="n">
        <v>0</v>
      </c>
      <c r="BN255" s="8" t="n">
        <v>0</v>
      </c>
      <c r="BO255" s="8" t="n">
        <v>0</v>
      </c>
      <c r="BP255" s="8" t="n">
        <v>0</v>
      </c>
      <c r="BQ255" s="9">
        <f>BO255+BP255</f>
        <v/>
      </c>
      <c r="BR255" s="9">
        <f>BM255+BN255-BQ255</f>
        <v/>
      </c>
      <c r="BS255" s="8" t="n">
        <v>0</v>
      </c>
      <c r="BT255" s="8" t="n">
        <v>0</v>
      </c>
      <c r="BU255" s="8" t="n">
        <v>0</v>
      </c>
      <c r="BV255" s="8" t="n">
        <v>0</v>
      </c>
      <c r="BW255" s="9">
        <f>BU255+BV255</f>
        <v/>
      </c>
      <c r="BX255" s="9">
        <f>BS255+BT255-BW255</f>
        <v/>
      </c>
      <c r="BY255" s="9">
        <f>BA255+BG255+BM255+BS255</f>
        <v/>
      </c>
      <c r="BZ255" s="9">
        <f>BB255+BH255+BN255+BT255</f>
        <v/>
      </c>
      <c r="CA255" s="9">
        <f>BE255+BK255+BQ255+BW255</f>
        <v/>
      </c>
      <c r="CB255" s="9">
        <f>BF255+BL255+BR255+BX255</f>
        <v/>
      </c>
      <c r="CC255" s="8" t="n">
        <v>0</v>
      </c>
      <c r="CD255" s="8" t="n">
        <v>630</v>
      </c>
      <c r="CE255" s="8" t="n">
        <v>30</v>
      </c>
      <c r="CF255" s="8" t="n">
        <v>46</v>
      </c>
      <c r="CG255" s="8" t="n">
        <v>22</v>
      </c>
      <c r="CH255" s="9">
        <f>CD255+CE255+CF255+CG255</f>
        <v/>
      </c>
      <c r="CI255" s="8" t="n">
        <v>837</v>
      </c>
      <c r="CJ255" s="8" t="n">
        <v>0</v>
      </c>
      <c r="CK255" s="8" t="n">
        <v>0</v>
      </c>
      <c r="CL255" s="8" t="n">
        <v>10</v>
      </c>
      <c r="CM255" s="9">
        <f>CI255+CJ255+CK255+CL255</f>
        <v/>
      </c>
      <c r="CN255" s="8" t="n">
        <v>201</v>
      </c>
      <c r="CO255" s="8" t="n">
        <v>30</v>
      </c>
      <c r="CP255" s="8" t="n">
        <v>28</v>
      </c>
      <c r="CQ255" s="8" t="n">
        <v>1</v>
      </c>
      <c r="CR255" s="9">
        <f>CN255+CO255+CP255+CQ255</f>
        <v/>
      </c>
      <c r="CS255" s="9">
        <f>CM255+CR255</f>
        <v/>
      </c>
      <c r="CT255" s="8" t="n">
        <v>1835</v>
      </c>
      <c r="CU255" s="8" t="n">
        <v>18325</v>
      </c>
      <c r="CV255" s="8" t="n">
        <v>11567</v>
      </c>
      <c r="CW255" s="10">
        <f>IF(CU255=0,"",CV255/CU255)</f>
        <v/>
      </c>
      <c r="CX255" s="8" t="n">
        <v>0</v>
      </c>
      <c r="CY255" s="8" t="n">
        <v>0</v>
      </c>
      <c r="CZ255" s="8" t="n">
        <v>0</v>
      </c>
      <c r="DA255" s="8" t="n">
        <v>0</v>
      </c>
      <c r="DB255" s="9">
        <f>CX255+CY255-CZ255-DA255</f>
        <v/>
      </c>
      <c r="DC255" s="8" t="n">
        <v>0</v>
      </c>
      <c r="DD255" s="8" t="n">
        <v>0</v>
      </c>
      <c r="DE255" s="8" t="n">
        <v>0</v>
      </c>
      <c r="DF255" s="8" t="n">
        <v>0</v>
      </c>
      <c r="DG255" s="9">
        <f>DC255+DD255-DE255-DF255</f>
        <v/>
      </c>
      <c r="DH255" s="8" t="n">
        <v>0</v>
      </c>
      <c r="DI255" s="8" t="n">
        <v>0</v>
      </c>
      <c r="DJ255" s="8" t="n">
        <v>0</v>
      </c>
      <c r="DK255" s="8" t="n">
        <v>0</v>
      </c>
      <c r="DL255" s="9">
        <f>DH255+DI255-DJ255-DK255</f>
        <v/>
      </c>
      <c r="DM255" s="8" t="n">
        <v>88</v>
      </c>
      <c r="DN255" s="8" t="n">
        <v>0</v>
      </c>
      <c r="DO255" s="8" t="n">
        <v>0</v>
      </c>
      <c r="DP255" s="8" t="n">
        <v>0</v>
      </c>
      <c r="DQ255" s="9">
        <f>DM255+DN255-DO255-DP255</f>
        <v/>
      </c>
      <c r="DR255" s="9">
        <f>CX255+DC255+DH255+DM255</f>
        <v/>
      </c>
      <c r="DS255" s="9">
        <f>CY255+DD255+DI255+DN255</f>
        <v/>
      </c>
      <c r="DT255" s="9">
        <f>CZ255+DE255+DJ255+DO255</f>
        <v/>
      </c>
      <c r="DU255" s="9">
        <f>DA255+DF255+DK255+DP255</f>
        <v/>
      </c>
      <c r="DV255" s="9">
        <f>DB255+DG255+DL255+DQ255</f>
        <v/>
      </c>
      <c r="DW255" s="8" t="n">
        <v>18</v>
      </c>
      <c r="DX255" s="8" t="n">
        <v>5</v>
      </c>
      <c r="DY255" s="8" t="n">
        <v>5</v>
      </c>
      <c r="DZ255" s="8" t="n">
        <v>0</v>
      </c>
      <c r="EA255" s="8" t="n">
        <v>4</v>
      </c>
      <c r="EB255" s="8" t="n">
        <v>2</v>
      </c>
      <c r="EC255" s="8" t="n">
        <v>0</v>
      </c>
      <c r="ED255" s="8" t="n">
        <v>3</v>
      </c>
      <c r="EE255" s="8" t="n">
        <v>0</v>
      </c>
      <c r="EF255" s="8" t="n">
        <v>0</v>
      </c>
      <c r="EG255" s="8" t="n">
        <v>0</v>
      </c>
      <c r="EH255" s="8" t="n">
        <v>0</v>
      </c>
      <c r="EI255" s="8" t="n">
        <v>0</v>
      </c>
      <c r="EJ255" s="8" t="n">
        <v>0</v>
      </c>
      <c r="EK255" s="8" t="n">
        <v>0</v>
      </c>
      <c r="EL255" s="8" t="n">
        <v>0</v>
      </c>
      <c r="EM255" s="8" t="n">
        <v>0</v>
      </c>
      <c r="EN255" s="8" t="n">
        <v>0</v>
      </c>
      <c r="EO255" s="8" t="n">
        <v>0</v>
      </c>
      <c r="EP255" s="8" t="n">
        <v>0</v>
      </c>
      <c r="EQ255" s="8" t="n">
        <v>0</v>
      </c>
      <c r="ER255" s="8" t="n">
        <v>0</v>
      </c>
      <c r="ES255" s="8" t="n">
        <v>0</v>
      </c>
      <c r="ET255" s="8" t="n">
        <v>0</v>
      </c>
      <c r="EU255" s="8" t="n">
        <v>0</v>
      </c>
      <c r="EV255" s="8" t="n">
        <v>0</v>
      </c>
      <c r="EW255" s="8" t="n">
        <v>0</v>
      </c>
      <c r="EX255" s="8" t="n">
        <v>0</v>
      </c>
      <c r="EY255" s="8" t="n">
        <v>0</v>
      </c>
      <c r="EZ255" s="8" t="n">
        <v>0</v>
      </c>
      <c r="FA255" s="8" t="n">
        <v>0</v>
      </c>
      <c r="FB255" s="8" t="n">
        <v>0</v>
      </c>
      <c r="FC255" s="8" t="n">
        <v>0</v>
      </c>
      <c r="FD255" s="8" t="n">
        <v>0</v>
      </c>
      <c r="FE255" s="8" t="n">
        <v>0</v>
      </c>
      <c r="FF255" s="8" t="n">
        <v>0</v>
      </c>
      <c r="FG255" s="9">
        <f>SUM(DW255,DX255,DY255,DZ255,EA255,EB255,EC255,ED255,EE255,EF255,EG255,EH255,EI255,EJ255,EK255,EL255,EM255,EN255,EO255,EP255,EQ255,ER255,ES255,ET255,EU255,EV255,EW255,EX255,EY255,EZ255,FA255,FB255,FC255,FD255,FE255,FF255)</f>
        <v/>
      </c>
      <c r="FH255" s="8" t="n">
        <v>0</v>
      </c>
      <c r="FI255" s="8" t="n">
        <v>0</v>
      </c>
      <c r="FJ255" s="8" t="n">
        <v>0</v>
      </c>
      <c r="FK255" s="8" t="n">
        <v>0</v>
      </c>
      <c r="FL255" s="8" t="n">
        <v>0</v>
      </c>
      <c r="FM255" s="8" t="n">
        <v>0</v>
      </c>
      <c r="FN255" s="8" t="n">
        <v>0</v>
      </c>
      <c r="FO255" s="8" t="n">
        <v>0</v>
      </c>
      <c r="FP255" s="8" t="n">
        <v>0</v>
      </c>
      <c r="FQ255" s="9">
        <f>FL255+FM255+FN255+FO255+FP255</f>
        <v/>
      </c>
      <c r="FR255" s="8" t="n">
        <v>3346170</v>
      </c>
      <c r="FS255" s="8" t="n">
        <v>74250</v>
      </c>
      <c r="FT255" s="8" t="n">
        <v>0</v>
      </c>
      <c r="FU255" s="8" t="n">
        <v>30000</v>
      </c>
      <c r="FV255" s="9">
        <f>FR255+FS255+FT255+FU255</f>
        <v/>
      </c>
      <c r="FW255" s="8" t="n">
        <v>1615996</v>
      </c>
      <c r="FX255" s="8" t="n">
        <v>20000</v>
      </c>
      <c r="FY255" s="8" t="n">
        <v>503557</v>
      </c>
      <c r="FZ255" s="8" t="n">
        <v>3019857</v>
      </c>
      <c r="GA255" s="9">
        <f>FW255+FX255+FY255+FZ255</f>
        <v/>
      </c>
      <c r="GB255" s="9">
        <f>FV255+GA255</f>
        <v/>
      </c>
      <c r="GC255" s="8" t="n">
        <v>5944711.39</v>
      </c>
      <c r="GD255" s="8" t="n">
        <v>118593.6</v>
      </c>
      <c r="GE255" s="8" t="n">
        <v>560925.22</v>
      </c>
      <c r="GF255" s="8" t="n">
        <v>16821.98</v>
      </c>
      <c r="GG255" s="9">
        <f>GC255+GD255+GE255+GF255</f>
        <v/>
      </c>
      <c r="GH255" s="8" t="n">
        <v>1556548.98</v>
      </c>
      <c r="GI255" s="8" t="n">
        <v>20000</v>
      </c>
      <c r="GJ255" s="8" t="n">
        <v>2919215.02</v>
      </c>
      <c r="GK255" s="8" t="n">
        <v>496465.17</v>
      </c>
      <c r="GL255" s="9">
        <f>GH255+GI255+GJ255+GK255</f>
        <v/>
      </c>
      <c r="GM255" s="9">
        <f>GG255+GL255</f>
        <v/>
      </c>
      <c r="GN255" s="8" t="n">
        <v>461533.93</v>
      </c>
      <c r="GO255" s="8" t="n">
        <v>1912.8</v>
      </c>
      <c r="GP255" s="8" t="n">
        <v>13574.56</v>
      </c>
      <c r="GQ255" s="8" t="n">
        <v>9274.68</v>
      </c>
      <c r="GR255" s="9">
        <f>GN255+GO255+GP255+GQ255</f>
        <v/>
      </c>
      <c r="GS255" s="8" t="n">
        <v>767087</v>
      </c>
      <c r="GT255" s="8" t="n">
        <v>8930</v>
      </c>
      <c r="GU255" s="8" t="n">
        <v>3572</v>
      </c>
      <c r="GV255" s="8" t="n">
        <v>1786</v>
      </c>
      <c r="GW255" s="9">
        <f>GS255+GT255+GU255+GV255</f>
        <v/>
      </c>
      <c r="GX255" s="9">
        <f>GM255+GR255+GW255</f>
        <v/>
      </c>
      <c r="GY255" s="8" t="n">
        <v>0</v>
      </c>
      <c r="GZ255" s="8" t="n">
        <v>0</v>
      </c>
      <c r="HA255" s="9">
        <f>GY255+GZ255</f>
        <v/>
      </c>
      <c r="HB255" s="9">
        <f>IF(GX255=0,"",AU255/GX255)</f>
        <v/>
      </c>
      <c r="HC255" s="10">
        <f>IF((GX255+GY255)=0,"",GB255/(GX255+GY255))</f>
        <v/>
      </c>
      <c r="HD255" s="9">
        <f>IF(GX255=0,"",GB255/GX255)</f>
        <v/>
      </c>
      <c r="HE255" s="8" t="n">
        <v>0</v>
      </c>
      <c r="HF255" s="8" t="n">
        <v>0</v>
      </c>
      <c r="HG255" s="8" t="n">
        <v>37</v>
      </c>
      <c r="HH255" s="8" t="n">
        <v>0</v>
      </c>
      <c r="HI255" s="8" t="n">
        <v>0</v>
      </c>
      <c r="HJ255" s="9">
        <f>HF255+HI255</f>
        <v/>
      </c>
      <c r="HK255" s="10">
        <f>IF(HE255=0,"",HH255/HE255)</f>
        <v/>
      </c>
      <c r="HL255" s="8" t="n">
        <v>0</v>
      </c>
      <c r="HM255" s="8" t="n">
        <v>0</v>
      </c>
      <c r="HN255" s="11">
        <f>IF(HL255=0,"",HM255/HL255)</f>
        <v/>
      </c>
    </row>
    <row r="256">
      <c r="A256" s="12" t="inlineStr">
        <is>
          <t>Ngabu</t>
        </is>
      </c>
      <c r="B256" s="12" t="inlineStr">
        <is>
          <t>Ngabu</t>
        </is>
      </c>
      <c r="C256" s="13" t="inlineStr">
        <is>
          <t>FY2025/26</t>
        </is>
      </c>
      <c r="D256" s="13" t="n">
        <v>2025</v>
      </c>
      <c r="E256" s="13" t="n">
        <v>5</v>
      </c>
      <c r="F256" s="13" t="inlineStr">
        <is>
          <t>May</t>
        </is>
      </c>
      <c r="G256" s="13" t="inlineStr">
        <is>
          <t>Q1</t>
        </is>
      </c>
      <c r="H256" s="14" t="n">
        <v>10000</v>
      </c>
      <c r="I256" s="14" t="n">
        <v>5547</v>
      </c>
      <c r="J256" s="14" t="n">
        <v>624</v>
      </c>
      <c r="K256" s="14" t="n">
        <v>93</v>
      </c>
      <c r="L256" s="14" t="n">
        <v>1</v>
      </c>
      <c r="M256" s="15">
        <f>SUM(I256,J256,K256,L256)</f>
        <v/>
      </c>
      <c r="N256" s="14" t="n">
        <v>1218</v>
      </c>
      <c r="O256" s="14" t="n">
        <v>32</v>
      </c>
      <c r="P256" s="14" t="n">
        <v>286</v>
      </c>
      <c r="Q256" s="14" t="n">
        <v>93</v>
      </c>
      <c r="R256" s="15">
        <f>SUM(N256,O256,P256,Q256)</f>
        <v/>
      </c>
      <c r="S256" s="15">
        <f>M256+R256</f>
        <v/>
      </c>
      <c r="T256" s="14" t="n">
        <v>2106</v>
      </c>
      <c r="U256" s="16">
        <f>IF(H256=0,"",T256/H256)</f>
        <v/>
      </c>
      <c r="V256" s="14" t="n">
        <v>12</v>
      </c>
      <c r="W256" s="17">
        <f>IF(H256=0,"",V256/H256)</f>
        <v/>
      </c>
      <c r="X256" s="14" t="n">
        <v>0</v>
      </c>
      <c r="Y256" s="17">
        <f>IF(H256=0,"",X256/H256)</f>
        <v/>
      </c>
      <c r="Z256" s="14" t="n">
        <v>0</v>
      </c>
      <c r="AA256" s="17">
        <f>IF(H256=0,"",Z256/H256)</f>
        <v/>
      </c>
      <c r="AB256" s="14" t="n">
        <v>0</v>
      </c>
      <c r="AC256" s="17">
        <f>IF(H256=0,"",AB256/H256)</f>
        <v/>
      </c>
      <c r="AD256" s="14" t="n">
        <v>0</v>
      </c>
      <c r="AE256" s="17">
        <f>IF(H256=0,"",AD256/H256)</f>
        <v/>
      </c>
      <c r="AF256" s="14" t="n">
        <v>0</v>
      </c>
      <c r="AG256" s="17">
        <f>IF(H256=0,"",AF256/H256)</f>
        <v/>
      </c>
      <c r="AH256" s="14" t="n">
        <v>42303.48</v>
      </c>
      <c r="AI256" s="15">
        <f>IF(H256=0,"",AH256/H256)</f>
        <v/>
      </c>
      <c r="AJ256" s="14" t="n">
        <v>0</v>
      </c>
      <c r="AK256" s="17">
        <f>IF(H256=0,"",AJ256/H256)</f>
        <v/>
      </c>
      <c r="AL256" s="14" t="n">
        <v>16426.5</v>
      </c>
      <c r="AM256" s="15">
        <f>IF(H256=0,"",AL256/H256)</f>
        <v/>
      </c>
      <c r="AN256" s="14" t="n">
        <v>0</v>
      </c>
      <c r="AO256" s="14" t="n">
        <v>0</v>
      </c>
      <c r="AP256" s="14" t="n">
        <v>0</v>
      </c>
      <c r="AQ256" s="14" t="n">
        <v>0</v>
      </c>
      <c r="AR256" s="14" t="n">
        <v>0</v>
      </c>
      <c r="AS256" s="14" t="n">
        <v>0</v>
      </c>
      <c r="AT256" s="14" t="n">
        <v>0</v>
      </c>
      <c r="AU256" s="15">
        <f>AH256+AL256+AP256+AQ256+AR256+AS256+AT256</f>
        <v/>
      </c>
      <c r="AV256" s="15">
        <f>IF(H256=0,"",AU256/H256)</f>
        <v/>
      </c>
      <c r="AW256" s="15">
        <f>IF(S256=0,"",AU256/S256)</f>
        <v/>
      </c>
      <c r="AX256" s="14" t="n">
        <v>6</v>
      </c>
      <c r="AY256" s="15">
        <f>IF(H256=0,"",AX256/(H256/1000/12))</f>
        <v/>
      </c>
      <c r="AZ256" s="14" t="n">
        <v>6</v>
      </c>
      <c r="BA256" s="14" t="n">
        <v>37</v>
      </c>
      <c r="BB256" s="14" t="n">
        <v>0</v>
      </c>
      <c r="BC256" s="14" t="n">
        <v>0</v>
      </c>
      <c r="BD256" s="14" t="n">
        <v>0</v>
      </c>
      <c r="BE256" s="15">
        <f>BC256+BD256</f>
        <v/>
      </c>
      <c r="BF256" s="15">
        <f>BA256+BB256-BE256</f>
        <v/>
      </c>
      <c r="BG256" s="14" t="n">
        <v>0</v>
      </c>
      <c r="BH256" s="14" t="n">
        <v>0</v>
      </c>
      <c r="BI256" s="14" t="n">
        <v>0</v>
      </c>
      <c r="BJ256" s="14" t="n">
        <v>0</v>
      </c>
      <c r="BK256" s="15">
        <f>BI256+BJ256</f>
        <v/>
      </c>
      <c r="BL256" s="15">
        <f>BG256+BH256-BK256</f>
        <v/>
      </c>
      <c r="BM256" s="14" t="n">
        <v>0</v>
      </c>
      <c r="BN256" s="14" t="n">
        <v>0</v>
      </c>
      <c r="BO256" s="14" t="n">
        <v>0</v>
      </c>
      <c r="BP256" s="14" t="n">
        <v>0</v>
      </c>
      <c r="BQ256" s="15">
        <f>BO256+BP256</f>
        <v/>
      </c>
      <c r="BR256" s="15">
        <f>BM256+BN256-BQ256</f>
        <v/>
      </c>
      <c r="BS256" s="14" t="n">
        <v>0</v>
      </c>
      <c r="BT256" s="14" t="n">
        <v>0</v>
      </c>
      <c r="BU256" s="14" t="n">
        <v>0</v>
      </c>
      <c r="BV256" s="14" t="n">
        <v>0</v>
      </c>
      <c r="BW256" s="15">
        <f>BU256+BV256</f>
        <v/>
      </c>
      <c r="BX256" s="15">
        <f>BS256+BT256-BW256</f>
        <v/>
      </c>
      <c r="BY256" s="15">
        <f>BA256+BG256+BM256+BS256</f>
        <v/>
      </c>
      <c r="BZ256" s="15">
        <f>BB256+BH256+BN256+BT256</f>
        <v/>
      </c>
      <c r="CA256" s="15">
        <f>BE256+BK256+BQ256+BW256</f>
        <v/>
      </c>
      <c r="CB256" s="15">
        <f>BF256+BL256+BR256+BX256</f>
        <v/>
      </c>
      <c r="CC256" s="14" t="n">
        <v>0</v>
      </c>
      <c r="CD256" s="14" t="n">
        <v>670</v>
      </c>
      <c r="CE256" s="14" t="n">
        <v>32</v>
      </c>
      <c r="CF256" s="14" t="n">
        <v>46</v>
      </c>
      <c r="CG256" s="14" t="n">
        <v>22</v>
      </c>
      <c r="CH256" s="15">
        <f>CD256+CE256+CF256+CG256</f>
        <v/>
      </c>
      <c r="CI256" s="14" t="n">
        <v>795</v>
      </c>
      <c r="CJ256" s="14" t="n">
        <v>0</v>
      </c>
      <c r="CK256" s="14" t="n">
        <v>0</v>
      </c>
      <c r="CL256" s="14" t="n">
        <v>10</v>
      </c>
      <c r="CM256" s="15">
        <f>CI256+CJ256+CK256+CL256</f>
        <v/>
      </c>
      <c r="CN256" s="14" t="n">
        <v>201</v>
      </c>
      <c r="CO256" s="14" t="n">
        <v>30</v>
      </c>
      <c r="CP256" s="14" t="n">
        <v>28</v>
      </c>
      <c r="CQ256" s="14" t="n">
        <v>1</v>
      </c>
      <c r="CR256" s="15">
        <f>CN256+CO256+CP256+CQ256</f>
        <v/>
      </c>
      <c r="CS256" s="15">
        <f>CM256+CR256</f>
        <v/>
      </c>
      <c r="CT256" s="14" t="n">
        <v>1835</v>
      </c>
      <c r="CU256" s="14" t="n">
        <v>18361.65</v>
      </c>
      <c r="CV256" s="14" t="n">
        <v>11567</v>
      </c>
      <c r="CW256" s="16">
        <f>IF(CU256=0,"",CV256/CU256)</f>
        <v/>
      </c>
      <c r="CX256" s="14" t="n">
        <v>0</v>
      </c>
      <c r="CY256" s="14" t="n"/>
      <c r="CZ256" s="14" t="n"/>
      <c r="DA256" s="14" t="n"/>
      <c r="DB256" s="15">
        <f>CX256+CY256-CZ256-DA256</f>
        <v/>
      </c>
      <c r="DC256" s="14" t="n">
        <v>0</v>
      </c>
      <c r="DD256" s="14" t="n">
        <v>0</v>
      </c>
      <c r="DE256" s="14" t="n">
        <v>0</v>
      </c>
      <c r="DF256" s="14" t="n">
        <v>0</v>
      </c>
      <c r="DG256" s="15">
        <f>DC256+DD256-DE256-DF256</f>
        <v/>
      </c>
      <c r="DH256" s="14" t="n">
        <v>0</v>
      </c>
      <c r="DI256" s="14" t="n">
        <v>0</v>
      </c>
      <c r="DJ256" s="14" t="n">
        <v>0</v>
      </c>
      <c r="DK256" s="14" t="n">
        <v>0</v>
      </c>
      <c r="DL256" s="15">
        <f>DH256+DI256-DJ256-DK256</f>
        <v/>
      </c>
      <c r="DM256" s="14" t="n">
        <v>88</v>
      </c>
      <c r="DN256" s="14" t="n">
        <v>0</v>
      </c>
      <c r="DO256" s="14" t="n">
        <v>0</v>
      </c>
      <c r="DP256" s="14" t="n">
        <v>0</v>
      </c>
      <c r="DQ256" s="15">
        <f>DM256+DN256-DO256-DP256</f>
        <v/>
      </c>
      <c r="DR256" s="15">
        <f>CX256+DC256+DH256+DM256</f>
        <v/>
      </c>
      <c r="DS256" s="15">
        <f>CY256+DD256+DI256+DN256</f>
        <v/>
      </c>
      <c r="DT256" s="15">
        <f>CZ256+DE256+DJ256+DO256</f>
        <v/>
      </c>
      <c r="DU256" s="15">
        <f>DA256+DF256+DK256+DP256</f>
        <v/>
      </c>
      <c r="DV256" s="15">
        <f>DB256+DG256+DL256+DQ256</f>
        <v/>
      </c>
      <c r="DW256" s="14" t="n">
        <v>12</v>
      </c>
      <c r="DX256" s="14" t="n">
        <v>4</v>
      </c>
      <c r="DY256" s="14" t="n">
        <v>2</v>
      </c>
      <c r="DZ256" s="14" t="n">
        <v>0</v>
      </c>
      <c r="EA256" s="14" t="n">
        <v>3</v>
      </c>
      <c r="EB256" s="14" t="n">
        <v>4</v>
      </c>
      <c r="EC256" s="14" t="n">
        <v>0</v>
      </c>
      <c r="ED256" s="14" t="n">
        <v>2</v>
      </c>
      <c r="EE256" s="14" t="n">
        <v>0</v>
      </c>
      <c r="EF256" s="14" t="n">
        <v>0</v>
      </c>
      <c r="EG256" s="14" t="n">
        <v>0</v>
      </c>
      <c r="EH256" s="14" t="n">
        <v>0</v>
      </c>
      <c r="EI256" s="14" t="n">
        <v>0</v>
      </c>
      <c r="EJ256" s="14" t="n">
        <v>0</v>
      </c>
      <c r="EK256" s="14" t="n">
        <v>0</v>
      </c>
      <c r="EL256" s="14" t="n">
        <v>0</v>
      </c>
      <c r="EM256" s="14" t="n">
        <v>0</v>
      </c>
      <c r="EN256" s="14" t="n">
        <v>0</v>
      </c>
      <c r="EO256" s="14" t="n">
        <v>0</v>
      </c>
      <c r="EP256" s="14" t="n">
        <v>0</v>
      </c>
      <c r="EQ256" s="14" t="n">
        <v>0</v>
      </c>
      <c r="ER256" s="14" t="n">
        <v>0</v>
      </c>
      <c r="ES256" s="14" t="n">
        <v>0</v>
      </c>
      <c r="ET256" s="14" t="n">
        <v>0</v>
      </c>
      <c r="EU256" s="14" t="n">
        <v>0</v>
      </c>
      <c r="EV256" s="14" t="n">
        <v>0</v>
      </c>
      <c r="EW256" s="14" t="n">
        <v>0</v>
      </c>
      <c r="EX256" s="14" t="n">
        <v>0</v>
      </c>
      <c r="EY256" s="14" t="n">
        <v>0</v>
      </c>
      <c r="EZ256" s="14" t="n">
        <v>0</v>
      </c>
      <c r="FA256" s="14" t="n">
        <v>0</v>
      </c>
      <c r="FB256" s="14" t="n">
        <v>0</v>
      </c>
      <c r="FC256" s="14" t="n">
        <v>0</v>
      </c>
      <c r="FD256" s="14" t="n">
        <v>0</v>
      </c>
      <c r="FE256" s="14" t="n">
        <v>0</v>
      </c>
      <c r="FF256" s="14" t="n">
        <v>0</v>
      </c>
      <c r="FG256" s="15">
        <f>SUM(DW256,DX256,DY256,DZ256,EA256,EB256,EC256,ED256,EE256,EF256,EG256,EH256,EI256,EJ256,EK256,EL256,EM256,EN256,EO256,EP256,EQ256,ER256,ES256,ET256,EU256,EV256,EW256,EX256,EY256,EZ256,FA256,FB256,FC256,FD256,FE256,FF256)</f>
        <v/>
      </c>
      <c r="FH256" s="14" t="n">
        <v>0</v>
      </c>
      <c r="FI256" s="14" t="n">
        <v>0</v>
      </c>
      <c r="FJ256" s="14" t="n">
        <v>0</v>
      </c>
      <c r="FK256" s="14" t="n">
        <v>0</v>
      </c>
      <c r="FL256" s="14" t="n">
        <v>0</v>
      </c>
      <c r="FM256" s="14" t="n">
        <v>0</v>
      </c>
      <c r="FN256" s="14" t="n">
        <v>0</v>
      </c>
      <c r="FO256" s="14" t="n">
        <v>0</v>
      </c>
      <c r="FP256" s="14" t="n">
        <v>0</v>
      </c>
      <c r="FQ256" s="15">
        <f>FL256+FM256+FN256+FO256+FP256</f>
        <v/>
      </c>
      <c r="FR256" s="14" t="n">
        <v>4508834</v>
      </c>
      <c r="FS256" s="14" t="n">
        <v>73550</v>
      </c>
      <c r="FT256" s="14" t="n">
        <v>14000</v>
      </c>
      <c r="FU256" s="14" t="n">
        <v>68055</v>
      </c>
      <c r="FV256" s="15">
        <f>FR256+FS256+FT256+FU256</f>
        <v/>
      </c>
      <c r="FW256" s="14" t="n">
        <v>1744871</v>
      </c>
      <c r="FX256" s="14" t="n">
        <v>28000</v>
      </c>
      <c r="FY256" s="14" t="n">
        <v>1401900</v>
      </c>
      <c r="FZ256" s="14" t="n">
        <v>255750</v>
      </c>
      <c r="GA256" s="15">
        <f>FW256+FX256+FY256+FZ256</f>
        <v/>
      </c>
      <c r="GB256" s="15">
        <f>FV256+GA256</f>
        <v/>
      </c>
      <c r="GC256" s="14" t="n">
        <v>5205416.6</v>
      </c>
      <c r="GD256" s="14" t="n">
        <v>119358.72</v>
      </c>
      <c r="GE256" s="14" t="n">
        <v>312942.7</v>
      </c>
      <c r="GF256" s="14" t="n">
        <v>16821.98</v>
      </c>
      <c r="GG256" s="15">
        <f>GC256+GD256+GE256+GF256</f>
        <v/>
      </c>
      <c r="GH256" s="14" t="n">
        <v>1708511</v>
      </c>
      <c r="GI256" s="14" t="n">
        <v>28000</v>
      </c>
      <c r="GJ256" s="14" t="n">
        <v>243399.68</v>
      </c>
      <c r="GK256" s="14" t="n">
        <v>1401900</v>
      </c>
      <c r="GL256" s="15">
        <f>GH256+GI256+GJ256+GK256</f>
        <v/>
      </c>
      <c r="GM256" s="15">
        <f>GG256+GL256</f>
        <v/>
      </c>
      <c r="GN256" s="14" t="n">
        <v>462684.8</v>
      </c>
      <c r="GO256" s="14" t="n">
        <v>1721.52</v>
      </c>
      <c r="GP256" s="14" t="n">
        <v>13574.56</v>
      </c>
      <c r="GQ256" s="14" t="n">
        <v>9274.68</v>
      </c>
      <c r="GR256" s="15">
        <f>GN256+GO256+GP256+GQ256</f>
        <v/>
      </c>
      <c r="GS256" s="14" t="n">
        <v>768873</v>
      </c>
      <c r="GT256" s="14" t="n">
        <v>8037</v>
      </c>
      <c r="GU256" s="14" t="n">
        <v>3572</v>
      </c>
      <c r="GV256" s="14" t="n">
        <v>1786</v>
      </c>
      <c r="GW256" s="15">
        <f>GS256+GT256+GU256+GV256</f>
        <v/>
      </c>
      <c r="GX256" s="15">
        <f>GM256+GR256+GW256</f>
        <v/>
      </c>
      <c r="GY256" s="14" t="n">
        <v>40366543.2</v>
      </c>
      <c r="GZ256" s="14" t="n">
        <v>1112733.08</v>
      </c>
      <c r="HA256" s="15">
        <f>GY256+GZ256</f>
        <v/>
      </c>
      <c r="HB256" s="15">
        <f>IF(GX256=0,"",AU256/GX256)</f>
        <v/>
      </c>
      <c r="HC256" s="16">
        <f>IF((GX256+GY256)=0,"",GB256/(GX256+GY256))</f>
        <v/>
      </c>
      <c r="HD256" s="15">
        <f>IF(GX256=0,"",GB256/GX256)</f>
        <v/>
      </c>
      <c r="HE256" s="14" t="n">
        <v>0</v>
      </c>
      <c r="HF256" s="14" t="n">
        <v>0</v>
      </c>
      <c r="HG256" s="14" t="n">
        <v>37</v>
      </c>
      <c r="HH256" s="14" t="n">
        <v>0</v>
      </c>
      <c r="HI256" s="14" t="n">
        <v>0</v>
      </c>
      <c r="HJ256" s="15">
        <f>HF256+HI256</f>
        <v/>
      </c>
      <c r="HK256" s="16">
        <f>IF(HE256=0,"",HH256/HE256)</f>
        <v/>
      </c>
      <c r="HL256" s="14" t="n">
        <v>0</v>
      </c>
      <c r="HM256" s="14" t="n">
        <v>0</v>
      </c>
      <c r="HN256" s="17">
        <f>IF(HL256=0,"",HM256/HL256)</f>
        <v/>
      </c>
    </row>
    <row r="257">
      <c r="A257" s="6" t="inlineStr">
        <is>
          <t>Ngabu</t>
        </is>
      </c>
      <c r="B257" s="6" t="inlineStr">
        <is>
          <t>Ngabu</t>
        </is>
      </c>
      <c r="C257" s="7" t="inlineStr">
        <is>
          <t>FY2025/26</t>
        </is>
      </c>
      <c r="D257" s="7" t="n">
        <v>2025</v>
      </c>
      <c r="E257" s="7" t="n">
        <v>6</v>
      </c>
      <c r="F257" s="7" t="inlineStr">
        <is>
          <t>June</t>
        </is>
      </c>
      <c r="G257" s="7" t="inlineStr">
        <is>
          <t>Q1</t>
        </is>
      </c>
      <c r="H257" s="8" t="n">
        <v>8500</v>
      </c>
      <c r="I257" s="8" t="n">
        <v>4420</v>
      </c>
      <c r="J257" s="8" t="n">
        <v>470</v>
      </c>
      <c r="K257" s="8" t="n">
        <v>95</v>
      </c>
      <c r="L257" s="8" t="n">
        <v>1</v>
      </c>
      <c r="M257" s="9">
        <f>SUM(I257,J257,K257,L257)</f>
        <v/>
      </c>
      <c r="N257" s="8" t="n">
        <v>1214</v>
      </c>
      <c r="O257" s="8" t="n">
        <v>24</v>
      </c>
      <c r="P257" s="8" t="n">
        <v>211</v>
      </c>
      <c r="Q257" s="8" t="n">
        <v>71</v>
      </c>
      <c r="R257" s="9">
        <f>SUM(N257,O257,P257,Q257)</f>
        <v/>
      </c>
      <c r="S257" s="9">
        <f>M257+R257</f>
        <v/>
      </c>
      <c r="T257" s="8" t="n">
        <v>1994</v>
      </c>
      <c r="U257" s="10">
        <f>IF(H257=0,"",T257/H257)</f>
        <v/>
      </c>
      <c r="V257" s="8" t="n">
        <v>12</v>
      </c>
      <c r="W257" s="11">
        <f>IF(H257=0,"",V257/H257)</f>
        <v/>
      </c>
      <c r="X257" s="8" t="n">
        <v>0</v>
      </c>
      <c r="Y257" s="11">
        <f>IF(H257=0,"",X257/H257)</f>
        <v/>
      </c>
      <c r="Z257" s="8" t="n">
        <v>0</v>
      </c>
      <c r="AA257" s="11">
        <f>IF(H257=0,"",Z257/H257)</f>
        <v/>
      </c>
      <c r="AB257" s="8" t="n">
        <v>0</v>
      </c>
      <c r="AC257" s="11">
        <f>IF(H257=0,"",AB257/H257)</f>
        <v/>
      </c>
      <c r="AD257" s="8" t="n">
        <v>0</v>
      </c>
      <c r="AE257" s="11">
        <f>IF(H257=0,"",AD257/H257)</f>
        <v/>
      </c>
      <c r="AF257" s="8" t="n">
        <v>0</v>
      </c>
      <c r="AG257" s="11">
        <f>IF(H257=0,"",AF257/H257)</f>
        <v/>
      </c>
      <c r="AH257" s="8" t="n">
        <v>42303.48</v>
      </c>
      <c r="AI257" s="9">
        <f>IF(H257=0,"",AH257/H257)</f>
        <v/>
      </c>
      <c r="AJ257" s="8" t="n">
        <v>0</v>
      </c>
      <c r="AK257" s="11">
        <f>IF(H257=0,"",AJ257/H257)</f>
        <v/>
      </c>
      <c r="AL257" s="8" t="n">
        <v>16426.5</v>
      </c>
      <c r="AM257" s="9">
        <f>IF(H257=0,"",AL257/H257)</f>
        <v/>
      </c>
      <c r="AN257" s="8" t="n">
        <v>0</v>
      </c>
      <c r="AO257" s="8" t="n">
        <v>0</v>
      </c>
      <c r="AP257" s="8" t="n">
        <v>0</v>
      </c>
      <c r="AQ257" s="8" t="n">
        <v>0</v>
      </c>
      <c r="AR257" s="8" t="n">
        <v>0</v>
      </c>
      <c r="AS257" s="8" t="n">
        <v>0</v>
      </c>
      <c r="AT257" s="8" t="n">
        <v>0</v>
      </c>
      <c r="AU257" s="9">
        <f>AH257+AL257+AP257+AQ257+AR257+AS257+AT257</f>
        <v/>
      </c>
      <c r="AV257" s="9">
        <f>IF(H257=0,"",AU257/H257)</f>
        <v/>
      </c>
      <c r="AW257" s="9">
        <f>IF(S257=0,"",AU257/S257)</f>
        <v/>
      </c>
      <c r="AX257" s="8" t="n">
        <v>6</v>
      </c>
      <c r="AY257" s="9">
        <f>IF(H257=0,"",AX257/(H257/1000/12))</f>
        <v/>
      </c>
      <c r="AZ257" s="8" t="n">
        <v>6</v>
      </c>
      <c r="BA257" s="8" t="n">
        <v>37</v>
      </c>
      <c r="BB257" s="8" t="n">
        <v>0</v>
      </c>
      <c r="BC257" s="8" t="n">
        <v>0</v>
      </c>
      <c r="BD257" s="8" t="n">
        <v>0</v>
      </c>
      <c r="BE257" s="9">
        <f>BC257+BD257</f>
        <v/>
      </c>
      <c r="BF257" s="9">
        <f>BA257+BB257-BE257</f>
        <v/>
      </c>
      <c r="BG257" s="8" t="n">
        <v>0</v>
      </c>
      <c r="BH257" s="8" t="n">
        <v>0</v>
      </c>
      <c r="BI257" s="8" t="n">
        <v>0</v>
      </c>
      <c r="BJ257" s="8" t="n">
        <v>0</v>
      </c>
      <c r="BK257" s="9">
        <f>BI257+BJ257</f>
        <v/>
      </c>
      <c r="BL257" s="9">
        <f>BG257+BH257-BK257</f>
        <v/>
      </c>
      <c r="BM257" s="8" t="n">
        <v>0</v>
      </c>
      <c r="BN257" s="8" t="n">
        <v>0</v>
      </c>
      <c r="BO257" s="8" t="n">
        <v>0</v>
      </c>
      <c r="BP257" s="8" t="n">
        <v>0</v>
      </c>
      <c r="BQ257" s="9">
        <f>BO257+BP257</f>
        <v/>
      </c>
      <c r="BR257" s="9">
        <f>BM257+BN257-BQ257</f>
        <v/>
      </c>
      <c r="BS257" s="8" t="n">
        <v>0</v>
      </c>
      <c r="BT257" s="8" t="n">
        <v>0</v>
      </c>
      <c r="BU257" s="8" t="n">
        <v>0</v>
      </c>
      <c r="BV257" s="8" t="n">
        <v>0</v>
      </c>
      <c r="BW257" s="9">
        <f>BU257+BV257</f>
        <v/>
      </c>
      <c r="BX257" s="9">
        <f>BS257+BT257-BW257</f>
        <v/>
      </c>
      <c r="BY257" s="9">
        <f>BA257+BG257+BM257+BS257</f>
        <v/>
      </c>
      <c r="BZ257" s="9">
        <f>BB257+BH257+BN257+BT257</f>
        <v/>
      </c>
      <c r="CA257" s="9">
        <f>BE257+BK257+BQ257+BW257</f>
        <v/>
      </c>
      <c r="CB257" s="9">
        <f>BF257+BL257+BR257+BX257</f>
        <v/>
      </c>
      <c r="CC257" s="8" t="n">
        <v>0</v>
      </c>
      <c r="CD257" s="8" t="n">
        <v>665</v>
      </c>
      <c r="CE257" s="8" t="n">
        <v>30</v>
      </c>
      <c r="CF257" s="8" t="n">
        <v>48</v>
      </c>
      <c r="CG257" s="8" t="n">
        <v>20</v>
      </c>
      <c r="CH257" s="9">
        <f>CD257+CE257+CF257+CG257</f>
        <v/>
      </c>
      <c r="CI257" s="8" t="n">
        <v>802</v>
      </c>
      <c r="CJ257" s="8" t="n">
        <v>0</v>
      </c>
      <c r="CK257" s="8" t="n">
        <v>0</v>
      </c>
      <c r="CL257" s="8" t="n">
        <v>10</v>
      </c>
      <c r="CM257" s="9">
        <f>CI257+CJ257+CK257+CL257</f>
        <v/>
      </c>
      <c r="CN257" s="8" t="n">
        <v>201</v>
      </c>
      <c r="CO257" s="8" t="n">
        <v>30</v>
      </c>
      <c r="CP257" s="8" t="n">
        <v>28</v>
      </c>
      <c r="CQ257" s="8" t="n">
        <v>1</v>
      </c>
      <c r="CR257" s="9">
        <f>CN257+CO257+CP257+CQ257</f>
        <v/>
      </c>
      <c r="CS257" s="9">
        <f>CM257+CR257</f>
        <v/>
      </c>
      <c r="CT257" s="8" t="n">
        <v>1835</v>
      </c>
      <c r="CU257" s="8" t="n">
        <v>18398.3733</v>
      </c>
      <c r="CV257" s="8" t="n">
        <v>11567</v>
      </c>
      <c r="CW257" s="10">
        <f>IF(CU257=0,"",CV257/CU257)</f>
        <v/>
      </c>
      <c r="CX257" s="8" t="n">
        <v>0</v>
      </c>
      <c r="CY257" s="8" t="n"/>
      <c r="CZ257" s="8" t="n"/>
      <c r="DA257" s="8" t="n"/>
      <c r="DB257" s="9">
        <f>CX257+CY257-CZ257-DA257</f>
        <v/>
      </c>
      <c r="DC257" s="8" t="n">
        <v>0</v>
      </c>
      <c r="DD257" s="8" t="n">
        <v>0</v>
      </c>
      <c r="DE257" s="8" t="n">
        <v>0</v>
      </c>
      <c r="DF257" s="8" t="n">
        <v>0</v>
      </c>
      <c r="DG257" s="9">
        <f>DC257+DD257-DE257-DF257</f>
        <v/>
      </c>
      <c r="DH257" s="8" t="n">
        <v>0</v>
      </c>
      <c r="DI257" s="8" t="n">
        <v>0</v>
      </c>
      <c r="DJ257" s="8" t="n">
        <v>0</v>
      </c>
      <c r="DK257" s="8" t="n">
        <v>0</v>
      </c>
      <c r="DL257" s="9">
        <f>DH257+DI257-DJ257-DK257</f>
        <v/>
      </c>
      <c r="DM257" s="8" t="n">
        <v>88</v>
      </c>
      <c r="DN257" s="8" t="n">
        <v>3</v>
      </c>
      <c r="DO257" s="8" t="n">
        <v>0</v>
      </c>
      <c r="DP257" s="8" t="n">
        <v>0</v>
      </c>
      <c r="DQ257" s="9">
        <f>DM257+DN257-DO257-DP257</f>
        <v/>
      </c>
      <c r="DR257" s="9">
        <f>CX257+DC257+DH257+DM257</f>
        <v/>
      </c>
      <c r="DS257" s="9">
        <f>CY257+DD257+DI257+DN257</f>
        <v/>
      </c>
      <c r="DT257" s="9">
        <f>CZ257+DE257+DJ257+DO257</f>
        <v/>
      </c>
      <c r="DU257" s="9">
        <f>DA257+DF257+DK257+DP257</f>
        <v/>
      </c>
      <c r="DV257" s="9">
        <f>DB257+DG257+DL257+DQ257</f>
        <v/>
      </c>
      <c r="DW257" s="8" t="n">
        <v>13</v>
      </c>
      <c r="DX257" s="8" t="n">
        <v>6</v>
      </c>
      <c r="DY257" s="8" t="n">
        <v>7</v>
      </c>
      <c r="DZ257" s="8" t="n">
        <v>0</v>
      </c>
      <c r="EA257" s="8" t="n">
        <v>8</v>
      </c>
      <c r="EB257" s="8" t="n">
        <v>6</v>
      </c>
      <c r="EC257" s="8" t="n">
        <v>0</v>
      </c>
      <c r="ED257" s="8" t="n">
        <v>4</v>
      </c>
      <c r="EE257" s="8" t="n">
        <v>0</v>
      </c>
      <c r="EF257" s="8" t="n">
        <v>0</v>
      </c>
      <c r="EG257" s="8" t="n">
        <v>0</v>
      </c>
      <c r="EH257" s="8" t="n">
        <v>0</v>
      </c>
      <c r="EI257" s="8" t="n">
        <v>0</v>
      </c>
      <c r="EJ257" s="8" t="n">
        <v>0</v>
      </c>
      <c r="EK257" s="8" t="n">
        <v>0</v>
      </c>
      <c r="EL257" s="8" t="n">
        <v>0</v>
      </c>
      <c r="EM257" s="8" t="n">
        <v>0</v>
      </c>
      <c r="EN257" s="8" t="n">
        <v>0</v>
      </c>
      <c r="EO257" s="8" t="n">
        <v>0</v>
      </c>
      <c r="EP257" s="8" t="n">
        <v>0</v>
      </c>
      <c r="EQ257" s="8" t="n">
        <v>0</v>
      </c>
      <c r="ER257" s="8" t="n">
        <v>0</v>
      </c>
      <c r="ES257" s="8" t="n">
        <v>0</v>
      </c>
      <c r="ET257" s="8" t="n">
        <v>0</v>
      </c>
      <c r="EU257" s="8" t="n">
        <v>0</v>
      </c>
      <c r="EV257" s="8" t="n">
        <v>0</v>
      </c>
      <c r="EW257" s="8" t="n">
        <v>0</v>
      </c>
      <c r="EX257" s="8" t="n">
        <v>0</v>
      </c>
      <c r="EY257" s="8" t="n">
        <v>0</v>
      </c>
      <c r="EZ257" s="8" t="n">
        <v>0</v>
      </c>
      <c r="FA257" s="8" t="n">
        <v>0</v>
      </c>
      <c r="FB257" s="8" t="n">
        <v>0</v>
      </c>
      <c r="FC257" s="8" t="n">
        <v>0</v>
      </c>
      <c r="FD257" s="8" t="n">
        <v>0</v>
      </c>
      <c r="FE257" s="8" t="n">
        <v>0</v>
      </c>
      <c r="FF257" s="8" t="n">
        <v>0</v>
      </c>
      <c r="FG257" s="9">
        <f>SUM(DW257,DX257,DY257,DZ257,EA257,EB257,EC257,ED257,EE257,EF257,EG257,EH257,EI257,EJ257,EK257,EL257,EM257,EN257,EO257,EP257,EQ257,ER257,ES257,ET257,EU257,EV257,EW257,EX257,EY257,EZ257,FA257,FB257,FC257,FD257,FE257,FF257)</f>
        <v/>
      </c>
      <c r="FH257" s="8" t="n">
        <v>0</v>
      </c>
      <c r="FI257" s="8" t="n">
        <v>0</v>
      </c>
      <c r="FJ257" s="8" t="n">
        <v>0</v>
      </c>
      <c r="FK257" s="8" t="n">
        <v>0</v>
      </c>
      <c r="FL257" s="8" t="n">
        <v>0</v>
      </c>
      <c r="FM257" s="8" t="n">
        <v>0</v>
      </c>
      <c r="FN257" s="8" t="n">
        <v>0</v>
      </c>
      <c r="FO257" s="8" t="n">
        <v>0</v>
      </c>
      <c r="FP257" s="8" t="n">
        <v>0</v>
      </c>
      <c r="FQ257" s="9">
        <f>FL257+FM257+FN257+FO257+FP257</f>
        <v/>
      </c>
      <c r="FR257" s="8" t="n">
        <v>4508311</v>
      </c>
      <c r="FS257" s="8" t="n">
        <v>78550</v>
      </c>
      <c r="FT257" s="8" t="n">
        <v>0</v>
      </c>
      <c r="FU257" s="8" t="n">
        <v>0</v>
      </c>
      <c r="FV257" s="9">
        <f>FR257+FS257+FT257+FU257</f>
        <v/>
      </c>
      <c r="FW257" s="8" t="n">
        <v>1230200</v>
      </c>
      <c r="FX257" s="8" t="n">
        <v>35400</v>
      </c>
      <c r="FY257" s="8" t="n">
        <v>482100</v>
      </c>
      <c r="FZ257" s="8" t="n">
        <v>2686834</v>
      </c>
      <c r="GA257" s="9">
        <f>FW257+FX257+FY257+FZ257</f>
        <v/>
      </c>
      <c r="GB257" s="9">
        <f>FV257+GA257</f>
        <v/>
      </c>
      <c r="GC257" s="8" t="n">
        <v>4393038.3</v>
      </c>
      <c r="GD257" s="8" t="n">
        <v>89901.60000000001</v>
      </c>
      <c r="GE257" s="8" t="n">
        <v>312145.39</v>
      </c>
      <c r="GF257" s="8" t="n">
        <v>16821.98</v>
      </c>
      <c r="GG257" s="9">
        <f>GC257+GD257+GE257+GF257</f>
        <v/>
      </c>
      <c r="GH257" s="8" t="n">
        <v>1189967.61</v>
      </c>
      <c r="GI257" s="8" t="n">
        <v>35400</v>
      </c>
      <c r="GJ257" s="8" t="n">
        <v>2686834</v>
      </c>
      <c r="GK257" s="8" t="n">
        <v>482100</v>
      </c>
      <c r="GL257" s="9">
        <f>GH257+GI257+GJ257+GK257</f>
        <v/>
      </c>
      <c r="GM257" s="9">
        <f>GG257+GL257</f>
        <v/>
      </c>
      <c r="GN257" s="8" t="n">
        <v>474916.94</v>
      </c>
      <c r="GO257" s="8" t="n">
        <v>1721.52</v>
      </c>
      <c r="GP257" s="8" t="n">
        <v>13574.56</v>
      </c>
      <c r="GQ257" s="8" t="n">
        <v>9274.68</v>
      </c>
      <c r="GR257" s="9">
        <f>GN257+GO257+GP257+GQ257</f>
        <v/>
      </c>
      <c r="GS257" s="8" t="n">
        <v>788519</v>
      </c>
      <c r="GT257" s="8" t="n">
        <v>8037</v>
      </c>
      <c r="GU257" s="8" t="n">
        <v>3572</v>
      </c>
      <c r="GV257" s="8" t="n">
        <v>1786</v>
      </c>
      <c r="GW257" s="9">
        <f>GS257+GT257+GU257+GV257</f>
        <v/>
      </c>
      <c r="GX257" s="9">
        <f>GM257+GR257+GW257</f>
        <v/>
      </c>
      <c r="GY257" s="8" t="n">
        <v>42286438.49</v>
      </c>
      <c r="GZ257" s="8" t="n">
        <v>1475687.77</v>
      </c>
      <c r="HA257" s="9">
        <f>GY257+GZ257</f>
        <v/>
      </c>
      <c r="HB257" s="9">
        <f>IF(GX257=0,"",AU257/GX257)</f>
        <v/>
      </c>
      <c r="HC257" s="10">
        <f>IF((GX257+GY257)=0,"",GB257/(GX257+GY257))</f>
        <v/>
      </c>
      <c r="HD257" s="9">
        <f>IF(GX257=0,"",GB257/GX257)</f>
        <v/>
      </c>
      <c r="HE257" s="8" t="n">
        <v>0</v>
      </c>
      <c r="HF257" s="8" t="n">
        <v>0</v>
      </c>
      <c r="HG257" s="8" t="n">
        <v>37</v>
      </c>
      <c r="HH257" s="8" t="n">
        <v>0</v>
      </c>
      <c r="HI257" s="8" t="n">
        <v>0</v>
      </c>
      <c r="HJ257" s="9">
        <f>HF257+HI257</f>
        <v/>
      </c>
      <c r="HK257" s="10">
        <f>IF(HE257=0,"",HH257/HE257)</f>
        <v/>
      </c>
      <c r="HL257" s="8" t="n">
        <v>0</v>
      </c>
      <c r="HM257" s="8" t="n">
        <v>0</v>
      </c>
      <c r="HN257" s="11">
        <f>IF(HL257=0,"",HM257/HL257)</f>
        <v/>
      </c>
    </row>
    <row r="258">
      <c r="A258" s="12" t="inlineStr">
        <is>
          <t>Ngabu</t>
        </is>
      </c>
      <c r="B258" s="12" t="inlineStr">
        <is>
          <t>Ngabu</t>
        </is>
      </c>
      <c r="C258" s="13" t="inlineStr">
        <is>
          <t>FY2025/26</t>
        </is>
      </c>
      <c r="D258" s="13" t="n">
        <v>2025</v>
      </c>
      <c r="E258" s="13" t="n">
        <v>7</v>
      </c>
      <c r="F258" s="13" t="inlineStr">
        <is>
          <t>July</t>
        </is>
      </c>
      <c r="G258" s="13" t="inlineStr">
        <is>
          <t>Q2</t>
        </is>
      </c>
      <c r="H258" s="14" t="n">
        <v>10053</v>
      </c>
      <c r="I258" s="14" t="n">
        <v>4486</v>
      </c>
      <c r="J258" s="14" t="n">
        <v>351</v>
      </c>
      <c r="K258" s="14" t="n">
        <v>195</v>
      </c>
      <c r="L258" s="14" t="n">
        <v>20</v>
      </c>
      <c r="M258" s="15">
        <f>SUM(I258,J258,K258,L258)</f>
        <v/>
      </c>
      <c r="N258" s="14" t="n">
        <v>1654</v>
      </c>
      <c r="O258" s="14" t="n">
        <v>29</v>
      </c>
      <c r="P258" s="14" t="n">
        <v>1061</v>
      </c>
      <c r="Q258" s="14" t="n">
        <v>184</v>
      </c>
      <c r="R258" s="15">
        <f>SUM(N258,O258,P258,Q258)</f>
        <v/>
      </c>
      <c r="S258" s="15">
        <f>M258+R258</f>
        <v/>
      </c>
      <c r="T258" s="14" t="n">
        <v>2073</v>
      </c>
      <c r="U258" s="16">
        <f>IF(H258=0,"",T258/H258)</f>
        <v/>
      </c>
      <c r="V258" s="14" t="n">
        <v>12</v>
      </c>
      <c r="W258" s="17">
        <f>IF(H258=0,"",V258/H258)</f>
        <v/>
      </c>
      <c r="X258" s="14" t="n">
        <v>0</v>
      </c>
      <c r="Y258" s="17">
        <f>IF(H258=0,"",X258/H258)</f>
        <v/>
      </c>
      <c r="Z258" s="14" t="n">
        <v>0</v>
      </c>
      <c r="AA258" s="17">
        <f>IF(H258=0,"",Z258/H258)</f>
        <v/>
      </c>
      <c r="AB258" s="14" t="n">
        <v>0</v>
      </c>
      <c r="AC258" s="17">
        <f>IF(H258=0,"",AB258/H258)</f>
        <v/>
      </c>
      <c r="AD258" s="14" t="n">
        <v>0</v>
      </c>
      <c r="AE258" s="17">
        <f>IF(H258=0,"",AD258/H258)</f>
        <v/>
      </c>
      <c r="AF258" s="14" t="n">
        <v>0</v>
      </c>
      <c r="AG258" s="17">
        <f>IF(H258=0,"",AF258/H258)</f>
        <v/>
      </c>
      <c r="AH258" s="14" t="n">
        <v>42303.48</v>
      </c>
      <c r="AI258" s="15">
        <f>IF(H258=0,"",AH258/H258)</f>
        <v/>
      </c>
      <c r="AJ258" s="14" t="n">
        <v>0</v>
      </c>
      <c r="AK258" s="17">
        <f>IF(H258=0,"",AJ258/H258)</f>
        <v/>
      </c>
      <c r="AL258" s="14" t="n">
        <v>16426.5</v>
      </c>
      <c r="AM258" s="15">
        <f>IF(H258=0,"",AL258/H258)</f>
        <v/>
      </c>
      <c r="AN258" s="14" t="n">
        <v>0</v>
      </c>
      <c r="AO258" s="14" t="n">
        <v>0</v>
      </c>
      <c r="AP258" s="14" t="n">
        <v>0</v>
      </c>
      <c r="AQ258" s="14" t="n">
        <v>0</v>
      </c>
      <c r="AR258" s="14" t="n">
        <v>0</v>
      </c>
      <c r="AS258" s="14" t="n">
        <v>0</v>
      </c>
      <c r="AT258" s="14" t="n">
        <v>0</v>
      </c>
      <c r="AU258" s="15">
        <f>AH258+AL258+AP258+AQ258+AR258+AS258+AT258</f>
        <v/>
      </c>
      <c r="AV258" s="15">
        <f>IF(H258=0,"",AU258/H258)</f>
        <v/>
      </c>
      <c r="AW258" s="15">
        <f>IF(S258=0,"",AU258/S258)</f>
        <v/>
      </c>
      <c r="AX258" s="14" t="n">
        <v>6</v>
      </c>
      <c r="AY258" s="15">
        <f>IF(H258=0,"",AX258/(H258/1000/12))</f>
        <v/>
      </c>
      <c r="AZ258" s="14" t="n">
        <v>6</v>
      </c>
      <c r="BA258" s="14" t="n">
        <v>37</v>
      </c>
      <c r="BB258" s="14" t="n">
        <v>0</v>
      </c>
      <c r="BC258" s="14" t="n">
        <v>0</v>
      </c>
      <c r="BD258" s="14" t="n">
        <v>0</v>
      </c>
      <c r="BE258" s="15">
        <f>BC258+BD258</f>
        <v/>
      </c>
      <c r="BF258" s="15">
        <f>BA258+BB258-BE258</f>
        <v/>
      </c>
      <c r="BG258" s="14" t="n">
        <v>0</v>
      </c>
      <c r="BH258" s="14" t="n">
        <v>0</v>
      </c>
      <c r="BI258" s="14" t="n">
        <v>0</v>
      </c>
      <c r="BJ258" s="14" t="n">
        <v>0</v>
      </c>
      <c r="BK258" s="15">
        <f>BI258+BJ258</f>
        <v/>
      </c>
      <c r="BL258" s="15">
        <f>BG258+BH258-BK258</f>
        <v/>
      </c>
      <c r="BM258" s="14" t="n">
        <v>0</v>
      </c>
      <c r="BN258" s="14" t="n">
        <v>0</v>
      </c>
      <c r="BO258" s="14" t="n">
        <v>0</v>
      </c>
      <c r="BP258" s="14" t="n">
        <v>0</v>
      </c>
      <c r="BQ258" s="15">
        <f>BO258+BP258</f>
        <v/>
      </c>
      <c r="BR258" s="15">
        <f>BM258+BN258-BQ258</f>
        <v/>
      </c>
      <c r="BS258" s="14" t="n">
        <v>0</v>
      </c>
      <c r="BT258" s="14" t="n">
        <v>0</v>
      </c>
      <c r="BU258" s="14" t="n">
        <v>0</v>
      </c>
      <c r="BV258" s="14" t="n">
        <v>0</v>
      </c>
      <c r="BW258" s="15">
        <f>BU258+BV258</f>
        <v/>
      </c>
      <c r="BX258" s="15">
        <f>BS258+BT258-BW258</f>
        <v/>
      </c>
      <c r="BY258" s="15">
        <f>BA258+BG258+BM258+BS258</f>
        <v/>
      </c>
      <c r="BZ258" s="15">
        <f>BB258+BH258+BN258+BT258</f>
        <v/>
      </c>
      <c r="CA258" s="15">
        <f>BE258+BK258+BQ258+BW258</f>
        <v/>
      </c>
      <c r="CB258" s="15">
        <f>BF258+BL258+BR258+BX258</f>
        <v/>
      </c>
      <c r="CC258" s="14" t="n">
        <v>0</v>
      </c>
      <c r="CD258" s="14" t="n">
        <v>667</v>
      </c>
      <c r="CE258" s="14" t="n">
        <v>18</v>
      </c>
      <c r="CF258" s="14" t="n">
        <v>52</v>
      </c>
      <c r="CG258" s="14" t="n">
        <v>20</v>
      </c>
      <c r="CH258" s="15">
        <f>CD258+CE258+CF258+CG258</f>
        <v/>
      </c>
      <c r="CI258" s="14" t="n">
        <v>808</v>
      </c>
      <c r="CJ258" s="14" t="n">
        <v>0</v>
      </c>
      <c r="CK258" s="14" t="n">
        <v>0</v>
      </c>
      <c r="CL258" s="14" t="n">
        <v>10</v>
      </c>
      <c r="CM258" s="15">
        <f>CI258+CJ258+CK258+CL258</f>
        <v/>
      </c>
      <c r="CN258" s="14" t="n">
        <v>201</v>
      </c>
      <c r="CO258" s="14" t="n">
        <v>30</v>
      </c>
      <c r="CP258" s="14" t="n">
        <v>28</v>
      </c>
      <c r="CQ258" s="14" t="n">
        <v>1</v>
      </c>
      <c r="CR258" s="15">
        <f>CN258+CO258+CP258+CQ258</f>
        <v/>
      </c>
      <c r="CS258" s="15">
        <f>CM258+CR258</f>
        <v/>
      </c>
      <c r="CT258" s="14" t="n">
        <v>1835</v>
      </c>
      <c r="CU258" s="14" t="n">
        <v>18435.1700466</v>
      </c>
      <c r="CV258" s="14" t="n">
        <v>11567</v>
      </c>
      <c r="CW258" s="16">
        <f>IF(CU258=0,"",CV258/CU258)</f>
        <v/>
      </c>
      <c r="CX258" s="14" t="n">
        <v>0</v>
      </c>
      <c r="CY258" s="14" t="n"/>
      <c r="CZ258" s="14" t="n"/>
      <c r="DA258" s="14" t="n"/>
      <c r="DB258" s="15">
        <f>CX258+CY258-CZ258-DA258</f>
        <v/>
      </c>
      <c r="DC258" s="14" t="n">
        <v>0</v>
      </c>
      <c r="DD258" s="14" t="n">
        <v>0</v>
      </c>
      <c r="DE258" s="14" t="n">
        <v>0</v>
      </c>
      <c r="DF258" s="14" t="n">
        <v>0</v>
      </c>
      <c r="DG258" s="15">
        <f>DC258+DD258-DE258-DF258</f>
        <v/>
      </c>
      <c r="DH258" s="14" t="n">
        <v>0</v>
      </c>
      <c r="DI258" s="14" t="n">
        <v>0</v>
      </c>
      <c r="DJ258" s="14" t="n">
        <v>0</v>
      </c>
      <c r="DK258" s="14" t="n">
        <v>0</v>
      </c>
      <c r="DL258" s="15">
        <f>DH258+DI258-DJ258-DK258</f>
        <v/>
      </c>
      <c r="DM258" s="14" t="n">
        <v>91</v>
      </c>
      <c r="DN258" s="14" t="n">
        <v>5</v>
      </c>
      <c r="DO258" s="14" t="n">
        <v>0</v>
      </c>
      <c r="DP258" s="14" t="n">
        <v>0</v>
      </c>
      <c r="DQ258" s="15">
        <f>DM258+DN258-DO258-DP258</f>
        <v/>
      </c>
      <c r="DR258" s="15">
        <f>CX258+DC258+DH258+DM258</f>
        <v/>
      </c>
      <c r="DS258" s="15">
        <f>CY258+DD258+DI258+DN258</f>
        <v/>
      </c>
      <c r="DT258" s="15">
        <f>CZ258+DE258+DJ258+DO258</f>
        <v/>
      </c>
      <c r="DU258" s="15">
        <f>DA258+DF258+DK258+DP258</f>
        <v/>
      </c>
      <c r="DV258" s="15">
        <f>DB258+DG258+DL258+DQ258</f>
        <v/>
      </c>
      <c r="DW258" s="14" t="n">
        <v>20</v>
      </c>
      <c r="DX258" s="14" t="n">
        <v>4</v>
      </c>
      <c r="DY258" s="14" t="n">
        <v>3</v>
      </c>
      <c r="DZ258" s="14" t="n">
        <v>4</v>
      </c>
      <c r="EA258" s="14" t="n">
        <v>7</v>
      </c>
      <c r="EB258" s="14" t="n">
        <v>4</v>
      </c>
      <c r="EC258" s="14" t="n">
        <v>0</v>
      </c>
      <c r="ED258" s="14" t="n">
        <v>0</v>
      </c>
      <c r="EE258" s="14" t="n">
        <v>0</v>
      </c>
      <c r="EF258" s="14" t="n">
        <v>0</v>
      </c>
      <c r="EG258" s="14" t="n">
        <v>0</v>
      </c>
      <c r="EH258" s="14" t="n">
        <v>0</v>
      </c>
      <c r="EI258" s="14" t="n">
        <v>0</v>
      </c>
      <c r="EJ258" s="14" t="n">
        <v>0</v>
      </c>
      <c r="EK258" s="14" t="n">
        <v>0</v>
      </c>
      <c r="EL258" s="14" t="n">
        <v>0</v>
      </c>
      <c r="EM258" s="14" t="n">
        <v>0</v>
      </c>
      <c r="EN258" s="14" t="n">
        <v>0</v>
      </c>
      <c r="EO258" s="14" t="n">
        <v>0</v>
      </c>
      <c r="EP258" s="14" t="n">
        <v>0</v>
      </c>
      <c r="EQ258" s="14" t="n">
        <v>0</v>
      </c>
      <c r="ER258" s="14" t="n">
        <v>0</v>
      </c>
      <c r="ES258" s="14" t="n">
        <v>0</v>
      </c>
      <c r="ET258" s="14" t="n">
        <v>0</v>
      </c>
      <c r="EU258" s="14" t="n">
        <v>0</v>
      </c>
      <c r="EV258" s="14" t="n">
        <v>0</v>
      </c>
      <c r="EW258" s="14" t="n">
        <v>0</v>
      </c>
      <c r="EX258" s="14" t="n">
        <v>0</v>
      </c>
      <c r="EY258" s="14" t="n">
        <v>0</v>
      </c>
      <c r="EZ258" s="14" t="n">
        <v>0</v>
      </c>
      <c r="FA258" s="14" t="n">
        <v>0</v>
      </c>
      <c r="FB258" s="14" t="n">
        <v>0</v>
      </c>
      <c r="FC258" s="14" t="n">
        <v>0</v>
      </c>
      <c r="FD258" s="14" t="n">
        <v>0</v>
      </c>
      <c r="FE258" s="14" t="n">
        <v>0</v>
      </c>
      <c r="FF258" s="14" t="n">
        <v>0</v>
      </c>
      <c r="FG258" s="15">
        <f>SUM(DW258,DX258,DY258,DZ258,EA258,EB258,EC258,ED258,EE258,EF258,EG258,EH258,EI258,EJ258,EK258,EL258,EM258,EN258,EO258,EP258,EQ258,ER258,ES258,ET258,EU258,EV258,EW258,EX258,EY258,EZ258,FA258,FB258,FC258,FD258,FE258,FF258)</f>
        <v/>
      </c>
      <c r="FH258" s="14" t="n">
        <v>0</v>
      </c>
      <c r="FI258" s="14" t="n">
        <v>0</v>
      </c>
      <c r="FJ258" s="14" t="n">
        <v>0</v>
      </c>
      <c r="FK258" s="14" t="n">
        <v>0</v>
      </c>
      <c r="FL258" s="14" t="n">
        <v>0</v>
      </c>
      <c r="FM258" s="14" t="n">
        <v>0</v>
      </c>
      <c r="FN258" s="14" t="n">
        <v>0</v>
      </c>
      <c r="FO258" s="14" t="n">
        <v>0</v>
      </c>
      <c r="FP258" s="14" t="n">
        <v>0</v>
      </c>
      <c r="FQ258" s="15">
        <f>FL258+FM258+FN258+FO258+FP258</f>
        <v/>
      </c>
      <c r="FR258" s="14" t="n">
        <v>23856602</v>
      </c>
      <c r="FS258" s="14" t="n">
        <v>274652</v>
      </c>
      <c r="FT258" s="14" t="n">
        <v>0</v>
      </c>
      <c r="FU258" s="14" t="n">
        <v>134100</v>
      </c>
      <c r="FV258" s="15">
        <f>FR258+FS258+FT258+FU258</f>
        <v/>
      </c>
      <c r="FW258" s="14" t="n">
        <v>1030000</v>
      </c>
      <c r="FX258" s="14" t="n">
        <v>45000</v>
      </c>
      <c r="FY258" s="14" t="n">
        <v>871800</v>
      </c>
      <c r="FZ258" s="14" t="n">
        <v>3225289</v>
      </c>
      <c r="GA258" s="15">
        <f>FW258+FX258+FY258+FZ258</f>
        <v/>
      </c>
      <c r="GB258" s="15">
        <f>FV258+GA258</f>
        <v/>
      </c>
      <c r="GC258" s="14" t="n">
        <v>4183665.26</v>
      </c>
      <c r="GD258" s="14" t="n">
        <v>67139.28</v>
      </c>
      <c r="GE258" s="14" t="n">
        <v>652138.42</v>
      </c>
      <c r="GF258" s="14" t="n">
        <v>74197.33</v>
      </c>
      <c r="GG258" s="15">
        <f>GC258+GD258+GE258+GF258</f>
        <v/>
      </c>
      <c r="GH258" s="14" t="n">
        <v>988540</v>
      </c>
      <c r="GI258" s="14" t="n">
        <v>45000</v>
      </c>
      <c r="GJ258" s="14" t="n">
        <v>3224089.4</v>
      </c>
      <c r="GK258" s="14" t="n">
        <v>871800</v>
      </c>
      <c r="GL258" s="15">
        <f>GH258+GI258+GJ258+GK258</f>
        <v/>
      </c>
      <c r="GM258" s="15">
        <f>GG258+GL258</f>
        <v/>
      </c>
      <c r="GN258" s="14" t="n">
        <v>391116.18</v>
      </c>
      <c r="GO258" s="14" t="n">
        <v>1338.96</v>
      </c>
      <c r="GP258" s="14" t="n">
        <v>16968.2</v>
      </c>
      <c r="GQ258" s="14" t="n">
        <v>4637.34</v>
      </c>
      <c r="GR258" s="15">
        <f>GN258+GO258+GP258+GQ258</f>
        <v/>
      </c>
      <c r="GS258" s="14" t="n">
        <v>649211</v>
      </c>
      <c r="GT258" s="14" t="n">
        <v>6251</v>
      </c>
      <c r="GU258" s="14" t="n">
        <v>4465</v>
      </c>
      <c r="GV258" s="14" t="n">
        <v>893</v>
      </c>
      <c r="GW258" s="15">
        <f>GS258+GT258+GU258+GV258</f>
        <v/>
      </c>
      <c r="GX258" s="15">
        <f>GM258+GR258+GW258</f>
        <v/>
      </c>
      <c r="GY258" s="14" t="n">
        <v>11437912.9</v>
      </c>
      <c r="GZ258" s="14" t="n">
        <v>2102465.18</v>
      </c>
      <c r="HA258" s="15">
        <f>GY258+GZ258</f>
        <v/>
      </c>
      <c r="HB258" s="15">
        <f>IF(GX258=0,"",AU258/GX258)</f>
        <v/>
      </c>
      <c r="HC258" s="16">
        <f>IF((GX258+GY258)=0,"",GB258/(GX258+GY258))</f>
        <v/>
      </c>
      <c r="HD258" s="15">
        <f>IF(GX258=0,"",GB258/GX258)</f>
        <v/>
      </c>
      <c r="HE258" s="14" t="n">
        <v>0</v>
      </c>
      <c r="HF258" s="14" t="n">
        <v>0</v>
      </c>
      <c r="HG258" s="14" t="n">
        <v>37</v>
      </c>
      <c r="HH258" s="14" t="n">
        <v>0</v>
      </c>
      <c r="HI258" s="14" t="n">
        <v>0</v>
      </c>
      <c r="HJ258" s="15">
        <f>HF258+HI258</f>
        <v/>
      </c>
      <c r="HK258" s="16">
        <f>IF(HE258=0,"",HH258/HE258)</f>
        <v/>
      </c>
      <c r="HL258" s="14" t="n">
        <v>0</v>
      </c>
      <c r="HM258" s="14" t="n">
        <v>0</v>
      </c>
      <c r="HN258" s="17">
        <f>IF(HL258=0,"",HM258/HL258)</f>
        <v/>
      </c>
    </row>
    <row r="259">
      <c r="A259" s="6" t="inlineStr">
        <is>
          <t>Ngabu</t>
        </is>
      </c>
      <c r="B259" s="6" t="inlineStr">
        <is>
          <t>Ngabu</t>
        </is>
      </c>
      <c r="C259" s="7" t="inlineStr">
        <is>
          <t>FY2025/26</t>
        </is>
      </c>
      <c r="D259" s="7" t="n">
        <v>2025</v>
      </c>
      <c r="E259" s="7" t="n">
        <v>8</v>
      </c>
      <c r="F259" s="7" t="inlineStr">
        <is>
          <t>August</t>
        </is>
      </c>
      <c r="G259" s="7" t="inlineStr">
        <is>
          <t>Q2</t>
        </is>
      </c>
      <c r="H259" s="8" t="n">
        <v>11600</v>
      </c>
      <c r="I259" s="8" t="n">
        <v>6830</v>
      </c>
      <c r="J259" s="8" t="n">
        <v>621</v>
      </c>
      <c r="K259" s="8" t="n">
        <v>182</v>
      </c>
      <c r="L259" s="8" t="n">
        <v>0</v>
      </c>
      <c r="M259" s="9">
        <f>SUM(I259,J259,K259,L259)</f>
        <v/>
      </c>
      <c r="N259" s="8" t="n">
        <v>2433</v>
      </c>
      <c r="O259" s="8" t="n">
        <v>33</v>
      </c>
      <c r="P259" s="8" t="n">
        <v>265</v>
      </c>
      <c r="Q259" s="8" t="n">
        <v>82</v>
      </c>
      <c r="R259" s="9">
        <f>SUM(N259,O259,P259,Q259)</f>
        <v/>
      </c>
      <c r="S259" s="9">
        <f>M259+R259</f>
        <v/>
      </c>
      <c r="T259" s="8" t="n">
        <v>1154</v>
      </c>
      <c r="U259" s="10">
        <f>IF(H259=0,"",T259/H259)</f>
        <v/>
      </c>
      <c r="V259" s="8" t="n">
        <v>12</v>
      </c>
      <c r="W259" s="11">
        <f>IF(H259=0,"",V259/H259)</f>
        <v/>
      </c>
      <c r="X259" s="8" t="n">
        <v>0</v>
      </c>
      <c r="Y259" s="11">
        <f>IF(H259=0,"",X259/H259)</f>
        <v/>
      </c>
      <c r="Z259" s="8" t="n">
        <v>0</v>
      </c>
      <c r="AA259" s="11">
        <f>IF(H259=0,"",Z259/H259)</f>
        <v/>
      </c>
      <c r="AB259" s="8" t="n">
        <v>0</v>
      </c>
      <c r="AC259" s="11">
        <f>IF(H259=0,"",AB259/H259)</f>
        <v/>
      </c>
      <c r="AD259" s="8" t="n">
        <v>0</v>
      </c>
      <c r="AE259" s="11">
        <f>IF(H259=0,"",AD259/H259)</f>
        <v/>
      </c>
      <c r="AF259" s="8" t="n">
        <v>0</v>
      </c>
      <c r="AG259" s="11">
        <f>IF(H259=0,"",AF259/H259)</f>
        <v/>
      </c>
      <c r="AH259" s="8" t="n">
        <v>42303.48</v>
      </c>
      <c r="AI259" s="9">
        <f>IF(H259=0,"",AH259/H259)</f>
        <v/>
      </c>
      <c r="AJ259" s="8" t="n">
        <v>0</v>
      </c>
      <c r="AK259" s="11">
        <f>IF(H259=0,"",AJ259/H259)</f>
        <v/>
      </c>
      <c r="AL259" s="8" t="n">
        <v>16426.5</v>
      </c>
      <c r="AM259" s="9">
        <f>IF(H259=0,"",AL259/H259)</f>
        <v/>
      </c>
      <c r="AN259" s="8" t="n">
        <v>0</v>
      </c>
      <c r="AO259" s="8" t="n">
        <v>0</v>
      </c>
      <c r="AP259" s="8" t="n">
        <v>0</v>
      </c>
      <c r="AQ259" s="8" t="n">
        <v>0</v>
      </c>
      <c r="AR259" s="8" t="n">
        <v>0</v>
      </c>
      <c r="AS259" s="8" t="n">
        <v>0</v>
      </c>
      <c r="AT259" s="8" t="n">
        <v>0</v>
      </c>
      <c r="AU259" s="9">
        <f>AH259+AL259+AP259+AQ259+AR259+AS259+AT259</f>
        <v/>
      </c>
      <c r="AV259" s="9">
        <f>IF(H259=0,"",AU259/H259)</f>
        <v/>
      </c>
      <c r="AW259" s="9">
        <f>IF(S259=0,"",AU259/S259)</f>
        <v/>
      </c>
      <c r="AX259" s="8" t="n">
        <v>6</v>
      </c>
      <c r="AY259" s="9">
        <f>IF(H259=0,"",AX259/(H259/1000/12))</f>
        <v/>
      </c>
      <c r="AZ259" s="8" t="n">
        <v>6</v>
      </c>
      <c r="BA259" s="8" t="n">
        <v>37</v>
      </c>
      <c r="BB259" s="8" t="n">
        <v>0</v>
      </c>
      <c r="BC259" s="8" t="n">
        <v>0</v>
      </c>
      <c r="BD259" s="8" t="n">
        <v>0</v>
      </c>
      <c r="BE259" s="9">
        <f>BC259+BD259</f>
        <v/>
      </c>
      <c r="BF259" s="9">
        <f>BA259+BB259-BE259</f>
        <v/>
      </c>
      <c r="BG259" s="8" t="n">
        <v>0</v>
      </c>
      <c r="BH259" s="8" t="n">
        <v>0</v>
      </c>
      <c r="BI259" s="8" t="n">
        <v>0</v>
      </c>
      <c r="BJ259" s="8" t="n">
        <v>0</v>
      </c>
      <c r="BK259" s="9">
        <f>BI259+BJ259</f>
        <v/>
      </c>
      <c r="BL259" s="9">
        <f>BG259+BH259-BK259</f>
        <v/>
      </c>
      <c r="BM259" s="8" t="n">
        <v>0</v>
      </c>
      <c r="BN259" s="8" t="n">
        <v>0</v>
      </c>
      <c r="BO259" s="8" t="n">
        <v>0</v>
      </c>
      <c r="BP259" s="8" t="n">
        <v>0</v>
      </c>
      <c r="BQ259" s="9">
        <f>BO259+BP259</f>
        <v/>
      </c>
      <c r="BR259" s="9">
        <f>BM259+BN259-BQ259</f>
        <v/>
      </c>
      <c r="BS259" s="8" t="n">
        <v>0</v>
      </c>
      <c r="BT259" s="8" t="n">
        <v>0</v>
      </c>
      <c r="BU259" s="8" t="n">
        <v>0</v>
      </c>
      <c r="BV259" s="8" t="n">
        <v>0</v>
      </c>
      <c r="BW259" s="9">
        <f>BU259+BV259</f>
        <v/>
      </c>
      <c r="BX259" s="9">
        <f>BS259+BT259-BW259</f>
        <v/>
      </c>
      <c r="BY259" s="9">
        <f>BA259+BG259+BM259+BS259</f>
        <v/>
      </c>
      <c r="BZ259" s="9">
        <f>BB259+BH259+BN259+BT259</f>
        <v/>
      </c>
      <c r="CA259" s="9">
        <f>BE259+BK259+BQ259+BW259</f>
        <v/>
      </c>
      <c r="CB259" s="9">
        <f>BF259+BL259+BR259+BX259</f>
        <v/>
      </c>
      <c r="CC259" s="8" t="n">
        <v>0</v>
      </c>
      <c r="CD259" s="8" t="n">
        <v>718</v>
      </c>
      <c r="CE259" s="8" t="n">
        <v>23</v>
      </c>
      <c r="CF259" s="8" t="n">
        <v>68</v>
      </c>
      <c r="CG259" s="8" t="n">
        <v>18</v>
      </c>
      <c r="CH259" s="9">
        <f>CD259+CE259+CF259+CG259</f>
        <v/>
      </c>
      <c r="CI259" s="8" t="n">
        <v>738</v>
      </c>
      <c r="CJ259" s="8" t="n">
        <v>0</v>
      </c>
      <c r="CK259" s="8" t="n">
        <v>0</v>
      </c>
      <c r="CL259" s="8" t="n">
        <v>10</v>
      </c>
      <c r="CM259" s="9">
        <f>CI259+CJ259+CK259+CL259</f>
        <v/>
      </c>
      <c r="CN259" s="8" t="n">
        <v>201</v>
      </c>
      <c r="CO259" s="8" t="n">
        <v>30</v>
      </c>
      <c r="CP259" s="8" t="n">
        <v>28</v>
      </c>
      <c r="CQ259" s="8" t="n">
        <v>1</v>
      </c>
      <c r="CR259" s="9">
        <f>CN259+CO259+CP259+CQ259</f>
        <v/>
      </c>
      <c r="CS259" s="9">
        <f>CM259+CR259</f>
        <v/>
      </c>
      <c r="CT259" s="8" t="n">
        <v>1835</v>
      </c>
      <c r="CU259" s="8" t="n">
        <v>18472.0403866932</v>
      </c>
      <c r="CV259" s="8" t="n">
        <v>11567</v>
      </c>
      <c r="CW259" s="10">
        <f>IF(CU259=0,"",CV259/CU259)</f>
        <v/>
      </c>
      <c r="CX259" s="8" t="n">
        <v>0</v>
      </c>
      <c r="CY259" s="8" t="n"/>
      <c r="CZ259" s="8" t="n"/>
      <c r="DA259" s="8" t="n"/>
      <c r="DB259" s="9">
        <f>CX259+CY259-CZ259-DA259</f>
        <v/>
      </c>
      <c r="DC259" s="8" t="n">
        <v>0</v>
      </c>
      <c r="DD259" s="8" t="n">
        <v>0</v>
      </c>
      <c r="DE259" s="8" t="n">
        <v>0</v>
      </c>
      <c r="DF259" s="8" t="n">
        <v>0</v>
      </c>
      <c r="DG259" s="9">
        <f>DC259+DD259-DE259-DF259</f>
        <v/>
      </c>
      <c r="DH259" s="8" t="n">
        <v>0</v>
      </c>
      <c r="DI259" s="8" t="n">
        <v>0</v>
      </c>
      <c r="DJ259" s="8" t="n">
        <v>0</v>
      </c>
      <c r="DK259" s="8" t="n">
        <v>0</v>
      </c>
      <c r="DL259" s="9">
        <f>DH259+DI259-DJ259-DK259</f>
        <v/>
      </c>
      <c r="DM259" s="8" t="n">
        <v>96</v>
      </c>
      <c r="DN259" s="8" t="n">
        <v>0</v>
      </c>
      <c r="DO259" s="8" t="n">
        <v>0</v>
      </c>
      <c r="DP259" s="8" t="n">
        <v>0</v>
      </c>
      <c r="DQ259" s="9">
        <f>DM259+DN259-DO259-DP259</f>
        <v/>
      </c>
      <c r="DR259" s="9">
        <f>CX259+DC259+DH259+DM259</f>
        <v/>
      </c>
      <c r="DS259" s="9">
        <f>CY259+DD259+DI259+DN259</f>
        <v/>
      </c>
      <c r="DT259" s="9">
        <f>CZ259+DE259+DJ259+DO259</f>
        <v/>
      </c>
      <c r="DU259" s="9">
        <f>DA259+DF259+DK259+DP259</f>
        <v/>
      </c>
      <c r="DV259" s="9">
        <f>DB259+DG259+DL259+DQ259</f>
        <v/>
      </c>
      <c r="DW259" s="8" t="n">
        <v>15</v>
      </c>
      <c r="DX259" s="8" t="n">
        <v>8</v>
      </c>
      <c r="DY259" s="8" t="n">
        <v>6</v>
      </c>
      <c r="DZ259" s="8" t="n">
        <v>4</v>
      </c>
      <c r="EA259" s="8" t="n">
        <v>1</v>
      </c>
      <c r="EB259" s="8" t="n">
        <v>4</v>
      </c>
      <c r="EC259" s="8" t="n">
        <v>0</v>
      </c>
      <c r="ED259" s="8" t="n">
        <v>0</v>
      </c>
      <c r="EE259" s="8" t="n">
        <v>0</v>
      </c>
      <c r="EF259" s="8" t="n">
        <v>0</v>
      </c>
      <c r="EG259" s="8" t="n">
        <v>0</v>
      </c>
      <c r="EH259" s="8" t="n">
        <v>0</v>
      </c>
      <c r="EI259" s="8" t="n">
        <v>0</v>
      </c>
      <c r="EJ259" s="8" t="n">
        <v>0</v>
      </c>
      <c r="EK259" s="8" t="n">
        <v>0</v>
      </c>
      <c r="EL259" s="8" t="n">
        <v>0</v>
      </c>
      <c r="EM259" s="8" t="n">
        <v>0</v>
      </c>
      <c r="EN259" s="8" t="n">
        <v>0</v>
      </c>
      <c r="EO259" s="8" t="n">
        <v>0</v>
      </c>
      <c r="EP259" s="8" t="n">
        <v>0</v>
      </c>
      <c r="EQ259" s="8" t="n">
        <v>0</v>
      </c>
      <c r="ER259" s="8" t="n">
        <v>0</v>
      </c>
      <c r="ES259" s="8" t="n">
        <v>0</v>
      </c>
      <c r="ET259" s="8" t="n">
        <v>0</v>
      </c>
      <c r="EU259" s="8" t="n">
        <v>0</v>
      </c>
      <c r="EV259" s="8" t="n">
        <v>0</v>
      </c>
      <c r="EW259" s="8" t="n">
        <v>0</v>
      </c>
      <c r="EX259" s="8" t="n">
        <v>0</v>
      </c>
      <c r="EY259" s="8" t="n">
        <v>0</v>
      </c>
      <c r="EZ259" s="8" t="n">
        <v>0</v>
      </c>
      <c r="FA259" s="8" t="n">
        <v>0</v>
      </c>
      <c r="FB259" s="8" t="n">
        <v>0</v>
      </c>
      <c r="FC259" s="8" t="n">
        <v>0</v>
      </c>
      <c r="FD259" s="8" t="n">
        <v>0</v>
      </c>
      <c r="FE259" s="8" t="n">
        <v>0</v>
      </c>
      <c r="FF259" s="8" t="n">
        <v>0</v>
      </c>
      <c r="FG259" s="9">
        <f>SUM(DW259,DX259,DY259,DZ259,EA259,EB259,EC259,ED259,EE259,EF259,EG259,EH259,EI259,EJ259,EK259,EL259,EM259,EN259,EO259,EP259,EQ259,ER259,ES259,ET259,EU259,EV259,EW259,EX259,EY259,EZ259,FA259,FB259,FC259,FD259,FE259,FF259)</f>
        <v/>
      </c>
      <c r="FH259" s="8" t="n">
        <v>0</v>
      </c>
      <c r="FI259" s="8" t="n">
        <v>0</v>
      </c>
      <c r="FJ259" s="8" t="n">
        <v>0</v>
      </c>
      <c r="FK259" s="8" t="n">
        <v>0</v>
      </c>
      <c r="FL259" s="8" t="n">
        <v>0</v>
      </c>
      <c r="FM259" s="8" t="n">
        <v>0</v>
      </c>
      <c r="FN259" s="8" t="n">
        <v>0</v>
      </c>
      <c r="FO259" s="8" t="n">
        <v>0</v>
      </c>
      <c r="FP259" s="8" t="n">
        <v>0</v>
      </c>
      <c r="FQ259" s="9">
        <f>FL259+FM259+FN259+FO259+FP259</f>
        <v/>
      </c>
      <c r="FR259" s="8" t="n">
        <v>3958666</v>
      </c>
      <c r="FS259" s="8" t="n">
        <v>335234</v>
      </c>
      <c r="FT259" s="8" t="n">
        <v>0</v>
      </c>
      <c r="FU259" s="8" t="n">
        <v>16000</v>
      </c>
      <c r="FV259" s="9">
        <f>FR259+FS259+FT259+FU259</f>
        <v/>
      </c>
      <c r="FW259" s="8" t="n">
        <v>1342950</v>
      </c>
      <c r="FX259" s="8" t="n">
        <v>32400</v>
      </c>
      <c r="FY259" s="8" t="n">
        <v>1868100</v>
      </c>
      <c r="FZ259" s="8" t="n">
        <v>1376250</v>
      </c>
      <c r="GA259" s="9">
        <f>FW259+FX259+FY259+FZ259</f>
        <v/>
      </c>
      <c r="GB259" s="9">
        <f>FV259+GA259</f>
        <v/>
      </c>
      <c r="GC259" s="8" t="n">
        <v>6229177.85</v>
      </c>
      <c r="GD259" s="8" t="n">
        <v>118784.88</v>
      </c>
      <c r="GE259" s="8" t="n">
        <v>575992.6</v>
      </c>
      <c r="GF259" s="8" t="n">
        <v>0</v>
      </c>
      <c r="GG259" s="9">
        <f>GC259+GD259+GE259+GF259</f>
        <v/>
      </c>
      <c r="GH259" s="8" t="n">
        <v>1303200</v>
      </c>
      <c r="GI259" s="8" t="n">
        <v>32400</v>
      </c>
      <c r="GJ259" s="8" t="n">
        <v>1376250</v>
      </c>
      <c r="GK259" s="8" t="n">
        <v>1868100</v>
      </c>
      <c r="GL259" s="9">
        <f>GH259+GI259+GJ259+GK259</f>
        <v/>
      </c>
      <c r="GM259" s="9">
        <f>GG259+GL259</f>
        <v/>
      </c>
      <c r="GN259" s="8" t="n">
        <v>405809.22</v>
      </c>
      <c r="GO259" s="8" t="n">
        <v>1530.24</v>
      </c>
      <c r="GP259" s="8" t="n">
        <v>27149.12</v>
      </c>
      <c r="GQ259" s="8" t="n">
        <v>0</v>
      </c>
      <c r="GR259" s="9">
        <f>GN259+GO259+GP259+GQ259</f>
        <v/>
      </c>
      <c r="GS259" s="8" t="n">
        <v>672429</v>
      </c>
      <c r="GT259" s="8" t="n">
        <v>7144</v>
      </c>
      <c r="GU259" s="8" t="n">
        <v>7144</v>
      </c>
      <c r="GV259" s="8" t="n">
        <v>0</v>
      </c>
      <c r="GW259" s="9">
        <f>GS259+GT259+GU259+GV259</f>
        <v/>
      </c>
      <c r="GX259" s="9">
        <f>GM259+GR259+GW259</f>
        <v/>
      </c>
      <c r="GY259" s="8" t="n">
        <v>33979538.31</v>
      </c>
      <c r="GZ259" s="8" t="n">
        <v>3066137.79</v>
      </c>
      <c r="HA259" s="9">
        <f>GY259+GZ259</f>
        <v/>
      </c>
      <c r="HB259" s="9">
        <f>IF(GX259=0,"",AU259/GX259)</f>
        <v/>
      </c>
      <c r="HC259" s="10">
        <f>IF((GX259+GY259)=0,"",GB259/(GX259+GY259))</f>
        <v/>
      </c>
      <c r="HD259" s="9">
        <f>IF(GX259=0,"",GB259/GX259)</f>
        <v/>
      </c>
      <c r="HE259" s="8" t="n">
        <v>0</v>
      </c>
      <c r="HF259" s="8" t="n">
        <v>0</v>
      </c>
      <c r="HG259" s="8" t="n">
        <v>37</v>
      </c>
      <c r="HH259" s="8" t="n">
        <v>0</v>
      </c>
      <c r="HI259" s="8" t="n">
        <v>0</v>
      </c>
      <c r="HJ259" s="9">
        <f>HF259+HI259</f>
        <v/>
      </c>
      <c r="HK259" s="10">
        <f>IF(HE259=0,"",HH259/HE259)</f>
        <v/>
      </c>
      <c r="HL259" s="8" t="n">
        <v>0</v>
      </c>
      <c r="HM259" s="8" t="n">
        <v>0</v>
      </c>
      <c r="HN259" s="11">
        <f>IF(HL259=0,"",HM259/HL259)</f>
        <v/>
      </c>
    </row>
    <row r="260">
      <c r="A260" s="12" t="inlineStr">
        <is>
          <t>Ngabu</t>
        </is>
      </c>
      <c r="B260" s="12" t="inlineStr">
        <is>
          <t>Ngabu</t>
        </is>
      </c>
      <c r="C260" s="13" t="inlineStr">
        <is>
          <t>FY2025/26</t>
        </is>
      </c>
      <c r="D260" s="13" t="n">
        <v>2025</v>
      </c>
      <c r="E260" s="13" t="n">
        <v>9</v>
      </c>
      <c r="F260" s="13" t="inlineStr">
        <is>
          <t>September</t>
        </is>
      </c>
      <c r="G260" s="13" t="inlineStr">
        <is>
          <t>Q2</t>
        </is>
      </c>
      <c r="H260" s="14" t="n">
        <v>12900</v>
      </c>
      <c r="I260" s="14" t="n">
        <v>7397</v>
      </c>
      <c r="J260" s="14" t="n">
        <v>556</v>
      </c>
      <c r="K260" s="14" t="n">
        <v>146</v>
      </c>
      <c r="L260" s="14" t="n">
        <v>0</v>
      </c>
      <c r="M260" s="15">
        <f>SUM(I260,J260,K260,L260)</f>
        <v/>
      </c>
      <c r="N260" s="14" t="n">
        <v>984</v>
      </c>
      <c r="O260" s="14" t="n">
        <v>130</v>
      </c>
      <c r="P260" s="14" t="n">
        <v>377</v>
      </c>
      <c r="Q260" s="14" t="n">
        <v>174</v>
      </c>
      <c r="R260" s="15">
        <f>SUM(N260,O260,P260,Q260)</f>
        <v/>
      </c>
      <c r="S260" s="15">
        <f>M260+R260</f>
        <v/>
      </c>
      <c r="T260" s="14" t="n">
        <v>3136</v>
      </c>
      <c r="U260" s="16">
        <f>IF(H260=0,"",T260/H260)</f>
        <v/>
      </c>
      <c r="V260" s="14" t="n">
        <v>12</v>
      </c>
      <c r="W260" s="17">
        <f>IF(H260=0,"",V260/H260)</f>
        <v/>
      </c>
      <c r="X260" s="14" t="n">
        <v>0</v>
      </c>
      <c r="Y260" s="17">
        <f>IF(H260=0,"",X260/H260)</f>
        <v/>
      </c>
      <c r="Z260" s="14" t="n">
        <v>0</v>
      </c>
      <c r="AA260" s="17">
        <f>IF(H260=0,"",Z260/H260)</f>
        <v/>
      </c>
      <c r="AB260" s="14" t="n">
        <v>0</v>
      </c>
      <c r="AC260" s="17">
        <f>IF(H260=0,"",AB260/H260)</f>
        <v/>
      </c>
      <c r="AD260" s="14" t="n">
        <v>0</v>
      </c>
      <c r="AE260" s="17">
        <f>IF(H260=0,"",AD260/H260)</f>
        <v/>
      </c>
      <c r="AF260" s="14" t="n">
        <v>0</v>
      </c>
      <c r="AG260" s="17">
        <f>IF(H260=0,"",AF260/H260)</f>
        <v/>
      </c>
      <c r="AH260" s="14" t="n">
        <v>42303.48</v>
      </c>
      <c r="AI260" s="15">
        <f>IF(H260=0,"",AH260/H260)</f>
        <v/>
      </c>
      <c r="AJ260" s="14" t="n">
        <v>0</v>
      </c>
      <c r="AK260" s="17">
        <f>IF(H260=0,"",AJ260/H260)</f>
        <v/>
      </c>
      <c r="AL260" s="14" t="n">
        <v>16426.5</v>
      </c>
      <c r="AM260" s="15">
        <f>IF(H260=0,"",AL260/H260)</f>
        <v/>
      </c>
      <c r="AN260" s="14" t="n">
        <v>0</v>
      </c>
      <c r="AO260" s="14" t="n">
        <v>0</v>
      </c>
      <c r="AP260" s="14" t="n">
        <v>0</v>
      </c>
      <c r="AQ260" s="14" t="n">
        <v>0</v>
      </c>
      <c r="AR260" s="14" t="n">
        <v>0</v>
      </c>
      <c r="AS260" s="14" t="n">
        <v>0</v>
      </c>
      <c r="AT260" s="14" t="n">
        <v>0</v>
      </c>
      <c r="AU260" s="15">
        <f>AH260+AL260+AP260+AQ260+AR260+AS260+AT260</f>
        <v/>
      </c>
      <c r="AV260" s="15">
        <f>IF(H260=0,"",AU260/H260)</f>
        <v/>
      </c>
      <c r="AW260" s="15">
        <f>IF(S260=0,"",AU260/S260)</f>
        <v/>
      </c>
      <c r="AX260" s="14" t="n">
        <v>6</v>
      </c>
      <c r="AY260" s="15">
        <f>IF(H260=0,"",AX260/(H260/1000/12))</f>
        <v/>
      </c>
      <c r="AZ260" s="14" t="n">
        <v>6</v>
      </c>
      <c r="BA260" s="14" t="n">
        <v>37</v>
      </c>
      <c r="BB260" s="14" t="n">
        <v>0</v>
      </c>
      <c r="BC260" s="14" t="n">
        <v>7</v>
      </c>
      <c r="BD260" s="14" t="n">
        <v>0</v>
      </c>
      <c r="BE260" s="15">
        <f>BC260+BD260</f>
        <v/>
      </c>
      <c r="BF260" s="15">
        <f>BA260+BB260-BE260</f>
        <v/>
      </c>
      <c r="BG260" s="14" t="n">
        <v>0</v>
      </c>
      <c r="BH260" s="14" t="n">
        <v>0</v>
      </c>
      <c r="BI260" s="14" t="n">
        <v>0</v>
      </c>
      <c r="BJ260" s="14" t="n">
        <v>0</v>
      </c>
      <c r="BK260" s="15">
        <f>BI260+BJ260</f>
        <v/>
      </c>
      <c r="BL260" s="15">
        <f>BG260+BH260-BK260</f>
        <v/>
      </c>
      <c r="BM260" s="14" t="n">
        <v>0</v>
      </c>
      <c r="BN260" s="14" t="n">
        <v>0</v>
      </c>
      <c r="BO260" s="14" t="n">
        <v>0</v>
      </c>
      <c r="BP260" s="14" t="n">
        <v>0</v>
      </c>
      <c r="BQ260" s="15">
        <f>BO260+BP260</f>
        <v/>
      </c>
      <c r="BR260" s="15">
        <f>BM260+BN260-BQ260</f>
        <v/>
      </c>
      <c r="BS260" s="14" t="n">
        <v>0</v>
      </c>
      <c r="BT260" s="14" t="n">
        <v>0</v>
      </c>
      <c r="BU260" s="14" t="n">
        <v>0</v>
      </c>
      <c r="BV260" s="14" t="n">
        <v>0</v>
      </c>
      <c r="BW260" s="15">
        <f>BU260+BV260</f>
        <v/>
      </c>
      <c r="BX260" s="15">
        <f>BS260+BT260-BW260</f>
        <v/>
      </c>
      <c r="BY260" s="15">
        <f>BA260+BG260+BM260+BS260</f>
        <v/>
      </c>
      <c r="BZ260" s="15">
        <f>BB260+BH260+BN260+BT260</f>
        <v/>
      </c>
      <c r="CA260" s="15">
        <f>BE260+BK260+BQ260+BW260</f>
        <v/>
      </c>
      <c r="CB260" s="15">
        <f>BF260+BL260+BR260+BX260</f>
        <v/>
      </c>
      <c r="CC260" s="14" t="n">
        <v>0</v>
      </c>
      <c r="CD260" s="14" t="n">
        <v>714</v>
      </c>
      <c r="CE260" s="14" t="n">
        <v>20</v>
      </c>
      <c r="CF260" s="14" t="n">
        <v>63</v>
      </c>
      <c r="CG260" s="14" t="n">
        <v>19</v>
      </c>
      <c r="CH260" s="15">
        <f>CD260+CE260+CF260+CG260</f>
        <v/>
      </c>
      <c r="CI260" s="14" t="n">
        <v>756</v>
      </c>
      <c r="CJ260" s="14" t="n">
        <v>0</v>
      </c>
      <c r="CK260" s="14" t="n">
        <v>0</v>
      </c>
      <c r="CL260" s="14" t="n">
        <v>10</v>
      </c>
      <c r="CM260" s="15">
        <f>CI260+CJ260+CK260+CL260</f>
        <v/>
      </c>
      <c r="CN260" s="14" t="n">
        <v>201</v>
      </c>
      <c r="CO260" s="14" t="n">
        <v>30</v>
      </c>
      <c r="CP260" s="14" t="n">
        <v>28</v>
      </c>
      <c r="CQ260" s="14" t="n">
        <v>1</v>
      </c>
      <c r="CR260" s="15">
        <f>CN260+CO260+CP260+CQ260</f>
        <v/>
      </c>
      <c r="CS260" s="15">
        <f>CM260+CR260</f>
        <v/>
      </c>
      <c r="CT260" s="14" t="n">
        <v>1842</v>
      </c>
      <c r="CU260" s="14" t="n">
        <v>18508.9844674666</v>
      </c>
      <c r="CV260" s="14" t="n">
        <v>11581</v>
      </c>
      <c r="CW260" s="16">
        <f>IF(CU260=0,"",CV260/CU260)</f>
        <v/>
      </c>
      <c r="CX260" s="14" t="n">
        <v>0</v>
      </c>
      <c r="CY260" s="14" t="n"/>
      <c r="CZ260" s="14" t="n"/>
      <c r="DA260" s="14" t="n"/>
      <c r="DB260" s="15">
        <f>CX260+CY260-CZ260-DA260</f>
        <v/>
      </c>
      <c r="DC260" s="14" t="n">
        <v>0</v>
      </c>
      <c r="DD260" s="14" t="n">
        <v>0</v>
      </c>
      <c r="DE260" s="14" t="n">
        <v>0</v>
      </c>
      <c r="DF260" s="14" t="n">
        <v>0</v>
      </c>
      <c r="DG260" s="15">
        <f>DC260+DD260-DE260-DF260</f>
        <v/>
      </c>
      <c r="DH260" s="14" t="n">
        <v>0</v>
      </c>
      <c r="DI260" s="14" t="n">
        <v>0</v>
      </c>
      <c r="DJ260" s="14" t="n">
        <v>0</v>
      </c>
      <c r="DK260" s="14" t="n">
        <v>0</v>
      </c>
      <c r="DL260" s="15">
        <f>DH260+DI260-DJ260-DK260</f>
        <v/>
      </c>
      <c r="DM260" s="14" t="n">
        <v>96</v>
      </c>
      <c r="DN260" s="14" t="n">
        <v>0</v>
      </c>
      <c r="DO260" s="14" t="n">
        <v>0</v>
      </c>
      <c r="DP260" s="14" t="n">
        <v>0</v>
      </c>
      <c r="DQ260" s="15">
        <f>DM260+DN260-DO260-DP260</f>
        <v/>
      </c>
      <c r="DR260" s="15">
        <f>CX260+DC260+DH260+DM260</f>
        <v/>
      </c>
      <c r="DS260" s="15">
        <f>CY260+DD260+DI260+DN260</f>
        <v/>
      </c>
      <c r="DT260" s="15">
        <f>CZ260+DE260+DJ260+DO260</f>
        <v/>
      </c>
      <c r="DU260" s="15">
        <f>DA260+DF260+DK260+DP260</f>
        <v/>
      </c>
      <c r="DV260" s="15">
        <f>DB260+DG260+DL260+DQ260</f>
        <v/>
      </c>
      <c r="DW260" s="14" t="n">
        <v>12</v>
      </c>
      <c r="DX260" s="14" t="n">
        <v>4</v>
      </c>
      <c r="DY260" s="14" t="n">
        <v>2</v>
      </c>
      <c r="DZ260" s="14" t="n">
        <v>3</v>
      </c>
      <c r="EA260" s="14" t="n">
        <v>1</v>
      </c>
      <c r="EB260" s="14" t="n">
        <v>3</v>
      </c>
      <c r="EC260" s="14" t="n">
        <v>0</v>
      </c>
      <c r="ED260" s="14" t="n">
        <v>0</v>
      </c>
      <c r="EE260" s="14" t="n">
        <v>0</v>
      </c>
      <c r="EF260" s="14" t="n">
        <v>0</v>
      </c>
      <c r="EG260" s="14" t="n">
        <v>0</v>
      </c>
      <c r="EH260" s="14" t="n">
        <v>0</v>
      </c>
      <c r="EI260" s="14" t="n">
        <v>0</v>
      </c>
      <c r="EJ260" s="14" t="n">
        <v>0</v>
      </c>
      <c r="EK260" s="14" t="n">
        <v>0</v>
      </c>
      <c r="EL260" s="14" t="n">
        <v>0</v>
      </c>
      <c r="EM260" s="14" t="n">
        <v>0</v>
      </c>
      <c r="EN260" s="14" t="n">
        <v>0</v>
      </c>
      <c r="EO260" s="14" t="n">
        <v>0</v>
      </c>
      <c r="EP260" s="14" t="n">
        <v>0</v>
      </c>
      <c r="EQ260" s="14" t="n">
        <v>0</v>
      </c>
      <c r="ER260" s="14" t="n">
        <v>0</v>
      </c>
      <c r="ES260" s="14" t="n">
        <v>0</v>
      </c>
      <c r="ET260" s="14" t="n">
        <v>0</v>
      </c>
      <c r="EU260" s="14" t="n">
        <v>0</v>
      </c>
      <c r="EV260" s="14" t="n">
        <v>0</v>
      </c>
      <c r="EW260" s="14" t="n">
        <v>0</v>
      </c>
      <c r="EX260" s="14" t="n">
        <v>0</v>
      </c>
      <c r="EY260" s="14" t="n">
        <v>0</v>
      </c>
      <c r="EZ260" s="14" t="n">
        <v>0</v>
      </c>
      <c r="FA260" s="14" t="n">
        <v>0</v>
      </c>
      <c r="FB260" s="14" t="n">
        <v>0</v>
      </c>
      <c r="FC260" s="14" t="n">
        <v>0</v>
      </c>
      <c r="FD260" s="14" t="n">
        <v>0</v>
      </c>
      <c r="FE260" s="14" t="n">
        <v>0</v>
      </c>
      <c r="FF260" s="14" t="n">
        <v>0</v>
      </c>
      <c r="FG260" s="15">
        <f>SUM(DW260,DX260,DY260,DZ260,EA260,EB260,EC260,ED260,EE260,EF260,EG260,EH260,EI260,EJ260,EK260,EL260,EM260,EN260,EO260,EP260,EQ260,ER260,ES260,ET260,EU260,EV260,EW260,EX260,EY260,EZ260,FA260,FB260,FC260,FD260,FE260,FF260)</f>
        <v/>
      </c>
      <c r="FH260" s="14" t="n">
        <v>0</v>
      </c>
      <c r="FI260" s="14" t="n">
        <v>0</v>
      </c>
      <c r="FJ260" s="14" t="n">
        <v>0</v>
      </c>
      <c r="FK260" s="14" t="n">
        <v>0</v>
      </c>
      <c r="FL260" s="14" t="n">
        <v>0</v>
      </c>
      <c r="FM260" s="14" t="n">
        <v>0</v>
      </c>
      <c r="FN260" s="14" t="n">
        <v>0</v>
      </c>
      <c r="FO260" s="14" t="n">
        <v>0</v>
      </c>
      <c r="FP260" s="14" t="n">
        <v>0</v>
      </c>
      <c r="FQ260" s="15">
        <f>FL260+FM260+FN260+FO260+FP260</f>
        <v/>
      </c>
      <c r="FR260" s="14" t="n">
        <v>2798521</v>
      </c>
      <c r="FS260" s="14" t="n">
        <v>67100</v>
      </c>
      <c r="FT260" s="14" t="n">
        <v>0</v>
      </c>
      <c r="FU260" s="14" t="n">
        <v>73500</v>
      </c>
      <c r="FV260" s="15">
        <f>FR260+FS260+FT260+FU260</f>
        <v/>
      </c>
      <c r="FW260" s="14" t="n">
        <v>1257964</v>
      </c>
      <c r="FX260" s="14" t="n">
        <v>27700</v>
      </c>
      <c r="FY260" s="14" t="n">
        <v>825400</v>
      </c>
      <c r="FZ260" s="14" t="n">
        <v>1749328</v>
      </c>
      <c r="GA260" s="15">
        <f>FW260+FX260+FY260+FZ260</f>
        <v/>
      </c>
      <c r="GB260" s="15">
        <f>FV260+GA260</f>
        <v/>
      </c>
      <c r="GC260" s="14" t="n">
        <v>7120490.65</v>
      </c>
      <c r="GD260" s="14" t="n">
        <v>106351.68</v>
      </c>
      <c r="GE260" s="14" t="n">
        <v>468903.31</v>
      </c>
      <c r="GF260" s="14" t="n">
        <v>0</v>
      </c>
      <c r="GG260" s="15">
        <f>GC260+GD260+GE260+GF260</f>
        <v/>
      </c>
      <c r="GH260" s="14" t="n">
        <v>1226644.08</v>
      </c>
      <c r="GI260" s="14" t="n">
        <v>27700</v>
      </c>
      <c r="GJ260" s="14" t="n">
        <v>1149328.09</v>
      </c>
      <c r="GK260" s="14" t="n">
        <v>825400</v>
      </c>
      <c r="GL260" s="15">
        <f>GH260+GI260+GJ260+GK260</f>
        <v/>
      </c>
      <c r="GM260" s="15">
        <f>GG260+GL260</f>
        <v/>
      </c>
      <c r="GN260" s="14" t="n">
        <v>437552.81</v>
      </c>
      <c r="GO260" s="14" t="n">
        <v>1721.52</v>
      </c>
      <c r="GP260" s="14" t="n">
        <v>30542.76</v>
      </c>
      <c r="GQ260" s="14" t="n">
        <v>0</v>
      </c>
      <c r="GR260" s="15">
        <f>GN260+GO260+GP260+GQ260</f>
        <v/>
      </c>
      <c r="GS260" s="14" t="n">
        <v>713507</v>
      </c>
      <c r="GT260" s="14" t="n">
        <v>8037</v>
      </c>
      <c r="GU260" s="14" t="n">
        <v>8037</v>
      </c>
      <c r="GV260" s="14" t="n">
        <v>0</v>
      </c>
      <c r="GW260" s="15">
        <f>GS260+GT260+GU260+GV260</f>
        <v/>
      </c>
      <c r="GX260" s="15">
        <f>GM260+GR260+GW260</f>
        <v/>
      </c>
      <c r="GY260" s="14" t="n">
        <v>25685392.38</v>
      </c>
      <c r="GZ260" s="14" t="n">
        <v>4022963.21</v>
      </c>
      <c r="HA260" s="15">
        <f>GY260+GZ260</f>
        <v/>
      </c>
      <c r="HB260" s="15">
        <f>IF(GX260=0,"",AU260/GX260)</f>
        <v/>
      </c>
      <c r="HC260" s="16">
        <f>IF((GX260+GY260)=0,"",GB260/(GX260+GY260))</f>
        <v/>
      </c>
      <c r="HD260" s="15">
        <f>IF(GX260=0,"",GB260/GX260)</f>
        <v/>
      </c>
      <c r="HE260" s="14" t="n">
        <v>0</v>
      </c>
      <c r="HF260" s="14" t="n">
        <v>0</v>
      </c>
      <c r="HG260" s="14" t="n">
        <v>30</v>
      </c>
      <c r="HH260" s="14" t="n">
        <v>0</v>
      </c>
      <c r="HI260" s="14" t="n">
        <v>0</v>
      </c>
      <c r="HJ260" s="15">
        <f>HF260+HI260</f>
        <v/>
      </c>
      <c r="HK260" s="16">
        <f>IF(HE260=0,"",HH260/HE260)</f>
        <v/>
      </c>
      <c r="HL260" s="14" t="n">
        <v>0</v>
      </c>
      <c r="HM260" s="14" t="n">
        <v>0</v>
      </c>
      <c r="HN260" s="17">
        <f>IF(HL260=0,"",HM260/HL260)</f>
        <v/>
      </c>
    </row>
    <row r="261">
      <c r="A261" s="6" t="inlineStr">
        <is>
          <t>Ngabu</t>
        </is>
      </c>
      <c r="B261" s="6" t="inlineStr">
        <is>
          <t>Ngabu</t>
        </is>
      </c>
      <c r="C261" s="7" t="inlineStr">
        <is>
          <t>FY2025/26</t>
        </is>
      </c>
      <c r="D261" s="7" t="n">
        <v>2025</v>
      </c>
      <c r="E261" s="7" t="n">
        <v>10</v>
      </c>
      <c r="F261" s="7" t="inlineStr">
        <is>
          <t>October</t>
        </is>
      </c>
      <c r="G261" s="7" t="inlineStr">
        <is>
          <t>Q3</t>
        </is>
      </c>
      <c r="H261" s="8" t="n">
        <v>10295</v>
      </c>
      <c r="I261" s="8" t="n">
        <v>3457</v>
      </c>
      <c r="J261" s="8" t="n">
        <v>388</v>
      </c>
      <c r="K261" s="8" t="n">
        <v>95</v>
      </c>
      <c r="L261" s="8" t="n">
        <v>5</v>
      </c>
      <c r="M261" s="9">
        <f>SUM(I261,J261,K261,L261)</f>
        <v/>
      </c>
      <c r="N261" s="8" t="n">
        <v>684</v>
      </c>
      <c r="O261" s="8" t="n">
        <v>113</v>
      </c>
      <c r="P261" s="8" t="n">
        <v>1376</v>
      </c>
      <c r="Q261" s="8" t="n">
        <v>264</v>
      </c>
      <c r="R261" s="9">
        <f>SUM(N261,O261,P261,Q261)</f>
        <v/>
      </c>
      <c r="S261" s="9">
        <f>M261+R261</f>
        <v/>
      </c>
      <c r="T261" s="8" t="n">
        <v>3913</v>
      </c>
      <c r="U261" s="10">
        <f>IF(H261=0,"",T261/H261)</f>
        <v/>
      </c>
      <c r="V261" s="8" t="n">
        <v>12</v>
      </c>
      <c r="W261" s="11">
        <f>IF(H261=0,"",V261/H261)</f>
        <v/>
      </c>
      <c r="X261" s="8" t="n">
        <v>0</v>
      </c>
      <c r="Y261" s="11">
        <f>IF(H261=0,"",X261/H261)</f>
        <v/>
      </c>
      <c r="Z261" s="8" t="n">
        <v>0</v>
      </c>
      <c r="AA261" s="11">
        <f>IF(H261=0,"",Z261/H261)</f>
        <v/>
      </c>
      <c r="AB261" s="8" t="n">
        <v>0</v>
      </c>
      <c r="AC261" s="11">
        <f>IF(H261=0,"",AB261/H261)</f>
        <v/>
      </c>
      <c r="AD261" s="8" t="n">
        <v>0</v>
      </c>
      <c r="AE261" s="11">
        <f>IF(H261=0,"",AD261/H261)</f>
        <v/>
      </c>
      <c r="AF261" s="8" t="n">
        <v>0</v>
      </c>
      <c r="AG261" s="11">
        <f>IF(H261=0,"",AF261/H261)</f>
        <v/>
      </c>
      <c r="AH261" s="8" t="n">
        <v>42303.48</v>
      </c>
      <c r="AI261" s="9">
        <f>IF(H261=0,"",AH261/H261)</f>
        <v/>
      </c>
      <c r="AJ261" s="8" t="n">
        <v>0</v>
      </c>
      <c r="AK261" s="11">
        <f>IF(H261=0,"",AJ261/H261)</f>
        <v/>
      </c>
      <c r="AL261" s="8" t="n">
        <v>16426.5</v>
      </c>
      <c r="AM261" s="9">
        <f>IF(H261=0,"",AL261/H261)</f>
        <v/>
      </c>
      <c r="AN261" s="8" t="n">
        <v>0</v>
      </c>
      <c r="AO261" s="8" t="n">
        <v>0</v>
      </c>
      <c r="AP261" s="8" t="n">
        <v>0</v>
      </c>
      <c r="AQ261" s="8" t="n">
        <v>0</v>
      </c>
      <c r="AR261" s="8" t="n">
        <v>0</v>
      </c>
      <c r="AS261" s="8" t="n">
        <v>0</v>
      </c>
      <c r="AT261" s="8" t="n">
        <v>0</v>
      </c>
      <c r="AU261" s="9">
        <f>AH261+AL261+AP261+AQ261+AR261+AS261+AT261</f>
        <v/>
      </c>
      <c r="AV261" s="9">
        <f>IF(H261=0,"",AU261/H261)</f>
        <v/>
      </c>
      <c r="AW261" s="9">
        <f>IF(S261=0,"",AU261/S261)</f>
        <v/>
      </c>
      <c r="AX261" s="8" t="n">
        <v>6</v>
      </c>
      <c r="AY261" s="9">
        <f>IF(H261=0,"",AX261/(H261/1000/12))</f>
        <v/>
      </c>
      <c r="AZ261" s="8" t="n">
        <v>6</v>
      </c>
      <c r="BA261" s="8" t="n">
        <v>30</v>
      </c>
      <c r="BB261" s="8" t="n">
        <v>0</v>
      </c>
      <c r="BC261" s="8" t="n">
        <v>6</v>
      </c>
      <c r="BD261" s="8" t="n">
        <v>0</v>
      </c>
      <c r="BE261" s="9">
        <f>BC261+BD261</f>
        <v/>
      </c>
      <c r="BF261" s="9">
        <f>BA261+BB261-BE261</f>
        <v/>
      </c>
      <c r="BG261" s="8" t="n">
        <v>0</v>
      </c>
      <c r="BH261" s="8" t="n">
        <v>0</v>
      </c>
      <c r="BI261" s="8" t="n">
        <v>0</v>
      </c>
      <c r="BJ261" s="8" t="n">
        <v>0</v>
      </c>
      <c r="BK261" s="9">
        <f>BI261+BJ261</f>
        <v/>
      </c>
      <c r="BL261" s="9">
        <f>BG261+BH261-BK261</f>
        <v/>
      </c>
      <c r="BM261" s="8" t="n">
        <v>0</v>
      </c>
      <c r="BN261" s="8" t="n">
        <v>0</v>
      </c>
      <c r="BO261" s="8" t="n">
        <v>0</v>
      </c>
      <c r="BP261" s="8" t="n">
        <v>0</v>
      </c>
      <c r="BQ261" s="9">
        <f>BO261+BP261</f>
        <v/>
      </c>
      <c r="BR261" s="9">
        <f>BM261+BN261-BQ261</f>
        <v/>
      </c>
      <c r="BS261" s="8" t="n">
        <v>0</v>
      </c>
      <c r="BT261" s="8" t="n">
        <v>0</v>
      </c>
      <c r="BU261" s="8" t="n">
        <v>0</v>
      </c>
      <c r="BV261" s="8" t="n">
        <v>0</v>
      </c>
      <c r="BW261" s="9">
        <f>BU261+BV261</f>
        <v/>
      </c>
      <c r="BX261" s="9">
        <f>BS261+BT261-BW261</f>
        <v/>
      </c>
      <c r="BY261" s="9">
        <f>BA261+BG261+BM261+BS261</f>
        <v/>
      </c>
      <c r="BZ261" s="9">
        <f>BB261+BH261+BN261+BT261</f>
        <v/>
      </c>
      <c r="CA261" s="9">
        <f>BE261+BK261+BQ261+BW261</f>
        <v/>
      </c>
      <c r="CB261" s="9">
        <f>BF261+BL261+BR261+BX261</f>
        <v/>
      </c>
      <c r="CC261" s="8" t="n">
        <v>0</v>
      </c>
      <c r="CD261" s="8" t="n">
        <v>719</v>
      </c>
      <c r="CE261" s="8" t="n">
        <v>20</v>
      </c>
      <c r="CF261" s="8" t="n">
        <v>63</v>
      </c>
      <c r="CG261" s="8" t="n">
        <v>19</v>
      </c>
      <c r="CH261" s="9">
        <f>CD261+CE261+CF261+CG261</f>
        <v/>
      </c>
      <c r="CI261" s="8" t="n">
        <v>757</v>
      </c>
      <c r="CJ261" s="8" t="n">
        <v>0</v>
      </c>
      <c r="CK261" s="8" t="n">
        <v>0</v>
      </c>
      <c r="CL261" s="8" t="n">
        <v>10</v>
      </c>
      <c r="CM261" s="9">
        <f>CI261+CJ261+CK261+CL261</f>
        <v/>
      </c>
      <c r="CN261" s="8" t="n">
        <v>201</v>
      </c>
      <c r="CO261" s="8" t="n">
        <v>30</v>
      </c>
      <c r="CP261" s="8" t="n">
        <v>28</v>
      </c>
      <c r="CQ261" s="8" t="n">
        <v>1</v>
      </c>
      <c r="CR261" s="9">
        <f>CN261+CO261+CP261+CQ261</f>
        <v/>
      </c>
      <c r="CS261" s="9">
        <f>CM261+CR261</f>
        <v/>
      </c>
      <c r="CT261" s="8" t="n">
        <v>1848</v>
      </c>
      <c r="CU261" s="8" t="n">
        <v>18546.0024364015</v>
      </c>
      <c r="CV261" s="8" t="n">
        <v>11581</v>
      </c>
      <c r="CW261" s="10">
        <f>IF(CU261=0,"",CV261/CU261)</f>
        <v/>
      </c>
      <c r="CX261" s="8" t="n">
        <v>0</v>
      </c>
      <c r="CY261" s="8" t="n"/>
      <c r="CZ261" s="8" t="n"/>
      <c r="DA261" s="8" t="n"/>
      <c r="DB261" s="9">
        <f>CX261+CY261-CZ261-DA261</f>
        <v/>
      </c>
      <c r="DC261" s="8" t="n">
        <v>0</v>
      </c>
      <c r="DD261" s="8" t="n">
        <v>0</v>
      </c>
      <c r="DE261" s="8" t="n">
        <v>0</v>
      </c>
      <c r="DF261" s="8" t="n">
        <v>0</v>
      </c>
      <c r="DG261" s="9">
        <f>DC261+DD261-DE261-DF261</f>
        <v/>
      </c>
      <c r="DH261" s="8" t="n">
        <v>0</v>
      </c>
      <c r="DI261" s="8" t="n">
        <v>0</v>
      </c>
      <c r="DJ261" s="8" t="n">
        <v>0</v>
      </c>
      <c r="DK261" s="8" t="n">
        <v>0</v>
      </c>
      <c r="DL261" s="9">
        <f>DH261+DI261-DJ261-DK261</f>
        <v/>
      </c>
      <c r="DM261" s="8" t="n">
        <v>96</v>
      </c>
      <c r="DN261" s="8" t="n">
        <v>0</v>
      </c>
      <c r="DO261" s="8" t="n">
        <v>0</v>
      </c>
      <c r="DP261" s="8" t="n">
        <v>0</v>
      </c>
      <c r="DQ261" s="9">
        <f>DM261+DN261-DO261-DP261</f>
        <v/>
      </c>
      <c r="DR261" s="9">
        <f>CX261+DC261+DH261+DM261</f>
        <v/>
      </c>
      <c r="DS261" s="9">
        <f>CY261+DD261+DI261+DN261</f>
        <v/>
      </c>
      <c r="DT261" s="9">
        <f>CZ261+DE261+DJ261+DO261</f>
        <v/>
      </c>
      <c r="DU261" s="9">
        <f>DA261+DF261+DK261+DP261</f>
        <v/>
      </c>
      <c r="DV261" s="9">
        <f>DB261+DG261+DL261+DQ261</f>
        <v/>
      </c>
      <c r="DW261" s="8" t="n">
        <v>19</v>
      </c>
      <c r="DX261" s="8" t="n">
        <v>3</v>
      </c>
      <c r="DY261" s="8" t="n">
        <v>1</v>
      </c>
      <c r="DZ261" s="8" t="n">
        <v>4</v>
      </c>
      <c r="EA261" s="8" t="n">
        <v>1</v>
      </c>
      <c r="EB261" s="8" t="n">
        <v>4</v>
      </c>
      <c r="EC261" s="8" t="n">
        <v>0</v>
      </c>
      <c r="ED261" s="8" t="n">
        <v>0</v>
      </c>
      <c r="EE261" s="8" t="n">
        <v>0</v>
      </c>
      <c r="EF261" s="8" t="n">
        <v>0</v>
      </c>
      <c r="EG261" s="8" t="n">
        <v>0</v>
      </c>
      <c r="EH261" s="8" t="n">
        <v>0</v>
      </c>
      <c r="EI261" s="8" t="n">
        <v>0</v>
      </c>
      <c r="EJ261" s="8" t="n">
        <v>0</v>
      </c>
      <c r="EK261" s="8" t="n">
        <v>0</v>
      </c>
      <c r="EL261" s="8" t="n">
        <v>0</v>
      </c>
      <c r="EM261" s="8" t="n">
        <v>0</v>
      </c>
      <c r="EN261" s="8" t="n">
        <v>0</v>
      </c>
      <c r="EO261" s="8" t="n">
        <v>0</v>
      </c>
      <c r="EP261" s="8" t="n">
        <v>0</v>
      </c>
      <c r="EQ261" s="8" t="n">
        <v>0</v>
      </c>
      <c r="ER261" s="8" t="n">
        <v>0</v>
      </c>
      <c r="ES261" s="8" t="n">
        <v>0</v>
      </c>
      <c r="ET261" s="8" t="n">
        <v>0</v>
      </c>
      <c r="EU261" s="8" t="n">
        <v>0</v>
      </c>
      <c r="EV261" s="8" t="n">
        <v>0</v>
      </c>
      <c r="EW261" s="8" t="n">
        <v>0</v>
      </c>
      <c r="EX261" s="8" t="n">
        <v>0</v>
      </c>
      <c r="EY261" s="8" t="n">
        <v>0</v>
      </c>
      <c r="EZ261" s="8" t="n">
        <v>0</v>
      </c>
      <c r="FA261" s="8" t="n">
        <v>0</v>
      </c>
      <c r="FB261" s="8" t="n">
        <v>0</v>
      </c>
      <c r="FC261" s="8" t="n">
        <v>0</v>
      </c>
      <c r="FD261" s="8" t="n">
        <v>0</v>
      </c>
      <c r="FE261" s="8" t="n">
        <v>0</v>
      </c>
      <c r="FF261" s="8" t="n">
        <v>0</v>
      </c>
      <c r="FG261" s="9">
        <f>SUM(DW261,DX261,DY261,DZ261,EA261,EB261,EC261,ED261,EE261,EF261,EG261,EH261,EI261,EJ261,EK261,EL261,EM261,EN261,EO261,EP261,EQ261,ER261,ES261,ET261,EU261,EV261,EW261,EX261,EY261,EZ261,FA261,FB261,FC261,FD261,FE261,FF261)</f>
        <v/>
      </c>
      <c r="FH261" s="8" t="n">
        <v>0</v>
      </c>
      <c r="FI261" s="8" t="n">
        <v>0</v>
      </c>
      <c r="FJ261" s="8" t="n">
        <v>0</v>
      </c>
      <c r="FK261" s="8" t="n">
        <v>0</v>
      </c>
      <c r="FL261" s="8" t="n">
        <v>0</v>
      </c>
      <c r="FM261" s="8" t="n">
        <v>0</v>
      </c>
      <c r="FN261" s="8" t="n">
        <v>0</v>
      </c>
      <c r="FO261" s="8" t="n">
        <v>0</v>
      </c>
      <c r="FP261" s="8" t="n">
        <v>0</v>
      </c>
      <c r="FQ261" s="9">
        <f>FL261+FM261+FN261+FO261+FP261</f>
        <v/>
      </c>
      <c r="FR261" s="8" t="n">
        <v>6084451</v>
      </c>
      <c r="FS261" s="8" t="n">
        <v>84100</v>
      </c>
      <c r="FT261" s="8" t="n">
        <v>0</v>
      </c>
      <c r="FU261" s="8" t="n">
        <v>0</v>
      </c>
      <c r="FV261" s="9">
        <f>FR261+FS261+FT261+FU261</f>
        <v/>
      </c>
      <c r="FW261" s="8" t="n">
        <v>887949</v>
      </c>
      <c r="FX261" s="8" t="n">
        <v>24000</v>
      </c>
      <c r="FY261" s="8" t="n">
        <v>1248100</v>
      </c>
      <c r="FZ261" s="8" t="n">
        <v>4187804</v>
      </c>
      <c r="GA261" s="9">
        <f>FW261+FX261+FY261+FZ261</f>
        <v/>
      </c>
      <c r="GB261" s="9">
        <f>FV261+GA261</f>
        <v/>
      </c>
      <c r="GC261" s="8" t="n">
        <v>3785127.49</v>
      </c>
      <c r="GD261" s="8" t="n">
        <v>74216.64</v>
      </c>
      <c r="GE261" s="8" t="n">
        <v>315227.84</v>
      </c>
      <c r="GF261" s="8" t="n">
        <v>11796.63</v>
      </c>
      <c r="GG261" s="9">
        <f>GC261+GD261+GE261+GF261</f>
        <v/>
      </c>
      <c r="GH261" s="8" t="n">
        <v>853599.04</v>
      </c>
      <c r="GI261" s="8" t="n">
        <v>24000</v>
      </c>
      <c r="GJ261" s="8" t="n">
        <v>4181804.42</v>
      </c>
      <c r="GK261" s="8" t="n">
        <v>1248100</v>
      </c>
      <c r="GL261" s="9">
        <f>GH261+GI261+GJ261+GK261</f>
        <v/>
      </c>
      <c r="GM261" s="9">
        <f>GG261+GL261</f>
        <v/>
      </c>
      <c r="GN261" s="8" t="n">
        <v>440335.28</v>
      </c>
      <c r="GO261" s="8" t="n">
        <v>1721.52</v>
      </c>
      <c r="GP261" s="8" t="n">
        <v>30542.76</v>
      </c>
      <c r="GQ261" s="8" t="n">
        <v>4637.34</v>
      </c>
      <c r="GR261" s="9">
        <f>GN261+GO261+GP261+GQ261</f>
        <v/>
      </c>
      <c r="GS261" s="8" t="n">
        <v>730474</v>
      </c>
      <c r="GT261" s="8" t="n">
        <v>8037</v>
      </c>
      <c r="GU261" s="8" t="n">
        <v>8037</v>
      </c>
      <c r="GV261" s="8" t="n">
        <v>893</v>
      </c>
      <c r="GW261" s="9">
        <f>GS261+GT261+GU261+GV261</f>
        <v/>
      </c>
      <c r="GX261" s="9">
        <f>GM261+GR261+GW261</f>
        <v/>
      </c>
      <c r="GY261" s="8" t="n">
        <v>23782670.05</v>
      </c>
      <c r="GZ261" s="8" t="n">
        <v>4381549</v>
      </c>
      <c r="HA261" s="9">
        <f>GY261+GZ261</f>
        <v/>
      </c>
      <c r="HB261" s="9">
        <f>IF(GX261=0,"",AU261/GX261)</f>
        <v/>
      </c>
      <c r="HC261" s="10">
        <f>IF((GX261+GY261)=0,"",GB261/(GX261+GY261))</f>
        <v/>
      </c>
      <c r="HD261" s="9">
        <f>IF(GX261=0,"",GB261/GX261)</f>
        <v/>
      </c>
      <c r="HE261" s="8" t="n">
        <v>0</v>
      </c>
      <c r="HF261" s="8" t="n">
        <v>0</v>
      </c>
      <c r="HG261" s="8" t="n">
        <v>24</v>
      </c>
      <c r="HH261" s="8" t="n">
        <v>0</v>
      </c>
      <c r="HI261" s="8" t="n">
        <v>0</v>
      </c>
      <c r="HJ261" s="9">
        <f>HF261+HI261</f>
        <v/>
      </c>
      <c r="HK261" s="10">
        <f>IF(HE261=0,"",HH261/HE261)</f>
        <v/>
      </c>
      <c r="HL261" s="8" t="n">
        <v>0</v>
      </c>
      <c r="HM261" s="8" t="n">
        <v>0</v>
      </c>
      <c r="HN261" s="11">
        <f>IF(HL261=0,"",HM261/HL261)</f>
        <v/>
      </c>
    </row>
    <row r="262">
      <c r="A262" s="12" t="inlineStr">
        <is>
          <t>Ngabu</t>
        </is>
      </c>
      <c r="B262" s="12" t="inlineStr">
        <is>
          <t>Ngabu</t>
        </is>
      </c>
      <c r="C262" s="13" t="inlineStr">
        <is>
          <t>FY2025/26</t>
        </is>
      </c>
      <c r="D262" s="13" t="n">
        <v>2025</v>
      </c>
      <c r="E262" s="13" t="n">
        <v>11</v>
      </c>
      <c r="F262" s="13" t="inlineStr">
        <is>
          <t>November</t>
        </is>
      </c>
      <c r="G262" s="13" t="inlineStr">
        <is>
          <t>Q3</t>
        </is>
      </c>
      <c r="H262" s="14" t="n">
        <v>11325</v>
      </c>
      <c r="I262" s="14" t="n">
        <v>4745</v>
      </c>
      <c r="J262" s="14" t="n">
        <v>442</v>
      </c>
      <c r="K262" s="14" t="n">
        <v>129</v>
      </c>
      <c r="L262" s="14" t="n">
        <v>16</v>
      </c>
      <c r="M262" s="15">
        <f>SUM(I262,J262,K262,L262)</f>
        <v/>
      </c>
      <c r="N262" s="14" t="n">
        <v>769</v>
      </c>
      <c r="O262" s="14" t="n">
        <v>37</v>
      </c>
      <c r="P262" s="14" t="n">
        <v>748</v>
      </c>
      <c r="Q262" s="14" t="n">
        <v>226</v>
      </c>
      <c r="R262" s="15">
        <f>SUM(N262,O262,P262,Q262)</f>
        <v/>
      </c>
      <c r="S262" s="15">
        <f>M262+R262</f>
        <v/>
      </c>
      <c r="T262" s="14" t="n">
        <v>4213</v>
      </c>
      <c r="U262" s="16">
        <f>IF(H262=0,"",T262/H262)</f>
        <v/>
      </c>
      <c r="V262" s="14" t="n">
        <v>12</v>
      </c>
      <c r="W262" s="17">
        <f>IF(H262=0,"",V262/H262)</f>
        <v/>
      </c>
      <c r="X262" s="14" t="n">
        <v>0</v>
      </c>
      <c r="Y262" s="17">
        <f>IF(H262=0,"",X262/H262)</f>
        <v/>
      </c>
      <c r="Z262" s="14" t="n">
        <v>0</v>
      </c>
      <c r="AA262" s="17">
        <f>IF(H262=0,"",Z262/H262)</f>
        <v/>
      </c>
      <c r="AB262" s="14" t="n">
        <v>0</v>
      </c>
      <c r="AC262" s="17">
        <f>IF(H262=0,"",AB262/H262)</f>
        <v/>
      </c>
      <c r="AD262" s="14" t="n">
        <v>0</v>
      </c>
      <c r="AE262" s="17">
        <f>IF(H262=0,"",AD262/H262)</f>
        <v/>
      </c>
      <c r="AF262" s="14" t="n">
        <v>0</v>
      </c>
      <c r="AG262" s="17">
        <f>IF(H262=0,"",AF262/H262)</f>
        <v/>
      </c>
      <c r="AH262" s="14" t="n">
        <v>42303.48</v>
      </c>
      <c r="AI262" s="15">
        <f>IF(H262=0,"",AH262/H262)</f>
        <v/>
      </c>
      <c r="AJ262" s="14" t="n">
        <v>0</v>
      </c>
      <c r="AK262" s="17">
        <f>IF(H262=0,"",AJ262/H262)</f>
        <v/>
      </c>
      <c r="AL262" s="14" t="n">
        <v>16426.5</v>
      </c>
      <c r="AM262" s="15">
        <f>IF(H262=0,"",AL262/H262)</f>
        <v/>
      </c>
      <c r="AN262" s="14" t="n">
        <v>0</v>
      </c>
      <c r="AO262" s="14" t="n">
        <v>0</v>
      </c>
      <c r="AP262" s="14" t="n">
        <v>0</v>
      </c>
      <c r="AQ262" s="14" t="n">
        <v>0</v>
      </c>
      <c r="AR262" s="14" t="n">
        <v>0</v>
      </c>
      <c r="AS262" s="14" t="n">
        <v>0</v>
      </c>
      <c r="AT262" s="14" t="n">
        <v>0</v>
      </c>
      <c r="AU262" s="15">
        <f>AH262+AL262+AP262+AQ262+AR262+AS262+AT262</f>
        <v/>
      </c>
      <c r="AV262" s="15">
        <f>IF(H262=0,"",AU262/H262)</f>
        <v/>
      </c>
      <c r="AW262" s="15">
        <f>IF(S262=0,"",AU262/S262)</f>
        <v/>
      </c>
      <c r="AX262" s="14" t="n">
        <v>6</v>
      </c>
      <c r="AY262" s="15">
        <f>IF(H262=0,"",AX262/(H262/1000/12))</f>
        <v/>
      </c>
      <c r="AZ262" s="14" t="n">
        <v>6</v>
      </c>
      <c r="BA262" s="14" t="n">
        <v>24</v>
      </c>
      <c r="BB262" s="14" t="n">
        <v>11</v>
      </c>
      <c r="BC262" s="14" t="n">
        <v>3</v>
      </c>
      <c r="BD262" s="14" t="n">
        <v>0</v>
      </c>
      <c r="BE262" s="15">
        <f>BC262+BD262</f>
        <v/>
      </c>
      <c r="BF262" s="15">
        <f>BA262+BB262-BE262</f>
        <v/>
      </c>
      <c r="BG262" s="14" t="n">
        <v>0</v>
      </c>
      <c r="BH262" s="14" t="n">
        <v>0</v>
      </c>
      <c r="BI262" s="14" t="n">
        <v>0</v>
      </c>
      <c r="BJ262" s="14" t="n">
        <v>0</v>
      </c>
      <c r="BK262" s="15">
        <f>BI262+BJ262</f>
        <v/>
      </c>
      <c r="BL262" s="15">
        <f>BG262+BH262-BK262</f>
        <v/>
      </c>
      <c r="BM262" s="14" t="n">
        <v>0</v>
      </c>
      <c r="BN262" s="14" t="n">
        <v>0</v>
      </c>
      <c r="BO262" s="14" t="n">
        <v>0</v>
      </c>
      <c r="BP262" s="14" t="n">
        <v>0</v>
      </c>
      <c r="BQ262" s="15">
        <f>BO262+BP262</f>
        <v/>
      </c>
      <c r="BR262" s="15">
        <f>BM262+BN262-BQ262</f>
        <v/>
      </c>
      <c r="BS262" s="14" t="n">
        <v>0</v>
      </c>
      <c r="BT262" s="14" t="n">
        <v>0</v>
      </c>
      <c r="BU262" s="14" t="n">
        <v>0</v>
      </c>
      <c r="BV262" s="14" t="n">
        <v>0</v>
      </c>
      <c r="BW262" s="15">
        <f>BU262+BV262</f>
        <v/>
      </c>
      <c r="BX262" s="15">
        <f>BS262+BT262-BW262</f>
        <v/>
      </c>
      <c r="BY262" s="15">
        <f>BA262+BG262+BM262+BS262</f>
        <v/>
      </c>
      <c r="BZ262" s="15">
        <f>BB262+BH262+BN262+BT262</f>
        <v/>
      </c>
      <c r="CA262" s="15">
        <f>BE262+BK262+BQ262+BW262</f>
        <v/>
      </c>
      <c r="CB262" s="15">
        <f>BF262+BL262+BR262+BX262</f>
        <v/>
      </c>
      <c r="CC262" s="14" t="n">
        <v>0</v>
      </c>
      <c r="CD262" s="14" t="n">
        <v>718</v>
      </c>
      <c r="CE262" s="14" t="n">
        <v>20</v>
      </c>
      <c r="CF262" s="14" t="n">
        <v>63</v>
      </c>
      <c r="CG262" s="14" t="n">
        <v>19</v>
      </c>
      <c r="CH262" s="15">
        <f>CD262+CE262+CF262+CG262</f>
        <v/>
      </c>
      <c r="CI262" s="14" t="n">
        <v>761</v>
      </c>
      <c r="CJ262" s="14" t="n">
        <v>0</v>
      </c>
      <c r="CK262" s="14" t="n">
        <v>0</v>
      </c>
      <c r="CL262" s="14" t="n">
        <v>10</v>
      </c>
      <c r="CM262" s="15">
        <f>CI262+CJ262+CK262+CL262</f>
        <v/>
      </c>
      <c r="CN262" s="14" t="n">
        <v>201</v>
      </c>
      <c r="CO262" s="14" t="n">
        <v>30</v>
      </c>
      <c r="CP262" s="14" t="n">
        <v>28</v>
      </c>
      <c r="CQ262" s="14" t="n">
        <v>1</v>
      </c>
      <c r="CR262" s="15">
        <f>CN262+CO262+CP262+CQ262</f>
        <v/>
      </c>
      <c r="CS262" s="15">
        <f>CM262+CR262</f>
        <v/>
      </c>
      <c r="CT262" s="14" t="n">
        <v>1851</v>
      </c>
      <c r="CU262" s="14" t="n">
        <v>18583.0944412743</v>
      </c>
      <c r="CV262" s="14" t="n">
        <v>11581</v>
      </c>
      <c r="CW262" s="16">
        <f>IF(CU262=0,"",CV262/CU262)</f>
        <v/>
      </c>
      <c r="CX262" s="14" t="n">
        <v>0</v>
      </c>
      <c r="CY262" s="14" t="n"/>
      <c r="CZ262" s="14" t="n"/>
      <c r="DA262" s="14" t="n"/>
      <c r="DB262" s="15">
        <f>CX262+CY262-CZ262-DA262</f>
        <v/>
      </c>
      <c r="DC262" s="14" t="n">
        <v>0</v>
      </c>
      <c r="DD262" s="14" t="n">
        <v>0</v>
      </c>
      <c r="DE262" s="14" t="n">
        <v>0</v>
      </c>
      <c r="DF262" s="14" t="n">
        <v>0</v>
      </c>
      <c r="DG262" s="15">
        <f>DC262+DD262-DE262-DF262</f>
        <v/>
      </c>
      <c r="DH262" s="14" t="n">
        <v>0</v>
      </c>
      <c r="DI262" s="14" t="n">
        <v>0</v>
      </c>
      <c r="DJ262" s="14" t="n">
        <v>0</v>
      </c>
      <c r="DK262" s="14" t="n">
        <v>0</v>
      </c>
      <c r="DL262" s="15">
        <f>DH262+DI262-DJ262-DK262</f>
        <v/>
      </c>
      <c r="DM262" s="14" t="n">
        <v>96</v>
      </c>
      <c r="DN262" s="14" t="n">
        <v>0</v>
      </c>
      <c r="DO262" s="14" t="n">
        <v>0</v>
      </c>
      <c r="DP262" s="14" t="n">
        <v>0</v>
      </c>
      <c r="DQ262" s="15">
        <f>DM262+DN262-DO262-DP262</f>
        <v/>
      </c>
      <c r="DR262" s="15">
        <f>CX262+DC262+DH262+DM262</f>
        <v/>
      </c>
      <c r="DS262" s="15">
        <f>CY262+DD262+DI262+DN262</f>
        <v/>
      </c>
      <c r="DT262" s="15">
        <f>CZ262+DE262+DJ262+DO262</f>
        <v/>
      </c>
      <c r="DU262" s="15">
        <f>DA262+DF262+DK262+DP262</f>
        <v/>
      </c>
      <c r="DV262" s="15">
        <f>DB262+DG262+DL262+DQ262</f>
        <v/>
      </c>
      <c r="DW262" s="14" t="n">
        <v>17</v>
      </c>
      <c r="DX262" s="14" t="n">
        <v>2</v>
      </c>
      <c r="DY262" s="14" t="n">
        <v>3</v>
      </c>
      <c r="DZ262" s="14" t="n">
        <v>4</v>
      </c>
      <c r="EA262" s="14" t="n">
        <v>1</v>
      </c>
      <c r="EB262" s="14" t="n">
        <v>3</v>
      </c>
      <c r="EC262" s="14" t="n">
        <v>0</v>
      </c>
      <c r="ED262" s="14" t="n">
        <v>0</v>
      </c>
      <c r="EE262" s="14" t="n">
        <v>0</v>
      </c>
      <c r="EF262" s="14" t="n">
        <v>0</v>
      </c>
      <c r="EG262" s="14" t="n">
        <v>0</v>
      </c>
      <c r="EH262" s="14" t="n">
        <v>0</v>
      </c>
      <c r="EI262" s="14" t="n">
        <v>0</v>
      </c>
      <c r="EJ262" s="14" t="n">
        <v>0</v>
      </c>
      <c r="EK262" s="14" t="n">
        <v>0</v>
      </c>
      <c r="EL262" s="14" t="n">
        <v>0</v>
      </c>
      <c r="EM262" s="14" t="n">
        <v>0</v>
      </c>
      <c r="EN262" s="14" t="n">
        <v>0</v>
      </c>
      <c r="EO262" s="14" t="n">
        <v>0</v>
      </c>
      <c r="EP262" s="14" t="n">
        <v>0</v>
      </c>
      <c r="EQ262" s="14" t="n">
        <v>0</v>
      </c>
      <c r="ER262" s="14" t="n">
        <v>0</v>
      </c>
      <c r="ES262" s="14" t="n">
        <v>0</v>
      </c>
      <c r="ET262" s="14" t="n">
        <v>0</v>
      </c>
      <c r="EU262" s="14" t="n">
        <v>0</v>
      </c>
      <c r="EV262" s="14" t="n">
        <v>0</v>
      </c>
      <c r="EW262" s="14" t="n">
        <v>0</v>
      </c>
      <c r="EX262" s="14" t="n">
        <v>0</v>
      </c>
      <c r="EY262" s="14" t="n">
        <v>0</v>
      </c>
      <c r="EZ262" s="14" t="n">
        <v>0</v>
      </c>
      <c r="FA262" s="14" t="n">
        <v>0</v>
      </c>
      <c r="FB262" s="14" t="n">
        <v>0</v>
      </c>
      <c r="FC262" s="14" t="n">
        <v>0</v>
      </c>
      <c r="FD262" s="14" t="n">
        <v>0</v>
      </c>
      <c r="FE262" s="14" t="n">
        <v>0</v>
      </c>
      <c r="FF262" s="14" t="n">
        <v>0</v>
      </c>
      <c r="FG262" s="15">
        <f>SUM(DW262,DX262,DY262,DZ262,EA262,EB262,EC262,ED262,EE262,EF262,EG262,EH262,EI262,EJ262,EK262,EL262,EM262,EN262,EO262,EP262,EQ262,ER262,ES262,ET262,EU262,EV262,EW262,EX262,EY262,EZ262,FA262,FB262,FC262,FD262,FE262,FF262)</f>
        <v/>
      </c>
      <c r="FH262" s="14" t="n">
        <v>0</v>
      </c>
      <c r="FI262" s="14" t="n">
        <v>0</v>
      </c>
      <c r="FJ262" s="14" t="n">
        <v>0</v>
      </c>
      <c r="FK262" s="14" t="n">
        <v>0</v>
      </c>
      <c r="FL262" s="14" t="n">
        <v>0</v>
      </c>
      <c r="FM262" s="14" t="n">
        <v>0</v>
      </c>
      <c r="FN262" s="14" t="n">
        <v>0</v>
      </c>
      <c r="FO262" s="14" t="n">
        <v>0</v>
      </c>
      <c r="FP262" s="14" t="n">
        <v>0</v>
      </c>
      <c r="FQ262" s="15">
        <f>FL262+FM262+FN262+FO262+FP262</f>
        <v/>
      </c>
      <c r="FR262" s="14" t="n">
        <v>2845123</v>
      </c>
      <c r="FS262" s="14" t="n">
        <v>61800</v>
      </c>
      <c r="FT262" s="14" t="n">
        <v>30000</v>
      </c>
      <c r="FU262" s="14" t="n">
        <v>640294</v>
      </c>
      <c r="FV262" s="15">
        <f>FR262+FS262+FT262+FU262</f>
        <v/>
      </c>
      <c r="FW262" s="14" t="n">
        <v>994593</v>
      </c>
      <c r="FX262" s="14" t="n">
        <v>7800</v>
      </c>
      <c r="FY262" s="14" t="n">
        <v>1072600</v>
      </c>
      <c r="FZ262" s="14" t="n">
        <v>2277200</v>
      </c>
      <c r="GA262" s="15">
        <f>FW262+FX262+FY262+FZ262</f>
        <v/>
      </c>
      <c r="GB262" s="15">
        <f>FV262+GA262</f>
        <v/>
      </c>
      <c r="GC262" s="14" t="n">
        <v>4676386.77</v>
      </c>
      <c r="GD262" s="14" t="n">
        <v>84545.75999999999</v>
      </c>
      <c r="GE262" s="14" t="n">
        <v>405290.01</v>
      </c>
      <c r="GF262" s="14" t="n">
        <v>54205.81</v>
      </c>
      <c r="GG262" s="15">
        <f>GC262+GD262+GE262+GF262</f>
        <v/>
      </c>
      <c r="GH262" s="14" t="n">
        <v>959192.72</v>
      </c>
      <c r="GI262" s="14" t="n">
        <v>7800</v>
      </c>
      <c r="GJ262" s="14" t="n">
        <v>2274200</v>
      </c>
      <c r="GK262" s="14" t="n">
        <v>1072600</v>
      </c>
      <c r="GL262" s="15">
        <f>GH262+GI262+GJ262+GK262</f>
        <v/>
      </c>
      <c r="GM262" s="15">
        <f>GG262+GL262</f>
        <v/>
      </c>
      <c r="GN262" s="14" t="n">
        <v>440716.36</v>
      </c>
      <c r="GO262" s="14" t="n">
        <v>2104.08</v>
      </c>
      <c r="GP262" s="14" t="n">
        <v>27149.12</v>
      </c>
      <c r="GQ262" s="14" t="n">
        <v>4637.34</v>
      </c>
      <c r="GR262" s="15">
        <f>GN262+GO262+GP262+GQ262</f>
        <v/>
      </c>
      <c r="GS262" s="14" t="n">
        <v>731367</v>
      </c>
      <c r="GT262" s="14" t="n">
        <v>9823</v>
      </c>
      <c r="GU262" s="14" t="n">
        <v>7144</v>
      </c>
      <c r="GV262" s="14" t="n">
        <v>893</v>
      </c>
      <c r="GW262" s="15">
        <f>GS262+GT262+GU262+GV262</f>
        <v/>
      </c>
      <c r="GX262" s="15">
        <f>GM262+GR262+GW262</f>
        <v/>
      </c>
      <c r="GY262" s="14" t="n">
        <v>25425802.52</v>
      </c>
      <c r="GZ262" s="14" t="n">
        <v>4283633.7</v>
      </c>
      <c r="HA262" s="15">
        <f>GY262+GZ262</f>
        <v/>
      </c>
      <c r="HB262" s="15">
        <f>IF(GX262=0,"",AU262/GX262)</f>
        <v/>
      </c>
      <c r="HC262" s="16">
        <f>IF((GX262+GY262)=0,"",GB262/(GX262+GY262))</f>
        <v/>
      </c>
      <c r="HD262" s="15">
        <f>IF(GX262=0,"",GB262/GX262)</f>
        <v/>
      </c>
      <c r="HE262" s="14" t="n">
        <v>11</v>
      </c>
      <c r="HF262" s="14" t="n">
        <v>0</v>
      </c>
      <c r="HG262" s="14" t="n">
        <v>32</v>
      </c>
      <c r="HH262" s="14" t="n">
        <v>11</v>
      </c>
      <c r="HI262" s="14" t="n">
        <v>0</v>
      </c>
      <c r="HJ262" s="15">
        <f>HF262+HI262</f>
        <v/>
      </c>
      <c r="HK262" s="16">
        <f>IF(HE262=0,"",HH262/HE262)</f>
        <v/>
      </c>
      <c r="HL262" s="14" t="n">
        <v>0</v>
      </c>
      <c r="HM262" s="14" t="n">
        <v>0</v>
      </c>
      <c r="HN262" s="17">
        <f>IF(HL262=0,"",HM262/HL262)</f>
        <v/>
      </c>
    </row>
    <row r="263">
      <c r="A263" s="6" t="inlineStr">
        <is>
          <t>Ngabu</t>
        </is>
      </c>
      <c r="B263" s="6" t="inlineStr">
        <is>
          <t>Ngabu</t>
        </is>
      </c>
      <c r="C263" s="7" t="inlineStr">
        <is>
          <t>FY2025/26</t>
        </is>
      </c>
      <c r="D263" s="7" t="n">
        <v>2025</v>
      </c>
      <c r="E263" s="7" t="n">
        <v>12</v>
      </c>
      <c r="F263" s="7" t="inlineStr">
        <is>
          <t>December</t>
        </is>
      </c>
      <c r="G263" s="7" t="inlineStr">
        <is>
          <t>Q3</t>
        </is>
      </c>
      <c r="H263" s="8" t="n">
        <v>5900</v>
      </c>
      <c r="I263" s="8" t="n">
        <v>2927</v>
      </c>
      <c r="J263" s="8" t="n">
        <v>431</v>
      </c>
      <c r="K263" s="8" t="n">
        <v>48</v>
      </c>
      <c r="L263" s="8" t="n">
        <v>4</v>
      </c>
      <c r="M263" s="9">
        <f>SUM(I263,J263,K263,L263)</f>
        <v/>
      </c>
      <c r="N263" s="8" t="n">
        <v>827</v>
      </c>
      <c r="O263" s="8" t="n">
        <v>8</v>
      </c>
      <c r="P263" s="8" t="n">
        <v>334</v>
      </c>
      <c r="Q263" s="8" t="n">
        <v>136</v>
      </c>
      <c r="R263" s="9">
        <f>SUM(N263,O263,P263,Q263)</f>
        <v/>
      </c>
      <c r="S263" s="9">
        <f>M263+R263</f>
        <v/>
      </c>
      <c r="T263" s="8" t="n">
        <v>1185</v>
      </c>
      <c r="U263" s="10">
        <f>IF(H263=0,"",T263/H263)</f>
        <v/>
      </c>
      <c r="V263" s="8" t="n">
        <v>12</v>
      </c>
      <c r="W263" s="11">
        <f>IF(H263=0,"",V263/H263)</f>
        <v/>
      </c>
      <c r="X263" s="8" t="n">
        <v>0</v>
      </c>
      <c r="Y263" s="11">
        <f>IF(H263=0,"",X263/H263)</f>
        <v/>
      </c>
      <c r="Z263" s="8" t="n">
        <v>0</v>
      </c>
      <c r="AA263" s="11">
        <f>IF(H263=0,"",Z263/H263)</f>
        <v/>
      </c>
      <c r="AB263" s="8" t="n">
        <v>0</v>
      </c>
      <c r="AC263" s="11">
        <f>IF(H263=0,"",AB263/H263)</f>
        <v/>
      </c>
      <c r="AD263" s="8" t="n">
        <v>0</v>
      </c>
      <c r="AE263" s="11">
        <f>IF(H263=0,"",AD263/H263)</f>
        <v/>
      </c>
      <c r="AF263" s="8" t="n">
        <v>0</v>
      </c>
      <c r="AG263" s="11">
        <f>IF(H263=0,"",AF263/H263)</f>
        <v/>
      </c>
      <c r="AH263" s="8" t="n">
        <v>42303.48</v>
      </c>
      <c r="AI263" s="9">
        <f>IF(H263=0,"",AH263/H263)</f>
        <v/>
      </c>
      <c r="AJ263" s="8" t="n">
        <v>0</v>
      </c>
      <c r="AK263" s="11">
        <f>IF(H263=0,"",AJ263/H263)</f>
        <v/>
      </c>
      <c r="AL263" s="8" t="n">
        <v>16426.5</v>
      </c>
      <c r="AM263" s="9">
        <f>IF(H263=0,"",AL263/H263)</f>
        <v/>
      </c>
      <c r="AN263" s="8" t="n">
        <v>0</v>
      </c>
      <c r="AO263" s="8" t="n">
        <v>0</v>
      </c>
      <c r="AP263" s="8" t="n">
        <v>0</v>
      </c>
      <c r="AQ263" s="8" t="n">
        <v>0</v>
      </c>
      <c r="AR263" s="8" t="n">
        <v>0</v>
      </c>
      <c r="AS263" s="8" t="n">
        <v>0</v>
      </c>
      <c r="AT263" s="8" t="n">
        <v>0</v>
      </c>
      <c r="AU263" s="9">
        <f>AH263+AL263+AP263+AQ263+AR263+AS263+AT263</f>
        <v/>
      </c>
      <c r="AV263" s="9">
        <f>IF(H263=0,"",AU263/H263)</f>
        <v/>
      </c>
      <c r="AW263" s="9">
        <f>IF(S263=0,"",AU263/S263)</f>
        <v/>
      </c>
      <c r="AX263" s="8" t="n">
        <v>6</v>
      </c>
      <c r="AY263" s="9">
        <f>IF(H263=0,"",AX263/(H263/1000/12))</f>
        <v/>
      </c>
      <c r="AZ263" s="8" t="n">
        <v>6</v>
      </c>
      <c r="BA263" s="8" t="n">
        <v>32</v>
      </c>
      <c r="BB263" s="8" t="n">
        <v>0</v>
      </c>
      <c r="BC263" s="8" t="n">
        <v>0</v>
      </c>
      <c r="BD263" s="8" t="n">
        <v>0</v>
      </c>
      <c r="BE263" s="9">
        <f>BC263+BD263</f>
        <v/>
      </c>
      <c r="BF263" s="9">
        <f>BA263+BB263-BE263</f>
        <v/>
      </c>
      <c r="BG263" s="8" t="n">
        <v>0</v>
      </c>
      <c r="BH263" s="8" t="n">
        <v>0</v>
      </c>
      <c r="BI263" s="8" t="n">
        <v>0</v>
      </c>
      <c r="BJ263" s="8" t="n">
        <v>0</v>
      </c>
      <c r="BK263" s="9">
        <f>BI263+BJ263</f>
        <v/>
      </c>
      <c r="BL263" s="9">
        <f>BG263+BH263-BK263</f>
        <v/>
      </c>
      <c r="BM263" s="8" t="n">
        <v>0</v>
      </c>
      <c r="BN263" s="8" t="n">
        <v>0</v>
      </c>
      <c r="BO263" s="8" t="n">
        <v>0</v>
      </c>
      <c r="BP263" s="8" t="n">
        <v>0</v>
      </c>
      <c r="BQ263" s="9">
        <f>BO263+BP263</f>
        <v/>
      </c>
      <c r="BR263" s="9">
        <f>BM263+BN263-BQ263</f>
        <v/>
      </c>
      <c r="BS263" s="8" t="n">
        <v>0</v>
      </c>
      <c r="BT263" s="8" t="n">
        <v>0</v>
      </c>
      <c r="BU263" s="8" t="n">
        <v>0</v>
      </c>
      <c r="BV263" s="8" t="n">
        <v>0</v>
      </c>
      <c r="BW263" s="9">
        <f>BU263+BV263</f>
        <v/>
      </c>
      <c r="BX263" s="9">
        <f>BS263+BT263-BW263</f>
        <v/>
      </c>
      <c r="BY263" s="9">
        <f>BA263+BG263+BM263+BS263</f>
        <v/>
      </c>
      <c r="BZ263" s="9">
        <f>BB263+BH263+BN263+BT263</f>
        <v/>
      </c>
      <c r="CA263" s="9">
        <f>BE263+BK263+BQ263+BW263</f>
        <v/>
      </c>
      <c r="CB263" s="9">
        <f>BF263+BL263+BR263+BX263</f>
        <v/>
      </c>
      <c r="CC263" s="8" t="n">
        <v>0</v>
      </c>
      <c r="CD263" s="8" t="n">
        <v>784</v>
      </c>
      <c r="CE263" s="8" t="n">
        <v>21</v>
      </c>
      <c r="CF263" s="8" t="n">
        <v>55</v>
      </c>
      <c r="CG263" s="8" t="n">
        <v>15</v>
      </c>
      <c r="CH263" s="9">
        <f>CD263+CE263+CF263+CG263</f>
        <v/>
      </c>
      <c r="CI263" s="8" t="n">
        <v>706</v>
      </c>
      <c r="CJ263" s="8" t="n">
        <v>0</v>
      </c>
      <c r="CK263" s="8" t="n">
        <v>0</v>
      </c>
      <c r="CL263" s="8" t="n">
        <v>10</v>
      </c>
      <c r="CM263" s="9">
        <f>CI263+CJ263+CK263+CL263</f>
        <v/>
      </c>
      <c r="CN263" s="8" t="n">
        <v>201</v>
      </c>
      <c r="CO263" s="8" t="n">
        <v>30</v>
      </c>
      <c r="CP263" s="8" t="n">
        <v>28</v>
      </c>
      <c r="CQ263" s="8" t="n">
        <v>1</v>
      </c>
      <c r="CR263" s="9">
        <f>CN263+CO263+CP263+CQ263</f>
        <v/>
      </c>
      <c r="CS263" s="9">
        <f>CM263+CR263</f>
        <v/>
      </c>
      <c r="CT263" s="8" t="n">
        <v>1851</v>
      </c>
      <c r="CU263" s="8" t="n">
        <v>18620.2606301569</v>
      </c>
      <c r="CV263" s="8" t="n">
        <v>11581</v>
      </c>
      <c r="CW263" s="10">
        <f>IF(CU263=0,"",CV263/CU263)</f>
        <v/>
      </c>
      <c r="CX263" s="8" t="n">
        <v>0</v>
      </c>
      <c r="CY263" s="8" t="n"/>
      <c r="CZ263" s="8" t="n"/>
      <c r="DA263" s="8" t="n"/>
      <c r="DB263" s="9">
        <f>CX263+CY263-CZ263-DA263</f>
        <v/>
      </c>
      <c r="DC263" s="8" t="n">
        <v>0</v>
      </c>
      <c r="DD263" s="8" t="n">
        <v>0</v>
      </c>
      <c r="DE263" s="8" t="n">
        <v>0</v>
      </c>
      <c r="DF263" s="8" t="n">
        <v>0</v>
      </c>
      <c r="DG263" s="9">
        <f>DC263+DD263-DE263-DF263</f>
        <v/>
      </c>
      <c r="DH263" s="8" t="n">
        <v>0</v>
      </c>
      <c r="DI263" s="8" t="n">
        <v>0</v>
      </c>
      <c r="DJ263" s="8" t="n">
        <v>0</v>
      </c>
      <c r="DK263" s="8" t="n">
        <v>0</v>
      </c>
      <c r="DL263" s="9">
        <f>DH263+DI263-DJ263-DK263</f>
        <v/>
      </c>
      <c r="DM263" s="8" t="n">
        <v>96</v>
      </c>
      <c r="DN263" s="8" t="n">
        <v>0</v>
      </c>
      <c r="DO263" s="8" t="n">
        <v>0</v>
      </c>
      <c r="DP263" s="8" t="n">
        <v>0</v>
      </c>
      <c r="DQ263" s="9">
        <f>DM263+DN263-DO263-DP263</f>
        <v/>
      </c>
      <c r="DR263" s="9">
        <f>CX263+DC263+DH263+DM263</f>
        <v/>
      </c>
      <c r="DS263" s="9">
        <f>CY263+DD263+DI263+DN263</f>
        <v/>
      </c>
      <c r="DT263" s="9">
        <f>CZ263+DE263+DJ263+DO263</f>
        <v/>
      </c>
      <c r="DU263" s="9">
        <f>DA263+DF263+DK263+DP263</f>
        <v/>
      </c>
      <c r="DV263" s="9">
        <f>DB263+DG263+DL263+DQ263</f>
        <v/>
      </c>
      <c r="DW263" s="8" t="n">
        <v>11</v>
      </c>
      <c r="DX263" s="8" t="n">
        <v>3</v>
      </c>
      <c r="DY263" s="8" t="n">
        <v>0</v>
      </c>
      <c r="DZ263" s="8" t="n">
        <v>2</v>
      </c>
      <c r="EA263" s="8" t="n">
        <v>1</v>
      </c>
      <c r="EB263" s="8" t="n">
        <v>1</v>
      </c>
      <c r="EC263" s="8" t="n">
        <v>0</v>
      </c>
      <c r="ED263" s="8" t="n">
        <v>0</v>
      </c>
      <c r="EE263" s="8" t="n">
        <v>0</v>
      </c>
      <c r="EF263" s="8" t="n">
        <v>0</v>
      </c>
      <c r="EG263" s="8" t="n">
        <v>0</v>
      </c>
      <c r="EH263" s="8" t="n">
        <v>0</v>
      </c>
      <c r="EI263" s="8" t="n">
        <v>0</v>
      </c>
      <c r="EJ263" s="8" t="n">
        <v>0</v>
      </c>
      <c r="EK263" s="8" t="n">
        <v>0</v>
      </c>
      <c r="EL263" s="8" t="n">
        <v>0</v>
      </c>
      <c r="EM263" s="8" t="n">
        <v>0</v>
      </c>
      <c r="EN263" s="8" t="n">
        <v>0</v>
      </c>
      <c r="EO263" s="8" t="n">
        <v>0</v>
      </c>
      <c r="EP263" s="8" t="n">
        <v>0</v>
      </c>
      <c r="EQ263" s="8" t="n">
        <v>0</v>
      </c>
      <c r="ER263" s="8" t="n">
        <v>0</v>
      </c>
      <c r="ES263" s="8" t="n">
        <v>0</v>
      </c>
      <c r="ET263" s="8" t="n">
        <v>0</v>
      </c>
      <c r="EU263" s="8" t="n">
        <v>0</v>
      </c>
      <c r="EV263" s="8" t="n">
        <v>0</v>
      </c>
      <c r="EW263" s="8" t="n">
        <v>0</v>
      </c>
      <c r="EX263" s="8" t="n">
        <v>0</v>
      </c>
      <c r="EY263" s="8" t="n">
        <v>0</v>
      </c>
      <c r="EZ263" s="8" t="n">
        <v>0</v>
      </c>
      <c r="FA263" s="8" t="n">
        <v>0</v>
      </c>
      <c r="FB263" s="8" t="n">
        <v>0</v>
      </c>
      <c r="FC263" s="8" t="n">
        <v>0</v>
      </c>
      <c r="FD263" s="8" t="n">
        <v>0</v>
      </c>
      <c r="FE263" s="8" t="n">
        <v>0</v>
      </c>
      <c r="FF263" s="8" t="n">
        <v>0</v>
      </c>
      <c r="FG263" s="9">
        <f>SUM(DW263,DX263,DY263,DZ263,EA263,EB263,EC263,ED263,EE263,EF263,EG263,EH263,EI263,EJ263,EK263,EL263,EM263,EN263,EO263,EP263,EQ263,ER263,ES263,ET263,EU263,EV263,EW263,EX263,EY263,EZ263,FA263,FB263,FC263,FD263,FE263,FF263)</f>
        <v/>
      </c>
      <c r="FH263" s="8" t="n">
        <v>0</v>
      </c>
      <c r="FI263" s="8" t="n">
        <v>0</v>
      </c>
      <c r="FJ263" s="8" t="n">
        <v>0</v>
      </c>
      <c r="FK263" s="8" t="n">
        <v>0</v>
      </c>
      <c r="FL263" s="8" t="n">
        <v>0</v>
      </c>
      <c r="FM263" s="8" t="n">
        <v>0</v>
      </c>
      <c r="FN263" s="8" t="n">
        <v>0</v>
      </c>
      <c r="FO263" s="8" t="n">
        <v>0</v>
      </c>
      <c r="FP263" s="8" t="n">
        <v>0</v>
      </c>
      <c r="FQ263" s="9">
        <f>FL263+FM263+FN263+FO263+FP263</f>
        <v/>
      </c>
      <c r="FR263" s="8" t="n">
        <v>4210412</v>
      </c>
      <c r="FS263" s="8" t="n">
        <v>154600</v>
      </c>
      <c r="FT263" s="8" t="n">
        <v>77237</v>
      </c>
      <c r="FU263" s="8" t="n">
        <v>40280</v>
      </c>
      <c r="FV263" s="9">
        <f>FR263+FS263+FT263+FU263</f>
        <v/>
      </c>
      <c r="FW263" s="8" t="n">
        <v>1056850</v>
      </c>
      <c r="FX263" s="8" t="n">
        <v>1600</v>
      </c>
      <c r="FY263" s="8" t="n">
        <v>642900</v>
      </c>
      <c r="FZ263" s="8" t="n">
        <v>1014250</v>
      </c>
      <c r="GA263" s="9">
        <f>FW263+FX263+FY263+FZ263</f>
        <v/>
      </c>
      <c r="GB263" s="9">
        <f>FV263+GA263</f>
        <v/>
      </c>
      <c r="GC263" s="8" t="n">
        <v>1056850</v>
      </c>
      <c r="GD263" s="8" t="n">
        <v>1600</v>
      </c>
      <c r="GE263" s="8" t="n">
        <v>642900</v>
      </c>
      <c r="GF263" s="8" t="n">
        <v>1014250</v>
      </c>
      <c r="GG263" s="9">
        <f>GC263+GD263+GE263+GF263</f>
        <v/>
      </c>
      <c r="GH263" s="8" t="n">
        <v>1030150</v>
      </c>
      <c r="GI263" s="8" t="n">
        <v>1600</v>
      </c>
      <c r="GJ263" s="8" t="n">
        <v>1014250</v>
      </c>
      <c r="GK263" s="8" t="n">
        <v>642900</v>
      </c>
      <c r="GL263" s="9">
        <f>GH263+GI263+GJ263+GK263</f>
        <v/>
      </c>
      <c r="GM263" s="9">
        <f>GG263+GL263</f>
        <v/>
      </c>
      <c r="GN263" s="8" t="n">
        <v>445102.37</v>
      </c>
      <c r="GO263" s="8" t="n">
        <v>2295.36</v>
      </c>
      <c r="GP263" s="8" t="n">
        <v>27149.12</v>
      </c>
      <c r="GQ263" s="8" t="n">
        <v>4637.34</v>
      </c>
      <c r="GR263" s="9">
        <f>GN263+GO263+GP263+GQ263</f>
        <v/>
      </c>
      <c r="GS263" s="8" t="n">
        <v>740297</v>
      </c>
      <c r="GT263" s="8" t="n">
        <v>10716</v>
      </c>
      <c r="GU263" s="8" t="n">
        <v>7144</v>
      </c>
      <c r="GV263" s="8" t="n">
        <v>893</v>
      </c>
      <c r="GW263" s="9">
        <f>GS263+GT263+GU263+GV263</f>
        <v/>
      </c>
      <c r="GX263" s="9">
        <f>GM263+GR263+GW263</f>
        <v/>
      </c>
      <c r="GY263" s="8" t="n">
        <v>25423116.93</v>
      </c>
      <c r="GZ263" s="8" t="n">
        <v>1354907.76</v>
      </c>
      <c r="HA263" s="9">
        <f>GY263+GZ263</f>
        <v/>
      </c>
      <c r="HB263" s="9">
        <f>IF(GX263=0,"",AU263/GX263)</f>
        <v/>
      </c>
      <c r="HC263" s="10">
        <f>IF((GX263+GY263)=0,"",GB263/(GX263+GY263))</f>
        <v/>
      </c>
      <c r="HD263" s="9">
        <f>IF(GX263=0,"",GB263/GX263)</f>
        <v/>
      </c>
      <c r="HE263" s="8" t="n">
        <v>0</v>
      </c>
      <c r="HF263" s="8" t="n">
        <v>0</v>
      </c>
      <c r="HG263" s="8" t="n">
        <v>32</v>
      </c>
      <c r="HH263" s="8" t="n">
        <v>0</v>
      </c>
      <c r="HI263" s="8" t="n">
        <v>0</v>
      </c>
      <c r="HJ263" s="9">
        <f>HF263+HI263</f>
        <v/>
      </c>
      <c r="HK263" s="10">
        <f>IF(HE263=0,"",HH263/HE263)</f>
        <v/>
      </c>
      <c r="HL263" s="8" t="n">
        <v>0</v>
      </c>
      <c r="HM263" s="8" t="n">
        <v>0</v>
      </c>
      <c r="HN263" s="11">
        <f>IF(HL263=0,"",HM263/HL263)</f>
        <v/>
      </c>
    </row>
    <row r="264">
      <c r="A264" s="12" t="inlineStr">
        <is>
          <t>Ngabu</t>
        </is>
      </c>
      <c r="B264" s="12" t="inlineStr">
        <is>
          <t>Ngabu</t>
        </is>
      </c>
      <c r="C264" s="13" t="inlineStr">
        <is>
          <t>FY2025/26</t>
        </is>
      </c>
      <c r="D264" s="13" t="n">
        <v>2026</v>
      </c>
      <c r="E264" s="13" t="n">
        <v>1</v>
      </c>
      <c r="F264" s="13" t="inlineStr">
        <is>
          <t>January</t>
        </is>
      </c>
      <c r="G264" s="13" t="inlineStr">
        <is>
          <t>Q4</t>
        </is>
      </c>
      <c r="H264" s="14" t="n">
        <v>8600</v>
      </c>
      <c r="I264" s="14" t="n">
        <v>3720</v>
      </c>
      <c r="J264" s="14" t="n">
        <v>1133</v>
      </c>
      <c r="K264" s="14" t="n">
        <v>365</v>
      </c>
      <c r="L264" s="14" t="n">
        <v>211</v>
      </c>
      <c r="M264" s="15" t="n">
        <v>5429</v>
      </c>
      <c r="N264" s="14" t="n">
        <v>986</v>
      </c>
      <c r="O264" s="14" t="n">
        <v>19</v>
      </c>
      <c r="P264" s="14" t="n">
        <v>203</v>
      </c>
      <c r="Q264" s="14" t="n">
        <v>61</v>
      </c>
      <c r="R264" s="15" t="n">
        <v>1269</v>
      </c>
      <c r="S264" s="15" t="n">
        <v>6698</v>
      </c>
      <c r="T264" s="14" t="n">
        <v>1902</v>
      </c>
      <c r="U264" s="16" t="n">
        <v>0.2211627906976744</v>
      </c>
      <c r="V264" s="14" t="n">
        <v>12</v>
      </c>
      <c r="W264" s="17" t="n">
        <v>1.395348837209302</v>
      </c>
      <c r="X264" s="14" t="n">
        <v>0</v>
      </c>
      <c r="Y264" s="17" t="n">
        <v>0</v>
      </c>
      <c r="Z264" s="14" t="n">
        <v>0</v>
      </c>
      <c r="AA264" s="17" t="n">
        <v>0</v>
      </c>
      <c r="AB264" s="14" t="n">
        <v>0</v>
      </c>
      <c r="AC264" s="17" t="n">
        <v>0</v>
      </c>
      <c r="AD264" s="14" t="n">
        <v>0</v>
      </c>
      <c r="AE264" s="17" t="n">
        <v>0</v>
      </c>
      <c r="AF264" s="14" t="n">
        <v>0</v>
      </c>
      <c r="AG264" s="17" t="n">
        <v>0</v>
      </c>
      <c r="AH264" s="14" t="n">
        <v>42303.48</v>
      </c>
      <c r="AI264" s="15" t="n">
        <v>4.919009302325581</v>
      </c>
      <c r="AJ264" s="14" t="n">
        <v>7847.93</v>
      </c>
      <c r="AK264" s="17" t="n">
        <v>0.9125500000000001</v>
      </c>
      <c r="AL264" s="14" t="n">
        <v>1105338.559395</v>
      </c>
      <c r="AM264" s="15" t="n">
        <v>128.5277394645349</v>
      </c>
      <c r="AN264" s="14" t="n">
        <v>0</v>
      </c>
      <c r="AO264" s="14" t="n">
        <v>0</v>
      </c>
      <c r="AP264" s="14" t="n">
        <v>0</v>
      </c>
      <c r="AQ264" s="14" t="n">
        <v>0</v>
      </c>
      <c r="AR264" s="14" t="n">
        <v>0</v>
      </c>
      <c r="AS264" s="14" t="n">
        <v>0</v>
      </c>
      <c r="AT264" s="14" t="n">
        <v>0</v>
      </c>
      <c r="AU264" s="15" t="n">
        <v>1147642.039395</v>
      </c>
      <c r="AV264" s="15" t="n">
        <v>133.4467487668605</v>
      </c>
      <c r="AW264" s="15" t="n">
        <v>171.3410031942371</v>
      </c>
      <c r="AX264" s="14" t="n">
        <v>6</v>
      </c>
      <c r="AY264" s="15" t="n">
        <v>21.62790697674419</v>
      </c>
      <c r="AZ264" s="14" t="n">
        <v>6</v>
      </c>
      <c r="BA264" s="14" t="n">
        <v>32</v>
      </c>
      <c r="BB264" s="14" t="n">
        <v>5</v>
      </c>
      <c r="BC264" s="14" t="n">
        <v>4</v>
      </c>
      <c r="BD264" s="14" t="n">
        <v>0</v>
      </c>
      <c r="BE264" s="15" t="n">
        <v>4</v>
      </c>
      <c r="BF264" s="15" t="n">
        <v>33</v>
      </c>
      <c r="BG264" s="14" t="n">
        <v>0</v>
      </c>
      <c r="BH264" s="14" t="n">
        <v>0</v>
      </c>
      <c r="BI264" s="14" t="n">
        <v>0</v>
      </c>
      <c r="BJ264" s="14" t="n">
        <v>0</v>
      </c>
      <c r="BK264" s="15" t="n">
        <v>0</v>
      </c>
      <c r="BL264" s="15" t="n">
        <v>0</v>
      </c>
      <c r="BM264" s="14" t="n">
        <v>0</v>
      </c>
      <c r="BN264" s="14" t="n">
        <v>0</v>
      </c>
      <c r="BO264" s="14" t="n">
        <v>0</v>
      </c>
      <c r="BP264" s="14" t="n">
        <v>0</v>
      </c>
      <c r="BQ264" s="15" t="n">
        <v>0</v>
      </c>
      <c r="BR264" s="15" t="n">
        <v>0</v>
      </c>
      <c r="BS264" s="14" t="n">
        <v>0</v>
      </c>
      <c r="BT264" s="14" t="n">
        <v>0</v>
      </c>
      <c r="BU264" s="14" t="n">
        <v>0</v>
      </c>
      <c r="BV264" s="14" t="n">
        <v>0</v>
      </c>
      <c r="BW264" s="15" t="n">
        <v>0</v>
      </c>
      <c r="BX264" s="15" t="n">
        <v>0</v>
      </c>
      <c r="BY264" s="15" t="n">
        <v>32</v>
      </c>
      <c r="BZ264" s="15" t="n">
        <v>5</v>
      </c>
      <c r="CA264" s="15" t="n">
        <v>4</v>
      </c>
      <c r="CB264" s="15" t="n">
        <v>33</v>
      </c>
      <c r="CC264" s="14" t="n">
        <v>0</v>
      </c>
      <c r="CD264" s="14" t="n">
        <v>776</v>
      </c>
      <c r="CE264" s="14" t="n">
        <v>19</v>
      </c>
      <c r="CF264" s="14" t="n">
        <v>52</v>
      </c>
      <c r="CG264" s="14" t="n">
        <v>19</v>
      </c>
      <c r="CH264" s="15" t="n">
        <v>866</v>
      </c>
      <c r="CI264" s="14" t="n">
        <v>719</v>
      </c>
      <c r="CJ264" s="14" t="n">
        <v>0</v>
      </c>
      <c r="CK264" s="14" t="n">
        <v>0</v>
      </c>
      <c r="CL264" s="14" t="n">
        <v>10</v>
      </c>
      <c r="CM264" s="15" t="n">
        <v>729</v>
      </c>
      <c r="CN264" s="14" t="n">
        <v>201</v>
      </c>
      <c r="CO264" s="14" t="n">
        <v>30</v>
      </c>
      <c r="CP264" s="14" t="n">
        <v>28</v>
      </c>
      <c r="CQ264" s="14" t="n">
        <v>1</v>
      </c>
      <c r="CR264" s="15" t="n">
        <v>260</v>
      </c>
      <c r="CS264" s="15" t="n">
        <v>989</v>
      </c>
      <c r="CT264" s="14" t="n">
        <v>1855</v>
      </c>
      <c r="CU264" s="14" t="n">
        <v>18657.50115141719</v>
      </c>
      <c r="CV264" s="14" t="n">
        <v>11581</v>
      </c>
      <c r="CW264" s="16" t="n">
        <v>0.6207154916412978</v>
      </c>
      <c r="CX264" s="14" t="n">
        <v>0</v>
      </c>
      <c r="CY264" s="14" t="n">
        <v>0</v>
      </c>
      <c r="CZ264" s="14" t="n">
        <v>0</v>
      </c>
      <c r="DA264" s="14" t="n">
        <v>0</v>
      </c>
      <c r="DB264" s="15" t="n">
        <v>0</v>
      </c>
      <c r="DC264" s="14" t="n">
        <v>0</v>
      </c>
      <c r="DD264" s="14" t="n">
        <v>0</v>
      </c>
      <c r="DE264" s="14" t="n">
        <v>0</v>
      </c>
      <c r="DF264" s="14" t="n">
        <v>0</v>
      </c>
      <c r="DG264" s="15" t="n">
        <v>0</v>
      </c>
      <c r="DH264" s="14" t="n">
        <v>0</v>
      </c>
      <c r="DI264" s="14" t="n">
        <v>0</v>
      </c>
      <c r="DJ264" s="14" t="n">
        <v>0</v>
      </c>
      <c r="DK264" s="14" t="n">
        <v>0</v>
      </c>
      <c r="DL264" s="15" t="n">
        <v>0</v>
      </c>
      <c r="DM264" s="14" t="n">
        <v>96</v>
      </c>
      <c r="DN264" s="14" t="n">
        <v>1</v>
      </c>
      <c r="DO264" s="14" t="n">
        <v>0</v>
      </c>
      <c r="DP264" s="14" t="n">
        <v>0</v>
      </c>
      <c r="DQ264" s="15" t="n">
        <v>97</v>
      </c>
      <c r="DR264" s="15" t="n">
        <v>96</v>
      </c>
      <c r="DS264" s="15" t="n">
        <v>1</v>
      </c>
      <c r="DT264" s="15" t="n">
        <v>0</v>
      </c>
      <c r="DU264" s="15" t="n">
        <v>0</v>
      </c>
      <c r="DV264" s="15" t="n">
        <v>97</v>
      </c>
      <c r="DW264" s="14" t="n">
        <v>12</v>
      </c>
      <c r="DX264" s="14" t="n">
        <v>8</v>
      </c>
      <c r="DY264" s="14" t="n">
        <v>4</v>
      </c>
      <c r="DZ264" s="14" t="n">
        <v>0</v>
      </c>
      <c r="EA264" s="14" t="n">
        <v>0</v>
      </c>
      <c r="EB264" s="14" t="n">
        <v>0</v>
      </c>
      <c r="EC264" s="14" t="n">
        <v>1</v>
      </c>
      <c r="ED264" s="14" t="n">
        <v>9</v>
      </c>
      <c r="EE264" s="14" t="n">
        <v>1</v>
      </c>
      <c r="EF264" s="14" t="n">
        <v>0</v>
      </c>
      <c r="EG264" s="14" t="n">
        <v>0</v>
      </c>
      <c r="EH264" s="14" t="n">
        <v>0</v>
      </c>
      <c r="EI264" s="14" t="n">
        <v>0</v>
      </c>
      <c r="EJ264" s="14" t="n">
        <v>3</v>
      </c>
      <c r="EK264" s="14" t="n">
        <v>1</v>
      </c>
      <c r="EL264" s="14" t="n">
        <v>0</v>
      </c>
      <c r="EM264" s="14" t="n">
        <v>0</v>
      </c>
      <c r="EN264" s="14" t="n">
        <v>0</v>
      </c>
      <c r="EO264" s="14" t="n">
        <v>0</v>
      </c>
      <c r="EP264" s="14" t="n">
        <v>0</v>
      </c>
      <c r="EQ264" s="14" t="n">
        <v>0</v>
      </c>
      <c r="ER264" s="14" t="n">
        <v>0</v>
      </c>
      <c r="ES264" s="14" t="n">
        <v>0</v>
      </c>
      <c r="ET264" s="14" t="n">
        <v>0</v>
      </c>
      <c r="EU264" s="14" t="n">
        <v>0</v>
      </c>
      <c r="EV264" s="14" t="n">
        <v>0</v>
      </c>
      <c r="EW264" s="14" t="n">
        <v>0</v>
      </c>
      <c r="EX264" s="14" t="n">
        <v>0</v>
      </c>
      <c r="EY264" s="14" t="n">
        <v>0</v>
      </c>
      <c r="EZ264" s="14" t="n">
        <v>0</v>
      </c>
      <c r="FA264" s="14" t="n">
        <v>0</v>
      </c>
      <c r="FB264" s="14" t="n">
        <v>0</v>
      </c>
      <c r="FC264" s="14" t="n">
        <v>0</v>
      </c>
      <c r="FD264" s="14" t="n">
        <v>0</v>
      </c>
      <c r="FE264" s="14" t="n">
        <v>0</v>
      </c>
      <c r="FF264" s="14" t="n">
        <v>0</v>
      </c>
      <c r="FG264" s="15" t="n">
        <v>39</v>
      </c>
      <c r="FH264" s="14" t="n">
        <v>0</v>
      </c>
      <c r="FI264" s="14" t="n">
        <v>0</v>
      </c>
      <c r="FJ264" s="14" t="n">
        <v>0</v>
      </c>
      <c r="FK264" s="14" t="n">
        <v>0</v>
      </c>
      <c r="FL264" s="14" t="n">
        <v>0</v>
      </c>
      <c r="FM264" s="14" t="n">
        <v>0</v>
      </c>
      <c r="FN264" s="14" t="n">
        <v>0</v>
      </c>
      <c r="FO264" s="14" t="n">
        <v>0</v>
      </c>
      <c r="FP264" s="14" t="n">
        <v>0</v>
      </c>
      <c r="FQ264" s="15" t="n">
        <v>0</v>
      </c>
      <c r="FR264" s="14" t="n">
        <v>10498795.54</v>
      </c>
      <c r="FS264" s="14" t="n">
        <v>129200</v>
      </c>
      <c r="FT264" s="14" t="n">
        <v>0</v>
      </c>
      <c r="FU264" s="14" t="n">
        <v>253153.61</v>
      </c>
      <c r="FV264" s="15" t="n">
        <v>10881149.15</v>
      </c>
      <c r="FW264" s="14" t="n">
        <v>761400</v>
      </c>
      <c r="FX264" s="14" t="n">
        <v>700</v>
      </c>
      <c r="FY264" s="14" t="n">
        <v>974100</v>
      </c>
      <c r="FZ264" s="14" t="n">
        <v>1196250</v>
      </c>
      <c r="GA264" s="15" t="n">
        <v>2932450</v>
      </c>
      <c r="GB264" s="15" t="n">
        <v>13813599.15</v>
      </c>
      <c r="GC264" s="14" t="n">
        <v>606497.21</v>
      </c>
      <c r="GD264" s="14" t="n">
        <v>51454.32</v>
      </c>
      <c r="GE264" s="14" t="n">
        <v>4160017.64</v>
      </c>
      <c r="GF264" s="14" t="n">
        <v>215858.17</v>
      </c>
      <c r="GG264" s="15" t="n">
        <v>5033827.34</v>
      </c>
      <c r="GH264" s="14" t="n">
        <v>761400</v>
      </c>
      <c r="GI264" s="14" t="n">
        <v>700</v>
      </c>
      <c r="GJ264" s="14" t="n">
        <v>1196250</v>
      </c>
      <c r="GK264" s="14" t="n">
        <v>974100</v>
      </c>
      <c r="GL264" s="15" t="n">
        <v>2932450</v>
      </c>
      <c r="GM264" s="15" t="n">
        <v>7966277.34</v>
      </c>
      <c r="GN264" s="14" t="n">
        <v>454209.97</v>
      </c>
      <c r="GO264" s="14" t="n">
        <v>2104.08</v>
      </c>
      <c r="GP264" s="14" t="n">
        <v>27149.11</v>
      </c>
      <c r="GQ264" s="14" t="n">
        <v>3393.64</v>
      </c>
      <c r="GR264" s="15" t="n">
        <v>486856.8</v>
      </c>
      <c r="GS264" s="14" t="n">
        <v>753906</v>
      </c>
      <c r="GT264" s="14" t="n">
        <v>9723</v>
      </c>
      <c r="GU264" s="14" t="n">
        <v>7144</v>
      </c>
      <c r="GV264" s="14" t="n">
        <v>893</v>
      </c>
      <c r="GW264" s="15" t="n">
        <v>771666</v>
      </c>
      <c r="GX264" s="15" t="n">
        <v>9224800.140000001</v>
      </c>
      <c r="GY264" s="14" t="n">
        <v>20162097.99</v>
      </c>
      <c r="GZ264" s="14" t="n">
        <v>1465233.78</v>
      </c>
      <c r="HA264" s="15" t="n">
        <v>21627331.77</v>
      </c>
      <c r="HB264" s="15" t="n">
        <v>9224800.140000001</v>
      </c>
      <c r="HC264" s="16" t="n">
        <v>20162097.99</v>
      </c>
      <c r="HD264" s="15" t="n">
        <v>1465233.78</v>
      </c>
      <c r="HE264" s="14" t="n">
        <v>5</v>
      </c>
      <c r="HF264" s="14" t="n">
        <v>0</v>
      </c>
      <c r="HG264" s="14" t="n">
        <v>33</v>
      </c>
      <c r="HH264" s="14" t="n">
        <v>5</v>
      </c>
      <c r="HI264" s="14" t="n">
        <v>0</v>
      </c>
      <c r="HJ264" s="15" t="n">
        <v>0</v>
      </c>
      <c r="HK264" s="16" t="n">
        <v>12.12121212121212</v>
      </c>
      <c r="HL264" s="14" t="n">
        <v>0</v>
      </c>
      <c r="HM264" s="14" t="n">
        <v>0</v>
      </c>
      <c r="HN264" s="17" t="n"/>
    </row>
    <row r="265">
      <c r="A265" s="6" t="inlineStr">
        <is>
          <t>Ngabu</t>
        </is>
      </c>
      <c r="B265" s="6" t="inlineStr">
        <is>
          <t>Ngabu</t>
        </is>
      </c>
      <c r="C265" s="7" t="inlineStr">
        <is>
          <t>FY2025/26</t>
        </is>
      </c>
      <c r="D265" s="7" t="n">
        <v>2026</v>
      </c>
      <c r="E265" s="7" t="n">
        <v>2</v>
      </c>
      <c r="F265" s="7" t="inlineStr">
        <is>
          <t>February</t>
        </is>
      </c>
      <c r="G265" s="7" t="inlineStr">
        <is>
          <t>Q4</t>
        </is>
      </c>
      <c r="H265" s="8" t="n">
        <v>8400</v>
      </c>
      <c r="I265" s="8" t="n">
        <v>3941</v>
      </c>
      <c r="J265" s="8" t="n">
        <v>1196</v>
      </c>
      <c r="K265" s="8" t="n">
        <v>371</v>
      </c>
      <c r="L265" s="8" t="n">
        <v>232</v>
      </c>
      <c r="M265" s="9">
        <f>SUM(I265,J265,K265,L265)</f>
        <v/>
      </c>
      <c r="N265" s="8" t="n">
        <v>1475</v>
      </c>
      <c r="O265" s="8" t="n">
        <v>29</v>
      </c>
      <c r="P265" s="8" t="n">
        <v>254</v>
      </c>
      <c r="Q265" s="8" t="n">
        <v>82</v>
      </c>
      <c r="R265" s="9">
        <f>SUM(N265,O265,P265,Q265)</f>
        <v/>
      </c>
      <c r="S265" s="9">
        <f>M265+R265</f>
        <v/>
      </c>
      <c r="T265" s="8" t="n">
        <v>820</v>
      </c>
      <c r="U265" s="10">
        <f>IF(H265=0,"",T265/H265)</f>
        <v/>
      </c>
      <c r="V265" s="8" t="n">
        <v>18</v>
      </c>
      <c r="W265" s="11">
        <f>IF(H265=0,"",V265/H265)</f>
        <v/>
      </c>
      <c r="X265" s="8" t="n">
        <v>0</v>
      </c>
      <c r="Y265" s="11">
        <f>IF(H265=0,"",X265/H265)</f>
        <v/>
      </c>
      <c r="Z265" s="8" t="n">
        <v>0</v>
      </c>
      <c r="AA265" s="11">
        <f>IF(H265=0,"",Z265/H265)</f>
        <v/>
      </c>
      <c r="AB265" s="8" t="n">
        <v>0</v>
      </c>
      <c r="AC265" s="11">
        <f>IF(H265=0,"",AB265/H265)</f>
        <v/>
      </c>
      <c r="AD265" s="8" t="n">
        <v>0</v>
      </c>
      <c r="AE265" s="11">
        <f>IF(H265=0,"",AD265/H265)</f>
        <v/>
      </c>
      <c r="AF265" s="8" t="n">
        <v>0</v>
      </c>
      <c r="AG265" s="11">
        <f>IF(H265=0,"",AF265/H265)</f>
        <v/>
      </c>
      <c r="AH265" s="8" t="n">
        <v>63455.22</v>
      </c>
      <c r="AI265" s="9">
        <f>IF(H265=0,"",AH265/H265)</f>
        <v/>
      </c>
      <c r="AJ265" s="8" t="n">
        <v>7544</v>
      </c>
      <c r="AK265" s="11">
        <f>IF(H265=0,"",AJ265/H265)</f>
        <v/>
      </c>
      <c r="AL265" s="8" t="n">
        <v>1063167.816</v>
      </c>
      <c r="AM265" s="9">
        <f>IF(H265=0,"",AL265/H265)</f>
        <v/>
      </c>
      <c r="AN265" s="8" t="n">
        <v>0</v>
      </c>
      <c r="AO265" s="8" t="n">
        <v>0</v>
      </c>
      <c r="AP265" s="8" t="n">
        <v>0</v>
      </c>
      <c r="AQ265" s="8" t="n">
        <v>0</v>
      </c>
      <c r="AR265" s="8" t="n">
        <v>0</v>
      </c>
      <c r="AS265" s="8" t="n">
        <v>0</v>
      </c>
      <c r="AT265" s="8" t="n">
        <v>0</v>
      </c>
      <c r="AU265" s="9">
        <f>AH265+AL265+AP265+AQ265+AR265+AS265+AT265</f>
        <v/>
      </c>
      <c r="AV265" s="9">
        <f>IF(H265=0,"",AU265/H265)</f>
        <v/>
      </c>
      <c r="AW265" s="9">
        <f>IF(S265=0,"",AU265/S265)</f>
        <v/>
      </c>
      <c r="AX265" s="8" t="n">
        <v>6</v>
      </c>
      <c r="AY265" s="9">
        <f>IF(H265=0,"",AX265/(H265/1000/12))</f>
        <v/>
      </c>
      <c r="AZ265" s="8" t="n">
        <v>6</v>
      </c>
      <c r="BA265" s="8" t="n">
        <v>33</v>
      </c>
      <c r="BB265" s="8" t="n">
        <v>0</v>
      </c>
      <c r="BC265" s="8" t="n">
        <v>3</v>
      </c>
      <c r="BD265" s="8" t="n">
        <v>0</v>
      </c>
      <c r="BE265" s="9">
        <f>BC265+BD265</f>
        <v/>
      </c>
      <c r="BF265" s="9">
        <f>BA265+BB265-BE265</f>
        <v/>
      </c>
      <c r="BG265" s="8" t="n">
        <v>0</v>
      </c>
      <c r="BH265" s="8" t="n">
        <v>0</v>
      </c>
      <c r="BI265" s="8" t="n">
        <v>0</v>
      </c>
      <c r="BJ265" s="8" t="n">
        <v>0</v>
      </c>
      <c r="BK265" s="9">
        <f>BI265+BJ265</f>
        <v/>
      </c>
      <c r="BL265" s="9">
        <f>BG265+BH265-BK265</f>
        <v/>
      </c>
      <c r="BM265" s="8" t="n">
        <v>0</v>
      </c>
      <c r="BN265" s="8" t="n">
        <v>0</v>
      </c>
      <c r="BO265" s="8" t="n">
        <v>0</v>
      </c>
      <c r="BP265" s="8" t="n">
        <v>0</v>
      </c>
      <c r="BQ265" s="9">
        <f>BO265+BP265</f>
        <v/>
      </c>
      <c r="BR265" s="9">
        <f>BM265+BN265-BQ265</f>
        <v/>
      </c>
      <c r="BS265" s="8" t="n">
        <v>0</v>
      </c>
      <c r="BT265" s="8" t="n">
        <v>0</v>
      </c>
      <c r="BU265" s="8" t="n">
        <v>0</v>
      </c>
      <c r="BV265" s="8" t="n">
        <v>0</v>
      </c>
      <c r="BW265" s="9">
        <f>BU265+BV265</f>
        <v/>
      </c>
      <c r="BX265" s="9">
        <f>BS265+BT265-BW265</f>
        <v/>
      </c>
      <c r="BY265" s="9">
        <f>BA265+BG265+BM265+BS265</f>
        <v/>
      </c>
      <c r="BZ265" s="9">
        <f>BB265+BH265+BN265+BT265</f>
        <v/>
      </c>
      <c r="CA265" s="9">
        <f>BE265+BK265+BQ265+BW265</f>
        <v/>
      </c>
      <c r="CB265" s="9">
        <f>BF265+BL265+BR265+BX265</f>
        <v/>
      </c>
      <c r="CC265" s="8" t="n">
        <v>0</v>
      </c>
      <c r="CD265" s="8" t="n">
        <v>777</v>
      </c>
      <c r="CE265" s="8" t="n">
        <v>26</v>
      </c>
      <c r="CF265" s="8" t="n">
        <v>52</v>
      </c>
      <c r="CG265" s="8" t="n">
        <v>19</v>
      </c>
      <c r="CH265" s="9">
        <f>CD265+CE265+CF265+CG265</f>
        <v/>
      </c>
      <c r="CI265" s="8" t="n">
        <v>714</v>
      </c>
      <c r="CJ265" s="8" t="n">
        <v>0</v>
      </c>
      <c r="CK265" s="8" t="n">
        <v>0</v>
      </c>
      <c r="CL265" s="8" t="n">
        <v>10</v>
      </c>
      <c r="CM265" s="9">
        <f>CI265+CJ265+CK265+CL265</f>
        <v/>
      </c>
      <c r="CN265" s="8" t="n">
        <v>201</v>
      </c>
      <c r="CO265" s="8" t="n">
        <v>30</v>
      </c>
      <c r="CP265" s="8" t="n">
        <v>28</v>
      </c>
      <c r="CQ265" s="8" t="n">
        <v>1</v>
      </c>
      <c r="CR265" s="9">
        <f>CN265+CO265+CP265+CQ265</f>
        <v/>
      </c>
      <c r="CS265" s="9">
        <f>CM265+CR265</f>
        <v/>
      </c>
      <c r="CT265" s="8" t="n">
        <v>1858</v>
      </c>
      <c r="CU265" s="8" t="n">
        <v>18694.81615372002</v>
      </c>
      <c r="CV265" s="8" t="n">
        <v>11581</v>
      </c>
      <c r="CW265" s="10">
        <f>IF(CU265=0,"",CV265/CU265)</f>
        <v/>
      </c>
      <c r="CX265" s="8" t="n">
        <v>0</v>
      </c>
      <c r="CY265" s="8" t="n"/>
      <c r="CZ265" s="8" t="n"/>
      <c r="DA265" s="8" t="n"/>
      <c r="DB265" s="9">
        <f>CX265+CY265-CZ265-DA265</f>
        <v/>
      </c>
      <c r="DC265" s="8" t="n">
        <v>0</v>
      </c>
      <c r="DD265" s="8" t="n">
        <v>0</v>
      </c>
      <c r="DE265" s="8" t="n">
        <v>0</v>
      </c>
      <c r="DF265" s="8" t="n">
        <v>0</v>
      </c>
      <c r="DG265" s="9">
        <f>DC265+DD265-DE265-DF265</f>
        <v/>
      </c>
      <c r="DH265" s="8" t="n">
        <v>0</v>
      </c>
      <c r="DI265" s="8" t="n">
        <v>0</v>
      </c>
      <c r="DJ265" s="8" t="n">
        <v>0</v>
      </c>
      <c r="DK265" s="8" t="n">
        <v>0</v>
      </c>
      <c r="DL265" s="9">
        <f>DH265+DI265-DJ265-DK265</f>
        <v/>
      </c>
      <c r="DM265" s="8" t="n">
        <v>97</v>
      </c>
      <c r="DN265" s="8" t="n">
        <v>1</v>
      </c>
      <c r="DO265" s="8" t="n">
        <v>0</v>
      </c>
      <c r="DP265" s="8" t="n">
        <v>0</v>
      </c>
      <c r="DQ265" s="9">
        <f>DM265+DN265-DO265-DP265</f>
        <v/>
      </c>
      <c r="DR265" s="9">
        <f>CX265+DC265+DH265+DM265</f>
        <v/>
      </c>
      <c r="DS265" s="9">
        <f>CY265+DD265+DI265+DN265</f>
        <v/>
      </c>
      <c r="DT265" s="9">
        <f>CZ265+DE265+DJ265+DO265</f>
        <v/>
      </c>
      <c r="DU265" s="9">
        <f>DA265+DF265+DK265+DP265</f>
        <v/>
      </c>
      <c r="DV265" s="9">
        <f>DB265+DG265+DL265+DQ265</f>
        <v/>
      </c>
      <c r="DW265" s="8" t="n">
        <v>16</v>
      </c>
      <c r="DX265" s="8" t="n">
        <v>4</v>
      </c>
      <c r="DY265" s="8" t="n">
        <v>0</v>
      </c>
      <c r="DZ265" s="8" t="n">
        <v>1</v>
      </c>
      <c r="EA265" s="8" t="n">
        <v>2</v>
      </c>
      <c r="EB265" s="8" t="n">
        <v>3</v>
      </c>
      <c r="EC265" s="8" t="n">
        <v>1</v>
      </c>
      <c r="ED265" s="8" t="n">
        <v>0</v>
      </c>
      <c r="EE265" s="8" t="n">
        <v>0</v>
      </c>
      <c r="EF265" s="8" t="n">
        <v>0</v>
      </c>
      <c r="EG265" s="8" t="n">
        <v>0</v>
      </c>
      <c r="EH265" s="8" t="n">
        <v>0</v>
      </c>
      <c r="EI265" s="8" t="n">
        <v>0</v>
      </c>
      <c r="EJ265" s="8" t="n">
        <v>0</v>
      </c>
      <c r="EK265" s="8" t="n">
        <v>1</v>
      </c>
      <c r="EL265" s="8" t="n">
        <v>0</v>
      </c>
      <c r="EM265" s="8" t="n">
        <v>0</v>
      </c>
      <c r="EN265" s="8" t="n">
        <v>0</v>
      </c>
      <c r="EO265" s="8" t="n">
        <v>0</v>
      </c>
      <c r="EP265" s="8" t="n">
        <v>0</v>
      </c>
      <c r="EQ265" s="8" t="n">
        <v>0</v>
      </c>
      <c r="ER265" s="8" t="n">
        <v>0</v>
      </c>
      <c r="ES265" s="8" t="n">
        <v>0</v>
      </c>
      <c r="ET265" s="8" t="n">
        <v>0</v>
      </c>
      <c r="EU265" s="8" t="n">
        <v>0</v>
      </c>
      <c r="EV265" s="8" t="n">
        <v>0</v>
      </c>
      <c r="EW265" s="8" t="n">
        <v>0</v>
      </c>
      <c r="EX265" s="8" t="n">
        <v>0</v>
      </c>
      <c r="EY265" s="8" t="n">
        <v>0</v>
      </c>
      <c r="EZ265" s="8" t="n">
        <v>0</v>
      </c>
      <c r="FA265" s="8" t="n">
        <v>0</v>
      </c>
      <c r="FB265" s="8" t="n">
        <v>0</v>
      </c>
      <c r="FC265" s="8" t="n">
        <v>0</v>
      </c>
      <c r="FD265" s="8" t="n">
        <v>0</v>
      </c>
      <c r="FE265" s="8" t="n">
        <v>0</v>
      </c>
      <c r="FF265" s="8" t="n">
        <v>0</v>
      </c>
      <c r="FG265" s="9">
        <f>SUM(DW265,DX265,DY265,DZ265,EA265,EB265,EC265,ED265,EE265,EF265,EG265,EH265,EI265,EJ265,EK265,EL265,EM265,EN265,EO265,EP265,EQ265,ER265,ES265,ET265,EU265,EV265,EW265,EX265,EY265,EZ265,FA265,FB265,FC265,FD265,FE265,FF265)</f>
        <v/>
      </c>
      <c r="FH265" s="8" t="n">
        <v>0</v>
      </c>
      <c r="FI265" s="8" t="n">
        <v>0</v>
      </c>
      <c r="FJ265" s="8" t="n">
        <v>0</v>
      </c>
      <c r="FK265" s="8" t="n">
        <v>0</v>
      </c>
      <c r="FL265" s="8" t="n">
        <v>0</v>
      </c>
      <c r="FM265" s="8" t="n">
        <v>0</v>
      </c>
      <c r="FN265" s="8" t="n">
        <v>0</v>
      </c>
      <c r="FO265" s="8" t="n">
        <v>0</v>
      </c>
      <c r="FP265" s="8" t="n">
        <v>0</v>
      </c>
      <c r="FQ265" s="9">
        <f>FL265+FM265+FN265+FO265+FP265</f>
        <v/>
      </c>
      <c r="FR265" s="8" t="n">
        <v>1975043</v>
      </c>
      <c r="FS265" s="8" t="n">
        <v>119870</v>
      </c>
      <c r="FT265" s="8" t="n">
        <v>0</v>
      </c>
      <c r="FU265" s="8" t="n">
        <v>191667</v>
      </c>
      <c r="FV265" s="9">
        <f>FR265+FS265+FT265+FU265</f>
        <v/>
      </c>
      <c r="FW265" s="8" t="n">
        <v>769282</v>
      </c>
      <c r="FX265" s="8" t="n">
        <v>3100</v>
      </c>
      <c r="FY265" s="8" t="n">
        <v>554300</v>
      </c>
      <c r="FZ265" s="8" t="n">
        <v>201250</v>
      </c>
      <c r="GA265" s="9">
        <f>FW265+FX265+FY265+FZ265</f>
        <v/>
      </c>
      <c r="GB265" s="9">
        <f>FV265+GA265</f>
        <v/>
      </c>
      <c r="GC265" s="8" t="n">
        <v>4938626</v>
      </c>
      <c r="GD265" s="8" t="n">
        <v>145755.36</v>
      </c>
      <c r="GE265" s="8" t="n">
        <v>302187.27</v>
      </c>
      <c r="GF265" s="8" t="n">
        <v>61004.56</v>
      </c>
      <c r="GG265" s="9">
        <f>GC265+GD265+GE265+GF265</f>
        <v/>
      </c>
      <c r="GH265" s="8" t="n">
        <v>769282.1800000001</v>
      </c>
      <c r="GI265" s="8" t="n">
        <v>3100</v>
      </c>
      <c r="GJ265" s="8" t="n">
        <v>201250</v>
      </c>
      <c r="GK265" s="8" t="n">
        <v>554300</v>
      </c>
      <c r="GL265" s="9">
        <f>GH265+GI265+GJ265+GK265</f>
        <v/>
      </c>
      <c r="GM265" s="9">
        <f>GG265+GL265</f>
        <v/>
      </c>
      <c r="GN265" s="8" t="n">
        <v>448440.59</v>
      </c>
      <c r="GO265" s="8" t="n">
        <v>2104.08</v>
      </c>
      <c r="GP265" s="8" t="n">
        <v>30542.76</v>
      </c>
      <c r="GQ265" s="8" t="n">
        <v>9274.68</v>
      </c>
      <c r="GR265" s="9">
        <f>GN265+GO265+GP265+GQ265</f>
        <v/>
      </c>
      <c r="GS265" s="8" t="n">
        <v>744762</v>
      </c>
      <c r="GT265" s="8" t="n">
        <v>9823</v>
      </c>
      <c r="GU265" s="8" t="n">
        <v>8037</v>
      </c>
      <c r="GV265" s="8" t="n">
        <v>1786</v>
      </c>
      <c r="GW265" s="9">
        <f>GS265+GT265+GU265+GV265</f>
        <v/>
      </c>
      <c r="GX265" s="9">
        <f>GM265+GR265+GW265</f>
        <v/>
      </c>
      <c r="GY265" s="8" t="n">
        <v>22199082.59</v>
      </c>
      <c r="GZ265" s="8" t="n">
        <v>1937571.27</v>
      </c>
      <c r="HA265" s="9">
        <f>GY265+GZ265</f>
        <v/>
      </c>
      <c r="HB265" s="9">
        <f>IF(GX265=0,"",AU265/GX265)</f>
        <v/>
      </c>
      <c r="HC265" s="10">
        <f>IF((GX265+GY265)=0,"",GB265/(GX265+GY265))</f>
        <v/>
      </c>
      <c r="HD265" s="9">
        <f>IF(GX265=0,"",GB265/GX265)</f>
        <v/>
      </c>
      <c r="HE265" s="8" t="n">
        <v>0</v>
      </c>
      <c r="HF265" s="8" t="n">
        <v>0</v>
      </c>
      <c r="HG265" s="8" t="n">
        <v>30</v>
      </c>
      <c r="HH265" s="8" t="n">
        <v>0</v>
      </c>
      <c r="HI265" s="8" t="n">
        <v>0</v>
      </c>
      <c r="HJ265" s="9">
        <f>HF265+HI265</f>
        <v/>
      </c>
      <c r="HK265" s="10">
        <f>IF(HE265=0,"",HH265/HE265)</f>
        <v/>
      </c>
      <c r="HL265" s="8" t="n">
        <v>0</v>
      </c>
      <c r="HM265" s="8" t="n">
        <v>0</v>
      </c>
      <c r="HN265" s="11">
        <f>IF(HL265=0,"",HM265/HL265)</f>
        <v/>
      </c>
    </row>
    <row r="266">
      <c r="A266" s="12" t="inlineStr">
        <is>
          <t>Ngabu</t>
        </is>
      </c>
      <c r="B266" s="12" t="inlineStr">
        <is>
          <t>Ngabu</t>
        </is>
      </c>
      <c r="C266" s="13" t="inlineStr">
        <is>
          <t>FY2025/26</t>
        </is>
      </c>
      <c r="D266" s="13" t="n">
        <v>2026</v>
      </c>
      <c r="E266" s="13" t="n">
        <v>3</v>
      </c>
      <c r="F266" s="13" t="inlineStr">
        <is>
          <t>March</t>
        </is>
      </c>
      <c r="G266" s="13" t="inlineStr">
        <is>
          <t>Q4</t>
        </is>
      </c>
      <c r="H266" s="14" t="n">
        <v>11600</v>
      </c>
      <c r="I266" s="14" t="n">
        <v>5542</v>
      </c>
      <c r="J266" s="14" t="n">
        <v>773</v>
      </c>
      <c r="K266" s="14" t="n">
        <v>140</v>
      </c>
      <c r="L266" s="14" t="n">
        <v>22</v>
      </c>
      <c r="M266" s="15">
        <f>SUM(I266,J266,K266,L266)</f>
        <v/>
      </c>
      <c r="N266" s="14" t="n">
        <v>1649</v>
      </c>
      <c r="O266" s="14" t="n">
        <v>31</v>
      </c>
      <c r="P266" s="14" t="n">
        <v>674</v>
      </c>
      <c r="Q266" s="14" t="n">
        <v>396</v>
      </c>
      <c r="R266" s="15">
        <f>SUM(N266,O266,P266,Q266)</f>
        <v/>
      </c>
      <c r="S266" s="15">
        <f>M266+R266</f>
        <v/>
      </c>
      <c r="T266" s="14" t="n">
        <v>2373</v>
      </c>
      <c r="U266" s="16">
        <f>IF(H266=0,"",T266/H266)</f>
        <v/>
      </c>
      <c r="V266" s="14" t="n">
        <v>15</v>
      </c>
      <c r="W266" s="17">
        <f>IF(H266=0,"",V266/H266)</f>
        <v/>
      </c>
      <c r="X266" s="14" t="n">
        <v>0</v>
      </c>
      <c r="Y266" s="17">
        <f>IF(H266=0,"",X266/H266)</f>
        <v/>
      </c>
      <c r="Z266" s="14" t="n">
        <v>0</v>
      </c>
      <c r="AA266" s="17">
        <f>IF(H266=0,"",Z266/H266)</f>
        <v/>
      </c>
      <c r="AB266" s="14" t="n">
        <v>0</v>
      </c>
      <c r="AC266" s="17">
        <f>IF(H266=0,"",AB266/H266)</f>
        <v/>
      </c>
      <c r="AD266" s="14" t="n">
        <v>0</v>
      </c>
      <c r="AE266" s="17">
        <f>IF(H266=0,"",AD266/H266)</f>
        <v/>
      </c>
      <c r="AF266" s="14" t="n">
        <v>0</v>
      </c>
      <c r="AG266" s="17">
        <f>IF(H266=0,"",AF266/H266)</f>
        <v/>
      </c>
      <c r="AH266" s="14" t="n">
        <v>52879.35</v>
      </c>
      <c r="AI266" s="15">
        <f>IF(H266=0,"",AH266/H266)</f>
        <v/>
      </c>
      <c r="AJ266" s="14" t="n">
        <v>6514.84</v>
      </c>
      <c r="AK266" s="17">
        <f>IF(H266=0,"",AJ266/H266)</f>
        <v/>
      </c>
      <c r="AL266" s="14" t="n">
        <v>16426.5</v>
      </c>
      <c r="AM266" s="15">
        <f>IF(H266=0,"",AL266/H266)</f>
        <v/>
      </c>
      <c r="AN266" s="14" t="n">
        <v>0</v>
      </c>
      <c r="AO266" s="14" t="n">
        <v>0</v>
      </c>
      <c r="AP266" s="14" t="n">
        <v>0</v>
      </c>
      <c r="AQ266" s="14" t="n">
        <v>0</v>
      </c>
      <c r="AR266" s="14" t="n">
        <v>0</v>
      </c>
      <c r="AS266" s="14" t="n">
        <v>0</v>
      </c>
      <c r="AT266" s="14" t="n">
        <v>0</v>
      </c>
      <c r="AU266" s="15">
        <f>AH266+AL266+AP266+AQ266+AR266+AS266+AT266</f>
        <v/>
      </c>
      <c r="AV266" s="15">
        <f>IF(H266=0,"",AU266/H266)</f>
        <v/>
      </c>
      <c r="AW266" s="15">
        <f>IF(S266=0,"",AU266/S266)</f>
        <v/>
      </c>
      <c r="AX266" s="14" t="n">
        <v>6</v>
      </c>
      <c r="AY266" s="15">
        <f>IF(H266=0,"",AX266/(H266/1000/12))</f>
        <v/>
      </c>
      <c r="AZ266" s="14" t="n">
        <v>9</v>
      </c>
      <c r="BA266" s="14" t="n">
        <v>30</v>
      </c>
      <c r="BB266" s="14" t="n">
        <v>0</v>
      </c>
      <c r="BC266" s="14" t="n">
        <v>1</v>
      </c>
      <c r="BD266" s="14" t="n">
        <v>0</v>
      </c>
      <c r="BE266" s="15">
        <f>BC266+BD266</f>
        <v/>
      </c>
      <c r="BF266" s="15">
        <f>BA266+BB266-BE266</f>
        <v/>
      </c>
      <c r="BG266" s="14" t="n">
        <v>0</v>
      </c>
      <c r="BH266" s="14" t="n">
        <v>0</v>
      </c>
      <c r="BI266" s="14" t="n">
        <v>0</v>
      </c>
      <c r="BJ266" s="14" t="n">
        <v>0</v>
      </c>
      <c r="BK266" s="15">
        <f>BI266+BJ266</f>
        <v/>
      </c>
      <c r="BL266" s="15">
        <f>BG266+BH266-BK266</f>
        <v/>
      </c>
      <c r="BM266" s="14" t="n">
        <v>0</v>
      </c>
      <c r="BN266" s="14" t="n">
        <v>0</v>
      </c>
      <c r="BO266" s="14" t="n">
        <v>0</v>
      </c>
      <c r="BP266" s="14" t="n">
        <v>0</v>
      </c>
      <c r="BQ266" s="15">
        <f>BO266+BP266</f>
        <v/>
      </c>
      <c r="BR266" s="15">
        <f>BM266+BN266-BQ266</f>
        <v/>
      </c>
      <c r="BS266" s="14" t="n">
        <v>0</v>
      </c>
      <c r="BT266" s="14" t="n">
        <v>0</v>
      </c>
      <c r="BU266" s="14" t="n">
        <v>0</v>
      </c>
      <c r="BV266" s="14" t="n">
        <v>0</v>
      </c>
      <c r="BW266" s="15">
        <f>BU266+BV266</f>
        <v/>
      </c>
      <c r="BX266" s="15">
        <f>BS266+BT266-BW266</f>
        <v/>
      </c>
      <c r="BY266" s="15">
        <f>BA266+BG266+BM266+BS266</f>
        <v/>
      </c>
      <c r="BZ266" s="15">
        <f>BB266+BH266+BN266+BT266</f>
        <v/>
      </c>
      <c r="CA266" s="15">
        <f>BE266+BK266+BQ266+BW266</f>
        <v/>
      </c>
      <c r="CB266" s="15">
        <f>BF266+BL266+BR266+BX266</f>
        <v/>
      </c>
      <c r="CC266" s="14" t="n">
        <v>0</v>
      </c>
      <c r="CD266" s="14" t="n">
        <v>777</v>
      </c>
      <c r="CE266" s="14" t="n">
        <v>26</v>
      </c>
      <c r="CF266" s="14" t="n">
        <v>52</v>
      </c>
      <c r="CG266" s="14" t="n">
        <v>19</v>
      </c>
      <c r="CH266" s="15">
        <f>CD266+CE266+CF266+CG266</f>
        <v/>
      </c>
      <c r="CI266" s="14" t="n">
        <v>715</v>
      </c>
      <c r="CJ266" s="14" t="n">
        <v>0</v>
      </c>
      <c r="CK266" s="14" t="n">
        <v>0</v>
      </c>
      <c r="CL266" s="14" t="n">
        <v>10</v>
      </c>
      <c r="CM266" s="15">
        <f>CI266+CJ266+CK266+CL266</f>
        <v/>
      </c>
      <c r="CN266" s="14" t="n">
        <v>201</v>
      </c>
      <c r="CO266" s="14" t="n">
        <v>30</v>
      </c>
      <c r="CP266" s="14" t="n">
        <v>28</v>
      </c>
      <c r="CQ266" s="14" t="n">
        <v>1</v>
      </c>
      <c r="CR266" s="15">
        <f>CN266+CO266+CP266+CQ266</f>
        <v/>
      </c>
      <c r="CS266" s="15">
        <f>CM266+CR266</f>
        <v/>
      </c>
      <c r="CT266" s="14" t="n">
        <v>1859</v>
      </c>
      <c r="CU266" s="14" t="n">
        <v>18732.20578602747</v>
      </c>
      <c r="CV266" s="14" t="n">
        <v>11581</v>
      </c>
      <c r="CW266" s="16">
        <f>IF(CU266=0,"",CV266/CU266)</f>
        <v/>
      </c>
      <c r="CX266" s="14" t="n"/>
      <c r="CY266" s="14" t="n"/>
      <c r="CZ266" s="14" t="n"/>
      <c r="DA266" s="14" t="n"/>
      <c r="DB266" s="15">
        <f>CX266+CY266-CZ266-DA266</f>
        <v/>
      </c>
      <c r="DC266" s="14" t="n">
        <v>0</v>
      </c>
      <c r="DD266" s="14" t="n">
        <v>0</v>
      </c>
      <c r="DE266" s="14" t="n">
        <v>0</v>
      </c>
      <c r="DF266" s="14" t="n">
        <v>0</v>
      </c>
      <c r="DG266" s="15">
        <f>DC266+DD266-DE266-DF266</f>
        <v/>
      </c>
      <c r="DH266" s="14" t="n">
        <v>0</v>
      </c>
      <c r="DI266" s="14" t="n">
        <v>0</v>
      </c>
      <c r="DJ266" s="14" t="n">
        <v>0</v>
      </c>
      <c r="DK266" s="14" t="n">
        <v>0</v>
      </c>
      <c r="DL266" s="15">
        <f>DH266+DI266-DJ266-DK266</f>
        <v/>
      </c>
      <c r="DM266" s="14" t="n">
        <v>98</v>
      </c>
      <c r="DN266" s="14" t="n">
        <v>0</v>
      </c>
      <c r="DO266" s="14" t="n">
        <v>0</v>
      </c>
      <c r="DP266" s="14" t="n">
        <v>0</v>
      </c>
      <c r="DQ266" s="15">
        <f>DM266+DN266-DO266-DP266</f>
        <v/>
      </c>
      <c r="DR266" s="15">
        <f>CX266+DC266+DH266+DM266</f>
        <v/>
      </c>
      <c r="DS266" s="15">
        <f>CY266+DD266+DI266+DN266</f>
        <v/>
      </c>
      <c r="DT266" s="15">
        <f>CZ266+DE266+DJ266+DO266</f>
        <v/>
      </c>
      <c r="DU266" s="15">
        <f>DA266+DF266+DK266+DP266</f>
        <v/>
      </c>
      <c r="DV266" s="15">
        <f>DB266+DG266+DL266+DQ266</f>
        <v/>
      </c>
      <c r="DW266" s="14" t="n">
        <v>12</v>
      </c>
      <c r="DX266" s="14" t="n">
        <v>10</v>
      </c>
      <c r="DY266" s="14" t="n">
        <v>8</v>
      </c>
      <c r="DZ266" s="14" t="n">
        <v>0</v>
      </c>
      <c r="EA266" s="14" t="n">
        <v>0</v>
      </c>
      <c r="EB266" s="14" t="n">
        <v>4</v>
      </c>
      <c r="EC266" s="14" t="n">
        <v>1</v>
      </c>
      <c r="ED266" s="14" t="n">
        <v>0</v>
      </c>
      <c r="EE266" s="14" t="n">
        <v>0</v>
      </c>
      <c r="EF266" s="14" t="n">
        <v>0</v>
      </c>
      <c r="EG266" s="14" t="n">
        <v>0</v>
      </c>
      <c r="EH266" s="14" t="n">
        <v>0</v>
      </c>
      <c r="EI266" s="14" t="n">
        <v>0</v>
      </c>
      <c r="EJ266" s="14" t="n">
        <v>4</v>
      </c>
      <c r="EK266" s="14" t="n">
        <v>0</v>
      </c>
      <c r="EL266" s="14" t="n">
        <v>2</v>
      </c>
      <c r="EM266" s="14" t="n">
        <v>0</v>
      </c>
      <c r="EN266" s="14" t="n">
        <v>0</v>
      </c>
      <c r="EO266" s="14" t="n">
        <v>0</v>
      </c>
      <c r="EP266" s="14" t="n">
        <v>0</v>
      </c>
      <c r="EQ266" s="14" t="n">
        <v>0</v>
      </c>
      <c r="ER266" s="14" t="n">
        <v>0</v>
      </c>
      <c r="ES266" s="14" t="n">
        <v>0</v>
      </c>
      <c r="ET266" s="14" t="n">
        <v>0</v>
      </c>
      <c r="EU266" s="14" t="n">
        <v>0</v>
      </c>
      <c r="EV266" s="14" t="n">
        <v>0</v>
      </c>
      <c r="EW266" s="14" t="n">
        <v>0</v>
      </c>
      <c r="EX266" s="14" t="n">
        <v>0</v>
      </c>
      <c r="EY266" s="14" t="n">
        <v>0</v>
      </c>
      <c r="EZ266" s="14" t="n">
        <v>0</v>
      </c>
      <c r="FA266" s="14" t="n">
        <v>0</v>
      </c>
      <c r="FB266" s="14" t="n">
        <v>0</v>
      </c>
      <c r="FC266" s="14" t="n">
        <v>0</v>
      </c>
      <c r="FD266" s="14" t="n">
        <v>0</v>
      </c>
      <c r="FE266" s="14" t="n">
        <v>0</v>
      </c>
      <c r="FF266" s="14" t="n">
        <v>0</v>
      </c>
      <c r="FG266" s="15">
        <f>SUM(DW266,DX266,DY266,DZ266,EA266,EB266,EC266,ED266,EE266,EF266,EG266,EH266,EI266,EJ266,EK266,EL266,EM266,EN266,EO266,EP266,EQ266,ER266,ES266,ET266,EU266,EV266,EW266,EX266,EY266,EZ266,FA266,FB266,FC266,FD266,FE266,FF266)</f>
        <v/>
      </c>
      <c r="FH266" s="14" t="n">
        <v>0</v>
      </c>
      <c r="FI266" s="14" t="n">
        <v>0</v>
      </c>
      <c r="FJ266" s="14" t="n">
        <v>0</v>
      </c>
      <c r="FK266" s="14" t="n">
        <v>0</v>
      </c>
      <c r="FL266" s="14" t="n">
        <v>0</v>
      </c>
      <c r="FM266" s="14" t="n">
        <v>0</v>
      </c>
      <c r="FN266" s="14" t="n">
        <v>0</v>
      </c>
      <c r="FO266" s="14" t="n">
        <v>0</v>
      </c>
      <c r="FP266" s="14" t="n">
        <v>0</v>
      </c>
      <c r="FQ266" s="15">
        <f>FL266+FM266+FN266+FO266+FP266</f>
        <v/>
      </c>
      <c r="FR266" s="14" t="n">
        <v>1801390</v>
      </c>
      <c r="FS266" s="14" t="n">
        <v>76200</v>
      </c>
      <c r="FT266" s="14" t="n">
        <v>128300</v>
      </c>
      <c r="FU266" s="14" t="n">
        <v>0</v>
      </c>
      <c r="FV266" s="15">
        <f>FR266+FS266+FT266+FU266</f>
        <v/>
      </c>
      <c r="FW266" s="14" t="n">
        <v>577100</v>
      </c>
      <c r="FX266" s="14" t="n">
        <v>2700</v>
      </c>
      <c r="FY266" s="14" t="n">
        <v>342600</v>
      </c>
      <c r="FZ266" s="14" t="n">
        <v>652000</v>
      </c>
      <c r="GA266" s="15">
        <f>FW266+FX266+FY266+FZ266</f>
        <v/>
      </c>
      <c r="GB266" s="15">
        <f>FV266+GA266</f>
        <v/>
      </c>
      <c r="GC266" s="14" t="n">
        <v>5333510.92</v>
      </c>
      <c r="GD266" s="14" t="n">
        <v>147859.44</v>
      </c>
      <c r="GE266" s="14" t="n">
        <v>314430.53</v>
      </c>
      <c r="GF266" s="14" t="n">
        <v>69388.08</v>
      </c>
      <c r="GG266" s="15">
        <f>GC266+GD266+GE266+GF266</f>
        <v/>
      </c>
      <c r="GH266" s="14" t="n">
        <v>571247.78</v>
      </c>
      <c r="GI266" s="14" t="n">
        <v>2700</v>
      </c>
      <c r="GJ266" s="14" t="n">
        <v>650800</v>
      </c>
      <c r="GK266" s="14" t="n">
        <v>342600</v>
      </c>
      <c r="GL266" s="15">
        <f>GH266+GI266+GJ266+GK266</f>
        <v/>
      </c>
      <c r="GM266" s="15">
        <f>GG266+GL266</f>
        <v/>
      </c>
      <c r="GN266" s="14" t="n">
        <v>448440.59</v>
      </c>
      <c r="GO266" s="14" t="n">
        <v>2104.08</v>
      </c>
      <c r="GP266" s="14" t="n">
        <v>30542.76</v>
      </c>
      <c r="GQ266" s="14" t="n">
        <v>9274.68</v>
      </c>
      <c r="GR266" s="15">
        <f>GN266+GO266+GP266+GQ266</f>
        <v/>
      </c>
      <c r="GS266" s="14" t="n">
        <v>744762</v>
      </c>
      <c r="GT266" s="14" t="n">
        <v>9823</v>
      </c>
      <c r="GU266" s="14" t="n">
        <v>80377</v>
      </c>
      <c r="GV266" s="14" t="n">
        <v>1786</v>
      </c>
      <c r="GW266" s="15">
        <f>GS266+GT266+GU266+GV266</f>
        <v/>
      </c>
      <c r="GX266" s="15">
        <f>GM266+GR266+GW266</f>
        <v/>
      </c>
      <c r="GY266" s="14" t="n">
        <v>26703377.41</v>
      </c>
      <c r="GZ266" s="14" t="n">
        <v>1772741.86</v>
      </c>
      <c r="HA266" s="15">
        <f>GY266+GZ266</f>
        <v/>
      </c>
      <c r="HB266" s="15">
        <f>IF(GX266=0,"",AU266/GX266)</f>
        <v/>
      </c>
      <c r="HC266" s="16">
        <f>IF((GX266+GY266)=0,"",GB266/(GX266+GY266))</f>
        <v/>
      </c>
      <c r="HD266" s="15">
        <f>IF(GX266=0,"",GB266/GX266)</f>
        <v/>
      </c>
      <c r="HE266" s="14" t="n">
        <v>0</v>
      </c>
      <c r="HF266" s="14" t="n">
        <v>0</v>
      </c>
      <c r="HG266" s="14" t="n">
        <v>29</v>
      </c>
      <c r="HH266" s="14" t="n">
        <v>0</v>
      </c>
      <c r="HI266" s="14" t="n">
        <v>0</v>
      </c>
      <c r="HJ266" s="15">
        <f>HF266+HI266</f>
        <v/>
      </c>
      <c r="HK266" s="16">
        <f>IF(HE266=0,"",HH266/HE266)</f>
        <v/>
      </c>
      <c r="HL266" s="14" t="n">
        <v>0</v>
      </c>
      <c r="HM266" s="14" t="n">
        <v>0</v>
      </c>
      <c r="HN266" s="17">
        <f>IF(HL266=0,"",HM266/HL266)</f>
        <v/>
      </c>
    </row>
    <row r="267">
      <c r="A267" s="6" t="inlineStr">
        <is>
          <t>Ngabu</t>
        </is>
      </c>
      <c r="B267" s="6" t="inlineStr">
        <is>
          <t>Nsanje</t>
        </is>
      </c>
      <c r="C267" s="7" t="inlineStr">
        <is>
          <t>FY2025/26</t>
        </is>
      </c>
      <c r="D267" s="7" t="n">
        <v>2025</v>
      </c>
      <c r="E267" s="7" t="n">
        <v>4</v>
      </c>
      <c r="F267" s="7" t="inlineStr">
        <is>
          <t>April</t>
        </is>
      </c>
      <c r="G267" s="7" t="inlineStr">
        <is>
          <t>Q1</t>
        </is>
      </c>
      <c r="H267" s="8" t="n">
        <v>19105</v>
      </c>
      <c r="I267" s="8" t="n">
        <v>7880</v>
      </c>
      <c r="J267" s="8" t="n">
        <v>612</v>
      </c>
      <c r="K267" s="8" t="n">
        <v>29</v>
      </c>
      <c r="L267" s="8" t="n">
        <v>9</v>
      </c>
      <c r="M267" s="9">
        <f>SUM(I267,J267,K267,L267)</f>
        <v/>
      </c>
      <c r="N267" s="8" t="n">
        <v>3630</v>
      </c>
      <c r="O267" s="8" t="n">
        <v>0</v>
      </c>
      <c r="P267" s="8" t="n">
        <v>1771</v>
      </c>
      <c r="Q267" s="8" t="n">
        <v>411</v>
      </c>
      <c r="R267" s="9">
        <f>SUM(N267,O267,P267,Q267)</f>
        <v/>
      </c>
      <c r="S267" s="9">
        <f>M267+R267</f>
        <v/>
      </c>
      <c r="T267" s="8" t="n">
        <v>4763</v>
      </c>
      <c r="U267" s="10">
        <f>IF(H267=0,"",T267/H267)</f>
        <v/>
      </c>
      <c r="V267" s="8" t="n">
        <v>10</v>
      </c>
      <c r="W267" s="11">
        <f>IF(H267=0,"",V267/H267)</f>
        <v/>
      </c>
      <c r="X267" s="8" t="n">
        <v>0</v>
      </c>
      <c r="Y267" s="11">
        <f>IF(H267=0,"",X267/H267)</f>
        <v/>
      </c>
      <c r="Z267" s="8" t="n">
        <v>0</v>
      </c>
      <c r="AA267" s="11">
        <f>IF(H267=0,"",Z267/H267)</f>
        <v/>
      </c>
      <c r="AB267" s="8" t="n">
        <v>0</v>
      </c>
      <c r="AC267" s="11">
        <f>IF(H267=0,"",AB267/H267)</f>
        <v/>
      </c>
      <c r="AD267" s="8" t="n">
        <v>0</v>
      </c>
      <c r="AE267" s="11">
        <f>IF(H267=0,"",AD267/H267)</f>
        <v/>
      </c>
      <c r="AF267" s="8" t="n">
        <v>0</v>
      </c>
      <c r="AG267" s="11">
        <f>IF(H267=0,"",AF267/H267)</f>
        <v/>
      </c>
      <c r="AH267" s="8" t="n">
        <v>35252.9</v>
      </c>
      <c r="AI267" s="9">
        <f>IF(H267=0,"",AH267/H267)</f>
        <v/>
      </c>
      <c r="AJ267" s="8" t="n">
        <v>14138</v>
      </c>
      <c r="AK267" s="11">
        <f>IF(H267=0,"",AJ267/H267)</f>
        <v/>
      </c>
      <c r="AL267" s="8" t="n">
        <v>1978095.207</v>
      </c>
      <c r="AM267" s="9">
        <f>IF(H267=0,"",AL267/H267)</f>
        <v/>
      </c>
      <c r="AN267" s="8" t="n">
        <v>643</v>
      </c>
      <c r="AO267" s="8" t="n">
        <v>75</v>
      </c>
      <c r="AP267" s="8" t="n">
        <v>205050</v>
      </c>
      <c r="AQ267" s="8" t="n">
        <v>0</v>
      </c>
      <c r="AR267" s="8" t="n">
        <v>0</v>
      </c>
      <c r="AS267" s="8" t="n">
        <v>0</v>
      </c>
      <c r="AT267" s="8" t="n">
        <v>0</v>
      </c>
      <c r="AU267" s="9">
        <f>AH267+AL267+AP267+AQ267+AR267+AS267+AT267</f>
        <v/>
      </c>
      <c r="AV267" s="9">
        <f>IF(H267=0,"",AU267/H267)</f>
        <v/>
      </c>
      <c r="AW267" s="9">
        <f>IF(S267=0,"",AU267/S267)</f>
        <v/>
      </c>
      <c r="AX267" s="8" t="n">
        <v>7</v>
      </c>
      <c r="AY267" s="9">
        <f>IF(H267=0,"",AX267/(H267/1000/12))</f>
        <v/>
      </c>
      <c r="AZ267" s="8" t="n">
        <v>9</v>
      </c>
      <c r="BA267" s="8" t="n">
        <v>11</v>
      </c>
      <c r="BB267" s="8" t="n">
        <v>4</v>
      </c>
      <c r="BC267" s="8" t="n">
        <v>0</v>
      </c>
      <c r="BD267" s="8" t="n">
        <v>0</v>
      </c>
      <c r="BE267" s="9">
        <f>BC267+BD267</f>
        <v/>
      </c>
      <c r="BF267" s="9">
        <f>BA267+BB267-BE267</f>
        <v/>
      </c>
      <c r="BG267" s="8" t="n">
        <v>0</v>
      </c>
      <c r="BH267" s="8" t="n">
        <v>0</v>
      </c>
      <c r="BI267" s="8" t="n">
        <v>0</v>
      </c>
      <c r="BJ267" s="8" t="n">
        <v>0</v>
      </c>
      <c r="BK267" s="9">
        <f>BI267+BJ267</f>
        <v/>
      </c>
      <c r="BL267" s="9">
        <f>BG267+BH267-BK267</f>
        <v/>
      </c>
      <c r="BM267" s="8" t="n">
        <v>0</v>
      </c>
      <c r="BN267" s="8" t="n">
        <v>0</v>
      </c>
      <c r="BO267" s="8" t="n">
        <v>0</v>
      </c>
      <c r="BP267" s="8" t="n">
        <v>0</v>
      </c>
      <c r="BQ267" s="9">
        <f>BO267+BP267</f>
        <v/>
      </c>
      <c r="BR267" s="9">
        <f>BM267+BN267-BQ267</f>
        <v/>
      </c>
      <c r="BS267" s="8" t="n">
        <v>0</v>
      </c>
      <c r="BT267" s="8" t="n">
        <v>0</v>
      </c>
      <c r="BU267" s="8" t="n">
        <v>0</v>
      </c>
      <c r="BV267" s="8" t="n">
        <v>0</v>
      </c>
      <c r="BW267" s="9">
        <f>BU267+BV267</f>
        <v/>
      </c>
      <c r="BX267" s="9">
        <f>BS267+BT267-BW267</f>
        <v/>
      </c>
      <c r="BY267" s="9">
        <f>BA267+BG267+BM267+BS267</f>
        <v/>
      </c>
      <c r="BZ267" s="9">
        <f>BB267+BH267+BN267+BT267</f>
        <v/>
      </c>
      <c r="CA267" s="9">
        <f>BE267+BK267+BQ267+BW267</f>
        <v/>
      </c>
      <c r="CB267" s="9">
        <f>BF267+BL267+BR267+BX267</f>
        <v/>
      </c>
      <c r="CC267" s="8" t="n">
        <v>0</v>
      </c>
      <c r="CD267" s="8" t="n">
        <v>526</v>
      </c>
      <c r="CE267" s="8" t="n">
        <v>20</v>
      </c>
      <c r="CF267" s="8" t="n">
        <v>3</v>
      </c>
      <c r="CG267" s="8" t="n">
        <v>25</v>
      </c>
      <c r="CH267" s="9">
        <f>CD267+CE267+CF267+CG267</f>
        <v/>
      </c>
      <c r="CI267" s="8" t="n">
        <v>1275</v>
      </c>
      <c r="CJ267" s="8" t="n">
        <v>10</v>
      </c>
      <c r="CK267" s="8" t="n">
        <v>3</v>
      </c>
      <c r="CL267" s="8" t="n">
        <v>8</v>
      </c>
      <c r="CM267" s="9">
        <f>CI267+CJ267+CK267+CL267</f>
        <v/>
      </c>
      <c r="CN267" s="8" t="n">
        <v>506</v>
      </c>
      <c r="CO267" s="8" t="n">
        <v>52</v>
      </c>
      <c r="CP267" s="8" t="n">
        <v>49</v>
      </c>
      <c r="CQ267" s="8" t="n">
        <v>1</v>
      </c>
      <c r="CR267" s="9">
        <f>CN267+CO267+CP267+CQ267</f>
        <v/>
      </c>
      <c r="CS267" s="9">
        <f>CM267+CR267</f>
        <v/>
      </c>
      <c r="CT267" s="8" t="n">
        <v>2478</v>
      </c>
      <c r="CU267" s="8" t="n">
        <v>25745</v>
      </c>
      <c r="CV267" s="8" t="n">
        <v>17998</v>
      </c>
      <c r="CW267" s="10">
        <f>IF(CU267=0,"",CV267/CU267)</f>
        <v/>
      </c>
      <c r="CX267" s="8" t="n">
        <v>0</v>
      </c>
      <c r="CY267" s="8" t="n">
        <v>0</v>
      </c>
      <c r="CZ267" s="8" t="n">
        <v>0</v>
      </c>
      <c r="DA267" s="8" t="n">
        <v>0</v>
      </c>
      <c r="DB267" s="9">
        <f>CX267+CY267-CZ267-DA267</f>
        <v/>
      </c>
      <c r="DC267" s="8" t="n">
        <v>0</v>
      </c>
      <c r="DD267" s="8" t="n">
        <v>0</v>
      </c>
      <c r="DE267" s="8" t="n">
        <v>0</v>
      </c>
      <c r="DF267" s="8" t="n">
        <v>0</v>
      </c>
      <c r="DG267" s="9">
        <f>DC267+DD267-DE267-DF267</f>
        <v/>
      </c>
      <c r="DH267" s="8" t="n">
        <v>1</v>
      </c>
      <c r="DI267" s="8" t="n">
        <v>0</v>
      </c>
      <c r="DJ267" s="8" t="n">
        <v>0</v>
      </c>
      <c r="DK267" s="8" t="n">
        <v>0</v>
      </c>
      <c r="DL267" s="9">
        <f>DH267+DI267-DJ267-DK267</f>
        <v/>
      </c>
      <c r="DM267" s="8" t="n">
        <v>121</v>
      </c>
      <c r="DN267" s="8" t="n">
        <v>3</v>
      </c>
      <c r="DO267" s="8" t="n">
        <v>0</v>
      </c>
      <c r="DP267" s="8" t="n">
        <v>0</v>
      </c>
      <c r="DQ267" s="9">
        <f>DM267+DN267-DO267-DP267</f>
        <v/>
      </c>
      <c r="DR267" s="9">
        <f>CX267+DC267+DH267+DM267</f>
        <v/>
      </c>
      <c r="DS267" s="9">
        <f>CY267+DD267+DI267+DN267</f>
        <v/>
      </c>
      <c r="DT267" s="9">
        <f>CZ267+DE267+DJ267+DO267</f>
        <v/>
      </c>
      <c r="DU267" s="9">
        <f>DA267+DF267+DK267+DP267</f>
        <v/>
      </c>
      <c r="DV267" s="9">
        <f>DB267+DG267+DL267+DQ267</f>
        <v/>
      </c>
      <c r="DW267" s="8" t="n">
        <v>119</v>
      </c>
      <c r="DX267" s="8" t="n">
        <v>70</v>
      </c>
      <c r="DY267" s="8" t="n">
        <v>30</v>
      </c>
      <c r="DZ267" s="8" t="n">
        <v>18</v>
      </c>
      <c r="EA267" s="8" t="n">
        <v>6</v>
      </c>
      <c r="EB267" s="8" t="n">
        <v>2</v>
      </c>
      <c r="EC267" s="8" t="n">
        <v>2</v>
      </c>
      <c r="ED267" s="8" t="n">
        <v>0</v>
      </c>
      <c r="EE267" s="8" t="n">
        <v>1</v>
      </c>
      <c r="EF267" s="8" t="n">
        <v>1</v>
      </c>
      <c r="EG267" s="8" t="n">
        <v>0</v>
      </c>
      <c r="EH267" s="8" t="n">
        <v>0</v>
      </c>
      <c r="EI267" s="8" t="n">
        <v>0</v>
      </c>
      <c r="EJ267" s="8" t="n">
        <v>12</v>
      </c>
      <c r="EK267" s="8" t="n">
        <v>5</v>
      </c>
      <c r="EL267" s="8" t="n">
        <v>0</v>
      </c>
      <c r="EM267" s="8" t="n">
        <v>0</v>
      </c>
      <c r="EN267" s="8" t="n">
        <v>0</v>
      </c>
      <c r="EO267" s="8" t="n">
        <v>0</v>
      </c>
      <c r="EP267" s="8" t="n">
        <v>0</v>
      </c>
      <c r="EQ267" s="8" t="n">
        <v>0</v>
      </c>
      <c r="ER267" s="8" t="n">
        <v>0</v>
      </c>
      <c r="ES267" s="8" t="n">
        <v>0</v>
      </c>
      <c r="ET267" s="8" t="n">
        <v>0</v>
      </c>
      <c r="EU267" s="8" t="n">
        <v>0</v>
      </c>
      <c r="EV267" s="8" t="n">
        <v>0</v>
      </c>
      <c r="EW267" s="8" t="n">
        <v>0</v>
      </c>
      <c r="EX267" s="8" t="n">
        <v>0</v>
      </c>
      <c r="EY267" s="8" t="n">
        <v>0</v>
      </c>
      <c r="EZ267" s="8" t="n">
        <v>0</v>
      </c>
      <c r="FA267" s="8" t="n">
        <v>0</v>
      </c>
      <c r="FB267" s="8" t="n">
        <v>0</v>
      </c>
      <c r="FC267" s="8" t="n">
        <v>0</v>
      </c>
      <c r="FD267" s="8" t="n">
        <v>0</v>
      </c>
      <c r="FE267" s="8" t="n">
        <v>0</v>
      </c>
      <c r="FF267" s="8" t="n">
        <v>0</v>
      </c>
      <c r="FG267" s="9">
        <f>SUM(DW267,DX267,DY267,DZ267,EA267,EB267,EC267,ED267,EE267,EF267,EG267,EH267,EI267,EJ267,EK267,EL267,EM267,EN267,EO267,EP267,EQ267,ER267,ES267,ET267,EU267,EV267,EW267,EX267,EY267,EZ267,FA267,FB267,FC267,FD267,FE267,FF267)</f>
        <v/>
      </c>
      <c r="FH267" s="8" t="n">
        <v>0</v>
      </c>
      <c r="FI267" s="8" t="n">
        <v>0</v>
      </c>
      <c r="FJ267" s="8" t="n">
        <v>30</v>
      </c>
      <c r="FK267" s="8" t="n">
        <v>185</v>
      </c>
      <c r="FL267" s="8" t="n">
        <v>0</v>
      </c>
      <c r="FM267" s="8" t="n">
        <v>0</v>
      </c>
      <c r="FN267" s="8" t="n">
        <v>0</v>
      </c>
      <c r="FO267" s="8" t="n">
        <v>0</v>
      </c>
      <c r="FP267" s="8" t="n">
        <v>0</v>
      </c>
      <c r="FQ267" s="9">
        <f>FL267+FM267+FN267+FO267+FP267</f>
        <v/>
      </c>
      <c r="FR267" s="8" t="n">
        <v>3303573</v>
      </c>
      <c r="FS267" s="8" t="n">
        <v>0</v>
      </c>
      <c r="FT267" s="8" t="n">
        <v>0</v>
      </c>
      <c r="FU267" s="8" t="n">
        <v>0</v>
      </c>
      <c r="FV267" s="9">
        <f>FR267+FS267+FT267+FU267</f>
        <v/>
      </c>
      <c r="FW267" s="8" t="n">
        <v>4709138</v>
      </c>
      <c r="FX267" s="8" t="n">
        <v>0</v>
      </c>
      <c r="FY267" s="8" t="n">
        <v>1929571</v>
      </c>
      <c r="FZ267" s="8" t="n">
        <v>9702812</v>
      </c>
      <c r="GA267" s="9">
        <f>FW267+FX267+FY267+FZ267</f>
        <v/>
      </c>
      <c r="GB267" s="9">
        <f>FV267+GA267</f>
        <v/>
      </c>
      <c r="GC267" s="8" t="n">
        <v>7466802.43</v>
      </c>
      <c r="GD267" s="8" t="n">
        <v>117063.36</v>
      </c>
      <c r="GE267" s="8" t="n">
        <v>92809.3</v>
      </c>
      <c r="GF267" s="8" t="n">
        <v>25339.19</v>
      </c>
      <c r="GG267" s="9">
        <f>GC267+GD267+GE267+GF267</f>
        <v/>
      </c>
      <c r="GH267" s="8" t="n">
        <v>4570903.1</v>
      </c>
      <c r="GI267" s="8" t="n">
        <v>0</v>
      </c>
      <c r="GJ267" s="8" t="n">
        <v>5382811.5</v>
      </c>
      <c r="GK267" s="8" t="n">
        <v>1929571.27</v>
      </c>
      <c r="GL267" s="9">
        <f>GH267+GI267+GJ267+GK267</f>
        <v/>
      </c>
      <c r="GM267" s="9">
        <f>GG267+GL267</f>
        <v/>
      </c>
      <c r="GN267" s="8" t="n">
        <v>633729.63</v>
      </c>
      <c r="GO267" s="8" t="n">
        <v>1530.24</v>
      </c>
      <c r="GP267" s="8" t="n">
        <v>6787.28</v>
      </c>
      <c r="GQ267" s="8" t="n">
        <v>4637.34</v>
      </c>
      <c r="GR267" s="9">
        <f>GN267+GO267+GP267+GQ267</f>
        <v/>
      </c>
      <c r="GS267" s="8" t="n">
        <v>1014448</v>
      </c>
      <c r="GT267" s="8" t="n">
        <v>7144</v>
      </c>
      <c r="GU267" s="8" t="n">
        <v>1786</v>
      </c>
      <c r="GV267" s="8" t="n">
        <v>893</v>
      </c>
      <c r="GW267" s="9">
        <f>GS267+GT267+GU267+GV267</f>
        <v/>
      </c>
      <c r="GX267" s="9">
        <f>GM267+GR267+GW267</f>
        <v/>
      </c>
      <c r="GY267" s="8" t="n">
        <v>0</v>
      </c>
      <c r="GZ267" s="8" t="n">
        <v>0</v>
      </c>
      <c r="HA267" s="9">
        <f>GY267+GZ267</f>
        <v/>
      </c>
      <c r="HB267" s="9">
        <f>IF(GX267=0,"",AU267/GX267)</f>
        <v/>
      </c>
      <c r="HC267" s="10">
        <f>IF((GX267+GY267)=0,"",GB267/(GX267+GY267))</f>
        <v/>
      </c>
      <c r="HD267" s="9">
        <f>IF(GX267=0,"",GB267/GX267)</f>
        <v/>
      </c>
      <c r="HE267" s="8" t="n">
        <v>4</v>
      </c>
      <c r="HF267" s="8" t="n">
        <v>10</v>
      </c>
      <c r="HG267" s="8" t="n">
        <v>15</v>
      </c>
      <c r="HH267" s="8" t="n">
        <v>4</v>
      </c>
      <c r="HI267" s="8" t="n">
        <v>0</v>
      </c>
      <c r="HJ267" s="9">
        <f>HF267+HI267</f>
        <v/>
      </c>
      <c r="HK267" s="10">
        <f>IF(HE267=0,"",HH267/HE267)</f>
        <v/>
      </c>
      <c r="HL267" s="8" t="n">
        <v>9</v>
      </c>
      <c r="HM267" s="8" t="n">
        <v>18</v>
      </c>
      <c r="HN267" s="11">
        <f>IF(HL267=0,"",HM267/HL267)</f>
        <v/>
      </c>
    </row>
    <row r="268">
      <c r="A268" s="12" t="inlineStr">
        <is>
          <t>Ngabu</t>
        </is>
      </c>
      <c r="B268" s="12" t="inlineStr">
        <is>
          <t>Nsanje</t>
        </is>
      </c>
      <c r="C268" s="13" t="inlineStr">
        <is>
          <t>FY2025/26</t>
        </is>
      </c>
      <c r="D268" s="13" t="n">
        <v>2025</v>
      </c>
      <c r="E268" s="13" t="n">
        <v>5</v>
      </c>
      <c r="F268" s="13" t="inlineStr">
        <is>
          <t>May</t>
        </is>
      </c>
      <c r="G268" s="13" t="inlineStr">
        <is>
          <t>Q1</t>
        </is>
      </c>
      <c r="H268" s="14" t="n">
        <v>20921</v>
      </c>
      <c r="I268" s="14" t="n">
        <v>8073</v>
      </c>
      <c r="J268" s="14" t="n">
        <v>582</v>
      </c>
      <c r="K268" s="14" t="n">
        <v>22</v>
      </c>
      <c r="L268" s="14" t="n">
        <v>28</v>
      </c>
      <c r="M268" s="15">
        <f>SUM(I268,J268,K268,L268)</f>
        <v/>
      </c>
      <c r="N268" s="14" t="n">
        <v>4464</v>
      </c>
      <c r="O268" s="14" t="n">
        <v>0</v>
      </c>
      <c r="P268" s="14" t="n">
        <v>1552</v>
      </c>
      <c r="Q268" s="14" t="n">
        <v>548</v>
      </c>
      <c r="R268" s="15">
        <f>SUM(N268,O268,P268,Q268)</f>
        <v/>
      </c>
      <c r="S268" s="15">
        <f>M268+R268</f>
        <v/>
      </c>
      <c r="T268" s="14" t="n">
        <v>5652</v>
      </c>
      <c r="U268" s="16">
        <f>IF(H268=0,"",T268/H268)</f>
        <v/>
      </c>
      <c r="V268" s="14" t="n">
        <v>13</v>
      </c>
      <c r="W268" s="17">
        <f>IF(H268=0,"",V268/H268)</f>
        <v/>
      </c>
      <c r="X268" s="14" t="n">
        <v>0</v>
      </c>
      <c r="Y268" s="17">
        <f>IF(H268=0,"",X268/H268)</f>
        <v/>
      </c>
      <c r="Z268" s="14" t="n">
        <v>0</v>
      </c>
      <c r="AA268" s="17">
        <f>IF(H268=0,"",Z268/H268)</f>
        <v/>
      </c>
      <c r="AB268" s="14" t="n">
        <v>0</v>
      </c>
      <c r="AC268" s="17">
        <f>IF(H268=0,"",AB268/H268)</f>
        <v/>
      </c>
      <c r="AD268" s="14" t="n">
        <v>0</v>
      </c>
      <c r="AE268" s="17">
        <f>IF(H268=0,"",AD268/H268)</f>
        <v/>
      </c>
      <c r="AF268" s="14" t="n">
        <v>0</v>
      </c>
      <c r="AG268" s="17">
        <f>IF(H268=0,"",AF268/H268)</f>
        <v/>
      </c>
      <c r="AH268" s="14" t="n">
        <v>45828.77</v>
      </c>
      <c r="AI268" s="15">
        <f>IF(H268=0,"",AH268/H268)</f>
        <v/>
      </c>
      <c r="AJ268" s="14" t="n">
        <v>12624</v>
      </c>
      <c r="AK268" s="17">
        <f>IF(H268=0,"",AJ268/H268)</f>
        <v/>
      </c>
      <c r="AL268" s="14" t="n">
        <v>1768025.436</v>
      </c>
      <c r="AM268" s="15">
        <f>IF(H268=0,"",AL268/H268)</f>
        <v/>
      </c>
      <c r="AN268" s="14" t="n">
        <v>1416</v>
      </c>
      <c r="AO268" s="14" t="n">
        <v>129</v>
      </c>
      <c r="AP268" s="14" t="n">
        <v>352686</v>
      </c>
      <c r="AQ268" s="14" t="n">
        <v>0</v>
      </c>
      <c r="AR268" s="14" t="n">
        <v>0</v>
      </c>
      <c r="AS268" s="14" t="n">
        <v>0</v>
      </c>
      <c r="AT268" s="14" t="n">
        <v>0</v>
      </c>
      <c r="AU268" s="15">
        <f>AH268+AL268+AP268+AQ268+AR268+AS268+AT268</f>
        <v/>
      </c>
      <c r="AV268" s="15">
        <f>IF(H268=0,"",AU268/H268)</f>
        <v/>
      </c>
      <c r="AW268" s="15">
        <f>IF(S268=0,"",AU268/S268)</f>
        <v/>
      </c>
      <c r="AX268" s="14" t="n">
        <v>7</v>
      </c>
      <c r="AY268" s="15">
        <f>IF(H268=0,"",AX268/(H268/1000/12))</f>
        <v/>
      </c>
      <c r="AZ268" s="14" t="n">
        <v>9</v>
      </c>
      <c r="BA268" s="14" t="n">
        <v>15</v>
      </c>
      <c r="BB268" s="14" t="n">
        <v>6</v>
      </c>
      <c r="BC268" s="14" t="n">
        <v>2</v>
      </c>
      <c r="BD268" s="14" t="n">
        <v>0</v>
      </c>
      <c r="BE268" s="15">
        <f>BC268+BD268</f>
        <v/>
      </c>
      <c r="BF268" s="15">
        <f>BA268+BB268-BE268</f>
        <v/>
      </c>
      <c r="BG268" s="14" t="n">
        <v>0</v>
      </c>
      <c r="BH268" s="14" t="n">
        <v>0</v>
      </c>
      <c r="BI268" s="14" t="n">
        <v>0</v>
      </c>
      <c r="BJ268" s="14" t="n">
        <v>0</v>
      </c>
      <c r="BK268" s="15">
        <f>BI268+BJ268</f>
        <v/>
      </c>
      <c r="BL268" s="15">
        <f>BG268+BH268-BK268</f>
        <v/>
      </c>
      <c r="BM268" s="14" t="n">
        <v>0</v>
      </c>
      <c r="BN268" s="14" t="n">
        <v>0</v>
      </c>
      <c r="BO268" s="14" t="n">
        <v>0</v>
      </c>
      <c r="BP268" s="14" t="n">
        <v>0</v>
      </c>
      <c r="BQ268" s="15">
        <f>BO268+BP268</f>
        <v/>
      </c>
      <c r="BR268" s="15">
        <f>BM268+BN268-BQ268</f>
        <v/>
      </c>
      <c r="BS268" s="14" t="n">
        <v>0</v>
      </c>
      <c r="BT268" s="14" t="n">
        <v>0</v>
      </c>
      <c r="BU268" s="14" t="n">
        <v>0</v>
      </c>
      <c r="BV268" s="14" t="n">
        <v>0</v>
      </c>
      <c r="BW268" s="15">
        <f>BU268+BV268</f>
        <v/>
      </c>
      <c r="BX268" s="15">
        <f>BS268+BT268-BW268</f>
        <v/>
      </c>
      <c r="BY268" s="15">
        <f>BA268+BG268+BM268+BS268</f>
        <v/>
      </c>
      <c r="BZ268" s="15">
        <f>BB268+BH268+BN268+BT268</f>
        <v/>
      </c>
      <c r="CA268" s="15">
        <f>BE268+BK268+BQ268+BW268</f>
        <v/>
      </c>
      <c r="CB268" s="15">
        <f>BF268+BL268+BR268+BX268</f>
        <v/>
      </c>
      <c r="CC268" s="14" t="n">
        <v>0</v>
      </c>
      <c r="CD268" s="14" t="n">
        <v>520</v>
      </c>
      <c r="CE268" s="14" t="n">
        <v>20</v>
      </c>
      <c r="CF268" s="14" t="n">
        <v>3</v>
      </c>
      <c r="CG268" s="14" t="n">
        <v>25</v>
      </c>
      <c r="CH268" s="15">
        <f>CD268+CE268+CF268+CG268</f>
        <v/>
      </c>
      <c r="CI268" s="14" t="n">
        <v>1283</v>
      </c>
      <c r="CJ268" s="14" t="n">
        <v>10</v>
      </c>
      <c r="CK268" s="14" t="n">
        <v>3</v>
      </c>
      <c r="CL268" s="14" t="n">
        <v>8</v>
      </c>
      <c r="CM268" s="15">
        <f>CI268+CJ268+CK268+CL268</f>
        <v/>
      </c>
      <c r="CN268" s="14" t="n">
        <v>506</v>
      </c>
      <c r="CO268" s="14" t="n">
        <v>52</v>
      </c>
      <c r="CP268" s="14" t="n">
        <v>49</v>
      </c>
      <c r="CQ268" s="14" t="n">
        <v>1</v>
      </c>
      <c r="CR268" s="15">
        <f>CN268+CO268+CP268+CQ268</f>
        <v/>
      </c>
      <c r="CS268" s="15">
        <f>CM268+CR268</f>
        <v/>
      </c>
      <c r="CT268" s="14" t="n">
        <v>2480</v>
      </c>
      <c r="CU268" s="14" t="n">
        <v>25788.7665</v>
      </c>
      <c r="CV268" s="14" t="n">
        <v>17998</v>
      </c>
      <c r="CW268" s="16">
        <f>IF(CU268=0,"",CV268/CU268)</f>
        <v/>
      </c>
      <c r="CX268" s="14" t="n">
        <v>0</v>
      </c>
      <c r="CY268" s="14" t="n"/>
      <c r="CZ268" s="14" t="n"/>
      <c r="DA268" s="14" t="n"/>
      <c r="DB268" s="15">
        <f>CX268+CY268-CZ268-DA268</f>
        <v/>
      </c>
      <c r="DC268" s="14" t="n">
        <v>0</v>
      </c>
      <c r="DD268" s="14" t="n">
        <v>0</v>
      </c>
      <c r="DE268" s="14" t="n">
        <v>0</v>
      </c>
      <c r="DF268" s="14" t="n">
        <v>0</v>
      </c>
      <c r="DG268" s="15">
        <f>DC268+DD268-DE268-DF268</f>
        <v/>
      </c>
      <c r="DH268" s="14" t="n">
        <v>1</v>
      </c>
      <c r="DI268" s="14" t="n">
        <v>0</v>
      </c>
      <c r="DJ268" s="14" t="n">
        <v>0</v>
      </c>
      <c r="DK268" s="14" t="n">
        <v>0</v>
      </c>
      <c r="DL268" s="15">
        <f>DH268+DI268-DJ268-DK268</f>
        <v/>
      </c>
      <c r="DM268" s="14" t="n">
        <v>124</v>
      </c>
      <c r="DN268" s="14" t="n">
        <v>13</v>
      </c>
      <c r="DO268" s="14" t="n">
        <v>0</v>
      </c>
      <c r="DP268" s="14" t="n">
        <v>0</v>
      </c>
      <c r="DQ268" s="15">
        <f>DM268+DN268-DO268-DP268</f>
        <v/>
      </c>
      <c r="DR268" s="15">
        <f>CX268+DC268+DH268+DM268</f>
        <v/>
      </c>
      <c r="DS268" s="15">
        <f>CY268+DD268+DI268+DN268</f>
        <v/>
      </c>
      <c r="DT268" s="15">
        <f>CZ268+DE268+DJ268+DO268</f>
        <v/>
      </c>
      <c r="DU268" s="15">
        <f>DA268+DF268+DK268+DP268</f>
        <v/>
      </c>
      <c r="DV268" s="15">
        <f>DB268+DG268+DL268+DQ268</f>
        <v/>
      </c>
      <c r="DW268" s="14" t="n">
        <v>137</v>
      </c>
      <c r="DX268" s="14" t="n">
        <v>77</v>
      </c>
      <c r="DY268" s="14" t="n">
        <v>33</v>
      </c>
      <c r="DZ268" s="14" t="n">
        <v>15</v>
      </c>
      <c r="EA268" s="14" t="n">
        <v>6</v>
      </c>
      <c r="EB268" s="14" t="n">
        <v>1</v>
      </c>
      <c r="EC268" s="14" t="n">
        <v>2</v>
      </c>
      <c r="ED268" s="14" t="n">
        <v>0</v>
      </c>
      <c r="EE268" s="14" t="n">
        <v>2</v>
      </c>
      <c r="EF268" s="14" t="n">
        <v>1</v>
      </c>
      <c r="EG268" s="14" t="n">
        <v>0</v>
      </c>
      <c r="EH268" s="14" t="n">
        <v>0</v>
      </c>
      <c r="EI268" s="14" t="n">
        <v>0</v>
      </c>
      <c r="EJ268" s="14" t="n">
        <v>13</v>
      </c>
      <c r="EK268" s="14" t="n">
        <v>7</v>
      </c>
      <c r="EL268" s="14" t="n">
        <v>0</v>
      </c>
      <c r="EM268" s="14" t="n">
        <v>0</v>
      </c>
      <c r="EN268" s="14" t="n">
        <v>0</v>
      </c>
      <c r="EO268" s="14" t="n">
        <v>0</v>
      </c>
      <c r="EP268" s="14" t="n">
        <v>0</v>
      </c>
      <c r="EQ268" s="14" t="n">
        <v>0</v>
      </c>
      <c r="ER268" s="14" t="n">
        <v>0</v>
      </c>
      <c r="ES268" s="14" t="n">
        <v>0</v>
      </c>
      <c r="ET268" s="14" t="n">
        <v>0</v>
      </c>
      <c r="EU268" s="14" t="n">
        <v>0</v>
      </c>
      <c r="EV268" s="14" t="n">
        <v>0</v>
      </c>
      <c r="EW268" s="14" t="n">
        <v>0</v>
      </c>
      <c r="EX268" s="14" t="n">
        <v>0</v>
      </c>
      <c r="EY268" s="14" t="n">
        <v>0</v>
      </c>
      <c r="EZ268" s="14" t="n">
        <v>0</v>
      </c>
      <c r="FA268" s="14" t="n">
        <v>0</v>
      </c>
      <c r="FB268" s="14" t="n">
        <v>0</v>
      </c>
      <c r="FC268" s="14" t="n">
        <v>0</v>
      </c>
      <c r="FD268" s="14" t="n">
        <v>0</v>
      </c>
      <c r="FE268" s="14" t="n">
        <v>0</v>
      </c>
      <c r="FF268" s="14" t="n">
        <v>0</v>
      </c>
      <c r="FG268" s="15">
        <f>SUM(DW268,DX268,DY268,DZ268,EA268,EB268,EC268,ED268,EE268,EF268,EG268,EH268,EI268,EJ268,EK268,EL268,EM268,EN268,EO268,EP268,EQ268,ER268,ES268,ET268,EU268,EV268,EW268,EX268,EY268,EZ268,FA268,FB268,FC268,FD268,FE268,FF268)</f>
        <v/>
      </c>
      <c r="FH268" s="14" t="n">
        <v>0</v>
      </c>
      <c r="FI268" s="14" t="n">
        <v>0</v>
      </c>
      <c r="FJ268" s="14" t="n">
        <v>0</v>
      </c>
      <c r="FK268" s="14" t="n">
        <v>0</v>
      </c>
      <c r="FL268" s="14" t="n">
        <v>0</v>
      </c>
      <c r="FM268" s="14" t="n">
        <v>0</v>
      </c>
      <c r="FN268" s="14" t="n">
        <v>0</v>
      </c>
      <c r="FO268" s="14" t="n">
        <v>0</v>
      </c>
      <c r="FP268" s="14" t="n">
        <v>0</v>
      </c>
      <c r="FQ268" s="15">
        <f>FL268+FM268+FN268+FO268+FP268</f>
        <v/>
      </c>
      <c r="FR268" s="14" t="n">
        <v>7505974</v>
      </c>
      <c r="FS268" s="14" t="n">
        <v>95900</v>
      </c>
      <c r="FT268" s="14" t="n">
        <v>3000</v>
      </c>
      <c r="FU268" s="14" t="n">
        <v>0</v>
      </c>
      <c r="FV268" s="15">
        <f>FR268+FS268+FT268+FU268</f>
        <v/>
      </c>
      <c r="FW268" s="14" t="n">
        <v>4678713</v>
      </c>
      <c r="FX268" s="14" t="n">
        <v>0</v>
      </c>
      <c r="FY268" s="14" t="n">
        <v>1938225</v>
      </c>
      <c r="FZ268" s="14" t="n">
        <v>4934330</v>
      </c>
      <c r="GA268" s="15">
        <f>FW268+FX268+FY268+FZ268</f>
        <v/>
      </c>
      <c r="GB268" s="15">
        <f>FV268+GA268</f>
        <v/>
      </c>
      <c r="GC268" s="14" t="n">
        <v>7644036.03</v>
      </c>
      <c r="GD268" s="14" t="n">
        <v>111324.96</v>
      </c>
      <c r="GE268" s="14" t="n">
        <v>58214.6</v>
      </c>
      <c r="GF268" s="14" t="n">
        <v>114180.37</v>
      </c>
      <c r="GG268" s="15">
        <f>GC268+GD268+GE268+GF268</f>
        <v/>
      </c>
      <c r="GH268" s="14" t="n">
        <v>4562251.61</v>
      </c>
      <c r="GI268" s="14" t="n">
        <v>0</v>
      </c>
      <c r="GJ268" s="14" t="n">
        <v>4934330</v>
      </c>
      <c r="GK268" s="14" t="n">
        <v>1938225</v>
      </c>
      <c r="GL268" s="15">
        <f>GH268+GI268+GJ268+GK268</f>
        <v/>
      </c>
      <c r="GM268" s="15">
        <f>GG268+GL268</f>
        <v/>
      </c>
      <c r="GN268" s="14" t="n">
        <v>648217.88</v>
      </c>
      <c r="GO268" s="14" t="n">
        <v>1530.24</v>
      </c>
      <c r="GP268" s="14" t="n">
        <v>6787.28</v>
      </c>
      <c r="GQ268" s="14" t="n">
        <v>4637.34</v>
      </c>
      <c r="GR268" s="15">
        <f>GN268+GO268+GP268+GQ268</f>
        <v/>
      </c>
      <c r="GS268" s="14" t="n">
        <v>1038559</v>
      </c>
      <c r="GT268" s="14" t="n">
        <v>7144</v>
      </c>
      <c r="GU268" s="14" t="n">
        <v>1786</v>
      </c>
      <c r="GV268" s="14" t="n">
        <v>893</v>
      </c>
      <c r="GW268" s="15">
        <f>GS268+GT268+GU268+GV268</f>
        <v/>
      </c>
      <c r="GX268" s="15">
        <f>GM268+GR268+GW268</f>
        <v/>
      </c>
      <c r="GY268" s="14" t="n">
        <v>29557096.93</v>
      </c>
      <c r="GZ268" s="14" t="n">
        <v>361424.94</v>
      </c>
      <c r="HA268" s="15">
        <f>GY268+GZ268</f>
        <v/>
      </c>
      <c r="HB268" s="15">
        <f>IF(GX268=0,"",AU268/GX268)</f>
        <v/>
      </c>
      <c r="HC268" s="16">
        <f>IF((GX268+GY268)=0,"",GB268/(GX268+GY268))</f>
        <v/>
      </c>
      <c r="HD268" s="15">
        <f>IF(GX268=0,"",GB268/GX268)</f>
        <v/>
      </c>
      <c r="HE268" s="14" t="n">
        <v>6</v>
      </c>
      <c r="HF268" s="14" t="n">
        <v>10</v>
      </c>
      <c r="HG268" s="14" t="n">
        <v>19</v>
      </c>
      <c r="HH268" s="14" t="n">
        <v>6</v>
      </c>
      <c r="HI268" s="14" t="n">
        <v>0</v>
      </c>
      <c r="HJ268" s="15">
        <f>HF268+HI268</f>
        <v/>
      </c>
      <c r="HK268" s="16">
        <f>IF(HE268=0,"",HH268/HE268)</f>
        <v/>
      </c>
      <c r="HL268" s="14" t="n">
        <v>6</v>
      </c>
      <c r="HM268" s="14" t="n">
        <v>12</v>
      </c>
      <c r="HN268" s="17">
        <f>IF(HL268=0,"",HM268/HL268)</f>
        <v/>
      </c>
    </row>
    <row r="269">
      <c r="A269" s="6" t="inlineStr">
        <is>
          <t>Ngabu</t>
        </is>
      </c>
      <c r="B269" s="6" t="inlineStr">
        <is>
          <t>Nsanje</t>
        </is>
      </c>
      <c r="C269" s="7" t="inlineStr">
        <is>
          <t>FY2025/26</t>
        </is>
      </c>
      <c r="D269" s="7" t="n">
        <v>2025</v>
      </c>
      <c r="E269" s="7" t="n">
        <v>6</v>
      </c>
      <c r="F269" s="7" t="inlineStr">
        <is>
          <t>June</t>
        </is>
      </c>
      <c r="G269" s="7" t="inlineStr">
        <is>
          <t>Q1</t>
        </is>
      </c>
      <c r="H269" s="8" t="n">
        <v>20001</v>
      </c>
      <c r="I269" s="8" t="n">
        <v>7298</v>
      </c>
      <c r="J269" s="8" t="n">
        <v>579</v>
      </c>
      <c r="K269" s="8" t="n">
        <v>145</v>
      </c>
      <c r="L269" s="8" t="n">
        <v>26</v>
      </c>
      <c r="M269" s="9">
        <f>SUM(I269,J269,K269,L269)</f>
        <v/>
      </c>
      <c r="N269" s="8" t="n">
        <v>4296</v>
      </c>
      <c r="O269" s="8" t="n">
        <v>0</v>
      </c>
      <c r="P269" s="8" t="n">
        <v>1488</v>
      </c>
      <c r="Q269" s="8" t="n">
        <v>611</v>
      </c>
      <c r="R269" s="9">
        <f>SUM(N269,O269,P269,Q269)</f>
        <v/>
      </c>
      <c r="S269" s="9">
        <f>M269+R269</f>
        <v/>
      </c>
      <c r="T269" s="8" t="n">
        <v>5558</v>
      </c>
      <c r="U269" s="10">
        <f>IF(H269=0,"",T269/H269)</f>
        <v/>
      </c>
      <c r="V269" s="8" t="n">
        <v>12</v>
      </c>
      <c r="W269" s="11">
        <f>IF(H269=0,"",V269/H269)</f>
        <v/>
      </c>
      <c r="X269" s="8" t="n">
        <v>0</v>
      </c>
      <c r="Y269" s="11">
        <f>IF(H269=0,"",X269/H269)</f>
        <v/>
      </c>
      <c r="Z269" s="8" t="n">
        <v>0</v>
      </c>
      <c r="AA269" s="11">
        <f>IF(H269=0,"",Z269/H269)</f>
        <v/>
      </c>
      <c r="AB269" s="8" t="n">
        <v>0</v>
      </c>
      <c r="AC269" s="11">
        <f>IF(H269=0,"",AB269/H269)</f>
        <v/>
      </c>
      <c r="AD269" s="8" t="n">
        <v>0</v>
      </c>
      <c r="AE269" s="11">
        <f>IF(H269=0,"",AD269/H269)</f>
        <v/>
      </c>
      <c r="AF269" s="8" t="n">
        <v>0</v>
      </c>
      <c r="AG269" s="11">
        <f>IF(H269=0,"",AF269/H269)</f>
        <v/>
      </c>
      <c r="AH269" s="8" t="n">
        <v>42303.48</v>
      </c>
      <c r="AI269" s="9">
        <f>IF(H269=0,"",AH269/H269)</f>
        <v/>
      </c>
      <c r="AJ269" s="8" t="n">
        <v>18411</v>
      </c>
      <c r="AK269" s="11">
        <f>IF(H269=0,"",AJ269/H269)</f>
        <v/>
      </c>
      <c r="AL269" s="8" t="n">
        <v>2570980.3665</v>
      </c>
      <c r="AM269" s="9">
        <f>IF(H269=0,"",AL269/H269)</f>
        <v/>
      </c>
      <c r="AN269" s="8" t="n">
        <v>1574</v>
      </c>
      <c r="AO269" s="8" t="n">
        <v>199.8</v>
      </c>
      <c r="AP269" s="8" t="n">
        <v>546253.2</v>
      </c>
      <c r="AQ269" s="8" t="n">
        <v>0</v>
      </c>
      <c r="AR269" s="8" t="n">
        <v>0</v>
      </c>
      <c r="AS269" s="8" t="n">
        <v>0</v>
      </c>
      <c r="AT269" s="8" t="n">
        <v>0</v>
      </c>
      <c r="AU269" s="9">
        <f>AH269+AL269+AP269+AQ269+AR269+AS269+AT269</f>
        <v/>
      </c>
      <c r="AV269" s="9">
        <f>IF(H269=0,"",AU269/H269)</f>
        <v/>
      </c>
      <c r="AW269" s="9">
        <f>IF(S269=0,"",AU269/S269)</f>
        <v/>
      </c>
      <c r="AX269" s="8" t="n">
        <v>7</v>
      </c>
      <c r="AY269" s="9">
        <f>IF(H269=0,"",AX269/(H269/1000/12))</f>
        <v/>
      </c>
      <c r="AZ269" s="8" t="n">
        <v>8</v>
      </c>
      <c r="BA269" s="8" t="n">
        <v>19</v>
      </c>
      <c r="BB269" s="8" t="n">
        <v>2</v>
      </c>
      <c r="BC269" s="8" t="n">
        <v>4</v>
      </c>
      <c r="BD269" s="8" t="n">
        <v>0</v>
      </c>
      <c r="BE269" s="9">
        <f>BC269+BD269</f>
        <v/>
      </c>
      <c r="BF269" s="9">
        <f>BA269+BB269-BE269</f>
        <v/>
      </c>
      <c r="BG269" s="8" t="n">
        <v>0</v>
      </c>
      <c r="BH269" s="8" t="n">
        <v>0</v>
      </c>
      <c r="BI269" s="8" t="n">
        <v>0</v>
      </c>
      <c r="BJ269" s="8" t="n">
        <v>0</v>
      </c>
      <c r="BK269" s="9">
        <f>BI269+BJ269</f>
        <v/>
      </c>
      <c r="BL269" s="9">
        <f>BG269+BH269-BK269</f>
        <v/>
      </c>
      <c r="BM269" s="8" t="n">
        <v>0</v>
      </c>
      <c r="BN269" s="8" t="n">
        <v>0</v>
      </c>
      <c r="BO269" s="8" t="n">
        <v>0</v>
      </c>
      <c r="BP269" s="8" t="n">
        <v>0</v>
      </c>
      <c r="BQ269" s="9">
        <f>BO269+BP269</f>
        <v/>
      </c>
      <c r="BR269" s="9">
        <f>BM269+BN269-BQ269</f>
        <v/>
      </c>
      <c r="BS269" s="8" t="n">
        <v>0</v>
      </c>
      <c r="BT269" s="8" t="n">
        <v>0</v>
      </c>
      <c r="BU269" s="8" t="n">
        <v>0</v>
      </c>
      <c r="BV269" s="8" t="n">
        <v>0</v>
      </c>
      <c r="BW269" s="9">
        <f>BU269+BV269</f>
        <v/>
      </c>
      <c r="BX269" s="9">
        <f>BS269+BT269-BW269</f>
        <v/>
      </c>
      <c r="BY269" s="9">
        <f>BA269+BG269+BM269+BS269</f>
        <v/>
      </c>
      <c r="BZ269" s="9">
        <f>BB269+BH269+BN269+BT269</f>
        <v/>
      </c>
      <c r="CA269" s="9">
        <f>BE269+BK269+BQ269+BW269</f>
        <v/>
      </c>
      <c r="CB269" s="9">
        <f>BF269+BL269+BR269+BX269</f>
        <v/>
      </c>
      <c r="CC269" s="8" t="n">
        <v>0</v>
      </c>
      <c r="CD269" s="8" t="n">
        <v>515</v>
      </c>
      <c r="CE269" s="8" t="n">
        <v>20</v>
      </c>
      <c r="CF269" s="8" t="n">
        <v>3</v>
      </c>
      <c r="CG269" s="8" t="n">
        <v>25</v>
      </c>
      <c r="CH269" s="9">
        <f>CD269+CE269+CF269+CG269</f>
        <v/>
      </c>
      <c r="CI269" s="8" t="n">
        <v>1292</v>
      </c>
      <c r="CJ269" s="8" t="n">
        <v>10</v>
      </c>
      <c r="CK269" s="8" t="n">
        <v>3</v>
      </c>
      <c r="CL269" s="8" t="n">
        <v>8</v>
      </c>
      <c r="CM269" s="9">
        <f>CI269+CJ269+CK269+CL269</f>
        <v/>
      </c>
      <c r="CN269" s="8" t="n">
        <v>506</v>
      </c>
      <c r="CO269" s="8" t="n">
        <v>52</v>
      </c>
      <c r="CP269" s="8" t="n">
        <v>49</v>
      </c>
      <c r="CQ269" s="8" t="n">
        <v>1</v>
      </c>
      <c r="CR269" s="9">
        <f>CN269+CO269+CP269+CQ269</f>
        <v/>
      </c>
      <c r="CS269" s="9">
        <f>CM269+CR269</f>
        <v/>
      </c>
      <c r="CT269" s="8" t="n">
        <v>2484</v>
      </c>
      <c r="CU269" s="8" t="n">
        <v>25832.60740305</v>
      </c>
      <c r="CV269" s="8" t="n">
        <v>17998</v>
      </c>
      <c r="CW269" s="10">
        <f>IF(CU269=0,"",CV269/CU269)</f>
        <v/>
      </c>
      <c r="CX269" s="8" t="n">
        <v>0</v>
      </c>
      <c r="CY269" s="8" t="n"/>
      <c r="CZ269" s="8" t="n"/>
      <c r="DA269" s="8" t="n"/>
      <c r="DB269" s="9">
        <f>CX269+CY269-CZ269-DA269</f>
        <v/>
      </c>
      <c r="DC269" s="8" t="n">
        <v>0</v>
      </c>
      <c r="DD269" s="8" t="n">
        <v>0</v>
      </c>
      <c r="DE269" s="8" t="n">
        <v>0</v>
      </c>
      <c r="DF269" s="8" t="n">
        <v>0</v>
      </c>
      <c r="DG269" s="9">
        <f>DC269+DD269-DE269-DF269</f>
        <v/>
      </c>
      <c r="DH269" s="8" t="n">
        <v>1</v>
      </c>
      <c r="DI269" s="8" t="n">
        <v>0</v>
      </c>
      <c r="DJ269" s="8" t="n">
        <v>0</v>
      </c>
      <c r="DK269" s="8" t="n">
        <v>0</v>
      </c>
      <c r="DL269" s="9">
        <f>DH269+DI269-DJ269-DK269</f>
        <v/>
      </c>
      <c r="DM269" s="8" t="n">
        <v>137</v>
      </c>
      <c r="DN269" s="8" t="n">
        <v>0</v>
      </c>
      <c r="DO269" s="8" t="n">
        <v>0</v>
      </c>
      <c r="DP269" s="8" t="n">
        <v>0</v>
      </c>
      <c r="DQ269" s="9">
        <f>DM269+DN269-DO269-DP269</f>
        <v/>
      </c>
      <c r="DR269" s="9">
        <f>CX269+DC269+DH269+DM269</f>
        <v/>
      </c>
      <c r="DS269" s="9">
        <f>CY269+DD269+DI269+DN269</f>
        <v/>
      </c>
      <c r="DT269" s="9">
        <f>CZ269+DE269+DJ269+DO269</f>
        <v/>
      </c>
      <c r="DU269" s="9">
        <f>DA269+DF269+DK269+DP269</f>
        <v/>
      </c>
      <c r="DV269" s="9">
        <f>DB269+DG269+DL269+DQ269</f>
        <v/>
      </c>
      <c r="DW269" s="8" t="n">
        <v>131</v>
      </c>
      <c r="DX269" s="8" t="n">
        <v>70</v>
      </c>
      <c r="DY269" s="8" t="n">
        <v>35</v>
      </c>
      <c r="DZ269" s="8" t="n">
        <v>23</v>
      </c>
      <c r="EA269" s="8" t="n">
        <v>12</v>
      </c>
      <c r="EB269" s="8" t="n">
        <v>9</v>
      </c>
      <c r="EC269" s="8" t="n">
        <v>0</v>
      </c>
      <c r="ED269" s="8" t="n">
        <v>0</v>
      </c>
      <c r="EE269" s="8" t="n">
        <v>11</v>
      </c>
      <c r="EF269" s="8" t="n">
        <v>3</v>
      </c>
      <c r="EG269" s="8" t="n">
        <v>0</v>
      </c>
      <c r="EH269" s="8" t="n">
        <v>0</v>
      </c>
      <c r="EI269" s="8" t="n">
        <v>0</v>
      </c>
      <c r="EJ269" s="8" t="n">
        <v>14</v>
      </c>
      <c r="EK269" s="8" t="n">
        <v>11</v>
      </c>
      <c r="EL269" s="8" t="n">
        <v>0</v>
      </c>
      <c r="EM269" s="8" t="n">
        <v>0</v>
      </c>
      <c r="EN269" s="8" t="n">
        <v>0</v>
      </c>
      <c r="EO269" s="8" t="n">
        <v>0</v>
      </c>
      <c r="EP269" s="8" t="n">
        <v>0</v>
      </c>
      <c r="EQ269" s="8" t="n">
        <v>0</v>
      </c>
      <c r="ER269" s="8" t="n">
        <v>0</v>
      </c>
      <c r="ES269" s="8" t="n">
        <v>0</v>
      </c>
      <c r="ET269" s="8" t="n">
        <v>0</v>
      </c>
      <c r="EU269" s="8" t="n">
        <v>0</v>
      </c>
      <c r="EV269" s="8" t="n">
        <v>0</v>
      </c>
      <c r="EW269" s="8" t="n">
        <v>0</v>
      </c>
      <c r="EX269" s="8" t="n">
        <v>0</v>
      </c>
      <c r="EY269" s="8" t="n">
        <v>0</v>
      </c>
      <c r="EZ269" s="8" t="n">
        <v>0</v>
      </c>
      <c r="FA269" s="8" t="n">
        <v>0</v>
      </c>
      <c r="FB269" s="8" t="n">
        <v>0</v>
      </c>
      <c r="FC269" s="8" t="n">
        <v>0</v>
      </c>
      <c r="FD269" s="8" t="n">
        <v>0</v>
      </c>
      <c r="FE269" s="8" t="n">
        <v>0</v>
      </c>
      <c r="FF269" s="8" t="n">
        <v>0</v>
      </c>
      <c r="FG269" s="9">
        <f>SUM(DW269,DX269,DY269,DZ269,EA269,EB269,EC269,ED269,EE269,EF269,EG269,EH269,EI269,EJ269,EK269,EL269,EM269,EN269,EO269,EP269,EQ269,ER269,ES269,ET269,EU269,EV269,EW269,EX269,EY269,EZ269,FA269,FB269,FC269,FD269,FE269,FF269)</f>
        <v/>
      </c>
      <c r="FH269" s="8" t="n">
        <v>0</v>
      </c>
      <c r="FI269" s="8" t="n">
        <v>0</v>
      </c>
      <c r="FJ269" s="8" t="n">
        <v>0</v>
      </c>
      <c r="FK269" s="8" t="n">
        <v>0</v>
      </c>
      <c r="FL269" s="8" t="n">
        <v>0</v>
      </c>
      <c r="FM269" s="8" t="n">
        <v>0</v>
      </c>
      <c r="FN269" s="8" t="n">
        <v>0</v>
      </c>
      <c r="FO269" s="8" t="n">
        <v>0</v>
      </c>
      <c r="FP269" s="8" t="n">
        <v>0</v>
      </c>
      <c r="FQ269" s="9">
        <f>FL269+FM269+FN269+FO269+FP269</f>
        <v/>
      </c>
      <c r="FR269" s="8" t="n">
        <v>2074397</v>
      </c>
      <c r="FS269" s="8" t="n">
        <v>32800</v>
      </c>
      <c r="FT269" s="8" t="n">
        <v>0</v>
      </c>
      <c r="FU269" s="8" t="n">
        <v>0</v>
      </c>
      <c r="FV269" s="9">
        <f>FR269+FS269+FT269+FU269</f>
        <v/>
      </c>
      <c r="FW269" s="8" t="n">
        <v>4228638</v>
      </c>
      <c r="FX269" s="8" t="n">
        <v>0</v>
      </c>
      <c r="FY269" s="8" t="n">
        <v>1814456</v>
      </c>
      <c r="FZ269" s="8" t="n">
        <v>4323299</v>
      </c>
      <c r="GA269" s="9">
        <f>FW269+FX269+FY269+FZ269</f>
        <v/>
      </c>
      <c r="GB269" s="9">
        <f>FV269+GA269</f>
        <v/>
      </c>
      <c r="GC269" s="8" t="n">
        <v>7039345.43</v>
      </c>
      <c r="GD269" s="8" t="n">
        <v>110751.12</v>
      </c>
      <c r="GE269" s="8" t="n">
        <v>492140.4</v>
      </c>
      <c r="GF269" s="8" t="n">
        <v>104184.61</v>
      </c>
      <c r="GG269" s="9">
        <f>GC269+GD269+GE269+GF269</f>
        <v/>
      </c>
      <c r="GH269" s="8" t="n">
        <v>4166742.54</v>
      </c>
      <c r="GI269" s="8" t="n">
        <v>0</v>
      </c>
      <c r="GJ269" s="8" t="n">
        <v>2376298.8</v>
      </c>
      <c r="GK269" s="8" t="n">
        <v>1814156.18</v>
      </c>
      <c r="GL269" s="9">
        <f>GH269+GI269+GJ269+GK269</f>
        <v/>
      </c>
      <c r="GM269" s="9">
        <f>GG269+GL269</f>
        <v/>
      </c>
      <c r="GN269" s="8" t="n">
        <v>654212.11</v>
      </c>
      <c r="GO269" s="8" t="n">
        <v>1530.24</v>
      </c>
      <c r="GP269" s="8" t="n">
        <v>10180.92</v>
      </c>
      <c r="GQ269" s="8" t="n">
        <v>4637.34</v>
      </c>
      <c r="GR269" s="9">
        <f>GN269+GO269+GP269+GQ269</f>
        <v/>
      </c>
      <c r="GS269" s="8" t="n">
        <v>1048382</v>
      </c>
      <c r="GT269" s="8" t="n">
        <v>7144</v>
      </c>
      <c r="GU269" s="8" t="n">
        <v>2679</v>
      </c>
      <c r="GV269" s="8" t="n">
        <v>893</v>
      </c>
      <c r="GW269" s="9">
        <f>GS269+GT269+GU269+GV269</f>
        <v/>
      </c>
      <c r="GX269" s="9">
        <f>GM269+GR269+GW269</f>
        <v/>
      </c>
      <c r="GY269" s="8" t="n">
        <v>36020925.89</v>
      </c>
      <c r="GZ269" s="8" t="n">
        <v>1007897.84</v>
      </c>
      <c r="HA269" s="9">
        <f>GY269+GZ269</f>
        <v/>
      </c>
      <c r="HB269" s="9">
        <f>IF(GX269=0,"",AU269/GX269)</f>
        <v/>
      </c>
      <c r="HC269" s="10">
        <f>IF((GX269+GY269)=0,"",GB269/(GX269+GY269))</f>
        <v/>
      </c>
      <c r="HD269" s="9">
        <f>IF(GX269=0,"",GB269/GX269)</f>
        <v/>
      </c>
      <c r="HE269" s="8" t="n">
        <v>2</v>
      </c>
      <c r="HF269" s="8" t="n">
        <v>6</v>
      </c>
      <c r="HG269" s="8" t="n">
        <v>17</v>
      </c>
      <c r="HH269" s="8" t="n">
        <v>2</v>
      </c>
      <c r="HI269" s="8" t="n">
        <v>20</v>
      </c>
      <c r="HJ269" s="9">
        <f>HF269+HI269</f>
        <v/>
      </c>
      <c r="HK269" s="10">
        <f>IF(HE269=0,"",HH269/HE269)</f>
        <v/>
      </c>
      <c r="HL269" s="8" t="n">
        <v>17</v>
      </c>
      <c r="HM269" s="8" t="n">
        <v>34</v>
      </c>
      <c r="HN269" s="11">
        <f>IF(HL269=0,"",HM269/HL269)</f>
        <v/>
      </c>
    </row>
    <row r="270">
      <c r="A270" s="12" t="inlineStr">
        <is>
          <t>Ngabu</t>
        </is>
      </c>
      <c r="B270" s="12" t="inlineStr">
        <is>
          <t>Nsanje</t>
        </is>
      </c>
      <c r="C270" s="13" t="inlineStr">
        <is>
          <t>FY2025/26</t>
        </is>
      </c>
      <c r="D270" s="13" t="n">
        <v>2025</v>
      </c>
      <c r="E270" s="13" t="n">
        <v>7</v>
      </c>
      <c r="F270" s="13" t="inlineStr">
        <is>
          <t>July</t>
        </is>
      </c>
      <c r="G270" s="13" t="inlineStr">
        <is>
          <t>Q2</t>
        </is>
      </c>
      <c r="H270" s="14" t="n">
        <v>19762</v>
      </c>
      <c r="I270" s="14" t="n">
        <v>7931</v>
      </c>
      <c r="J270" s="14" t="n">
        <v>593</v>
      </c>
      <c r="K270" s="14" t="n">
        <v>6</v>
      </c>
      <c r="L270" s="14" t="n">
        <v>0</v>
      </c>
      <c r="M270" s="15">
        <f>SUM(I270,J270,K270,L270)</f>
        <v/>
      </c>
      <c r="N270" s="14" t="n">
        <v>3847</v>
      </c>
      <c r="O270" s="14" t="n">
        <v>0</v>
      </c>
      <c r="P270" s="14" t="n">
        <v>1352</v>
      </c>
      <c r="Q270" s="14" t="n">
        <v>401</v>
      </c>
      <c r="R270" s="15">
        <f>SUM(N270,O270,P270,Q270)</f>
        <v/>
      </c>
      <c r="S270" s="15">
        <f>M270+R270</f>
        <v/>
      </c>
      <c r="T270" s="14" t="n">
        <v>5632</v>
      </c>
      <c r="U270" s="16">
        <f>IF(H270=0,"",T270/H270)</f>
        <v/>
      </c>
      <c r="V270" s="14" t="n">
        <v>12</v>
      </c>
      <c r="W270" s="17">
        <f>IF(H270=0,"",V270/H270)</f>
        <v/>
      </c>
      <c r="X270" s="14" t="n">
        <v>0</v>
      </c>
      <c r="Y270" s="17">
        <f>IF(H270=0,"",X270/H270)</f>
        <v/>
      </c>
      <c r="Z270" s="14" t="n">
        <v>0</v>
      </c>
      <c r="AA270" s="17">
        <f>IF(H270=0,"",Z270/H270)</f>
        <v/>
      </c>
      <c r="AB270" s="14" t="n">
        <v>0</v>
      </c>
      <c r="AC270" s="17">
        <f>IF(H270=0,"",AB270/H270)</f>
        <v/>
      </c>
      <c r="AD270" s="14" t="n">
        <v>0</v>
      </c>
      <c r="AE270" s="17">
        <f>IF(H270=0,"",AD270/H270)</f>
        <v/>
      </c>
      <c r="AF270" s="14" t="n">
        <v>0</v>
      </c>
      <c r="AG270" s="17">
        <f>IF(H270=0,"",AF270/H270)</f>
        <v/>
      </c>
      <c r="AH270" s="14" t="n">
        <v>42303.48</v>
      </c>
      <c r="AI270" s="15">
        <f>IF(H270=0,"",AH270/H270)</f>
        <v/>
      </c>
      <c r="AJ270" s="14" t="n">
        <v>17127</v>
      </c>
      <c r="AK270" s="17">
        <f>IF(H270=0,"",AJ270/H270)</f>
        <v/>
      </c>
      <c r="AL270" s="14" t="n">
        <v>2392823.4405</v>
      </c>
      <c r="AM270" s="15">
        <f>IF(H270=0,"",AL270/H270)</f>
        <v/>
      </c>
      <c r="AN270" s="14" t="n">
        <v>1360</v>
      </c>
      <c r="AO270" s="14" t="n">
        <v>183</v>
      </c>
      <c r="AP270" s="14" t="n">
        <v>500322</v>
      </c>
      <c r="AQ270" s="14" t="n">
        <v>0</v>
      </c>
      <c r="AR270" s="14" t="n">
        <v>0</v>
      </c>
      <c r="AS270" s="14" t="n">
        <v>0</v>
      </c>
      <c r="AT270" s="14" t="n">
        <v>0</v>
      </c>
      <c r="AU270" s="15">
        <f>AH270+AL270+AP270+AQ270+AR270+AS270+AT270</f>
        <v/>
      </c>
      <c r="AV270" s="15">
        <f>IF(H270=0,"",AU270/H270)</f>
        <v/>
      </c>
      <c r="AW270" s="15">
        <f>IF(S270=0,"",AU270/S270)</f>
        <v/>
      </c>
      <c r="AX270" s="14" t="n">
        <v>7</v>
      </c>
      <c r="AY270" s="15">
        <f>IF(H270=0,"",AX270/(H270/1000/12))</f>
        <v/>
      </c>
      <c r="AZ270" s="14" t="n">
        <v>8</v>
      </c>
      <c r="BA270" s="14" t="n">
        <v>17</v>
      </c>
      <c r="BB270" s="14" t="n">
        <v>3</v>
      </c>
      <c r="BC270" s="14" t="n">
        <v>0</v>
      </c>
      <c r="BD270" s="14" t="n">
        <v>0</v>
      </c>
      <c r="BE270" s="15">
        <f>BC270+BD270</f>
        <v/>
      </c>
      <c r="BF270" s="15">
        <f>BA270+BB270-BE270</f>
        <v/>
      </c>
      <c r="BG270" s="14" t="n">
        <v>0</v>
      </c>
      <c r="BH270" s="14" t="n">
        <v>0</v>
      </c>
      <c r="BI270" s="14" t="n">
        <v>0</v>
      </c>
      <c r="BJ270" s="14" t="n">
        <v>0</v>
      </c>
      <c r="BK270" s="15">
        <f>BI270+BJ270</f>
        <v/>
      </c>
      <c r="BL270" s="15">
        <f>BG270+BH270-BK270</f>
        <v/>
      </c>
      <c r="BM270" s="14" t="n">
        <v>0</v>
      </c>
      <c r="BN270" s="14" t="n">
        <v>0</v>
      </c>
      <c r="BO270" s="14" t="n">
        <v>0</v>
      </c>
      <c r="BP270" s="14" t="n">
        <v>0</v>
      </c>
      <c r="BQ270" s="15">
        <f>BO270+BP270</f>
        <v/>
      </c>
      <c r="BR270" s="15">
        <f>BM270+BN270-BQ270</f>
        <v/>
      </c>
      <c r="BS270" s="14" t="n">
        <v>0</v>
      </c>
      <c r="BT270" s="14" t="n">
        <v>0</v>
      </c>
      <c r="BU270" s="14" t="n">
        <v>0</v>
      </c>
      <c r="BV270" s="14" t="n">
        <v>0</v>
      </c>
      <c r="BW270" s="15">
        <f>BU270+BV270</f>
        <v/>
      </c>
      <c r="BX270" s="15">
        <f>BS270+BT270-BW270</f>
        <v/>
      </c>
      <c r="BY270" s="15">
        <f>BA270+BG270+BM270+BS270</f>
        <v/>
      </c>
      <c r="BZ270" s="15">
        <f>BB270+BH270+BN270+BT270</f>
        <v/>
      </c>
      <c r="CA270" s="15">
        <f>BE270+BK270+BQ270+BW270</f>
        <v/>
      </c>
      <c r="CB270" s="15">
        <f>BF270+BL270+BR270+BX270</f>
        <v/>
      </c>
      <c r="CC270" s="14" t="n">
        <v>0</v>
      </c>
      <c r="CD270" s="14" t="n">
        <v>532</v>
      </c>
      <c r="CE270" s="14" t="n">
        <v>20</v>
      </c>
      <c r="CF270" s="14" t="n">
        <v>3</v>
      </c>
      <c r="CG270" s="14" t="n">
        <v>25</v>
      </c>
      <c r="CH270" s="15">
        <f>CD270+CE270+CF270+CG270</f>
        <v/>
      </c>
      <c r="CI270" s="14" t="n">
        <v>1275</v>
      </c>
      <c r="CJ270" s="14" t="n">
        <v>10</v>
      </c>
      <c r="CK270" s="14" t="n">
        <v>3</v>
      </c>
      <c r="CL270" s="14" t="n">
        <v>8</v>
      </c>
      <c r="CM270" s="15">
        <f>CI270+CJ270+CK270+CL270</f>
        <v/>
      </c>
      <c r="CN270" s="14" t="n">
        <v>506</v>
      </c>
      <c r="CO270" s="14" t="n">
        <v>52</v>
      </c>
      <c r="CP270" s="14" t="n">
        <v>49</v>
      </c>
      <c r="CQ270" s="14" t="n">
        <v>1</v>
      </c>
      <c r="CR270" s="15">
        <f>CN270+CO270+CP270+CQ270</f>
        <v/>
      </c>
      <c r="CS270" s="15">
        <f>CM270+CR270</f>
        <v/>
      </c>
      <c r="CT270" s="14" t="n">
        <v>2484</v>
      </c>
      <c r="CU270" s="14" t="n">
        <v>25876.5228356352</v>
      </c>
      <c r="CV270" s="14" t="n">
        <v>18010</v>
      </c>
      <c r="CW270" s="16">
        <f>IF(CU270=0,"",CV270/CU270)</f>
        <v/>
      </c>
      <c r="CX270" s="14" t="n">
        <v>0</v>
      </c>
      <c r="CY270" s="14" t="n"/>
      <c r="CZ270" s="14" t="n"/>
      <c r="DA270" s="14" t="n"/>
      <c r="DB270" s="15">
        <f>CX270+CY270-CZ270-DA270</f>
        <v/>
      </c>
      <c r="DC270" s="14" t="n">
        <v>0</v>
      </c>
      <c r="DD270" s="14" t="n">
        <v>0</v>
      </c>
      <c r="DE270" s="14" t="n">
        <v>0</v>
      </c>
      <c r="DF270" s="14" t="n">
        <v>0</v>
      </c>
      <c r="DG270" s="15">
        <f>DC270+DD270-DE270-DF270</f>
        <v/>
      </c>
      <c r="DH270" s="14" t="n">
        <v>1</v>
      </c>
      <c r="DI270" s="14" t="n">
        <v>0</v>
      </c>
      <c r="DJ270" s="14" t="n">
        <v>0</v>
      </c>
      <c r="DK270" s="14" t="n">
        <v>0</v>
      </c>
      <c r="DL270" s="15">
        <f>DH270+DI270-DJ270-DK270</f>
        <v/>
      </c>
      <c r="DM270" s="14" t="n">
        <v>137</v>
      </c>
      <c r="DN270" s="14" t="n">
        <v>0</v>
      </c>
      <c r="DO270" s="14" t="n">
        <v>0</v>
      </c>
      <c r="DP270" s="14" t="n">
        <v>0</v>
      </c>
      <c r="DQ270" s="15">
        <f>DM270+DN270-DO270-DP270</f>
        <v/>
      </c>
      <c r="DR270" s="15">
        <f>CX270+DC270+DH270+DM270</f>
        <v/>
      </c>
      <c r="DS270" s="15">
        <f>CY270+DD270+DI270+DN270</f>
        <v/>
      </c>
      <c r="DT270" s="15">
        <f>CZ270+DE270+DJ270+DO270</f>
        <v/>
      </c>
      <c r="DU270" s="15">
        <f>DA270+DF270+DK270+DP270</f>
        <v/>
      </c>
      <c r="DV270" s="15">
        <f>DB270+DG270+DL270+DQ270</f>
        <v/>
      </c>
      <c r="DW270" s="14" t="n">
        <v>135</v>
      </c>
      <c r="DX270" s="14" t="n">
        <v>71</v>
      </c>
      <c r="DY270" s="14" t="n">
        <v>32</v>
      </c>
      <c r="DZ270" s="14" t="n">
        <v>21</v>
      </c>
      <c r="EA270" s="14" t="n">
        <v>10</v>
      </c>
      <c r="EB270" s="14" t="n">
        <v>15</v>
      </c>
      <c r="EC270" s="14" t="n">
        <v>3</v>
      </c>
      <c r="ED270" s="14" t="n">
        <v>7</v>
      </c>
      <c r="EE270" s="14" t="n">
        <v>9</v>
      </c>
      <c r="EF270" s="14" t="n">
        <v>4</v>
      </c>
      <c r="EG270" s="14" t="n">
        <v>0</v>
      </c>
      <c r="EH270" s="14" t="n">
        <v>0</v>
      </c>
      <c r="EI270" s="14" t="n">
        <v>0</v>
      </c>
      <c r="EJ270" s="14" t="n">
        <v>9</v>
      </c>
      <c r="EK270" s="14" t="n">
        <v>9</v>
      </c>
      <c r="EL270" s="14" t="n">
        <v>0</v>
      </c>
      <c r="EM270" s="14" t="n">
        <v>0</v>
      </c>
      <c r="EN270" s="14" t="n">
        <v>0</v>
      </c>
      <c r="EO270" s="14" t="n">
        <v>0</v>
      </c>
      <c r="EP270" s="14" t="n">
        <v>0</v>
      </c>
      <c r="EQ270" s="14" t="n">
        <v>0</v>
      </c>
      <c r="ER270" s="14" t="n">
        <v>0</v>
      </c>
      <c r="ES270" s="14" t="n">
        <v>0</v>
      </c>
      <c r="ET270" s="14" t="n">
        <v>0</v>
      </c>
      <c r="EU270" s="14" t="n">
        <v>0</v>
      </c>
      <c r="EV270" s="14" t="n">
        <v>0</v>
      </c>
      <c r="EW270" s="14" t="n">
        <v>0</v>
      </c>
      <c r="EX270" s="14" t="n">
        <v>0</v>
      </c>
      <c r="EY270" s="14" t="n">
        <v>0</v>
      </c>
      <c r="EZ270" s="14" t="n">
        <v>0</v>
      </c>
      <c r="FA270" s="14" t="n">
        <v>0</v>
      </c>
      <c r="FB270" s="14" t="n">
        <v>0</v>
      </c>
      <c r="FC270" s="14" t="n">
        <v>0</v>
      </c>
      <c r="FD270" s="14" t="n">
        <v>0</v>
      </c>
      <c r="FE270" s="14" t="n">
        <v>0</v>
      </c>
      <c r="FF270" s="14" t="n">
        <v>0</v>
      </c>
      <c r="FG270" s="15">
        <f>SUM(DW270,DX270,DY270,DZ270,EA270,EB270,EC270,ED270,EE270,EF270,EG270,EH270,EI270,EJ270,EK270,EL270,EM270,EN270,EO270,EP270,EQ270,ER270,ES270,ET270,EU270,EV270,EW270,EX270,EY270,EZ270,FA270,FB270,FC270,FD270,FE270,FF270)</f>
        <v/>
      </c>
      <c r="FH270" s="14" t="n">
        <v>0</v>
      </c>
      <c r="FI270" s="14" t="n">
        <v>0</v>
      </c>
      <c r="FJ270" s="14" t="n">
        <v>0</v>
      </c>
      <c r="FK270" s="14" t="n">
        <v>0</v>
      </c>
      <c r="FL270" s="14" t="n">
        <v>0</v>
      </c>
      <c r="FM270" s="14" t="n">
        <v>0</v>
      </c>
      <c r="FN270" s="14" t="n">
        <v>0</v>
      </c>
      <c r="FO270" s="14" t="n">
        <v>0</v>
      </c>
      <c r="FP270" s="14" t="n">
        <v>0</v>
      </c>
      <c r="FQ270" s="15">
        <f>FL270+FM270+FN270+FO270+FP270</f>
        <v/>
      </c>
      <c r="FR270" s="14" t="n">
        <v>32344535</v>
      </c>
      <c r="FS270" s="14" t="n">
        <v>1418360</v>
      </c>
      <c r="FT270" s="14" t="n">
        <v>210000</v>
      </c>
      <c r="FU270" s="14" t="n">
        <v>174000</v>
      </c>
      <c r="FV270" s="15">
        <f>FR270+FS270+FT270+FU270</f>
        <v/>
      </c>
      <c r="FW270" s="14" t="n">
        <v>4310683</v>
      </c>
      <c r="FX270" s="14" t="n">
        <v>0</v>
      </c>
      <c r="FY270" s="14" t="n">
        <v>2279509</v>
      </c>
      <c r="FZ270" s="14" t="n">
        <v>4852950</v>
      </c>
      <c r="GA270" s="15">
        <f>FW270+FX270+FY270+FZ270</f>
        <v/>
      </c>
      <c r="GB270" s="15">
        <f>FV270+GA270</f>
        <v/>
      </c>
      <c r="GC270" s="14" t="n">
        <v>6431055.43</v>
      </c>
      <c r="GD270" s="14" t="n">
        <v>71730</v>
      </c>
      <c r="GE270" s="14" t="n">
        <v>22146.3</v>
      </c>
      <c r="GF270" s="14" t="n">
        <v>628191.14</v>
      </c>
      <c r="GG270" s="15">
        <f>GC270+GD270+GE270+GF270</f>
        <v/>
      </c>
      <c r="GH270" s="14" t="n">
        <v>4255624.3</v>
      </c>
      <c r="GI270" s="14" t="n">
        <v>0</v>
      </c>
      <c r="GJ270" s="14" t="n">
        <v>3505950</v>
      </c>
      <c r="GK270" s="14" t="n">
        <v>2279509</v>
      </c>
      <c r="GL270" s="15">
        <f>GH270+GI270+GJ270+GK270</f>
        <v/>
      </c>
      <c r="GM270" s="15">
        <f>GG270+GL270</f>
        <v/>
      </c>
      <c r="GN270" s="14" t="n">
        <v>581526.58</v>
      </c>
      <c r="GO270" s="14" t="n">
        <v>956.4</v>
      </c>
      <c r="GP270" s="14" t="n">
        <v>6787.28</v>
      </c>
      <c r="GQ270" s="14" t="n">
        <v>9274.68</v>
      </c>
      <c r="GR270" s="15">
        <f>GN270+GO270+GP270+GQ270</f>
        <v/>
      </c>
      <c r="GS270" s="14" t="n">
        <v>930506</v>
      </c>
      <c r="GT270" s="14" t="n">
        <v>4465</v>
      </c>
      <c r="GU270" s="14" t="n">
        <v>1786</v>
      </c>
      <c r="GV270" s="14" t="n">
        <v>1786</v>
      </c>
      <c r="GW270" s="15">
        <f>GS270+GT270+GU270+GV270</f>
        <v/>
      </c>
      <c r="GX270" s="15">
        <f>GM270+GR270+GW270</f>
        <v/>
      </c>
      <c r="GY270" s="14" t="n">
        <v>7712097.64</v>
      </c>
      <c r="GZ270" s="14" t="n">
        <v>864447.21</v>
      </c>
      <c r="HA270" s="15">
        <f>GY270+GZ270</f>
        <v/>
      </c>
      <c r="HB270" s="15">
        <f>IF(GX270=0,"",AU270/GX270)</f>
        <v/>
      </c>
      <c r="HC270" s="16">
        <f>IF((GX270+GY270)=0,"",GB270/(GX270+GY270))</f>
        <v/>
      </c>
      <c r="HD270" s="15">
        <f>IF(GX270=0,"",GB270/GX270)</f>
        <v/>
      </c>
      <c r="HE270" s="14" t="n">
        <v>3</v>
      </c>
      <c r="HF270" s="14" t="n">
        <v>2</v>
      </c>
      <c r="HG270" s="14" t="n">
        <v>20</v>
      </c>
      <c r="HH270" s="14" t="n">
        <v>3</v>
      </c>
      <c r="HI270" s="14" t="n">
        <v>0</v>
      </c>
      <c r="HJ270" s="15">
        <f>HF270+HI270</f>
        <v/>
      </c>
      <c r="HK270" s="16">
        <f>IF(HE270=0,"",HH270/HE270)</f>
        <v/>
      </c>
      <c r="HL270" s="14" t="n">
        <v>9</v>
      </c>
      <c r="HM270" s="14" t="n">
        <v>38</v>
      </c>
      <c r="HN270" s="17">
        <f>IF(HL270=0,"",HM270/HL270)</f>
        <v/>
      </c>
    </row>
    <row r="271">
      <c r="A271" s="6" t="inlineStr">
        <is>
          <t>Ngabu</t>
        </is>
      </c>
      <c r="B271" s="6" t="inlineStr">
        <is>
          <t>Nsanje</t>
        </is>
      </c>
      <c r="C271" s="7" t="inlineStr">
        <is>
          <t>FY2025/26</t>
        </is>
      </c>
      <c r="D271" s="7" t="n">
        <v>2025</v>
      </c>
      <c r="E271" s="7" t="n">
        <v>8</v>
      </c>
      <c r="F271" s="7" t="inlineStr">
        <is>
          <t>August</t>
        </is>
      </c>
      <c r="G271" s="7" t="inlineStr">
        <is>
          <t>Q2</t>
        </is>
      </c>
      <c r="H271" s="8" t="n">
        <v>24679</v>
      </c>
      <c r="I271" s="8" t="n">
        <v>9114</v>
      </c>
      <c r="J271" s="8" t="n">
        <v>527</v>
      </c>
      <c r="K271" s="8" t="n">
        <v>76</v>
      </c>
      <c r="L271" s="8" t="n">
        <v>118</v>
      </c>
      <c r="M271" s="9">
        <f>SUM(I271,J271,K271,L271)</f>
        <v/>
      </c>
      <c r="N271" s="8" t="n">
        <v>5588</v>
      </c>
      <c r="O271" s="8" t="n">
        <v>0</v>
      </c>
      <c r="P271" s="8" t="n">
        <v>1356</v>
      </c>
      <c r="Q271" s="8" t="n">
        <v>554</v>
      </c>
      <c r="R271" s="9">
        <f>SUM(N271,O271,P271,Q271)</f>
        <v/>
      </c>
      <c r="S271" s="9">
        <f>M271+R271</f>
        <v/>
      </c>
      <c r="T271" s="8" t="n">
        <v>7346</v>
      </c>
      <c r="U271" s="10">
        <f>IF(H271=0,"",T271/H271)</f>
        <v/>
      </c>
      <c r="V271" s="8" t="n">
        <v>16</v>
      </c>
      <c r="W271" s="11">
        <f>IF(H271=0,"",V271/H271)</f>
        <v/>
      </c>
      <c r="X271" s="8" t="n">
        <v>0</v>
      </c>
      <c r="Y271" s="11">
        <f>IF(H271=0,"",X271/H271)</f>
        <v/>
      </c>
      <c r="Z271" s="8" t="n">
        <v>0</v>
      </c>
      <c r="AA271" s="11">
        <f>IF(H271=0,"",Z271/H271)</f>
        <v/>
      </c>
      <c r="AB271" s="8" t="n">
        <v>0</v>
      </c>
      <c r="AC271" s="11">
        <f>IF(H271=0,"",AB271/H271)</f>
        <v/>
      </c>
      <c r="AD271" s="8" t="n">
        <v>0</v>
      </c>
      <c r="AE271" s="11">
        <f>IF(H271=0,"",AD271/H271)</f>
        <v/>
      </c>
      <c r="AF271" s="8" t="n">
        <v>0</v>
      </c>
      <c r="AG271" s="11">
        <f>IF(H271=0,"",AF271/H271)</f>
        <v/>
      </c>
      <c r="AH271" s="8" t="n">
        <v>56404.64</v>
      </c>
      <c r="AI271" s="9">
        <f>IF(H271=0,"",AH271/H271)</f>
        <v/>
      </c>
      <c r="AJ271" s="8" t="n">
        <v>19180</v>
      </c>
      <c r="AK271" s="11">
        <f>IF(H271=0,"",AJ271/H271)</f>
        <v/>
      </c>
      <c r="AL271" s="8" t="n">
        <v>2677680.27</v>
      </c>
      <c r="AM271" s="9">
        <f>IF(H271=0,"",AL271/H271)</f>
        <v/>
      </c>
      <c r="AN271" s="8" t="n">
        <v>306</v>
      </c>
      <c r="AO271" s="8" t="n">
        <v>76</v>
      </c>
      <c r="AP271" s="8" t="n">
        <v>207784</v>
      </c>
      <c r="AQ271" s="8" t="n">
        <v>0</v>
      </c>
      <c r="AR271" s="8" t="n">
        <v>0</v>
      </c>
      <c r="AS271" s="8" t="n">
        <v>0</v>
      </c>
      <c r="AT271" s="8" t="n">
        <v>0</v>
      </c>
      <c r="AU271" s="9">
        <f>AH271+AL271+AP271+AQ271+AR271+AS271+AT271</f>
        <v/>
      </c>
      <c r="AV271" s="9">
        <f>IF(H271=0,"",AU271/H271)</f>
        <v/>
      </c>
      <c r="AW271" s="9">
        <f>IF(S271=0,"",AU271/S271)</f>
        <v/>
      </c>
      <c r="AX271" s="8" t="n">
        <v>7</v>
      </c>
      <c r="AY271" s="9">
        <f>IF(H271=0,"",AX271/(H271/1000/12))</f>
        <v/>
      </c>
      <c r="AZ271" s="8" t="n">
        <v>8</v>
      </c>
      <c r="BA271" s="8" t="n">
        <v>20</v>
      </c>
      <c r="BB271" s="8" t="n">
        <v>5</v>
      </c>
      <c r="BC271" s="8" t="n">
        <v>4</v>
      </c>
      <c r="BD271" s="8" t="n">
        <v>0</v>
      </c>
      <c r="BE271" s="9">
        <f>BC271+BD271</f>
        <v/>
      </c>
      <c r="BF271" s="9">
        <f>BA271+BB271-BE271</f>
        <v/>
      </c>
      <c r="BG271" s="8" t="n">
        <v>0</v>
      </c>
      <c r="BH271" s="8" t="n">
        <v>0</v>
      </c>
      <c r="BI271" s="8" t="n">
        <v>0</v>
      </c>
      <c r="BJ271" s="8" t="n">
        <v>0</v>
      </c>
      <c r="BK271" s="9">
        <f>BI271+BJ271</f>
        <v/>
      </c>
      <c r="BL271" s="9">
        <f>BG271+BH271-BK271</f>
        <v/>
      </c>
      <c r="BM271" s="8" t="n">
        <v>0</v>
      </c>
      <c r="BN271" s="8" t="n">
        <v>0</v>
      </c>
      <c r="BO271" s="8" t="n">
        <v>0</v>
      </c>
      <c r="BP271" s="8" t="n">
        <v>0</v>
      </c>
      <c r="BQ271" s="9">
        <f>BO271+BP271</f>
        <v/>
      </c>
      <c r="BR271" s="9">
        <f>BM271+BN271-BQ271</f>
        <v/>
      </c>
      <c r="BS271" s="8" t="n">
        <v>0</v>
      </c>
      <c r="BT271" s="8" t="n">
        <v>0</v>
      </c>
      <c r="BU271" s="8" t="n">
        <v>0</v>
      </c>
      <c r="BV271" s="8" t="n">
        <v>0</v>
      </c>
      <c r="BW271" s="9">
        <f>BU271+BV271</f>
        <v/>
      </c>
      <c r="BX271" s="9">
        <f>BS271+BT271-BW271</f>
        <v/>
      </c>
      <c r="BY271" s="9">
        <f>BA271+BG271+BM271+BS271</f>
        <v/>
      </c>
      <c r="BZ271" s="9">
        <f>BB271+BH271+BN271+BT271</f>
        <v/>
      </c>
      <c r="CA271" s="9">
        <f>BE271+BK271+BQ271+BW271</f>
        <v/>
      </c>
      <c r="CB271" s="9">
        <f>BF271+BL271+BR271+BX271</f>
        <v/>
      </c>
      <c r="CC271" s="8" t="n">
        <v>0</v>
      </c>
      <c r="CD271" s="8" t="n">
        <v>649</v>
      </c>
      <c r="CE271" s="8" t="n">
        <v>20</v>
      </c>
      <c r="CF271" s="8" t="n">
        <v>3</v>
      </c>
      <c r="CG271" s="8" t="n">
        <v>25</v>
      </c>
      <c r="CH271" s="9">
        <f>CD271+CE271+CF271+CG271</f>
        <v/>
      </c>
      <c r="CI271" s="8" t="n">
        <v>1162</v>
      </c>
      <c r="CJ271" s="8" t="n">
        <v>10</v>
      </c>
      <c r="CK271" s="8" t="n">
        <v>3</v>
      </c>
      <c r="CL271" s="8" t="n">
        <v>8</v>
      </c>
      <c r="CM271" s="9">
        <f>CI271+CJ271+CK271+CL271</f>
        <v/>
      </c>
      <c r="CN271" s="8" t="n">
        <v>506</v>
      </c>
      <c r="CO271" s="8" t="n">
        <v>52</v>
      </c>
      <c r="CP271" s="8" t="n">
        <v>49</v>
      </c>
      <c r="CQ271" s="8" t="n">
        <v>1</v>
      </c>
      <c r="CR271" s="9">
        <f>CN271+CO271+CP271+CQ271</f>
        <v/>
      </c>
      <c r="CS271" s="9">
        <f>CM271+CR271</f>
        <v/>
      </c>
      <c r="CT271" s="8" t="n">
        <v>2488</v>
      </c>
      <c r="CU271" s="8" t="n">
        <v>25876.5228356352</v>
      </c>
      <c r="CV271" s="8" t="n">
        <v>18010</v>
      </c>
      <c r="CW271" s="10">
        <f>IF(CU271=0,"",CV271/CU271)</f>
        <v/>
      </c>
      <c r="CX271" s="8" t="n">
        <v>0</v>
      </c>
      <c r="CY271" s="8" t="n"/>
      <c r="CZ271" s="8" t="n"/>
      <c r="DA271" s="8" t="n"/>
      <c r="DB271" s="9">
        <f>CX271+CY271-CZ271-DA271</f>
        <v/>
      </c>
      <c r="DC271" s="8" t="n">
        <v>0</v>
      </c>
      <c r="DD271" s="8" t="n">
        <v>0</v>
      </c>
      <c r="DE271" s="8" t="n">
        <v>0</v>
      </c>
      <c r="DF271" s="8" t="n">
        <v>0</v>
      </c>
      <c r="DG271" s="9">
        <f>DC271+DD271-DE271-DF271</f>
        <v/>
      </c>
      <c r="DH271" s="8" t="n">
        <v>8</v>
      </c>
      <c r="DI271" s="8" t="n">
        <v>0</v>
      </c>
      <c r="DJ271" s="8" t="n">
        <v>0</v>
      </c>
      <c r="DK271" s="8" t="n">
        <v>0</v>
      </c>
      <c r="DL271" s="9">
        <f>DH271+DI271-DJ271-DK271</f>
        <v/>
      </c>
      <c r="DM271" s="8" t="n">
        <v>137</v>
      </c>
      <c r="DN271" s="8" t="n">
        <v>0</v>
      </c>
      <c r="DO271" s="8" t="n">
        <v>5</v>
      </c>
      <c r="DP271" s="8" t="n">
        <v>0</v>
      </c>
      <c r="DQ271" s="9">
        <f>DM271+DN271-DO271-DP271</f>
        <v/>
      </c>
      <c r="DR271" s="9">
        <f>CX271+DC271+DH271+DM271</f>
        <v/>
      </c>
      <c r="DS271" s="9">
        <f>CY271+DD271+DI271+DN271</f>
        <v/>
      </c>
      <c r="DT271" s="9">
        <f>CZ271+DE271+DJ271+DO271</f>
        <v/>
      </c>
      <c r="DU271" s="9">
        <f>DA271+DF271+DK271+DP271</f>
        <v/>
      </c>
      <c r="DV271" s="9">
        <f>DB271+DG271+DL271+DQ271</f>
        <v/>
      </c>
      <c r="DW271" s="8" t="n">
        <v>133</v>
      </c>
      <c r="DX271" s="8" t="n">
        <v>71</v>
      </c>
      <c r="DY271" s="8" t="n">
        <v>33</v>
      </c>
      <c r="DZ271" s="8" t="n">
        <v>20</v>
      </c>
      <c r="EA271" s="8" t="n">
        <v>7</v>
      </c>
      <c r="EB271" s="8" t="n">
        <v>6</v>
      </c>
      <c r="EC271" s="8" t="n">
        <v>0</v>
      </c>
      <c r="ED271" s="8" t="n">
        <v>1</v>
      </c>
      <c r="EE271" s="8" t="n">
        <v>6</v>
      </c>
      <c r="EF271" s="8" t="n">
        <v>2</v>
      </c>
      <c r="EG271" s="8" t="n">
        <v>0</v>
      </c>
      <c r="EH271" s="8" t="n">
        <v>0</v>
      </c>
      <c r="EI271" s="8" t="n">
        <v>0</v>
      </c>
      <c r="EJ271" s="8" t="n">
        <v>11</v>
      </c>
      <c r="EK271" s="8" t="n">
        <v>7</v>
      </c>
      <c r="EL271" s="8" t="n">
        <v>0</v>
      </c>
      <c r="EM271" s="8" t="n">
        <v>0</v>
      </c>
      <c r="EN271" s="8" t="n">
        <v>0</v>
      </c>
      <c r="EO271" s="8" t="n">
        <v>0</v>
      </c>
      <c r="EP271" s="8" t="n">
        <v>0</v>
      </c>
      <c r="EQ271" s="8" t="n">
        <v>0</v>
      </c>
      <c r="ER271" s="8" t="n">
        <v>0</v>
      </c>
      <c r="ES271" s="8" t="n">
        <v>0</v>
      </c>
      <c r="ET271" s="8" t="n">
        <v>0</v>
      </c>
      <c r="EU271" s="8" t="n">
        <v>0</v>
      </c>
      <c r="EV271" s="8" t="n">
        <v>0</v>
      </c>
      <c r="EW271" s="8" t="n">
        <v>0</v>
      </c>
      <c r="EX271" s="8" t="n">
        <v>0</v>
      </c>
      <c r="EY271" s="8" t="n">
        <v>0</v>
      </c>
      <c r="EZ271" s="8" t="n">
        <v>0</v>
      </c>
      <c r="FA271" s="8" t="n">
        <v>0</v>
      </c>
      <c r="FB271" s="8" t="n">
        <v>0</v>
      </c>
      <c r="FC271" s="8" t="n">
        <v>0</v>
      </c>
      <c r="FD271" s="8" t="n">
        <v>0</v>
      </c>
      <c r="FE271" s="8" t="n">
        <v>0</v>
      </c>
      <c r="FF271" s="8" t="n">
        <v>0</v>
      </c>
      <c r="FG271" s="9">
        <f>SUM(DW271,DX271,DY271,DZ271,EA271,EB271,EC271,ED271,EE271,EF271,EG271,EH271,EI271,EJ271,EK271,EL271,EM271,EN271,EO271,EP271,EQ271,ER271,ES271,ET271,EU271,EV271,EW271,EX271,EY271,EZ271,FA271,FB271,FC271,FD271,FE271,FF271)</f>
        <v/>
      </c>
      <c r="FH271" s="8" t="n">
        <v>0</v>
      </c>
      <c r="FI271" s="8" t="n">
        <v>0</v>
      </c>
      <c r="FJ271" s="8" t="n">
        <v>0</v>
      </c>
      <c r="FK271" s="8" t="n">
        <v>0</v>
      </c>
      <c r="FL271" s="8" t="n">
        <v>0</v>
      </c>
      <c r="FM271" s="8" t="n">
        <v>0</v>
      </c>
      <c r="FN271" s="8" t="n">
        <v>0</v>
      </c>
      <c r="FO271" s="8" t="n">
        <v>0</v>
      </c>
      <c r="FP271" s="8" t="n">
        <v>0</v>
      </c>
      <c r="FQ271" s="9">
        <f>FL271+FM271+FN271+FO271+FP271</f>
        <v/>
      </c>
      <c r="FR271" s="8" t="n">
        <v>5999285</v>
      </c>
      <c r="FS271" s="8" t="n">
        <v>302250</v>
      </c>
      <c r="FT271" s="8" t="n">
        <v>76000</v>
      </c>
      <c r="FU271" s="8" t="n">
        <v>30000</v>
      </c>
      <c r="FV271" s="9">
        <f>FR271+FS271+FT271+FU271</f>
        <v/>
      </c>
      <c r="FW271" s="8" t="n">
        <v>4689935</v>
      </c>
      <c r="FX271" s="8" t="n">
        <v>0</v>
      </c>
      <c r="FY271" s="8" t="n">
        <v>2165340</v>
      </c>
      <c r="FZ271" s="8" t="n">
        <v>1119290</v>
      </c>
      <c r="GA271" s="9">
        <f>FW271+FX271+FY271+FZ271</f>
        <v/>
      </c>
      <c r="GB271" s="9">
        <f>FV271+GA271</f>
        <v/>
      </c>
      <c r="GC271" s="8" t="n">
        <v>8606716.029999999</v>
      </c>
      <c r="GD271" s="8" t="n">
        <v>100804.56</v>
      </c>
      <c r="GE271" s="8" t="n">
        <v>244228.67</v>
      </c>
      <c r="GF271" s="8" t="n">
        <v>538229.3</v>
      </c>
      <c r="GG271" s="9">
        <f>GC271+GD271+GE271+GF271</f>
        <v/>
      </c>
      <c r="GH271" s="8" t="n">
        <v>4622942.96</v>
      </c>
      <c r="GI271" s="8" t="n">
        <v>0</v>
      </c>
      <c r="GJ271" s="8" t="n">
        <v>1119290.43</v>
      </c>
      <c r="GK271" s="8" t="n">
        <v>2165340</v>
      </c>
      <c r="GL271" s="9">
        <f>GH271+GI271+GJ271+GK271</f>
        <v/>
      </c>
      <c r="GM271" s="9">
        <f>GG271+GL271</f>
        <v/>
      </c>
      <c r="GN271" s="8" t="n">
        <v>597996.5</v>
      </c>
      <c r="GO271" s="8" t="n">
        <v>1338.96</v>
      </c>
      <c r="GP271" s="8" t="n">
        <v>6787.28</v>
      </c>
      <c r="GQ271" s="8" t="n">
        <v>9274.68</v>
      </c>
      <c r="GR271" s="9">
        <f>GN271+GO271+GP271+GQ271</f>
        <v/>
      </c>
      <c r="GS271" s="8" t="n">
        <v>957296</v>
      </c>
      <c r="GT271" s="8" t="n">
        <v>6251</v>
      </c>
      <c r="GU271" s="8" t="n">
        <v>1786</v>
      </c>
      <c r="GV271" s="8" t="n">
        <v>1786</v>
      </c>
      <c r="GW271" s="9">
        <f>GS271+GT271+GU271+GV271</f>
        <v/>
      </c>
      <c r="GX271" s="9">
        <f>GM271+GR271+GW271</f>
        <v/>
      </c>
      <c r="GY271" s="8" t="n">
        <v>22984132.07</v>
      </c>
      <c r="GZ271" s="8" t="n">
        <v>1130117</v>
      </c>
      <c r="HA271" s="9">
        <f>GY271+GZ271</f>
        <v/>
      </c>
      <c r="HB271" s="9">
        <f>IF(GX271=0,"",AU271/GX271)</f>
        <v/>
      </c>
      <c r="HC271" s="10">
        <f>IF((GX271+GY271)=0,"",GB271/(GX271+GY271))</f>
        <v/>
      </c>
      <c r="HD271" s="9">
        <f>IF(GX271=0,"",GB271/GX271)</f>
        <v/>
      </c>
      <c r="HE271" s="8" t="n">
        <v>5</v>
      </c>
      <c r="HF271" s="8" t="n">
        <v>10</v>
      </c>
      <c r="HG271" s="8" t="n">
        <v>21</v>
      </c>
      <c r="HH271" s="8" t="n">
        <v>5</v>
      </c>
      <c r="HI271" s="8" t="n">
        <v>21</v>
      </c>
      <c r="HJ271" s="9">
        <f>HF271+HI271</f>
        <v/>
      </c>
      <c r="HK271" s="10">
        <f>IF(HE271=0,"",HH271/HE271)</f>
        <v/>
      </c>
      <c r="HL271" s="8" t="n">
        <v>11</v>
      </c>
      <c r="HM271" s="8" t="n">
        <v>22</v>
      </c>
      <c r="HN271" s="11">
        <f>IF(HL271=0,"",HM271/HL271)</f>
        <v/>
      </c>
    </row>
    <row r="272">
      <c r="A272" s="12" t="inlineStr">
        <is>
          <t>Ngabu</t>
        </is>
      </c>
      <c r="B272" s="12" t="inlineStr">
        <is>
          <t>Nsanje</t>
        </is>
      </c>
      <c r="C272" s="13" t="inlineStr">
        <is>
          <t>FY2025/26</t>
        </is>
      </c>
      <c r="D272" s="13" t="n">
        <v>2025</v>
      </c>
      <c r="E272" s="13" t="n">
        <v>9</v>
      </c>
      <c r="F272" s="13" t="inlineStr">
        <is>
          <t>September</t>
        </is>
      </c>
      <c r="G272" s="13" t="inlineStr">
        <is>
          <t>Q2</t>
        </is>
      </c>
      <c r="H272" s="14" t="n">
        <v>22644</v>
      </c>
      <c r="I272" s="14" t="n">
        <v>9665</v>
      </c>
      <c r="J272" s="14" t="n">
        <v>560</v>
      </c>
      <c r="K272" s="14" t="n">
        <v>87</v>
      </c>
      <c r="L272" s="14" t="n">
        <v>58</v>
      </c>
      <c r="M272" s="15">
        <f>SUM(I272,J272,K272,L272)</f>
        <v/>
      </c>
      <c r="N272" s="14" t="n">
        <v>4320</v>
      </c>
      <c r="O272" s="14" t="n">
        <v>0</v>
      </c>
      <c r="P272" s="14" t="n">
        <v>1068</v>
      </c>
      <c r="Q272" s="14" t="n">
        <v>463</v>
      </c>
      <c r="R272" s="15">
        <f>SUM(N272,O272,P272,Q272)</f>
        <v/>
      </c>
      <c r="S272" s="15">
        <f>M272+R272</f>
        <v/>
      </c>
      <c r="T272" s="14" t="n">
        <v>6423</v>
      </c>
      <c r="U272" s="16">
        <f>IF(H272=0,"",T272/H272)</f>
        <v/>
      </c>
      <c r="V272" s="14" t="n">
        <v>13.5</v>
      </c>
      <c r="W272" s="17">
        <f>IF(H272=0,"",V272/H272)</f>
        <v/>
      </c>
      <c r="X272" s="14" t="n">
        <v>0</v>
      </c>
      <c r="Y272" s="17">
        <f>IF(H272=0,"",X272/H272)</f>
        <v/>
      </c>
      <c r="Z272" s="14" t="n">
        <v>0</v>
      </c>
      <c r="AA272" s="17">
        <f>IF(H272=0,"",Z272/H272)</f>
        <v/>
      </c>
      <c r="AB272" s="14" t="n">
        <v>0</v>
      </c>
      <c r="AC272" s="17">
        <f>IF(H272=0,"",AB272/H272)</f>
        <v/>
      </c>
      <c r="AD272" s="14" t="n">
        <v>0</v>
      </c>
      <c r="AE272" s="17">
        <f>IF(H272=0,"",AD272/H272)</f>
        <v/>
      </c>
      <c r="AF272" s="14" t="n">
        <v>0</v>
      </c>
      <c r="AG272" s="17">
        <f>IF(H272=0,"",AF272/H272)</f>
        <v/>
      </c>
      <c r="AH272" s="14" t="n">
        <v>47591.415</v>
      </c>
      <c r="AI272" s="15">
        <f>IF(H272=0,"",AH272/H272)</f>
        <v/>
      </c>
      <c r="AJ272" s="14" t="n">
        <v>13551</v>
      </c>
      <c r="AK272" s="17">
        <f>IF(H272=0,"",AJ272/H272)</f>
        <v/>
      </c>
      <c r="AL272" s="14" t="n">
        <v>1896648.0765</v>
      </c>
      <c r="AM272" s="15">
        <f>IF(H272=0,"",AL272/H272)</f>
        <v/>
      </c>
      <c r="AN272" s="14" t="n">
        <v>1880</v>
      </c>
      <c r="AO272" s="14" t="n">
        <v>153</v>
      </c>
      <c r="AP272" s="14" t="n">
        <v>418302</v>
      </c>
      <c r="AQ272" s="14" t="n">
        <v>0</v>
      </c>
      <c r="AR272" s="14" t="n">
        <v>0</v>
      </c>
      <c r="AS272" s="14" t="n">
        <v>0</v>
      </c>
      <c r="AT272" s="14" t="n">
        <v>0</v>
      </c>
      <c r="AU272" s="15">
        <f>AH272+AL272+AP272+AQ272+AR272+AS272+AT272</f>
        <v/>
      </c>
      <c r="AV272" s="15">
        <f>IF(H272=0,"",AU272/H272)</f>
        <v/>
      </c>
      <c r="AW272" s="15">
        <f>IF(S272=0,"",AU272/S272)</f>
        <v/>
      </c>
      <c r="AX272" s="14" t="n">
        <v>7</v>
      </c>
      <c r="AY272" s="15">
        <f>IF(H272=0,"",AX272/(H272/1000/12))</f>
        <v/>
      </c>
      <c r="AZ272" s="14" t="n">
        <v>8</v>
      </c>
      <c r="BA272" s="14" t="n">
        <v>21</v>
      </c>
      <c r="BB272" s="14" t="n">
        <v>0</v>
      </c>
      <c r="BC272" s="14" t="n">
        <v>1</v>
      </c>
      <c r="BD272" s="14" t="n">
        <v>0</v>
      </c>
      <c r="BE272" s="15">
        <f>BC272+BD272</f>
        <v/>
      </c>
      <c r="BF272" s="15">
        <f>BA272+BB272-BE272</f>
        <v/>
      </c>
      <c r="BG272" s="14" t="n">
        <v>0</v>
      </c>
      <c r="BH272" s="14" t="n">
        <v>0</v>
      </c>
      <c r="BI272" s="14" t="n">
        <v>0</v>
      </c>
      <c r="BJ272" s="14" t="n">
        <v>0</v>
      </c>
      <c r="BK272" s="15">
        <f>BI272+BJ272</f>
        <v/>
      </c>
      <c r="BL272" s="15">
        <f>BG272+BH272-BK272</f>
        <v/>
      </c>
      <c r="BM272" s="14" t="n">
        <v>0</v>
      </c>
      <c r="BN272" s="14" t="n">
        <v>0</v>
      </c>
      <c r="BO272" s="14" t="n">
        <v>0</v>
      </c>
      <c r="BP272" s="14" t="n">
        <v>0</v>
      </c>
      <c r="BQ272" s="15">
        <f>BO272+BP272</f>
        <v/>
      </c>
      <c r="BR272" s="15">
        <f>BM272+BN272-BQ272</f>
        <v/>
      </c>
      <c r="BS272" s="14" t="n">
        <v>0</v>
      </c>
      <c r="BT272" s="14" t="n">
        <v>0</v>
      </c>
      <c r="BU272" s="14" t="n">
        <v>0</v>
      </c>
      <c r="BV272" s="14" t="n">
        <v>0</v>
      </c>
      <c r="BW272" s="15">
        <f>BU272+BV272</f>
        <v/>
      </c>
      <c r="BX272" s="15">
        <f>BS272+BT272-BW272</f>
        <v/>
      </c>
      <c r="BY272" s="15">
        <f>BA272+BG272+BM272+BS272</f>
        <v/>
      </c>
      <c r="BZ272" s="15">
        <f>BB272+BH272+BN272+BT272</f>
        <v/>
      </c>
      <c r="CA272" s="15">
        <f>BE272+BK272+BQ272+BW272</f>
        <v/>
      </c>
      <c r="CB272" s="15">
        <f>BF272+BL272+BR272+BX272</f>
        <v/>
      </c>
      <c r="CC272" s="14" t="n">
        <v>0</v>
      </c>
      <c r="CD272" s="14" t="n">
        <v>686</v>
      </c>
      <c r="CE272" s="14" t="n">
        <v>20</v>
      </c>
      <c r="CF272" s="14" t="n">
        <v>3</v>
      </c>
      <c r="CG272" s="14" t="n">
        <v>21</v>
      </c>
      <c r="CH272" s="15">
        <f>CD272+CE272+CF272+CG272</f>
        <v/>
      </c>
      <c r="CI272" s="14" t="n">
        <v>1130</v>
      </c>
      <c r="CJ272" s="14" t="n">
        <v>10</v>
      </c>
      <c r="CK272" s="14" t="n">
        <v>3</v>
      </c>
      <c r="CL272" s="14" t="n">
        <v>8</v>
      </c>
      <c r="CM272" s="15">
        <f>CI272+CJ272+CK272+CL272</f>
        <v/>
      </c>
      <c r="CN272" s="14" t="n">
        <v>506</v>
      </c>
      <c r="CO272" s="14" t="n">
        <v>52</v>
      </c>
      <c r="CP272" s="14" t="n">
        <v>49</v>
      </c>
      <c r="CQ272" s="14" t="n">
        <v>1</v>
      </c>
      <c r="CR272" s="15">
        <f>CN272+CO272+CP272+CQ272</f>
        <v/>
      </c>
      <c r="CS272" s="15">
        <f>CM272+CR272</f>
        <v/>
      </c>
      <c r="CT272" s="14" t="n">
        <v>2489</v>
      </c>
      <c r="CU272" s="14" t="n">
        <v>25964.5777964273</v>
      </c>
      <c r="CV272" s="14" t="n">
        <v>18020</v>
      </c>
      <c r="CW272" s="16">
        <f>IF(CU272=0,"",CV272/CU272)</f>
        <v/>
      </c>
      <c r="CX272" s="14" t="n">
        <v>0</v>
      </c>
      <c r="CY272" s="14" t="n"/>
      <c r="CZ272" s="14" t="n"/>
      <c r="DA272" s="14" t="n"/>
      <c r="DB272" s="15">
        <f>CX272+CY272-CZ272-DA272</f>
        <v/>
      </c>
      <c r="DC272" s="14" t="n">
        <v>0</v>
      </c>
      <c r="DD272" s="14" t="n">
        <v>0</v>
      </c>
      <c r="DE272" s="14" t="n">
        <v>0</v>
      </c>
      <c r="DF272" s="14" t="n">
        <v>0</v>
      </c>
      <c r="DG272" s="15">
        <f>DC272+DD272-DE272-DF272</f>
        <v/>
      </c>
      <c r="DH272" s="14" t="n">
        <v>7</v>
      </c>
      <c r="DI272" s="14" t="n">
        <v>7</v>
      </c>
      <c r="DJ272" s="14" t="n">
        <v>10</v>
      </c>
      <c r="DK272" s="14" t="n">
        <v>0</v>
      </c>
      <c r="DL272" s="15">
        <f>DH272+DI272-DJ272-DK272</f>
        <v/>
      </c>
      <c r="DM272" s="14" t="n">
        <v>132</v>
      </c>
      <c r="DN272" s="14" t="n">
        <v>0</v>
      </c>
      <c r="DO272" s="14" t="n">
        <v>0</v>
      </c>
      <c r="DP272" s="14" t="n">
        <v>0</v>
      </c>
      <c r="DQ272" s="15">
        <f>DM272+DN272-DO272-DP272</f>
        <v/>
      </c>
      <c r="DR272" s="15">
        <f>CX272+DC272+DH272+DM272</f>
        <v/>
      </c>
      <c r="DS272" s="15">
        <f>CY272+DD272+DI272+DN272</f>
        <v/>
      </c>
      <c r="DT272" s="15">
        <f>CZ272+DE272+DJ272+DO272</f>
        <v/>
      </c>
      <c r="DU272" s="15">
        <f>DA272+DF272+DK272+DP272</f>
        <v/>
      </c>
      <c r="DV272" s="15">
        <f>DB272+DG272+DL272+DQ272</f>
        <v/>
      </c>
      <c r="DW272" s="14" t="n">
        <v>131</v>
      </c>
      <c r="DX272" s="14" t="n">
        <v>72</v>
      </c>
      <c r="DY272" s="14" t="n">
        <v>26</v>
      </c>
      <c r="DZ272" s="14" t="n">
        <v>15</v>
      </c>
      <c r="EA272" s="14" t="n">
        <v>4</v>
      </c>
      <c r="EB272" s="14" t="n">
        <v>3</v>
      </c>
      <c r="EC272" s="14" t="n">
        <v>0</v>
      </c>
      <c r="ED272" s="14" t="n">
        <v>2</v>
      </c>
      <c r="EE272" s="14" t="n">
        <v>4</v>
      </c>
      <c r="EF272" s="14" t="n">
        <v>1</v>
      </c>
      <c r="EG272" s="14" t="n">
        <v>0</v>
      </c>
      <c r="EH272" s="14" t="n">
        <v>0</v>
      </c>
      <c r="EI272" s="14" t="n">
        <v>0</v>
      </c>
      <c r="EJ272" s="14" t="n">
        <v>7</v>
      </c>
      <c r="EK272" s="14" t="n">
        <v>5</v>
      </c>
      <c r="EL272" s="14" t="n">
        <v>0</v>
      </c>
      <c r="EM272" s="14" t="n">
        <v>0</v>
      </c>
      <c r="EN272" s="14" t="n">
        <v>0</v>
      </c>
      <c r="EO272" s="14" t="n">
        <v>0</v>
      </c>
      <c r="EP272" s="14" t="n">
        <v>0</v>
      </c>
      <c r="EQ272" s="14" t="n">
        <v>0</v>
      </c>
      <c r="ER272" s="14" t="n">
        <v>0</v>
      </c>
      <c r="ES272" s="14" t="n">
        <v>0</v>
      </c>
      <c r="ET272" s="14" t="n">
        <v>0</v>
      </c>
      <c r="EU272" s="14" t="n">
        <v>0</v>
      </c>
      <c r="EV272" s="14" t="n">
        <v>0</v>
      </c>
      <c r="EW272" s="14" t="n">
        <v>0</v>
      </c>
      <c r="EX272" s="14" t="n">
        <v>0</v>
      </c>
      <c r="EY272" s="14" t="n">
        <v>0</v>
      </c>
      <c r="EZ272" s="14" t="n">
        <v>0</v>
      </c>
      <c r="FA272" s="14" t="n">
        <v>0</v>
      </c>
      <c r="FB272" s="14" t="n">
        <v>0</v>
      </c>
      <c r="FC272" s="14" t="n">
        <v>0</v>
      </c>
      <c r="FD272" s="14" t="n">
        <v>0</v>
      </c>
      <c r="FE272" s="14" t="n">
        <v>0</v>
      </c>
      <c r="FF272" s="14" t="n">
        <v>0</v>
      </c>
      <c r="FG272" s="15">
        <f>SUM(DW272,DX272,DY272,DZ272,EA272,EB272,EC272,ED272,EE272,EF272,EG272,EH272,EI272,EJ272,EK272,EL272,EM272,EN272,EO272,EP272,EQ272,ER272,ES272,ET272,EU272,EV272,EW272,EX272,EY272,EZ272,FA272,FB272,FC272,FD272,FE272,FF272)</f>
        <v/>
      </c>
      <c r="FH272" s="14" t="n">
        <v>0</v>
      </c>
      <c r="FI272" s="14" t="n">
        <v>0</v>
      </c>
      <c r="FJ272" s="14" t="n">
        <v>0</v>
      </c>
      <c r="FK272" s="14" t="n">
        <v>0</v>
      </c>
      <c r="FL272" s="14" t="n">
        <v>0</v>
      </c>
      <c r="FM272" s="14" t="n">
        <v>0</v>
      </c>
      <c r="FN272" s="14" t="n">
        <v>0</v>
      </c>
      <c r="FO272" s="14" t="n">
        <v>0</v>
      </c>
      <c r="FP272" s="14" t="n">
        <v>0</v>
      </c>
      <c r="FQ272" s="15">
        <f>FL272+FM272+FN272+FO272+FP272</f>
        <v/>
      </c>
      <c r="FR272" s="14" t="n">
        <v>393150</v>
      </c>
      <c r="FS272" s="14" t="n">
        <v>59800</v>
      </c>
      <c r="FT272" s="14" t="n">
        <v>0</v>
      </c>
      <c r="FU272" s="14" t="n">
        <v>4244802</v>
      </c>
      <c r="FV272" s="15">
        <f>FR272+FS272+FT272+FU272</f>
        <v/>
      </c>
      <c r="FW272" s="14" t="n">
        <v>5481250</v>
      </c>
      <c r="FX272" s="14" t="n">
        <v>0</v>
      </c>
      <c r="FY272" s="14" t="n">
        <v>2173283</v>
      </c>
      <c r="FZ272" s="14" t="n">
        <v>5346639</v>
      </c>
      <c r="GA272" s="15">
        <f>FW272+FX272+FY272+FZ272</f>
        <v/>
      </c>
      <c r="GB272" s="15">
        <f>FV272+GA272</f>
        <v/>
      </c>
      <c r="GC272" s="14" t="n">
        <v>9241208.01</v>
      </c>
      <c r="GD272" s="14" t="n">
        <v>107116.8</v>
      </c>
      <c r="GE272" s="14" t="n">
        <v>273869.4</v>
      </c>
      <c r="GF272" s="14" t="n">
        <v>238356.5</v>
      </c>
      <c r="GG272" s="15">
        <f>GC272+GD272+GE272+GF272</f>
        <v/>
      </c>
      <c r="GH272" s="14" t="n">
        <v>5386726</v>
      </c>
      <c r="GI272" s="14" t="n">
        <v>0</v>
      </c>
      <c r="GJ272" s="14" t="n">
        <v>3246638.97</v>
      </c>
      <c r="GK272" s="14" t="n">
        <v>2173283</v>
      </c>
      <c r="GL272" s="15">
        <f>GH272+GI272+GJ272+GK272</f>
        <v/>
      </c>
      <c r="GM272" s="15">
        <f>GG272+GL272</f>
        <v/>
      </c>
      <c r="GN272" s="14" t="n">
        <v>656658.52</v>
      </c>
      <c r="GO272" s="14" t="n">
        <v>2295.36</v>
      </c>
      <c r="GP272" s="14" t="n">
        <v>10180.92</v>
      </c>
      <c r="GQ272" s="14" t="n">
        <v>9274.68</v>
      </c>
      <c r="GR272" s="15">
        <f>GN272+GO272+GP272+GQ272</f>
        <v/>
      </c>
      <c r="GS272" s="14" t="n">
        <v>1051957</v>
      </c>
      <c r="GT272" s="14" t="n">
        <v>10716</v>
      </c>
      <c r="GU272" s="14" t="n">
        <v>2679</v>
      </c>
      <c r="GV272" s="14" t="n">
        <v>1786</v>
      </c>
      <c r="GW272" s="15">
        <f>GS272+GT272+GU272+GV272</f>
        <v/>
      </c>
      <c r="GX272" s="15">
        <f>GM272+GR272+GW272</f>
        <v/>
      </c>
      <c r="GY272" s="14" t="n">
        <v>23298298.79</v>
      </c>
      <c r="GZ272" s="14" t="n">
        <v>1415846.32</v>
      </c>
      <c r="HA272" s="15">
        <f>GY272+GZ272</f>
        <v/>
      </c>
      <c r="HB272" s="15">
        <f>IF(GX272=0,"",AU272/GX272)</f>
        <v/>
      </c>
      <c r="HC272" s="16">
        <f>IF((GX272+GY272)=0,"",GB272/(GX272+GY272))</f>
        <v/>
      </c>
      <c r="HD272" s="15">
        <f>IF(GX272=0,"",GB272/GX272)</f>
        <v/>
      </c>
      <c r="HE272" s="14" t="n">
        <v>0</v>
      </c>
      <c r="HF272" s="14" t="n">
        <v>0</v>
      </c>
      <c r="HG272" s="14" t="n">
        <v>20</v>
      </c>
      <c r="HH272" s="14" t="n">
        <v>0</v>
      </c>
      <c r="HI272" s="14" t="n">
        <v>0</v>
      </c>
      <c r="HJ272" s="15">
        <f>HF272+HI272</f>
        <v/>
      </c>
      <c r="HK272" s="16">
        <f>IF(HE272=0,"",HH272/HE272)</f>
        <v/>
      </c>
      <c r="HL272" s="14" t="n">
        <v>9</v>
      </c>
      <c r="HM272" s="14" t="n">
        <v>18</v>
      </c>
      <c r="HN272" s="17">
        <f>IF(HL272=0,"",HM272/HL272)</f>
        <v/>
      </c>
    </row>
    <row r="273">
      <c r="A273" s="6" t="inlineStr">
        <is>
          <t>Ngabu</t>
        </is>
      </c>
      <c r="B273" s="6" t="inlineStr">
        <is>
          <t>Nsanje</t>
        </is>
      </c>
      <c r="C273" s="7" t="inlineStr">
        <is>
          <t>FY2025/26</t>
        </is>
      </c>
      <c r="D273" s="7" t="n">
        <v>2025</v>
      </c>
      <c r="E273" s="7" t="n">
        <v>10</v>
      </c>
      <c r="F273" s="7" t="inlineStr">
        <is>
          <t>October</t>
        </is>
      </c>
      <c r="G273" s="7" t="inlineStr">
        <is>
          <t>Q3</t>
        </is>
      </c>
      <c r="H273" s="8" t="n">
        <v>22513</v>
      </c>
      <c r="I273" s="8" t="n">
        <v>8383</v>
      </c>
      <c r="J273" s="8" t="n">
        <v>1049</v>
      </c>
      <c r="K273" s="8" t="n">
        <v>99</v>
      </c>
      <c r="L273" s="8" t="n">
        <v>37</v>
      </c>
      <c r="M273" s="9">
        <f>SUM(I273,J273,K273,L273)</f>
        <v/>
      </c>
      <c r="N273" s="8" t="n">
        <v>4955</v>
      </c>
      <c r="O273" s="8" t="n">
        <v>0</v>
      </c>
      <c r="P273" s="8" t="n">
        <v>1368</v>
      </c>
      <c r="Q273" s="8" t="n">
        <v>847</v>
      </c>
      <c r="R273" s="9">
        <f>SUM(N273,O273,P273,Q273)</f>
        <v/>
      </c>
      <c r="S273" s="9">
        <f>M273+R273</f>
        <v/>
      </c>
      <c r="T273" s="8" t="n">
        <v>5775</v>
      </c>
      <c r="U273" s="10">
        <f>IF(H273=0,"",T273/H273)</f>
        <v/>
      </c>
      <c r="V273" s="8" t="n">
        <v>12.5</v>
      </c>
      <c r="W273" s="11">
        <f>IF(H273=0,"",V273/H273)</f>
        <v/>
      </c>
      <c r="X273" s="8" t="n">
        <v>0</v>
      </c>
      <c r="Y273" s="11">
        <f>IF(H273=0,"",X273/H273)</f>
        <v/>
      </c>
      <c r="Z273" s="8" t="n">
        <v>0</v>
      </c>
      <c r="AA273" s="11">
        <f>IF(H273=0,"",Z273/H273)</f>
        <v/>
      </c>
      <c r="AB273" s="8" t="n">
        <v>0</v>
      </c>
      <c r="AC273" s="11">
        <f>IF(H273=0,"",AB273/H273)</f>
        <v/>
      </c>
      <c r="AD273" s="8" t="n">
        <v>0</v>
      </c>
      <c r="AE273" s="11">
        <f>IF(H273=0,"",AD273/H273)</f>
        <v/>
      </c>
      <c r="AF273" s="8" t="n">
        <v>0</v>
      </c>
      <c r="AG273" s="11">
        <f>IF(H273=0,"",AF273/H273)</f>
        <v/>
      </c>
      <c r="AH273" s="8" t="n">
        <v>44066.125</v>
      </c>
      <c r="AI273" s="9">
        <f>IF(H273=0,"",AH273/H273)</f>
        <v/>
      </c>
      <c r="AJ273" s="8" t="n">
        <v>13209</v>
      </c>
      <c r="AK273" s="11">
        <f>IF(H273=0,"",AJ273/H273)</f>
        <v/>
      </c>
      <c r="AL273" s="8" t="n">
        <v>1849195.0635</v>
      </c>
      <c r="AM273" s="9">
        <f>IF(H273=0,"",AL273/H273)</f>
        <v/>
      </c>
      <c r="AN273" s="8" t="n">
        <v>213</v>
      </c>
      <c r="AO273" s="8" t="n">
        <v>55</v>
      </c>
      <c r="AP273" s="8" t="n">
        <v>150370</v>
      </c>
      <c r="AQ273" s="8" t="n">
        <v>0</v>
      </c>
      <c r="AR273" s="8" t="n">
        <v>0</v>
      </c>
      <c r="AS273" s="8" t="n">
        <v>0</v>
      </c>
      <c r="AT273" s="8" t="n">
        <v>0</v>
      </c>
      <c r="AU273" s="9">
        <f>AH273+AL273+AP273+AQ273+AR273+AS273+AT273</f>
        <v/>
      </c>
      <c r="AV273" s="9">
        <f>IF(H273=0,"",AU273/H273)</f>
        <v/>
      </c>
      <c r="AW273" s="9">
        <f>IF(S273=0,"",AU273/S273)</f>
        <v/>
      </c>
      <c r="AX273" s="8" t="n">
        <v>8</v>
      </c>
      <c r="AY273" s="9">
        <f>IF(H273=0,"",AX273/(H273/1000/12))</f>
        <v/>
      </c>
      <c r="AZ273" s="8" t="n">
        <v>8</v>
      </c>
      <c r="BA273" s="8" t="n">
        <v>20</v>
      </c>
      <c r="BB273" s="8" t="n">
        <v>22</v>
      </c>
      <c r="BC273" s="8" t="n">
        <v>13</v>
      </c>
      <c r="BD273" s="8" t="n">
        <v>0</v>
      </c>
      <c r="BE273" s="9">
        <f>BC273+BD273</f>
        <v/>
      </c>
      <c r="BF273" s="9">
        <f>BA273+BB273-BE273</f>
        <v/>
      </c>
      <c r="BG273" s="8" t="n">
        <v>0</v>
      </c>
      <c r="BH273" s="8" t="n">
        <v>0</v>
      </c>
      <c r="BI273" s="8" t="n">
        <v>0</v>
      </c>
      <c r="BJ273" s="8" t="n">
        <v>0</v>
      </c>
      <c r="BK273" s="9">
        <f>BI273+BJ273</f>
        <v/>
      </c>
      <c r="BL273" s="9">
        <f>BG273+BH273-BK273</f>
        <v/>
      </c>
      <c r="BM273" s="8" t="n">
        <v>0</v>
      </c>
      <c r="BN273" s="8" t="n">
        <v>0</v>
      </c>
      <c r="BO273" s="8" t="n">
        <v>0</v>
      </c>
      <c r="BP273" s="8" t="n">
        <v>0</v>
      </c>
      <c r="BQ273" s="9">
        <f>BO273+BP273</f>
        <v/>
      </c>
      <c r="BR273" s="9">
        <f>BM273+BN273-BQ273</f>
        <v/>
      </c>
      <c r="BS273" s="8" t="n">
        <v>0</v>
      </c>
      <c r="BT273" s="8" t="n">
        <v>0</v>
      </c>
      <c r="BU273" s="8" t="n">
        <v>0</v>
      </c>
      <c r="BV273" s="8" t="n">
        <v>0</v>
      </c>
      <c r="BW273" s="9">
        <f>BU273+BV273</f>
        <v/>
      </c>
      <c r="BX273" s="9">
        <f>BS273+BT273-BW273</f>
        <v/>
      </c>
      <c r="BY273" s="9">
        <f>BA273+BG273+BM273+BS273</f>
        <v/>
      </c>
      <c r="BZ273" s="9">
        <f>BB273+BH273+BN273+BT273</f>
        <v/>
      </c>
      <c r="CA273" s="9">
        <f>BE273+BK273+BQ273+BW273</f>
        <v/>
      </c>
      <c r="CB273" s="9">
        <f>BF273+BL273+BR273+BX273</f>
        <v/>
      </c>
      <c r="CC273" s="8" t="n">
        <v>0</v>
      </c>
      <c r="CD273" s="8" t="n">
        <v>670</v>
      </c>
      <c r="CE273" s="8" t="n">
        <v>20</v>
      </c>
      <c r="CF273" s="8" t="n">
        <v>3</v>
      </c>
      <c r="CG273" s="8" t="n">
        <v>21</v>
      </c>
      <c r="CH273" s="9">
        <f>CD273+CE273+CF273+CG273</f>
        <v/>
      </c>
      <c r="CI273" s="8" t="n">
        <v>1159</v>
      </c>
      <c r="CJ273" s="8" t="n">
        <v>10</v>
      </c>
      <c r="CK273" s="8" t="n">
        <v>3</v>
      </c>
      <c r="CL273" s="8" t="n">
        <v>8</v>
      </c>
      <c r="CM273" s="9">
        <f>CI273+CJ273+CK273+CL273</f>
        <v/>
      </c>
      <c r="CN273" s="8" t="n">
        <v>506</v>
      </c>
      <c r="CO273" s="8" t="n">
        <v>52</v>
      </c>
      <c r="CP273" s="8" t="n">
        <v>49</v>
      </c>
      <c r="CQ273" s="8" t="n">
        <v>1</v>
      </c>
      <c r="CR273" s="9">
        <f>CN273+CO273+CP273+CQ273</f>
        <v/>
      </c>
      <c r="CS273" s="9">
        <f>CM273+CR273</f>
        <v/>
      </c>
      <c r="CT273" s="8" t="n">
        <v>2502</v>
      </c>
      <c r="CU273" s="8" t="n">
        <v>26008.7175786813</v>
      </c>
      <c r="CV273" s="8" t="n">
        <v>18046</v>
      </c>
      <c r="CW273" s="10">
        <f>IF(CU273=0,"",CV273/CU273)</f>
        <v/>
      </c>
      <c r="CX273" s="8" t="n">
        <v>0</v>
      </c>
      <c r="CY273" s="8" t="n"/>
      <c r="CZ273" s="8" t="n"/>
      <c r="DA273" s="8" t="n"/>
      <c r="DB273" s="9">
        <f>CX273+CY273-CZ273-DA273</f>
        <v/>
      </c>
      <c r="DC273" s="8" t="n">
        <v>0</v>
      </c>
      <c r="DD273" s="8" t="n">
        <v>0</v>
      </c>
      <c r="DE273" s="8" t="n">
        <v>0</v>
      </c>
      <c r="DF273" s="8" t="n">
        <v>0</v>
      </c>
      <c r="DG273" s="9">
        <f>DC273+DD273-DE273-DF273</f>
        <v/>
      </c>
      <c r="DH273" s="8" t="n">
        <v>4</v>
      </c>
      <c r="DI273" s="8" t="n">
        <v>0</v>
      </c>
      <c r="DJ273" s="8" t="n">
        <v>0</v>
      </c>
      <c r="DK273" s="8" t="n">
        <v>0</v>
      </c>
      <c r="DL273" s="9">
        <f>DH273+DI273-DJ273-DK273</f>
        <v/>
      </c>
      <c r="DM273" s="8" t="n">
        <v>132</v>
      </c>
      <c r="DN273" s="8" t="n">
        <v>9</v>
      </c>
      <c r="DO273" s="8" t="n">
        <v>6</v>
      </c>
      <c r="DP273" s="8" t="n">
        <v>0</v>
      </c>
      <c r="DQ273" s="9">
        <f>DM273+DN273-DO273-DP273</f>
        <v/>
      </c>
      <c r="DR273" s="9">
        <f>CX273+DC273+DH273+DM273</f>
        <v/>
      </c>
      <c r="DS273" s="9">
        <f>CY273+DD273+DI273+DN273</f>
        <v/>
      </c>
      <c r="DT273" s="9">
        <f>CZ273+DE273+DJ273+DO273</f>
        <v/>
      </c>
      <c r="DU273" s="9">
        <f>DA273+DF273+DK273+DP273</f>
        <v/>
      </c>
      <c r="DV273" s="9">
        <f>DB273+DG273+DL273+DQ273</f>
        <v/>
      </c>
      <c r="DW273" s="8" t="n">
        <v>135</v>
      </c>
      <c r="DX273" s="8" t="n">
        <v>79</v>
      </c>
      <c r="DY273" s="8" t="n">
        <v>22</v>
      </c>
      <c r="DZ273" s="8" t="n">
        <v>17</v>
      </c>
      <c r="EA273" s="8" t="n">
        <v>3</v>
      </c>
      <c r="EB273" s="8" t="n">
        <v>3</v>
      </c>
      <c r="EC273" s="8" t="n">
        <v>0</v>
      </c>
      <c r="ED273" s="8" t="n">
        <v>1</v>
      </c>
      <c r="EE273" s="8" t="n">
        <v>3</v>
      </c>
      <c r="EF273" s="8" t="n">
        <v>2</v>
      </c>
      <c r="EG273" s="8" t="n">
        <v>0</v>
      </c>
      <c r="EH273" s="8" t="n">
        <v>0</v>
      </c>
      <c r="EI273" s="8" t="n">
        <v>0</v>
      </c>
      <c r="EJ273" s="8" t="n">
        <v>9</v>
      </c>
      <c r="EK273" s="8" t="n">
        <v>6</v>
      </c>
      <c r="EL273" s="8" t="n">
        <v>0</v>
      </c>
      <c r="EM273" s="8" t="n">
        <v>0</v>
      </c>
      <c r="EN273" s="8" t="n">
        <v>0</v>
      </c>
      <c r="EO273" s="8" t="n">
        <v>0</v>
      </c>
      <c r="EP273" s="8" t="n">
        <v>0</v>
      </c>
      <c r="EQ273" s="8" t="n">
        <v>0</v>
      </c>
      <c r="ER273" s="8" t="n">
        <v>0</v>
      </c>
      <c r="ES273" s="8" t="n">
        <v>0</v>
      </c>
      <c r="ET273" s="8" t="n">
        <v>0</v>
      </c>
      <c r="EU273" s="8" t="n">
        <v>0</v>
      </c>
      <c r="EV273" s="8" t="n">
        <v>0</v>
      </c>
      <c r="EW273" s="8" t="n">
        <v>0</v>
      </c>
      <c r="EX273" s="8" t="n">
        <v>0</v>
      </c>
      <c r="EY273" s="8" t="n">
        <v>0</v>
      </c>
      <c r="EZ273" s="8" t="n">
        <v>0</v>
      </c>
      <c r="FA273" s="8" t="n">
        <v>0</v>
      </c>
      <c r="FB273" s="8" t="n">
        <v>0</v>
      </c>
      <c r="FC273" s="8" t="n">
        <v>0</v>
      </c>
      <c r="FD273" s="8" t="n">
        <v>0</v>
      </c>
      <c r="FE273" s="8" t="n">
        <v>0</v>
      </c>
      <c r="FF273" s="8" t="n">
        <v>0</v>
      </c>
      <c r="FG273" s="9">
        <f>SUM(DW273,DX273,DY273,DZ273,EA273,EB273,EC273,ED273,EE273,EF273,EG273,EH273,EI273,EJ273,EK273,EL273,EM273,EN273,EO273,EP273,EQ273,ER273,ES273,ET273,EU273,EV273,EW273,EX273,EY273,EZ273,FA273,FB273,FC273,FD273,FE273,FF273)</f>
        <v/>
      </c>
      <c r="FH273" s="8" t="n">
        <v>0</v>
      </c>
      <c r="FI273" s="8" t="n">
        <v>0</v>
      </c>
      <c r="FJ273" s="8" t="n">
        <v>0</v>
      </c>
      <c r="FK273" s="8" t="n">
        <v>0</v>
      </c>
      <c r="FL273" s="8" t="n">
        <v>0</v>
      </c>
      <c r="FM273" s="8" t="n">
        <v>0</v>
      </c>
      <c r="FN273" s="8" t="n">
        <v>0</v>
      </c>
      <c r="FO273" s="8" t="n">
        <v>0</v>
      </c>
      <c r="FP273" s="8" t="n">
        <v>0</v>
      </c>
      <c r="FQ273" s="9">
        <f>FL273+FM273+FN273+FO273+FP273</f>
        <v/>
      </c>
      <c r="FR273" s="8" t="n">
        <v>8893575</v>
      </c>
      <c r="FS273" s="8" t="n">
        <v>166600</v>
      </c>
      <c r="FT273" s="8" t="n">
        <v>197000</v>
      </c>
      <c r="FU273" s="8" t="n">
        <v>20000</v>
      </c>
      <c r="FV273" s="9">
        <f>FR273+FS273+FT273+FU273</f>
        <v/>
      </c>
      <c r="FW273" s="8" t="n">
        <v>4569292</v>
      </c>
      <c r="FX273" s="8" t="n">
        <v>0</v>
      </c>
      <c r="FY273" s="8" t="n">
        <v>1685628</v>
      </c>
      <c r="FZ273" s="8" t="n">
        <v>10917494</v>
      </c>
      <c r="GA273" s="9">
        <f>FW273+FX273+FY273+FZ273</f>
        <v/>
      </c>
      <c r="GB273" s="9">
        <f>FV273+GA273</f>
        <v/>
      </c>
      <c r="GC273" s="8" t="n">
        <v>8167879.82</v>
      </c>
      <c r="GD273" s="8" t="n">
        <v>200652.72</v>
      </c>
      <c r="GE273" s="8" t="n">
        <v>311193.8</v>
      </c>
      <c r="GF273" s="8" t="n">
        <v>134302.28</v>
      </c>
      <c r="GG273" s="9">
        <f>GC273+GD273+GE273+GF273</f>
        <v/>
      </c>
      <c r="GH273" s="8" t="n">
        <v>4513580.15</v>
      </c>
      <c r="GI273" s="8" t="n">
        <v>0</v>
      </c>
      <c r="GJ273" s="8" t="n">
        <v>7617493.9</v>
      </c>
      <c r="GK273" s="8" t="n">
        <v>1685628.09</v>
      </c>
      <c r="GL273" s="9">
        <f>GH273+GI273+GJ273+GK273</f>
        <v/>
      </c>
      <c r="GM273" s="9">
        <f>GG273+GL273</f>
        <v/>
      </c>
      <c r="GN273" s="8" t="n">
        <v>677815.58</v>
      </c>
      <c r="GO273" s="8" t="n">
        <v>2295.36</v>
      </c>
      <c r="GP273" s="8" t="n">
        <v>10180.92</v>
      </c>
      <c r="GQ273" s="8" t="n">
        <v>9274.68</v>
      </c>
      <c r="GR273" s="9">
        <f>GN273+GO273+GP273+GQ273</f>
        <v/>
      </c>
      <c r="GS273" s="8" t="n">
        <v>1085888</v>
      </c>
      <c r="GT273" s="8" t="n">
        <v>10716</v>
      </c>
      <c r="GU273" s="8" t="n">
        <v>2679</v>
      </c>
      <c r="GV273" s="8" t="n">
        <v>1786</v>
      </c>
      <c r="GW273" s="9">
        <f>GS273+GT273+GU273+GV273</f>
        <v/>
      </c>
      <c r="GX273" s="9">
        <f>GM273+GR273+GW273</f>
        <v/>
      </c>
      <c r="GY273" s="8" t="n">
        <v>25196003.95</v>
      </c>
      <c r="GZ273" s="8" t="n">
        <v>1719900.04</v>
      </c>
      <c r="HA273" s="9">
        <f>GY273+GZ273</f>
        <v/>
      </c>
      <c r="HB273" s="9">
        <f>IF(GX273=0,"",AU273/GX273)</f>
        <v/>
      </c>
      <c r="HC273" s="10">
        <f>IF((GX273+GY273)=0,"",GB273/(GX273+GY273))</f>
        <v/>
      </c>
      <c r="HD273" s="9">
        <f>IF(GX273=0,"",GB273/GX273)</f>
        <v/>
      </c>
      <c r="HE273" s="8" t="n">
        <v>22</v>
      </c>
      <c r="HF273" s="8" t="n">
        <v>2</v>
      </c>
      <c r="HG273" s="8" t="n">
        <v>29</v>
      </c>
      <c r="HH273" s="8" t="n">
        <v>22</v>
      </c>
      <c r="HI273" s="8" t="n">
        <v>60</v>
      </c>
      <c r="HJ273" s="9">
        <f>HF273+HI273</f>
        <v/>
      </c>
      <c r="HK273" s="10">
        <f>IF(HE273=0,"",HH273/HE273)</f>
        <v/>
      </c>
      <c r="HL273" s="8" t="n">
        <v>11</v>
      </c>
      <c r="HM273" s="8" t="n">
        <v>22</v>
      </c>
      <c r="HN273" s="11">
        <f>IF(HL273=0,"",HM273/HL273)</f>
        <v/>
      </c>
    </row>
    <row r="274">
      <c r="A274" s="12" t="inlineStr">
        <is>
          <t>Ngabu</t>
        </is>
      </c>
      <c r="B274" s="12" t="inlineStr">
        <is>
          <t>Nsanje</t>
        </is>
      </c>
      <c r="C274" s="13" t="inlineStr">
        <is>
          <t>FY2025/26</t>
        </is>
      </c>
      <c r="D274" s="13" t="n">
        <v>2025</v>
      </c>
      <c r="E274" s="13" t="n">
        <v>11</v>
      </c>
      <c r="F274" s="13" t="inlineStr">
        <is>
          <t>November</t>
        </is>
      </c>
      <c r="G274" s="13" t="inlineStr">
        <is>
          <t>Q3</t>
        </is>
      </c>
      <c r="H274" s="14" t="n">
        <v>25401</v>
      </c>
      <c r="I274" s="14" t="n">
        <v>10483</v>
      </c>
      <c r="J274" s="14" t="n">
        <v>983</v>
      </c>
      <c r="K274" s="14" t="n">
        <v>78</v>
      </c>
      <c r="L274" s="14" t="n">
        <v>0</v>
      </c>
      <c r="M274" s="15">
        <f>SUM(I274,J274,K274,L274)</f>
        <v/>
      </c>
      <c r="N274" s="14" t="n">
        <v>5001</v>
      </c>
      <c r="O274" s="14" t="n">
        <v>0</v>
      </c>
      <c r="P274" s="14" t="n">
        <v>1716</v>
      </c>
      <c r="Q274" s="14" t="n">
        <v>436</v>
      </c>
      <c r="R274" s="15">
        <f>SUM(N274,O274,P274,Q274)</f>
        <v/>
      </c>
      <c r="S274" s="15">
        <f>M274+R274</f>
        <v/>
      </c>
      <c r="T274" s="14" t="n">
        <v>6704</v>
      </c>
      <c r="U274" s="16">
        <f>IF(H274=0,"",T274/H274)</f>
        <v/>
      </c>
      <c r="V274" s="14" t="n">
        <v>15</v>
      </c>
      <c r="W274" s="17">
        <f>IF(H274=0,"",V274/H274)</f>
        <v/>
      </c>
      <c r="X274" s="14" t="n">
        <v>0</v>
      </c>
      <c r="Y274" s="17">
        <f>IF(H274=0,"",X274/H274)</f>
        <v/>
      </c>
      <c r="Z274" s="14" t="n">
        <v>0</v>
      </c>
      <c r="AA274" s="17">
        <f>IF(H274=0,"",Z274/H274)</f>
        <v/>
      </c>
      <c r="AB274" s="14" t="n">
        <v>0</v>
      </c>
      <c r="AC274" s="17">
        <f>IF(H274=0,"",AB274/H274)</f>
        <v/>
      </c>
      <c r="AD274" s="14" t="n">
        <v>0</v>
      </c>
      <c r="AE274" s="17">
        <f>IF(H274=0,"",AD274/H274)</f>
        <v/>
      </c>
      <c r="AF274" s="14" t="n">
        <v>0</v>
      </c>
      <c r="AG274" s="17">
        <f>IF(H274=0,"",AF274/H274)</f>
        <v/>
      </c>
      <c r="AH274" s="14" t="n">
        <v>52879.35</v>
      </c>
      <c r="AI274" s="15">
        <f>IF(H274=0,"",AH274/H274)</f>
        <v/>
      </c>
      <c r="AJ274" s="14" t="n">
        <v>16606</v>
      </c>
      <c r="AK274" s="17">
        <f>IF(H274=0,"",AJ274/H274)</f>
        <v/>
      </c>
      <c r="AL274" s="14" t="n">
        <v>2320533.909</v>
      </c>
      <c r="AM274" s="15">
        <f>IF(H274=0,"",AL274/H274)</f>
        <v/>
      </c>
      <c r="AN274" s="14" t="n">
        <v>0</v>
      </c>
      <c r="AO274" s="14" t="n">
        <v>0</v>
      </c>
      <c r="AP274" s="14" t="n">
        <v>0</v>
      </c>
      <c r="AQ274" s="14" t="n">
        <v>0</v>
      </c>
      <c r="AR274" s="14" t="n">
        <v>0</v>
      </c>
      <c r="AS274" s="14" t="n">
        <v>0</v>
      </c>
      <c r="AT274" s="14" t="n">
        <v>0</v>
      </c>
      <c r="AU274" s="15">
        <f>AH274+AL274+AP274+AQ274+AR274+AS274+AT274</f>
        <v/>
      </c>
      <c r="AV274" s="15">
        <f>IF(H274=0,"",AU274/H274)</f>
        <v/>
      </c>
      <c r="AW274" s="15">
        <f>IF(S274=0,"",AU274/S274)</f>
        <v/>
      </c>
      <c r="AX274" s="14" t="n">
        <v>8</v>
      </c>
      <c r="AY274" s="15">
        <f>IF(H274=0,"",AX274/(H274/1000/12))</f>
        <v/>
      </c>
      <c r="AZ274" s="14" t="n">
        <v>8</v>
      </c>
      <c r="BA274" s="14" t="n">
        <v>29</v>
      </c>
      <c r="BB274" s="14" t="n">
        <v>8</v>
      </c>
      <c r="BC274" s="14" t="n">
        <v>13</v>
      </c>
      <c r="BD274" s="14" t="n">
        <v>1</v>
      </c>
      <c r="BE274" s="15">
        <f>BC274+BD274</f>
        <v/>
      </c>
      <c r="BF274" s="15">
        <f>BA274+BB274-BE274</f>
        <v/>
      </c>
      <c r="BG274" s="14" t="n">
        <v>0</v>
      </c>
      <c r="BH274" s="14" t="n">
        <v>0</v>
      </c>
      <c r="BI274" s="14" t="n">
        <v>0</v>
      </c>
      <c r="BJ274" s="14" t="n">
        <v>0</v>
      </c>
      <c r="BK274" s="15">
        <f>BI274+BJ274</f>
        <v/>
      </c>
      <c r="BL274" s="15">
        <f>BG274+BH274-BK274</f>
        <v/>
      </c>
      <c r="BM274" s="14" t="n">
        <v>0</v>
      </c>
      <c r="BN274" s="14" t="n">
        <v>0</v>
      </c>
      <c r="BO274" s="14" t="n">
        <v>0</v>
      </c>
      <c r="BP274" s="14" t="n">
        <v>0</v>
      </c>
      <c r="BQ274" s="15">
        <f>BO274+BP274</f>
        <v/>
      </c>
      <c r="BR274" s="15">
        <f>BM274+BN274-BQ274</f>
        <v/>
      </c>
      <c r="BS274" s="14" t="n">
        <v>0</v>
      </c>
      <c r="BT274" s="14" t="n">
        <v>0</v>
      </c>
      <c r="BU274" s="14" t="n">
        <v>0</v>
      </c>
      <c r="BV274" s="14" t="n">
        <v>0</v>
      </c>
      <c r="BW274" s="15">
        <f>BU274+BV274</f>
        <v/>
      </c>
      <c r="BX274" s="15">
        <f>BS274+BT274-BW274</f>
        <v/>
      </c>
      <c r="BY274" s="15">
        <f>BA274+BG274+BM274+BS274</f>
        <v/>
      </c>
      <c r="BZ274" s="15">
        <f>BB274+BH274+BN274+BT274</f>
        <v/>
      </c>
      <c r="CA274" s="15">
        <f>BE274+BK274+BQ274+BW274</f>
        <v/>
      </c>
      <c r="CB274" s="15">
        <f>BF274+BL274+BR274+BX274</f>
        <v/>
      </c>
      <c r="CC274" s="14" t="n">
        <v>0</v>
      </c>
      <c r="CD274" s="14" t="n">
        <v>658</v>
      </c>
      <c r="CE274" s="14" t="n">
        <v>20</v>
      </c>
      <c r="CF274" s="14" t="n">
        <v>3</v>
      </c>
      <c r="CG274" s="14" t="n">
        <v>21</v>
      </c>
      <c r="CH274" s="15">
        <f>CD274+CE274+CF274+CG274</f>
        <v/>
      </c>
      <c r="CI274" s="14" t="n">
        <v>1184</v>
      </c>
      <c r="CJ274" s="14" t="n">
        <v>10</v>
      </c>
      <c r="CK274" s="14" t="n">
        <v>3</v>
      </c>
      <c r="CL274" s="14" t="n">
        <v>8</v>
      </c>
      <c r="CM274" s="15">
        <f>CI274+CJ274+CK274+CL274</f>
        <v/>
      </c>
      <c r="CN274" s="14" t="n">
        <v>507</v>
      </c>
      <c r="CO274" s="14" t="n">
        <v>52</v>
      </c>
      <c r="CP274" s="14" t="n">
        <v>49</v>
      </c>
      <c r="CQ274" s="14" t="n">
        <v>1</v>
      </c>
      <c r="CR274" s="15">
        <f>CN274+CO274+CP274+CQ274</f>
        <v/>
      </c>
      <c r="CS274" s="15">
        <f>CM274+CR274</f>
        <v/>
      </c>
      <c r="CT274" s="14" t="n">
        <v>2516</v>
      </c>
      <c r="CU274" s="14" t="n">
        <v>26052.932398565</v>
      </c>
      <c r="CV274" s="14" t="n">
        <v>18046</v>
      </c>
      <c r="CW274" s="16">
        <f>IF(CU274=0,"",CV274/CU274)</f>
        <v/>
      </c>
      <c r="CX274" s="14" t="n">
        <v>0</v>
      </c>
      <c r="CY274" s="14" t="n"/>
      <c r="CZ274" s="14" t="n"/>
      <c r="DA274" s="14" t="n"/>
      <c r="DB274" s="15">
        <f>CX274+CY274-CZ274-DA274</f>
        <v/>
      </c>
      <c r="DC274" s="14" t="n">
        <v>0</v>
      </c>
      <c r="DD274" s="14" t="n">
        <v>0</v>
      </c>
      <c r="DE274" s="14" t="n">
        <v>0</v>
      </c>
      <c r="DF274" s="14" t="n">
        <v>0</v>
      </c>
      <c r="DG274" s="15">
        <f>DC274+DD274-DE274-DF274</f>
        <v/>
      </c>
      <c r="DH274" s="14" t="n">
        <v>4</v>
      </c>
      <c r="DI274" s="14" t="n">
        <v>0</v>
      </c>
      <c r="DJ274" s="14" t="n">
        <v>0</v>
      </c>
      <c r="DK274" s="14" t="n">
        <v>0</v>
      </c>
      <c r="DL274" s="15">
        <f>DH274+DI274-DJ274-DK274</f>
        <v/>
      </c>
      <c r="DM274" s="14" t="n">
        <v>135</v>
      </c>
      <c r="DN274" s="14" t="n">
        <v>7</v>
      </c>
      <c r="DO274" s="14" t="n">
        <v>5</v>
      </c>
      <c r="DP274" s="14" t="n">
        <v>11</v>
      </c>
      <c r="DQ274" s="15">
        <f>DM274+DN274-DO274-DP274</f>
        <v/>
      </c>
      <c r="DR274" s="15">
        <f>CX274+DC274+DH274+DM274</f>
        <v/>
      </c>
      <c r="DS274" s="15">
        <f>CY274+DD274+DI274+DN274</f>
        <v/>
      </c>
      <c r="DT274" s="15">
        <f>CZ274+DE274+DJ274+DO274</f>
        <v/>
      </c>
      <c r="DU274" s="15">
        <f>DA274+DF274+DK274+DP274</f>
        <v/>
      </c>
      <c r="DV274" s="15">
        <f>DB274+DG274+DL274+DQ274</f>
        <v/>
      </c>
      <c r="DW274" s="14" t="n">
        <v>141</v>
      </c>
      <c r="DX274" s="14" t="n">
        <v>81</v>
      </c>
      <c r="DY274" s="14" t="n">
        <v>21</v>
      </c>
      <c r="DZ274" s="14" t="n">
        <v>16</v>
      </c>
      <c r="EA274" s="14" t="n">
        <v>3</v>
      </c>
      <c r="EB274" s="14" t="n">
        <v>2</v>
      </c>
      <c r="EC274" s="14" t="n">
        <v>0</v>
      </c>
      <c r="ED274" s="14" t="n">
        <v>1</v>
      </c>
      <c r="EE274" s="14" t="n">
        <v>2</v>
      </c>
      <c r="EF274" s="14" t="n">
        <v>1</v>
      </c>
      <c r="EG274" s="14" t="n">
        <v>0</v>
      </c>
      <c r="EH274" s="14" t="n">
        <v>0</v>
      </c>
      <c r="EI274" s="14" t="n">
        <v>0</v>
      </c>
      <c r="EJ274" s="14" t="n">
        <v>10</v>
      </c>
      <c r="EK274" s="14" t="n">
        <v>6</v>
      </c>
      <c r="EL274" s="14" t="n">
        <v>0</v>
      </c>
      <c r="EM274" s="14" t="n">
        <v>0</v>
      </c>
      <c r="EN274" s="14" t="n">
        <v>0</v>
      </c>
      <c r="EO274" s="14" t="n">
        <v>0</v>
      </c>
      <c r="EP274" s="14" t="n">
        <v>0</v>
      </c>
      <c r="EQ274" s="14" t="n">
        <v>0</v>
      </c>
      <c r="ER274" s="14" t="n">
        <v>0</v>
      </c>
      <c r="ES274" s="14" t="n">
        <v>0</v>
      </c>
      <c r="ET274" s="14" t="n">
        <v>0</v>
      </c>
      <c r="EU274" s="14" t="n">
        <v>0</v>
      </c>
      <c r="EV274" s="14" t="n">
        <v>0</v>
      </c>
      <c r="EW274" s="14" t="n">
        <v>0</v>
      </c>
      <c r="EX274" s="14" t="n">
        <v>0</v>
      </c>
      <c r="EY274" s="14" t="n">
        <v>0</v>
      </c>
      <c r="EZ274" s="14" t="n">
        <v>0</v>
      </c>
      <c r="FA274" s="14" t="n">
        <v>0</v>
      </c>
      <c r="FB274" s="14" t="n">
        <v>0</v>
      </c>
      <c r="FC274" s="14" t="n">
        <v>0</v>
      </c>
      <c r="FD274" s="14" t="n">
        <v>0</v>
      </c>
      <c r="FE274" s="14" t="n">
        <v>0</v>
      </c>
      <c r="FF274" s="14" t="n">
        <v>0</v>
      </c>
      <c r="FG274" s="15">
        <f>SUM(DW274,DX274,DY274,DZ274,EA274,EB274,EC274,ED274,EE274,EF274,EG274,EH274,EI274,EJ274,EK274,EL274,EM274,EN274,EO274,EP274,EQ274,ER274,ES274,ET274,EU274,EV274,EW274,EX274,EY274,EZ274,FA274,FB274,FC274,FD274,FE274,FF274)</f>
        <v/>
      </c>
      <c r="FH274" s="14" t="n">
        <v>0</v>
      </c>
      <c r="FI274" s="14" t="n">
        <v>0</v>
      </c>
      <c r="FJ274" s="14" t="n">
        <v>0</v>
      </c>
      <c r="FK274" s="14" t="n">
        <v>0</v>
      </c>
      <c r="FL274" s="14" t="n">
        <v>0</v>
      </c>
      <c r="FM274" s="14" t="n">
        <v>0</v>
      </c>
      <c r="FN274" s="14" t="n">
        <v>0</v>
      </c>
      <c r="FO274" s="14" t="n">
        <v>0</v>
      </c>
      <c r="FP274" s="14" t="n">
        <v>0</v>
      </c>
      <c r="FQ274" s="15">
        <f>FL274+FM274+FN274+FO274+FP274</f>
        <v/>
      </c>
      <c r="FR274" s="14" t="n">
        <v>5907167</v>
      </c>
      <c r="FS274" s="14" t="n">
        <v>8000</v>
      </c>
      <c r="FT274" s="14" t="n">
        <v>0</v>
      </c>
      <c r="FU274" s="14" t="n">
        <v>0</v>
      </c>
      <c r="FV274" s="15">
        <f>FR274+FS274+FT274+FU274</f>
        <v/>
      </c>
      <c r="FW274" s="14" t="n">
        <v>5238016</v>
      </c>
      <c r="FX274" s="14" t="n">
        <v>0</v>
      </c>
      <c r="FY274" s="14" t="n">
        <v>1740500</v>
      </c>
      <c r="FZ274" s="14" t="n">
        <v>1371260</v>
      </c>
      <c r="GA274" s="15">
        <f>FW274+FX274+FY274+FZ274</f>
        <v/>
      </c>
      <c r="GB274" s="15">
        <f>FV274+GA274</f>
        <v/>
      </c>
      <c r="GC274" s="14" t="n">
        <v>9894577.66</v>
      </c>
      <c r="GD274" s="14" t="n">
        <v>188028.24</v>
      </c>
      <c r="GE274" s="14" t="n">
        <v>257371.81</v>
      </c>
      <c r="GF274" s="14" t="n">
        <v>0</v>
      </c>
      <c r="GG274" s="15">
        <f>GC274+GD274+GE274+GF274</f>
        <v/>
      </c>
      <c r="GH274" s="14" t="n">
        <v>5102876.78</v>
      </c>
      <c r="GI274" s="14" t="n">
        <v>0</v>
      </c>
      <c r="GJ274" s="14" t="n">
        <v>1371260.11</v>
      </c>
      <c r="GK274" s="14" t="n">
        <v>1740500</v>
      </c>
      <c r="GL274" s="15">
        <f>GH274+GI274+GJ274+GK274</f>
        <v/>
      </c>
      <c r="GM274" s="15">
        <f>GG274+GL274</f>
        <v/>
      </c>
      <c r="GN274" s="14" t="n">
        <v>674321.14</v>
      </c>
      <c r="GO274" s="14" t="n">
        <v>2295.36</v>
      </c>
      <c r="GP274" s="14" t="n">
        <v>3393.64</v>
      </c>
      <c r="GQ274" s="14" t="n">
        <v>0</v>
      </c>
      <c r="GR274" s="15">
        <f>GN274+GO274+GP274+GQ274</f>
        <v/>
      </c>
      <c r="GS274" s="14" t="n">
        <v>1080530</v>
      </c>
      <c r="GT274" s="14" t="n">
        <v>10716</v>
      </c>
      <c r="GU274" s="14" t="n">
        <v>893</v>
      </c>
      <c r="GV274" s="14" t="n">
        <v>0</v>
      </c>
      <c r="GW274" s="15">
        <f>GS274+GT274+GU274+GV274</f>
        <v/>
      </c>
      <c r="GX274" s="15">
        <f>GM274+GR274+GW274</f>
        <v/>
      </c>
      <c r="GY274" s="14" t="n">
        <v>30091404.27</v>
      </c>
      <c r="GZ274" s="14" t="n">
        <v>1861852.89</v>
      </c>
      <c r="HA274" s="15">
        <f>GY274+GZ274</f>
        <v/>
      </c>
      <c r="HB274" s="15">
        <f>IF(GX274=0,"",AU274/GX274)</f>
        <v/>
      </c>
      <c r="HC274" s="16">
        <f>IF((GX274+GY274)=0,"",GB274/(GX274+GY274))</f>
        <v/>
      </c>
      <c r="HD274" s="15">
        <f>IF(GX274=0,"",GB274/GX274)</f>
        <v/>
      </c>
      <c r="HE274" s="14" t="n">
        <v>8</v>
      </c>
      <c r="HF274" s="14" t="n">
        <v>16</v>
      </c>
      <c r="HG274" s="14" t="n">
        <v>23</v>
      </c>
      <c r="HH274" s="14" t="n">
        <v>8</v>
      </c>
      <c r="HI274" s="14" t="n">
        <v>30</v>
      </c>
      <c r="HJ274" s="15">
        <f>HF274+HI274</f>
        <v/>
      </c>
      <c r="HK274" s="16">
        <f>IF(HE274=0,"",HH274/HE274)</f>
        <v/>
      </c>
      <c r="HL274" s="14" t="n">
        <v>6</v>
      </c>
      <c r="HM274" s="14" t="n">
        <v>12</v>
      </c>
      <c r="HN274" s="17">
        <f>IF(HL274=0,"",HM274/HL274)</f>
        <v/>
      </c>
    </row>
    <row r="275">
      <c r="A275" s="6" t="inlineStr">
        <is>
          <t>Ngabu</t>
        </is>
      </c>
      <c r="B275" s="6" t="inlineStr">
        <is>
          <t>Nsanje</t>
        </is>
      </c>
      <c r="C275" s="7" t="inlineStr">
        <is>
          <t>FY2025/26</t>
        </is>
      </c>
      <c r="D275" s="7" t="n">
        <v>2025</v>
      </c>
      <c r="E275" s="7" t="n">
        <v>12</v>
      </c>
      <c r="F275" s="7" t="inlineStr">
        <is>
          <t>December</t>
        </is>
      </c>
      <c r="G275" s="7" t="inlineStr">
        <is>
          <t>Q3</t>
        </is>
      </c>
      <c r="H275" s="8" t="n">
        <v>21546</v>
      </c>
      <c r="I275" s="8" t="n">
        <v>8141</v>
      </c>
      <c r="J275" s="8" t="n">
        <v>1043</v>
      </c>
      <c r="K275" s="8" t="n">
        <v>75</v>
      </c>
      <c r="L275" s="8" t="n">
        <v>0</v>
      </c>
      <c r="M275" s="9">
        <f>SUM(I275,J275,K275,L275)</f>
        <v/>
      </c>
      <c r="N275" s="8" t="n">
        <v>4401</v>
      </c>
      <c r="O275" s="8" t="n">
        <v>0</v>
      </c>
      <c r="P275" s="8" t="n">
        <v>1563</v>
      </c>
      <c r="Q275" s="8" t="n">
        <v>315</v>
      </c>
      <c r="R275" s="9">
        <f>SUM(N275,O275,P275,Q275)</f>
        <v/>
      </c>
      <c r="S275" s="9">
        <f>M275+R275</f>
        <v/>
      </c>
      <c r="T275" s="8" t="n">
        <v>6008</v>
      </c>
      <c r="U275" s="10">
        <f>IF(H275=0,"",T275/H275)</f>
        <v/>
      </c>
      <c r="V275" s="8" t="n">
        <v>13</v>
      </c>
      <c r="W275" s="11">
        <f>IF(H275=0,"",V275/H275)</f>
        <v/>
      </c>
      <c r="X275" s="8" t="n">
        <v>0</v>
      </c>
      <c r="Y275" s="11">
        <f>IF(H275=0,"",X275/H275)</f>
        <v/>
      </c>
      <c r="Z275" s="8" t="n">
        <v>0</v>
      </c>
      <c r="AA275" s="11">
        <f>IF(H275=0,"",Z275/H275)</f>
        <v/>
      </c>
      <c r="AB275" s="8" t="n">
        <v>0</v>
      </c>
      <c r="AC275" s="11">
        <f>IF(H275=0,"",AB275/H275)</f>
        <v/>
      </c>
      <c r="AD275" s="8" t="n">
        <v>0</v>
      </c>
      <c r="AE275" s="11">
        <f>IF(H275=0,"",AD275/H275)</f>
        <v/>
      </c>
      <c r="AF275" s="8" t="n">
        <v>0</v>
      </c>
      <c r="AG275" s="11">
        <f>IF(H275=0,"",AF275/H275)</f>
        <v/>
      </c>
      <c r="AH275" s="8" t="n">
        <v>45828.77</v>
      </c>
      <c r="AI275" s="9">
        <f>IF(H275=0,"",AH275/H275)</f>
        <v/>
      </c>
      <c r="AJ275" s="8" t="n">
        <v>14411</v>
      </c>
      <c r="AK275" s="11">
        <f>IF(H275=0,"",AJ275/H275)</f>
        <v/>
      </c>
      <c r="AL275" s="8" t="n">
        <v>2015974.3665</v>
      </c>
      <c r="AM275" s="9">
        <f>IF(H275=0,"",AL275/H275)</f>
        <v/>
      </c>
      <c r="AN275" s="8" t="n">
        <v>484</v>
      </c>
      <c r="AO275" s="8" t="n">
        <v>55</v>
      </c>
      <c r="AP275" s="8" t="n">
        <v>150370</v>
      </c>
      <c r="AQ275" s="8" t="n">
        <v>0</v>
      </c>
      <c r="AR275" s="8" t="n">
        <v>0</v>
      </c>
      <c r="AS275" s="8" t="n">
        <v>0</v>
      </c>
      <c r="AT275" s="8" t="n">
        <v>0</v>
      </c>
      <c r="AU275" s="9">
        <f>AH275+AL275+AP275+AQ275+AR275+AS275+AT275</f>
        <v/>
      </c>
      <c r="AV275" s="9">
        <f>IF(H275=0,"",AU275/H275)</f>
        <v/>
      </c>
      <c r="AW275" s="9">
        <f>IF(S275=0,"",AU275/S275)</f>
        <v/>
      </c>
      <c r="AX275" s="8" t="n">
        <v>8</v>
      </c>
      <c r="AY275" s="9">
        <f>IF(H275=0,"",AX275/(H275/1000/12))</f>
        <v/>
      </c>
      <c r="AZ275" s="8" t="n">
        <v>7</v>
      </c>
      <c r="BA275" s="8" t="n">
        <v>23</v>
      </c>
      <c r="BB275" s="8" t="n">
        <v>41</v>
      </c>
      <c r="BC275" s="8" t="n">
        <v>20</v>
      </c>
      <c r="BD275" s="8" t="n">
        <v>0</v>
      </c>
      <c r="BE275" s="9">
        <f>BC275+BD275</f>
        <v/>
      </c>
      <c r="BF275" s="9">
        <f>BA275+BB275-BE275</f>
        <v/>
      </c>
      <c r="BG275" s="8" t="n">
        <v>0</v>
      </c>
      <c r="BH275" s="8" t="n">
        <v>0</v>
      </c>
      <c r="BI275" s="8" t="n">
        <v>0</v>
      </c>
      <c r="BJ275" s="8" t="n">
        <v>0</v>
      </c>
      <c r="BK275" s="9">
        <f>BI275+BJ275</f>
        <v/>
      </c>
      <c r="BL275" s="9">
        <f>BG275+BH275-BK275</f>
        <v/>
      </c>
      <c r="BM275" s="8" t="n">
        <v>0</v>
      </c>
      <c r="BN275" s="8" t="n">
        <v>0</v>
      </c>
      <c r="BO275" s="8" t="n">
        <v>0</v>
      </c>
      <c r="BP275" s="8" t="n">
        <v>0</v>
      </c>
      <c r="BQ275" s="9">
        <f>BO275+BP275</f>
        <v/>
      </c>
      <c r="BR275" s="9">
        <f>BM275+BN275-BQ275</f>
        <v/>
      </c>
      <c r="BS275" s="8" t="n">
        <v>0</v>
      </c>
      <c r="BT275" s="8" t="n">
        <v>0</v>
      </c>
      <c r="BU275" s="8" t="n">
        <v>0</v>
      </c>
      <c r="BV275" s="8" t="n">
        <v>0</v>
      </c>
      <c r="BW275" s="9">
        <f>BU275+BV275</f>
        <v/>
      </c>
      <c r="BX275" s="9">
        <f>BS275+BT275-BW275</f>
        <v/>
      </c>
      <c r="BY275" s="9">
        <f>BA275+BG275+BM275+BS275</f>
        <v/>
      </c>
      <c r="BZ275" s="9">
        <f>BB275+BH275+BN275+BT275</f>
        <v/>
      </c>
      <c r="CA275" s="9">
        <f>BE275+BK275+BQ275+BW275</f>
        <v/>
      </c>
      <c r="CB275" s="9">
        <f>BF275+BL275+BR275+BX275</f>
        <v/>
      </c>
      <c r="CC275" s="8" t="n">
        <v>45</v>
      </c>
      <c r="CD275" s="8" t="n">
        <v>540</v>
      </c>
      <c r="CE275" s="8" t="n">
        <v>20</v>
      </c>
      <c r="CF275" s="8" t="n">
        <v>3</v>
      </c>
      <c r="CG275" s="8" t="n">
        <v>21</v>
      </c>
      <c r="CH275" s="9">
        <f>CD275+CE275+CF275+CG275</f>
        <v/>
      </c>
      <c r="CI275" s="8" t="n">
        <v>1322</v>
      </c>
      <c r="CJ275" s="8" t="n">
        <v>10</v>
      </c>
      <c r="CK275" s="8" t="n">
        <v>3</v>
      </c>
      <c r="CL275" s="8" t="n">
        <v>8</v>
      </c>
      <c r="CM275" s="9">
        <f>CI275+CJ275+CK275+CL275</f>
        <v/>
      </c>
      <c r="CN275" s="8" t="n">
        <v>507</v>
      </c>
      <c r="CO275" s="8" t="n">
        <v>52</v>
      </c>
      <c r="CP275" s="8" t="n">
        <v>49</v>
      </c>
      <c r="CQ275" s="8" t="n">
        <v>1</v>
      </c>
      <c r="CR275" s="9">
        <f>CN275+CO275+CP275+CQ275</f>
        <v/>
      </c>
      <c r="CS275" s="9">
        <f>CM275+CR275</f>
        <v/>
      </c>
      <c r="CT275" s="8" t="n">
        <v>2536</v>
      </c>
      <c r="CU275" s="8" t="n">
        <v>26097.2223836426</v>
      </c>
      <c r="CV275" s="8" t="n">
        <v>18046</v>
      </c>
      <c r="CW275" s="10">
        <f>IF(CU275=0,"",CV275/CU275)</f>
        <v/>
      </c>
      <c r="CX275" s="8" t="n">
        <v>0</v>
      </c>
      <c r="CY275" s="8" t="n"/>
      <c r="CZ275" s="8" t="n"/>
      <c r="DA275" s="8" t="n"/>
      <c r="DB275" s="9">
        <f>CX275+CY275-CZ275-DA275</f>
        <v/>
      </c>
      <c r="DC275" s="8" t="n">
        <v>0</v>
      </c>
      <c r="DD275" s="8" t="n">
        <v>0</v>
      </c>
      <c r="DE275" s="8" t="n">
        <v>0</v>
      </c>
      <c r="DF275" s="8" t="n">
        <v>0</v>
      </c>
      <c r="DG275" s="9">
        <f>DC275+DD275-DE275-DF275</f>
        <v/>
      </c>
      <c r="DH275" s="8" t="n">
        <v>4</v>
      </c>
      <c r="DI275" s="8" t="n">
        <v>0</v>
      </c>
      <c r="DJ275" s="8" t="n">
        <v>0</v>
      </c>
      <c r="DK275" s="8" t="n">
        <v>0</v>
      </c>
      <c r="DL275" s="9">
        <f>DH275+DI275-DJ275-DK275</f>
        <v/>
      </c>
      <c r="DM275" s="8" t="n">
        <v>126</v>
      </c>
      <c r="DN275" s="8" t="n">
        <v>12</v>
      </c>
      <c r="DO275" s="8" t="n">
        <v>3</v>
      </c>
      <c r="DP275" s="8" t="n">
        <v>5</v>
      </c>
      <c r="DQ275" s="9">
        <f>DM275+DN275-DO275-DP275</f>
        <v/>
      </c>
      <c r="DR275" s="9">
        <f>CX275+DC275+DH275+DM275</f>
        <v/>
      </c>
      <c r="DS275" s="9">
        <f>CY275+DD275+DI275+DN275</f>
        <v/>
      </c>
      <c r="DT275" s="9">
        <f>CZ275+DE275+DJ275+DO275</f>
        <v/>
      </c>
      <c r="DU275" s="9">
        <f>DA275+DF275+DK275+DP275</f>
        <v/>
      </c>
      <c r="DV275" s="9">
        <f>DB275+DG275+DL275+DQ275</f>
        <v/>
      </c>
      <c r="DW275" s="8" t="n">
        <v>133</v>
      </c>
      <c r="DX275" s="8" t="n">
        <v>92</v>
      </c>
      <c r="DY275" s="8" t="n">
        <v>20</v>
      </c>
      <c r="DZ275" s="8" t="n">
        <v>14</v>
      </c>
      <c r="EA275" s="8" t="n">
        <v>2</v>
      </c>
      <c r="EB275" s="8" t="n">
        <v>3</v>
      </c>
      <c r="EC275" s="8" t="n">
        <v>0</v>
      </c>
      <c r="ED275" s="8" t="n">
        <v>1</v>
      </c>
      <c r="EE275" s="8" t="n">
        <v>1</v>
      </c>
      <c r="EF275" s="8" t="n">
        <v>0</v>
      </c>
      <c r="EG275" s="8" t="n">
        <v>0</v>
      </c>
      <c r="EH275" s="8" t="n">
        <v>0</v>
      </c>
      <c r="EI275" s="8" t="n">
        <v>0</v>
      </c>
      <c r="EJ275" s="8" t="n">
        <v>11</v>
      </c>
      <c r="EK275" s="8" t="n">
        <v>4</v>
      </c>
      <c r="EL275" s="8" t="n">
        <v>0</v>
      </c>
      <c r="EM275" s="8" t="n">
        <v>0</v>
      </c>
      <c r="EN275" s="8" t="n">
        <v>0</v>
      </c>
      <c r="EO275" s="8" t="n">
        <v>0</v>
      </c>
      <c r="EP275" s="8" t="n">
        <v>0</v>
      </c>
      <c r="EQ275" s="8" t="n">
        <v>0</v>
      </c>
      <c r="ER275" s="8" t="n">
        <v>0</v>
      </c>
      <c r="ES275" s="8" t="n">
        <v>0</v>
      </c>
      <c r="ET275" s="8" t="n">
        <v>0</v>
      </c>
      <c r="EU275" s="8" t="n">
        <v>0</v>
      </c>
      <c r="EV275" s="8" t="n">
        <v>0</v>
      </c>
      <c r="EW275" s="8" t="n">
        <v>0</v>
      </c>
      <c r="EX275" s="8" t="n">
        <v>0</v>
      </c>
      <c r="EY275" s="8" t="n">
        <v>0</v>
      </c>
      <c r="EZ275" s="8" t="n">
        <v>0</v>
      </c>
      <c r="FA275" s="8" t="n">
        <v>0</v>
      </c>
      <c r="FB275" s="8" t="n">
        <v>0</v>
      </c>
      <c r="FC275" s="8" t="n">
        <v>0</v>
      </c>
      <c r="FD275" s="8" t="n">
        <v>0</v>
      </c>
      <c r="FE275" s="8" t="n">
        <v>0</v>
      </c>
      <c r="FF275" s="8" t="n">
        <v>0</v>
      </c>
      <c r="FG275" s="9">
        <f>SUM(DW275,DX275,DY275,DZ275,EA275,EB275,EC275,ED275,EE275,EF275,EG275,EH275,EI275,EJ275,EK275,EL275,EM275,EN275,EO275,EP275,EQ275,ER275,ES275,ET275,EU275,EV275,EW275,EX275,EY275,EZ275,FA275,FB275,FC275,FD275,FE275,FF275)</f>
        <v/>
      </c>
      <c r="FH275" s="8" t="n">
        <v>0</v>
      </c>
      <c r="FI275" s="8" t="n">
        <v>0</v>
      </c>
      <c r="FJ275" s="8" t="n">
        <v>0</v>
      </c>
      <c r="FK275" s="8" t="n">
        <v>0</v>
      </c>
      <c r="FL275" s="8" t="n">
        <v>0</v>
      </c>
      <c r="FM275" s="8" t="n">
        <v>0</v>
      </c>
      <c r="FN275" s="8" t="n">
        <v>0</v>
      </c>
      <c r="FO275" s="8" t="n">
        <v>0</v>
      </c>
      <c r="FP275" s="8" t="n">
        <v>0</v>
      </c>
      <c r="FQ275" s="9">
        <f>FL275+FM275+FN275+FO275+FP275</f>
        <v/>
      </c>
      <c r="FR275" s="8" t="n">
        <v>17237426</v>
      </c>
      <c r="FS275" s="8" t="n">
        <v>376700</v>
      </c>
      <c r="FT275" s="8" t="n">
        <v>0</v>
      </c>
      <c r="FU275" s="8" t="n">
        <v>0</v>
      </c>
      <c r="FV275" s="9">
        <f>FR275+FS275+FT275+FU275</f>
        <v/>
      </c>
      <c r="FW275" s="8" t="n">
        <v>5217419</v>
      </c>
      <c r="FX275" s="8" t="n">
        <v>0</v>
      </c>
      <c r="FY275" s="8" t="n">
        <v>1873405</v>
      </c>
      <c r="FZ275" s="8" t="n">
        <v>4972661</v>
      </c>
      <c r="GA275" s="9">
        <f>FW275+FX275+FY275+FZ275</f>
        <v/>
      </c>
      <c r="GB275" s="9">
        <f>FV275+GA275</f>
        <v/>
      </c>
      <c r="GC275" s="8" t="n">
        <v>7959416.96</v>
      </c>
      <c r="GD275" s="8" t="n">
        <v>199505.04</v>
      </c>
      <c r="GE275" s="8" t="n">
        <v>246993.4</v>
      </c>
      <c r="GF275" s="8" t="n">
        <v>0</v>
      </c>
      <c r="GG275" s="9">
        <f>GC275+GD275+GE275+GF275</f>
        <v/>
      </c>
      <c r="GH275" s="8" t="n">
        <v>5079026.58</v>
      </c>
      <c r="GI275" s="8" t="n">
        <v>0</v>
      </c>
      <c r="GJ275" s="8" t="n">
        <v>3025661</v>
      </c>
      <c r="GK275" s="8" t="n">
        <v>1873405.09</v>
      </c>
      <c r="GL275" s="9">
        <f>GH275+GI275+GJ275+GK275</f>
        <v/>
      </c>
      <c r="GM275" s="9">
        <f>GG275+GL275</f>
        <v/>
      </c>
      <c r="GN275" s="8" t="n">
        <v>684510.96</v>
      </c>
      <c r="GO275" s="8" t="n">
        <v>2486.64</v>
      </c>
      <c r="GP275" s="8" t="n">
        <v>3393.64</v>
      </c>
      <c r="GQ275" s="8" t="n">
        <v>0</v>
      </c>
      <c r="GR275" s="9">
        <f>GN275+GO275+GP275+GQ275</f>
        <v/>
      </c>
      <c r="GS275" s="8" t="n">
        <v>1097497</v>
      </c>
      <c r="GT275" s="8" t="n">
        <v>11609</v>
      </c>
      <c r="GU275" s="8" t="n">
        <v>893</v>
      </c>
      <c r="GV275" s="8" t="n">
        <v>0</v>
      </c>
      <c r="GW275" s="9">
        <f>GS275+GT275+GU275+GV275</f>
        <v/>
      </c>
      <c r="GX275" s="9">
        <f>GM275+GR275+GW275</f>
        <v/>
      </c>
      <c r="GY275" s="8" t="n">
        <v>23093566.87</v>
      </c>
      <c r="GZ275" s="8" t="n">
        <v>344330.93</v>
      </c>
      <c r="HA275" s="9">
        <f>GY275+GZ275</f>
        <v/>
      </c>
      <c r="HB275" s="9">
        <f>IF(GX275=0,"",AU275/GX275)</f>
        <v/>
      </c>
      <c r="HC275" s="10">
        <f>IF((GX275+GY275)=0,"",GB275/(GX275+GY275))</f>
        <v/>
      </c>
      <c r="HD275" s="9">
        <f>IF(GX275=0,"",GB275/GX275)</f>
        <v/>
      </c>
      <c r="HE275" s="8" t="n">
        <v>45</v>
      </c>
      <c r="HF275" s="8" t="n">
        <v>50</v>
      </c>
      <c r="HG275" s="8" t="n">
        <v>44</v>
      </c>
      <c r="HH275" s="8" t="n">
        <v>41</v>
      </c>
      <c r="HI275" s="8" t="n">
        <v>30</v>
      </c>
      <c r="HJ275" s="9">
        <f>HF275+HI275</f>
        <v/>
      </c>
      <c r="HK275" s="10">
        <f>IF(HE275=0,"",HH275/HE275)</f>
        <v/>
      </c>
      <c r="HL275" s="8" t="n">
        <v>7</v>
      </c>
      <c r="HM275" s="8" t="n">
        <v>14</v>
      </c>
      <c r="HN275" s="11">
        <f>IF(HL275=0,"",HM275/HL275)</f>
        <v/>
      </c>
    </row>
    <row r="276">
      <c r="A276" s="12" t="inlineStr">
        <is>
          <t>Ngabu</t>
        </is>
      </c>
      <c r="B276" s="12" t="inlineStr">
        <is>
          <t>Nsanje</t>
        </is>
      </c>
      <c r="C276" s="13" t="inlineStr">
        <is>
          <t>FY2025/26</t>
        </is>
      </c>
      <c r="D276" s="13" t="n">
        <v>2026</v>
      </c>
      <c r="E276" s="13" t="n">
        <v>1</v>
      </c>
      <c r="F276" s="13" t="inlineStr">
        <is>
          <t>January</t>
        </is>
      </c>
      <c r="G276" s="13" t="inlineStr">
        <is>
          <t>Q4</t>
        </is>
      </c>
      <c r="H276" s="14" t="n">
        <v>22406</v>
      </c>
      <c r="I276" s="14" t="n">
        <v>10065</v>
      </c>
      <c r="J276" s="14" t="n">
        <v>703</v>
      </c>
      <c r="K276" s="14" t="n">
        <v>66</v>
      </c>
      <c r="L276" s="14" t="n">
        <v>0</v>
      </c>
      <c r="M276" s="15" t="n">
        <v>10834</v>
      </c>
      <c r="N276" s="14" t="n">
        <v>4498</v>
      </c>
      <c r="O276" s="14" t="n">
        <v>0</v>
      </c>
      <c r="P276" s="14" t="n">
        <v>1008</v>
      </c>
      <c r="Q276" s="14" t="n">
        <v>246</v>
      </c>
      <c r="R276" s="15" t="n">
        <v>5752</v>
      </c>
      <c r="S276" s="15" t="n">
        <v>16586</v>
      </c>
      <c r="T276" s="14" t="n">
        <v>5820</v>
      </c>
      <c r="U276" s="16" t="n">
        <v>0.2597518521824511</v>
      </c>
      <c r="V276" s="14" t="n">
        <v>13</v>
      </c>
      <c r="W276" s="17" t="n">
        <v>0.5802017316790146</v>
      </c>
      <c r="X276" s="14" t="n">
        <v>0</v>
      </c>
      <c r="Y276" s="17" t="n">
        <v>0</v>
      </c>
      <c r="Z276" s="14" t="n">
        <v>0</v>
      </c>
      <c r="AA276" s="17" t="n">
        <v>0</v>
      </c>
      <c r="AB276" s="14" t="n">
        <v>0</v>
      </c>
      <c r="AC276" s="17" t="n">
        <v>0</v>
      </c>
      <c r="AD276" s="14" t="n">
        <v>0</v>
      </c>
      <c r="AE276" s="17" t="n">
        <v>0</v>
      </c>
      <c r="AF276" s="14" t="n">
        <v>0</v>
      </c>
      <c r="AG276" s="17" t="n">
        <v>0</v>
      </c>
      <c r="AH276" s="14" t="n">
        <v>45828.77</v>
      </c>
      <c r="AI276" s="15" t="n">
        <v>2.045379362670713</v>
      </c>
      <c r="AJ276" s="14" t="n">
        <v>14411</v>
      </c>
      <c r="AK276" s="17" t="n">
        <v>0.643175935017406</v>
      </c>
      <c r="AL276" s="14" t="n">
        <v>2015974.3665</v>
      </c>
      <c r="AM276" s="15" t="n">
        <v>89.97475526644649</v>
      </c>
      <c r="AN276" s="14" t="n">
        <v>726</v>
      </c>
      <c r="AO276" s="14" t="n">
        <v>118</v>
      </c>
      <c r="AP276" s="14" t="n">
        <v>322612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5" t="n">
        <v>2384415.1365</v>
      </c>
      <c r="AV276" s="15" t="n">
        <v>106.4185993260734</v>
      </c>
      <c r="AW276" s="15" t="n">
        <v>143.7607100265284</v>
      </c>
      <c r="AX276" s="14" t="n">
        <v>8</v>
      </c>
      <c r="AY276" s="15" t="n">
        <v>9.684905828795857</v>
      </c>
      <c r="AZ276" s="14" t="n">
        <v>7</v>
      </c>
      <c r="BA276" s="14" t="n">
        <v>44</v>
      </c>
      <c r="BB276" s="14" t="n">
        <v>17</v>
      </c>
      <c r="BC276" s="14" t="n">
        <v>30</v>
      </c>
      <c r="BD276" s="14" t="n">
        <v>2</v>
      </c>
      <c r="BE276" s="15" t="n">
        <v>32</v>
      </c>
      <c r="BF276" s="15" t="n">
        <v>29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5" t="n">
        <v>0</v>
      </c>
      <c r="BL276" s="15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5" t="n">
        <v>0</v>
      </c>
      <c r="BR276" s="15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5" t="n">
        <v>0</v>
      </c>
      <c r="BX276" s="15" t="n">
        <v>0</v>
      </c>
      <c r="BY276" s="15" t="n">
        <v>44</v>
      </c>
      <c r="BZ276" s="15" t="n">
        <v>17</v>
      </c>
      <c r="CA276" s="15" t="n">
        <v>32</v>
      </c>
      <c r="CB276" s="15" t="n">
        <v>29</v>
      </c>
      <c r="CC276" s="14" t="n">
        <v>0</v>
      </c>
      <c r="CD276" s="14" t="n">
        <v>530</v>
      </c>
      <c r="CE276" s="14" t="n">
        <v>20</v>
      </c>
      <c r="CF276" s="14" t="n">
        <v>3</v>
      </c>
      <c r="CG276" s="14" t="n">
        <v>21</v>
      </c>
      <c r="CH276" s="15" t="n">
        <v>574</v>
      </c>
      <c r="CI276" s="14" t="n">
        <v>1362</v>
      </c>
      <c r="CJ276" s="14" t="n">
        <v>10</v>
      </c>
      <c r="CK276" s="14" t="n">
        <v>3</v>
      </c>
      <c r="CL276" s="14" t="n">
        <v>8</v>
      </c>
      <c r="CM276" s="15" t="n">
        <v>1383</v>
      </c>
      <c r="CN276" s="14" t="n">
        <v>509</v>
      </c>
      <c r="CO276" s="14" t="n">
        <v>52</v>
      </c>
      <c r="CP276" s="14" t="n">
        <v>49</v>
      </c>
      <c r="CQ276" s="14" t="n">
        <v>1</v>
      </c>
      <c r="CR276" s="15" t="n">
        <v>611</v>
      </c>
      <c r="CS276" s="15" t="n">
        <v>1994</v>
      </c>
      <c r="CT276" s="14" t="n">
        <v>2568</v>
      </c>
      <c r="CU276" s="14" t="n">
        <v>26141.58766169478</v>
      </c>
      <c r="CV276" s="14" t="n">
        <v>18046</v>
      </c>
      <c r="CW276" s="16" t="n">
        <v>0.6903176744097593</v>
      </c>
      <c r="CX276" s="14" t="n">
        <v>0</v>
      </c>
      <c r="CY276" s="14" t="n">
        <v>0</v>
      </c>
      <c r="CZ276" s="14" t="n">
        <v>0</v>
      </c>
      <c r="DA276" s="14" t="n">
        <v>0</v>
      </c>
      <c r="DB276" s="15" t="n">
        <v>0</v>
      </c>
      <c r="DC276" s="14" t="n">
        <v>0</v>
      </c>
      <c r="DD276" s="14" t="n">
        <v>0</v>
      </c>
      <c r="DE276" s="14" t="n">
        <v>0</v>
      </c>
      <c r="DF276" s="14" t="n">
        <v>0</v>
      </c>
      <c r="DG276" s="15" t="n">
        <v>0</v>
      </c>
      <c r="DH276" s="14" t="n">
        <v>4</v>
      </c>
      <c r="DI276" s="14" t="n">
        <v>0</v>
      </c>
      <c r="DJ276" s="14" t="n">
        <v>0</v>
      </c>
      <c r="DK276" s="14" t="n">
        <v>0</v>
      </c>
      <c r="DL276" s="15" t="n">
        <v>4</v>
      </c>
      <c r="DM276" s="14" t="n">
        <v>130</v>
      </c>
      <c r="DN276" s="14" t="n">
        <v>9</v>
      </c>
      <c r="DO276" s="14" t="n">
        <v>0</v>
      </c>
      <c r="DP276" s="14" t="n">
        <v>11</v>
      </c>
      <c r="DQ276" s="15" t="n">
        <v>128</v>
      </c>
      <c r="DR276" s="15" t="n">
        <v>134</v>
      </c>
      <c r="DS276" s="15" t="n">
        <v>9</v>
      </c>
      <c r="DT276" s="15" t="n">
        <v>0</v>
      </c>
      <c r="DU276" s="15" t="n">
        <v>11</v>
      </c>
      <c r="DV276" s="15" t="n">
        <v>132</v>
      </c>
      <c r="DW276" s="14" t="n">
        <v>130</v>
      </c>
      <c r="DX276" s="14" t="n">
        <v>91</v>
      </c>
      <c r="DY276" s="14" t="n">
        <v>18</v>
      </c>
      <c r="DZ276" s="14" t="n">
        <v>13</v>
      </c>
      <c r="EA276" s="14" t="n">
        <v>1</v>
      </c>
      <c r="EB276" s="14" t="n">
        <v>1</v>
      </c>
      <c r="EC276" s="14" t="n">
        <v>0</v>
      </c>
      <c r="ED276" s="14" t="n">
        <v>0</v>
      </c>
      <c r="EE276" s="14" t="n">
        <v>1</v>
      </c>
      <c r="EF276" s="14" t="n">
        <v>0</v>
      </c>
      <c r="EG276" s="14" t="n">
        <v>0</v>
      </c>
      <c r="EH276" s="14" t="n">
        <v>0</v>
      </c>
      <c r="EI276" s="14" t="n">
        <v>0</v>
      </c>
      <c r="EJ276" s="14" t="n">
        <v>10</v>
      </c>
      <c r="EK276" s="14" t="n">
        <v>2</v>
      </c>
      <c r="EL276" s="14" t="n">
        <v>0</v>
      </c>
      <c r="EM276" s="14" t="n">
        <v>0</v>
      </c>
      <c r="EN276" s="14" t="n">
        <v>0</v>
      </c>
      <c r="EO276" s="14" t="n">
        <v>0</v>
      </c>
      <c r="EP276" s="14" t="n">
        <v>0</v>
      </c>
      <c r="EQ276" s="14" t="n">
        <v>0</v>
      </c>
      <c r="ER276" s="14" t="n">
        <v>0</v>
      </c>
      <c r="ES276" s="14" t="n">
        <v>0</v>
      </c>
      <c r="ET276" s="14" t="n">
        <v>0</v>
      </c>
      <c r="EU276" s="14" t="n">
        <v>0</v>
      </c>
      <c r="EV276" s="14" t="n">
        <v>0</v>
      </c>
      <c r="EW276" s="14" t="n">
        <v>0</v>
      </c>
      <c r="EX276" s="14" t="n">
        <v>0</v>
      </c>
      <c r="EY276" s="14" t="n">
        <v>0</v>
      </c>
      <c r="EZ276" s="14" t="n">
        <v>0</v>
      </c>
      <c r="FA276" s="14" t="n">
        <v>0</v>
      </c>
      <c r="FB276" s="14" t="n">
        <v>0</v>
      </c>
      <c r="FC276" s="14" t="n">
        <v>0</v>
      </c>
      <c r="FD276" s="14" t="n">
        <v>0</v>
      </c>
      <c r="FE276" s="14" t="n">
        <v>0</v>
      </c>
      <c r="FF276" s="14" t="n">
        <v>0</v>
      </c>
      <c r="FG276" s="15" t="n">
        <v>267</v>
      </c>
      <c r="FH276" s="14" t="n">
        <v>0</v>
      </c>
      <c r="FI276" s="14" t="n">
        <v>0</v>
      </c>
      <c r="FJ276" s="14" t="n">
        <v>0</v>
      </c>
      <c r="FK276" s="14" t="n">
        <v>0</v>
      </c>
      <c r="FL276" s="14" t="n">
        <v>0</v>
      </c>
      <c r="FM276" s="14" t="n">
        <v>0</v>
      </c>
      <c r="FN276" s="14" t="n">
        <v>0</v>
      </c>
      <c r="FO276" s="14" t="n">
        <v>0</v>
      </c>
      <c r="FP276" s="14" t="n">
        <v>0</v>
      </c>
      <c r="FQ276" s="15" t="n">
        <v>0</v>
      </c>
      <c r="FR276" s="14" t="n">
        <v>15491547.55</v>
      </c>
      <c r="FS276" s="14" t="n">
        <v>205300</v>
      </c>
      <c r="FT276" s="14" t="n">
        <v>0</v>
      </c>
      <c r="FU276" s="14" t="n">
        <v>0</v>
      </c>
      <c r="FV276" s="15" t="n">
        <v>15696847.55</v>
      </c>
      <c r="FW276" s="14" t="n">
        <v>5013067</v>
      </c>
      <c r="FX276" s="14" t="n">
        <v>0</v>
      </c>
      <c r="FY276" s="14" t="n">
        <v>1679256</v>
      </c>
      <c r="FZ276" s="14" t="n">
        <v>4879759</v>
      </c>
      <c r="GA276" s="15" t="n">
        <v>11572082</v>
      </c>
      <c r="GB276" s="15" t="n">
        <v>27268929.55</v>
      </c>
      <c r="GC276" s="14" t="n">
        <v>9062899.17</v>
      </c>
      <c r="GD276" s="14" t="n">
        <v>4590.72</v>
      </c>
      <c r="GE276" s="14" t="n">
        <v>215858.17</v>
      </c>
      <c r="GF276" s="14" t="n">
        <v>8410.99</v>
      </c>
      <c r="GG276" s="15" t="n">
        <v>9291759.050000001</v>
      </c>
      <c r="GH276" s="14" t="n">
        <v>5013066.8</v>
      </c>
      <c r="GI276" s="14" t="n">
        <v>0</v>
      </c>
      <c r="GJ276" s="14" t="n">
        <v>4879759.4</v>
      </c>
      <c r="GK276" s="14" t="n">
        <v>1679256.18</v>
      </c>
      <c r="GL276" s="15" t="n">
        <v>11572082.38</v>
      </c>
      <c r="GM276" s="15" t="n">
        <v>20863841.43</v>
      </c>
      <c r="GN276" s="14" t="n">
        <v>688775.1899999999</v>
      </c>
      <c r="GO276" s="14" t="n">
        <v>2486.64</v>
      </c>
      <c r="GP276" s="14" t="n">
        <v>3393.64</v>
      </c>
      <c r="GQ276" s="14" t="n">
        <v>4637.34</v>
      </c>
      <c r="GR276" s="15" t="n">
        <v>699292.8099999999</v>
      </c>
      <c r="GS276" s="14" t="n">
        <v>1103748</v>
      </c>
      <c r="GT276" s="14" t="n">
        <v>11609</v>
      </c>
      <c r="GU276" s="14" t="n">
        <v>893</v>
      </c>
      <c r="GV276" s="14" t="n">
        <v>893</v>
      </c>
      <c r="GW276" s="15" t="n">
        <v>1117143</v>
      </c>
      <c r="GX276" s="15" t="n">
        <v>22680277.24</v>
      </c>
      <c r="GY276" s="14" t="n">
        <v>19845451.19</v>
      </c>
      <c r="GZ276" s="14" t="n">
        <v>564475.74</v>
      </c>
      <c r="HA276" s="15" t="n">
        <v>20409926.93</v>
      </c>
      <c r="HB276" s="15" t="n">
        <v>22680277.24</v>
      </c>
      <c r="HC276" s="16" t="n">
        <v>19845451.19</v>
      </c>
      <c r="HD276" s="15" t="n">
        <v>564475.74</v>
      </c>
      <c r="HE276" s="14" t="n">
        <v>17</v>
      </c>
      <c r="HF276" s="14" t="n">
        <v>34</v>
      </c>
      <c r="HG276" s="14" t="n">
        <v>29</v>
      </c>
      <c r="HH276" s="14" t="n">
        <v>17</v>
      </c>
      <c r="HI276" s="14" t="n">
        <v>30</v>
      </c>
      <c r="HJ276" s="15" t="n">
        <v>1.764705882352941</v>
      </c>
      <c r="HK276" s="16" t="n">
        <v>103.448275862069</v>
      </c>
      <c r="HL276" s="14" t="n">
        <v>5</v>
      </c>
      <c r="HM276" s="14" t="n">
        <v>10</v>
      </c>
      <c r="HN276" s="17" t="n">
        <v>0.5</v>
      </c>
    </row>
    <row r="277">
      <c r="A277" s="6" t="inlineStr">
        <is>
          <t>Ngabu</t>
        </is>
      </c>
      <c r="B277" s="6" t="inlineStr">
        <is>
          <t>Nsanje</t>
        </is>
      </c>
      <c r="C277" s="7" t="inlineStr">
        <is>
          <t>FY2025/26</t>
        </is>
      </c>
      <c r="D277" s="7" t="n">
        <v>2026</v>
      </c>
      <c r="E277" s="7" t="n">
        <v>2</v>
      </c>
      <c r="F277" s="7" t="inlineStr">
        <is>
          <t>February</t>
        </is>
      </c>
      <c r="G277" s="7" t="inlineStr">
        <is>
          <t>Q4</t>
        </is>
      </c>
      <c r="H277" s="8" t="n">
        <v>20444</v>
      </c>
      <c r="I277" s="8" t="n">
        <v>8312</v>
      </c>
      <c r="J277" s="8" t="n">
        <v>627</v>
      </c>
      <c r="K277" s="8" t="n">
        <v>80</v>
      </c>
      <c r="L277" s="8" t="n">
        <v>0</v>
      </c>
      <c r="M277" s="9">
        <f>SUM(I277,J277,K277,L277)</f>
        <v/>
      </c>
      <c r="N277" s="8" t="n">
        <v>4498</v>
      </c>
      <c r="O277" s="8" t="n">
        <v>0</v>
      </c>
      <c r="P277" s="8" t="n">
        <v>1008</v>
      </c>
      <c r="Q277" s="8" t="n">
        <v>246</v>
      </c>
      <c r="R277" s="9">
        <f>SUM(N277,O277,P277,Q277)</f>
        <v/>
      </c>
      <c r="S277" s="9">
        <f>M277+R277</f>
        <v/>
      </c>
      <c r="T277" s="8" t="n">
        <v>5673</v>
      </c>
      <c r="U277" s="10">
        <f>IF(H277=0,"",T277/H277)</f>
        <v/>
      </c>
      <c r="V277" s="8" t="n">
        <v>12</v>
      </c>
      <c r="W277" s="11">
        <f>IF(H277=0,"",V277/H277)</f>
        <v/>
      </c>
      <c r="X277" s="8" t="n">
        <v>0</v>
      </c>
      <c r="Y277" s="11">
        <f>IF(H277=0,"",X277/H277)</f>
        <v/>
      </c>
      <c r="Z277" s="8" t="n">
        <v>0</v>
      </c>
      <c r="AA277" s="11">
        <f>IF(H277=0,"",Z277/H277)</f>
        <v/>
      </c>
      <c r="AB277" s="8" t="n">
        <v>0</v>
      </c>
      <c r="AC277" s="11">
        <f>IF(H277=0,"",AB277/H277)</f>
        <v/>
      </c>
      <c r="AD277" s="8" t="n">
        <v>0</v>
      </c>
      <c r="AE277" s="11">
        <f>IF(H277=0,"",AD277/H277)</f>
        <v/>
      </c>
      <c r="AF277" s="8" t="n">
        <v>0</v>
      </c>
      <c r="AG277" s="11">
        <f>IF(H277=0,"",AF277/H277)</f>
        <v/>
      </c>
      <c r="AH277" s="8" t="n">
        <v>42303.48</v>
      </c>
      <c r="AI277" s="9">
        <f>IF(H277=0,"",AH277/H277)</f>
        <v/>
      </c>
      <c r="AJ277" s="8" t="n">
        <v>12314</v>
      </c>
      <c r="AK277" s="11">
        <f>IF(H277=0,"",AJ277/H277)</f>
        <v/>
      </c>
      <c r="AL277" s="8" t="n">
        <v>1725012.471</v>
      </c>
      <c r="AM277" s="9">
        <f>IF(H277=0,"",AL277/H277)</f>
        <v/>
      </c>
      <c r="AN277" s="8" t="n">
        <v>923</v>
      </c>
      <c r="AO277" s="8" t="n">
        <v>100</v>
      </c>
      <c r="AP277" s="8" t="n">
        <v>459500</v>
      </c>
      <c r="AQ277" s="8" t="n">
        <v>0</v>
      </c>
      <c r="AR277" s="8" t="n">
        <v>0</v>
      </c>
      <c r="AS277" s="8" t="n">
        <v>0</v>
      </c>
      <c r="AT277" s="8" t="n">
        <v>0</v>
      </c>
      <c r="AU277" s="9">
        <f>AH277+AL277+AP277+AQ277+AR277+AS277+AT277</f>
        <v/>
      </c>
      <c r="AV277" s="9">
        <f>IF(H277=0,"",AU277/H277)</f>
        <v/>
      </c>
      <c r="AW277" s="9">
        <f>IF(S277=0,"",AU277/S277)</f>
        <v/>
      </c>
      <c r="AX277" s="8" t="n">
        <v>8</v>
      </c>
      <c r="AY277" s="9">
        <f>IF(H277=0,"",AX277/(H277/1000/12))</f>
        <v/>
      </c>
      <c r="AZ277" s="8" t="n">
        <v>7</v>
      </c>
      <c r="BA277" s="8" t="n">
        <v>29</v>
      </c>
      <c r="BB277" s="8" t="n">
        <v>20</v>
      </c>
      <c r="BC277" s="8" t="n">
        <v>0</v>
      </c>
      <c r="BD277" s="8" t="n">
        <v>22</v>
      </c>
      <c r="BE277" s="9">
        <f>BC277+BD277</f>
        <v/>
      </c>
      <c r="BF277" s="9">
        <f>BA277+BB277-BE277</f>
        <v/>
      </c>
      <c r="BG277" s="8" t="n">
        <v>0</v>
      </c>
      <c r="BH277" s="8" t="n">
        <v>0</v>
      </c>
      <c r="BI277" s="8" t="n">
        <v>0</v>
      </c>
      <c r="BJ277" s="8" t="n">
        <v>0</v>
      </c>
      <c r="BK277" s="9">
        <f>BI277+BJ277</f>
        <v/>
      </c>
      <c r="BL277" s="9">
        <f>BG277+BH277-BK277</f>
        <v/>
      </c>
      <c r="BM277" s="8" t="n">
        <v>0</v>
      </c>
      <c r="BN277" s="8" t="n">
        <v>0</v>
      </c>
      <c r="BO277" s="8" t="n">
        <v>0</v>
      </c>
      <c r="BP277" s="8" t="n">
        <v>0</v>
      </c>
      <c r="BQ277" s="9">
        <f>BO277+BP277</f>
        <v/>
      </c>
      <c r="BR277" s="9">
        <f>BM277+BN277-BQ277</f>
        <v/>
      </c>
      <c r="BS277" s="8" t="n">
        <v>0</v>
      </c>
      <c r="BT277" s="8" t="n">
        <v>0</v>
      </c>
      <c r="BU277" s="8" t="n">
        <v>0</v>
      </c>
      <c r="BV277" s="8" t="n">
        <v>0</v>
      </c>
      <c r="BW277" s="9">
        <f>BU277+BV277</f>
        <v/>
      </c>
      <c r="BX277" s="9">
        <f>BS277+BT277-BW277</f>
        <v/>
      </c>
      <c r="BY277" s="9">
        <f>BA277+BG277+BM277+BS277</f>
        <v/>
      </c>
      <c r="BZ277" s="9">
        <f>BB277+BH277+BN277+BT277</f>
        <v/>
      </c>
      <c r="CA277" s="9">
        <f>BE277+BK277+BQ277+BW277</f>
        <v/>
      </c>
      <c r="CB277" s="9">
        <f>BF277+BL277+BR277+BX277</f>
        <v/>
      </c>
      <c r="CC277" s="8" t="n">
        <v>0</v>
      </c>
      <c r="CD277" s="8" t="n">
        <v>573</v>
      </c>
      <c r="CE277" s="8" t="n">
        <v>20</v>
      </c>
      <c r="CF277" s="8" t="n">
        <v>3</v>
      </c>
      <c r="CG277" s="8" t="n">
        <v>21</v>
      </c>
      <c r="CH277" s="9">
        <f>CD277+CE277+CF277+CG277</f>
        <v/>
      </c>
      <c r="CI277" s="8" t="n">
        <v>1319</v>
      </c>
      <c r="CJ277" s="8" t="n">
        <v>10</v>
      </c>
      <c r="CK277" s="8" t="n">
        <v>3</v>
      </c>
      <c r="CL277" s="8" t="n">
        <v>8</v>
      </c>
      <c r="CM277" s="9">
        <f>CI277+CJ277+CK277+CL277</f>
        <v/>
      </c>
      <c r="CN277" s="8" t="n">
        <v>531</v>
      </c>
      <c r="CO277" s="8" t="n">
        <v>52</v>
      </c>
      <c r="CP277" s="8" t="n">
        <v>49</v>
      </c>
      <c r="CQ277" s="8" t="n">
        <v>1</v>
      </c>
      <c r="CR277" s="9">
        <f>CN277+CO277+CP277+CQ277</f>
        <v/>
      </c>
      <c r="CS277" s="9">
        <f>CM277+CR277</f>
        <v/>
      </c>
      <c r="CT277" s="8" t="n">
        <v>2590</v>
      </c>
      <c r="CU277" s="8" t="n">
        <v>26186.02836071967</v>
      </c>
      <c r="CV277" s="8" t="n">
        <v>18046</v>
      </c>
      <c r="CW277" s="10">
        <f>IF(CU277=0,"",CV277/CU277)</f>
        <v/>
      </c>
      <c r="CX277" s="8" t="n">
        <v>0</v>
      </c>
      <c r="CY277" s="8" t="n"/>
      <c r="CZ277" s="8" t="n"/>
      <c r="DA277" s="8" t="n"/>
      <c r="DB277" s="9">
        <f>CX277+CY277-CZ277-DA277</f>
        <v/>
      </c>
      <c r="DC277" s="8" t="n">
        <v>0</v>
      </c>
      <c r="DD277" s="8" t="n">
        <v>0</v>
      </c>
      <c r="DE277" s="8" t="n">
        <v>0</v>
      </c>
      <c r="DF277" s="8" t="n">
        <v>0</v>
      </c>
      <c r="DG277" s="9">
        <f>DC277+DD277-DE277-DF277</f>
        <v/>
      </c>
      <c r="DH277" s="8" t="n">
        <v>4</v>
      </c>
      <c r="DI277" s="8" t="n">
        <v>0</v>
      </c>
      <c r="DJ277" s="8" t="n">
        <v>0</v>
      </c>
      <c r="DK277" s="8" t="n">
        <v>0</v>
      </c>
      <c r="DL277" s="9">
        <f>DH277+DI277-DJ277-DK277</f>
        <v/>
      </c>
      <c r="DM277" s="8" t="n">
        <v>128</v>
      </c>
      <c r="DN277" s="8" t="n">
        <v>17</v>
      </c>
      <c r="DO277" s="8" t="n">
        <v>0</v>
      </c>
      <c r="DP277" s="8" t="n">
        <v>0</v>
      </c>
      <c r="DQ277" s="9">
        <f>DM277+DN277-DO277-DP277</f>
        <v/>
      </c>
      <c r="DR277" s="9">
        <f>CX277+DC277+DH277+DM277</f>
        <v/>
      </c>
      <c r="DS277" s="9">
        <f>CY277+DD277+DI277+DN277</f>
        <v/>
      </c>
      <c r="DT277" s="9">
        <f>CZ277+DE277+DJ277+DO277</f>
        <v/>
      </c>
      <c r="DU277" s="9">
        <f>DA277+DF277+DK277+DP277</f>
        <v/>
      </c>
      <c r="DV277" s="9">
        <f>DB277+DG277+DL277+DQ277</f>
        <v/>
      </c>
      <c r="DW277" s="8" t="n">
        <v>129</v>
      </c>
      <c r="DX277" s="8" t="n">
        <v>90</v>
      </c>
      <c r="DY277" s="8" t="n">
        <v>21</v>
      </c>
      <c r="DZ277" s="8" t="n">
        <v>12</v>
      </c>
      <c r="EA277" s="8" t="n">
        <v>0</v>
      </c>
      <c r="EB277" s="8" t="n">
        <v>1</v>
      </c>
      <c r="EC277" s="8" t="n">
        <v>0</v>
      </c>
      <c r="ED277" s="8" t="n">
        <v>0</v>
      </c>
      <c r="EE277" s="8" t="n">
        <v>1</v>
      </c>
      <c r="EF277" s="8" t="n">
        <v>0</v>
      </c>
      <c r="EG277" s="8" t="n">
        <v>0</v>
      </c>
      <c r="EH277" s="8" t="n">
        <v>0</v>
      </c>
      <c r="EI277" s="8" t="n">
        <v>0</v>
      </c>
      <c r="EJ277" s="8" t="n">
        <v>9</v>
      </c>
      <c r="EK277" s="8" t="n">
        <v>3</v>
      </c>
      <c r="EL277" s="8" t="n">
        <v>0</v>
      </c>
      <c r="EM277" s="8" t="n">
        <v>0</v>
      </c>
      <c r="EN277" s="8" t="n">
        <v>0</v>
      </c>
      <c r="EO277" s="8" t="n">
        <v>0</v>
      </c>
      <c r="EP277" s="8" t="n">
        <v>0</v>
      </c>
      <c r="EQ277" s="8" t="n">
        <v>0</v>
      </c>
      <c r="ER277" s="8" t="n">
        <v>0</v>
      </c>
      <c r="ES277" s="8" t="n">
        <v>0</v>
      </c>
      <c r="ET277" s="8" t="n">
        <v>0</v>
      </c>
      <c r="EU277" s="8" t="n">
        <v>0</v>
      </c>
      <c r="EV277" s="8" t="n">
        <v>0</v>
      </c>
      <c r="EW277" s="8" t="n">
        <v>0</v>
      </c>
      <c r="EX277" s="8" t="n">
        <v>0</v>
      </c>
      <c r="EY277" s="8" t="n">
        <v>0</v>
      </c>
      <c r="EZ277" s="8" t="n">
        <v>0</v>
      </c>
      <c r="FA277" s="8" t="n">
        <v>0</v>
      </c>
      <c r="FB277" s="8" t="n">
        <v>0</v>
      </c>
      <c r="FC277" s="8" t="n">
        <v>0</v>
      </c>
      <c r="FD277" s="8" t="n">
        <v>0</v>
      </c>
      <c r="FE277" s="8" t="n">
        <v>0</v>
      </c>
      <c r="FF277" s="8" t="n">
        <v>0</v>
      </c>
      <c r="FG277" s="9">
        <f>SUM(DW277,DX277,DY277,DZ277,EA277,EB277,EC277,ED277,EE277,EF277,EG277,EH277,EI277,EJ277,EK277,EL277,EM277,EN277,EO277,EP277,EQ277,ER277,ES277,ET277,EU277,EV277,EW277,EX277,EY277,EZ277,FA277,FB277,FC277,FD277,FE277,FF277)</f>
        <v/>
      </c>
      <c r="FH277" s="8" t="n">
        <v>0</v>
      </c>
      <c r="FI277" s="8" t="n">
        <v>0</v>
      </c>
      <c r="FJ277" s="8" t="n">
        <v>0</v>
      </c>
      <c r="FK277" s="8" t="n">
        <v>0</v>
      </c>
      <c r="FL277" s="8" t="n">
        <v>0</v>
      </c>
      <c r="FM277" s="8" t="n">
        <v>0</v>
      </c>
      <c r="FN277" s="8" t="n">
        <v>0</v>
      </c>
      <c r="FO277" s="8" t="n">
        <v>0</v>
      </c>
      <c r="FP277" s="8" t="n">
        <v>0</v>
      </c>
      <c r="FQ277" s="9">
        <f>FL277+FM277+FN277+FO277+FP277</f>
        <v/>
      </c>
      <c r="FR277" s="8" t="n">
        <v>4554488</v>
      </c>
      <c r="FS277" s="8" t="n">
        <v>106500</v>
      </c>
      <c r="FT277" s="8" t="n">
        <v>0</v>
      </c>
      <c r="FU277" s="8" t="n">
        <v>702050</v>
      </c>
      <c r="FV277" s="9">
        <f>FR277+FS277+FT277+FU277</f>
        <v/>
      </c>
      <c r="FW277" s="8" t="n">
        <v>5299668</v>
      </c>
      <c r="FX277" s="8" t="n">
        <v>0</v>
      </c>
      <c r="FY277" s="8" t="n">
        <v>2532207</v>
      </c>
      <c r="FZ277" s="8" t="n">
        <v>1487198</v>
      </c>
      <c r="GA277" s="9">
        <f>FW277+FX277+FY277+FZ277</f>
        <v/>
      </c>
      <c r="GB277" s="9">
        <f>FV277+GA277</f>
        <v/>
      </c>
      <c r="GC277" s="8" t="n">
        <v>7241534</v>
      </c>
      <c r="GD277" s="8" t="n">
        <v>271426.32</v>
      </c>
      <c r="GE277" s="8" t="n">
        <v>264290.75</v>
      </c>
      <c r="GF277" s="8" t="n">
        <v>0</v>
      </c>
      <c r="GG277" s="9">
        <f>GC277+GD277+GE277+GF277</f>
        <v/>
      </c>
      <c r="GH277" s="8" t="n">
        <v>5299667.79</v>
      </c>
      <c r="GI277" s="8" t="n">
        <v>0</v>
      </c>
      <c r="GJ277" s="8" t="n">
        <v>2532207</v>
      </c>
      <c r="GK277" s="8" t="n">
        <v>1487198.39</v>
      </c>
      <c r="GL277" s="9">
        <f>GH277+GI277+GJ277+GK277</f>
        <v/>
      </c>
      <c r="GM277" s="9">
        <f>GG277+GL277</f>
        <v/>
      </c>
      <c r="GN277" s="8" t="n">
        <v>699735</v>
      </c>
      <c r="GO277" s="8" t="n">
        <v>2486.64</v>
      </c>
      <c r="GP277" s="8" t="n">
        <v>3393.64</v>
      </c>
      <c r="GQ277" s="8" t="n">
        <v>0</v>
      </c>
      <c r="GR277" s="9">
        <f>GN277+GO277+GP277+GQ277</f>
        <v/>
      </c>
      <c r="GS277" s="8" t="n">
        <v>1121608</v>
      </c>
      <c r="GT277" s="8" t="n">
        <v>11609</v>
      </c>
      <c r="GU277" s="8" t="n">
        <v>893</v>
      </c>
      <c r="GV277" s="8" t="n">
        <v>0</v>
      </c>
      <c r="GW277" s="9">
        <f>GS277+GT277+GU277+GV277</f>
        <v/>
      </c>
      <c r="GX277" s="9">
        <f>GM277+GR277+GW277</f>
        <v/>
      </c>
      <c r="GY277" s="8" t="n">
        <v>24166906.47</v>
      </c>
      <c r="GZ277" s="8" t="n">
        <v>1303754.94</v>
      </c>
      <c r="HA277" s="9">
        <f>GY277+GZ277</f>
        <v/>
      </c>
      <c r="HB277" s="9">
        <f>IF(GX277=0,"",AU277/GX277)</f>
        <v/>
      </c>
      <c r="HC277" s="10">
        <f>IF((GX277+GY277)=0,"",GB277/(GX277+GY277))</f>
        <v/>
      </c>
      <c r="HD277" s="9">
        <f>IF(GX277=0,"",GB277/GX277)</f>
        <v/>
      </c>
      <c r="HE277" s="8" t="n">
        <v>20</v>
      </c>
      <c r="HF277" s="8" t="n">
        <v>46</v>
      </c>
      <c r="HG277" s="8" t="n">
        <v>27</v>
      </c>
      <c r="HH277" s="8" t="n">
        <v>20</v>
      </c>
      <c r="HI277" s="8" t="n">
        <v>30</v>
      </c>
      <c r="HJ277" s="9">
        <f>HF277+HI277</f>
        <v/>
      </c>
      <c r="HK277" s="10">
        <f>IF(HE277=0,"",HH277/HE277)</f>
        <v/>
      </c>
      <c r="HL277" s="8" t="n">
        <v>0</v>
      </c>
      <c r="HM277" s="8" t="n">
        <v>0</v>
      </c>
      <c r="HN277" s="11">
        <f>IF(HL277=0,"",HM277/HL277)</f>
        <v/>
      </c>
    </row>
    <row r="278">
      <c r="A278" s="12" t="inlineStr">
        <is>
          <t>Ngabu</t>
        </is>
      </c>
      <c r="B278" s="12" t="inlineStr">
        <is>
          <t>Nsanje</t>
        </is>
      </c>
      <c r="C278" s="13" t="inlineStr">
        <is>
          <t>FY2025/26</t>
        </is>
      </c>
      <c r="D278" s="13" t="n">
        <v>2026</v>
      </c>
      <c r="E278" s="13" t="n">
        <v>3</v>
      </c>
      <c r="F278" s="13" t="inlineStr">
        <is>
          <t>March</t>
        </is>
      </c>
      <c r="G278" s="13" t="inlineStr">
        <is>
          <t>Q4</t>
        </is>
      </c>
      <c r="H278" s="14" t="n">
        <v>20128</v>
      </c>
      <c r="I278" s="14" t="n">
        <v>8599</v>
      </c>
      <c r="J278" s="14" t="n">
        <v>1432</v>
      </c>
      <c r="K278" s="14" t="n">
        <v>81</v>
      </c>
      <c r="L278" s="14" t="n">
        <v>0</v>
      </c>
      <c r="M278" s="15">
        <f>SUM(I278,J278,K278,L278)</f>
        <v/>
      </c>
      <c r="N278" s="14" t="n">
        <v>4466</v>
      </c>
      <c r="O278" s="14" t="n">
        <v>0</v>
      </c>
      <c r="P278" s="14" t="n">
        <v>1193</v>
      </c>
      <c r="Q278" s="14" t="n">
        <v>269</v>
      </c>
      <c r="R278" s="15">
        <f>SUM(N278,O278,P278,Q278)</f>
        <v/>
      </c>
      <c r="S278" s="15">
        <f>M278+R278</f>
        <v/>
      </c>
      <c r="T278" s="14" t="n">
        <v>4088</v>
      </c>
      <c r="U278" s="16">
        <f>IF(H278=0,"",T278/H278)</f>
        <v/>
      </c>
      <c r="V278" s="14" t="n">
        <v>11</v>
      </c>
      <c r="W278" s="17">
        <f>IF(H278=0,"",V278/H278)</f>
        <v/>
      </c>
      <c r="X278" s="14" t="n">
        <v>0</v>
      </c>
      <c r="Y278" s="17">
        <f>IF(H278=0,"",X278/H278)</f>
        <v/>
      </c>
      <c r="Z278" s="14" t="n">
        <v>0</v>
      </c>
      <c r="AA278" s="17">
        <f>IF(H278=0,"",Z278/H278)</f>
        <v/>
      </c>
      <c r="AB278" s="14" t="n">
        <v>0</v>
      </c>
      <c r="AC278" s="17">
        <f>IF(H278=0,"",AB278/H278)</f>
        <v/>
      </c>
      <c r="AD278" s="14" t="n">
        <v>0</v>
      </c>
      <c r="AE278" s="17">
        <f>IF(H278=0,"",AD278/H278)</f>
        <v/>
      </c>
      <c r="AF278" s="14" t="n">
        <v>0</v>
      </c>
      <c r="AG278" s="17">
        <f>IF(H278=0,"",AF278/H278)</f>
        <v/>
      </c>
      <c r="AH278" s="14" t="n">
        <v>38778.19</v>
      </c>
      <c r="AI278" s="15">
        <f>IF(H278=0,"",AH278/H278)</f>
        <v/>
      </c>
      <c r="AJ278" s="14" t="n">
        <v>12055</v>
      </c>
      <c r="AK278" s="17">
        <f>IF(H278=0,"",AJ278/H278)</f>
        <v/>
      </c>
      <c r="AL278" s="14" t="n">
        <v>16426.5</v>
      </c>
      <c r="AM278" s="15">
        <f>IF(H278=0,"",AL278/H278)</f>
        <v/>
      </c>
      <c r="AN278" s="14" t="n">
        <v>436</v>
      </c>
      <c r="AO278" s="14" t="n">
        <v>60</v>
      </c>
      <c r="AP278" s="14" t="n">
        <v>275700</v>
      </c>
      <c r="AQ278" s="14" t="n">
        <v>0</v>
      </c>
      <c r="AR278" s="14" t="n">
        <v>0</v>
      </c>
      <c r="AS278" s="14" t="n">
        <v>0</v>
      </c>
      <c r="AT278" s="14" t="n">
        <v>0</v>
      </c>
      <c r="AU278" s="15">
        <f>AH278+AL278+AP278+AQ278+AR278+AS278+AT278</f>
        <v/>
      </c>
      <c r="AV278" s="15">
        <f>IF(H278=0,"",AU278/H278)</f>
        <v/>
      </c>
      <c r="AW278" s="15">
        <f>IF(S278=0,"",AU278/S278)</f>
        <v/>
      </c>
      <c r="AX278" s="14" t="n">
        <v>8</v>
      </c>
      <c r="AY278" s="15">
        <f>IF(H278=0,"",AX278/(H278/1000/12))</f>
        <v/>
      </c>
      <c r="AZ278" s="14" t="n">
        <v>7</v>
      </c>
      <c r="BA278" s="14" t="n">
        <v>27</v>
      </c>
      <c r="BB278" s="14" t="n">
        <v>15</v>
      </c>
      <c r="BC278" s="14" t="n">
        <v>26</v>
      </c>
      <c r="BD278" s="14" t="n">
        <v>0</v>
      </c>
      <c r="BE278" s="15">
        <f>BC278+BD278</f>
        <v/>
      </c>
      <c r="BF278" s="15">
        <f>BA278+BB278-BE278</f>
        <v/>
      </c>
      <c r="BG278" s="14" t="n">
        <v>0</v>
      </c>
      <c r="BH278" s="14" t="n">
        <v>0</v>
      </c>
      <c r="BI278" s="14" t="n">
        <v>0</v>
      </c>
      <c r="BJ278" s="14" t="n">
        <v>0</v>
      </c>
      <c r="BK278" s="15">
        <f>BI278+BJ278</f>
        <v/>
      </c>
      <c r="BL278" s="15">
        <f>BG278+BH278-BK278</f>
        <v/>
      </c>
      <c r="BM278" s="14" t="n">
        <v>0</v>
      </c>
      <c r="BN278" s="14" t="n">
        <v>0</v>
      </c>
      <c r="BO278" s="14" t="n">
        <v>0</v>
      </c>
      <c r="BP278" s="14" t="n">
        <v>0</v>
      </c>
      <c r="BQ278" s="15">
        <f>BO278+BP278</f>
        <v/>
      </c>
      <c r="BR278" s="15">
        <f>BM278+BN278-BQ278</f>
        <v/>
      </c>
      <c r="BS278" s="14" t="n">
        <v>0</v>
      </c>
      <c r="BT278" s="14" t="n">
        <v>0</v>
      </c>
      <c r="BU278" s="14" t="n">
        <v>0</v>
      </c>
      <c r="BV278" s="14" t="n">
        <v>0</v>
      </c>
      <c r="BW278" s="15">
        <f>BU278+BV278</f>
        <v/>
      </c>
      <c r="BX278" s="15">
        <f>BS278+BT278-BW278</f>
        <v/>
      </c>
      <c r="BY278" s="15">
        <f>BA278+BG278+BM278+BS278</f>
        <v/>
      </c>
      <c r="BZ278" s="15">
        <f>BB278+BH278+BN278+BT278</f>
        <v/>
      </c>
      <c r="CA278" s="15">
        <f>BE278+BK278+BQ278+BW278</f>
        <v/>
      </c>
      <c r="CB278" s="15">
        <f>BF278+BL278+BR278+BX278</f>
        <v/>
      </c>
      <c r="CC278" s="14" t="n">
        <v>0</v>
      </c>
      <c r="CD278" s="14" t="n">
        <v>559</v>
      </c>
      <c r="CE278" s="14" t="n">
        <v>20</v>
      </c>
      <c r="CF278" s="14" t="n">
        <v>3</v>
      </c>
      <c r="CG278" s="14" t="n">
        <v>21</v>
      </c>
      <c r="CH278" s="15">
        <f>CD278+CE278+CF278+CG278</f>
        <v/>
      </c>
      <c r="CI278" s="14" t="n">
        <v>1359</v>
      </c>
      <c r="CJ278" s="14" t="n">
        <v>10</v>
      </c>
      <c r="CK278" s="14" t="n">
        <v>3</v>
      </c>
      <c r="CL278" s="14" t="n">
        <v>8</v>
      </c>
      <c r="CM278" s="15">
        <f>CI278+CJ278+CK278+CL278</f>
        <v/>
      </c>
      <c r="CN278" s="14" t="n">
        <v>531</v>
      </c>
      <c r="CO278" s="14" t="n">
        <v>52</v>
      </c>
      <c r="CP278" s="14" t="n">
        <v>49</v>
      </c>
      <c r="CQ278" s="14" t="n">
        <v>1</v>
      </c>
      <c r="CR278" s="15">
        <f>CN278+CO278+CP278+CQ278</f>
        <v/>
      </c>
      <c r="CS278" s="15">
        <f>CM278+CR278</f>
        <v/>
      </c>
      <c r="CT278" s="14" t="n">
        <v>2616</v>
      </c>
      <c r="CU278" s="14" t="n">
        <v>26230.54460893289</v>
      </c>
      <c r="CV278" s="14" t="n">
        <v>18046</v>
      </c>
      <c r="CW278" s="16">
        <f>IF(CU278=0,"",CV278/CU278)</f>
        <v/>
      </c>
      <c r="CX278" s="14" t="n"/>
      <c r="CY278" s="14" t="n"/>
      <c r="CZ278" s="14" t="n"/>
      <c r="DA278" s="14" t="n"/>
      <c r="DB278" s="15">
        <f>CX278+CY278-CZ278-DA278</f>
        <v/>
      </c>
      <c r="DC278" s="14" t="n">
        <v>0</v>
      </c>
      <c r="DD278" s="14" t="n">
        <v>0</v>
      </c>
      <c r="DE278" s="14" t="n">
        <v>0</v>
      </c>
      <c r="DF278" s="14" t="n">
        <v>0</v>
      </c>
      <c r="DG278" s="15">
        <f>DC278+DD278-DE278-DF278</f>
        <v/>
      </c>
      <c r="DH278" s="14" t="n">
        <v>4</v>
      </c>
      <c r="DI278" s="14" t="n">
        <v>0</v>
      </c>
      <c r="DJ278" s="14" t="n">
        <v>0</v>
      </c>
      <c r="DK278" s="14" t="n">
        <v>0</v>
      </c>
      <c r="DL278" s="15">
        <f>DH278+DI278-DJ278-DK278</f>
        <v/>
      </c>
      <c r="DM278" s="14" t="n">
        <v>145</v>
      </c>
      <c r="DN278" s="14" t="n">
        <v>3</v>
      </c>
      <c r="DO278" s="14" t="n">
        <v>0</v>
      </c>
      <c r="DP278" s="14" t="n">
        <v>0</v>
      </c>
      <c r="DQ278" s="15">
        <f>DM278+DN278-DO278-DP278</f>
        <v/>
      </c>
      <c r="DR278" s="15">
        <f>CX278+DC278+DH278+DM278</f>
        <v/>
      </c>
      <c r="DS278" s="15">
        <f>CY278+DD278+DI278+DN278</f>
        <v/>
      </c>
      <c r="DT278" s="15">
        <f>CZ278+DE278+DJ278+DO278</f>
        <v/>
      </c>
      <c r="DU278" s="15">
        <f>DA278+DF278+DK278+DP278</f>
        <v/>
      </c>
      <c r="DV278" s="15">
        <f>DB278+DG278+DL278+DQ278</f>
        <v/>
      </c>
      <c r="DW278" s="14" t="n">
        <v>130</v>
      </c>
      <c r="DX278" s="14" t="n">
        <v>81</v>
      </c>
      <c r="DY278" s="14" t="n">
        <v>20</v>
      </c>
      <c r="DZ278" s="14" t="n">
        <v>15</v>
      </c>
      <c r="EA278" s="14" t="n">
        <v>6</v>
      </c>
      <c r="EB278" s="14" t="n">
        <v>3</v>
      </c>
      <c r="EC278" s="14" t="n">
        <v>0</v>
      </c>
      <c r="ED278" s="14" t="n">
        <v>5</v>
      </c>
      <c r="EE278" s="14" t="n">
        <v>2</v>
      </c>
      <c r="EF278" s="14" t="n">
        <v>0</v>
      </c>
      <c r="EG278" s="14" t="n">
        <v>0</v>
      </c>
      <c r="EH278" s="14" t="n">
        <v>0</v>
      </c>
      <c r="EI278" s="14" t="n">
        <v>0</v>
      </c>
      <c r="EJ278" s="14" t="n">
        <v>20</v>
      </c>
      <c r="EK278" s="14" t="n">
        <v>1</v>
      </c>
      <c r="EL278" s="14" t="n">
        <v>0</v>
      </c>
      <c r="EM278" s="14" t="n">
        <v>0</v>
      </c>
      <c r="EN278" s="14" t="n">
        <v>0</v>
      </c>
      <c r="EO278" s="14" t="n">
        <v>0</v>
      </c>
      <c r="EP278" s="14" t="n">
        <v>0</v>
      </c>
      <c r="EQ278" s="14" t="n">
        <v>0</v>
      </c>
      <c r="ER278" s="14" t="n">
        <v>0</v>
      </c>
      <c r="ES278" s="14" t="n">
        <v>0</v>
      </c>
      <c r="ET278" s="14" t="n">
        <v>0</v>
      </c>
      <c r="EU278" s="14" t="n">
        <v>0</v>
      </c>
      <c r="EV278" s="14" t="n">
        <v>0</v>
      </c>
      <c r="EW278" s="14" t="n">
        <v>0</v>
      </c>
      <c r="EX278" s="14" t="n">
        <v>0</v>
      </c>
      <c r="EY278" s="14" t="n">
        <v>0</v>
      </c>
      <c r="EZ278" s="14" t="n">
        <v>0</v>
      </c>
      <c r="FA278" s="14" t="n">
        <v>0</v>
      </c>
      <c r="FB278" s="14" t="n">
        <v>0</v>
      </c>
      <c r="FC278" s="14" t="n">
        <v>0</v>
      </c>
      <c r="FD278" s="14" t="n">
        <v>0</v>
      </c>
      <c r="FE278" s="14" t="n">
        <v>0</v>
      </c>
      <c r="FF278" s="14" t="n">
        <v>0</v>
      </c>
      <c r="FG278" s="15">
        <f>SUM(DW278,DX278,DY278,DZ278,EA278,EB278,EC278,ED278,EE278,EF278,EG278,EH278,EI278,EJ278,EK278,EL278,EM278,EN278,EO278,EP278,EQ278,ER278,ES278,ET278,EU278,EV278,EW278,EX278,EY278,EZ278,FA278,FB278,FC278,FD278,FE278,FF278)</f>
        <v/>
      </c>
      <c r="FH278" s="14" t="n">
        <v>0</v>
      </c>
      <c r="FI278" s="14" t="n">
        <v>0</v>
      </c>
      <c r="FJ278" s="14" t="n">
        <v>0</v>
      </c>
      <c r="FK278" s="14" t="n">
        <v>0</v>
      </c>
      <c r="FL278" s="14" t="n">
        <v>0</v>
      </c>
      <c r="FM278" s="14" t="n">
        <v>0</v>
      </c>
      <c r="FN278" s="14" t="n">
        <v>0</v>
      </c>
      <c r="FO278" s="14" t="n">
        <v>0</v>
      </c>
      <c r="FP278" s="14" t="n">
        <v>0</v>
      </c>
      <c r="FQ278" s="15">
        <f>FL278+FM278+FN278+FO278+FP278</f>
        <v/>
      </c>
      <c r="FR278" s="14" t="n">
        <v>6898798.33</v>
      </c>
      <c r="FS278" s="14" t="n">
        <v>44000</v>
      </c>
      <c r="FT278" s="14" t="n">
        <v>0</v>
      </c>
      <c r="FU278" s="14" t="n">
        <v>0</v>
      </c>
      <c r="FV278" s="15">
        <f>FR278+FS278+FT278+FU278</f>
        <v/>
      </c>
      <c r="FW278" s="14" t="n">
        <v>6159994</v>
      </c>
      <c r="FX278" s="14" t="n">
        <v>0</v>
      </c>
      <c r="FY278" s="14" t="n">
        <v>7691911</v>
      </c>
      <c r="FZ278" s="14" t="n">
        <v>1802200</v>
      </c>
      <c r="GA278" s="15">
        <f>FW278+FX278+FY278+FZ278</f>
        <v/>
      </c>
      <c r="GB278" s="15">
        <f>FV278+GA278</f>
        <v/>
      </c>
      <c r="GC278" s="14" t="n">
        <v>7884278.42</v>
      </c>
      <c r="GD278" s="14" t="n">
        <v>273912.96</v>
      </c>
      <c r="GE278" s="14" t="n">
        <v>267750.22</v>
      </c>
      <c r="GF278" s="14" t="n">
        <v>0</v>
      </c>
      <c r="GG278" s="15">
        <f>GC278+GD278+GE278+GF278</f>
        <v/>
      </c>
      <c r="GH278" s="14" t="n">
        <v>6084803.92</v>
      </c>
      <c r="GI278" s="14" t="n">
        <v>0</v>
      </c>
      <c r="GJ278" s="14" t="n">
        <v>5744911.12</v>
      </c>
      <c r="GK278" s="14" t="n">
        <v>1802200</v>
      </c>
      <c r="GL278" s="15">
        <f>GH278+GI278+GJ278+GK278</f>
        <v/>
      </c>
      <c r="GM278" s="15">
        <f>GG278+GL278</f>
        <v/>
      </c>
      <c r="GN278" s="14" t="n">
        <v>699734.8</v>
      </c>
      <c r="GO278" s="14" t="n">
        <v>2486.64</v>
      </c>
      <c r="GP278" s="14" t="n">
        <v>3393.64</v>
      </c>
      <c r="GQ278" s="14" t="n">
        <v>0</v>
      </c>
      <c r="GR278" s="15">
        <f>GN278+GO278+GP278+GQ278</f>
        <v/>
      </c>
      <c r="GS278" s="14" t="n">
        <v>1121608</v>
      </c>
      <c r="GT278" s="14" t="n">
        <v>11609</v>
      </c>
      <c r="GU278" s="14" t="n">
        <v>893</v>
      </c>
      <c r="GV278" s="14" t="n">
        <v>0</v>
      </c>
      <c r="GW278" s="15">
        <f>GS278+GT278+GU278+GV278</f>
        <v/>
      </c>
      <c r="GX278" s="15">
        <f>GM278+GR278+GW278</f>
        <v/>
      </c>
      <c r="GY278" s="14" t="n">
        <v>26894534.06</v>
      </c>
      <c r="GZ278" s="14" t="n">
        <v>1058929.89</v>
      </c>
      <c r="HA278" s="15">
        <f>GY278+GZ278</f>
        <v/>
      </c>
      <c r="HB278" s="15">
        <f>IF(GX278=0,"",AU278/GX278)</f>
        <v/>
      </c>
      <c r="HC278" s="16">
        <f>IF((GX278+GY278)=0,"",GB278/(GX278+GY278))</f>
        <v/>
      </c>
      <c r="HD278" s="15">
        <f>IF(GX278=0,"",GB278/GX278)</f>
        <v/>
      </c>
      <c r="HE278" s="14" t="n">
        <v>15</v>
      </c>
      <c r="HF278" s="14" t="n">
        <v>5</v>
      </c>
      <c r="HG278" s="14" t="n">
        <v>16</v>
      </c>
      <c r="HH278" s="14" t="n">
        <v>15</v>
      </c>
      <c r="HI278" s="14" t="n">
        <v>5</v>
      </c>
      <c r="HJ278" s="15">
        <f>HF278+HI278</f>
        <v/>
      </c>
      <c r="HK278" s="16">
        <f>IF(HE278=0,"",HH278/HE278)</f>
        <v/>
      </c>
      <c r="HL278" s="14" t="n">
        <v>15</v>
      </c>
      <c r="HM278" s="14" t="n">
        <v>5</v>
      </c>
      <c r="HN278" s="17">
        <f>IF(HL278=0,"",HM278/HL278)</f>
        <v/>
      </c>
    </row>
    <row r="279">
      <c r="A279" s="6" t="inlineStr">
        <is>
          <t>Zomba</t>
        </is>
      </c>
      <c r="B279" s="6" t="inlineStr">
        <is>
          <t>Chiradzulu</t>
        </is>
      </c>
      <c r="C279" s="7" t="inlineStr">
        <is>
          <t>FY2025/26</t>
        </is>
      </c>
      <c r="D279" s="7" t="n">
        <v>2025</v>
      </c>
      <c r="E279" s="7" t="n">
        <v>4</v>
      </c>
      <c r="F279" s="7" t="inlineStr">
        <is>
          <t>April</t>
        </is>
      </c>
      <c r="G279" s="7" t="inlineStr">
        <is>
          <t>Q1</t>
        </is>
      </c>
      <c r="H279" s="8" t="n">
        <v>2574</v>
      </c>
      <c r="I279" s="8" t="n">
        <v>123</v>
      </c>
      <c r="J279" s="8" t="n">
        <v>0</v>
      </c>
      <c r="K279" s="8" t="n">
        <v>25</v>
      </c>
      <c r="L279" s="8" t="n">
        <v>9</v>
      </c>
      <c r="M279" s="9">
        <f>SUM(I279,J279,K279,L279)</f>
        <v/>
      </c>
      <c r="N279" s="8" t="n">
        <v>2017.49999999999</v>
      </c>
      <c r="O279" s="8" t="n">
        <v>0</v>
      </c>
      <c r="P279" s="8" t="n">
        <v>17.3</v>
      </c>
      <c r="Q279" s="8" t="n">
        <v>21.8</v>
      </c>
      <c r="R279" s="9">
        <f>SUM(N279,O279,P279,Q279)</f>
        <v/>
      </c>
      <c r="S279" s="9">
        <f>M279+R279</f>
        <v/>
      </c>
      <c r="T279" s="8" t="n">
        <v>360.400000000009</v>
      </c>
      <c r="U279" s="10">
        <f>IF(H279=0,"",T279/H279)</f>
        <v/>
      </c>
      <c r="V279" s="8" t="n">
        <v>6.5</v>
      </c>
      <c r="W279" s="11">
        <f>IF(H279=0,"",V279/H279)</f>
        <v/>
      </c>
      <c r="X279" s="8" t="n">
        <v>0</v>
      </c>
      <c r="Y279" s="11">
        <f>IF(H279=0,"",X279/H279)</f>
        <v/>
      </c>
      <c r="Z279" s="8" t="n">
        <v>0</v>
      </c>
      <c r="AA279" s="11">
        <f>IF(H279=0,"",Z279/H279)</f>
        <v/>
      </c>
      <c r="AB279" s="8" t="n">
        <v>0</v>
      </c>
      <c r="AC279" s="11">
        <f>IF(H279=0,"",AB279/H279)</f>
        <v/>
      </c>
      <c r="AD279" s="8" t="n">
        <v>0</v>
      </c>
      <c r="AE279" s="11">
        <f>IF(H279=0,"",AD279/H279)</f>
        <v/>
      </c>
      <c r="AF279" s="8" t="n">
        <v>0</v>
      </c>
      <c r="AG279" s="11">
        <f>IF(H279=0,"",AF279/H279)</f>
        <v/>
      </c>
      <c r="AH279" s="8" t="n">
        <v>169000</v>
      </c>
      <c r="AI279" s="9">
        <f>IF(H279=0,"",AH279/H279)</f>
        <v/>
      </c>
      <c r="AJ279" s="8" t="n">
        <v>15.12</v>
      </c>
      <c r="AK279" s="11">
        <f>IF(H279=0,"",AJ279/H279)</f>
        <v/>
      </c>
      <c r="AL279" s="8" t="n">
        <v>35738.88208</v>
      </c>
      <c r="AM279" s="9">
        <f>IF(H279=0,"",AL279/H279)</f>
        <v/>
      </c>
      <c r="AN279" s="8" t="n">
        <v>0</v>
      </c>
      <c r="AO279" s="8" t="n">
        <v>0</v>
      </c>
      <c r="AP279" s="8" t="n">
        <v>0</v>
      </c>
      <c r="AQ279" s="8" t="n">
        <v>0</v>
      </c>
      <c r="AR279" s="8" t="n">
        <v>3138458.73</v>
      </c>
      <c r="AS279" s="8" t="n">
        <v>562148.9300000001</v>
      </c>
      <c r="AT279" s="8" t="n">
        <v>0</v>
      </c>
      <c r="AU279" s="9">
        <f>AH279+AL279+AP279+AQ279+AR279+AS279+AT279</f>
        <v/>
      </c>
      <c r="AV279" s="9">
        <f>IF(H279=0,"",AU279/H279)</f>
        <v/>
      </c>
      <c r="AW279" s="9">
        <f>IF(S279=0,"",AU279/S279)</f>
        <v/>
      </c>
      <c r="AX279" s="8" t="n">
        <v>4</v>
      </c>
      <c r="AY279" s="9">
        <f>IF(H279=0,"",AX279/(H279/1000/12))</f>
        <v/>
      </c>
      <c r="AZ279" s="8" t="n">
        <v>6</v>
      </c>
      <c r="BA279" s="8" t="n">
        <v>12</v>
      </c>
      <c r="BB279" s="8" t="n">
        <v>1</v>
      </c>
      <c r="BC279" s="8" t="n">
        <v>11</v>
      </c>
      <c r="BD279" s="8" t="n">
        <v>0</v>
      </c>
      <c r="BE279" s="9">
        <f>BC279+BD279</f>
        <v/>
      </c>
      <c r="BF279" s="9">
        <f>BA279+BB279-BE279</f>
        <v/>
      </c>
      <c r="BG279" s="8" t="n">
        <v>0</v>
      </c>
      <c r="BH279" s="8" t="n">
        <v>0</v>
      </c>
      <c r="BI279" s="8" t="n">
        <v>0</v>
      </c>
      <c r="BJ279" s="8" t="n">
        <v>0</v>
      </c>
      <c r="BK279" s="9">
        <f>BI279+BJ279</f>
        <v/>
      </c>
      <c r="BL279" s="9">
        <f>BG279+BH279-BK279</f>
        <v/>
      </c>
      <c r="BM279" s="8" t="n">
        <v>0</v>
      </c>
      <c r="BN279" s="8" t="n">
        <v>0</v>
      </c>
      <c r="BO279" s="8" t="n">
        <v>0</v>
      </c>
      <c r="BP279" s="8" t="n">
        <v>0</v>
      </c>
      <c r="BQ279" s="9">
        <f>BO279+BP279</f>
        <v/>
      </c>
      <c r="BR279" s="9">
        <f>BM279+BN279-BQ279</f>
        <v/>
      </c>
      <c r="BS279" s="8" t="n">
        <v>0</v>
      </c>
      <c r="BT279" s="8" t="n">
        <v>0</v>
      </c>
      <c r="BU279" s="8" t="n">
        <v>0</v>
      </c>
      <c r="BV279" s="8" t="n">
        <v>0</v>
      </c>
      <c r="BW279" s="9">
        <f>BU279+BV279</f>
        <v/>
      </c>
      <c r="BX279" s="9">
        <f>BS279+BT279-BW279</f>
        <v/>
      </c>
      <c r="BY279" s="9">
        <f>BA279+BG279+BM279+BS279</f>
        <v/>
      </c>
      <c r="BZ279" s="9">
        <f>BB279+BH279+BN279+BT279</f>
        <v/>
      </c>
      <c r="CA279" s="9">
        <f>BE279+BK279+BQ279+BW279</f>
        <v/>
      </c>
      <c r="CB279" s="9">
        <f>BF279+BL279+BR279+BX279</f>
        <v/>
      </c>
      <c r="CC279" s="8" t="n">
        <v>3</v>
      </c>
      <c r="CD279" s="8" t="n">
        <v>129</v>
      </c>
      <c r="CE279" s="8" t="n">
        <v>47</v>
      </c>
      <c r="CF279" s="8" t="n">
        <v>9</v>
      </c>
      <c r="CG279" s="8" t="n">
        <v>0</v>
      </c>
      <c r="CH279" s="9">
        <f>CD279+CE279+CF279+CG279</f>
        <v/>
      </c>
      <c r="CI279" s="8" t="n">
        <v>22</v>
      </c>
      <c r="CJ279" s="8" t="n">
        <v>3</v>
      </c>
      <c r="CK279" s="8" t="n">
        <v>2</v>
      </c>
      <c r="CL279" s="8" t="n">
        <v>0</v>
      </c>
      <c r="CM279" s="9">
        <f>CI279+CJ279+CK279+CL279</f>
        <v/>
      </c>
      <c r="CN279" s="8" t="n">
        <v>241</v>
      </c>
      <c r="CO279" s="8" t="n">
        <v>14</v>
      </c>
      <c r="CP279" s="8" t="n">
        <v>2</v>
      </c>
      <c r="CQ279" s="8" t="n">
        <v>0</v>
      </c>
      <c r="CR279" s="9">
        <f>CN279+CO279+CP279+CQ279</f>
        <v/>
      </c>
      <c r="CS279" s="9">
        <f>CM279+CR279</f>
        <v/>
      </c>
      <c r="CT279" s="8" t="n">
        <v>469</v>
      </c>
      <c r="CU279" s="8" t="n">
        <v>3398</v>
      </c>
      <c r="CV279" s="8" t="n">
        <v>2524.3</v>
      </c>
      <c r="CW279" s="10">
        <f>IF(CU279=0,"",CV279/CU279)</f>
        <v/>
      </c>
      <c r="CX279" s="8" t="n">
        <v>0</v>
      </c>
      <c r="CY279" s="8" t="n">
        <v>0</v>
      </c>
      <c r="CZ279" s="8" t="n">
        <v>0</v>
      </c>
      <c r="DA279" s="8" t="n">
        <v>0</v>
      </c>
      <c r="DB279" s="9">
        <f>CX279+CY279-CZ279-DA279</f>
        <v/>
      </c>
      <c r="DC279" s="8" t="n">
        <v>0</v>
      </c>
      <c r="DD279" s="8" t="n">
        <v>0</v>
      </c>
      <c r="DE279" s="8" t="n">
        <v>0</v>
      </c>
      <c r="DF279" s="8" t="n">
        <v>0</v>
      </c>
      <c r="DG279" s="9">
        <f>DC279+DD279-DE279-DF279</f>
        <v/>
      </c>
      <c r="DH279" s="8" t="n">
        <v>0</v>
      </c>
      <c r="DI279" s="8" t="n">
        <v>0</v>
      </c>
      <c r="DJ279" s="8" t="n">
        <v>0</v>
      </c>
      <c r="DK279" s="8" t="n">
        <v>0</v>
      </c>
      <c r="DL279" s="9">
        <f>DH279+DI279-DJ279-DK279</f>
        <v/>
      </c>
      <c r="DM279" s="8" t="n">
        <v>0</v>
      </c>
      <c r="DN279" s="8" t="n">
        <v>0</v>
      </c>
      <c r="DO279" s="8" t="n">
        <v>0</v>
      </c>
      <c r="DP279" s="8" t="n">
        <v>0</v>
      </c>
      <c r="DQ279" s="9">
        <f>DM279+DN279-DO279-DP279</f>
        <v/>
      </c>
      <c r="DR279" s="9">
        <f>CX279+DC279+DH279+DM279</f>
        <v/>
      </c>
      <c r="DS279" s="9">
        <f>CY279+DD279+DI279+DN279</f>
        <v/>
      </c>
      <c r="DT279" s="9">
        <f>CZ279+DE279+DJ279+DO279</f>
        <v/>
      </c>
      <c r="DU279" s="9">
        <f>DA279+DF279+DK279+DP279</f>
        <v/>
      </c>
      <c r="DV279" s="9">
        <f>DB279+DG279+DL279+DQ279</f>
        <v/>
      </c>
      <c r="DW279" s="8" t="n">
        <v>6</v>
      </c>
      <c r="DX279" s="8" t="n">
        <v>3</v>
      </c>
      <c r="DY279" s="8" t="n">
        <v>3</v>
      </c>
      <c r="DZ279" s="8" t="n">
        <v>2</v>
      </c>
      <c r="EA279" s="8" t="n">
        <v>1</v>
      </c>
      <c r="EB279" s="8" t="n">
        <v>1</v>
      </c>
      <c r="EC279" s="8" t="n">
        <v>0</v>
      </c>
      <c r="ED279" s="8" t="n">
        <v>0</v>
      </c>
      <c r="EE279" s="8" t="n">
        <v>0</v>
      </c>
      <c r="EF279" s="8" t="n">
        <v>0</v>
      </c>
      <c r="EG279" s="8" t="n">
        <v>0</v>
      </c>
      <c r="EH279" s="8" t="n">
        <v>0</v>
      </c>
      <c r="EI279" s="8" t="n">
        <v>0</v>
      </c>
      <c r="EJ279" s="8" t="n">
        <v>0</v>
      </c>
      <c r="EK279" s="8" t="n">
        <v>0</v>
      </c>
      <c r="EL279" s="8" t="n">
        <v>0</v>
      </c>
      <c r="EM279" s="8" t="n">
        <v>0</v>
      </c>
      <c r="EN279" s="8" t="n">
        <v>0</v>
      </c>
      <c r="EO279" s="8" t="n">
        <v>0</v>
      </c>
      <c r="EP279" s="8" t="n">
        <v>0</v>
      </c>
      <c r="EQ279" s="8" t="n">
        <v>0</v>
      </c>
      <c r="ER279" s="8" t="n">
        <v>0</v>
      </c>
      <c r="ES279" s="8" t="n">
        <v>0</v>
      </c>
      <c r="ET279" s="8" t="n">
        <v>0</v>
      </c>
      <c r="EU279" s="8" t="n">
        <v>0</v>
      </c>
      <c r="EV279" s="8" t="n">
        <v>0</v>
      </c>
      <c r="EW279" s="8" t="n">
        <v>0</v>
      </c>
      <c r="EX279" s="8" t="n">
        <v>0</v>
      </c>
      <c r="EY279" s="8" t="n">
        <v>0</v>
      </c>
      <c r="EZ279" s="8" t="n">
        <v>0</v>
      </c>
      <c r="FA279" s="8" t="n">
        <v>0</v>
      </c>
      <c r="FB279" s="8" t="n">
        <v>0</v>
      </c>
      <c r="FC279" s="8" t="n">
        <v>0</v>
      </c>
      <c r="FD279" s="8" t="n">
        <v>0</v>
      </c>
      <c r="FE279" s="8" t="n">
        <v>0</v>
      </c>
      <c r="FF279" s="8" t="n">
        <v>0</v>
      </c>
      <c r="FG279" s="9">
        <f>SUM(DW279,DX279,DY279,DZ279,EA279,EB279,EC279,ED279,EE279,EF279,EG279,EH279,EI279,EJ279,EK279,EL279,EM279,EN279,EO279,EP279,EQ279,ER279,ES279,ET279,EU279,EV279,EW279,EX279,EY279,EZ279,FA279,FB279,FC279,FD279,FE279,FF279)</f>
        <v/>
      </c>
      <c r="FH279" s="8" t="n">
        <v>0</v>
      </c>
      <c r="FI279" s="8" t="n">
        <v>0</v>
      </c>
      <c r="FJ279" s="8" t="n">
        <v>15</v>
      </c>
      <c r="FK279" s="8" t="n">
        <v>0</v>
      </c>
      <c r="FL279" s="8" t="n">
        <v>0</v>
      </c>
      <c r="FM279" s="8" t="n">
        <v>0</v>
      </c>
      <c r="FN279" s="8" t="n">
        <v>0</v>
      </c>
      <c r="FO279" s="8" t="n">
        <v>0</v>
      </c>
      <c r="FP279" s="8" t="n">
        <v>0</v>
      </c>
      <c r="FQ279" s="9">
        <f>FL279+FM279+FN279+FO279+FP279</f>
        <v/>
      </c>
      <c r="FR279" s="8" t="n">
        <v>0</v>
      </c>
      <c r="FS279" s="8" t="n">
        <v>0</v>
      </c>
      <c r="FT279" s="8" t="n">
        <v>0</v>
      </c>
      <c r="FU279" s="8" t="n">
        <v>0</v>
      </c>
      <c r="FV279" s="9">
        <f>FR279+FS279+FT279+FU279</f>
        <v/>
      </c>
      <c r="FW279" s="8" t="n">
        <v>2620434</v>
      </c>
      <c r="FX279" s="8" t="n">
        <v>0</v>
      </c>
      <c r="FY279" s="8" t="n">
        <v>102864.05</v>
      </c>
      <c r="FZ279" s="8" t="n">
        <v>62600</v>
      </c>
      <c r="GA279" s="9">
        <f>FW279+FX279+FY279+FZ279</f>
        <v/>
      </c>
      <c r="GB279" s="9">
        <f>FV279+GA279</f>
        <v/>
      </c>
      <c r="GC279" s="8" t="n">
        <v>128951.83</v>
      </c>
      <c r="GD279" s="8" t="n">
        <v>0</v>
      </c>
      <c r="GE279" s="8" t="n">
        <v>80463.47</v>
      </c>
      <c r="GF279" s="8" t="n">
        <v>20207.62</v>
      </c>
      <c r="GG279" s="9">
        <f>GC279+GD279+GE279+GF279</f>
        <v/>
      </c>
      <c r="GH279" s="8" t="n">
        <v>2517256.72</v>
      </c>
      <c r="GI279" s="8" t="n">
        <v>0</v>
      </c>
      <c r="GJ279" s="8" t="n">
        <v>53600</v>
      </c>
      <c r="GK279" s="8" t="n">
        <v>102864.04</v>
      </c>
      <c r="GL279" s="9">
        <f>GH279+GI279+GJ279+GK279</f>
        <v/>
      </c>
      <c r="GM279" s="9">
        <f>GG279+GL279</f>
        <v/>
      </c>
      <c r="GN279" s="8" t="n">
        <v>11496.91</v>
      </c>
      <c r="GO279" s="8" t="n">
        <v>0</v>
      </c>
      <c r="GP279" s="8" t="n">
        <v>10180.92</v>
      </c>
      <c r="GQ279" s="8" t="n">
        <v>9274.68</v>
      </c>
      <c r="GR279" s="9">
        <f>GN279+GO279+GP279+GQ279</f>
        <v/>
      </c>
      <c r="GS279" s="8" t="n">
        <v>19646</v>
      </c>
      <c r="GT279" s="8" t="n">
        <v>0</v>
      </c>
      <c r="GU279" s="8" t="n">
        <v>2679</v>
      </c>
      <c r="GV279" s="8" t="n">
        <v>1786</v>
      </c>
      <c r="GW279" s="9">
        <f>GS279+GT279+GU279+GV279</f>
        <v/>
      </c>
      <c r="GX279" s="9">
        <f>GM279+GR279+GW279</f>
        <v/>
      </c>
      <c r="GY279" s="8" t="n">
        <v>11717196.31999999</v>
      </c>
      <c r="GZ279" s="8" t="n">
        <v>-30403.8</v>
      </c>
      <c r="HA279" s="9">
        <f>GY279+GZ279</f>
        <v/>
      </c>
      <c r="HB279" s="9">
        <f>IF(GX279=0,"",AU279/GX279)</f>
        <v/>
      </c>
      <c r="HC279" s="10">
        <f>IF((GX279+GY279)=0,"",GB279/(GX279+GY279))</f>
        <v/>
      </c>
      <c r="HD279" s="9">
        <f>IF(GX279=0,"",GB279/GX279)</f>
        <v/>
      </c>
      <c r="HE279" s="8" t="n">
        <v>1</v>
      </c>
      <c r="HF279" s="8" t="n">
        <v>1</v>
      </c>
      <c r="HG279" s="8" t="n">
        <v>2</v>
      </c>
      <c r="HH279" s="8" t="n">
        <v>1</v>
      </c>
      <c r="HI279" s="8" t="n">
        <v>1</v>
      </c>
      <c r="HJ279" s="9">
        <f>HF279+HI279</f>
        <v/>
      </c>
      <c r="HK279" s="10">
        <f>IF(HE279=0,"",HH279/HE279)</f>
        <v/>
      </c>
      <c r="HL279" s="8" t="n">
        <v>0</v>
      </c>
      <c r="HM279" s="8" t="n">
        <v>0</v>
      </c>
      <c r="HN279" s="11">
        <f>IF(HL279=0,"",HM279/HL279)</f>
        <v/>
      </c>
    </row>
    <row r="280">
      <c r="A280" s="12" t="inlineStr">
        <is>
          <t>Zomba</t>
        </is>
      </c>
      <c r="B280" s="12" t="inlineStr">
        <is>
          <t>Chiradzulu</t>
        </is>
      </c>
      <c r="C280" s="13" t="inlineStr">
        <is>
          <t>FY2025/26</t>
        </is>
      </c>
      <c r="D280" s="13" t="n">
        <v>2025</v>
      </c>
      <c r="E280" s="13" t="n">
        <v>5</v>
      </c>
      <c r="F280" s="13" t="inlineStr">
        <is>
          <t>May</t>
        </is>
      </c>
      <c r="G280" s="13" t="inlineStr">
        <is>
          <t>Q1</t>
        </is>
      </c>
      <c r="H280" s="14" t="n">
        <v>3044</v>
      </c>
      <c r="I280" s="14" t="n">
        <v>169</v>
      </c>
      <c r="J280" s="14" t="n">
        <v>0</v>
      </c>
      <c r="K280" s="14" t="n">
        <v>18</v>
      </c>
      <c r="L280" s="14" t="n">
        <v>5</v>
      </c>
      <c r="M280" s="15">
        <f>SUM(I280,J280,K280,L280)</f>
        <v/>
      </c>
      <c r="N280" s="14" t="n">
        <v>1743.8</v>
      </c>
      <c r="O280" s="14" t="n">
        <v>0</v>
      </c>
      <c r="P280" s="14" t="n">
        <v>124.4</v>
      </c>
      <c r="Q280" s="14" t="n">
        <v>35.6</v>
      </c>
      <c r="R280" s="15">
        <f>SUM(N280,O280,P280,Q280)</f>
        <v/>
      </c>
      <c r="S280" s="15">
        <f>M280+R280</f>
        <v/>
      </c>
      <c r="T280" s="14" t="n">
        <v>948.200000000002</v>
      </c>
      <c r="U280" s="16">
        <f>IF(H280=0,"",T280/H280)</f>
        <v/>
      </c>
      <c r="V280" s="14" t="n">
        <v>6.5</v>
      </c>
      <c r="W280" s="17">
        <f>IF(H280=0,"",V280/H280)</f>
        <v/>
      </c>
      <c r="X280" s="14" t="n">
        <v>0</v>
      </c>
      <c r="Y280" s="17">
        <f>IF(H280=0,"",X280/H280)</f>
        <v/>
      </c>
      <c r="Z280" s="14" t="n">
        <v>0</v>
      </c>
      <c r="AA280" s="17">
        <f>IF(H280=0,"",Z280/H280)</f>
        <v/>
      </c>
      <c r="AB280" s="14" t="n">
        <v>0</v>
      </c>
      <c r="AC280" s="17">
        <f>IF(H280=0,"",AB280/H280)</f>
        <v/>
      </c>
      <c r="AD280" s="14" t="n">
        <v>0</v>
      </c>
      <c r="AE280" s="17">
        <f>IF(H280=0,"",AD280/H280)</f>
        <v/>
      </c>
      <c r="AF280" s="14" t="n">
        <v>0</v>
      </c>
      <c r="AG280" s="17">
        <f>IF(H280=0,"",AF280/H280)</f>
        <v/>
      </c>
      <c r="AH280" s="14" t="n">
        <v>169000</v>
      </c>
      <c r="AI280" s="15">
        <f>IF(H280=0,"",AH280/H280)</f>
        <v/>
      </c>
      <c r="AJ280" s="14" t="n">
        <v>14.01</v>
      </c>
      <c r="AK280" s="17">
        <f>IF(H280=0,"",AJ280/H280)</f>
        <v/>
      </c>
      <c r="AL280" s="14" t="n">
        <v>35435.50909</v>
      </c>
      <c r="AM280" s="15">
        <f>IF(H280=0,"",AL280/H280)</f>
        <v/>
      </c>
      <c r="AN280" s="14" t="n">
        <v>0</v>
      </c>
      <c r="AO280" s="14" t="n">
        <v>0</v>
      </c>
      <c r="AP280" s="14" t="n">
        <v>0</v>
      </c>
      <c r="AQ280" s="14" t="n">
        <v>0</v>
      </c>
      <c r="AR280" s="14" t="n">
        <v>0</v>
      </c>
      <c r="AS280" s="14" t="n">
        <v>0</v>
      </c>
      <c r="AT280" s="14" t="n">
        <v>0</v>
      </c>
      <c r="AU280" s="15">
        <f>AH280+AL280+AP280+AQ280+AR280+AS280+AT280</f>
        <v/>
      </c>
      <c r="AV280" s="15">
        <f>IF(H280=0,"",AU280/H280)</f>
        <v/>
      </c>
      <c r="AW280" s="15">
        <f>IF(S280=0,"",AU280/S280)</f>
        <v/>
      </c>
      <c r="AX280" s="14" t="n">
        <v>4</v>
      </c>
      <c r="AY280" s="15">
        <f>IF(H280=0,"",AX280/(H280/1000/12))</f>
        <v/>
      </c>
      <c r="AZ280" s="14" t="n">
        <v>6</v>
      </c>
      <c r="BA280" s="14" t="n">
        <v>2</v>
      </c>
      <c r="BB280" s="14" t="n">
        <v>0</v>
      </c>
      <c r="BC280" s="14" t="n">
        <v>2</v>
      </c>
      <c r="BD280" s="14" t="n">
        <v>0</v>
      </c>
      <c r="BE280" s="15">
        <f>BC280+BD280</f>
        <v/>
      </c>
      <c r="BF280" s="15">
        <f>BA280+BB280-BE280</f>
        <v/>
      </c>
      <c r="BG280" s="14" t="n">
        <v>0</v>
      </c>
      <c r="BH280" s="14" t="n">
        <v>0</v>
      </c>
      <c r="BI280" s="14" t="n">
        <v>0</v>
      </c>
      <c r="BJ280" s="14" t="n">
        <v>0</v>
      </c>
      <c r="BK280" s="15">
        <f>BI280+BJ280</f>
        <v/>
      </c>
      <c r="BL280" s="15">
        <f>BG280+BH280-BK280</f>
        <v/>
      </c>
      <c r="BM280" s="14" t="n">
        <v>0</v>
      </c>
      <c r="BN280" s="14" t="n">
        <v>0</v>
      </c>
      <c r="BO280" s="14" t="n">
        <v>0</v>
      </c>
      <c r="BP280" s="14" t="n">
        <v>0</v>
      </c>
      <c r="BQ280" s="15">
        <f>BO280+BP280</f>
        <v/>
      </c>
      <c r="BR280" s="15">
        <f>BM280+BN280-BQ280</f>
        <v/>
      </c>
      <c r="BS280" s="14" t="n">
        <v>0</v>
      </c>
      <c r="BT280" s="14" t="n">
        <v>0</v>
      </c>
      <c r="BU280" s="14" t="n">
        <v>0</v>
      </c>
      <c r="BV280" s="14" t="n">
        <v>0</v>
      </c>
      <c r="BW280" s="15">
        <f>BU280+BV280</f>
        <v/>
      </c>
      <c r="BX280" s="15">
        <f>BS280+BT280-BW280</f>
        <v/>
      </c>
      <c r="BY280" s="15">
        <f>BA280+BG280+BM280+BS280</f>
        <v/>
      </c>
      <c r="BZ280" s="15">
        <f>BB280+BH280+BN280+BT280</f>
        <v/>
      </c>
      <c r="CA280" s="15">
        <f>BE280+BK280+BQ280+BW280</f>
        <v/>
      </c>
      <c r="CB280" s="15">
        <f>BF280+BL280+BR280+BX280</f>
        <v/>
      </c>
      <c r="CC280" s="14" t="n">
        <v>61</v>
      </c>
      <c r="CD280" s="14" t="n">
        <v>67</v>
      </c>
      <c r="CE280" s="14" t="n">
        <v>47</v>
      </c>
      <c r="CF280" s="14" t="n">
        <v>10</v>
      </c>
      <c r="CG280" s="14" t="n">
        <v>0</v>
      </c>
      <c r="CH280" s="15">
        <f>CD280+CE280+CF280+CG280</f>
        <v/>
      </c>
      <c r="CI280" s="14" t="n">
        <v>25</v>
      </c>
      <c r="CJ280" s="14" t="n">
        <v>3</v>
      </c>
      <c r="CK280" s="14" t="n">
        <v>1</v>
      </c>
      <c r="CL280" s="14" t="n">
        <v>0</v>
      </c>
      <c r="CM280" s="15">
        <f>CI280+CJ280+CK280+CL280</f>
        <v/>
      </c>
      <c r="CN280" s="14" t="n">
        <v>302</v>
      </c>
      <c r="CO280" s="14" t="n">
        <v>14</v>
      </c>
      <c r="CP280" s="14" t="n">
        <v>2</v>
      </c>
      <c r="CQ280" s="14" t="n">
        <v>0</v>
      </c>
      <c r="CR280" s="15">
        <f>CN280+CO280+CP280+CQ280</f>
        <v/>
      </c>
      <c r="CS280" s="15">
        <f>CM280+CR280</f>
        <v/>
      </c>
      <c r="CT280" s="14" t="n">
        <v>471</v>
      </c>
      <c r="CU280" s="14" t="n">
        <v>3403</v>
      </c>
      <c r="CV280" s="14" t="n">
        <v>2532.6</v>
      </c>
      <c r="CW280" s="16">
        <f>IF(CU280=0,"",CV280/CU280)</f>
        <v/>
      </c>
      <c r="CX280" s="14" t="n">
        <v>0</v>
      </c>
      <c r="CY280" s="14" t="n">
        <v>0</v>
      </c>
      <c r="CZ280" s="14" t="n">
        <v>0</v>
      </c>
      <c r="DA280" s="14" t="n">
        <v>0</v>
      </c>
      <c r="DB280" s="15">
        <f>CX280+CY280-CZ280-DA280</f>
        <v/>
      </c>
      <c r="DC280" s="14" t="n">
        <v>0</v>
      </c>
      <c r="DD280" s="14" t="n">
        <v>0</v>
      </c>
      <c r="DE280" s="14" t="n">
        <v>0</v>
      </c>
      <c r="DF280" s="14" t="n">
        <v>0</v>
      </c>
      <c r="DG280" s="15">
        <f>DC280+DD280-DE280-DF280</f>
        <v/>
      </c>
      <c r="DH280" s="14" t="n">
        <v>0</v>
      </c>
      <c r="DI280" s="14" t="n">
        <v>0</v>
      </c>
      <c r="DJ280" s="14" t="n">
        <v>0</v>
      </c>
      <c r="DK280" s="14" t="n">
        <v>0</v>
      </c>
      <c r="DL280" s="15">
        <f>DH280+DI280-DJ280-DK280</f>
        <v/>
      </c>
      <c r="DM280" s="14" t="n">
        <v>0</v>
      </c>
      <c r="DN280" s="14" t="n">
        <v>0</v>
      </c>
      <c r="DO280" s="14" t="n">
        <v>0</v>
      </c>
      <c r="DP280" s="14" t="n">
        <v>0</v>
      </c>
      <c r="DQ280" s="15">
        <f>DM280+DN280-DO280-DP280</f>
        <v/>
      </c>
      <c r="DR280" s="15">
        <f>CX280+DC280+DH280+DM280</f>
        <v/>
      </c>
      <c r="DS280" s="15">
        <f>CY280+DD280+DI280+DN280</f>
        <v/>
      </c>
      <c r="DT280" s="15">
        <f>CZ280+DE280+DJ280+DO280</f>
        <v/>
      </c>
      <c r="DU280" s="15">
        <f>DA280+DF280+DK280+DP280</f>
        <v/>
      </c>
      <c r="DV280" s="15">
        <f>DB280+DG280+DL280+DQ280</f>
        <v/>
      </c>
      <c r="DW280" s="14" t="n">
        <v>8</v>
      </c>
      <c r="DX280" s="14" t="n">
        <v>1</v>
      </c>
      <c r="DY280" s="14" t="n">
        <v>3</v>
      </c>
      <c r="DZ280" s="14" t="n">
        <v>0</v>
      </c>
      <c r="EA280" s="14" t="n">
        <v>0</v>
      </c>
      <c r="EB280" s="14" t="n">
        <v>0</v>
      </c>
      <c r="EC280" s="14" t="n">
        <v>0</v>
      </c>
      <c r="ED280" s="14" t="n">
        <v>0</v>
      </c>
      <c r="EE280" s="14" t="n">
        <v>1</v>
      </c>
      <c r="EF280" s="14" t="n">
        <v>0</v>
      </c>
      <c r="EG280" s="14" t="n">
        <v>0</v>
      </c>
      <c r="EH280" s="14" t="n">
        <v>0</v>
      </c>
      <c r="EI280" s="14" t="n">
        <v>0</v>
      </c>
      <c r="EJ280" s="14" t="n">
        <v>0</v>
      </c>
      <c r="EK280" s="14" t="n">
        <v>0</v>
      </c>
      <c r="EL280" s="14" t="n">
        <v>0</v>
      </c>
      <c r="EM280" s="14" t="n">
        <v>0</v>
      </c>
      <c r="EN280" s="14" t="n">
        <v>0</v>
      </c>
      <c r="EO280" s="14" t="n">
        <v>0</v>
      </c>
      <c r="EP280" s="14" t="n">
        <v>0</v>
      </c>
      <c r="EQ280" s="14" t="n">
        <v>0</v>
      </c>
      <c r="ER280" s="14" t="n">
        <v>0</v>
      </c>
      <c r="ES280" s="14" t="n">
        <v>0</v>
      </c>
      <c r="ET280" s="14" t="n">
        <v>0</v>
      </c>
      <c r="EU280" s="14" t="n">
        <v>0</v>
      </c>
      <c r="EV280" s="14" t="n">
        <v>0</v>
      </c>
      <c r="EW280" s="14" t="n">
        <v>0</v>
      </c>
      <c r="EX280" s="14" t="n">
        <v>0</v>
      </c>
      <c r="EY280" s="14" t="n">
        <v>0</v>
      </c>
      <c r="EZ280" s="14" t="n">
        <v>0</v>
      </c>
      <c r="FA280" s="14" t="n">
        <v>0</v>
      </c>
      <c r="FB280" s="14" t="n">
        <v>0</v>
      </c>
      <c r="FC280" s="14" t="n">
        <v>0</v>
      </c>
      <c r="FD280" s="14" t="n">
        <v>0</v>
      </c>
      <c r="FE280" s="14" t="n">
        <v>0</v>
      </c>
      <c r="FF280" s="14" t="n">
        <v>0</v>
      </c>
      <c r="FG280" s="15">
        <f>SUM(DW280,DX280,DY280,DZ280,EA280,EB280,EC280,ED280,EE280,EF280,EG280,EH280,EI280,EJ280,EK280,EL280,EM280,EN280,EO280,EP280,EQ280,ER280,ES280,ET280,EU280,EV280,EW280,EX280,EY280,EZ280,FA280,FB280,FC280,FD280,FE280,FF280)</f>
        <v/>
      </c>
      <c r="FH280" s="14" t="n">
        <v>0</v>
      </c>
      <c r="FI280" s="14" t="n">
        <v>0</v>
      </c>
      <c r="FJ280" s="14" t="n">
        <v>15</v>
      </c>
      <c r="FK280" s="14" t="n">
        <v>0</v>
      </c>
      <c r="FL280" s="14" t="n">
        <v>0</v>
      </c>
      <c r="FM280" s="14" t="n">
        <v>0</v>
      </c>
      <c r="FN280" s="14" t="n">
        <v>0</v>
      </c>
      <c r="FO280" s="14" t="n">
        <v>0</v>
      </c>
      <c r="FP280" s="14" t="n">
        <v>0</v>
      </c>
      <c r="FQ280" s="15">
        <f>FL280+FM280+FN280+FO280+FP280</f>
        <v/>
      </c>
      <c r="FR280" s="14" t="n">
        <v>5651.89</v>
      </c>
      <c r="FS280" s="14" t="n">
        <v>0</v>
      </c>
      <c r="FT280" s="14" t="n">
        <v>0</v>
      </c>
      <c r="FU280" s="14" t="n">
        <v>0</v>
      </c>
      <c r="FV280" s="15">
        <f>FR280+FS280+FT280+FU280</f>
        <v/>
      </c>
      <c r="FW280" s="14" t="n">
        <v>2279460</v>
      </c>
      <c r="FX280" s="14" t="n">
        <v>0</v>
      </c>
      <c r="FY280" s="14" t="n">
        <v>168000</v>
      </c>
      <c r="FZ280" s="14" t="n">
        <v>405540</v>
      </c>
      <c r="GA280" s="15">
        <f>FW280+FX280+FY280+FZ280</f>
        <v/>
      </c>
      <c r="GB280" s="15">
        <f>FV280+GA280</f>
        <v/>
      </c>
      <c r="GC280" s="14" t="n">
        <v>166763.71</v>
      </c>
      <c r="GD280" s="14" t="n">
        <v>0</v>
      </c>
      <c r="GE280" s="14" t="n">
        <v>59706.65</v>
      </c>
      <c r="GF280" s="14" t="n">
        <v>11796.63</v>
      </c>
      <c r="GG280" s="15">
        <f>GC280+GD280+GE280+GF280</f>
        <v/>
      </c>
      <c r="GH280" s="14" t="n">
        <v>2174755.38</v>
      </c>
      <c r="GI280" s="14" t="n">
        <v>0</v>
      </c>
      <c r="GJ280" s="14" t="n">
        <v>377940</v>
      </c>
      <c r="GK280" s="14" t="n">
        <v>168000</v>
      </c>
      <c r="GL280" s="15">
        <f>GH280+GI280+GJ280+GK280</f>
        <v/>
      </c>
      <c r="GM280" s="15">
        <f>GG280+GL280</f>
        <v/>
      </c>
      <c r="GN280" s="14" t="n">
        <v>13131.7</v>
      </c>
      <c r="GO280" s="14" t="n">
        <v>0</v>
      </c>
      <c r="GP280" s="14" t="n">
        <v>10180.92</v>
      </c>
      <c r="GQ280" s="14" t="n">
        <v>4637.34</v>
      </c>
      <c r="GR280" s="15">
        <f>GN280+GO280+GP280+GQ280</f>
        <v/>
      </c>
      <c r="GS280" s="14" t="n">
        <v>22325</v>
      </c>
      <c r="GT280" s="14" t="n">
        <v>0</v>
      </c>
      <c r="GU280" s="14" t="n">
        <v>2679</v>
      </c>
      <c r="GV280" s="14" t="n">
        <v>893</v>
      </c>
      <c r="GW280" s="15">
        <f>GS280+GT280+GU280+GV280</f>
        <v/>
      </c>
      <c r="GX280" s="15">
        <f>GM280+GR280+GW280</f>
        <v/>
      </c>
      <c r="GY280" s="14" t="n">
        <v>12099924.88</v>
      </c>
      <c r="GZ280" s="14" t="n">
        <v>-30403.8</v>
      </c>
      <c r="HA280" s="9">
        <f>GY280+GZ280</f>
        <v/>
      </c>
      <c r="HB280" s="15">
        <f>IF(GX280=0,"",AU280/GX280)</f>
        <v/>
      </c>
      <c r="HC280" s="16">
        <f>IF((GX280+GY280)=0,"",GB280/(GX280+GY280))</f>
        <v/>
      </c>
      <c r="HD280" s="15">
        <f>IF(GX280=0,"",GB280/GX280)</f>
        <v/>
      </c>
      <c r="HE280" s="14" t="n">
        <v>2</v>
      </c>
      <c r="HF280" s="14" t="n">
        <v>1</v>
      </c>
      <c r="HG280" s="14" t="n">
        <v>0</v>
      </c>
      <c r="HH280" s="14" t="n">
        <v>0</v>
      </c>
      <c r="HI280" s="14" t="n">
        <v>2</v>
      </c>
      <c r="HJ280" s="15">
        <f>HF280+HI280</f>
        <v/>
      </c>
      <c r="HK280" s="16">
        <f>IF(HE280=0,"",HH280/HE280)</f>
        <v/>
      </c>
      <c r="HL280" s="14" t="n">
        <v>0</v>
      </c>
      <c r="HM280" s="14" t="n">
        <v>0</v>
      </c>
      <c r="HN280" s="17">
        <f>IF(HL280=0,"",HM280/HL280)</f>
        <v/>
      </c>
    </row>
    <row r="281">
      <c r="A281" s="6" t="inlineStr">
        <is>
          <t>Zomba</t>
        </is>
      </c>
      <c r="B281" s="6" t="inlineStr">
        <is>
          <t>Chiradzulu</t>
        </is>
      </c>
      <c r="C281" s="7" t="inlineStr">
        <is>
          <t>FY2025/26</t>
        </is>
      </c>
      <c r="D281" s="7" t="n">
        <v>2025</v>
      </c>
      <c r="E281" s="7" t="n">
        <v>6</v>
      </c>
      <c r="F281" s="7" t="inlineStr">
        <is>
          <t>June</t>
        </is>
      </c>
      <c r="G281" s="7" t="inlineStr">
        <is>
          <t>Q1</t>
        </is>
      </c>
      <c r="H281" s="8" t="n">
        <v>2774</v>
      </c>
      <c r="I281" s="8" t="n">
        <v>126</v>
      </c>
      <c r="J281" s="8" t="n">
        <v>0</v>
      </c>
      <c r="K281" s="8" t="n">
        <v>7</v>
      </c>
      <c r="L281" s="8" t="n">
        <v>5</v>
      </c>
      <c r="M281" s="9">
        <f>SUM(I281,J281,K281,L281)</f>
        <v/>
      </c>
      <c r="N281" s="8" t="n">
        <v>1671.8</v>
      </c>
      <c r="O281" s="8" t="n">
        <v>0</v>
      </c>
      <c r="P281" s="8" t="n">
        <v>90</v>
      </c>
      <c r="Q281" s="8" t="n">
        <v>31.7</v>
      </c>
      <c r="R281" s="9">
        <f>SUM(N281,O281,P281,Q281)</f>
        <v/>
      </c>
      <c r="S281" s="9">
        <f>M281+R281</f>
        <v/>
      </c>
      <c r="T281" s="8" t="n">
        <v>842.500000000002</v>
      </c>
      <c r="U281" s="10">
        <f>IF(H281=0,"",T281/H281)</f>
        <v/>
      </c>
      <c r="V281" s="8" t="n">
        <v>7.5</v>
      </c>
      <c r="W281" s="11">
        <f>IF(H281=0,"",V281/H281)</f>
        <v/>
      </c>
      <c r="X281" s="8" t="n">
        <v>0</v>
      </c>
      <c r="Y281" s="11">
        <f>IF(H281=0,"",X281/H281)</f>
        <v/>
      </c>
      <c r="Z281" s="8" t="n">
        <v>0</v>
      </c>
      <c r="AA281" s="11">
        <f>IF(H281=0,"",Z281/H281)</f>
        <v/>
      </c>
      <c r="AB281" s="8" t="n">
        <v>0</v>
      </c>
      <c r="AC281" s="11">
        <f>IF(H281=0,"",AB281/H281)</f>
        <v/>
      </c>
      <c r="AD281" s="8" t="n">
        <v>0</v>
      </c>
      <c r="AE281" s="11">
        <f>IF(H281=0,"",AD281/H281)</f>
        <v/>
      </c>
      <c r="AF281" s="8" t="n">
        <v>0</v>
      </c>
      <c r="AG281" s="11">
        <f>IF(H281=0,"",AF281/H281)</f>
        <v/>
      </c>
      <c r="AH281" s="8" t="n">
        <v>195000</v>
      </c>
      <c r="AI281" s="9">
        <f>IF(H281=0,"",AH281/H281)</f>
        <v/>
      </c>
      <c r="AJ281" s="8" t="n">
        <v>7</v>
      </c>
      <c r="AK281" s="11">
        <f>IF(H281=0,"",AJ281/H281)</f>
        <v/>
      </c>
      <c r="AL281" s="8" t="n">
        <v>33519.613</v>
      </c>
      <c r="AM281" s="9">
        <f>IF(H281=0,"",AL281/H281)</f>
        <v/>
      </c>
      <c r="AN281" s="8" t="n">
        <v>0</v>
      </c>
      <c r="AO281" s="8" t="n">
        <v>0</v>
      </c>
      <c r="AP281" s="8" t="n">
        <v>0</v>
      </c>
      <c r="AQ281" s="8" t="n">
        <v>0</v>
      </c>
      <c r="AR281" s="8" t="n">
        <v>0</v>
      </c>
      <c r="AS281" s="8" t="n">
        <v>0</v>
      </c>
      <c r="AT281" s="8" t="n">
        <v>0</v>
      </c>
      <c r="AU281" s="9">
        <f>AH281+AL281+AP281+AQ281+AR281+AS281+AT281</f>
        <v/>
      </c>
      <c r="AV281" s="9">
        <f>IF(H281=0,"",AU281/H281)</f>
        <v/>
      </c>
      <c r="AW281" s="9">
        <f>IF(S281=0,"",AU281/S281)</f>
        <v/>
      </c>
      <c r="AX281" s="8" t="n">
        <v>4</v>
      </c>
      <c r="AY281" s="9">
        <f>IF(H281=0,"",AX281/(H281/1000/12))</f>
        <v/>
      </c>
      <c r="AZ281" s="8" t="n">
        <v>6</v>
      </c>
      <c r="BA281" s="8" t="n">
        <v>0</v>
      </c>
      <c r="BB281" s="8" t="n">
        <v>12</v>
      </c>
      <c r="BC281" s="8" t="n">
        <v>0</v>
      </c>
      <c r="BD281" s="8" t="n">
        <v>0</v>
      </c>
      <c r="BE281" s="9">
        <f>BC281+BD281</f>
        <v/>
      </c>
      <c r="BF281" s="9">
        <f>BA281+BB281-BE281</f>
        <v/>
      </c>
      <c r="BG281" s="8" t="n">
        <v>0</v>
      </c>
      <c r="BH281" s="8" t="n">
        <v>0</v>
      </c>
      <c r="BI281" s="8" t="n">
        <v>0</v>
      </c>
      <c r="BJ281" s="8" t="n">
        <v>0</v>
      </c>
      <c r="BK281" s="9">
        <f>BI281+BJ281</f>
        <v/>
      </c>
      <c r="BL281" s="9">
        <f>BG281+BH281-BK281</f>
        <v/>
      </c>
      <c r="BM281" s="8" t="n">
        <v>0</v>
      </c>
      <c r="BN281" s="8" t="n">
        <v>0</v>
      </c>
      <c r="BO281" s="8" t="n">
        <v>0</v>
      </c>
      <c r="BP281" s="8" t="n">
        <v>0</v>
      </c>
      <c r="BQ281" s="9">
        <f>BO281+BP281</f>
        <v/>
      </c>
      <c r="BR281" s="9">
        <f>BM281+BN281-BQ281</f>
        <v/>
      </c>
      <c r="BS281" s="8" t="n">
        <v>0</v>
      </c>
      <c r="BT281" s="8" t="n">
        <v>0</v>
      </c>
      <c r="BU281" s="8" t="n">
        <v>0</v>
      </c>
      <c r="BV281" s="8" t="n">
        <v>0</v>
      </c>
      <c r="BW281" s="9">
        <f>BU281+BV281</f>
        <v/>
      </c>
      <c r="BX281" s="9">
        <f>BS281+BT281-BW281</f>
        <v/>
      </c>
      <c r="BY281" s="9">
        <f>BA281+BG281+BM281+BS281</f>
        <v/>
      </c>
      <c r="BZ281" s="9">
        <f>BB281+BH281+BN281+BT281</f>
        <v/>
      </c>
      <c r="CA281" s="9">
        <f>BE281+BK281+BQ281+BW281</f>
        <v/>
      </c>
      <c r="CB281" s="9">
        <f>BF281+BL281+BR281+BX281</f>
        <v/>
      </c>
      <c r="CC281" s="8" t="n">
        <v>0</v>
      </c>
      <c r="CD281" s="8" t="n">
        <v>65</v>
      </c>
      <c r="CE281" s="8" t="n">
        <v>47</v>
      </c>
      <c r="CF281" s="8" t="n">
        <v>10</v>
      </c>
      <c r="CG281" s="8" t="n">
        <v>0</v>
      </c>
      <c r="CH281" s="9">
        <f>CD281+CE281+CF281+CG281</f>
        <v/>
      </c>
      <c r="CI281" s="8" t="n">
        <v>27</v>
      </c>
      <c r="CJ281" s="8" t="n">
        <v>3</v>
      </c>
      <c r="CK281" s="8" t="n">
        <v>1</v>
      </c>
      <c r="CL281" s="8" t="n">
        <v>0</v>
      </c>
      <c r="CM281" s="9">
        <f>CI281+CJ281+CK281+CL281</f>
        <v/>
      </c>
      <c r="CN281" s="8" t="n">
        <v>302</v>
      </c>
      <c r="CO281" s="8" t="n">
        <v>14</v>
      </c>
      <c r="CP281" s="8" t="n">
        <v>2</v>
      </c>
      <c r="CQ281" s="8" t="n">
        <v>0</v>
      </c>
      <c r="CR281" s="9">
        <f>CN281+CO281+CP281+CQ281</f>
        <v/>
      </c>
      <c r="CS281" s="9">
        <f>CM281+CR281</f>
        <v/>
      </c>
      <c r="CT281" s="8" t="n">
        <v>471</v>
      </c>
      <c r="CU281" s="8" t="n">
        <v>3408</v>
      </c>
      <c r="CV281" s="8" t="n">
        <v>2533</v>
      </c>
      <c r="CW281" s="10">
        <f>IF(CU281=0,"",CV281/CU281)</f>
        <v/>
      </c>
      <c r="CX281" s="8" t="n">
        <v>0</v>
      </c>
      <c r="CY281" s="8" t="n">
        <v>0</v>
      </c>
      <c r="CZ281" s="8" t="n">
        <v>0</v>
      </c>
      <c r="DA281" s="8" t="n">
        <v>0</v>
      </c>
      <c r="DB281" s="9">
        <f>CX281+CY281-CZ281-DA281</f>
        <v/>
      </c>
      <c r="DC281" s="8" t="n">
        <v>0</v>
      </c>
      <c r="DD281" s="8" t="n">
        <v>0</v>
      </c>
      <c r="DE281" s="8" t="n">
        <v>0</v>
      </c>
      <c r="DF281" s="8" t="n">
        <v>0</v>
      </c>
      <c r="DG281" s="9">
        <f>DC281+DD281-DE281-DF281</f>
        <v/>
      </c>
      <c r="DH281" s="8" t="n">
        <v>0</v>
      </c>
      <c r="DI281" s="8" t="n">
        <v>0</v>
      </c>
      <c r="DJ281" s="8" t="n">
        <v>0</v>
      </c>
      <c r="DK281" s="8" t="n">
        <v>0</v>
      </c>
      <c r="DL281" s="9">
        <f>DH281+DI281-DJ281-DK281</f>
        <v/>
      </c>
      <c r="DM281" s="8" t="n">
        <v>0</v>
      </c>
      <c r="DN281" s="8" t="n">
        <v>0</v>
      </c>
      <c r="DO281" s="8" t="n">
        <v>0</v>
      </c>
      <c r="DP281" s="8" t="n">
        <v>0</v>
      </c>
      <c r="DQ281" s="9">
        <f>DM281+DN281-DO281-DP281</f>
        <v/>
      </c>
      <c r="DR281" s="9">
        <f>CX281+DC281+DH281+DM281</f>
        <v/>
      </c>
      <c r="DS281" s="9">
        <f>CY281+DD281+DI281+DN281</f>
        <v/>
      </c>
      <c r="DT281" s="9">
        <f>CZ281+DE281+DJ281+DO281</f>
        <v/>
      </c>
      <c r="DU281" s="9">
        <f>DA281+DF281+DK281+DP281</f>
        <v/>
      </c>
      <c r="DV281" s="9">
        <f>DB281+DG281+DL281+DQ281</f>
        <v/>
      </c>
      <c r="DW281" s="8" t="n">
        <v>4</v>
      </c>
      <c r="DX281" s="8" t="n">
        <v>2</v>
      </c>
      <c r="DY281" s="8" t="n">
        <v>3</v>
      </c>
      <c r="DZ281" s="8" t="n">
        <v>0</v>
      </c>
      <c r="EA281" s="8" t="n">
        <v>0</v>
      </c>
      <c r="EB281" s="8" t="n">
        <v>3</v>
      </c>
      <c r="EC281" s="8" t="n">
        <v>0</v>
      </c>
      <c r="ED281" s="8" t="n">
        <v>0</v>
      </c>
      <c r="EE281" s="8" t="n">
        <v>0</v>
      </c>
      <c r="EF281" s="8" t="n">
        <v>0</v>
      </c>
      <c r="EG281" s="8" t="n">
        <v>0</v>
      </c>
      <c r="EH281" s="8" t="n">
        <v>0</v>
      </c>
      <c r="EI281" s="8" t="n">
        <v>0</v>
      </c>
      <c r="EJ281" s="8" t="n">
        <v>2</v>
      </c>
      <c r="EK281" s="8" t="n">
        <v>0</v>
      </c>
      <c r="EL281" s="8" t="n">
        <v>0</v>
      </c>
      <c r="EM281" s="8" t="n">
        <v>0</v>
      </c>
      <c r="EN281" s="8" t="n">
        <v>0</v>
      </c>
      <c r="EO281" s="8" t="n">
        <v>0</v>
      </c>
      <c r="EP281" s="8" t="n">
        <v>0</v>
      </c>
      <c r="EQ281" s="8" t="n">
        <v>0</v>
      </c>
      <c r="ER281" s="8" t="n">
        <v>0</v>
      </c>
      <c r="ES281" s="8" t="n">
        <v>0</v>
      </c>
      <c r="ET281" s="8" t="n">
        <v>0</v>
      </c>
      <c r="EU281" s="8" t="n">
        <v>0</v>
      </c>
      <c r="EV281" s="8" t="n">
        <v>0</v>
      </c>
      <c r="EW281" s="8" t="n">
        <v>0</v>
      </c>
      <c r="EX281" s="8" t="n">
        <v>0</v>
      </c>
      <c r="EY281" s="8" t="n">
        <v>0</v>
      </c>
      <c r="EZ281" s="8" t="n">
        <v>0</v>
      </c>
      <c r="FA281" s="8" t="n">
        <v>0</v>
      </c>
      <c r="FB281" s="8" t="n">
        <v>0</v>
      </c>
      <c r="FC281" s="8" t="n">
        <v>0</v>
      </c>
      <c r="FD281" s="8" t="n">
        <v>0</v>
      </c>
      <c r="FE281" s="8" t="n">
        <v>0</v>
      </c>
      <c r="FF281" s="8" t="n">
        <v>0</v>
      </c>
      <c r="FG281" s="9">
        <f>SUM(DW281,DX281,DY281,DZ281,EA281,EB281,EC281,ED281,EE281,EF281,EG281,EH281,EI281,EJ281,EK281,EL281,EM281,EN281,EO281,EP281,EQ281,ER281,ES281,ET281,EU281,EV281,EW281,EX281,EY281,EZ281,FA281,FB281,FC281,FD281,FE281,FF281)</f>
        <v/>
      </c>
      <c r="FH281" s="8" t="n">
        <v>0</v>
      </c>
      <c r="FI281" s="8" t="n">
        <v>0</v>
      </c>
      <c r="FJ281" s="8" t="n">
        <v>14</v>
      </c>
      <c r="FK281" s="8" t="n">
        <v>0</v>
      </c>
      <c r="FL281" s="8" t="n">
        <v>0</v>
      </c>
      <c r="FM281" s="8" t="n">
        <v>0</v>
      </c>
      <c r="FN281" s="8" t="n">
        <v>0</v>
      </c>
      <c r="FO281" s="8" t="n">
        <v>0</v>
      </c>
      <c r="FP281" s="8" t="n">
        <v>0</v>
      </c>
      <c r="FQ281" s="9">
        <f>FL281+FM281+FN281+FO281+FP281</f>
        <v/>
      </c>
      <c r="FR281" s="8" t="n">
        <v>338161.21</v>
      </c>
      <c r="FS281" s="8" t="n">
        <v>0</v>
      </c>
      <c r="FT281" s="8" t="n">
        <v>0</v>
      </c>
      <c r="FU281" s="8" t="n">
        <v>0</v>
      </c>
      <c r="FV281" s="9">
        <f>FR281+FS281+FT281+FU281</f>
        <v/>
      </c>
      <c r="FW281" s="8" t="n">
        <v>2147640</v>
      </c>
      <c r="FX281" s="8" t="n">
        <v>0</v>
      </c>
      <c r="FY281" s="8" t="n">
        <v>149900</v>
      </c>
      <c r="FZ281" s="8" t="n">
        <v>347100</v>
      </c>
      <c r="GA281" s="9">
        <f>FW281+FX281+FY281+FZ281</f>
        <v/>
      </c>
      <c r="GB281" s="9">
        <f>FV281+GA281</f>
        <v/>
      </c>
      <c r="GC281" s="8" t="n">
        <v>126289.9</v>
      </c>
      <c r="GD281" s="8" t="n">
        <v>0</v>
      </c>
      <c r="GE281" s="8" t="n">
        <v>25232.97</v>
      </c>
      <c r="GF281" s="8" t="n">
        <v>11796.63</v>
      </c>
      <c r="GG281" s="9">
        <f>GC281+GD281+GE281+GF281</f>
        <v/>
      </c>
      <c r="GH281" s="8" t="n">
        <v>2085856.53</v>
      </c>
      <c r="GI281" s="8" t="n">
        <v>0</v>
      </c>
      <c r="GJ281" s="8" t="n">
        <v>273000</v>
      </c>
      <c r="GK281" s="8" t="n">
        <v>149900</v>
      </c>
      <c r="GL281" s="9">
        <f>GH281+GI281+GJ281+GK281</f>
        <v/>
      </c>
      <c r="GM281" s="9">
        <f>GG281+GL281</f>
        <v/>
      </c>
      <c r="GN281" s="8" t="n">
        <v>14446.42</v>
      </c>
      <c r="GO281" s="8" t="n">
        <v>0</v>
      </c>
      <c r="GP281" s="8" t="n">
        <v>10180.92</v>
      </c>
      <c r="GQ281" s="8" t="n">
        <v>4637.34</v>
      </c>
      <c r="GR281" s="9">
        <f>GN281+GO281+GP281+GQ281</f>
        <v/>
      </c>
      <c r="GS281" s="8" t="n">
        <v>24111</v>
      </c>
      <c r="GT281" s="8" t="n">
        <v>0</v>
      </c>
      <c r="GU281" s="8" t="n">
        <v>2679</v>
      </c>
      <c r="GV281" s="8" t="n">
        <v>893</v>
      </c>
      <c r="GW281" s="9">
        <f>GS281+GT281+GU281+GV281</f>
        <v/>
      </c>
      <c r="GX281" s="9">
        <f>GM281+GR281+GW281</f>
        <v/>
      </c>
      <c r="GY281" s="8" t="n">
        <v>11893646.6</v>
      </c>
      <c r="GZ281" s="8" t="n">
        <v>-30403.8</v>
      </c>
      <c r="HA281" s="9">
        <f>GY281+GZ281</f>
        <v/>
      </c>
      <c r="HB281" s="9">
        <f>IF(GX281=0,"",AU281/GX281)</f>
        <v/>
      </c>
      <c r="HC281" s="10">
        <f>IF((GX281+GY281)=0,"",GB281/(GX281+GY281))</f>
        <v/>
      </c>
      <c r="HD281" s="9">
        <f>IF(GX281=0,"",GB281/GX281)</f>
        <v/>
      </c>
      <c r="HE281" s="8" t="n">
        <v>5</v>
      </c>
      <c r="HF281" s="8" t="n">
        <v>1</v>
      </c>
      <c r="HG281" s="8" t="n">
        <v>12</v>
      </c>
      <c r="HH281" s="8" t="n">
        <v>12</v>
      </c>
      <c r="HI281" s="8" t="n">
        <v>0</v>
      </c>
      <c r="HJ281" s="9">
        <f>HF281+HI281</f>
        <v/>
      </c>
      <c r="HK281" s="10">
        <f>IF(HE281=0,"",HH281/HE281)</f>
        <v/>
      </c>
      <c r="HL281" s="8" t="n">
        <v>0</v>
      </c>
      <c r="HM281" s="8" t="n">
        <v>0</v>
      </c>
      <c r="HN281" s="11">
        <f>IF(HL281=0,"",HM281/HL281)</f>
        <v/>
      </c>
    </row>
    <row r="282">
      <c r="A282" s="12" t="inlineStr">
        <is>
          <t>Zomba</t>
        </is>
      </c>
      <c r="B282" s="12" t="inlineStr">
        <is>
          <t>Chiradzulu</t>
        </is>
      </c>
      <c r="C282" s="13" t="inlineStr">
        <is>
          <t>FY2025/26</t>
        </is>
      </c>
      <c r="D282" s="13" t="n">
        <v>2025</v>
      </c>
      <c r="E282" s="13" t="n">
        <v>7</v>
      </c>
      <c r="F282" s="13" t="inlineStr">
        <is>
          <t>July</t>
        </is>
      </c>
      <c r="G282" s="13" t="inlineStr">
        <is>
          <t>Q2</t>
        </is>
      </c>
      <c r="H282" s="14" t="n">
        <v>2596</v>
      </c>
      <c r="I282" s="14" t="n">
        <v>166</v>
      </c>
      <c r="J282" s="14" t="n">
        <v>0</v>
      </c>
      <c r="K282" s="14" t="n">
        <v>8</v>
      </c>
      <c r="L282" s="14" t="n">
        <v>4</v>
      </c>
      <c r="M282" s="15">
        <f>SUM(I282,J282,K282,L282)</f>
        <v/>
      </c>
      <c r="N282" s="14" t="n">
        <v>1856.2</v>
      </c>
      <c r="O282" s="14" t="n">
        <v>0</v>
      </c>
      <c r="P282" s="14" t="n">
        <v>464</v>
      </c>
      <c r="Q282" s="14" t="n">
        <v>44</v>
      </c>
      <c r="R282" s="15">
        <f>SUM(N282,O282,P282,Q282)</f>
        <v/>
      </c>
      <c r="S282" s="15">
        <f>M282+R282</f>
        <v/>
      </c>
      <c r="T282" s="14" t="n">
        <v>53.8000000000038</v>
      </c>
      <c r="U282" s="16">
        <f>IF(H282=0,"",T282/H282)</f>
        <v/>
      </c>
      <c r="V282" s="14" t="n">
        <v>7</v>
      </c>
      <c r="W282" s="17">
        <f>IF(H282=0,"",V282/H282)</f>
        <v/>
      </c>
      <c r="X282" s="14" t="n">
        <v>0</v>
      </c>
      <c r="Y282" s="17">
        <f>IF(H282=0,"",X282/H282)</f>
        <v/>
      </c>
      <c r="Z282" s="14" t="n">
        <v>0</v>
      </c>
      <c r="AA282" s="17">
        <f>IF(H282=0,"",Z282/H282)</f>
        <v/>
      </c>
      <c r="AB282" s="14" t="n">
        <v>0</v>
      </c>
      <c r="AC282" s="17">
        <f>IF(H282=0,"",AB282/H282)</f>
        <v/>
      </c>
      <c r="AD282" s="14" t="n">
        <v>0</v>
      </c>
      <c r="AE282" s="17">
        <f>IF(H282=0,"",AD282/H282)</f>
        <v/>
      </c>
      <c r="AF282" s="14" t="n">
        <v>0</v>
      </c>
      <c r="AG282" s="17">
        <f>IF(H282=0,"",AF282/H282)</f>
        <v/>
      </c>
      <c r="AH282" s="14" t="n">
        <v>182000</v>
      </c>
      <c r="AI282" s="15">
        <f>IF(H282=0,"",AH282/H282)</f>
        <v/>
      </c>
      <c r="AJ282" s="14" t="n">
        <v>16.43</v>
      </c>
      <c r="AK282" s="17">
        <f>IF(H282=0,"",AJ282/H282)</f>
        <v/>
      </c>
      <c r="AL282" s="14" t="n">
        <v>36096.91687</v>
      </c>
      <c r="AM282" s="15">
        <f>IF(H282=0,"",AL282/H282)</f>
        <v/>
      </c>
      <c r="AN282" s="14" t="n">
        <v>0</v>
      </c>
      <c r="AO282" s="14" t="n">
        <v>0</v>
      </c>
      <c r="AP282" s="14" t="n">
        <v>0</v>
      </c>
      <c r="AQ282" s="14" t="n">
        <v>0</v>
      </c>
      <c r="AR282" s="14" t="n">
        <v>0</v>
      </c>
      <c r="AS282" s="14" t="n">
        <v>0</v>
      </c>
      <c r="AT282" s="14" t="n">
        <v>0</v>
      </c>
      <c r="AU282" s="15">
        <f>AH282+AL282+AP282+AQ282+AR282+AS282+AT282</f>
        <v/>
      </c>
      <c r="AV282" s="15">
        <f>IF(H282=0,"",AU282/H282)</f>
        <v/>
      </c>
      <c r="AW282" s="15">
        <f>IF(S282=0,"",AU282/S282)</f>
        <v/>
      </c>
      <c r="AX282" s="14" t="n">
        <v>4</v>
      </c>
      <c r="AY282" s="15">
        <f>IF(H282=0,"",AX282/(H282/1000/12))</f>
        <v/>
      </c>
      <c r="AZ282" s="14" t="n">
        <v>6</v>
      </c>
      <c r="BA282" s="14" t="n">
        <v>12</v>
      </c>
      <c r="BB282" s="14" t="n">
        <v>3</v>
      </c>
      <c r="BC282" s="14" t="n">
        <v>11</v>
      </c>
      <c r="BD282" s="14" t="n">
        <v>0</v>
      </c>
      <c r="BE282" s="15">
        <f>BC282+BD282</f>
        <v/>
      </c>
      <c r="BF282" s="15">
        <f>BA282+BB282-BE282</f>
        <v/>
      </c>
      <c r="BG282" s="14" t="n">
        <v>0</v>
      </c>
      <c r="BH282" s="14" t="n">
        <v>0</v>
      </c>
      <c r="BI282" s="14" t="n">
        <v>0</v>
      </c>
      <c r="BJ282" s="14" t="n">
        <v>0</v>
      </c>
      <c r="BK282" s="15">
        <f>BI282+BJ282</f>
        <v/>
      </c>
      <c r="BL282" s="15">
        <f>BG282+BH282-BK282</f>
        <v/>
      </c>
      <c r="BM282" s="14" t="n">
        <v>0</v>
      </c>
      <c r="BN282" s="14" t="n">
        <v>0</v>
      </c>
      <c r="BO282" s="14" t="n">
        <v>0</v>
      </c>
      <c r="BP282" s="14" t="n">
        <v>0</v>
      </c>
      <c r="BQ282" s="15">
        <f>BO282+BP282</f>
        <v/>
      </c>
      <c r="BR282" s="15">
        <f>BM282+BN282-BQ282</f>
        <v/>
      </c>
      <c r="BS282" s="14" t="n">
        <v>0</v>
      </c>
      <c r="BT282" s="14" t="n">
        <v>0</v>
      </c>
      <c r="BU282" s="14" t="n">
        <v>0</v>
      </c>
      <c r="BV282" s="14" t="n">
        <v>0</v>
      </c>
      <c r="BW282" s="15">
        <f>BU282+BV282</f>
        <v/>
      </c>
      <c r="BX282" s="15">
        <f>BS282+BT282-BW282</f>
        <v/>
      </c>
      <c r="BY282" s="15">
        <f>BA282+BG282+BM282+BS282</f>
        <v/>
      </c>
      <c r="BZ282" s="15">
        <f>BB282+BH282+BN282+BT282</f>
        <v/>
      </c>
      <c r="CA282" s="15">
        <f>BE282+BK282+BQ282+BW282</f>
        <v/>
      </c>
      <c r="CB282" s="15">
        <f>BF282+BL282+BR282+BX282</f>
        <v/>
      </c>
      <c r="CC282" s="14" t="n">
        <v>0</v>
      </c>
      <c r="CD282" s="14" t="n">
        <v>64</v>
      </c>
      <c r="CE282" s="14" t="n">
        <v>47</v>
      </c>
      <c r="CF282" s="14" t="n">
        <v>10</v>
      </c>
      <c r="CG282" s="14" t="n">
        <v>0</v>
      </c>
      <c r="CH282" s="15">
        <f>CD282+CE282+CF282+CG282</f>
        <v/>
      </c>
      <c r="CI282" s="14" t="n">
        <v>39</v>
      </c>
      <c r="CJ282" s="14" t="n">
        <v>3</v>
      </c>
      <c r="CK282" s="14" t="n">
        <v>1</v>
      </c>
      <c r="CL282" s="14" t="n">
        <v>0</v>
      </c>
      <c r="CM282" s="15">
        <f>CI282+CJ282+CK282+CL282</f>
        <v/>
      </c>
      <c r="CN282" s="14" t="n">
        <v>302</v>
      </c>
      <c r="CO282" s="14" t="n">
        <v>14</v>
      </c>
      <c r="CP282" s="14" t="n">
        <v>2</v>
      </c>
      <c r="CQ282" s="14" t="n">
        <v>0</v>
      </c>
      <c r="CR282" s="15">
        <f>CN282+CO282+CP282+CQ282</f>
        <v/>
      </c>
      <c r="CS282" s="15">
        <f>CM282+CR282</f>
        <v/>
      </c>
      <c r="CT282" s="14" t="n">
        <v>482</v>
      </c>
      <c r="CU282" s="14" t="n">
        <v>3413</v>
      </c>
      <c r="CV282" s="14" t="n">
        <v>2580.3</v>
      </c>
      <c r="CW282" s="16">
        <f>IF(CU282=0,"",CV282/CU282)</f>
        <v/>
      </c>
      <c r="CX282" s="14" t="n">
        <v>0</v>
      </c>
      <c r="CY282" s="14" t="n">
        <v>0</v>
      </c>
      <c r="CZ282" s="14" t="n">
        <v>0</v>
      </c>
      <c r="DA282" s="14" t="n">
        <v>0</v>
      </c>
      <c r="DB282" s="15">
        <f>CX282+CY282-CZ282-DA282</f>
        <v/>
      </c>
      <c r="DC282" s="14" t="n">
        <v>0</v>
      </c>
      <c r="DD282" s="14" t="n">
        <v>0</v>
      </c>
      <c r="DE282" s="14" t="n">
        <v>0</v>
      </c>
      <c r="DF282" s="14" t="n">
        <v>0</v>
      </c>
      <c r="DG282" s="15">
        <f>DC282+DD282-DE282-DF282</f>
        <v/>
      </c>
      <c r="DH282" s="14" t="n">
        <v>0</v>
      </c>
      <c r="DI282" s="14" t="n">
        <v>0</v>
      </c>
      <c r="DJ282" s="14" t="n">
        <v>0</v>
      </c>
      <c r="DK282" s="14" t="n">
        <v>0</v>
      </c>
      <c r="DL282" s="15">
        <f>DH282+DI282-DJ282-DK282</f>
        <v/>
      </c>
      <c r="DM282" s="14" t="n">
        <v>0</v>
      </c>
      <c r="DN282" s="14" t="n">
        <v>0</v>
      </c>
      <c r="DO282" s="14" t="n">
        <v>0</v>
      </c>
      <c r="DP282" s="14" t="n">
        <v>0</v>
      </c>
      <c r="DQ282" s="15">
        <f>DM282+DN282-DO282-DP282</f>
        <v/>
      </c>
      <c r="DR282" s="15">
        <f>CX282+DC282+DH282+DM282</f>
        <v/>
      </c>
      <c r="DS282" s="15">
        <f>CY282+DD282+DI282+DN282</f>
        <v/>
      </c>
      <c r="DT282" s="15">
        <f>CZ282+DE282+DJ282+DO282</f>
        <v/>
      </c>
      <c r="DU282" s="15">
        <f>DA282+DF282+DK282+DP282</f>
        <v/>
      </c>
      <c r="DV282" s="15">
        <f>DB282+DG282+DL282+DQ282</f>
        <v/>
      </c>
      <c r="DW282" s="14" t="n">
        <v>7</v>
      </c>
      <c r="DX282" s="14" t="n">
        <v>2</v>
      </c>
      <c r="DY282" s="14" t="n">
        <v>2</v>
      </c>
      <c r="DZ282" s="14" t="n">
        <v>1</v>
      </c>
      <c r="EA282" s="14" t="n">
        <v>0</v>
      </c>
      <c r="EB282" s="14" t="n">
        <v>1</v>
      </c>
      <c r="EC282" s="14" t="n">
        <v>0</v>
      </c>
      <c r="ED282" s="14" t="n">
        <v>0</v>
      </c>
      <c r="EE282" s="14" t="n">
        <v>0</v>
      </c>
      <c r="EF282" s="14" t="n">
        <v>0</v>
      </c>
      <c r="EG282" s="14" t="n">
        <v>0</v>
      </c>
      <c r="EH282" s="14" t="n">
        <v>0</v>
      </c>
      <c r="EI282" s="14" t="n">
        <v>0</v>
      </c>
      <c r="EJ282" s="14" t="n">
        <v>1</v>
      </c>
      <c r="EK282" s="14" t="n">
        <v>0</v>
      </c>
      <c r="EL282" s="14" t="n">
        <v>0</v>
      </c>
      <c r="EM282" s="14" t="n">
        <v>0</v>
      </c>
      <c r="EN282" s="14" t="n">
        <v>0</v>
      </c>
      <c r="EO282" s="14" t="n">
        <v>0</v>
      </c>
      <c r="EP282" s="14" t="n">
        <v>0</v>
      </c>
      <c r="EQ282" s="14" t="n">
        <v>0</v>
      </c>
      <c r="ER282" s="14" t="n">
        <v>0</v>
      </c>
      <c r="ES282" s="14" t="n">
        <v>0</v>
      </c>
      <c r="ET282" s="14" t="n">
        <v>0</v>
      </c>
      <c r="EU282" s="14" t="n">
        <v>0</v>
      </c>
      <c r="EV282" s="14" t="n">
        <v>0</v>
      </c>
      <c r="EW282" s="14" t="n">
        <v>0</v>
      </c>
      <c r="EX282" s="14" t="n">
        <v>0</v>
      </c>
      <c r="EY282" s="14" t="n">
        <v>0</v>
      </c>
      <c r="EZ282" s="14" t="n">
        <v>0</v>
      </c>
      <c r="FA282" s="14" t="n">
        <v>0</v>
      </c>
      <c r="FB282" s="14" t="n">
        <v>0</v>
      </c>
      <c r="FC282" s="14" t="n">
        <v>0</v>
      </c>
      <c r="FD282" s="14" t="n">
        <v>0</v>
      </c>
      <c r="FE282" s="14" t="n">
        <v>0</v>
      </c>
      <c r="FF282" s="14" t="n">
        <v>0</v>
      </c>
      <c r="FG282" s="15">
        <f>SUM(DW282,DX282,DY282,DZ282,EA282,EB282,EC282,ED282,EE282,EF282,EG282,EH282,EI282,EJ282,EK282,EL282,EM282,EN282,EO282,EP282,EQ282,ER282,ES282,ET282,EU282,EV282,EW282,EX282,EY282,EZ282,FA282,FB282,FC282,FD282,FE282,FF282)</f>
        <v/>
      </c>
      <c r="FH282" s="14" t="n">
        <v>0</v>
      </c>
      <c r="FI282" s="14" t="n">
        <v>0</v>
      </c>
      <c r="FJ282" s="14" t="n">
        <v>14</v>
      </c>
      <c r="FK282" s="14" t="n">
        <v>0</v>
      </c>
      <c r="FL282" s="14" t="n">
        <v>0</v>
      </c>
      <c r="FM282" s="14" t="n">
        <v>0</v>
      </c>
      <c r="FN282" s="14" t="n">
        <v>0</v>
      </c>
      <c r="FO282" s="14" t="n">
        <v>0</v>
      </c>
      <c r="FP282" s="14" t="n">
        <v>0</v>
      </c>
      <c r="FQ282" s="15">
        <f>FL282+FM282+FN282+FO282+FP282</f>
        <v/>
      </c>
      <c r="FR282" s="14" t="n">
        <v>441139.07</v>
      </c>
      <c r="FS282" s="14" t="n">
        <v>0</v>
      </c>
      <c r="FT282" s="14" t="n">
        <v>0</v>
      </c>
      <c r="FU282" s="14" t="n">
        <v>50000</v>
      </c>
      <c r="FV282" s="15">
        <f>FR282+FS282+FT282+FU282</f>
        <v/>
      </c>
      <c r="FW282" s="14" t="n">
        <v>2347749</v>
      </c>
      <c r="FX282" s="14" t="n">
        <v>0</v>
      </c>
      <c r="FY282" s="14" t="n">
        <v>207400</v>
      </c>
      <c r="FZ282" s="14" t="n">
        <v>1493950</v>
      </c>
      <c r="GA282" s="15">
        <f>FW282+FX282+FY282+FZ282</f>
        <v/>
      </c>
      <c r="GB282" s="15">
        <f>FV282+GA282</f>
        <v/>
      </c>
      <c r="GC282" s="14" t="n">
        <v>170736.34</v>
      </c>
      <c r="GD282" s="14" t="n">
        <v>0</v>
      </c>
      <c r="GE282" s="14" t="n">
        <v>25232.97</v>
      </c>
      <c r="GF282" s="14" t="n">
        <v>8410.99</v>
      </c>
      <c r="GG282" s="15">
        <f>GC282+GD282+GE282+GF282</f>
        <v/>
      </c>
      <c r="GH282" s="14" t="n">
        <v>2315994.52</v>
      </c>
      <c r="GI282" s="14" t="n">
        <v>0</v>
      </c>
      <c r="GJ282" s="14" t="n">
        <v>1409068.81</v>
      </c>
      <c r="GK282" s="14" t="n">
        <v>207400</v>
      </c>
      <c r="GL282" s="15">
        <f>GH282+GI282+GJ282+GK282</f>
        <v/>
      </c>
      <c r="GM282" s="15">
        <f>GG282+GL282</f>
        <v/>
      </c>
      <c r="GN282" s="14" t="n">
        <v>20985.58</v>
      </c>
      <c r="GO282" s="14" t="n">
        <v>0</v>
      </c>
      <c r="GP282" s="14" t="n">
        <v>10180.92</v>
      </c>
      <c r="GQ282" s="14" t="n">
        <v>4637.34</v>
      </c>
      <c r="GR282" s="15">
        <f>GN282+GO282+GP282+GQ282</f>
        <v/>
      </c>
      <c r="GS282" s="14" t="n">
        <v>34827</v>
      </c>
      <c r="GT282" s="14" t="n">
        <v>0</v>
      </c>
      <c r="GU282" s="14" t="n">
        <v>2679</v>
      </c>
      <c r="GV282" s="14" t="n">
        <v>893</v>
      </c>
      <c r="GW282" s="15">
        <f>GS282+GT282+GU282+GV282</f>
        <v/>
      </c>
      <c r="GX282" s="15">
        <f>GM282+GR282+GW282</f>
        <v/>
      </c>
      <c r="GY282" s="14" t="n">
        <v>-881642854.2299988</v>
      </c>
      <c r="GZ282" s="14" t="n">
        <v>-30403.8</v>
      </c>
      <c r="HA282" s="9">
        <f>GY282+GZ282</f>
        <v/>
      </c>
      <c r="HB282" s="15">
        <f>IF(GX282=0,"",AU282/GX282)</f>
        <v/>
      </c>
      <c r="HC282" s="16">
        <f>IF((GX282+GY282)=0,"",GB282/(GX282+GY282))</f>
        <v/>
      </c>
      <c r="HD282" s="15">
        <f>IF(GX282=0,"",GB282/GX282)</f>
        <v/>
      </c>
      <c r="HE282" s="14" t="n">
        <v>7</v>
      </c>
      <c r="HF282" s="14" t="n">
        <v>1</v>
      </c>
      <c r="HG282" s="14" t="n">
        <v>4</v>
      </c>
      <c r="HH282" s="14" t="n">
        <v>3</v>
      </c>
      <c r="HI282" s="14" t="n">
        <v>2</v>
      </c>
      <c r="HJ282" s="15">
        <f>HF282+HI282</f>
        <v/>
      </c>
      <c r="HK282" s="16">
        <f>IF(HE282=0,"",HH282/HE282)</f>
        <v/>
      </c>
      <c r="HL282" s="14" t="n">
        <v>0</v>
      </c>
      <c r="HM282" s="14" t="n">
        <v>0</v>
      </c>
      <c r="HN282" s="17">
        <f>IF(HL282=0,"",HM282/HL282)</f>
        <v/>
      </c>
    </row>
    <row r="283">
      <c r="A283" s="6" t="inlineStr">
        <is>
          <t>Zomba</t>
        </is>
      </c>
      <c r="B283" s="6" t="inlineStr">
        <is>
          <t>Chiradzulu</t>
        </is>
      </c>
      <c r="C283" s="7" t="inlineStr">
        <is>
          <t>FY2025/26</t>
        </is>
      </c>
      <c r="D283" s="7" t="n">
        <v>2025</v>
      </c>
      <c r="E283" s="7" t="n">
        <v>8</v>
      </c>
      <c r="F283" s="7" t="inlineStr">
        <is>
          <t>August</t>
        </is>
      </c>
      <c r="G283" s="7" t="inlineStr">
        <is>
          <t>Q2</t>
        </is>
      </c>
      <c r="H283" s="8" t="n">
        <v>2374</v>
      </c>
      <c r="I283" s="8" t="n">
        <v>176</v>
      </c>
      <c r="J283" s="8" t="n">
        <v>0</v>
      </c>
      <c r="K283" s="8" t="n">
        <v>12</v>
      </c>
      <c r="L283" s="8" t="n">
        <v>5</v>
      </c>
      <c r="M283" s="9">
        <f>SUM(I283,J283,K283,L283)</f>
        <v/>
      </c>
      <c r="N283" s="8" t="n">
        <v>1794.99999999999</v>
      </c>
      <c r="O283" s="8" t="n">
        <v>0</v>
      </c>
      <c r="P283" s="8" t="n">
        <v>59.3</v>
      </c>
      <c r="Q283" s="8" t="n">
        <v>25.8</v>
      </c>
      <c r="R283" s="9">
        <f>SUM(N283,O283,P283,Q283)</f>
        <v/>
      </c>
      <c r="S283" s="9">
        <f>M283+R283</f>
        <v/>
      </c>
      <c r="T283" s="8" t="n">
        <v>300.900000000006</v>
      </c>
      <c r="U283" s="10">
        <f>IF(H283=0,"",T283/H283)</f>
        <v/>
      </c>
      <c r="V283" s="8" t="n">
        <v>7</v>
      </c>
      <c r="W283" s="11">
        <f>IF(H283=0,"",V283/H283)</f>
        <v/>
      </c>
      <c r="X283" s="8" t="n">
        <v>0</v>
      </c>
      <c r="Y283" s="11">
        <f>IF(H283=0,"",X283/H283)</f>
        <v/>
      </c>
      <c r="Z283" s="8" t="n">
        <v>0</v>
      </c>
      <c r="AA283" s="11">
        <f>IF(H283=0,"",Z283/H283)</f>
        <v/>
      </c>
      <c r="AB283" s="8" t="n">
        <v>0</v>
      </c>
      <c r="AC283" s="11">
        <f>IF(H283=0,"",AB283/H283)</f>
        <v/>
      </c>
      <c r="AD283" s="8" t="n">
        <v>0</v>
      </c>
      <c r="AE283" s="11">
        <f>IF(H283=0,"",AD283/H283)</f>
        <v/>
      </c>
      <c r="AF283" s="8" t="n">
        <v>0</v>
      </c>
      <c r="AG283" s="11">
        <f>IF(H283=0,"",AF283/H283)</f>
        <v/>
      </c>
      <c r="AH283" s="8" t="n">
        <v>182000</v>
      </c>
      <c r="AI283" s="9">
        <f>IF(H283=0,"",AH283/H283)</f>
        <v/>
      </c>
      <c r="AJ283" s="8" t="n">
        <v>20.26</v>
      </c>
      <c r="AK283" s="11">
        <f>IF(H283=0,"",AJ283/H283)</f>
        <v/>
      </c>
      <c r="AL283" s="8" t="n">
        <v>37143.69034</v>
      </c>
      <c r="AM283" s="9">
        <f>IF(H283=0,"",AL283/H283)</f>
        <v/>
      </c>
      <c r="AN283" s="8" t="n">
        <v>0</v>
      </c>
      <c r="AO283" s="8" t="n">
        <v>0</v>
      </c>
      <c r="AP283" s="8" t="n">
        <v>0</v>
      </c>
      <c r="AQ283" s="8" t="n">
        <v>0</v>
      </c>
      <c r="AR283" s="8" t="n">
        <v>0</v>
      </c>
      <c r="AS283" s="8" t="n">
        <v>0</v>
      </c>
      <c r="AT283" s="8" t="n">
        <v>0</v>
      </c>
      <c r="AU283" s="9">
        <f>AH283+AL283+AP283+AQ283+AR283+AS283+AT283</f>
        <v/>
      </c>
      <c r="AV283" s="9">
        <f>IF(H283=0,"",AU283/H283)</f>
        <v/>
      </c>
      <c r="AW283" s="9">
        <f>IF(S283=0,"",AU283/S283)</f>
        <v/>
      </c>
      <c r="AX283" s="8" t="n">
        <v>4</v>
      </c>
      <c r="AY283" s="9">
        <f>IF(H283=0,"",AX283/(H283/1000/12))</f>
        <v/>
      </c>
      <c r="AZ283" s="8" t="n">
        <v>6</v>
      </c>
      <c r="BA283" s="8" t="n">
        <v>4</v>
      </c>
      <c r="BB283" s="8" t="n">
        <v>5</v>
      </c>
      <c r="BC283" s="8" t="n">
        <v>0</v>
      </c>
      <c r="BD283" s="8" t="n">
        <v>0</v>
      </c>
      <c r="BE283" s="9">
        <f>BC283+BD283</f>
        <v/>
      </c>
      <c r="BF283" s="9">
        <f>BA283+BB283-BE283</f>
        <v/>
      </c>
      <c r="BG283" s="8" t="n">
        <v>0</v>
      </c>
      <c r="BH283" s="8" t="n">
        <v>0</v>
      </c>
      <c r="BI283" s="8" t="n">
        <v>0</v>
      </c>
      <c r="BJ283" s="8" t="n">
        <v>0</v>
      </c>
      <c r="BK283" s="9">
        <f>BI283+BJ283</f>
        <v/>
      </c>
      <c r="BL283" s="9">
        <f>BG283+BH283-BK283</f>
        <v/>
      </c>
      <c r="BM283" s="8" t="n">
        <v>0</v>
      </c>
      <c r="BN283" s="8" t="n">
        <v>0</v>
      </c>
      <c r="BO283" s="8" t="n">
        <v>0</v>
      </c>
      <c r="BP283" s="8" t="n">
        <v>0</v>
      </c>
      <c r="BQ283" s="9">
        <f>BO283+BP283</f>
        <v/>
      </c>
      <c r="BR283" s="9">
        <f>BM283+BN283-BQ283</f>
        <v/>
      </c>
      <c r="BS283" s="8" t="n">
        <v>0</v>
      </c>
      <c r="BT283" s="8" t="n">
        <v>0</v>
      </c>
      <c r="BU283" s="8" t="n">
        <v>0</v>
      </c>
      <c r="BV283" s="8" t="n">
        <v>0</v>
      </c>
      <c r="BW283" s="9">
        <f>BU283+BV283</f>
        <v/>
      </c>
      <c r="BX283" s="9">
        <f>BS283+BT283-BW283</f>
        <v/>
      </c>
      <c r="BY283" s="9">
        <f>BA283+BG283+BM283+BS283</f>
        <v/>
      </c>
      <c r="BZ283" s="9">
        <f>BB283+BH283+BN283+BT283</f>
        <v/>
      </c>
      <c r="CA283" s="9">
        <f>BE283+BK283+BQ283+BW283</f>
        <v/>
      </c>
      <c r="CB283" s="9">
        <f>BF283+BL283+BR283+BX283</f>
        <v/>
      </c>
      <c r="CC283" s="8" t="n">
        <v>0</v>
      </c>
      <c r="CD283" s="8" t="n">
        <v>60</v>
      </c>
      <c r="CE283" s="8" t="n">
        <v>47</v>
      </c>
      <c r="CF283" s="8" t="n">
        <v>10</v>
      </c>
      <c r="CG283" s="8" t="n">
        <v>0</v>
      </c>
      <c r="CH283" s="9">
        <f>CD283+CE283+CF283+CG283</f>
        <v/>
      </c>
      <c r="CI283" s="8" t="n">
        <v>43</v>
      </c>
      <c r="CJ283" s="8" t="n">
        <v>3</v>
      </c>
      <c r="CK283" s="8" t="n">
        <v>1</v>
      </c>
      <c r="CL283" s="8" t="n">
        <v>0</v>
      </c>
      <c r="CM283" s="9">
        <f>CI283+CJ283+CK283+CL283</f>
        <v/>
      </c>
      <c r="CN283" s="8" t="n">
        <v>302</v>
      </c>
      <c r="CO283" s="8" t="n">
        <v>14</v>
      </c>
      <c r="CP283" s="8" t="n">
        <v>2</v>
      </c>
      <c r="CQ283" s="8" t="n">
        <v>0</v>
      </c>
      <c r="CR283" s="9">
        <f>CN283+CO283+CP283+CQ283</f>
        <v/>
      </c>
      <c r="CS283" s="9">
        <f>CM283+CR283</f>
        <v/>
      </c>
      <c r="CT283" s="8" t="n">
        <v>482</v>
      </c>
      <c r="CU283" s="8" t="n">
        <v>3418</v>
      </c>
      <c r="CV283" s="8" t="n">
        <v>2580</v>
      </c>
      <c r="CW283" s="10">
        <f>IF(CU283=0,"",CV283/CU283)</f>
        <v/>
      </c>
      <c r="CX283" s="8" t="n">
        <v>0</v>
      </c>
      <c r="CY283" s="8" t="n">
        <v>0</v>
      </c>
      <c r="CZ283" s="8" t="n">
        <v>0</v>
      </c>
      <c r="DA283" s="8" t="n">
        <v>0</v>
      </c>
      <c r="DB283" s="9">
        <f>CX283+CY283-CZ283-DA283</f>
        <v/>
      </c>
      <c r="DC283" s="8" t="n">
        <v>0</v>
      </c>
      <c r="DD283" s="8" t="n">
        <v>0</v>
      </c>
      <c r="DE283" s="8" t="n">
        <v>0</v>
      </c>
      <c r="DF283" s="8" t="n">
        <v>0</v>
      </c>
      <c r="DG283" s="9">
        <f>DC283+DD283-DE283-DF283</f>
        <v/>
      </c>
      <c r="DH283" s="8" t="n">
        <v>0</v>
      </c>
      <c r="DI283" s="8" t="n">
        <v>0</v>
      </c>
      <c r="DJ283" s="8" t="n">
        <v>0</v>
      </c>
      <c r="DK283" s="8" t="n">
        <v>0</v>
      </c>
      <c r="DL283" s="9">
        <f>DH283+DI283-DJ283-DK283</f>
        <v/>
      </c>
      <c r="DM283" s="8" t="n">
        <v>0</v>
      </c>
      <c r="DN283" s="8" t="n">
        <v>0</v>
      </c>
      <c r="DO283" s="8" t="n">
        <v>0</v>
      </c>
      <c r="DP283" s="8" t="n">
        <v>0</v>
      </c>
      <c r="DQ283" s="9">
        <f>DM283+DN283-DO283-DP283</f>
        <v/>
      </c>
      <c r="DR283" s="9">
        <f>CX283+DC283+DH283+DM283</f>
        <v/>
      </c>
      <c r="DS283" s="9">
        <f>CY283+DD283+DI283+DN283</f>
        <v/>
      </c>
      <c r="DT283" s="9">
        <f>CZ283+DE283+DJ283+DO283</f>
        <v/>
      </c>
      <c r="DU283" s="9">
        <f>DA283+DF283+DK283+DP283</f>
        <v/>
      </c>
      <c r="DV283" s="9">
        <f>DB283+DG283+DL283+DQ283</f>
        <v/>
      </c>
      <c r="DW283" s="8" t="n">
        <v>5</v>
      </c>
      <c r="DX283" s="8" t="n">
        <v>3</v>
      </c>
      <c r="DY283" s="8" t="n">
        <v>0</v>
      </c>
      <c r="DZ283" s="8" t="n">
        <v>2</v>
      </c>
      <c r="EA283" s="8" t="n">
        <v>1</v>
      </c>
      <c r="EB283" s="8" t="n">
        <v>2</v>
      </c>
      <c r="EC283" s="8" t="n">
        <v>0</v>
      </c>
      <c r="ED283" s="8" t="n">
        <v>0</v>
      </c>
      <c r="EE283" s="8" t="n">
        <v>0</v>
      </c>
      <c r="EF283" s="8" t="n">
        <v>0</v>
      </c>
      <c r="EG283" s="8" t="n">
        <v>0</v>
      </c>
      <c r="EH283" s="8" t="n">
        <v>0</v>
      </c>
      <c r="EI283" s="8" t="n">
        <v>0</v>
      </c>
      <c r="EJ283" s="8" t="n">
        <v>0</v>
      </c>
      <c r="EK283" s="8" t="n">
        <v>0</v>
      </c>
      <c r="EL283" s="8" t="n">
        <v>0</v>
      </c>
      <c r="EM283" s="8" t="n">
        <v>0</v>
      </c>
      <c r="EN283" s="8" t="n">
        <v>0</v>
      </c>
      <c r="EO283" s="8" t="n">
        <v>0</v>
      </c>
      <c r="EP283" s="8" t="n">
        <v>0</v>
      </c>
      <c r="EQ283" s="8" t="n">
        <v>0</v>
      </c>
      <c r="ER283" s="8" t="n">
        <v>0</v>
      </c>
      <c r="ES283" s="8" t="n">
        <v>0</v>
      </c>
      <c r="ET283" s="8" t="n">
        <v>0</v>
      </c>
      <c r="EU283" s="8" t="n">
        <v>0</v>
      </c>
      <c r="EV283" s="8" t="n">
        <v>0</v>
      </c>
      <c r="EW283" s="8" t="n">
        <v>0</v>
      </c>
      <c r="EX283" s="8" t="n">
        <v>0</v>
      </c>
      <c r="EY283" s="8" t="n">
        <v>0</v>
      </c>
      <c r="EZ283" s="8" t="n">
        <v>0</v>
      </c>
      <c r="FA283" s="8" t="n">
        <v>0</v>
      </c>
      <c r="FB283" s="8" t="n">
        <v>0</v>
      </c>
      <c r="FC283" s="8" t="n">
        <v>0</v>
      </c>
      <c r="FD283" s="8" t="n">
        <v>0</v>
      </c>
      <c r="FE283" s="8" t="n">
        <v>0</v>
      </c>
      <c r="FF283" s="8" t="n">
        <v>0</v>
      </c>
      <c r="FG283" s="9">
        <f>SUM(DW283,DX283,DY283,DZ283,EA283,EB283,EC283,ED283,EE283,EF283,EG283,EH283,EI283,EJ283,EK283,EL283,EM283,EN283,EO283,EP283,EQ283,ER283,ES283,ET283,EU283,EV283,EW283,EX283,EY283,EZ283,FA283,FB283,FC283,FD283,FE283,FF283)</f>
        <v/>
      </c>
      <c r="FH283" s="8" t="n">
        <v>0</v>
      </c>
      <c r="FI283" s="8" t="n">
        <v>0</v>
      </c>
      <c r="FJ283" s="8" t="n">
        <v>12</v>
      </c>
      <c r="FK283" s="8" t="n">
        <v>21.3</v>
      </c>
      <c r="FL283" s="8" t="n">
        <v>0</v>
      </c>
      <c r="FM283" s="8" t="n">
        <v>0</v>
      </c>
      <c r="FN283" s="8" t="n">
        <v>0</v>
      </c>
      <c r="FO283" s="8" t="n">
        <v>0</v>
      </c>
      <c r="FP283" s="8" t="n">
        <v>0</v>
      </c>
      <c r="FQ283" s="9">
        <f>FL283+FM283+FN283+FO283+FP283</f>
        <v/>
      </c>
      <c r="FR283" s="8" t="n">
        <v>213157.22</v>
      </c>
      <c r="FS283" s="8" t="n">
        <v>0</v>
      </c>
      <c r="FT283" s="8" t="n">
        <v>0</v>
      </c>
      <c r="FU283" s="8" t="n">
        <v>0</v>
      </c>
      <c r="FV283" s="9">
        <f>FR283+FS283+FT283+FU283</f>
        <v/>
      </c>
      <c r="FW283" s="8" t="n">
        <v>2251666.42</v>
      </c>
      <c r="FX283" s="8" t="n">
        <v>0</v>
      </c>
      <c r="FY283" s="8" t="n">
        <v>122000</v>
      </c>
      <c r="FZ283" s="8" t="n">
        <v>179205.7</v>
      </c>
      <c r="GA283" s="9">
        <f>FW283+FX283+FY283+FZ283</f>
        <v/>
      </c>
      <c r="GB283" s="9">
        <f>FV283+GA283</f>
        <v/>
      </c>
      <c r="GC283" s="8" t="n">
        <v>185047.44</v>
      </c>
      <c r="GD283" s="8" t="n">
        <v>0</v>
      </c>
      <c r="GE283" s="8" t="n">
        <v>35881.61</v>
      </c>
      <c r="GF283" s="8" t="n">
        <v>11796.63</v>
      </c>
      <c r="GG283" s="9">
        <f>GC283+GD283+GE283+GF283</f>
        <v/>
      </c>
      <c r="GH283" s="8" t="n">
        <v>2238236.43</v>
      </c>
      <c r="GI283" s="8" t="n">
        <v>0</v>
      </c>
      <c r="GJ283" s="8" t="n">
        <v>179205.7</v>
      </c>
      <c r="GK283" s="8" t="n">
        <v>122000</v>
      </c>
      <c r="GL283" s="9">
        <f>GH283+GI283+GJ283+GK283</f>
        <v/>
      </c>
      <c r="GM283" s="9">
        <f>GG283+GL283</f>
        <v/>
      </c>
      <c r="GN283" s="8" t="n">
        <v>23165.3</v>
      </c>
      <c r="GO283" s="8" t="n">
        <v>0</v>
      </c>
      <c r="GP283" s="8" t="n">
        <v>10180.92</v>
      </c>
      <c r="GQ283" s="8" t="n">
        <v>4637.34</v>
      </c>
      <c r="GR283" s="9">
        <f>GN283+GO283+GP283+GQ283</f>
        <v/>
      </c>
      <c r="GS283" s="8" t="n">
        <v>38399</v>
      </c>
      <c r="GT283" s="8" t="n">
        <v>0</v>
      </c>
      <c r="GU283" s="8" t="n">
        <v>2679</v>
      </c>
      <c r="GV283" s="8" t="n">
        <v>893</v>
      </c>
      <c r="GW283" s="9">
        <f>GS283+GT283+GU283+GV283</f>
        <v/>
      </c>
      <c r="GX283" s="9">
        <f>GM283+GR283+GW283</f>
        <v/>
      </c>
      <c r="GY283" s="8" t="n">
        <v>-881543331.2099991</v>
      </c>
      <c r="GZ283" s="8" t="n">
        <v>-30403.8</v>
      </c>
      <c r="HA283" s="9">
        <f>GY283+GZ283</f>
        <v/>
      </c>
      <c r="HB283" s="9">
        <f>IF(GX283=0,"",AU283/GX283)</f>
        <v/>
      </c>
      <c r="HC283" s="10">
        <f>IF((GX283+GY283)=0,"",GB283/(GX283+GY283))</f>
        <v/>
      </c>
      <c r="HD283" s="9">
        <f>IF(GX283=0,"",GB283/GX283)</f>
        <v/>
      </c>
      <c r="HE283" s="8" t="n">
        <v>4</v>
      </c>
      <c r="HF283" s="8" t="n">
        <v>1</v>
      </c>
      <c r="HG283" s="8" t="n">
        <v>9</v>
      </c>
      <c r="HH283" s="8" t="n">
        <v>5</v>
      </c>
      <c r="HI283" s="8" t="n">
        <v>0</v>
      </c>
      <c r="HJ283" s="9">
        <f>HF283+HI283</f>
        <v/>
      </c>
      <c r="HK283" s="10">
        <f>IF(HE283=0,"",HH283/HE283)</f>
        <v/>
      </c>
      <c r="HL283" s="8" t="n">
        <v>0</v>
      </c>
      <c r="HM283" s="8" t="n">
        <v>0</v>
      </c>
      <c r="HN283" s="11">
        <f>IF(HL283=0,"",HM283/HL283)</f>
        <v/>
      </c>
    </row>
    <row r="284">
      <c r="A284" s="12" t="inlineStr">
        <is>
          <t>Zomba</t>
        </is>
      </c>
      <c r="B284" s="12" t="inlineStr">
        <is>
          <t>Chiradzulu</t>
        </is>
      </c>
      <c r="C284" s="13" t="inlineStr">
        <is>
          <t>FY2025/26</t>
        </is>
      </c>
      <c r="D284" s="13" t="n">
        <v>2025</v>
      </c>
      <c r="E284" s="13" t="n">
        <v>9</v>
      </c>
      <c r="F284" s="13" t="inlineStr">
        <is>
          <t>September</t>
        </is>
      </c>
      <c r="G284" s="13" t="inlineStr">
        <is>
          <t>Q2</t>
        </is>
      </c>
      <c r="H284" s="14" t="n">
        <v>2532</v>
      </c>
      <c r="I284" s="14" t="n">
        <v>121</v>
      </c>
      <c r="J284" s="14" t="n">
        <v>0</v>
      </c>
      <c r="K284" s="14" t="n">
        <v>2</v>
      </c>
      <c r="L284" s="14" t="n">
        <v>2</v>
      </c>
      <c r="M284" s="15">
        <f>SUM(I284,J284,K284,L284)</f>
        <v/>
      </c>
      <c r="N284" s="14" t="n">
        <v>1437.5</v>
      </c>
      <c r="O284" s="14" t="n">
        <v>0</v>
      </c>
      <c r="P284" s="14" t="n">
        <v>62.6</v>
      </c>
      <c r="Q284" s="14" t="n">
        <v>13.5</v>
      </c>
      <c r="R284" s="15">
        <f>SUM(N284,O284,P284,Q284)</f>
        <v/>
      </c>
      <c r="S284" s="15">
        <f>M284+R284</f>
        <v/>
      </c>
      <c r="T284" s="14" t="n">
        <v>893.400000000004</v>
      </c>
      <c r="U284" s="16">
        <f>IF(H284=0,"",T284/H284)</f>
        <v/>
      </c>
      <c r="V284" s="14" t="n">
        <v>6.2</v>
      </c>
      <c r="W284" s="17">
        <f>IF(H284=0,"",V284/H284)</f>
        <v/>
      </c>
      <c r="X284" s="14" t="n">
        <v>0</v>
      </c>
      <c r="Y284" s="17">
        <f>IF(H284=0,"",X284/H284)</f>
        <v/>
      </c>
      <c r="Z284" s="14" t="n">
        <v>0</v>
      </c>
      <c r="AA284" s="17">
        <f>IF(H284=0,"",Z284/H284)</f>
        <v/>
      </c>
      <c r="AB284" s="14" t="n">
        <v>0</v>
      </c>
      <c r="AC284" s="17">
        <f>IF(H284=0,"",AB284/H284)</f>
        <v/>
      </c>
      <c r="AD284" s="14" t="n">
        <v>0</v>
      </c>
      <c r="AE284" s="17">
        <f>IF(H284=0,"",AD284/H284)</f>
        <v/>
      </c>
      <c r="AF284" s="14" t="n">
        <v>0</v>
      </c>
      <c r="AG284" s="17">
        <f>IF(H284=0,"",AF284/H284)</f>
        <v/>
      </c>
      <c r="AH284" s="14" t="n">
        <v>161200</v>
      </c>
      <c r="AI284" s="15">
        <f>IF(H284=0,"",AH284/H284)</f>
        <v/>
      </c>
      <c r="AJ284" s="14" t="n">
        <v>13.45</v>
      </c>
      <c r="AK284" s="17">
        <f>IF(H284=0,"",AJ284/H284)</f>
        <v/>
      </c>
      <c r="AL284" s="14" t="n">
        <v>35282.45605</v>
      </c>
      <c r="AM284" s="15">
        <f>IF(H284=0,"",AL284/H284)</f>
        <v/>
      </c>
      <c r="AN284" s="14" t="n">
        <v>0</v>
      </c>
      <c r="AO284" s="14" t="n">
        <v>0</v>
      </c>
      <c r="AP284" s="14" t="n">
        <v>0</v>
      </c>
      <c r="AQ284" s="14" t="n">
        <v>0</v>
      </c>
      <c r="AR284" s="14" t="n">
        <v>0</v>
      </c>
      <c r="AS284" s="14" t="n">
        <v>0</v>
      </c>
      <c r="AT284" s="14" t="n">
        <v>0</v>
      </c>
      <c r="AU284" s="15">
        <f>AH284+AL284+AP284+AQ284+AR284+AS284+AT284</f>
        <v/>
      </c>
      <c r="AV284" s="15">
        <f>IF(H284=0,"",AU284/H284)</f>
        <v/>
      </c>
      <c r="AW284" s="15">
        <f>IF(S284=0,"",AU284/S284)</f>
        <v/>
      </c>
      <c r="AX284" s="14" t="n">
        <v>4</v>
      </c>
      <c r="AY284" s="15">
        <f>IF(H284=0,"",AX284/(H284/1000/12))</f>
        <v/>
      </c>
      <c r="AZ284" s="14" t="n">
        <v>6</v>
      </c>
      <c r="BA284" s="14" t="n">
        <v>9</v>
      </c>
      <c r="BB284" s="14" t="n">
        <v>7</v>
      </c>
      <c r="BC284" s="14" t="n">
        <v>0</v>
      </c>
      <c r="BD284" s="14" t="n">
        <v>0</v>
      </c>
      <c r="BE284" s="15">
        <f>BC284+BD284</f>
        <v/>
      </c>
      <c r="BF284" s="15">
        <f>BA284+BB284-BE284</f>
        <v/>
      </c>
      <c r="BG284" s="14" t="n">
        <v>0</v>
      </c>
      <c r="BH284" s="14" t="n">
        <v>0</v>
      </c>
      <c r="BI284" s="14" t="n">
        <v>0</v>
      </c>
      <c r="BJ284" s="14" t="n">
        <v>0</v>
      </c>
      <c r="BK284" s="15">
        <f>BI284+BJ284</f>
        <v/>
      </c>
      <c r="BL284" s="15">
        <f>BG284+BH284-BK284</f>
        <v/>
      </c>
      <c r="BM284" s="14" t="n">
        <v>0</v>
      </c>
      <c r="BN284" s="14" t="n">
        <v>0</v>
      </c>
      <c r="BO284" s="14" t="n">
        <v>0</v>
      </c>
      <c r="BP284" s="14" t="n">
        <v>0</v>
      </c>
      <c r="BQ284" s="15">
        <f>BO284+BP284</f>
        <v/>
      </c>
      <c r="BR284" s="15">
        <f>BM284+BN284-BQ284</f>
        <v/>
      </c>
      <c r="BS284" s="14" t="n">
        <v>0</v>
      </c>
      <c r="BT284" s="14" t="n">
        <v>0</v>
      </c>
      <c r="BU284" s="14" t="n">
        <v>0</v>
      </c>
      <c r="BV284" s="14" t="n">
        <v>0</v>
      </c>
      <c r="BW284" s="15">
        <f>BU284+BV284</f>
        <v/>
      </c>
      <c r="BX284" s="15">
        <f>BS284+BT284-BW284</f>
        <v/>
      </c>
      <c r="BY284" s="15">
        <f>BA284+BG284+BM284+BS284</f>
        <v/>
      </c>
      <c r="BZ284" s="15">
        <f>BB284+BH284+BN284+BT284</f>
        <v/>
      </c>
      <c r="CA284" s="15">
        <f>BE284+BK284+BQ284+BW284</f>
        <v/>
      </c>
      <c r="CB284" s="15">
        <f>BF284+BL284+BR284+BX284</f>
        <v/>
      </c>
      <c r="CC284" s="14" t="n">
        <v>0</v>
      </c>
      <c r="CD284" s="14" t="n">
        <v>78</v>
      </c>
      <c r="CE284" s="14" t="n">
        <v>48</v>
      </c>
      <c r="CF284" s="14" t="n">
        <v>10</v>
      </c>
      <c r="CG284" s="14" t="n">
        <v>0</v>
      </c>
      <c r="CH284" s="15">
        <f>CD284+CE284+CF284+CG284</f>
        <v/>
      </c>
      <c r="CI284" s="14" t="n">
        <v>25</v>
      </c>
      <c r="CJ284" s="14" t="n">
        <v>2</v>
      </c>
      <c r="CK284" s="14" t="n">
        <v>1</v>
      </c>
      <c r="CL284" s="14" t="n">
        <v>0</v>
      </c>
      <c r="CM284" s="15">
        <f>CI284+CJ284+CK284+CL284</f>
        <v/>
      </c>
      <c r="CN284" s="14" t="n">
        <v>302</v>
      </c>
      <c r="CO284" s="14" t="n">
        <v>14</v>
      </c>
      <c r="CP284" s="14" t="n">
        <v>2</v>
      </c>
      <c r="CQ284" s="14" t="n">
        <v>0</v>
      </c>
      <c r="CR284" s="15">
        <f>CN284+CO284+CP284+CQ284</f>
        <v/>
      </c>
      <c r="CS284" s="15">
        <f>CM284+CR284</f>
        <v/>
      </c>
      <c r="CT284" s="14" t="n">
        <v>482</v>
      </c>
      <c r="CU284" s="14" t="n">
        <v>3423</v>
      </c>
      <c r="CV284" s="14" t="n">
        <v>2580</v>
      </c>
      <c r="CW284" s="16">
        <f>IF(CU284=0,"",CV284/CU284)</f>
        <v/>
      </c>
      <c r="CX284" s="14" t="n">
        <v>0</v>
      </c>
      <c r="CY284" s="14" t="n">
        <v>0</v>
      </c>
      <c r="CZ284" s="14" t="n">
        <v>0</v>
      </c>
      <c r="DA284" s="14" t="n">
        <v>0</v>
      </c>
      <c r="DB284" s="15">
        <f>CX284+CY284-CZ284-DA284</f>
        <v/>
      </c>
      <c r="DC284" s="14" t="n">
        <v>0</v>
      </c>
      <c r="DD284" s="14" t="n">
        <v>0</v>
      </c>
      <c r="DE284" s="14" t="n">
        <v>0</v>
      </c>
      <c r="DF284" s="14" t="n">
        <v>0</v>
      </c>
      <c r="DG284" s="15">
        <f>DC284+DD284-DE284-DF284</f>
        <v/>
      </c>
      <c r="DH284" s="14" t="n">
        <v>0</v>
      </c>
      <c r="DI284" s="14" t="n">
        <v>0</v>
      </c>
      <c r="DJ284" s="14" t="n">
        <v>0</v>
      </c>
      <c r="DK284" s="14" t="n">
        <v>0</v>
      </c>
      <c r="DL284" s="15">
        <f>DH284+DI284-DJ284-DK284</f>
        <v/>
      </c>
      <c r="DM284" s="14" t="n">
        <v>0</v>
      </c>
      <c r="DN284" s="14" t="n">
        <v>0</v>
      </c>
      <c r="DO284" s="14" t="n">
        <v>0</v>
      </c>
      <c r="DP284" s="14" t="n">
        <v>0</v>
      </c>
      <c r="DQ284" s="15">
        <f>DM284+DN284-DO284-DP284</f>
        <v/>
      </c>
      <c r="DR284" s="15">
        <f>CX284+DC284+DH284+DM284</f>
        <v/>
      </c>
      <c r="DS284" s="15">
        <f>CY284+DD284+DI284+DN284</f>
        <v/>
      </c>
      <c r="DT284" s="15">
        <f>CZ284+DE284+DJ284+DO284</f>
        <v/>
      </c>
      <c r="DU284" s="15">
        <f>DA284+DF284+DK284+DP284</f>
        <v/>
      </c>
      <c r="DV284" s="15">
        <f>DB284+DG284+DL284+DQ284</f>
        <v/>
      </c>
      <c r="DW284" s="14" t="n">
        <v>4</v>
      </c>
      <c r="DX284" s="14" t="n">
        <v>1</v>
      </c>
      <c r="DY284" s="14" t="n">
        <v>4</v>
      </c>
      <c r="DZ284" s="14" t="n">
        <v>2</v>
      </c>
      <c r="EA284" s="14" t="n">
        <v>1</v>
      </c>
      <c r="EB284" s="14" t="n">
        <v>0</v>
      </c>
      <c r="EC284" s="14" t="n">
        <v>0</v>
      </c>
      <c r="ED284" s="14" t="n">
        <v>0</v>
      </c>
      <c r="EE284" s="14" t="n">
        <v>0</v>
      </c>
      <c r="EF284" s="14" t="n">
        <v>0</v>
      </c>
      <c r="EG284" s="14" t="n">
        <v>0</v>
      </c>
      <c r="EH284" s="14" t="n">
        <v>0</v>
      </c>
      <c r="EI284" s="14" t="n">
        <v>0</v>
      </c>
      <c r="EJ284" s="14" t="n">
        <v>0</v>
      </c>
      <c r="EK284" s="14" t="n">
        <v>0</v>
      </c>
      <c r="EL284" s="14" t="n">
        <v>0</v>
      </c>
      <c r="EM284" s="14" t="n">
        <v>0</v>
      </c>
      <c r="EN284" s="14" t="n">
        <v>0</v>
      </c>
      <c r="EO284" s="14" t="n">
        <v>0</v>
      </c>
      <c r="EP284" s="14" t="n">
        <v>0</v>
      </c>
      <c r="EQ284" s="14" t="n">
        <v>0</v>
      </c>
      <c r="ER284" s="14" t="n">
        <v>0</v>
      </c>
      <c r="ES284" s="14" t="n">
        <v>0</v>
      </c>
      <c r="ET284" s="14" t="n">
        <v>0</v>
      </c>
      <c r="EU284" s="14" t="n">
        <v>0</v>
      </c>
      <c r="EV284" s="14" t="n">
        <v>0</v>
      </c>
      <c r="EW284" s="14" t="n">
        <v>0</v>
      </c>
      <c r="EX284" s="14" t="n">
        <v>0</v>
      </c>
      <c r="EY284" s="14" t="n">
        <v>0</v>
      </c>
      <c r="EZ284" s="14" t="n">
        <v>0</v>
      </c>
      <c r="FA284" s="14" t="n">
        <v>0</v>
      </c>
      <c r="FB284" s="14" t="n">
        <v>0</v>
      </c>
      <c r="FC284" s="14" t="n">
        <v>0</v>
      </c>
      <c r="FD284" s="14" t="n">
        <v>0</v>
      </c>
      <c r="FE284" s="14" t="n">
        <v>0</v>
      </c>
      <c r="FF284" s="14" t="n">
        <v>0</v>
      </c>
      <c r="FG284" s="15">
        <f>SUM(DW284,DX284,DY284,DZ284,EA284,EB284,EC284,ED284,EE284,EF284,EG284,EH284,EI284,EJ284,EK284,EL284,EM284,EN284,EO284,EP284,EQ284,ER284,ES284,ET284,EU284,EV284,EW284,EX284,EY284,EZ284,FA284,FB284,FC284,FD284,FE284,FF284)</f>
        <v/>
      </c>
      <c r="FH284" s="14" t="n">
        <v>0</v>
      </c>
      <c r="FI284" s="14" t="n">
        <v>0</v>
      </c>
      <c r="FJ284" s="14" t="n">
        <v>10</v>
      </c>
      <c r="FK284" s="14" t="n">
        <v>7</v>
      </c>
      <c r="FL284" s="14" t="n">
        <v>0</v>
      </c>
      <c r="FM284" s="14" t="n">
        <v>0</v>
      </c>
      <c r="FN284" s="14" t="n">
        <v>0</v>
      </c>
      <c r="FO284" s="14" t="n">
        <v>0</v>
      </c>
      <c r="FP284" s="14" t="n">
        <v>0</v>
      </c>
      <c r="FQ284" s="15">
        <f>FL284+FM284+FN284+FO284+FP284</f>
        <v/>
      </c>
      <c r="FR284" s="14" t="n">
        <v>215847.57</v>
      </c>
      <c r="FS284" s="14" t="n">
        <v>0</v>
      </c>
      <c r="FT284" s="14" t="n">
        <v>0</v>
      </c>
      <c r="FU284" s="14" t="n">
        <v>0</v>
      </c>
      <c r="FV284" s="15">
        <f>FR284+FS284+FT284+FU284</f>
        <v/>
      </c>
      <c r="FW284" s="14" t="n">
        <v>1844649.28</v>
      </c>
      <c r="FX284" s="14" t="n">
        <v>0</v>
      </c>
      <c r="FY284" s="14" t="n">
        <v>63700</v>
      </c>
      <c r="FZ284" s="14" t="n">
        <v>267300</v>
      </c>
      <c r="GA284" s="15">
        <f>FW284+FX284+FY284+FZ284</f>
        <v/>
      </c>
      <c r="GB284" s="15">
        <f>FV284+GA284</f>
        <v/>
      </c>
      <c r="GC284" s="14" t="n">
        <v>123163.36</v>
      </c>
      <c r="GD284" s="14" t="n">
        <v>0</v>
      </c>
      <c r="GE284" s="14" t="n">
        <v>16821.98</v>
      </c>
      <c r="GF284" s="14" t="n">
        <v>8410.99</v>
      </c>
      <c r="GG284" s="15">
        <f>GC284+GD284+GE284+GF284</f>
        <v/>
      </c>
      <c r="GH284" s="14" t="n">
        <v>1793225.5</v>
      </c>
      <c r="GI284" s="14" t="n">
        <v>0</v>
      </c>
      <c r="GJ284" s="14" t="n">
        <v>189300</v>
      </c>
      <c r="GK284" s="14" t="n">
        <v>63700</v>
      </c>
      <c r="GL284" s="15">
        <f>GH284+GI284+GJ284+GK284</f>
        <v/>
      </c>
      <c r="GM284" s="15">
        <f>GG284+GL284</f>
        <v/>
      </c>
      <c r="GN284" s="14" t="n">
        <v>13295.55</v>
      </c>
      <c r="GO284" s="14" t="n">
        <v>0</v>
      </c>
      <c r="GP284" s="14" t="n">
        <v>6787.28</v>
      </c>
      <c r="GQ284" s="14" t="n">
        <v>4637.34</v>
      </c>
      <c r="GR284" s="15">
        <f>GN284+GO284+GP284+GQ284</f>
        <v/>
      </c>
      <c r="GS284" s="14" t="n">
        <v>22325</v>
      </c>
      <c r="GT284" s="14" t="n">
        <v>0</v>
      </c>
      <c r="GU284" s="14" t="n">
        <v>1786</v>
      </c>
      <c r="GV284" s="14" t="n">
        <v>893</v>
      </c>
      <c r="GW284" s="15">
        <f>GS284+GT284+GU284+GV284</f>
        <v/>
      </c>
      <c r="GX284" s="15">
        <f>GM284+GR284+GW284</f>
        <v/>
      </c>
      <c r="GY284" s="14" t="n">
        <v>-881669640.2799995</v>
      </c>
      <c r="GZ284" s="14" t="n">
        <v>-30403.8</v>
      </c>
      <c r="HA284" s="9">
        <f>GY284+GZ284</f>
        <v/>
      </c>
      <c r="HB284" s="15">
        <f>IF(GX284=0,"",AU284/GX284)</f>
        <v/>
      </c>
      <c r="HC284" s="16">
        <f>IF((GX284+GY284)=0,"",GB284/(GX284+GY284))</f>
        <v/>
      </c>
      <c r="HD284" s="15">
        <f>IF(GX284=0,"",GB284/GX284)</f>
        <v/>
      </c>
      <c r="HE284" s="14" t="n">
        <v>2</v>
      </c>
      <c r="HF284" s="14" t="n">
        <v>1</v>
      </c>
      <c r="HG284" s="14" t="n">
        <v>16</v>
      </c>
      <c r="HH284" s="14" t="n">
        <v>7</v>
      </c>
      <c r="HI284" s="14" t="n">
        <v>0</v>
      </c>
      <c r="HJ284" s="15">
        <f>HF284+HI284</f>
        <v/>
      </c>
      <c r="HK284" s="16">
        <f>IF(HE284=0,"",HH284/HE284)</f>
        <v/>
      </c>
      <c r="HL284" s="14" t="n">
        <v>0</v>
      </c>
      <c r="HM284" s="14" t="n">
        <v>0</v>
      </c>
      <c r="HN284" s="17">
        <f>IF(HL284=0,"",HM284/HL284)</f>
        <v/>
      </c>
    </row>
    <row r="285">
      <c r="A285" s="6" t="inlineStr">
        <is>
          <t>Zomba</t>
        </is>
      </c>
      <c r="B285" s="6" t="inlineStr">
        <is>
          <t>Chiradzulu</t>
        </is>
      </c>
      <c r="C285" s="7" t="inlineStr">
        <is>
          <t>FY2025/26</t>
        </is>
      </c>
      <c r="D285" s="7" t="n">
        <v>2025</v>
      </c>
      <c r="E285" s="7" t="n">
        <v>10</v>
      </c>
      <c r="F285" s="7" t="inlineStr">
        <is>
          <t>October</t>
        </is>
      </c>
      <c r="G285" s="7" t="inlineStr">
        <is>
          <t>Q3</t>
        </is>
      </c>
      <c r="H285" s="8" t="n">
        <v>1457</v>
      </c>
      <c r="I285" s="8" t="n">
        <v>115</v>
      </c>
      <c r="J285" s="8" t="n">
        <v>0</v>
      </c>
      <c r="K285" s="8" t="n">
        <v>2</v>
      </c>
      <c r="L285" s="8" t="n">
        <v>1</v>
      </c>
      <c r="M285" s="9">
        <f>SUM(I285,J285,K285,L285)</f>
        <v/>
      </c>
      <c r="N285" s="8" t="n">
        <v>1030.1</v>
      </c>
      <c r="O285" s="8" t="n">
        <v>0</v>
      </c>
      <c r="P285" s="8" t="n">
        <v>205.3</v>
      </c>
      <c r="Q285" s="8" t="n">
        <v>2.1</v>
      </c>
      <c r="R285" s="9">
        <f>SUM(N285,O285,P285,Q285)</f>
        <v/>
      </c>
      <c r="S285" s="9">
        <f>M285+R285</f>
        <v/>
      </c>
      <c r="T285" s="8" t="n">
        <v>101.500000000001</v>
      </c>
      <c r="U285" s="10">
        <f>IF(H285=0,"",T285/H285)</f>
        <v/>
      </c>
      <c r="V285" s="8" t="n">
        <v>8.5</v>
      </c>
      <c r="W285" s="11">
        <f>IF(H285=0,"",V285/H285)</f>
        <v/>
      </c>
      <c r="X285" s="8" t="n">
        <v>0</v>
      </c>
      <c r="Y285" s="11">
        <f>IF(H285=0,"",X285/H285)</f>
        <v/>
      </c>
      <c r="Z285" s="8" t="n">
        <v>0</v>
      </c>
      <c r="AA285" s="11">
        <f>IF(H285=0,"",Z285/H285)</f>
        <v/>
      </c>
      <c r="AB285" s="8" t="n">
        <v>0</v>
      </c>
      <c r="AC285" s="11">
        <f>IF(H285=0,"",AB285/H285)</f>
        <v/>
      </c>
      <c r="AD285" s="8" t="n">
        <v>0</v>
      </c>
      <c r="AE285" s="11">
        <f>IF(H285=0,"",AD285/H285)</f>
        <v/>
      </c>
      <c r="AF285" s="8" t="n">
        <v>0</v>
      </c>
      <c r="AG285" s="11">
        <f>IF(H285=0,"",AF285/H285)</f>
        <v/>
      </c>
      <c r="AH285" s="8" t="n">
        <v>221000</v>
      </c>
      <c r="AI285" s="9">
        <f>IF(H285=0,"",AH285/H285)</f>
        <v/>
      </c>
      <c r="AJ285" s="8" t="n">
        <v>13.13</v>
      </c>
      <c r="AK285" s="11">
        <f>IF(H285=0,"",AJ285/H285)</f>
        <v/>
      </c>
      <c r="AL285" s="8" t="n">
        <v>35194.99717</v>
      </c>
      <c r="AM285" s="9">
        <f>IF(H285=0,"",AL285/H285)</f>
        <v/>
      </c>
      <c r="AN285" s="8" t="n">
        <v>0</v>
      </c>
      <c r="AO285" s="8" t="n">
        <v>0</v>
      </c>
      <c r="AP285" s="8" t="n">
        <v>0</v>
      </c>
      <c r="AQ285" s="8" t="n">
        <v>0</v>
      </c>
      <c r="AR285" s="8" t="n">
        <v>0</v>
      </c>
      <c r="AS285" s="8" t="n">
        <v>0</v>
      </c>
      <c r="AT285" s="8" t="n">
        <v>0</v>
      </c>
      <c r="AU285" s="9">
        <f>AH285+AL285+AP285+AQ285+AR285+AS285+AT285</f>
        <v/>
      </c>
      <c r="AV285" s="9">
        <f>IF(H285=0,"",AU285/H285)</f>
        <v/>
      </c>
      <c r="AW285" s="9">
        <f>IF(S285=0,"",AU285/S285)</f>
        <v/>
      </c>
      <c r="AX285" s="8" t="n">
        <v>4</v>
      </c>
      <c r="AY285" s="9">
        <f>IF(H285=0,"",AX285/(H285/1000/12))</f>
        <v/>
      </c>
      <c r="AZ285" s="8" t="n">
        <v>6</v>
      </c>
      <c r="BA285" s="8" t="n">
        <v>16</v>
      </c>
      <c r="BB285" s="8" t="n">
        <v>0</v>
      </c>
      <c r="BC285" s="8" t="n">
        <v>11</v>
      </c>
      <c r="BD285" s="8" t="n">
        <v>0</v>
      </c>
      <c r="BE285" s="9">
        <f>BC285+BD285</f>
        <v/>
      </c>
      <c r="BF285" s="9">
        <f>BA285+BB285-BE285</f>
        <v/>
      </c>
      <c r="BG285" s="8" t="n">
        <v>0</v>
      </c>
      <c r="BH285" s="8" t="n">
        <v>0</v>
      </c>
      <c r="BI285" s="8" t="n">
        <v>0</v>
      </c>
      <c r="BJ285" s="8" t="n">
        <v>0</v>
      </c>
      <c r="BK285" s="9">
        <f>BI285+BJ285</f>
        <v/>
      </c>
      <c r="BL285" s="9">
        <f>BG285+BH285-BK285</f>
        <v/>
      </c>
      <c r="BM285" s="8" t="n">
        <v>0</v>
      </c>
      <c r="BN285" s="8" t="n">
        <v>0</v>
      </c>
      <c r="BO285" s="8" t="n">
        <v>0</v>
      </c>
      <c r="BP285" s="8" t="n">
        <v>0</v>
      </c>
      <c r="BQ285" s="9">
        <f>BO285+BP285</f>
        <v/>
      </c>
      <c r="BR285" s="9">
        <f>BM285+BN285-BQ285</f>
        <v/>
      </c>
      <c r="BS285" s="8" t="n">
        <v>0</v>
      </c>
      <c r="BT285" s="8" t="n">
        <v>0</v>
      </c>
      <c r="BU285" s="8" t="n">
        <v>0</v>
      </c>
      <c r="BV285" s="8" t="n">
        <v>0</v>
      </c>
      <c r="BW285" s="9">
        <f>BU285+BV285</f>
        <v/>
      </c>
      <c r="BX285" s="9">
        <f>BS285+BT285-BW285</f>
        <v/>
      </c>
      <c r="BY285" s="9">
        <f>BA285+BG285+BM285+BS285</f>
        <v/>
      </c>
      <c r="BZ285" s="9">
        <f>BB285+BH285+BN285+BT285</f>
        <v/>
      </c>
      <c r="CA285" s="9">
        <f>BE285+BK285+BQ285+BW285</f>
        <v/>
      </c>
      <c r="CB285" s="9">
        <f>BF285+BL285+BR285+BX285</f>
        <v/>
      </c>
      <c r="CC285" s="8" t="n">
        <v>20</v>
      </c>
      <c r="CD285" s="8" t="n">
        <v>55</v>
      </c>
      <c r="CE285" s="8" t="n">
        <v>48</v>
      </c>
      <c r="CF285" s="8" t="n">
        <v>10</v>
      </c>
      <c r="CG285" s="8" t="n">
        <v>0</v>
      </c>
      <c r="CH285" s="9">
        <f>CD285+CE285+CF285+CG285</f>
        <v/>
      </c>
      <c r="CI285" s="8" t="n">
        <v>39</v>
      </c>
      <c r="CJ285" s="8" t="n">
        <v>2</v>
      </c>
      <c r="CK285" s="8" t="n">
        <v>1</v>
      </c>
      <c r="CL285" s="8" t="n">
        <v>0</v>
      </c>
      <c r="CM285" s="9">
        <f>CI285+CJ285+CK285+CL285</f>
        <v/>
      </c>
      <c r="CN285" s="8" t="n">
        <v>322</v>
      </c>
      <c r="CO285" s="8" t="n">
        <v>14</v>
      </c>
      <c r="CP285" s="8" t="n">
        <v>2</v>
      </c>
      <c r="CQ285" s="8" t="n">
        <v>0</v>
      </c>
      <c r="CR285" s="9">
        <f>CN285+CO285+CP285+CQ285</f>
        <v/>
      </c>
      <c r="CS285" s="9">
        <f>CM285+CR285</f>
        <v/>
      </c>
      <c r="CT285" s="8" t="n">
        <v>493</v>
      </c>
      <c r="CU285" s="8" t="n">
        <v>3428</v>
      </c>
      <c r="CV285" s="8" t="n">
        <v>2627.3</v>
      </c>
      <c r="CW285" s="10">
        <f>IF(CU285=0,"",CV285/CU285)</f>
        <v/>
      </c>
      <c r="CX285" s="8" t="n">
        <v>0</v>
      </c>
      <c r="CY285" s="8" t="n">
        <v>0</v>
      </c>
      <c r="CZ285" s="8" t="n">
        <v>0</v>
      </c>
      <c r="DA285" s="8" t="n">
        <v>0</v>
      </c>
      <c r="DB285" s="9">
        <f>CX285+CY285-CZ285-DA285</f>
        <v/>
      </c>
      <c r="DC285" s="8" t="n">
        <v>0</v>
      </c>
      <c r="DD285" s="8" t="n">
        <v>0</v>
      </c>
      <c r="DE285" s="8" t="n">
        <v>0</v>
      </c>
      <c r="DF285" s="8" t="n">
        <v>0</v>
      </c>
      <c r="DG285" s="9">
        <f>DC285+DD285-DE285-DF285</f>
        <v/>
      </c>
      <c r="DH285" s="8" t="n">
        <v>0</v>
      </c>
      <c r="DI285" s="8" t="n">
        <v>0</v>
      </c>
      <c r="DJ285" s="8" t="n">
        <v>0</v>
      </c>
      <c r="DK285" s="8" t="n">
        <v>0</v>
      </c>
      <c r="DL285" s="9">
        <f>DH285+DI285-DJ285-DK285</f>
        <v/>
      </c>
      <c r="DM285" s="8" t="n">
        <v>0</v>
      </c>
      <c r="DN285" s="8" t="n">
        <v>0</v>
      </c>
      <c r="DO285" s="8" t="n">
        <v>0</v>
      </c>
      <c r="DP285" s="8" t="n">
        <v>0</v>
      </c>
      <c r="DQ285" s="9">
        <f>DM285+DN285-DO285-DP285</f>
        <v/>
      </c>
      <c r="DR285" s="9">
        <f>CX285+DC285+DH285+DM285</f>
        <v/>
      </c>
      <c r="DS285" s="9">
        <f>CY285+DD285+DI285+DN285</f>
        <v/>
      </c>
      <c r="DT285" s="9">
        <f>CZ285+DE285+DJ285+DO285</f>
        <v/>
      </c>
      <c r="DU285" s="9">
        <f>DA285+DF285+DK285+DP285</f>
        <v/>
      </c>
      <c r="DV285" s="9">
        <f>DB285+DG285+DL285+DQ285</f>
        <v/>
      </c>
      <c r="DW285" s="8" t="n">
        <v>2</v>
      </c>
      <c r="DX285" s="8" t="n">
        <v>1</v>
      </c>
      <c r="DY285" s="8" t="n">
        <v>2</v>
      </c>
      <c r="DZ285" s="8" t="n">
        <v>0</v>
      </c>
      <c r="EA285" s="8" t="n">
        <v>1</v>
      </c>
      <c r="EB285" s="8" t="n">
        <v>0</v>
      </c>
      <c r="EC285" s="8" t="n">
        <v>0</v>
      </c>
      <c r="ED285" s="8" t="n">
        <v>0</v>
      </c>
      <c r="EE285" s="8" t="n">
        <v>1</v>
      </c>
      <c r="EF285" s="8" t="n">
        <v>0</v>
      </c>
      <c r="EG285" s="8" t="n">
        <v>0</v>
      </c>
      <c r="EH285" s="8" t="n">
        <v>0</v>
      </c>
      <c r="EI285" s="8" t="n">
        <v>0</v>
      </c>
      <c r="EJ285" s="8" t="n">
        <v>0</v>
      </c>
      <c r="EK285" s="8" t="n">
        <v>0</v>
      </c>
      <c r="EL285" s="8" t="n">
        <v>0</v>
      </c>
      <c r="EM285" s="8" t="n">
        <v>0</v>
      </c>
      <c r="EN285" s="8" t="n">
        <v>0</v>
      </c>
      <c r="EO285" s="8" t="n">
        <v>0</v>
      </c>
      <c r="EP285" s="8" t="n">
        <v>0</v>
      </c>
      <c r="EQ285" s="8" t="n">
        <v>0</v>
      </c>
      <c r="ER285" s="8" t="n">
        <v>0</v>
      </c>
      <c r="ES285" s="8" t="n">
        <v>0</v>
      </c>
      <c r="ET285" s="8" t="n">
        <v>0</v>
      </c>
      <c r="EU285" s="8" t="n">
        <v>0</v>
      </c>
      <c r="EV285" s="8" t="n">
        <v>0</v>
      </c>
      <c r="EW285" s="8" t="n">
        <v>0</v>
      </c>
      <c r="EX285" s="8" t="n">
        <v>0</v>
      </c>
      <c r="EY285" s="8" t="n">
        <v>0</v>
      </c>
      <c r="EZ285" s="8" t="n">
        <v>0</v>
      </c>
      <c r="FA285" s="8" t="n">
        <v>0</v>
      </c>
      <c r="FB285" s="8" t="n">
        <v>0</v>
      </c>
      <c r="FC285" s="8" t="n">
        <v>0</v>
      </c>
      <c r="FD285" s="8" t="n">
        <v>0</v>
      </c>
      <c r="FE285" s="8" t="n">
        <v>0</v>
      </c>
      <c r="FF285" s="8" t="n">
        <v>0</v>
      </c>
      <c r="FG285" s="9">
        <f>SUM(DW285,DX285,DY285,DZ285,EA285,EB285,EC285,ED285,EE285,EF285,EG285,EH285,EI285,EJ285,EK285,EL285,EM285,EN285,EO285,EP285,EQ285,ER285,ES285,ET285,EU285,EV285,EW285,EX285,EY285,EZ285,FA285,FB285,FC285,FD285,FE285,FF285)</f>
        <v/>
      </c>
      <c r="FH285" s="8" t="n">
        <v>0</v>
      </c>
      <c r="FI285" s="8" t="n">
        <v>0</v>
      </c>
      <c r="FJ285" s="8" t="n">
        <v>4</v>
      </c>
      <c r="FK285" s="8" t="n">
        <v>18</v>
      </c>
      <c r="FL285" s="8" t="n">
        <v>0</v>
      </c>
      <c r="FM285" s="8" t="n">
        <v>0</v>
      </c>
      <c r="FN285" s="8" t="n">
        <v>0</v>
      </c>
      <c r="FO285" s="8" t="n">
        <v>0</v>
      </c>
      <c r="FP285" s="8" t="n">
        <v>0</v>
      </c>
      <c r="FQ285" s="9">
        <f>FL285+FM285+FN285+FO285+FP285</f>
        <v/>
      </c>
      <c r="FR285" s="8" t="n">
        <v>51500</v>
      </c>
      <c r="FS285" s="8" t="n">
        <v>0</v>
      </c>
      <c r="FT285" s="8" t="n">
        <v>0</v>
      </c>
      <c r="FU285" s="8" t="n">
        <v>0</v>
      </c>
      <c r="FV285" s="9">
        <f>FR285+FS285+FT285+FU285</f>
        <v/>
      </c>
      <c r="FW285" s="8" t="n">
        <v>1359369.59</v>
      </c>
      <c r="FX285" s="8" t="n">
        <v>0</v>
      </c>
      <c r="FY285" s="8" t="n">
        <v>10000</v>
      </c>
      <c r="FZ285" s="8" t="n">
        <v>653800</v>
      </c>
      <c r="GA285" s="9">
        <f>FW285+FX285+FY285+FZ285</f>
        <v/>
      </c>
      <c r="GB285" s="9">
        <f>FV285+GA285</f>
        <v/>
      </c>
      <c r="GC285" s="8" t="n">
        <v>159971.91</v>
      </c>
      <c r="GD285" s="8" t="n">
        <v>0</v>
      </c>
      <c r="GE285" s="8" t="n">
        <v>16821.98</v>
      </c>
      <c r="GF285" s="8" t="n">
        <v>8410.99</v>
      </c>
      <c r="GG285" s="9">
        <f>GC285+GD285+GE285+GF285</f>
        <v/>
      </c>
      <c r="GH285" s="8" t="n">
        <v>1295214.59</v>
      </c>
      <c r="GI285" s="8" t="n">
        <v>0</v>
      </c>
      <c r="GJ285" s="8" t="n">
        <v>623800</v>
      </c>
      <c r="GK285" s="8" t="n">
        <v>10000</v>
      </c>
      <c r="GL285" s="9">
        <f>GH285+GI285+GJ285+GK285</f>
        <v/>
      </c>
      <c r="GM285" s="9">
        <f>GG285+GL285</f>
        <v/>
      </c>
      <c r="GN285" s="8" t="n">
        <v>20924.57</v>
      </c>
      <c r="GO285" s="8" t="n">
        <v>0</v>
      </c>
      <c r="GP285" s="8" t="n">
        <v>6787.28</v>
      </c>
      <c r="GQ285" s="8" t="n">
        <v>4637.34</v>
      </c>
      <c r="GR285" s="9">
        <f>GN285+GO285+GP285+GQ285</f>
        <v/>
      </c>
      <c r="GS285" s="8" t="n">
        <v>34827</v>
      </c>
      <c r="GT285" s="8" t="n">
        <v>0</v>
      </c>
      <c r="GU285" s="8" t="n">
        <v>1786</v>
      </c>
      <c r="GV285" s="8" t="n">
        <v>893</v>
      </c>
      <c r="GW285" s="9">
        <f>GS285+GT285+GU285+GV285</f>
        <v/>
      </c>
      <c r="GX285" s="9">
        <f>GM285+GR285+GW285</f>
        <v/>
      </c>
      <c r="GY285" s="8" t="n">
        <v>11770358.56000001</v>
      </c>
      <c r="GZ285" s="8" t="n">
        <v>-30403.8</v>
      </c>
      <c r="HA285" s="9">
        <f>GY285+GZ285</f>
        <v/>
      </c>
      <c r="HB285" s="9">
        <f>IF(GX285=0,"",AU285/GX285)</f>
        <v/>
      </c>
      <c r="HC285" s="10">
        <f>IF((GX285+GY285)=0,"",GB285/(GX285+GY285))</f>
        <v/>
      </c>
      <c r="HD285" s="9">
        <f>IF(GX285=0,"",GB285/GX285)</f>
        <v/>
      </c>
      <c r="HE285" s="8" t="n">
        <v>1</v>
      </c>
      <c r="HF285" s="8" t="n">
        <v>1</v>
      </c>
      <c r="HG285" s="8" t="n">
        <v>5</v>
      </c>
      <c r="HH285" s="8" t="n">
        <v>0</v>
      </c>
      <c r="HI285" s="8" t="n">
        <v>1</v>
      </c>
      <c r="HJ285" s="9">
        <f>HF285+HI285</f>
        <v/>
      </c>
      <c r="HK285" s="10">
        <f>IF(HE285=0,"",HH285/HE285)</f>
        <v/>
      </c>
      <c r="HL285" s="8" t="n">
        <v>87</v>
      </c>
      <c r="HM285" s="8" t="n">
        <v>31</v>
      </c>
      <c r="HN285" s="11">
        <f>IF(HL285=0,"",HM285/HL285)</f>
        <v/>
      </c>
    </row>
    <row r="286">
      <c r="A286" s="12" t="inlineStr">
        <is>
          <t>Zomba</t>
        </is>
      </c>
      <c r="B286" s="12" t="inlineStr">
        <is>
          <t>Chiradzulu</t>
        </is>
      </c>
      <c r="C286" s="13" t="inlineStr">
        <is>
          <t>FY2025/26</t>
        </is>
      </c>
      <c r="D286" s="13" t="n">
        <v>2025</v>
      </c>
      <c r="E286" s="13" t="n">
        <v>11</v>
      </c>
      <c r="F286" s="13" t="inlineStr">
        <is>
          <t>November</t>
        </is>
      </c>
      <c r="G286" s="13" t="inlineStr">
        <is>
          <t>Q3</t>
        </is>
      </c>
      <c r="H286" s="14" t="n">
        <v>1440</v>
      </c>
      <c r="I286" s="14" t="n">
        <v>157</v>
      </c>
      <c r="J286" s="14" t="n">
        <v>0</v>
      </c>
      <c r="K286" s="14" t="n">
        <v>8</v>
      </c>
      <c r="L286" s="14" t="n">
        <v>5</v>
      </c>
      <c r="M286" s="15">
        <f>SUM(I286,J286,K286,L286)</f>
        <v/>
      </c>
      <c r="N286" s="14" t="n">
        <v>836.1</v>
      </c>
      <c r="O286" s="14" t="n">
        <v>0</v>
      </c>
      <c r="P286" s="14" t="n">
        <v>340.5</v>
      </c>
      <c r="Q286" s="14" t="n">
        <v>13.3</v>
      </c>
      <c r="R286" s="15">
        <f>SUM(N286,O286,P286,Q286)</f>
        <v/>
      </c>
      <c r="S286" s="15">
        <f>M286+R286</f>
        <v/>
      </c>
      <c r="T286" s="14" t="n">
        <v>80.10000000000041</v>
      </c>
      <c r="U286" s="16">
        <f>IF(H286=0,"",T286/H286)</f>
        <v/>
      </c>
      <c r="V286" s="14" t="n">
        <v>3</v>
      </c>
      <c r="W286" s="17">
        <f>IF(H286=0,"",V286/H286)</f>
        <v/>
      </c>
      <c r="X286" s="14" t="n">
        <v>0</v>
      </c>
      <c r="Y286" s="17">
        <f>IF(H286=0,"",X286/H286)</f>
        <v/>
      </c>
      <c r="Z286" s="14" t="n">
        <v>0</v>
      </c>
      <c r="AA286" s="17">
        <f>IF(H286=0,"",Z286/H286)</f>
        <v/>
      </c>
      <c r="AB286" s="14" t="n">
        <v>0</v>
      </c>
      <c r="AC286" s="17">
        <f>IF(H286=0,"",AB286/H286)</f>
        <v/>
      </c>
      <c r="AD286" s="14" t="n">
        <v>0</v>
      </c>
      <c r="AE286" s="17">
        <f>IF(H286=0,"",AD286/H286)</f>
        <v/>
      </c>
      <c r="AF286" s="14" t="n">
        <v>0</v>
      </c>
      <c r="AG286" s="17">
        <f>IF(H286=0,"",AF286/H286)</f>
        <v/>
      </c>
      <c r="AH286" s="14" t="n">
        <v>78000</v>
      </c>
      <c r="AI286" s="15">
        <f>IF(H286=0,"",AH286/H286)</f>
        <v/>
      </c>
      <c r="AJ286" s="14" t="n">
        <v>14.4</v>
      </c>
      <c r="AK286" s="17">
        <f>IF(H286=0,"",AJ286/H286)</f>
        <v/>
      </c>
      <c r="AL286" s="14" t="n">
        <v>35542.0996</v>
      </c>
      <c r="AM286" s="15">
        <f>IF(H286=0,"",AL286/H286)</f>
        <v/>
      </c>
      <c r="AN286" s="14" t="n">
        <v>0</v>
      </c>
      <c r="AO286" s="14" t="n">
        <v>0</v>
      </c>
      <c r="AP286" s="14" t="n">
        <v>0</v>
      </c>
      <c r="AQ286" s="14" t="n">
        <v>0</v>
      </c>
      <c r="AR286" s="14" t="n">
        <v>0</v>
      </c>
      <c r="AS286" s="14" t="n">
        <v>0</v>
      </c>
      <c r="AT286" s="14" t="n">
        <v>0</v>
      </c>
      <c r="AU286" s="15">
        <f>AH286+AL286+AP286+AQ286+AR286+AS286+AT286</f>
        <v/>
      </c>
      <c r="AV286" s="15">
        <f>IF(H286=0,"",AU286/H286)</f>
        <v/>
      </c>
      <c r="AW286" s="15">
        <f>IF(S286=0,"",AU286/S286)</f>
        <v/>
      </c>
      <c r="AX286" s="14" t="n">
        <v>4</v>
      </c>
      <c r="AY286" s="15">
        <f>IF(H286=0,"",AX286/(H286/1000/12))</f>
        <v/>
      </c>
      <c r="AZ286" s="14" t="n">
        <v>6</v>
      </c>
      <c r="BA286" s="14" t="n">
        <v>5</v>
      </c>
      <c r="BB286" s="14" t="n">
        <v>0</v>
      </c>
      <c r="BC286" s="14" t="n">
        <v>2</v>
      </c>
      <c r="BD286" s="14" t="n">
        <v>0</v>
      </c>
      <c r="BE286" s="15">
        <f>BC286+BD286</f>
        <v/>
      </c>
      <c r="BF286" s="15">
        <f>BA286+BB286-BE286</f>
        <v/>
      </c>
      <c r="BG286" s="14" t="n">
        <v>0</v>
      </c>
      <c r="BH286" s="14" t="n">
        <v>0</v>
      </c>
      <c r="BI286" s="14" t="n">
        <v>0</v>
      </c>
      <c r="BJ286" s="14" t="n">
        <v>0</v>
      </c>
      <c r="BK286" s="15">
        <f>BI286+BJ286</f>
        <v/>
      </c>
      <c r="BL286" s="15">
        <f>BG286+BH286-BK286</f>
        <v/>
      </c>
      <c r="BM286" s="14" t="n">
        <v>0</v>
      </c>
      <c r="BN286" s="14" t="n">
        <v>0</v>
      </c>
      <c r="BO286" s="14" t="n">
        <v>0</v>
      </c>
      <c r="BP286" s="14" t="n">
        <v>0</v>
      </c>
      <c r="BQ286" s="15">
        <f>BO286+BP286</f>
        <v/>
      </c>
      <c r="BR286" s="15">
        <f>BM286+BN286-BQ286</f>
        <v/>
      </c>
      <c r="BS286" s="14" t="n">
        <v>0</v>
      </c>
      <c r="BT286" s="14" t="n">
        <v>0</v>
      </c>
      <c r="BU286" s="14" t="n">
        <v>0</v>
      </c>
      <c r="BV286" s="14" t="n">
        <v>0</v>
      </c>
      <c r="BW286" s="15">
        <f>BU286+BV286</f>
        <v/>
      </c>
      <c r="BX286" s="15">
        <f>BS286+BT286-BW286</f>
        <v/>
      </c>
      <c r="BY286" s="15">
        <f>BA286+BG286+BM286+BS286</f>
        <v/>
      </c>
      <c r="BZ286" s="15">
        <f>BB286+BH286+BN286+BT286</f>
        <v/>
      </c>
      <c r="CA286" s="15">
        <f>BE286+BK286+BQ286+BW286</f>
        <v/>
      </c>
      <c r="CB286" s="15">
        <f>BF286+BL286+BR286+BX286</f>
        <v/>
      </c>
      <c r="CC286" s="14" t="n">
        <v>0</v>
      </c>
      <c r="CD286" s="14" t="n">
        <v>54</v>
      </c>
      <c r="CE286" s="14" t="n">
        <v>48</v>
      </c>
      <c r="CF286" s="14" t="n">
        <v>10</v>
      </c>
      <c r="CG286" s="14" t="n">
        <v>0</v>
      </c>
      <c r="CH286" s="15">
        <f>CD286+CE286+CF286+CG286</f>
        <v/>
      </c>
      <c r="CI286" s="14" t="n">
        <v>42</v>
      </c>
      <c r="CJ286" s="14" t="n">
        <v>2</v>
      </c>
      <c r="CK286" s="14" t="n">
        <v>1</v>
      </c>
      <c r="CL286" s="14" t="n">
        <v>0</v>
      </c>
      <c r="CM286" s="15">
        <f>CI286+CJ286+CK286+CL286</f>
        <v/>
      </c>
      <c r="CN286" s="14" t="n">
        <v>322</v>
      </c>
      <c r="CO286" s="14" t="n">
        <v>14</v>
      </c>
      <c r="CP286" s="14" t="n">
        <v>2</v>
      </c>
      <c r="CQ286" s="14" t="n">
        <v>0</v>
      </c>
      <c r="CR286" s="15">
        <f>CN286+CO286+CP286+CQ286</f>
        <v/>
      </c>
      <c r="CS286" s="15">
        <f>CM286+CR286</f>
        <v/>
      </c>
      <c r="CT286" s="14" t="n">
        <v>495</v>
      </c>
      <c r="CU286" s="14" t="n">
        <v>3433</v>
      </c>
      <c r="CV286" s="14" t="n">
        <v>2627</v>
      </c>
      <c r="CW286" s="16">
        <f>IF(CU286=0,"",CV286/CU286)</f>
        <v/>
      </c>
      <c r="CX286" s="14" t="n">
        <v>0</v>
      </c>
      <c r="CY286" s="14" t="n">
        <v>0</v>
      </c>
      <c r="CZ286" s="14" t="n">
        <v>0</v>
      </c>
      <c r="DA286" s="14" t="n">
        <v>0</v>
      </c>
      <c r="DB286" s="15">
        <f>CX286+CY286-CZ286-DA286</f>
        <v/>
      </c>
      <c r="DC286" s="14" t="n">
        <v>0</v>
      </c>
      <c r="DD286" s="14" t="n">
        <v>0</v>
      </c>
      <c r="DE286" s="14" t="n">
        <v>0</v>
      </c>
      <c r="DF286" s="14" t="n">
        <v>0</v>
      </c>
      <c r="DG286" s="15">
        <f>DC286+DD286-DE286-DF286</f>
        <v/>
      </c>
      <c r="DH286" s="14" t="n">
        <v>0</v>
      </c>
      <c r="DI286" s="14" t="n">
        <v>0</v>
      </c>
      <c r="DJ286" s="14" t="n">
        <v>0</v>
      </c>
      <c r="DK286" s="14" t="n">
        <v>0</v>
      </c>
      <c r="DL286" s="15">
        <f>DH286+DI286-DJ286-DK286</f>
        <v/>
      </c>
      <c r="DM286" s="14" t="n">
        <v>0</v>
      </c>
      <c r="DN286" s="14" t="n">
        <v>0</v>
      </c>
      <c r="DO286" s="14" t="n">
        <v>0</v>
      </c>
      <c r="DP286" s="14" t="n">
        <v>0</v>
      </c>
      <c r="DQ286" s="15">
        <f>DM286+DN286-DO286-DP286</f>
        <v/>
      </c>
      <c r="DR286" s="15">
        <f>CX286+DC286+DH286+DM286</f>
        <v/>
      </c>
      <c r="DS286" s="15">
        <f>CY286+DD286+DI286+DN286</f>
        <v/>
      </c>
      <c r="DT286" s="15">
        <f>CZ286+DE286+DJ286+DO286</f>
        <v/>
      </c>
      <c r="DU286" s="15">
        <f>DA286+DF286+DK286+DP286</f>
        <v/>
      </c>
      <c r="DV286" s="15">
        <f>DB286+DG286+DL286+DQ286</f>
        <v/>
      </c>
      <c r="DW286" s="14" t="n">
        <v>4</v>
      </c>
      <c r="DX286" s="14" t="n">
        <v>1</v>
      </c>
      <c r="DY286" s="14" t="n">
        <v>2</v>
      </c>
      <c r="DZ286" s="14" t="n">
        <v>1</v>
      </c>
      <c r="EA286" s="14" t="n">
        <v>2</v>
      </c>
      <c r="EB286" s="14" t="n">
        <v>0</v>
      </c>
      <c r="EC286" s="14" t="n">
        <v>0</v>
      </c>
      <c r="ED286" s="14" t="n">
        <v>0</v>
      </c>
      <c r="EE286" s="14" t="n">
        <v>0</v>
      </c>
      <c r="EF286" s="14" t="n">
        <v>0</v>
      </c>
      <c r="EG286" s="14" t="n">
        <v>0</v>
      </c>
      <c r="EH286" s="14" t="n">
        <v>0</v>
      </c>
      <c r="EI286" s="14" t="n">
        <v>0</v>
      </c>
      <c r="EJ286" s="14" t="n">
        <v>0</v>
      </c>
      <c r="EK286" s="14" t="n">
        <v>0</v>
      </c>
      <c r="EL286" s="14" t="n">
        <v>0</v>
      </c>
      <c r="EM286" s="14" t="n">
        <v>0</v>
      </c>
      <c r="EN286" s="14" t="n">
        <v>0</v>
      </c>
      <c r="EO286" s="14" t="n">
        <v>0</v>
      </c>
      <c r="EP286" s="14" t="n">
        <v>0</v>
      </c>
      <c r="EQ286" s="14" t="n">
        <v>0</v>
      </c>
      <c r="ER286" s="14" t="n">
        <v>0</v>
      </c>
      <c r="ES286" s="14" t="n">
        <v>0</v>
      </c>
      <c r="ET286" s="14" t="n">
        <v>0</v>
      </c>
      <c r="EU286" s="14" t="n">
        <v>0</v>
      </c>
      <c r="EV286" s="14" t="n">
        <v>0</v>
      </c>
      <c r="EW286" s="14" t="n">
        <v>0</v>
      </c>
      <c r="EX286" s="14" t="n">
        <v>0</v>
      </c>
      <c r="EY286" s="14" t="n">
        <v>0</v>
      </c>
      <c r="EZ286" s="14" t="n">
        <v>0</v>
      </c>
      <c r="FA286" s="14" t="n">
        <v>0</v>
      </c>
      <c r="FB286" s="14" t="n">
        <v>0</v>
      </c>
      <c r="FC286" s="14" t="n">
        <v>0</v>
      </c>
      <c r="FD286" s="14" t="n">
        <v>0</v>
      </c>
      <c r="FE286" s="14" t="n">
        <v>0</v>
      </c>
      <c r="FF286" s="14" t="n">
        <v>0</v>
      </c>
      <c r="FG286" s="15">
        <f>SUM(DW286,DX286,DY286,DZ286,EA286,EB286,EC286,ED286,EE286,EF286,EG286,EH286,EI286,EJ286,EK286,EL286,EM286,EN286,EO286,EP286,EQ286,ER286,ES286,ET286,EU286,EV286,EW286,EX286,EY286,EZ286,FA286,FB286,FC286,FD286,FE286,FF286)</f>
        <v/>
      </c>
      <c r="FH286" s="14" t="n">
        <v>0</v>
      </c>
      <c r="FI286" s="14" t="n">
        <v>0</v>
      </c>
      <c r="FJ286" s="14" t="n">
        <v>5</v>
      </c>
      <c r="FK286" s="14" t="n">
        <v>9.5</v>
      </c>
      <c r="FL286" s="14" t="n">
        <v>0</v>
      </c>
      <c r="FM286" s="14" t="n">
        <v>0</v>
      </c>
      <c r="FN286" s="14" t="n">
        <v>0</v>
      </c>
      <c r="FO286" s="14" t="n">
        <v>0</v>
      </c>
      <c r="FP286" s="14" t="n">
        <v>0</v>
      </c>
      <c r="FQ286" s="15">
        <f>FL286+FM286+FN286+FO286+FP286</f>
        <v/>
      </c>
      <c r="FR286" s="14" t="n">
        <v>48192</v>
      </c>
      <c r="FS286" s="14" t="n">
        <v>0</v>
      </c>
      <c r="FT286" s="14" t="n">
        <v>300000</v>
      </c>
      <c r="FU286" s="14" t="n">
        <v>0</v>
      </c>
      <c r="FV286" s="15">
        <f>FR286+FS286+FT286+FU286</f>
        <v/>
      </c>
      <c r="FW286" s="14" t="n">
        <v>1111836.78</v>
      </c>
      <c r="FX286" s="14" t="n">
        <v>0</v>
      </c>
      <c r="FY286" s="14" t="n">
        <v>63000</v>
      </c>
      <c r="FZ286" s="14" t="n">
        <v>1039000</v>
      </c>
      <c r="GA286" s="15">
        <f>FW286+FX286+FY286+FZ286</f>
        <v/>
      </c>
      <c r="GB286" s="15">
        <f>FV286+GA286</f>
        <v/>
      </c>
      <c r="GC286" s="14" t="n">
        <v>184557.36</v>
      </c>
      <c r="GD286" s="14" t="n">
        <v>0</v>
      </c>
      <c r="GE286" s="14" t="n">
        <v>22146.3</v>
      </c>
      <c r="GF286" s="14" t="n">
        <v>11796.63</v>
      </c>
      <c r="GG286" s="15">
        <f>GC286+GD286+GE286+GF286</f>
        <v/>
      </c>
      <c r="GH286" s="14" t="n">
        <v>1042536.78</v>
      </c>
      <c r="GI286" s="14" t="n">
        <v>0</v>
      </c>
      <c r="GJ286" s="14" t="n">
        <v>1034760.85</v>
      </c>
      <c r="GK286" s="14" t="n">
        <v>63000</v>
      </c>
      <c r="GL286" s="15">
        <f>GH286+GI286+GJ286+GK286</f>
        <v/>
      </c>
      <c r="GM286" s="15">
        <f>GG286+GL286</f>
        <v/>
      </c>
      <c r="GN286" s="14" t="n">
        <v>22559.36</v>
      </c>
      <c r="GO286" s="14" t="n">
        <v>0</v>
      </c>
      <c r="GP286" s="14" t="n">
        <v>6787.28</v>
      </c>
      <c r="GQ286" s="14" t="n">
        <v>4637.34</v>
      </c>
      <c r="GR286" s="15">
        <f>GN286+GO286+GP286+GQ286</f>
        <v/>
      </c>
      <c r="GS286" s="14" t="n">
        <v>37506</v>
      </c>
      <c r="GT286" s="14" t="n">
        <v>0</v>
      </c>
      <c r="GU286" s="14" t="n">
        <v>1786</v>
      </c>
      <c r="GV286" s="14" t="n">
        <v>893</v>
      </c>
      <c r="GW286" s="15">
        <f>GS286+GT286+GU286+GV286</f>
        <v/>
      </c>
      <c r="GX286" s="15">
        <f>GM286+GR286+GW286</f>
        <v/>
      </c>
      <c r="GY286" s="14" t="n">
        <v>9320178.780000001</v>
      </c>
      <c r="GZ286" s="14" t="n">
        <v>0</v>
      </c>
      <c r="HA286" s="9">
        <f>GY286+GZ286</f>
        <v/>
      </c>
      <c r="HB286" s="15">
        <f>IF(GX286=0,"",AU286/GX286)</f>
        <v/>
      </c>
      <c r="HC286" s="16">
        <f>IF((GX286+GY286)=0,"",GB286/(GX286+GY286))</f>
        <v/>
      </c>
      <c r="HD286" s="15">
        <f>IF(GX286=0,"",GB286/GX286)</f>
        <v/>
      </c>
      <c r="HE286" s="14" t="n">
        <v>0</v>
      </c>
      <c r="HF286" s="14" t="n">
        <v>0</v>
      </c>
      <c r="HG286" s="14" t="n">
        <v>3</v>
      </c>
      <c r="HH286" s="14" t="n">
        <v>0</v>
      </c>
      <c r="HI286" s="14" t="n">
        <v>0</v>
      </c>
      <c r="HJ286" s="15">
        <f>HF286+HI286</f>
        <v/>
      </c>
      <c r="HK286" s="16">
        <f>IF(HE286=0,"",HH286/HE286)</f>
        <v/>
      </c>
      <c r="HL286" s="14" t="n">
        <v>111</v>
      </c>
      <c r="HM286" s="14" t="n">
        <v>30</v>
      </c>
      <c r="HN286" s="17">
        <f>IF(HL286=0,"",HM286/HL286)</f>
        <v/>
      </c>
    </row>
    <row r="287">
      <c r="A287" s="6" t="inlineStr">
        <is>
          <t>Zomba</t>
        </is>
      </c>
      <c r="B287" s="6" t="inlineStr">
        <is>
          <t>Chiradzulu</t>
        </is>
      </c>
      <c r="C287" s="7" t="inlineStr">
        <is>
          <t>FY2025/26</t>
        </is>
      </c>
      <c r="D287" s="7" t="n">
        <v>2025</v>
      </c>
      <c r="E287" s="7" t="n">
        <v>12</v>
      </c>
      <c r="F287" s="7" t="inlineStr">
        <is>
          <t>December</t>
        </is>
      </c>
      <c r="G287" s="7" t="inlineStr">
        <is>
          <t>Q3</t>
        </is>
      </c>
      <c r="H287" s="8" t="n">
        <v>1730</v>
      </c>
      <c r="I287" s="8" t="n">
        <v>74</v>
      </c>
      <c r="J287" s="8" t="n">
        <v>0</v>
      </c>
      <c r="K287" s="8" t="n">
        <v>6</v>
      </c>
      <c r="L287" s="8" t="n">
        <v>2</v>
      </c>
      <c r="M287" s="9">
        <f>SUM(I287,J287,K287,L287)</f>
        <v/>
      </c>
      <c r="N287" s="8" t="n">
        <v>1388.2</v>
      </c>
      <c r="O287" s="8" t="n">
        <v>0</v>
      </c>
      <c r="P287" s="8" t="n">
        <v>91</v>
      </c>
      <c r="Q287" s="8" t="n">
        <v>2.2</v>
      </c>
      <c r="R287" s="9">
        <f>SUM(N287,O287,P287,Q287)</f>
        <v/>
      </c>
      <c r="S287" s="9">
        <f>M287+R287</f>
        <v/>
      </c>
      <c r="T287" s="8" t="n">
        <v>166.600000000001</v>
      </c>
      <c r="U287" s="10">
        <f>IF(H287=0,"",T287/H287)</f>
        <v/>
      </c>
      <c r="V287" s="8" t="n">
        <v>8</v>
      </c>
      <c r="W287" s="11">
        <f>IF(H287=0,"",V287/H287)</f>
        <v/>
      </c>
      <c r="X287" s="8" t="n">
        <v>0</v>
      </c>
      <c r="Y287" s="11">
        <f>IF(H287=0,"",X287/H287)</f>
        <v/>
      </c>
      <c r="Z287" s="8" t="n">
        <v>0</v>
      </c>
      <c r="AA287" s="11">
        <f>IF(H287=0,"",Z287/H287)</f>
        <v/>
      </c>
      <c r="AB287" s="8" t="n">
        <v>0</v>
      </c>
      <c r="AC287" s="11">
        <f>IF(H287=0,"",AB287/H287)</f>
        <v/>
      </c>
      <c r="AD287" s="8" t="n">
        <v>0</v>
      </c>
      <c r="AE287" s="11">
        <f>IF(H287=0,"",AD287/H287)</f>
        <v/>
      </c>
      <c r="AF287" s="8" t="n">
        <v>0</v>
      </c>
      <c r="AG287" s="11">
        <f>IF(H287=0,"",AF287/H287)</f>
        <v/>
      </c>
      <c r="AH287" s="8" t="n">
        <v>208000</v>
      </c>
      <c r="AI287" s="9">
        <f>IF(H287=0,"",AH287/H287)</f>
        <v/>
      </c>
      <c r="AJ287" s="8" t="n">
        <v>5.19</v>
      </c>
      <c r="AK287" s="11">
        <f>IF(H287=0,"",AJ287/H287)</f>
        <v/>
      </c>
      <c r="AL287" s="8" t="n">
        <v>33024.92371</v>
      </c>
      <c r="AM287" s="9">
        <f>IF(H287=0,"",AL287/H287)</f>
        <v/>
      </c>
      <c r="AN287" s="8" t="n">
        <v>0</v>
      </c>
      <c r="AO287" s="8" t="n">
        <v>0</v>
      </c>
      <c r="AP287" s="8" t="n">
        <v>0</v>
      </c>
      <c r="AQ287" s="8" t="n">
        <v>0</v>
      </c>
      <c r="AR287" s="8" t="n">
        <v>0</v>
      </c>
      <c r="AS287" s="8" t="n">
        <v>0</v>
      </c>
      <c r="AT287" s="8" t="n">
        <v>0</v>
      </c>
      <c r="AU287" s="9">
        <f>AH287+AL287+AP287+AQ287+AR287+AS287+AT287</f>
        <v/>
      </c>
      <c r="AV287" s="9">
        <f>IF(H287=0,"",AU287/H287)</f>
        <v/>
      </c>
      <c r="AW287" s="9">
        <f>IF(S287=0,"",AU287/S287)</f>
        <v/>
      </c>
      <c r="AX287" s="8" t="n">
        <v>4</v>
      </c>
      <c r="AY287" s="9">
        <f>IF(H287=0,"",AX287/(H287/1000/12))</f>
        <v/>
      </c>
      <c r="AZ287" s="8" t="n">
        <v>6</v>
      </c>
      <c r="BA287" s="8" t="n">
        <v>3</v>
      </c>
      <c r="BB287" s="8" t="n">
        <v>1</v>
      </c>
      <c r="BC287" s="8" t="n">
        <v>1</v>
      </c>
      <c r="BD287" s="8" t="n">
        <v>0</v>
      </c>
      <c r="BE287" s="9">
        <f>BC287+BD287</f>
        <v/>
      </c>
      <c r="BF287" s="9">
        <f>BA287+BB287-BE287</f>
        <v/>
      </c>
      <c r="BG287" s="8" t="n">
        <v>0</v>
      </c>
      <c r="BH287" s="8" t="n">
        <v>0</v>
      </c>
      <c r="BI287" s="8" t="n">
        <v>0</v>
      </c>
      <c r="BJ287" s="8" t="n">
        <v>0</v>
      </c>
      <c r="BK287" s="9">
        <f>BI287+BJ287</f>
        <v/>
      </c>
      <c r="BL287" s="9">
        <f>BG287+BH287-BK287</f>
        <v/>
      </c>
      <c r="BM287" s="8" t="n">
        <v>0</v>
      </c>
      <c r="BN287" s="8" t="n">
        <v>0</v>
      </c>
      <c r="BO287" s="8" t="n">
        <v>0</v>
      </c>
      <c r="BP287" s="8" t="n">
        <v>0</v>
      </c>
      <c r="BQ287" s="9">
        <f>BO287+BP287</f>
        <v/>
      </c>
      <c r="BR287" s="9">
        <f>BM287+BN287-BQ287</f>
        <v/>
      </c>
      <c r="BS287" s="8" t="n">
        <v>0</v>
      </c>
      <c r="BT287" s="8" t="n">
        <v>0</v>
      </c>
      <c r="BU287" s="8" t="n">
        <v>0</v>
      </c>
      <c r="BV287" s="8" t="n">
        <v>0</v>
      </c>
      <c r="BW287" s="9">
        <f>BU287+BV287</f>
        <v/>
      </c>
      <c r="BX287" s="9">
        <f>BS287+BT287-BW287</f>
        <v/>
      </c>
      <c r="BY287" s="9">
        <f>BA287+BG287+BM287+BS287</f>
        <v/>
      </c>
      <c r="BZ287" s="9">
        <f>BB287+BH287+BN287+BT287</f>
        <v/>
      </c>
      <c r="CA287" s="9">
        <f>BE287+BK287+BQ287+BW287</f>
        <v/>
      </c>
      <c r="CB287" s="9">
        <f>BF287+BL287+BR287+BX287</f>
        <v/>
      </c>
      <c r="CC287" s="8" t="n">
        <v>0</v>
      </c>
      <c r="CD287" s="8" t="n">
        <v>55</v>
      </c>
      <c r="CE287" s="8" t="n">
        <v>48</v>
      </c>
      <c r="CF287" s="8" t="n">
        <v>10</v>
      </c>
      <c r="CG287" s="8" t="n">
        <v>0</v>
      </c>
      <c r="CH287" s="9">
        <f>CD287+CE287+CF287+CG287</f>
        <v/>
      </c>
      <c r="CI287" s="8" t="n">
        <v>21</v>
      </c>
      <c r="CJ287" s="8" t="n">
        <v>2</v>
      </c>
      <c r="CK287" s="8" t="n">
        <v>1</v>
      </c>
      <c r="CL287" s="8" t="n">
        <v>0</v>
      </c>
      <c r="CM287" s="9">
        <f>CI287+CJ287+CK287+CL287</f>
        <v/>
      </c>
      <c r="CN287" s="8" t="n">
        <v>343</v>
      </c>
      <c r="CO287" s="8" t="n">
        <v>14</v>
      </c>
      <c r="CP287" s="8" t="n">
        <v>2</v>
      </c>
      <c r="CQ287" s="8" t="n">
        <v>0</v>
      </c>
      <c r="CR287" s="9">
        <f>CN287+CO287+CP287+CQ287</f>
        <v/>
      </c>
      <c r="CS287" s="9">
        <f>CM287+CR287</f>
        <v/>
      </c>
      <c r="CT287" s="8" t="n">
        <v>496</v>
      </c>
      <c r="CU287" s="8" t="n">
        <v>3438</v>
      </c>
      <c r="CV287" s="8" t="n">
        <v>2631.3</v>
      </c>
      <c r="CW287" s="10">
        <f>IF(CU287=0,"",CV287/CU287)</f>
        <v/>
      </c>
      <c r="CX287" s="8" t="n">
        <v>0</v>
      </c>
      <c r="CY287" s="8" t="n">
        <v>0</v>
      </c>
      <c r="CZ287" s="8" t="n">
        <v>0</v>
      </c>
      <c r="DA287" s="8" t="n">
        <v>0</v>
      </c>
      <c r="DB287" s="9">
        <f>CX287+CY287-CZ287-DA287</f>
        <v/>
      </c>
      <c r="DC287" s="8" t="n">
        <v>0</v>
      </c>
      <c r="DD287" s="8" t="n">
        <v>0</v>
      </c>
      <c r="DE287" s="8" t="n">
        <v>0</v>
      </c>
      <c r="DF287" s="8" t="n">
        <v>0</v>
      </c>
      <c r="DG287" s="9">
        <f>DC287+DD287-DE287-DF287</f>
        <v/>
      </c>
      <c r="DH287" s="8" t="n">
        <v>0</v>
      </c>
      <c r="DI287" s="8" t="n">
        <v>0</v>
      </c>
      <c r="DJ287" s="8" t="n">
        <v>0</v>
      </c>
      <c r="DK287" s="8" t="n">
        <v>0</v>
      </c>
      <c r="DL287" s="9">
        <f>DH287+DI287-DJ287-DK287</f>
        <v/>
      </c>
      <c r="DM287" s="8" t="n">
        <v>0</v>
      </c>
      <c r="DN287" s="8" t="n">
        <v>0</v>
      </c>
      <c r="DO287" s="8" t="n">
        <v>0</v>
      </c>
      <c r="DP287" s="8" t="n">
        <v>0</v>
      </c>
      <c r="DQ287" s="9">
        <f>DM287+DN287-DO287-DP287</f>
        <v/>
      </c>
      <c r="DR287" s="9">
        <f>CX287+DC287+DH287+DM287</f>
        <v/>
      </c>
      <c r="DS287" s="9">
        <f>CY287+DD287+DI287+DN287</f>
        <v/>
      </c>
      <c r="DT287" s="9">
        <f>CZ287+DE287+DJ287+DO287</f>
        <v/>
      </c>
      <c r="DU287" s="9">
        <f>DA287+DF287+DK287+DP287</f>
        <v/>
      </c>
      <c r="DV287" s="9">
        <f>DB287+DG287+DL287+DQ287</f>
        <v/>
      </c>
      <c r="DW287" s="8" t="n">
        <v>5</v>
      </c>
      <c r="DX287" s="8" t="n">
        <v>6</v>
      </c>
      <c r="DY287" s="8" t="n">
        <v>4</v>
      </c>
      <c r="DZ287" s="8" t="n">
        <v>1</v>
      </c>
      <c r="EA287" s="8" t="n">
        <v>0</v>
      </c>
      <c r="EB287" s="8" t="n">
        <v>2</v>
      </c>
      <c r="EC287" s="8" t="n">
        <v>0</v>
      </c>
      <c r="ED287" s="8" t="n">
        <v>0</v>
      </c>
      <c r="EE287" s="8" t="n">
        <v>0</v>
      </c>
      <c r="EF287" s="8" t="n">
        <v>0</v>
      </c>
      <c r="EG287" s="8" t="n">
        <v>0</v>
      </c>
      <c r="EH287" s="8" t="n">
        <v>0</v>
      </c>
      <c r="EI287" s="8" t="n">
        <v>0</v>
      </c>
      <c r="EJ287" s="8" t="n">
        <v>0</v>
      </c>
      <c r="EK287" s="8" t="n">
        <v>0</v>
      </c>
      <c r="EL287" s="8" t="n">
        <v>0</v>
      </c>
      <c r="EM287" s="8" t="n">
        <v>0</v>
      </c>
      <c r="EN287" s="8" t="n">
        <v>0</v>
      </c>
      <c r="EO287" s="8" t="n">
        <v>0</v>
      </c>
      <c r="EP287" s="8" t="n">
        <v>0</v>
      </c>
      <c r="EQ287" s="8" t="n">
        <v>0</v>
      </c>
      <c r="ER287" s="8" t="n">
        <v>0</v>
      </c>
      <c r="ES287" s="8" t="n">
        <v>0</v>
      </c>
      <c r="ET287" s="8" t="n">
        <v>0</v>
      </c>
      <c r="EU287" s="8" t="n">
        <v>0</v>
      </c>
      <c r="EV287" s="8" t="n">
        <v>0</v>
      </c>
      <c r="EW287" s="8" t="n">
        <v>0</v>
      </c>
      <c r="EX287" s="8" t="n">
        <v>0</v>
      </c>
      <c r="EY287" s="8" t="n">
        <v>0</v>
      </c>
      <c r="EZ287" s="8" t="n">
        <v>0</v>
      </c>
      <c r="FA287" s="8" t="n">
        <v>0</v>
      </c>
      <c r="FB287" s="8" t="n">
        <v>0</v>
      </c>
      <c r="FC287" s="8" t="n">
        <v>0</v>
      </c>
      <c r="FD287" s="8" t="n">
        <v>0</v>
      </c>
      <c r="FE287" s="8" t="n">
        <v>0</v>
      </c>
      <c r="FF287" s="8" t="n">
        <v>0</v>
      </c>
      <c r="FG287" s="9">
        <f>SUM(DW287,DX287,DY287,DZ287,EA287,EB287,EC287,ED287,EE287,EF287,EG287,EH287,EI287,EJ287,EK287,EL287,EM287,EN287,EO287,EP287,EQ287,ER287,ES287,ET287,EU287,EV287,EW287,EX287,EY287,EZ287,FA287,FB287,FC287,FD287,FE287,FF287)</f>
        <v/>
      </c>
      <c r="FH287" s="8" t="n">
        <v>0</v>
      </c>
      <c r="FI287" s="8" t="n">
        <v>0</v>
      </c>
      <c r="FJ287" s="8" t="n">
        <v>12</v>
      </c>
      <c r="FK287" s="8" t="n">
        <v>264</v>
      </c>
      <c r="FL287" s="8" t="n">
        <v>0</v>
      </c>
      <c r="FM287" s="8" t="n">
        <v>0</v>
      </c>
      <c r="FN287" s="8" t="n">
        <v>0</v>
      </c>
      <c r="FO287" s="8" t="n">
        <v>0</v>
      </c>
      <c r="FP287" s="8" t="n">
        <v>0</v>
      </c>
      <c r="FQ287" s="9">
        <f>FL287+FM287+FN287+FO287+FP287</f>
        <v/>
      </c>
      <c r="FR287" s="8" t="n">
        <v>43778</v>
      </c>
      <c r="FS287" s="8" t="n">
        <v>0</v>
      </c>
      <c r="FT287" s="8" t="n">
        <v>0</v>
      </c>
      <c r="FU287" s="8" t="n">
        <v>150000</v>
      </c>
      <c r="FV287" s="9">
        <f>FR287+FS287+FT287+FU287</f>
        <v/>
      </c>
      <c r="FW287" s="8" t="n">
        <v>1791230.42</v>
      </c>
      <c r="FX287" s="8" t="n">
        <v>0</v>
      </c>
      <c r="FY287" s="8" t="n">
        <v>10000</v>
      </c>
      <c r="FZ287" s="8" t="n">
        <v>276919.7</v>
      </c>
      <c r="GA287" s="9">
        <f>FW287+FX287+FY287+FZ287</f>
        <v/>
      </c>
      <c r="GB287" s="9">
        <f>FV287+GA287</f>
        <v/>
      </c>
      <c r="GC287" s="8" t="n">
        <v>83340.96000000001</v>
      </c>
      <c r="GD287" s="8" t="n">
        <v>0</v>
      </c>
      <c r="GE287" s="8" t="n">
        <v>16821.98</v>
      </c>
      <c r="GF287" s="8" t="n">
        <v>8410.99</v>
      </c>
      <c r="GG287" s="9">
        <f>GC287+GD287+GE287+GF287</f>
        <v/>
      </c>
      <c r="GH287" s="8" t="n">
        <v>1731975.18</v>
      </c>
      <c r="GI287" s="8" t="n">
        <v>0</v>
      </c>
      <c r="GJ287" s="8" t="n">
        <v>276919.7</v>
      </c>
      <c r="GK287" s="8" t="n">
        <v>10000</v>
      </c>
      <c r="GL287" s="9">
        <f>GH287+GI287+GJ287+GK287</f>
        <v/>
      </c>
      <c r="GM287" s="9">
        <f>GG287+GL287</f>
        <v/>
      </c>
      <c r="GN287" s="8" t="n">
        <v>11443.53</v>
      </c>
      <c r="GO287" s="8" t="n">
        <v>0</v>
      </c>
      <c r="GP287" s="8" t="n">
        <v>6787.28</v>
      </c>
      <c r="GQ287" s="8" t="n">
        <v>4637.34</v>
      </c>
      <c r="GR287" s="9">
        <f>GN287+GO287+GP287+GQ287</f>
        <v/>
      </c>
      <c r="GS287" s="8" t="n">
        <v>18753</v>
      </c>
      <c r="GT287" s="8" t="n">
        <v>0</v>
      </c>
      <c r="GU287" s="8" t="n">
        <v>1786</v>
      </c>
      <c r="GV287" s="8" t="n">
        <v>893</v>
      </c>
      <c r="GW287" s="9">
        <f>GS287+GT287+GU287+GV287</f>
        <v/>
      </c>
      <c r="GX287" s="9">
        <f>GM287+GR287+GW287</f>
        <v/>
      </c>
      <c r="GY287" s="8" t="n">
        <v>11410024.26000001</v>
      </c>
      <c r="GZ287" s="8" t="n">
        <v>0</v>
      </c>
      <c r="HA287" s="9">
        <f>GY287+GZ287</f>
        <v/>
      </c>
      <c r="HB287" s="9">
        <f>IF(GX287=0,"",AU287/GX287)</f>
        <v/>
      </c>
      <c r="HC287" s="10">
        <f>IF((GX287+GY287)=0,"",GB287/(GX287+GY287))</f>
        <v/>
      </c>
      <c r="HD287" s="9">
        <f>IF(GX287=0,"",GB287/GX287)</f>
        <v/>
      </c>
      <c r="HE287" s="8" t="n">
        <v>2</v>
      </c>
      <c r="HF287" s="8" t="n">
        <v>1</v>
      </c>
      <c r="HG287" s="8" t="n">
        <v>3</v>
      </c>
      <c r="HH287" s="8" t="n">
        <v>1</v>
      </c>
      <c r="HI287" s="8" t="n">
        <v>1</v>
      </c>
      <c r="HJ287" s="9">
        <f>HF287+HI287</f>
        <v/>
      </c>
      <c r="HK287" s="10">
        <f>IF(HE287=0,"",HH287/HE287)</f>
        <v/>
      </c>
      <c r="HL287" s="8" t="n">
        <v>0</v>
      </c>
      <c r="HM287" s="8" t="n">
        <v>0</v>
      </c>
      <c r="HN287" s="11">
        <f>IF(HL287=0,"",HM287/HL287)</f>
        <v/>
      </c>
    </row>
    <row r="288">
      <c r="A288" s="12" t="inlineStr">
        <is>
          <t>Zomba</t>
        </is>
      </c>
      <c r="B288" s="12" t="inlineStr">
        <is>
          <t>Chiradzulu</t>
        </is>
      </c>
      <c r="C288" s="13" t="inlineStr">
        <is>
          <t>FY2025/26</t>
        </is>
      </c>
      <c r="D288" s="13" t="n">
        <v>2026</v>
      </c>
      <c r="E288" s="13" t="n">
        <v>1</v>
      </c>
      <c r="F288" s="13" t="inlineStr">
        <is>
          <t>January</t>
        </is>
      </c>
      <c r="G288" s="13" t="inlineStr">
        <is>
          <t>Q4</t>
        </is>
      </c>
      <c r="H288" s="14" t="n">
        <v>2340</v>
      </c>
      <c r="I288" s="14" t="n">
        <v>163</v>
      </c>
      <c r="J288" s="14" t="n">
        <v>0</v>
      </c>
      <c r="K288" s="14" t="n">
        <v>8</v>
      </c>
      <c r="L288" s="14" t="n">
        <v>3</v>
      </c>
      <c r="M288" s="15" t="n">
        <v>174</v>
      </c>
      <c r="N288" s="14" t="n">
        <v>1892.199999999991</v>
      </c>
      <c r="O288" s="14" t="n">
        <v>0</v>
      </c>
      <c r="P288" s="14" t="n">
        <v>45.90000000000001</v>
      </c>
      <c r="Q288" s="14" t="n">
        <v>10.6</v>
      </c>
      <c r="R288" s="15" t="n">
        <v>1948.699999999991</v>
      </c>
      <c r="S288" s="15" t="n">
        <v>2122.699999999991</v>
      </c>
      <c r="T288" s="14" t="n">
        <v>217.3000000000093</v>
      </c>
      <c r="U288" s="16" t="n">
        <v>0.09286324786325183</v>
      </c>
      <c r="V288" s="14" t="n">
        <v>7</v>
      </c>
      <c r="W288" s="17" t="n">
        <v>2.991452991452991</v>
      </c>
      <c r="X288" s="14" t="n">
        <v>0</v>
      </c>
      <c r="Y288" s="17" t="n">
        <v>0</v>
      </c>
      <c r="Z288" s="14" t="n">
        <v>0</v>
      </c>
      <c r="AA288" s="17" t="n">
        <v>0</v>
      </c>
      <c r="AB288" s="14" t="n">
        <v>0</v>
      </c>
      <c r="AC288" s="17" t="n">
        <v>0</v>
      </c>
      <c r="AD288" s="14" t="n">
        <v>0</v>
      </c>
      <c r="AE288" s="17" t="n">
        <v>0</v>
      </c>
      <c r="AF288" s="14" t="n">
        <v>0</v>
      </c>
      <c r="AG288" s="17" t="n">
        <v>0</v>
      </c>
      <c r="AH288" s="14" t="n">
        <v>182000</v>
      </c>
      <c r="AI288" s="15" t="n">
        <v>77.77777777777777</v>
      </c>
      <c r="AJ288" s="14" t="n">
        <v>6.52</v>
      </c>
      <c r="AK288" s="17" t="n">
        <v>0.002786324786324786</v>
      </c>
      <c r="AL288" s="14" t="n">
        <v>33388.42468</v>
      </c>
      <c r="AM288" s="15" t="n">
        <v>14.26855755555556</v>
      </c>
      <c r="AN288" s="14" t="n">
        <v>0</v>
      </c>
      <c r="AO288" s="14" t="n">
        <v>0</v>
      </c>
      <c r="AP288" s="14" t="n">
        <v>0</v>
      </c>
      <c r="AQ288" s="14" t="n">
        <v>0</v>
      </c>
      <c r="AR288" s="14" t="n">
        <v>0</v>
      </c>
      <c r="AS288" s="14" t="n">
        <v>0</v>
      </c>
      <c r="AT288" s="14" t="n">
        <v>0</v>
      </c>
      <c r="AU288" s="15" t="n">
        <v>215388.42468</v>
      </c>
      <c r="AV288" s="15" t="n">
        <v>92.04633533333333</v>
      </c>
      <c r="AW288" s="15" t="n">
        <v>101.4690840344848</v>
      </c>
      <c r="AX288" s="14" t="n">
        <v>4</v>
      </c>
      <c r="AY288" s="15" t="n">
        <v>52.99145299145299</v>
      </c>
      <c r="AZ288" s="14" t="n">
        <v>6</v>
      </c>
      <c r="BA288" s="14" t="n">
        <v>3</v>
      </c>
      <c r="BB288" s="14" t="n">
        <v>1</v>
      </c>
      <c r="BC288" s="14" t="n">
        <v>0</v>
      </c>
      <c r="BD288" s="14" t="n">
        <v>0</v>
      </c>
      <c r="BE288" s="15" t="n">
        <v>0</v>
      </c>
      <c r="BF288" s="15" t="n">
        <v>4</v>
      </c>
      <c r="BG288" s="14" t="n">
        <v>0</v>
      </c>
      <c r="BH288" s="14" t="n">
        <v>0</v>
      </c>
      <c r="BI288" s="14" t="n">
        <v>0</v>
      </c>
      <c r="BJ288" s="14" t="n">
        <v>0</v>
      </c>
      <c r="BK288" s="15" t="n">
        <v>0</v>
      </c>
      <c r="BL288" s="15" t="n">
        <v>0</v>
      </c>
      <c r="BM288" s="14" t="n">
        <v>0</v>
      </c>
      <c r="BN288" s="14" t="n">
        <v>0</v>
      </c>
      <c r="BO288" s="14" t="n">
        <v>0</v>
      </c>
      <c r="BP288" s="14" t="n">
        <v>0</v>
      </c>
      <c r="BQ288" s="15" t="n">
        <v>0</v>
      </c>
      <c r="BR288" s="15" t="n">
        <v>0</v>
      </c>
      <c r="BS288" s="14" t="n">
        <v>0</v>
      </c>
      <c r="BT288" s="14" t="n">
        <v>0</v>
      </c>
      <c r="BU288" s="14" t="n">
        <v>0</v>
      </c>
      <c r="BV288" s="14" t="n">
        <v>0</v>
      </c>
      <c r="BW288" s="15" t="n">
        <v>0</v>
      </c>
      <c r="BX288" s="15" t="n">
        <v>0</v>
      </c>
      <c r="BY288" s="15" t="n">
        <v>3</v>
      </c>
      <c r="BZ288" s="15" t="n">
        <v>1</v>
      </c>
      <c r="CA288" s="15" t="n">
        <v>0</v>
      </c>
      <c r="CB288" s="15" t="n">
        <v>4</v>
      </c>
      <c r="CC288" s="14" t="n">
        <v>0</v>
      </c>
      <c r="CD288" s="14" t="n">
        <v>53</v>
      </c>
      <c r="CE288" s="14" t="n">
        <v>48</v>
      </c>
      <c r="CF288" s="14" t="n">
        <v>10</v>
      </c>
      <c r="CG288" s="14" t="n">
        <v>0</v>
      </c>
      <c r="CH288" s="15" t="n">
        <v>111</v>
      </c>
      <c r="CI288" s="14" t="n">
        <v>23</v>
      </c>
      <c r="CJ288" s="14" t="n">
        <v>2</v>
      </c>
      <c r="CK288" s="14" t="n">
        <v>1</v>
      </c>
      <c r="CL288" s="14" t="n">
        <v>0</v>
      </c>
      <c r="CM288" s="15" t="n">
        <v>26</v>
      </c>
      <c r="CN288" s="14" t="n">
        <v>343</v>
      </c>
      <c r="CO288" s="14" t="n">
        <v>14</v>
      </c>
      <c r="CP288" s="14" t="n">
        <v>2</v>
      </c>
      <c r="CQ288" s="14" t="n">
        <v>0</v>
      </c>
      <c r="CR288" s="15" t="n">
        <v>359</v>
      </c>
      <c r="CS288" s="15" t="n">
        <v>385</v>
      </c>
      <c r="CT288" s="14" t="n">
        <v>496</v>
      </c>
      <c r="CU288" s="14" t="n">
        <v>3443</v>
      </c>
      <c r="CV288" s="14" t="n">
        <v>2631</v>
      </c>
      <c r="CW288" s="16" t="n">
        <v>0.7641591635201859</v>
      </c>
      <c r="CX288" s="14" t="n">
        <v>0</v>
      </c>
      <c r="CY288" s="14" t="n">
        <v>0</v>
      </c>
      <c r="CZ288" s="14" t="n">
        <v>0</v>
      </c>
      <c r="DA288" s="14" t="n">
        <v>0</v>
      </c>
      <c r="DB288" s="15" t="n">
        <v>0</v>
      </c>
      <c r="DC288" s="14" t="n">
        <v>0</v>
      </c>
      <c r="DD288" s="14" t="n">
        <v>0</v>
      </c>
      <c r="DE288" s="14" t="n">
        <v>0</v>
      </c>
      <c r="DF288" s="14" t="n">
        <v>0</v>
      </c>
      <c r="DG288" s="15" t="n">
        <v>0</v>
      </c>
      <c r="DH288" s="14" t="n">
        <v>0</v>
      </c>
      <c r="DI288" s="14" t="n">
        <v>0</v>
      </c>
      <c r="DJ288" s="14" t="n">
        <v>0</v>
      </c>
      <c r="DK288" s="14" t="n">
        <v>0</v>
      </c>
      <c r="DL288" s="15" t="n">
        <v>0</v>
      </c>
      <c r="DM288" s="14" t="n">
        <v>0</v>
      </c>
      <c r="DN288" s="14" t="n">
        <v>0</v>
      </c>
      <c r="DO288" s="14" t="n">
        <v>0</v>
      </c>
      <c r="DP288" s="14" t="n">
        <v>0</v>
      </c>
      <c r="DQ288" s="15" t="n">
        <v>0</v>
      </c>
      <c r="DR288" s="15" t="n">
        <v>0</v>
      </c>
      <c r="DS288" s="15" t="n">
        <v>0</v>
      </c>
      <c r="DT288" s="15" t="n">
        <v>0</v>
      </c>
      <c r="DU288" s="15" t="n">
        <v>0</v>
      </c>
      <c r="DV288" s="15" t="n">
        <v>0</v>
      </c>
      <c r="DW288" s="14" t="n">
        <v>9</v>
      </c>
      <c r="DX288" s="14" t="n">
        <v>3</v>
      </c>
      <c r="DY288" s="14" t="n">
        <v>4</v>
      </c>
      <c r="DZ288" s="14" t="n">
        <v>3</v>
      </c>
      <c r="EA288" s="14" t="n">
        <v>2</v>
      </c>
      <c r="EB288" s="14" t="n">
        <v>4</v>
      </c>
      <c r="EC288" s="14" t="n">
        <v>0</v>
      </c>
      <c r="ED288" s="14" t="n">
        <v>0</v>
      </c>
      <c r="EE288" s="14" t="n">
        <v>0</v>
      </c>
      <c r="EF288" s="14" t="n">
        <v>0</v>
      </c>
      <c r="EG288" s="14" t="n">
        <v>0</v>
      </c>
      <c r="EH288" s="14" t="n">
        <v>0</v>
      </c>
      <c r="EI288" s="14" t="n">
        <v>0</v>
      </c>
      <c r="EJ288" s="14" t="n">
        <v>0</v>
      </c>
      <c r="EK288" s="14" t="n">
        <v>0</v>
      </c>
      <c r="EL288" s="14" t="n">
        <v>0</v>
      </c>
      <c r="EM288" s="14" t="n">
        <v>0</v>
      </c>
      <c r="EN288" s="14" t="n">
        <v>0</v>
      </c>
      <c r="EO288" s="14" t="n">
        <v>0</v>
      </c>
      <c r="EP288" s="14" t="n">
        <v>0</v>
      </c>
      <c r="EQ288" s="14" t="n">
        <v>0</v>
      </c>
      <c r="ER288" s="14" t="n">
        <v>0</v>
      </c>
      <c r="ES288" s="14" t="n">
        <v>0</v>
      </c>
      <c r="ET288" s="14" t="n">
        <v>0</v>
      </c>
      <c r="EU288" s="14" t="n">
        <v>0</v>
      </c>
      <c r="EV288" s="14" t="n">
        <v>0</v>
      </c>
      <c r="EW288" s="14" t="n">
        <v>0</v>
      </c>
      <c r="EX288" s="14" t="n">
        <v>0</v>
      </c>
      <c r="EY288" s="14" t="n">
        <v>0</v>
      </c>
      <c r="EZ288" s="14" t="n">
        <v>0</v>
      </c>
      <c r="FA288" s="14" t="n">
        <v>0</v>
      </c>
      <c r="FB288" s="14" t="n">
        <v>0</v>
      </c>
      <c r="FC288" s="14" t="n">
        <v>0</v>
      </c>
      <c r="FD288" s="14" t="n">
        <v>0</v>
      </c>
      <c r="FE288" s="14" t="n">
        <v>0</v>
      </c>
      <c r="FF288" s="14" t="n">
        <v>0</v>
      </c>
      <c r="FG288" s="15" t="n">
        <v>25</v>
      </c>
      <c r="FH288" s="14" t="n">
        <v>0</v>
      </c>
      <c r="FI288" s="14" t="n">
        <v>0</v>
      </c>
      <c r="FJ288" s="14" t="n">
        <v>18</v>
      </c>
      <c r="FK288" s="14" t="n">
        <v>12.83</v>
      </c>
      <c r="FL288" s="14" t="n">
        <v>0</v>
      </c>
      <c r="FM288" s="14" t="n">
        <v>0</v>
      </c>
      <c r="FN288" s="14" t="n">
        <v>0</v>
      </c>
      <c r="FO288" s="14" t="n">
        <v>0</v>
      </c>
      <c r="FP288" s="14" t="n">
        <v>0</v>
      </c>
      <c r="FQ288" s="15" t="n">
        <v>0</v>
      </c>
      <c r="FR288" s="14" t="n">
        <v>42000</v>
      </c>
      <c r="FS288" s="14" t="n">
        <v>0</v>
      </c>
      <c r="FT288" s="14" t="n">
        <v>0</v>
      </c>
      <c r="FU288" s="14" t="n">
        <v>0</v>
      </c>
      <c r="FV288" s="15" t="n">
        <v>42000</v>
      </c>
      <c r="FW288" s="14" t="n">
        <v>2415500</v>
      </c>
      <c r="FX288" s="14" t="n">
        <v>0</v>
      </c>
      <c r="FY288" s="14" t="n">
        <v>50000</v>
      </c>
      <c r="FZ288" s="14" t="n">
        <v>138902.94</v>
      </c>
      <c r="GA288" s="15" t="n">
        <v>2604402.94</v>
      </c>
      <c r="GB288" s="15" t="n">
        <v>2646402.94</v>
      </c>
      <c r="GC288" s="14" t="n">
        <v>160663.88</v>
      </c>
      <c r="GD288" s="14" t="n">
        <v>0</v>
      </c>
      <c r="GE288" s="14" t="n">
        <v>22146.3</v>
      </c>
      <c r="GF288" s="14" t="n">
        <v>8410.99</v>
      </c>
      <c r="GG288" s="15" t="n">
        <v>191221.17</v>
      </c>
      <c r="GH288" s="14" t="n">
        <v>2358848.52</v>
      </c>
      <c r="GI288" s="14" t="n">
        <v>0</v>
      </c>
      <c r="GJ288" s="14" t="n">
        <v>138902.94</v>
      </c>
      <c r="GK288" s="14" t="n">
        <v>50000</v>
      </c>
      <c r="GL288" s="15" t="n">
        <v>2547751.46</v>
      </c>
      <c r="GM288" s="15" t="n">
        <v>2738972.63</v>
      </c>
      <c r="GN288" s="14" t="n">
        <v>12533.39</v>
      </c>
      <c r="GO288" s="14" t="n">
        <v>0</v>
      </c>
      <c r="GP288" s="14" t="n">
        <v>6787.28</v>
      </c>
      <c r="GQ288" s="14" t="n">
        <v>4637.34</v>
      </c>
      <c r="GR288" s="15" t="n">
        <v>23958.01</v>
      </c>
      <c r="GS288" s="14" t="n">
        <v>20539</v>
      </c>
      <c r="GT288" s="14" t="n">
        <v>0</v>
      </c>
      <c r="GU288" s="14" t="n">
        <v>1786</v>
      </c>
      <c r="GV288" s="14" t="n">
        <v>893</v>
      </c>
      <c r="GW288" s="15" t="n">
        <v>23218</v>
      </c>
      <c r="GX288" s="15" t="n">
        <v>2786148.64</v>
      </c>
      <c r="GY288" s="14" t="n">
        <v>9548373.510000004</v>
      </c>
      <c r="GZ288" s="14" t="n">
        <v>0</v>
      </c>
      <c r="HA288" s="9">
        <f>GY288+GZ288</f>
        <v/>
      </c>
      <c r="HB288" s="15" t="n">
        <v>2786148.64</v>
      </c>
      <c r="HC288" s="16" t="n">
        <v>0</v>
      </c>
      <c r="HD288" s="15" t="n">
        <v>0</v>
      </c>
      <c r="HE288" s="14" t="n">
        <v>2</v>
      </c>
      <c r="HF288" s="14" t="n">
        <v>1</v>
      </c>
      <c r="HG288" s="14" t="n">
        <v>4</v>
      </c>
      <c r="HH288" s="14" t="n">
        <v>1</v>
      </c>
      <c r="HI288" s="14" t="n">
        <v>0</v>
      </c>
      <c r="HJ288" s="15" t="n">
        <v>0</v>
      </c>
      <c r="HK288" s="16" t="n">
        <v>0</v>
      </c>
      <c r="HL288" s="14" t="n">
        <v>0</v>
      </c>
      <c r="HM288" s="14" t="n">
        <v>0</v>
      </c>
      <c r="HN288" s="17" t="n"/>
    </row>
    <row r="289">
      <c r="A289" s="6" t="inlineStr">
        <is>
          <t>Zomba</t>
        </is>
      </c>
      <c r="B289" s="6" t="inlineStr">
        <is>
          <t>Chiradzulu</t>
        </is>
      </c>
      <c r="C289" s="7" t="inlineStr">
        <is>
          <t>FY2025/26</t>
        </is>
      </c>
      <c r="D289" s="7" t="n">
        <v>2026</v>
      </c>
      <c r="E289" s="7" t="n">
        <v>2</v>
      </c>
      <c r="F289" s="7" t="inlineStr">
        <is>
          <t>February</t>
        </is>
      </c>
      <c r="G289" s="7" t="inlineStr">
        <is>
          <t>Q4</t>
        </is>
      </c>
      <c r="H289" s="8" t="n">
        <v>1920</v>
      </c>
      <c r="I289" s="8" t="n">
        <v>101</v>
      </c>
      <c r="J289" s="8" t="n">
        <v>0</v>
      </c>
      <c r="K289" s="8" t="n">
        <v>5</v>
      </c>
      <c r="L289" s="8" t="n">
        <v>3</v>
      </c>
      <c r="M289" s="9">
        <f>SUM(I289,J289,K289,L289)</f>
        <v/>
      </c>
      <c r="N289" s="8" t="n">
        <v>1502.299999999995</v>
      </c>
      <c r="O289" s="8" t="n">
        <v>0</v>
      </c>
      <c r="P289" s="8" t="n">
        <v>115.9</v>
      </c>
      <c r="Q289" s="8" t="n">
        <v>12.7</v>
      </c>
      <c r="R289" s="9">
        <f>SUM(N289,O289,P289,Q289)</f>
        <v/>
      </c>
      <c r="S289" s="9">
        <f>M289+R289</f>
        <v/>
      </c>
      <c r="T289" s="8" t="n">
        <v>180.1000000000051</v>
      </c>
      <c r="U289" s="10">
        <f>IF(H289=0,"",T289/H289)</f>
        <v/>
      </c>
      <c r="V289" s="8" t="n">
        <v>8.5</v>
      </c>
      <c r="W289" s="11">
        <f>IF(H289=0,"",V289/H289)</f>
        <v/>
      </c>
      <c r="X289" s="8" t="n">
        <v>0</v>
      </c>
      <c r="Y289" s="11">
        <f>IF(H289=0,"",X289/H289)</f>
        <v/>
      </c>
      <c r="Z289" s="8" t="n">
        <v>0</v>
      </c>
      <c r="AA289" s="11">
        <f>IF(H289=0,"",Z289/H289)</f>
        <v/>
      </c>
      <c r="AB289" s="8" t="n">
        <v>0</v>
      </c>
      <c r="AC289" s="11">
        <f>IF(H289=0,"",AB289/H289)</f>
        <v/>
      </c>
      <c r="AD289" s="8" t="n">
        <v>0</v>
      </c>
      <c r="AE289" s="11">
        <f>IF(H289=0,"",AD289/H289)</f>
        <v/>
      </c>
      <c r="AF289" s="8" t="n">
        <v>0</v>
      </c>
      <c r="AG289" s="11">
        <f>IF(H289=0,"",AF289/H289)</f>
        <v/>
      </c>
      <c r="AH289" s="8" t="n">
        <v>221000</v>
      </c>
      <c r="AI289" s="9">
        <f>IF(H289=0,"",AH289/H289)</f>
        <v/>
      </c>
      <c r="AJ289" s="8" t="n">
        <v>8.720000000000001</v>
      </c>
      <c r="AK289" s="11">
        <f>IF(H289=0,"",AJ289/H289)</f>
        <v/>
      </c>
      <c r="AL289" s="8" t="n">
        <v>33989.70448</v>
      </c>
      <c r="AM289" s="9">
        <f>IF(H289=0,"",AL289/H289)</f>
        <v/>
      </c>
      <c r="AN289" s="8" t="n">
        <v>0</v>
      </c>
      <c r="AO289" s="8" t="n">
        <v>0</v>
      </c>
      <c r="AP289" s="8" t="n">
        <v>0</v>
      </c>
      <c r="AQ289" s="8" t="n">
        <v>0</v>
      </c>
      <c r="AR289" s="8" t="n">
        <v>0</v>
      </c>
      <c r="AS289" s="8" t="n">
        <v>0</v>
      </c>
      <c r="AT289" s="8" t="n">
        <v>0</v>
      </c>
      <c r="AU289" s="9">
        <f>AH289+AL289+AP289+AQ289+AR289+AS289+AT289</f>
        <v/>
      </c>
      <c r="AV289" s="9">
        <f>IF(H289=0,"",AU289/H289)</f>
        <v/>
      </c>
      <c r="AW289" s="9">
        <f>IF(S289=0,"",AU289/S289)</f>
        <v/>
      </c>
      <c r="AX289" s="8" t="n">
        <v>4</v>
      </c>
      <c r="AY289" s="9">
        <f>IF(H289=0,"",AX289/(H289/1000/12))</f>
        <v/>
      </c>
      <c r="AZ289" s="8" t="n">
        <v>6</v>
      </c>
      <c r="BA289" s="8" t="n">
        <v>4</v>
      </c>
      <c r="BB289" s="8" t="n">
        <v>0</v>
      </c>
      <c r="BC289" s="8" t="n">
        <v>0</v>
      </c>
      <c r="BD289" s="8" t="n">
        <v>0</v>
      </c>
      <c r="BE289" s="9">
        <f>BC289+BD289</f>
        <v/>
      </c>
      <c r="BF289" s="9">
        <f>BA289+BB289-BE289</f>
        <v/>
      </c>
      <c r="BG289" s="8" t="n">
        <v>0</v>
      </c>
      <c r="BH289" s="8" t="n">
        <v>0</v>
      </c>
      <c r="BI289" s="8" t="n">
        <v>0</v>
      </c>
      <c r="BJ289" s="8" t="n">
        <v>0</v>
      </c>
      <c r="BK289" s="9">
        <f>BI289+BJ289</f>
        <v/>
      </c>
      <c r="BL289" s="9">
        <f>BG289+BH289-BK289</f>
        <v/>
      </c>
      <c r="BM289" s="8" t="n">
        <v>0</v>
      </c>
      <c r="BN289" s="8" t="n">
        <v>0</v>
      </c>
      <c r="BO289" s="8" t="n">
        <v>0</v>
      </c>
      <c r="BP289" s="8" t="n">
        <v>0</v>
      </c>
      <c r="BQ289" s="9">
        <f>BO289+BP289</f>
        <v/>
      </c>
      <c r="BR289" s="9">
        <f>BM289+BN289-BQ289</f>
        <v/>
      </c>
      <c r="BS289" s="8" t="n">
        <v>0</v>
      </c>
      <c r="BT289" s="8" t="n">
        <v>0</v>
      </c>
      <c r="BU289" s="8" t="n">
        <v>0</v>
      </c>
      <c r="BV289" s="8" t="n">
        <v>0</v>
      </c>
      <c r="BW289" s="9">
        <f>BU289+BV289</f>
        <v/>
      </c>
      <c r="BX289" s="9">
        <f>BS289+BT289-BW289</f>
        <v/>
      </c>
      <c r="BY289" s="9">
        <f>BA289+BG289+BM289+BS289</f>
        <v/>
      </c>
      <c r="BZ289" s="9">
        <f>BB289+BH289+BN289+BT289</f>
        <v/>
      </c>
      <c r="CA289" s="9">
        <f>BE289+BK289+BQ289+BW289</f>
        <v/>
      </c>
      <c r="CB289" s="9">
        <f>BF289+BL289+BR289+BX289</f>
        <v/>
      </c>
      <c r="CC289" s="8" t="n">
        <v>0</v>
      </c>
      <c r="CD289" s="8" t="n">
        <v>53</v>
      </c>
      <c r="CE289" s="8" t="n">
        <v>48</v>
      </c>
      <c r="CF289" s="8" t="n">
        <v>10</v>
      </c>
      <c r="CG289" s="8" t="n">
        <v>0</v>
      </c>
      <c r="CH289" s="9">
        <f>CD289+CE289+CF289+CG289</f>
        <v/>
      </c>
      <c r="CI289" s="8" t="n">
        <v>23</v>
      </c>
      <c r="CJ289" s="8" t="n">
        <v>2</v>
      </c>
      <c r="CK289" s="8" t="n">
        <v>1</v>
      </c>
      <c r="CL289" s="8" t="n">
        <v>0</v>
      </c>
      <c r="CM289" s="9">
        <f>CI289+CJ289+CK289+CL289</f>
        <v/>
      </c>
      <c r="CN289" s="8" t="n">
        <v>343</v>
      </c>
      <c r="CO289" s="8" t="n">
        <v>14</v>
      </c>
      <c r="CP289" s="8" t="n">
        <v>2</v>
      </c>
      <c r="CQ289" s="8" t="n">
        <v>0</v>
      </c>
      <c r="CR289" s="9">
        <f>CN289+CO289+CP289+CQ289</f>
        <v/>
      </c>
      <c r="CS289" s="9">
        <f>CM289+CR289</f>
        <v/>
      </c>
      <c r="CT289" s="8" t="n">
        <v>496</v>
      </c>
      <c r="CU289" s="8" t="n">
        <v>3448</v>
      </c>
      <c r="CV289" s="8" t="n">
        <v>2631</v>
      </c>
      <c r="CW289" s="10">
        <f>IF(CU289=0,"",CV289/CU289)</f>
        <v/>
      </c>
      <c r="CX289" s="8" t="n">
        <v>0</v>
      </c>
      <c r="CY289" s="8" t="n">
        <v>0</v>
      </c>
      <c r="CZ289" s="8" t="n">
        <v>0</v>
      </c>
      <c r="DA289" s="8" t="n">
        <v>0</v>
      </c>
      <c r="DB289" s="9">
        <f>CX289+CY289-CZ289-DA289</f>
        <v/>
      </c>
      <c r="DC289" s="8" t="n">
        <v>0</v>
      </c>
      <c r="DD289" s="8" t="n">
        <v>0</v>
      </c>
      <c r="DE289" s="8" t="n">
        <v>0</v>
      </c>
      <c r="DF289" s="8" t="n">
        <v>0</v>
      </c>
      <c r="DG289" s="9">
        <f>DC289+DD289-DE289-DF289</f>
        <v/>
      </c>
      <c r="DH289" s="8" t="n">
        <v>0</v>
      </c>
      <c r="DI289" s="8" t="n">
        <v>0</v>
      </c>
      <c r="DJ289" s="8" t="n">
        <v>0</v>
      </c>
      <c r="DK289" s="8" t="n">
        <v>0</v>
      </c>
      <c r="DL289" s="9">
        <f>DH289+DI289-DJ289-DK289</f>
        <v/>
      </c>
      <c r="DM289" s="8" t="n">
        <v>0</v>
      </c>
      <c r="DN289" s="8" t="n">
        <v>0</v>
      </c>
      <c r="DO289" s="8" t="n">
        <v>0</v>
      </c>
      <c r="DP289" s="8" t="n">
        <v>0</v>
      </c>
      <c r="DQ289" s="9">
        <f>DM289+DN289-DO289-DP289</f>
        <v/>
      </c>
      <c r="DR289" s="9">
        <f>CX289+DC289+DH289+DM289</f>
        <v/>
      </c>
      <c r="DS289" s="9">
        <f>CY289+DD289+DI289+DN289</f>
        <v/>
      </c>
      <c r="DT289" s="9">
        <f>CZ289+DE289+DJ289+DO289</f>
        <v/>
      </c>
      <c r="DU289" s="9">
        <f>DA289+DF289+DK289+DP289</f>
        <v/>
      </c>
      <c r="DV289" s="9">
        <f>DB289+DG289+DL289+DQ289</f>
        <v/>
      </c>
      <c r="DW289" s="8" t="n">
        <v>7</v>
      </c>
      <c r="DX289" s="8" t="n">
        <v>2</v>
      </c>
      <c r="DY289" s="8" t="n">
        <v>2</v>
      </c>
      <c r="DZ289" s="8" t="n">
        <v>1</v>
      </c>
      <c r="EA289" s="8" t="n">
        <v>1</v>
      </c>
      <c r="EB289" s="8" t="n">
        <v>0</v>
      </c>
      <c r="EC289" s="8" t="n">
        <v>0</v>
      </c>
      <c r="ED289" s="8" t="n">
        <v>0</v>
      </c>
      <c r="EE289" s="8" t="n">
        <v>0</v>
      </c>
      <c r="EF289" s="8" t="n">
        <v>0</v>
      </c>
      <c r="EG289" s="8" t="n">
        <v>0</v>
      </c>
      <c r="EH289" s="8" t="n">
        <v>0</v>
      </c>
      <c r="EI289" s="8" t="n">
        <v>0</v>
      </c>
      <c r="EJ289" s="8" t="n">
        <v>1</v>
      </c>
      <c r="EK289" s="8" t="n">
        <v>0</v>
      </c>
      <c r="EL289" s="8" t="n">
        <v>0</v>
      </c>
      <c r="EM289" s="8" t="n">
        <v>0</v>
      </c>
      <c r="EN289" s="8" t="n">
        <v>0</v>
      </c>
      <c r="EO289" s="8" t="n">
        <v>0</v>
      </c>
      <c r="EP289" s="8" t="n">
        <v>0</v>
      </c>
      <c r="EQ289" s="8" t="n">
        <v>0</v>
      </c>
      <c r="ER289" s="8" t="n">
        <v>0</v>
      </c>
      <c r="ES289" s="8" t="n">
        <v>0</v>
      </c>
      <c r="ET289" s="8" t="n">
        <v>0</v>
      </c>
      <c r="EU289" s="8" t="n">
        <v>0</v>
      </c>
      <c r="EV289" s="8" t="n">
        <v>0</v>
      </c>
      <c r="EW289" s="8" t="n">
        <v>0</v>
      </c>
      <c r="EX289" s="8" t="n">
        <v>0</v>
      </c>
      <c r="EY289" s="8" t="n">
        <v>0</v>
      </c>
      <c r="EZ289" s="8" t="n">
        <v>0</v>
      </c>
      <c r="FA289" s="8" t="n">
        <v>0</v>
      </c>
      <c r="FB289" s="8" t="n">
        <v>0</v>
      </c>
      <c r="FC289" s="8" t="n">
        <v>0</v>
      </c>
      <c r="FD289" s="8" t="n">
        <v>0</v>
      </c>
      <c r="FE289" s="8" t="n">
        <v>0</v>
      </c>
      <c r="FF289" s="8" t="n">
        <v>0</v>
      </c>
      <c r="FG289" s="9">
        <f>SUM(DW289,DX289,DY289,DZ289,EA289,EB289,EC289,ED289,EE289,EF289,EG289,EH289,EI289,EJ289,EK289,EL289,EM289,EN289,EO289,EP289,EQ289,ER289,ES289,ET289,EU289,EV289,EW289,EX289,EY289,EZ289,FA289,FB289,FC289,FD289,FE289,FF289)</f>
        <v/>
      </c>
      <c r="FH289" s="8" t="n">
        <v>0</v>
      </c>
      <c r="FI289" s="8" t="n">
        <v>0</v>
      </c>
      <c r="FJ289" s="8" t="n">
        <v>18</v>
      </c>
      <c r="FK289" s="8" t="n">
        <v>8</v>
      </c>
      <c r="FL289" s="8" t="n">
        <v>0</v>
      </c>
      <c r="FM289" s="8" t="n">
        <v>0</v>
      </c>
      <c r="FN289" s="8" t="n">
        <v>0</v>
      </c>
      <c r="FO289" s="8" t="n">
        <v>0</v>
      </c>
      <c r="FP289" s="8" t="n">
        <v>0</v>
      </c>
      <c r="FQ289" s="9">
        <f>FL289+FM289+FN289+FO289+FP289</f>
        <v/>
      </c>
      <c r="FR289" s="8" t="n">
        <v>176723.79</v>
      </c>
      <c r="FS289" s="8" t="n">
        <v>0</v>
      </c>
      <c r="FT289" s="8" t="n">
        <v>0</v>
      </c>
      <c r="FU289" s="8" t="n">
        <v>0</v>
      </c>
      <c r="FV289" s="9">
        <f>FR289+FS289+FT289+FU289</f>
        <v/>
      </c>
      <c r="FW289" s="8" t="n">
        <v>1918599.64</v>
      </c>
      <c r="FX289" s="8" t="n">
        <v>0</v>
      </c>
      <c r="FY289" s="8" t="n">
        <v>60000</v>
      </c>
      <c r="FZ289" s="8" t="n">
        <v>393650</v>
      </c>
      <c r="GA289" s="9">
        <f>FW289+FX289+FY289+FZ289</f>
        <v/>
      </c>
      <c r="GB289" s="9">
        <f>FV289+GA289</f>
        <v/>
      </c>
      <c r="GC289" s="8" t="n">
        <v>102442.82</v>
      </c>
      <c r="GD289" s="8" t="n">
        <v>0</v>
      </c>
      <c r="GE289" s="8" t="n">
        <v>16821.98</v>
      </c>
      <c r="GF289" s="8" t="n">
        <v>8410.99</v>
      </c>
      <c r="GG289" s="9">
        <f>GC289+GD289+GE289+GF289</f>
        <v/>
      </c>
      <c r="GH289" s="8" t="n">
        <v>1872439.64</v>
      </c>
      <c r="GI289" s="8" t="n">
        <v>0</v>
      </c>
      <c r="GJ289" s="8" t="n">
        <v>351650</v>
      </c>
      <c r="GK289" s="8" t="n">
        <v>60000</v>
      </c>
      <c r="GL289" s="9">
        <f>GH289+GI289+GJ289+GK289</f>
        <v/>
      </c>
      <c r="GM289" s="9">
        <f>GG289+GL289</f>
        <v/>
      </c>
      <c r="GN289" s="8" t="n">
        <v>12533.39</v>
      </c>
      <c r="GO289" s="8" t="n">
        <v>0</v>
      </c>
      <c r="GP289" s="8" t="n">
        <v>6787.28</v>
      </c>
      <c r="GQ289" s="8" t="n">
        <v>4637.34</v>
      </c>
      <c r="GR289" s="9">
        <f>GN289+GO289+GP289+GQ289</f>
        <v/>
      </c>
      <c r="GS289" s="8" t="n">
        <v>20539</v>
      </c>
      <c r="GT289" s="8" t="n">
        <v>0</v>
      </c>
      <c r="GU289" s="8" t="n">
        <v>1786</v>
      </c>
      <c r="GV289" s="8" t="n">
        <v>893</v>
      </c>
      <c r="GW289" s="9">
        <f>GS289+GT289+GU289+GV289</f>
        <v/>
      </c>
      <c r="GX289" s="9">
        <f>GM289+GR289+GW289</f>
        <v/>
      </c>
      <c r="GY289" s="8" t="n">
        <v>11709299.05999999</v>
      </c>
      <c r="GZ289" s="8" t="n">
        <v>-30403.8</v>
      </c>
      <c r="HA289" s="9">
        <f>GY289+GZ289</f>
        <v/>
      </c>
      <c r="HB289" s="9">
        <f>IF(GX289=0,"",AU289/GX289)</f>
        <v/>
      </c>
      <c r="HC289" s="10">
        <f>IF((GX289+GY289)=0,"",GB289/(GX289+GY289))</f>
        <v/>
      </c>
      <c r="HD289" s="9">
        <f>IF(GX289=0,"",GB289/GX289)</f>
        <v/>
      </c>
      <c r="HE289" s="8" t="n">
        <v>2</v>
      </c>
      <c r="HF289" s="8" t="n">
        <v>1</v>
      </c>
      <c r="HG289" s="8" t="n">
        <v>4</v>
      </c>
      <c r="HH289" s="8" t="n">
        <v>0</v>
      </c>
      <c r="HI289" s="8" t="n">
        <v>0</v>
      </c>
      <c r="HJ289" s="9">
        <f>HF289+HI289</f>
        <v/>
      </c>
      <c r="HK289" s="10">
        <f>IF(HE289=0,"",HH289/HE289)</f>
        <v/>
      </c>
      <c r="HL289" s="8" t="n">
        <v>0</v>
      </c>
      <c r="HM289" s="8" t="n">
        <v>0</v>
      </c>
      <c r="HN289" s="11">
        <f>IF(HL289=0,"",HM289/HL289)</f>
        <v/>
      </c>
    </row>
    <row r="290">
      <c r="A290" s="12" t="inlineStr">
        <is>
          <t>Zomba</t>
        </is>
      </c>
      <c r="B290" s="12" t="inlineStr">
        <is>
          <t>Chiradzulu</t>
        </is>
      </c>
      <c r="C290" s="13" t="inlineStr">
        <is>
          <t>FY2025/26</t>
        </is>
      </c>
      <c r="D290" s="13" t="n">
        <v>2026</v>
      </c>
      <c r="E290" s="13" t="n">
        <v>3</v>
      </c>
      <c r="F290" s="13" t="inlineStr">
        <is>
          <t>March</t>
        </is>
      </c>
      <c r="G290" s="13" t="inlineStr">
        <is>
          <t>Q4</t>
        </is>
      </c>
      <c r="H290" s="14" t="n">
        <v>2188</v>
      </c>
      <c r="I290" s="14" t="n">
        <v>176</v>
      </c>
      <c r="J290" s="14" t="n">
        <v>0</v>
      </c>
      <c r="K290" s="14" t="n">
        <v>33</v>
      </c>
      <c r="L290" s="14" t="n">
        <v>1</v>
      </c>
      <c r="M290" s="15">
        <f>SUM(I290,J290,K290,L290)</f>
        <v/>
      </c>
      <c r="N290" s="14" t="n">
        <v>1837.999999999996</v>
      </c>
      <c r="O290" s="14" t="n">
        <v>0</v>
      </c>
      <c r="P290" s="14" t="n">
        <v>84.90000000000001</v>
      </c>
      <c r="Q290" s="14" t="n">
        <v>3.1</v>
      </c>
      <c r="R290" s="15">
        <f>SUM(N290,O290,P290,Q290)</f>
        <v/>
      </c>
      <c r="S290" s="15">
        <f>M290+R290</f>
        <v/>
      </c>
      <c r="T290" s="14" t="n">
        <v>52.00000000000364</v>
      </c>
      <c r="U290" s="16">
        <f>IF(H290=0,"",T290/H290)</f>
        <v/>
      </c>
      <c r="V290" s="14" t="n">
        <v>9.5</v>
      </c>
      <c r="W290" s="17">
        <f>IF(H290=0,"",V290/H290)</f>
        <v/>
      </c>
      <c r="X290" s="14" t="n">
        <v>0</v>
      </c>
      <c r="Y290" s="17">
        <f>IF(H290=0,"",X290/H290)</f>
        <v/>
      </c>
      <c r="Z290" s="14" t="n">
        <v>0</v>
      </c>
      <c r="AA290" s="17">
        <f>IF(H290=0,"",Z290/H290)</f>
        <v/>
      </c>
      <c r="AB290" s="14" t="n">
        <v>0</v>
      </c>
      <c r="AC290" s="17">
        <f>IF(H290=0,"",AB290/H290)</f>
        <v/>
      </c>
      <c r="AD290" s="14" t="n">
        <v>0</v>
      </c>
      <c r="AE290" s="17">
        <f>IF(H290=0,"",AD290/H290)</f>
        <v/>
      </c>
      <c r="AF290" s="14" t="n">
        <v>0</v>
      </c>
      <c r="AG290" s="17">
        <f>IF(H290=0,"",AF290/H290)</f>
        <v/>
      </c>
      <c r="AH290" s="14" t="n">
        <v>247000</v>
      </c>
      <c r="AI290" s="15">
        <f>IF(H290=0,"",AH290/H290)</f>
        <v/>
      </c>
      <c r="AJ290" s="14" t="n">
        <v>11.03</v>
      </c>
      <c r="AK290" s="17">
        <f>IF(H290=0,"",AJ290/H290)</f>
        <v/>
      </c>
      <c r="AL290" s="14" t="n">
        <v>34621.04827</v>
      </c>
      <c r="AM290" s="15">
        <f>IF(H290=0,"",AL290/H290)</f>
        <v/>
      </c>
      <c r="AN290" s="14" t="n">
        <v>0</v>
      </c>
      <c r="AO290" s="14" t="n">
        <v>0</v>
      </c>
      <c r="AP290" s="14" t="n">
        <v>0</v>
      </c>
      <c r="AQ290" s="14" t="n">
        <v>0</v>
      </c>
      <c r="AR290" s="14" t="n">
        <v>0</v>
      </c>
      <c r="AS290" s="14" t="n">
        <v>0</v>
      </c>
      <c r="AT290" s="14" t="n">
        <v>0</v>
      </c>
      <c r="AU290" s="15">
        <f>AH290+AL290+AP290+AQ290+AR290+AS290+AT290</f>
        <v/>
      </c>
      <c r="AV290" s="15">
        <f>IF(H290=0,"",AU290/H290)</f>
        <v/>
      </c>
      <c r="AW290" s="15">
        <f>IF(S290=0,"",AU290/S290)</f>
        <v/>
      </c>
      <c r="AX290" s="14" t="n">
        <v>4</v>
      </c>
      <c r="AY290" s="15">
        <f>IF(H290=0,"",AX290/(H290/1000/12))</f>
        <v/>
      </c>
      <c r="AZ290" s="14" t="n">
        <v>6</v>
      </c>
      <c r="BA290" s="14" t="n">
        <v>4</v>
      </c>
      <c r="BB290" s="14" t="n">
        <v>3</v>
      </c>
      <c r="BC290" s="14" t="n">
        <v>0</v>
      </c>
      <c r="BD290" s="14" t="n">
        <v>0</v>
      </c>
      <c r="BE290" s="15">
        <f>BC290+BD290</f>
        <v/>
      </c>
      <c r="BF290" s="15">
        <f>BA290+BB290-BE290</f>
        <v/>
      </c>
      <c r="BG290" s="14" t="n">
        <v>0</v>
      </c>
      <c r="BH290" s="14" t="n">
        <v>0</v>
      </c>
      <c r="BI290" s="14" t="n">
        <v>0</v>
      </c>
      <c r="BJ290" s="14" t="n">
        <v>0</v>
      </c>
      <c r="BK290" s="15">
        <f>BI290+BJ290</f>
        <v/>
      </c>
      <c r="BL290" s="15">
        <f>BG290+BH290-BK290</f>
        <v/>
      </c>
      <c r="BM290" s="14" t="n">
        <v>0</v>
      </c>
      <c r="BN290" s="14" t="n">
        <v>0</v>
      </c>
      <c r="BO290" s="14" t="n">
        <v>0</v>
      </c>
      <c r="BP290" s="14" t="n">
        <v>0</v>
      </c>
      <c r="BQ290" s="15">
        <f>BO290+BP290</f>
        <v/>
      </c>
      <c r="BR290" s="15">
        <f>BM290+BN290-BQ290</f>
        <v/>
      </c>
      <c r="BS290" s="14" t="n">
        <v>0</v>
      </c>
      <c r="BT290" s="14" t="n">
        <v>0</v>
      </c>
      <c r="BU290" s="14" t="n">
        <v>0</v>
      </c>
      <c r="BV290" s="14" t="n">
        <v>0</v>
      </c>
      <c r="BW290" s="15">
        <f>BU290+BV290</f>
        <v/>
      </c>
      <c r="BX290" s="15">
        <f>BS290+BT290-BW290</f>
        <v/>
      </c>
      <c r="BY290" s="15">
        <f>BA290+BG290+BM290+BS290</f>
        <v/>
      </c>
      <c r="BZ290" s="15">
        <f>BB290+BH290+BN290+BT290</f>
        <v/>
      </c>
      <c r="CA290" s="15">
        <f>BE290+BK290+BQ290+BW290</f>
        <v/>
      </c>
      <c r="CB290" s="15">
        <f>BF290+BL290+BR290+BX290</f>
        <v/>
      </c>
      <c r="CC290" s="14" t="n">
        <v>0</v>
      </c>
      <c r="CD290" s="14" t="n">
        <v>53</v>
      </c>
      <c r="CE290" s="14" t="n">
        <v>48</v>
      </c>
      <c r="CF290" s="14" t="n">
        <v>10</v>
      </c>
      <c r="CG290" s="14" t="n">
        <v>0</v>
      </c>
      <c r="CH290" s="15">
        <f>CD290+CE290+CF290+CG290</f>
        <v/>
      </c>
      <c r="CI290" s="14" t="n">
        <v>23</v>
      </c>
      <c r="CJ290" s="14" t="n">
        <v>2</v>
      </c>
      <c r="CK290" s="14" t="n">
        <v>1</v>
      </c>
      <c r="CL290" s="14" t="n">
        <v>0</v>
      </c>
      <c r="CM290" s="15">
        <f>CI290+CJ290+CK290+CL290</f>
        <v/>
      </c>
      <c r="CN290" s="14" t="n">
        <v>343</v>
      </c>
      <c r="CO290" s="14" t="n">
        <v>14</v>
      </c>
      <c r="CP290" s="14" t="n">
        <v>2</v>
      </c>
      <c r="CQ290" s="14" t="n">
        <v>0</v>
      </c>
      <c r="CR290" s="15">
        <f>CN290+CO290+CP290+CQ290</f>
        <v/>
      </c>
      <c r="CS290" s="15">
        <f>CM290+CR290</f>
        <v/>
      </c>
      <c r="CT290" s="14" t="n">
        <v>496</v>
      </c>
      <c r="CU290" s="14" t="n">
        <v>3453</v>
      </c>
      <c r="CV290" s="14" t="n">
        <v>2631</v>
      </c>
      <c r="CW290" s="16">
        <f>IF(CU290=0,"",CV290/CU290)</f>
        <v/>
      </c>
      <c r="CX290" s="14" t="n"/>
      <c r="CY290" s="14" t="n"/>
      <c r="CZ290" s="14" t="n"/>
      <c r="DA290" s="14" t="n"/>
      <c r="DB290" s="15">
        <f>CX290+CY290-CZ290-DA290</f>
        <v/>
      </c>
      <c r="DC290" s="14" t="n">
        <v>0</v>
      </c>
      <c r="DD290" s="14" t="n">
        <v>0</v>
      </c>
      <c r="DE290" s="14" t="n">
        <v>0</v>
      </c>
      <c r="DF290" s="14" t="n">
        <v>0</v>
      </c>
      <c r="DG290" s="15">
        <f>DC290+DD290-DE290-DF290</f>
        <v/>
      </c>
      <c r="DH290" s="14" t="n">
        <v>0</v>
      </c>
      <c r="DI290" s="14" t="n">
        <v>0</v>
      </c>
      <c r="DJ290" s="14" t="n">
        <v>0</v>
      </c>
      <c r="DK290" s="14" t="n">
        <v>0</v>
      </c>
      <c r="DL290" s="15">
        <f>DH290+DI290-DJ290-DK290</f>
        <v/>
      </c>
      <c r="DM290" s="14" t="n">
        <v>0</v>
      </c>
      <c r="DN290" s="14" t="n">
        <v>0</v>
      </c>
      <c r="DO290" s="14" t="n">
        <v>0</v>
      </c>
      <c r="DP290" s="14" t="n">
        <v>0</v>
      </c>
      <c r="DQ290" s="15">
        <f>DM290+DN290-DO290-DP290</f>
        <v/>
      </c>
      <c r="DR290" s="15">
        <f>CX290+DC290+DH290+DM290</f>
        <v/>
      </c>
      <c r="DS290" s="15">
        <f>CY290+DD290+DI290+DN290</f>
        <v/>
      </c>
      <c r="DT290" s="15">
        <f>CZ290+DE290+DJ290+DO290</f>
        <v/>
      </c>
      <c r="DU290" s="15">
        <f>DA290+DF290+DK290+DP290</f>
        <v/>
      </c>
      <c r="DV290" s="15">
        <f>DB290+DG290+DL290+DQ290</f>
        <v/>
      </c>
      <c r="DW290" s="14" t="n">
        <v>5</v>
      </c>
      <c r="DX290" s="14" t="n">
        <v>4</v>
      </c>
      <c r="DY290" s="14" t="n">
        <v>4</v>
      </c>
      <c r="DZ290" s="14" t="n">
        <v>2</v>
      </c>
      <c r="EA290" s="14" t="n">
        <v>1</v>
      </c>
      <c r="EB290" s="14" t="n">
        <v>1</v>
      </c>
      <c r="EC290" s="14" t="n">
        <v>0</v>
      </c>
      <c r="ED290" s="14" t="n">
        <v>0</v>
      </c>
      <c r="EE290" s="14" t="n">
        <v>0</v>
      </c>
      <c r="EF290" s="14" t="n">
        <v>0</v>
      </c>
      <c r="EG290" s="14" t="n">
        <v>0</v>
      </c>
      <c r="EH290" s="14" t="n">
        <v>0</v>
      </c>
      <c r="EI290" s="14" t="n">
        <v>0</v>
      </c>
      <c r="EJ290" s="14" t="n">
        <v>0</v>
      </c>
      <c r="EK290" s="14" t="n">
        <v>0</v>
      </c>
      <c r="EL290" s="14" t="n">
        <v>0</v>
      </c>
      <c r="EM290" s="14" t="n">
        <v>0</v>
      </c>
      <c r="EN290" s="14" t="n">
        <v>0</v>
      </c>
      <c r="EO290" s="14" t="n">
        <v>0</v>
      </c>
      <c r="EP290" s="14" t="n">
        <v>0</v>
      </c>
      <c r="EQ290" s="14" t="n">
        <v>0</v>
      </c>
      <c r="ER290" s="14" t="n">
        <v>0</v>
      </c>
      <c r="ES290" s="14" t="n">
        <v>0</v>
      </c>
      <c r="ET290" s="14" t="n">
        <v>0</v>
      </c>
      <c r="EU290" s="14" t="n">
        <v>0</v>
      </c>
      <c r="EV290" s="14" t="n">
        <v>0</v>
      </c>
      <c r="EW290" s="14" t="n">
        <v>0</v>
      </c>
      <c r="EX290" s="14" t="n">
        <v>0</v>
      </c>
      <c r="EY290" s="14" t="n">
        <v>0</v>
      </c>
      <c r="EZ290" s="14" t="n">
        <v>0</v>
      </c>
      <c r="FA290" s="14" t="n">
        <v>0</v>
      </c>
      <c r="FB290" s="14" t="n">
        <v>0</v>
      </c>
      <c r="FC290" s="14" t="n">
        <v>0</v>
      </c>
      <c r="FD290" s="14" t="n">
        <v>0</v>
      </c>
      <c r="FE290" s="14" t="n">
        <v>0</v>
      </c>
      <c r="FF290" s="14" t="n">
        <v>0</v>
      </c>
      <c r="FG290" s="15">
        <f>SUM(DW290,DX290,DY290,DZ290,EA290,EB290,EC290,ED290,EE290,EF290,EG290,EH290,EI290,EJ290,EK290,EL290,EM290,EN290,EO290,EP290,EQ290,ER290,ES290,ET290,EU290,EV290,EW290,EX290,EY290,EZ290,FA290,FB290,FC290,FD290,FE290,FF290)</f>
        <v/>
      </c>
      <c r="FH290" s="14" t="n">
        <v>0</v>
      </c>
      <c r="FI290" s="14" t="n">
        <v>0</v>
      </c>
      <c r="FJ290" s="14" t="n">
        <v>18</v>
      </c>
      <c r="FK290" s="14" t="n">
        <v>10</v>
      </c>
      <c r="FL290" s="14" t="n">
        <v>0</v>
      </c>
      <c r="FM290" s="14" t="n">
        <v>0</v>
      </c>
      <c r="FN290" s="14" t="n">
        <v>0</v>
      </c>
      <c r="FO290" s="14" t="n">
        <v>0</v>
      </c>
      <c r="FP290" s="14" t="n">
        <v>0</v>
      </c>
      <c r="FQ290" s="15">
        <f>FL290+FM290+FN290+FO290+FP290</f>
        <v/>
      </c>
      <c r="FR290" s="14" t="n">
        <v>10000</v>
      </c>
      <c r="FS290" s="14" t="n">
        <v>0</v>
      </c>
      <c r="FT290" s="14" t="n">
        <v>0</v>
      </c>
      <c r="FU290" s="14" t="n">
        <v>0</v>
      </c>
      <c r="FV290" s="15">
        <f>FR290+FS290+FT290+FU290</f>
        <v/>
      </c>
      <c r="FW290" s="14" t="n">
        <v>2337804.8</v>
      </c>
      <c r="FX290" s="14" t="n">
        <v>0</v>
      </c>
      <c r="FY290" s="14" t="n">
        <v>14400</v>
      </c>
      <c r="FZ290" s="14" t="n">
        <v>259800</v>
      </c>
      <c r="GA290" s="15">
        <f>FW290+FX290+FY290+FZ290</f>
        <v/>
      </c>
      <c r="GB290" s="15">
        <f>FV290+GA290</f>
        <v/>
      </c>
      <c r="GC290" s="14" t="n">
        <v>173289.52</v>
      </c>
      <c r="GD290" s="14" t="n">
        <v>0</v>
      </c>
      <c r="GE290" s="14" t="n">
        <v>106647.18</v>
      </c>
      <c r="GF290" s="14" t="n">
        <v>8410.99</v>
      </c>
      <c r="GG290" s="15">
        <f>GC290+GD290+GE290+GF290</f>
        <v/>
      </c>
      <c r="GH290" s="14" t="n">
        <v>2292399.43</v>
      </c>
      <c r="GI290" s="14" t="n">
        <v>0</v>
      </c>
      <c r="GJ290" s="14" t="n">
        <v>257100</v>
      </c>
      <c r="GK290" s="14" t="n">
        <v>14400</v>
      </c>
      <c r="GL290" s="15">
        <f>GH290+GI290+GJ290+GK290</f>
        <v/>
      </c>
      <c r="GM290" s="15">
        <f>GG290+GL290</f>
        <v/>
      </c>
      <c r="GN290" s="14" t="n">
        <v>12533.39</v>
      </c>
      <c r="GO290" s="14" t="n">
        <v>0</v>
      </c>
      <c r="GP290" s="14" t="n">
        <v>6787.28</v>
      </c>
      <c r="GQ290" s="14" t="n">
        <v>4637.34</v>
      </c>
      <c r="GR290" s="15">
        <f>GN290+GO290+GP290+GQ290</f>
        <v/>
      </c>
      <c r="GS290" s="14" t="n">
        <v>20539</v>
      </c>
      <c r="GT290" s="14" t="n">
        <v>0</v>
      </c>
      <c r="GU290" s="14" t="n">
        <v>1786</v>
      </c>
      <c r="GV290" s="14" t="n">
        <v>893</v>
      </c>
      <c r="GW290" s="15">
        <f>GS290+GT290+GU290+GV290</f>
        <v/>
      </c>
      <c r="GX290" s="15">
        <f>GM290+GR290+GW290</f>
        <v/>
      </c>
      <c r="GY290" s="14" t="n">
        <v>11809466.60000001</v>
      </c>
      <c r="GZ290" s="14" t="n">
        <v>-30403.8</v>
      </c>
      <c r="HA290" s="9">
        <f>GY290+GZ290</f>
        <v/>
      </c>
      <c r="HB290" s="15">
        <f>IF(GX290=0,"",AU290/GX290)</f>
        <v/>
      </c>
      <c r="HC290" s="16">
        <f>IF((GX290+GY290)=0,"",GB290/(GX290+GY290))</f>
        <v/>
      </c>
      <c r="HD290" s="15">
        <f>IF(GX290=0,"",GB290/GX290)</f>
        <v/>
      </c>
      <c r="HE290" s="14" t="n">
        <v>3</v>
      </c>
      <c r="HF290" s="14" t="n">
        <v>1</v>
      </c>
      <c r="HG290" s="14" t="n">
        <v>7</v>
      </c>
      <c r="HH290" s="14" t="n">
        <v>3</v>
      </c>
      <c r="HI290" s="14" t="n">
        <v>0</v>
      </c>
      <c r="HJ290" s="15">
        <f>HF290+HI290</f>
        <v/>
      </c>
      <c r="HK290" s="16">
        <f>IF(HE290=0,"",HH290/HE290)</f>
        <v/>
      </c>
      <c r="HL290" s="14" t="n">
        <v>0</v>
      </c>
      <c r="HM290" s="14" t="n">
        <v>0</v>
      </c>
      <c r="HN290" s="17">
        <f>IF(HL290=0,"",HM290/HL290)</f>
        <v/>
      </c>
    </row>
    <row r="291">
      <c r="A291" s="6" t="inlineStr">
        <is>
          <t>Zomba</t>
        </is>
      </c>
      <c r="B291" s="6" t="inlineStr">
        <is>
          <t>Domasi</t>
        </is>
      </c>
      <c r="C291" s="7" t="inlineStr">
        <is>
          <t>FY2025/26</t>
        </is>
      </c>
      <c r="D291" s="7" t="n">
        <v>2025</v>
      </c>
      <c r="E291" s="7" t="n">
        <v>4</v>
      </c>
      <c r="F291" s="7" t="inlineStr">
        <is>
          <t>April</t>
        </is>
      </c>
      <c r="G291" s="7" t="inlineStr">
        <is>
          <t>Q1</t>
        </is>
      </c>
      <c r="H291" s="8" t="n">
        <v>27112</v>
      </c>
      <c r="I291" s="8" t="n">
        <v>10212</v>
      </c>
      <c r="J291" s="8" t="n">
        <v>8</v>
      </c>
      <c r="K291" s="8" t="n">
        <v>42</v>
      </c>
      <c r="L291" s="8" t="n">
        <v>13</v>
      </c>
      <c r="M291" s="9">
        <f>SUM(I291,J291,K291,L291)</f>
        <v/>
      </c>
      <c r="N291" s="8" t="n">
        <v>5743.80000000002</v>
      </c>
      <c r="O291" s="8" t="n">
        <v>114.1</v>
      </c>
      <c r="P291" s="8" t="n">
        <v>8375.799999999999</v>
      </c>
      <c r="Q291" s="8" t="n">
        <v>183.3</v>
      </c>
      <c r="R291" s="9">
        <f>SUM(N291,O291,P291,Q291)</f>
        <v/>
      </c>
      <c r="S291" s="9">
        <f>M291+R291</f>
        <v/>
      </c>
      <c r="T291" s="8" t="n">
        <v>2419.99999999998</v>
      </c>
      <c r="U291" s="10">
        <f>IF(H291=0,"",T291/H291)</f>
        <v/>
      </c>
      <c r="V291" s="8" t="n">
        <v>52</v>
      </c>
      <c r="W291" s="11">
        <f>IF(H291=0,"",V291/H291)</f>
        <v/>
      </c>
      <c r="X291" s="8" t="n">
        <v>0</v>
      </c>
      <c r="Y291" s="11">
        <f>IF(H291=0,"",X291/H291)</f>
        <v/>
      </c>
      <c r="Z291" s="8" t="n">
        <v>0</v>
      </c>
      <c r="AA291" s="11">
        <f>IF(H291=0,"",Z291/H291)</f>
        <v/>
      </c>
      <c r="AB291" s="8" t="n">
        <v>0</v>
      </c>
      <c r="AC291" s="11">
        <f>IF(H291=0,"",AB291/H291)</f>
        <v/>
      </c>
      <c r="AD291" s="8" t="n">
        <v>0</v>
      </c>
      <c r="AE291" s="11">
        <f>IF(H291=0,"",AD291/H291)</f>
        <v/>
      </c>
      <c r="AF291" s="8" t="n">
        <v>0</v>
      </c>
      <c r="AG291" s="11">
        <f>IF(H291=0,"",AF291/H291)</f>
        <v/>
      </c>
      <c r="AH291" s="8" t="n">
        <v>1352000</v>
      </c>
      <c r="AI291" s="9">
        <f>IF(H291=0,"",AH291/H291)</f>
        <v/>
      </c>
      <c r="AJ291" s="8" t="n">
        <v>140.33</v>
      </c>
      <c r="AK291" s="11">
        <f>IF(H291=0,"",AJ291/H291)</f>
        <v/>
      </c>
      <c r="AL291" s="8" t="n">
        <v>69959.90197000001</v>
      </c>
      <c r="AM291" s="9">
        <f>IF(H291=0,"",AL291/H291)</f>
        <v/>
      </c>
      <c r="AN291" s="8" t="n">
        <v>0</v>
      </c>
      <c r="AO291" s="8" t="n">
        <v>0</v>
      </c>
      <c r="AP291" s="8" t="n">
        <v>0</v>
      </c>
      <c r="AQ291" s="8" t="n">
        <v>0</v>
      </c>
      <c r="AR291" s="8" t="n">
        <v>4703176.13</v>
      </c>
      <c r="AS291" s="8" t="n">
        <v>1534601.93</v>
      </c>
      <c r="AT291" s="8" t="n">
        <v>0</v>
      </c>
      <c r="AU291" s="9">
        <f>AH291+AL291+AP291+AQ291+AR291+AS291+AT291</f>
        <v/>
      </c>
      <c r="AV291" s="9">
        <f>IF(H291=0,"",AU291/H291)</f>
        <v/>
      </c>
      <c r="AW291" s="9">
        <f>IF(S291=0,"",AU291/S291)</f>
        <v/>
      </c>
      <c r="AX291" s="8" t="n">
        <v>7</v>
      </c>
      <c r="AY291" s="9">
        <f>IF(H291=0,"",AX291/(H291/1000/12))</f>
        <v/>
      </c>
      <c r="AZ291" s="8" t="n">
        <v>17</v>
      </c>
      <c r="BA291" s="8" t="n">
        <v>49</v>
      </c>
      <c r="BB291" s="8" t="n">
        <v>13</v>
      </c>
      <c r="BC291" s="8" t="n">
        <v>13</v>
      </c>
      <c r="BD291" s="8" t="n">
        <v>0</v>
      </c>
      <c r="BE291" s="9">
        <f>BC291+BD291</f>
        <v/>
      </c>
      <c r="BF291" s="9">
        <f>BA291+BB291-BE291</f>
        <v/>
      </c>
      <c r="BG291" s="8" t="n">
        <v>2</v>
      </c>
      <c r="BH291" s="8" t="n">
        <v>0</v>
      </c>
      <c r="BI291" s="8" t="n">
        <v>0</v>
      </c>
      <c r="BJ291" s="8" t="n">
        <v>0</v>
      </c>
      <c r="BK291" s="9">
        <f>BI291+BJ291</f>
        <v/>
      </c>
      <c r="BL291" s="9">
        <f>BG291+BH291-BK291</f>
        <v/>
      </c>
      <c r="BM291" s="8" t="n">
        <v>4</v>
      </c>
      <c r="BN291" s="8" t="n">
        <v>1</v>
      </c>
      <c r="BO291" s="8" t="n">
        <v>0</v>
      </c>
      <c r="BP291" s="8" t="n">
        <v>0</v>
      </c>
      <c r="BQ291" s="9">
        <f>BO291+BP291</f>
        <v/>
      </c>
      <c r="BR291" s="9">
        <f>BM291+BN291-BQ291</f>
        <v/>
      </c>
      <c r="BS291" s="8" t="n">
        <v>0</v>
      </c>
      <c r="BT291" s="8" t="n">
        <v>0</v>
      </c>
      <c r="BU291" s="8" t="n">
        <v>0</v>
      </c>
      <c r="BV291" s="8" t="n">
        <v>0</v>
      </c>
      <c r="BW291" s="9">
        <f>BU291+BV291</f>
        <v/>
      </c>
      <c r="BX291" s="9">
        <f>BS291+BT291-BW291</f>
        <v/>
      </c>
      <c r="BY291" s="9">
        <f>BA291+BG291+BM291+BS291</f>
        <v/>
      </c>
      <c r="BZ291" s="9">
        <f>BB291+BH291+BN291+BT291</f>
        <v/>
      </c>
      <c r="CA291" s="9">
        <f>BE291+BK291+BQ291+BW291</f>
        <v/>
      </c>
      <c r="CB291" s="9">
        <f>BF291+BL291+BR291+BX291</f>
        <v/>
      </c>
      <c r="CC291" s="8" t="n">
        <v>0</v>
      </c>
      <c r="CD291" s="8" t="n">
        <v>721</v>
      </c>
      <c r="CE291" s="8" t="n">
        <v>15</v>
      </c>
      <c r="CF291" s="8" t="n">
        <v>7</v>
      </c>
      <c r="CG291" s="8" t="n">
        <v>3</v>
      </c>
      <c r="CH291" s="9">
        <f>CD291+CE291+CF291+CG291</f>
        <v/>
      </c>
      <c r="CI291" s="8" t="n">
        <v>876</v>
      </c>
      <c r="CJ291" s="8" t="n">
        <v>6</v>
      </c>
      <c r="CK291" s="8" t="n">
        <v>3</v>
      </c>
      <c r="CL291" s="8" t="n">
        <v>2</v>
      </c>
      <c r="CM291" s="9">
        <f>CI291+CJ291+CK291+CL291</f>
        <v/>
      </c>
      <c r="CN291" s="8" t="n">
        <v>365</v>
      </c>
      <c r="CO291" s="8" t="n">
        <v>21</v>
      </c>
      <c r="CP291" s="8" t="n">
        <v>25</v>
      </c>
      <c r="CQ291" s="8" t="n">
        <v>2</v>
      </c>
      <c r="CR291" s="9">
        <f>CN291+CO291+CP291+CQ291</f>
        <v/>
      </c>
      <c r="CS291" s="9">
        <f>CM291+CR291</f>
        <v/>
      </c>
      <c r="CT291" s="8" t="n">
        <v>2046</v>
      </c>
      <c r="CU291" s="8" t="n">
        <v>10628</v>
      </c>
      <c r="CV291" s="8" t="n">
        <v>10447</v>
      </c>
      <c r="CW291" s="10">
        <f>IF(CU291=0,"",CV291/CU291)</f>
        <v/>
      </c>
      <c r="CX291" s="8" t="n">
        <v>0</v>
      </c>
      <c r="CY291" s="8" t="n">
        <v>0</v>
      </c>
      <c r="CZ291" s="8" t="n">
        <v>0</v>
      </c>
      <c r="DA291" s="8" t="n">
        <v>0</v>
      </c>
      <c r="DB291" s="9">
        <f>CX291+CY291-CZ291-DA291</f>
        <v/>
      </c>
      <c r="DC291" s="8" t="n">
        <v>0</v>
      </c>
      <c r="DD291" s="8" t="n">
        <v>0</v>
      </c>
      <c r="DE291" s="8" t="n">
        <v>0</v>
      </c>
      <c r="DF291" s="8" t="n">
        <v>0</v>
      </c>
      <c r="DG291" s="9">
        <f>DC291+DD291-DE291-DF291</f>
        <v/>
      </c>
      <c r="DH291" s="8" t="n">
        <v>0</v>
      </c>
      <c r="DI291" s="8" t="n">
        <v>0</v>
      </c>
      <c r="DJ291" s="8" t="n">
        <v>0</v>
      </c>
      <c r="DK291" s="8" t="n">
        <v>0</v>
      </c>
      <c r="DL291" s="9">
        <f>DH291+DI291-DJ291-DK291</f>
        <v/>
      </c>
      <c r="DM291" s="8" t="n">
        <v>5</v>
      </c>
      <c r="DN291" s="8" t="n">
        <v>2</v>
      </c>
      <c r="DO291" s="8" t="n">
        <v>7</v>
      </c>
      <c r="DP291" s="8" t="n">
        <v>0</v>
      </c>
      <c r="DQ291" s="9">
        <f>DM291+DN291-DO291-DP291</f>
        <v/>
      </c>
      <c r="DR291" s="9">
        <f>CX291+DC291+DH291+DM291</f>
        <v/>
      </c>
      <c r="DS291" s="9">
        <f>CY291+DD291+DI291+DN291</f>
        <v/>
      </c>
      <c r="DT291" s="9">
        <f>CZ291+DE291+DJ291+DO291</f>
        <v/>
      </c>
      <c r="DU291" s="9">
        <f>DA291+DF291+DK291+DP291</f>
        <v/>
      </c>
      <c r="DV291" s="9">
        <f>DB291+DG291+DL291+DQ291</f>
        <v/>
      </c>
      <c r="DW291" s="8" t="n">
        <v>11</v>
      </c>
      <c r="DX291" s="8" t="n">
        <v>11</v>
      </c>
      <c r="DY291" s="8" t="n">
        <v>4</v>
      </c>
      <c r="DZ291" s="8" t="n">
        <v>1</v>
      </c>
      <c r="EA291" s="8" t="n">
        <v>2</v>
      </c>
      <c r="EB291" s="8" t="n">
        <v>4</v>
      </c>
      <c r="EC291" s="8" t="n">
        <v>0</v>
      </c>
      <c r="ED291" s="8" t="n">
        <v>0</v>
      </c>
      <c r="EE291" s="8" t="n">
        <v>0</v>
      </c>
      <c r="EF291" s="8" t="n">
        <v>0</v>
      </c>
      <c r="EG291" s="8" t="n">
        <v>0</v>
      </c>
      <c r="EH291" s="8" t="n">
        <v>0</v>
      </c>
      <c r="EI291" s="8" t="n">
        <v>0</v>
      </c>
      <c r="EJ291" s="8" t="n">
        <v>6</v>
      </c>
      <c r="EK291" s="8" t="n">
        <v>2</v>
      </c>
      <c r="EL291" s="8" t="n">
        <v>2</v>
      </c>
      <c r="EM291" s="8" t="n">
        <v>0</v>
      </c>
      <c r="EN291" s="8" t="n">
        <v>0</v>
      </c>
      <c r="EO291" s="8" t="n">
        <v>0</v>
      </c>
      <c r="EP291" s="8" t="n">
        <v>0</v>
      </c>
      <c r="EQ291" s="8" t="n">
        <v>0</v>
      </c>
      <c r="ER291" s="8" t="n">
        <v>0</v>
      </c>
      <c r="ES291" s="8" t="n">
        <v>0</v>
      </c>
      <c r="ET291" s="8" t="n">
        <v>0</v>
      </c>
      <c r="EU291" s="8" t="n">
        <v>0</v>
      </c>
      <c r="EV291" s="8" t="n">
        <v>0</v>
      </c>
      <c r="EW291" s="8" t="n">
        <v>0</v>
      </c>
      <c r="EX291" s="8" t="n">
        <v>0</v>
      </c>
      <c r="EY291" s="8" t="n">
        <v>0</v>
      </c>
      <c r="EZ291" s="8" t="n">
        <v>0</v>
      </c>
      <c r="FA291" s="8" t="n">
        <v>0</v>
      </c>
      <c r="FB291" s="8" t="n">
        <v>0</v>
      </c>
      <c r="FC291" s="8" t="n">
        <v>0</v>
      </c>
      <c r="FD291" s="8" t="n">
        <v>0</v>
      </c>
      <c r="FE291" s="8" t="n">
        <v>0</v>
      </c>
      <c r="FF291" s="8" t="n">
        <v>0</v>
      </c>
      <c r="FG291" s="9">
        <f>SUM(DW291,DX291,DY291,DZ291,EA291,EB291,EC291,ED291,EE291,EF291,EG291,EH291,EI291,EJ291,EK291,EL291,EM291,EN291,EO291,EP291,EQ291,ER291,ES291,ET291,EU291,EV291,EW291,EX291,EY291,EZ291,FA291,FB291,FC291,FD291,FE291,FF291)</f>
        <v/>
      </c>
      <c r="FH291" s="8" t="n">
        <v>0</v>
      </c>
      <c r="FI291" s="8" t="n">
        <v>0</v>
      </c>
      <c r="FJ291" s="8" t="n">
        <v>21</v>
      </c>
      <c r="FK291" s="8" t="n">
        <v>36</v>
      </c>
      <c r="FL291" s="8" t="n">
        <v>0</v>
      </c>
      <c r="FM291" s="8" t="n">
        <v>0</v>
      </c>
      <c r="FN291" s="8" t="n">
        <v>0</v>
      </c>
      <c r="FO291" s="8" t="n">
        <v>0</v>
      </c>
      <c r="FP291" s="8" t="n">
        <v>0</v>
      </c>
      <c r="FQ291" s="9">
        <f>FL291+FM291+FN291+FO291+FP291</f>
        <v/>
      </c>
      <c r="FR291" s="8" t="n">
        <v>5126468.8</v>
      </c>
      <c r="FS291" s="8" t="n">
        <v>0</v>
      </c>
      <c r="FT291" s="8" t="n">
        <v>0</v>
      </c>
      <c r="FU291" s="8" t="n">
        <v>0</v>
      </c>
      <c r="FV291" s="9">
        <f>FR291+FS291+FT291+FU291</f>
        <v/>
      </c>
      <c r="FW291" s="8" t="n">
        <v>8081439.99</v>
      </c>
      <c r="FX291" s="8" t="n">
        <v>31900</v>
      </c>
      <c r="FY291" s="8" t="n">
        <v>1029376.45</v>
      </c>
      <c r="FZ291" s="8" t="n">
        <v>43473637.90000002</v>
      </c>
      <c r="GA291" s="9">
        <f>FW291+FX291+FY291+FZ291</f>
        <v/>
      </c>
      <c r="GB291" s="9">
        <f>FV291+GA291</f>
        <v/>
      </c>
      <c r="GC291" s="8" t="n">
        <v>9185023.279999999</v>
      </c>
      <c r="GD291" s="8" t="n">
        <v>1530.24</v>
      </c>
      <c r="GE291" s="8" t="n">
        <v>99423.09</v>
      </c>
      <c r="GF291" s="8" t="n">
        <v>28618.61</v>
      </c>
      <c r="GG291" s="9">
        <f>GC291+GD291+GE291+GF291</f>
        <v/>
      </c>
      <c r="GH291" s="8" t="n">
        <v>7165208.9</v>
      </c>
      <c r="GI291" s="8" t="n">
        <v>24220</v>
      </c>
      <c r="GJ291" s="8" t="n">
        <v>25457137.89999999</v>
      </c>
      <c r="GK291" s="8" t="n">
        <v>868069.9300000001</v>
      </c>
      <c r="GL291" s="9">
        <f>GH291+GI291+GJ291+GK291</f>
        <v/>
      </c>
      <c r="GM291" s="9">
        <f>GG291+GL291</f>
        <v/>
      </c>
      <c r="GN291" s="8" t="n">
        <v>476837.54</v>
      </c>
      <c r="GO291" s="8" t="n">
        <v>382.56</v>
      </c>
      <c r="GP291" s="8" t="n">
        <v>20361.84</v>
      </c>
      <c r="GQ291" s="8" t="n">
        <v>13912.02</v>
      </c>
      <c r="GR291" s="9">
        <f>GN291+GO291+GP291+GQ291</f>
        <v/>
      </c>
      <c r="GS291" s="8" t="n">
        <v>782268</v>
      </c>
      <c r="GT291" s="8" t="n">
        <v>1786</v>
      </c>
      <c r="GU291" s="8" t="n">
        <v>5358</v>
      </c>
      <c r="GV291" s="8" t="n">
        <v>2679</v>
      </c>
      <c r="GW291" s="9">
        <f>GS291+GT291+GU291+GV291</f>
        <v/>
      </c>
      <c r="GX291" s="9">
        <f>GM291+GR291+GW291</f>
        <v/>
      </c>
      <c r="GY291" s="8" t="n">
        <v>92118047.83999985</v>
      </c>
      <c r="GZ291" s="8" t="n">
        <v>0</v>
      </c>
      <c r="HA291" s="9">
        <f>GY291+GZ291</f>
        <v/>
      </c>
      <c r="HB291" s="9">
        <f>IF(GX291=0,"",AU291/GX291)</f>
        <v/>
      </c>
      <c r="HC291" s="10">
        <f>IF((GX291+GY291)=0,"",GB291/(GX291+GY291))</f>
        <v/>
      </c>
      <c r="HD291" s="9">
        <f>IF(GX291=0,"",GB291/GX291)</f>
        <v/>
      </c>
      <c r="HE291" s="8" t="n">
        <v>14</v>
      </c>
      <c r="HF291" s="8" t="n">
        <v>2</v>
      </c>
      <c r="HG291" s="8" t="n">
        <v>56</v>
      </c>
      <c r="HH291" s="8" t="n">
        <v>14</v>
      </c>
      <c r="HI291" s="8" t="n">
        <v>5</v>
      </c>
      <c r="HJ291" s="9">
        <f>HF291+HI291</f>
        <v/>
      </c>
      <c r="HK291" s="10">
        <f>IF(HE291=0,"",HH291/HE291)</f>
        <v/>
      </c>
      <c r="HL291" s="8" t="n">
        <v>12</v>
      </c>
      <c r="HM291" s="8" t="n">
        <v>5</v>
      </c>
      <c r="HN291" s="11">
        <f>IF(HL291=0,"",HM291/HL291)</f>
        <v/>
      </c>
    </row>
    <row r="292">
      <c r="A292" s="12" t="inlineStr">
        <is>
          <t>Zomba</t>
        </is>
      </c>
      <c r="B292" s="12" t="inlineStr">
        <is>
          <t>Domasi</t>
        </is>
      </c>
      <c r="C292" s="13" t="inlineStr">
        <is>
          <t>FY2025/26</t>
        </is>
      </c>
      <c r="D292" s="13" t="n">
        <v>2025</v>
      </c>
      <c r="E292" s="13" t="n">
        <v>5</v>
      </c>
      <c r="F292" s="13" t="inlineStr">
        <is>
          <t>May</t>
        </is>
      </c>
      <c r="G292" s="13" t="inlineStr">
        <is>
          <t>Q1</t>
        </is>
      </c>
      <c r="H292" s="14" t="n">
        <v>28311</v>
      </c>
      <c r="I292" s="14" t="n">
        <v>9196</v>
      </c>
      <c r="J292" s="14" t="n">
        <v>23</v>
      </c>
      <c r="K292" s="14" t="n">
        <v>55</v>
      </c>
      <c r="L292" s="14" t="n">
        <v>4</v>
      </c>
      <c r="M292" s="15">
        <f>SUM(I292,J292,K292,L292)</f>
        <v/>
      </c>
      <c r="N292" s="14" t="n">
        <v>6278.80000000003</v>
      </c>
      <c r="O292" s="14" t="n">
        <v>95.40000000000001</v>
      </c>
      <c r="P292" s="14" t="n">
        <v>7748.5</v>
      </c>
      <c r="Q292" s="14" t="n">
        <v>234.7</v>
      </c>
      <c r="R292" s="15">
        <f>SUM(N292,O292,P292,Q292)</f>
        <v/>
      </c>
      <c r="S292" s="15">
        <f>M292+R292</f>
        <v/>
      </c>
      <c r="T292" s="14" t="n">
        <v>4675.59999999997</v>
      </c>
      <c r="U292" s="16">
        <f>IF(H292=0,"",T292/H292)</f>
        <v/>
      </c>
      <c r="V292" s="14" t="n">
        <v>62.5</v>
      </c>
      <c r="W292" s="17">
        <f>IF(H292=0,"",V292/H292)</f>
        <v/>
      </c>
      <c r="X292" s="14" t="n">
        <v>0</v>
      </c>
      <c r="Y292" s="17">
        <f>IF(H292=0,"",X292/H292)</f>
        <v/>
      </c>
      <c r="Z292" s="14" t="n">
        <v>0</v>
      </c>
      <c r="AA292" s="17">
        <f>IF(H292=0,"",Z292/H292)</f>
        <v/>
      </c>
      <c r="AB292" s="14" t="n">
        <v>0</v>
      </c>
      <c r="AC292" s="17">
        <f>IF(H292=0,"",AB292/H292)</f>
        <v/>
      </c>
      <c r="AD292" s="14" t="n">
        <v>0</v>
      </c>
      <c r="AE292" s="17">
        <f>IF(H292=0,"",AD292/H292)</f>
        <v/>
      </c>
      <c r="AF292" s="14" t="n">
        <v>0</v>
      </c>
      <c r="AG292" s="17">
        <f>IF(H292=0,"",AF292/H292)</f>
        <v/>
      </c>
      <c r="AH292" s="14" t="n">
        <v>1625000</v>
      </c>
      <c r="AI292" s="15">
        <f>IF(H292=0,"",AH292/H292)</f>
        <v/>
      </c>
      <c r="AJ292" s="14" t="n">
        <v>128.86</v>
      </c>
      <c r="AK292" s="17">
        <f>IF(H292=0,"",AJ292/H292)</f>
        <v/>
      </c>
      <c r="AL292" s="14" t="n">
        <v>66825.04773999999</v>
      </c>
      <c r="AM292" s="15">
        <f>IF(H292=0,"",AL292/H292)</f>
        <v/>
      </c>
      <c r="AN292" s="14" t="n">
        <v>0</v>
      </c>
      <c r="AO292" s="14" t="n">
        <v>0</v>
      </c>
      <c r="AP292" s="14" t="n">
        <v>0</v>
      </c>
      <c r="AQ292" s="14" t="n">
        <v>0</v>
      </c>
      <c r="AR292" s="14" t="n">
        <v>0</v>
      </c>
      <c r="AS292" s="14" t="n">
        <v>0</v>
      </c>
      <c r="AT292" s="14" t="n">
        <v>0</v>
      </c>
      <c r="AU292" s="15">
        <f>AH292+AL292+AP292+AQ292+AR292+AS292+AT292</f>
        <v/>
      </c>
      <c r="AV292" s="15">
        <f>IF(H292=0,"",AU292/H292)</f>
        <v/>
      </c>
      <c r="AW292" s="15">
        <f>IF(S292=0,"",AU292/S292)</f>
        <v/>
      </c>
      <c r="AX292" s="14" t="n">
        <v>7</v>
      </c>
      <c r="AY292" s="15">
        <f>IF(H292=0,"",AX292/(H292/1000/12))</f>
        <v/>
      </c>
      <c r="AZ292" s="14" t="n">
        <v>17</v>
      </c>
      <c r="BA292" s="14" t="n">
        <v>49</v>
      </c>
      <c r="BB292" s="14" t="n">
        <v>14</v>
      </c>
      <c r="BC292" s="14" t="n">
        <v>13</v>
      </c>
      <c r="BD292" s="14" t="n">
        <v>0</v>
      </c>
      <c r="BE292" s="15">
        <f>BC292+BD292</f>
        <v/>
      </c>
      <c r="BF292" s="15">
        <f>BA292+BB292-BE292</f>
        <v/>
      </c>
      <c r="BG292" s="14" t="n">
        <v>2</v>
      </c>
      <c r="BH292" s="14" t="n">
        <v>0</v>
      </c>
      <c r="BI292" s="14" t="n">
        <v>0</v>
      </c>
      <c r="BJ292" s="14" t="n">
        <v>0</v>
      </c>
      <c r="BK292" s="15">
        <f>BI292+BJ292</f>
        <v/>
      </c>
      <c r="BL292" s="15">
        <f>BG292+BH292-BK292</f>
        <v/>
      </c>
      <c r="BM292" s="14" t="n">
        <v>5</v>
      </c>
      <c r="BN292" s="14" t="n">
        <v>0</v>
      </c>
      <c r="BO292" s="14" t="n">
        <v>0</v>
      </c>
      <c r="BP292" s="14" t="n">
        <v>0</v>
      </c>
      <c r="BQ292" s="15">
        <f>BO292+BP292</f>
        <v/>
      </c>
      <c r="BR292" s="15">
        <f>BM292+BN292-BQ292</f>
        <v/>
      </c>
      <c r="BS292" s="14" t="n">
        <v>0</v>
      </c>
      <c r="BT292" s="14" t="n">
        <v>0</v>
      </c>
      <c r="BU292" s="14" t="n">
        <v>0</v>
      </c>
      <c r="BV292" s="14" t="n">
        <v>0</v>
      </c>
      <c r="BW292" s="15">
        <f>BU292+BV292</f>
        <v/>
      </c>
      <c r="BX292" s="15">
        <f>BS292+BT292-BW292</f>
        <v/>
      </c>
      <c r="BY292" s="15">
        <f>BA292+BG292+BM292+BS292</f>
        <v/>
      </c>
      <c r="BZ292" s="15">
        <f>BB292+BH292+BN292+BT292</f>
        <v/>
      </c>
      <c r="CA292" s="15">
        <f>BE292+BK292+BQ292+BW292</f>
        <v/>
      </c>
      <c r="CB292" s="15">
        <f>BF292+BL292+BR292+BX292</f>
        <v/>
      </c>
      <c r="CC292" s="14" t="n">
        <v>37</v>
      </c>
      <c r="CD292" s="14" t="n">
        <v>725</v>
      </c>
      <c r="CE292" s="14" t="n">
        <v>10</v>
      </c>
      <c r="CF292" s="14" t="n">
        <v>5</v>
      </c>
      <c r="CG292" s="14" t="n">
        <v>3</v>
      </c>
      <c r="CH292" s="15">
        <f>CD292+CE292+CF292+CG292</f>
        <v/>
      </c>
      <c r="CI292" s="14" t="n">
        <v>859</v>
      </c>
      <c r="CJ292" s="14" t="n">
        <v>4</v>
      </c>
      <c r="CK292" s="14" t="n">
        <v>1</v>
      </c>
      <c r="CL292" s="14" t="n">
        <v>2</v>
      </c>
      <c r="CM292" s="15">
        <f>CI292+CJ292+CK292+CL292</f>
        <v/>
      </c>
      <c r="CN292" s="14" t="n">
        <v>391</v>
      </c>
      <c r="CO292" s="14" t="n">
        <v>28</v>
      </c>
      <c r="CP292" s="14" t="n">
        <v>29</v>
      </c>
      <c r="CQ292" s="14" t="n">
        <v>2</v>
      </c>
      <c r="CR292" s="15">
        <f>CN292+CO292+CP292+CQ292</f>
        <v/>
      </c>
      <c r="CS292" s="15">
        <f>CM292+CR292</f>
        <v/>
      </c>
      <c r="CT292" s="14" t="n">
        <v>2059</v>
      </c>
      <c r="CU292" s="14" t="n">
        <v>10637</v>
      </c>
      <c r="CV292" s="14" t="n">
        <v>10502.9</v>
      </c>
      <c r="CW292" s="16">
        <f>IF(CU292=0,"",CV292/CU292)</f>
        <v/>
      </c>
      <c r="CX292" s="14" t="n">
        <v>0</v>
      </c>
      <c r="CY292" s="14" t="n">
        <v>0</v>
      </c>
      <c r="CZ292" s="14" t="n">
        <v>0</v>
      </c>
      <c r="DA292" s="14" t="n">
        <v>0</v>
      </c>
      <c r="DB292" s="15">
        <f>CX292+CY292-CZ292-DA292</f>
        <v/>
      </c>
      <c r="DC292" s="14" t="n">
        <v>0</v>
      </c>
      <c r="DD292" s="14" t="n">
        <v>0</v>
      </c>
      <c r="DE292" s="14" t="n">
        <v>0</v>
      </c>
      <c r="DF292" s="14" t="n">
        <v>0</v>
      </c>
      <c r="DG292" s="15">
        <f>DC292+DD292-DE292-DF292</f>
        <v/>
      </c>
      <c r="DH292" s="14" t="n">
        <v>0</v>
      </c>
      <c r="DI292" s="14" t="n">
        <v>0</v>
      </c>
      <c r="DJ292" s="14" t="n">
        <v>0</v>
      </c>
      <c r="DK292" s="14" t="n">
        <v>0</v>
      </c>
      <c r="DL292" s="15">
        <f>DH292+DI292-DJ292-DK292</f>
        <v/>
      </c>
      <c r="DM292" s="14" t="n">
        <v>0</v>
      </c>
      <c r="DN292" s="14" t="n">
        <v>34</v>
      </c>
      <c r="DO292" s="14" t="n">
        <v>10</v>
      </c>
      <c r="DP292" s="14" t="n">
        <v>0</v>
      </c>
      <c r="DQ292" s="15">
        <f>DM292+DN292-DO292-DP292</f>
        <v/>
      </c>
      <c r="DR292" s="15">
        <f>CX292+DC292+DH292+DM292</f>
        <v/>
      </c>
      <c r="DS292" s="15">
        <f>CY292+DD292+DI292+DN292</f>
        <v/>
      </c>
      <c r="DT292" s="15">
        <f>CZ292+DE292+DJ292+DO292</f>
        <v/>
      </c>
      <c r="DU292" s="15">
        <f>DA292+DF292+DK292+DP292</f>
        <v/>
      </c>
      <c r="DV292" s="15">
        <f>DB292+DG292+DL292+DQ292</f>
        <v/>
      </c>
      <c r="DW292" s="14" t="n">
        <v>0</v>
      </c>
      <c r="DX292" s="14" t="n">
        <v>0</v>
      </c>
      <c r="DY292" s="14" t="n">
        <v>0</v>
      </c>
      <c r="DZ292" s="14" t="n">
        <v>0</v>
      </c>
      <c r="EA292" s="14" t="n">
        <v>1</v>
      </c>
      <c r="EB292" s="14" t="n">
        <v>1</v>
      </c>
      <c r="EC292" s="14" t="n">
        <v>0</v>
      </c>
      <c r="ED292" s="14" t="n">
        <v>0</v>
      </c>
      <c r="EE292" s="14" t="n">
        <v>0</v>
      </c>
      <c r="EF292" s="14" t="n">
        <v>0</v>
      </c>
      <c r="EG292" s="14" t="n">
        <v>0</v>
      </c>
      <c r="EH292" s="14" t="n">
        <v>0</v>
      </c>
      <c r="EI292" s="14" t="n">
        <v>0</v>
      </c>
      <c r="EJ292" s="14" t="n">
        <v>0</v>
      </c>
      <c r="EK292" s="14" t="n">
        <v>0</v>
      </c>
      <c r="EL292" s="14" t="n">
        <v>0</v>
      </c>
      <c r="EM292" s="14" t="n">
        <v>0</v>
      </c>
      <c r="EN292" s="14" t="n">
        <v>0</v>
      </c>
      <c r="EO292" s="14" t="n">
        <v>0</v>
      </c>
      <c r="EP292" s="14" t="n">
        <v>0</v>
      </c>
      <c r="EQ292" s="14" t="n">
        <v>0</v>
      </c>
      <c r="ER292" s="14" t="n">
        <v>0</v>
      </c>
      <c r="ES292" s="14" t="n">
        <v>0</v>
      </c>
      <c r="ET292" s="14" t="n">
        <v>0</v>
      </c>
      <c r="EU292" s="14" t="n">
        <v>0</v>
      </c>
      <c r="EV292" s="14" t="n">
        <v>0</v>
      </c>
      <c r="EW292" s="14" t="n">
        <v>0</v>
      </c>
      <c r="EX292" s="14" t="n">
        <v>0</v>
      </c>
      <c r="EY292" s="14" t="n">
        <v>0</v>
      </c>
      <c r="EZ292" s="14" t="n">
        <v>0</v>
      </c>
      <c r="FA292" s="14" t="n">
        <v>0</v>
      </c>
      <c r="FB292" s="14" t="n">
        <v>0</v>
      </c>
      <c r="FC292" s="14" t="n">
        <v>0</v>
      </c>
      <c r="FD292" s="14" t="n">
        <v>0</v>
      </c>
      <c r="FE292" s="14" t="n">
        <v>0</v>
      </c>
      <c r="FF292" s="14" t="n">
        <v>0</v>
      </c>
      <c r="FG292" s="15">
        <f>SUM(DW292,DX292,DY292,DZ292,EA292,EB292,EC292,ED292,EE292,EF292,EG292,EH292,EI292,EJ292,EK292,EL292,EM292,EN292,EO292,EP292,EQ292,ER292,ES292,ET292,EU292,EV292,EW292,EX292,EY292,EZ292,FA292,FB292,FC292,FD292,FE292,FF292)</f>
        <v/>
      </c>
      <c r="FH292" s="14" t="n">
        <v>0</v>
      </c>
      <c r="FI292" s="14" t="n">
        <v>0</v>
      </c>
      <c r="FJ292" s="14" t="n">
        <v>20</v>
      </c>
      <c r="FK292" s="14" t="n">
        <v>48</v>
      </c>
      <c r="FL292" s="14" t="n">
        <v>0</v>
      </c>
      <c r="FM292" s="14" t="n">
        <v>0</v>
      </c>
      <c r="FN292" s="14" t="n">
        <v>0</v>
      </c>
      <c r="FO292" s="14" t="n">
        <v>0</v>
      </c>
      <c r="FP292" s="14" t="n">
        <v>0</v>
      </c>
      <c r="FQ292" s="15">
        <f>FL292+FM292+FN292+FO292+FP292</f>
        <v/>
      </c>
      <c r="FR292" s="14" t="n">
        <v>13643201.24</v>
      </c>
      <c r="FS292" s="14" t="n">
        <v>0</v>
      </c>
      <c r="FT292" s="14" t="n">
        <v>96000</v>
      </c>
      <c r="FU292" s="14" t="n">
        <v>26000</v>
      </c>
      <c r="FV292" s="15">
        <f>FR292+FS292+FT292+FU292</f>
        <v/>
      </c>
      <c r="FW292" s="14" t="n">
        <v>8380157.94</v>
      </c>
      <c r="FX292" s="14" t="n">
        <v>20400</v>
      </c>
      <c r="FY292" s="14" t="n">
        <v>1339700</v>
      </c>
      <c r="FZ292" s="14" t="n">
        <v>41551028</v>
      </c>
      <c r="GA292" s="15">
        <f>FW292+FX292+FY292+FZ292</f>
        <v/>
      </c>
      <c r="GB292" s="15">
        <f>FV292+GA292</f>
        <v/>
      </c>
      <c r="GC292" s="14" t="n">
        <v>8194847.64</v>
      </c>
      <c r="GD292" s="14" t="n">
        <v>4399.44</v>
      </c>
      <c r="GE292" s="14" t="n">
        <v>159928.71</v>
      </c>
      <c r="GF292" s="14" t="n">
        <v>8410.99</v>
      </c>
      <c r="GG292" s="15">
        <f>GC292+GD292+GE292+GF292</f>
        <v/>
      </c>
      <c r="GH292" s="14" t="n">
        <v>7832757.59</v>
      </c>
      <c r="GI292" s="14" t="n">
        <v>20271.19</v>
      </c>
      <c r="GJ292" s="14" t="n">
        <v>23550668.12</v>
      </c>
      <c r="GK292" s="14" t="n">
        <v>1113500</v>
      </c>
      <c r="GL292" s="15">
        <f>GH292+GI292+GJ292+GK292</f>
        <v/>
      </c>
      <c r="GM292" s="15">
        <f>GG292+GL292</f>
        <v/>
      </c>
      <c r="GN292" s="14" t="n">
        <v>467287.86</v>
      </c>
      <c r="GO292" s="14" t="n">
        <v>382.56</v>
      </c>
      <c r="GP292" s="14" t="n">
        <v>13574.56</v>
      </c>
      <c r="GQ292" s="14" t="n">
        <v>4637.34</v>
      </c>
      <c r="GR292" s="15">
        <f>GN292+GO292+GP292+GQ292</f>
        <v/>
      </c>
      <c r="GS292" s="14" t="n">
        <v>767087</v>
      </c>
      <c r="GT292" s="14" t="n">
        <v>1786</v>
      </c>
      <c r="GU292" s="14" t="n">
        <v>3572</v>
      </c>
      <c r="GV292" s="14" t="n">
        <v>893</v>
      </c>
      <c r="GW292" s="15">
        <f>GS292+GT292+GU292+GV292</f>
        <v/>
      </c>
      <c r="GX292" s="15">
        <f>GM292+GR292+GW292</f>
        <v/>
      </c>
      <c r="GY292" s="14" t="n">
        <v>93191268.3599999</v>
      </c>
      <c r="GZ292" s="14" t="n">
        <v>0</v>
      </c>
      <c r="HA292" s="9">
        <f>GY292+GZ292</f>
        <v/>
      </c>
      <c r="HB292" s="15">
        <f>IF(GX292=0,"",AU292/GX292)</f>
        <v/>
      </c>
      <c r="HC292" s="16">
        <f>IF((GX292+GY292)=0,"",GB292/(GX292+GY292))</f>
        <v/>
      </c>
      <c r="HD292" s="15">
        <f>IF(GX292=0,"",GB292/GX292)</f>
        <v/>
      </c>
      <c r="HE292" s="14" t="n">
        <v>14</v>
      </c>
      <c r="HF292" s="14" t="n">
        <v>2</v>
      </c>
      <c r="HG292" s="14" t="n">
        <v>57</v>
      </c>
      <c r="HH292" s="14" t="n">
        <v>14</v>
      </c>
      <c r="HI292" s="14" t="n">
        <v>5</v>
      </c>
      <c r="HJ292" s="15">
        <f>HF292+HI292</f>
        <v/>
      </c>
      <c r="HK292" s="16">
        <f>IF(HE292=0,"",HH292/HE292)</f>
        <v/>
      </c>
      <c r="HL292" s="14" t="n">
        <v>11</v>
      </c>
      <c r="HM292" s="14" t="n">
        <v>5</v>
      </c>
      <c r="HN292" s="17">
        <f>IF(HL292=0,"",HM292/HL292)</f>
        <v/>
      </c>
    </row>
    <row r="293">
      <c r="A293" s="6" t="inlineStr">
        <is>
          <t>Zomba</t>
        </is>
      </c>
      <c r="B293" s="6" t="inlineStr">
        <is>
          <t>Domasi</t>
        </is>
      </c>
      <c r="C293" s="7" t="inlineStr">
        <is>
          <t>FY2025/26</t>
        </is>
      </c>
      <c r="D293" s="7" t="n">
        <v>2025</v>
      </c>
      <c r="E293" s="7" t="n">
        <v>6</v>
      </c>
      <c r="F293" s="7" t="inlineStr">
        <is>
          <t>June</t>
        </is>
      </c>
      <c r="G293" s="7" t="inlineStr">
        <is>
          <t>Q1</t>
        </is>
      </c>
      <c r="H293" s="8" t="n">
        <v>26129</v>
      </c>
      <c r="I293" s="8" t="n">
        <v>7031</v>
      </c>
      <c r="J293" s="8" t="n">
        <v>66</v>
      </c>
      <c r="K293" s="8" t="n">
        <v>30</v>
      </c>
      <c r="L293" s="8" t="n">
        <v>7</v>
      </c>
      <c r="M293" s="9">
        <f>SUM(I293,J293,K293,L293)</f>
        <v/>
      </c>
      <c r="N293" s="8" t="n">
        <v>12018.2</v>
      </c>
      <c r="O293" s="8" t="n">
        <v>98.3</v>
      </c>
      <c r="P293" s="8" t="n">
        <v>2357.3</v>
      </c>
      <c r="Q293" s="8" t="n">
        <v>1376</v>
      </c>
      <c r="R293" s="9">
        <f>SUM(N293,O293,P293,Q293)</f>
        <v/>
      </c>
      <c r="S293" s="9">
        <f>M293+R293</f>
        <v/>
      </c>
      <c r="T293" s="8" t="n">
        <v>3145.2</v>
      </c>
      <c r="U293" s="10">
        <f>IF(H293=0,"",T293/H293)</f>
        <v/>
      </c>
      <c r="V293" s="8" t="n">
        <v>50</v>
      </c>
      <c r="W293" s="11">
        <f>IF(H293=0,"",V293/H293)</f>
        <v/>
      </c>
      <c r="X293" s="8" t="n">
        <v>25</v>
      </c>
      <c r="Y293" s="11">
        <f>IF(H293=0,"",X293/H293)</f>
        <v/>
      </c>
      <c r="Z293" s="8" t="n">
        <v>12.5</v>
      </c>
      <c r="AA293" s="11">
        <f>IF(H293=0,"",Z293/H293)</f>
        <v/>
      </c>
      <c r="AB293" s="8" t="n">
        <v>0</v>
      </c>
      <c r="AC293" s="11">
        <f>IF(H293=0,"",AB293/H293)</f>
        <v/>
      </c>
      <c r="AD293" s="8" t="n">
        <v>0</v>
      </c>
      <c r="AE293" s="11">
        <f>IF(H293=0,"",AD293/H293)</f>
        <v/>
      </c>
      <c r="AF293" s="8" t="n">
        <v>0</v>
      </c>
      <c r="AG293" s="11">
        <f>IF(H293=0,"",AF293/H293)</f>
        <v/>
      </c>
      <c r="AH293" s="8" t="n">
        <v>1668950</v>
      </c>
      <c r="AI293" s="9">
        <f>IF(H293=0,"",AH293/H293)</f>
        <v/>
      </c>
      <c r="AJ293" s="8" t="n">
        <v>106.31</v>
      </c>
      <c r="AK293" s="11">
        <f>IF(H293=0,"",AJ293/H293)</f>
        <v/>
      </c>
      <c r="AL293" s="8" t="n">
        <v>60661.92979</v>
      </c>
      <c r="AM293" s="9">
        <f>IF(H293=0,"",AL293/H293)</f>
        <v/>
      </c>
      <c r="AN293" s="8" t="n">
        <v>0</v>
      </c>
      <c r="AO293" s="8" t="n">
        <v>0</v>
      </c>
      <c r="AP293" s="8" t="n">
        <v>0</v>
      </c>
      <c r="AQ293" s="8" t="n">
        <v>0</v>
      </c>
      <c r="AR293" s="8" t="n">
        <v>0</v>
      </c>
      <c r="AS293" s="8" t="n">
        <v>0</v>
      </c>
      <c r="AT293" s="8" t="n">
        <v>0</v>
      </c>
      <c r="AU293" s="9">
        <f>AH293+AL293+AP293+AQ293+AR293+AS293+AT293</f>
        <v/>
      </c>
      <c r="AV293" s="9">
        <f>IF(H293=0,"",AU293/H293)</f>
        <v/>
      </c>
      <c r="AW293" s="9">
        <f>IF(S293=0,"",AU293/S293)</f>
        <v/>
      </c>
      <c r="AX293" s="8" t="n">
        <v>7</v>
      </c>
      <c r="AY293" s="9">
        <f>IF(H293=0,"",AX293/(H293/1000/12))</f>
        <v/>
      </c>
      <c r="AZ293" s="8" t="n">
        <v>17</v>
      </c>
      <c r="BA293" s="8" t="n">
        <v>50</v>
      </c>
      <c r="BB293" s="8" t="n">
        <v>16</v>
      </c>
      <c r="BC293" s="8" t="n">
        <v>11</v>
      </c>
      <c r="BD293" s="8" t="n">
        <v>0</v>
      </c>
      <c r="BE293" s="9">
        <f>BC293+BD293</f>
        <v/>
      </c>
      <c r="BF293" s="9">
        <f>BA293+BB293-BE293</f>
        <v/>
      </c>
      <c r="BG293" s="8" t="n">
        <v>2</v>
      </c>
      <c r="BH293" s="8" t="n">
        <v>0</v>
      </c>
      <c r="BI293" s="8" t="n">
        <v>0</v>
      </c>
      <c r="BJ293" s="8" t="n">
        <v>0</v>
      </c>
      <c r="BK293" s="9">
        <f>BI293+BJ293</f>
        <v/>
      </c>
      <c r="BL293" s="9">
        <f>BG293+BH293-BK293</f>
        <v/>
      </c>
      <c r="BM293" s="8" t="n">
        <v>5</v>
      </c>
      <c r="BN293" s="8" t="n">
        <v>0</v>
      </c>
      <c r="BO293" s="8" t="n">
        <v>1</v>
      </c>
      <c r="BP293" s="8" t="n">
        <v>0</v>
      </c>
      <c r="BQ293" s="9">
        <f>BO293+BP293</f>
        <v/>
      </c>
      <c r="BR293" s="9">
        <f>BM293+BN293-BQ293</f>
        <v/>
      </c>
      <c r="BS293" s="8" t="n">
        <v>0</v>
      </c>
      <c r="BT293" s="8" t="n">
        <v>0</v>
      </c>
      <c r="BU293" s="8" t="n">
        <v>0</v>
      </c>
      <c r="BV293" s="8" t="n">
        <v>0</v>
      </c>
      <c r="BW293" s="9">
        <f>BU293+BV293</f>
        <v/>
      </c>
      <c r="BX293" s="9">
        <f>BS293+BT293-BW293</f>
        <v/>
      </c>
      <c r="BY293" s="9">
        <f>BA293+BG293+BM293+BS293</f>
        <v/>
      </c>
      <c r="BZ293" s="9">
        <f>BB293+BH293+BN293+BT293</f>
        <v/>
      </c>
      <c r="CA293" s="9">
        <f>BE293+BK293+BQ293+BW293</f>
        <v/>
      </c>
      <c r="CB293" s="9">
        <f>BF293+BL293+BR293+BX293</f>
        <v/>
      </c>
      <c r="CC293" s="8" t="n">
        <v>19</v>
      </c>
      <c r="CD293" s="8" t="n">
        <v>723</v>
      </c>
      <c r="CE293" s="8" t="n">
        <v>8</v>
      </c>
      <c r="CF293" s="8" t="n">
        <v>3</v>
      </c>
      <c r="CG293" s="8" t="n">
        <v>3</v>
      </c>
      <c r="CH293" s="9">
        <f>CD293+CE293+CF293+CG293</f>
        <v/>
      </c>
      <c r="CI293" s="8" t="n">
        <v>857</v>
      </c>
      <c r="CJ293" s="8" t="n">
        <v>4</v>
      </c>
      <c r="CK293" s="8" t="n">
        <v>2</v>
      </c>
      <c r="CL293" s="8" t="n">
        <v>2</v>
      </c>
      <c r="CM293" s="9">
        <f>CI293+CJ293+CK293+CL293</f>
        <v/>
      </c>
      <c r="CN293" s="8" t="n">
        <v>406</v>
      </c>
      <c r="CO293" s="8" t="n">
        <v>30</v>
      </c>
      <c r="CP293" s="8" t="n">
        <v>31</v>
      </c>
      <c r="CQ293" s="8" t="n">
        <v>2</v>
      </c>
      <c r="CR293" s="9">
        <f>CN293+CO293+CP293+CQ293</f>
        <v/>
      </c>
      <c r="CS293" s="9">
        <f>CM293+CR293</f>
        <v/>
      </c>
      <c r="CT293" s="8" t="n">
        <v>2071</v>
      </c>
      <c r="CU293" s="8" t="n">
        <v>10646</v>
      </c>
      <c r="CV293" s="8" t="n">
        <v>10550.3</v>
      </c>
      <c r="CW293" s="10">
        <f>IF(CU293=0,"",CV293/CU293)</f>
        <v/>
      </c>
      <c r="CX293" s="8" t="n">
        <v>0</v>
      </c>
      <c r="CY293" s="8" t="n">
        <v>0</v>
      </c>
      <c r="CZ293" s="8" t="n">
        <v>0</v>
      </c>
      <c r="DA293" s="8" t="n">
        <v>0</v>
      </c>
      <c r="DB293" s="9">
        <f>CX293+CY293-CZ293-DA293</f>
        <v/>
      </c>
      <c r="DC293" s="8" t="n">
        <v>0</v>
      </c>
      <c r="DD293" s="8" t="n">
        <v>0</v>
      </c>
      <c r="DE293" s="8" t="n">
        <v>0</v>
      </c>
      <c r="DF293" s="8" t="n">
        <v>0</v>
      </c>
      <c r="DG293" s="9">
        <f>DC293+DD293-DE293-DF293</f>
        <v/>
      </c>
      <c r="DH293" s="8" t="n">
        <v>0</v>
      </c>
      <c r="DI293" s="8" t="n">
        <v>0</v>
      </c>
      <c r="DJ293" s="8" t="n">
        <v>0</v>
      </c>
      <c r="DK293" s="8" t="n">
        <v>0</v>
      </c>
      <c r="DL293" s="9">
        <f>DH293+DI293-DJ293-DK293</f>
        <v/>
      </c>
      <c r="DM293" s="8" t="n">
        <v>24</v>
      </c>
      <c r="DN293" s="8" t="n">
        <v>0</v>
      </c>
      <c r="DO293" s="8" t="n">
        <v>14</v>
      </c>
      <c r="DP293" s="8" t="n">
        <v>0</v>
      </c>
      <c r="DQ293" s="9">
        <f>DM293+DN293-DO293-DP293</f>
        <v/>
      </c>
      <c r="DR293" s="9">
        <f>CX293+DC293+DH293+DM293</f>
        <v/>
      </c>
      <c r="DS293" s="9">
        <f>CY293+DD293+DI293+DN293</f>
        <v/>
      </c>
      <c r="DT293" s="9">
        <f>CZ293+DE293+DJ293+DO293</f>
        <v/>
      </c>
      <c r="DU293" s="9">
        <f>DA293+DF293+DK293+DP293</f>
        <v/>
      </c>
      <c r="DV293" s="9">
        <f>DB293+DG293+DL293+DQ293</f>
        <v/>
      </c>
      <c r="DW293" s="8" t="n">
        <v>18</v>
      </c>
      <c r="DX293" s="8" t="n">
        <v>7</v>
      </c>
      <c r="DY293" s="8" t="n">
        <v>9</v>
      </c>
      <c r="DZ293" s="8" t="n">
        <v>0</v>
      </c>
      <c r="EA293" s="8" t="n">
        <v>2</v>
      </c>
      <c r="EB293" s="8" t="n">
        <v>5</v>
      </c>
      <c r="EC293" s="8" t="n">
        <v>1</v>
      </c>
      <c r="ED293" s="8" t="n">
        <v>1</v>
      </c>
      <c r="EE293" s="8" t="n">
        <v>0</v>
      </c>
      <c r="EF293" s="8" t="n">
        <v>0</v>
      </c>
      <c r="EG293" s="8" t="n">
        <v>1</v>
      </c>
      <c r="EH293" s="8" t="n">
        <v>0</v>
      </c>
      <c r="EI293" s="8" t="n">
        <v>0</v>
      </c>
      <c r="EJ293" s="8" t="n">
        <v>2</v>
      </c>
      <c r="EK293" s="8" t="n">
        <v>1</v>
      </c>
      <c r="EL293" s="8" t="n">
        <v>0</v>
      </c>
      <c r="EM293" s="8" t="n">
        <v>0</v>
      </c>
      <c r="EN293" s="8" t="n">
        <v>0</v>
      </c>
      <c r="EO293" s="8" t="n">
        <v>0</v>
      </c>
      <c r="EP293" s="8" t="n">
        <v>0</v>
      </c>
      <c r="EQ293" s="8" t="n">
        <v>0</v>
      </c>
      <c r="ER293" s="8" t="n">
        <v>0</v>
      </c>
      <c r="ES293" s="8" t="n">
        <v>0</v>
      </c>
      <c r="ET293" s="8" t="n">
        <v>0</v>
      </c>
      <c r="EU293" s="8" t="n">
        <v>0</v>
      </c>
      <c r="EV293" s="8" t="n">
        <v>0</v>
      </c>
      <c r="EW293" s="8" t="n">
        <v>0</v>
      </c>
      <c r="EX293" s="8" t="n">
        <v>0</v>
      </c>
      <c r="EY293" s="8" t="n">
        <v>0</v>
      </c>
      <c r="EZ293" s="8" t="n">
        <v>0</v>
      </c>
      <c r="FA293" s="8" t="n">
        <v>0</v>
      </c>
      <c r="FB293" s="8" t="n">
        <v>0</v>
      </c>
      <c r="FC293" s="8" t="n">
        <v>0</v>
      </c>
      <c r="FD293" s="8" t="n">
        <v>0</v>
      </c>
      <c r="FE293" s="8" t="n">
        <v>0</v>
      </c>
      <c r="FF293" s="8" t="n">
        <v>0</v>
      </c>
      <c r="FG293" s="9">
        <f>SUM(DW293,DX293,DY293,DZ293,EA293,EB293,EC293,ED293,EE293,EF293,EG293,EH293,EI293,EJ293,EK293,EL293,EM293,EN293,EO293,EP293,EQ293,ER293,ES293,ET293,EU293,EV293,EW293,EX293,EY293,EZ293,FA293,FB293,FC293,FD293,FE293,FF293)</f>
        <v/>
      </c>
      <c r="FH293" s="8" t="n">
        <v>0</v>
      </c>
      <c r="FI293" s="8" t="n">
        <v>0</v>
      </c>
      <c r="FJ293" s="8" t="n">
        <v>22</v>
      </c>
      <c r="FK293" s="8" t="n">
        <v>29</v>
      </c>
      <c r="FL293" s="8" t="n">
        <v>0</v>
      </c>
      <c r="FM293" s="8" t="n">
        <v>0</v>
      </c>
      <c r="FN293" s="8" t="n">
        <v>0</v>
      </c>
      <c r="FO293" s="8" t="n">
        <v>0</v>
      </c>
      <c r="FP293" s="8" t="n">
        <v>0</v>
      </c>
      <c r="FQ293" s="9">
        <f>FL293+FM293+FN293+FO293+FP293</f>
        <v/>
      </c>
      <c r="FR293" s="8" t="n">
        <v>9403880.489999998</v>
      </c>
      <c r="FS293" s="8" t="n">
        <v>40000</v>
      </c>
      <c r="FT293" s="8" t="n">
        <v>0</v>
      </c>
      <c r="FU293" s="8" t="n">
        <v>13000</v>
      </c>
      <c r="FV293" s="9">
        <f>FR293+FS293+FT293+FU293</f>
        <v/>
      </c>
      <c r="FW293" s="8" t="n">
        <v>32095778</v>
      </c>
      <c r="FX293" s="8" t="n">
        <v>20900</v>
      </c>
      <c r="FY293" s="8" t="n">
        <v>6549500</v>
      </c>
      <c r="FZ293" s="8" t="n">
        <v>8394700</v>
      </c>
      <c r="GA293" s="9">
        <f>FW293+FX293+FY293+FZ293</f>
        <v/>
      </c>
      <c r="GB293" s="9">
        <f>FV293+GA293</f>
        <v/>
      </c>
      <c r="GC293" s="8" t="n">
        <v>6197359.2</v>
      </c>
      <c r="GD293" s="8" t="n">
        <v>12624.48</v>
      </c>
      <c r="GE293" s="8" t="n">
        <v>71606.38</v>
      </c>
      <c r="GF293" s="8" t="n">
        <v>16821.98</v>
      </c>
      <c r="GG293" s="9">
        <f>GC293+GD293+GE293+GF293</f>
        <v/>
      </c>
      <c r="GH293" s="8" t="n">
        <v>29473264.61</v>
      </c>
      <c r="GI293" s="8" t="n">
        <v>20900</v>
      </c>
      <c r="GJ293" s="8" t="n">
        <v>7164700</v>
      </c>
      <c r="GK293" s="8" t="n">
        <v>6507960.58</v>
      </c>
      <c r="GL293" s="9">
        <f>GH293+GI293+GJ293+GK293</f>
        <v/>
      </c>
      <c r="GM293" s="9">
        <f>GG293+GL293</f>
        <v/>
      </c>
      <c r="GN293" s="8" t="n">
        <v>466198</v>
      </c>
      <c r="GO293" s="8" t="n">
        <v>382.56</v>
      </c>
      <c r="GP293" s="8" t="n">
        <v>13574.56</v>
      </c>
      <c r="GQ293" s="8" t="n">
        <v>9274.68</v>
      </c>
      <c r="GR293" s="9">
        <f>GN293+GO293+GP293+GQ293</f>
        <v/>
      </c>
      <c r="GS293" s="8" t="n">
        <v>765301</v>
      </c>
      <c r="GT293" s="8" t="n">
        <v>1786</v>
      </c>
      <c r="GU293" s="8" t="n">
        <v>3572</v>
      </c>
      <c r="GV293" s="8" t="n">
        <v>1786</v>
      </c>
      <c r="GW293" s="9">
        <f>GS293+GT293+GU293+GV293</f>
        <v/>
      </c>
      <c r="GX293" s="9">
        <f>GM293+GR293+GW293</f>
        <v/>
      </c>
      <c r="GY293" s="8" t="n">
        <v>91054226.45999983</v>
      </c>
      <c r="GZ293" s="8" t="n">
        <v>0</v>
      </c>
      <c r="HA293" s="9">
        <f>GY293+GZ293</f>
        <v/>
      </c>
      <c r="HB293" s="9">
        <f>IF(GX293=0,"",AU293/GX293)</f>
        <v/>
      </c>
      <c r="HC293" s="10">
        <f>IF((GX293+GY293)=0,"",GB293/(GX293+GY293))</f>
        <v/>
      </c>
      <c r="HD293" s="9">
        <f>IF(GX293=0,"",GB293/GX293)</f>
        <v/>
      </c>
      <c r="HE293" s="8" t="n">
        <v>16</v>
      </c>
      <c r="HF293" s="8" t="n">
        <v>2</v>
      </c>
      <c r="HG293" s="8" t="n">
        <v>61</v>
      </c>
      <c r="HH293" s="8" t="n">
        <v>16</v>
      </c>
      <c r="HI293" s="8" t="n">
        <v>5</v>
      </c>
      <c r="HJ293" s="9">
        <f>HF293+HI293</f>
        <v/>
      </c>
      <c r="HK293" s="10">
        <f>IF(HE293=0,"",HH293/HE293)</f>
        <v/>
      </c>
      <c r="HL293" s="8" t="n">
        <v>12</v>
      </c>
      <c r="HM293" s="8" t="n">
        <v>6</v>
      </c>
      <c r="HN293" s="11">
        <f>IF(HL293=0,"",HM293/HL293)</f>
        <v/>
      </c>
    </row>
    <row r="294">
      <c r="A294" s="12" t="inlineStr">
        <is>
          <t>Zomba</t>
        </is>
      </c>
      <c r="B294" s="12" t="inlineStr">
        <is>
          <t>Domasi</t>
        </is>
      </c>
      <c r="C294" s="13" t="inlineStr">
        <is>
          <t>FY2025/26</t>
        </is>
      </c>
      <c r="D294" s="13" t="n">
        <v>2025</v>
      </c>
      <c r="E294" s="13" t="n">
        <v>7</v>
      </c>
      <c r="F294" s="13" t="inlineStr">
        <is>
          <t>July</t>
        </is>
      </c>
      <c r="G294" s="13" t="inlineStr">
        <is>
          <t>Q2</t>
        </is>
      </c>
      <c r="H294" s="14" t="n">
        <v>28006</v>
      </c>
      <c r="I294" s="14" t="n">
        <v>8084</v>
      </c>
      <c r="J294" s="14" t="n">
        <v>37</v>
      </c>
      <c r="K294" s="14" t="n">
        <v>60</v>
      </c>
      <c r="L294" s="14" t="n">
        <v>8</v>
      </c>
      <c r="M294" s="15">
        <f>SUM(I294,J294,K294,L294)</f>
        <v/>
      </c>
      <c r="N294" s="14" t="n">
        <v>4105.5</v>
      </c>
      <c r="O294" s="14" t="n">
        <v>93.7</v>
      </c>
      <c r="P294" s="14" t="n">
        <v>8290.299999999999</v>
      </c>
      <c r="Q294" s="14" t="n">
        <v>250.6</v>
      </c>
      <c r="R294" s="15">
        <f>SUM(N294,O294,P294,Q294)</f>
        <v/>
      </c>
      <c r="S294" s="15">
        <f>M294+R294</f>
        <v/>
      </c>
      <c r="T294" s="14" t="n">
        <v>7076.89999999999</v>
      </c>
      <c r="U294" s="16">
        <f>IF(H294=0,"",T294/H294)</f>
        <v/>
      </c>
      <c r="V294" s="14" t="n">
        <v>52</v>
      </c>
      <c r="W294" s="17">
        <f>IF(H294=0,"",V294/H294)</f>
        <v/>
      </c>
      <c r="X294" s="14" t="n">
        <v>0</v>
      </c>
      <c r="Y294" s="17">
        <f>IF(H294=0,"",X294/H294)</f>
        <v/>
      </c>
      <c r="Z294" s="14" t="n">
        <v>0</v>
      </c>
      <c r="AA294" s="17">
        <f>IF(H294=0,"",Z294/H294)</f>
        <v/>
      </c>
      <c r="AB294" s="14" t="n">
        <v>0</v>
      </c>
      <c r="AC294" s="17">
        <f>IF(H294=0,"",AB294/H294)</f>
        <v/>
      </c>
      <c r="AD294" s="14" t="n">
        <v>0</v>
      </c>
      <c r="AE294" s="17">
        <f>IF(H294=0,"",AD294/H294)</f>
        <v/>
      </c>
      <c r="AF294" s="14" t="n">
        <v>0</v>
      </c>
      <c r="AG294" s="17">
        <f>IF(H294=0,"",AF294/H294)</f>
        <v/>
      </c>
      <c r="AH294" s="14" t="n">
        <v>1352000</v>
      </c>
      <c r="AI294" s="15">
        <f>IF(H294=0,"",AH294/H294)</f>
        <v/>
      </c>
      <c r="AJ294" s="14" t="n">
        <v>91.66</v>
      </c>
      <c r="AK294" s="17">
        <f>IF(H294=0,"",AJ294/H294)</f>
        <v/>
      </c>
      <c r="AL294" s="14" t="n">
        <v>56657.95294</v>
      </c>
      <c r="AM294" s="15">
        <f>IF(H294=0,"",AL294/H294)</f>
        <v/>
      </c>
      <c r="AN294" s="14" t="n">
        <v>0</v>
      </c>
      <c r="AO294" s="14" t="n">
        <v>0</v>
      </c>
      <c r="AP294" s="14" t="n">
        <v>0</v>
      </c>
      <c r="AQ294" s="14" t="n">
        <v>0</v>
      </c>
      <c r="AR294" s="14" t="n">
        <v>0</v>
      </c>
      <c r="AS294" s="14" t="n">
        <v>0</v>
      </c>
      <c r="AT294" s="14" t="n">
        <v>0</v>
      </c>
      <c r="AU294" s="15">
        <f>AH294+AL294+AP294+AQ294+AR294+AS294+AT294</f>
        <v/>
      </c>
      <c r="AV294" s="15">
        <f>IF(H294=0,"",AU294/H294)</f>
        <v/>
      </c>
      <c r="AW294" s="15">
        <f>IF(S294=0,"",AU294/S294)</f>
        <v/>
      </c>
      <c r="AX294" s="14" t="n">
        <v>7</v>
      </c>
      <c r="AY294" s="15">
        <f>IF(H294=0,"",AX294/(H294/1000/12))</f>
        <v/>
      </c>
      <c r="AZ294" s="14" t="n">
        <v>17</v>
      </c>
      <c r="BA294" s="14" t="n">
        <v>55</v>
      </c>
      <c r="BB294" s="14" t="n">
        <v>19</v>
      </c>
      <c r="BC294" s="14" t="n">
        <v>17</v>
      </c>
      <c r="BD294" s="14" t="n">
        <v>0</v>
      </c>
      <c r="BE294" s="15">
        <f>BC294+BD294</f>
        <v/>
      </c>
      <c r="BF294" s="15">
        <f>BA294+BB294-BE294</f>
        <v/>
      </c>
      <c r="BG294" s="14" t="n">
        <v>2</v>
      </c>
      <c r="BH294" s="14" t="n">
        <v>0</v>
      </c>
      <c r="BI294" s="14" t="n">
        <v>0</v>
      </c>
      <c r="BJ294" s="14" t="n">
        <v>0</v>
      </c>
      <c r="BK294" s="15">
        <f>BI294+BJ294</f>
        <v/>
      </c>
      <c r="BL294" s="15">
        <f>BG294+BH294-BK294</f>
        <v/>
      </c>
      <c r="BM294" s="14" t="n">
        <v>4</v>
      </c>
      <c r="BN294" s="14" t="n">
        <v>0</v>
      </c>
      <c r="BO294" s="14" t="n">
        <v>0</v>
      </c>
      <c r="BP294" s="14" t="n">
        <v>0</v>
      </c>
      <c r="BQ294" s="15">
        <f>BO294+BP294</f>
        <v/>
      </c>
      <c r="BR294" s="15">
        <f>BM294+BN294-BQ294</f>
        <v/>
      </c>
      <c r="BS294" s="14" t="n">
        <v>0</v>
      </c>
      <c r="BT294" s="14" t="n">
        <v>0</v>
      </c>
      <c r="BU294" s="14" t="n">
        <v>0</v>
      </c>
      <c r="BV294" s="14" t="n">
        <v>0</v>
      </c>
      <c r="BW294" s="15">
        <f>BU294+BV294</f>
        <v/>
      </c>
      <c r="BX294" s="15">
        <f>BS294+BT294-BW294</f>
        <v/>
      </c>
      <c r="BY294" s="15">
        <f>BA294+BG294+BM294+BS294</f>
        <v/>
      </c>
      <c r="BZ294" s="15">
        <f>BB294+BH294+BN294+BT294</f>
        <v/>
      </c>
      <c r="CA294" s="15">
        <f>BE294+BK294+BQ294+BW294</f>
        <v/>
      </c>
      <c r="CB294" s="15">
        <f>BF294+BL294+BR294+BX294</f>
        <v/>
      </c>
      <c r="CC294" s="14" t="n">
        <v>0</v>
      </c>
      <c r="CD294" s="14" t="n">
        <v>721</v>
      </c>
      <c r="CE294" s="14" t="n">
        <v>8</v>
      </c>
      <c r="CF294" s="14" t="n">
        <v>7</v>
      </c>
      <c r="CG294" s="14" t="n">
        <v>3</v>
      </c>
      <c r="CH294" s="15">
        <f>CD294+CE294+CF294+CG294</f>
        <v/>
      </c>
      <c r="CI294" s="14" t="n">
        <v>883</v>
      </c>
      <c r="CJ294" s="14" t="n">
        <v>4</v>
      </c>
      <c r="CK294" s="14" t="n">
        <v>2</v>
      </c>
      <c r="CL294" s="14" t="n">
        <v>2</v>
      </c>
      <c r="CM294" s="15">
        <f>CI294+CJ294+CK294+CL294</f>
        <v/>
      </c>
      <c r="CN294" s="14" t="n">
        <v>399</v>
      </c>
      <c r="CO294" s="14" t="n">
        <v>30</v>
      </c>
      <c r="CP294" s="14" t="n">
        <v>27</v>
      </c>
      <c r="CQ294" s="14" t="n">
        <v>2</v>
      </c>
      <c r="CR294" s="15">
        <f>CN294+CO294+CP294+CQ294</f>
        <v/>
      </c>
      <c r="CS294" s="15">
        <f>CM294+CR294</f>
        <v/>
      </c>
      <c r="CT294" s="14" t="n">
        <v>2088</v>
      </c>
      <c r="CU294" s="14" t="n">
        <v>10655</v>
      </c>
      <c r="CV294" s="14" t="n">
        <v>10631.7</v>
      </c>
      <c r="CW294" s="16">
        <f>IF(CU294=0,"",CV294/CU294)</f>
        <v/>
      </c>
      <c r="CX294" s="14" t="n">
        <v>0</v>
      </c>
      <c r="CY294" s="14" t="n">
        <v>2</v>
      </c>
      <c r="CZ294" s="14" t="n">
        <v>2</v>
      </c>
      <c r="DA294" s="14" t="n">
        <v>0</v>
      </c>
      <c r="DB294" s="15">
        <f>CX294+CY294-CZ294-DA294</f>
        <v/>
      </c>
      <c r="DC294" s="14" t="n">
        <v>0</v>
      </c>
      <c r="DD294" s="14" t="n">
        <v>1</v>
      </c>
      <c r="DE294" s="14" t="n">
        <v>1</v>
      </c>
      <c r="DF294" s="14" t="n">
        <v>0</v>
      </c>
      <c r="DG294" s="15">
        <f>DC294+DD294-DE294-DF294</f>
        <v/>
      </c>
      <c r="DH294" s="14" t="n">
        <v>0</v>
      </c>
      <c r="DI294" s="14" t="n">
        <v>0</v>
      </c>
      <c r="DJ294" s="14" t="n">
        <v>0</v>
      </c>
      <c r="DK294" s="14" t="n">
        <v>0</v>
      </c>
      <c r="DL294" s="15">
        <f>DH294+DI294-DJ294-DK294</f>
        <v/>
      </c>
      <c r="DM294" s="14" t="n">
        <v>10</v>
      </c>
      <c r="DN294" s="14" t="n">
        <v>17</v>
      </c>
      <c r="DO294" s="14" t="n">
        <v>7</v>
      </c>
      <c r="DP294" s="14" t="n">
        <v>0</v>
      </c>
      <c r="DQ294" s="15">
        <f>DM294+DN294-DO294-DP294</f>
        <v/>
      </c>
      <c r="DR294" s="15">
        <f>CX294+DC294+DH294+DM294</f>
        <v/>
      </c>
      <c r="DS294" s="15">
        <f>CY294+DD294+DI294+DN294</f>
        <v/>
      </c>
      <c r="DT294" s="15">
        <f>CZ294+DE294+DJ294+DO294</f>
        <v/>
      </c>
      <c r="DU294" s="15">
        <f>DA294+DF294+DK294+DP294</f>
        <v/>
      </c>
      <c r="DV294" s="15">
        <f>DB294+DG294+DL294+DQ294</f>
        <v/>
      </c>
      <c r="DW294" s="14" t="n">
        <v>14</v>
      </c>
      <c r="DX294" s="14" t="n">
        <v>6</v>
      </c>
      <c r="DY294" s="14" t="n">
        <v>7</v>
      </c>
      <c r="DZ294" s="14" t="n">
        <v>2</v>
      </c>
      <c r="EA294" s="14" t="n">
        <v>3</v>
      </c>
      <c r="EB294" s="14" t="n">
        <v>3</v>
      </c>
      <c r="EC294" s="14" t="n">
        <v>0</v>
      </c>
      <c r="ED294" s="14" t="n">
        <v>2</v>
      </c>
      <c r="EE294" s="14" t="n">
        <v>0</v>
      </c>
      <c r="EF294" s="14" t="n">
        <v>0</v>
      </c>
      <c r="EG294" s="14" t="n">
        <v>0</v>
      </c>
      <c r="EH294" s="14" t="n">
        <v>0</v>
      </c>
      <c r="EI294" s="14" t="n">
        <v>0</v>
      </c>
      <c r="EJ294" s="14" t="n">
        <v>3</v>
      </c>
      <c r="EK294" s="14" t="n">
        <v>1</v>
      </c>
      <c r="EL294" s="14" t="n">
        <v>1</v>
      </c>
      <c r="EM294" s="14" t="n">
        <v>0</v>
      </c>
      <c r="EN294" s="14" t="n">
        <v>0</v>
      </c>
      <c r="EO294" s="14" t="n">
        <v>0</v>
      </c>
      <c r="EP294" s="14" t="n">
        <v>0</v>
      </c>
      <c r="EQ294" s="14" t="n">
        <v>0</v>
      </c>
      <c r="ER294" s="14" t="n">
        <v>0</v>
      </c>
      <c r="ES294" s="14" t="n">
        <v>0</v>
      </c>
      <c r="ET294" s="14" t="n">
        <v>0</v>
      </c>
      <c r="EU294" s="14" t="n">
        <v>0</v>
      </c>
      <c r="EV294" s="14" t="n">
        <v>0</v>
      </c>
      <c r="EW294" s="14" t="n">
        <v>0</v>
      </c>
      <c r="EX294" s="14" t="n">
        <v>0</v>
      </c>
      <c r="EY294" s="14" t="n">
        <v>0</v>
      </c>
      <c r="EZ294" s="14" t="n">
        <v>0</v>
      </c>
      <c r="FA294" s="14" t="n">
        <v>0</v>
      </c>
      <c r="FB294" s="14" t="n">
        <v>0</v>
      </c>
      <c r="FC294" s="14" t="n">
        <v>0</v>
      </c>
      <c r="FD294" s="14" t="n">
        <v>0</v>
      </c>
      <c r="FE294" s="14" t="n">
        <v>0</v>
      </c>
      <c r="FF294" s="14" t="n">
        <v>0</v>
      </c>
      <c r="FG294" s="15">
        <f>SUM(DW294,DX294,DY294,DZ294,EA294,EB294,EC294,ED294,EE294,EF294,EG294,EH294,EI294,EJ294,EK294,EL294,EM294,EN294,EO294,EP294,EQ294,ER294,ES294,ET294,EU294,EV294,EW294,EX294,EY294,EZ294,FA294,FB294,FC294,FD294,FE294,FF294)</f>
        <v/>
      </c>
      <c r="FH294" s="14" t="n">
        <v>0</v>
      </c>
      <c r="FI294" s="14" t="n">
        <v>0</v>
      </c>
      <c r="FJ294" s="14" t="n">
        <v>22</v>
      </c>
      <c r="FK294" s="14" t="n">
        <v>36</v>
      </c>
      <c r="FL294" s="14" t="n">
        <v>0</v>
      </c>
      <c r="FM294" s="14" t="n">
        <v>0</v>
      </c>
      <c r="FN294" s="14" t="n">
        <v>0</v>
      </c>
      <c r="FO294" s="14" t="n">
        <v>0</v>
      </c>
      <c r="FP294" s="14" t="n">
        <v>0</v>
      </c>
      <c r="FQ294" s="15">
        <f>FL294+FM294+FN294+FO294+FP294</f>
        <v/>
      </c>
      <c r="FR294" s="14" t="n">
        <v>9274568.810000001</v>
      </c>
      <c r="FS294" s="14" t="n">
        <v>0</v>
      </c>
      <c r="FT294" s="14" t="n">
        <v>30000</v>
      </c>
      <c r="FU294" s="14" t="n">
        <v>0</v>
      </c>
      <c r="FV294" s="15">
        <f>FR294+FS294+FT294+FU294</f>
        <v/>
      </c>
      <c r="FW294" s="14" t="n">
        <v>5306407.24</v>
      </c>
      <c r="FX294" s="14" t="n">
        <v>19912.44</v>
      </c>
      <c r="FY294" s="14" t="n">
        <v>1223100</v>
      </c>
      <c r="FZ294" s="14" t="n">
        <v>25197900</v>
      </c>
      <c r="GA294" s="15">
        <f>FW294+FX294+FY294+FZ294</f>
        <v/>
      </c>
      <c r="GB294" s="15">
        <f>FV294+GA294</f>
        <v/>
      </c>
      <c r="GC294" s="14" t="n">
        <v>7224108.09</v>
      </c>
      <c r="GD294" s="14" t="n">
        <v>7077.36</v>
      </c>
      <c r="GE294" s="14" t="n">
        <v>185739.62</v>
      </c>
      <c r="GF294" s="14" t="n">
        <v>16821.98</v>
      </c>
      <c r="GG294" s="15">
        <f>GC294+GD294+GE294+GF294</f>
        <v/>
      </c>
      <c r="GH294" s="14" t="n">
        <v>5123534.98</v>
      </c>
      <c r="GI294" s="14" t="n">
        <v>19912.44</v>
      </c>
      <c r="GJ294" s="14" t="n">
        <v>25197900</v>
      </c>
      <c r="GK294" s="14" t="n">
        <v>1187100</v>
      </c>
      <c r="GL294" s="15">
        <f>GH294+GI294+GJ294+GK294</f>
        <v/>
      </c>
      <c r="GM294" s="15">
        <f>GG294+GL294</f>
        <v/>
      </c>
      <c r="GN294" s="14" t="n">
        <v>480202.33</v>
      </c>
      <c r="GO294" s="14" t="n">
        <v>382.56</v>
      </c>
      <c r="GP294" s="14" t="n">
        <v>13574.56</v>
      </c>
      <c r="GQ294" s="14" t="n">
        <v>9274.68</v>
      </c>
      <c r="GR294" s="15">
        <f>GN294+GO294+GP294+GQ294</f>
        <v/>
      </c>
      <c r="GS294" s="14" t="n">
        <v>788519</v>
      </c>
      <c r="GT294" s="14" t="n">
        <v>1786</v>
      </c>
      <c r="GU294" s="14" t="n">
        <v>3572</v>
      </c>
      <c r="GV294" s="14" t="n">
        <v>1786</v>
      </c>
      <c r="GW294" s="15">
        <f>GS294+GT294+GU294+GV294</f>
        <v/>
      </c>
      <c r="GX294" s="15">
        <f>GM294+GR294+GW294</f>
        <v/>
      </c>
      <c r="GY294" s="14" t="n">
        <v>90302429.99999985</v>
      </c>
      <c r="GZ294" s="14" t="n">
        <v>0</v>
      </c>
      <c r="HA294" s="9">
        <f>GY294+GZ294</f>
        <v/>
      </c>
      <c r="HB294" s="15">
        <f>IF(GX294=0,"",AU294/GX294)</f>
        <v/>
      </c>
      <c r="HC294" s="16">
        <f>IF((GX294+GY294)=0,"",GB294/(GX294+GY294))</f>
        <v/>
      </c>
      <c r="HD294" s="15">
        <f>IF(GX294=0,"",GB294/GX294)</f>
        <v/>
      </c>
      <c r="HE294" s="14" t="n">
        <v>19</v>
      </c>
      <c r="HF294" s="14" t="n">
        <v>2</v>
      </c>
      <c r="HG294" s="14" t="n">
        <v>63</v>
      </c>
      <c r="HH294" s="14" t="n">
        <v>19</v>
      </c>
      <c r="HI294" s="14" t="n">
        <v>5</v>
      </c>
      <c r="HJ294" s="15">
        <f>HF294+HI294</f>
        <v/>
      </c>
      <c r="HK294" s="16">
        <f>IF(HE294=0,"",HH294/HE294)</f>
        <v/>
      </c>
      <c r="HL294" s="14" t="n">
        <v>9</v>
      </c>
      <c r="HM294" s="14" t="n">
        <v>7</v>
      </c>
      <c r="HN294" s="17">
        <f>IF(HL294=0,"",HM294/HL294)</f>
        <v/>
      </c>
    </row>
    <row r="295">
      <c r="A295" s="6" t="inlineStr">
        <is>
          <t>Zomba</t>
        </is>
      </c>
      <c r="B295" s="6" t="inlineStr">
        <is>
          <t>Domasi</t>
        </is>
      </c>
      <c r="C295" s="7" t="inlineStr">
        <is>
          <t>FY2025/26</t>
        </is>
      </c>
      <c r="D295" s="7" t="n">
        <v>2025</v>
      </c>
      <c r="E295" s="7" t="n">
        <v>8</v>
      </c>
      <c r="F295" s="7" t="inlineStr">
        <is>
          <t>August</t>
        </is>
      </c>
      <c r="G295" s="7" t="inlineStr">
        <is>
          <t>Q2</t>
        </is>
      </c>
      <c r="H295" s="8" t="n">
        <v>26538</v>
      </c>
      <c r="I295" s="8" t="n">
        <v>6698</v>
      </c>
      <c r="J295" s="8" t="n">
        <v>14</v>
      </c>
      <c r="K295" s="8" t="n">
        <v>75</v>
      </c>
      <c r="L295" s="8" t="n">
        <v>8</v>
      </c>
      <c r="M295" s="9">
        <f>SUM(I295,J295,K295,L295)</f>
        <v/>
      </c>
      <c r="N295" s="8" t="n">
        <v>5942.60000000003</v>
      </c>
      <c r="O295" s="8" t="n">
        <v>93.2</v>
      </c>
      <c r="P295" s="8" t="n">
        <v>11026.5</v>
      </c>
      <c r="Q295" s="8" t="n">
        <v>403.9</v>
      </c>
      <c r="R295" s="9">
        <f>SUM(N295,O295,P295,Q295)</f>
        <v/>
      </c>
      <c r="S295" s="9">
        <f>M295+R295</f>
        <v/>
      </c>
      <c r="T295" s="8" t="n">
        <v>2276.79999999997</v>
      </c>
      <c r="U295" s="10">
        <f>IF(H295=0,"",T295/H295)</f>
        <v/>
      </c>
      <c r="V295" s="8" t="n">
        <v>50</v>
      </c>
      <c r="W295" s="11">
        <f>IF(H295=0,"",V295/H295)</f>
        <v/>
      </c>
      <c r="X295" s="8" t="n">
        <v>0</v>
      </c>
      <c r="Y295" s="11">
        <f>IF(H295=0,"",X295/H295)</f>
        <v/>
      </c>
      <c r="Z295" s="8" t="n">
        <v>0</v>
      </c>
      <c r="AA295" s="11">
        <f>IF(H295=0,"",Z295/H295)</f>
        <v/>
      </c>
      <c r="AB295" s="8" t="n">
        <v>0</v>
      </c>
      <c r="AC295" s="11">
        <f>IF(H295=0,"",AB295/H295)</f>
        <v/>
      </c>
      <c r="AD295" s="8" t="n">
        <v>0</v>
      </c>
      <c r="AE295" s="11">
        <f>IF(H295=0,"",AD295/H295)</f>
        <v/>
      </c>
      <c r="AF295" s="8" t="n">
        <v>0</v>
      </c>
      <c r="AG295" s="11">
        <f>IF(H295=0,"",AF295/H295)</f>
        <v/>
      </c>
      <c r="AH295" s="8" t="n">
        <v>1300000</v>
      </c>
      <c r="AI295" s="9">
        <f>IF(H295=0,"",AH295/H295)</f>
        <v/>
      </c>
      <c r="AJ295" s="8" t="n">
        <v>96.19</v>
      </c>
      <c r="AK295" s="11">
        <f>IF(H295=0,"",AJ295/H295)</f>
        <v/>
      </c>
      <c r="AL295" s="8" t="n">
        <v>57896.04271</v>
      </c>
      <c r="AM295" s="9">
        <f>IF(H295=0,"",AL295/H295)</f>
        <v/>
      </c>
      <c r="AN295" s="8" t="n">
        <v>0</v>
      </c>
      <c r="AO295" s="8" t="n">
        <v>0</v>
      </c>
      <c r="AP295" s="8" t="n">
        <v>0</v>
      </c>
      <c r="AQ295" s="8" t="n">
        <v>0</v>
      </c>
      <c r="AR295" s="8" t="n">
        <v>0</v>
      </c>
      <c r="AS295" s="8" t="n">
        <v>0</v>
      </c>
      <c r="AT295" s="8" t="n">
        <v>0</v>
      </c>
      <c r="AU295" s="9">
        <f>AH295+AL295+AP295+AQ295+AR295+AS295+AT295</f>
        <v/>
      </c>
      <c r="AV295" s="9">
        <f>IF(H295=0,"",AU295/H295)</f>
        <v/>
      </c>
      <c r="AW295" s="9">
        <f>IF(S295=0,"",AU295/S295)</f>
        <v/>
      </c>
      <c r="AX295" s="8" t="n">
        <v>7</v>
      </c>
      <c r="AY295" s="9">
        <f>IF(H295=0,"",AX295/(H295/1000/12))</f>
        <v/>
      </c>
      <c r="AZ295" s="8" t="n">
        <v>17</v>
      </c>
      <c r="BA295" s="8" t="n">
        <v>57</v>
      </c>
      <c r="BB295" s="8" t="n">
        <v>16</v>
      </c>
      <c r="BC295" s="8" t="n">
        <v>14</v>
      </c>
      <c r="BD295" s="8" t="n">
        <v>0</v>
      </c>
      <c r="BE295" s="9">
        <f>BC295+BD295</f>
        <v/>
      </c>
      <c r="BF295" s="9">
        <f>BA295+BB295-BE295</f>
        <v/>
      </c>
      <c r="BG295" s="8" t="n">
        <v>2</v>
      </c>
      <c r="BH295" s="8" t="n">
        <v>0</v>
      </c>
      <c r="BI295" s="8" t="n">
        <v>0</v>
      </c>
      <c r="BJ295" s="8" t="n">
        <v>0</v>
      </c>
      <c r="BK295" s="9">
        <f>BI295+BJ295</f>
        <v/>
      </c>
      <c r="BL295" s="9">
        <f>BG295+BH295-BK295</f>
        <v/>
      </c>
      <c r="BM295" s="8" t="n">
        <v>4</v>
      </c>
      <c r="BN295" s="8" t="n">
        <v>0</v>
      </c>
      <c r="BO295" s="8" t="n">
        <v>0</v>
      </c>
      <c r="BP295" s="8" t="n">
        <v>0</v>
      </c>
      <c r="BQ295" s="9">
        <f>BO295+BP295</f>
        <v/>
      </c>
      <c r="BR295" s="9">
        <f>BM295+BN295-BQ295</f>
        <v/>
      </c>
      <c r="BS295" s="8" t="n">
        <v>0</v>
      </c>
      <c r="BT295" s="8" t="n">
        <v>0</v>
      </c>
      <c r="BU295" s="8" t="n">
        <v>0</v>
      </c>
      <c r="BV295" s="8" t="n">
        <v>0</v>
      </c>
      <c r="BW295" s="9">
        <f>BU295+BV295</f>
        <v/>
      </c>
      <c r="BX295" s="9">
        <f>BS295+BT295-BW295</f>
        <v/>
      </c>
      <c r="BY295" s="9">
        <f>BA295+BG295+BM295+BS295</f>
        <v/>
      </c>
      <c r="BZ295" s="9">
        <f>BB295+BH295+BN295+BT295</f>
        <v/>
      </c>
      <c r="CA295" s="9">
        <f>BE295+BK295+BQ295+BW295</f>
        <v/>
      </c>
      <c r="CB295" s="9">
        <f>BF295+BL295+BR295+BX295</f>
        <v/>
      </c>
      <c r="CC295" s="8" t="n">
        <v>0</v>
      </c>
      <c r="CD295" s="8" t="n">
        <v>788</v>
      </c>
      <c r="CE295" s="8" t="n">
        <v>8</v>
      </c>
      <c r="CF295" s="8" t="n">
        <v>7</v>
      </c>
      <c r="CG295" s="8" t="n">
        <v>5</v>
      </c>
      <c r="CH295" s="9">
        <f>CD295+CE295+CF295+CG295</f>
        <v/>
      </c>
      <c r="CI295" s="8" t="n">
        <v>831</v>
      </c>
      <c r="CJ295" s="8" t="n">
        <v>4</v>
      </c>
      <c r="CK295" s="8" t="n">
        <v>2</v>
      </c>
      <c r="CL295" s="8" t="n">
        <v>2</v>
      </c>
      <c r="CM295" s="9">
        <f>CI295+CJ295+CK295+CL295</f>
        <v/>
      </c>
      <c r="CN295" s="8" t="n">
        <v>398</v>
      </c>
      <c r="CO295" s="8" t="n">
        <v>30</v>
      </c>
      <c r="CP295" s="8" t="n">
        <v>27</v>
      </c>
      <c r="CQ295" s="8" t="n">
        <v>0</v>
      </c>
      <c r="CR295" s="9">
        <f>CN295+CO295+CP295+CQ295</f>
        <v/>
      </c>
      <c r="CS295" s="9">
        <f>CM295+CR295</f>
        <v/>
      </c>
      <c r="CT295" s="8" t="n">
        <v>2102</v>
      </c>
      <c r="CU295" s="8" t="n">
        <v>10664</v>
      </c>
      <c r="CV295" s="8" t="n">
        <v>10662.1</v>
      </c>
      <c r="CW295" s="10">
        <f>IF(CU295=0,"",CV295/CU295)</f>
        <v/>
      </c>
      <c r="CX295" s="8" t="n">
        <v>0</v>
      </c>
      <c r="CY295" s="8" t="n">
        <v>1</v>
      </c>
      <c r="CZ295" s="8" t="n">
        <v>1</v>
      </c>
      <c r="DA295" s="8" t="n">
        <v>0</v>
      </c>
      <c r="DB295" s="9">
        <f>CX295+CY295-CZ295-DA295</f>
        <v/>
      </c>
      <c r="DC295" s="8" t="n">
        <v>0</v>
      </c>
      <c r="DD295" s="8" t="n">
        <v>0</v>
      </c>
      <c r="DE295" s="8" t="n">
        <v>0</v>
      </c>
      <c r="DF295" s="8" t="n">
        <v>0</v>
      </c>
      <c r="DG295" s="9">
        <f>DC295+DD295-DE295-DF295</f>
        <v/>
      </c>
      <c r="DH295" s="8" t="n">
        <v>0</v>
      </c>
      <c r="DI295" s="8" t="n">
        <v>0</v>
      </c>
      <c r="DJ295" s="8" t="n">
        <v>0</v>
      </c>
      <c r="DK295" s="8" t="n">
        <v>0</v>
      </c>
      <c r="DL295" s="9">
        <f>DH295+DI295-DJ295-DK295</f>
        <v/>
      </c>
      <c r="DM295" s="8" t="n">
        <v>20</v>
      </c>
      <c r="DN295" s="8" t="n">
        <v>14</v>
      </c>
      <c r="DO295" s="8" t="n">
        <v>11</v>
      </c>
      <c r="DP295" s="8" t="n">
        <v>0</v>
      </c>
      <c r="DQ295" s="9">
        <f>DM295+DN295-DO295-DP295</f>
        <v/>
      </c>
      <c r="DR295" s="9">
        <f>CX295+DC295+DH295+DM295</f>
        <v/>
      </c>
      <c r="DS295" s="9">
        <f>CY295+DD295+DI295+DN295</f>
        <v/>
      </c>
      <c r="DT295" s="9">
        <f>CZ295+DE295+DJ295+DO295</f>
        <v/>
      </c>
      <c r="DU295" s="9">
        <f>DA295+DF295+DK295+DP295</f>
        <v/>
      </c>
      <c r="DV295" s="9">
        <f>DB295+DG295+DL295+DQ295</f>
        <v/>
      </c>
      <c r="DW295" s="8" t="n">
        <v>11</v>
      </c>
      <c r="DX295" s="8" t="n">
        <v>6</v>
      </c>
      <c r="DY295" s="8" t="n">
        <v>5</v>
      </c>
      <c r="DZ295" s="8" t="n">
        <v>3</v>
      </c>
      <c r="EA295" s="8" t="n">
        <v>2</v>
      </c>
      <c r="EB295" s="8" t="n">
        <v>5</v>
      </c>
      <c r="EC295" s="8" t="n">
        <v>3</v>
      </c>
      <c r="ED295" s="8" t="n">
        <v>2</v>
      </c>
      <c r="EE295" s="8" t="n">
        <v>0</v>
      </c>
      <c r="EF295" s="8" t="n">
        <v>0</v>
      </c>
      <c r="EG295" s="8" t="n">
        <v>2</v>
      </c>
      <c r="EH295" s="8" t="n">
        <v>0</v>
      </c>
      <c r="EI295" s="8" t="n">
        <v>0</v>
      </c>
      <c r="EJ295" s="8" t="n">
        <v>4</v>
      </c>
      <c r="EK295" s="8" t="n">
        <v>0</v>
      </c>
      <c r="EL295" s="8" t="n">
        <v>1</v>
      </c>
      <c r="EM295" s="8" t="n">
        <v>0</v>
      </c>
      <c r="EN295" s="8" t="n">
        <v>0</v>
      </c>
      <c r="EO295" s="8" t="n">
        <v>2</v>
      </c>
      <c r="EP295" s="8" t="n">
        <v>0</v>
      </c>
      <c r="EQ295" s="8" t="n">
        <v>0</v>
      </c>
      <c r="ER295" s="8" t="n">
        <v>0</v>
      </c>
      <c r="ES295" s="8" t="n">
        <v>0</v>
      </c>
      <c r="ET295" s="8" t="n">
        <v>0</v>
      </c>
      <c r="EU295" s="8" t="n">
        <v>0</v>
      </c>
      <c r="EV295" s="8" t="n">
        <v>0</v>
      </c>
      <c r="EW295" s="8" t="n">
        <v>0</v>
      </c>
      <c r="EX295" s="8" t="n">
        <v>0</v>
      </c>
      <c r="EY295" s="8" t="n">
        <v>0</v>
      </c>
      <c r="EZ295" s="8" t="n">
        <v>0</v>
      </c>
      <c r="FA295" s="8" t="n">
        <v>0</v>
      </c>
      <c r="FB295" s="8" t="n">
        <v>0</v>
      </c>
      <c r="FC295" s="8" t="n">
        <v>0</v>
      </c>
      <c r="FD295" s="8" t="n">
        <v>0</v>
      </c>
      <c r="FE295" s="8" t="n">
        <v>0</v>
      </c>
      <c r="FF295" s="8" t="n">
        <v>0</v>
      </c>
      <c r="FG295" s="9">
        <f>SUM(DW295,DX295,DY295,DZ295,EA295,EB295,EC295,ED295,EE295,EF295,EG295,EH295,EI295,EJ295,EK295,EL295,EM295,EN295,EO295,EP295,EQ295,ER295,ES295,ET295,EU295,EV295,EW295,EX295,EY295,EZ295,FA295,FB295,FC295,FD295,FE295,FF295)</f>
        <v/>
      </c>
      <c r="FH295" s="8" t="n">
        <v>0</v>
      </c>
      <c r="FI295" s="8" t="n">
        <v>0</v>
      </c>
      <c r="FJ295" s="8" t="n">
        <v>22</v>
      </c>
      <c r="FK295" s="8" t="n">
        <v>46</v>
      </c>
      <c r="FL295" s="8" t="n">
        <v>0</v>
      </c>
      <c r="FM295" s="8" t="n">
        <v>0</v>
      </c>
      <c r="FN295" s="8" t="n">
        <v>0</v>
      </c>
      <c r="FO295" s="8" t="n">
        <v>0</v>
      </c>
      <c r="FP295" s="8" t="n">
        <v>0</v>
      </c>
      <c r="FQ295" s="9">
        <f>FL295+FM295+FN295+FO295+FP295</f>
        <v/>
      </c>
      <c r="FR295" s="8" t="n">
        <v>8558665.210000001</v>
      </c>
      <c r="FS295" s="8" t="n">
        <v>0</v>
      </c>
      <c r="FT295" s="8" t="n">
        <v>18500</v>
      </c>
      <c r="FU295" s="8" t="n">
        <v>24000</v>
      </c>
      <c r="FV295" s="9">
        <f>FR295+FS295+FT295+FU295</f>
        <v/>
      </c>
      <c r="FW295" s="8" t="n">
        <v>7635838.59</v>
      </c>
      <c r="FX295" s="8" t="n">
        <v>19800</v>
      </c>
      <c r="FY295" s="8" t="n">
        <v>1959200</v>
      </c>
      <c r="FZ295" s="8" t="n">
        <v>33513600</v>
      </c>
      <c r="GA295" s="9">
        <f>FW295+FX295+FY295+FZ295</f>
        <v/>
      </c>
      <c r="GB295" s="9">
        <f>FV295+GA295</f>
        <v/>
      </c>
      <c r="GC295" s="8" t="n">
        <v>5932095.6</v>
      </c>
      <c r="GD295" s="8" t="n">
        <v>2677.92</v>
      </c>
      <c r="GE295" s="8" t="n">
        <v>228320.8</v>
      </c>
      <c r="GF295" s="8" t="n">
        <v>16821.98</v>
      </c>
      <c r="GG295" s="9">
        <f>GC295+GD295+GE295+GF295</f>
        <v/>
      </c>
      <c r="GH295" s="8" t="n">
        <v>7415141.31</v>
      </c>
      <c r="GI295" s="8" t="n">
        <v>19800</v>
      </c>
      <c r="GJ295" s="8" t="n">
        <v>33513600</v>
      </c>
      <c r="GK295" s="8" t="n">
        <v>1911200</v>
      </c>
      <c r="GL295" s="9">
        <f>GH295+GI295+GJ295+GK295</f>
        <v/>
      </c>
      <c r="GM295" s="9">
        <f>GG295+GL295</f>
        <v/>
      </c>
      <c r="GN295" s="8" t="n">
        <v>451233.22</v>
      </c>
      <c r="GO295" s="8" t="n">
        <v>382.56</v>
      </c>
      <c r="GP295" s="8" t="n">
        <v>13574.56</v>
      </c>
      <c r="GQ295" s="8" t="n">
        <v>9274.68</v>
      </c>
      <c r="GR295" s="9">
        <f>GN295+GO295+GP295+GQ295</f>
        <v/>
      </c>
      <c r="GS295" s="8" t="n">
        <v>742083</v>
      </c>
      <c r="GT295" s="8" t="n">
        <v>1786</v>
      </c>
      <c r="GU295" s="8" t="n">
        <v>3572</v>
      </c>
      <c r="GV295" s="8" t="n">
        <v>1786</v>
      </c>
      <c r="GW295" s="9">
        <f>GS295+GT295+GU295+GV295</f>
        <v/>
      </c>
      <c r="GX295" s="9">
        <f>GM295+GR295+GW295</f>
        <v/>
      </c>
      <c r="GY295" s="8" t="n">
        <v>89104873.10999995</v>
      </c>
      <c r="GZ295" s="8" t="n">
        <v>0</v>
      </c>
      <c r="HA295" s="9">
        <f>GY295+GZ295</f>
        <v/>
      </c>
      <c r="HB295" s="9">
        <f>IF(GX295=0,"",AU295/GX295)</f>
        <v/>
      </c>
      <c r="HC295" s="10">
        <f>IF((GX295+GY295)=0,"",GB295/(GX295+GY295))</f>
        <v/>
      </c>
      <c r="HD295" s="9">
        <f>IF(GX295=0,"",GB295/GX295)</f>
        <v/>
      </c>
      <c r="HE295" s="8" t="n">
        <v>19</v>
      </c>
      <c r="HF295" s="8" t="n">
        <v>2</v>
      </c>
      <c r="HG295" s="8" t="n">
        <v>65</v>
      </c>
      <c r="HH295" s="8" t="n">
        <v>16</v>
      </c>
      <c r="HI295" s="8" t="n">
        <v>6</v>
      </c>
      <c r="HJ295" s="9">
        <f>HF295+HI295</f>
        <v/>
      </c>
      <c r="HK295" s="10">
        <f>IF(HE295=0,"",HH295/HE295)</f>
        <v/>
      </c>
      <c r="HL295" s="8" t="n">
        <v>11</v>
      </c>
      <c r="HM295" s="8" t="n">
        <v>7</v>
      </c>
      <c r="HN295" s="11">
        <f>IF(HL295=0,"",HM295/HL295)</f>
        <v/>
      </c>
    </row>
    <row r="296">
      <c r="A296" s="12" t="inlineStr">
        <is>
          <t>Zomba</t>
        </is>
      </c>
      <c r="B296" s="12" t="inlineStr">
        <is>
          <t>Domasi</t>
        </is>
      </c>
      <c r="C296" s="13" t="inlineStr">
        <is>
          <t>FY2025/26</t>
        </is>
      </c>
      <c r="D296" s="13" t="n">
        <v>2025</v>
      </c>
      <c r="E296" s="13" t="n">
        <v>9</v>
      </c>
      <c r="F296" s="13" t="inlineStr">
        <is>
          <t>September</t>
        </is>
      </c>
      <c r="G296" s="13" t="inlineStr">
        <is>
          <t>Q2</t>
        </is>
      </c>
      <c r="H296" s="14" t="n">
        <v>34630</v>
      </c>
      <c r="I296" s="14" t="n">
        <v>8145</v>
      </c>
      <c r="J296" s="14" t="n">
        <v>45</v>
      </c>
      <c r="K296" s="14" t="n">
        <v>79</v>
      </c>
      <c r="L296" s="14" t="n">
        <v>332</v>
      </c>
      <c r="M296" s="15">
        <f>SUM(I296,J296,K296,L296)</f>
        <v/>
      </c>
      <c r="N296" s="14" t="n">
        <v>7737.90000000004</v>
      </c>
      <c r="O296" s="14" t="n">
        <v>116.2</v>
      </c>
      <c r="P296" s="14" t="n">
        <v>13420.6</v>
      </c>
      <c r="Q296" s="14" t="n">
        <v>2711.4</v>
      </c>
      <c r="R296" s="15">
        <f>SUM(N296,O296,P296,Q296)</f>
        <v/>
      </c>
      <c r="S296" s="15">
        <f>M296+R296</f>
        <v/>
      </c>
      <c r="T296" s="14" t="n">
        <v>2042.89999999996</v>
      </c>
      <c r="U296" s="16">
        <f>IF(H296=0,"",T296/H296)</f>
        <v/>
      </c>
      <c r="V296" s="14" t="n">
        <v>62</v>
      </c>
      <c r="W296" s="17">
        <f>IF(H296=0,"",V296/H296)</f>
        <v/>
      </c>
      <c r="X296" s="14" t="n">
        <v>0</v>
      </c>
      <c r="Y296" s="17">
        <f>IF(H296=0,"",X296/H296)</f>
        <v/>
      </c>
      <c r="Z296" s="14" t="n">
        <v>0</v>
      </c>
      <c r="AA296" s="17">
        <f>IF(H296=0,"",Z296/H296)</f>
        <v/>
      </c>
      <c r="AB296" s="14" t="n">
        <v>0</v>
      </c>
      <c r="AC296" s="17">
        <f>IF(H296=0,"",AB296/H296)</f>
        <v/>
      </c>
      <c r="AD296" s="14" t="n">
        <v>0</v>
      </c>
      <c r="AE296" s="17">
        <f>IF(H296=0,"",AD296/H296)</f>
        <v/>
      </c>
      <c r="AF296" s="14" t="n">
        <v>0</v>
      </c>
      <c r="AG296" s="17">
        <f>IF(H296=0,"",AF296/H296)</f>
        <v/>
      </c>
      <c r="AH296" s="14" t="n">
        <v>1612000</v>
      </c>
      <c r="AI296" s="15">
        <f>IF(H296=0,"",AH296/H296)</f>
        <v/>
      </c>
      <c r="AJ296" s="14" t="n">
        <v>99.01000000000001</v>
      </c>
      <c r="AK296" s="17">
        <f>IF(H296=0,"",AJ296/H296)</f>
        <v/>
      </c>
      <c r="AL296" s="14" t="n">
        <v>58666.77409</v>
      </c>
      <c r="AM296" s="15">
        <f>IF(H296=0,"",AL296/H296)</f>
        <v/>
      </c>
      <c r="AN296" s="14" t="n">
        <v>0</v>
      </c>
      <c r="AO296" s="14" t="n">
        <v>0</v>
      </c>
      <c r="AP296" s="14" t="n">
        <v>0</v>
      </c>
      <c r="AQ296" s="14" t="n">
        <v>0</v>
      </c>
      <c r="AR296" s="14" t="n">
        <v>0</v>
      </c>
      <c r="AS296" s="14" t="n">
        <v>0</v>
      </c>
      <c r="AT296" s="14" t="n">
        <v>0</v>
      </c>
      <c r="AU296" s="15">
        <f>AH296+AL296+AP296+AQ296+AR296+AS296+AT296</f>
        <v/>
      </c>
      <c r="AV296" s="15">
        <f>IF(H296=0,"",AU296/H296)</f>
        <v/>
      </c>
      <c r="AW296" s="15">
        <f>IF(S296=0,"",AU296/S296)</f>
        <v/>
      </c>
      <c r="AX296" s="14" t="n">
        <v>7</v>
      </c>
      <c r="AY296" s="15">
        <f>IF(H296=0,"",AX296/(H296/1000/12))</f>
        <v/>
      </c>
      <c r="AZ296" s="14" t="n">
        <v>17</v>
      </c>
      <c r="BA296" s="14" t="n">
        <v>59</v>
      </c>
      <c r="BB296" s="14" t="n">
        <v>19</v>
      </c>
      <c r="BC296" s="14" t="n">
        <v>20</v>
      </c>
      <c r="BD296" s="14" t="n">
        <v>0</v>
      </c>
      <c r="BE296" s="15">
        <f>BC296+BD296</f>
        <v/>
      </c>
      <c r="BF296" s="15">
        <f>BA296+BB296-BE296</f>
        <v/>
      </c>
      <c r="BG296" s="14" t="n">
        <v>2</v>
      </c>
      <c r="BH296" s="14" t="n">
        <v>1</v>
      </c>
      <c r="BI296" s="14" t="n">
        <v>1</v>
      </c>
      <c r="BJ296" s="14" t="n">
        <v>0</v>
      </c>
      <c r="BK296" s="15">
        <f>BI296+BJ296</f>
        <v/>
      </c>
      <c r="BL296" s="15">
        <f>BG296+BH296-BK296</f>
        <v/>
      </c>
      <c r="BM296" s="14" t="n">
        <v>4</v>
      </c>
      <c r="BN296" s="14" t="n">
        <v>1</v>
      </c>
      <c r="BO296" s="14" t="n">
        <v>1</v>
      </c>
      <c r="BP296" s="14" t="n">
        <v>0</v>
      </c>
      <c r="BQ296" s="15">
        <f>BO296+BP296</f>
        <v/>
      </c>
      <c r="BR296" s="15">
        <f>BM296+BN296-BQ296</f>
        <v/>
      </c>
      <c r="BS296" s="14" t="n">
        <v>0</v>
      </c>
      <c r="BT296" s="14" t="n">
        <v>0</v>
      </c>
      <c r="BU296" s="14" t="n">
        <v>0</v>
      </c>
      <c r="BV296" s="14" t="n">
        <v>0</v>
      </c>
      <c r="BW296" s="15">
        <f>BU296+BV296</f>
        <v/>
      </c>
      <c r="BX296" s="15">
        <f>BS296+BT296-BW296</f>
        <v/>
      </c>
      <c r="BY296" s="15">
        <f>BA296+BG296+BM296+BS296</f>
        <v/>
      </c>
      <c r="BZ296" s="15">
        <f>BB296+BH296+BN296+BT296</f>
        <v/>
      </c>
      <c r="CA296" s="15">
        <f>BE296+BK296+BQ296+BW296</f>
        <v/>
      </c>
      <c r="CB296" s="15">
        <f>BF296+BL296+BR296+BX296</f>
        <v/>
      </c>
      <c r="CC296" s="14" t="n">
        <v>16</v>
      </c>
      <c r="CD296" s="14" t="n">
        <v>784</v>
      </c>
      <c r="CE296" s="14" t="n">
        <v>10</v>
      </c>
      <c r="CF296" s="14" t="n">
        <v>6</v>
      </c>
      <c r="CG296" s="14" t="n">
        <v>3</v>
      </c>
      <c r="CH296" s="15">
        <f>CD296+CE296+CF296+CG296</f>
        <v/>
      </c>
      <c r="CI296" s="14" t="n">
        <v>840</v>
      </c>
      <c r="CJ296" s="14" t="n">
        <v>5</v>
      </c>
      <c r="CK296" s="14" t="n">
        <v>3</v>
      </c>
      <c r="CL296" s="14" t="n">
        <v>2</v>
      </c>
      <c r="CM296" s="15">
        <f>CI296+CJ296+CK296+CL296</f>
        <v/>
      </c>
      <c r="CN296" s="14" t="n">
        <v>413</v>
      </c>
      <c r="CO296" s="14" t="n">
        <v>28</v>
      </c>
      <c r="CP296" s="14" t="n">
        <v>28</v>
      </c>
      <c r="CQ296" s="14" t="n">
        <v>2</v>
      </c>
      <c r="CR296" s="15">
        <f>CN296+CO296+CP296+CQ296</f>
        <v/>
      </c>
      <c r="CS296" s="15">
        <f>CM296+CR296</f>
        <v/>
      </c>
      <c r="CT296" s="14" t="n">
        <v>2124</v>
      </c>
      <c r="CU296" s="14" t="n">
        <v>10673</v>
      </c>
      <c r="CV296" s="14" t="n">
        <v>10670.6</v>
      </c>
      <c r="CW296" s="16">
        <f>IF(CU296=0,"",CV296/CU296)</f>
        <v/>
      </c>
      <c r="CX296" s="14" t="n">
        <v>0</v>
      </c>
      <c r="CY296" s="14" t="n">
        <v>0</v>
      </c>
      <c r="CZ296" s="14" t="n">
        <v>0</v>
      </c>
      <c r="DA296" s="14" t="n">
        <v>0</v>
      </c>
      <c r="DB296" s="15">
        <f>CX296+CY296-CZ296-DA296</f>
        <v/>
      </c>
      <c r="DC296" s="14" t="n">
        <v>0</v>
      </c>
      <c r="DD296" s="14" t="n">
        <v>1</v>
      </c>
      <c r="DE296" s="14" t="n">
        <v>0</v>
      </c>
      <c r="DF296" s="14" t="n">
        <v>0</v>
      </c>
      <c r="DG296" s="15">
        <f>DC296+DD296-DE296-DF296</f>
        <v/>
      </c>
      <c r="DH296" s="14" t="n">
        <v>0</v>
      </c>
      <c r="DI296" s="14" t="n">
        <v>0</v>
      </c>
      <c r="DJ296" s="14" t="n">
        <v>0</v>
      </c>
      <c r="DK296" s="14" t="n">
        <v>0</v>
      </c>
      <c r="DL296" s="15">
        <f>DH296+DI296-DJ296-DK296</f>
        <v/>
      </c>
      <c r="DM296" s="14" t="n">
        <v>23</v>
      </c>
      <c r="DN296" s="14" t="n">
        <v>10</v>
      </c>
      <c r="DO296" s="14" t="n">
        <v>13</v>
      </c>
      <c r="DP296" s="14" t="n">
        <v>0</v>
      </c>
      <c r="DQ296" s="15">
        <f>DM296+DN296-DO296-DP296</f>
        <v/>
      </c>
      <c r="DR296" s="15">
        <f>CX296+DC296+DH296+DM296</f>
        <v/>
      </c>
      <c r="DS296" s="15">
        <f>CY296+DD296+DI296+DN296</f>
        <v/>
      </c>
      <c r="DT296" s="15">
        <f>CZ296+DE296+DJ296+DO296</f>
        <v/>
      </c>
      <c r="DU296" s="15">
        <f>DA296+DF296+DK296+DP296</f>
        <v/>
      </c>
      <c r="DV296" s="15">
        <f>DB296+DG296+DL296+DQ296</f>
        <v/>
      </c>
      <c r="DW296" s="14" t="n">
        <v>9</v>
      </c>
      <c r="DX296" s="14" t="n">
        <v>11</v>
      </c>
      <c r="DY296" s="14" t="n">
        <v>0</v>
      </c>
      <c r="DZ296" s="14" t="n">
        <v>2</v>
      </c>
      <c r="EA296" s="14" t="n">
        <v>3</v>
      </c>
      <c r="EB296" s="14" t="n">
        <v>2</v>
      </c>
      <c r="EC296" s="14" t="n">
        <v>2</v>
      </c>
      <c r="ED296" s="14" t="n">
        <v>4</v>
      </c>
      <c r="EE296" s="14" t="n">
        <v>0</v>
      </c>
      <c r="EF296" s="14" t="n">
        <v>0</v>
      </c>
      <c r="EG296" s="14" t="n">
        <v>1</v>
      </c>
      <c r="EH296" s="14" t="n">
        <v>0</v>
      </c>
      <c r="EI296" s="14" t="n">
        <v>0</v>
      </c>
      <c r="EJ296" s="14" t="n">
        <v>2</v>
      </c>
      <c r="EK296" s="14" t="n">
        <v>2</v>
      </c>
      <c r="EL296" s="14" t="n">
        <v>0</v>
      </c>
      <c r="EM296" s="14" t="n">
        <v>0</v>
      </c>
      <c r="EN296" s="14" t="n">
        <v>0</v>
      </c>
      <c r="EO296" s="14" t="n">
        <v>0</v>
      </c>
      <c r="EP296" s="14" t="n">
        <v>0</v>
      </c>
      <c r="EQ296" s="14" t="n">
        <v>0</v>
      </c>
      <c r="ER296" s="14" t="n">
        <v>0</v>
      </c>
      <c r="ES296" s="14" t="n">
        <v>0</v>
      </c>
      <c r="ET296" s="14" t="n">
        <v>0</v>
      </c>
      <c r="EU296" s="14" t="n">
        <v>0</v>
      </c>
      <c r="EV296" s="14" t="n">
        <v>0</v>
      </c>
      <c r="EW296" s="14" t="n">
        <v>0</v>
      </c>
      <c r="EX296" s="14" t="n">
        <v>0</v>
      </c>
      <c r="EY296" s="14" t="n">
        <v>0</v>
      </c>
      <c r="EZ296" s="14" t="n">
        <v>0</v>
      </c>
      <c r="FA296" s="14" t="n">
        <v>0</v>
      </c>
      <c r="FB296" s="14" t="n">
        <v>0</v>
      </c>
      <c r="FC296" s="14" t="n">
        <v>0</v>
      </c>
      <c r="FD296" s="14" t="n">
        <v>0</v>
      </c>
      <c r="FE296" s="14" t="n">
        <v>0</v>
      </c>
      <c r="FF296" s="14" t="n">
        <v>0</v>
      </c>
      <c r="FG296" s="15">
        <f>SUM(DW296,DX296,DY296,DZ296,EA296,EB296,EC296,ED296,EE296,EF296,EG296,EH296,EI296,EJ296,EK296,EL296,EM296,EN296,EO296,EP296,EQ296,ER296,ES296,ET296,EU296,EV296,EW296,EX296,EY296,EZ296,FA296,FB296,FC296,FD296,FE296,FF296)</f>
        <v/>
      </c>
      <c r="FH296" s="14" t="n">
        <v>0</v>
      </c>
      <c r="FI296" s="14" t="n">
        <v>0</v>
      </c>
      <c r="FJ296" s="14" t="n">
        <v>23</v>
      </c>
      <c r="FK296" s="14" t="n">
        <v>27</v>
      </c>
      <c r="FL296" s="14" t="n">
        <v>0</v>
      </c>
      <c r="FM296" s="14" t="n">
        <v>0</v>
      </c>
      <c r="FN296" s="14" t="n">
        <v>0</v>
      </c>
      <c r="FO296" s="14" t="n">
        <v>0</v>
      </c>
      <c r="FP296" s="14" t="n">
        <v>0</v>
      </c>
      <c r="FQ296" s="15">
        <f>FL296+FM296+FN296+FO296+FP296</f>
        <v/>
      </c>
      <c r="FR296" s="14" t="n">
        <v>6168799.34</v>
      </c>
      <c r="FS296" s="14" t="n">
        <v>0</v>
      </c>
      <c r="FT296" s="14" t="n">
        <v>0</v>
      </c>
      <c r="FU296" s="14" t="n">
        <v>0</v>
      </c>
      <c r="FV296" s="15">
        <f>FR296+FS296+FT296+FU296</f>
        <v/>
      </c>
      <c r="FW296" s="14" t="n">
        <v>9847746.49</v>
      </c>
      <c r="FX296" s="14" t="n">
        <v>24700</v>
      </c>
      <c r="FY296" s="14" t="n">
        <v>13281464.05</v>
      </c>
      <c r="FZ296" s="14" t="n">
        <v>40791407.88</v>
      </c>
      <c r="GA296" s="15">
        <f>FW296+FX296+FY296+FZ296</f>
        <v/>
      </c>
      <c r="GB296" s="15">
        <f>FV296+GA296</f>
        <v/>
      </c>
      <c r="GC296" s="14" t="n">
        <v>7227910.13</v>
      </c>
      <c r="GD296" s="14" t="n">
        <v>8607.6</v>
      </c>
      <c r="GE296" s="14" t="n">
        <v>248704.82</v>
      </c>
      <c r="GF296" s="14" t="n">
        <v>1605538.11</v>
      </c>
      <c r="GG296" s="15">
        <f>GC296+GD296+GE296+GF296</f>
        <v/>
      </c>
      <c r="GH296" s="14" t="n">
        <v>9653999.539999999</v>
      </c>
      <c r="GI296" s="14" t="n">
        <v>24700</v>
      </c>
      <c r="GJ296" s="14" t="n">
        <v>40765187.88</v>
      </c>
      <c r="GK296" s="14" t="n">
        <v>12822464.04</v>
      </c>
      <c r="GL296" s="15">
        <f>GH296+GI296+GJ296+GK296</f>
        <v/>
      </c>
      <c r="GM296" s="15">
        <f>GG296+GL296</f>
        <v/>
      </c>
      <c r="GN296" s="14" t="n">
        <v>456301.44</v>
      </c>
      <c r="GO296" s="14" t="n">
        <v>382.56</v>
      </c>
      <c r="GP296" s="14" t="n">
        <v>16968.2</v>
      </c>
      <c r="GQ296" s="14" t="n">
        <v>13912.02</v>
      </c>
      <c r="GR296" s="15">
        <f>GN296+GO296+GP296+GQ296</f>
        <v/>
      </c>
      <c r="GS296" s="14" t="n">
        <v>750120</v>
      </c>
      <c r="GT296" s="14" t="n">
        <v>1786</v>
      </c>
      <c r="GU296" s="14" t="n">
        <v>4465</v>
      </c>
      <c r="GV296" s="14" t="n">
        <v>2679</v>
      </c>
      <c r="GW296" s="15">
        <f>GS296+GT296+GU296+GV296</f>
        <v/>
      </c>
      <c r="GX296" s="15">
        <f>GM296+GR296+GW296</f>
        <v/>
      </c>
      <c r="GY296" s="14" t="n">
        <v>92758708.41999994</v>
      </c>
      <c r="GZ296" s="14" t="n">
        <v>0</v>
      </c>
      <c r="HA296" s="9">
        <f>GY296+GZ296</f>
        <v/>
      </c>
      <c r="HB296" s="15">
        <f>IF(GX296=0,"",AU296/GX296)</f>
        <v/>
      </c>
      <c r="HC296" s="16">
        <f>IF((GX296+GY296)=0,"",GB296/(GX296+GY296))</f>
        <v/>
      </c>
      <c r="HD296" s="15">
        <f>IF(GX296=0,"",GB296/GX296)</f>
        <v/>
      </c>
      <c r="HE296" s="14" t="n">
        <v>21</v>
      </c>
      <c r="HF296" s="14" t="n">
        <v>2</v>
      </c>
      <c r="HG296" s="14" t="n">
        <v>64</v>
      </c>
      <c r="HH296" s="14" t="n">
        <v>21</v>
      </c>
      <c r="HI296" s="14" t="n">
        <v>5</v>
      </c>
      <c r="HJ296" s="15">
        <f>HF296+HI296</f>
        <v/>
      </c>
      <c r="HK296" s="16">
        <f>IF(HE296=0,"",HH296/HE296)</f>
        <v/>
      </c>
      <c r="HL296" s="14" t="n">
        <v>13</v>
      </c>
      <c r="HM296" s="14" t="n">
        <v>6</v>
      </c>
      <c r="HN296" s="17">
        <f>IF(HL296=0,"",HM296/HL296)</f>
        <v/>
      </c>
    </row>
    <row r="297">
      <c r="A297" s="6" t="inlineStr">
        <is>
          <t>Zomba</t>
        </is>
      </c>
      <c r="B297" s="6" t="inlineStr">
        <is>
          <t>Domasi</t>
        </is>
      </c>
      <c r="C297" s="7" t="inlineStr">
        <is>
          <t>FY2025/26</t>
        </is>
      </c>
      <c r="D297" s="7" t="n">
        <v>2025</v>
      </c>
      <c r="E297" s="7" t="n">
        <v>10</v>
      </c>
      <c r="F297" s="7" t="inlineStr">
        <is>
          <t>October</t>
        </is>
      </c>
      <c r="G297" s="7" t="inlineStr">
        <is>
          <t>Q3</t>
        </is>
      </c>
      <c r="H297" s="8" t="n">
        <v>26146</v>
      </c>
      <c r="I297" s="8" t="n">
        <v>7569</v>
      </c>
      <c r="J297" s="8" t="n">
        <v>195</v>
      </c>
      <c r="K297" s="8" t="n">
        <v>46</v>
      </c>
      <c r="L297" s="8" t="n">
        <v>10</v>
      </c>
      <c r="M297" s="9">
        <f>SUM(I297,J297,K297,L297)</f>
        <v/>
      </c>
      <c r="N297" s="8" t="n">
        <v>9626.600000000029</v>
      </c>
      <c r="O297" s="8" t="n">
        <v>203.3</v>
      </c>
      <c r="P297" s="8" t="n">
        <v>2099.4</v>
      </c>
      <c r="Q297" s="8" t="n">
        <v>657.9</v>
      </c>
      <c r="R297" s="9">
        <f>SUM(N297,O297,P297,Q297)</f>
        <v/>
      </c>
      <c r="S297" s="9">
        <f>M297+R297</f>
        <v/>
      </c>
      <c r="T297" s="8" t="n">
        <v>5738.79999999998</v>
      </c>
      <c r="U297" s="10">
        <f>IF(H297=0,"",T297/H297)</f>
        <v/>
      </c>
      <c r="V297" s="8" t="n">
        <v>50</v>
      </c>
      <c r="W297" s="11">
        <f>IF(H297=0,"",V297/H297)</f>
        <v/>
      </c>
      <c r="X297" s="8" t="n">
        <v>0</v>
      </c>
      <c r="Y297" s="11">
        <f>IF(H297=0,"",X297/H297)</f>
        <v/>
      </c>
      <c r="Z297" s="8" t="n">
        <v>0</v>
      </c>
      <c r="AA297" s="11">
        <f>IF(H297=0,"",Z297/H297)</f>
        <v/>
      </c>
      <c r="AB297" s="8" t="n">
        <v>0</v>
      </c>
      <c r="AC297" s="11">
        <f>IF(H297=0,"",AB297/H297)</f>
        <v/>
      </c>
      <c r="AD297" s="8" t="n">
        <v>0</v>
      </c>
      <c r="AE297" s="11">
        <f>IF(H297=0,"",AD297/H297)</f>
        <v/>
      </c>
      <c r="AF297" s="8" t="n">
        <v>0</v>
      </c>
      <c r="AG297" s="11">
        <f>IF(H297=0,"",AF297/H297)</f>
        <v/>
      </c>
      <c r="AH297" s="8" t="n">
        <v>1300000</v>
      </c>
      <c r="AI297" s="9">
        <f>IF(H297=0,"",AH297/H297)</f>
        <v/>
      </c>
      <c r="AJ297" s="8" t="n">
        <v>89.26000000000001</v>
      </c>
      <c r="AK297" s="11">
        <f>IF(H297=0,"",AJ297/H297)</f>
        <v/>
      </c>
      <c r="AL297" s="8" t="n">
        <v>56002.01134</v>
      </c>
      <c r="AM297" s="9">
        <f>IF(H297=0,"",AL297/H297)</f>
        <v/>
      </c>
      <c r="AN297" s="8" t="n">
        <v>0</v>
      </c>
      <c r="AO297" s="8" t="n">
        <v>0</v>
      </c>
      <c r="AP297" s="8" t="n">
        <v>0</v>
      </c>
      <c r="AQ297" s="8" t="n">
        <v>0</v>
      </c>
      <c r="AR297" s="8" t="n">
        <v>0</v>
      </c>
      <c r="AS297" s="8" t="n">
        <v>0</v>
      </c>
      <c r="AT297" s="8" t="n">
        <v>0</v>
      </c>
      <c r="AU297" s="9">
        <f>AH297+AL297+AP297+AQ297+AR297+AS297+AT297</f>
        <v/>
      </c>
      <c r="AV297" s="9">
        <f>IF(H297=0,"",AU297/H297)</f>
        <v/>
      </c>
      <c r="AW297" s="9">
        <f>IF(S297=0,"",AU297/S297)</f>
        <v/>
      </c>
      <c r="AX297" s="8" t="n">
        <v>7</v>
      </c>
      <c r="AY297" s="9">
        <f>IF(H297=0,"",AX297/(H297/1000/12))</f>
        <v/>
      </c>
      <c r="AZ297" s="8" t="n">
        <v>17</v>
      </c>
      <c r="BA297" s="8" t="n">
        <v>58</v>
      </c>
      <c r="BB297" s="8" t="n">
        <v>10</v>
      </c>
      <c r="BC297" s="8" t="n">
        <v>20</v>
      </c>
      <c r="BD297" s="8" t="n">
        <v>0</v>
      </c>
      <c r="BE297" s="9">
        <f>BC297+BD297</f>
        <v/>
      </c>
      <c r="BF297" s="9">
        <f>BA297+BB297-BE297</f>
        <v/>
      </c>
      <c r="BG297" s="8" t="n">
        <v>2</v>
      </c>
      <c r="BH297" s="8" t="n">
        <v>1</v>
      </c>
      <c r="BI297" s="8" t="n">
        <v>1</v>
      </c>
      <c r="BJ297" s="8" t="n">
        <v>0</v>
      </c>
      <c r="BK297" s="9">
        <f>BI297+BJ297</f>
        <v/>
      </c>
      <c r="BL297" s="9">
        <f>BG297+BH297-BK297</f>
        <v/>
      </c>
      <c r="BM297" s="8" t="n">
        <v>4</v>
      </c>
      <c r="BN297" s="8" t="n">
        <v>1</v>
      </c>
      <c r="BO297" s="8" t="n">
        <v>0</v>
      </c>
      <c r="BP297" s="8" t="n">
        <v>0</v>
      </c>
      <c r="BQ297" s="9">
        <f>BO297+BP297</f>
        <v/>
      </c>
      <c r="BR297" s="9">
        <f>BM297+BN297-BQ297</f>
        <v/>
      </c>
      <c r="BS297" s="8" t="n">
        <v>0</v>
      </c>
      <c r="BT297" s="8" t="n">
        <v>0</v>
      </c>
      <c r="BU297" s="8" t="n">
        <v>0</v>
      </c>
      <c r="BV297" s="8" t="n">
        <v>0</v>
      </c>
      <c r="BW297" s="9">
        <f>BU297+BV297</f>
        <v/>
      </c>
      <c r="BX297" s="9">
        <f>BS297+BT297-BW297</f>
        <v/>
      </c>
      <c r="BY297" s="9">
        <f>BA297+BG297+BM297+BS297</f>
        <v/>
      </c>
      <c r="BZ297" s="9">
        <f>BB297+BH297+BN297+BT297</f>
        <v/>
      </c>
      <c r="CA297" s="9">
        <f>BE297+BK297+BQ297+BW297</f>
        <v/>
      </c>
      <c r="CB297" s="9">
        <f>BF297+BL297+BR297+BX297</f>
        <v/>
      </c>
      <c r="CC297" s="8" t="n">
        <v>126</v>
      </c>
      <c r="CD297" s="8" t="n">
        <v>688</v>
      </c>
      <c r="CE297" s="8" t="n">
        <v>5</v>
      </c>
      <c r="CF297" s="8" t="n">
        <v>7</v>
      </c>
      <c r="CG297" s="8" t="n">
        <v>1</v>
      </c>
      <c r="CH297" s="9">
        <f>CD297+CE297+CF297+CG297</f>
        <v/>
      </c>
      <c r="CI297" s="8" t="n">
        <v>836</v>
      </c>
      <c r="CJ297" s="8" t="n">
        <v>6</v>
      </c>
      <c r="CK297" s="8" t="n">
        <v>3</v>
      </c>
      <c r="CL297" s="8" t="n">
        <v>2</v>
      </c>
      <c r="CM297" s="9">
        <f>CI297+CJ297+CK297+CL297</f>
        <v/>
      </c>
      <c r="CN297" s="8" t="n">
        <v>533</v>
      </c>
      <c r="CO297" s="8" t="n">
        <v>33</v>
      </c>
      <c r="CP297" s="8" t="n">
        <v>27</v>
      </c>
      <c r="CQ297" s="8" t="n">
        <v>4</v>
      </c>
      <c r="CR297" s="9">
        <f>CN297+CO297+CP297+CQ297</f>
        <v/>
      </c>
      <c r="CS297" s="9">
        <f>CM297+CR297</f>
        <v/>
      </c>
      <c r="CT297" s="8" t="n">
        <v>2145</v>
      </c>
      <c r="CU297" s="8" t="n">
        <v>10682</v>
      </c>
      <c r="CV297" s="8" t="n">
        <v>10679.6</v>
      </c>
      <c r="CW297" s="10">
        <f>IF(CU297=0,"",CV297/CU297)</f>
        <v/>
      </c>
      <c r="CX297" s="8" t="n">
        <v>0</v>
      </c>
      <c r="CY297" s="8" t="n">
        <v>0</v>
      </c>
      <c r="CZ297" s="8" t="n">
        <v>0</v>
      </c>
      <c r="DA297" s="8" t="n">
        <v>0</v>
      </c>
      <c r="DB297" s="9">
        <f>CX297+CY297-CZ297-DA297</f>
        <v/>
      </c>
      <c r="DC297" s="8" t="n">
        <v>1</v>
      </c>
      <c r="DD297" s="8" t="n">
        <v>0</v>
      </c>
      <c r="DE297" s="8" t="n">
        <v>1</v>
      </c>
      <c r="DF297" s="8" t="n">
        <v>0</v>
      </c>
      <c r="DG297" s="9">
        <f>DC297+DD297-DE297-DF297</f>
        <v/>
      </c>
      <c r="DH297" s="8" t="n">
        <v>0</v>
      </c>
      <c r="DI297" s="8" t="n">
        <v>0</v>
      </c>
      <c r="DJ297" s="8" t="n">
        <v>0</v>
      </c>
      <c r="DK297" s="8" t="n">
        <v>0</v>
      </c>
      <c r="DL297" s="9">
        <f>DH297+DI297-DJ297-DK297</f>
        <v/>
      </c>
      <c r="DM297" s="8" t="n">
        <v>20</v>
      </c>
      <c r="DN297" s="8" t="n">
        <v>9</v>
      </c>
      <c r="DO297" s="8" t="n">
        <v>3</v>
      </c>
      <c r="DP297" s="8" t="n">
        <v>0</v>
      </c>
      <c r="DQ297" s="9">
        <f>DM297+DN297-DO297-DP297</f>
        <v/>
      </c>
      <c r="DR297" s="9">
        <f>CX297+DC297+DH297+DM297</f>
        <v/>
      </c>
      <c r="DS297" s="9">
        <f>CY297+DD297+DI297+DN297</f>
        <v/>
      </c>
      <c r="DT297" s="9">
        <f>CZ297+DE297+DJ297+DO297</f>
        <v/>
      </c>
      <c r="DU297" s="9">
        <f>DA297+DF297+DK297+DP297</f>
        <v/>
      </c>
      <c r="DV297" s="9">
        <f>DB297+DG297+DL297+DQ297</f>
        <v/>
      </c>
      <c r="DW297" s="8" t="n">
        <v>11</v>
      </c>
      <c r="DX297" s="8" t="n">
        <v>13</v>
      </c>
      <c r="DY297" s="8" t="n">
        <v>3</v>
      </c>
      <c r="DZ297" s="8" t="n">
        <v>3</v>
      </c>
      <c r="EA297" s="8" t="n">
        <v>1</v>
      </c>
      <c r="EB297" s="8" t="n">
        <v>3</v>
      </c>
      <c r="EC297" s="8" t="n">
        <v>1</v>
      </c>
      <c r="ED297" s="8" t="n">
        <v>2</v>
      </c>
      <c r="EE297" s="8" t="n">
        <v>3</v>
      </c>
      <c r="EF297" s="8" t="n">
        <v>0</v>
      </c>
      <c r="EG297" s="8" t="n">
        <v>1</v>
      </c>
      <c r="EH297" s="8" t="n">
        <v>0</v>
      </c>
      <c r="EI297" s="8" t="n">
        <v>0</v>
      </c>
      <c r="EJ297" s="8" t="n">
        <v>3</v>
      </c>
      <c r="EK297" s="8" t="n">
        <v>2</v>
      </c>
      <c r="EL297" s="8" t="n">
        <v>0</v>
      </c>
      <c r="EM297" s="8" t="n">
        <v>0</v>
      </c>
      <c r="EN297" s="8" t="n">
        <v>0</v>
      </c>
      <c r="EO297" s="8" t="n">
        <v>0</v>
      </c>
      <c r="EP297" s="8" t="n">
        <v>0</v>
      </c>
      <c r="EQ297" s="8" t="n">
        <v>0</v>
      </c>
      <c r="ER297" s="8" t="n">
        <v>0</v>
      </c>
      <c r="ES297" s="8" t="n">
        <v>0</v>
      </c>
      <c r="ET297" s="8" t="n">
        <v>0</v>
      </c>
      <c r="EU297" s="8" t="n">
        <v>0</v>
      </c>
      <c r="EV297" s="8" t="n">
        <v>0</v>
      </c>
      <c r="EW297" s="8" t="n">
        <v>0</v>
      </c>
      <c r="EX297" s="8" t="n">
        <v>0</v>
      </c>
      <c r="EY297" s="8" t="n">
        <v>0</v>
      </c>
      <c r="EZ297" s="8" t="n">
        <v>0</v>
      </c>
      <c r="FA297" s="8" t="n">
        <v>0</v>
      </c>
      <c r="FB297" s="8" t="n">
        <v>0</v>
      </c>
      <c r="FC297" s="8" t="n">
        <v>0</v>
      </c>
      <c r="FD297" s="8" t="n">
        <v>0</v>
      </c>
      <c r="FE297" s="8" t="n">
        <v>0</v>
      </c>
      <c r="FF297" s="8" t="n">
        <v>0</v>
      </c>
      <c r="FG297" s="9">
        <f>SUM(DW297,DX297,DY297,DZ297,EA297,EB297,EC297,ED297,EE297,EF297,EG297,EH297,EI297,EJ297,EK297,EL297,EM297,EN297,EO297,EP297,EQ297,ER297,ES297,ET297,EU297,EV297,EW297,EX297,EY297,EZ297,FA297,FB297,FC297,FD297,FE297,FF297)</f>
        <v/>
      </c>
      <c r="FH297" s="8" t="n">
        <v>0</v>
      </c>
      <c r="FI297" s="8" t="n">
        <v>0</v>
      </c>
      <c r="FJ297" s="8" t="n">
        <v>20</v>
      </c>
      <c r="FK297" s="8" t="n">
        <v>48</v>
      </c>
      <c r="FL297" s="8" t="n">
        <v>0</v>
      </c>
      <c r="FM297" s="8" t="n">
        <v>0</v>
      </c>
      <c r="FN297" s="8" t="n">
        <v>0</v>
      </c>
      <c r="FO297" s="8" t="n">
        <v>0</v>
      </c>
      <c r="FP297" s="8" t="n">
        <v>0</v>
      </c>
      <c r="FQ297" s="9">
        <f>FL297+FM297+FN297+FO297+FP297</f>
        <v/>
      </c>
      <c r="FR297" s="8" t="n">
        <v>6101860.51</v>
      </c>
      <c r="FS297" s="8" t="n">
        <v>0</v>
      </c>
      <c r="FT297" s="8" t="n">
        <v>0</v>
      </c>
      <c r="FU297" s="8" t="n">
        <v>0</v>
      </c>
      <c r="FV297" s="9">
        <f>FR297+FS297+FT297+FU297</f>
        <v/>
      </c>
      <c r="FW297" s="8" t="n">
        <v>12231341.88</v>
      </c>
      <c r="FX297" s="8" t="n">
        <v>43200</v>
      </c>
      <c r="FY297" s="8" t="n">
        <v>3234900</v>
      </c>
      <c r="FZ297" s="8" t="n">
        <v>6379800</v>
      </c>
      <c r="GA297" s="9">
        <f>FW297+FX297+FY297+FZ297</f>
        <v/>
      </c>
      <c r="GB297" s="9">
        <f>FV297+GA297</f>
        <v/>
      </c>
      <c r="GC297" s="8" t="n">
        <v>6702087.11</v>
      </c>
      <c r="GD297" s="8" t="n">
        <v>37299.6</v>
      </c>
      <c r="GE297" s="8" t="n">
        <v>120098.4</v>
      </c>
      <c r="GF297" s="8" t="n">
        <v>28618.61</v>
      </c>
      <c r="GG297" s="9">
        <f>GC297+GD297+GE297+GF297</f>
        <v/>
      </c>
      <c r="GH297" s="8" t="n">
        <v>12012140.54</v>
      </c>
      <c r="GI297" s="8" t="n">
        <v>43200</v>
      </c>
      <c r="GJ297" s="8" t="n">
        <v>6379800</v>
      </c>
      <c r="GK297" s="8" t="n">
        <v>3112609.14</v>
      </c>
      <c r="GL297" s="9">
        <f>GH297+GI297+GJ297+GK297</f>
        <v/>
      </c>
      <c r="GM297" s="9">
        <f>GG297+GL297</f>
        <v/>
      </c>
      <c r="GN297" s="8" t="n">
        <v>453957.87</v>
      </c>
      <c r="GO297" s="8" t="n">
        <v>382.56</v>
      </c>
      <c r="GP297" s="8" t="n">
        <v>17159.48</v>
      </c>
      <c r="GQ297" s="8" t="n">
        <v>13912.02</v>
      </c>
      <c r="GR297" s="9">
        <f>GN297+GO297+GP297+GQ297</f>
        <v/>
      </c>
      <c r="GS297" s="8" t="n">
        <v>746548</v>
      </c>
      <c r="GT297" s="8" t="n">
        <v>1786</v>
      </c>
      <c r="GU297" s="8" t="n">
        <v>5358</v>
      </c>
      <c r="GV297" s="8" t="n">
        <v>2679</v>
      </c>
      <c r="GW297" s="9">
        <f>GS297+GT297+GU297+GV297</f>
        <v/>
      </c>
      <c r="GX297" s="9">
        <f>GM297+GR297+GW297</f>
        <v/>
      </c>
      <c r="GY297" s="8" t="n">
        <v>94647218.73999995</v>
      </c>
      <c r="GZ297" s="8" t="n">
        <v>0</v>
      </c>
      <c r="HA297" s="9">
        <f>GY297+GZ297</f>
        <v/>
      </c>
      <c r="HB297" s="9">
        <f>IF(GX297=0,"",AU297/GX297)</f>
        <v/>
      </c>
      <c r="HC297" s="10">
        <f>IF((GX297+GY297)=0,"",GB297/(GX297+GY297))</f>
        <v/>
      </c>
      <c r="HD297" s="9">
        <f>IF(GX297=0,"",GB297/GX297)</f>
        <v/>
      </c>
      <c r="HE297" s="8" t="n">
        <v>14</v>
      </c>
      <c r="HF297" s="8" t="n">
        <v>3</v>
      </c>
      <c r="HG297" s="8" t="n">
        <v>55</v>
      </c>
      <c r="HH297" s="8" t="n">
        <v>12</v>
      </c>
      <c r="HI297" s="8" t="n">
        <v>5</v>
      </c>
      <c r="HJ297" s="9">
        <f>HF297+HI297</f>
        <v/>
      </c>
      <c r="HK297" s="10">
        <f>IF(HE297=0,"",HH297/HE297)</f>
        <v/>
      </c>
      <c r="HL297" s="8" t="n">
        <v>16</v>
      </c>
      <c r="HM297" s="8" t="n">
        <v>5</v>
      </c>
      <c r="HN297" s="11">
        <f>IF(HL297=0,"",HM297/HL297)</f>
        <v/>
      </c>
    </row>
    <row r="298">
      <c r="A298" s="12" t="inlineStr">
        <is>
          <t>Zomba</t>
        </is>
      </c>
      <c r="B298" s="12" t="inlineStr">
        <is>
          <t>Domasi</t>
        </is>
      </c>
      <c r="C298" s="13" t="inlineStr">
        <is>
          <t>FY2025/26</t>
        </is>
      </c>
      <c r="D298" s="13" t="n">
        <v>2025</v>
      </c>
      <c r="E298" s="13" t="n">
        <v>11</v>
      </c>
      <c r="F298" s="13" t="inlineStr">
        <is>
          <t>November</t>
        </is>
      </c>
      <c r="G298" s="13" t="inlineStr">
        <is>
          <t>Q3</t>
        </is>
      </c>
      <c r="H298" s="14" t="n">
        <v>31637</v>
      </c>
      <c r="I298" s="14" t="n">
        <v>9045</v>
      </c>
      <c r="J298" s="14" t="n">
        <v>156</v>
      </c>
      <c r="K298" s="14" t="n">
        <v>54</v>
      </c>
      <c r="L298" s="14" t="n">
        <v>74</v>
      </c>
      <c r="M298" s="15">
        <f>SUM(I298,J298,K298,L298)</f>
        <v/>
      </c>
      <c r="N298" s="14" t="n">
        <v>9564.800000000019</v>
      </c>
      <c r="O298" s="14" t="n">
        <v>200.5</v>
      </c>
      <c r="P298" s="14" t="n">
        <v>9967.299999999999</v>
      </c>
      <c r="Q298" s="14" t="n">
        <v>230.2</v>
      </c>
      <c r="R298" s="15">
        <f>SUM(N298,O298,P298,Q298)</f>
        <v/>
      </c>
      <c r="S298" s="15">
        <f>M298+R298</f>
        <v/>
      </c>
      <c r="T298" s="14" t="n">
        <v>2345.19999999998</v>
      </c>
      <c r="U298" s="16">
        <f>IF(H298=0,"",T298/H298)</f>
        <v/>
      </c>
      <c r="V298" s="14" t="n">
        <v>25</v>
      </c>
      <c r="W298" s="17">
        <f>IF(H298=0,"",V298/H298)</f>
        <v/>
      </c>
      <c r="X298" s="14" t="n">
        <v>75</v>
      </c>
      <c r="Y298" s="17">
        <f>IF(H298=0,"",X298/H298)</f>
        <v/>
      </c>
      <c r="Z298" s="14" t="n">
        <v>37.5</v>
      </c>
      <c r="AA298" s="17">
        <f>IF(H298=0,"",Z298/H298)</f>
        <v/>
      </c>
      <c r="AB298" s="14" t="n">
        <v>0</v>
      </c>
      <c r="AC298" s="17">
        <f>IF(H298=0,"",AB298/H298)</f>
        <v/>
      </c>
      <c r="AD298" s="14" t="n">
        <v>0</v>
      </c>
      <c r="AE298" s="17">
        <f>IF(H298=0,"",AD298/H298)</f>
        <v/>
      </c>
      <c r="AF298" s="14" t="n">
        <v>0</v>
      </c>
      <c r="AG298" s="17">
        <f>IF(H298=0,"",AF298/H298)</f>
        <v/>
      </c>
      <c r="AH298" s="14" t="n">
        <v>1756850</v>
      </c>
      <c r="AI298" s="15">
        <f>IF(H298=0,"",AH298/H298)</f>
        <v/>
      </c>
      <c r="AJ298" s="14" t="n">
        <v>103.68</v>
      </c>
      <c r="AK298" s="17">
        <f>IF(H298=0,"",AJ298/H298)</f>
        <v/>
      </c>
      <c r="AL298" s="14" t="n">
        <v>59943.12712</v>
      </c>
      <c r="AM298" s="15">
        <f>IF(H298=0,"",AL298/H298)</f>
        <v/>
      </c>
      <c r="AN298" s="14" t="n">
        <v>0</v>
      </c>
      <c r="AO298" s="14" t="n">
        <v>0</v>
      </c>
      <c r="AP298" s="14" t="n">
        <v>0</v>
      </c>
      <c r="AQ298" s="14" t="n">
        <v>0</v>
      </c>
      <c r="AR298" s="14" t="n">
        <v>0</v>
      </c>
      <c r="AS298" s="14" t="n">
        <v>0</v>
      </c>
      <c r="AT298" s="14" t="n">
        <v>0</v>
      </c>
      <c r="AU298" s="15">
        <f>AH298+AL298+AP298+AQ298+AR298+AS298+AT298</f>
        <v/>
      </c>
      <c r="AV298" s="15">
        <f>IF(H298=0,"",AU298/H298)</f>
        <v/>
      </c>
      <c r="AW298" s="15">
        <f>IF(S298=0,"",AU298/S298)</f>
        <v/>
      </c>
      <c r="AX298" s="14" t="n">
        <v>7</v>
      </c>
      <c r="AY298" s="15">
        <f>IF(H298=0,"",AX298/(H298/1000/12))</f>
        <v/>
      </c>
      <c r="AZ298" s="14" t="n">
        <v>17</v>
      </c>
      <c r="BA298" s="14" t="n">
        <v>48</v>
      </c>
      <c r="BB298" s="14" t="n">
        <v>17</v>
      </c>
      <c r="BC298" s="14" t="n">
        <v>15</v>
      </c>
      <c r="BD298" s="14" t="n">
        <v>0</v>
      </c>
      <c r="BE298" s="15">
        <f>BC298+BD298</f>
        <v/>
      </c>
      <c r="BF298" s="15">
        <f>BA298+BB298-BE298</f>
        <v/>
      </c>
      <c r="BG298" s="14" t="n">
        <v>2</v>
      </c>
      <c r="BH298" s="14" t="n">
        <v>0</v>
      </c>
      <c r="BI298" s="14" t="n">
        <v>0</v>
      </c>
      <c r="BJ298" s="14" t="n">
        <v>0</v>
      </c>
      <c r="BK298" s="15">
        <f>BI298+BJ298</f>
        <v/>
      </c>
      <c r="BL298" s="15">
        <f>BG298+BH298-BK298</f>
        <v/>
      </c>
      <c r="BM298" s="14" t="n">
        <v>5</v>
      </c>
      <c r="BN298" s="14" t="n">
        <v>0</v>
      </c>
      <c r="BO298" s="14" t="n">
        <v>0</v>
      </c>
      <c r="BP298" s="14" t="n">
        <v>0</v>
      </c>
      <c r="BQ298" s="15">
        <f>BO298+BP298</f>
        <v/>
      </c>
      <c r="BR298" s="15">
        <f>BM298+BN298-BQ298</f>
        <v/>
      </c>
      <c r="BS298" s="14" t="n">
        <v>0</v>
      </c>
      <c r="BT298" s="14" t="n">
        <v>0</v>
      </c>
      <c r="BU298" s="14" t="n">
        <v>0</v>
      </c>
      <c r="BV298" s="14" t="n">
        <v>0</v>
      </c>
      <c r="BW298" s="15">
        <f>BU298+BV298</f>
        <v/>
      </c>
      <c r="BX298" s="15">
        <f>BS298+BT298-BW298</f>
        <v/>
      </c>
      <c r="BY298" s="15">
        <f>BA298+BG298+BM298+BS298</f>
        <v/>
      </c>
      <c r="BZ298" s="15">
        <f>BB298+BH298+BN298+BT298</f>
        <v/>
      </c>
      <c r="CA298" s="15">
        <f>BE298+BK298+BQ298+BW298</f>
        <v/>
      </c>
      <c r="CB298" s="15">
        <f>BF298+BL298+BR298+BX298</f>
        <v/>
      </c>
      <c r="CC298" s="14" t="n">
        <v>48</v>
      </c>
      <c r="CD298" s="14" t="n">
        <v>651</v>
      </c>
      <c r="CE298" s="14" t="n">
        <v>7</v>
      </c>
      <c r="CF298" s="14" t="n">
        <v>3</v>
      </c>
      <c r="CG298" s="14" t="n">
        <v>3</v>
      </c>
      <c r="CH298" s="15">
        <f>CD298+CE298+CF298+CG298</f>
        <v/>
      </c>
      <c r="CI298" s="14" t="n">
        <v>840</v>
      </c>
      <c r="CJ298" s="14" t="n">
        <v>6</v>
      </c>
      <c r="CK298" s="14" t="n">
        <v>3</v>
      </c>
      <c r="CL298" s="14" t="n">
        <v>2</v>
      </c>
      <c r="CM298" s="15">
        <f>CI298+CJ298+CK298+CL298</f>
        <v/>
      </c>
      <c r="CN298" s="14" t="n">
        <v>581</v>
      </c>
      <c r="CO298" s="14" t="n">
        <v>31</v>
      </c>
      <c r="CP298" s="14" t="n">
        <v>31</v>
      </c>
      <c r="CQ298" s="14" t="n">
        <v>2</v>
      </c>
      <c r="CR298" s="15">
        <f>CN298+CO298+CP298+CQ298</f>
        <v/>
      </c>
      <c r="CS298" s="15">
        <f>CM298+CR298</f>
        <v/>
      </c>
      <c r="CT298" s="14" t="n">
        <v>2160</v>
      </c>
      <c r="CU298" s="14" t="n">
        <v>10682</v>
      </c>
      <c r="CV298" s="14" t="n">
        <v>10679.6</v>
      </c>
      <c r="CW298" s="16">
        <f>IF(CU298=0,"",CV298/CU298)</f>
        <v/>
      </c>
      <c r="CX298" s="14" t="n">
        <v>0</v>
      </c>
      <c r="CY298" s="14" t="n">
        <v>0</v>
      </c>
      <c r="CZ298" s="14" t="n">
        <v>0</v>
      </c>
      <c r="DA298" s="14" t="n">
        <v>0</v>
      </c>
      <c r="DB298" s="15">
        <f>CX298+CY298-CZ298-DA298</f>
        <v/>
      </c>
      <c r="DC298" s="14" t="n">
        <v>0</v>
      </c>
      <c r="DD298" s="14" t="n">
        <v>0</v>
      </c>
      <c r="DE298" s="14" t="n">
        <v>0</v>
      </c>
      <c r="DF298" s="14" t="n">
        <v>0</v>
      </c>
      <c r="DG298" s="15">
        <f>DC298+DD298-DE298-DF298</f>
        <v/>
      </c>
      <c r="DH298" s="14" t="n">
        <v>0</v>
      </c>
      <c r="DI298" s="14" t="n">
        <v>0</v>
      </c>
      <c r="DJ298" s="14" t="n">
        <v>0</v>
      </c>
      <c r="DK298" s="14" t="n">
        <v>0</v>
      </c>
      <c r="DL298" s="15">
        <f>DH298+DI298-DJ298-DK298</f>
        <v/>
      </c>
      <c r="DM298" s="14" t="n">
        <v>26</v>
      </c>
      <c r="DN298" s="14" t="n">
        <v>5</v>
      </c>
      <c r="DO298" s="14" t="n">
        <v>12</v>
      </c>
      <c r="DP298" s="14" t="n">
        <v>0</v>
      </c>
      <c r="DQ298" s="15">
        <f>DM298+DN298-DO298-DP298</f>
        <v/>
      </c>
      <c r="DR298" s="15">
        <f>CX298+DC298+DH298+DM298</f>
        <v/>
      </c>
      <c r="DS298" s="15">
        <f>CY298+DD298+DI298+DN298</f>
        <v/>
      </c>
      <c r="DT298" s="15">
        <f>CZ298+DE298+DJ298+DO298</f>
        <v/>
      </c>
      <c r="DU298" s="15">
        <f>DA298+DF298+DK298+DP298</f>
        <v/>
      </c>
      <c r="DV298" s="15">
        <f>DB298+DG298+DL298+DQ298</f>
        <v/>
      </c>
      <c r="DW298" s="14" t="n">
        <v>9</v>
      </c>
      <c r="DX298" s="14" t="n">
        <v>9</v>
      </c>
      <c r="DY298" s="14" t="n">
        <v>5</v>
      </c>
      <c r="DZ298" s="14" t="n">
        <v>1</v>
      </c>
      <c r="EA298" s="14" t="n">
        <v>0</v>
      </c>
      <c r="EB298" s="14" t="n">
        <v>4</v>
      </c>
      <c r="EC298" s="14" t="n">
        <v>0</v>
      </c>
      <c r="ED298" s="14" t="n">
        <v>2</v>
      </c>
      <c r="EE298" s="14" t="n">
        <v>0</v>
      </c>
      <c r="EF298" s="14" t="n">
        <v>0</v>
      </c>
      <c r="EG298" s="14" t="n">
        <v>2</v>
      </c>
      <c r="EH298" s="14" t="n">
        <v>0</v>
      </c>
      <c r="EI298" s="14" t="n">
        <v>0</v>
      </c>
      <c r="EJ298" s="14" t="n">
        <v>6</v>
      </c>
      <c r="EK298" s="14" t="n">
        <v>2</v>
      </c>
      <c r="EL298" s="14" t="n">
        <v>0</v>
      </c>
      <c r="EM298" s="14" t="n">
        <v>0</v>
      </c>
      <c r="EN298" s="14" t="n">
        <v>0</v>
      </c>
      <c r="EO298" s="14" t="n">
        <v>0</v>
      </c>
      <c r="EP298" s="14" t="n">
        <v>0</v>
      </c>
      <c r="EQ298" s="14" t="n">
        <v>0</v>
      </c>
      <c r="ER298" s="14" t="n">
        <v>0</v>
      </c>
      <c r="ES298" s="14" t="n">
        <v>0</v>
      </c>
      <c r="ET298" s="14" t="n">
        <v>0</v>
      </c>
      <c r="EU298" s="14" t="n">
        <v>0</v>
      </c>
      <c r="EV298" s="14" t="n">
        <v>0</v>
      </c>
      <c r="EW298" s="14" t="n">
        <v>0</v>
      </c>
      <c r="EX298" s="14" t="n">
        <v>0</v>
      </c>
      <c r="EY298" s="14" t="n">
        <v>0</v>
      </c>
      <c r="EZ298" s="14" t="n">
        <v>0</v>
      </c>
      <c r="FA298" s="14" t="n">
        <v>0</v>
      </c>
      <c r="FB298" s="14" t="n">
        <v>0</v>
      </c>
      <c r="FC298" s="14" t="n">
        <v>0</v>
      </c>
      <c r="FD298" s="14" t="n">
        <v>0</v>
      </c>
      <c r="FE298" s="14" t="n">
        <v>0</v>
      </c>
      <c r="FF298" s="14" t="n">
        <v>0</v>
      </c>
      <c r="FG298" s="15">
        <f>SUM(DW298,DX298,DY298,DZ298,EA298,EB298,EC298,ED298,EE298,EF298,EG298,EH298,EI298,EJ298,EK298,EL298,EM298,EN298,EO298,EP298,EQ298,ER298,ES298,ET298,EU298,EV298,EW298,EX298,EY298,EZ298,FA298,FB298,FC298,FD298,FE298,FF298)</f>
        <v/>
      </c>
      <c r="FH298" s="14" t="n">
        <v>0</v>
      </c>
      <c r="FI298" s="14" t="n">
        <v>0</v>
      </c>
      <c r="FJ298" s="14" t="n">
        <v>22</v>
      </c>
      <c r="FK298" s="14" t="n">
        <v>42</v>
      </c>
      <c r="FL298" s="14" t="n">
        <v>0</v>
      </c>
      <c r="FM298" s="14" t="n">
        <v>0</v>
      </c>
      <c r="FN298" s="14" t="n">
        <v>0</v>
      </c>
      <c r="FO298" s="14" t="n">
        <v>0</v>
      </c>
      <c r="FP298" s="14" t="n">
        <v>0</v>
      </c>
      <c r="FQ298" s="15">
        <f>FL298+FM298+FN298+FO298+FP298</f>
        <v/>
      </c>
      <c r="FR298" s="14" t="n">
        <v>7696787.27</v>
      </c>
      <c r="FS298" s="14" t="n">
        <v>0</v>
      </c>
      <c r="FT298" s="14" t="n">
        <v>50000</v>
      </c>
      <c r="FU298" s="14" t="n">
        <v>100000</v>
      </c>
      <c r="FV298" s="15">
        <f>FR298+FS298+FT298+FU298</f>
        <v/>
      </c>
      <c r="FW298" s="14" t="n">
        <v>12161562.46</v>
      </c>
      <c r="FX298" s="14" t="n">
        <v>42600</v>
      </c>
      <c r="FY298" s="14" t="n">
        <v>1091464.05</v>
      </c>
      <c r="FZ298" s="14" t="n">
        <v>30296483.37</v>
      </c>
      <c r="GA298" s="15">
        <f>FW298+FX298+FY298+FZ298</f>
        <v/>
      </c>
      <c r="GB298" s="15">
        <f>FV298+GA298</f>
        <v/>
      </c>
      <c r="GC298" s="14" t="n">
        <v>8037710.4</v>
      </c>
      <c r="GD298" s="14" t="n">
        <v>29839.68</v>
      </c>
      <c r="GE298" s="14" t="n">
        <v>135386.26</v>
      </c>
      <c r="GF298" s="14" t="n">
        <v>311248.35</v>
      </c>
      <c r="GG298" s="15">
        <f>GC298+GD298+GE298+GF298</f>
        <v/>
      </c>
      <c r="GH298" s="14" t="n">
        <v>11932122.46</v>
      </c>
      <c r="GI298" s="14" t="n">
        <v>42600</v>
      </c>
      <c r="GJ298" s="14" t="n">
        <v>30269663.37</v>
      </c>
      <c r="GK298" s="14" t="n">
        <v>1089756.06</v>
      </c>
      <c r="GL298" s="15">
        <f>GH298+GI298+GJ298+GK298</f>
        <v/>
      </c>
      <c r="GM298" s="15">
        <f>GG298+GL298</f>
        <v/>
      </c>
      <c r="GN298" s="14" t="n">
        <v>456137.59</v>
      </c>
      <c r="GO298" s="14" t="n">
        <v>382.56</v>
      </c>
      <c r="GP298" s="14" t="n">
        <v>20361.84</v>
      </c>
      <c r="GQ298" s="14" t="n">
        <v>13912.02</v>
      </c>
      <c r="GR298" s="15">
        <f>GN298+GO298+GP298+GQ298</f>
        <v/>
      </c>
      <c r="GS298" s="14" t="n">
        <v>750120</v>
      </c>
      <c r="GT298" s="14" t="n">
        <v>1786</v>
      </c>
      <c r="GU298" s="14" t="n">
        <v>5358</v>
      </c>
      <c r="GV298" s="14" t="n">
        <v>2679</v>
      </c>
      <c r="GW298" s="15">
        <f>GS298+GT298+GU298+GV298</f>
        <v/>
      </c>
      <c r="GX298" s="15">
        <f>GM298+GR298+GW298</f>
        <v/>
      </c>
      <c r="GY298" s="14" t="n">
        <v>59745048.70999994</v>
      </c>
      <c r="GZ298" s="14" t="n">
        <v>0</v>
      </c>
      <c r="HA298" s="9">
        <f>GY298+GZ298</f>
        <v/>
      </c>
      <c r="HB298" s="15">
        <f>IF(GX298=0,"",AU298/GX298)</f>
        <v/>
      </c>
      <c r="HC298" s="16">
        <f>IF((GX298+GY298)=0,"",GB298/(GX298+GY298))</f>
        <v/>
      </c>
      <c r="HD298" s="15">
        <f>IF(GX298=0,"",GB298/GX298)</f>
        <v/>
      </c>
      <c r="HE298" s="14" t="n">
        <v>17</v>
      </c>
      <c r="HF298" s="14" t="n">
        <v>2</v>
      </c>
      <c r="HG298" s="14" t="n">
        <v>57</v>
      </c>
      <c r="HH298" s="14" t="n">
        <v>17</v>
      </c>
      <c r="HI298" s="14" t="n">
        <v>5</v>
      </c>
      <c r="HJ298" s="15">
        <f>HF298+HI298</f>
        <v/>
      </c>
      <c r="HK298" s="16">
        <f>IF(HE298=0,"",HH298/HE298)</f>
        <v/>
      </c>
      <c r="HL298" s="14" t="n">
        <v>11</v>
      </c>
      <c r="HM298" s="14" t="n">
        <v>6</v>
      </c>
      <c r="HN298" s="17">
        <f>IF(HL298=0,"",HM298/HL298)</f>
        <v/>
      </c>
    </row>
    <row r="299">
      <c r="A299" s="6" t="inlineStr">
        <is>
          <t>Zomba</t>
        </is>
      </c>
      <c r="B299" s="6" t="inlineStr">
        <is>
          <t>Domasi</t>
        </is>
      </c>
      <c r="C299" s="7" t="inlineStr">
        <is>
          <t>FY2025/26</t>
        </is>
      </c>
      <c r="D299" s="7" t="n">
        <v>2025</v>
      </c>
      <c r="E299" s="7" t="n">
        <v>12</v>
      </c>
      <c r="F299" s="7" t="inlineStr">
        <is>
          <t>December</t>
        </is>
      </c>
      <c r="G299" s="7" t="inlineStr">
        <is>
          <t>Q3</t>
        </is>
      </c>
      <c r="H299" s="8" t="n">
        <v>25131</v>
      </c>
      <c r="I299" s="8" t="n">
        <v>6173</v>
      </c>
      <c r="J299" s="8" t="n">
        <v>0</v>
      </c>
      <c r="K299" s="8" t="n">
        <v>37</v>
      </c>
      <c r="L299" s="8" t="n">
        <v>20</v>
      </c>
      <c r="M299" s="9">
        <f>SUM(I299,J299,K299,L299)</f>
        <v/>
      </c>
      <c r="N299" s="8" t="n">
        <v>6507.20000000003</v>
      </c>
      <c r="O299" s="8" t="n">
        <v>155.8</v>
      </c>
      <c r="P299" s="8" t="n">
        <v>2406</v>
      </c>
      <c r="Q299" s="8" t="n">
        <v>242.8</v>
      </c>
      <c r="R299" s="9">
        <f>SUM(N299,O299,P299,Q299)</f>
        <v/>
      </c>
      <c r="S299" s="9">
        <f>M299+R299</f>
        <v/>
      </c>
      <c r="T299" s="8" t="n">
        <v>9589.19999999997</v>
      </c>
      <c r="U299" s="10">
        <f>IF(H299=0,"",T299/H299)</f>
        <v/>
      </c>
      <c r="V299" s="8" t="n">
        <v>50</v>
      </c>
      <c r="W299" s="11">
        <f>IF(H299=0,"",V299/H299)</f>
        <v/>
      </c>
      <c r="X299" s="8" t="n">
        <v>200</v>
      </c>
      <c r="Y299" s="11">
        <f>IF(H299=0,"",X299/H299)</f>
        <v/>
      </c>
      <c r="Z299" s="8" t="n">
        <v>100</v>
      </c>
      <c r="AA299" s="11">
        <f>IF(H299=0,"",Z299/H299)</f>
        <v/>
      </c>
      <c r="AB299" s="8" t="n">
        <v>0</v>
      </c>
      <c r="AC299" s="11">
        <f>IF(H299=0,"",AB299/H299)</f>
        <v/>
      </c>
      <c r="AD299" s="8" t="n">
        <v>0</v>
      </c>
      <c r="AE299" s="11">
        <f>IF(H299=0,"",AD299/H299)</f>
        <v/>
      </c>
      <c r="AF299" s="8" t="n">
        <v>0</v>
      </c>
      <c r="AG299" s="11">
        <f>IF(H299=0,"",AF299/H299)</f>
        <v/>
      </c>
      <c r="AH299" s="8" t="n">
        <v>4251600</v>
      </c>
      <c r="AI299" s="9">
        <f>IF(H299=0,"",AH299/H299)</f>
        <v/>
      </c>
      <c r="AJ299" s="8" t="n">
        <v>94.11</v>
      </c>
      <c r="AK299" s="11">
        <f>IF(H299=0,"",AJ299/H299)</f>
        <v/>
      </c>
      <c r="AL299" s="8" t="n">
        <v>57327.55999</v>
      </c>
      <c r="AM299" s="9">
        <f>IF(H299=0,"",AL299/H299)</f>
        <v/>
      </c>
      <c r="AN299" s="8" t="n">
        <v>0</v>
      </c>
      <c r="AO299" s="8" t="n">
        <v>0</v>
      </c>
      <c r="AP299" s="8" t="n">
        <v>0</v>
      </c>
      <c r="AQ299" s="8" t="n">
        <v>0</v>
      </c>
      <c r="AR299" s="8" t="n">
        <v>0</v>
      </c>
      <c r="AS299" s="8" t="n">
        <v>0</v>
      </c>
      <c r="AT299" s="8" t="n">
        <v>0</v>
      </c>
      <c r="AU299" s="9">
        <f>AH299+AL299+AP299+AQ299+AR299+AS299+AT299</f>
        <v/>
      </c>
      <c r="AV299" s="9">
        <f>IF(H299=0,"",AU299/H299)</f>
        <v/>
      </c>
      <c r="AW299" s="9">
        <f>IF(S299=0,"",AU299/S299)</f>
        <v/>
      </c>
      <c r="AX299" s="8" t="n">
        <v>7</v>
      </c>
      <c r="AY299" s="9">
        <f>IF(H299=0,"",AX299/(H299/1000/12))</f>
        <v/>
      </c>
      <c r="AZ299" s="8" t="n">
        <v>17</v>
      </c>
      <c r="BA299" s="8" t="n">
        <v>50</v>
      </c>
      <c r="BB299" s="8" t="n">
        <v>12</v>
      </c>
      <c r="BC299" s="8" t="n">
        <v>9</v>
      </c>
      <c r="BD299" s="8" t="n">
        <v>0</v>
      </c>
      <c r="BE299" s="9">
        <f>BC299+BD299</f>
        <v/>
      </c>
      <c r="BF299" s="9">
        <f>BA299+BB299-BE299</f>
        <v/>
      </c>
      <c r="BG299" s="8" t="n">
        <v>2</v>
      </c>
      <c r="BH299" s="8" t="n">
        <v>0</v>
      </c>
      <c r="BI299" s="8" t="n">
        <v>0</v>
      </c>
      <c r="BJ299" s="8" t="n">
        <v>0</v>
      </c>
      <c r="BK299" s="9">
        <f>BI299+BJ299</f>
        <v/>
      </c>
      <c r="BL299" s="9">
        <f>BG299+BH299-BK299</f>
        <v/>
      </c>
      <c r="BM299" s="8" t="n">
        <v>5</v>
      </c>
      <c r="BN299" s="8" t="n">
        <v>0</v>
      </c>
      <c r="BO299" s="8" t="n">
        <v>0</v>
      </c>
      <c r="BP299" s="8" t="n">
        <v>0</v>
      </c>
      <c r="BQ299" s="9">
        <f>BO299+BP299</f>
        <v/>
      </c>
      <c r="BR299" s="9">
        <f>BM299+BN299-BQ299</f>
        <v/>
      </c>
      <c r="BS299" s="8" t="n">
        <v>0</v>
      </c>
      <c r="BT299" s="8" t="n">
        <v>1</v>
      </c>
      <c r="BU299" s="8" t="n">
        <v>0</v>
      </c>
      <c r="BV299" s="8" t="n">
        <v>0</v>
      </c>
      <c r="BW299" s="9">
        <f>BU299+BV299</f>
        <v/>
      </c>
      <c r="BX299" s="9">
        <f>BS299+BT299-BW299</f>
        <v/>
      </c>
      <c r="BY299" s="9">
        <f>BA299+BG299+BM299+BS299</f>
        <v/>
      </c>
      <c r="BZ299" s="9">
        <f>BB299+BH299+BN299+BT299</f>
        <v/>
      </c>
      <c r="CA299" s="9">
        <f>BE299+BK299+BQ299+BW299</f>
        <v/>
      </c>
      <c r="CB299" s="9">
        <f>BF299+BL299+BR299+BX299</f>
        <v/>
      </c>
      <c r="CC299" s="8" t="n">
        <v>0</v>
      </c>
      <c r="CD299" s="8" t="n">
        <v>709</v>
      </c>
      <c r="CE299" s="8" t="n">
        <v>7</v>
      </c>
      <c r="CF299" s="8" t="n">
        <v>3</v>
      </c>
      <c r="CG299" s="8" t="n">
        <v>3</v>
      </c>
      <c r="CH299" s="9">
        <f>CD299+CE299+CF299+CG299</f>
        <v/>
      </c>
      <c r="CI299" s="8" t="n">
        <v>787</v>
      </c>
      <c r="CJ299" s="8" t="n">
        <v>5</v>
      </c>
      <c r="CK299" s="8" t="n">
        <v>2</v>
      </c>
      <c r="CL299" s="8" t="n">
        <v>0</v>
      </c>
      <c r="CM299" s="9">
        <f>CI299+CJ299+CK299+CL299</f>
        <v/>
      </c>
      <c r="CN299" s="8" t="n">
        <v>585</v>
      </c>
      <c r="CO299" s="8" t="n">
        <v>32</v>
      </c>
      <c r="CP299" s="8" t="n">
        <v>32</v>
      </c>
      <c r="CQ299" s="8" t="n">
        <v>4</v>
      </c>
      <c r="CR299" s="9">
        <f>CN299+CO299+CP299+CQ299</f>
        <v/>
      </c>
      <c r="CS299" s="9">
        <f>CM299+CR299</f>
        <v/>
      </c>
      <c r="CT299" s="8" t="n">
        <v>2169</v>
      </c>
      <c r="CU299" s="8" t="n">
        <v>10691</v>
      </c>
      <c r="CV299" s="8" t="n">
        <v>10688.6</v>
      </c>
      <c r="CW299" s="10">
        <f>IF(CU299=0,"",CV299/CU299)</f>
        <v/>
      </c>
      <c r="CX299" s="8" t="n">
        <v>0</v>
      </c>
      <c r="CY299" s="8" t="n">
        <v>0</v>
      </c>
      <c r="CZ299" s="8" t="n">
        <v>0</v>
      </c>
      <c r="DA299" s="8" t="n">
        <v>0</v>
      </c>
      <c r="DB299" s="9">
        <f>CX299+CY299-CZ299-DA299</f>
        <v/>
      </c>
      <c r="DC299" s="8" t="n">
        <v>0</v>
      </c>
      <c r="DD299" s="8" t="n">
        <v>0</v>
      </c>
      <c r="DE299" s="8" t="n">
        <v>0</v>
      </c>
      <c r="DF299" s="8" t="n">
        <v>0</v>
      </c>
      <c r="DG299" s="9">
        <f>DC299+DD299-DE299-DF299</f>
        <v/>
      </c>
      <c r="DH299" s="8" t="n">
        <v>0</v>
      </c>
      <c r="DI299" s="8" t="n">
        <v>0</v>
      </c>
      <c r="DJ299" s="8" t="n">
        <v>0</v>
      </c>
      <c r="DK299" s="8" t="n">
        <v>0</v>
      </c>
      <c r="DL299" s="9">
        <f>DH299+DI299-DJ299-DK299</f>
        <v/>
      </c>
      <c r="DM299" s="8" t="n">
        <v>19</v>
      </c>
      <c r="DN299" s="8" t="n">
        <v>17</v>
      </c>
      <c r="DO299" s="8" t="n">
        <v>16</v>
      </c>
      <c r="DP299" s="8" t="n">
        <v>0</v>
      </c>
      <c r="DQ299" s="9">
        <f>DM299+DN299-DO299-DP299</f>
        <v/>
      </c>
      <c r="DR299" s="9">
        <f>CX299+DC299+DH299+DM299</f>
        <v/>
      </c>
      <c r="DS299" s="9">
        <f>CY299+DD299+DI299+DN299</f>
        <v/>
      </c>
      <c r="DT299" s="9">
        <f>CZ299+DE299+DJ299+DO299</f>
        <v/>
      </c>
      <c r="DU299" s="9">
        <f>DA299+DF299+DK299+DP299</f>
        <v/>
      </c>
      <c r="DV299" s="9">
        <f>DB299+DG299+DL299+DQ299</f>
        <v/>
      </c>
      <c r="DW299" s="8" t="n">
        <v>16</v>
      </c>
      <c r="DX299" s="8" t="n">
        <v>12</v>
      </c>
      <c r="DY299" s="8" t="n">
        <v>2</v>
      </c>
      <c r="DZ299" s="8" t="n">
        <v>1</v>
      </c>
      <c r="EA299" s="8" t="n">
        <v>0</v>
      </c>
      <c r="EB299" s="8" t="n">
        <v>2</v>
      </c>
      <c r="EC299" s="8" t="n">
        <v>1</v>
      </c>
      <c r="ED299" s="8" t="n">
        <v>3</v>
      </c>
      <c r="EE299" s="8" t="n">
        <v>2</v>
      </c>
      <c r="EF299" s="8" t="n">
        <v>0</v>
      </c>
      <c r="EG299" s="8" t="n">
        <v>0</v>
      </c>
      <c r="EH299" s="8" t="n">
        <v>0</v>
      </c>
      <c r="EI299" s="8" t="n">
        <v>0</v>
      </c>
      <c r="EJ299" s="8" t="n">
        <v>4</v>
      </c>
      <c r="EK299" s="8" t="n">
        <v>2</v>
      </c>
      <c r="EL299" s="8" t="n">
        <v>0</v>
      </c>
      <c r="EM299" s="8" t="n">
        <v>0</v>
      </c>
      <c r="EN299" s="8" t="n">
        <v>0</v>
      </c>
      <c r="EO299" s="8" t="n">
        <v>1</v>
      </c>
      <c r="EP299" s="8" t="n">
        <v>0</v>
      </c>
      <c r="EQ299" s="8" t="n">
        <v>0</v>
      </c>
      <c r="ER299" s="8" t="n">
        <v>0</v>
      </c>
      <c r="ES299" s="8" t="n">
        <v>0</v>
      </c>
      <c r="ET299" s="8" t="n">
        <v>0</v>
      </c>
      <c r="EU299" s="8" t="n">
        <v>0</v>
      </c>
      <c r="EV299" s="8" t="n">
        <v>0</v>
      </c>
      <c r="EW299" s="8" t="n">
        <v>0</v>
      </c>
      <c r="EX299" s="8" t="n">
        <v>0</v>
      </c>
      <c r="EY299" s="8" t="n">
        <v>0</v>
      </c>
      <c r="EZ299" s="8" t="n">
        <v>0</v>
      </c>
      <c r="FA299" s="8" t="n">
        <v>0</v>
      </c>
      <c r="FB299" s="8" t="n">
        <v>0</v>
      </c>
      <c r="FC299" s="8" t="n">
        <v>0</v>
      </c>
      <c r="FD299" s="8" t="n">
        <v>0</v>
      </c>
      <c r="FE299" s="8" t="n">
        <v>0</v>
      </c>
      <c r="FF299" s="8" t="n">
        <v>0</v>
      </c>
      <c r="FG299" s="9">
        <f>SUM(DW299,DX299,DY299,DZ299,EA299,EB299,EC299,ED299,EE299,EF299,EG299,EH299,EI299,EJ299,EK299,EL299,EM299,EN299,EO299,EP299,EQ299,ER299,ES299,ET299,EU299,EV299,EW299,EX299,EY299,EZ299,FA299,FB299,FC299,FD299,FE299,FF299)</f>
        <v/>
      </c>
      <c r="FH299" s="8" t="n">
        <v>0</v>
      </c>
      <c r="FI299" s="8" t="n">
        <v>0</v>
      </c>
      <c r="FJ299" s="8" t="n">
        <v>20</v>
      </c>
      <c r="FK299" s="8" t="n">
        <v>121</v>
      </c>
      <c r="FL299" s="8" t="n">
        <v>0</v>
      </c>
      <c r="FM299" s="8" t="n">
        <v>0</v>
      </c>
      <c r="FN299" s="8" t="n">
        <v>0</v>
      </c>
      <c r="FO299" s="8" t="n">
        <v>0</v>
      </c>
      <c r="FP299" s="8" t="n">
        <v>0</v>
      </c>
      <c r="FQ299" s="9">
        <f>FL299+FM299+FN299+FO299+FP299</f>
        <v/>
      </c>
      <c r="FR299" s="8" t="n">
        <v>8753189.59</v>
      </c>
      <c r="FS299" s="8" t="n">
        <v>0</v>
      </c>
      <c r="FT299" s="8" t="n">
        <v>15000</v>
      </c>
      <c r="FU299" s="8" t="n">
        <v>20000</v>
      </c>
      <c r="FV299" s="9">
        <f>FR299+FS299+FT299+FU299</f>
        <v/>
      </c>
      <c r="FW299" s="8" t="n">
        <v>8215548.28</v>
      </c>
      <c r="FX299" s="8" t="n">
        <v>33100</v>
      </c>
      <c r="FY299" s="8" t="n">
        <v>1148800</v>
      </c>
      <c r="FZ299" s="8" t="n">
        <v>7311600</v>
      </c>
      <c r="GA299" s="9">
        <f>FW299+FX299+FY299+FZ299</f>
        <v/>
      </c>
      <c r="GB299" s="9">
        <f>FV299+GA299</f>
        <v/>
      </c>
      <c r="GC299" s="8" t="n">
        <v>5406523.28</v>
      </c>
      <c r="GD299" s="8" t="n">
        <v>0</v>
      </c>
      <c r="GE299" s="8" t="n">
        <v>92231.36</v>
      </c>
      <c r="GF299" s="8" t="n">
        <v>60293.58</v>
      </c>
      <c r="GG299" s="9">
        <f>GC299+GD299+GE299+GF299</f>
        <v/>
      </c>
      <c r="GH299" s="8" t="n">
        <v>8119098.1</v>
      </c>
      <c r="GI299" s="8" t="n">
        <v>33100</v>
      </c>
      <c r="GJ299" s="8" t="n">
        <v>7311600</v>
      </c>
      <c r="GK299" s="8" t="n">
        <v>1148800</v>
      </c>
      <c r="GL299" s="9">
        <f>GH299+GI299+GJ299+GK299</f>
        <v/>
      </c>
      <c r="GM299" s="9">
        <f>GG299+GL299</f>
        <v/>
      </c>
      <c r="GN299" s="8" t="n">
        <v>427359.14</v>
      </c>
      <c r="GO299" s="8" t="n">
        <v>0</v>
      </c>
      <c r="GP299" s="8" t="n">
        <v>16968.2</v>
      </c>
      <c r="GQ299" s="8" t="n">
        <v>9274.68</v>
      </c>
      <c r="GR299" s="9">
        <f>GN299+GO299+GP299+GQ299</f>
        <v/>
      </c>
      <c r="GS299" s="8" t="n">
        <v>702791</v>
      </c>
      <c r="GT299" s="8" t="n">
        <v>0</v>
      </c>
      <c r="GU299" s="8" t="n">
        <v>4465</v>
      </c>
      <c r="GV299" s="8" t="n">
        <v>1786</v>
      </c>
      <c r="GW299" s="9">
        <f>GS299+GT299+GU299+GV299</f>
        <v/>
      </c>
      <c r="GX299" s="9">
        <f>GM299+GR299+GW299</f>
        <v/>
      </c>
      <c r="GY299" s="8" t="n">
        <v>93174249.01999997</v>
      </c>
      <c r="GZ299" s="8" t="n">
        <v>0</v>
      </c>
      <c r="HA299" s="9">
        <f>GY299+GZ299</f>
        <v/>
      </c>
      <c r="HB299" s="9">
        <f>IF(GX299=0,"",AU299/GX299)</f>
        <v/>
      </c>
      <c r="HC299" s="10">
        <f>IF((GX299+GY299)=0,"",GB299/(GX299+GY299))</f>
        <v/>
      </c>
      <c r="HD299" s="9">
        <f>IF(GX299=0,"",GB299/GX299)</f>
        <v/>
      </c>
      <c r="HE299" s="8" t="n">
        <v>13</v>
      </c>
      <c r="HF299" s="8" t="n">
        <v>2</v>
      </c>
      <c r="HG299" s="8" t="n">
        <v>61</v>
      </c>
      <c r="HH299" s="8" t="n">
        <v>13</v>
      </c>
      <c r="HI299" s="8" t="n">
        <v>4</v>
      </c>
      <c r="HJ299" s="9">
        <f>HF299+HI299</f>
        <v/>
      </c>
      <c r="HK299" s="10">
        <f>IF(HE299=0,"",HH299/HE299)</f>
        <v/>
      </c>
      <c r="HL299" s="8" t="n">
        <v>61</v>
      </c>
      <c r="HM299" s="8" t="n">
        <v>4</v>
      </c>
      <c r="HN299" s="11">
        <f>IF(HL299=0,"",HM299/HL299)</f>
        <v/>
      </c>
    </row>
    <row r="300">
      <c r="A300" s="12" t="inlineStr">
        <is>
          <t>Zomba</t>
        </is>
      </c>
      <c r="B300" s="12" t="inlineStr">
        <is>
          <t>Domasi</t>
        </is>
      </c>
      <c r="C300" s="13" t="inlineStr">
        <is>
          <t>FY2025/26</t>
        </is>
      </c>
      <c r="D300" s="13" t="n">
        <v>2026</v>
      </c>
      <c r="E300" s="13" t="n">
        <v>1</v>
      </c>
      <c r="F300" s="13" t="inlineStr">
        <is>
          <t>January</t>
        </is>
      </c>
      <c r="G300" s="13" t="inlineStr">
        <is>
          <t>Q4</t>
        </is>
      </c>
      <c r="H300" s="14" t="n">
        <v>27149</v>
      </c>
      <c r="I300" s="14" t="n">
        <v>6250</v>
      </c>
      <c r="J300" s="14" t="n">
        <v>5</v>
      </c>
      <c r="K300" s="14" t="n">
        <v>33</v>
      </c>
      <c r="L300" s="14" t="n">
        <v>8</v>
      </c>
      <c r="M300" s="15" t="n">
        <v>6296</v>
      </c>
      <c r="N300" s="14" t="n">
        <v>6367.200000000027</v>
      </c>
      <c r="O300" s="14" t="n">
        <v>164.2</v>
      </c>
      <c r="P300" s="14" t="n">
        <v>10449.4</v>
      </c>
      <c r="Q300" s="14" t="n">
        <v>1687.7</v>
      </c>
      <c r="R300" s="15" t="n">
        <v>18668.50000000003</v>
      </c>
      <c r="S300" s="15" t="n">
        <v>24964.50000000003</v>
      </c>
      <c r="T300" s="14" t="n">
        <v>2184.499999999971</v>
      </c>
      <c r="U300" s="16" t="n">
        <v>0.08046336881652992</v>
      </c>
      <c r="V300" s="14" t="n">
        <v>50</v>
      </c>
      <c r="W300" s="17" t="n">
        <v>1.84168845998011</v>
      </c>
      <c r="X300" s="14" t="n">
        <v>200</v>
      </c>
      <c r="Y300" s="17" t="n">
        <v>7.366753839920439</v>
      </c>
      <c r="Z300" s="14" t="n">
        <v>100</v>
      </c>
      <c r="AA300" s="17" t="n">
        <v>3.68337691996022</v>
      </c>
      <c r="AB300" s="14" t="n">
        <v>0</v>
      </c>
      <c r="AC300" s="17" t="n">
        <v>0</v>
      </c>
      <c r="AD300" s="14" t="n">
        <v>0</v>
      </c>
      <c r="AE300" s="17" t="n">
        <v>0</v>
      </c>
      <c r="AF300" s="14" t="n">
        <v>0</v>
      </c>
      <c r="AG300" s="17" t="n">
        <v>0</v>
      </c>
      <c r="AH300" s="14" t="n">
        <v>4251600</v>
      </c>
      <c r="AI300" s="15" t="n">
        <v>156.6024531290287</v>
      </c>
      <c r="AJ300" s="14" t="n">
        <v>102.86</v>
      </c>
      <c r="AK300" s="17" t="n">
        <v>0.003788721499871082</v>
      </c>
      <c r="AL300" s="14" t="n">
        <v>59719.01374</v>
      </c>
      <c r="AM300" s="15" t="n">
        <v>2.199676368927032</v>
      </c>
      <c r="AN300" s="14" t="n">
        <v>0</v>
      </c>
      <c r="AO300" s="14" t="n">
        <v>0</v>
      </c>
      <c r="AP300" s="14" t="n">
        <v>0</v>
      </c>
      <c r="AQ300" s="14" t="n">
        <v>0</v>
      </c>
      <c r="AR300" s="14" t="n">
        <v>0</v>
      </c>
      <c r="AS300" s="14" t="n">
        <v>0</v>
      </c>
      <c r="AT300" s="14" t="n">
        <v>0</v>
      </c>
      <c r="AU300" s="15" t="n">
        <v>4311319.01374</v>
      </c>
      <c r="AV300" s="15" t="n">
        <v>158.8021294979557</v>
      </c>
      <c r="AW300" s="15" t="n">
        <v>172.6979916978107</v>
      </c>
      <c r="AX300" s="14" t="n">
        <v>7</v>
      </c>
      <c r="AY300" s="15" t="n">
        <v>7.992927916313676</v>
      </c>
      <c r="AZ300" s="14" t="n">
        <v>17</v>
      </c>
      <c r="BA300" s="14" t="n">
        <v>53</v>
      </c>
      <c r="BB300" s="14" t="n">
        <v>13</v>
      </c>
      <c r="BC300" s="14" t="n">
        <v>5</v>
      </c>
      <c r="BD300" s="14" t="n">
        <v>0</v>
      </c>
      <c r="BE300" s="15" t="n">
        <v>5</v>
      </c>
      <c r="BF300" s="15" t="n">
        <v>61</v>
      </c>
      <c r="BG300" s="14" t="n">
        <v>2</v>
      </c>
      <c r="BH300" s="14" t="n">
        <v>0</v>
      </c>
      <c r="BI300" s="14" t="n">
        <v>0</v>
      </c>
      <c r="BJ300" s="14" t="n">
        <v>0</v>
      </c>
      <c r="BK300" s="15" t="n">
        <v>0</v>
      </c>
      <c r="BL300" s="15" t="n">
        <v>2</v>
      </c>
      <c r="BM300" s="14" t="n">
        <v>5</v>
      </c>
      <c r="BN300" s="14" t="n">
        <v>1</v>
      </c>
      <c r="BO300" s="14" t="n">
        <v>0</v>
      </c>
      <c r="BP300" s="14" t="n">
        <v>0</v>
      </c>
      <c r="BQ300" s="15" t="n">
        <v>0</v>
      </c>
      <c r="BR300" s="15" t="n">
        <v>6</v>
      </c>
      <c r="BS300" s="14" t="n">
        <v>1</v>
      </c>
      <c r="BT300" s="14" t="n">
        <v>0</v>
      </c>
      <c r="BU300" s="14" t="n">
        <v>1</v>
      </c>
      <c r="BV300" s="14" t="n">
        <v>0</v>
      </c>
      <c r="BW300" s="15" t="n">
        <v>1</v>
      </c>
      <c r="BX300" s="15" t="n">
        <v>0</v>
      </c>
      <c r="BY300" s="15" t="n">
        <v>61</v>
      </c>
      <c r="BZ300" s="15" t="n">
        <v>14</v>
      </c>
      <c r="CA300" s="15" t="n">
        <v>6</v>
      </c>
      <c r="CB300" s="15" t="n">
        <v>69</v>
      </c>
      <c r="CC300" s="14" t="n">
        <v>0</v>
      </c>
      <c r="CD300" s="14" t="n">
        <v>719</v>
      </c>
      <c r="CE300" s="14" t="n">
        <v>6</v>
      </c>
      <c r="CF300" s="14" t="n">
        <v>3</v>
      </c>
      <c r="CG300" s="14" t="n">
        <v>3</v>
      </c>
      <c r="CH300" s="15" t="n">
        <v>731</v>
      </c>
      <c r="CI300" s="14" t="n">
        <v>789</v>
      </c>
      <c r="CJ300" s="14" t="n">
        <v>6</v>
      </c>
      <c r="CK300" s="14" t="n">
        <v>2</v>
      </c>
      <c r="CL300" s="14" t="n">
        <v>1</v>
      </c>
      <c r="CM300" s="15" t="n">
        <v>798</v>
      </c>
      <c r="CN300" s="14" t="n">
        <v>578</v>
      </c>
      <c r="CO300" s="14" t="n">
        <v>32</v>
      </c>
      <c r="CP300" s="14" t="n">
        <v>32</v>
      </c>
      <c r="CQ300" s="14" t="n">
        <v>4</v>
      </c>
      <c r="CR300" s="15" t="n">
        <v>646</v>
      </c>
      <c r="CS300" s="15" t="n">
        <v>1444</v>
      </c>
      <c r="CT300" s="14" t="n">
        <v>2175</v>
      </c>
      <c r="CU300" s="14" t="n">
        <v>10700</v>
      </c>
      <c r="CV300" s="14" t="n">
        <v>10697.6</v>
      </c>
      <c r="CW300" s="16" t="n">
        <v>0.9997757009345795</v>
      </c>
      <c r="CX300" s="14" t="n">
        <v>0</v>
      </c>
      <c r="CY300" s="14" t="n">
        <v>0</v>
      </c>
      <c r="CZ300" s="14" t="n">
        <v>0</v>
      </c>
      <c r="DA300" s="14" t="n">
        <v>0</v>
      </c>
      <c r="DB300" s="15" t="n">
        <v>0</v>
      </c>
      <c r="DC300" s="14" t="n">
        <v>0</v>
      </c>
      <c r="DD300" s="14" t="n">
        <v>0</v>
      </c>
      <c r="DE300" s="14" t="n">
        <v>0</v>
      </c>
      <c r="DF300" s="14" t="n">
        <v>0</v>
      </c>
      <c r="DG300" s="15" t="n">
        <v>0</v>
      </c>
      <c r="DH300" s="14" t="n">
        <v>0</v>
      </c>
      <c r="DI300" s="14" t="n">
        <v>0</v>
      </c>
      <c r="DJ300" s="14" t="n">
        <v>0</v>
      </c>
      <c r="DK300" s="14" t="n">
        <v>0</v>
      </c>
      <c r="DL300" s="15" t="n">
        <v>0</v>
      </c>
      <c r="DM300" s="14" t="n">
        <v>20</v>
      </c>
      <c r="DN300" s="14" t="n">
        <v>4</v>
      </c>
      <c r="DO300" s="14" t="n">
        <v>9</v>
      </c>
      <c r="DP300" s="14" t="n">
        <v>0</v>
      </c>
      <c r="DQ300" s="15" t="n">
        <v>15</v>
      </c>
      <c r="DR300" s="15" t="n">
        <v>20</v>
      </c>
      <c r="DS300" s="15" t="n">
        <v>4</v>
      </c>
      <c r="DT300" s="15" t="n">
        <v>9</v>
      </c>
      <c r="DU300" s="15" t="n">
        <v>0</v>
      </c>
      <c r="DV300" s="15" t="n">
        <v>15</v>
      </c>
      <c r="DW300" s="14" t="n">
        <v>12</v>
      </c>
      <c r="DX300" s="14" t="n">
        <v>9</v>
      </c>
      <c r="DY300" s="14" t="n">
        <v>4</v>
      </c>
      <c r="DZ300" s="14" t="n">
        <v>3</v>
      </c>
      <c r="EA300" s="14" t="n">
        <v>3</v>
      </c>
      <c r="EB300" s="14" t="n">
        <v>5</v>
      </c>
      <c r="EC300" s="14" t="n">
        <v>0</v>
      </c>
      <c r="ED300" s="14" t="n">
        <v>0</v>
      </c>
      <c r="EE300" s="14" t="n">
        <v>1</v>
      </c>
      <c r="EF300" s="14" t="n">
        <v>2</v>
      </c>
      <c r="EG300" s="14" t="n">
        <v>0</v>
      </c>
      <c r="EH300" s="14" t="n">
        <v>0</v>
      </c>
      <c r="EI300" s="14" t="n">
        <v>0</v>
      </c>
      <c r="EJ300" s="14" t="n">
        <v>3</v>
      </c>
      <c r="EK300" s="14" t="n">
        <v>3</v>
      </c>
      <c r="EL300" s="14" t="n">
        <v>1</v>
      </c>
      <c r="EM300" s="14" t="n">
        <v>0</v>
      </c>
      <c r="EN300" s="14" t="n">
        <v>1</v>
      </c>
      <c r="EO300" s="14" t="n">
        <v>0</v>
      </c>
      <c r="EP300" s="14" t="n">
        <v>0</v>
      </c>
      <c r="EQ300" s="14" t="n">
        <v>0</v>
      </c>
      <c r="ER300" s="14" t="n">
        <v>0</v>
      </c>
      <c r="ES300" s="14" t="n">
        <v>0</v>
      </c>
      <c r="ET300" s="14" t="n">
        <v>0</v>
      </c>
      <c r="EU300" s="14" t="n">
        <v>0</v>
      </c>
      <c r="EV300" s="14" t="n">
        <v>0</v>
      </c>
      <c r="EW300" s="14" t="n">
        <v>0</v>
      </c>
      <c r="EX300" s="14" t="n">
        <v>0</v>
      </c>
      <c r="EY300" s="14" t="n">
        <v>0</v>
      </c>
      <c r="EZ300" s="14" t="n">
        <v>0</v>
      </c>
      <c r="FA300" s="14" t="n">
        <v>0</v>
      </c>
      <c r="FB300" s="14" t="n">
        <v>0</v>
      </c>
      <c r="FC300" s="14" t="n">
        <v>0</v>
      </c>
      <c r="FD300" s="14" t="n">
        <v>0</v>
      </c>
      <c r="FE300" s="14" t="n">
        <v>0</v>
      </c>
      <c r="FF300" s="14" t="n">
        <v>0</v>
      </c>
      <c r="FG300" s="15" t="n">
        <v>47</v>
      </c>
      <c r="FH300" s="14" t="n">
        <v>0</v>
      </c>
      <c r="FI300" s="14" t="n">
        <v>0</v>
      </c>
      <c r="FJ300" s="14" t="n">
        <v>22</v>
      </c>
      <c r="FK300" s="14" t="n">
        <v>7</v>
      </c>
      <c r="FL300" s="14" t="n">
        <v>0</v>
      </c>
      <c r="FM300" s="14" t="n">
        <v>0</v>
      </c>
      <c r="FN300" s="14" t="n">
        <v>0</v>
      </c>
      <c r="FO300" s="14" t="n">
        <v>0</v>
      </c>
      <c r="FP300" s="14" t="n">
        <v>0</v>
      </c>
      <c r="FQ300" s="15" t="n">
        <v>0</v>
      </c>
      <c r="FR300" s="14" t="n">
        <v>8736800.989999998</v>
      </c>
      <c r="FS300" s="14" t="n">
        <v>0</v>
      </c>
      <c r="FT300" s="14" t="n">
        <v>35000</v>
      </c>
      <c r="FU300" s="14" t="n">
        <v>20000</v>
      </c>
      <c r="FV300" s="15" t="n">
        <v>8791800.989999998</v>
      </c>
      <c r="FW300" s="14" t="n">
        <v>8041887.56</v>
      </c>
      <c r="FX300" s="14" t="n">
        <v>34900</v>
      </c>
      <c r="FY300" s="14" t="n">
        <v>7981800</v>
      </c>
      <c r="FZ300" s="14" t="n">
        <v>31762089.4</v>
      </c>
      <c r="GA300" s="15" t="n">
        <v>47820676.95999999</v>
      </c>
      <c r="GB300" s="15" t="n">
        <v>56612477.94999999</v>
      </c>
      <c r="GC300" s="14" t="n">
        <v>5459175.49</v>
      </c>
      <c r="GD300" s="14" t="n">
        <v>956.4</v>
      </c>
      <c r="GE300" s="14" t="n">
        <v>87601.78</v>
      </c>
      <c r="GF300" s="14" t="n">
        <v>16821.98</v>
      </c>
      <c r="GG300" s="15" t="n">
        <v>5564555.650000001</v>
      </c>
      <c r="GH300" s="14" t="n">
        <v>7944979.89</v>
      </c>
      <c r="GI300" s="14" t="n">
        <v>34900</v>
      </c>
      <c r="GJ300" s="14" t="n">
        <v>31762089.4</v>
      </c>
      <c r="GK300" s="14" t="n">
        <v>7981800</v>
      </c>
      <c r="GL300" s="15" t="n">
        <v>47723769.29</v>
      </c>
      <c r="GM300" s="15" t="n">
        <v>53288324.94</v>
      </c>
      <c r="GN300" s="14" t="n">
        <v>428449</v>
      </c>
      <c r="GO300" s="14" t="n">
        <v>191.28</v>
      </c>
      <c r="GP300" s="14" t="n">
        <v>20361.84</v>
      </c>
      <c r="GQ300" s="14" t="n">
        <v>9274.68</v>
      </c>
      <c r="GR300" s="15" t="n">
        <v>458276.8</v>
      </c>
      <c r="GS300" s="14" t="n">
        <v>704577</v>
      </c>
      <c r="GT300" s="14" t="n">
        <v>893</v>
      </c>
      <c r="GU300" s="14" t="n">
        <v>5358</v>
      </c>
      <c r="GV300" s="14" t="n">
        <v>1786</v>
      </c>
      <c r="GW300" s="15" t="n">
        <v>712614</v>
      </c>
      <c r="GX300" s="15" t="n">
        <v>54459215.73999999</v>
      </c>
      <c r="GY300" s="14" t="n">
        <v>54718304.65000002</v>
      </c>
      <c r="GZ300" s="14" t="n">
        <v>0</v>
      </c>
      <c r="HA300" s="9">
        <f>GY300+GZ300</f>
        <v/>
      </c>
      <c r="HB300" s="15" t="n">
        <v>54459215.73999999</v>
      </c>
      <c r="HC300" s="16" t="n">
        <v>0</v>
      </c>
      <c r="HD300" s="15" t="n">
        <v>0</v>
      </c>
      <c r="HE300" s="14" t="n">
        <v>14</v>
      </c>
      <c r="HF300" s="14" t="n">
        <v>2</v>
      </c>
      <c r="HG300" s="14" t="n">
        <v>69</v>
      </c>
      <c r="HH300" s="14" t="n">
        <v>14</v>
      </c>
      <c r="HI300" s="14" t="n">
        <v>6</v>
      </c>
      <c r="HJ300" s="15" t="n">
        <v>0.4285714285714285</v>
      </c>
      <c r="HK300" s="16" t="n">
        <v>8.695652173913043</v>
      </c>
      <c r="HL300" s="14" t="n">
        <v>29</v>
      </c>
      <c r="HM300" s="14" t="n">
        <v>7</v>
      </c>
      <c r="HN300" s="17" t="n">
        <v>4.142857142857143</v>
      </c>
    </row>
    <row r="301">
      <c r="A301" s="6" t="inlineStr">
        <is>
          <t>Zomba</t>
        </is>
      </c>
      <c r="B301" s="6" t="inlineStr">
        <is>
          <t>Domasi</t>
        </is>
      </c>
      <c r="C301" s="7" t="inlineStr">
        <is>
          <t>FY2025/26</t>
        </is>
      </c>
      <c r="D301" s="7" t="n">
        <v>2026</v>
      </c>
      <c r="E301" s="7" t="n">
        <v>2</v>
      </c>
      <c r="F301" s="7" t="inlineStr">
        <is>
          <t>February</t>
        </is>
      </c>
      <c r="G301" s="7" t="inlineStr">
        <is>
          <t>Q4</t>
        </is>
      </c>
      <c r="H301" s="8" t="n">
        <v>26098</v>
      </c>
      <c r="I301" s="8" t="n">
        <v>5248</v>
      </c>
      <c r="J301" s="8" t="n">
        <v>11</v>
      </c>
      <c r="K301" s="8" t="n">
        <v>45</v>
      </c>
      <c r="L301" s="8" t="n">
        <v>9</v>
      </c>
      <c r="M301" s="9">
        <f>SUM(I301,J301,K301,L301)</f>
        <v/>
      </c>
      <c r="N301" s="8" t="n">
        <v>7972.800000000012</v>
      </c>
      <c r="O301" s="8" t="n">
        <v>157.7</v>
      </c>
      <c r="P301" s="8" t="n">
        <v>5542.499999999999</v>
      </c>
      <c r="Q301" s="8" t="n">
        <v>299.0999999999999</v>
      </c>
      <c r="R301" s="9">
        <f>SUM(N301,O301,P301,Q301)</f>
        <v/>
      </c>
      <c r="S301" s="9">
        <f>M301+R301</f>
        <v/>
      </c>
      <c r="T301" s="8" t="n">
        <v>6812.899999999987</v>
      </c>
      <c r="U301" s="10">
        <f>IF(H301=0,"",T301/H301)</f>
        <v/>
      </c>
      <c r="V301" s="8" t="n">
        <v>62</v>
      </c>
      <c r="W301" s="11">
        <f>IF(H301=0,"",V301/H301)</f>
        <v/>
      </c>
      <c r="X301" s="8" t="n">
        <v>50</v>
      </c>
      <c r="Y301" s="11">
        <f>IF(H301=0,"",X301/H301)</f>
        <v/>
      </c>
      <c r="Z301" s="8" t="n">
        <v>25</v>
      </c>
      <c r="AA301" s="11">
        <f>IF(H301=0,"",Z301/H301)</f>
        <v/>
      </c>
      <c r="AB301" s="8" t="n">
        <v>0</v>
      </c>
      <c r="AC301" s="11">
        <f>IF(H301=0,"",AB301/H301)</f>
        <v/>
      </c>
      <c r="AD301" s="8" t="n">
        <v>0</v>
      </c>
      <c r="AE301" s="11">
        <f>IF(H301=0,"",AD301/H301)</f>
        <v/>
      </c>
      <c r="AF301" s="8" t="n">
        <v>0</v>
      </c>
      <c r="AG301" s="11">
        <f>IF(H301=0,"",AF301/H301)</f>
        <v/>
      </c>
      <c r="AH301" s="8" t="n">
        <v>2349900</v>
      </c>
      <c r="AI301" s="9">
        <f>IF(H301=0,"",AH301/H301)</f>
        <v/>
      </c>
      <c r="AJ301" s="8" t="n">
        <v>56.78</v>
      </c>
      <c r="AK301" s="11">
        <f>IF(H301=0,"",AJ301/H301)</f>
        <v/>
      </c>
      <c r="AL301" s="8" t="n">
        <v>47124.93502</v>
      </c>
      <c r="AM301" s="9">
        <f>IF(H301=0,"",AL301/H301)</f>
        <v/>
      </c>
      <c r="AN301" s="8" t="n">
        <v>0</v>
      </c>
      <c r="AO301" s="8" t="n">
        <v>0</v>
      </c>
      <c r="AP301" s="8" t="n">
        <v>0</v>
      </c>
      <c r="AQ301" s="8" t="n">
        <v>0</v>
      </c>
      <c r="AR301" s="8" t="n">
        <v>0</v>
      </c>
      <c r="AS301" s="8" t="n">
        <v>0</v>
      </c>
      <c r="AT301" s="8" t="n">
        <v>0</v>
      </c>
      <c r="AU301" s="9">
        <f>AH301+AL301+AP301+AQ301+AR301+AS301+AT301</f>
        <v/>
      </c>
      <c r="AV301" s="9">
        <f>IF(H301=0,"",AU301/H301)</f>
        <v/>
      </c>
      <c r="AW301" s="9">
        <f>IF(S301=0,"",AU301/S301)</f>
        <v/>
      </c>
      <c r="AX301" s="8" t="n">
        <v>7</v>
      </c>
      <c r="AY301" s="9">
        <f>IF(H301=0,"",AX301/(H301/1000/12))</f>
        <v/>
      </c>
      <c r="AZ301" s="8" t="n">
        <v>17</v>
      </c>
      <c r="BA301" s="8" t="n">
        <v>61</v>
      </c>
      <c r="BB301" s="8" t="n">
        <v>10</v>
      </c>
      <c r="BC301" s="8" t="n">
        <v>15</v>
      </c>
      <c r="BD301" s="8" t="n">
        <v>0</v>
      </c>
      <c r="BE301" s="9">
        <f>BC301+BD301</f>
        <v/>
      </c>
      <c r="BF301" s="9">
        <f>BA301+BB301-BE301</f>
        <v/>
      </c>
      <c r="BG301" s="8" t="n">
        <v>2</v>
      </c>
      <c r="BH301" s="8" t="n">
        <v>0</v>
      </c>
      <c r="BI301" s="8" t="n">
        <v>0</v>
      </c>
      <c r="BJ301" s="8" t="n">
        <v>0</v>
      </c>
      <c r="BK301" s="9">
        <f>BI301+BJ301</f>
        <v/>
      </c>
      <c r="BL301" s="9">
        <f>BG301+BH301-BK301</f>
        <v/>
      </c>
      <c r="BM301" s="8" t="n">
        <v>6</v>
      </c>
      <c r="BN301" s="8" t="n">
        <v>1</v>
      </c>
      <c r="BO301" s="8" t="n">
        <v>0</v>
      </c>
      <c r="BP301" s="8" t="n">
        <v>0</v>
      </c>
      <c r="BQ301" s="9">
        <f>BO301+BP301</f>
        <v/>
      </c>
      <c r="BR301" s="9">
        <f>BM301+BN301-BQ301</f>
        <v/>
      </c>
      <c r="BS301" s="8" t="n">
        <v>0</v>
      </c>
      <c r="BT301" s="8" t="n">
        <v>0</v>
      </c>
      <c r="BU301" s="8" t="n">
        <v>0</v>
      </c>
      <c r="BV301" s="8" t="n">
        <v>0</v>
      </c>
      <c r="BW301" s="9">
        <f>BU301+BV301</f>
        <v/>
      </c>
      <c r="BX301" s="9">
        <f>BS301+BT301-BW301</f>
        <v/>
      </c>
      <c r="BY301" s="9">
        <f>BA301+BG301+BM301+BS301</f>
        <v/>
      </c>
      <c r="BZ301" s="9">
        <f>BB301+BH301+BN301+BT301</f>
        <v/>
      </c>
      <c r="CA301" s="9">
        <f>BE301+BK301+BQ301+BW301</f>
        <v/>
      </c>
      <c r="CB301" s="9">
        <f>BF301+BL301+BR301+BX301</f>
        <v/>
      </c>
      <c r="CC301" s="8" t="n">
        <v>0</v>
      </c>
      <c r="CD301" s="8" t="n">
        <v>732</v>
      </c>
      <c r="CE301" s="8" t="n">
        <v>10</v>
      </c>
      <c r="CF301" s="8" t="n">
        <v>7</v>
      </c>
      <c r="CG301" s="8" t="n">
        <v>3</v>
      </c>
      <c r="CH301" s="9">
        <f>CD301+CE301+CF301+CG301</f>
        <v/>
      </c>
      <c r="CI301" s="8" t="n">
        <v>811</v>
      </c>
      <c r="CJ301" s="8" t="n">
        <v>5</v>
      </c>
      <c r="CK301" s="8" t="n">
        <v>2</v>
      </c>
      <c r="CL301" s="8" t="n">
        <v>1</v>
      </c>
      <c r="CM301" s="9">
        <f>CI301+CJ301+CK301+CL301</f>
        <v/>
      </c>
      <c r="CN301" s="8" t="n">
        <v>558</v>
      </c>
      <c r="CO301" s="8" t="n">
        <v>29</v>
      </c>
      <c r="CP301" s="8" t="n">
        <v>28</v>
      </c>
      <c r="CQ301" s="8" t="n">
        <v>4</v>
      </c>
      <c r="CR301" s="9">
        <f>CN301+CO301+CP301+CQ301</f>
        <v/>
      </c>
      <c r="CS301" s="9">
        <f>CM301+CR301</f>
        <v/>
      </c>
      <c r="CT301" s="8" t="n">
        <v>2190</v>
      </c>
      <c r="CU301" s="8" t="n">
        <v>10709</v>
      </c>
      <c r="CV301" s="8" t="n">
        <v>10706.6</v>
      </c>
      <c r="CW301" s="10">
        <f>IF(CU301=0,"",CV301/CU301)</f>
        <v/>
      </c>
      <c r="CX301" s="8" t="n">
        <v>0</v>
      </c>
      <c r="CY301" s="8" t="n">
        <v>0</v>
      </c>
      <c r="CZ301" s="8" t="n">
        <v>0</v>
      </c>
      <c r="DA301" s="8" t="n">
        <v>0</v>
      </c>
      <c r="DB301" s="9">
        <f>CX301+CY301-CZ301-DA301</f>
        <v/>
      </c>
      <c r="DC301" s="8" t="n">
        <v>0</v>
      </c>
      <c r="DD301" s="8" t="n">
        <v>0</v>
      </c>
      <c r="DE301" s="8" t="n">
        <v>0</v>
      </c>
      <c r="DF301" s="8" t="n">
        <v>0</v>
      </c>
      <c r="DG301" s="9">
        <f>DC301+DD301-DE301-DF301</f>
        <v/>
      </c>
      <c r="DH301" s="8" t="n">
        <v>0</v>
      </c>
      <c r="DI301" s="8" t="n">
        <v>0</v>
      </c>
      <c r="DJ301" s="8" t="n">
        <v>0</v>
      </c>
      <c r="DK301" s="8" t="n">
        <v>0</v>
      </c>
      <c r="DL301" s="9">
        <f>DH301+DI301-DJ301-DK301</f>
        <v/>
      </c>
      <c r="DM301" s="8" t="n">
        <v>15</v>
      </c>
      <c r="DN301" s="8" t="n">
        <v>0</v>
      </c>
      <c r="DO301" s="8" t="n">
        <v>8</v>
      </c>
      <c r="DP301" s="8" t="n">
        <v>0</v>
      </c>
      <c r="DQ301" s="9">
        <f>DM301+DN301-DO301-DP301</f>
        <v/>
      </c>
      <c r="DR301" s="9">
        <f>CX301+DC301+DH301+DM301</f>
        <v/>
      </c>
      <c r="DS301" s="9">
        <f>CY301+DD301+DI301+DN301</f>
        <v/>
      </c>
      <c r="DT301" s="9">
        <f>CZ301+DE301+DJ301+DO301</f>
        <v/>
      </c>
      <c r="DU301" s="9">
        <f>DA301+DF301+DK301+DP301</f>
        <v/>
      </c>
      <c r="DV301" s="9">
        <f>DB301+DG301+DL301+DQ301</f>
        <v/>
      </c>
      <c r="DW301" s="8" t="n">
        <v>8</v>
      </c>
      <c r="DX301" s="8" t="n">
        <v>11</v>
      </c>
      <c r="DY301" s="8" t="n">
        <v>8</v>
      </c>
      <c r="DZ301" s="8" t="n">
        <v>3</v>
      </c>
      <c r="EA301" s="8" t="n">
        <v>2</v>
      </c>
      <c r="EB301" s="8" t="n">
        <v>4</v>
      </c>
      <c r="EC301" s="8" t="n">
        <v>1</v>
      </c>
      <c r="ED301" s="8" t="n">
        <v>1</v>
      </c>
      <c r="EE301" s="8" t="n">
        <v>4</v>
      </c>
      <c r="EF301" s="8" t="n">
        <v>1</v>
      </c>
      <c r="EG301" s="8" t="n">
        <v>0</v>
      </c>
      <c r="EH301" s="8" t="n">
        <v>0</v>
      </c>
      <c r="EI301" s="8" t="n">
        <v>0</v>
      </c>
      <c r="EJ301" s="8" t="n">
        <v>4</v>
      </c>
      <c r="EK301" s="8" t="n">
        <v>2</v>
      </c>
      <c r="EL301" s="8" t="n">
        <v>1</v>
      </c>
      <c r="EM301" s="8" t="n">
        <v>0</v>
      </c>
      <c r="EN301" s="8" t="n">
        <v>1</v>
      </c>
      <c r="EO301" s="8" t="n">
        <v>0</v>
      </c>
      <c r="EP301" s="8" t="n">
        <v>0</v>
      </c>
      <c r="EQ301" s="8" t="n">
        <v>0</v>
      </c>
      <c r="ER301" s="8" t="n">
        <v>0</v>
      </c>
      <c r="ES301" s="8" t="n">
        <v>0</v>
      </c>
      <c r="ET301" s="8" t="n">
        <v>0</v>
      </c>
      <c r="EU301" s="8" t="n">
        <v>0</v>
      </c>
      <c r="EV301" s="8" t="n">
        <v>0</v>
      </c>
      <c r="EW301" s="8" t="n">
        <v>0</v>
      </c>
      <c r="EX301" s="8" t="n">
        <v>0</v>
      </c>
      <c r="EY301" s="8" t="n">
        <v>0</v>
      </c>
      <c r="EZ301" s="8" t="n">
        <v>0</v>
      </c>
      <c r="FA301" s="8" t="n">
        <v>0</v>
      </c>
      <c r="FB301" s="8" t="n">
        <v>0</v>
      </c>
      <c r="FC301" s="8" t="n">
        <v>0</v>
      </c>
      <c r="FD301" s="8" t="n">
        <v>0</v>
      </c>
      <c r="FE301" s="8" t="n">
        <v>0</v>
      </c>
      <c r="FF301" s="8" t="n">
        <v>0</v>
      </c>
      <c r="FG301" s="9">
        <f>SUM(DW301,DX301,DY301,DZ301,EA301,EB301,EC301,ED301,EE301,EF301,EG301,EH301,EI301,EJ301,EK301,EL301,EM301,EN301,EO301,EP301,EQ301,ER301,ES301,ET301,EU301,EV301,EW301,EX301,EY301,EZ301,FA301,FB301,FC301,FD301,FE301,FF301)</f>
        <v/>
      </c>
      <c r="FH301" s="8" t="n">
        <v>0</v>
      </c>
      <c r="FI301" s="8" t="n">
        <v>0</v>
      </c>
      <c r="FJ301" s="8" t="n">
        <v>21</v>
      </c>
      <c r="FK301" s="8" t="n">
        <v>123</v>
      </c>
      <c r="FL301" s="8" t="n">
        <v>0</v>
      </c>
      <c r="FM301" s="8" t="n">
        <v>500</v>
      </c>
      <c r="FN301" s="8" t="n">
        <v>0</v>
      </c>
      <c r="FO301" s="8" t="n">
        <v>0</v>
      </c>
      <c r="FP301" s="8" t="n">
        <v>0</v>
      </c>
      <c r="FQ301" s="9">
        <f>FL301+FM301+FN301+FO301+FP301</f>
        <v/>
      </c>
      <c r="FR301" s="8" t="n">
        <v>8800197.250000002</v>
      </c>
      <c r="FS301" s="8" t="n">
        <v>0</v>
      </c>
      <c r="FT301" s="8" t="n">
        <v>62000</v>
      </c>
      <c r="FU301" s="8" t="n">
        <v>48000</v>
      </c>
      <c r="FV301" s="9">
        <f>FR301+FS301+FT301+FU301</f>
        <v/>
      </c>
      <c r="FW301" s="8" t="n">
        <v>10200944.95</v>
      </c>
      <c r="FX301" s="8" t="n">
        <v>33500</v>
      </c>
      <c r="FY301" s="8" t="n">
        <v>1413972.81</v>
      </c>
      <c r="FZ301" s="8" t="n">
        <v>16845143.94</v>
      </c>
      <c r="GA301" s="9">
        <f>FW301+FX301+FY301+FZ301</f>
        <v/>
      </c>
      <c r="GB301" s="9">
        <f>FV301+GA301</f>
        <v/>
      </c>
      <c r="GC301" s="8" t="n">
        <v>4553799.4</v>
      </c>
      <c r="GD301" s="8" t="n">
        <v>2104.08</v>
      </c>
      <c r="GE301" s="8" t="n">
        <v>115364.22</v>
      </c>
      <c r="GF301" s="8" t="n">
        <v>20207.62</v>
      </c>
      <c r="GG301" s="9">
        <f>GC301+GD301+GE301+GF301</f>
        <v/>
      </c>
      <c r="GH301" s="8" t="n">
        <v>9946934.729999999</v>
      </c>
      <c r="GI301" s="8" t="n">
        <v>33500</v>
      </c>
      <c r="GJ301" s="8" t="n">
        <v>16845143.94</v>
      </c>
      <c r="GK301" s="8" t="n">
        <v>1413972.81</v>
      </c>
      <c r="GL301" s="9">
        <f>GH301+GI301+GJ301+GK301</f>
        <v/>
      </c>
      <c r="GM301" s="9">
        <f>GG301+GL301</f>
        <v/>
      </c>
      <c r="GN301" s="8" t="n">
        <v>440437.46</v>
      </c>
      <c r="GO301" s="8" t="n">
        <v>191.28</v>
      </c>
      <c r="GP301" s="8" t="n">
        <v>16968.2</v>
      </c>
      <c r="GQ301" s="8" t="n">
        <v>9274.68</v>
      </c>
      <c r="GR301" s="9">
        <f>GN301+GO301+GP301+GQ301</f>
        <v/>
      </c>
      <c r="GS301" s="8" t="n">
        <v>724223</v>
      </c>
      <c r="GT301" s="8" t="n">
        <v>893</v>
      </c>
      <c r="GU301" s="8" t="n">
        <v>4465</v>
      </c>
      <c r="GV301" s="8" t="n">
        <v>1786</v>
      </c>
      <c r="GW301" s="9">
        <f>GS301+GT301+GU301+GV301</f>
        <v/>
      </c>
      <c r="GX301" s="9">
        <f>GM301+GR301+GW301</f>
        <v/>
      </c>
      <c r="GY301" s="8" t="n">
        <v>88717444.15999982</v>
      </c>
      <c r="GZ301" s="8" t="n">
        <v>0</v>
      </c>
      <c r="HA301" s="9">
        <f>GY301+GZ301</f>
        <v/>
      </c>
      <c r="HB301" s="9">
        <f>IF(GX301=0,"",AU301/GX301)</f>
        <v/>
      </c>
      <c r="HC301" s="10">
        <f>IF((GX301+GY301)=0,"",GB301/(GX301+GY301))</f>
        <v/>
      </c>
      <c r="HD301" s="9">
        <f>IF(GX301=0,"",GB301/GX301)</f>
        <v/>
      </c>
      <c r="HE301" s="8" t="n">
        <v>12</v>
      </c>
      <c r="HF301" s="8" t="n">
        <v>2</v>
      </c>
      <c r="HG301" s="8" t="n">
        <v>65</v>
      </c>
      <c r="HH301" s="8" t="n">
        <v>11</v>
      </c>
      <c r="HI301" s="8" t="n">
        <v>5</v>
      </c>
      <c r="HJ301" s="9">
        <f>HF301+HI301</f>
        <v/>
      </c>
      <c r="HK301" s="10">
        <f>IF(HE301=0,"",HH301/HE301)</f>
        <v/>
      </c>
      <c r="HL301" s="8" t="n">
        <v>21</v>
      </c>
      <c r="HM301" s="8" t="n">
        <v>9</v>
      </c>
      <c r="HN301" s="11">
        <f>IF(HL301=0,"",HM301/HL301)</f>
        <v/>
      </c>
    </row>
    <row r="302">
      <c r="A302" s="12" t="inlineStr">
        <is>
          <t>Zomba</t>
        </is>
      </c>
      <c r="B302" s="12" t="inlineStr">
        <is>
          <t>Domasi</t>
        </is>
      </c>
      <c r="C302" s="13" t="inlineStr">
        <is>
          <t>FY2025/26</t>
        </is>
      </c>
      <c r="D302" s="13" t="n">
        <v>2026</v>
      </c>
      <c r="E302" s="13" t="n">
        <v>3</v>
      </c>
      <c r="F302" s="13" t="inlineStr">
        <is>
          <t>March</t>
        </is>
      </c>
      <c r="G302" s="13" t="inlineStr">
        <is>
          <t>Q4</t>
        </is>
      </c>
      <c r="H302" s="14" t="n">
        <v>27022</v>
      </c>
      <c r="I302" s="14" t="n">
        <v>7846</v>
      </c>
      <c r="J302" s="14" t="n">
        <v>46</v>
      </c>
      <c r="K302" s="14" t="n">
        <v>39</v>
      </c>
      <c r="L302" s="14" t="n">
        <v>4</v>
      </c>
      <c r="M302" s="15">
        <f>SUM(I302,J302,K302,L302)</f>
        <v/>
      </c>
      <c r="N302" s="14" t="n">
        <v>9866.300000000041</v>
      </c>
      <c r="O302" s="14" t="n">
        <v>153</v>
      </c>
      <c r="P302" s="14" t="n">
        <v>6195.1</v>
      </c>
      <c r="Q302" s="14" t="n">
        <v>301.9999999999999</v>
      </c>
      <c r="R302" s="15">
        <f>SUM(N302,O302,P302,Q302)</f>
        <v/>
      </c>
      <c r="S302" s="15">
        <f>M302+R302</f>
        <v/>
      </c>
      <c r="T302" s="14" t="n">
        <v>2570.599999999959</v>
      </c>
      <c r="U302" s="16">
        <f>IF(H302=0,"",T302/H302)</f>
        <v/>
      </c>
      <c r="V302" s="14" t="n">
        <v>50</v>
      </c>
      <c r="W302" s="17">
        <f>IF(H302=0,"",V302/H302)</f>
        <v/>
      </c>
      <c r="X302" s="14" t="n">
        <v>50</v>
      </c>
      <c r="Y302" s="17">
        <f>IF(H302=0,"",X302/H302)</f>
        <v/>
      </c>
      <c r="Z302" s="14" t="n">
        <v>25</v>
      </c>
      <c r="AA302" s="17">
        <f>IF(H302=0,"",Z302/H302)</f>
        <v/>
      </c>
      <c r="AB302" s="14" t="n">
        <v>0</v>
      </c>
      <c r="AC302" s="17">
        <f>IF(H302=0,"",AB302/H302)</f>
        <v/>
      </c>
      <c r="AD302" s="14" t="n">
        <v>0</v>
      </c>
      <c r="AE302" s="17">
        <f>IF(H302=0,"",AD302/H302)</f>
        <v/>
      </c>
      <c r="AF302" s="14" t="n">
        <v>0</v>
      </c>
      <c r="AG302" s="17">
        <f>IF(H302=0,"",AF302/H302)</f>
        <v/>
      </c>
      <c r="AH302" s="14" t="n">
        <v>2037900</v>
      </c>
      <c r="AI302" s="15">
        <f>IF(H302=0,"",AH302/H302)</f>
        <v/>
      </c>
      <c r="AJ302" s="14" t="n">
        <v>68.34</v>
      </c>
      <c r="AK302" s="17">
        <f>IF(H302=0,"",AJ302/H302)</f>
        <v/>
      </c>
      <c r="AL302" s="14" t="n">
        <v>50284.38706</v>
      </c>
      <c r="AM302" s="15">
        <f>IF(H302=0,"",AL302/H302)</f>
        <v/>
      </c>
      <c r="AN302" s="14" t="n">
        <v>0</v>
      </c>
      <c r="AO302" s="14" t="n">
        <v>0</v>
      </c>
      <c r="AP302" s="14" t="n">
        <v>0</v>
      </c>
      <c r="AQ302" s="14" t="n">
        <v>0</v>
      </c>
      <c r="AR302" s="14" t="n">
        <v>0</v>
      </c>
      <c r="AS302" s="14" t="n">
        <v>0</v>
      </c>
      <c r="AT302" s="14" t="n">
        <v>0</v>
      </c>
      <c r="AU302" s="15">
        <f>AH302+AL302+AP302+AQ302+AR302+AS302+AT302</f>
        <v/>
      </c>
      <c r="AV302" s="15">
        <f>IF(H302=0,"",AU302/H302)</f>
        <v/>
      </c>
      <c r="AW302" s="15">
        <f>IF(S302=0,"",AU302/S302)</f>
        <v/>
      </c>
      <c r="AX302" s="14" t="n">
        <v>7</v>
      </c>
      <c r="AY302" s="15">
        <f>IF(H302=0,"",AX302/(H302/1000/12))</f>
        <v/>
      </c>
      <c r="AZ302" s="14" t="n">
        <v>17</v>
      </c>
      <c r="BA302" s="14" t="n">
        <v>56</v>
      </c>
      <c r="BB302" s="14" t="n">
        <v>10</v>
      </c>
      <c r="BC302" s="14" t="n">
        <v>10</v>
      </c>
      <c r="BD302" s="14" t="n">
        <v>0</v>
      </c>
      <c r="BE302" s="15">
        <f>BC302+BD302</f>
        <v/>
      </c>
      <c r="BF302" s="15">
        <f>BA302+BB302-BE302</f>
        <v/>
      </c>
      <c r="BG302" s="14" t="n">
        <v>2</v>
      </c>
      <c r="BH302" s="14" t="n">
        <v>0</v>
      </c>
      <c r="BI302" s="14" t="n">
        <v>0</v>
      </c>
      <c r="BJ302" s="14" t="n">
        <v>0</v>
      </c>
      <c r="BK302" s="15">
        <f>BI302+BJ302</f>
        <v/>
      </c>
      <c r="BL302" s="15">
        <f>BG302+BH302-BK302</f>
        <v/>
      </c>
      <c r="BM302" s="14" t="n">
        <v>7</v>
      </c>
      <c r="BN302" s="14" t="n">
        <v>0</v>
      </c>
      <c r="BO302" s="14" t="n">
        <v>0</v>
      </c>
      <c r="BP302" s="14" t="n">
        <v>0</v>
      </c>
      <c r="BQ302" s="15">
        <f>BO302+BP302</f>
        <v/>
      </c>
      <c r="BR302" s="15">
        <f>BM302+BN302-BQ302</f>
        <v/>
      </c>
      <c r="BS302" s="14" t="n">
        <v>0</v>
      </c>
      <c r="BT302" s="14" t="n">
        <v>0</v>
      </c>
      <c r="BU302" s="14" t="n">
        <v>0</v>
      </c>
      <c r="BV302" s="14" t="n">
        <v>0</v>
      </c>
      <c r="BW302" s="15">
        <f>BU302+BV302</f>
        <v/>
      </c>
      <c r="BX302" s="15">
        <f>BS302+BT302-BW302</f>
        <v/>
      </c>
      <c r="BY302" s="15">
        <f>BA302+BG302+BM302+BS302</f>
        <v/>
      </c>
      <c r="BZ302" s="15">
        <f>BB302+BH302+BN302+BT302</f>
        <v/>
      </c>
      <c r="CA302" s="15">
        <f>BE302+BK302+BQ302+BW302</f>
        <v/>
      </c>
      <c r="CB302" s="15">
        <f>BF302+BL302+BR302+BX302</f>
        <v/>
      </c>
      <c r="CC302" s="14" t="n">
        <v>0</v>
      </c>
      <c r="CD302" s="14" t="n">
        <v>670</v>
      </c>
      <c r="CE302" s="14" t="n">
        <v>7</v>
      </c>
      <c r="CF302" s="14" t="n">
        <v>4</v>
      </c>
      <c r="CG302" s="14" t="n">
        <v>3</v>
      </c>
      <c r="CH302" s="15">
        <f>CD302+CE302+CF302+CG302</f>
        <v/>
      </c>
      <c r="CI302" s="14" t="n">
        <v>794</v>
      </c>
      <c r="CJ302" s="14" t="n">
        <v>5</v>
      </c>
      <c r="CK302" s="14" t="n">
        <v>1</v>
      </c>
      <c r="CL302" s="14" t="n">
        <v>1</v>
      </c>
      <c r="CM302" s="15">
        <f>CI302+CJ302+CK302+CL302</f>
        <v/>
      </c>
      <c r="CN302" s="14" t="n">
        <v>647</v>
      </c>
      <c r="CO302" s="14" t="n">
        <v>32</v>
      </c>
      <c r="CP302" s="14" t="n">
        <v>32</v>
      </c>
      <c r="CQ302" s="14" t="n">
        <v>4</v>
      </c>
      <c r="CR302" s="15">
        <f>CN302+CO302+CP302+CQ302</f>
        <v/>
      </c>
      <c r="CS302" s="15">
        <f>CM302+CR302</f>
        <v/>
      </c>
      <c r="CT302" s="14" t="n">
        <v>2200</v>
      </c>
      <c r="CU302" s="14" t="n">
        <v>10718</v>
      </c>
      <c r="CV302" s="14" t="n">
        <v>10715.6</v>
      </c>
      <c r="CW302" s="16">
        <f>IF(CU302=0,"",CV302/CU302)</f>
        <v/>
      </c>
      <c r="CX302" s="14" t="n"/>
      <c r="CY302" s="14" t="n"/>
      <c r="CZ302" s="14" t="n"/>
      <c r="DA302" s="14" t="n"/>
      <c r="DB302" s="15">
        <f>CX302+CY302-CZ302-DA302</f>
        <v/>
      </c>
      <c r="DC302" s="14" t="n">
        <v>0</v>
      </c>
      <c r="DD302" s="14" t="n">
        <v>0</v>
      </c>
      <c r="DE302" s="14" t="n">
        <v>0</v>
      </c>
      <c r="DF302" s="14" t="n">
        <v>0</v>
      </c>
      <c r="DG302" s="15">
        <f>DC302+DD302-DE302-DF302</f>
        <v/>
      </c>
      <c r="DH302" s="14" t="n">
        <v>0</v>
      </c>
      <c r="DI302" s="14" t="n">
        <v>0</v>
      </c>
      <c r="DJ302" s="14" t="n">
        <v>0</v>
      </c>
      <c r="DK302" s="14" t="n">
        <v>0</v>
      </c>
      <c r="DL302" s="15">
        <f>DH302+DI302-DJ302-DK302</f>
        <v/>
      </c>
      <c r="DM302" s="14" t="n">
        <v>15</v>
      </c>
      <c r="DN302" s="14" t="n">
        <v>0</v>
      </c>
      <c r="DO302" s="14" t="n">
        <v>7</v>
      </c>
      <c r="DP302" s="14" t="n">
        <v>0</v>
      </c>
      <c r="DQ302" s="15">
        <f>DM302+DN302-DO302-DP302</f>
        <v/>
      </c>
      <c r="DR302" s="15">
        <f>CX302+DC302+DH302+DM302</f>
        <v/>
      </c>
      <c r="DS302" s="15">
        <f>CY302+DD302+DI302+DN302</f>
        <v/>
      </c>
      <c r="DT302" s="15">
        <f>CZ302+DE302+DJ302+DO302</f>
        <v/>
      </c>
      <c r="DU302" s="15">
        <f>DA302+DF302+DK302+DP302</f>
        <v/>
      </c>
      <c r="DV302" s="15">
        <f>DB302+DG302+DL302+DQ302</f>
        <v/>
      </c>
      <c r="DW302" s="14" t="n">
        <v>14</v>
      </c>
      <c r="DX302" s="14" t="n">
        <v>9</v>
      </c>
      <c r="DY302" s="14" t="n">
        <v>7</v>
      </c>
      <c r="DZ302" s="14" t="n">
        <v>5</v>
      </c>
      <c r="EA302" s="14" t="n">
        <v>3</v>
      </c>
      <c r="EB302" s="14" t="n">
        <v>4</v>
      </c>
      <c r="EC302" s="14" t="n">
        <v>4</v>
      </c>
      <c r="ED302" s="14" t="n">
        <v>0</v>
      </c>
      <c r="EE302" s="14" t="n">
        <v>2</v>
      </c>
      <c r="EF302" s="14" t="n">
        <v>1</v>
      </c>
      <c r="EG302" s="14" t="n">
        <v>0</v>
      </c>
      <c r="EH302" s="14" t="n">
        <v>0</v>
      </c>
      <c r="EI302" s="14" t="n">
        <v>0</v>
      </c>
      <c r="EJ302" s="14" t="n">
        <v>3</v>
      </c>
      <c r="EK302" s="14" t="n">
        <v>3</v>
      </c>
      <c r="EL302" s="14" t="n">
        <v>2</v>
      </c>
      <c r="EM302" s="14" t="n">
        <v>0</v>
      </c>
      <c r="EN302" s="14" t="n">
        <v>0</v>
      </c>
      <c r="EO302" s="14" t="n">
        <v>0</v>
      </c>
      <c r="EP302" s="14" t="n">
        <v>0</v>
      </c>
      <c r="EQ302" s="14" t="n">
        <v>0</v>
      </c>
      <c r="ER302" s="14" t="n">
        <v>0</v>
      </c>
      <c r="ES302" s="14" t="n">
        <v>0</v>
      </c>
      <c r="ET302" s="14" t="n">
        <v>0</v>
      </c>
      <c r="EU302" s="14" t="n">
        <v>0</v>
      </c>
      <c r="EV302" s="14" t="n">
        <v>0</v>
      </c>
      <c r="EW302" s="14" t="n">
        <v>0</v>
      </c>
      <c r="EX302" s="14" t="n">
        <v>0</v>
      </c>
      <c r="EY302" s="14" t="n">
        <v>0</v>
      </c>
      <c r="EZ302" s="14" t="n">
        <v>0</v>
      </c>
      <c r="FA302" s="14" t="n">
        <v>0</v>
      </c>
      <c r="FB302" s="14" t="n">
        <v>0</v>
      </c>
      <c r="FC302" s="14" t="n">
        <v>0</v>
      </c>
      <c r="FD302" s="14" t="n">
        <v>0</v>
      </c>
      <c r="FE302" s="14" t="n">
        <v>0</v>
      </c>
      <c r="FF302" s="14" t="n">
        <v>0</v>
      </c>
      <c r="FG302" s="15">
        <f>SUM(DW302,DX302,DY302,DZ302,EA302,EB302,EC302,ED302,EE302,EF302,EG302,EH302,EI302,EJ302,EK302,EL302,EM302,EN302,EO302,EP302,EQ302,ER302,ES302,ET302,EU302,EV302,EW302,EX302,EY302,EZ302,FA302,FB302,FC302,FD302,FE302,FF302)</f>
        <v/>
      </c>
      <c r="FH302" s="14" t="n">
        <v>0</v>
      </c>
      <c r="FI302" s="14" t="n">
        <v>0</v>
      </c>
      <c r="FJ302" s="14" t="n">
        <v>22</v>
      </c>
      <c r="FK302" s="14" t="n">
        <v>8</v>
      </c>
      <c r="FL302" s="14" t="n">
        <v>0</v>
      </c>
      <c r="FM302" s="14" t="n">
        <v>576</v>
      </c>
      <c r="FN302" s="14" t="n">
        <v>216</v>
      </c>
      <c r="FO302" s="14" t="n">
        <v>0</v>
      </c>
      <c r="FP302" s="14" t="n">
        <v>0</v>
      </c>
      <c r="FQ302" s="15">
        <f>FL302+FM302+FN302+FO302+FP302</f>
        <v/>
      </c>
      <c r="FR302" s="14" t="n">
        <v>5269344.8</v>
      </c>
      <c r="FS302" s="14" t="n">
        <v>0</v>
      </c>
      <c r="FT302" s="14" t="n">
        <v>0</v>
      </c>
      <c r="FU302" s="14" t="n">
        <v>74400</v>
      </c>
      <c r="FV302" s="15">
        <f>FR302+FS302+FT302+FU302</f>
        <v/>
      </c>
      <c r="FW302" s="14" t="n">
        <v>12542257.55</v>
      </c>
      <c r="FX302" s="14" t="n">
        <v>32500</v>
      </c>
      <c r="FY302" s="14" t="n">
        <v>1430200</v>
      </c>
      <c r="FZ302" s="14" t="n">
        <v>18827749.7</v>
      </c>
      <c r="GA302" s="15">
        <f>FW302+FX302+FY302+FZ302</f>
        <v/>
      </c>
      <c r="GB302" s="15">
        <f>FV302+GA302</f>
        <v/>
      </c>
      <c r="GC302" s="14" t="n">
        <v>7003368.13</v>
      </c>
      <c r="GD302" s="14" t="n">
        <v>8798.879999999999</v>
      </c>
      <c r="GE302" s="14" t="n">
        <v>96758.37</v>
      </c>
      <c r="GF302" s="14" t="n">
        <v>8410.99</v>
      </c>
      <c r="GG302" s="15">
        <f>GC302+GD302+GE302+GF302</f>
        <v/>
      </c>
      <c r="GH302" s="14" t="n">
        <v>12307783.99</v>
      </c>
      <c r="GI302" s="14" t="n">
        <v>32500</v>
      </c>
      <c r="GJ302" s="14" t="n">
        <v>18827749.7</v>
      </c>
      <c r="GK302" s="14" t="n">
        <v>1430200</v>
      </c>
      <c r="GL302" s="15">
        <f>GH302+GI302+GJ302+GK302</f>
        <v/>
      </c>
      <c r="GM302" s="15">
        <f>GG302+GL302</f>
        <v/>
      </c>
      <c r="GN302" s="14" t="n">
        <v>431112.64</v>
      </c>
      <c r="GO302" s="14" t="n">
        <v>191.28</v>
      </c>
      <c r="GP302" s="14" t="n">
        <v>16968.2</v>
      </c>
      <c r="GQ302" s="14" t="n">
        <v>4637.34</v>
      </c>
      <c r="GR302" s="15">
        <f>GN302+GO302+GP302+GQ302</f>
        <v/>
      </c>
      <c r="GS302" s="14" t="n">
        <v>709042</v>
      </c>
      <c r="GT302" s="14" t="n">
        <v>893</v>
      </c>
      <c r="GU302" s="14" t="n">
        <v>4465</v>
      </c>
      <c r="GV302" s="14" t="n">
        <v>893</v>
      </c>
      <c r="GW302" s="15">
        <f>GS302+GT302+GU302+GV302</f>
        <v/>
      </c>
      <c r="GX302" s="15">
        <f>GM302+GR302+GW302</f>
        <v/>
      </c>
      <c r="GY302" s="14" t="n">
        <v>90548195.53999987</v>
      </c>
      <c r="GZ302" s="14" t="n">
        <v>0</v>
      </c>
      <c r="HA302" s="9">
        <f>GY302+GZ302</f>
        <v/>
      </c>
      <c r="HB302" s="15">
        <f>IF(GX302=0,"",AU302/GX302)</f>
        <v/>
      </c>
      <c r="HC302" s="16">
        <f>IF((GX302+GY302)=0,"",GB302/(GX302+GY302))</f>
        <v/>
      </c>
      <c r="HD302" s="15">
        <f>IF(GX302=0,"",GB302/GX302)</f>
        <v/>
      </c>
      <c r="HE302" s="14" t="n">
        <v>10</v>
      </c>
      <c r="HF302" s="14" t="n">
        <v>2</v>
      </c>
      <c r="HG302" s="14" t="n">
        <v>65</v>
      </c>
      <c r="HH302" s="14" t="n">
        <v>10</v>
      </c>
      <c r="HI302" s="14" t="n">
        <v>6</v>
      </c>
      <c r="HJ302" s="15">
        <f>HF302+HI302</f>
        <v/>
      </c>
      <c r="HK302" s="16">
        <f>IF(HE302=0,"",HH302/HE302)</f>
        <v/>
      </c>
      <c r="HL302" s="14" t="n">
        <v>0</v>
      </c>
      <c r="HM302" s="14" t="n">
        <v>0</v>
      </c>
      <c r="HN302" s="17">
        <f>IF(HL302=0,"",HM302/HL302)</f>
        <v/>
      </c>
    </row>
    <row r="303">
      <c r="A303" s="6" t="inlineStr">
        <is>
          <t>Zomba</t>
        </is>
      </c>
      <c r="B303" s="6" t="inlineStr">
        <is>
          <t>Jali</t>
        </is>
      </c>
      <c r="C303" s="7" t="inlineStr">
        <is>
          <t>FY2025/26</t>
        </is>
      </c>
      <c r="D303" s="7" t="n">
        <v>2025</v>
      </c>
      <c r="E303" s="7" t="n">
        <v>4</v>
      </c>
      <c r="F303" s="7" t="inlineStr">
        <is>
          <t>April</t>
        </is>
      </c>
      <c r="G303" s="7" t="inlineStr">
        <is>
          <t>Q1</t>
        </is>
      </c>
      <c r="H303" s="8" t="n">
        <v>4530</v>
      </c>
      <c r="I303" s="8" t="n">
        <v>136</v>
      </c>
      <c r="J303" s="8" t="n">
        <v>0</v>
      </c>
      <c r="K303" s="8" t="n">
        <v>17</v>
      </c>
      <c r="L303" s="8" t="n">
        <v>0</v>
      </c>
      <c r="M303" s="9">
        <f>SUM(I303,J303,K303,L303)</f>
        <v/>
      </c>
      <c r="N303" s="8" t="n">
        <v>2988.2</v>
      </c>
      <c r="O303" s="8" t="n">
        <v>477.4</v>
      </c>
      <c r="P303" s="8" t="n">
        <v>16.5</v>
      </c>
      <c r="Q303" s="8" t="n">
        <v>0</v>
      </c>
      <c r="R303" s="9">
        <f>SUM(N303,O303,P303,Q303)</f>
        <v/>
      </c>
      <c r="S303" s="9">
        <f>M303+R303</f>
        <v/>
      </c>
      <c r="T303" s="8" t="n">
        <v>894.900000000003</v>
      </c>
      <c r="U303" s="10">
        <f>IF(H303=0,"",T303/H303)</f>
        <v/>
      </c>
      <c r="V303" s="8" t="n">
        <v>11</v>
      </c>
      <c r="W303" s="11">
        <f>IF(H303=0,"",V303/H303)</f>
        <v/>
      </c>
      <c r="X303" s="8" t="n">
        <v>51</v>
      </c>
      <c r="Y303" s="11">
        <f>IF(H303=0,"",X303/H303)</f>
        <v/>
      </c>
      <c r="Z303" s="8" t="n">
        <v>15</v>
      </c>
      <c r="AA303" s="11">
        <f>IF(H303=0,"",Z303/H303)</f>
        <v/>
      </c>
      <c r="AB303" s="8" t="n">
        <v>0</v>
      </c>
      <c r="AC303" s="11">
        <f>IF(H303=0,"",AB303/H303)</f>
        <v/>
      </c>
      <c r="AD303" s="8" t="n">
        <v>0</v>
      </c>
      <c r="AE303" s="11">
        <f>IF(H303=0,"",AD303/H303)</f>
        <v/>
      </c>
      <c r="AF303" s="8" t="n">
        <v>0</v>
      </c>
      <c r="AG303" s="11">
        <f>IF(H303=0,"",AF303/H303)</f>
        <v/>
      </c>
      <c r="AH303" s="8" t="n">
        <v>911440</v>
      </c>
      <c r="AI303" s="9">
        <f>IF(H303=0,"",AH303/H303)</f>
        <v/>
      </c>
      <c r="AJ303" s="8" t="n">
        <v>293.26</v>
      </c>
      <c r="AK303" s="11">
        <f>IF(H303=0,"",AJ303/H303)</f>
        <v/>
      </c>
      <c r="AL303" s="8" t="n">
        <v>111757.04734</v>
      </c>
      <c r="AM303" s="9">
        <f>IF(H303=0,"",AL303/H303)</f>
        <v/>
      </c>
      <c r="AN303" s="8" t="n">
        <v>0</v>
      </c>
      <c r="AO303" s="8" t="n">
        <v>0</v>
      </c>
      <c r="AP303" s="8" t="n">
        <v>0</v>
      </c>
      <c r="AQ303" s="8" t="n">
        <v>0</v>
      </c>
      <c r="AR303" s="8" t="n">
        <v>682063.75</v>
      </c>
      <c r="AS303" s="8" t="n">
        <v>545533.6800000001</v>
      </c>
      <c r="AT303" s="8" t="n">
        <v>0</v>
      </c>
      <c r="AU303" s="9">
        <f>AH303+AL303+AP303+AQ303+AR303+AS303+AT303</f>
        <v/>
      </c>
      <c r="AV303" s="9">
        <f>IF(H303=0,"",AU303/H303)</f>
        <v/>
      </c>
      <c r="AW303" s="9">
        <f>IF(S303=0,"",AU303/S303)</f>
        <v/>
      </c>
      <c r="AX303" s="8" t="n">
        <v>1</v>
      </c>
      <c r="AY303" s="9">
        <f>IF(H303=0,"",AX303/(H303/1000/12))</f>
        <v/>
      </c>
      <c r="AZ303" s="8" t="n">
        <v>6</v>
      </c>
      <c r="BA303" s="8" t="n">
        <v>5</v>
      </c>
      <c r="BB303" s="8" t="n">
        <v>5</v>
      </c>
      <c r="BC303" s="8" t="n">
        <v>3</v>
      </c>
      <c r="BD303" s="8" t="n">
        <v>0</v>
      </c>
      <c r="BE303" s="9">
        <f>BC303+BD303</f>
        <v/>
      </c>
      <c r="BF303" s="9">
        <f>BA303+BB303-BE303</f>
        <v/>
      </c>
      <c r="BG303" s="8" t="n">
        <v>1</v>
      </c>
      <c r="BH303" s="8" t="n">
        <v>0</v>
      </c>
      <c r="BI303" s="8" t="n">
        <v>0</v>
      </c>
      <c r="BJ303" s="8" t="n">
        <v>0</v>
      </c>
      <c r="BK303" s="9">
        <f>BI303+BJ303</f>
        <v/>
      </c>
      <c r="BL303" s="9">
        <f>BG303+BH303-BK303</f>
        <v/>
      </c>
      <c r="BM303" s="8" t="n">
        <v>0</v>
      </c>
      <c r="BN303" s="8" t="n">
        <v>0</v>
      </c>
      <c r="BO303" s="8" t="n">
        <v>0</v>
      </c>
      <c r="BP303" s="8" t="n">
        <v>0</v>
      </c>
      <c r="BQ303" s="9">
        <f>BO303+BP303</f>
        <v/>
      </c>
      <c r="BR303" s="9">
        <f>BM303+BN303-BQ303</f>
        <v/>
      </c>
      <c r="BS303" s="8" t="n">
        <v>0</v>
      </c>
      <c r="BT303" s="8" t="n">
        <v>0</v>
      </c>
      <c r="BU303" s="8" t="n">
        <v>0</v>
      </c>
      <c r="BV303" s="8" t="n">
        <v>0</v>
      </c>
      <c r="BW303" s="9">
        <f>BU303+BV303</f>
        <v/>
      </c>
      <c r="BX303" s="9">
        <f>BS303+BT303-BW303</f>
        <v/>
      </c>
      <c r="BY303" s="9">
        <f>BA303+BG303+BM303+BS303</f>
        <v/>
      </c>
      <c r="BZ303" s="9">
        <f>BB303+BH303+BN303+BT303</f>
        <v/>
      </c>
      <c r="CA303" s="9">
        <f>BE303+BK303+BQ303+BW303</f>
        <v/>
      </c>
      <c r="CB303" s="9">
        <f>BF303+BL303+BR303+BX303</f>
        <v/>
      </c>
      <c r="CC303" s="8" t="n">
        <v>200</v>
      </c>
      <c r="CD303" s="8" t="n">
        <v>0</v>
      </c>
      <c r="CE303" s="8" t="n">
        <v>0</v>
      </c>
      <c r="CF303" s="8" t="n">
        <v>0</v>
      </c>
      <c r="CG303" s="8" t="n">
        <v>0</v>
      </c>
      <c r="CH303" s="9">
        <f>CD303+CE303+CF303+CG303</f>
        <v/>
      </c>
      <c r="CI303" s="8" t="n">
        <v>34</v>
      </c>
      <c r="CJ303" s="8" t="n">
        <v>1</v>
      </c>
      <c r="CK303" s="8" t="n">
        <v>0</v>
      </c>
      <c r="CL303" s="8" t="n">
        <v>0</v>
      </c>
      <c r="CM303" s="9">
        <f>CI303+CJ303+CK303+CL303</f>
        <v/>
      </c>
      <c r="CN303" s="8" t="n">
        <v>420</v>
      </c>
      <c r="CO303" s="8" t="n">
        <v>9</v>
      </c>
      <c r="CP303" s="8" t="n">
        <v>7</v>
      </c>
      <c r="CQ303" s="8" t="n">
        <v>15</v>
      </c>
      <c r="CR303" s="9">
        <f>CN303+CO303+CP303+CQ303</f>
        <v/>
      </c>
      <c r="CS303" s="9">
        <f>CM303+CR303</f>
        <v/>
      </c>
      <c r="CT303" s="8" t="n">
        <v>486</v>
      </c>
      <c r="CU303" s="8" t="n">
        <v>7036</v>
      </c>
      <c r="CV303" s="8" t="n">
        <v>5778.9</v>
      </c>
      <c r="CW303" s="10">
        <f>IF(CU303=0,"",CV303/CU303)</f>
        <v/>
      </c>
      <c r="CX303" s="8" t="n">
        <v>0</v>
      </c>
      <c r="CY303" s="8" t="n">
        <v>0</v>
      </c>
      <c r="CZ303" s="8" t="n">
        <v>0</v>
      </c>
      <c r="DA303" s="8" t="n">
        <v>0</v>
      </c>
      <c r="DB303" s="9">
        <f>CX303+CY303-CZ303-DA303</f>
        <v/>
      </c>
      <c r="DC303" s="8" t="n">
        <v>0</v>
      </c>
      <c r="DD303" s="8" t="n">
        <v>0</v>
      </c>
      <c r="DE303" s="8" t="n">
        <v>0</v>
      </c>
      <c r="DF303" s="8" t="n">
        <v>0</v>
      </c>
      <c r="DG303" s="9">
        <f>DC303+DD303-DE303-DF303</f>
        <v/>
      </c>
      <c r="DH303" s="8" t="n">
        <v>0</v>
      </c>
      <c r="DI303" s="8" t="n">
        <v>0</v>
      </c>
      <c r="DJ303" s="8" t="n">
        <v>0</v>
      </c>
      <c r="DK303" s="8" t="n">
        <v>0</v>
      </c>
      <c r="DL303" s="9">
        <f>DH303+DI303-DJ303-DK303</f>
        <v/>
      </c>
      <c r="DM303" s="8" t="n">
        <v>2</v>
      </c>
      <c r="DN303" s="8" t="n">
        <v>0</v>
      </c>
      <c r="DO303" s="8" t="n">
        <v>2</v>
      </c>
      <c r="DP303" s="8" t="n">
        <v>0</v>
      </c>
      <c r="DQ303" s="9">
        <f>DM303+DN303-DO303-DP303</f>
        <v/>
      </c>
      <c r="DR303" s="9">
        <f>CX303+DC303+DH303+DM303</f>
        <v/>
      </c>
      <c r="DS303" s="9">
        <f>CY303+DD303+DI303+DN303</f>
        <v/>
      </c>
      <c r="DT303" s="9">
        <f>CZ303+DE303+DJ303+DO303</f>
        <v/>
      </c>
      <c r="DU303" s="9">
        <f>DA303+DF303+DK303+DP303</f>
        <v/>
      </c>
      <c r="DV303" s="9">
        <f>DB303+DG303+DL303+DQ303</f>
        <v/>
      </c>
      <c r="DW303" s="8" t="n">
        <v>0</v>
      </c>
      <c r="DX303" s="8" t="n">
        <v>4</v>
      </c>
      <c r="DY303" s="8" t="n">
        <v>0</v>
      </c>
      <c r="DZ303" s="8" t="n">
        <v>0</v>
      </c>
      <c r="EA303" s="8" t="n">
        <v>0</v>
      </c>
      <c r="EB303" s="8" t="n">
        <v>1</v>
      </c>
      <c r="EC303" s="8" t="n">
        <v>0</v>
      </c>
      <c r="ED303" s="8" t="n">
        <v>0</v>
      </c>
      <c r="EE303" s="8" t="n">
        <v>0</v>
      </c>
      <c r="EF303" s="8" t="n">
        <v>0</v>
      </c>
      <c r="EG303" s="8" t="n">
        <v>0</v>
      </c>
      <c r="EH303" s="8" t="n">
        <v>0</v>
      </c>
      <c r="EI303" s="8" t="n">
        <v>0</v>
      </c>
      <c r="EJ303" s="8" t="n">
        <v>0</v>
      </c>
      <c r="EK303" s="8" t="n">
        <v>0</v>
      </c>
      <c r="EL303" s="8" t="n">
        <v>0</v>
      </c>
      <c r="EM303" s="8" t="n">
        <v>0</v>
      </c>
      <c r="EN303" s="8" t="n">
        <v>0</v>
      </c>
      <c r="EO303" s="8" t="n">
        <v>0</v>
      </c>
      <c r="EP303" s="8" t="n">
        <v>0</v>
      </c>
      <c r="EQ303" s="8" t="n">
        <v>0</v>
      </c>
      <c r="ER303" s="8" t="n">
        <v>0</v>
      </c>
      <c r="ES303" s="8" t="n">
        <v>0</v>
      </c>
      <c r="ET303" s="8" t="n">
        <v>0</v>
      </c>
      <c r="EU303" s="8" t="n">
        <v>0</v>
      </c>
      <c r="EV303" s="8" t="n">
        <v>0</v>
      </c>
      <c r="EW303" s="8" t="n">
        <v>0</v>
      </c>
      <c r="EX303" s="8" t="n">
        <v>0</v>
      </c>
      <c r="EY303" s="8" t="n">
        <v>0</v>
      </c>
      <c r="EZ303" s="8" t="n">
        <v>0</v>
      </c>
      <c r="FA303" s="8" t="n">
        <v>0</v>
      </c>
      <c r="FB303" s="8" t="n">
        <v>0</v>
      </c>
      <c r="FC303" s="8" t="n">
        <v>0</v>
      </c>
      <c r="FD303" s="8" t="n">
        <v>0</v>
      </c>
      <c r="FE303" s="8" t="n">
        <v>0</v>
      </c>
      <c r="FF303" s="8" t="n">
        <v>0</v>
      </c>
      <c r="FG303" s="9">
        <f>SUM(DW303,DX303,DY303,DZ303,EA303,EB303,EC303,ED303,EE303,EF303,EG303,EH303,EI303,EJ303,EK303,EL303,EM303,EN303,EO303,EP303,EQ303,ER303,ES303,ET303,EU303,EV303,EW303,EX303,EY303,EZ303,FA303,FB303,FC303,FD303,FE303,FF303)</f>
        <v/>
      </c>
      <c r="FH303" s="8" t="n">
        <v>0</v>
      </c>
      <c r="FI303" s="8" t="n">
        <v>0</v>
      </c>
      <c r="FJ303" s="8" t="n">
        <v>23</v>
      </c>
      <c r="FK303" s="8" t="n">
        <v>0</v>
      </c>
      <c r="FL303" s="8" t="n">
        <v>0</v>
      </c>
      <c r="FM303" s="8" t="n">
        <v>0</v>
      </c>
      <c r="FN303" s="8" t="n">
        <v>0</v>
      </c>
      <c r="FO303" s="8" t="n">
        <v>0</v>
      </c>
      <c r="FP303" s="8" t="n">
        <v>0</v>
      </c>
      <c r="FQ303" s="9">
        <f>FL303+FM303+FN303+FO303+FP303</f>
        <v/>
      </c>
      <c r="FR303" s="8" t="n">
        <v>53419</v>
      </c>
      <c r="FS303" s="8" t="n">
        <v>0</v>
      </c>
      <c r="FT303" s="8" t="n">
        <v>0</v>
      </c>
      <c r="FU303" s="8" t="n">
        <v>0</v>
      </c>
      <c r="FV303" s="9">
        <f>FR303+FS303+FT303+FU303</f>
        <v/>
      </c>
      <c r="FW303" s="8" t="n">
        <v>3998767</v>
      </c>
      <c r="FX303" s="8" t="n">
        <v>116200</v>
      </c>
      <c r="FY303" s="8" t="n">
        <v>0</v>
      </c>
      <c r="FZ303" s="8" t="n">
        <v>50000</v>
      </c>
      <c r="GA303" s="9">
        <f>FW303+FX303+FY303+FZ303</f>
        <v/>
      </c>
      <c r="GB303" s="9">
        <f>FV303+GA303</f>
        <v/>
      </c>
      <c r="GC303" s="8" t="n">
        <v>148781.23</v>
      </c>
      <c r="GD303" s="8" t="n">
        <v>0</v>
      </c>
      <c r="GE303" s="8" t="n">
        <v>46344.14</v>
      </c>
      <c r="GF303" s="8" t="n">
        <v>0</v>
      </c>
      <c r="GG303" s="9">
        <f>GC303+GD303+GE303+GF303</f>
        <v/>
      </c>
      <c r="GH303" s="8" t="n">
        <v>3722611.92</v>
      </c>
      <c r="GI303" s="8" t="n">
        <v>101473.24</v>
      </c>
      <c r="GJ303" s="8" t="n">
        <v>50000</v>
      </c>
      <c r="GK303" s="8" t="n">
        <v>0</v>
      </c>
      <c r="GL303" s="9">
        <f>GH303+GI303+GJ303+GK303</f>
        <v/>
      </c>
      <c r="GM303" s="9">
        <f>GG303+GL303</f>
        <v/>
      </c>
      <c r="GN303" s="8" t="n">
        <v>18363.77</v>
      </c>
      <c r="GO303" s="8" t="n">
        <v>0</v>
      </c>
      <c r="GP303" s="8" t="n">
        <v>3393.64</v>
      </c>
      <c r="GQ303" s="8" t="n">
        <v>0</v>
      </c>
      <c r="GR303" s="9">
        <f>GN303+GO303+GP303+GQ303</f>
        <v/>
      </c>
      <c r="GS303" s="8" t="n">
        <v>30362</v>
      </c>
      <c r="GT303" s="8" t="n">
        <v>0</v>
      </c>
      <c r="GU303" s="8" t="n">
        <v>893</v>
      </c>
      <c r="GV303" s="8" t="n">
        <v>0</v>
      </c>
      <c r="GW303" s="9">
        <f>GS303+GT303+GU303+GV303</f>
        <v/>
      </c>
      <c r="GX303" s="9">
        <f>GM303+GR303+GW303</f>
        <v/>
      </c>
      <c r="GY303" s="8" t="n">
        <v>9031756.44999999</v>
      </c>
      <c r="GZ303" s="8" t="n">
        <v>13202.22</v>
      </c>
      <c r="HA303" s="9">
        <f>GY303+GZ303</f>
        <v/>
      </c>
      <c r="HB303" s="9">
        <f>IF(GX303=0,"",AU303/GX303)</f>
        <v/>
      </c>
      <c r="HC303" s="10">
        <f>IF((GX303+GY303)=0,"",GB303/(GX303+GY303))</f>
        <v/>
      </c>
      <c r="HD303" s="9">
        <f>IF(GX303=0,"",GB303/GX303)</f>
        <v/>
      </c>
      <c r="HE303" s="8" t="n">
        <v>10</v>
      </c>
      <c r="HF303" s="8" t="n">
        <v>4</v>
      </c>
      <c r="HG303" s="8" t="n">
        <v>8</v>
      </c>
      <c r="HH303" s="8" t="n">
        <v>5</v>
      </c>
      <c r="HI303" s="8" t="n">
        <v>3</v>
      </c>
      <c r="HJ303" s="9">
        <f>HF303+HI303</f>
        <v/>
      </c>
      <c r="HK303" s="10">
        <f>IF(HE303=0,"",HH303/HE303)</f>
        <v/>
      </c>
      <c r="HL303" s="8" t="n">
        <v>0</v>
      </c>
      <c r="HM303" s="8" t="n">
        <v>0</v>
      </c>
      <c r="HN303" s="11">
        <f>IF(HL303=0,"",HM303/HL303)</f>
        <v/>
      </c>
    </row>
    <row r="304">
      <c r="A304" s="12" t="inlineStr">
        <is>
          <t>Zomba</t>
        </is>
      </c>
      <c r="B304" s="12" t="inlineStr">
        <is>
          <t>Jali</t>
        </is>
      </c>
      <c r="C304" s="13" t="inlineStr">
        <is>
          <t>FY2025/26</t>
        </is>
      </c>
      <c r="D304" s="13" t="n">
        <v>2025</v>
      </c>
      <c r="E304" s="13" t="n">
        <v>5</v>
      </c>
      <c r="F304" s="13" t="inlineStr">
        <is>
          <t>May</t>
        </is>
      </c>
      <c r="G304" s="13" t="inlineStr">
        <is>
          <t>Q1</t>
        </is>
      </c>
      <c r="H304" s="14" t="n">
        <v>4720</v>
      </c>
      <c r="I304" s="14" t="n">
        <v>68</v>
      </c>
      <c r="J304" s="14" t="n">
        <v>0</v>
      </c>
      <c r="K304" s="14" t="n">
        <v>14</v>
      </c>
      <c r="L304" s="14" t="n">
        <v>4</v>
      </c>
      <c r="M304" s="15">
        <f>SUM(I304,J304,K304,L304)</f>
        <v/>
      </c>
      <c r="N304" s="14" t="n">
        <v>3055.29999999999</v>
      </c>
      <c r="O304" s="14" t="n">
        <v>556.3</v>
      </c>
      <c r="P304" s="14" t="n">
        <v>26.4</v>
      </c>
      <c r="Q304" s="14" t="n">
        <v>2.3</v>
      </c>
      <c r="R304" s="15">
        <f>SUM(N304,O304,P304,Q304)</f>
        <v/>
      </c>
      <c r="S304" s="15">
        <f>M304+R304</f>
        <v/>
      </c>
      <c r="T304" s="14" t="n">
        <v>993.70000000001</v>
      </c>
      <c r="U304" s="16">
        <f>IF(H304=0,"",T304/H304)</f>
        <v/>
      </c>
      <c r="V304" s="14" t="n">
        <v>9</v>
      </c>
      <c r="W304" s="17">
        <f>IF(H304=0,"",V304/H304)</f>
        <v/>
      </c>
      <c r="X304" s="14" t="n">
        <v>54</v>
      </c>
      <c r="Y304" s="17">
        <f>IF(H304=0,"",X304/H304)</f>
        <v/>
      </c>
      <c r="Z304" s="14" t="n">
        <v>21</v>
      </c>
      <c r="AA304" s="17">
        <f>IF(H304=0,"",Z304/H304)</f>
        <v/>
      </c>
      <c r="AB304" s="14" t="n">
        <v>0</v>
      </c>
      <c r="AC304" s="17">
        <f>IF(H304=0,"",AB304/H304)</f>
        <v/>
      </c>
      <c r="AD304" s="14" t="n">
        <v>0</v>
      </c>
      <c r="AE304" s="17">
        <f>IF(H304=0,"",AD304/H304)</f>
        <v/>
      </c>
      <c r="AF304" s="14" t="n">
        <v>0</v>
      </c>
      <c r="AG304" s="17">
        <f>IF(H304=0,"",AF304/H304)</f>
        <v/>
      </c>
      <c r="AH304" s="14" t="n">
        <v>958236</v>
      </c>
      <c r="AI304" s="15">
        <f>IF(H304=0,"",AH304/H304)</f>
        <v/>
      </c>
      <c r="AJ304" s="14" t="n">
        <v>218.43</v>
      </c>
      <c r="AK304" s="17">
        <f>IF(H304=0,"",AJ304/H304)</f>
        <v/>
      </c>
      <c r="AL304" s="14" t="n">
        <v>91305.33487000001</v>
      </c>
      <c r="AM304" s="15">
        <f>IF(H304=0,"",AL304/H304)</f>
        <v/>
      </c>
      <c r="AN304" s="14" t="n">
        <v>0</v>
      </c>
      <c r="AO304" s="14" t="n">
        <v>0</v>
      </c>
      <c r="AP304" s="14" t="n">
        <v>0</v>
      </c>
      <c r="AQ304" s="14" t="n">
        <v>0</v>
      </c>
      <c r="AR304" s="14" t="n">
        <v>0</v>
      </c>
      <c r="AS304" s="14" t="n">
        <v>0</v>
      </c>
      <c r="AT304" s="14" t="n">
        <v>0</v>
      </c>
      <c r="AU304" s="15">
        <f>AH304+AL304+AP304+AQ304+AR304+AS304+AT304</f>
        <v/>
      </c>
      <c r="AV304" s="15">
        <f>IF(H304=0,"",AU304/H304)</f>
        <v/>
      </c>
      <c r="AW304" s="15">
        <f>IF(S304=0,"",AU304/S304)</f>
        <v/>
      </c>
      <c r="AX304" s="14" t="n">
        <v>1</v>
      </c>
      <c r="AY304" s="15">
        <f>IF(H304=0,"",AX304/(H304/1000/12))</f>
        <v/>
      </c>
      <c r="AZ304" s="14" t="n">
        <v>6</v>
      </c>
      <c r="BA304" s="14" t="n">
        <v>7</v>
      </c>
      <c r="BB304" s="14" t="n">
        <v>1</v>
      </c>
      <c r="BC304" s="14" t="n">
        <v>4</v>
      </c>
      <c r="BD304" s="14" t="n">
        <v>0</v>
      </c>
      <c r="BE304" s="15">
        <f>BC304+BD304</f>
        <v/>
      </c>
      <c r="BF304" s="15">
        <f>BA304+BB304-BE304</f>
        <v/>
      </c>
      <c r="BG304" s="14" t="n">
        <v>1</v>
      </c>
      <c r="BH304" s="14" t="n">
        <v>0</v>
      </c>
      <c r="BI304" s="14" t="n">
        <v>0</v>
      </c>
      <c r="BJ304" s="14" t="n">
        <v>0</v>
      </c>
      <c r="BK304" s="15">
        <f>BI304+BJ304</f>
        <v/>
      </c>
      <c r="BL304" s="15">
        <f>BG304+BH304-BK304</f>
        <v/>
      </c>
      <c r="BM304" s="14" t="n">
        <v>0</v>
      </c>
      <c r="BN304" s="14" t="n">
        <v>1</v>
      </c>
      <c r="BO304" s="14" t="n">
        <v>1</v>
      </c>
      <c r="BP304" s="14" t="n">
        <v>0</v>
      </c>
      <c r="BQ304" s="15">
        <f>BO304+BP304</f>
        <v/>
      </c>
      <c r="BR304" s="15">
        <f>BM304+BN304-BQ304</f>
        <v/>
      </c>
      <c r="BS304" s="14" t="n">
        <v>0</v>
      </c>
      <c r="BT304" s="14" t="n">
        <v>0</v>
      </c>
      <c r="BU304" s="14" t="n">
        <v>0</v>
      </c>
      <c r="BV304" s="14" t="n">
        <v>0</v>
      </c>
      <c r="BW304" s="15">
        <f>BU304+BV304</f>
        <v/>
      </c>
      <c r="BX304" s="15">
        <f>BS304+BT304-BW304</f>
        <v/>
      </c>
      <c r="BY304" s="15">
        <f>BA304+BG304+BM304+BS304</f>
        <v/>
      </c>
      <c r="BZ304" s="15">
        <f>BB304+BH304+BN304+BT304</f>
        <v/>
      </c>
      <c r="CA304" s="15">
        <f>BE304+BK304+BQ304+BW304</f>
        <v/>
      </c>
      <c r="CB304" s="15">
        <f>BF304+BL304+BR304+BX304</f>
        <v/>
      </c>
      <c r="CC304" s="14" t="n">
        <v>0</v>
      </c>
      <c r="CD304" s="14" t="n">
        <v>0</v>
      </c>
      <c r="CE304" s="14" t="n">
        <v>0</v>
      </c>
      <c r="CF304" s="14" t="n">
        <v>0</v>
      </c>
      <c r="CG304" s="14" t="n">
        <v>0</v>
      </c>
      <c r="CH304" s="15">
        <f>CD304+CE304+CF304+CG304</f>
        <v/>
      </c>
      <c r="CI304" s="14" t="n">
        <v>11</v>
      </c>
      <c r="CJ304" s="14" t="n">
        <v>1</v>
      </c>
      <c r="CK304" s="14" t="n">
        <v>1</v>
      </c>
      <c r="CL304" s="14" t="n">
        <v>0</v>
      </c>
      <c r="CM304" s="15">
        <f>CI304+CJ304+CK304+CL304</f>
        <v/>
      </c>
      <c r="CN304" s="14" t="n">
        <v>447</v>
      </c>
      <c r="CO304" s="14" t="n">
        <v>9</v>
      </c>
      <c r="CP304" s="14" t="n">
        <v>7</v>
      </c>
      <c r="CQ304" s="14" t="n">
        <v>15</v>
      </c>
      <c r="CR304" s="15">
        <f>CN304+CO304+CP304+CQ304</f>
        <v/>
      </c>
      <c r="CS304" s="15">
        <f>CM304+CR304</f>
        <v/>
      </c>
      <c r="CT304" s="14" t="n">
        <v>491</v>
      </c>
      <c r="CU304" s="14" t="n">
        <v>7047</v>
      </c>
      <c r="CV304" s="14" t="n">
        <v>5800.5</v>
      </c>
      <c r="CW304" s="16">
        <f>IF(CU304=0,"",CV304/CU304)</f>
        <v/>
      </c>
      <c r="CX304" s="14" t="n">
        <v>0</v>
      </c>
      <c r="CY304" s="14" t="n">
        <v>0</v>
      </c>
      <c r="CZ304" s="14" t="n">
        <v>0</v>
      </c>
      <c r="DA304" s="14" t="n">
        <v>0</v>
      </c>
      <c r="DB304" s="15">
        <f>CX304+CY304-CZ304-DA304</f>
        <v/>
      </c>
      <c r="DC304" s="14" t="n">
        <v>0</v>
      </c>
      <c r="DD304" s="14" t="n">
        <v>0</v>
      </c>
      <c r="DE304" s="14" t="n">
        <v>0</v>
      </c>
      <c r="DF304" s="14" t="n">
        <v>0</v>
      </c>
      <c r="DG304" s="15">
        <f>DC304+DD304-DE304-DF304</f>
        <v/>
      </c>
      <c r="DH304" s="14" t="n">
        <v>0</v>
      </c>
      <c r="DI304" s="14" t="n">
        <v>0</v>
      </c>
      <c r="DJ304" s="14" t="n">
        <v>0</v>
      </c>
      <c r="DK304" s="14" t="n">
        <v>0</v>
      </c>
      <c r="DL304" s="15">
        <f>DH304+DI304-DJ304-DK304</f>
        <v/>
      </c>
      <c r="DM304" s="14" t="n">
        <v>0</v>
      </c>
      <c r="DN304" s="14" t="n">
        <v>0</v>
      </c>
      <c r="DO304" s="14" t="n">
        <v>0</v>
      </c>
      <c r="DP304" s="14" t="n">
        <v>0</v>
      </c>
      <c r="DQ304" s="15">
        <f>DM304+DN304-DO304-DP304</f>
        <v/>
      </c>
      <c r="DR304" s="15">
        <f>CX304+DC304+DH304+DM304</f>
        <v/>
      </c>
      <c r="DS304" s="15">
        <f>CY304+DD304+DI304+DN304</f>
        <v/>
      </c>
      <c r="DT304" s="15">
        <f>CZ304+DE304+DJ304+DO304</f>
        <v/>
      </c>
      <c r="DU304" s="15">
        <f>DA304+DF304+DK304+DP304</f>
        <v/>
      </c>
      <c r="DV304" s="15">
        <f>DB304+DG304+DL304+DQ304</f>
        <v/>
      </c>
      <c r="DW304" s="14" t="n">
        <v>9</v>
      </c>
      <c r="DX304" s="14" t="n">
        <v>2</v>
      </c>
      <c r="DY304" s="14" t="n">
        <v>0</v>
      </c>
      <c r="DZ304" s="14" t="n">
        <v>0</v>
      </c>
      <c r="EA304" s="14" t="n">
        <v>0</v>
      </c>
      <c r="EB304" s="14" t="n">
        <v>1</v>
      </c>
      <c r="EC304" s="14" t="n">
        <v>0</v>
      </c>
      <c r="ED304" s="14" t="n">
        <v>0</v>
      </c>
      <c r="EE304" s="14" t="n">
        <v>4</v>
      </c>
      <c r="EF304" s="14" t="n">
        <v>0</v>
      </c>
      <c r="EG304" s="14" t="n">
        <v>0</v>
      </c>
      <c r="EH304" s="14" t="n">
        <v>0</v>
      </c>
      <c r="EI304" s="14" t="n">
        <v>0</v>
      </c>
      <c r="EJ304" s="14" t="n">
        <v>0</v>
      </c>
      <c r="EK304" s="14" t="n">
        <v>0</v>
      </c>
      <c r="EL304" s="14" t="n">
        <v>0</v>
      </c>
      <c r="EM304" s="14" t="n">
        <v>0</v>
      </c>
      <c r="EN304" s="14" t="n">
        <v>0</v>
      </c>
      <c r="EO304" s="14" t="n">
        <v>0</v>
      </c>
      <c r="EP304" s="14" t="n">
        <v>0</v>
      </c>
      <c r="EQ304" s="14" t="n">
        <v>0</v>
      </c>
      <c r="ER304" s="14" t="n">
        <v>0</v>
      </c>
      <c r="ES304" s="14" t="n">
        <v>0</v>
      </c>
      <c r="ET304" s="14" t="n">
        <v>0</v>
      </c>
      <c r="EU304" s="14" t="n">
        <v>0</v>
      </c>
      <c r="EV304" s="14" t="n">
        <v>0</v>
      </c>
      <c r="EW304" s="14" t="n">
        <v>0</v>
      </c>
      <c r="EX304" s="14" t="n">
        <v>0</v>
      </c>
      <c r="EY304" s="14" t="n">
        <v>0</v>
      </c>
      <c r="EZ304" s="14" t="n">
        <v>0</v>
      </c>
      <c r="FA304" s="14" t="n">
        <v>0</v>
      </c>
      <c r="FB304" s="14" t="n">
        <v>0</v>
      </c>
      <c r="FC304" s="14" t="n">
        <v>0</v>
      </c>
      <c r="FD304" s="14" t="n">
        <v>0</v>
      </c>
      <c r="FE304" s="14" t="n">
        <v>0</v>
      </c>
      <c r="FF304" s="14" t="n">
        <v>0</v>
      </c>
      <c r="FG304" s="15">
        <f>SUM(DW304,DX304,DY304,DZ304,EA304,EB304,EC304,ED304,EE304,EF304,EG304,EH304,EI304,EJ304,EK304,EL304,EM304,EN304,EO304,EP304,EQ304,ER304,ES304,ET304,EU304,EV304,EW304,EX304,EY304,EZ304,FA304,FB304,FC304,FD304,FE304,FF304)</f>
        <v/>
      </c>
      <c r="FH304" s="14" t="n">
        <v>0</v>
      </c>
      <c r="FI304" s="14" t="n">
        <v>0</v>
      </c>
      <c r="FJ304" s="14" t="n">
        <v>23</v>
      </c>
      <c r="FK304" s="14" t="n">
        <v>0</v>
      </c>
      <c r="FL304" s="14" t="n">
        <v>0</v>
      </c>
      <c r="FM304" s="14" t="n">
        <v>0</v>
      </c>
      <c r="FN304" s="14" t="n">
        <v>0</v>
      </c>
      <c r="FO304" s="14" t="n">
        <v>0</v>
      </c>
      <c r="FP304" s="14" t="n">
        <v>0</v>
      </c>
      <c r="FQ304" s="15">
        <f>FL304+FM304+FN304+FO304+FP304</f>
        <v/>
      </c>
      <c r="FR304" s="14" t="n">
        <v>200355</v>
      </c>
      <c r="FS304" s="14" t="n">
        <v>0</v>
      </c>
      <c r="FT304" s="14" t="n">
        <v>0</v>
      </c>
      <c r="FU304" s="14" t="n">
        <v>0</v>
      </c>
      <c r="FV304" s="15">
        <f>FR304+FS304+FT304+FU304</f>
        <v/>
      </c>
      <c r="FW304" s="14" t="n">
        <v>3884968</v>
      </c>
      <c r="FX304" s="14" t="n">
        <v>121000</v>
      </c>
      <c r="FY304" s="14" t="n">
        <v>11000</v>
      </c>
      <c r="FZ304" s="14" t="n">
        <v>80000</v>
      </c>
      <c r="GA304" s="15">
        <f>FW304+FX304+FY304+FZ304</f>
        <v/>
      </c>
      <c r="GB304" s="15">
        <f>FV304+GA304</f>
        <v/>
      </c>
      <c r="GC304" s="14" t="n">
        <v>66434.32000000001</v>
      </c>
      <c r="GD304" s="14" t="n">
        <v>0</v>
      </c>
      <c r="GE304" s="14" t="n">
        <v>36416.95</v>
      </c>
      <c r="GF304" s="14" t="n">
        <v>8410.99</v>
      </c>
      <c r="GG304" s="15">
        <f>GC304+GD304+GE304+GF304</f>
        <v/>
      </c>
      <c r="GH304" s="14" t="n">
        <v>3804540.37</v>
      </c>
      <c r="GI304" s="14" t="n">
        <v>118180</v>
      </c>
      <c r="GJ304" s="14" t="n">
        <v>80000</v>
      </c>
      <c r="GK304" s="14" t="n">
        <v>11000</v>
      </c>
      <c r="GL304" s="15">
        <f>GH304+GI304+GJ304+GK304</f>
        <v/>
      </c>
      <c r="GM304" s="15">
        <f>GG304+GL304</f>
        <v/>
      </c>
      <c r="GN304" s="14" t="n">
        <v>5830.38</v>
      </c>
      <c r="GO304" s="14" t="n">
        <v>0</v>
      </c>
      <c r="GP304" s="14" t="n">
        <v>3393.64</v>
      </c>
      <c r="GQ304" s="14" t="n">
        <v>4637.34</v>
      </c>
      <c r="GR304" s="15">
        <f>GN304+GO304+GP304+GQ304</f>
        <v/>
      </c>
      <c r="GS304" s="14" t="n">
        <v>9823</v>
      </c>
      <c r="GT304" s="14" t="n">
        <v>0</v>
      </c>
      <c r="GU304" s="14" t="n">
        <v>893</v>
      </c>
      <c r="GV304" s="14" t="n">
        <v>893</v>
      </c>
      <c r="GW304" s="15">
        <f>GS304+GT304+GU304+GV304</f>
        <v/>
      </c>
      <c r="GX304" s="15">
        <f>GM304+GR304+GW304</f>
        <v/>
      </c>
      <c r="GY304" s="14" t="n">
        <v>9080543.229999999</v>
      </c>
      <c r="GZ304" s="14" t="n">
        <v>13202.22</v>
      </c>
      <c r="HA304" s="9">
        <f>GY304+GZ304</f>
        <v/>
      </c>
      <c r="HB304" s="15">
        <f>IF(GX304=0,"",AU304/GX304)</f>
        <v/>
      </c>
      <c r="HC304" s="16">
        <f>IF((GX304+GY304)=0,"",GB304/(GX304+GY304))</f>
        <v/>
      </c>
      <c r="HD304" s="15">
        <f>IF(GX304=0,"",GB304/GX304)</f>
        <v/>
      </c>
      <c r="HE304" s="14" t="n">
        <v>9</v>
      </c>
      <c r="HF304" s="14" t="n">
        <v>7</v>
      </c>
      <c r="HG304" s="14" t="n">
        <v>5</v>
      </c>
      <c r="HH304" s="14" t="n">
        <v>2</v>
      </c>
      <c r="HI304" s="14" t="n">
        <v>2</v>
      </c>
      <c r="HJ304" s="15">
        <f>HF304+HI304</f>
        <v/>
      </c>
      <c r="HK304" s="16">
        <f>IF(HE304=0,"",HH304/HE304)</f>
        <v/>
      </c>
      <c r="HL304" s="14" t="n">
        <v>0</v>
      </c>
      <c r="HM304" s="14" t="n">
        <v>0</v>
      </c>
      <c r="HN304" s="17">
        <f>IF(HL304=0,"",HM304/HL304)</f>
        <v/>
      </c>
    </row>
    <row r="305">
      <c r="A305" s="6" t="inlineStr">
        <is>
          <t>Zomba</t>
        </is>
      </c>
      <c r="B305" s="6" t="inlineStr">
        <is>
          <t>Jali</t>
        </is>
      </c>
      <c r="C305" s="7" t="inlineStr">
        <is>
          <t>FY2025/26</t>
        </is>
      </c>
      <c r="D305" s="7" t="n">
        <v>2025</v>
      </c>
      <c r="E305" s="7" t="n">
        <v>6</v>
      </c>
      <c r="F305" s="7" t="inlineStr">
        <is>
          <t>June</t>
        </is>
      </c>
      <c r="G305" s="7" t="inlineStr">
        <is>
          <t>Q1</t>
        </is>
      </c>
      <c r="H305" s="8" t="n">
        <v>4801</v>
      </c>
      <c r="I305" s="8" t="n">
        <v>93</v>
      </c>
      <c r="J305" s="8" t="n">
        <v>0</v>
      </c>
      <c r="K305" s="8" t="n">
        <v>15</v>
      </c>
      <c r="L305" s="8" t="n">
        <v>3</v>
      </c>
      <c r="M305" s="9">
        <f>SUM(I305,J305,K305,L305)</f>
        <v/>
      </c>
      <c r="N305" s="8" t="n">
        <v>2925.8</v>
      </c>
      <c r="O305" s="8" t="n">
        <v>414.5</v>
      </c>
      <c r="P305" s="8" t="n">
        <v>15.1</v>
      </c>
      <c r="Q305" s="8" t="n">
        <v>94.59999999999999</v>
      </c>
      <c r="R305" s="9">
        <f>SUM(N305,O305,P305,Q305)</f>
        <v/>
      </c>
      <c r="S305" s="9">
        <f>M305+R305</f>
        <v/>
      </c>
      <c r="T305" s="8" t="n">
        <v>1240</v>
      </c>
      <c r="U305" s="10">
        <f>IF(H305=0,"",T305/H305)</f>
        <v/>
      </c>
      <c r="V305" s="8" t="n">
        <v>10</v>
      </c>
      <c r="W305" s="11">
        <f>IF(H305=0,"",V305/H305)</f>
        <v/>
      </c>
      <c r="X305" s="8" t="n">
        <v>35</v>
      </c>
      <c r="Y305" s="11">
        <f>IF(H305=0,"",X305/H305)</f>
        <v/>
      </c>
      <c r="Z305" s="8" t="n">
        <v>19</v>
      </c>
      <c r="AA305" s="11">
        <f>IF(H305=0,"",Z305/H305)</f>
        <v/>
      </c>
      <c r="AB305" s="8" t="n">
        <v>0</v>
      </c>
      <c r="AC305" s="11">
        <f>IF(H305=0,"",AB305/H305)</f>
        <v/>
      </c>
      <c r="AD305" s="8" t="n">
        <v>0</v>
      </c>
      <c r="AE305" s="11">
        <f>IF(H305=0,"",AD305/H305)</f>
        <v/>
      </c>
      <c r="AF305" s="8" t="n">
        <v>0</v>
      </c>
      <c r="AG305" s="11">
        <f>IF(H305=0,"",AF305/H305)</f>
        <v/>
      </c>
      <c r="AH305" s="8" t="n">
        <v>794704</v>
      </c>
      <c r="AI305" s="9">
        <f>IF(H305=0,"",AH305/H305)</f>
        <v/>
      </c>
      <c r="AJ305" s="8" t="n">
        <v>338.69</v>
      </c>
      <c r="AK305" s="11">
        <f>IF(H305=0,"",AJ305/H305)</f>
        <v/>
      </c>
      <c r="AL305" s="8" t="n">
        <v>124173.47521</v>
      </c>
      <c r="AM305" s="9">
        <f>IF(H305=0,"",AL305/H305)</f>
        <v/>
      </c>
      <c r="AN305" s="8" t="n">
        <v>0</v>
      </c>
      <c r="AO305" s="8" t="n">
        <v>0</v>
      </c>
      <c r="AP305" s="8" t="n">
        <v>0</v>
      </c>
      <c r="AQ305" s="8" t="n">
        <v>0</v>
      </c>
      <c r="AR305" s="8" t="n">
        <v>0</v>
      </c>
      <c r="AS305" s="8" t="n">
        <v>0</v>
      </c>
      <c r="AT305" s="8" t="n">
        <v>0</v>
      </c>
      <c r="AU305" s="9">
        <f>AH305+AL305+AP305+AQ305+AR305+AS305+AT305</f>
        <v/>
      </c>
      <c r="AV305" s="9">
        <f>IF(H305=0,"",AU305/H305)</f>
        <v/>
      </c>
      <c r="AW305" s="9">
        <f>IF(S305=0,"",AU305/S305)</f>
        <v/>
      </c>
      <c r="AX305" s="8" t="n">
        <v>1</v>
      </c>
      <c r="AY305" s="9">
        <f>IF(H305=0,"",AX305/(H305/1000/12))</f>
        <v/>
      </c>
      <c r="AZ305" s="8" t="n">
        <v>6</v>
      </c>
      <c r="BA305" s="8" t="n">
        <v>4</v>
      </c>
      <c r="BB305" s="8" t="n">
        <v>9</v>
      </c>
      <c r="BC305" s="8" t="n">
        <v>8</v>
      </c>
      <c r="BD305" s="8" t="n">
        <v>0</v>
      </c>
      <c r="BE305" s="9">
        <f>BC305+BD305</f>
        <v/>
      </c>
      <c r="BF305" s="9">
        <f>BA305+BB305-BE305</f>
        <v/>
      </c>
      <c r="BG305" s="8" t="n">
        <v>1</v>
      </c>
      <c r="BH305" s="8" t="n">
        <v>0</v>
      </c>
      <c r="BI305" s="8" t="n">
        <v>1</v>
      </c>
      <c r="BJ305" s="8" t="n">
        <v>0</v>
      </c>
      <c r="BK305" s="9">
        <f>BI305+BJ305</f>
        <v/>
      </c>
      <c r="BL305" s="9">
        <f>BG305+BH305-BK305</f>
        <v/>
      </c>
      <c r="BM305" s="8" t="n">
        <v>0</v>
      </c>
      <c r="BN305" s="8" t="n">
        <v>0</v>
      </c>
      <c r="BO305" s="8" t="n">
        <v>0</v>
      </c>
      <c r="BP305" s="8" t="n">
        <v>0</v>
      </c>
      <c r="BQ305" s="9">
        <f>BO305+BP305</f>
        <v/>
      </c>
      <c r="BR305" s="9">
        <f>BM305+BN305-BQ305</f>
        <v/>
      </c>
      <c r="BS305" s="8" t="n">
        <v>0</v>
      </c>
      <c r="BT305" s="8" t="n">
        <v>0</v>
      </c>
      <c r="BU305" s="8" t="n">
        <v>0</v>
      </c>
      <c r="BV305" s="8" t="n">
        <v>0</v>
      </c>
      <c r="BW305" s="9">
        <f>BU305+BV305</f>
        <v/>
      </c>
      <c r="BX305" s="9">
        <f>BS305+BT305-BW305</f>
        <v/>
      </c>
      <c r="BY305" s="9">
        <f>BA305+BG305+BM305+BS305</f>
        <v/>
      </c>
      <c r="BZ305" s="9">
        <f>BB305+BH305+BN305+BT305</f>
        <v/>
      </c>
      <c r="CA305" s="9">
        <f>BE305+BK305+BQ305+BW305</f>
        <v/>
      </c>
      <c r="CB305" s="9">
        <f>BF305+BL305+BR305+BX305</f>
        <v/>
      </c>
      <c r="CC305" s="8" t="n">
        <v>0</v>
      </c>
      <c r="CD305" s="8" t="n">
        <v>0</v>
      </c>
      <c r="CE305" s="8" t="n">
        <v>0</v>
      </c>
      <c r="CF305" s="8" t="n">
        <v>0</v>
      </c>
      <c r="CG305" s="8" t="n">
        <v>0</v>
      </c>
      <c r="CH305" s="9">
        <f>CD305+CE305+CF305+CG305</f>
        <v/>
      </c>
      <c r="CI305" s="8" t="n">
        <v>19</v>
      </c>
      <c r="CJ305" s="8" t="n">
        <v>2</v>
      </c>
      <c r="CK305" s="8" t="n">
        <v>1</v>
      </c>
      <c r="CL305" s="8" t="n">
        <v>0</v>
      </c>
      <c r="CM305" s="9">
        <f>CI305+CJ305+CK305+CL305</f>
        <v/>
      </c>
      <c r="CN305" s="8" t="n">
        <v>447</v>
      </c>
      <c r="CO305" s="8" t="n">
        <v>9</v>
      </c>
      <c r="CP305" s="8" t="n">
        <v>7</v>
      </c>
      <c r="CQ305" s="8" t="n">
        <v>15</v>
      </c>
      <c r="CR305" s="9">
        <f>CN305+CO305+CP305+CQ305</f>
        <v/>
      </c>
      <c r="CS305" s="9">
        <f>CM305+CR305</f>
        <v/>
      </c>
      <c r="CT305" s="8" t="n">
        <v>500</v>
      </c>
      <c r="CU305" s="8" t="n">
        <v>7058</v>
      </c>
      <c r="CV305" s="8" t="n">
        <v>5839.7</v>
      </c>
      <c r="CW305" s="10">
        <f>IF(CU305=0,"",CV305/CU305)</f>
        <v/>
      </c>
      <c r="CX305" s="8" t="n">
        <v>0</v>
      </c>
      <c r="CY305" s="8" t="n">
        <v>0</v>
      </c>
      <c r="CZ305" s="8" t="n">
        <v>0</v>
      </c>
      <c r="DA305" s="8" t="n">
        <v>0</v>
      </c>
      <c r="DB305" s="9">
        <f>CX305+CY305-CZ305-DA305</f>
        <v/>
      </c>
      <c r="DC305" s="8" t="n">
        <v>0</v>
      </c>
      <c r="DD305" s="8" t="n">
        <v>0</v>
      </c>
      <c r="DE305" s="8" t="n">
        <v>0</v>
      </c>
      <c r="DF305" s="8" t="n">
        <v>0</v>
      </c>
      <c r="DG305" s="9">
        <f>DC305+DD305-DE305-DF305</f>
        <v/>
      </c>
      <c r="DH305" s="8" t="n">
        <v>0</v>
      </c>
      <c r="DI305" s="8" t="n">
        <v>0</v>
      </c>
      <c r="DJ305" s="8" t="n">
        <v>0</v>
      </c>
      <c r="DK305" s="8" t="n">
        <v>0</v>
      </c>
      <c r="DL305" s="9">
        <f>DH305+DI305-DJ305-DK305</f>
        <v/>
      </c>
      <c r="DM305" s="8" t="n">
        <v>0</v>
      </c>
      <c r="DN305" s="8" t="n">
        <v>0</v>
      </c>
      <c r="DO305" s="8" t="n">
        <v>0</v>
      </c>
      <c r="DP305" s="8" t="n">
        <v>0</v>
      </c>
      <c r="DQ305" s="9">
        <f>DM305+DN305-DO305-DP305</f>
        <v/>
      </c>
      <c r="DR305" s="9">
        <f>CX305+DC305+DH305+DM305</f>
        <v/>
      </c>
      <c r="DS305" s="9">
        <f>CY305+DD305+DI305+DN305</f>
        <v/>
      </c>
      <c r="DT305" s="9">
        <f>CZ305+DE305+DJ305+DO305</f>
        <v/>
      </c>
      <c r="DU305" s="9">
        <f>DA305+DF305+DK305+DP305</f>
        <v/>
      </c>
      <c r="DV305" s="9">
        <f>DB305+DG305+DL305+DQ305</f>
        <v/>
      </c>
      <c r="DW305" s="8" t="n">
        <v>0</v>
      </c>
      <c r="DX305" s="8" t="n">
        <v>0</v>
      </c>
      <c r="DY305" s="8" t="n">
        <v>1</v>
      </c>
      <c r="DZ305" s="8" t="n">
        <v>0</v>
      </c>
      <c r="EA305" s="8" t="n">
        <v>0</v>
      </c>
      <c r="EB305" s="8" t="n">
        <v>0</v>
      </c>
      <c r="EC305" s="8" t="n">
        <v>0</v>
      </c>
      <c r="ED305" s="8" t="n">
        <v>0</v>
      </c>
      <c r="EE305" s="8" t="n">
        <v>2</v>
      </c>
      <c r="EF305" s="8" t="n">
        <v>0</v>
      </c>
      <c r="EG305" s="8" t="n">
        <v>0</v>
      </c>
      <c r="EH305" s="8" t="n">
        <v>0</v>
      </c>
      <c r="EI305" s="8" t="n">
        <v>0</v>
      </c>
      <c r="EJ305" s="8" t="n">
        <v>0</v>
      </c>
      <c r="EK305" s="8" t="n">
        <v>0</v>
      </c>
      <c r="EL305" s="8" t="n">
        <v>0</v>
      </c>
      <c r="EM305" s="8" t="n">
        <v>0</v>
      </c>
      <c r="EN305" s="8" t="n">
        <v>0</v>
      </c>
      <c r="EO305" s="8" t="n">
        <v>0</v>
      </c>
      <c r="EP305" s="8" t="n">
        <v>0</v>
      </c>
      <c r="EQ305" s="8" t="n">
        <v>0</v>
      </c>
      <c r="ER305" s="8" t="n">
        <v>0</v>
      </c>
      <c r="ES305" s="8" t="n">
        <v>0</v>
      </c>
      <c r="ET305" s="8" t="n">
        <v>0</v>
      </c>
      <c r="EU305" s="8" t="n">
        <v>0</v>
      </c>
      <c r="EV305" s="8" t="n">
        <v>0</v>
      </c>
      <c r="EW305" s="8" t="n">
        <v>0</v>
      </c>
      <c r="EX305" s="8" t="n">
        <v>0</v>
      </c>
      <c r="EY305" s="8" t="n">
        <v>0</v>
      </c>
      <c r="EZ305" s="8" t="n">
        <v>0</v>
      </c>
      <c r="FA305" s="8" t="n">
        <v>0</v>
      </c>
      <c r="FB305" s="8" t="n">
        <v>0</v>
      </c>
      <c r="FC305" s="8" t="n">
        <v>0</v>
      </c>
      <c r="FD305" s="8" t="n">
        <v>0</v>
      </c>
      <c r="FE305" s="8" t="n">
        <v>0</v>
      </c>
      <c r="FF305" s="8" t="n">
        <v>0</v>
      </c>
      <c r="FG305" s="9">
        <f>SUM(DW305,DX305,DY305,DZ305,EA305,EB305,EC305,ED305,EE305,EF305,EG305,EH305,EI305,EJ305,EK305,EL305,EM305,EN305,EO305,EP305,EQ305,ER305,ES305,ET305,EU305,EV305,EW305,EX305,EY305,EZ305,FA305,FB305,FC305,FD305,FE305,FF305)</f>
        <v/>
      </c>
      <c r="FH305" s="8" t="n">
        <v>0</v>
      </c>
      <c r="FI305" s="8" t="n">
        <v>0</v>
      </c>
      <c r="FJ305" s="8" t="n">
        <v>23</v>
      </c>
      <c r="FK305" s="8" t="n">
        <v>0</v>
      </c>
      <c r="FL305" s="8" t="n">
        <v>0</v>
      </c>
      <c r="FM305" s="8" t="n">
        <v>0</v>
      </c>
      <c r="FN305" s="8" t="n">
        <v>0</v>
      </c>
      <c r="FO305" s="8" t="n">
        <v>0</v>
      </c>
      <c r="FP305" s="8" t="n">
        <v>0</v>
      </c>
      <c r="FQ305" s="9">
        <f>FL305+FM305+FN305+FO305+FP305</f>
        <v/>
      </c>
      <c r="FR305" s="8" t="n">
        <v>43270</v>
      </c>
      <c r="FS305" s="8" t="n">
        <v>0</v>
      </c>
      <c r="FT305" s="8" t="n">
        <v>14000</v>
      </c>
      <c r="FU305" s="8" t="n">
        <v>0</v>
      </c>
      <c r="FV305" s="9">
        <f>FR305+FS305+FT305+FU305</f>
        <v/>
      </c>
      <c r="FW305" s="8" t="n">
        <v>3695593.08</v>
      </c>
      <c r="FX305" s="8" t="n">
        <v>90021.24000000001</v>
      </c>
      <c r="FY305" s="8" t="n">
        <v>22364.05</v>
      </c>
      <c r="FZ305" s="8" t="n">
        <v>58000</v>
      </c>
      <c r="GA305" s="9">
        <f>FW305+FX305+FY305+FZ305</f>
        <v/>
      </c>
      <c r="GB305" s="9">
        <f>FV305+GA305</f>
        <v/>
      </c>
      <c r="GC305" s="8" t="n">
        <v>95820.13</v>
      </c>
      <c r="GD305" s="8" t="n">
        <v>0</v>
      </c>
      <c r="GE305" s="8" t="n">
        <v>44827.94</v>
      </c>
      <c r="GF305" s="8" t="n">
        <v>8410.99</v>
      </c>
      <c r="GG305" s="9">
        <f>GC305+GD305+GE305+GF305</f>
        <v/>
      </c>
      <c r="GH305" s="8" t="n">
        <v>3642555.43</v>
      </c>
      <c r="GI305" s="8" t="n">
        <v>88101.24000000001</v>
      </c>
      <c r="GJ305" s="8" t="n">
        <v>46000</v>
      </c>
      <c r="GK305" s="8" t="n">
        <v>22364.04</v>
      </c>
      <c r="GL305" s="9">
        <f>GH305+GI305+GJ305+GK305</f>
        <v/>
      </c>
      <c r="GM305" s="9">
        <f>GG305+GL305</f>
        <v/>
      </c>
      <c r="GN305" s="8" t="n">
        <v>10189.82</v>
      </c>
      <c r="GO305" s="8" t="n">
        <v>0</v>
      </c>
      <c r="GP305" s="8" t="n">
        <v>6787.28</v>
      </c>
      <c r="GQ305" s="8" t="n">
        <v>4637.34</v>
      </c>
      <c r="GR305" s="9">
        <f>GN305+GO305+GP305+GQ305</f>
        <v/>
      </c>
      <c r="GS305" s="8" t="n">
        <v>16967</v>
      </c>
      <c r="GT305" s="8" t="n">
        <v>0</v>
      </c>
      <c r="GU305" s="8" t="n">
        <v>1786</v>
      </c>
      <c r="GV305" s="8" t="n">
        <v>893</v>
      </c>
      <c r="GW305" s="9">
        <f>GS305+GT305+GU305+GV305</f>
        <v/>
      </c>
      <c r="GX305" s="9">
        <f>GM305+GR305+GW305</f>
        <v/>
      </c>
      <c r="GY305" s="8" t="n">
        <v>9172889.139999989</v>
      </c>
      <c r="GZ305" s="8" t="n">
        <v>13202.22</v>
      </c>
      <c r="HA305" s="9">
        <f>GY305+GZ305</f>
        <v/>
      </c>
      <c r="HB305" s="9">
        <f>IF(GX305=0,"",AU305/GX305)</f>
        <v/>
      </c>
      <c r="HC305" s="10">
        <f>IF((GX305+GY305)=0,"",GB305/(GX305+GY305))</f>
        <v/>
      </c>
      <c r="HD305" s="9">
        <f>IF(GX305=0,"",GB305/GX305)</f>
        <v/>
      </c>
      <c r="HE305" s="8" t="n">
        <v>15</v>
      </c>
      <c r="HF305" s="8" t="n">
        <v>7</v>
      </c>
      <c r="HG305" s="8" t="n">
        <v>5</v>
      </c>
      <c r="HH305" s="8" t="n">
        <v>9</v>
      </c>
      <c r="HI305" s="8" t="n">
        <v>4</v>
      </c>
      <c r="HJ305" s="9">
        <f>HF305+HI305</f>
        <v/>
      </c>
      <c r="HK305" s="10">
        <f>IF(HE305=0,"",HH305/HE305)</f>
        <v/>
      </c>
      <c r="HL305" s="8" t="n">
        <v>0</v>
      </c>
      <c r="HM305" s="8" t="n">
        <v>0</v>
      </c>
      <c r="HN305" s="11">
        <f>IF(HL305=0,"",HM305/HL305)</f>
        <v/>
      </c>
    </row>
    <row r="306">
      <c r="A306" s="12" t="inlineStr">
        <is>
          <t>Zomba</t>
        </is>
      </c>
      <c r="B306" s="12" t="inlineStr">
        <is>
          <t>Jali</t>
        </is>
      </c>
      <c r="C306" s="13" t="inlineStr">
        <is>
          <t>FY2025/26</t>
        </is>
      </c>
      <c r="D306" s="13" t="n">
        <v>2025</v>
      </c>
      <c r="E306" s="13" t="n">
        <v>7</v>
      </c>
      <c r="F306" s="13" t="inlineStr">
        <is>
          <t>July</t>
        </is>
      </c>
      <c r="G306" s="13" t="inlineStr">
        <is>
          <t>Q2</t>
        </is>
      </c>
      <c r="H306" s="14" t="n">
        <v>4536</v>
      </c>
      <c r="I306" s="14" t="n">
        <v>160</v>
      </c>
      <c r="J306" s="14" t="n">
        <v>0</v>
      </c>
      <c r="K306" s="14" t="n">
        <v>19</v>
      </c>
      <c r="L306" s="14" t="n">
        <v>0</v>
      </c>
      <c r="M306" s="15">
        <f>SUM(I306,J306,K306,L306)</f>
        <v/>
      </c>
      <c r="N306" s="14" t="n">
        <v>3192.8</v>
      </c>
      <c r="O306" s="14" t="n">
        <v>625.7</v>
      </c>
      <c r="P306" s="14" t="n">
        <v>195</v>
      </c>
      <c r="Q306" s="14" t="n">
        <v>4</v>
      </c>
      <c r="R306" s="15">
        <f>SUM(N306,O306,P306,Q306)</f>
        <v/>
      </c>
      <c r="S306" s="15">
        <f>M306+R306</f>
        <v/>
      </c>
      <c r="T306" s="14" t="n">
        <v>339.500000000002</v>
      </c>
      <c r="U306" s="16">
        <f>IF(H306=0,"",T306/H306)</f>
        <v/>
      </c>
      <c r="V306" s="14" t="n">
        <v>9</v>
      </c>
      <c r="W306" s="17">
        <f>IF(H306=0,"",V306/H306)</f>
        <v/>
      </c>
      <c r="X306" s="14" t="n">
        <v>28</v>
      </c>
      <c r="Y306" s="17">
        <f>IF(H306=0,"",X306/H306)</f>
        <v/>
      </c>
      <c r="Z306" s="14" t="n">
        <v>17</v>
      </c>
      <c r="AA306" s="17">
        <f>IF(H306=0,"",Z306/H306)</f>
        <v/>
      </c>
      <c r="AB306" s="14" t="n">
        <v>0</v>
      </c>
      <c r="AC306" s="17">
        <f>IF(H306=0,"",AB306/H306)</f>
        <v/>
      </c>
      <c r="AD306" s="14" t="n">
        <v>0</v>
      </c>
      <c r="AE306" s="17">
        <f>IF(H306=0,"",AD306/H306)</f>
        <v/>
      </c>
      <c r="AF306" s="14" t="n">
        <v>0</v>
      </c>
      <c r="AG306" s="17">
        <f>IF(H306=0,"",AF306/H306)</f>
        <v/>
      </c>
      <c r="AH306" s="14" t="n">
        <v>683572</v>
      </c>
      <c r="AI306" s="15">
        <f>IF(H306=0,"",AH306/H306)</f>
        <v/>
      </c>
      <c r="AJ306" s="14" t="n">
        <v>312.2</v>
      </c>
      <c r="AK306" s="17">
        <f>IF(H306=0,"",AJ306/H306)</f>
        <v/>
      </c>
      <c r="AL306" s="14" t="n">
        <v>116933.5198</v>
      </c>
      <c r="AM306" s="15">
        <f>IF(H306=0,"",AL306/H306)</f>
        <v/>
      </c>
      <c r="AN306" s="14" t="n">
        <v>0</v>
      </c>
      <c r="AO306" s="14" t="n">
        <v>0</v>
      </c>
      <c r="AP306" s="14" t="n">
        <v>0</v>
      </c>
      <c r="AQ306" s="14" t="n">
        <v>0</v>
      </c>
      <c r="AR306" s="14" t="n">
        <v>0</v>
      </c>
      <c r="AS306" s="14" t="n">
        <v>0</v>
      </c>
      <c r="AT306" s="14" t="n">
        <v>0</v>
      </c>
      <c r="AU306" s="15">
        <f>AH306+AL306+AP306+AQ306+AR306+AS306+AT306</f>
        <v/>
      </c>
      <c r="AV306" s="15">
        <f>IF(H306=0,"",AU306/H306)</f>
        <v/>
      </c>
      <c r="AW306" s="15">
        <f>IF(S306=0,"",AU306/S306)</f>
        <v/>
      </c>
      <c r="AX306" s="14" t="n">
        <v>1</v>
      </c>
      <c r="AY306" s="15">
        <f>IF(H306=0,"",AX306/(H306/1000/12))</f>
        <v/>
      </c>
      <c r="AZ306" s="14" t="n">
        <v>6</v>
      </c>
      <c r="BA306" s="14" t="n">
        <v>5</v>
      </c>
      <c r="BB306" s="14" t="n">
        <v>35</v>
      </c>
      <c r="BC306" s="14" t="n">
        <v>15</v>
      </c>
      <c r="BD306" s="14" t="n">
        <v>0</v>
      </c>
      <c r="BE306" s="15">
        <f>BC306+BD306</f>
        <v/>
      </c>
      <c r="BF306" s="15">
        <f>BA306+BB306-BE306</f>
        <v/>
      </c>
      <c r="BG306" s="14" t="n">
        <v>0</v>
      </c>
      <c r="BH306" s="14" t="n">
        <v>0</v>
      </c>
      <c r="BI306" s="14" t="n">
        <v>0</v>
      </c>
      <c r="BJ306" s="14" t="n">
        <v>0</v>
      </c>
      <c r="BK306" s="15">
        <f>BI306+BJ306</f>
        <v/>
      </c>
      <c r="BL306" s="15">
        <f>BG306+BH306-BK306</f>
        <v/>
      </c>
      <c r="BM306" s="14" t="n">
        <v>0</v>
      </c>
      <c r="BN306" s="14" t="n">
        <v>0</v>
      </c>
      <c r="BO306" s="14" t="n">
        <v>0</v>
      </c>
      <c r="BP306" s="14" t="n">
        <v>0</v>
      </c>
      <c r="BQ306" s="15">
        <f>BO306+BP306</f>
        <v/>
      </c>
      <c r="BR306" s="15">
        <f>BM306+BN306-BQ306</f>
        <v/>
      </c>
      <c r="BS306" s="14" t="n">
        <v>0</v>
      </c>
      <c r="BT306" s="14" t="n">
        <v>0</v>
      </c>
      <c r="BU306" s="14" t="n">
        <v>0</v>
      </c>
      <c r="BV306" s="14" t="n">
        <v>0</v>
      </c>
      <c r="BW306" s="15">
        <f>BU306+BV306</f>
        <v/>
      </c>
      <c r="BX306" s="15">
        <f>BS306+BT306-BW306</f>
        <v/>
      </c>
      <c r="BY306" s="15">
        <f>BA306+BG306+BM306+BS306</f>
        <v/>
      </c>
      <c r="BZ306" s="15">
        <f>BB306+BH306+BN306+BT306</f>
        <v/>
      </c>
      <c r="CA306" s="15">
        <f>BE306+BK306+BQ306+BW306</f>
        <v/>
      </c>
      <c r="CB306" s="15">
        <f>BF306+BL306+BR306+BX306</f>
        <v/>
      </c>
      <c r="CC306" s="14" t="n">
        <v>0</v>
      </c>
      <c r="CD306" s="14" t="n">
        <v>0</v>
      </c>
      <c r="CE306" s="14" t="n">
        <v>0</v>
      </c>
      <c r="CF306" s="14" t="n">
        <v>0</v>
      </c>
      <c r="CG306" s="14" t="n">
        <v>0</v>
      </c>
      <c r="CH306" s="15">
        <f>CD306+CE306+CF306+CG306</f>
        <v/>
      </c>
      <c r="CI306" s="14" t="n">
        <v>30</v>
      </c>
      <c r="CJ306" s="14" t="n">
        <v>2</v>
      </c>
      <c r="CK306" s="14" t="n">
        <v>0</v>
      </c>
      <c r="CL306" s="14" t="n">
        <v>0</v>
      </c>
      <c r="CM306" s="15">
        <f>CI306+CJ306+CK306+CL306</f>
        <v/>
      </c>
      <c r="CN306" s="14" t="n">
        <v>451</v>
      </c>
      <c r="CO306" s="14" t="n">
        <v>9</v>
      </c>
      <c r="CP306" s="14" t="n">
        <v>8</v>
      </c>
      <c r="CQ306" s="14" t="n">
        <v>15</v>
      </c>
      <c r="CR306" s="15">
        <f>CN306+CO306+CP306+CQ306</f>
        <v/>
      </c>
      <c r="CS306" s="15">
        <f>CM306+CR306</f>
        <v/>
      </c>
      <c r="CT306" s="14" t="n">
        <v>515</v>
      </c>
      <c r="CU306" s="14" t="n">
        <v>7069</v>
      </c>
      <c r="CV306" s="14" t="n">
        <v>5904.5</v>
      </c>
      <c r="CW306" s="16">
        <f>IF(CU306=0,"",CV306/CU306)</f>
        <v/>
      </c>
      <c r="CX306" s="14" t="n">
        <v>0</v>
      </c>
      <c r="CY306" s="14" t="n">
        <v>0</v>
      </c>
      <c r="CZ306" s="14" t="n">
        <v>0</v>
      </c>
      <c r="DA306" s="14" t="n">
        <v>0</v>
      </c>
      <c r="DB306" s="15">
        <f>CX306+CY306-CZ306-DA306</f>
        <v/>
      </c>
      <c r="DC306" s="14" t="n">
        <v>0</v>
      </c>
      <c r="DD306" s="14" t="n">
        <v>0</v>
      </c>
      <c r="DE306" s="14" t="n">
        <v>0</v>
      </c>
      <c r="DF306" s="14" t="n">
        <v>0</v>
      </c>
      <c r="DG306" s="15">
        <f>DC306+DD306-DE306-DF306</f>
        <v/>
      </c>
      <c r="DH306" s="14" t="n">
        <v>0</v>
      </c>
      <c r="DI306" s="14" t="n">
        <v>0</v>
      </c>
      <c r="DJ306" s="14" t="n">
        <v>0</v>
      </c>
      <c r="DK306" s="14" t="n">
        <v>0</v>
      </c>
      <c r="DL306" s="15">
        <f>DH306+DI306-DJ306-DK306</f>
        <v/>
      </c>
      <c r="DM306" s="14" t="n">
        <v>0</v>
      </c>
      <c r="DN306" s="14" t="n">
        <v>0</v>
      </c>
      <c r="DO306" s="14" t="n">
        <v>0</v>
      </c>
      <c r="DP306" s="14" t="n">
        <v>0</v>
      </c>
      <c r="DQ306" s="15">
        <f>DM306+DN306-DO306-DP306</f>
        <v/>
      </c>
      <c r="DR306" s="15">
        <f>CX306+DC306+DH306+DM306</f>
        <v/>
      </c>
      <c r="DS306" s="15">
        <f>CY306+DD306+DI306+DN306</f>
        <v/>
      </c>
      <c r="DT306" s="15">
        <f>CZ306+DE306+DJ306+DO306</f>
        <v/>
      </c>
      <c r="DU306" s="15">
        <f>DA306+DF306+DK306+DP306</f>
        <v/>
      </c>
      <c r="DV306" s="15">
        <f>DB306+DG306+DL306+DQ306</f>
        <v/>
      </c>
      <c r="DW306" s="14" t="n">
        <v>6</v>
      </c>
      <c r="DX306" s="14" t="n">
        <v>2</v>
      </c>
      <c r="DY306" s="14" t="n">
        <v>4</v>
      </c>
      <c r="DZ306" s="14" t="n">
        <v>0</v>
      </c>
      <c r="EA306" s="14" t="n">
        <v>0</v>
      </c>
      <c r="EB306" s="14" t="n">
        <v>1</v>
      </c>
      <c r="EC306" s="14" t="n">
        <v>0</v>
      </c>
      <c r="ED306" s="14" t="n">
        <v>0</v>
      </c>
      <c r="EE306" s="14" t="n">
        <v>1</v>
      </c>
      <c r="EF306" s="14" t="n">
        <v>0</v>
      </c>
      <c r="EG306" s="14" t="n">
        <v>0</v>
      </c>
      <c r="EH306" s="14" t="n">
        <v>0</v>
      </c>
      <c r="EI306" s="14" t="n">
        <v>0</v>
      </c>
      <c r="EJ306" s="14" t="n">
        <v>0</v>
      </c>
      <c r="EK306" s="14" t="n">
        <v>0</v>
      </c>
      <c r="EL306" s="14" t="n">
        <v>0</v>
      </c>
      <c r="EM306" s="14" t="n">
        <v>0</v>
      </c>
      <c r="EN306" s="14" t="n">
        <v>0</v>
      </c>
      <c r="EO306" s="14" t="n">
        <v>0</v>
      </c>
      <c r="EP306" s="14" t="n">
        <v>0</v>
      </c>
      <c r="EQ306" s="14" t="n">
        <v>0</v>
      </c>
      <c r="ER306" s="14" t="n">
        <v>0</v>
      </c>
      <c r="ES306" s="14" t="n">
        <v>0</v>
      </c>
      <c r="ET306" s="14" t="n">
        <v>0</v>
      </c>
      <c r="EU306" s="14" t="n">
        <v>0</v>
      </c>
      <c r="EV306" s="14" t="n">
        <v>0</v>
      </c>
      <c r="EW306" s="14" t="n">
        <v>0</v>
      </c>
      <c r="EX306" s="14" t="n">
        <v>0</v>
      </c>
      <c r="EY306" s="14" t="n">
        <v>0</v>
      </c>
      <c r="EZ306" s="14" t="n">
        <v>0</v>
      </c>
      <c r="FA306" s="14" t="n">
        <v>0</v>
      </c>
      <c r="FB306" s="14" t="n">
        <v>0</v>
      </c>
      <c r="FC306" s="14" t="n">
        <v>0</v>
      </c>
      <c r="FD306" s="14" t="n">
        <v>0</v>
      </c>
      <c r="FE306" s="14" t="n">
        <v>0</v>
      </c>
      <c r="FF306" s="14" t="n">
        <v>0</v>
      </c>
      <c r="FG306" s="15">
        <f>SUM(DW306,DX306,DY306,DZ306,EA306,EB306,EC306,ED306,EE306,EF306,EG306,EH306,EI306,EJ306,EK306,EL306,EM306,EN306,EO306,EP306,EQ306,ER306,ES306,ET306,EU306,EV306,EW306,EX306,EY306,EZ306,FA306,FB306,FC306,FD306,FE306,FF306)</f>
        <v/>
      </c>
      <c r="FH306" s="14" t="n">
        <v>0</v>
      </c>
      <c r="FI306" s="14" t="n">
        <v>0</v>
      </c>
      <c r="FJ306" s="14" t="n">
        <v>23</v>
      </c>
      <c r="FK306" s="14" t="n">
        <v>0</v>
      </c>
      <c r="FL306" s="14" t="n">
        <v>0</v>
      </c>
      <c r="FM306" s="14" t="n">
        <v>0</v>
      </c>
      <c r="FN306" s="14" t="n">
        <v>0</v>
      </c>
      <c r="FO306" s="14" t="n">
        <v>0</v>
      </c>
      <c r="FP306" s="14" t="n">
        <v>0</v>
      </c>
      <c r="FQ306" s="15">
        <f>FL306+FM306+FN306+FO306+FP306</f>
        <v/>
      </c>
      <c r="FR306" s="14" t="n">
        <v>37850</v>
      </c>
      <c r="FS306" s="14" t="n">
        <v>0</v>
      </c>
      <c r="FT306" s="14" t="n">
        <v>13880</v>
      </c>
      <c r="FU306" s="14" t="n">
        <v>0</v>
      </c>
      <c r="FV306" s="15">
        <f>FR306+FS306+FT306+FU306</f>
        <v/>
      </c>
      <c r="FW306" s="14" t="n">
        <v>4029705</v>
      </c>
      <c r="FX306" s="14" t="n">
        <v>141200</v>
      </c>
      <c r="FY306" s="14" t="n">
        <v>19000</v>
      </c>
      <c r="FZ306" s="14" t="n">
        <v>593000</v>
      </c>
      <c r="GA306" s="15">
        <f>FW306+FX306+FY306+FZ306</f>
        <v/>
      </c>
      <c r="GB306" s="15">
        <f>FV306+GA306</f>
        <v/>
      </c>
      <c r="GC306" s="14" t="n">
        <v>175171.56</v>
      </c>
      <c r="GD306" s="14" t="n">
        <v>0</v>
      </c>
      <c r="GE306" s="14" t="n">
        <v>58214.6</v>
      </c>
      <c r="GF306" s="14" t="n">
        <v>0</v>
      </c>
      <c r="GG306" s="15">
        <f>GC306+GD306+GE306+GF306</f>
        <v/>
      </c>
      <c r="GH306" s="14" t="n">
        <v>3976868.62</v>
      </c>
      <c r="GI306" s="14" t="n">
        <v>132980</v>
      </c>
      <c r="GJ306" s="14" t="n">
        <v>593000</v>
      </c>
      <c r="GK306" s="14" t="n">
        <v>19000</v>
      </c>
      <c r="GL306" s="15">
        <f>GH306+GI306+GJ306+GK306</f>
        <v/>
      </c>
      <c r="GM306" s="15">
        <f>GG306+GL306</f>
        <v/>
      </c>
      <c r="GN306" s="14" t="n">
        <v>16184.05</v>
      </c>
      <c r="GO306" s="14" t="n">
        <v>0</v>
      </c>
      <c r="GP306" s="14" t="n">
        <v>6787.28</v>
      </c>
      <c r="GQ306" s="14" t="n">
        <v>0</v>
      </c>
      <c r="GR306" s="15">
        <f>GN306+GO306+GP306+GQ306</f>
        <v/>
      </c>
      <c r="GS306" s="14" t="n">
        <v>26790</v>
      </c>
      <c r="GT306" s="14" t="n">
        <v>0</v>
      </c>
      <c r="GU306" s="14" t="n">
        <v>1786</v>
      </c>
      <c r="GV306" s="14" t="n">
        <v>0</v>
      </c>
      <c r="GW306" s="15">
        <f>GS306+GT306+GU306+GV306</f>
        <v/>
      </c>
      <c r="GX306" s="15">
        <f>GM306+GR306+GW306</f>
        <v/>
      </c>
      <c r="GY306" s="14" t="n">
        <v>9365389.040000001</v>
      </c>
      <c r="GZ306" s="14" t="n">
        <v>13202.22</v>
      </c>
      <c r="HA306" s="9">
        <f>GY306+GZ306</f>
        <v/>
      </c>
      <c r="HB306" s="15">
        <f>IF(GX306=0,"",AU306/GX306)</f>
        <v/>
      </c>
      <c r="HC306" s="16">
        <f>IF((GX306+GY306)=0,"",GB306/(GX306+GY306))</f>
        <v/>
      </c>
      <c r="HD306" s="15">
        <f>IF(GX306=0,"",GB306/GX306)</f>
        <v/>
      </c>
      <c r="HE306" s="14" t="n">
        <v>9</v>
      </c>
      <c r="HF306" s="14" t="n">
        <v>7</v>
      </c>
      <c r="HG306" s="14" t="n">
        <v>25</v>
      </c>
      <c r="HH306" s="14" t="n">
        <v>35</v>
      </c>
      <c r="HI306" s="14" t="n">
        <v>7</v>
      </c>
      <c r="HJ306" s="15">
        <f>HF306+HI306</f>
        <v/>
      </c>
      <c r="HK306" s="16">
        <f>IF(HE306=0,"",HH306/HE306)</f>
        <v/>
      </c>
      <c r="HL306" s="14" t="n">
        <v>0</v>
      </c>
      <c r="HM306" s="14" t="n">
        <v>0</v>
      </c>
      <c r="HN306" s="17">
        <f>IF(HL306=0,"",HM306/HL306)</f>
        <v/>
      </c>
    </row>
    <row r="307">
      <c r="A307" s="6" t="inlineStr">
        <is>
          <t>Zomba</t>
        </is>
      </c>
      <c r="B307" s="6" t="inlineStr">
        <is>
          <t>Jali</t>
        </is>
      </c>
      <c r="C307" s="7" t="inlineStr">
        <is>
          <t>FY2025/26</t>
        </is>
      </c>
      <c r="D307" s="7" t="n">
        <v>2025</v>
      </c>
      <c r="E307" s="7" t="n">
        <v>8</v>
      </c>
      <c r="F307" s="7" t="inlineStr">
        <is>
          <t>August</t>
        </is>
      </c>
      <c r="G307" s="7" t="inlineStr">
        <is>
          <t>Q2</t>
        </is>
      </c>
      <c r="H307" s="8" t="n">
        <v>5566</v>
      </c>
      <c r="I307" s="8" t="n">
        <v>337</v>
      </c>
      <c r="J307" s="8" t="n">
        <v>0</v>
      </c>
      <c r="K307" s="8" t="n">
        <v>14</v>
      </c>
      <c r="L307" s="8" t="n">
        <v>5</v>
      </c>
      <c r="M307" s="9">
        <f>SUM(I307,J307,K307,L307)</f>
        <v/>
      </c>
      <c r="N307" s="8" t="n">
        <v>3352.60000000001</v>
      </c>
      <c r="O307" s="8" t="n">
        <v>434.1</v>
      </c>
      <c r="P307" s="8" t="n">
        <v>31.6</v>
      </c>
      <c r="Q307" s="8" t="n">
        <v>6.7</v>
      </c>
      <c r="R307" s="9">
        <f>SUM(N307,O307,P307,Q307)</f>
        <v/>
      </c>
      <c r="S307" s="9">
        <f>M307+R307</f>
        <v/>
      </c>
      <c r="T307" s="8" t="n">
        <v>1384.99999999999</v>
      </c>
      <c r="U307" s="10">
        <f>IF(H307=0,"",T307/H307)</f>
        <v/>
      </c>
      <c r="V307" s="8" t="n">
        <v>13</v>
      </c>
      <c r="W307" s="11">
        <f>IF(H307=0,"",V307/H307)</f>
        <v/>
      </c>
      <c r="X307" s="8" t="n">
        <v>22</v>
      </c>
      <c r="Y307" s="11">
        <f>IF(H307=0,"",X307/H307)</f>
        <v/>
      </c>
      <c r="Z307" s="8" t="n">
        <v>16</v>
      </c>
      <c r="AA307" s="11">
        <f>IF(H307=0,"",Z307/H307)</f>
        <v/>
      </c>
      <c r="AB307" s="8" t="n">
        <v>0</v>
      </c>
      <c r="AC307" s="11">
        <f>IF(H307=0,"",AB307/H307)</f>
        <v/>
      </c>
      <c r="AD307" s="8" t="n">
        <v>0</v>
      </c>
      <c r="AE307" s="11">
        <f>IF(H307=0,"",AD307/H307)</f>
        <v/>
      </c>
      <c r="AF307" s="8" t="n">
        <v>0</v>
      </c>
      <c r="AG307" s="11">
        <f>IF(H307=0,"",AF307/H307)</f>
        <v/>
      </c>
      <c r="AH307" s="8" t="n">
        <v>723256</v>
      </c>
      <c r="AI307" s="9">
        <f>IF(H307=0,"",AH307/H307)</f>
        <v/>
      </c>
      <c r="AJ307" s="8" t="n">
        <v>300.12</v>
      </c>
      <c r="AK307" s="11">
        <f>IF(H307=0,"",AJ307/H307)</f>
        <v/>
      </c>
      <c r="AL307" s="8" t="n">
        <v>113631.94708</v>
      </c>
      <c r="AM307" s="9">
        <f>IF(H307=0,"",AL307/H307)</f>
        <v/>
      </c>
      <c r="AN307" s="8" t="n">
        <v>0</v>
      </c>
      <c r="AO307" s="8" t="n">
        <v>0</v>
      </c>
      <c r="AP307" s="8" t="n">
        <v>0</v>
      </c>
      <c r="AQ307" s="8" t="n">
        <v>0</v>
      </c>
      <c r="AR307" s="8" t="n">
        <v>0</v>
      </c>
      <c r="AS307" s="8" t="n">
        <v>0</v>
      </c>
      <c r="AT307" s="8" t="n">
        <v>0</v>
      </c>
      <c r="AU307" s="9">
        <f>AH307+AL307+AP307+AQ307+AR307+AS307+AT307</f>
        <v/>
      </c>
      <c r="AV307" s="9">
        <f>IF(H307=0,"",AU307/H307)</f>
        <v/>
      </c>
      <c r="AW307" s="9">
        <f>IF(S307=0,"",AU307/S307)</f>
        <v/>
      </c>
      <c r="AX307" s="8" t="n">
        <v>1</v>
      </c>
      <c r="AY307" s="9">
        <f>IF(H307=0,"",AX307/(H307/1000/12))</f>
        <v/>
      </c>
      <c r="AZ307" s="8" t="n">
        <v>6</v>
      </c>
      <c r="BA307" s="8" t="n">
        <v>25</v>
      </c>
      <c r="BB307" s="8" t="n">
        <v>6</v>
      </c>
      <c r="BC307" s="8" t="n">
        <v>11</v>
      </c>
      <c r="BD307" s="8" t="n">
        <v>0</v>
      </c>
      <c r="BE307" s="9">
        <f>BC307+BD307</f>
        <v/>
      </c>
      <c r="BF307" s="9">
        <f>BA307+BB307-BE307</f>
        <v/>
      </c>
      <c r="BG307" s="8" t="n">
        <v>0</v>
      </c>
      <c r="BH307" s="8" t="n">
        <v>0</v>
      </c>
      <c r="BI307" s="8" t="n">
        <v>0</v>
      </c>
      <c r="BJ307" s="8" t="n">
        <v>0</v>
      </c>
      <c r="BK307" s="9">
        <f>BI307+BJ307</f>
        <v/>
      </c>
      <c r="BL307" s="9">
        <f>BG307+BH307-BK307</f>
        <v/>
      </c>
      <c r="BM307" s="8" t="n">
        <v>0</v>
      </c>
      <c r="BN307" s="8" t="n">
        <v>1</v>
      </c>
      <c r="BO307" s="8" t="n">
        <v>1</v>
      </c>
      <c r="BP307" s="8" t="n">
        <v>0</v>
      </c>
      <c r="BQ307" s="9">
        <f>BO307+BP307</f>
        <v/>
      </c>
      <c r="BR307" s="9">
        <f>BM307+BN307-BQ307</f>
        <v/>
      </c>
      <c r="BS307" s="8" t="n">
        <v>0</v>
      </c>
      <c r="BT307" s="8" t="n">
        <v>0</v>
      </c>
      <c r="BU307" s="8" t="n">
        <v>0</v>
      </c>
      <c r="BV307" s="8" t="n">
        <v>0</v>
      </c>
      <c r="BW307" s="9">
        <f>BU307+BV307</f>
        <v/>
      </c>
      <c r="BX307" s="9">
        <f>BS307+BT307-BW307</f>
        <v/>
      </c>
      <c r="BY307" s="9">
        <f>BA307+BG307+BM307+BS307</f>
        <v/>
      </c>
      <c r="BZ307" s="9">
        <f>BB307+BH307+BN307+BT307</f>
        <v/>
      </c>
      <c r="CA307" s="9">
        <f>BE307+BK307+BQ307+BW307</f>
        <v/>
      </c>
      <c r="CB307" s="9">
        <f>BF307+BL307+BR307+BX307</f>
        <v/>
      </c>
      <c r="CC307" s="8" t="n">
        <v>0</v>
      </c>
      <c r="CD307" s="8" t="n">
        <v>0</v>
      </c>
      <c r="CE307" s="8" t="n">
        <v>0</v>
      </c>
      <c r="CF307" s="8" t="n">
        <v>0</v>
      </c>
      <c r="CG307" s="8" t="n">
        <v>0</v>
      </c>
      <c r="CH307" s="9">
        <f>CD307+CE307+CF307+CG307</f>
        <v/>
      </c>
      <c r="CI307" s="8" t="n">
        <v>33</v>
      </c>
      <c r="CJ307" s="8" t="n">
        <v>2</v>
      </c>
      <c r="CK307" s="8" t="n">
        <v>1</v>
      </c>
      <c r="CL307" s="8" t="n">
        <v>0</v>
      </c>
      <c r="CM307" s="9">
        <f>CI307+CJ307+CK307+CL307</f>
        <v/>
      </c>
      <c r="CN307" s="8" t="n">
        <v>459</v>
      </c>
      <c r="CO307" s="8" t="n">
        <v>9</v>
      </c>
      <c r="CP307" s="8" t="n">
        <v>8</v>
      </c>
      <c r="CQ307" s="8" t="n">
        <v>15</v>
      </c>
      <c r="CR307" s="9">
        <f>CN307+CO307+CP307+CQ307</f>
        <v/>
      </c>
      <c r="CS307" s="9">
        <f>CM307+CR307</f>
        <v/>
      </c>
      <c r="CT307" s="8" t="n">
        <v>527</v>
      </c>
      <c r="CU307" s="8" t="n">
        <v>7080</v>
      </c>
      <c r="CV307" s="8" t="n">
        <v>5956.6</v>
      </c>
      <c r="CW307" s="10">
        <f>IF(CU307=0,"",CV307/CU307)</f>
        <v/>
      </c>
      <c r="CX307" s="8" t="n">
        <v>0</v>
      </c>
      <c r="CY307" s="8" t="n">
        <v>0</v>
      </c>
      <c r="CZ307" s="8" t="n">
        <v>0</v>
      </c>
      <c r="DA307" s="8" t="n">
        <v>0</v>
      </c>
      <c r="DB307" s="9">
        <f>CX307+CY307-CZ307-DA307</f>
        <v/>
      </c>
      <c r="DC307" s="8" t="n">
        <v>0</v>
      </c>
      <c r="DD307" s="8" t="n">
        <v>0</v>
      </c>
      <c r="DE307" s="8" t="n">
        <v>0</v>
      </c>
      <c r="DF307" s="8" t="n">
        <v>0</v>
      </c>
      <c r="DG307" s="9">
        <f>DC307+DD307-DE307-DF307</f>
        <v/>
      </c>
      <c r="DH307" s="8" t="n">
        <v>0</v>
      </c>
      <c r="DI307" s="8" t="n">
        <v>0</v>
      </c>
      <c r="DJ307" s="8" t="n">
        <v>0</v>
      </c>
      <c r="DK307" s="8" t="n">
        <v>0</v>
      </c>
      <c r="DL307" s="9">
        <f>DH307+DI307-DJ307-DK307</f>
        <v/>
      </c>
      <c r="DM307" s="8" t="n">
        <v>0</v>
      </c>
      <c r="DN307" s="8" t="n">
        <v>0</v>
      </c>
      <c r="DO307" s="8" t="n">
        <v>0</v>
      </c>
      <c r="DP307" s="8" t="n">
        <v>0</v>
      </c>
      <c r="DQ307" s="9">
        <f>DM307+DN307-DO307-DP307</f>
        <v/>
      </c>
      <c r="DR307" s="9">
        <f>CX307+DC307+DH307+DM307</f>
        <v/>
      </c>
      <c r="DS307" s="9">
        <f>CY307+DD307+DI307+DN307</f>
        <v/>
      </c>
      <c r="DT307" s="9">
        <f>CZ307+DE307+DJ307+DO307</f>
        <v/>
      </c>
      <c r="DU307" s="9">
        <f>DA307+DF307+DK307+DP307</f>
        <v/>
      </c>
      <c r="DV307" s="9">
        <f>DB307+DG307+DL307+DQ307</f>
        <v/>
      </c>
      <c r="DW307" s="8" t="n">
        <v>5</v>
      </c>
      <c r="DX307" s="8" t="n">
        <v>2</v>
      </c>
      <c r="DY307" s="8" t="n">
        <v>5</v>
      </c>
      <c r="DZ307" s="8" t="n">
        <v>0</v>
      </c>
      <c r="EA307" s="8" t="n">
        <v>0</v>
      </c>
      <c r="EB307" s="8" t="n">
        <v>0</v>
      </c>
      <c r="EC307" s="8" t="n">
        <v>0</v>
      </c>
      <c r="ED307" s="8" t="n">
        <v>0</v>
      </c>
      <c r="EE307" s="8" t="n">
        <v>1</v>
      </c>
      <c r="EF307" s="8" t="n">
        <v>0</v>
      </c>
      <c r="EG307" s="8" t="n">
        <v>0</v>
      </c>
      <c r="EH307" s="8" t="n">
        <v>0</v>
      </c>
      <c r="EI307" s="8" t="n">
        <v>0</v>
      </c>
      <c r="EJ307" s="8" t="n">
        <v>0</v>
      </c>
      <c r="EK307" s="8" t="n">
        <v>0</v>
      </c>
      <c r="EL307" s="8" t="n">
        <v>0</v>
      </c>
      <c r="EM307" s="8" t="n">
        <v>0</v>
      </c>
      <c r="EN307" s="8" t="n">
        <v>0</v>
      </c>
      <c r="EO307" s="8" t="n">
        <v>0</v>
      </c>
      <c r="EP307" s="8" t="n">
        <v>0</v>
      </c>
      <c r="EQ307" s="8" t="n">
        <v>0</v>
      </c>
      <c r="ER307" s="8" t="n">
        <v>0</v>
      </c>
      <c r="ES307" s="8" t="n">
        <v>0</v>
      </c>
      <c r="ET307" s="8" t="n">
        <v>0</v>
      </c>
      <c r="EU307" s="8" t="n">
        <v>0</v>
      </c>
      <c r="EV307" s="8" t="n">
        <v>0</v>
      </c>
      <c r="EW307" s="8" t="n">
        <v>0</v>
      </c>
      <c r="EX307" s="8" t="n">
        <v>0</v>
      </c>
      <c r="EY307" s="8" t="n">
        <v>0</v>
      </c>
      <c r="EZ307" s="8" t="n">
        <v>0</v>
      </c>
      <c r="FA307" s="8" t="n">
        <v>0</v>
      </c>
      <c r="FB307" s="8" t="n">
        <v>0</v>
      </c>
      <c r="FC307" s="8" t="n">
        <v>0</v>
      </c>
      <c r="FD307" s="8" t="n">
        <v>0</v>
      </c>
      <c r="FE307" s="8" t="n">
        <v>0</v>
      </c>
      <c r="FF307" s="8" t="n">
        <v>0</v>
      </c>
      <c r="FG307" s="9">
        <f>SUM(DW307,DX307,DY307,DZ307,EA307,EB307,EC307,ED307,EE307,EF307,EG307,EH307,EI307,EJ307,EK307,EL307,EM307,EN307,EO307,EP307,EQ307,ER307,ES307,ET307,EU307,EV307,EW307,EX307,EY307,EZ307,FA307,FB307,FC307,FD307,FE307,FF307)</f>
        <v/>
      </c>
      <c r="FH307" s="8" t="n">
        <v>0</v>
      </c>
      <c r="FI307" s="8" t="n">
        <v>0</v>
      </c>
      <c r="FJ307" s="8" t="n">
        <v>23</v>
      </c>
      <c r="FK307" s="8" t="n">
        <v>0</v>
      </c>
      <c r="FL307" s="8" t="n">
        <v>0</v>
      </c>
      <c r="FM307" s="8" t="n">
        <v>0</v>
      </c>
      <c r="FN307" s="8" t="n">
        <v>0</v>
      </c>
      <c r="FO307" s="8" t="n">
        <v>0</v>
      </c>
      <c r="FP307" s="8" t="n">
        <v>0</v>
      </c>
      <c r="FQ307" s="9">
        <f>FL307+FM307+FN307+FO307+FP307</f>
        <v/>
      </c>
      <c r="FR307" s="8" t="n">
        <v>138714</v>
      </c>
      <c r="FS307" s="8" t="n">
        <v>0</v>
      </c>
      <c r="FT307" s="8" t="n">
        <v>0</v>
      </c>
      <c r="FU307" s="8" t="n">
        <v>11000</v>
      </c>
      <c r="FV307" s="9">
        <f>FR307+FS307+FT307+FU307</f>
        <v/>
      </c>
      <c r="FW307" s="8" t="n">
        <v>4268470.28</v>
      </c>
      <c r="FX307" s="8" t="n">
        <v>102200</v>
      </c>
      <c r="FY307" s="8" t="n">
        <v>31000</v>
      </c>
      <c r="FZ307" s="8" t="n">
        <v>96300</v>
      </c>
      <c r="GA307" s="9">
        <f>FW307+FX307+FY307+FZ307</f>
        <v/>
      </c>
      <c r="GB307" s="9">
        <f>FV307+GA307</f>
        <v/>
      </c>
      <c r="GC307" s="8" t="n">
        <v>320028.01</v>
      </c>
      <c r="GD307" s="8" t="n">
        <v>0</v>
      </c>
      <c r="GE307" s="8" t="n">
        <v>44827.94</v>
      </c>
      <c r="GF307" s="8" t="n">
        <v>11796.63</v>
      </c>
      <c r="GG307" s="9">
        <f>GC307+GD307+GE307+GF307</f>
        <v/>
      </c>
      <c r="GH307" s="8" t="n">
        <v>4173520.28</v>
      </c>
      <c r="GI307" s="8" t="n">
        <v>92300</v>
      </c>
      <c r="GJ307" s="8" t="n">
        <v>96300</v>
      </c>
      <c r="GK307" s="8" t="n">
        <v>31000</v>
      </c>
      <c r="GL307" s="9">
        <f>GH307+GI307+GJ307+GK307</f>
        <v/>
      </c>
      <c r="GM307" s="9">
        <f>GG307+GL307</f>
        <v/>
      </c>
      <c r="GN307" s="8" t="n">
        <v>17982.69</v>
      </c>
      <c r="GO307" s="8" t="n">
        <v>0</v>
      </c>
      <c r="GP307" s="8" t="n">
        <v>6787.28</v>
      </c>
      <c r="GQ307" s="8" t="n">
        <v>4637.34</v>
      </c>
      <c r="GR307" s="9">
        <f>GN307+GO307+GP307+GQ307</f>
        <v/>
      </c>
      <c r="GS307" s="8" t="n">
        <v>29469</v>
      </c>
      <c r="GT307" s="8" t="n">
        <v>0</v>
      </c>
      <c r="GU307" s="8" t="n">
        <v>1786</v>
      </c>
      <c r="GV307" s="8" t="n">
        <v>893</v>
      </c>
      <c r="GW307" s="9">
        <f>GS307+GT307+GU307+GV307</f>
        <v/>
      </c>
      <c r="GX307" s="9">
        <f>GM307+GR307+GW307</f>
        <v/>
      </c>
      <c r="GY307" s="8" t="n">
        <v>9653882.930000002</v>
      </c>
      <c r="GZ307" s="8" t="n">
        <v>13202.22</v>
      </c>
      <c r="HA307" s="9">
        <f>GY307+GZ307</f>
        <v/>
      </c>
      <c r="HB307" s="9">
        <f>IF(GX307=0,"",AU307/GX307)</f>
        <v/>
      </c>
      <c r="HC307" s="10">
        <f>IF((GX307+GY307)=0,"",GB307/(GX307+GY307))</f>
        <v/>
      </c>
      <c r="HD307" s="9">
        <f>IF(GX307=0,"",GB307/GX307)</f>
        <v/>
      </c>
      <c r="HE307" s="8" t="n">
        <v>15</v>
      </c>
      <c r="HF307" s="8" t="n">
        <v>7</v>
      </c>
      <c r="HG307" s="8" t="n">
        <v>20</v>
      </c>
      <c r="HH307" s="8" t="n">
        <v>7</v>
      </c>
      <c r="HI307" s="8" t="n">
        <v>4</v>
      </c>
      <c r="HJ307" s="9">
        <f>HF307+HI307</f>
        <v/>
      </c>
      <c r="HK307" s="10">
        <f>IF(HE307=0,"",HH307/HE307)</f>
        <v/>
      </c>
      <c r="HL307" s="8" t="n">
        <v>0</v>
      </c>
      <c r="HM307" s="8" t="n">
        <v>0</v>
      </c>
      <c r="HN307" s="11">
        <f>IF(HL307=0,"",HM307/HL307)</f>
        <v/>
      </c>
    </row>
    <row r="308">
      <c r="A308" s="12" t="inlineStr">
        <is>
          <t>Zomba</t>
        </is>
      </c>
      <c r="B308" s="12" t="inlineStr">
        <is>
          <t>Jali</t>
        </is>
      </c>
      <c r="C308" s="13" t="inlineStr">
        <is>
          <t>FY2025/26</t>
        </is>
      </c>
      <c r="D308" s="13" t="n">
        <v>2025</v>
      </c>
      <c r="E308" s="13" t="n">
        <v>9</v>
      </c>
      <c r="F308" s="13" t="inlineStr">
        <is>
          <t>September</t>
        </is>
      </c>
      <c r="G308" s="13" t="inlineStr">
        <is>
          <t>Q2</t>
        </is>
      </c>
      <c r="H308" s="14" t="n">
        <v>5919</v>
      </c>
      <c r="I308" s="14" t="n">
        <v>532</v>
      </c>
      <c r="J308" s="14" t="n">
        <v>0</v>
      </c>
      <c r="K308" s="14" t="n">
        <v>24</v>
      </c>
      <c r="L308" s="14" t="n">
        <v>5</v>
      </c>
      <c r="M308" s="15">
        <f>SUM(I308,J308,K308,L308)</f>
        <v/>
      </c>
      <c r="N308" s="14" t="n">
        <v>3739.4</v>
      </c>
      <c r="O308" s="14" t="n">
        <v>639</v>
      </c>
      <c r="P308" s="14" t="n">
        <v>8</v>
      </c>
      <c r="Q308" s="14" t="n">
        <v>2.2</v>
      </c>
      <c r="R308" s="15">
        <f>SUM(N308,O308,P308,Q308)</f>
        <v/>
      </c>
      <c r="S308" s="15">
        <f>M308+R308</f>
        <v/>
      </c>
      <c r="T308" s="14" t="n">
        <v>969.399999999999</v>
      </c>
      <c r="U308" s="16">
        <f>IF(H308=0,"",T308/H308)</f>
        <v/>
      </c>
      <c r="V308" s="14" t="n">
        <v>13</v>
      </c>
      <c r="W308" s="17">
        <f>IF(H308=0,"",V308/H308)</f>
        <v/>
      </c>
      <c r="X308" s="14" t="n">
        <v>32</v>
      </c>
      <c r="Y308" s="17">
        <f>IF(H308=0,"",X308/H308)</f>
        <v/>
      </c>
      <c r="Z308" s="14" t="n">
        <v>26</v>
      </c>
      <c r="AA308" s="17">
        <f>IF(H308=0,"",Z308/H308)</f>
        <v/>
      </c>
      <c r="AB308" s="14" t="n">
        <v>0</v>
      </c>
      <c r="AC308" s="17">
        <f>IF(H308=0,"",AB308/H308)</f>
        <v/>
      </c>
      <c r="AD308" s="14" t="n">
        <v>0</v>
      </c>
      <c r="AE308" s="17">
        <f>IF(H308=0,"",AD308/H308)</f>
        <v/>
      </c>
      <c r="AF308" s="14" t="n">
        <v>0</v>
      </c>
      <c r="AG308" s="17">
        <f>IF(H308=0,"",AF308/H308)</f>
        <v/>
      </c>
      <c r="AH308" s="14" t="n">
        <v>931416</v>
      </c>
      <c r="AI308" s="15">
        <f>IF(H308=0,"",AH308/H308)</f>
        <v/>
      </c>
      <c r="AJ308" s="14" t="n">
        <v>318.21</v>
      </c>
      <c r="AK308" s="17">
        <f>IF(H308=0,"",AJ308/H308)</f>
        <v/>
      </c>
      <c r="AL308" s="14" t="n">
        <v>118576.10689</v>
      </c>
      <c r="AM308" s="15">
        <f>IF(H308=0,"",AL308/H308)</f>
        <v/>
      </c>
      <c r="AN308" s="14" t="n">
        <v>0</v>
      </c>
      <c r="AO308" s="14" t="n">
        <v>0</v>
      </c>
      <c r="AP308" s="14" t="n">
        <v>0</v>
      </c>
      <c r="AQ308" s="14" t="n">
        <v>0</v>
      </c>
      <c r="AR308" s="14" t="n">
        <v>0</v>
      </c>
      <c r="AS308" s="14" t="n">
        <v>0</v>
      </c>
      <c r="AT308" s="14" t="n">
        <v>0</v>
      </c>
      <c r="AU308" s="15">
        <f>AH308+AL308+AP308+AQ308+AR308+AS308+AT308</f>
        <v/>
      </c>
      <c r="AV308" s="15">
        <f>IF(H308=0,"",AU308/H308)</f>
        <v/>
      </c>
      <c r="AW308" s="15">
        <f>IF(S308=0,"",AU308/S308)</f>
        <v/>
      </c>
      <c r="AX308" s="14" t="n">
        <v>1</v>
      </c>
      <c r="AY308" s="15">
        <f>IF(H308=0,"",AX308/(H308/1000/12))</f>
        <v/>
      </c>
      <c r="AZ308" s="14" t="n">
        <v>6</v>
      </c>
      <c r="BA308" s="14" t="n">
        <v>20</v>
      </c>
      <c r="BB308" s="14" t="n">
        <v>6</v>
      </c>
      <c r="BC308" s="14" t="n">
        <v>15</v>
      </c>
      <c r="BD308" s="14" t="n">
        <v>0</v>
      </c>
      <c r="BE308" s="15">
        <f>BC308+BD308</f>
        <v/>
      </c>
      <c r="BF308" s="15">
        <f>BA308+BB308-BE308</f>
        <v/>
      </c>
      <c r="BG308" s="14" t="n">
        <v>0</v>
      </c>
      <c r="BH308" s="14" t="n">
        <v>0</v>
      </c>
      <c r="BI308" s="14" t="n">
        <v>0</v>
      </c>
      <c r="BJ308" s="14" t="n">
        <v>0</v>
      </c>
      <c r="BK308" s="15">
        <f>BI308+BJ308</f>
        <v/>
      </c>
      <c r="BL308" s="15">
        <f>BG308+BH308-BK308</f>
        <v/>
      </c>
      <c r="BM308" s="14" t="n">
        <v>0</v>
      </c>
      <c r="BN308" s="14" t="n">
        <v>0</v>
      </c>
      <c r="BO308" s="14" t="n">
        <v>0</v>
      </c>
      <c r="BP308" s="14" t="n">
        <v>0</v>
      </c>
      <c r="BQ308" s="15">
        <f>BO308+BP308</f>
        <v/>
      </c>
      <c r="BR308" s="15">
        <f>BM308+BN308-BQ308</f>
        <v/>
      </c>
      <c r="BS308" s="14" t="n">
        <v>0</v>
      </c>
      <c r="BT308" s="14" t="n">
        <v>0</v>
      </c>
      <c r="BU308" s="14" t="n">
        <v>0</v>
      </c>
      <c r="BV308" s="14" t="n">
        <v>0</v>
      </c>
      <c r="BW308" s="15">
        <f>BU308+BV308</f>
        <v/>
      </c>
      <c r="BX308" s="15">
        <f>BS308+BT308-BW308</f>
        <v/>
      </c>
      <c r="BY308" s="15">
        <f>BA308+BG308+BM308+BS308</f>
        <v/>
      </c>
      <c r="BZ308" s="15">
        <f>BB308+BH308+BN308+BT308</f>
        <v/>
      </c>
      <c r="CA308" s="15">
        <f>BE308+BK308+BQ308+BW308</f>
        <v/>
      </c>
      <c r="CB308" s="15">
        <f>BF308+BL308+BR308+BX308</f>
        <v/>
      </c>
      <c r="CC308" s="14" t="n">
        <v>0</v>
      </c>
      <c r="CD308" s="14" t="n">
        <v>0</v>
      </c>
      <c r="CE308" s="14" t="n">
        <v>0</v>
      </c>
      <c r="CF308" s="14" t="n">
        <v>0</v>
      </c>
      <c r="CG308" s="14" t="n">
        <v>0</v>
      </c>
      <c r="CH308" s="15">
        <f>CD308+CE308+CF308+CG308</f>
        <v/>
      </c>
      <c r="CI308" s="14" t="n">
        <v>48</v>
      </c>
      <c r="CJ308" s="14" t="n">
        <v>2</v>
      </c>
      <c r="CK308" s="14" t="n">
        <v>1</v>
      </c>
      <c r="CL308" s="14" t="n">
        <v>0</v>
      </c>
      <c r="CM308" s="15">
        <f>CI308+CJ308+CK308+CL308</f>
        <v/>
      </c>
      <c r="CN308" s="14" t="n">
        <v>459</v>
      </c>
      <c r="CO308" s="14" t="n">
        <v>9</v>
      </c>
      <c r="CP308" s="14" t="n">
        <v>8</v>
      </c>
      <c r="CQ308" s="14" t="n">
        <v>15</v>
      </c>
      <c r="CR308" s="15">
        <f>CN308+CO308+CP308+CQ308</f>
        <v/>
      </c>
      <c r="CS308" s="15">
        <f>CM308+CR308</f>
        <v/>
      </c>
      <c r="CT308" s="14" t="n">
        <v>542</v>
      </c>
      <c r="CU308" s="14" t="n">
        <v>7091</v>
      </c>
      <c r="CV308" s="14" t="n">
        <v>6021.5</v>
      </c>
      <c r="CW308" s="16">
        <f>IF(CU308=0,"",CV308/CU308)</f>
        <v/>
      </c>
      <c r="CX308" s="14" t="n">
        <v>0</v>
      </c>
      <c r="CY308" s="14" t="n">
        <v>0</v>
      </c>
      <c r="CZ308" s="14" t="n">
        <v>0</v>
      </c>
      <c r="DA308" s="14" t="n">
        <v>0</v>
      </c>
      <c r="DB308" s="15">
        <f>CX308+CY308-CZ308-DA308</f>
        <v/>
      </c>
      <c r="DC308" s="14" t="n">
        <v>0</v>
      </c>
      <c r="DD308" s="14" t="n">
        <v>0</v>
      </c>
      <c r="DE308" s="14" t="n">
        <v>0</v>
      </c>
      <c r="DF308" s="14" t="n">
        <v>0</v>
      </c>
      <c r="DG308" s="15">
        <f>DC308+DD308-DE308-DF308</f>
        <v/>
      </c>
      <c r="DH308" s="14" t="n">
        <v>0</v>
      </c>
      <c r="DI308" s="14" t="n">
        <v>0</v>
      </c>
      <c r="DJ308" s="14" t="n">
        <v>0</v>
      </c>
      <c r="DK308" s="14" t="n">
        <v>0</v>
      </c>
      <c r="DL308" s="15">
        <f>DH308+DI308-DJ308-DK308</f>
        <v/>
      </c>
      <c r="DM308" s="14" t="n">
        <v>0</v>
      </c>
      <c r="DN308" s="14" t="n">
        <v>8</v>
      </c>
      <c r="DO308" s="14" t="n">
        <v>0</v>
      </c>
      <c r="DP308" s="14" t="n">
        <v>6</v>
      </c>
      <c r="DQ308" s="15">
        <f>DM308+DN308-DO308-DP308</f>
        <v/>
      </c>
      <c r="DR308" s="15">
        <f>CX308+DC308+DH308+DM308</f>
        <v/>
      </c>
      <c r="DS308" s="15">
        <f>CY308+DD308+DI308+DN308</f>
        <v/>
      </c>
      <c r="DT308" s="15">
        <f>CZ308+DE308+DJ308+DO308</f>
        <v/>
      </c>
      <c r="DU308" s="15">
        <f>DA308+DF308+DK308+DP308</f>
        <v/>
      </c>
      <c r="DV308" s="15">
        <f>DB308+DG308+DL308+DQ308</f>
        <v/>
      </c>
      <c r="DW308" s="14" t="n">
        <v>2</v>
      </c>
      <c r="DX308" s="14" t="n">
        <v>1</v>
      </c>
      <c r="DY308" s="14" t="n">
        <v>0</v>
      </c>
      <c r="DZ308" s="14" t="n">
        <v>0</v>
      </c>
      <c r="EA308" s="14" t="n">
        <v>0</v>
      </c>
      <c r="EB308" s="14" t="n">
        <v>0</v>
      </c>
      <c r="EC308" s="14" t="n">
        <v>0</v>
      </c>
      <c r="ED308" s="14" t="n">
        <v>0</v>
      </c>
      <c r="EE308" s="14" t="n">
        <v>0</v>
      </c>
      <c r="EF308" s="14" t="n">
        <v>0</v>
      </c>
      <c r="EG308" s="14" t="n">
        <v>0</v>
      </c>
      <c r="EH308" s="14" t="n">
        <v>0</v>
      </c>
      <c r="EI308" s="14" t="n">
        <v>0</v>
      </c>
      <c r="EJ308" s="14" t="n">
        <v>0</v>
      </c>
      <c r="EK308" s="14" t="n">
        <v>0</v>
      </c>
      <c r="EL308" s="14" t="n">
        <v>0</v>
      </c>
      <c r="EM308" s="14" t="n">
        <v>0</v>
      </c>
      <c r="EN308" s="14" t="n">
        <v>0</v>
      </c>
      <c r="EO308" s="14" t="n">
        <v>0</v>
      </c>
      <c r="EP308" s="14" t="n">
        <v>0</v>
      </c>
      <c r="EQ308" s="14" t="n">
        <v>0</v>
      </c>
      <c r="ER308" s="14" t="n">
        <v>0</v>
      </c>
      <c r="ES308" s="14" t="n">
        <v>0</v>
      </c>
      <c r="ET308" s="14" t="n">
        <v>0</v>
      </c>
      <c r="EU308" s="14" t="n">
        <v>0</v>
      </c>
      <c r="EV308" s="14" t="n">
        <v>0</v>
      </c>
      <c r="EW308" s="14" t="n">
        <v>0</v>
      </c>
      <c r="EX308" s="14" t="n">
        <v>0</v>
      </c>
      <c r="EY308" s="14" t="n">
        <v>0</v>
      </c>
      <c r="EZ308" s="14" t="n">
        <v>0</v>
      </c>
      <c r="FA308" s="14" t="n">
        <v>0</v>
      </c>
      <c r="FB308" s="14" t="n">
        <v>0</v>
      </c>
      <c r="FC308" s="14" t="n">
        <v>0</v>
      </c>
      <c r="FD308" s="14" t="n">
        <v>0</v>
      </c>
      <c r="FE308" s="14" t="n">
        <v>0</v>
      </c>
      <c r="FF308" s="14" t="n">
        <v>0</v>
      </c>
      <c r="FG308" s="15">
        <f>SUM(DW308,DX308,DY308,DZ308,EA308,EB308,EC308,ED308,EE308,EF308,EG308,EH308,EI308,EJ308,EK308,EL308,EM308,EN308,EO308,EP308,EQ308,ER308,ES308,ET308,EU308,EV308,EW308,EX308,EY308,EZ308,FA308,FB308,FC308,FD308,FE308,FF308)</f>
        <v/>
      </c>
      <c r="FH308" s="14" t="n">
        <v>0</v>
      </c>
      <c r="FI308" s="14" t="n">
        <v>0</v>
      </c>
      <c r="FJ308" s="14" t="n">
        <v>23</v>
      </c>
      <c r="FK308" s="14" t="n">
        <v>0</v>
      </c>
      <c r="FL308" s="14" t="n">
        <v>0</v>
      </c>
      <c r="FM308" s="14" t="n">
        <v>0</v>
      </c>
      <c r="FN308" s="14" t="n">
        <v>0</v>
      </c>
      <c r="FO308" s="14" t="n">
        <v>0</v>
      </c>
      <c r="FP308" s="14" t="n">
        <v>0</v>
      </c>
      <c r="FQ308" s="15">
        <f>FL308+FM308+FN308+FO308+FP308</f>
        <v/>
      </c>
      <c r="FR308" s="14" t="n">
        <v>291378.22</v>
      </c>
      <c r="FS308" s="14" t="n">
        <v>0</v>
      </c>
      <c r="FT308" s="14" t="n">
        <v>0</v>
      </c>
      <c r="FU308" s="14" t="n">
        <v>12650</v>
      </c>
      <c r="FV308" s="15">
        <f>FR308+FS308+FT308+FU308</f>
        <v/>
      </c>
      <c r="FW308" s="14" t="n">
        <v>4697088.02</v>
      </c>
      <c r="FX308" s="14" t="n">
        <v>161880</v>
      </c>
      <c r="FY308" s="14" t="n">
        <v>10000</v>
      </c>
      <c r="FZ308" s="14" t="n">
        <v>24500</v>
      </c>
      <c r="GA308" s="15">
        <f>FW308+FX308+FY308+FZ308</f>
        <v/>
      </c>
      <c r="GB308" s="15">
        <f>FV308+GA308</f>
        <v/>
      </c>
      <c r="GC308" s="14" t="n">
        <v>490994.39</v>
      </c>
      <c r="GD308" s="14" t="n">
        <v>0</v>
      </c>
      <c r="GE308" s="14" t="n">
        <v>75511.95</v>
      </c>
      <c r="GF308" s="14" t="n">
        <v>11796.63</v>
      </c>
      <c r="GG308" s="15">
        <f>GC308+GD308+GE308+GF308</f>
        <v/>
      </c>
      <c r="GH308" s="14" t="n">
        <v>4656015.29</v>
      </c>
      <c r="GI308" s="14" t="n">
        <v>135840</v>
      </c>
      <c r="GJ308" s="14" t="n">
        <v>24500</v>
      </c>
      <c r="GK308" s="14" t="n">
        <v>10000</v>
      </c>
      <c r="GL308" s="15">
        <f>GH308+GI308+GJ308+GK308</f>
        <v/>
      </c>
      <c r="GM308" s="15">
        <f>GG308+GL308</f>
        <v/>
      </c>
      <c r="GN308" s="14" t="n">
        <v>26156.64</v>
      </c>
      <c r="GO308" s="14" t="n">
        <v>0</v>
      </c>
      <c r="GP308" s="14" t="n">
        <v>6787.28</v>
      </c>
      <c r="GQ308" s="14" t="n">
        <v>4637.34</v>
      </c>
      <c r="GR308" s="15">
        <f>GN308+GO308+GP308+GQ308</f>
        <v/>
      </c>
      <c r="GS308" s="14" t="n">
        <v>42864</v>
      </c>
      <c r="GT308" s="14" t="n">
        <v>0</v>
      </c>
      <c r="GU308" s="14" t="n">
        <v>1786</v>
      </c>
      <c r="GV308" s="14" t="n">
        <v>893</v>
      </c>
      <c r="GW308" s="15">
        <f>GS308+GT308+GU308+GV308</f>
        <v/>
      </c>
      <c r="GX308" s="15">
        <f>GM308+GR308+GW308</f>
        <v/>
      </c>
      <c r="GY308" s="14" t="n">
        <v>9929690.320000004</v>
      </c>
      <c r="GZ308" s="14" t="n">
        <v>0</v>
      </c>
      <c r="HA308" s="9">
        <f>GY308+GZ308</f>
        <v/>
      </c>
      <c r="HB308" s="15">
        <f>IF(GX308=0,"",AU308/GX308)</f>
        <v/>
      </c>
      <c r="HC308" s="16">
        <f>IF((GX308+GY308)=0,"",GB308/(GX308+GY308))</f>
        <v/>
      </c>
      <c r="HD308" s="15">
        <f>IF(GX308=0,"",GB308/GX308)</f>
        <v/>
      </c>
      <c r="HE308" s="14" t="n">
        <v>15</v>
      </c>
      <c r="HF308" s="14" t="n">
        <v>7</v>
      </c>
      <c r="HG308" s="14" t="n">
        <v>11</v>
      </c>
      <c r="HH308" s="14" t="n">
        <v>6</v>
      </c>
      <c r="HI308" s="14" t="n">
        <v>7</v>
      </c>
      <c r="HJ308" s="15">
        <f>HF308+HI308</f>
        <v/>
      </c>
      <c r="HK308" s="16">
        <f>IF(HE308=0,"",HH308/HE308)</f>
        <v/>
      </c>
      <c r="HL308" s="14" t="n">
        <v>0</v>
      </c>
      <c r="HM308" s="14" t="n">
        <v>0</v>
      </c>
      <c r="HN308" s="17">
        <f>IF(HL308=0,"",HM308/HL308)</f>
        <v/>
      </c>
    </row>
    <row r="309">
      <c r="A309" s="6" t="inlineStr">
        <is>
          <t>Zomba</t>
        </is>
      </c>
      <c r="B309" s="6" t="inlineStr">
        <is>
          <t>Jali</t>
        </is>
      </c>
      <c r="C309" s="7" t="inlineStr">
        <is>
          <t>FY2025/26</t>
        </is>
      </c>
      <c r="D309" s="7" t="n">
        <v>2025</v>
      </c>
      <c r="E309" s="7" t="n">
        <v>10</v>
      </c>
      <c r="F309" s="7" t="inlineStr">
        <is>
          <t>October</t>
        </is>
      </c>
      <c r="G309" s="7" t="inlineStr">
        <is>
          <t>Q3</t>
        </is>
      </c>
      <c r="H309" s="8" t="n">
        <v>6803</v>
      </c>
      <c r="I309" s="8" t="n">
        <v>692</v>
      </c>
      <c r="J309" s="8" t="n">
        <v>0</v>
      </c>
      <c r="K309" s="8" t="n">
        <v>11</v>
      </c>
      <c r="L309" s="8" t="n">
        <v>20</v>
      </c>
      <c r="M309" s="9">
        <f>SUM(I309,J309,K309,L309)</f>
        <v/>
      </c>
      <c r="N309" s="8" t="n">
        <v>3765.79999999999</v>
      </c>
      <c r="O309" s="8" t="n">
        <v>599.4</v>
      </c>
      <c r="P309" s="8" t="n">
        <v>194.1</v>
      </c>
      <c r="Q309" s="8" t="n">
        <v>8.9</v>
      </c>
      <c r="R309" s="9">
        <f>SUM(N309,O309,P309,Q309)</f>
        <v/>
      </c>
      <c r="S309" s="9">
        <f>M309+R309</f>
        <v/>
      </c>
      <c r="T309" s="8" t="n">
        <v>1511.80000000001</v>
      </c>
      <c r="U309" s="10">
        <f>IF(H309=0,"",T309/H309)</f>
        <v/>
      </c>
      <c r="V309" s="8" t="n">
        <v>14</v>
      </c>
      <c r="W309" s="11">
        <f>IF(H309=0,"",V309/H309)</f>
        <v/>
      </c>
      <c r="X309" s="8" t="n">
        <v>42</v>
      </c>
      <c r="Y309" s="11">
        <f>IF(H309=0,"",X309/H309)</f>
        <v/>
      </c>
      <c r="Z309" s="8" t="n">
        <v>28</v>
      </c>
      <c r="AA309" s="11">
        <f>IF(H309=0,"",Z309/H309)</f>
        <v/>
      </c>
      <c r="AB309" s="8" t="n">
        <v>0</v>
      </c>
      <c r="AC309" s="11">
        <f>IF(H309=0,"",AB309/H309)</f>
        <v/>
      </c>
      <c r="AD309" s="8" t="n">
        <v>0</v>
      </c>
      <c r="AE309" s="11">
        <f>IF(H309=0,"",AD309/H309)</f>
        <v/>
      </c>
      <c r="AF309" s="8" t="n">
        <v>0</v>
      </c>
      <c r="AG309" s="11">
        <f>IF(H309=0,"",AF309/H309)</f>
        <v/>
      </c>
      <c r="AH309" s="8" t="n">
        <v>1068648</v>
      </c>
      <c r="AI309" s="9">
        <f>IF(H309=0,"",AH309/H309)</f>
        <v/>
      </c>
      <c r="AJ309" s="8" t="n">
        <v>305.31</v>
      </c>
      <c r="AK309" s="11">
        <f>IF(H309=0,"",AJ309/H309)</f>
        <v/>
      </c>
      <c r="AL309" s="8" t="n">
        <v>115050.42079</v>
      </c>
      <c r="AM309" s="9">
        <f>IF(H309=0,"",AL309/H309)</f>
        <v/>
      </c>
      <c r="AN309" s="8" t="n">
        <v>0</v>
      </c>
      <c r="AO309" s="8" t="n">
        <v>0</v>
      </c>
      <c r="AP309" s="8" t="n">
        <v>0</v>
      </c>
      <c r="AQ309" s="8" t="n">
        <v>0</v>
      </c>
      <c r="AR309" s="8" t="n">
        <v>0</v>
      </c>
      <c r="AS309" s="8" t="n">
        <v>0</v>
      </c>
      <c r="AT309" s="8" t="n">
        <v>0</v>
      </c>
      <c r="AU309" s="9">
        <f>AH309+AL309+AP309+AQ309+AR309+AS309+AT309</f>
        <v/>
      </c>
      <c r="AV309" s="9">
        <f>IF(H309=0,"",AU309/H309)</f>
        <v/>
      </c>
      <c r="AW309" s="9">
        <f>IF(S309=0,"",AU309/S309)</f>
        <v/>
      </c>
      <c r="AX309" s="8" t="n">
        <v>1</v>
      </c>
      <c r="AY309" s="9">
        <f>IF(H309=0,"",AX309/(H309/1000/12))</f>
        <v/>
      </c>
      <c r="AZ309" s="8" t="n">
        <v>6</v>
      </c>
      <c r="BA309" s="8" t="n">
        <v>11</v>
      </c>
      <c r="BB309" s="8" t="n">
        <v>8</v>
      </c>
      <c r="BC309" s="8" t="n">
        <v>12</v>
      </c>
      <c r="BD309" s="8" t="n">
        <v>0</v>
      </c>
      <c r="BE309" s="9">
        <f>BC309+BD309</f>
        <v/>
      </c>
      <c r="BF309" s="9">
        <f>BA309+BB309-BE309</f>
        <v/>
      </c>
      <c r="BG309" s="8" t="n">
        <v>0</v>
      </c>
      <c r="BH309" s="8" t="n">
        <v>0</v>
      </c>
      <c r="BI309" s="8" t="n">
        <v>0</v>
      </c>
      <c r="BJ309" s="8" t="n">
        <v>0</v>
      </c>
      <c r="BK309" s="9">
        <f>BI309+BJ309</f>
        <v/>
      </c>
      <c r="BL309" s="9">
        <f>BG309+BH309-BK309</f>
        <v/>
      </c>
      <c r="BM309" s="8" t="n">
        <v>0</v>
      </c>
      <c r="BN309" s="8" t="n">
        <v>0</v>
      </c>
      <c r="BO309" s="8" t="n">
        <v>0</v>
      </c>
      <c r="BP309" s="8" t="n">
        <v>0</v>
      </c>
      <c r="BQ309" s="9">
        <f>BO309+BP309</f>
        <v/>
      </c>
      <c r="BR309" s="9">
        <f>BM309+BN309-BQ309</f>
        <v/>
      </c>
      <c r="BS309" s="8" t="n">
        <v>0</v>
      </c>
      <c r="BT309" s="8" t="n">
        <v>0</v>
      </c>
      <c r="BU309" s="8" t="n">
        <v>0</v>
      </c>
      <c r="BV309" s="8" t="n">
        <v>0</v>
      </c>
      <c r="BW309" s="9">
        <f>BU309+BV309</f>
        <v/>
      </c>
      <c r="BX309" s="9">
        <f>BS309+BT309-BW309</f>
        <v/>
      </c>
      <c r="BY309" s="9">
        <f>BA309+BG309+BM309+BS309</f>
        <v/>
      </c>
      <c r="BZ309" s="9">
        <f>BB309+BH309+BN309+BT309</f>
        <v/>
      </c>
      <c r="CA309" s="9">
        <f>BE309+BK309+BQ309+BW309</f>
        <v/>
      </c>
      <c r="CB309" s="9">
        <f>BF309+BL309+BR309+BX309</f>
        <v/>
      </c>
      <c r="CC309" s="8" t="n">
        <v>0</v>
      </c>
      <c r="CD309" s="8" t="n">
        <v>0</v>
      </c>
      <c r="CE309" s="8" t="n">
        <v>0</v>
      </c>
      <c r="CF309" s="8" t="n">
        <v>0</v>
      </c>
      <c r="CG309" s="8" t="n">
        <v>0</v>
      </c>
      <c r="CH309" s="9">
        <f>CD309+CE309+CF309+CG309</f>
        <v/>
      </c>
      <c r="CI309" s="8" t="n">
        <v>60</v>
      </c>
      <c r="CJ309" s="8" t="n">
        <v>2</v>
      </c>
      <c r="CK309" s="8" t="n">
        <v>1</v>
      </c>
      <c r="CL309" s="8" t="n">
        <v>0</v>
      </c>
      <c r="CM309" s="9">
        <f>CI309+CJ309+CK309+CL309</f>
        <v/>
      </c>
      <c r="CN309" s="8" t="n">
        <v>459</v>
      </c>
      <c r="CO309" s="8" t="n">
        <v>9</v>
      </c>
      <c r="CP309" s="8" t="n">
        <v>8</v>
      </c>
      <c r="CQ309" s="8" t="n">
        <v>15</v>
      </c>
      <c r="CR309" s="9">
        <f>CN309+CO309+CP309+CQ309</f>
        <v/>
      </c>
      <c r="CS309" s="9">
        <f>CM309+CR309</f>
        <v/>
      </c>
      <c r="CT309" s="8" t="n">
        <v>554</v>
      </c>
      <c r="CU309" s="8" t="n">
        <v>7102</v>
      </c>
      <c r="CV309" s="8" t="n">
        <v>6073.6</v>
      </c>
      <c r="CW309" s="10">
        <f>IF(CU309=0,"",CV309/CU309)</f>
        <v/>
      </c>
      <c r="CX309" s="8" t="n">
        <v>0</v>
      </c>
      <c r="CY309" s="8" t="n">
        <v>0</v>
      </c>
      <c r="CZ309" s="8" t="n">
        <v>0</v>
      </c>
      <c r="DA309" s="8" t="n">
        <v>0</v>
      </c>
      <c r="DB309" s="9">
        <f>CX309+CY309-CZ309-DA309</f>
        <v/>
      </c>
      <c r="DC309" s="8" t="n">
        <v>0</v>
      </c>
      <c r="DD309" s="8" t="n">
        <v>0</v>
      </c>
      <c r="DE309" s="8" t="n">
        <v>0</v>
      </c>
      <c r="DF309" s="8" t="n">
        <v>0</v>
      </c>
      <c r="DG309" s="9">
        <f>DC309+DD309-DE309-DF309</f>
        <v/>
      </c>
      <c r="DH309" s="8" t="n">
        <v>0</v>
      </c>
      <c r="DI309" s="8" t="n">
        <v>0</v>
      </c>
      <c r="DJ309" s="8" t="n">
        <v>0</v>
      </c>
      <c r="DK309" s="8" t="n">
        <v>0</v>
      </c>
      <c r="DL309" s="9">
        <f>DH309+DI309-DJ309-DK309</f>
        <v/>
      </c>
      <c r="DM309" s="8" t="n">
        <v>2</v>
      </c>
      <c r="DN309" s="8" t="n">
        <v>5</v>
      </c>
      <c r="DO309" s="8" t="n">
        <v>0</v>
      </c>
      <c r="DP309" s="8" t="n">
        <v>6</v>
      </c>
      <c r="DQ309" s="9">
        <f>DM309+DN309-DO309-DP309</f>
        <v/>
      </c>
      <c r="DR309" s="9">
        <f>CX309+DC309+DH309+DM309</f>
        <v/>
      </c>
      <c r="DS309" s="9">
        <f>CY309+DD309+DI309+DN309</f>
        <v/>
      </c>
      <c r="DT309" s="9">
        <f>CZ309+DE309+DJ309+DO309</f>
        <v/>
      </c>
      <c r="DU309" s="9">
        <f>DA309+DF309+DK309+DP309</f>
        <v/>
      </c>
      <c r="DV309" s="9">
        <f>DB309+DG309+DL309+DQ309</f>
        <v/>
      </c>
      <c r="DW309" s="8" t="n">
        <v>8</v>
      </c>
      <c r="DX309" s="8" t="n">
        <v>21</v>
      </c>
      <c r="DY309" s="8" t="n">
        <v>6</v>
      </c>
      <c r="DZ309" s="8" t="n">
        <v>0</v>
      </c>
      <c r="EA309" s="8" t="n">
        <v>0</v>
      </c>
      <c r="EB309" s="8" t="n">
        <v>1</v>
      </c>
      <c r="EC309" s="8" t="n">
        <v>0</v>
      </c>
      <c r="ED309" s="8" t="n">
        <v>0</v>
      </c>
      <c r="EE309" s="8" t="n">
        <v>2</v>
      </c>
      <c r="EF309" s="8" t="n">
        <v>0</v>
      </c>
      <c r="EG309" s="8" t="n">
        <v>0</v>
      </c>
      <c r="EH309" s="8" t="n">
        <v>0</v>
      </c>
      <c r="EI309" s="8" t="n">
        <v>0</v>
      </c>
      <c r="EJ309" s="8" t="n">
        <v>0</v>
      </c>
      <c r="EK309" s="8" t="n">
        <v>0</v>
      </c>
      <c r="EL309" s="8" t="n">
        <v>0</v>
      </c>
      <c r="EM309" s="8" t="n">
        <v>0</v>
      </c>
      <c r="EN309" s="8" t="n">
        <v>0</v>
      </c>
      <c r="EO309" s="8" t="n">
        <v>0</v>
      </c>
      <c r="EP309" s="8" t="n">
        <v>0</v>
      </c>
      <c r="EQ309" s="8" t="n">
        <v>0</v>
      </c>
      <c r="ER309" s="8" t="n">
        <v>0</v>
      </c>
      <c r="ES309" s="8" t="n">
        <v>0</v>
      </c>
      <c r="ET309" s="8" t="n">
        <v>0</v>
      </c>
      <c r="EU309" s="8" t="n">
        <v>0</v>
      </c>
      <c r="EV309" s="8" t="n">
        <v>0</v>
      </c>
      <c r="EW309" s="8" t="n">
        <v>0</v>
      </c>
      <c r="EX309" s="8" t="n">
        <v>0</v>
      </c>
      <c r="EY309" s="8" t="n">
        <v>0</v>
      </c>
      <c r="EZ309" s="8" t="n">
        <v>0</v>
      </c>
      <c r="FA309" s="8" t="n">
        <v>0</v>
      </c>
      <c r="FB309" s="8" t="n">
        <v>0</v>
      </c>
      <c r="FC309" s="8" t="n">
        <v>0</v>
      </c>
      <c r="FD309" s="8" t="n">
        <v>0</v>
      </c>
      <c r="FE309" s="8" t="n">
        <v>0</v>
      </c>
      <c r="FF309" s="8" t="n">
        <v>0</v>
      </c>
      <c r="FG309" s="9">
        <f>SUM(DW309,DX309,DY309,DZ309,EA309,EB309,EC309,ED309,EE309,EF309,EG309,EH309,EI309,EJ309,EK309,EL309,EM309,EN309,EO309,EP309,EQ309,ER309,ES309,ET309,EU309,EV309,EW309,EX309,EY309,EZ309,FA309,FB309,FC309,FD309,FE309,FF309)</f>
        <v/>
      </c>
      <c r="FH309" s="8" t="n">
        <v>0</v>
      </c>
      <c r="FI309" s="8" t="n">
        <v>0</v>
      </c>
      <c r="FJ309" s="8" t="n">
        <v>0</v>
      </c>
      <c r="FK309" s="8" t="n">
        <v>0</v>
      </c>
      <c r="FL309" s="8" t="n">
        <v>48</v>
      </c>
      <c r="FM309" s="8" t="n">
        <v>0</v>
      </c>
      <c r="FN309" s="8" t="n">
        <v>0</v>
      </c>
      <c r="FO309" s="8" t="n">
        <v>0</v>
      </c>
      <c r="FP309" s="8" t="n">
        <v>0</v>
      </c>
      <c r="FQ309" s="9">
        <f>FL309+FM309+FN309+FO309+FP309</f>
        <v/>
      </c>
      <c r="FR309" s="8" t="n">
        <v>319797</v>
      </c>
      <c r="FS309" s="8" t="n">
        <v>0</v>
      </c>
      <c r="FT309" s="8" t="n">
        <v>0</v>
      </c>
      <c r="FU309" s="8" t="n">
        <v>29600</v>
      </c>
      <c r="FV309" s="9">
        <f>FR309+FS309+FT309+FU309</f>
        <v/>
      </c>
      <c r="FW309" s="8" t="n">
        <v>4757221</v>
      </c>
      <c r="FX309" s="8" t="n">
        <v>144521.24</v>
      </c>
      <c r="FY309" s="8" t="n">
        <v>41000</v>
      </c>
      <c r="FZ309" s="8" t="n">
        <v>596700</v>
      </c>
      <c r="GA309" s="9">
        <f>FW309+FX309+FY309+FZ309</f>
        <v/>
      </c>
      <c r="GB309" s="9">
        <f>FV309+GA309</f>
        <v/>
      </c>
      <c r="GC309" s="8" t="n">
        <v>648233.22</v>
      </c>
      <c r="GD309" s="8" t="n">
        <v>0</v>
      </c>
      <c r="GE309" s="8" t="n">
        <v>32794.94</v>
      </c>
      <c r="GF309" s="8" t="n">
        <v>74197.33</v>
      </c>
      <c r="GG309" s="9">
        <f>GC309+GD309+GE309+GF309</f>
        <v/>
      </c>
      <c r="GH309" s="8" t="n">
        <v>4685261</v>
      </c>
      <c r="GI309" s="8" t="n">
        <v>127421.24</v>
      </c>
      <c r="GJ309" s="8" t="n">
        <v>590100</v>
      </c>
      <c r="GK309" s="8" t="n">
        <v>41000</v>
      </c>
      <c r="GL309" s="9">
        <f>GH309+GI309+GJ309+GK309</f>
        <v/>
      </c>
      <c r="GM309" s="9">
        <f>GG309+GL309</f>
        <v/>
      </c>
      <c r="GN309" s="8" t="n">
        <v>32695.8</v>
      </c>
      <c r="GO309" s="8" t="n">
        <v>0</v>
      </c>
      <c r="GP309" s="8" t="n">
        <v>6787.28</v>
      </c>
      <c r="GQ309" s="8" t="n">
        <v>4637.34</v>
      </c>
      <c r="GR309" s="9">
        <f>GN309+GO309+GP309+GQ309</f>
        <v/>
      </c>
      <c r="GS309" s="8" t="n">
        <v>53580</v>
      </c>
      <c r="GT309" s="8" t="n">
        <v>0</v>
      </c>
      <c r="GU309" s="8" t="n">
        <v>1786</v>
      </c>
      <c r="GV309" s="8" t="n">
        <v>893</v>
      </c>
      <c r="GW309" s="9">
        <f>GS309+GT309+GU309+GV309</f>
        <v/>
      </c>
      <c r="GX309" s="9">
        <f>GM309+GR309+GW309</f>
        <v/>
      </c>
      <c r="GY309" s="8" t="n">
        <v>10393210.63</v>
      </c>
      <c r="GZ309" s="8" t="n">
        <v>0</v>
      </c>
      <c r="HA309" s="9">
        <f>GY309+GZ309</f>
        <v/>
      </c>
      <c r="HB309" s="9">
        <f>IF(GX309=0,"",AU309/GX309)</f>
        <v/>
      </c>
      <c r="HC309" s="10">
        <f>IF((GX309+GY309)=0,"",GB309/(GX309+GY309))</f>
        <v/>
      </c>
      <c r="HD309" s="9">
        <f>IF(GX309=0,"",GB309/GX309)</f>
        <v/>
      </c>
      <c r="HE309" s="8" t="n">
        <v>12</v>
      </c>
      <c r="HF309" s="8" t="n">
        <v>7</v>
      </c>
      <c r="HG309" s="8" t="n">
        <v>7</v>
      </c>
      <c r="HH309" s="8" t="n">
        <v>8</v>
      </c>
      <c r="HI309" s="8" t="n">
        <v>7</v>
      </c>
      <c r="HJ309" s="9">
        <f>HF309+HI309</f>
        <v/>
      </c>
      <c r="HK309" s="10">
        <f>IF(HE309=0,"",HH309/HE309)</f>
        <v/>
      </c>
      <c r="HL309" s="8" t="n">
        <v>0</v>
      </c>
      <c r="HM309" s="8" t="n">
        <v>0</v>
      </c>
      <c r="HN309" s="11">
        <f>IF(HL309=0,"",HM309/HL309)</f>
        <v/>
      </c>
    </row>
    <row r="310">
      <c r="A310" s="12" t="inlineStr">
        <is>
          <t>Zomba</t>
        </is>
      </c>
      <c r="B310" s="12" t="inlineStr">
        <is>
          <t>Jali</t>
        </is>
      </c>
      <c r="C310" s="13" t="inlineStr">
        <is>
          <t>FY2025/26</t>
        </is>
      </c>
      <c r="D310" s="13" t="n">
        <v>2025</v>
      </c>
      <c r="E310" s="13" t="n">
        <v>11</v>
      </c>
      <c r="F310" s="13" t="inlineStr">
        <is>
          <t>November</t>
        </is>
      </c>
      <c r="G310" s="13" t="inlineStr">
        <is>
          <t>Q3</t>
        </is>
      </c>
      <c r="H310" s="14" t="n">
        <v>6433</v>
      </c>
      <c r="I310" s="14" t="n">
        <v>696</v>
      </c>
      <c r="J310" s="14" t="n">
        <v>0</v>
      </c>
      <c r="K310" s="14" t="n">
        <v>4</v>
      </c>
      <c r="L310" s="14" t="n">
        <v>3</v>
      </c>
      <c r="M310" s="15">
        <f>SUM(I310,J310,K310,L310)</f>
        <v/>
      </c>
      <c r="N310" s="14" t="n">
        <v>3408.59999999998</v>
      </c>
      <c r="O310" s="14" t="n">
        <v>588.2</v>
      </c>
      <c r="P310" s="14" t="n">
        <v>176.8</v>
      </c>
      <c r="Q310" s="14" t="n">
        <v>5.6</v>
      </c>
      <c r="R310" s="15">
        <f>SUM(N310,O310,P310,Q310)</f>
        <v/>
      </c>
      <c r="S310" s="15">
        <f>M310+R310</f>
        <v/>
      </c>
      <c r="T310" s="14" t="n">
        <v>1550.80000000002</v>
      </c>
      <c r="U310" s="16">
        <f>IF(H310=0,"",T310/H310)</f>
        <v/>
      </c>
      <c r="V310" s="14" t="n">
        <v>11</v>
      </c>
      <c r="W310" s="17">
        <f>IF(H310=0,"",V310/H310)</f>
        <v/>
      </c>
      <c r="X310" s="14" t="n">
        <v>43</v>
      </c>
      <c r="Y310" s="17">
        <f>IF(H310=0,"",X310/H310)</f>
        <v/>
      </c>
      <c r="Z310" s="14" t="n">
        <v>27</v>
      </c>
      <c r="AA310" s="17">
        <f>IF(H310=0,"",Z310/H310)</f>
        <v/>
      </c>
      <c r="AB310" s="14" t="n">
        <v>0</v>
      </c>
      <c r="AC310" s="17">
        <f>IF(H310=0,"",AB310/H310)</f>
        <v/>
      </c>
      <c r="AD310" s="14" t="n">
        <v>0</v>
      </c>
      <c r="AE310" s="17">
        <f>IF(H310=0,"",AD310/H310)</f>
        <v/>
      </c>
      <c r="AF310" s="14" t="n">
        <v>0</v>
      </c>
      <c r="AG310" s="17">
        <f>IF(H310=0,"",AF310/H310)</f>
        <v/>
      </c>
      <c r="AH310" s="14" t="n">
        <v>987232</v>
      </c>
      <c r="AI310" s="15">
        <f>IF(H310=0,"",AH310/H310)</f>
        <v/>
      </c>
      <c r="AJ310" s="14" t="n">
        <v>309.58</v>
      </c>
      <c r="AK310" s="17">
        <f>IF(H310=0,"",AJ310/H310)</f>
        <v/>
      </c>
      <c r="AL310" s="14" t="n">
        <v>116217.45022</v>
      </c>
      <c r="AM310" s="15">
        <f>IF(H310=0,"",AL310/H310)</f>
        <v/>
      </c>
      <c r="AN310" s="14" t="n">
        <v>0</v>
      </c>
      <c r="AO310" s="14" t="n">
        <v>0</v>
      </c>
      <c r="AP310" s="14" t="n">
        <v>0</v>
      </c>
      <c r="AQ310" s="14" t="n">
        <v>0</v>
      </c>
      <c r="AR310" s="14" t="n">
        <v>0</v>
      </c>
      <c r="AS310" s="14" t="n">
        <v>0</v>
      </c>
      <c r="AT310" s="14" t="n">
        <v>0</v>
      </c>
      <c r="AU310" s="15">
        <f>AH310+AL310+AP310+AQ310+AR310+AS310+AT310</f>
        <v/>
      </c>
      <c r="AV310" s="15">
        <f>IF(H310=0,"",AU310/H310)</f>
        <v/>
      </c>
      <c r="AW310" s="15">
        <f>IF(S310=0,"",AU310/S310)</f>
        <v/>
      </c>
      <c r="AX310" s="14" t="n">
        <v>1</v>
      </c>
      <c r="AY310" s="15">
        <f>IF(H310=0,"",AX310/(H310/1000/12))</f>
        <v/>
      </c>
      <c r="AZ310" s="14" t="n">
        <v>6</v>
      </c>
      <c r="BA310" s="14" t="n">
        <v>7</v>
      </c>
      <c r="BB310" s="14" t="n">
        <v>15</v>
      </c>
      <c r="BC310" s="14" t="n">
        <v>10</v>
      </c>
      <c r="BD310" s="14" t="n">
        <v>0</v>
      </c>
      <c r="BE310" s="15">
        <f>BC310+BD310</f>
        <v/>
      </c>
      <c r="BF310" s="15">
        <f>BA310+BB310-BE310</f>
        <v/>
      </c>
      <c r="BG310" s="14" t="n">
        <v>0</v>
      </c>
      <c r="BH310" s="14" t="n">
        <v>0</v>
      </c>
      <c r="BI310" s="14" t="n">
        <v>0</v>
      </c>
      <c r="BJ310" s="14" t="n">
        <v>0</v>
      </c>
      <c r="BK310" s="15">
        <f>BI310+BJ310</f>
        <v/>
      </c>
      <c r="BL310" s="15">
        <f>BG310+BH310-BK310</f>
        <v/>
      </c>
      <c r="BM310" s="14" t="n">
        <v>0</v>
      </c>
      <c r="BN310" s="14" t="n">
        <v>0</v>
      </c>
      <c r="BO310" s="14" t="n">
        <v>0</v>
      </c>
      <c r="BP310" s="14" t="n">
        <v>0</v>
      </c>
      <c r="BQ310" s="15">
        <f>BO310+BP310</f>
        <v/>
      </c>
      <c r="BR310" s="15">
        <f>BM310+BN310-BQ310</f>
        <v/>
      </c>
      <c r="BS310" s="14" t="n">
        <v>0</v>
      </c>
      <c r="BT310" s="14" t="n">
        <v>0</v>
      </c>
      <c r="BU310" s="14" t="n">
        <v>0</v>
      </c>
      <c r="BV310" s="14" t="n">
        <v>0</v>
      </c>
      <c r="BW310" s="15">
        <f>BU310+BV310</f>
        <v/>
      </c>
      <c r="BX310" s="15">
        <f>BS310+BT310-BW310</f>
        <v/>
      </c>
      <c r="BY310" s="15">
        <f>BA310+BG310+BM310+BS310</f>
        <v/>
      </c>
      <c r="BZ310" s="15">
        <f>BB310+BH310+BN310+BT310</f>
        <v/>
      </c>
      <c r="CA310" s="15">
        <f>BE310+BK310+BQ310+BW310</f>
        <v/>
      </c>
      <c r="CB310" s="15">
        <f>BF310+BL310+BR310+BX310</f>
        <v/>
      </c>
      <c r="CC310" s="14" t="n">
        <v>0</v>
      </c>
      <c r="CD310" s="14" t="n">
        <v>0</v>
      </c>
      <c r="CE310" s="14" t="n">
        <v>0</v>
      </c>
      <c r="CF310" s="14" t="n">
        <v>0</v>
      </c>
      <c r="CG310" s="14" t="n">
        <v>0</v>
      </c>
      <c r="CH310" s="15">
        <f>CD310+CE310+CF310+CG310</f>
        <v/>
      </c>
      <c r="CI310" s="14" t="n">
        <v>70</v>
      </c>
      <c r="CJ310" s="14" t="n">
        <v>2</v>
      </c>
      <c r="CK310" s="14" t="n">
        <v>1</v>
      </c>
      <c r="CL310" s="14" t="n">
        <v>0</v>
      </c>
      <c r="CM310" s="15">
        <f>CI310+CJ310+CK310+CL310</f>
        <v/>
      </c>
      <c r="CN310" s="14" t="n">
        <v>459</v>
      </c>
      <c r="CO310" s="14" t="n">
        <v>9</v>
      </c>
      <c r="CP310" s="14" t="n">
        <v>8</v>
      </c>
      <c r="CQ310" s="14" t="n">
        <v>15</v>
      </c>
      <c r="CR310" s="15">
        <f>CN310+CO310+CP310+CQ310</f>
        <v/>
      </c>
      <c r="CS310" s="15">
        <f>CM310+CR310</f>
        <v/>
      </c>
      <c r="CT310" s="14" t="n">
        <v>564</v>
      </c>
      <c r="CU310" s="14" t="n">
        <v>7113</v>
      </c>
      <c r="CV310" s="14" t="n">
        <v>6117</v>
      </c>
      <c r="CW310" s="16">
        <f>IF(CU310=0,"",CV310/CU310)</f>
        <v/>
      </c>
      <c r="CX310" s="14" t="n">
        <v>0</v>
      </c>
      <c r="CY310" s="14" t="n">
        <v>0</v>
      </c>
      <c r="CZ310" s="14" t="n">
        <v>0</v>
      </c>
      <c r="DA310" s="14" t="n">
        <v>0</v>
      </c>
      <c r="DB310" s="15">
        <f>CX310+CY310-CZ310-DA310</f>
        <v/>
      </c>
      <c r="DC310" s="14" t="n">
        <v>0</v>
      </c>
      <c r="DD310" s="14" t="n">
        <v>0</v>
      </c>
      <c r="DE310" s="14" t="n">
        <v>0</v>
      </c>
      <c r="DF310" s="14" t="n">
        <v>0</v>
      </c>
      <c r="DG310" s="15">
        <f>DC310+DD310-DE310-DF310</f>
        <v/>
      </c>
      <c r="DH310" s="14" t="n">
        <v>0</v>
      </c>
      <c r="DI310" s="14" t="n">
        <v>2</v>
      </c>
      <c r="DJ310" s="14" t="n">
        <v>0</v>
      </c>
      <c r="DK310" s="14" t="n">
        <v>2</v>
      </c>
      <c r="DL310" s="15">
        <f>DH310+DI310-DJ310-DK310</f>
        <v/>
      </c>
      <c r="DM310" s="14" t="n">
        <v>1</v>
      </c>
      <c r="DN310" s="14" t="n">
        <v>0</v>
      </c>
      <c r="DO310" s="14" t="n">
        <v>0</v>
      </c>
      <c r="DP310" s="14" t="n">
        <v>0</v>
      </c>
      <c r="DQ310" s="15">
        <f>DM310+DN310-DO310-DP310</f>
        <v/>
      </c>
      <c r="DR310" s="15">
        <f>CX310+DC310+DH310+DM310</f>
        <v/>
      </c>
      <c r="DS310" s="15">
        <f>CY310+DD310+DI310+DN310</f>
        <v/>
      </c>
      <c r="DT310" s="15">
        <f>CZ310+DE310+DJ310+DO310</f>
        <v/>
      </c>
      <c r="DU310" s="15">
        <f>DA310+DF310+DK310+DP310</f>
        <v/>
      </c>
      <c r="DV310" s="15">
        <f>DB310+DG310+DL310+DQ310</f>
        <v/>
      </c>
      <c r="DW310" s="14" t="n">
        <v>9</v>
      </c>
      <c r="DX310" s="14" t="n">
        <v>20</v>
      </c>
      <c r="DY310" s="14" t="n">
        <v>7</v>
      </c>
      <c r="DZ310" s="14" t="n">
        <v>0</v>
      </c>
      <c r="EA310" s="14" t="n">
        <v>0</v>
      </c>
      <c r="EB310" s="14" t="n">
        <v>0</v>
      </c>
      <c r="EC310" s="14" t="n">
        <v>1</v>
      </c>
      <c r="ED310" s="14" t="n">
        <v>1</v>
      </c>
      <c r="EE310" s="14" t="n">
        <v>0</v>
      </c>
      <c r="EF310" s="14" t="n">
        <v>0</v>
      </c>
      <c r="EG310" s="14" t="n">
        <v>0</v>
      </c>
      <c r="EH310" s="14" t="n">
        <v>0</v>
      </c>
      <c r="EI310" s="14" t="n">
        <v>0</v>
      </c>
      <c r="EJ310" s="14" t="n">
        <v>0</v>
      </c>
      <c r="EK310" s="14" t="n">
        <v>0</v>
      </c>
      <c r="EL310" s="14" t="n">
        <v>0</v>
      </c>
      <c r="EM310" s="14" t="n">
        <v>0</v>
      </c>
      <c r="EN310" s="14" t="n">
        <v>0</v>
      </c>
      <c r="EO310" s="14" t="n">
        <v>0</v>
      </c>
      <c r="EP310" s="14" t="n">
        <v>0</v>
      </c>
      <c r="EQ310" s="14" t="n">
        <v>0</v>
      </c>
      <c r="ER310" s="14" t="n">
        <v>0</v>
      </c>
      <c r="ES310" s="14" t="n">
        <v>0</v>
      </c>
      <c r="ET310" s="14" t="n">
        <v>0</v>
      </c>
      <c r="EU310" s="14" t="n">
        <v>0</v>
      </c>
      <c r="EV310" s="14" t="n">
        <v>0</v>
      </c>
      <c r="EW310" s="14" t="n">
        <v>0</v>
      </c>
      <c r="EX310" s="14" t="n">
        <v>0</v>
      </c>
      <c r="EY310" s="14" t="n">
        <v>0</v>
      </c>
      <c r="EZ310" s="14" t="n">
        <v>0</v>
      </c>
      <c r="FA310" s="14" t="n">
        <v>0</v>
      </c>
      <c r="FB310" s="14" t="n">
        <v>0</v>
      </c>
      <c r="FC310" s="14" t="n">
        <v>0</v>
      </c>
      <c r="FD310" s="14" t="n">
        <v>0</v>
      </c>
      <c r="FE310" s="14" t="n">
        <v>0</v>
      </c>
      <c r="FF310" s="14" t="n">
        <v>0</v>
      </c>
      <c r="FG310" s="15">
        <f>SUM(DW310,DX310,DY310,DZ310,EA310,EB310,EC310,ED310,EE310,EF310,EG310,EH310,EI310,EJ310,EK310,EL310,EM310,EN310,EO310,EP310,EQ310,ER310,ES310,ET310,EU310,EV310,EW310,EX310,EY310,EZ310,FA310,FB310,FC310,FD310,FE310,FF310)</f>
        <v/>
      </c>
      <c r="FH310" s="14" t="n">
        <v>0</v>
      </c>
      <c r="FI310" s="14" t="n">
        <v>0</v>
      </c>
      <c r="FJ310" s="14" t="n">
        <v>23</v>
      </c>
      <c r="FK310" s="14" t="n">
        <v>0</v>
      </c>
      <c r="FL310" s="14" t="n">
        <v>0</v>
      </c>
      <c r="FM310" s="14" t="n">
        <v>0</v>
      </c>
      <c r="FN310" s="14" t="n">
        <v>0</v>
      </c>
      <c r="FO310" s="14" t="n">
        <v>0</v>
      </c>
      <c r="FP310" s="14" t="n">
        <v>0</v>
      </c>
      <c r="FQ310" s="15">
        <f>FL310+FM310+FN310+FO310+FP310</f>
        <v/>
      </c>
      <c r="FR310" s="14" t="n">
        <v>661963</v>
      </c>
      <c r="FS310" s="14" t="n">
        <v>0</v>
      </c>
      <c r="FT310" s="14" t="n">
        <v>0</v>
      </c>
      <c r="FU310" s="14" t="n">
        <v>0</v>
      </c>
      <c r="FV310" s="15">
        <f>FR310+FS310+FT310+FU310</f>
        <v/>
      </c>
      <c r="FW310" s="14" t="n">
        <v>4295734.8</v>
      </c>
      <c r="FX310" s="14" t="n">
        <v>136003.11</v>
      </c>
      <c r="FY310" s="14" t="n">
        <v>26000</v>
      </c>
      <c r="FZ310" s="14" t="n">
        <v>537519.7</v>
      </c>
      <c r="GA310" s="15">
        <f>FW310+FX310+FY310+FZ310</f>
        <v/>
      </c>
      <c r="GB310" s="15">
        <f>FV310+GA310</f>
        <v/>
      </c>
      <c r="GC310" s="14" t="n">
        <v>655207.35</v>
      </c>
      <c r="GD310" s="14" t="n">
        <v>0</v>
      </c>
      <c r="GE310" s="14" t="n">
        <v>16821.98</v>
      </c>
      <c r="GF310" s="14" t="n">
        <v>8410.99</v>
      </c>
      <c r="GG310" s="15">
        <f>GC310+GD310+GE310+GF310</f>
        <v/>
      </c>
      <c r="GH310" s="14" t="n">
        <v>4242633.22</v>
      </c>
      <c r="GI310" s="14" t="n">
        <v>125051.24</v>
      </c>
      <c r="GJ310" s="14" t="n">
        <v>537519.7</v>
      </c>
      <c r="GK310" s="14" t="n">
        <v>26000</v>
      </c>
      <c r="GL310" s="15">
        <f>GH310+GI310+GJ310+GK310</f>
        <v/>
      </c>
      <c r="GM310" s="15">
        <f>GG310+GL310</f>
        <v/>
      </c>
      <c r="GN310" s="14" t="n">
        <v>38145.1</v>
      </c>
      <c r="GO310" s="14" t="n">
        <v>0</v>
      </c>
      <c r="GP310" s="14" t="n">
        <v>6787.28</v>
      </c>
      <c r="GQ310" s="14" t="n">
        <v>4637.34</v>
      </c>
      <c r="GR310" s="15">
        <f>GN310+GO310+GP310+GQ310</f>
        <v/>
      </c>
      <c r="GS310" s="14" t="n">
        <v>62510</v>
      </c>
      <c r="GT310" s="14" t="n">
        <v>0</v>
      </c>
      <c r="GU310" s="14" t="n">
        <v>1786</v>
      </c>
      <c r="GV310" s="14" t="n">
        <v>893</v>
      </c>
      <c r="GW310" s="15">
        <f>GS310+GT310+GU310+GV310</f>
        <v/>
      </c>
      <c r="GX310" s="15">
        <f>GM310+GR310+GW310</f>
        <v/>
      </c>
      <c r="GY310" s="14" t="n">
        <v>10063587.4</v>
      </c>
      <c r="GZ310" s="14" t="n">
        <v>0</v>
      </c>
      <c r="HA310" s="9">
        <f>GY310+GZ310</f>
        <v/>
      </c>
      <c r="HB310" s="15">
        <f>IF(GX310=0,"",AU310/GX310)</f>
        <v/>
      </c>
      <c r="HC310" s="16">
        <f>IF((GX310+GY310)=0,"",GB310/(GX310+GY310))</f>
        <v/>
      </c>
      <c r="HD310" s="15">
        <f>IF(GX310=0,"",GB310/GX310)</f>
        <v/>
      </c>
      <c r="HE310" s="14" t="n">
        <v>15</v>
      </c>
      <c r="HF310" s="14" t="n">
        <v>3</v>
      </c>
      <c r="HG310" s="14" t="n">
        <v>12</v>
      </c>
      <c r="HH310" s="14" t="n">
        <v>15</v>
      </c>
      <c r="HI310" s="14" t="n">
        <v>7</v>
      </c>
      <c r="HJ310" s="15">
        <f>HF310+HI310</f>
        <v/>
      </c>
      <c r="HK310" s="16">
        <f>IF(HE310=0,"",HH310/HE310)</f>
        <v/>
      </c>
      <c r="HL310" s="14" t="n">
        <v>0</v>
      </c>
      <c r="HM310" s="14" t="n">
        <v>0</v>
      </c>
      <c r="HN310" s="17">
        <f>IF(HL310=0,"",HM310/HL310)</f>
        <v/>
      </c>
    </row>
    <row r="311">
      <c r="A311" s="6" t="inlineStr">
        <is>
          <t>Zomba</t>
        </is>
      </c>
      <c r="B311" s="6" t="inlineStr">
        <is>
          <t>Jali</t>
        </is>
      </c>
      <c r="C311" s="7" t="inlineStr">
        <is>
          <t>FY2025/26</t>
        </is>
      </c>
      <c r="D311" s="7" t="n">
        <v>2025</v>
      </c>
      <c r="E311" s="7" t="n">
        <v>12</v>
      </c>
      <c r="F311" s="7" t="inlineStr">
        <is>
          <t>December</t>
        </is>
      </c>
      <c r="G311" s="7" t="inlineStr">
        <is>
          <t>Q3</t>
        </is>
      </c>
      <c r="H311" s="8" t="n">
        <v>6562</v>
      </c>
      <c r="I311" s="8" t="n">
        <v>539</v>
      </c>
      <c r="J311" s="8" t="n">
        <v>0</v>
      </c>
      <c r="K311" s="8" t="n">
        <v>31</v>
      </c>
      <c r="L311" s="8" t="n">
        <v>3</v>
      </c>
      <c r="M311" s="9">
        <f>SUM(I311,J311,K311,L311)</f>
        <v/>
      </c>
      <c r="N311" s="8" t="n">
        <v>3402.29999999999</v>
      </c>
      <c r="O311" s="8" t="n">
        <v>435</v>
      </c>
      <c r="P311" s="8" t="n">
        <v>22.3</v>
      </c>
      <c r="Q311" s="8" t="n">
        <v>4.4</v>
      </c>
      <c r="R311" s="9">
        <f>SUM(N311,O311,P311,Q311)</f>
        <v/>
      </c>
      <c r="S311" s="9">
        <f>M311+R311</f>
        <v/>
      </c>
      <c r="T311" s="8" t="n">
        <v>2125.00000000001</v>
      </c>
      <c r="U311" s="10">
        <f>IF(H311=0,"",T311/H311)</f>
        <v/>
      </c>
      <c r="V311" s="8" t="n">
        <v>12</v>
      </c>
      <c r="W311" s="11">
        <f>IF(H311=0,"",V311/H311)</f>
        <v/>
      </c>
      <c r="X311" s="8" t="n">
        <v>57</v>
      </c>
      <c r="Y311" s="11">
        <f>IF(H311=0,"",X311/H311)</f>
        <v/>
      </c>
      <c r="Z311" s="8" t="n">
        <v>32</v>
      </c>
      <c r="AA311" s="11">
        <f>IF(H311=0,"",Z311/H311)</f>
        <v/>
      </c>
      <c r="AB311" s="8" t="n">
        <v>0</v>
      </c>
      <c r="AC311" s="11">
        <f>IF(H311=0,"",AB311/H311)</f>
        <v/>
      </c>
      <c r="AD311" s="8" t="n">
        <v>0</v>
      </c>
      <c r="AE311" s="11">
        <f>IF(H311=0,"",AD311/H311)</f>
        <v/>
      </c>
      <c r="AF311" s="8" t="n">
        <v>0</v>
      </c>
      <c r="AG311" s="11">
        <f>IF(H311=0,"",AF311/H311)</f>
        <v/>
      </c>
      <c r="AH311" s="8" t="n">
        <v>1195612</v>
      </c>
      <c r="AI311" s="9">
        <f>IF(H311=0,"",AH311/H311)</f>
        <v/>
      </c>
      <c r="AJ311" s="8" t="n">
        <v>308.51</v>
      </c>
      <c r="AK311" s="11">
        <f>IF(H311=0,"",AJ311/H311)</f>
        <v/>
      </c>
      <c r="AL311" s="8" t="n">
        <v>115925.00959</v>
      </c>
      <c r="AM311" s="9">
        <f>IF(H311=0,"",AL311/H311)</f>
        <v/>
      </c>
      <c r="AN311" s="8" t="n">
        <v>0</v>
      </c>
      <c r="AO311" s="8" t="n">
        <v>0</v>
      </c>
      <c r="AP311" s="8" t="n">
        <v>0</v>
      </c>
      <c r="AQ311" s="8" t="n">
        <v>0</v>
      </c>
      <c r="AR311" s="8" t="n">
        <v>0</v>
      </c>
      <c r="AS311" s="8" t="n">
        <v>0</v>
      </c>
      <c r="AT311" s="8" t="n">
        <v>0</v>
      </c>
      <c r="AU311" s="9">
        <f>AH311+AL311+AP311+AQ311+AR311+AS311+AT311</f>
        <v/>
      </c>
      <c r="AV311" s="9">
        <f>IF(H311=0,"",AU311/H311)</f>
        <v/>
      </c>
      <c r="AW311" s="9">
        <f>IF(S311=0,"",AU311/S311)</f>
        <v/>
      </c>
      <c r="AX311" s="8" t="n">
        <v>1</v>
      </c>
      <c r="AY311" s="9">
        <f>IF(H311=0,"",AX311/(H311/1000/12))</f>
        <v/>
      </c>
      <c r="AZ311" s="8" t="n">
        <v>6</v>
      </c>
      <c r="BA311" s="8" t="n">
        <v>12</v>
      </c>
      <c r="BB311" s="8" t="n">
        <v>2</v>
      </c>
      <c r="BC311" s="8" t="n">
        <v>6</v>
      </c>
      <c r="BD311" s="8" t="n">
        <v>0</v>
      </c>
      <c r="BE311" s="9">
        <f>BC311+BD311</f>
        <v/>
      </c>
      <c r="BF311" s="9">
        <f>BA311+BB311-BE311</f>
        <v/>
      </c>
      <c r="BG311" s="8" t="n">
        <v>0</v>
      </c>
      <c r="BH311" s="8" t="n">
        <v>1</v>
      </c>
      <c r="BI311" s="8" t="n">
        <v>1</v>
      </c>
      <c r="BJ311" s="8" t="n">
        <v>0</v>
      </c>
      <c r="BK311" s="9">
        <f>BI311+BJ311</f>
        <v/>
      </c>
      <c r="BL311" s="9">
        <f>BG311+BH311-BK311</f>
        <v/>
      </c>
      <c r="BM311" s="8" t="n">
        <v>0</v>
      </c>
      <c r="BN311" s="8" t="n">
        <v>0</v>
      </c>
      <c r="BO311" s="8" t="n">
        <v>0</v>
      </c>
      <c r="BP311" s="8" t="n">
        <v>0</v>
      </c>
      <c r="BQ311" s="9">
        <f>BO311+BP311</f>
        <v/>
      </c>
      <c r="BR311" s="9">
        <f>BM311+BN311-BQ311</f>
        <v/>
      </c>
      <c r="BS311" s="8" t="n">
        <v>0</v>
      </c>
      <c r="BT311" s="8" t="n">
        <v>0</v>
      </c>
      <c r="BU311" s="8" t="n">
        <v>0</v>
      </c>
      <c r="BV311" s="8" t="n">
        <v>0</v>
      </c>
      <c r="BW311" s="9">
        <f>BU311+BV311</f>
        <v/>
      </c>
      <c r="BX311" s="9">
        <f>BS311+BT311-BW311</f>
        <v/>
      </c>
      <c r="BY311" s="9">
        <f>BA311+BG311+BM311+BS311</f>
        <v/>
      </c>
      <c r="BZ311" s="9">
        <f>BB311+BH311+BN311+BT311</f>
        <v/>
      </c>
      <c r="CA311" s="9">
        <f>BE311+BK311+BQ311+BW311</f>
        <v/>
      </c>
      <c r="CB311" s="9">
        <f>BF311+BL311+BR311+BX311</f>
        <v/>
      </c>
      <c r="CC311" s="8" t="n">
        <v>0</v>
      </c>
      <c r="CD311" s="8" t="n">
        <v>0</v>
      </c>
      <c r="CE311" s="8" t="n">
        <v>0</v>
      </c>
      <c r="CF311" s="8" t="n">
        <v>0</v>
      </c>
      <c r="CG311" s="8" t="n">
        <v>0</v>
      </c>
      <c r="CH311" s="9">
        <f>CD311+CE311+CF311+CG311</f>
        <v/>
      </c>
      <c r="CI311" s="8" t="n">
        <v>64</v>
      </c>
      <c r="CJ311" s="8" t="n">
        <v>2</v>
      </c>
      <c r="CK311" s="8" t="n">
        <v>1</v>
      </c>
      <c r="CL311" s="8" t="n">
        <v>0</v>
      </c>
      <c r="CM311" s="9">
        <f>CI311+CJ311+CK311+CL311</f>
        <v/>
      </c>
      <c r="CN311" s="8" t="n">
        <v>472</v>
      </c>
      <c r="CO311" s="8" t="n">
        <v>9</v>
      </c>
      <c r="CP311" s="8" t="n">
        <v>8</v>
      </c>
      <c r="CQ311" s="8" t="n">
        <v>15</v>
      </c>
      <c r="CR311" s="9">
        <f>CN311+CO311+CP311+CQ311</f>
        <v/>
      </c>
      <c r="CS311" s="9">
        <f>CM311+CR311</f>
        <v/>
      </c>
      <c r="CT311" s="8" t="n">
        <v>571</v>
      </c>
      <c r="CU311" s="8" t="n">
        <v>7124</v>
      </c>
      <c r="CV311" s="8" t="n">
        <v>6147.1</v>
      </c>
      <c r="CW311" s="10">
        <f>IF(CU311=0,"",CV311/CU311)</f>
        <v/>
      </c>
      <c r="CX311" s="8" t="n">
        <v>0</v>
      </c>
      <c r="CY311" s="8" t="n">
        <v>0</v>
      </c>
      <c r="CZ311" s="8" t="n">
        <v>0</v>
      </c>
      <c r="DA311" s="8" t="n">
        <v>0</v>
      </c>
      <c r="DB311" s="9">
        <f>CX311+CY311-CZ311-DA311</f>
        <v/>
      </c>
      <c r="DC311" s="8" t="n">
        <v>0</v>
      </c>
      <c r="DD311" s="8" t="n">
        <v>0</v>
      </c>
      <c r="DE311" s="8" t="n">
        <v>0</v>
      </c>
      <c r="DF311" s="8" t="n">
        <v>0</v>
      </c>
      <c r="DG311" s="9">
        <f>DC311+DD311-DE311-DF311</f>
        <v/>
      </c>
      <c r="DH311" s="8" t="n">
        <v>0</v>
      </c>
      <c r="DI311" s="8" t="n">
        <v>0</v>
      </c>
      <c r="DJ311" s="8" t="n">
        <v>0</v>
      </c>
      <c r="DK311" s="8" t="n">
        <v>0</v>
      </c>
      <c r="DL311" s="9">
        <f>DH311+DI311-DJ311-DK311</f>
        <v/>
      </c>
      <c r="DM311" s="8" t="n">
        <v>1</v>
      </c>
      <c r="DN311" s="8" t="n">
        <v>0</v>
      </c>
      <c r="DO311" s="8" t="n">
        <v>1</v>
      </c>
      <c r="DP311" s="8" t="n">
        <v>0</v>
      </c>
      <c r="DQ311" s="9">
        <f>DM311+DN311-DO311-DP311</f>
        <v/>
      </c>
      <c r="DR311" s="9">
        <f>CX311+DC311+DH311+DM311</f>
        <v/>
      </c>
      <c r="DS311" s="9">
        <f>CY311+DD311+DI311+DN311</f>
        <v/>
      </c>
      <c r="DT311" s="9">
        <f>CZ311+DE311+DJ311+DO311</f>
        <v/>
      </c>
      <c r="DU311" s="9">
        <f>DA311+DF311+DK311+DP311</f>
        <v/>
      </c>
      <c r="DV311" s="9">
        <f>DB311+DG311+DL311+DQ311</f>
        <v/>
      </c>
      <c r="DW311" s="8" t="n">
        <v>8</v>
      </c>
      <c r="DX311" s="8" t="n">
        <v>11</v>
      </c>
      <c r="DY311" s="8" t="n">
        <v>5</v>
      </c>
      <c r="DZ311" s="8" t="n">
        <v>0</v>
      </c>
      <c r="EA311" s="8" t="n">
        <v>0</v>
      </c>
      <c r="EB311" s="8" t="n">
        <v>0</v>
      </c>
      <c r="EC311" s="8" t="n">
        <v>0</v>
      </c>
      <c r="ED311" s="8" t="n">
        <v>0</v>
      </c>
      <c r="EE311" s="8" t="n">
        <v>0</v>
      </c>
      <c r="EF311" s="8" t="n">
        <v>0</v>
      </c>
      <c r="EG311" s="8" t="n">
        <v>0</v>
      </c>
      <c r="EH311" s="8" t="n">
        <v>0</v>
      </c>
      <c r="EI311" s="8" t="n">
        <v>0</v>
      </c>
      <c r="EJ311" s="8" t="n">
        <v>0</v>
      </c>
      <c r="EK311" s="8" t="n">
        <v>0</v>
      </c>
      <c r="EL311" s="8" t="n">
        <v>0</v>
      </c>
      <c r="EM311" s="8" t="n">
        <v>0</v>
      </c>
      <c r="EN311" s="8" t="n">
        <v>0</v>
      </c>
      <c r="EO311" s="8" t="n">
        <v>0</v>
      </c>
      <c r="EP311" s="8" t="n">
        <v>0</v>
      </c>
      <c r="EQ311" s="8" t="n">
        <v>0</v>
      </c>
      <c r="ER311" s="8" t="n">
        <v>0</v>
      </c>
      <c r="ES311" s="8" t="n">
        <v>0</v>
      </c>
      <c r="ET311" s="8" t="n">
        <v>0</v>
      </c>
      <c r="EU311" s="8" t="n">
        <v>0</v>
      </c>
      <c r="EV311" s="8" t="n">
        <v>0</v>
      </c>
      <c r="EW311" s="8" t="n">
        <v>0</v>
      </c>
      <c r="EX311" s="8" t="n">
        <v>0</v>
      </c>
      <c r="EY311" s="8" t="n">
        <v>0</v>
      </c>
      <c r="EZ311" s="8" t="n">
        <v>0</v>
      </c>
      <c r="FA311" s="8" t="n">
        <v>0</v>
      </c>
      <c r="FB311" s="8" t="n">
        <v>0</v>
      </c>
      <c r="FC311" s="8" t="n">
        <v>0</v>
      </c>
      <c r="FD311" s="8" t="n">
        <v>0</v>
      </c>
      <c r="FE311" s="8" t="n">
        <v>0</v>
      </c>
      <c r="FF311" s="8" t="n">
        <v>0</v>
      </c>
      <c r="FG311" s="9">
        <f>SUM(DW311,DX311,DY311,DZ311,EA311,EB311,EC311,ED311,EE311,EF311,EG311,EH311,EI311,EJ311,EK311,EL311,EM311,EN311,EO311,EP311,EQ311,ER311,ES311,ET311,EU311,EV311,EW311,EX311,EY311,EZ311,FA311,FB311,FC311,FD311,FE311,FF311)</f>
        <v/>
      </c>
      <c r="FH311" s="8" t="n">
        <v>0</v>
      </c>
      <c r="FI311" s="8" t="n">
        <v>0</v>
      </c>
      <c r="FJ311" s="8" t="n">
        <v>23</v>
      </c>
      <c r="FK311" s="8" t="n">
        <v>0</v>
      </c>
      <c r="FL311" s="8" t="n">
        <v>0</v>
      </c>
      <c r="FM311" s="8" t="n">
        <v>0</v>
      </c>
      <c r="FN311" s="8" t="n">
        <v>0</v>
      </c>
      <c r="FO311" s="8" t="n">
        <v>0</v>
      </c>
      <c r="FP311" s="8" t="n">
        <v>0</v>
      </c>
      <c r="FQ311" s="9">
        <f>FL311+FM311+FN311+FO311+FP311</f>
        <v/>
      </c>
      <c r="FR311" s="8" t="n">
        <v>426806</v>
      </c>
      <c r="FS311" s="8" t="n">
        <v>0</v>
      </c>
      <c r="FT311" s="8" t="n">
        <v>0</v>
      </c>
      <c r="FU311" s="8" t="n">
        <v>0</v>
      </c>
      <c r="FV311" s="9">
        <f>FR311+FS311+FT311+FU311</f>
        <v/>
      </c>
      <c r="FW311" s="8" t="n">
        <v>4272213.28</v>
      </c>
      <c r="FX311" s="8" t="n">
        <v>95500</v>
      </c>
      <c r="FY311" s="8" t="n">
        <v>20000</v>
      </c>
      <c r="FZ311" s="8" t="n">
        <v>67500</v>
      </c>
      <c r="GA311" s="9">
        <f>FW311+FX311+FY311+FZ311</f>
        <v/>
      </c>
      <c r="GB311" s="9">
        <f>FV311+GA311</f>
        <v/>
      </c>
      <c r="GC311" s="8" t="n">
        <v>507083.03</v>
      </c>
      <c r="GD311" s="8" t="n">
        <v>0</v>
      </c>
      <c r="GE311" s="8" t="n">
        <v>83663.53</v>
      </c>
      <c r="GF311" s="8" t="n">
        <v>8410.99</v>
      </c>
      <c r="GG311" s="9">
        <f>GC311+GD311+GE311+GF311</f>
        <v/>
      </c>
      <c r="GH311" s="8" t="n">
        <v>4235694.93</v>
      </c>
      <c r="GI311" s="8" t="n">
        <v>92440</v>
      </c>
      <c r="GJ311" s="8" t="n">
        <v>67500</v>
      </c>
      <c r="GK311" s="8" t="n">
        <v>20000</v>
      </c>
      <c r="GL311" s="9">
        <f>GH311+GI311+GJ311+GK311</f>
        <v/>
      </c>
      <c r="GM311" s="9">
        <f>GG311+GL311</f>
        <v/>
      </c>
      <c r="GN311" s="8" t="n">
        <v>34875.52</v>
      </c>
      <c r="GO311" s="8" t="n">
        <v>0</v>
      </c>
      <c r="GP311" s="8" t="n">
        <v>6787.28</v>
      </c>
      <c r="GQ311" s="8" t="n">
        <v>4637.34</v>
      </c>
      <c r="GR311" s="9">
        <f>GN311+GO311+GP311+GQ311</f>
        <v/>
      </c>
      <c r="GS311" s="8" t="n">
        <v>57152</v>
      </c>
      <c r="GT311" s="8" t="n">
        <v>0</v>
      </c>
      <c r="GU311" s="8" t="n">
        <v>1786</v>
      </c>
      <c r="GV311" s="8" t="n">
        <v>893</v>
      </c>
      <c r="GW311" s="9">
        <f>GS311+GT311+GU311+GV311</f>
        <v/>
      </c>
      <c r="GX311" s="9">
        <f>GM311+GR311+GW311</f>
        <v/>
      </c>
      <c r="GY311" s="8" t="n">
        <v>10179767.10000001</v>
      </c>
      <c r="GZ311" s="8" t="n">
        <v>0</v>
      </c>
      <c r="HA311" s="9">
        <f>GY311+GZ311</f>
        <v/>
      </c>
      <c r="HB311" s="9">
        <f>IF(GX311=0,"",AU311/GX311)</f>
        <v/>
      </c>
      <c r="HC311" s="10">
        <f>IF((GX311+GY311)=0,"",GB311/(GX311+GY311))</f>
        <v/>
      </c>
      <c r="HD311" s="9">
        <f>IF(GX311=0,"",GB311/GX311)</f>
        <v/>
      </c>
      <c r="HE311" s="8" t="n">
        <v>7</v>
      </c>
      <c r="HF311" s="8" t="n">
        <v>2</v>
      </c>
      <c r="HG311" s="8" t="n">
        <v>8</v>
      </c>
      <c r="HH311" s="8" t="n">
        <v>3</v>
      </c>
      <c r="HI311" s="8" t="n">
        <v>7</v>
      </c>
      <c r="HJ311" s="9">
        <f>HF311+HI311</f>
        <v/>
      </c>
      <c r="HK311" s="10">
        <f>IF(HE311=0,"",HH311/HE311)</f>
        <v/>
      </c>
      <c r="HL311" s="8" t="n">
        <v>0</v>
      </c>
      <c r="HM311" s="8" t="n">
        <v>0</v>
      </c>
      <c r="HN311" s="11">
        <f>IF(HL311=0,"",HM311/HL311)</f>
        <v/>
      </c>
    </row>
    <row r="312">
      <c r="A312" s="12" t="inlineStr">
        <is>
          <t>Zomba</t>
        </is>
      </c>
      <c r="B312" s="12" t="inlineStr">
        <is>
          <t>Jali</t>
        </is>
      </c>
      <c r="C312" s="13" t="inlineStr">
        <is>
          <t>FY2025/26</t>
        </is>
      </c>
      <c r="D312" s="13" t="n">
        <v>2026</v>
      </c>
      <c r="E312" s="13" t="n">
        <v>1</v>
      </c>
      <c r="F312" s="13" t="inlineStr">
        <is>
          <t>January</t>
        </is>
      </c>
      <c r="G312" s="13" t="inlineStr">
        <is>
          <t>Q4</t>
        </is>
      </c>
      <c r="H312" s="14" t="n">
        <v>6600</v>
      </c>
      <c r="I312" s="14" t="n">
        <v>617</v>
      </c>
      <c r="J312" s="14" t="n">
        <v>0</v>
      </c>
      <c r="K312" s="14" t="n">
        <v>21</v>
      </c>
      <c r="L312" s="14" t="n">
        <v>21</v>
      </c>
      <c r="M312" s="15" t="n">
        <v>659</v>
      </c>
      <c r="N312" s="14" t="n">
        <v>3590.299999999989</v>
      </c>
      <c r="O312" s="14" t="n">
        <v>352.9000000000001</v>
      </c>
      <c r="P312" s="14" t="n">
        <v>17.1</v>
      </c>
      <c r="Q312" s="14" t="n">
        <v>3.9</v>
      </c>
      <c r="R312" s="15" t="n">
        <v>3964.199999999989</v>
      </c>
      <c r="S312" s="15" t="n">
        <v>4623.19999999999</v>
      </c>
      <c r="T312" s="14" t="n">
        <v>1976.80000000001</v>
      </c>
      <c r="U312" s="16" t="n">
        <v>0.2995151515151531</v>
      </c>
      <c r="V312" s="14" t="n">
        <v>13</v>
      </c>
      <c r="W312" s="17" t="n">
        <v>1.96969696969697</v>
      </c>
      <c r="X312" s="14" t="n">
        <v>58</v>
      </c>
      <c r="Y312" s="17" t="n">
        <v>8.787878787878789</v>
      </c>
      <c r="Z312" s="14" t="n">
        <v>28</v>
      </c>
      <c r="AA312" s="17" t="n">
        <v>4.242424242424242</v>
      </c>
      <c r="AB312" s="14" t="n">
        <v>0</v>
      </c>
      <c r="AC312" s="17" t="n">
        <v>0</v>
      </c>
      <c r="AD312" s="14" t="n">
        <v>0</v>
      </c>
      <c r="AE312" s="17" t="n">
        <v>0</v>
      </c>
      <c r="AF312" s="14" t="n">
        <v>0</v>
      </c>
      <c r="AG312" s="17" t="n">
        <v>0</v>
      </c>
      <c r="AH312" s="14" t="n">
        <v>1181848</v>
      </c>
      <c r="AI312" s="15" t="n">
        <v>179.0678787878788</v>
      </c>
      <c r="AJ312" s="14" t="n">
        <v>372.92</v>
      </c>
      <c r="AK312" s="17" t="n">
        <v>0.0565030303030303</v>
      </c>
      <c r="AL312" s="14" t="n">
        <v>133528.84228</v>
      </c>
      <c r="AM312" s="15" t="n">
        <v>20.23164276969697</v>
      </c>
      <c r="AN312" s="14" t="n">
        <v>0</v>
      </c>
      <c r="AO312" s="14" t="n">
        <v>0</v>
      </c>
      <c r="AP312" s="14" t="n">
        <v>0</v>
      </c>
      <c r="AQ312" s="14" t="n">
        <v>0</v>
      </c>
      <c r="AR312" s="14" t="n">
        <v>0</v>
      </c>
      <c r="AS312" s="14" t="n">
        <v>0</v>
      </c>
      <c r="AT312" s="14" t="n">
        <v>0</v>
      </c>
      <c r="AU312" s="15" t="n">
        <v>1315376.84228</v>
      </c>
      <c r="AV312" s="15" t="n">
        <v>199.2995215575758</v>
      </c>
      <c r="AW312" s="15" t="n">
        <v>284.5165344955881</v>
      </c>
      <c r="AX312" s="14" t="n">
        <v>1</v>
      </c>
      <c r="AY312" s="15" t="n">
        <v>4.696969696969697</v>
      </c>
      <c r="AZ312" s="14" t="n">
        <v>6</v>
      </c>
      <c r="BA312" s="14" t="n">
        <v>8</v>
      </c>
      <c r="BB312" s="14" t="n">
        <v>3</v>
      </c>
      <c r="BC312" s="14" t="n">
        <v>3</v>
      </c>
      <c r="BD312" s="14" t="n">
        <v>0</v>
      </c>
      <c r="BE312" s="15" t="n">
        <v>3</v>
      </c>
      <c r="BF312" s="15" t="n">
        <v>8</v>
      </c>
      <c r="BG312" s="14" t="n">
        <v>0</v>
      </c>
      <c r="BH312" s="14" t="n">
        <v>0</v>
      </c>
      <c r="BI312" s="14" t="n">
        <v>0</v>
      </c>
      <c r="BJ312" s="14" t="n">
        <v>0</v>
      </c>
      <c r="BK312" s="15" t="n">
        <v>0</v>
      </c>
      <c r="BL312" s="15" t="n">
        <v>0</v>
      </c>
      <c r="BM312" s="14" t="n">
        <v>0</v>
      </c>
      <c r="BN312" s="14" t="n">
        <v>0</v>
      </c>
      <c r="BO312" s="14" t="n">
        <v>0</v>
      </c>
      <c r="BP312" s="14" t="n">
        <v>0</v>
      </c>
      <c r="BQ312" s="15" t="n">
        <v>0</v>
      </c>
      <c r="BR312" s="15" t="n">
        <v>0</v>
      </c>
      <c r="BS312" s="14" t="n">
        <v>0</v>
      </c>
      <c r="BT312" s="14" t="n">
        <v>0</v>
      </c>
      <c r="BU312" s="14" t="n">
        <v>0</v>
      </c>
      <c r="BV312" s="14" t="n">
        <v>0</v>
      </c>
      <c r="BW312" s="15" t="n">
        <v>0</v>
      </c>
      <c r="BX312" s="15" t="n">
        <v>0</v>
      </c>
      <c r="BY312" s="15" t="n">
        <v>8</v>
      </c>
      <c r="BZ312" s="15" t="n">
        <v>3</v>
      </c>
      <c r="CA312" s="15" t="n">
        <v>3</v>
      </c>
      <c r="CB312" s="15" t="n">
        <v>8</v>
      </c>
      <c r="CC312" s="14" t="n">
        <v>0</v>
      </c>
      <c r="CD312" s="14" t="n">
        <v>0</v>
      </c>
      <c r="CE312" s="14" t="n">
        <v>0</v>
      </c>
      <c r="CF312" s="14" t="n">
        <v>0</v>
      </c>
      <c r="CG312" s="14" t="n">
        <v>0</v>
      </c>
      <c r="CH312" s="15" t="n">
        <v>0</v>
      </c>
      <c r="CI312" s="14" t="n">
        <v>67</v>
      </c>
      <c r="CJ312" s="14" t="n">
        <v>2</v>
      </c>
      <c r="CK312" s="14" t="n">
        <v>1</v>
      </c>
      <c r="CL312" s="14" t="n">
        <v>0</v>
      </c>
      <c r="CM312" s="15" t="n">
        <v>70</v>
      </c>
      <c r="CN312" s="14" t="n">
        <v>472</v>
      </c>
      <c r="CO312" s="14" t="n">
        <v>9</v>
      </c>
      <c r="CP312" s="14" t="n">
        <v>8</v>
      </c>
      <c r="CQ312" s="14" t="n">
        <v>15</v>
      </c>
      <c r="CR312" s="15" t="n">
        <v>504</v>
      </c>
      <c r="CS312" s="15" t="n">
        <v>574</v>
      </c>
      <c r="CT312" s="14" t="n">
        <v>574</v>
      </c>
      <c r="CU312" s="14" t="n">
        <v>7135</v>
      </c>
      <c r="CV312" s="14" t="n">
        <v>6159.9</v>
      </c>
      <c r="CW312" s="16" t="n">
        <v>0.8633356692361597</v>
      </c>
      <c r="CX312" s="14" t="n">
        <v>0</v>
      </c>
      <c r="CY312" s="14" t="n">
        <v>0</v>
      </c>
      <c r="CZ312" s="14" t="n">
        <v>0</v>
      </c>
      <c r="DA312" s="14" t="n">
        <v>0</v>
      </c>
      <c r="DB312" s="15" t="n">
        <v>0</v>
      </c>
      <c r="DC312" s="14" t="n">
        <v>0</v>
      </c>
      <c r="DD312" s="14" t="n">
        <v>0</v>
      </c>
      <c r="DE312" s="14" t="n">
        <v>0</v>
      </c>
      <c r="DF312" s="14" t="n">
        <v>0</v>
      </c>
      <c r="DG312" s="15" t="n">
        <v>0</v>
      </c>
      <c r="DH312" s="14" t="n">
        <v>0</v>
      </c>
      <c r="DI312" s="14" t="n">
        <v>0</v>
      </c>
      <c r="DJ312" s="14" t="n">
        <v>0</v>
      </c>
      <c r="DK312" s="14" t="n">
        <v>0</v>
      </c>
      <c r="DL312" s="15" t="n">
        <v>0</v>
      </c>
      <c r="DM312" s="14" t="n">
        <v>0</v>
      </c>
      <c r="DN312" s="14" t="n">
        <v>0</v>
      </c>
      <c r="DO312" s="14" t="n">
        <v>0</v>
      </c>
      <c r="DP312" s="14" t="n">
        <v>0</v>
      </c>
      <c r="DQ312" s="15" t="n">
        <v>0</v>
      </c>
      <c r="DR312" s="15" t="n">
        <v>0</v>
      </c>
      <c r="DS312" s="15" t="n">
        <v>0</v>
      </c>
      <c r="DT312" s="15" t="n">
        <v>0</v>
      </c>
      <c r="DU312" s="15" t="n">
        <v>0</v>
      </c>
      <c r="DV312" s="15" t="n">
        <v>0</v>
      </c>
      <c r="DW312" s="14" t="n">
        <v>10</v>
      </c>
      <c r="DX312" s="14" t="n">
        <v>19</v>
      </c>
      <c r="DY312" s="14" t="n">
        <v>0</v>
      </c>
      <c r="DZ312" s="14" t="n">
        <v>0</v>
      </c>
      <c r="EA312" s="14" t="n">
        <v>0</v>
      </c>
      <c r="EB312" s="14" t="n">
        <v>0</v>
      </c>
      <c r="EC312" s="14" t="n">
        <v>0</v>
      </c>
      <c r="ED312" s="14" t="n">
        <v>0</v>
      </c>
      <c r="EE312" s="14" t="n">
        <v>0</v>
      </c>
      <c r="EF312" s="14" t="n">
        <v>0</v>
      </c>
      <c r="EG312" s="14" t="n">
        <v>0</v>
      </c>
      <c r="EH312" s="14" t="n">
        <v>0</v>
      </c>
      <c r="EI312" s="14" t="n">
        <v>0</v>
      </c>
      <c r="EJ312" s="14" t="n">
        <v>1</v>
      </c>
      <c r="EK312" s="14" t="n">
        <v>0</v>
      </c>
      <c r="EL312" s="14" t="n">
        <v>0</v>
      </c>
      <c r="EM312" s="14" t="n">
        <v>0</v>
      </c>
      <c r="EN312" s="14" t="n">
        <v>0</v>
      </c>
      <c r="EO312" s="14" t="n">
        <v>0</v>
      </c>
      <c r="EP312" s="14" t="n">
        <v>0</v>
      </c>
      <c r="EQ312" s="14" t="n">
        <v>0</v>
      </c>
      <c r="ER312" s="14" t="n">
        <v>0</v>
      </c>
      <c r="ES312" s="14" t="n">
        <v>0</v>
      </c>
      <c r="ET312" s="14" t="n">
        <v>0</v>
      </c>
      <c r="EU312" s="14" t="n">
        <v>0</v>
      </c>
      <c r="EV312" s="14" t="n">
        <v>0</v>
      </c>
      <c r="EW312" s="14" t="n">
        <v>0</v>
      </c>
      <c r="EX312" s="14" t="n">
        <v>0</v>
      </c>
      <c r="EY312" s="14" t="n">
        <v>0</v>
      </c>
      <c r="EZ312" s="14" t="n">
        <v>0</v>
      </c>
      <c r="FA312" s="14" t="n">
        <v>0</v>
      </c>
      <c r="FB312" s="14" t="n">
        <v>0</v>
      </c>
      <c r="FC312" s="14" t="n">
        <v>0</v>
      </c>
      <c r="FD312" s="14" t="n">
        <v>0</v>
      </c>
      <c r="FE312" s="14" t="n">
        <v>0</v>
      </c>
      <c r="FF312" s="14" t="n">
        <v>0</v>
      </c>
      <c r="FG312" s="15" t="n">
        <v>30</v>
      </c>
      <c r="FH312" s="14" t="n">
        <v>0</v>
      </c>
      <c r="FI312" s="14" t="n">
        <v>0</v>
      </c>
      <c r="FJ312" s="14" t="n">
        <v>23</v>
      </c>
      <c r="FK312" s="14" t="n">
        <v>0</v>
      </c>
      <c r="FL312" s="14" t="n">
        <v>0</v>
      </c>
      <c r="FM312" s="14" t="n">
        <v>0</v>
      </c>
      <c r="FN312" s="14" t="n">
        <v>0</v>
      </c>
      <c r="FO312" s="14" t="n">
        <v>0</v>
      </c>
      <c r="FP312" s="14" t="n">
        <v>0</v>
      </c>
      <c r="FQ312" s="15" t="n">
        <v>0</v>
      </c>
      <c r="FR312" s="14" t="n">
        <v>461039</v>
      </c>
      <c r="FS312" s="14" t="n">
        <v>0</v>
      </c>
      <c r="FT312" s="14" t="n">
        <v>85000</v>
      </c>
      <c r="FU312" s="14" t="n">
        <v>30000</v>
      </c>
      <c r="FV312" s="15" t="n">
        <v>576039</v>
      </c>
      <c r="FW312" s="14" t="n">
        <v>4503162.64</v>
      </c>
      <c r="FX312" s="14" t="n">
        <v>80600</v>
      </c>
      <c r="FY312" s="14" t="n">
        <v>18000</v>
      </c>
      <c r="FZ312" s="14" t="n">
        <v>52519.7</v>
      </c>
      <c r="GA312" s="15" t="n">
        <v>4654282.34</v>
      </c>
      <c r="GB312" s="15" t="n">
        <v>5230321.34</v>
      </c>
      <c r="GC312" s="14" t="n">
        <v>585078.71</v>
      </c>
      <c r="GD312" s="14" t="n">
        <v>0</v>
      </c>
      <c r="GE312" s="14" t="n">
        <v>51776.15</v>
      </c>
      <c r="GF312" s="14" t="n">
        <v>79195.21000000001</v>
      </c>
      <c r="GG312" s="15" t="n">
        <v>716050.0699999999</v>
      </c>
      <c r="GH312" s="14" t="n">
        <v>4467758.64</v>
      </c>
      <c r="GI312" s="14" t="n">
        <v>75020</v>
      </c>
      <c r="GJ312" s="14" t="n">
        <v>52519.7</v>
      </c>
      <c r="GK312" s="14" t="n">
        <v>18000</v>
      </c>
      <c r="GL312" s="15" t="n">
        <v>4613298.34</v>
      </c>
      <c r="GM312" s="15" t="n">
        <v>5329348.41</v>
      </c>
      <c r="GN312" s="14" t="n">
        <v>36510.31</v>
      </c>
      <c r="GO312" s="14" t="n">
        <v>0</v>
      </c>
      <c r="GP312" s="14" t="n">
        <v>6787.28</v>
      </c>
      <c r="GQ312" s="14" t="n">
        <v>4637.34</v>
      </c>
      <c r="GR312" s="15" t="n">
        <v>47934.92999999999</v>
      </c>
      <c r="GS312" s="14" t="n">
        <v>59831</v>
      </c>
      <c r="GT312" s="14" t="n">
        <v>0</v>
      </c>
      <c r="GU312" s="14" t="n">
        <v>1786</v>
      </c>
      <c r="GV312" s="14" t="n">
        <v>893</v>
      </c>
      <c r="GW312" s="15" t="n">
        <v>62510</v>
      </c>
      <c r="GX312" s="15" t="n">
        <v>5439793.34</v>
      </c>
      <c r="GY312" s="14" t="n">
        <v>10522178.74</v>
      </c>
      <c r="GZ312" s="14" t="n">
        <v>0</v>
      </c>
      <c r="HA312" s="9">
        <f>GY312+GZ312</f>
        <v/>
      </c>
      <c r="HB312" s="15" t="n">
        <v>5439793.34</v>
      </c>
      <c r="HC312" s="16" t="n">
        <v>0</v>
      </c>
      <c r="HD312" s="15" t="n">
        <v>0</v>
      </c>
      <c r="HE312" s="14" t="n">
        <v>4</v>
      </c>
      <c r="HF312" s="14" t="n">
        <v>2</v>
      </c>
      <c r="HG312" s="14" t="n">
        <v>8</v>
      </c>
      <c r="HH312" s="14" t="n">
        <v>3</v>
      </c>
      <c r="HI312" s="14" t="n">
        <v>7</v>
      </c>
      <c r="HJ312" s="15" t="n">
        <v>2.333333333333333</v>
      </c>
      <c r="HK312" s="16" t="n">
        <v>37.5</v>
      </c>
      <c r="HL312" s="14" t="n">
        <v>1</v>
      </c>
      <c r="HM312" s="14" t="n">
        <v>1</v>
      </c>
      <c r="HN312" s="17" t="n">
        <v>1</v>
      </c>
    </row>
    <row r="313">
      <c r="A313" s="6" t="inlineStr">
        <is>
          <t>Zomba</t>
        </is>
      </c>
      <c r="B313" s="6" t="inlineStr">
        <is>
          <t>Jali</t>
        </is>
      </c>
      <c r="C313" s="7" t="inlineStr">
        <is>
          <t>FY2025/26</t>
        </is>
      </c>
      <c r="D313" s="7" t="n">
        <v>2026</v>
      </c>
      <c r="E313" s="7" t="n">
        <v>2</v>
      </c>
      <c r="F313" s="7" t="inlineStr">
        <is>
          <t>February</t>
        </is>
      </c>
      <c r="G313" s="7" t="inlineStr">
        <is>
          <t>Q4</t>
        </is>
      </c>
      <c r="H313" s="8" t="n">
        <v>5850</v>
      </c>
      <c r="I313" s="8" t="n">
        <v>115</v>
      </c>
      <c r="J313" s="8" t="n">
        <v>0</v>
      </c>
      <c r="K313" s="8" t="n">
        <v>8</v>
      </c>
      <c r="L313" s="8" t="n">
        <v>0</v>
      </c>
      <c r="M313" s="9">
        <f>SUM(I313,J313,K313,L313)</f>
        <v/>
      </c>
      <c r="N313" s="8" t="n">
        <v>3194.199999999999</v>
      </c>
      <c r="O313" s="8" t="n">
        <v>309.8000000000001</v>
      </c>
      <c r="P313" s="8" t="n">
        <v>25.3</v>
      </c>
      <c r="Q313" s="8" t="n">
        <v>3.3</v>
      </c>
      <c r="R313" s="9">
        <f>SUM(N313,O313,P313,Q313)</f>
        <v/>
      </c>
      <c r="S313" s="9">
        <f>M313+R313</f>
        <v/>
      </c>
      <c r="T313" s="8" t="n">
        <v>2194.400000000001</v>
      </c>
      <c r="U313" s="10">
        <f>IF(H313=0,"",T313/H313)</f>
        <v/>
      </c>
      <c r="V313" s="8" t="n">
        <v>16</v>
      </c>
      <c r="W313" s="11">
        <f>IF(H313=0,"",V313/H313)</f>
        <v/>
      </c>
      <c r="X313" s="8" t="n">
        <v>71</v>
      </c>
      <c r="Y313" s="11">
        <f>IF(H313=0,"",X313/H313)</f>
        <v/>
      </c>
      <c r="Z313" s="8" t="n">
        <v>25</v>
      </c>
      <c r="AA313" s="11">
        <f>IF(H313=0,"",Z313/H313)</f>
        <v/>
      </c>
      <c r="AB313" s="8" t="n">
        <v>0</v>
      </c>
      <c r="AC313" s="11">
        <f>IF(H313=0,"",AB313/H313)</f>
        <v/>
      </c>
      <c r="AD313" s="8" t="n">
        <v>0</v>
      </c>
      <c r="AE313" s="11">
        <f>IF(H313=0,"",AD313/H313)</f>
        <v/>
      </c>
      <c r="AF313" s="8" t="n">
        <v>0</v>
      </c>
      <c r="AG313" s="11">
        <f>IF(H313=0,"",AF313/H313)</f>
        <v/>
      </c>
      <c r="AH313" s="8" t="n">
        <v>1336600</v>
      </c>
      <c r="AI313" s="9">
        <f>IF(H313=0,"",AH313/H313)</f>
        <v/>
      </c>
      <c r="AJ313" s="8" t="n">
        <v>334.88</v>
      </c>
      <c r="AK313" s="11">
        <f>IF(H313=0,"",AJ313/H313)</f>
        <v/>
      </c>
      <c r="AL313" s="8" t="n">
        <v>123132.16792</v>
      </c>
      <c r="AM313" s="9">
        <f>IF(H313=0,"",AL313/H313)</f>
        <v/>
      </c>
      <c r="AN313" s="8" t="n">
        <v>0</v>
      </c>
      <c r="AO313" s="8" t="n">
        <v>0</v>
      </c>
      <c r="AP313" s="8" t="n">
        <v>0</v>
      </c>
      <c r="AQ313" s="8" t="n">
        <v>0</v>
      </c>
      <c r="AR313" s="8" t="n">
        <v>0</v>
      </c>
      <c r="AS313" s="8" t="n">
        <v>0</v>
      </c>
      <c r="AT313" s="8" t="n">
        <v>0</v>
      </c>
      <c r="AU313" s="9">
        <f>AH313+AL313+AP313+AQ313+AR313+AS313+AT313</f>
        <v/>
      </c>
      <c r="AV313" s="9">
        <f>IF(H313=0,"",AU313/H313)</f>
        <v/>
      </c>
      <c r="AW313" s="9">
        <f>IF(S313=0,"",AU313/S313)</f>
        <v/>
      </c>
      <c r="AX313" s="8" t="n">
        <v>1</v>
      </c>
      <c r="AY313" s="9">
        <f>IF(H313=0,"",AX313/(H313/1000/12))</f>
        <v/>
      </c>
      <c r="AZ313" s="8" t="n">
        <v>6</v>
      </c>
      <c r="BA313" s="8" t="n">
        <v>8</v>
      </c>
      <c r="BB313" s="8" t="n">
        <v>6</v>
      </c>
      <c r="BC313" s="8" t="n">
        <v>3</v>
      </c>
      <c r="BD313" s="8" t="n">
        <v>0</v>
      </c>
      <c r="BE313" s="9">
        <f>BC313+BD313</f>
        <v/>
      </c>
      <c r="BF313" s="9">
        <f>BA313+BB313-BE313</f>
        <v/>
      </c>
      <c r="BG313" s="8" t="n">
        <v>0</v>
      </c>
      <c r="BH313" s="8" t="n">
        <v>0</v>
      </c>
      <c r="BI313" s="8" t="n">
        <v>0</v>
      </c>
      <c r="BJ313" s="8" t="n">
        <v>0</v>
      </c>
      <c r="BK313" s="9">
        <f>BI313+BJ313</f>
        <v/>
      </c>
      <c r="BL313" s="9">
        <f>BG313+BH313-BK313</f>
        <v/>
      </c>
      <c r="BM313" s="8" t="n">
        <v>0</v>
      </c>
      <c r="BN313" s="8" t="n">
        <v>0</v>
      </c>
      <c r="BO313" s="8" t="n">
        <v>0</v>
      </c>
      <c r="BP313" s="8" t="n">
        <v>0</v>
      </c>
      <c r="BQ313" s="9">
        <f>BO313+BP313</f>
        <v/>
      </c>
      <c r="BR313" s="9">
        <f>BM313+BN313-BQ313</f>
        <v/>
      </c>
      <c r="BS313" s="8" t="n">
        <v>0</v>
      </c>
      <c r="BT313" s="8" t="n">
        <v>0</v>
      </c>
      <c r="BU313" s="8" t="n">
        <v>0</v>
      </c>
      <c r="BV313" s="8" t="n">
        <v>0</v>
      </c>
      <c r="BW313" s="9">
        <f>BU313+BV313</f>
        <v/>
      </c>
      <c r="BX313" s="9">
        <f>BS313+BT313-BW313</f>
        <v/>
      </c>
      <c r="BY313" s="9">
        <f>BA313+BG313+BM313+BS313</f>
        <v/>
      </c>
      <c r="BZ313" s="9">
        <f>BB313+BH313+BN313+BT313</f>
        <v/>
      </c>
      <c r="CA313" s="9">
        <f>BE313+BK313+BQ313+BW313</f>
        <v/>
      </c>
      <c r="CB313" s="9">
        <f>BF313+BL313+BR313+BX313</f>
        <v/>
      </c>
      <c r="CC313" s="8" t="n">
        <v>0</v>
      </c>
      <c r="CD313" s="8" t="n">
        <v>0</v>
      </c>
      <c r="CE313" s="8" t="n">
        <v>0</v>
      </c>
      <c r="CF313" s="8" t="n">
        <v>0</v>
      </c>
      <c r="CG313" s="8" t="n">
        <v>0</v>
      </c>
      <c r="CH313" s="9">
        <f>CD313+CE313+CF313+CG313</f>
        <v/>
      </c>
      <c r="CI313" s="8" t="n">
        <v>20</v>
      </c>
      <c r="CJ313" s="8" t="n">
        <v>1</v>
      </c>
      <c r="CK313" s="8" t="n">
        <v>0</v>
      </c>
      <c r="CL313" s="8" t="n">
        <v>0</v>
      </c>
      <c r="CM313" s="9">
        <f>CI313+CJ313+CK313+CL313</f>
        <v/>
      </c>
      <c r="CN313" s="8" t="n">
        <v>522</v>
      </c>
      <c r="CO313" s="8" t="n">
        <v>10</v>
      </c>
      <c r="CP313" s="8" t="n">
        <v>9</v>
      </c>
      <c r="CQ313" s="8" t="n">
        <v>15</v>
      </c>
      <c r="CR313" s="9">
        <f>CN313+CO313+CP313+CQ313</f>
        <v/>
      </c>
      <c r="CS313" s="9">
        <f>CM313+CR313</f>
        <v/>
      </c>
      <c r="CT313" s="8" t="n">
        <v>577</v>
      </c>
      <c r="CU313" s="8" t="n">
        <v>7146</v>
      </c>
      <c r="CV313" s="8" t="n">
        <v>6172.9</v>
      </c>
      <c r="CW313" s="10">
        <f>IF(CU313=0,"",CV313/CU313)</f>
        <v/>
      </c>
      <c r="CX313" s="8" t="n">
        <v>0</v>
      </c>
      <c r="CY313" s="8" t="n">
        <v>0</v>
      </c>
      <c r="CZ313" s="8" t="n">
        <v>0</v>
      </c>
      <c r="DA313" s="8" t="n">
        <v>0</v>
      </c>
      <c r="DB313" s="9">
        <f>CX313+CY313-CZ313-DA313</f>
        <v/>
      </c>
      <c r="DC313" s="8" t="n">
        <v>0</v>
      </c>
      <c r="DD313" s="8" t="n">
        <v>0</v>
      </c>
      <c r="DE313" s="8" t="n">
        <v>0</v>
      </c>
      <c r="DF313" s="8" t="n">
        <v>0</v>
      </c>
      <c r="DG313" s="9">
        <f>DC313+DD313-DE313-DF313</f>
        <v/>
      </c>
      <c r="DH313" s="8" t="n">
        <v>0</v>
      </c>
      <c r="DI313" s="8" t="n">
        <v>0</v>
      </c>
      <c r="DJ313" s="8" t="n">
        <v>0</v>
      </c>
      <c r="DK313" s="8" t="n">
        <v>0</v>
      </c>
      <c r="DL313" s="9">
        <f>DH313+DI313-DJ313-DK313</f>
        <v/>
      </c>
      <c r="DM313" s="8" t="n">
        <v>0</v>
      </c>
      <c r="DN313" s="8" t="n">
        <v>0</v>
      </c>
      <c r="DO313" s="8" t="n">
        <v>0</v>
      </c>
      <c r="DP313" s="8" t="n">
        <v>0</v>
      </c>
      <c r="DQ313" s="9">
        <f>DM313+DN313-DO313-DP313</f>
        <v/>
      </c>
      <c r="DR313" s="9">
        <f>CX313+DC313+DH313+DM313</f>
        <v/>
      </c>
      <c r="DS313" s="9">
        <f>CY313+DD313+DI313+DN313</f>
        <v/>
      </c>
      <c r="DT313" s="9">
        <f>CZ313+DE313+DJ313+DO313</f>
        <v/>
      </c>
      <c r="DU313" s="9">
        <f>DA313+DF313+DK313+DP313</f>
        <v/>
      </c>
      <c r="DV313" s="9">
        <f>DB313+DG313+DL313+DQ313</f>
        <v/>
      </c>
      <c r="DW313" s="8" t="n">
        <v>6</v>
      </c>
      <c r="DX313" s="8" t="n">
        <v>12</v>
      </c>
      <c r="DY313" s="8" t="n">
        <v>7</v>
      </c>
      <c r="DZ313" s="8" t="n">
        <v>0</v>
      </c>
      <c r="EA313" s="8" t="n">
        <v>0</v>
      </c>
      <c r="EB313" s="8" t="n">
        <v>0</v>
      </c>
      <c r="EC313" s="8" t="n">
        <v>0</v>
      </c>
      <c r="ED313" s="8" t="n">
        <v>0</v>
      </c>
      <c r="EE313" s="8" t="n">
        <v>1</v>
      </c>
      <c r="EF313" s="8" t="n">
        <v>0</v>
      </c>
      <c r="EG313" s="8" t="n">
        <v>0</v>
      </c>
      <c r="EH313" s="8" t="n">
        <v>0</v>
      </c>
      <c r="EI313" s="8" t="n">
        <v>0</v>
      </c>
      <c r="EJ313" s="8" t="n">
        <v>0</v>
      </c>
      <c r="EK313" s="8" t="n">
        <v>0</v>
      </c>
      <c r="EL313" s="8" t="n">
        <v>0</v>
      </c>
      <c r="EM313" s="8" t="n">
        <v>0</v>
      </c>
      <c r="EN313" s="8" t="n">
        <v>0</v>
      </c>
      <c r="EO313" s="8" t="n">
        <v>0</v>
      </c>
      <c r="EP313" s="8" t="n">
        <v>0</v>
      </c>
      <c r="EQ313" s="8" t="n">
        <v>0</v>
      </c>
      <c r="ER313" s="8" t="n">
        <v>0</v>
      </c>
      <c r="ES313" s="8" t="n">
        <v>0</v>
      </c>
      <c r="ET313" s="8" t="n">
        <v>0</v>
      </c>
      <c r="EU313" s="8" t="n">
        <v>0</v>
      </c>
      <c r="EV313" s="8" t="n">
        <v>0</v>
      </c>
      <c r="EW313" s="8" t="n">
        <v>0</v>
      </c>
      <c r="EX313" s="8" t="n">
        <v>0</v>
      </c>
      <c r="EY313" s="8" t="n">
        <v>0</v>
      </c>
      <c r="EZ313" s="8" t="n">
        <v>0</v>
      </c>
      <c r="FA313" s="8" t="n">
        <v>0</v>
      </c>
      <c r="FB313" s="8" t="n">
        <v>0</v>
      </c>
      <c r="FC313" s="8" t="n">
        <v>0</v>
      </c>
      <c r="FD313" s="8" t="n">
        <v>0</v>
      </c>
      <c r="FE313" s="8" t="n">
        <v>0</v>
      </c>
      <c r="FF313" s="8" t="n">
        <v>0</v>
      </c>
      <c r="FG313" s="9">
        <f>SUM(DW313,DX313,DY313,DZ313,EA313,EB313,EC313,ED313,EE313,EF313,EG313,EH313,EI313,EJ313,EK313,EL313,EM313,EN313,EO313,EP313,EQ313,ER313,ES313,ET313,EU313,EV313,EW313,EX313,EY313,EZ313,FA313,FB313,FC313,FD313,FE313,FF313)</f>
        <v/>
      </c>
      <c r="FH313" s="8" t="n">
        <v>0</v>
      </c>
      <c r="FI313" s="8" t="n">
        <v>0</v>
      </c>
      <c r="FJ313" s="8" t="n">
        <v>0</v>
      </c>
      <c r="FK313" s="8" t="n">
        <v>0</v>
      </c>
      <c r="FL313" s="8" t="n">
        <v>0</v>
      </c>
      <c r="FM313" s="8" t="n">
        <v>0</v>
      </c>
      <c r="FN313" s="8" t="n">
        <v>0</v>
      </c>
      <c r="FO313" s="8" t="n">
        <v>0</v>
      </c>
      <c r="FP313" s="8" t="n">
        <v>0</v>
      </c>
      <c r="FQ313" s="9">
        <f>FL313+FM313+FN313+FO313+FP313</f>
        <v/>
      </c>
      <c r="FR313" s="8" t="n">
        <v>207151</v>
      </c>
      <c r="FS313" s="8" t="n">
        <v>0</v>
      </c>
      <c r="FT313" s="8" t="n">
        <v>0</v>
      </c>
      <c r="FU313" s="8" t="n">
        <v>0</v>
      </c>
      <c r="FV313" s="9">
        <f>FR313+FS313+FT313+FU313</f>
        <v/>
      </c>
      <c r="FW313" s="8" t="n">
        <v>4008948</v>
      </c>
      <c r="FX313" s="8" t="n">
        <v>68190</v>
      </c>
      <c r="FY313" s="8" t="n">
        <v>15000</v>
      </c>
      <c r="FZ313" s="8" t="n">
        <v>77000</v>
      </c>
      <c r="GA313" s="9">
        <f>FW313+FX313+FY313+FZ313</f>
        <v/>
      </c>
      <c r="GB313" s="9">
        <f>FV313+GA313</f>
        <v/>
      </c>
      <c r="GC313" s="8" t="n">
        <v>107690.03</v>
      </c>
      <c r="GD313" s="8" t="n">
        <v>0</v>
      </c>
      <c r="GE313" s="8" t="n">
        <v>19059.63</v>
      </c>
      <c r="GF313" s="8" t="n">
        <v>0</v>
      </c>
      <c r="GG313" s="9">
        <f>GC313+GD313+GE313+GF313</f>
        <v/>
      </c>
      <c r="GH313" s="8" t="n">
        <v>3977068</v>
      </c>
      <c r="GI313" s="8" t="n">
        <v>65850</v>
      </c>
      <c r="GJ313" s="8" t="n">
        <v>77000</v>
      </c>
      <c r="GK313" s="8" t="n">
        <v>15000</v>
      </c>
      <c r="GL313" s="9">
        <f>GH313+GI313+GJ313+GK313</f>
        <v/>
      </c>
      <c r="GM313" s="9">
        <f>GG313+GL313</f>
        <v/>
      </c>
      <c r="GN313" s="8" t="n">
        <v>10898.6</v>
      </c>
      <c r="GO313" s="8" t="n">
        <v>0</v>
      </c>
      <c r="GP313" s="8" t="n">
        <v>3393.64</v>
      </c>
      <c r="GQ313" s="8" t="n">
        <v>0</v>
      </c>
      <c r="GR313" s="9">
        <f>GN313+GO313+GP313+GQ313</f>
        <v/>
      </c>
      <c r="GS313" s="8" t="n">
        <v>17860</v>
      </c>
      <c r="GT313" s="8" t="n">
        <v>0</v>
      </c>
      <c r="GU313" s="8" t="n">
        <v>893</v>
      </c>
      <c r="GV313" s="8" t="n">
        <v>0</v>
      </c>
      <c r="GW313" s="9">
        <f>GS313+GT313+GU313+GV313</f>
        <v/>
      </c>
      <c r="GX313" s="9">
        <f>GM313+GR313+GW313</f>
        <v/>
      </c>
      <c r="GY313" s="8" t="n">
        <v>10297646.69000001</v>
      </c>
      <c r="GZ313" s="8" t="n">
        <v>0</v>
      </c>
      <c r="HA313" s="9">
        <f>GY313+GZ313</f>
        <v/>
      </c>
      <c r="HB313" s="9">
        <f>IF(GX313=0,"",AU313/GX313)</f>
        <v/>
      </c>
      <c r="HC313" s="10">
        <f>IF((GX313+GY313)=0,"",GB313/(GX313+GY313))</f>
        <v/>
      </c>
      <c r="HD313" s="9">
        <f>IF(GX313=0,"",GB313/GX313)</f>
        <v/>
      </c>
      <c r="HE313" s="8" t="n">
        <v>10</v>
      </c>
      <c r="HF313" s="8" t="n">
        <v>3</v>
      </c>
      <c r="HG313" s="8" t="n">
        <v>11</v>
      </c>
      <c r="HH313" s="8" t="n">
        <v>6</v>
      </c>
      <c r="HI313" s="8" t="n">
        <v>7</v>
      </c>
      <c r="HJ313" s="9">
        <f>HF313+HI313</f>
        <v/>
      </c>
      <c r="HK313" s="10">
        <f>IF(HE313=0,"",HH313/HE313)</f>
        <v/>
      </c>
      <c r="HL313" s="8" t="n">
        <v>0</v>
      </c>
      <c r="HM313" s="8" t="n">
        <v>0</v>
      </c>
      <c r="HN313" s="11">
        <f>IF(HL313=0,"",HM313/HL313)</f>
        <v/>
      </c>
    </row>
    <row r="314">
      <c r="A314" s="12" t="inlineStr">
        <is>
          <t>Zomba</t>
        </is>
      </c>
      <c r="B314" s="12" t="inlineStr">
        <is>
          <t>Jali</t>
        </is>
      </c>
      <c r="C314" s="13" t="inlineStr">
        <is>
          <t>FY2025/26</t>
        </is>
      </c>
      <c r="D314" s="13" t="n">
        <v>2026</v>
      </c>
      <c r="E314" s="13" t="n">
        <v>3</v>
      </c>
      <c r="F314" s="13" t="inlineStr">
        <is>
          <t>March</t>
        </is>
      </c>
      <c r="G314" s="13" t="inlineStr">
        <is>
          <t>Q4</t>
        </is>
      </c>
      <c r="H314" s="14" t="n">
        <v>2620</v>
      </c>
      <c r="I314" s="14" t="n">
        <v>151</v>
      </c>
      <c r="J314" s="14" t="n">
        <v>0</v>
      </c>
      <c r="K314" s="14" t="n">
        <v>9</v>
      </c>
      <c r="L314" s="14" t="n">
        <v>0</v>
      </c>
      <c r="M314" s="15">
        <f>SUM(I314,J314,K314,L314)</f>
        <v/>
      </c>
      <c r="N314" s="14" t="n">
        <v>3488.499999999987</v>
      </c>
      <c r="O314" s="14" t="n">
        <v>449.8000000000002</v>
      </c>
      <c r="P314" s="14" t="n">
        <v>35.5</v>
      </c>
      <c r="Q314" s="14" t="n">
        <v>4.4</v>
      </c>
      <c r="R314" s="15">
        <f>SUM(N314,O314,P314,Q314)</f>
        <v/>
      </c>
      <c r="S314" s="15">
        <f>M314+R314</f>
        <v/>
      </c>
      <c r="T314" s="14" t="n">
        <v>-1518.199999999988</v>
      </c>
      <c r="U314" s="16">
        <f>IF(H314=0,"",T314/H314)</f>
        <v/>
      </c>
      <c r="V314" s="14" t="n">
        <v>10</v>
      </c>
      <c r="W314" s="17">
        <f>IF(H314=0,"",V314/H314)</f>
        <v/>
      </c>
      <c r="X314" s="14" t="n">
        <v>51</v>
      </c>
      <c r="Y314" s="17">
        <f>IF(H314=0,"",X314/H314)</f>
        <v/>
      </c>
      <c r="Z314" s="14" t="n">
        <v>22</v>
      </c>
      <c r="AA314" s="17">
        <f>IF(H314=0,"",Z314/H314)</f>
        <v/>
      </c>
      <c r="AB314" s="14" t="n">
        <v>0</v>
      </c>
      <c r="AC314" s="17">
        <f>IF(H314=0,"",AB314/H314)</f>
        <v/>
      </c>
      <c r="AD314" s="14" t="n">
        <v>0</v>
      </c>
      <c r="AE314" s="17">
        <f>IF(H314=0,"",AD314/H314)</f>
        <v/>
      </c>
      <c r="AF314" s="14" t="n">
        <v>0</v>
      </c>
      <c r="AG314" s="17">
        <f>IF(H314=0,"",AF314/H314)</f>
        <v/>
      </c>
      <c r="AH314" s="14" t="n">
        <v>970252</v>
      </c>
      <c r="AI314" s="15">
        <f>IF(H314=0,"",AH314/H314)</f>
        <v/>
      </c>
      <c r="AJ314" s="14" t="n">
        <v>187.5</v>
      </c>
      <c r="AK314" s="17">
        <f>IF(H314=0,"",AJ314/H314)</f>
        <v/>
      </c>
      <c r="AL314" s="14" t="n">
        <v>82851.8875</v>
      </c>
      <c r="AM314" s="15">
        <f>IF(H314=0,"",AL314/H314)</f>
        <v/>
      </c>
      <c r="AN314" s="14" t="n">
        <v>0</v>
      </c>
      <c r="AO314" s="14" t="n">
        <v>0</v>
      </c>
      <c r="AP314" s="14" t="n">
        <v>0</v>
      </c>
      <c r="AQ314" s="14" t="n">
        <v>0</v>
      </c>
      <c r="AR314" s="14" t="n">
        <v>0</v>
      </c>
      <c r="AS314" s="14" t="n">
        <v>0</v>
      </c>
      <c r="AT314" s="14" t="n">
        <v>0</v>
      </c>
      <c r="AU314" s="15">
        <f>AH314+AL314+AP314+AQ314+AR314+AS314+AT314</f>
        <v/>
      </c>
      <c r="AV314" s="15">
        <f>IF(H314=0,"",AU314/H314)</f>
        <v/>
      </c>
      <c r="AW314" s="15">
        <f>IF(S314=0,"",AU314/S314)</f>
        <v/>
      </c>
      <c r="AX314" s="14" t="n">
        <v>1</v>
      </c>
      <c r="AY314" s="15">
        <f>IF(H314=0,"",AX314/(H314/1000/12))</f>
        <v/>
      </c>
      <c r="AZ314" s="14" t="n">
        <v>6</v>
      </c>
      <c r="BA314" s="14" t="n">
        <v>11</v>
      </c>
      <c r="BB314" s="14" t="n">
        <v>4</v>
      </c>
      <c r="BC314" s="14" t="n">
        <v>0</v>
      </c>
      <c r="BD314" s="14" t="n">
        <v>0</v>
      </c>
      <c r="BE314" s="15">
        <f>BC314+BD314</f>
        <v/>
      </c>
      <c r="BF314" s="15">
        <f>BA314+BB314-BE314</f>
        <v/>
      </c>
      <c r="BG314" s="14" t="n">
        <v>0</v>
      </c>
      <c r="BH314" s="14" t="n">
        <v>0</v>
      </c>
      <c r="BI314" s="14" t="n">
        <v>0</v>
      </c>
      <c r="BJ314" s="14" t="n">
        <v>0</v>
      </c>
      <c r="BK314" s="15">
        <f>BI314+BJ314</f>
        <v/>
      </c>
      <c r="BL314" s="15">
        <f>BG314+BH314-BK314</f>
        <v/>
      </c>
      <c r="BM314" s="14" t="n">
        <v>0</v>
      </c>
      <c r="BN314" s="14" t="n">
        <v>0</v>
      </c>
      <c r="BO314" s="14" t="n">
        <v>0</v>
      </c>
      <c r="BP314" s="14" t="n">
        <v>0</v>
      </c>
      <c r="BQ314" s="15">
        <f>BO314+BP314</f>
        <v/>
      </c>
      <c r="BR314" s="15">
        <f>BM314+BN314-BQ314</f>
        <v/>
      </c>
      <c r="BS314" s="14" t="n">
        <v>0</v>
      </c>
      <c r="BT314" s="14" t="n">
        <v>0</v>
      </c>
      <c r="BU314" s="14" t="n">
        <v>0</v>
      </c>
      <c r="BV314" s="14" t="n">
        <v>0</v>
      </c>
      <c r="BW314" s="15">
        <f>BU314+BV314</f>
        <v/>
      </c>
      <c r="BX314" s="15">
        <f>BS314+BT314-BW314</f>
        <v/>
      </c>
      <c r="BY314" s="15">
        <f>BA314+BG314+BM314+BS314</f>
        <v/>
      </c>
      <c r="BZ314" s="15">
        <f>BB314+BH314+BN314+BT314</f>
        <v/>
      </c>
      <c r="CA314" s="15">
        <f>BE314+BK314+BQ314+BW314</f>
        <v/>
      </c>
      <c r="CB314" s="15">
        <f>BF314+BL314+BR314+BX314</f>
        <v/>
      </c>
      <c r="CC314" s="14" t="n">
        <v>0</v>
      </c>
      <c r="CD314" s="14" t="n">
        <v>0</v>
      </c>
      <c r="CE314" s="14" t="n">
        <v>0</v>
      </c>
      <c r="CF314" s="14" t="n">
        <v>0</v>
      </c>
      <c r="CG314" s="14" t="n">
        <v>0</v>
      </c>
      <c r="CH314" s="15">
        <f>CD314+CE314+CF314+CG314</f>
        <v/>
      </c>
      <c r="CI314" s="14" t="n">
        <v>20</v>
      </c>
      <c r="CJ314" s="14" t="n">
        <v>1</v>
      </c>
      <c r="CK314" s="14" t="n">
        <v>0</v>
      </c>
      <c r="CL314" s="14" t="n">
        <v>0</v>
      </c>
      <c r="CM314" s="15">
        <f>CI314+CJ314+CK314+CL314</f>
        <v/>
      </c>
      <c r="CN314" s="14" t="n">
        <v>522</v>
      </c>
      <c r="CO314" s="14" t="n">
        <v>10</v>
      </c>
      <c r="CP314" s="14" t="n">
        <v>9</v>
      </c>
      <c r="CQ314" s="14" t="n">
        <v>15</v>
      </c>
      <c r="CR314" s="15">
        <f>CN314+CO314+CP314+CQ314</f>
        <v/>
      </c>
      <c r="CS314" s="15">
        <f>CM314+CR314</f>
        <v/>
      </c>
      <c r="CT314" s="14" t="n">
        <v>577</v>
      </c>
      <c r="CU314" s="14" t="n">
        <v>7157</v>
      </c>
      <c r="CV314" s="14" t="n">
        <v>6173</v>
      </c>
      <c r="CW314" s="16">
        <f>IF(CU314=0,"",CV314/CU314)</f>
        <v/>
      </c>
      <c r="CX314" s="14" t="n"/>
      <c r="CY314" s="14" t="n"/>
      <c r="CZ314" s="14" t="n"/>
      <c r="DA314" s="14" t="n"/>
      <c r="DB314" s="15">
        <f>CX314+CY314-CZ314-DA314</f>
        <v/>
      </c>
      <c r="DC314" s="14" t="n">
        <v>0</v>
      </c>
      <c r="DD314" s="14" t="n">
        <v>0</v>
      </c>
      <c r="DE314" s="14" t="n">
        <v>0</v>
      </c>
      <c r="DF314" s="14" t="n">
        <v>0</v>
      </c>
      <c r="DG314" s="15">
        <f>DC314+DD314-DE314-DF314</f>
        <v/>
      </c>
      <c r="DH314" s="14" t="n">
        <v>0</v>
      </c>
      <c r="DI314" s="14" t="n">
        <v>0</v>
      </c>
      <c r="DJ314" s="14" t="n">
        <v>0</v>
      </c>
      <c r="DK314" s="14" t="n">
        <v>0</v>
      </c>
      <c r="DL314" s="15">
        <f>DH314+DI314-DJ314-DK314</f>
        <v/>
      </c>
      <c r="DM314" s="14" t="n">
        <v>0</v>
      </c>
      <c r="DN314" s="14" t="n">
        <v>0</v>
      </c>
      <c r="DO314" s="14" t="n">
        <v>0</v>
      </c>
      <c r="DP314" s="14" t="n">
        <v>0</v>
      </c>
      <c r="DQ314" s="15">
        <f>DM314+DN314-DO314-DP314</f>
        <v/>
      </c>
      <c r="DR314" s="15">
        <f>CX314+DC314+DH314+DM314</f>
        <v/>
      </c>
      <c r="DS314" s="15">
        <f>CY314+DD314+DI314+DN314</f>
        <v/>
      </c>
      <c r="DT314" s="15">
        <f>CZ314+DE314+DJ314+DO314</f>
        <v/>
      </c>
      <c r="DU314" s="15">
        <f>DA314+DF314+DK314+DP314</f>
        <v/>
      </c>
      <c r="DV314" s="15">
        <f>DB314+DG314+DL314+DQ314</f>
        <v/>
      </c>
      <c r="DW314" s="14" t="n">
        <v>4</v>
      </c>
      <c r="DX314" s="14" t="n">
        <v>13</v>
      </c>
      <c r="DY314" s="14" t="n">
        <v>2</v>
      </c>
      <c r="DZ314" s="14" t="n">
        <v>0</v>
      </c>
      <c r="EA314" s="14" t="n">
        <v>0</v>
      </c>
      <c r="EB314" s="14" t="n">
        <v>0</v>
      </c>
      <c r="EC314" s="14" t="n">
        <v>0</v>
      </c>
      <c r="ED314" s="14" t="n">
        <v>0</v>
      </c>
      <c r="EE314" s="14" t="n">
        <v>1</v>
      </c>
      <c r="EF314" s="14" t="n">
        <v>0</v>
      </c>
      <c r="EG314" s="14" t="n">
        <v>0</v>
      </c>
      <c r="EH314" s="14" t="n">
        <v>0</v>
      </c>
      <c r="EI314" s="14" t="n">
        <v>0</v>
      </c>
      <c r="EJ314" s="14" t="n">
        <v>0</v>
      </c>
      <c r="EK314" s="14" t="n">
        <v>0</v>
      </c>
      <c r="EL314" s="14" t="n">
        <v>0</v>
      </c>
      <c r="EM314" s="14" t="n">
        <v>0</v>
      </c>
      <c r="EN314" s="14" t="n">
        <v>0</v>
      </c>
      <c r="EO314" s="14" t="n">
        <v>0</v>
      </c>
      <c r="EP314" s="14" t="n">
        <v>0</v>
      </c>
      <c r="EQ314" s="14" t="n">
        <v>0</v>
      </c>
      <c r="ER314" s="14" t="n">
        <v>0</v>
      </c>
      <c r="ES314" s="14" t="n">
        <v>0</v>
      </c>
      <c r="ET314" s="14" t="n">
        <v>0</v>
      </c>
      <c r="EU314" s="14" t="n">
        <v>0</v>
      </c>
      <c r="EV314" s="14" t="n">
        <v>0</v>
      </c>
      <c r="EW314" s="14" t="n">
        <v>0</v>
      </c>
      <c r="EX314" s="14" t="n">
        <v>0</v>
      </c>
      <c r="EY314" s="14" t="n">
        <v>0</v>
      </c>
      <c r="EZ314" s="14" t="n">
        <v>0</v>
      </c>
      <c r="FA314" s="14" t="n">
        <v>0</v>
      </c>
      <c r="FB314" s="14" t="n">
        <v>0</v>
      </c>
      <c r="FC314" s="14" t="n">
        <v>0</v>
      </c>
      <c r="FD314" s="14" t="n">
        <v>0</v>
      </c>
      <c r="FE314" s="14" t="n">
        <v>0</v>
      </c>
      <c r="FF314" s="14" t="n">
        <v>0</v>
      </c>
      <c r="FG314" s="15">
        <f>SUM(DW314,DX314,DY314,DZ314,EA314,EB314,EC314,ED314,EE314,EF314,EG314,EH314,EI314,EJ314,EK314,EL314,EM314,EN314,EO314,EP314,EQ314,ER314,ES314,ET314,EU314,EV314,EW314,EX314,EY314,EZ314,FA314,FB314,FC314,FD314,FE314,FF314)</f>
        <v/>
      </c>
      <c r="FH314" s="14" t="n">
        <v>0</v>
      </c>
      <c r="FI314" s="14" t="n">
        <v>0</v>
      </c>
      <c r="FJ314" s="14" t="n">
        <v>23</v>
      </c>
      <c r="FK314" s="14" t="n">
        <v>0</v>
      </c>
      <c r="FL314" s="14" t="n">
        <v>0</v>
      </c>
      <c r="FM314" s="14" t="n">
        <v>0</v>
      </c>
      <c r="FN314" s="14" t="n">
        <v>0</v>
      </c>
      <c r="FO314" s="14" t="n">
        <v>0</v>
      </c>
      <c r="FP314" s="14" t="n">
        <v>0</v>
      </c>
      <c r="FQ314" s="15">
        <f>FL314+FM314+FN314+FO314+FP314</f>
        <v/>
      </c>
      <c r="FR314" s="14" t="n">
        <v>138644</v>
      </c>
      <c r="FS314" s="14" t="n">
        <v>0</v>
      </c>
      <c r="FT314" s="14" t="n">
        <v>0</v>
      </c>
      <c r="FU314" s="14" t="n">
        <v>0</v>
      </c>
      <c r="FV314" s="15">
        <f>FR314+FS314+FT314+FU314</f>
        <v/>
      </c>
      <c r="FW314" s="14" t="n">
        <v>4371809</v>
      </c>
      <c r="FX314" s="14" t="n">
        <v>100300</v>
      </c>
      <c r="FY314" s="14" t="n">
        <v>20000</v>
      </c>
      <c r="FZ314" s="14" t="n">
        <v>107500</v>
      </c>
      <c r="GA314" s="15">
        <f>FW314+FX314+FY314+FZ314</f>
        <v/>
      </c>
      <c r="GB314" s="15">
        <f>FV314+GA314</f>
        <v/>
      </c>
      <c r="GC314" s="14" t="n">
        <v>138285.58</v>
      </c>
      <c r="GD314" s="14" t="n">
        <v>0</v>
      </c>
      <c r="GE314" s="14" t="n">
        <v>21721.79</v>
      </c>
      <c r="GF314" s="14" t="n">
        <v>0</v>
      </c>
      <c r="GG314" s="15">
        <f>GC314+GD314+GE314+GF314</f>
        <v/>
      </c>
      <c r="GH314" s="14" t="n">
        <v>4338701.34</v>
      </c>
      <c r="GI314" s="14" t="n">
        <v>95620</v>
      </c>
      <c r="GJ314" s="14" t="n">
        <v>107500</v>
      </c>
      <c r="GK314" s="14" t="n">
        <v>20000</v>
      </c>
      <c r="GL314" s="15">
        <f>GH314+GI314+GJ314+GK314</f>
        <v/>
      </c>
      <c r="GM314" s="15">
        <f>GG314+GL314</f>
        <v/>
      </c>
      <c r="GN314" s="14" t="n">
        <v>10898.6</v>
      </c>
      <c r="GO314" s="14" t="n">
        <v>0</v>
      </c>
      <c r="GP314" s="14" t="n">
        <v>3393.64</v>
      </c>
      <c r="GQ314" s="14" t="n">
        <v>0</v>
      </c>
      <c r="GR314" s="15">
        <f>GN314+GO314+GP314+GQ314</f>
        <v/>
      </c>
      <c r="GS314" s="14" t="n">
        <v>17860</v>
      </c>
      <c r="GT314" s="14" t="n">
        <v>0</v>
      </c>
      <c r="GU314" s="14" t="n">
        <v>893</v>
      </c>
      <c r="GV314" s="14" t="n">
        <v>0</v>
      </c>
      <c r="GW314" s="15">
        <f>GS314+GT314+GU314+GV314</f>
        <v/>
      </c>
      <c r="GX314" s="15">
        <f>GM314+GR314+GW314</f>
        <v/>
      </c>
      <c r="GY314" s="14" t="n">
        <v>10477214.39</v>
      </c>
      <c r="GZ314" s="14" t="n">
        <v>0</v>
      </c>
      <c r="HA314" s="9">
        <f>GY314+GZ314</f>
        <v/>
      </c>
      <c r="HB314" s="15">
        <f>IF(GX314=0,"",AU314/GX314)</f>
        <v/>
      </c>
      <c r="HC314" s="16">
        <f>IF((GX314+GY314)=0,"",GB314/(GX314+GY314))</f>
        <v/>
      </c>
      <c r="HD314" s="15">
        <f>IF(GX314=0,"",GB314/GX314)</f>
        <v/>
      </c>
      <c r="HE314" s="14" t="n">
        <v>7</v>
      </c>
      <c r="HF314" s="14" t="n">
        <v>2</v>
      </c>
      <c r="HG314" s="14" t="n">
        <v>15</v>
      </c>
      <c r="HH314" s="14" t="n">
        <v>4</v>
      </c>
      <c r="HI314" s="14" t="n">
        <v>0</v>
      </c>
      <c r="HJ314" s="15">
        <f>HF314+HI314</f>
        <v/>
      </c>
      <c r="HK314" s="16">
        <f>IF(HE314=0,"",HH314/HE314)</f>
        <v/>
      </c>
      <c r="HL314" s="14" t="n">
        <v>0</v>
      </c>
      <c r="HM314" s="14" t="n">
        <v>0</v>
      </c>
      <c r="HN314" s="17">
        <f>IF(HL314=0,"",HM314/HL314)</f>
        <v/>
      </c>
    </row>
    <row r="315">
      <c r="A315" s="6" t="inlineStr">
        <is>
          <t>Zomba</t>
        </is>
      </c>
      <c r="B315" s="6" t="inlineStr">
        <is>
          <t>Kuchawe</t>
        </is>
      </c>
      <c r="C315" s="7" t="inlineStr">
        <is>
          <t>FY2025/26</t>
        </is>
      </c>
      <c r="D315" s="7" t="n">
        <v>2025</v>
      </c>
      <c r="E315" s="7" t="n">
        <v>4</v>
      </c>
      <c r="F315" s="7" t="inlineStr">
        <is>
          <t>April</t>
        </is>
      </c>
      <c r="G315" s="7" t="inlineStr">
        <is>
          <t>Q1</t>
        </is>
      </c>
      <c r="H315" s="8" t="n">
        <v>4338</v>
      </c>
      <c r="I315" s="8" t="n">
        <v>406</v>
      </c>
      <c r="J315" s="8" t="n">
        <v>0</v>
      </c>
      <c r="K315" s="8" t="n">
        <v>111</v>
      </c>
      <c r="L315" s="8" t="n">
        <v>10</v>
      </c>
      <c r="M315" s="9">
        <f>SUM(I315,J315,K315,L315)</f>
        <v/>
      </c>
      <c r="N315" s="8" t="n">
        <v>646.2</v>
      </c>
      <c r="O315" s="8" t="n">
        <v>165.7</v>
      </c>
      <c r="P315" s="8" t="n">
        <v>54.5</v>
      </c>
      <c r="Q315" s="8" t="n">
        <v>1284.9</v>
      </c>
      <c r="R315" s="9">
        <f>SUM(N315,O315,P315,Q315)</f>
        <v/>
      </c>
      <c r="S315" s="9">
        <f>M315+R315</f>
        <v/>
      </c>
      <c r="T315" s="8" t="n">
        <v>1659.7</v>
      </c>
      <c r="U315" s="10">
        <f>IF(H315=0,"",T315/H315)</f>
        <v/>
      </c>
      <c r="V315" s="8" t="n">
        <v>17</v>
      </c>
      <c r="W315" s="11">
        <f>IF(H315=0,"",V315/H315)</f>
        <v/>
      </c>
      <c r="X315" s="8" t="n">
        <v>0</v>
      </c>
      <c r="Y315" s="11">
        <f>IF(H315=0,"",X315/H315)</f>
        <v/>
      </c>
      <c r="Z315" s="8" t="n">
        <v>0</v>
      </c>
      <c r="AA315" s="11">
        <f>IF(H315=0,"",Z315/H315)</f>
        <v/>
      </c>
      <c r="AB315" s="8" t="n">
        <v>0</v>
      </c>
      <c r="AC315" s="11">
        <f>IF(H315=0,"",AB315/H315)</f>
        <v/>
      </c>
      <c r="AD315" s="8" t="n">
        <v>0</v>
      </c>
      <c r="AE315" s="11">
        <f>IF(H315=0,"",AD315/H315)</f>
        <v/>
      </c>
      <c r="AF315" s="8" t="n">
        <v>0</v>
      </c>
      <c r="AG315" s="11">
        <f>IF(H315=0,"",AF315/H315)</f>
        <v/>
      </c>
      <c r="AH315" s="8" t="n">
        <v>442000</v>
      </c>
      <c r="AI315" s="9">
        <f>IF(H315=0,"",AH315/H315)</f>
        <v/>
      </c>
      <c r="AJ315" s="8" t="n">
        <v>1611.09</v>
      </c>
      <c r="AK315" s="11">
        <f>IF(H315=0,"",AJ315/H315)</f>
        <v/>
      </c>
      <c r="AL315" s="8" t="n">
        <v>471931.84681</v>
      </c>
      <c r="AM315" s="9">
        <f>IF(H315=0,"",AL315/H315)</f>
        <v/>
      </c>
      <c r="AN315" s="8" t="n">
        <v>0</v>
      </c>
      <c r="AO315" s="8" t="n">
        <v>0</v>
      </c>
      <c r="AP315" s="8" t="n">
        <v>0</v>
      </c>
      <c r="AQ315" s="8" t="n">
        <v>0</v>
      </c>
      <c r="AR315" s="8" t="n">
        <v>2125697.5</v>
      </c>
      <c r="AS315" s="8" t="n">
        <v>374765.95</v>
      </c>
      <c r="AT315" s="8" t="n">
        <v>0</v>
      </c>
      <c r="AU315" s="9">
        <f>AH315+AL315+AP315+AQ315+AR315+AS315+AT315</f>
        <v/>
      </c>
      <c r="AV315" s="9">
        <f>IF(H315=0,"",AU315/H315)</f>
        <v/>
      </c>
      <c r="AW315" s="9">
        <f>IF(S315=0,"",AU315/S315)</f>
        <v/>
      </c>
      <c r="AX315" s="8" t="n">
        <v>3</v>
      </c>
      <c r="AY315" s="9">
        <f>IF(H315=0,"",AX315/(H315/1000/12))</f>
        <v/>
      </c>
      <c r="AZ315" s="8" t="n">
        <v>5</v>
      </c>
      <c r="BA315" s="8" t="n">
        <v>9</v>
      </c>
      <c r="BB315" s="8" t="n">
        <v>0</v>
      </c>
      <c r="BC315" s="8" t="n">
        <v>0</v>
      </c>
      <c r="BD315" s="8" t="n">
        <v>0</v>
      </c>
      <c r="BE315" s="9">
        <f>BC315+BD315</f>
        <v/>
      </c>
      <c r="BF315" s="9">
        <f>BA315+BB315-BE315</f>
        <v/>
      </c>
      <c r="BG315" s="8" t="n">
        <v>0</v>
      </c>
      <c r="BH315" s="8" t="n">
        <v>0</v>
      </c>
      <c r="BI315" s="8" t="n">
        <v>0</v>
      </c>
      <c r="BJ315" s="8" t="n">
        <v>0</v>
      </c>
      <c r="BK315" s="9">
        <f>BI315+BJ315</f>
        <v/>
      </c>
      <c r="BL315" s="9">
        <f>BG315+BH315-BK315</f>
        <v/>
      </c>
      <c r="BM315" s="8" t="n">
        <v>0</v>
      </c>
      <c r="BN315" s="8" t="n">
        <v>0</v>
      </c>
      <c r="BO315" s="8" t="n">
        <v>0</v>
      </c>
      <c r="BP315" s="8" t="n">
        <v>0</v>
      </c>
      <c r="BQ315" s="9">
        <f>BO315+BP315</f>
        <v/>
      </c>
      <c r="BR315" s="9">
        <f>BM315+BN315-BQ315</f>
        <v/>
      </c>
      <c r="BS315" s="8" t="n">
        <v>0</v>
      </c>
      <c r="BT315" s="8" t="n">
        <v>0</v>
      </c>
      <c r="BU315" s="8" t="n">
        <v>0</v>
      </c>
      <c r="BV315" s="8" t="n">
        <v>0</v>
      </c>
      <c r="BW315" s="9">
        <f>BU315+BV315</f>
        <v/>
      </c>
      <c r="BX315" s="9">
        <f>BS315+BT315-BW315</f>
        <v/>
      </c>
      <c r="BY315" s="9">
        <f>BA315+BG315+BM315+BS315</f>
        <v/>
      </c>
      <c r="BZ315" s="9">
        <f>BB315+BH315+BN315+BT315</f>
        <v/>
      </c>
      <c r="CA315" s="9">
        <f>BE315+BK315+BQ315+BW315</f>
        <v/>
      </c>
      <c r="CB315" s="9">
        <f>BF315+BL315+BR315+BX315</f>
        <v/>
      </c>
      <c r="CC315" s="8" t="n">
        <v>0</v>
      </c>
      <c r="CD315" s="8" t="n">
        <v>124</v>
      </c>
      <c r="CE315" s="8" t="n">
        <v>6</v>
      </c>
      <c r="CF315" s="8" t="n">
        <v>3</v>
      </c>
      <c r="CG315" s="8" t="n">
        <v>1</v>
      </c>
      <c r="CH315" s="9">
        <f>CD315+CE315+CF315+CG315</f>
        <v/>
      </c>
      <c r="CI315" s="8" t="n">
        <v>68</v>
      </c>
      <c r="CJ315" s="8" t="n">
        <v>5</v>
      </c>
      <c r="CK315" s="8" t="n">
        <v>1</v>
      </c>
      <c r="CL315" s="8" t="n">
        <v>0</v>
      </c>
      <c r="CM315" s="9">
        <f>CI315+CJ315+CK315+CL315</f>
        <v/>
      </c>
      <c r="CN315" s="8" t="n">
        <v>61</v>
      </c>
      <c r="CO315" s="8" t="n">
        <v>8</v>
      </c>
      <c r="CP315" s="8" t="n">
        <v>17</v>
      </c>
      <c r="CQ315" s="8" t="n">
        <v>22</v>
      </c>
      <c r="CR315" s="9">
        <f>CN315+CO315+CP315+CQ315</f>
        <v/>
      </c>
      <c r="CS315" s="9">
        <f>CM315+CR315</f>
        <v/>
      </c>
      <c r="CT315" s="8" t="n">
        <v>316</v>
      </c>
      <c r="CU315" s="8" t="n">
        <v>1930</v>
      </c>
      <c r="CV315" s="8" t="n">
        <v>1921</v>
      </c>
      <c r="CW315" s="10">
        <f>IF(CU315=0,"",CV315/CU315)</f>
        <v/>
      </c>
      <c r="CX315" s="8" t="n">
        <v>0</v>
      </c>
      <c r="CY315" s="8" t="n">
        <v>0</v>
      </c>
      <c r="CZ315" s="8" t="n">
        <v>0</v>
      </c>
      <c r="DA315" s="8" t="n">
        <v>0</v>
      </c>
      <c r="DB315" s="9">
        <f>CX315+CY315-CZ315-DA315</f>
        <v/>
      </c>
      <c r="DC315" s="8" t="n">
        <v>0</v>
      </c>
      <c r="DD315" s="8" t="n">
        <v>0</v>
      </c>
      <c r="DE315" s="8" t="n">
        <v>0</v>
      </c>
      <c r="DF315" s="8" t="n">
        <v>0</v>
      </c>
      <c r="DG315" s="9">
        <f>DC315+DD315-DE315-DF315</f>
        <v/>
      </c>
      <c r="DH315" s="8" t="n">
        <v>0</v>
      </c>
      <c r="DI315" s="8" t="n">
        <v>0</v>
      </c>
      <c r="DJ315" s="8" t="n">
        <v>0</v>
      </c>
      <c r="DK315" s="8" t="n">
        <v>0</v>
      </c>
      <c r="DL315" s="9">
        <f>DH315+DI315-DJ315-DK315</f>
        <v/>
      </c>
      <c r="DM315" s="8" t="n">
        <v>0</v>
      </c>
      <c r="DN315" s="8" t="n">
        <v>0</v>
      </c>
      <c r="DO315" s="8" t="n">
        <v>0</v>
      </c>
      <c r="DP315" s="8" t="n">
        <v>0</v>
      </c>
      <c r="DQ315" s="9">
        <f>DM315+DN315-DO315-DP315</f>
        <v/>
      </c>
      <c r="DR315" s="9">
        <f>CX315+DC315+DH315+DM315</f>
        <v/>
      </c>
      <c r="DS315" s="9">
        <f>CY315+DD315+DI315+DN315</f>
        <v/>
      </c>
      <c r="DT315" s="9">
        <f>CZ315+DE315+DJ315+DO315</f>
        <v/>
      </c>
      <c r="DU315" s="9">
        <f>DA315+DF315+DK315+DP315</f>
        <v/>
      </c>
      <c r="DV315" s="9">
        <f>DB315+DG315+DL315+DQ315</f>
        <v/>
      </c>
      <c r="DW315" s="8" t="n">
        <v>12</v>
      </c>
      <c r="DX315" s="8" t="n">
        <v>3</v>
      </c>
      <c r="DY315" s="8" t="n">
        <v>3</v>
      </c>
      <c r="DZ315" s="8" t="n">
        <v>0</v>
      </c>
      <c r="EA315" s="8" t="n">
        <v>5</v>
      </c>
      <c r="EB315" s="8" t="n">
        <v>1</v>
      </c>
      <c r="EC315" s="8" t="n">
        <v>0</v>
      </c>
      <c r="ED315" s="8" t="n">
        <v>0</v>
      </c>
      <c r="EE315" s="8" t="n">
        <v>0</v>
      </c>
      <c r="EF315" s="8" t="n">
        <v>0</v>
      </c>
      <c r="EG315" s="8" t="n">
        <v>0</v>
      </c>
      <c r="EH315" s="8" t="n">
        <v>0</v>
      </c>
      <c r="EI315" s="8" t="n">
        <v>0</v>
      </c>
      <c r="EJ315" s="8" t="n">
        <v>2</v>
      </c>
      <c r="EK315" s="8" t="n">
        <v>0</v>
      </c>
      <c r="EL315" s="8" t="n">
        <v>0</v>
      </c>
      <c r="EM315" s="8" t="n">
        <v>0</v>
      </c>
      <c r="EN315" s="8" t="n">
        <v>0</v>
      </c>
      <c r="EO315" s="8" t="n">
        <v>0</v>
      </c>
      <c r="EP315" s="8" t="n">
        <v>0</v>
      </c>
      <c r="EQ315" s="8" t="n">
        <v>0</v>
      </c>
      <c r="ER315" s="8" t="n">
        <v>0</v>
      </c>
      <c r="ES315" s="8" t="n">
        <v>0</v>
      </c>
      <c r="ET315" s="8" t="n">
        <v>0</v>
      </c>
      <c r="EU315" s="8" t="n">
        <v>0</v>
      </c>
      <c r="EV315" s="8" t="n">
        <v>0</v>
      </c>
      <c r="EW315" s="8" t="n">
        <v>0</v>
      </c>
      <c r="EX315" s="8" t="n">
        <v>0</v>
      </c>
      <c r="EY315" s="8" t="n">
        <v>0</v>
      </c>
      <c r="EZ315" s="8" t="n">
        <v>0</v>
      </c>
      <c r="FA315" s="8" t="n">
        <v>0</v>
      </c>
      <c r="FB315" s="8" t="n">
        <v>0</v>
      </c>
      <c r="FC315" s="8" t="n">
        <v>0</v>
      </c>
      <c r="FD315" s="8" t="n">
        <v>0</v>
      </c>
      <c r="FE315" s="8" t="n">
        <v>0</v>
      </c>
      <c r="FF315" s="8" t="n">
        <v>0</v>
      </c>
      <c r="FG315" s="9">
        <f>SUM(DW315,DX315,DY315,DZ315,EA315,EB315,EC315,ED315,EE315,EF315,EG315,EH315,EI315,EJ315,EK315,EL315,EM315,EN315,EO315,EP315,EQ315,ER315,ES315,ET315,EU315,EV315,EW315,EX315,EY315,EZ315,FA315,FB315,FC315,FD315,FE315,FF315)</f>
        <v/>
      </c>
      <c r="FH315" s="8" t="n">
        <v>0</v>
      </c>
      <c r="FI315" s="8" t="n">
        <v>0</v>
      </c>
      <c r="FJ315" s="8" t="n">
        <v>22</v>
      </c>
      <c r="FK315" s="8" t="n">
        <v>39</v>
      </c>
      <c r="FL315" s="8" t="n">
        <v>0</v>
      </c>
      <c r="FM315" s="8" t="n">
        <v>0</v>
      </c>
      <c r="FN315" s="8" t="n">
        <v>0</v>
      </c>
      <c r="FO315" s="8" t="n">
        <v>0</v>
      </c>
      <c r="FP315" s="8" t="n">
        <v>0</v>
      </c>
      <c r="FQ315" s="9">
        <f>FL315+FM315+FN315+FO315+FP315</f>
        <v/>
      </c>
      <c r="FR315" s="8" t="n">
        <v>30000</v>
      </c>
      <c r="FS315" s="8" t="n">
        <v>0</v>
      </c>
      <c r="FT315" s="8" t="n">
        <v>0</v>
      </c>
      <c r="FU315" s="8" t="n">
        <v>0</v>
      </c>
      <c r="FV315" s="9">
        <f>FR315+FS315+FT315+FU315</f>
        <v/>
      </c>
      <c r="FW315" s="8" t="n">
        <v>819148.08</v>
      </c>
      <c r="FX315" s="8" t="n">
        <v>35200</v>
      </c>
      <c r="FY315" s="8" t="n">
        <v>6075000</v>
      </c>
      <c r="FZ315" s="8" t="n">
        <v>165019.7</v>
      </c>
      <c r="GA315" s="9">
        <f>FW315+FX315+FY315+FZ315</f>
        <v/>
      </c>
      <c r="GB315" s="9">
        <f>FV315+GA315</f>
        <v/>
      </c>
      <c r="GC315" s="8" t="n">
        <v>355691.82</v>
      </c>
      <c r="GD315" s="8" t="n">
        <v>0</v>
      </c>
      <c r="GE315" s="8" t="n">
        <v>337205.63</v>
      </c>
      <c r="GF315" s="8" t="n">
        <v>28724.83</v>
      </c>
      <c r="GG315" s="9">
        <f>GC315+GD315+GE315+GF315</f>
        <v/>
      </c>
      <c r="GH315" s="8" t="n">
        <v>806308.08</v>
      </c>
      <c r="GI315" s="8" t="n">
        <v>35200</v>
      </c>
      <c r="GJ315" s="8" t="n">
        <v>165019.7</v>
      </c>
      <c r="GK315" s="8" t="n">
        <v>6075000</v>
      </c>
      <c r="GL315" s="9">
        <f>GH315+GI315+GJ315+GK315</f>
        <v/>
      </c>
      <c r="GM315" s="9">
        <f>GG315+GL315</f>
        <v/>
      </c>
      <c r="GN315" s="8" t="n">
        <v>36788.55</v>
      </c>
      <c r="GO315" s="8" t="n">
        <v>0</v>
      </c>
      <c r="GP315" s="8" t="n">
        <v>16968.2</v>
      </c>
      <c r="GQ315" s="8" t="n">
        <v>4637.34</v>
      </c>
      <c r="GR315" s="9">
        <f>GN315+GO315+GP315+GQ315</f>
        <v/>
      </c>
      <c r="GS315" s="8" t="n">
        <v>60724</v>
      </c>
      <c r="GT315" s="8" t="n">
        <v>0</v>
      </c>
      <c r="GU315" s="8" t="n">
        <v>4465</v>
      </c>
      <c r="GV315" s="8" t="n">
        <v>893</v>
      </c>
      <c r="GW315" s="9">
        <f>GS315+GT315+GU315+GV315</f>
        <v/>
      </c>
      <c r="GX315" s="9">
        <f>GM315+GR315+GW315</f>
        <v/>
      </c>
      <c r="GY315" s="8" t="n">
        <v>9900444.319999997</v>
      </c>
      <c r="GZ315" s="8" t="n">
        <v>-29150.51</v>
      </c>
      <c r="HA315" s="9">
        <f>GY315+GZ315</f>
        <v/>
      </c>
      <c r="HB315" s="9">
        <f>IF(GX315=0,"",AU315/GX315)</f>
        <v/>
      </c>
      <c r="HC315" s="10">
        <f>IF((GX315+GY315)=0,"",GB315/(GX315+GY315))</f>
        <v/>
      </c>
      <c r="HD315" s="9">
        <f>IF(GX315=0,"",GB315/GX315)</f>
        <v/>
      </c>
      <c r="HE315" s="8" t="n">
        <v>4</v>
      </c>
      <c r="HF315" s="8" t="n">
        <v>1</v>
      </c>
      <c r="HG315" s="8" t="n">
        <v>9</v>
      </c>
      <c r="HH315" s="8" t="n">
        <v>0</v>
      </c>
      <c r="HI315" s="8" t="n">
        <v>0</v>
      </c>
      <c r="HJ315" s="9">
        <f>HF315+HI315</f>
        <v/>
      </c>
      <c r="HK315" s="10">
        <f>IF(HE315=0,"",HH315/HE315)</f>
        <v/>
      </c>
      <c r="HL315" s="8" t="n">
        <v>5</v>
      </c>
      <c r="HM315" s="8" t="n">
        <v>2</v>
      </c>
      <c r="HN315" s="11">
        <f>IF(HL315=0,"",HM315/HL315)</f>
        <v/>
      </c>
    </row>
    <row r="316">
      <c r="A316" s="12" t="inlineStr">
        <is>
          <t>Zomba</t>
        </is>
      </c>
      <c r="B316" s="12" t="inlineStr">
        <is>
          <t>Kuchawe</t>
        </is>
      </c>
      <c r="C316" s="13" t="inlineStr">
        <is>
          <t>FY2025/26</t>
        </is>
      </c>
      <c r="D316" s="13" t="n">
        <v>2025</v>
      </c>
      <c r="E316" s="13" t="n">
        <v>5</v>
      </c>
      <c r="F316" s="13" t="inlineStr">
        <is>
          <t>May</t>
        </is>
      </c>
      <c r="G316" s="13" t="inlineStr">
        <is>
          <t>Q1</t>
        </is>
      </c>
      <c r="H316" s="14" t="n">
        <v>3465</v>
      </c>
      <c r="I316" s="14" t="n">
        <v>111</v>
      </c>
      <c r="J316" s="14" t="n">
        <v>0</v>
      </c>
      <c r="K316" s="14" t="n">
        <v>102</v>
      </c>
      <c r="L316" s="14" t="n">
        <v>10</v>
      </c>
      <c r="M316" s="15">
        <f>SUM(I316,J316,K316,L316)</f>
        <v/>
      </c>
      <c r="N316" s="14" t="n">
        <v>463.000000000001</v>
      </c>
      <c r="O316" s="14" t="n">
        <v>170.2</v>
      </c>
      <c r="P316" s="14" t="n">
        <v>105.7</v>
      </c>
      <c r="Q316" s="14" t="n">
        <v>1308.6</v>
      </c>
      <c r="R316" s="15">
        <f>SUM(N316,O316,P316,Q316)</f>
        <v/>
      </c>
      <c r="S316" s="15">
        <f>M316+R316</f>
        <v/>
      </c>
      <c r="T316" s="14" t="n">
        <v>1194.5</v>
      </c>
      <c r="U316" s="16">
        <f>IF(H316=0,"",T316/H316)</f>
        <v/>
      </c>
      <c r="V316" s="14" t="n">
        <v>15</v>
      </c>
      <c r="W316" s="17">
        <f>IF(H316=0,"",V316/H316)</f>
        <v/>
      </c>
      <c r="X316" s="14" t="n">
        <v>0</v>
      </c>
      <c r="Y316" s="17">
        <f>IF(H316=0,"",X316/H316)</f>
        <v/>
      </c>
      <c r="Z316" s="14" t="n">
        <v>0</v>
      </c>
      <c r="AA316" s="17">
        <f>IF(H316=0,"",Z316/H316)</f>
        <v/>
      </c>
      <c r="AB316" s="14" t="n">
        <v>0</v>
      </c>
      <c r="AC316" s="17">
        <f>IF(H316=0,"",AB316/H316)</f>
        <v/>
      </c>
      <c r="AD316" s="14" t="n">
        <v>0</v>
      </c>
      <c r="AE316" s="17">
        <f>IF(H316=0,"",AD316/H316)</f>
        <v/>
      </c>
      <c r="AF316" s="14" t="n">
        <v>0</v>
      </c>
      <c r="AG316" s="17">
        <f>IF(H316=0,"",AF316/H316)</f>
        <v/>
      </c>
      <c r="AH316" s="14" t="n">
        <v>390000</v>
      </c>
      <c r="AI316" s="15">
        <f>IF(H316=0,"",AH316/H316)</f>
        <v/>
      </c>
      <c r="AJ316" s="14" t="n">
        <v>1472.37</v>
      </c>
      <c r="AK316" s="17">
        <f>IF(H316=0,"",AJ316/H316)</f>
        <v/>
      </c>
      <c r="AL316" s="14" t="n">
        <v>434018.42233</v>
      </c>
      <c r="AM316" s="15">
        <f>IF(H316=0,"",AL316/H316)</f>
        <v/>
      </c>
      <c r="AN316" s="14" t="n">
        <v>0</v>
      </c>
      <c r="AO316" s="14" t="n">
        <v>0</v>
      </c>
      <c r="AP316" s="14" t="n">
        <v>0</v>
      </c>
      <c r="AQ316" s="14" t="n">
        <v>0</v>
      </c>
      <c r="AR316" s="14" t="n">
        <v>0</v>
      </c>
      <c r="AS316" s="14" t="n">
        <v>0</v>
      </c>
      <c r="AT316" s="14" t="n">
        <v>0</v>
      </c>
      <c r="AU316" s="15">
        <f>AH316+AL316+AP316+AQ316+AR316+AS316+AT316</f>
        <v/>
      </c>
      <c r="AV316" s="15">
        <f>IF(H316=0,"",AU316/H316)</f>
        <v/>
      </c>
      <c r="AW316" s="15">
        <f>IF(S316=0,"",AU316/S316)</f>
        <v/>
      </c>
      <c r="AX316" s="14" t="n">
        <v>3</v>
      </c>
      <c r="AY316" s="15">
        <f>IF(H316=0,"",AX316/(H316/1000/12))</f>
        <v/>
      </c>
      <c r="AZ316" s="14" t="n">
        <v>5</v>
      </c>
      <c r="BA316" s="14" t="n">
        <v>9</v>
      </c>
      <c r="BB316" s="14" t="n">
        <v>3</v>
      </c>
      <c r="BC316" s="14" t="n">
        <v>0</v>
      </c>
      <c r="BD316" s="14" t="n">
        <v>0</v>
      </c>
      <c r="BE316" s="15">
        <f>BC316+BD316</f>
        <v/>
      </c>
      <c r="BF316" s="15">
        <f>BA316+BB316-BE316</f>
        <v/>
      </c>
      <c r="BG316" s="14" t="n">
        <v>0</v>
      </c>
      <c r="BH316" s="14" t="n">
        <v>0</v>
      </c>
      <c r="BI316" s="14" t="n">
        <v>0</v>
      </c>
      <c r="BJ316" s="14" t="n">
        <v>0</v>
      </c>
      <c r="BK316" s="15">
        <f>BI316+BJ316</f>
        <v/>
      </c>
      <c r="BL316" s="15">
        <f>BG316+BH316-BK316</f>
        <v/>
      </c>
      <c r="BM316" s="14" t="n">
        <v>0</v>
      </c>
      <c r="BN316" s="14" t="n">
        <v>0</v>
      </c>
      <c r="BO316" s="14" t="n">
        <v>0</v>
      </c>
      <c r="BP316" s="14" t="n">
        <v>0</v>
      </c>
      <c r="BQ316" s="15">
        <f>BO316+BP316</f>
        <v/>
      </c>
      <c r="BR316" s="15">
        <f>BM316+BN316-BQ316</f>
        <v/>
      </c>
      <c r="BS316" s="14" t="n">
        <v>0</v>
      </c>
      <c r="BT316" s="14" t="n">
        <v>0</v>
      </c>
      <c r="BU316" s="14" t="n">
        <v>0</v>
      </c>
      <c r="BV316" s="14" t="n">
        <v>0</v>
      </c>
      <c r="BW316" s="15">
        <f>BU316+BV316</f>
        <v/>
      </c>
      <c r="BX316" s="15">
        <f>BS316+BT316-BW316</f>
        <v/>
      </c>
      <c r="BY316" s="15">
        <f>BA316+BG316+BM316+BS316</f>
        <v/>
      </c>
      <c r="BZ316" s="15">
        <f>BB316+BH316+BN316+BT316</f>
        <v/>
      </c>
      <c r="CA316" s="15">
        <f>BE316+BK316+BQ316+BW316</f>
        <v/>
      </c>
      <c r="CB316" s="15">
        <f>BF316+BL316+BR316+BX316</f>
        <v/>
      </c>
      <c r="CC316" s="14" t="n">
        <v>71</v>
      </c>
      <c r="CD316" s="14" t="n">
        <v>114</v>
      </c>
      <c r="CE316" s="14" t="n">
        <v>7</v>
      </c>
      <c r="CF316" s="14" t="n">
        <v>3</v>
      </c>
      <c r="CG316" s="14" t="n">
        <v>1</v>
      </c>
      <c r="CH316" s="15">
        <f>CD316+CE316+CF316+CG316</f>
        <v/>
      </c>
      <c r="CI316" s="14" t="n">
        <v>7</v>
      </c>
      <c r="CJ316" s="14" t="n">
        <v>4</v>
      </c>
      <c r="CK316" s="14" t="n">
        <v>1</v>
      </c>
      <c r="CL316" s="14" t="n">
        <v>0</v>
      </c>
      <c r="CM316" s="15">
        <f>CI316+CJ316+CK316+CL316</f>
        <v/>
      </c>
      <c r="CN316" s="14" t="n">
        <v>132</v>
      </c>
      <c r="CO316" s="14" t="n">
        <v>8</v>
      </c>
      <c r="CP316" s="14" t="n">
        <v>17</v>
      </c>
      <c r="CQ316" s="14" t="n">
        <v>22</v>
      </c>
      <c r="CR316" s="15">
        <f>CN316+CO316+CP316+CQ316</f>
        <v/>
      </c>
      <c r="CS316" s="15">
        <f>CM316+CR316</f>
        <v/>
      </c>
      <c r="CT316" s="14" t="n">
        <v>316</v>
      </c>
      <c r="CU316" s="14" t="n">
        <v>1934</v>
      </c>
      <c r="CV316" s="14" t="n">
        <v>1921</v>
      </c>
      <c r="CW316" s="16">
        <f>IF(CU316=0,"",CV316/CU316)</f>
        <v/>
      </c>
      <c r="CX316" s="14" t="n">
        <v>0</v>
      </c>
      <c r="CY316" s="14" t="n">
        <v>0</v>
      </c>
      <c r="CZ316" s="14" t="n">
        <v>0</v>
      </c>
      <c r="DA316" s="14" t="n">
        <v>0</v>
      </c>
      <c r="DB316" s="15">
        <f>CX316+CY316-CZ316-DA316</f>
        <v/>
      </c>
      <c r="DC316" s="14" t="n">
        <v>0</v>
      </c>
      <c r="DD316" s="14" t="n">
        <v>0</v>
      </c>
      <c r="DE316" s="14" t="n">
        <v>0</v>
      </c>
      <c r="DF316" s="14" t="n">
        <v>0</v>
      </c>
      <c r="DG316" s="15">
        <f>DC316+DD316-DE316-DF316</f>
        <v/>
      </c>
      <c r="DH316" s="14" t="n">
        <v>0</v>
      </c>
      <c r="DI316" s="14" t="n">
        <v>0</v>
      </c>
      <c r="DJ316" s="14" t="n">
        <v>0</v>
      </c>
      <c r="DK316" s="14" t="n">
        <v>0</v>
      </c>
      <c r="DL316" s="15">
        <f>DH316+DI316-DJ316-DK316</f>
        <v/>
      </c>
      <c r="DM316" s="14" t="n">
        <v>0</v>
      </c>
      <c r="DN316" s="14" t="n">
        <v>0</v>
      </c>
      <c r="DO316" s="14" t="n">
        <v>0</v>
      </c>
      <c r="DP316" s="14" t="n">
        <v>0</v>
      </c>
      <c r="DQ316" s="15">
        <f>DM316+DN316-DO316-DP316</f>
        <v/>
      </c>
      <c r="DR316" s="15">
        <f>CX316+DC316+DH316+DM316</f>
        <v/>
      </c>
      <c r="DS316" s="15">
        <f>CY316+DD316+DI316+DN316</f>
        <v/>
      </c>
      <c r="DT316" s="15">
        <f>CZ316+DE316+DJ316+DO316</f>
        <v/>
      </c>
      <c r="DU316" s="15">
        <f>DA316+DF316+DK316+DP316</f>
        <v/>
      </c>
      <c r="DV316" s="15">
        <f>DB316+DG316+DL316+DQ316</f>
        <v/>
      </c>
      <c r="DW316" s="14" t="n">
        <v>13</v>
      </c>
      <c r="DX316" s="14" t="n">
        <v>7</v>
      </c>
      <c r="DY316" s="14" t="n">
        <v>6</v>
      </c>
      <c r="DZ316" s="14" t="n">
        <v>2</v>
      </c>
      <c r="EA316" s="14" t="n">
        <v>5</v>
      </c>
      <c r="EB316" s="14" t="n">
        <v>1</v>
      </c>
      <c r="EC316" s="14" t="n">
        <v>0</v>
      </c>
      <c r="ED316" s="14" t="n">
        <v>0</v>
      </c>
      <c r="EE316" s="14" t="n">
        <v>0</v>
      </c>
      <c r="EF316" s="14" t="n">
        <v>0</v>
      </c>
      <c r="EG316" s="14" t="n">
        <v>0</v>
      </c>
      <c r="EH316" s="14" t="n">
        <v>0</v>
      </c>
      <c r="EI316" s="14" t="n">
        <v>0</v>
      </c>
      <c r="EJ316" s="14" t="n">
        <v>2</v>
      </c>
      <c r="EK316" s="14" t="n">
        <v>0</v>
      </c>
      <c r="EL316" s="14" t="n">
        <v>0</v>
      </c>
      <c r="EM316" s="14" t="n">
        <v>0</v>
      </c>
      <c r="EN316" s="14" t="n">
        <v>0</v>
      </c>
      <c r="EO316" s="14" t="n">
        <v>0</v>
      </c>
      <c r="EP316" s="14" t="n">
        <v>0</v>
      </c>
      <c r="EQ316" s="14" t="n">
        <v>0</v>
      </c>
      <c r="ER316" s="14" t="n">
        <v>0</v>
      </c>
      <c r="ES316" s="14" t="n">
        <v>0</v>
      </c>
      <c r="ET316" s="14" t="n">
        <v>0</v>
      </c>
      <c r="EU316" s="14" t="n">
        <v>0</v>
      </c>
      <c r="EV316" s="14" t="n">
        <v>0</v>
      </c>
      <c r="EW316" s="14" t="n">
        <v>0</v>
      </c>
      <c r="EX316" s="14" t="n">
        <v>0</v>
      </c>
      <c r="EY316" s="14" t="n">
        <v>0</v>
      </c>
      <c r="EZ316" s="14" t="n">
        <v>0</v>
      </c>
      <c r="FA316" s="14" t="n">
        <v>0</v>
      </c>
      <c r="FB316" s="14" t="n">
        <v>0</v>
      </c>
      <c r="FC316" s="14" t="n">
        <v>0</v>
      </c>
      <c r="FD316" s="14" t="n">
        <v>0</v>
      </c>
      <c r="FE316" s="14" t="n">
        <v>0</v>
      </c>
      <c r="FF316" s="14" t="n">
        <v>0</v>
      </c>
      <c r="FG316" s="15">
        <f>SUM(DW316,DX316,DY316,DZ316,EA316,EB316,EC316,ED316,EE316,EF316,EG316,EH316,EI316,EJ316,EK316,EL316,EM316,EN316,EO316,EP316,EQ316,ER316,ES316,ET316,EU316,EV316,EW316,EX316,EY316,EZ316,FA316,FB316,FC316,FD316,FE316,FF316)</f>
        <v/>
      </c>
      <c r="FH316" s="14" t="n">
        <v>0</v>
      </c>
      <c r="FI316" s="14" t="n">
        <v>0</v>
      </c>
      <c r="FJ316" s="14" t="n">
        <v>23</v>
      </c>
      <c r="FK316" s="14" t="n">
        <v>19</v>
      </c>
      <c r="FL316" s="14" t="n">
        <v>0</v>
      </c>
      <c r="FM316" s="14" t="n">
        <v>0</v>
      </c>
      <c r="FN316" s="14" t="n">
        <v>0</v>
      </c>
      <c r="FO316" s="14" t="n">
        <v>0</v>
      </c>
      <c r="FP316" s="14" t="n">
        <v>0</v>
      </c>
      <c r="FQ316" s="15">
        <f>FL316+FM316+FN316+FO316+FP316</f>
        <v/>
      </c>
      <c r="FR316" s="14" t="n">
        <v>152850</v>
      </c>
      <c r="FS316" s="14" t="n">
        <v>0</v>
      </c>
      <c r="FT316" s="14" t="n">
        <v>0</v>
      </c>
      <c r="FU316" s="14" t="n">
        <v>75000</v>
      </c>
      <c r="FV316" s="15">
        <f>FR316+FS316+FT316+FU316</f>
        <v/>
      </c>
      <c r="FW316" s="14" t="n">
        <v>609903.64</v>
      </c>
      <c r="FX316" s="14" t="n">
        <v>36150</v>
      </c>
      <c r="FY316" s="14" t="n">
        <v>6187700</v>
      </c>
      <c r="FZ316" s="14" t="n">
        <v>321000</v>
      </c>
      <c r="GA316" s="15">
        <f>FW316+FX316+FY316+FZ316</f>
        <v/>
      </c>
      <c r="GB316" s="15">
        <f>FV316+GA316</f>
        <v/>
      </c>
      <c r="GC316" s="14" t="n">
        <v>100125.84</v>
      </c>
      <c r="GD316" s="14" t="n">
        <v>0</v>
      </c>
      <c r="GE316" s="14" t="n">
        <v>311497.29</v>
      </c>
      <c r="GF316" s="14" t="n">
        <v>28724.83</v>
      </c>
      <c r="GG316" s="15">
        <f>GC316+GD316+GE316+GF316</f>
        <v/>
      </c>
      <c r="GH316" s="14" t="n">
        <v>577314.86</v>
      </c>
      <c r="GI316" s="14" t="n">
        <v>36150</v>
      </c>
      <c r="GJ316" s="14" t="n">
        <v>321000</v>
      </c>
      <c r="GK316" s="14" t="n">
        <v>6187700</v>
      </c>
      <c r="GL316" s="15">
        <f>GH316+GI316+GJ316+GK316</f>
        <v/>
      </c>
      <c r="GM316" s="15">
        <f>GG316+GL316</f>
        <v/>
      </c>
      <c r="GN316" s="14" t="n">
        <v>3814.51</v>
      </c>
      <c r="GO316" s="14" t="n">
        <v>0</v>
      </c>
      <c r="GP316" s="14" t="n">
        <v>13574.56</v>
      </c>
      <c r="GQ316" s="14" t="n">
        <v>4637.34</v>
      </c>
      <c r="GR316" s="15">
        <f>GN316+GO316+GP316+GQ316</f>
        <v/>
      </c>
      <c r="GS316" s="14" t="n">
        <v>6251</v>
      </c>
      <c r="GT316" s="14" t="n">
        <v>0</v>
      </c>
      <c r="GU316" s="14" t="n">
        <v>3572</v>
      </c>
      <c r="GV316" s="14" t="n">
        <v>893</v>
      </c>
      <c r="GW316" s="15">
        <f>GS316+GT316+GU316+GV316</f>
        <v/>
      </c>
      <c r="GX316" s="15">
        <f>GM316+GR316+GW316</f>
        <v/>
      </c>
      <c r="GY316" s="14" t="n">
        <v>10078554.53</v>
      </c>
      <c r="GZ316" s="14" t="n">
        <v>-29150.51</v>
      </c>
      <c r="HA316" s="9">
        <f>GY316+GZ316</f>
        <v/>
      </c>
      <c r="HB316" s="15">
        <f>IF(GX316=0,"",AU316/GX316)</f>
        <v/>
      </c>
      <c r="HC316" s="16">
        <f>IF((GX316+GY316)=0,"",GB316/(GX316+GY316))</f>
        <v/>
      </c>
      <c r="HD316" s="15">
        <f>IF(GX316=0,"",GB316/GX316)</f>
        <v/>
      </c>
      <c r="HE316" s="14" t="n">
        <v>3</v>
      </c>
      <c r="HF316" s="14" t="n">
        <v>1</v>
      </c>
      <c r="HG316" s="14" t="n">
        <v>12</v>
      </c>
      <c r="HH316" s="14" t="n">
        <v>3</v>
      </c>
      <c r="HI316" s="14" t="n">
        <v>0</v>
      </c>
      <c r="HJ316" s="15">
        <f>HF316+HI316</f>
        <v/>
      </c>
      <c r="HK316" s="16">
        <f>IF(HE316=0,"",HH316/HE316)</f>
        <v/>
      </c>
      <c r="HL316" s="14" t="n">
        <v>3</v>
      </c>
      <c r="HM316" s="14" t="n">
        <v>1</v>
      </c>
      <c r="HN316" s="17">
        <f>IF(HL316=0,"",HM316/HL316)</f>
        <v/>
      </c>
    </row>
    <row r="317">
      <c r="A317" s="6" t="inlineStr">
        <is>
          <t>Zomba</t>
        </is>
      </c>
      <c r="B317" s="6" t="inlineStr">
        <is>
          <t>Kuchawe</t>
        </is>
      </c>
      <c r="C317" s="7" t="inlineStr">
        <is>
          <t>FY2025/26</t>
        </is>
      </c>
      <c r="D317" s="7" t="n">
        <v>2025</v>
      </c>
      <c r="E317" s="7" t="n">
        <v>6</v>
      </c>
      <c r="F317" s="7" t="inlineStr">
        <is>
          <t>June</t>
        </is>
      </c>
      <c r="G317" s="7" t="inlineStr">
        <is>
          <t>Q1</t>
        </is>
      </c>
      <c r="H317" s="8" t="n">
        <v>3109</v>
      </c>
      <c r="I317" s="8" t="n">
        <v>90</v>
      </c>
      <c r="J317" s="8" t="n">
        <v>0</v>
      </c>
      <c r="K317" s="8" t="n">
        <v>240</v>
      </c>
      <c r="L317" s="8" t="n">
        <v>0</v>
      </c>
      <c r="M317" s="9">
        <f>SUM(I317,J317,K317,L317)</f>
        <v/>
      </c>
      <c r="N317" s="8" t="n">
        <v>655.700000000001</v>
      </c>
      <c r="O317" s="8" t="n">
        <v>150.3</v>
      </c>
      <c r="P317" s="8" t="n">
        <v>19.4</v>
      </c>
      <c r="Q317" s="8" t="n">
        <v>1353.6</v>
      </c>
      <c r="R317" s="9">
        <f>SUM(N317,O317,P317,Q317)</f>
        <v/>
      </c>
      <c r="S317" s="9">
        <f>M317+R317</f>
        <v/>
      </c>
      <c r="T317" s="8" t="n">
        <v>600</v>
      </c>
      <c r="U317" s="10">
        <f>IF(H317=0,"",T317/H317)</f>
        <v/>
      </c>
      <c r="V317" s="8" t="n">
        <v>14</v>
      </c>
      <c r="W317" s="11">
        <f>IF(H317=0,"",V317/H317)</f>
        <v/>
      </c>
      <c r="X317" s="8" t="n">
        <v>0</v>
      </c>
      <c r="Y317" s="11">
        <f>IF(H317=0,"",X317/H317)</f>
        <v/>
      </c>
      <c r="Z317" s="8" t="n">
        <v>0</v>
      </c>
      <c r="AA317" s="11">
        <f>IF(H317=0,"",Z317/H317)</f>
        <v/>
      </c>
      <c r="AB317" s="8" t="n">
        <v>0</v>
      </c>
      <c r="AC317" s="11">
        <f>IF(H317=0,"",AB317/H317)</f>
        <v/>
      </c>
      <c r="AD317" s="8" t="n">
        <v>0</v>
      </c>
      <c r="AE317" s="11">
        <f>IF(H317=0,"",AD317/H317)</f>
        <v/>
      </c>
      <c r="AF317" s="8" t="n">
        <v>0</v>
      </c>
      <c r="AG317" s="11">
        <f>IF(H317=0,"",AF317/H317)</f>
        <v/>
      </c>
      <c r="AH317" s="8" t="n">
        <v>364000</v>
      </c>
      <c r="AI317" s="9">
        <f>IF(H317=0,"",AH317/H317)</f>
        <v/>
      </c>
      <c r="AJ317" s="8" t="n">
        <v>1399.02</v>
      </c>
      <c r="AK317" s="11">
        <f>IF(H317=0,"",AJ317/H317)</f>
        <v/>
      </c>
      <c r="AL317" s="8" t="n">
        <v>413971.20718</v>
      </c>
      <c r="AM317" s="9">
        <f>IF(H317=0,"",AL317/H317)</f>
        <v/>
      </c>
      <c r="AN317" s="8" t="n">
        <v>0</v>
      </c>
      <c r="AO317" s="8" t="n">
        <v>0</v>
      </c>
      <c r="AP317" s="8" t="n">
        <v>0</v>
      </c>
      <c r="AQ317" s="8" t="n">
        <v>0</v>
      </c>
      <c r="AR317" s="8" t="n">
        <v>0</v>
      </c>
      <c r="AS317" s="8" t="n">
        <v>0</v>
      </c>
      <c r="AT317" s="8" t="n">
        <v>0</v>
      </c>
      <c r="AU317" s="9">
        <f>AH317+AL317+AP317+AQ317+AR317+AS317+AT317</f>
        <v/>
      </c>
      <c r="AV317" s="9">
        <f>IF(H317=0,"",AU317/H317)</f>
        <v/>
      </c>
      <c r="AW317" s="9">
        <f>IF(S317=0,"",AU317/S317)</f>
        <v/>
      </c>
      <c r="AX317" s="8" t="n">
        <v>3</v>
      </c>
      <c r="AY317" s="9">
        <f>IF(H317=0,"",AX317/(H317/1000/12))</f>
        <v/>
      </c>
      <c r="AZ317" s="8" t="n">
        <v>5</v>
      </c>
      <c r="BA317" s="8" t="n">
        <v>12</v>
      </c>
      <c r="BB317" s="8" t="n">
        <v>0</v>
      </c>
      <c r="BC317" s="8" t="n">
        <v>0</v>
      </c>
      <c r="BD317" s="8" t="n">
        <v>0</v>
      </c>
      <c r="BE317" s="9">
        <f>BC317+BD317</f>
        <v/>
      </c>
      <c r="BF317" s="9">
        <f>BA317+BB317-BE317</f>
        <v/>
      </c>
      <c r="BG317" s="8" t="n">
        <v>0</v>
      </c>
      <c r="BH317" s="8" t="n">
        <v>0</v>
      </c>
      <c r="BI317" s="8" t="n">
        <v>0</v>
      </c>
      <c r="BJ317" s="8" t="n">
        <v>0</v>
      </c>
      <c r="BK317" s="9">
        <f>BI317+BJ317</f>
        <v/>
      </c>
      <c r="BL317" s="9">
        <f>BG317+BH317-BK317</f>
        <v/>
      </c>
      <c r="BM317" s="8" t="n">
        <v>0</v>
      </c>
      <c r="BN317" s="8" t="n">
        <v>0</v>
      </c>
      <c r="BO317" s="8" t="n">
        <v>0</v>
      </c>
      <c r="BP317" s="8" t="n">
        <v>0</v>
      </c>
      <c r="BQ317" s="9">
        <f>BO317+BP317</f>
        <v/>
      </c>
      <c r="BR317" s="9">
        <f>BM317+BN317-BQ317</f>
        <v/>
      </c>
      <c r="BS317" s="8" t="n">
        <v>0</v>
      </c>
      <c r="BT317" s="8" t="n">
        <v>0</v>
      </c>
      <c r="BU317" s="8" t="n">
        <v>0</v>
      </c>
      <c r="BV317" s="8" t="n">
        <v>0</v>
      </c>
      <c r="BW317" s="9">
        <f>BU317+BV317</f>
        <v/>
      </c>
      <c r="BX317" s="9">
        <f>BS317+BT317-BW317</f>
        <v/>
      </c>
      <c r="BY317" s="9">
        <f>BA317+BG317+BM317+BS317</f>
        <v/>
      </c>
      <c r="BZ317" s="9">
        <f>BB317+BH317+BN317+BT317</f>
        <v/>
      </c>
      <c r="CA317" s="9">
        <f>BE317+BK317+BQ317+BW317</f>
        <v/>
      </c>
      <c r="CB317" s="9">
        <f>BF317+BL317+BR317+BX317</f>
        <v/>
      </c>
      <c r="CC317" s="8" t="n">
        <v>0</v>
      </c>
      <c r="CD317" s="8" t="n">
        <v>113</v>
      </c>
      <c r="CE317" s="8" t="n">
        <v>7</v>
      </c>
      <c r="CF317" s="8" t="n">
        <v>4</v>
      </c>
      <c r="CG317" s="8" t="n">
        <v>1</v>
      </c>
      <c r="CH317" s="9">
        <f>CD317+CE317+CF317+CG317</f>
        <v/>
      </c>
      <c r="CI317" s="8" t="n">
        <v>8</v>
      </c>
      <c r="CJ317" s="8" t="n">
        <v>4</v>
      </c>
      <c r="CK317" s="8" t="n">
        <v>0</v>
      </c>
      <c r="CL317" s="8" t="n">
        <v>0</v>
      </c>
      <c r="CM317" s="9">
        <f>CI317+CJ317+CK317+CL317</f>
        <v/>
      </c>
      <c r="CN317" s="8" t="n">
        <v>132</v>
      </c>
      <c r="CO317" s="8" t="n">
        <v>8</v>
      </c>
      <c r="CP317" s="8" t="n">
        <v>17</v>
      </c>
      <c r="CQ317" s="8" t="n">
        <v>22</v>
      </c>
      <c r="CR317" s="9">
        <f>CN317+CO317+CP317+CQ317</f>
        <v/>
      </c>
      <c r="CS317" s="9">
        <f>CM317+CR317</f>
        <v/>
      </c>
      <c r="CT317" s="8" t="n">
        <v>316</v>
      </c>
      <c r="CU317" s="8" t="n">
        <v>1938</v>
      </c>
      <c r="CV317" s="8" t="n">
        <v>1921</v>
      </c>
      <c r="CW317" s="10">
        <f>IF(CU317=0,"",CV317/CU317)</f>
        <v/>
      </c>
      <c r="CX317" s="8" t="n">
        <v>0</v>
      </c>
      <c r="CY317" s="8" t="n">
        <v>0</v>
      </c>
      <c r="CZ317" s="8" t="n">
        <v>0</v>
      </c>
      <c r="DA317" s="8" t="n">
        <v>0</v>
      </c>
      <c r="DB317" s="9">
        <f>CX317+CY317-CZ317-DA317</f>
        <v/>
      </c>
      <c r="DC317" s="8" t="n">
        <v>0</v>
      </c>
      <c r="DD317" s="8" t="n">
        <v>0</v>
      </c>
      <c r="DE317" s="8" t="n">
        <v>0</v>
      </c>
      <c r="DF317" s="8" t="n">
        <v>0</v>
      </c>
      <c r="DG317" s="9">
        <f>DC317+DD317-DE317-DF317</f>
        <v/>
      </c>
      <c r="DH317" s="8" t="n">
        <v>0</v>
      </c>
      <c r="DI317" s="8" t="n">
        <v>0</v>
      </c>
      <c r="DJ317" s="8" t="n">
        <v>0</v>
      </c>
      <c r="DK317" s="8" t="n">
        <v>0</v>
      </c>
      <c r="DL317" s="9">
        <f>DH317+DI317-DJ317-DK317</f>
        <v/>
      </c>
      <c r="DM317" s="8" t="n">
        <v>0</v>
      </c>
      <c r="DN317" s="8" t="n">
        <v>0</v>
      </c>
      <c r="DO317" s="8" t="n">
        <v>0</v>
      </c>
      <c r="DP317" s="8" t="n">
        <v>0</v>
      </c>
      <c r="DQ317" s="9">
        <f>DM317+DN317-DO317-DP317</f>
        <v/>
      </c>
      <c r="DR317" s="9">
        <f>CX317+DC317+DH317+DM317</f>
        <v/>
      </c>
      <c r="DS317" s="9">
        <f>CY317+DD317+DI317+DN317</f>
        <v/>
      </c>
      <c r="DT317" s="9">
        <f>CZ317+DE317+DJ317+DO317</f>
        <v/>
      </c>
      <c r="DU317" s="9">
        <f>DA317+DF317+DK317+DP317</f>
        <v/>
      </c>
      <c r="DV317" s="9">
        <f>DB317+DG317+DL317+DQ317</f>
        <v/>
      </c>
      <c r="DW317" s="8" t="n">
        <v>6</v>
      </c>
      <c r="DX317" s="8" t="n">
        <v>3</v>
      </c>
      <c r="DY317" s="8" t="n">
        <v>8</v>
      </c>
      <c r="DZ317" s="8" t="n">
        <v>1</v>
      </c>
      <c r="EA317" s="8" t="n">
        <v>1</v>
      </c>
      <c r="EB317" s="8" t="n">
        <v>0</v>
      </c>
      <c r="EC317" s="8" t="n">
        <v>0</v>
      </c>
      <c r="ED317" s="8" t="n">
        <v>0</v>
      </c>
      <c r="EE317" s="8" t="n">
        <v>0</v>
      </c>
      <c r="EF317" s="8" t="n">
        <v>0</v>
      </c>
      <c r="EG317" s="8" t="n">
        <v>0</v>
      </c>
      <c r="EH317" s="8" t="n">
        <v>0</v>
      </c>
      <c r="EI317" s="8" t="n">
        <v>0</v>
      </c>
      <c r="EJ317" s="8" t="n">
        <v>2</v>
      </c>
      <c r="EK317" s="8" t="n">
        <v>0</v>
      </c>
      <c r="EL317" s="8" t="n">
        <v>0</v>
      </c>
      <c r="EM317" s="8" t="n">
        <v>0</v>
      </c>
      <c r="EN317" s="8" t="n">
        <v>0</v>
      </c>
      <c r="EO317" s="8" t="n">
        <v>0</v>
      </c>
      <c r="EP317" s="8" t="n">
        <v>0</v>
      </c>
      <c r="EQ317" s="8" t="n">
        <v>0</v>
      </c>
      <c r="ER317" s="8" t="n">
        <v>0</v>
      </c>
      <c r="ES317" s="8" t="n">
        <v>0</v>
      </c>
      <c r="ET317" s="8" t="n">
        <v>0</v>
      </c>
      <c r="EU317" s="8" t="n">
        <v>0</v>
      </c>
      <c r="EV317" s="8" t="n">
        <v>0</v>
      </c>
      <c r="EW317" s="8" t="n">
        <v>0</v>
      </c>
      <c r="EX317" s="8" t="n">
        <v>0</v>
      </c>
      <c r="EY317" s="8" t="n">
        <v>0</v>
      </c>
      <c r="EZ317" s="8" t="n">
        <v>0</v>
      </c>
      <c r="FA317" s="8" t="n">
        <v>0</v>
      </c>
      <c r="FB317" s="8" t="n">
        <v>0</v>
      </c>
      <c r="FC317" s="8" t="n">
        <v>0</v>
      </c>
      <c r="FD317" s="8" t="n">
        <v>0</v>
      </c>
      <c r="FE317" s="8" t="n">
        <v>0</v>
      </c>
      <c r="FF317" s="8" t="n">
        <v>0</v>
      </c>
      <c r="FG317" s="9">
        <f>SUM(DW317,DX317,DY317,DZ317,EA317,EB317,EC317,ED317,EE317,EF317,EG317,EH317,EI317,EJ317,EK317,EL317,EM317,EN317,EO317,EP317,EQ317,ER317,ES317,ET317,EU317,EV317,EW317,EX317,EY317,EZ317,FA317,FB317,FC317,FD317,FE317,FF317)</f>
        <v/>
      </c>
      <c r="FH317" s="8" t="n">
        <v>0</v>
      </c>
      <c r="FI317" s="8" t="n">
        <v>0</v>
      </c>
      <c r="FJ317" s="8" t="n">
        <v>23</v>
      </c>
      <c r="FK317" s="8" t="n">
        <v>0.75</v>
      </c>
      <c r="FL317" s="8" t="n">
        <v>0</v>
      </c>
      <c r="FM317" s="8" t="n">
        <v>0</v>
      </c>
      <c r="FN317" s="8" t="n">
        <v>0</v>
      </c>
      <c r="FO317" s="8" t="n">
        <v>0</v>
      </c>
      <c r="FP317" s="8" t="n">
        <v>0</v>
      </c>
      <c r="FQ317" s="9">
        <f>FL317+FM317+FN317+FO317+FP317</f>
        <v/>
      </c>
      <c r="FR317" s="8" t="n">
        <v>82000</v>
      </c>
      <c r="FS317" s="8" t="n">
        <v>0</v>
      </c>
      <c r="FT317" s="8" t="n">
        <v>0</v>
      </c>
      <c r="FU317" s="8" t="n">
        <v>0</v>
      </c>
      <c r="FV317" s="9">
        <f>FR317+FS317+FT317+FU317</f>
        <v/>
      </c>
      <c r="FW317" s="8" t="n">
        <v>837674.64</v>
      </c>
      <c r="FX317" s="8" t="n">
        <v>31950</v>
      </c>
      <c r="FY317" s="8" t="n">
        <v>6400472.81</v>
      </c>
      <c r="FZ317" s="8" t="n">
        <v>59000</v>
      </c>
      <c r="GA317" s="9">
        <f>FW317+FX317+FY317+FZ317</f>
        <v/>
      </c>
      <c r="GB317" s="9">
        <f>FV317+GA317</f>
        <v/>
      </c>
      <c r="GC317" s="8" t="n">
        <v>83409.38</v>
      </c>
      <c r="GD317" s="8" t="n">
        <v>0</v>
      </c>
      <c r="GE317" s="8" t="n">
        <v>788106.84</v>
      </c>
      <c r="GF317" s="8" t="n">
        <v>0</v>
      </c>
      <c r="GG317" s="9">
        <f>GC317+GD317+GE317+GF317</f>
        <v/>
      </c>
      <c r="GH317" s="8" t="n">
        <v>817609.73</v>
      </c>
      <c r="GI317" s="8" t="n">
        <v>31950</v>
      </c>
      <c r="GJ317" s="8" t="n">
        <v>59000</v>
      </c>
      <c r="GK317" s="8" t="n">
        <v>6400472.81</v>
      </c>
      <c r="GL317" s="9">
        <f>GH317+GI317+GJ317+GK317</f>
        <v/>
      </c>
      <c r="GM317" s="9">
        <f>GG317+GL317</f>
        <v/>
      </c>
      <c r="GN317" s="8" t="n">
        <v>4359.44</v>
      </c>
      <c r="GO317" s="8" t="n">
        <v>0</v>
      </c>
      <c r="GP317" s="8" t="n">
        <v>13574.56</v>
      </c>
      <c r="GQ317" s="8" t="n">
        <v>0</v>
      </c>
      <c r="GR317" s="9">
        <f>GN317+GO317+GP317+GQ317</f>
        <v/>
      </c>
      <c r="GS317" s="8" t="n">
        <v>7144</v>
      </c>
      <c r="GT317" s="8" t="n">
        <v>0</v>
      </c>
      <c r="GU317" s="8" t="n">
        <v>3572</v>
      </c>
      <c r="GV317" s="8" t="n">
        <v>0</v>
      </c>
      <c r="GW317" s="9">
        <f>GS317+GT317+GU317+GV317</f>
        <v/>
      </c>
      <c r="GX317" s="9">
        <f>GM317+GR317+GW317</f>
        <v/>
      </c>
      <c r="GY317" s="8" t="n">
        <v>10500728.87</v>
      </c>
      <c r="GZ317" s="8" t="n">
        <v>-29150.51</v>
      </c>
      <c r="HA317" s="9">
        <f>GY317+GZ317</f>
        <v/>
      </c>
      <c r="HB317" s="9">
        <f>IF(GX317=0,"",AU317/GX317)</f>
        <v/>
      </c>
      <c r="HC317" s="10">
        <f>IF((GX317+GY317)=0,"",GB317/(GX317+GY317))</f>
        <v/>
      </c>
      <c r="HD317" s="9">
        <f>IF(GX317=0,"",GB317/GX317)</f>
        <v/>
      </c>
      <c r="HE317" s="8" t="n">
        <v>2</v>
      </c>
      <c r="HF317" s="8" t="n">
        <v>3</v>
      </c>
      <c r="HG317" s="8" t="n">
        <v>12</v>
      </c>
      <c r="HH317" s="8" t="n">
        <v>0</v>
      </c>
      <c r="HI317" s="8" t="n">
        <v>0</v>
      </c>
      <c r="HJ317" s="9">
        <f>HF317+HI317</f>
        <v/>
      </c>
      <c r="HK317" s="10">
        <f>IF(HE317=0,"",HH317/HE317)</f>
        <v/>
      </c>
      <c r="HL317" s="8" t="n">
        <v>2</v>
      </c>
      <c r="HM317" s="8" t="n">
        <v>1</v>
      </c>
      <c r="HN317" s="11">
        <f>IF(HL317=0,"",HM317/HL317)</f>
        <v/>
      </c>
    </row>
    <row r="318">
      <c r="A318" s="12" t="inlineStr">
        <is>
          <t>Zomba</t>
        </is>
      </c>
      <c r="B318" s="12" t="inlineStr">
        <is>
          <t>Kuchawe</t>
        </is>
      </c>
      <c r="C318" s="13" t="inlineStr">
        <is>
          <t>FY2025/26</t>
        </is>
      </c>
      <c r="D318" s="13" t="n">
        <v>2025</v>
      </c>
      <c r="E318" s="13" t="n">
        <v>7</v>
      </c>
      <c r="F318" s="13" t="inlineStr">
        <is>
          <t>July</t>
        </is>
      </c>
      <c r="G318" s="13" t="inlineStr">
        <is>
          <t>Q2</t>
        </is>
      </c>
      <c r="H318" s="14" t="n">
        <v>4145</v>
      </c>
      <c r="I318" s="14" t="n">
        <v>161</v>
      </c>
      <c r="J318" s="14" t="n">
        <v>0</v>
      </c>
      <c r="K318" s="14" t="n">
        <v>177</v>
      </c>
      <c r="L318" s="14" t="n">
        <v>0</v>
      </c>
      <c r="M318" s="15">
        <f>SUM(I318,J318,K318,L318)</f>
        <v/>
      </c>
      <c r="N318" s="14" t="n">
        <v>641.5</v>
      </c>
      <c r="O318" s="14" t="n">
        <v>128.5</v>
      </c>
      <c r="P318" s="14" t="n">
        <v>96.2</v>
      </c>
      <c r="Q318" s="14" t="n">
        <v>1584.1</v>
      </c>
      <c r="R318" s="15">
        <f>SUM(N318,O318,P318,Q318)</f>
        <v/>
      </c>
      <c r="S318" s="15">
        <f>M318+R318</f>
        <v/>
      </c>
      <c r="T318" s="14" t="n">
        <v>1356.7</v>
      </c>
      <c r="U318" s="16">
        <f>IF(H318=0,"",T318/H318)</f>
        <v/>
      </c>
      <c r="V318" s="14" t="n">
        <v>16</v>
      </c>
      <c r="W318" s="17">
        <f>IF(H318=0,"",V318/H318)</f>
        <v/>
      </c>
      <c r="X318" s="14" t="n">
        <v>0</v>
      </c>
      <c r="Y318" s="17">
        <f>IF(H318=0,"",X318/H318)</f>
        <v/>
      </c>
      <c r="Z318" s="14" t="n">
        <v>0</v>
      </c>
      <c r="AA318" s="17">
        <f>IF(H318=0,"",Z318/H318)</f>
        <v/>
      </c>
      <c r="AB318" s="14" t="n">
        <v>0</v>
      </c>
      <c r="AC318" s="17">
        <f>IF(H318=0,"",AB318/H318)</f>
        <v/>
      </c>
      <c r="AD318" s="14" t="n">
        <v>0</v>
      </c>
      <c r="AE318" s="17">
        <f>IF(H318=0,"",AD318/H318)</f>
        <v/>
      </c>
      <c r="AF318" s="14" t="n">
        <v>0</v>
      </c>
      <c r="AG318" s="17">
        <f>IF(H318=0,"",AF318/H318)</f>
        <v/>
      </c>
      <c r="AH318" s="14" t="n">
        <v>416000</v>
      </c>
      <c r="AI318" s="15">
        <f>IF(H318=0,"",AH318/H318)</f>
        <v/>
      </c>
      <c r="AJ318" s="14" t="n">
        <v>1501.88</v>
      </c>
      <c r="AK318" s="17">
        <f>IF(H318=0,"",AJ318/H318)</f>
        <v/>
      </c>
      <c r="AL318" s="14" t="n">
        <v>442083.77092</v>
      </c>
      <c r="AM318" s="15">
        <f>IF(H318=0,"",AL318/H318)</f>
        <v/>
      </c>
      <c r="AN318" s="14" t="n">
        <v>0</v>
      </c>
      <c r="AO318" s="14" t="n">
        <v>0</v>
      </c>
      <c r="AP318" s="14" t="n">
        <v>0</v>
      </c>
      <c r="AQ318" s="14" t="n">
        <v>0</v>
      </c>
      <c r="AR318" s="14" t="n">
        <v>0</v>
      </c>
      <c r="AS318" s="14" t="n">
        <v>0</v>
      </c>
      <c r="AT318" s="14" t="n">
        <v>0</v>
      </c>
      <c r="AU318" s="15">
        <f>AH318+AL318+AP318+AQ318+AR318+AS318+AT318</f>
        <v/>
      </c>
      <c r="AV318" s="15">
        <f>IF(H318=0,"",AU318/H318)</f>
        <v/>
      </c>
      <c r="AW318" s="15">
        <f>IF(S318=0,"",AU318/S318)</f>
        <v/>
      </c>
      <c r="AX318" s="14" t="n">
        <v>3</v>
      </c>
      <c r="AY318" s="15">
        <f>IF(H318=0,"",AX318/(H318/1000/12))</f>
        <v/>
      </c>
      <c r="AZ318" s="14" t="n">
        <v>5</v>
      </c>
      <c r="BA318" s="14" t="n">
        <v>12</v>
      </c>
      <c r="BB318" s="14" t="n">
        <v>4</v>
      </c>
      <c r="BC318" s="14" t="n">
        <v>0</v>
      </c>
      <c r="BD318" s="14" t="n">
        <v>0</v>
      </c>
      <c r="BE318" s="15">
        <f>BC318+BD318</f>
        <v/>
      </c>
      <c r="BF318" s="15">
        <f>BA318+BB318-BE318</f>
        <v/>
      </c>
      <c r="BG318" s="14" t="n">
        <v>0</v>
      </c>
      <c r="BH318" s="14" t="n">
        <v>0</v>
      </c>
      <c r="BI318" s="14" t="n">
        <v>0</v>
      </c>
      <c r="BJ318" s="14" t="n">
        <v>0</v>
      </c>
      <c r="BK318" s="15">
        <f>BI318+BJ318</f>
        <v/>
      </c>
      <c r="BL318" s="15">
        <f>BG318+BH318-BK318</f>
        <v/>
      </c>
      <c r="BM318" s="14" t="n">
        <v>0</v>
      </c>
      <c r="BN318" s="14" t="n">
        <v>0</v>
      </c>
      <c r="BO318" s="14" t="n">
        <v>0</v>
      </c>
      <c r="BP318" s="14" t="n">
        <v>0</v>
      </c>
      <c r="BQ318" s="15">
        <f>BO318+BP318</f>
        <v/>
      </c>
      <c r="BR318" s="15">
        <f>BM318+BN318-BQ318</f>
        <v/>
      </c>
      <c r="BS318" s="14" t="n">
        <v>0</v>
      </c>
      <c r="BT318" s="14" t="n">
        <v>0</v>
      </c>
      <c r="BU318" s="14" t="n">
        <v>0</v>
      </c>
      <c r="BV318" s="14" t="n">
        <v>0</v>
      </c>
      <c r="BW318" s="15">
        <f>BU318+BV318</f>
        <v/>
      </c>
      <c r="BX318" s="15">
        <f>BS318+BT318-BW318</f>
        <v/>
      </c>
      <c r="BY318" s="15">
        <f>BA318+BG318+BM318+BS318</f>
        <v/>
      </c>
      <c r="BZ318" s="15">
        <f>BB318+BH318+BN318+BT318</f>
        <v/>
      </c>
      <c r="CA318" s="15">
        <f>BE318+BK318+BQ318+BW318</f>
        <v/>
      </c>
      <c r="CB318" s="15">
        <f>BF318+BL318+BR318+BX318</f>
        <v/>
      </c>
      <c r="CC318" s="14" t="n">
        <v>0</v>
      </c>
      <c r="CD318" s="14" t="n">
        <v>113</v>
      </c>
      <c r="CE318" s="14" t="n">
        <v>7</v>
      </c>
      <c r="CF318" s="14" t="n">
        <v>4</v>
      </c>
      <c r="CG318" s="14" t="n">
        <v>1</v>
      </c>
      <c r="CH318" s="15">
        <f>CD318+CE318+CF318+CG318</f>
        <v/>
      </c>
      <c r="CI318" s="14" t="n">
        <v>8</v>
      </c>
      <c r="CJ318" s="14" t="n">
        <v>4</v>
      </c>
      <c r="CK318" s="14" t="n">
        <v>0</v>
      </c>
      <c r="CL318" s="14" t="n">
        <v>0</v>
      </c>
      <c r="CM318" s="15">
        <f>CI318+CJ318+CK318+CL318</f>
        <v/>
      </c>
      <c r="CN318" s="14" t="n">
        <v>132</v>
      </c>
      <c r="CO318" s="14" t="n">
        <v>8</v>
      </c>
      <c r="CP318" s="14" t="n">
        <v>17</v>
      </c>
      <c r="CQ318" s="14" t="n">
        <v>22</v>
      </c>
      <c r="CR318" s="15">
        <f>CN318+CO318+CP318+CQ318</f>
        <v/>
      </c>
      <c r="CS318" s="15">
        <f>CM318+CR318</f>
        <v/>
      </c>
      <c r="CT318" s="14" t="n">
        <v>316</v>
      </c>
      <c r="CU318" s="14" t="n">
        <v>1942</v>
      </c>
      <c r="CV318" s="14" t="n">
        <v>1921</v>
      </c>
      <c r="CW318" s="16">
        <f>IF(CU318=0,"",CV318/CU318)</f>
        <v/>
      </c>
      <c r="CX318" s="14" t="n">
        <v>0</v>
      </c>
      <c r="CY318" s="14" t="n">
        <v>0</v>
      </c>
      <c r="CZ318" s="14" t="n">
        <v>0</v>
      </c>
      <c r="DA318" s="14" t="n">
        <v>0</v>
      </c>
      <c r="DB318" s="15">
        <f>CX318+CY318-CZ318-DA318</f>
        <v/>
      </c>
      <c r="DC318" s="14" t="n">
        <v>0</v>
      </c>
      <c r="DD318" s="14" t="n">
        <v>0</v>
      </c>
      <c r="DE318" s="14" t="n">
        <v>0</v>
      </c>
      <c r="DF318" s="14" t="n">
        <v>0</v>
      </c>
      <c r="DG318" s="15">
        <f>DC318+DD318-DE318-DF318</f>
        <v/>
      </c>
      <c r="DH318" s="14" t="n">
        <v>0</v>
      </c>
      <c r="DI318" s="14" t="n">
        <v>0</v>
      </c>
      <c r="DJ318" s="14" t="n">
        <v>0</v>
      </c>
      <c r="DK318" s="14" t="n">
        <v>0</v>
      </c>
      <c r="DL318" s="15">
        <f>DH318+DI318-DJ318-DK318</f>
        <v/>
      </c>
      <c r="DM318" s="14" t="n">
        <v>0</v>
      </c>
      <c r="DN318" s="14" t="n">
        <v>0</v>
      </c>
      <c r="DO318" s="14" t="n">
        <v>0</v>
      </c>
      <c r="DP318" s="14" t="n">
        <v>0</v>
      </c>
      <c r="DQ318" s="15">
        <f>DM318+DN318-DO318-DP318</f>
        <v/>
      </c>
      <c r="DR318" s="15">
        <f>CX318+DC318+DH318+DM318</f>
        <v/>
      </c>
      <c r="DS318" s="15">
        <f>CY318+DD318+DI318+DN318</f>
        <v/>
      </c>
      <c r="DT318" s="15">
        <f>CZ318+DE318+DJ318+DO318</f>
        <v/>
      </c>
      <c r="DU318" s="15">
        <f>DA318+DF318+DK318+DP318</f>
        <v/>
      </c>
      <c r="DV318" s="15">
        <f>DB318+DG318+DL318+DQ318</f>
        <v/>
      </c>
      <c r="DW318" s="14" t="n">
        <v>6</v>
      </c>
      <c r="DX318" s="14" t="n">
        <v>8</v>
      </c>
      <c r="DY318" s="14" t="n">
        <v>20</v>
      </c>
      <c r="DZ318" s="14" t="n">
        <v>0</v>
      </c>
      <c r="EA318" s="14" t="n">
        <v>4</v>
      </c>
      <c r="EB318" s="14" t="n">
        <v>0</v>
      </c>
      <c r="EC318" s="14" t="n">
        <v>0</v>
      </c>
      <c r="ED318" s="14" t="n">
        <v>0</v>
      </c>
      <c r="EE318" s="14" t="n">
        <v>0</v>
      </c>
      <c r="EF318" s="14" t="n">
        <v>0</v>
      </c>
      <c r="EG318" s="14" t="n">
        <v>0</v>
      </c>
      <c r="EH318" s="14" t="n">
        <v>0</v>
      </c>
      <c r="EI318" s="14" t="n">
        <v>0</v>
      </c>
      <c r="EJ318" s="14" t="n">
        <v>2</v>
      </c>
      <c r="EK318" s="14" t="n">
        <v>0</v>
      </c>
      <c r="EL318" s="14" t="n">
        <v>0</v>
      </c>
      <c r="EM318" s="14" t="n">
        <v>0</v>
      </c>
      <c r="EN318" s="14" t="n">
        <v>0</v>
      </c>
      <c r="EO318" s="14" t="n">
        <v>0</v>
      </c>
      <c r="EP318" s="14" t="n">
        <v>0</v>
      </c>
      <c r="EQ318" s="14" t="n">
        <v>0</v>
      </c>
      <c r="ER318" s="14" t="n">
        <v>0</v>
      </c>
      <c r="ES318" s="14" t="n">
        <v>0</v>
      </c>
      <c r="ET318" s="14" t="n">
        <v>0</v>
      </c>
      <c r="EU318" s="14" t="n">
        <v>0</v>
      </c>
      <c r="EV318" s="14" t="n">
        <v>0</v>
      </c>
      <c r="EW318" s="14" t="n">
        <v>0</v>
      </c>
      <c r="EX318" s="14" t="n">
        <v>0</v>
      </c>
      <c r="EY318" s="14" t="n">
        <v>0</v>
      </c>
      <c r="EZ318" s="14" t="n">
        <v>0</v>
      </c>
      <c r="FA318" s="14" t="n">
        <v>0</v>
      </c>
      <c r="FB318" s="14" t="n">
        <v>0</v>
      </c>
      <c r="FC318" s="14" t="n">
        <v>0</v>
      </c>
      <c r="FD318" s="14" t="n">
        <v>0</v>
      </c>
      <c r="FE318" s="14" t="n">
        <v>0</v>
      </c>
      <c r="FF318" s="14" t="n">
        <v>0</v>
      </c>
      <c r="FG318" s="15">
        <f>SUM(DW318,DX318,DY318,DZ318,EA318,EB318,EC318,ED318,EE318,EF318,EG318,EH318,EI318,EJ318,EK318,EL318,EM318,EN318,EO318,EP318,EQ318,ER318,ES318,ET318,EU318,EV318,EW318,EX318,EY318,EZ318,FA318,FB318,FC318,FD318,FE318,FF318)</f>
        <v/>
      </c>
      <c r="FH318" s="14" t="n">
        <v>0</v>
      </c>
      <c r="FI318" s="14" t="n">
        <v>0</v>
      </c>
      <c r="FJ318" s="14" t="n">
        <v>22</v>
      </c>
      <c r="FK318" s="14" t="n">
        <v>12.4</v>
      </c>
      <c r="FL318" s="14" t="n">
        <v>0</v>
      </c>
      <c r="FM318" s="14" t="n">
        <v>0</v>
      </c>
      <c r="FN318" s="14" t="n">
        <v>0</v>
      </c>
      <c r="FO318" s="14" t="n">
        <v>0</v>
      </c>
      <c r="FP318" s="14" t="n">
        <v>0</v>
      </c>
      <c r="FQ318" s="15">
        <f>FL318+FM318+FN318+FO318+FP318</f>
        <v/>
      </c>
      <c r="FR318" s="14" t="n">
        <v>70600</v>
      </c>
      <c r="FS318" s="14" t="n">
        <v>0</v>
      </c>
      <c r="FT318" s="14" t="n">
        <v>0</v>
      </c>
      <c r="FU318" s="14" t="n">
        <v>20000</v>
      </c>
      <c r="FV318" s="15">
        <f>FR318+FS318+FT318+FU318</f>
        <v/>
      </c>
      <c r="FW318" s="14" t="n">
        <v>819100</v>
      </c>
      <c r="FX318" s="14" t="n">
        <v>27300</v>
      </c>
      <c r="FY318" s="14" t="n">
        <v>7489700</v>
      </c>
      <c r="FZ318" s="14" t="n">
        <v>291500</v>
      </c>
      <c r="GA318" s="15">
        <f>FW318+FX318+FY318+FZ318</f>
        <v/>
      </c>
      <c r="GB318" s="15">
        <f>FV318+GA318</f>
        <v/>
      </c>
      <c r="GC318" s="14" t="n">
        <v>152890.16</v>
      </c>
      <c r="GD318" s="14" t="n">
        <v>0</v>
      </c>
      <c r="GE318" s="14" t="n">
        <v>564714.89</v>
      </c>
      <c r="GF318" s="14" t="n">
        <v>0</v>
      </c>
      <c r="GG318" s="15">
        <f>GC318+GD318+GE318+GF318</f>
        <v/>
      </c>
      <c r="GH318" s="14" t="n">
        <v>799060</v>
      </c>
      <c r="GI318" s="14" t="n">
        <v>27300</v>
      </c>
      <c r="GJ318" s="14" t="n">
        <v>291500</v>
      </c>
      <c r="GK318" s="14" t="n">
        <v>7489700</v>
      </c>
      <c r="GL318" s="15">
        <f>GH318+GI318+GJ318+GK318</f>
        <v/>
      </c>
      <c r="GM318" s="15">
        <f>GG318+GL318</f>
        <v/>
      </c>
      <c r="GN318" s="14" t="n">
        <v>4359.44</v>
      </c>
      <c r="GO318" s="14" t="n">
        <v>0</v>
      </c>
      <c r="GP318" s="14" t="n">
        <v>13574.56</v>
      </c>
      <c r="GQ318" s="14" t="n">
        <v>0</v>
      </c>
      <c r="GR318" s="15">
        <f>GN318+GO318+GP318+GQ318</f>
        <v/>
      </c>
      <c r="GS318" s="14" t="n">
        <v>7144</v>
      </c>
      <c r="GT318" s="14" t="n">
        <v>0</v>
      </c>
      <c r="GU318" s="14" t="n">
        <v>3572</v>
      </c>
      <c r="GV318" s="14" t="n">
        <v>0</v>
      </c>
      <c r="GW318" s="15">
        <f>GS318+GT318+GU318+GV318</f>
        <v/>
      </c>
      <c r="GX318" s="15">
        <f>GM318+GR318+GW318</f>
        <v/>
      </c>
      <c r="GY318" s="14" t="n">
        <v>10290703.99000001</v>
      </c>
      <c r="GZ318" s="14" t="n">
        <v>-29150.51</v>
      </c>
      <c r="HA318" s="9">
        <f>GY318+GZ318</f>
        <v/>
      </c>
      <c r="HB318" s="15">
        <f>IF(GX318=0,"",AU318/GX318)</f>
        <v/>
      </c>
      <c r="HC318" s="16">
        <f>IF((GX318+GY318)=0,"",GB318/(GX318+GY318))</f>
        <v/>
      </c>
      <c r="HD318" s="15">
        <f>IF(GX318=0,"",GB318/GX318)</f>
        <v/>
      </c>
      <c r="HE318" s="14" t="n">
        <v>5</v>
      </c>
      <c r="HF318" s="14" t="n">
        <v>1</v>
      </c>
      <c r="HG318" s="14" t="n">
        <v>16</v>
      </c>
      <c r="HH318" s="14" t="n">
        <v>4</v>
      </c>
      <c r="HI318" s="14" t="n">
        <v>0</v>
      </c>
      <c r="HJ318" s="15">
        <f>HF318+HI318</f>
        <v/>
      </c>
      <c r="HK318" s="16">
        <f>IF(HE318=0,"",HH318/HE318)</f>
        <v/>
      </c>
      <c r="HL318" s="14" t="n">
        <v>5</v>
      </c>
      <c r="HM318" s="14" t="n">
        <v>2</v>
      </c>
      <c r="HN318" s="17">
        <f>IF(HL318=0,"",HM318/HL318)</f>
        <v/>
      </c>
    </row>
    <row r="319">
      <c r="A319" s="6" t="inlineStr">
        <is>
          <t>Zomba</t>
        </is>
      </c>
      <c r="B319" s="6" t="inlineStr">
        <is>
          <t>Kuchawe</t>
        </is>
      </c>
      <c r="C319" s="7" t="inlineStr">
        <is>
          <t>FY2025/26</t>
        </is>
      </c>
      <c r="D319" s="7" t="n">
        <v>2025</v>
      </c>
      <c r="E319" s="7" t="n">
        <v>8</v>
      </c>
      <c r="F319" s="7" t="inlineStr">
        <is>
          <t>August</t>
        </is>
      </c>
      <c r="G319" s="7" t="inlineStr">
        <is>
          <t>Q2</t>
        </is>
      </c>
      <c r="H319" s="8" t="n">
        <v>4045</v>
      </c>
      <c r="I319" s="8" t="n">
        <v>124</v>
      </c>
      <c r="J319" s="8" t="n">
        <v>0</v>
      </c>
      <c r="K319" s="8" t="n">
        <v>179</v>
      </c>
      <c r="L319" s="8" t="n">
        <v>0</v>
      </c>
      <c r="M319" s="9">
        <f>SUM(I319,J319,K319,L319)</f>
        <v/>
      </c>
      <c r="N319" s="8" t="n">
        <v>748.4</v>
      </c>
      <c r="O319" s="8" t="n">
        <v>186.3</v>
      </c>
      <c r="P319" s="8" t="n">
        <v>88.3</v>
      </c>
      <c r="Q319" s="8" t="n">
        <v>1632.7</v>
      </c>
      <c r="R319" s="9">
        <f>SUM(N319,O319,P319,Q319)</f>
        <v/>
      </c>
      <c r="S319" s="9">
        <f>M319+R319</f>
        <v/>
      </c>
      <c r="T319" s="8" t="n">
        <v>1086.3</v>
      </c>
      <c r="U319" s="10">
        <f>IF(H319=0,"",T319/H319)</f>
        <v/>
      </c>
      <c r="V319" s="8" t="n">
        <v>14</v>
      </c>
      <c r="W319" s="11">
        <f>IF(H319=0,"",V319/H319)</f>
        <v/>
      </c>
      <c r="X319" s="8" t="n">
        <v>0</v>
      </c>
      <c r="Y319" s="11">
        <f>IF(H319=0,"",X319/H319)</f>
        <v/>
      </c>
      <c r="Z319" s="8" t="n">
        <v>0</v>
      </c>
      <c r="AA319" s="11">
        <f>IF(H319=0,"",Z319/H319)</f>
        <v/>
      </c>
      <c r="AB319" s="8" t="n">
        <v>0</v>
      </c>
      <c r="AC319" s="11">
        <f>IF(H319=0,"",AB319/H319)</f>
        <v/>
      </c>
      <c r="AD319" s="8" t="n">
        <v>0</v>
      </c>
      <c r="AE319" s="11">
        <f>IF(H319=0,"",AD319/H319)</f>
        <v/>
      </c>
      <c r="AF319" s="8" t="n">
        <v>0</v>
      </c>
      <c r="AG319" s="11">
        <f>IF(H319=0,"",AF319/H319)</f>
        <v/>
      </c>
      <c r="AH319" s="8" t="n">
        <v>364000</v>
      </c>
      <c r="AI319" s="9">
        <f>IF(H319=0,"",AH319/H319)</f>
        <v/>
      </c>
      <c r="AJ319" s="8" t="n">
        <v>1459.75</v>
      </c>
      <c r="AK319" s="11">
        <f>IF(H319=0,"",AJ319/H319)</f>
        <v/>
      </c>
      <c r="AL319" s="8" t="n">
        <v>430569.26275</v>
      </c>
      <c r="AM319" s="9">
        <f>IF(H319=0,"",AL319/H319)</f>
        <v/>
      </c>
      <c r="AN319" s="8" t="n">
        <v>0</v>
      </c>
      <c r="AO319" s="8" t="n">
        <v>0</v>
      </c>
      <c r="AP319" s="8" t="n">
        <v>0</v>
      </c>
      <c r="AQ319" s="8" t="n">
        <v>0</v>
      </c>
      <c r="AR319" s="8" t="n">
        <v>0</v>
      </c>
      <c r="AS319" s="8" t="n">
        <v>0</v>
      </c>
      <c r="AT319" s="8" t="n">
        <v>0</v>
      </c>
      <c r="AU319" s="9">
        <f>AH319+AL319+AP319+AQ319+AR319+AS319+AT319</f>
        <v/>
      </c>
      <c r="AV319" s="9">
        <f>IF(H319=0,"",AU319/H319)</f>
        <v/>
      </c>
      <c r="AW319" s="9">
        <f>IF(S319=0,"",AU319/S319)</f>
        <v/>
      </c>
      <c r="AX319" s="8" t="n">
        <v>3</v>
      </c>
      <c r="AY319" s="9">
        <f>IF(H319=0,"",AX319/(H319/1000/12))</f>
        <v/>
      </c>
      <c r="AZ319" s="8" t="n">
        <v>5</v>
      </c>
      <c r="BA319" s="8" t="n">
        <v>16</v>
      </c>
      <c r="BB319" s="8" t="n">
        <v>0</v>
      </c>
      <c r="BC319" s="8" t="n">
        <v>0</v>
      </c>
      <c r="BD319" s="8" t="n">
        <v>0</v>
      </c>
      <c r="BE319" s="9">
        <f>BC319+BD319</f>
        <v/>
      </c>
      <c r="BF319" s="9">
        <f>BA319+BB319-BE319</f>
        <v/>
      </c>
      <c r="BG319" s="8" t="n">
        <v>0</v>
      </c>
      <c r="BH319" s="8" t="n">
        <v>0</v>
      </c>
      <c r="BI319" s="8" t="n">
        <v>0</v>
      </c>
      <c r="BJ319" s="8" t="n">
        <v>0</v>
      </c>
      <c r="BK319" s="9">
        <f>BI319+BJ319</f>
        <v/>
      </c>
      <c r="BL319" s="9">
        <f>BG319+BH319-BK319</f>
        <v/>
      </c>
      <c r="BM319" s="8" t="n">
        <v>0</v>
      </c>
      <c r="BN319" s="8" t="n">
        <v>0</v>
      </c>
      <c r="BO319" s="8" t="n">
        <v>0</v>
      </c>
      <c r="BP319" s="8" t="n">
        <v>0</v>
      </c>
      <c r="BQ319" s="9">
        <f>BO319+BP319</f>
        <v/>
      </c>
      <c r="BR319" s="9">
        <f>BM319+BN319-BQ319</f>
        <v/>
      </c>
      <c r="BS319" s="8" t="n">
        <v>0</v>
      </c>
      <c r="BT319" s="8" t="n">
        <v>0</v>
      </c>
      <c r="BU319" s="8" t="n">
        <v>0</v>
      </c>
      <c r="BV319" s="8" t="n">
        <v>0</v>
      </c>
      <c r="BW319" s="9">
        <f>BU319+BV319</f>
        <v/>
      </c>
      <c r="BX319" s="9">
        <f>BS319+BT319-BW319</f>
        <v/>
      </c>
      <c r="BY319" s="9">
        <f>BA319+BG319+BM319+BS319</f>
        <v/>
      </c>
      <c r="BZ319" s="9">
        <f>BB319+BH319+BN319+BT319</f>
        <v/>
      </c>
      <c r="CA319" s="9">
        <f>BE319+BK319+BQ319+BW319</f>
        <v/>
      </c>
      <c r="CB319" s="9">
        <f>BF319+BL319+BR319+BX319</f>
        <v/>
      </c>
      <c r="CC319" s="8" t="n">
        <v>6</v>
      </c>
      <c r="CD319" s="8" t="n">
        <v>107</v>
      </c>
      <c r="CE319" s="8" t="n">
        <v>7</v>
      </c>
      <c r="CF319" s="8" t="n">
        <v>4</v>
      </c>
      <c r="CG319" s="8" t="n">
        <v>1</v>
      </c>
      <c r="CH319" s="9">
        <f>CD319+CE319+CF319+CG319</f>
        <v/>
      </c>
      <c r="CI319" s="8" t="n">
        <v>14</v>
      </c>
      <c r="CJ319" s="8" t="n">
        <v>4</v>
      </c>
      <c r="CK319" s="8" t="n">
        <v>0</v>
      </c>
      <c r="CL319" s="8" t="n">
        <v>0</v>
      </c>
      <c r="CM319" s="9">
        <f>CI319+CJ319+CK319+CL319</f>
        <v/>
      </c>
      <c r="CN319" s="8" t="n">
        <v>132</v>
      </c>
      <c r="CO319" s="8" t="n">
        <v>8</v>
      </c>
      <c r="CP319" s="8" t="n">
        <v>17</v>
      </c>
      <c r="CQ319" s="8" t="n">
        <v>22</v>
      </c>
      <c r="CR319" s="9">
        <f>CN319+CO319+CP319+CQ319</f>
        <v/>
      </c>
      <c r="CS319" s="9">
        <f>CM319+CR319</f>
        <v/>
      </c>
      <c r="CT319" s="8" t="n">
        <v>316</v>
      </c>
      <c r="CU319" s="8" t="n">
        <v>1946</v>
      </c>
      <c r="CV319" s="8" t="n">
        <v>1921</v>
      </c>
      <c r="CW319" s="10">
        <f>IF(CU319=0,"",CV319/CU319)</f>
        <v/>
      </c>
      <c r="CX319" s="8" t="n">
        <v>0</v>
      </c>
      <c r="CY319" s="8" t="n">
        <v>0</v>
      </c>
      <c r="CZ319" s="8" t="n">
        <v>0</v>
      </c>
      <c r="DA319" s="8" t="n">
        <v>0</v>
      </c>
      <c r="DB319" s="9">
        <f>CX319+CY319-CZ319-DA319</f>
        <v/>
      </c>
      <c r="DC319" s="8" t="n">
        <v>0</v>
      </c>
      <c r="DD319" s="8" t="n">
        <v>0</v>
      </c>
      <c r="DE319" s="8" t="n">
        <v>0</v>
      </c>
      <c r="DF319" s="8" t="n">
        <v>0</v>
      </c>
      <c r="DG319" s="9">
        <f>DC319+DD319-DE319-DF319</f>
        <v/>
      </c>
      <c r="DH319" s="8" t="n">
        <v>0</v>
      </c>
      <c r="DI319" s="8" t="n">
        <v>0</v>
      </c>
      <c r="DJ319" s="8" t="n">
        <v>0</v>
      </c>
      <c r="DK319" s="8" t="n">
        <v>0</v>
      </c>
      <c r="DL319" s="9">
        <f>DH319+DI319-DJ319-DK319</f>
        <v/>
      </c>
      <c r="DM319" s="8" t="n">
        <v>0</v>
      </c>
      <c r="DN319" s="8" t="n">
        <v>0</v>
      </c>
      <c r="DO319" s="8" t="n">
        <v>0</v>
      </c>
      <c r="DP319" s="8" t="n">
        <v>0</v>
      </c>
      <c r="DQ319" s="9">
        <f>DM319+DN319-DO319-DP319</f>
        <v/>
      </c>
      <c r="DR319" s="9">
        <f>CX319+DC319+DH319+DM319</f>
        <v/>
      </c>
      <c r="DS319" s="9">
        <f>CY319+DD319+DI319+DN319</f>
        <v/>
      </c>
      <c r="DT319" s="9">
        <f>CZ319+DE319+DJ319+DO319</f>
        <v/>
      </c>
      <c r="DU319" s="9">
        <f>DA319+DF319+DK319+DP319</f>
        <v/>
      </c>
      <c r="DV319" s="9">
        <f>DB319+DG319+DL319+DQ319</f>
        <v/>
      </c>
      <c r="DW319" s="8" t="n">
        <v>8</v>
      </c>
      <c r="DX319" s="8" t="n">
        <v>5</v>
      </c>
      <c r="DY319" s="8" t="n">
        <v>13</v>
      </c>
      <c r="DZ319" s="8" t="n">
        <v>0</v>
      </c>
      <c r="EA319" s="8" t="n">
        <v>0</v>
      </c>
      <c r="EB319" s="8" t="n">
        <v>0</v>
      </c>
      <c r="EC319" s="8" t="n">
        <v>0</v>
      </c>
      <c r="ED319" s="8" t="n">
        <v>0</v>
      </c>
      <c r="EE319" s="8" t="n">
        <v>0</v>
      </c>
      <c r="EF319" s="8" t="n">
        <v>0</v>
      </c>
      <c r="EG319" s="8" t="n">
        <v>0</v>
      </c>
      <c r="EH319" s="8" t="n">
        <v>0</v>
      </c>
      <c r="EI319" s="8" t="n">
        <v>0</v>
      </c>
      <c r="EJ319" s="8" t="n">
        <v>2</v>
      </c>
      <c r="EK319" s="8" t="n">
        <v>0</v>
      </c>
      <c r="EL319" s="8" t="n">
        <v>0</v>
      </c>
      <c r="EM319" s="8" t="n">
        <v>0</v>
      </c>
      <c r="EN319" s="8" t="n">
        <v>0</v>
      </c>
      <c r="EO319" s="8" t="n">
        <v>0</v>
      </c>
      <c r="EP319" s="8" t="n">
        <v>0</v>
      </c>
      <c r="EQ319" s="8" t="n">
        <v>0</v>
      </c>
      <c r="ER319" s="8" t="n">
        <v>0</v>
      </c>
      <c r="ES319" s="8" t="n">
        <v>0</v>
      </c>
      <c r="ET319" s="8" t="n">
        <v>0</v>
      </c>
      <c r="EU319" s="8" t="n">
        <v>0</v>
      </c>
      <c r="EV319" s="8" t="n">
        <v>0</v>
      </c>
      <c r="EW319" s="8" t="n">
        <v>0</v>
      </c>
      <c r="EX319" s="8" t="n">
        <v>0</v>
      </c>
      <c r="EY319" s="8" t="n">
        <v>0</v>
      </c>
      <c r="EZ319" s="8" t="n">
        <v>0</v>
      </c>
      <c r="FA319" s="8" t="n">
        <v>0</v>
      </c>
      <c r="FB319" s="8" t="n">
        <v>0</v>
      </c>
      <c r="FC319" s="8" t="n">
        <v>0</v>
      </c>
      <c r="FD319" s="8" t="n">
        <v>0</v>
      </c>
      <c r="FE319" s="8" t="n">
        <v>0</v>
      </c>
      <c r="FF319" s="8" t="n">
        <v>0</v>
      </c>
      <c r="FG319" s="9">
        <f>SUM(DW319,DX319,DY319,DZ319,EA319,EB319,EC319,ED319,EE319,EF319,EG319,EH319,EI319,EJ319,EK319,EL319,EM319,EN319,EO319,EP319,EQ319,ER319,ES319,ET319,EU319,EV319,EW319,EX319,EY319,EZ319,FA319,FB319,FC319,FD319,FE319,FF319)</f>
        <v/>
      </c>
      <c r="FH319" s="8" t="n">
        <v>0</v>
      </c>
      <c r="FI319" s="8" t="n">
        <v>0</v>
      </c>
      <c r="FJ319" s="8" t="n">
        <v>22</v>
      </c>
      <c r="FK319" s="8" t="n">
        <v>2.25</v>
      </c>
      <c r="FL319" s="8" t="n">
        <v>0</v>
      </c>
      <c r="FM319" s="8" t="n">
        <v>0</v>
      </c>
      <c r="FN319" s="8" t="n">
        <v>0</v>
      </c>
      <c r="FO319" s="8" t="n">
        <v>0</v>
      </c>
      <c r="FP319" s="8" t="n">
        <v>0</v>
      </c>
      <c r="FQ319" s="9">
        <f>FL319+FM319+FN319+FO319+FP319</f>
        <v/>
      </c>
      <c r="FR319" s="8" t="n">
        <v>127200</v>
      </c>
      <c r="FS319" s="8" t="n">
        <v>0</v>
      </c>
      <c r="FT319" s="8" t="n">
        <v>0</v>
      </c>
      <c r="FU319" s="8" t="n">
        <v>95700</v>
      </c>
      <c r="FV319" s="9">
        <f>FR319+FS319+FT319+FU319</f>
        <v/>
      </c>
      <c r="FW319" s="8" t="n">
        <v>949606.64</v>
      </c>
      <c r="FX319" s="8" t="n">
        <v>45600</v>
      </c>
      <c r="FY319" s="8" t="n">
        <v>7718700</v>
      </c>
      <c r="FZ319" s="8" t="n">
        <v>298000</v>
      </c>
      <c r="GA319" s="9">
        <f>FW319+FX319+FY319+FZ319</f>
        <v/>
      </c>
      <c r="GB319" s="9">
        <f>FV319+GA319</f>
        <v/>
      </c>
      <c r="GC319" s="8" t="n">
        <v>116751.98</v>
      </c>
      <c r="GD319" s="8" t="n">
        <v>0</v>
      </c>
      <c r="GE319" s="8" t="n">
        <v>573228.45</v>
      </c>
      <c r="GF319" s="8" t="n">
        <v>0</v>
      </c>
      <c r="GG319" s="9">
        <f>GC319+GD319+GE319+GF319</f>
        <v/>
      </c>
      <c r="GH319" s="8" t="n">
        <v>932506.64</v>
      </c>
      <c r="GI319" s="8" t="n">
        <v>39600</v>
      </c>
      <c r="GJ319" s="8" t="n">
        <v>268000</v>
      </c>
      <c r="GK319" s="8" t="n">
        <v>7718700</v>
      </c>
      <c r="GL319" s="9">
        <f>GH319+GI319+GJ319+GK319</f>
        <v/>
      </c>
      <c r="GM319" s="9">
        <f>GG319+GL319</f>
        <v/>
      </c>
      <c r="GN319" s="8" t="n">
        <v>7629.02</v>
      </c>
      <c r="GO319" s="8" t="n">
        <v>0</v>
      </c>
      <c r="GP319" s="8" t="n">
        <v>13574.56</v>
      </c>
      <c r="GQ319" s="8" t="n">
        <v>0</v>
      </c>
      <c r="GR319" s="9">
        <f>GN319+GO319+GP319+GQ319</f>
        <v/>
      </c>
      <c r="GS319" s="8" t="n">
        <v>12502</v>
      </c>
      <c r="GT319" s="8" t="n">
        <v>0</v>
      </c>
      <c r="GU319" s="8" t="n">
        <v>3572</v>
      </c>
      <c r="GV319" s="8" t="n">
        <v>0</v>
      </c>
      <c r="GW319" s="9">
        <f>GS319+GT319+GU319+GV319</f>
        <v/>
      </c>
      <c r="GX319" s="9">
        <f>GM319+GR319+GW319</f>
        <v/>
      </c>
      <c r="GY319" s="8" t="n">
        <v>10795062.00000001</v>
      </c>
      <c r="GZ319" s="8" t="n">
        <v>-29150.51</v>
      </c>
      <c r="HA319" s="9">
        <f>GY319+GZ319</f>
        <v/>
      </c>
      <c r="HB319" s="9">
        <f>IF(GX319=0,"",AU319/GX319)</f>
        <v/>
      </c>
      <c r="HC319" s="10">
        <f>IF((GX319+GY319)=0,"",GB319/(GX319+GY319))</f>
        <v/>
      </c>
      <c r="HD319" s="9">
        <f>IF(GX319=0,"",GB319/GX319)</f>
        <v/>
      </c>
      <c r="HE319" s="8" t="n">
        <v>3</v>
      </c>
      <c r="HF319" s="8" t="n">
        <v>1</v>
      </c>
      <c r="HG319" s="8" t="n">
        <v>16</v>
      </c>
      <c r="HH319" s="8" t="n">
        <v>0</v>
      </c>
      <c r="HI319" s="8" t="n">
        <v>0</v>
      </c>
      <c r="HJ319" s="9">
        <f>HF319+HI319</f>
        <v/>
      </c>
      <c r="HK319" s="10">
        <f>IF(HE319=0,"",HH319/HE319)</f>
        <v/>
      </c>
      <c r="HL319" s="8" t="n">
        <v>6</v>
      </c>
      <c r="HM319" s="8" t="n">
        <v>1</v>
      </c>
      <c r="HN319" s="11">
        <f>IF(HL319=0,"",HM319/HL319)</f>
        <v/>
      </c>
    </row>
    <row r="320">
      <c r="A320" s="12" t="inlineStr">
        <is>
          <t>Zomba</t>
        </is>
      </c>
      <c r="B320" s="12" t="inlineStr">
        <is>
          <t>Kuchawe</t>
        </is>
      </c>
      <c r="C320" s="13" t="inlineStr">
        <is>
          <t>FY2025/26</t>
        </is>
      </c>
      <c r="D320" s="13" t="n">
        <v>2025</v>
      </c>
      <c r="E320" s="13" t="n">
        <v>9</v>
      </c>
      <c r="F320" s="13" t="inlineStr">
        <is>
          <t>September</t>
        </is>
      </c>
      <c r="G320" s="13" t="inlineStr">
        <is>
          <t>Q2</t>
        </is>
      </c>
      <c r="H320" s="14" t="n">
        <v>4606</v>
      </c>
      <c r="I320" s="14" t="n">
        <v>206</v>
      </c>
      <c r="J320" s="14" t="n">
        <v>2</v>
      </c>
      <c r="K320" s="14" t="n">
        <v>210</v>
      </c>
      <c r="L320" s="14" t="n">
        <v>0</v>
      </c>
      <c r="M320" s="15">
        <f>SUM(I320,J320,K320,L320)</f>
        <v/>
      </c>
      <c r="N320" s="14" t="n">
        <v>609.1</v>
      </c>
      <c r="O320" s="14" t="n">
        <v>231.5</v>
      </c>
      <c r="P320" s="14" t="n">
        <v>23.7</v>
      </c>
      <c r="Q320" s="14" t="n">
        <v>2421.4</v>
      </c>
      <c r="R320" s="15">
        <f>SUM(N320,O320,P320,Q320)</f>
        <v/>
      </c>
      <c r="S320" s="15">
        <f>M320+R320</f>
        <v/>
      </c>
      <c r="T320" s="14" t="n">
        <v>902.3</v>
      </c>
      <c r="U320" s="16">
        <f>IF(H320=0,"",T320/H320)</f>
        <v/>
      </c>
      <c r="V320" s="14" t="n">
        <v>16</v>
      </c>
      <c r="W320" s="17">
        <f>IF(H320=0,"",V320/H320)</f>
        <v/>
      </c>
      <c r="X320" s="14" t="n">
        <v>0</v>
      </c>
      <c r="Y320" s="17">
        <f>IF(H320=0,"",X320/H320)</f>
        <v/>
      </c>
      <c r="Z320" s="14" t="n">
        <v>0</v>
      </c>
      <c r="AA320" s="17">
        <f>IF(H320=0,"",Z320/H320)</f>
        <v/>
      </c>
      <c r="AB320" s="14" t="n">
        <v>0</v>
      </c>
      <c r="AC320" s="17">
        <f>IF(H320=0,"",AB320/H320)</f>
        <v/>
      </c>
      <c r="AD320" s="14" t="n">
        <v>0</v>
      </c>
      <c r="AE320" s="17">
        <f>IF(H320=0,"",AD320/H320)</f>
        <v/>
      </c>
      <c r="AF320" s="14" t="n">
        <v>0</v>
      </c>
      <c r="AG320" s="17">
        <f>IF(H320=0,"",AF320/H320)</f>
        <v/>
      </c>
      <c r="AH320" s="14" t="n">
        <v>416000</v>
      </c>
      <c r="AI320" s="15">
        <f>IF(H320=0,"",AH320/H320)</f>
        <v/>
      </c>
      <c r="AJ320" s="14" t="n">
        <v>1604.57</v>
      </c>
      <c r="AK320" s="17">
        <f>IF(H320=0,"",AJ320/H320)</f>
        <v/>
      </c>
      <c r="AL320" s="14" t="n">
        <v>470149.87213</v>
      </c>
      <c r="AM320" s="15">
        <f>IF(H320=0,"",AL320/H320)</f>
        <v/>
      </c>
      <c r="AN320" s="14" t="n">
        <v>0</v>
      </c>
      <c r="AO320" s="14" t="n">
        <v>0</v>
      </c>
      <c r="AP320" s="14" t="n">
        <v>0</v>
      </c>
      <c r="AQ320" s="14" t="n">
        <v>0</v>
      </c>
      <c r="AR320" s="14" t="n">
        <v>0</v>
      </c>
      <c r="AS320" s="14" t="n">
        <v>0</v>
      </c>
      <c r="AT320" s="14" t="n">
        <v>0</v>
      </c>
      <c r="AU320" s="15">
        <f>AH320+AL320+AP320+AQ320+AR320+AS320+AT320</f>
        <v/>
      </c>
      <c r="AV320" s="15">
        <f>IF(H320=0,"",AU320/H320)</f>
        <v/>
      </c>
      <c r="AW320" s="15">
        <f>IF(S320=0,"",AU320/S320)</f>
        <v/>
      </c>
      <c r="AX320" s="14" t="n">
        <v>3</v>
      </c>
      <c r="AY320" s="15">
        <f>IF(H320=0,"",AX320/(H320/1000/12))</f>
        <v/>
      </c>
      <c r="AZ320" s="14" t="n">
        <v>5</v>
      </c>
      <c r="BA320" s="14" t="n">
        <v>16</v>
      </c>
      <c r="BB320" s="14" t="n">
        <v>0</v>
      </c>
      <c r="BC320" s="14" t="n">
        <v>0</v>
      </c>
      <c r="BD320" s="14" t="n">
        <v>0</v>
      </c>
      <c r="BE320" s="15">
        <f>BC320+BD320</f>
        <v/>
      </c>
      <c r="BF320" s="15">
        <f>BA320+BB320-BE320</f>
        <v/>
      </c>
      <c r="BG320" s="14" t="n">
        <v>0</v>
      </c>
      <c r="BH320" s="14" t="n">
        <v>0</v>
      </c>
      <c r="BI320" s="14" t="n">
        <v>0</v>
      </c>
      <c r="BJ320" s="14" t="n">
        <v>0</v>
      </c>
      <c r="BK320" s="15">
        <f>BI320+BJ320</f>
        <v/>
      </c>
      <c r="BL320" s="15">
        <f>BG320+BH320-BK320</f>
        <v/>
      </c>
      <c r="BM320" s="14" t="n">
        <v>0</v>
      </c>
      <c r="BN320" s="14" t="n">
        <v>0</v>
      </c>
      <c r="BO320" s="14" t="n">
        <v>0</v>
      </c>
      <c r="BP320" s="14" t="n">
        <v>0</v>
      </c>
      <c r="BQ320" s="15">
        <f>BO320+BP320</f>
        <v/>
      </c>
      <c r="BR320" s="15">
        <f>BM320+BN320-BQ320</f>
        <v/>
      </c>
      <c r="BS320" s="14" t="n">
        <v>0</v>
      </c>
      <c r="BT320" s="14" t="n">
        <v>0</v>
      </c>
      <c r="BU320" s="14" t="n">
        <v>0</v>
      </c>
      <c r="BV320" s="14" t="n">
        <v>0</v>
      </c>
      <c r="BW320" s="15">
        <f>BU320+BV320</f>
        <v/>
      </c>
      <c r="BX320" s="15">
        <f>BS320+BT320-BW320</f>
        <v/>
      </c>
      <c r="BY320" s="15">
        <f>BA320+BG320+BM320+BS320</f>
        <v/>
      </c>
      <c r="BZ320" s="15">
        <f>BB320+BH320+BN320+BT320</f>
        <v/>
      </c>
      <c r="CA320" s="15">
        <f>BE320+BK320+BQ320+BW320</f>
        <v/>
      </c>
      <c r="CB320" s="15">
        <f>BF320+BL320+BR320+BX320</f>
        <v/>
      </c>
      <c r="CC320" s="14" t="n">
        <v>16</v>
      </c>
      <c r="CD320" s="14" t="n">
        <v>92</v>
      </c>
      <c r="CE320" s="14" t="n">
        <v>7</v>
      </c>
      <c r="CF320" s="14" t="n">
        <v>4</v>
      </c>
      <c r="CG320" s="14" t="n">
        <v>0</v>
      </c>
      <c r="CH320" s="15">
        <f>CD320+CE320+CF320+CG320</f>
        <v/>
      </c>
      <c r="CI320" s="14" t="n">
        <v>29</v>
      </c>
      <c r="CJ320" s="14" t="n">
        <v>4</v>
      </c>
      <c r="CK320" s="14" t="n">
        <v>0</v>
      </c>
      <c r="CL320" s="14" t="n">
        <v>1</v>
      </c>
      <c r="CM320" s="15">
        <f>CI320+CJ320+CK320+CL320</f>
        <v/>
      </c>
      <c r="CN320" s="14" t="n">
        <v>132</v>
      </c>
      <c r="CO320" s="14" t="n">
        <v>8</v>
      </c>
      <c r="CP320" s="14" t="n">
        <v>17</v>
      </c>
      <c r="CQ320" s="14" t="n">
        <v>22</v>
      </c>
      <c r="CR320" s="15">
        <f>CN320+CO320+CP320+CQ320</f>
        <v/>
      </c>
      <c r="CS320" s="15">
        <f>CM320+CR320</f>
        <v/>
      </c>
      <c r="CT320" s="14" t="n">
        <v>316</v>
      </c>
      <c r="CU320" s="14" t="n">
        <v>1970</v>
      </c>
      <c r="CV320" s="14" t="n">
        <v>1921</v>
      </c>
      <c r="CW320" s="16">
        <f>IF(CU320=0,"",CV320/CU320)</f>
        <v/>
      </c>
      <c r="CX320" s="14" t="n">
        <v>0</v>
      </c>
      <c r="CY320" s="14" t="n">
        <v>0</v>
      </c>
      <c r="CZ320" s="14" t="n">
        <v>0</v>
      </c>
      <c r="DA320" s="14" t="n">
        <v>0</v>
      </c>
      <c r="DB320" s="15">
        <f>CX320+CY320-CZ320-DA320</f>
        <v/>
      </c>
      <c r="DC320" s="14" t="n">
        <v>0</v>
      </c>
      <c r="DD320" s="14" t="n">
        <v>0</v>
      </c>
      <c r="DE320" s="14" t="n">
        <v>0</v>
      </c>
      <c r="DF320" s="14" t="n">
        <v>0</v>
      </c>
      <c r="DG320" s="15">
        <f>DC320+DD320-DE320-DF320</f>
        <v/>
      </c>
      <c r="DH320" s="14" t="n">
        <v>0</v>
      </c>
      <c r="DI320" s="14" t="n">
        <v>0</v>
      </c>
      <c r="DJ320" s="14" t="n">
        <v>0</v>
      </c>
      <c r="DK320" s="14" t="n">
        <v>0</v>
      </c>
      <c r="DL320" s="15">
        <f>DH320+DI320-DJ320-DK320</f>
        <v/>
      </c>
      <c r="DM320" s="14" t="n">
        <v>0</v>
      </c>
      <c r="DN320" s="14" t="n">
        <v>0</v>
      </c>
      <c r="DO320" s="14" t="n">
        <v>0</v>
      </c>
      <c r="DP320" s="14" t="n">
        <v>0</v>
      </c>
      <c r="DQ320" s="15">
        <f>DM320+DN320-DO320-DP320</f>
        <v/>
      </c>
      <c r="DR320" s="15">
        <f>CX320+DC320+DH320+DM320</f>
        <v/>
      </c>
      <c r="DS320" s="15">
        <f>CY320+DD320+DI320+DN320</f>
        <v/>
      </c>
      <c r="DT320" s="15">
        <f>CZ320+DE320+DJ320+DO320</f>
        <v/>
      </c>
      <c r="DU320" s="15">
        <f>DA320+DF320+DK320+DP320</f>
        <v/>
      </c>
      <c r="DV320" s="15">
        <f>DB320+DG320+DL320+DQ320</f>
        <v/>
      </c>
      <c r="DW320" s="14" t="n">
        <v>9</v>
      </c>
      <c r="DX320" s="14" t="n">
        <v>8</v>
      </c>
      <c r="DY320" s="14" t="n">
        <v>14</v>
      </c>
      <c r="DZ320" s="14" t="n">
        <v>1</v>
      </c>
      <c r="EA320" s="14" t="n">
        <v>3</v>
      </c>
      <c r="EB320" s="14" t="n">
        <v>2</v>
      </c>
      <c r="EC320" s="14" t="n">
        <v>1</v>
      </c>
      <c r="ED320" s="14" t="n">
        <v>1</v>
      </c>
      <c r="EE320" s="14" t="n">
        <v>1</v>
      </c>
      <c r="EF320" s="14" t="n">
        <v>0</v>
      </c>
      <c r="EG320" s="14" t="n">
        <v>0</v>
      </c>
      <c r="EH320" s="14" t="n">
        <v>0</v>
      </c>
      <c r="EI320" s="14" t="n">
        <v>0</v>
      </c>
      <c r="EJ320" s="14" t="n">
        <v>0</v>
      </c>
      <c r="EK320" s="14" t="n">
        <v>0</v>
      </c>
      <c r="EL320" s="14" t="n">
        <v>0</v>
      </c>
      <c r="EM320" s="14" t="n">
        <v>0</v>
      </c>
      <c r="EN320" s="14" t="n">
        <v>0</v>
      </c>
      <c r="EO320" s="14" t="n">
        <v>0</v>
      </c>
      <c r="EP320" s="14" t="n">
        <v>0</v>
      </c>
      <c r="EQ320" s="14" t="n">
        <v>0</v>
      </c>
      <c r="ER320" s="14" t="n">
        <v>0</v>
      </c>
      <c r="ES320" s="14" t="n">
        <v>0</v>
      </c>
      <c r="ET320" s="14" t="n">
        <v>0</v>
      </c>
      <c r="EU320" s="14" t="n">
        <v>0</v>
      </c>
      <c r="EV320" s="14" t="n">
        <v>0</v>
      </c>
      <c r="EW320" s="14" t="n">
        <v>0</v>
      </c>
      <c r="EX320" s="14" t="n">
        <v>0</v>
      </c>
      <c r="EY320" s="14" t="n">
        <v>0</v>
      </c>
      <c r="EZ320" s="14" t="n">
        <v>0</v>
      </c>
      <c r="FA320" s="14" t="n">
        <v>0</v>
      </c>
      <c r="FB320" s="14" t="n">
        <v>0</v>
      </c>
      <c r="FC320" s="14" t="n">
        <v>0</v>
      </c>
      <c r="FD320" s="14" t="n">
        <v>0</v>
      </c>
      <c r="FE320" s="14" t="n">
        <v>0</v>
      </c>
      <c r="FF320" s="14" t="n">
        <v>0</v>
      </c>
      <c r="FG320" s="15">
        <f>SUM(DW320,DX320,DY320,DZ320,EA320,EB320,EC320,ED320,EE320,EF320,EG320,EH320,EI320,EJ320,EK320,EL320,EM320,EN320,EO320,EP320,EQ320,ER320,ES320,ET320,EU320,EV320,EW320,EX320,EY320,EZ320,FA320,FB320,FC320,FD320,FE320,FF320)</f>
        <v/>
      </c>
      <c r="FH320" s="14" t="n">
        <v>0</v>
      </c>
      <c r="FI320" s="14" t="n">
        <v>0</v>
      </c>
      <c r="FJ320" s="14" t="n">
        <v>21</v>
      </c>
      <c r="FK320" s="14" t="n">
        <v>5.8</v>
      </c>
      <c r="FL320" s="14" t="n">
        <v>0</v>
      </c>
      <c r="FM320" s="14" t="n">
        <v>0</v>
      </c>
      <c r="FN320" s="14" t="n">
        <v>0</v>
      </c>
      <c r="FO320" s="14" t="n">
        <v>0</v>
      </c>
      <c r="FP320" s="14" t="n">
        <v>0</v>
      </c>
      <c r="FQ320" s="15">
        <f>FL320+FM320+FN320+FO320+FP320</f>
        <v/>
      </c>
      <c r="FR320" s="14" t="n">
        <v>21800</v>
      </c>
      <c r="FS320" s="14" t="n">
        <v>0</v>
      </c>
      <c r="FT320" s="14" t="n">
        <v>0</v>
      </c>
      <c r="FU320" s="14" t="n">
        <v>0</v>
      </c>
      <c r="FV320" s="15">
        <f>FR320+FS320+FT320+FU320</f>
        <v/>
      </c>
      <c r="FW320" s="14" t="n">
        <v>783944.36</v>
      </c>
      <c r="FX320" s="14" t="n">
        <v>60600</v>
      </c>
      <c r="FY320" s="14" t="n">
        <v>11447000</v>
      </c>
      <c r="FZ320" s="14" t="n">
        <v>71500</v>
      </c>
      <c r="GA320" s="15">
        <f>FW320+FX320+FY320+FZ320</f>
        <v/>
      </c>
      <c r="GB320" s="15">
        <f>FV320+GA320</f>
        <v/>
      </c>
      <c r="GC320" s="14" t="n">
        <v>213384.03</v>
      </c>
      <c r="GD320" s="14" t="n">
        <v>382.56</v>
      </c>
      <c r="GE320" s="14" t="n">
        <v>678877.4</v>
      </c>
      <c r="GF320" s="14" t="n">
        <v>0</v>
      </c>
      <c r="GG320" s="15">
        <f>GC320+GD320+GE320+GF320</f>
        <v/>
      </c>
      <c r="GH320" s="14" t="n">
        <v>760262.25</v>
      </c>
      <c r="GI320" s="14" t="n">
        <v>49200</v>
      </c>
      <c r="GJ320" s="14" t="n">
        <v>71500</v>
      </c>
      <c r="GK320" s="14" t="n">
        <v>11447000</v>
      </c>
      <c r="GL320" s="15">
        <f>GH320+GI320+GJ320+GK320</f>
        <v/>
      </c>
      <c r="GM320" s="15">
        <f>GG320+GL320</f>
        <v/>
      </c>
      <c r="GN320" s="14" t="n">
        <v>16027.83</v>
      </c>
      <c r="GO320" s="14" t="n">
        <v>191.28</v>
      </c>
      <c r="GP320" s="14" t="n">
        <v>13574.56</v>
      </c>
      <c r="GQ320" s="14" t="n">
        <v>0</v>
      </c>
      <c r="GR320" s="15">
        <f>GN320+GO320+GP320+GQ320</f>
        <v/>
      </c>
      <c r="GS320" s="14" t="n">
        <v>25897</v>
      </c>
      <c r="GT320" s="14" t="n">
        <v>893</v>
      </c>
      <c r="GU320" s="14" t="n">
        <v>3572</v>
      </c>
      <c r="GV320" s="14" t="n">
        <v>0</v>
      </c>
      <c r="GW320" s="15">
        <f>GS320+GT320+GU320+GV320</f>
        <v/>
      </c>
      <c r="GX320" s="15">
        <f>GM320+GR320+GW320</f>
        <v/>
      </c>
      <c r="GY320" s="14" t="n">
        <v>10386074.62000001</v>
      </c>
      <c r="GZ320" s="14" t="n">
        <v>-29150.51</v>
      </c>
      <c r="HA320" s="9">
        <f>GY320+GZ320</f>
        <v/>
      </c>
      <c r="HB320" s="15">
        <f>IF(GX320=0,"",AU320/GX320)</f>
        <v/>
      </c>
      <c r="HC320" s="16">
        <f>IF((GX320+GY320)=0,"",GB320/(GX320+GY320))</f>
        <v/>
      </c>
      <c r="HD320" s="15">
        <f>IF(GX320=0,"",GB320/GX320)</f>
        <v/>
      </c>
      <c r="HE320" s="14" t="n">
        <v>2</v>
      </c>
      <c r="HF320" s="14" t="n">
        <v>1</v>
      </c>
      <c r="HG320" s="14" t="n">
        <v>16</v>
      </c>
      <c r="HH320" s="14" t="n">
        <v>0</v>
      </c>
      <c r="HI320" s="14" t="n">
        <v>0</v>
      </c>
      <c r="HJ320" s="15">
        <f>HF320+HI320</f>
        <v/>
      </c>
      <c r="HK320" s="16">
        <f>IF(HE320=0,"",HH320/HE320)</f>
        <v/>
      </c>
      <c r="HL320" s="14" t="n">
        <v>3</v>
      </c>
      <c r="HM320" s="14" t="n">
        <v>2</v>
      </c>
      <c r="HN320" s="17">
        <f>IF(HL320=0,"",HM320/HL320)</f>
        <v/>
      </c>
    </row>
    <row r="321">
      <c r="A321" s="6" t="inlineStr">
        <is>
          <t>Zomba</t>
        </is>
      </c>
      <c r="B321" s="6" t="inlineStr">
        <is>
          <t>Kuchawe</t>
        </is>
      </c>
      <c r="C321" s="7" t="inlineStr">
        <is>
          <t>FY2025/26</t>
        </is>
      </c>
      <c r="D321" s="7" t="n">
        <v>2025</v>
      </c>
      <c r="E321" s="7" t="n">
        <v>10</v>
      </c>
      <c r="F321" s="7" t="inlineStr">
        <is>
          <t>October</t>
        </is>
      </c>
      <c r="G321" s="7" t="inlineStr">
        <is>
          <t>Q3</t>
        </is>
      </c>
      <c r="H321" s="8" t="n">
        <v>5018</v>
      </c>
      <c r="I321" s="8" t="n">
        <v>301</v>
      </c>
      <c r="J321" s="8" t="n">
        <v>1</v>
      </c>
      <c r="K321" s="8" t="n">
        <v>167</v>
      </c>
      <c r="L321" s="8" t="n">
        <v>0</v>
      </c>
      <c r="M321" s="9">
        <f>SUM(I321,J321,K321,L321)</f>
        <v/>
      </c>
      <c r="N321" s="8" t="n">
        <v>1019.8</v>
      </c>
      <c r="O321" s="8" t="n">
        <v>233.5</v>
      </c>
      <c r="P321" s="8" t="n">
        <v>1647.4</v>
      </c>
      <c r="Q321" s="8" t="n">
        <v>1414.7</v>
      </c>
      <c r="R321" s="9">
        <f>SUM(N321,O321,P321,Q321)</f>
        <v/>
      </c>
      <c r="S321" s="9">
        <f>M321+R321</f>
        <v/>
      </c>
      <c r="T321" s="8" t="n">
        <v>233.6</v>
      </c>
      <c r="U321" s="10">
        <f>IF(H321=0,"",T321/H321)</f>
        <v/>
      </c>
      <c r="V321" s="8" t="n">
        <v>15</v>
      </c>
      <c r="W321" s="11">
        <f>IF(H321=0,"",V321/H321)</f>
        <v/>
      </c>
      <c r="X321" s="8" t="n">
        <v>0</v>
      </c>
      <c r="Y321" s="11">
        <f>IF(H321=0,"",X321/H321)</f>
        <v/>
      </c>
      <c r="Z321" s="8" t="n">
        <v>0</v>
      </c>
      <c r="AA321" s="11">
        <f>IF(H321=0,"",Z321/H321)</f>
        <v/>
      </c>
      <c r="AB321" s="8" t="n">
        <v>0</v>
      </c>
      <c r="AC321" s="11">
        <f>IF(H321=0,"",AB321/H321)</f>
        <v/>
      </c>
      <c r="AD321" s="8" t="n">
        <v>0</v>
      </c>
      <c r="AE321" s="11">
        <f>IF(H321=0,"",AD321/H321)</f>
        <v/>
      </c>
      <c r="AF321" s="8" t="n">
        <v>0</v>
      </c>
      <c r="AG321" s="11">
        <f>IF(H321=0,"",AF321/H321)</f>
        <v/>
      </c>
      <c r="AH321" s="8" t="n">
        <v>390000</v>
      </c>
      <c r="AI321" s="9">
        <f>IF(H321=0,"",AH321/H321)</f>
        <v/>
      </c>
      <c r="AJ321" s="8" t="n">
        <v>1211.8</v>
      </c>
      <c r="AK321" s="11">
        <f>IF(H321=0,"",AJ321/H321)</f>
        <v/>
      </c>
      <c r="AL321" s="8" t="n">
        <v>362802.2962</v>
      </c>
      <c r="AM321" s="9">
        <f>IF(H321=0,"",AL321/H321)</f>
        <v/>
      </c>
      <c r="AN321" s="8" t="n">
        <v>0</v>
      </c>
      <c r="AO321" s="8" t="n">
        <v>0</v>
      </c>
      <c r="AP321" s="8" t="n">
        <v>0</v>
      </c>
      <c r="AQ321" s="8" t="n">
        <v>0</v>
      </c>
      <c r="AR321" s="8" t="n">
        <v>0</v>
      </c>
      <c r="AS321" s="8" t="n">
        <v>0</v>
      </c>
      <c r="AT321" s="8" t="n">
        <v>0</v>
      </c>
      <c r="AU321" s="9">
        <f>AH321+AL321+AP321+AQ321+AR321+AS321+AT321</f>
        <v/>
      </c>
      <c r="AV321" s="9">
        <f>IF(H321=0,"",AU321/H321)</f>
        <v/>
      </c>
      <c r="AW321" s="9">
        <f>IF(S321=0,"",AU321/S321)</f>
        <v/>
      </c>
      <c r="AX321" s="8" t="n">
        <v>3</v>
      </c>
      <c r="AY321" s="9">
        <f>IF(H321=0,"",AX321/(H321/1000/12))</f>
        <v/>
      </c>
      <c r="AZ321" s="8" t="n">
        <v>5</v>
      </c>
      <c r="BA321" s="8" t="n">
        <v>16</v>
      </c>
      <c r="BB321" s="8" t="n">
        <v>0</v>
      </c>
      <c r="BC321" s="8" t="n">
        <v>12</v>
      </c>
      <c r="BD321" s="8" t="n">
        <v>0</v>
      </c>
      <c r="BE321" s="9">
        <f>BC321+BD321</f>
        <v/>
      </c>
      <c r="BF321" s="9">
        <f>BA321+BB321-BE321</f>
        <v/>
      </c>
      <c r="BG321" s="8" t="n">
        <v>0</v>
      </c>
      <c r="BH321" s="8" t="n">
        <v>0</v>
      </c>
      <c r="BI321" s="8" t="n">
        <v>0</v>
      </c>
      <c r="BJ321" s="8" t="n">
        <v>0</v>
      </c>
      <c r="BK321" s="9">
        <f>BI321+BJ321</f>
        <v/>
      </c>
      <c r="BL321" s="9">
        <f>BG321+BH321-BK321</f>
        <v/>
      </c>
      <c r="BM321" s="8" t="n">
        <v>0</v>
      </c>
      <c r="BN321" s="8" t="n">
        <v>0</v>
      </c>
      <c r="BO321" s="8" t="n">
        <v>0</v>
      </c>
      <c r="BP321" s="8" t="n">
        <v>0</v>
      </c>
      <c r="BQ321" s="9">
        <f>BO321+BP321</f>
        <v/>
      </c>
      <c r="BR321" s="9">
        <f>BM321+BN321-BQ321</f>
        <v/>
      </c>
      <c r="BS321" s="8" t="n">
        <v>0</v>
      </c>
      <c r="BT321" s="8" t="n">
        <v>0</v>
      </c>
      <c r="BU321" s="8" t="n">
        <v>0</v>
      </c>
      <c r="BV321" s="8" t="n">
        <v>0</v>
      </c>
      <c r="BW321" s="9">
        <f>BU321+BV321</f>
        <v/>
      </c>
      <c r="BX321" s="9">
        <f>BS321+BT321-BW321</f>
        <v/>
      </c>
      <c r="BY321" s="9">
        <f>BA321+BG321+BM321+BS321</f>
        <v/>
      </c>
      <c r="BZ321" s="9">
        <f>BB321+BH321+BN321+BT321</f>
        <v/>
      </c>
      <c r="CA321" s="9">
        <f>BE321+BK321+BQ321+BW321</f>
        <v/>
      </c>
      <c r="CB321" s="9">
        <f>BF321+BL321+BR321+BX321</f>
        <v/>
      </c>
      <c r="CC321" s="8" t="n">
        <v>29</v>
      </c>
      <c r="CD321" s="8" t="n">
        <v>76</v>
      </c>
      <c r="CE321" s="8" t="n">
        <v>7</v>
      </c>
      <c r="CF321" s="8" t="n">
        <v>3</v>
      </c>
      <c r="CG321" s="8" t="n">
        <v>0</v>
      </c>
      <c r="CH321" s="9">
        <f>CD321+CE321+CF321+CG321</f>
        <v/>
      </c>
      <c r="CI321" s="8" t="n">
        <v>34</v>
      </c>
      <c r="CJ321" s="8" t="n">
        <v>4</v>
      </c>
      <c r="CK321" s="8" t="n">
        <v>0</v>
      </c>
      <c r="CL321" s="8" t="n">
        <v>1</v>
      </c>
      <c r="CM321" s="9">
        <f>CI321+CJ321+CK321+CL321</f>
        <v/>
      </c>
      <c r="CN321" s="8" t="n">
        <v>155</v>
      </c>
      <c r="CO321" s="8" t="n">
        <v>8</v>
      </c>
      <c r="CP321" s="8" t="n">
        <v>18</v>
      </c>
      <c r="CQ321" s="8" t="n">
        <v>22</v>
      </c>
      <c r="CR321" s="9">
        <f>CN321+CO321+CP321+CQ321</f>
        <v/>
      </c>
      <c r="CS321" s="9">
        <f>CM321+CR321</f>
        <v/>
      </c>
      <c r="CT321" s="8" t="n">
        <v>328</v>
      </c>
      <c r="CU321" s="8" t="n">
        <v>1974</v>
      </c>
      <c r="CV321" s="8" t="n">
        <v>1972.6</v>
      </c>
      <c r="CW321" s="10">
        <f>IF(CU321=0,"",CV321/CU321)</f>
        <v/>
      </c>
      <c r="CX321" s="8" t="n">
        <v>0</v>
      </c>
      <c r="CY321" s="8" t="n">
        <v>0</v>
      </c>
      <c r="CZ321" s="8" t="n">
        <v>0</v>
      </c>
      <c r="DA321" s="8" t="n">
        <v>0</v>
      </c>
      <c r="DB321" s="9">
        <f>CX321+CY321-CZ321-DA321</f>
        <v/>
      </c>
      <c r="DC321" s="8" t="n">
        <v>0</v>
      </c>
      <c r="DD321" s="8" t="n">
        <v>0</v>
      </c>
      <c r="DE321" s="8" t="n">
        <v>0</v>
      </c>
      <c r="DF321" s="8" t="n">
        <v>0</v>
      </c>
      <c r="DG321" s="9">
        <f>DC321+DD321-DE321-DF321</f>
        <v/>
      </c>
      <c r="DH321" s="8" t="n">
        <v>0</v>
      </c>
      <c r="DI321" s="8" t="n">
        <v>0</v>
      </c>
      <c r="DJ321" s="8" t="n">
        <v>0</v>
      </c>
      <c r="DK321" s="8" t="n">
        <v>0</v>
      </c>
      <c r="DL321" s="9">
        <f>DH321+DI321-DJ321-DK321</f>
        <v/>
      </c>
      <c r="DM321" s="8" t="n">
        <v>0</v>
      </c>
      <c r="DN321" s="8" t="n">
        <v>0</v>
      </c>
      <c r="DO321" s="8" t="n">
        <v>0</v>
      </c>
      <c r="DP321" s="8" t="n">
        <v>0</v>
      </c>
      <c r="DQ321" s="9">
        <f>DM321+DN321-DO321-DP321</f>
        <v/>
      </c>
      <c r="DR321" s="9">
        <f>CX321+DC321+DH321+DM321</f>
        <v/>
      </c>
      <c r="DS321" s="9">
        <f>CY321+DD321+DI321+DN321</f>
        <v/>
      </c>
      <c r="DT321" s="9">
        <f>CZ321+DE321+DJ321+DO321</f>
        <v/>
      </c>
      <c r="DU321" s="9">
        <f>DA321+DF321+DK321+DP321</f>
        <v/>
      </c>
      <c r="DV321" s="9">
        <f>DB321+DG321+DL321+DQ321</f>
        <v/>
      </c>
      <c r="DW321" s="8" t="n">
        <v>15</v>
      </c>
      <c r="DX321" s="8" t="n">
        <v>12</v>
      </c>
      <c r="DY321" s="8" t="n">
        <v>11</v>
      </c>
      <c r="DZ321" s="8" t="n">
        <v>1</v>
      </c>
      <c r="EA321" s="8" t="n">
        <v>4</v>
      </c>
      <c r="EB321" s="8" t="n">
        <v>0</v>
      </c>
      <c r="EC321" s="8" t="n">
        <v>0</v>
      </c>
      <c r="ED321" s="8" t="n">
        <v>0</v>
      </c>
      <c r="EE321" s="8" t="n">
        <v>0</v>
      </c>
      <c r="EF321" s="8" t="n">
        <v>0</v>
      </c>
      <c r="EG321" s="8" t="n">
        <v>0</v>
      </c>
      <c r="EH321" s="8" t="n">
        <v>0</v>
      </c>
      <c r="EI321" s="8" t="n">
        <v>0</v>
      </c>
      <c r="EJ321" s="8" t="n">
        <v>2</v>
      </c>
      <c r="EK321" s="8" t="n">
        <v>0</v>
      </c>
      <c r="EL321" s="8" t="n">
        <v>0</v>
      </c>
      <c r="EM321" s="8" t="n">
        <v>0</v>
      </c>
      <c r="EN321" s="8" t="n">
        <v>0</v>
      </c>
      <c r="EO321" s="8" t="n">
        <v>0</v>
      </c>
      <c r="EP321" s="8" t="n">
        <v>0</v>
      </c>
      <c r="EQ321" s="8" t="n">
        <v>0</v>
      </c>
      <c r="ER321" s="8" t="n">
        <v>0</v>
      </c>
      <c r="ES321" s="8" t="n">
        <v>0</v>
      </c>
      <c r="ET321" s="8" t="n">
        <v>0</v>
      </c>
      <c r="EU321" s="8" t="n">
        <v>0</v>
      </c>
      <c r="EV321" s="8" t="n">
        <v>0</v>
      </c>
      <c r="EW321" s="8" t="n">
        <v>0</v>
      </c>
      <c r="EX321" s="8" t="n">
        <v>0</v>
      </c>
      <c r="EY321" s="8" t="n">
        <v>0</v>
      </c>
      <c r="EZ321" s="8" t="n">
        <v>0</v>
      </c>
      <c r="FA321" s="8" t="n">
        <v>0</v>
      </c>
      <c r="FB321" s="8" t="n">
        <v>0</v>
      </c>
      <c r="FC321" s="8" t="n">
        <v>0</v>
      </c>
      <c r="FD321" s="8" t="n">
        <v>0</v>
      </c>
      <c r="FE321" s="8" t="n">
        <v>0</v>
      </c>
      <c r="FF321" s="8" t="n">
        <v>0</v>
      </c>
      <c r="FG321" s="9">
        <f>SUM(DW321,DX321,DY321,DZ321,EA321,EB321,EC321,ED321,EE321,EF321,EG321,EH321,EI321,EJ321,EK321,EL321,EM321,EN321,EO321,EP321,EQ321,ER321,ES321,ET321,EU321,EV321,EW321,EX321,EY321,EZ321,FA321,FB321,FC321,FD321,FE321,FF321)</f>
        <v/>
      </c>
      <c r="FH321" s="8" t="n">
        <v>0</v>
      </c>
      <c r="FI321" s="8" t="n">
        <v>0</v>
      </c>
      <c r="FJ321" s="8" t="n">
        <v>22</v>
      </c>
      <c r="FK321" s="8" t="n">
        <v>24.1</v>
      </c>
      <c r="FL321" s="8" t="n">
        <v>0</v>
      </c>
      <c r="FM321" s="8" t="n">
        <v>0</v>
      </c>
      <c r="FN321" s="8" t="n">
        <v>0</v>
      </c>
      <c r="FO321" s="8" t="n">
        <v>0</v>
      </c>
      <c r="FP321" s="8" t="n">
        <v>0</v>
      </c>
      <c r="FQ321" s="9">
        <f>FL321+FM321+FN321+FO321+FP321</f>
        <v/>
      </c>
      <c r="FR321" s="8" t="n">
        <v>29400</v>
      </c>
      <c r="FS321" s="8" t="n">
        <v>0</v>
      </c>
      <c r="FT321" s="8" t="n">
        <v>0</v>
      </c>
      <c r="FU321" s="8" t="n">
        <v>0</v>
      </c>
      <c r="FV321" s="9">
        <f>FR321+FS321+FT321+FU321</f>
        <v/>
      </c>
      <c r="FW321" s="8" t="n">
        <v>1283758.62</v>
      </c>
      <c r="FX321" s="8" t="n">
        <v>61400</v>
      </c>
      <c r="FY321" s="8" t="n">
        <v>6687500</v>
      </c>
      <c r="FZ321" s="8" t="n">
        <v>5006139.4</v>
      </c>
      <c r="GA321" s="9">
        <f>FW321+FX321+FY321+FZ321</f>
        <v/>
      </c>
      <c r="GB321" s="9">
        <f>FV321+GA321</f>
        <v/>
      </c>
      <c r="GC321" s="8" t="n">
        <v>291201.78</v>
      </c>
      <c r="GD321" s="8" t="n">
        <v>191.28</v>
      </c>
      <c r="GE321" s="8" t="n">
        <v>531714.8100000001</v>
      </c>
      <c r="GF321" s="8" t="n">
        <v>0</v>
      </c>
      <c r="GG321" s="9">
        <f>GC321+GD321+GE321+GF321</f>
        <v/>
      </c>
      <c r="GH321" s="8" t="n">
        <v>1271330.96</v>
      </c>
      <c r="GI321" s="8" t="n">
        <v>49580</v>
      </c>
      <c r="GJ321" s="8" t="n">
        <v>5006139.4</v>
      </c>
      <c r="GK321" s="8" t="n">
        <v>6687500</v>
      </c>
      <c r="GL321" s="9">
        <f>GH321+GI321+GJ321+GK321</f>
        <v/>
      </c>
      <c r="GM321" s="9">
        <f>GG321+GL321</f>
        <v/>
      </c>
      <c r="GN321" s="8" t="n">
        <v>18752.48</v>
      </c>
      <c r="GO321" s="8" t="n">
        <v>191.28</v>
      </c>
      <c r="GP321" s="8" t="n">
        <v>13574.56</v>
      </c>
      <c r="GQ321" s="8" t="n">
        <v>0</v>
      </c>
      <c r="GR321" s="9">
        <f>GN321+GO321+GP321+GQ321</f>
        <v/>
      </c>
      <c r="GS321" s="8" t="n">
        <v>30362</v>
      </c>
      <c r="GT321" s="8" t="n">
        <v>893</v>
      </c>
      <c r="GU321" s="8" t="n">
        <v>3572</v>
      </c>
      <c r="GV321" s="8" t="n">
        <v>0</v>
      </c>
      <c r="GW321" s="9">
        <f>GS321+GT321+GU321+GV321</f>
        <v/>
      </c>
      <c r="GX321" s="9">
        <f>GM321+GR321+GW321</f>
        <v/>
      </c>
      <c r="GY321" s="8" t="n">
        <v>10443360.93000001</v>
      </c>
      <c r="GZ321" s="8" t="n">
        <v>-29150.51</v>
      </c>
      <c r="HA321" s="9">
        <f>GY321+GZ321</f>
        <v/>
      </c>
      <c r="HB321" s="9">
        <f>IF(GX321=0,"",AU321/GX321)</f>
        <v/>
      </c>
      <c r="HC321" s="10">
        <f>IF((GX321+GY321)=0,"",GB321/(GX321+GY321))</f>
        <v/>
      </c>
      <c r="HD321" s="9">
        <f>IF(GX321=0,"",GB321/GX321)</f>
        <v/>
      </c>
      <c r="HE321" s="8" t="n">
        <v>4</v>
      </c>
      <c r="HF321" s="8" t="n">
        <v>1</v>
      </c>
      <c r="HG321" s="8" t="n">
        <v>4</v>
      </c>
      <c r="HH321" s="8" t="n">
        <v>0</v>
      </c>
      <c r="HI321" s="8" t="n">
        <v>1</v>
      </c>
      <c r="HJ321" s="9">
        <f>HF321+HI321</f>
        <v/>
      </c>
      <c r="HK321" s="10">
        <f>IF(HE321=0,"",HH321/HE321)</f>
        <v/>
      </c>
      <c r="HL321" s="8" t="n">
        <v>4</v>
      </c>
      <c r="HM321" s="8" t="n">
        <v>2</v>
      </c>
      <c r="HN321" s="11">
        <f>IF(HL321=0,"",HM321/HL321)</f>
        <v/>
      </c>
    </row>
    <row r="322">
      <c r="A322" s="12" t="inlineStr">
        <is>
          <t>Zomba</t>
        </is>
      </c>
      <c r="B322" s="12" t="inlineStr">
        <is>
          <t>Kuchawe</t>
        </is>
      </c>
      <c r="C322" s="13" t="inlineStr">
        <is>
          <t>FY2025/26</t>
        </is>
      </c>
      <c r="D322" s="13" t="n">
        <v>2025</v>
      </c>
      <c r="E322" s="13" t="n">
        <v>11</v>
      </c>
      <c r="F322" s="13" t="inlineStr">
        <is>
          <t>November</t>
        </is>
      </c>
      <c r="G322" s="13" t="inlineStr">
        <is>
          <t>Q3</t>
        </is>
      </c>
      <c r="H322" s="14" t="n">
        <v>3930</v>
      </c>
      <c r="I322" s="14" t="n">
        <v>428</v>
      </c>
      <c r="J322" s="14" t="n">
        <v>0</v>
      </c>
      <c r="K322" s="14" t="n">
        <v>128</v>
      </c>
      <c r="L322" s="14" t="n">
        <v>0</v>
      </c>
      <c r="M322" s="15">
        <f>SUM(I322,J322,K322,L322)</f>
        <v/>
      </c>
      <c r="N322" s="14" t="n">
        <v>772.3</v>
      </c>
      <c r="O322" s="14" t="n">
        <v>269</v>
      </c>
      <c r="P322" s="14" t="n">
        <v>58.1</v>
      </c>
      <c r="Q322" s="14" t="n">
        <v>1391.4</v>
      </c>
      <c r="R322" s="15">
        <f>SUM(N322,O322,P322,Q322)</f>
        <v/>
      </c>
      <c r="S322" s="15">
        <f>M322+R322</f>
        <v/>
      </c>
      <c r="T322" s="14" t="n">
        <v>883.200000000001</v>
      </c>
      <c r="U322" s="16">
        <f>IF(H322=0,"",T322/H322)</f>
        <v/>
      </c>
      <c r="V322" s="14" t="n">
        <v>14</v>
      </c>
      <c r="W322" s="17">
        <f>IF(H322=0,"",V322/H322)</f>
        <v/>
      </c>
      <c r="X322" s="14" t="n">
        <v>10</v>
      </c>
      <c r="Y322" s="17">
        <f>IF(H322=0,"",X322/H322)</f>
        <v/>
      </c>
      <c r="Z322" s="14" t="n">
        <v>8</v>
      </c>
      <c r="AA322" s="17">
        <f>IF(H322=0,"",Z322/H322)</f>
        <v/>
      </c>
      <c r="AB322" s="14" t="n">
        <v>0</v>
      </c>
      <c r="AC322" s="17">
        <f>IF(H322=0,"",AB322/H322)</f>
        <v/>
      </c>
      <c r="AD322" s="14" t="n">
        <v>0</v>
      </c>
      <c r="AE322" s="17">
        <f>IF(H322=0,"",AD322/H322)</f>
        <v/>
      </c>
      <c r="AF322" s="14" t="n">
        <v>0</v>
      </c>
      <c r="AG322" s="17">
        <f>IF(H322=0,"",AF322/H322)</f>
        <v/>
      </c>
      <c r="AH322" s="14" t="n">
        <v>547928</v>
      </c>
      <c r="AI322" s="15">
        <f>IF(H322=0,"",AH322/H322)</f>
        <v/>
      </c>
      <c r="AJ322" s="14" t="n">
        <v>955.22</v>
      </c>
      <c r="AK322" s="17">
        <f>IF(H322=0,"",AJ322/H322)</f>
        <v/>
      </c>
      <c r="AL322" s="14" t="n">
        <v>292676.67298</v>
      </c>
      <c r="AM322" s="15">
        <f>IF(H322=0,"",AL322/H322)</f>
        <v/>
      </c>
      <c r="AN322" s="14" t="n">
        <v>0</v>
      </c>
      <c r="AO322" s="14" t="n">
        <v>0</v>
      </c>
      <c r="AP322" s="14" t="n">
        <v>0</v>
      </c>
      <c r="AQ322" s="14" t="n">
        <v>0</v>
      </c>
      <c r="AR322" s="14" t="n">
        <v>0</v>
      </c>
      <c r="AS322" s="14" t="n">
        <v>0</v>
      </c>
      <c r="AT322" s="14" t="n">
        <v>0</v>
      </c>
      <c r="AU322" s="15">
        <f>AH322+AL322+AP322+AQ322+AR322+AS322+AT322</f>
        <v/>
      </c>
      <c r="AV322" s="15">
        <f>IF(H322=0,"",AU322/H322)</f>
        <v/>
      </c>
      <c r="AW322" s="15">
        <f>IF(S322=0,"",AU322/S322)</f>
        <v/>
      </c>
      <c r="AX322" s="14" t="n">
        <v>3</v>
      </c>
      <c r="AY322" s="15">
        <f>IF(H322=0,"",AX322/(H322/1000/12))</f>
        <v/>
      </c>
      <c r="AZ322" s="14" t="n">
        <v>5</v>
      </c>
      <c r="BA322" s="14" t="n">
        <v>4</v>
      </c>
      <c r="BB322" s="14" t="n">
        <v>0</v>
      </c>
      <c r="BC322" s="14" t="n">
        <v>0</v>
      </c>
      <c r="BD322" s="14" t="n">
        <v>0</v>
      </c>
      <c r="BE322" s="15">
        <f>BC322+BD322</f>
        <v/>
      </c>
      <c r="BF322" s="15">
        <f>BA322+BB322-BE322</f>
        <v/>
      </c>
      <c r="BG322" s="14" t="n">
        <v>0</v>
      </c>
      <c r="BH322" s="14" t="n">
        <v>0</v>
      </c>
      <c r="BI322" s="14" t="n">
        <v>0</v>
      </c>
      <c r="BJ322" s="14" t="n">
        <v>0</v>
      </c>
      <c r="BK322" s="15">
        <f>BI322+BJ322</f>
        <v/>
      </c>
      <c r="BL322" s="15">
        <f>BG322+BH322-BK322</f>
        <v/>
      </c>
      <c r="BM322" s="14" t="n">
        <v>0</v>
      </c>
      <c r="BN322" s="14" t="n">
        <v>0</v>
      </c>
      <c r="BO322" s="14" t="n">
        <v>0</v>
      </c>
      <c r="BP322" s="14" t="n">
        <v>0</v>
      </c>
      <c r="BQ322" s="15">
        <f>BO322+BP322</f>
        <v/>
      </c>
      <c r="BR322" s="15">
        <f>BM322+BN322-BQ322</f>
        <v/>
      </c>
      <c r="BS322" s="14" t="n">
        <v>0</v>
      </c>
      <c r="BT322" s="14" t="n">
        <v>0</v>
      </c>
      <c r="BU322" s="14" t="n">
        <v>0</v>
      </c>
      <c r="BV322" s="14" t="n">
        <v>0</v>
      </c>
      <c r="BW322" s="15">
        <f>BU322+BV322</f>
        <v/>
      </c>
      <c r="BX322" s="15">
        <f>BS322+BT322-BW322</f>
        <v/>
      </c>
      <c r="BY322" s="15">
        <f>BA322+BG322+BM322+BS322</f>
        <v/>
      </c>
      <c r="BZ322" s="15">
        <f>BB322+BH322+BN322+BT322</f>
        <v/>
      </c>
      <c r="CA322" s="15">
        <f>BE322+BK322+BQ322+BW322</f>
        <v/>
      </c>
      <c r="CB322" s="15">
        <f>BF322+BL322+BR322+BX322</f>
        <v/>
      </c>
      <c r="CC322" s="14" t="n">
        <v>0</v>
      </c>
      <c r="CD322" s="14" t="n">
        <v>80</v>
      </c>
      <c r="CE322" s="14" t="n">
        <v>6</v>
      </c>
      <c r="CF322" s="14" t="n">
        <v>3</v>
      </c>
      <c r="CG322" s="14" t="n">
        <v>0</v>
      </c>
      <c r="CH322" s="15">
        <f>CD322+CE322+CF322+CG322</f>
        <v/>
      </c>
      <c r="CI322" s="14" t="n">
        <v>30</v>
      </c>
      <c r="CJ322" s="14" t="n">
        <v>5</v>
      </c>
      <c r="CK322" s="14" t="n">
        <v>0</v>
      </c>
      <c r="CL322" s="14" t="n">
        <v>0</v>
      </c>
      <c r="CM322" s="15">
        <f>CI322+CJ322+CK322+CL322</f>
        <v/>
      </c>
      <c r="CN322" s="14" t="n">
        <v>155</v>
      </c>
      <c r="CO322" s="14" t="n">
        <v>8</v>
      </c>
      <c r="CP322" s="14" t="n">
        <v>18</v>
      </c>
      <c r="CQ322" s="14" t="n">
        <v>23</v>
      </c>
      <c r="CR322" s="15">
        <f>CN322+CO322+CP322+CQ322</f>
        <v/>
      </c>
      <c r="CS322" s="15">
        <f>CM322+CR322</f>
        <v/>
      </c>
      <c r="CT322" s="14" t="n">
        <v>328</v>
      </c>
      <c r="CU322" s="14" t="n">
        <v>1978</v>
      </c>
      <c r="CV322" s="14" t="n">
        <v>1973</v>
      </c>
      <c r="CW322" s="16">
        <f>IF(CU322=0,"",CV322/CU322)</f>
        <v/>
      </c>
      <c r="CX322" s="14" t="n">
        <v>0</v>
      </c>
      <c r="CY322" s="14" t="n">
        <v>0</v>
      </c>
      <c r="CZ322" s="14" t="n">
        <v>0</v>
      </c>
      <c r="DA322" s="14" t="n">
        <v>0</v>
      </c>
      <c r="DB322" s="15">
        <f>CX322+CY322-CZ322-DA322</f>
        <v/>
      </c>
      <c r="DC322" s="14" t="n">
        <v>0</v>
      </c>
      <c r="DD322" s="14" t="n">
        <v>0</v>
      </c>
      <c r="DE322" s="14" t="n">
        <v>0</v>
      </c>
      <c r="DF322" s="14" t="n">
        <v>0</v>
      </c>
      <c r="DG322" s="15">
        <f>DC322+DD322-DE322-DF322</f>
        <v/>
      </c>
      <c r="DH322" s="14" t="n">
        <v>0</v>
      </c>
      <c r="DI322" s="14" t="n">
        <v>0</v>
      </c>
      <c r="DJ322" s="14" t="n">
        <v>0</v>
      </c>
      <c r="DK322" s="14" t="n">
        <v>0</v>
      </c>
      <c r="DL322" s="15">
        <f>DH322+DI322-DJ322-DK322</f>
        <v/>
      </c>
      <c r="DM322" s="14" t="n">
        <v>0</v>
      </c>
      <c r="DN322" s="14" t="n">
        <v>0</v>
      </c>
      <c r="DO322" s="14" t="n">
        <v>0</v>
      </c>
      <c r="DP322" s="14" t="n">
        <v>0</v>
      </c>
      <c r="DQ322" s="15">
        <f>DM322+DN322-DO322-DP322</f>
        <v/>
      </c>
      <c r="DR322" s="15">
        <f>CX322+DC322+DH322+DM322</f>
        <v/>
      </c>
      <c r="DS322" s="15">
        <f>CY322+DD322+DI322+DN322</f>
        <v/>
      </c>
      <c r="DT322" s="15">
        <f>CZ322+DE322+DJ322+DO322</f>
        <v/>
      </c>
      <c r="DU322" s="15">
        <f>DA322+DF322+DK322+DP322</f>
        <v/>
      </c>
      <c r="DV322" s="15">
        <f>DB322+DG322+DL322+DQ322</f>
        <v/>
      </c>
      <c r="DW322" s="14" t="n">
        <v>18</v>
      </c>
      <c r="DX322" s="14" t="n">
        <v>9</v>
      </c>
      <c r="DY322" s="14" t="n">
        <v>5</v>
      </c>
      <c r="DZ322" s="14" t="n">
        <v>0</v>
      </c>
      <c r="EA322" s="14" t="n">
        <v>6</v>
      </c>
      <c r="EB322" s="14" t="n">
        <v>0</v>
      </c>
      <c r="EC322" s="14" t="n">
        <v>3</v>
      </c>
      <c r="ED322" s="14" t="n">
        <v>0</v>
      </c>
      <c r="EE322" s="14" t="n">
        <v>1</v>
      </c>
      <c r="EF322" s="14" t="n">
        <v>0</v>
      </c>
      <c r="EG322" s="14" t="n">
        <v>0</v>
      </c>
      <c r="EH322" s="14" t="n">
        <v>0</v>
      </c>
      <c r="EI322" s="14" t="n">
        <v>0</v>
      </c>
      <c r="EJ322" s="14" t="n">
        <v>2</v>
      </c>
      <c r="EK322" s="14" t="n">
        <v>0</v>
      </c>
      <c r="EL322" s="14" t="n">
        <v>0</v>
      </c>
      <c r="EM322" s="14" t="n">
        <v>0</v>
      </c>
      <c r="EN322" s="14" t="n">
        <v>0</v>
      </c>
      <c r="EO322" s="14" t="n">
        <v>0</v>
      </c>
      <c r="EP322" s="14" t="n">
        <v>0</v>
      </c>
      <c r="EQ322" s="14" t="n">
        <v>0</v>
      </c>
      <c r="ER322" s="14" t="n">
        <v>0</v>
      </c>
      <c r="ES322" s="14" t="n">
        <v>0</v>
      </c>
      <c r="ET322" s="14" t="n">
        <v>0</v>
      </c>
      <c r="EU322" s="14" t="n">
        <v>0</v>
      </c>
      <c r="EV322" s="14" t="n">
        <v>0</v>
      </c>
      <c r="EW322" s="14" t="n">
        <v>0</v>
      </c>
      <c r="EX322" s="14" t="n">
        <v>0</v>
      </c>
      <c r="EY322" s="14" t="n">
        <v>0</v>
      </c>
      <c r="EZ322" s="14" t="n">
        <v>0</v>
      </c>
      <c r="FA322" s="14" t="n">
        <v>0</v>
      </c>
      <c r="FB322" s="14" t="n">
        <v>0</v>
      </c>
      <c r="FC322" s="14" t="n">
        <v>0</v>
      </c>
      <c r="FD322" s="14" t="n">
        <v>0</v>
      </c>
      <c r="FE322" s="14" t="n">
        <v>0</v>
      </c>
      <c r="FF322" s="14" t="n">
        <v>0</v>
      </c>
      <c r="FG322" s="15">
        <f>SUM(DW322,DX322,DY322,DZ322,EA322,EB322,EC322,ED322,EE322,EF322,EG322,EH322,EI322,EJ322,EK322,EL322,EM322,EN322,EO322,EP322,EQ322,ER322,ES322,ET322,EU322,EV322,EW322,EX322,EY322,EZ322,FA322,FB322,FC322,FD322,FE322,FF322)</f>
        <v/>
      </c>
      <c r="FH322" s="14" t="n">
        <v>0</v>
      </c>
      <c r="FI322" s="14" t="n">
        <v>0</v>
      </c>
      <c r="FJ322" s="14" t="n">
        <v>22</v>
      </c>
      <c r="FK322" s="14" t="n">
        <v>23.4</v>
      </c>
      <c r="FL322" s="14" t="n">
        <v>0</v>
      </c>
      <c r="FM322" s="14" t="n">
        <v>0</v>
      </c>
      <c r="FN322" s="14" t="n">
        <v>0</v>
      </c>
      <c r="FO322" s="14" t="n">
        <v>0</v>
      </c>
      <c r="FP322" s="14" t="n">
        <v>0</v>
      </c>
      <c r="FQ322" s="15">
        <f>FL322+FM322+FN322+FO322+FP322</f>
        <v/>
      </c>
      <c r="FR322" s="14" t="n">
        <v>54100</v>
      </c>
      <c r="FS322" s="14" t="n">
        <v>0</v>
      </c>
      <c r="FT322" s="14" t="n">
        <v>0</v>
      </c>
      <c r="FU322" s="14" t="n">
        <v>0</v>
      </c>
      <c r="FV322" s="15">
        <f>FR322+FS322+FT322+FU322</f>
        <v/>
      </c>
      <c r="FW322" s="14" t="n">
        <v>980000</v>
      </c>
      <c r="FX322" s="14" t="n">
        <v>72200</v>
      </c>
      <c r="FY322" s="14" t="n">
        <v>6578000</v>
      </c>
      <c r="FZ322" s="14" t="n">
        <v>176000</v>
      </c>
      <c r="GA322" s="15">
        <f>FW322+FX322+FY322+FZ322</f>
        <v/>
      </c>
      <c r="GB322" s="15">
        <f>FV322+GA322</f>
        <v/>
      </c>
      <c r="GC322" s="14" t="n">
        <v>400582.24</v>
      </c>
      <c r="GD322" s="14" t="n">
        <v>0</v>
      </c>
      <c r="GE322" s="14" t="n">
        <v>389773.97</v>
      </c>
      <c r="GF322" s="14" t="n">
        <v>0</v>
      </c>
      <c r="GG322" s="15">
        <f>GC322+GD322+GE322+GF322</f>
        <v/>
      </c>
      <c r="GH322" s="14" t="n">
        <v>962821.9</v>
      </c>
      <c r="GI322" s="14" t="n">
        <v>57200</v>
      </c>
      <c r="GJ322" s="14" t="n">
        <v>176000</v>
      </c>
      <c r="GK322" s="14" t="n">
        <v>6578000</v>
      </c>
      <c r="GL322" s="15">
        <f>GH322+GI322+GJ322+GK322</f>
        <v/>
      </c>
      <c r="GM322" s="15">
        <f>GG322+GL322</f>
        <v/>
      </c>
      <c r="GN322" s="14" t="n">
        <v>16572.76</v>
      </c>
      <c r="GO322" s="14" t="n">
        <v>0</v>
      </c>
      <c r="GP322" s="14" t="n">
        <v>16968.2</v>
      </c>
      <c r="GQ322" s="14" t="n">
        <v>0</v>
      </c>
      <c r="GR322" s="15">
        <f>GN322+GO322+GP322+GQ322</f>
        <v/>
      </c>
      <c r="GS322" s="14" t="n">
        <v>26790</v>
      </c>
      <c r="GT322" s="14" t="n">
        <v>0</v>
      </c>
      <c r="GU322" s="14" t="n">
        <v>4465</v>
      </c>
      <c r="GV322" s="14" t="n">
        <v>0</v>
      </c>
      <c r="GW322" s="15">
        <f>GS322+GT322+GU322+GV322</f>
        <v/>
      </c>
      <c r="GX322" s="15">
        <f>GM322+GR322+GW322</f>
        <v/>
      </c>
      <c r="GY322" s="14" t="n">
        <v>-3263675.549999997</v>
      </c>
      <c r="GZ322" s="14" t="n">
        <v>-29150.51</v>
      </c>
      <c r="HA322" s="9">
        <f>GY322+GZ322</f>
        <v/>
      </c>
      <c r="HB322" s="15">
        <f>IF(GX322=0,"",AU322/GX322)</f>
        <v/>
      </c>
      <c r="HC322" s="16">
        <f>IF((GX322+GY322)=0,"",GB322/(GX322+GY322))</f>
        <v/>
      </c>
      <c r="HD322" s="15">
        <f>IF(GX322=0,"",GB322/GX322)</f>
        <v/>
      </c>
      <c r="HE322" s="14" t="n">
        <v>4</v>
      </c>
      <c r="HF322" s="14" t="n">
        <v>2</v>
      </c>
      <c r="HG322" s="14" t="n">
        <v>4</v>
      </c>
      <c r="HH322" s="14" t="n">
        <v>0</v>
      </c>
      <c r="HI322" s="14" t="n">
        <v>0</v>
      </c>
      <c r="HJ322" s="15">
        <f>HF322+HI322</f>
        <v/>
      </c>
      <c r="HK322" s="16">
        <f>IF(HE322=0,"",HH322/HE322)</f>
        <v/>
      </c>
      <c r="HL322" s="14" t="n">
        <v>6</v>
      </c>
      <c r="HM322" s="14" t="n">
        <v>3</v>
      </c>
      <c r="HN322" s="17">
        <f>IF(HL322=0,"",HM322/HL322)</f>
        <v/>
      </c>
    </row>
    <row r="323">
      <c r="A323" s="6" t="inlineStr">
        <is>
          <t>Zomba</t>
        </is>
      </c>
      <c r="B323" s="6" t="inlineStr">
        <is>
          <t>Kuchawe</t>
        </is>
      </c>
      <c r="C323" s="7" t="inlineStr">
        <is>
          <t>FY2025/26</t>
        </is>
      </c>
      <c r="D323" s="7" t="n">
        <v>2025</v>
      </c>
      <c r="E323" s="7" t="n">
        <v>12</v>
      </c>
      <c r="F323" s="7" t="inlineStr">
        <is>
          <t>December</t>
        </is>
      </c>
      <c r="G323" s="7" t="inlineStr">
        <is>
          <t>Q3</t>
        </is>
      </c>
      <c r="H323" s="8" t="n">
        <v>3055</v>
      </c>
      <c r="I323" s="8" t="n">
        <v>191</v>
      </c>
      <c r="J323" s="8" t="n">
        <v>0</v>
      </c>
      <c r="K323" s="8" t="n">
        <v>77</v>
      </c>
      <c r="L323" s="8" t="n">
        <v>0</v>
      </c>
      <c r="M323" s="9">
        <f>SUM(I323,J323,K323,L323)</f>
        <v/>
      </c>
      <c r="N323" s="8" t="n">
        <v>305</v>
      </c>
      <c r="O323" s="8" t="n">
        <v>87</v>
      </c>
      <c r="P323" s="8" t="n">
        <v>60.6</v>
      </c>
      <c r="Q323" s="8" t="n">
        <v>1817.7</v>
      </c>
      <c r="R323" s="9">
        <f>SUM(N323,O323,P323,Q323)</f>
        <v/>
      </c>
      <c r="S323" s="9">
        <f>M323+R323</f>
        <v/>
      </c>
      <c r="T323" s="8" t="n">
        <v>516.7</v>
      </c>
      <c r="U323" s="10">
        <f>IF(H323=0,"",T323/H323)</f>
        <v/>
      </c>
      <c r="V323" s="8" t="n">
        <v>12</v>
      </c>
      <c r="W323" s="11">
        <f>IF(H323=0,"",V323/H323)</f>
        <v/>
      </c>
      <c r="X323" s="8" t="n">
        <v>5</v>
      </c>
      <c r="Y323" s="11">
        <f>IF(H323=0,"",X323/H323)</f>
        <v/>
      </c>
      <c r="Z323" s="8" t="n">
        <v>3</v>
      </c>
      <c r="AA323" s="11">
        <f>IF(H323=0,"",Z323/H323)</f>
        <v/>
      </c>
      <c r="AB323" s="8" t="n">
        <v>0</v>
      </c>
      <c r="AC323" s="11">
        <f>IF(H323=0,"",AB323/H323)</f>
        <v/>
      </c>
      <c r="AD323" s="8" t="n">
        <v>0</v>
      </c>
      <c r="AE323" s="11">
        <f>IF(H323=0,"",AD323/H323)</f>
        <v/>
      </c>
      <c r="AF323" s="8" t="n">
        <v>0</v>
      </c>
      <c r="AG323" s="11">
        <f>IF(H323=0,"",AF323/H323)</f>
        <v/>
      </c>
      <c r="AH323" s="8" t="n">
        <v>391848</v>
      </c>
      <c r="AI323" s="9">
        <f>IF(H323=0,"",AH323/H323)</f>
        <v/>
      </c>
      <c r="AJ323" s="8" t="n">
        <v>2682.57</v>
      </c>
      <c r="AK323" s="11">
        <f>IF(H323=0,"",AJ323/H323)</f>
        <v/>
      </c>
      <c r="AL323" s="8" t="n">
        <v>764776.97413</v>
      </c>
      <c r="AM323" s="9">
        <f>IF(H323=0,"",AL323/H323)</f>
        <v/>
      </c>
      <c r="AN323" s="8" t="n">
        <v>0</v>
      </c>
      <c r="AO323" s="8" t="n">
        <v>0</v>
      </c>
      <c r="AP323" s="8" t="n">
        <v>0</v>
      </c>
      <c r="AQ323" s="8" t="n">
        <v>0</v>
      </c>
      <c r="AR323" s="8" t="n">
        <v>0</v>
      </c>
      <c r="AS323" s="8" t="n">
        <v>0</v>
      </c>
      <c r="AT323" s="8" t="n">
        <v>0</v>
      </c>
      <c r="AU323" s="9">
        <f>AH323+AL323+AP323+AQ323+AR323+AS323+AT323</f>
        <v/>
      </c>
      <c r="AV323" s="9">
        <f>IF(H323=0,"",AU323/H323)</f>
        <v/>
      </c>
      <c r="AW323" s="9">
        <f>IF(S323=0,"",AU323/S323)</f>
        <v/>
      </c>
      <c r="AX323" s="8" t="n">
        <v>3</v>
      </c>
      <c r="AY323" s="9">
        <f>IF(H323=0,"",AX323/(H323/1000/12))</f>
        <v/>
      </c>
      <c r="AZ323" s="8" t="n">
        <v>5</v>
      </c>
      <c r="BA323" s="8" t="n">
        <v>4</v>
      </c>
      <c r="BB323" s="8" t="n">
        <v>0</v>
      </c>
      <c r="BC323" s="8" t="n">
        <v>3</v>
      </c>
      <c r="BD323" s="8" t="n">
        <v>0</v>
      </c>
      <c r="BE323" s="9">
        <f>BC323+BD323</f>
        <v/>
      </c>
      <c r="BF323" s="9">
        <f>BA323+BB323-BE323</f>
        <v/>
      </c>
      <c r="BG323" s="8" t="n">
        <v>0</v>
      </c>
      <c r="BH323" s="8" t="n">
        <v>0</v>
      </c>
      <c r="BI323" s="8" t="n">
        <v>0</v>
      </c>
      <c r="BJ323" s="8" t="n">
        <v>0</v>
      </c>
      <c r="BK323" s="9">
        <f>BI323+BJ323</f>
        <v/>
      </c>
      <c r="BL323" s="9">
        <f>BG323+BH323-BK323</f>
        <v/>
      </c>
      <c r="BM323" s="8" t="n">
        <v>0</v>
      </c>
      <c r="BN323" s="8" t="n">
        <v>0</v>
      </c>
      <c r="BO323" s="8" t="n">
        <v>0</v>
      </c>
      <c r="BP323" s="8" t="n">
        <v>0</v>
      </c>
      <c r="BQ323" s="9">
        <f>BO323+BP323</f>
        <v/>
      </c>
      <c r="BR323" s="9">
        <f>BM323+BN323-BQ323</f>
        <v/>
      </c>
      <c r="BS323" s="8" t="n">
        <v>0</v>
      </c>
      <c r="BT323" s="8" t="n">
        <v>0</v>
      </c>
      <c r="BU323" s="8" t="n">
        <v>0</v>
      </c>
      <c r="BV323" s="8" t="n">
        <v>0</v>
      </c>
      <c r="BW323" s="9">
        <f>BU323+BV323</f>
        <v/>
      </c>
      <c r="BX323" s="9">
        <f>BS323+BT323-BW323</f>
        <v/>
      </c>
      <c r="BY323" s="9">
        <f>BA323+BG323+BM323+BS323</f>
        <v/>
      </c>
      <c r="BZ323" s="9">
        <f>BB323+BH323+BN323+BT323</f>
        <v/>
      </c>
      <c r="CA323" s="9">
        <f>BE323+BK323+BQ323+BW323</f>
        <v/>
      </c>
      <c r="CB323" s="9">
        <f>BF323+BL323+BR323+BX323</f>
        <v/>
      </c>
      <c r="CC323" s="8" t="n">
        <v>0</v>
      </c>
      <c r="CD323" s="8" t="n">
        <v>80</v>
      </c>
      <c r="CE323" s="8" t="n">
        <v>6</v>
      </c>
      <c r="CF323" s="8" t="n">
        <v>3</v>
      </c>
      <c r="CG323" s="8" t="n">
        <v>0</v>
      </c>
      <c r="CH323" s="9">
        <f>CD323+CE323+CF323+CG323</f>
        <v/>
      </c>
      <c r="CI323" s="8" t="n">
        <v>32</v>
      </c>
      <c r="CJ323" s="8" t="n">
        <v>5</v>
      </c>
      <c r="CK323" s="8" t="n">
        <v>0</v>
      </c>
      <c r="CL323" s="8" t="n">
        <v>0</v>
      </c>
      <c r="CM323" s="9">
        <f>CI323+CJ323+CK323+CL323</f>
        <v/>
      </c>
      <c r="CN323" s="8" t="n">
        <v>156</v>
      </c>
      <c r="CO323" s="8" t="n">
        <v>8</v>
      </c>
      <c r="CP323" s="8" t="n">
        <v>18</v>
      </c>
      <c r="CQ323" s="8" t="n">
        <v>23</v>
      </c>
      <c r="CR323" s="9">
        <f>CN323+CO323+CP323+CQ323</f>
        <v/>
      </c>
      <c r="CS323" s="9">
        <f>CM323+CR323</f>
        <v/>
      </c>
      <c r="CT323" s="8" t="n">
        <v>331</v>
      </c>
      <c r="CU323" s="8" t="n">
        <v>1982</v>
      </c>
      <c r="CV323" s="8" t="n">
        <v>1981.6</v>
      </c>
      <c r="CW323" s="10">
        <f>IF(CU323=0,"",CV323/CU323)</f>
        <v/>
      </c>
      <c r="CX323" s="8" t="n">
        <v>0</v>
      </c>
      <c r="CY323" s="8" t="n">
        <v>0</v>
      </c>
      <c r="CZ323" s="8" t="n">
        <v>0</v>
      </c>
      <c r="DA323" s="8" t="n">
        <v>0</v>
      </c>
      <c r="DB323" s="9">
        <f>CX323+CY323-CZ323-DA323</f>
        <v/>
      </c>
      <c r="DC323" s="8" t="n">
        <v>0</v>
      </c>
      <c r="DD323" s="8" t="n">
        <v>0</v>
      </c>
      <c r="DE323" s="8" t="n">
        <v>0</v>
      </c>
      <c r="DF323" s="8" t="n">
        <v>0</v>
      </c>
      <c r="DG323" s="9">
        <f>DC323+DD323-DE323-DF323</f>
        <v/>
      </c>
      <c r="DH323" s="8" t="n">
        <v>0</v>
      </c>
      <c r="DI323" s="8" t="n">
        <v>0</v>
      </c>
      <c r="DJ323" s="8" t="n">
        <v>0</v>
      </c>
      <c r="DK323" s="8" t="n">
        <v>0</v>
      </c>
      <c r="DL323" s="9">
        <f>DH323+DI323-DJ323-DK323</f>
        <v/>
      </c>
      <c r="DM323" s="8" t="n">
        <v>0</v>
      </c>
      <c r="DN323" s="8" t="n">
        <v>0</v>
      </c>
      <c r="DO323" s="8" t="n">
        <v>0</v>
      </c>
      <c r="DP323" s="8" t="n">
        <v>0</v>
      </c>
      <c r="DQ323" s="9">
        <f>DM323+DN323-DO323-DP323</f>
        <v/>
      </c>
      <c r="DR323" s="9">
        <f>CX323+DC323+DH323+DM323</f>
        <v/>
      </c>
      <c r="DS323" s="9">
        <f>CY323+DD323+DI323+DN323</f>
        <v/>
      </c>
      <c r="DT323" s="9">
        <f>CZ323+DE323+DJ323+DO323</f>
        <v/>
      </c>
      <c r="DU323" s="9">
        <f>DA323+DF323+DK323+DP323</f>
        <v/>
      </c>
      <c r="DV323" s="9">
        <f>DB323+DG323+DL323+DQ323</f>
        <v/>
      </c>
      <c r="DW323" s="8" t="n">
        <v>5</v>
      </c>
      <c r="DX323" s="8" t="n">
        <v>5</v>
      </c>
      <c r="DY323" s="8" t="n">
        <v>11</v>
      </c>
      <c r="DZ323" s="8" t="n">
        <v>0</v>
      </c>
      <c r="EA323" s="8" t="n">
        <v>3</v>
      </c>
      <c r="EB323" s="8" t="n">
        <v>2</v>
      </c>
      <c r="EC323" s="8" t="n">
        <v>1</v>
      </c>
      <c r="ED323" s="8" t="n">
        <v>0</v>
      </c>
      <c r="EE323" s="8" t="n">
        <v>1</v>
      </c>
      <c r="EF323" s="8" t="n">
        <v>0</v>
      </c>
      <c r="EG323" s="8" t="n">
        <v>0</v>
      </c>
      <c r="EH323" s="8" t="n">
        <v>0</v>
      </c>
      <c r="EI323" s="8" t="n">
        <v>0</v>
      </c>
      <c r="EJ323" s="8" t="n">
        <v>2</v>
      </c>
      <c r="EK323" s="8" t="n">
        <v>0</v>
      </c>
      <c r="EL323" s="8" t="n">
        <v>0</v>
      </c>
      <c r="EM323" s="8" t="n">
        <v>0</v>
      </c>
      <c r="EN323" s="8" t="n">
        <v>0</v>
      </c>
      <c r="EO323" s="8" t="n">
        <v>0</v>
      </c>
      <c r="EP323" s="8" t="n">
        <v>0</v>
      </c>
      <c r="EQ323" s="8" t="n">
        <v>0</v>
      </c>
      <c r="ER323" s="8" t="n">
        <v>0</v>
      </c>
      <c r="ES323" s="8" t="n">
        <v>0</v>
      </c>
      <c r="ET323" s="8" t="n">
        <v>0</v>
      </c>
      <c r="EU323" s="8" t="n">
        <v>0</v>
      </c>
      <c r="EV323" s="8" t="n">
        <v>0</v>
      </c>
      <c r="EW323" s="8" t="n">
        <v>0</v>
      </c>
      <c r="EX323" s="8" t="n">
        <v>0</v>
      </c>
      <c r="EY323" s="8" t="n">
        <v>0</v>
      </c>
      <c r="EZ323" s="8" t="n">
        <v>0</v>
      </c>
      <c r="FA323" s="8" t="n">
        <v>0</v>
      </c>
      <c r="FB323" s="8" t="n">
        <v>0</v>
      </c>
      <c r="FC323" s="8" t="n">
        <v>0</v>
      </c>
      <c r="FD323" s="8" t="n">
        <v>0</v>
      </c>
      <c r="FE323" s="8" t="n">
        <v>0</v>
      </c>
      <c r="FF323" s="8" t="n">
        <v>0</v>
      </c>
      <c r="FG323" s="9">
        <f>SUM(DW323,DX323,DY323,DZ323,EA323,EB323,EC323,ED323,EE323,EF323,EG323,EH323,EI323,EJ323,EK323,EL323,EM323,EN323,EO323,EP323,EQ323,ER323,ES323,ET323,EU323,EV323,EW323,EX323,EY323,EZ323,FA323,FB323,FC323,FD323,FE323,FF323)</f>
        <v/>
      </c>
      <c r="FH323" s="8" t="n">
        <v>0</v>
      </c>
      <c r="FI323" s="8" t="n">
        <v>0</v>
      </c>
      <c r="FJ323" s="8" t="n">
        <v>20</v>
      </c>
      <c r="FK323" s="8" t="n">
        <v>57.58</v>
      </c>
      <c r="FL323" s="8" t="n">
        <v>0</v>
      </c>
      <c r="FM323" s="8" t="n">
        <v>0</v>
      </c>
      <c r="FN323" s="8" t="n">
        <v>0</v>
      </c>
      <c r="FO323" s="8" t="n">
        <v>0</v>
      </c>
      <c r="FP323" s="8" t="n">
        <v>0</v>
      </c>
      <c r="FQ323" s="9">
        <f>FL323+FM323+FN323+FO323+FP323</f>
        <v/>
      </c>
      <c r="FR323" s="8" t="n">
        <v>266550</v>
      </c>
      <c r="FS323" s="8" t="n">
        <v>0</v>
      </c>
      <c r="FT323" s="8" t="n">
        <v>0</v>
      </c>
      <c r="FU323" s="8" t="n">
        <v>0</v>
      </c>
      <c r="FV323" s="9">
        <f>FR323+FS323+FT323+FU323</f>
        <v/>
      </c>
      <c r="FW323" s="8" t="n">
        <v>381040</v>
      </c>
      <c r="FX323" s="8" t="n">
        <v>20300</v>
      </c>
      <c r="FY323" s="8" t="n">
        <v>8594000</v>
      </c>
      <c r="FZ323" s="8" t="n">
        <v>184000</v>
      </c>
      <c r="GA323" s="9">
        <f>FW323+FX323+FY323+FZ323</f>
        <v/>
      </c>
      <c r="GB323" s="9">
        <f>FV323+GA323</f>
        <v/>
      </c>
      <c r="GC323" s="8" t="n">
        <v>194449.32</v>
      </c>
      <c r="GD323" s="8" t="n">
        <v>0</v>
      </c>
      <c r="GE323" s="8" t="n">
        <v>219989.71</v>
      </c>
      <c r="GF323" s="8" t="n">
        <v>0</v>
      </c>
      <c r="GG323" s="9">
        <f>GC323+GD323+GE323+GF323</f>
        <v/>
      </c>
      <c r="GH323" s="8" t="n">
        <v>380440</v>
      </c>
      <c r="GI323" s="8" t="n">
        <v>18500</v>
      </c>
      <c r="GJ323" s="8" t="n">
        <v>184000</v>
      </c>
      <c r="GK323" s="8" t="n">
        <v>8594000</v>
      </c>
      <c r="GL323" s="9">
        <f>GH323+GI323+GJ323+GK323</f>
        <v/>
      </c>
      <c r="GM323" s="9">
        <f>GG323+GL323</f>
        <v/>
      </c>
      <c r="GN323" s="8" t="n">
        <v>17662.62</v>
      </c>
      <c r="GO323" s="8" t="n">
        <v>0</v>
      </c>
      <c r="GP323" s="8" t="n">
        <v>16968.2</v>
      </c>
      <c r="GQ323" s="8" t="n">
        <v>0</v>
      </c>
      <c r="GR323" s="9">
        <f>GN323+GO323+GP323+GQ323</f>
        <v/>
      </c>
      <c r="GS323" s="8" t="n">
        <v>28576</v>
      </c>
      <c r="GT323" s="8" t="n">
        <v>0</v>
      </c>
      <c r="GU323" s="8" t="n">
        <v>4465</v>
      </c>
      <c r="GV323" s="8" t="n">
        <v>0</v>
      </c>
      <c r="GW323" s="9">
        <f>GS323+GT323+GU323+GV323</f>
        <v/>
      </c>
      <c r="GX323" s="9">
        <f>GM323+GR323+GW323</f>
        <v/>
      </c>
      <c r="GY323" s="8" t="n">
        <v>10144179.68000001</v>
      </c>
      <c r="GZ323" s="8" t="n">
        <v>-29150.51</v>
      </c>
      <c r="HA323" s="9">
        <f>GY323+GZ323</f>
        <v/>
      </c>
      <c r="HB323" s="9">
        <f>IF(GX323=0,"",AU323/GX323)</f>
        <v/>
      </c>
      <c r="HC323" s="10">
        <f>IF((GX323+GY323)=0,"",GB323/(GX323+GY323))</f>
        <v/>
      </c>
      <c r="HD323" s="9">
        <f>IF(GX323=0,"",GB323/GX323)</f>
        <v/>
      </c>
      <c r="HE323" s="8" t="n">
        <v>3</v>
      </c>
      <c r="HF323" s="8" t="n">
        <v>1</v>
      </c>
      <c r="HG323" s="8" t="n">
        <v>1</v>
      </c>
      <c r="HH323" s="8" t="n">
        <v>0</v>
      </c>
      <c r="HI323" s="8" t="n">
        <v>1</v>
      </c>
      <c r="HJ323" s="9">
        <f>HF323+HI323</f>
        <v/>
      </c>
      <c r="HK323" s="10">
        <f>IF(HE323=0,"",HH323/HE323)</f>
        <v/>
      </c>
      <c r="HL323" s="8" t="n">
        <v>10</v>
      </c>
      <c r="HM323" s="8" t="n">
        <v>8</v>
      </c>
      <c r="HN323" s="11">
        <f>IF(HL323=0,"",HM323/HL323)</f>
        <v/>
      </c>
    </row>
    <row r="324">
      <c r="A324" s="12" t="inlineStr">
        <is>
          <t>Zomba</t>
        </is>
      </c>
      <c r="B324" s="12" t="inlineStr">
        <is>
          <t>Kuchawe</t>
        </is>
      </c>
      <c r="C324" s="13" t="inlineStr">
        <is>
          <t>FY2025/26</t>
        </is>
      </c>
      <c r="D324" s="13" t="n">
        <v>2026</v>
      </c>
      <c r="E324" s="13" t="n">
        <v>1</v>
      </c>
      <c r="F324" s="13" t="inlineStr">
        <is>
          <t>January</t>
        </is>
      </c>
      <c r="G324" s="13" t="inlineStr">
        <is>
          <t>Q4</t>
        </is>
      </c>
      <c r="H324" s="14" t="n">
        <v>3904</v>
      </c>
      <c r="I324" s="14" t="n">
        <v>264</v>
      </c>
      <c r="J324" s="14" t="n">
        <v>0</v>
      </c>
      <c r="K324" s="14" t="n">
        <v>383</v>
      </c>
      <c r="L324" s="14" t="n">
        <v>0</v>
      </c>
      <c r="M324" s="15" t="n">
        <v>647</v>
      </c>
      <c r="N324" s="14" t="n">
        <v>682.5999999999999</v>
      </c>
      <c r="O324" s="14" t="n">
        <v>114.1</v>
      </c>
      <c r="P324" s="14" t="n">
        <v>66.80000000000001</v>
      </c>
      <c r="Q324" s="14" t="n">
        <v>1369.8</v>
      </c>
      <c r="R324" s="15" t="n">
        <v>2233.3</v>
      </c>
      <c r="S324" s="15" t="n">
        <v>2880.3</v>
      </c>
      <c r="T324" s="14" t="n">
        <v>1023.7</v>
      </c>
      <c r="U324" s="16" t="n">
        <v>0.262218237704918</v>
      </c>
      <c r="V324" s="14" t="n">
        <v>18</v>
      </c>
      <c r="W324" s="17" t="n">
        <v>4.610655737704918</v>
      </c>
      <c r="X324" s="14" t="n">
        <v>10</v>
      </c>
      <c r="Y324" s="17" t="n">
        <v>2.561475409836066</v>
      </c>
      <c r="Z324" s="14" t="n">
        <v>7</v>
      </c>
      <c r="AA324" s="17" t="n">
        <v>1.793032786885246</v>
      </c>
      <c r="AB324" s="14" t="n">
        <v>0</v>
      </c>
      <c r="AC324" s="17" t="n">
        <v>0</v>
      </c>
      <c r="AD324" s="14" t="n">
        <v>0</v>
      </c>
      <c r="AE324" s="17" t="n">
        <v>0</v>
      </c>
      <c r="AF324" s="14" t="n">
        <v>0</v>
      </c>
      <c r="AG324" s="17" t="n">
        <v>0</v>
      </c>
      <c r="AH324" s="14" t="n">
        <v>639812</v>
      </c>
      <c r="AI324" s="15" t="n">
        <v>163.8862704918033</v>
      </c>
      <c r="AJ324" s="14" t="n">
        <v>5777.55</v>
      </c>
      <c r="AK324" s="17" t="n">
        <v>1.479905225409836</v>
      </c>
      <c r="AL324" s="14" t="n">
        <v>1610662.86295</v>
      </c>
      <c r="AM324" s="15" t="n">
        <v>412.5673316982582</v>
      </c>
      <c r="AN324" s="14" t="n">
        <v>0</v>
      </c>
      <c r="AO324" s="14" t="n">
        <v>0</v>
      </c>
      <c r="AP324" s="14" t="n">
        <v>0</v>
      </c>
      <c r="AQ324" s="14" t="n">
        <v>0</v>
      </c>
      <c r="AR324" s="14" t="n">
        <v>0</v>
      </c>
      <c r="AS324" s="14" t="n">
        <v>0</v>
      </c>
      <c r="AT324" s="14" t="n">
        <v>0</v>
      </c>
      <c r="AU324" s="15" t="n">
        <v>2250474.86295</v>
      </c>
      <c r="AV324" s="15" t="n">
        <v>576.4536021900615</v>
      </c>
      <c r="AW324" s="15" t="n">
        <v>781.3334940631183</v>
      </c>
      <c r="AX324" s="14" t="n">
        <v>3</v>
      </c>
      <c r="AY324" s="15" t="n">
        <v>23.82172131147541</v>
      </c>
      <c r="AZ324" s="14" t="n">
        <v>5</v>
      </c>
      <c r="BA324" s="14" t="n">
        <v>1</v>
      </c>
      <c r="BB324" s="14" t="n">
        <v>5</v>
      </c>
      <c r="BC324" s="14" t="n">
        <v>6</v>
      </c>
      <c r="BD324" s="14" t="n">
        <v>0</v>
      </c>
      <c r="BE324" s="15" t="n">
        <v>6</v>
      </c>
      <c r="BF324" s="15" t="n">
        <v>0</v>
      </c>
      <c r="BG324" s="14" t="n">
        <v>0</v>
      </c>
      <c r="BH324" s="14" t="n">
        <v>1</v>
      </c>
      <c r="BI324" s="14" t="n">
        <v>1</v>
      </c>
      <c r="BJ324" s="14" t="n">
        <v>0</v>
      </c>
      <c r="BK324" s="15" t="n">
        <v>1</v>
      </c>
      <c r="BL324" s="15" t="n">
        <v>0</v>
      </c>
      <c r="BM324" s="14" t="n">
        <v>0</v>
      </c>
      <c r="BN324" s="14" t="n">
        <v>0</v>
      </c>
      <c r="BO324" s="14" t="n">
        <v>0</v>
      </c>
      <c r="BP324" s="14" t="n">
        <v>0</v>
      </c>
      <c r="BQ324" s="15" t="n">
        <v>0</v>
      </c>
      <c r="BR324" s="15" t="n">
        <v>0</v>
      </c>
      <c r="BS324" s="14" t="n">
        <v>0</v>
      </c>
      <c r="BT324" s="14" t="n">
        <v>0</v>
      </c>
      <c r="BU324" s="14" t="n">
        <v>0</v>
      </c>
      <c r="BV324" s="14" t="n">
        <v>0</v>
      </c>
      <c r="BW324" s="15" t="n">
        <v>0</v>
      </c>
      <c r="BX324" s="15" t="n">
        <v>0</v>
      </c>
      <c r="BY324" s="15" t="n">
        <v>1</v>
      </c>
      <c r="BZ324" s="15" t="n">
        <v>6</v>
      </c>
      <c r="CA324" s="15" t="n">
        <v>7</v>
      </c>
      <c r="CB324" s="15" t="n">
        <v>0</v>
      </c>
      <c r="CC324" s="14" t="n">
        <v>0</v>
      </c>
      <c r="CD324" s="14" t="n">
        <v>81</v>
      </c>
      <c r="CE324" s="14" t="n">
        <v>5</v>
      </c>
      <c r="CF324" s="14" t="n">
        <v>3</v>
      </c>
      <c r="CG324" s="14" t="n">
        <v>0</v>
      </c>
      <c r="CH324" s="15" t="n">
        <v>89</v>
      </c>
      <c r="CI324" s="14" t="n">
        <v>37</v>
      </c>
      <c r="CJ324" s="14" t="n">
        <v>7</v>
      </c>
      <c r="CK324" s="14" t="n">
        <v>0</v>
      </c>
      <c r="CL324" s="14" t="n">
        <v>0</v>
      </c>
      <c r="CM324" s="15" t="n">
        <v>44</v>
      </c>
      <c r="CN324" s="14" t="n">
        <v>156</v>
      </c>
      <c r="CO324" s="14" t="n">
        <v>8</v>
      </c>
      <c r="CP324" s="14" t="n">
        <v>18</v>
      </c>
      <c r="CQ324" s="14" t="n">
        <v>23</v>
      </c>
      <c r="CR324" s="15" t="n">
        <v>205</v>
      </c>
      <c r="CS324" s="15" t="n">
        <v>249</v>
      </c>
      <c r="CT324" s="14" t="n">
        <v>338</v>
      </c>
      <c r="CU324" s="14" t="n">
        <v>1986</v>
      </c>
      <c r="CV324" s="14" t="n">
        <v>1986.3</v>
      </c>
      <c r="CW324" s="16" t="n">
        <v>1.000151057401813</v>
      </c>
      <c r="CX324" s="14" t="n">
        <v>0</v>
      </c>
      <c r="CY324" s="14" t="n">
        <v>0</v>
      </c>
      <c r="CZ324" s="14" t="n">
        <v>0</v>
      </c>
      <c r="DA324" s="14" t="n">
        <v>0</v>
      </c>
      <c r="DB324" s="15" t="n">
        <v>0</v>
      </c>
      <c r="DC324" s="14" t="n">
        <v>0</v>
      </c>
      <c r="DD324" s="14" t="n">
        <v>0</v>
      </c>
      <c r="DE324" s="14" t="n">
        <v>0</v>
      </c>
      <c r="DF324" s="14" t="n">
        <v>0</v>
      </c>
      <c r="DG324" s="15" t="n">
        <v>0</v>
      </c>
      <c r="DH324" s="14" t="n">
        <v>0</v>
      </c>
      <c r="DI324" s="14" t="n">
        <v>0</v>
      </c>
      <c r="DJ324" s="14" t="n">
        <v>0</v>
      </c>
      <c r="DK324" s="14" t="n">
        <v>0</v>
      </c>
      <c r="DL324" s="15" t="n">
        <v>0</v>
      </c>
      <c r="DM324" s="14" t="n">
        <v>0</v>
      </c>
      <c r="DN324" s="14" t="n">
        <v>0</v>
      </c>
      <c r="DO324" s="14" t="n">
        <v>0</v>
      </c>
      <c r="DP324" s="14" t="n">
        <v>0</v>
      </c>
      <c r="DQ324" s="15" t="n">
        <v>0</v>
      </c>
      <c r="DR324" s="15" t="n">
        <v>0</v>
      </c>
      <c r="DS324" s="15" t="n">
        <v>0</v>
      </c>
      <c r="DT324" s="15" t="n">
        <v>0</v>
      </c>
      <c r="DU324" s="15" t="n">
        <v>0</v>
      </c>
      <c r="DV324" s="15" t="n">
        <v>0</v>
      </c>
      <c r="DW324" s="14" t="n">
        <v>7</v>
      </c>
      <c r="DX324" s="14" t="n">
        <v>6</v>
      </c>
      <c r="DY324" s="14" t="n">
        <v>35</v>
      </c>
      <c r="DZ324" s="14" t="n">
        <v>0</v>
      </c>
      <c r="EA324" s="14" t="n">
        <v>0</v>
      </c>
      <c r="EB324" s="14" t="n">
        <v>0</v>
      </c>
      <c r="EC324" s="14" t="n">
        <v>1</v>
      </c>
      <c r="ED324" s="14" t="n">
        <v>0</v>
      </c>
      <c r="EE324" s="14" t="n">
        <v>0</v>
      </c>
      <c r="EF324" s="14" t="n">
        <v>0</v>
      </c>
      <c r="EG324" s="14" t="n">
        <v>0</v>
      </c>
      <c r="EH324" s="14" t="n">
        <v>0</v>
      </c>
      <c r="EI324" s="14" t="n">
        <v>0</v>
      </c>
      <c r="EJ324" s="14" t="n">
        <v>2</v>
      </c>
      <c r="EK324" s="14" t="n">
        <v>0</v>
      </c>
      <c r="EL324" s="14" t="n">
        <v>0</v>
      </c>
      <c r="EM324" s="14" t="n">
        <v>0</v>
      </c>
      <c r="EN324" s="14" t="n">
        <v>0</v>
      </c>
      <c r="EO324" s="14" t="n">
        <v>0</v>
      </c>
      <c r="EP324" s="14" t="n">
        <v>0</v>
      </c>
      <c r="EQ324" s="14" t="n">
        <v>0</v>
      </c>
      <c r="ER324" s="14" t="n">
        <v>0</v>
      </c>
      <c r="ES324" s="14" t="n">
        <v>0</v>
      </c>
      <c r="ET324" s="14" t="n">
        <v>0</v>
      </c>
      <c r="EU324" s="14" t="n">
        <v>0</v>
      </c>
      <c r="EV324" s="14" t="n">
        <v>0</v>
      </c>
      <c r="EW324" s="14" t="n">
        <v>0</v>
      </c>
      <c r="EX324" s="14" t="n">
        <v>0</v>
      </c>
      <c r="EY324" s="14" t="n">
        <v>0</v>
      </c>
      <c r="EZ324" s="14" t="n">
        <v>0</v>
      </c>
      <c r="FA324" s="14" t="n">
        <v>0</v>
      </c>
      <c r="FB324" s="14" t="n">
        <v>0</v>
      </c>
      <c r="FC324" s="14" t="n">
        <v>0</v>
      </c>
      <c r="FD324" s="14" t="n">
        <v>0</v>
      </c>
      <c r="FE324" s="14" t="n">
        <v>1</v>
      </c>
      <c r="FF324" s="14" t="n">
        <v>0</v>
      </c>
      <c r="FG324" s="15" t="n">
        <v>52</v>
      </c>
      <c r="FH324" s="14" t="n">
        <v>0</v>
      </c>
      <c r="FI324" s="14" t="n">
        <v>0</v>
      </c>
      <c r="FJ324" s="14" t="n">
        <v>22</v>
      </c>
      <c r="FK324" s="14" t="n">
        <v>41.17</v>
      </c>
      <c r="FL324" s="14" t="n">
        <v>0</v>
      </c>
      <c r="FM324" s="14" t="n">
        <v>0</v>
      </c>
      <c r="FN324" s="14" t="n">
        <v>0</v>
      </c>
      <c r="FO324" s="14" t="n">
        <v>0</v>
      </c>
      <c r="FP324" s="14" t="n">
        <v>0</v>
      </c>
      <c r="FQ324" s="15" t="n">
        <v>0</v>
      </c>
      <c r="FR324" s="14" t="n">
        <v>38700</v>
      </c>
      <c r="FS324" s="14" t="n">
        <v>0</v>
      </c>
      <c r="FT324" s="14" t="n">
        <v>0</v>
      </c>
      <c r="FU324" s="14" t="n">
        <v>0</v>
      </c>
      <c r="FV324" s="15" t="n">
        <v>38700</v>
      </c>
      <c r="FW324" s="14" t="n">
        <v>868222.29</v>
      </c>
      <c r="FX324" s="14" t="n">
        <v>31406.22</v>
      </c>
      <c r="FY324" s="14" t="n">
        <v>6476000</v>
      </c>
      <c r="FZ324" s="14" t="n">
        <v>202300</v>
      </c>
      <c r="GA324" s="15" t="n">
        <v>7577928.51</v>
      </c>
      <c r="GB324" s="15" t="n">
        <v>7616628.51</v>
      </c>
      <c r="GC324" s="14" t="n">
        <v>257284.77</v>
      </c>
      <c r="GD324" s="14" t="n">
        <v>0</v>
      </c>
      <c r="GE324" s="14" t="n">
        <v>1265176.72</v>
      </c>
      <c r="GF324" s="14" t="n">
        <v>0</v>
      </c>
      <c r="GG324" s="15" t="n">
        <v>1522461.49</v>
      </c>
      <c r="GH324" s="14" t="n">
        <v>851715.34</v>
      </c>
      <c r="GI324" s="14" t="n">
        <v>24266.22</v>
      </c>
      <c r="GJ324" s="14" t="n">
        <v>202300</v>
      </c>
      <c r="GK324" s="14" t="n">
        <v>6476000</v>
      </c>
      <c r="GL324" s="15" t="n">
        <v>7554281.560000001</v>
      </c>
      <c r="GM324" s="15" t="n">
        <v>9076743.050000001</v>
      </c>
      <c r="GN324" s="14" t="n">
        <v>20387.27</v>
      </c>
      <c r="GO324" s="14" t="n">
        <v>0</v>
      </c>
      <c r="GP324" s="14" t="n">
        <v>23755.48</v>
      </c>
      <c r="GQ324" s="14" t="n">
        <v>0</v>
      </c>
      <c r="GR324" s="15" t="n">
        <v>44142.75</v>
      </c>
      <c r="GS324" s="14" t="n">
        <v>33041</v>
      </c>
      <c r="GT324" s="14" t="n">
        <v>0</v>
      </c>
      <c r="GU324" s="14" t="n">
        <v>6251</v>
      </c>
      <c r="GV324" s="14" t="n">
        <v>0</v>
      </c>
      <c r="GW324" s="15" t="n">
        <v>39292</v>
      </c>
      <c r="GX324" s="15" t="n">
        <v>9160177.800000001</v>
      </c>
      <c r="GY324" s="14" t="n">
        <v>-2301602.880000003</v>
      </c>
      <c r="GZ324" s="14" t="n">
        <v>-29150.51</v>
      </c>
      <c r="HA324" s="9">
        <f>GY324+GZ324</f>
        <v/>
      </c>
      <c r="HB324" s="15" t="n">
        <v>9160177.800000001</v>
      </c>
      <c r="HC324" s="16" t="n">
        <v>0</v>
      </c>
      <c r="HD324" s="15" t="n">
        <v>0</v>
      </c>
      <c r="HE324" s="14" t="n">
        <v>6</v>
      </c>
      <c r="HF324" s="14" t="n">
        <v>1</v>
      </c>
      <c r="HG324" s="14" t="n">
        <v>0</v>
      </c>
      <c r="HH324" s="14" t="n">
        <v>6</v>
      </c>
      <c r="HI324" s="14" t="n">
        <v>5</v>
      </c>
      <c r="HJ324" s="15" t="n">
        <v>0.8333333333333334</v>
      </c>
      <c r="HK324" s="16" t="n">
        <v>0</v>
      </c>
      <c r="HL324" s="14" t="n">
        <v>3</v>
      </c>
      <c r="HM324" s="14" t="n">
        <v>1</v>
      </c>
      <c r="HN324" s="17" t="n">
        <v>3</v>
      </c>
    </row>
    <row r="325">
      <c r="A325" s="6" t="inlineStr">
        <is>
          <t>Zomba</t>
        </is>
      </c>
      <c r="B325" s="6" t="inlineStr">
        <is>
          <t>Kuchawe</t>
        </is>
      </c>
      <c r="C325" s="7" t="inlineStr">
        <is>
          <t>FY2025/26</t>
        </is>
      </c>
      <c r="D325" s="7" t="n">
        <v>2026</v>
      </c>
      <c r="E325" s="7" t="n">
        <v>2</v>
      </c>
      <c r="F325" s="7" t="inlineStr">
        <is>
          <t>February</t>
        </is>
      </c>
      <c r="G325" s="7" t="inlineStr">
        <is>
          <t>Q4</t>
        </is>
      </c>
      <c r="H325" s="8" t="n">
        <v>2728</v>
      </c>
      <c r="I325" s="8" t="n">
        <v>193</v>
      </c>
      <c r="J325" s="8" t="n">
        <v>0</v>
      </c>
      <c r="K325" s="8" t="n">
        <v>143</v>
      </c>
      <c r="L325" s="8" t="n">
        <v>0</v>
      </c>
      <c r="M325" s="9">
        <f>SUM(I325,J325,K325,L325)</f>
        <v/>
      </c>
      <c r="N325" s="8" t="n">
        <v>426.0000000000004</v>
      </c>
      <c r="O325" s="8" t="n">
        <v>139.3</v>
      </c>
      <c r="P325" s="8" t="n">
        <v>64.59999999999999</v>
      </c>
      <c r="Q325" s="8" t="n">
        <v>1323.9</v>
      </c>
      <c r="R325" s="9">
        <f>SUM(N325,O325,P325,Q325)</f>
        <v/>
      </c>
      <c r="S325" s="9">
        <f>M325+R325</f>
        <v/>
      </c>
      <c r="T325" s="8" t="n">
        <v>438.1999999999994</v>
      </c>
      <c r="U325" s="10">
        <f>IF(H325=0,"",T325/H325)</f>
        <v/>
      </c>
      <c r="V325" s="8" t="n">
        <v>15</v>
      </c>
      <c r="W325" s="11">
        <f>IF(H325=0,"",V325/H325)</f>
        <v/>
      </c>
      <c r="X325" s="8" t="n">
        <v>12</v>
      </c>
      <c r="Y325" s="11">
        <f>IF(H325=0,"",X325/H325)</f>
        <v/>
      </c>
      <c r="Z325" s="8" t="n">
        <v>8</v>
      </c>
      <c r="AA325" s="11">
        <f>IF(H325=0,"",Z325/H325)</f>
        <v/>
      </c>
      <c r="AB325" s="8" t="n">
        <v>0</v>
      </c>
      <c r="AC325" s="11">
        <f>IF(H325=0,"",AB325/H325)</f>
        <v/>
      </c>
      <c r="AD325" s="8" t="n">
        <v>0</v>
      </c>
      <c r="AE325" s="11">
        <f>IF(H325=0,"",AD325/H325)</f>
        <v/>
      </c>
      <c r="AF325" s="8" t="n">
        <v>0</v>
      </c>
      <c r="AG325" s="11">
        <f>IF(H325=0,"",AF325/H325)</f>
        <v/>
      </c>
      <c r="AH325" s="8" t="n">
        <v>591328</v>
      </c>
      <c r="AI325" s="9">
        <f>IF(H325=0,"",AH325/H325)</f>
        <v/>
      </c>
      <c r="AJ325" s="8" t="n">
        <v>4707.8</v>
      </c>
      <c r="AK325" s="11">
        <f>IF(H325=0,"",AJ325/H325)</f>
        <v/>
      </c>
      <c r="AL325" s="8" t="n">
        <v>1318290.5602</v>
      </c>
      <c r="AM325" s="9">
        <f>IF(H325=0,"",AL325/H325)</f>
        <v/>
      </c>
      <c r="AN325" s="8" t="n">
        <v>0</v>
      </c>
      <c r="AO325" s="8" t="n">
        <v>0</v>
      </c>
      <c r="AP325" s="8" t="n">
        <v>0</v>
      </c>
      <c r="AQ325" s="8" t="n">
        <v>0</v>
      </c>
      <c r="AR325" s="8" t="n">
        <v>0</v>
      </c>
      <c r="AS325" s="8" t="n">
        <v>0</v>
      </c>
      <c r="AT325" s="8" t="n">
        <v>0</v>
      </c>
      <c r="AU325" s="9">
        <f>AH325+AL325+AP325+AQ325+AR325+AS325+AT325</f>
        <v/>
      </c>
      <c r="AV325" s="9">
        <f>IF(H325=0,"",AU325/H325)</f>
        <v/>
      </c>
      <c r="AW325" s="9">
        <f>IF(S325=0,"",AU325/S325)</f>
        <v/>
      </c>
      <c r="AX325" s="8" t="n">
        <v>3</v>
      </c>
      <c r="AY325" s="9">
        <f>IF(H325=0,"",AX325/(H325/1000/12))</f>
        <v/>
      </c>
      <c r="AZ325" s="8" t="n">
        <v>5</v>
      </c>
      <c r="BA325" s="8" t="n">
        <v>0</v>
      </c>
      <c r="BB325" s="8" t="n">
        <v>0</v>
      </c>
      <c r="BC325" s="8" t="n">
        <v>0</v>
      </c>
      <c r="BD325" s="8" t="n">
        <v>0</v>
      </c>
      <c r="BE325" s="9">
        <f>BC325+BD325</f>
        <v/>
      </c>
      <c r="BF325" s="9">
        <f>BA325+BB325-BE325</f>
        <v/>
      </c>
      <c r="BG325" s="8" t="n">
        <v>0</v>
      </c>
      <c r="BH325" s="8" t="n">
        <v>0</v>
      </c>
      <c r="BI325" s="8" t="n">
        <v>0</v>
      </c>
      <c r="BJ325" s="8" t="n">
        <v>0</v>
      </c>
      <c r="BK325" s="9">
        <f>BI325+BJ325</f>
        <v/>
      </c>
      <c r="BL325" s="9">
        <f>BG325+BH325-BK325</f>
        <v/>
      </c>
      <c r="BM325" s="8" t="n">
        <v>0</v>
      </c>
      <c r="BN325" s="8" t="n">
        <v>0</v>
      </c>
      <c r="BO325" s="8" t="n">
        <v>0</v>
      </c>
      <c r="BP325" s="8" t="n">
        <v>0</v>
      </c>
      <c r="BQ325" s="9">
        <f>BO325+BP325</f>
        <v/>
      </c>
      <c r="BR325" s="9">
        <f>BM325+BN325-BQ325</f>
        <v/>
      </c>
      <c r="BS325" s="8" t="n">
        <v>0</v>
      </c>
      <c r="BT325" s="8" t="n">
        <v>0</v>
      </c>
      <c r="BU325" s="8" t="n">
        <v>0</v>
      </c>
      <c r="BV325" s="8" t="n">
        <v>0</v>
      </c>
      <c r="BW325" s="9">
        <f>BU325+BV325</f>
        <v/>
      </c>
      <c r="BX325" s="9">
        <f>BS325+BT325-BW325</f>
        <v/>
      </c>
      <c r="BY325" s="9">
        <f>BA325+BG325+BM325+BS325</f>
        <v/>
      </c>
      <c r="BZ325" s="9">
        <f>BB325+BH325+BN325+BT325</f>
        <v/>
      </c>
      <c r="CA325" s="9">
        <f>BE325+BK325+BQ325+BW325</f>
        <v/>
      </c>
      <c r="CB325" s="9">
        <f>BF325+BL325+BR325+BX325</f>
        <v/>
      </c>
      <c r="CC325" s="8" t="n">
        <v>0</v>
      </c>
      <c r="CD325" s="8" t="n">
        <v>88</v>
      </c>
      <c r="CE325" s="8" t="n">
        <v>4</v>
      </c>
      <c r="CF325" s="8" t="n">
        <v>4</v>
      </c>
      <c r="CG325" s="8" t="n">
        <v>0</v>
      </c>
      <c r="CH325" s="9">
        <f>CD325+CE325+CF325+CG325</f>
        <v/>
      </c>
      <c r="CI325" s="8" t="n">
        <v>21</v>
      </c>
      <c r="CJ325" s="8" t="n">
        <v>7</v>
      </c>
      <c r="CK325" s="8" t="n">
        <v>0</v>
      </c>
      <c r="CL325" s="8" t="n">
        <v>0</v>
      </c>
      <c r="CM325" s="9">
        <f>CI325+CJ325+CK325+CL325</f>
        <v/>
      </c>
      <c r="CN325" s="8" t="n">
        <v>165</v>
      </c>
      <c r="CO325" s="8" t="n">
        <v>9</v>
      </c>
      <c r="CP325" s="8" t="n">
        <v>17</v>
      </c>
      <c r="CQ325" s="8" t="n">
        <v>23</v>
      </c>
      <c r="CR325" s="9">
        <f>CN325+CO325+CP325+CQ325</f>
        <v/>
      </c>
      <c r="CS325" s="9">
        <f>CM325+CR325</f>
        <v/>
      </c>
      <c r="CT325" s="8" t="n">
        <v>338</v>
      </c>
      <c r="CU325" s="8" t="n">
        <v>1992</v>
      </c>
      <c r="CV325" s="8" t="n">
        <v>1986</v>
      </c>
      <c r="CW325" s="10">
        <f>IF(CU325=0,"",CV325/CU325)</f>
        <v/>
      </c>
      <c r="CX325" s="8" t="n">
        <v>0</v>
      </c>
      <c r="CY325" s="8" t="n">
        <v>0</v>
      </c>
      <c r="CZ325" s="8" t="n">
        <v>0</v>
      </c>
      <c r="DA325" s="8" t="n">
        <v>0</v>
      </c>
      <c r="DB325" s="9">
        <f>CX325+CY325-CZ325-DA325</f>
        <v/>
      </c>
      <c r="DC325" s="8" t="n">
        <v>0</v>
      </c>
      <c r="DD325" s="8" t="n">
        <v>0</v>
      </c>
      <c r="DE325" s="8" t="n">
        <v>0</v>
      </c>
      <c r="DF325" s="8" t="n">
        <v>0</v>
      </c>
      <c r="DG325" s="9">
        <f>DC325+DD325-DE325-DF325</f>
        <v/>
      </c>
      <c r="DH325" s="8" t="n">
        <v>0</v>
      </c>
      <c r="DI325" s="8" t="n">
        <v>0</v>
      </c>
      <c r="DJ325" s="8" t="n">
        <v>0</v>
      </c>
      <c r="DK325" s="8" t="n">
        <v>0</v>
      </c>
      <c r="DL325" s="9">
        <f>DH325+DI325-DJ325-DK325</f>
        <v/>
      </c>
      <c r="DM325" s="8" t="n">
        <v>0</v>
      </c>
      <c r="DN325" s="8" t="n">
        <v>0</v>
      </c>
      <c r="DO325" s="8" t="n">
        <v>0</v>
      </c>
      <c r="DP325" s="8" t="n">
        <v>0</v>
      </c>
      <c r="DQ325" s="9">
        <f>DM325+DN325-DO325-DP325</f>
        <v/>
      </c>
      <c r="DR325" s="9">
        <f>CX325+DC325+DH325+DM325</f>
        <v/>
      </c>
      <c r="DS325" s="9">
        <f>CY325+DD325+DI325+DN325</f>
        <v/>
      </c>
      <c r="DT325" s="9">
        <f>CZ325+DE325+DJ325+DO325</f>
        <v/>
      </c>
      <c r="DU325" s="9">
        <f>DA325+DF325+DK325+DP325</f>
        <v/>
      </c>
      <c r="DV325" s="9">
        <f>DB325+DG325+DL325+DQ325</f>
        <v/>
      </c>
      <c r="DW325" s="8" t="n">
        <v>9</v>
      </c>
      <c r="DX325" s="8" t="n">
        <v>5</v>
      </c>
      <c r="DY325" s="8" t="n">
        <v>9</v>
      </c>
      <c r="DZ325" s="8" t="n">
        <v>1</v>
      </c>
      <c r="EA325" s="8" t="n">
        <v>0</v>
      </c>
      <c r="EB325" s="8" t="n">
        <v>0</v>
      </c>
      <c r="EC325" s="8" t="n">
        <v>0</v>
      </c>
      <c r="ED325" s="8" t="n">
        <v>0</v>
      </c>
      <c r="EE325" s="8" t="n">
        <v>0</v>
      </c>
      <c r="EF325" s="8" t="n">
        <v>0</v>
      </c>
      <c r="EG325" s="8" t="n">
        <v>0</v>
      </c>
      <c r="EH325" s="8" t="n">
        <v>0</v>
      </c>
      <c r="EI325" s="8" t="n">
        <v>0</v>
      </c>
      <c r="EJ325" s="8" t="n">
        <v>2</v>
      </c>
      <c r="EK325" s="8" t="n">
        <v>0</v>
      </c>
      <c r="EL325" s="8" t="n">
        <v>0</v>
      </c>
      <c r="EM325" s="8" t="n">
        <v>0</v>
      </c>
      <c r="EN325" s="8" t="n">
        <v>0</v>
      </c>
      <c r="EO325" s="8" t="n">
        <v>0</v>
      </c>
      <c r="EP325" s="8" t="n">
        <v>0</v>
      </c>
      <c r="EQ325" s="8" t="n">
        <v>0</v>
      </c>
      <c r="ER325" s="8" t="n">
        <v>0</v>
      </c>
      <c r="ES325" s="8" t="n">
        <v>0</v>
      </c>
      <c r="ET325" s="8" t="n">
        <v>0</v>
      </c>
      <c r="EU325" s="8" t="n">
        <v>0</v>
      </c>
      <c r="EV325" s="8" t="n">
        <v>0</v>
      </c>
      <c r="EW325" s="8" t="n">
        <v>0</v>
      </c>
      <c r="EX325" s="8" t="n">
        <v>0</v>
      </c>
      <c r="EY325" s="8" t="n">
        <v>0</v>
      </c>
      <c r="EZ325" s="8" t="n">
        <v>0</v>
      </c>
      <c r="FA325" s="8" t="n">
        <v>0</v>
      </c>
      <c r="FB325" s="8" t="n">
        <v>0</v>
      </c>
      <c r="FC325" s="8" t="n">
        <v>0</v>
      </c>
      <c r="FD325" s="8" t="n">
        <v>0</v>
      </c>
      <c r="FE325" s="8" t="n">
        <v>1</v>
      </c>
      <c r="FF325" s="8" t="n">
        <v>0</v>
      </c>
      <c r="FG325" s="9">
        <f>SUM(DW325,DX325,DY325,DZ325,EA325,EB325,EC325,ED325,EE325,EF325,EG325,EH325,EI325,EJ325,EK325,EL325,EM325,EN325,EO325,EP325,EQ325,ER325,ES325,ET325,EU325,EV325,EW325,EX325,EY325,EZ325,FA325,FB325,FC325,FD325,FE325,FF325)</f>
        <v/>
      </c>
      <c r="FH325" s="8" t="n">
        <v>0</v>
      </c>
      <c r="FI325" s="8" t="n">
        <v>0</v>
      </c>
      <c r="FJ325" s="8" t="n">
        <v>21</v>
      </c>
      <c r="FK325" s="8" t="n">
        <v>63.33</v>
      </c>
      <c r="FL325" s="8" t="n">
        <v>0</v>
      </c>
      <c r="FM325" s="8" t="n">
        <v>0</v>
      </c>
      <c r="FN325" s="8" t="n">
        <v>0</v>
      </c>
      <c r="FO325" s="8" t="n">
        <v>0</v>
      </c>
      <c r="FP325" s="8" t="n">
        <v>0</v>
      </c>
      <c r="FQ325" s="9">
        <f>FL325+FM325+FN325+FO325+FP325</f>
        <v/>
      </c>
      <c r="FR325" s="8" t="n">
        <v>72196.27</v>
      </c>
      <c r="FS325" s="8" t="n">
        <v>0</v>
      </c>
      <c r="FT325" s="8" t="n">
        <v>0</v>
      </c>
      <c r="FU325" s="8" t="n">
        <v>13000</v>
      </c>
      <c r="FV325" s="9">
        <f>FR325+FS325+FT325+FU325</f>
        <v/>
      </c>
      <c r="FW325" s="8" t="n">
        <v>543990</v>
      </c>
      <c r="FX325" s="8" t="n">
        <v>33800</v>
      </c>
      <c r="FY325" s="8" t="n">
        <v>6260000</v>
      </c>
      <c r="FZ325" s="8" t="n">
        <v>196100</v>
      </c>
      <c r="GA325" s="9">
        <f>FW325+FX325+FY325+FZ325</f>
        <v/>
      </c>
      <c r="GB325" s="9">
        <f>FV325+GA325</f>
        <v/>
      </c>
      <c r="GC325" s="8" t="n">
        <v>186401.89</v>
      </c>
      <c r="GD325" s="8" t="n">
        <v>0</v>
      </c>
      <c r="GE325" s="8" t="n">
        <v>439596.03</v>
      </c>
      <c r="GF325" s="8" t="n">
        <v>0</v>
      </c>
      <c r="GG325" s="9">
        <f>GC325+GD325+GE325+GF325</f>
        <v/>
      </c>
      <c r="GH325" s="8" t="n">
        <v>531029.29</v>
      </c>
      <c r="GI325" s="8" t="n">
        <v>29600</v>
      </c>
      <c r="GJ325" s="8" t="n">
        <v>196100</v>
      </c>
      <c r="GK325" s="8" t="n">
        <v>6260000</v>
      </c>
      <c r="GL325" s="9">
        <f>GH325+GI325+GJ325+GK325</f>
        <v/>
      </c>
      <c r="GM325" s="9">
        <f>GG325+GL325</f>
        <v/>
      </c>
      <c r="GN325" s="8" t="n">
        <v>11668.39</v>
      </c>
      <c r="GO325" s="8" t="n">
        <v>0</v>
      </c>
      <c r="GP325" s="8" t="n">
        <v>23755.48</v>
      </c>
      <c r="GQ325" s="8" t="n">
        <v>0</v>
      </c>
      <c r="GR325" s="9">
        <f>GN325+GO325+GP325+GQ325</f>
        <v/>
      </c>
      <c r="GS325" s="8" t="n">
        <v>18753</v>
      </c>
      <c r="GT325" s="8" t="n">
        <v>0</v>
      </c>
      <c r="GU325" s="8" t="n">
        <v>6251</v>
      </c>
      <c r="GV325" s="8" t="n">
        <v>0</v>
      </c>
      <c r="GW325" s="9">
        <f>GS325+GT325+GU325+GV325</f>
        <v/>
      </c>
      <c r="GX325" s="9">
        <f>GM325+GR325+GW325</f>
        <v/>
      </c>
      <c r="GY325" s="8" t="n">
        <v>10616565.22</v>
      </c>
      <c r="GZ325" s="8" t="n">
        <v>-29150.51</v>
      </c>
      <c r="HA325" s="9">
        <f>GY325+GZ325</f>
        <v/>
      </c>
      <c r="HB325" s="9">
        <f>IF(GX325=0,"",AU325/GX325)</f>
        <v/>
      </c>
      <c r="HC325" s="10">
        <f>IF((GX325+GY325)=0,"",GB325/(GX325+GY325))</f>
        <v/>
      </c>
      <c r="HD325" s="9">
        <f>IF(GX325=0,"",GB325/GX325)</f>
        <v/>
      </c>
      <c r="HE325" s="8" t="n">
        <v>2</v>
      </c>
      <c r="HF325" s="8" t="n">
        <v>1</v>
      </c>
      <c r="HG325" s="8" t="n">
        <v>0</v>
      </c>
      <c r="HH325" s="8" t="n">
        <v>0</v>
      </c>
      <c r="HI325" s="8" t="n">
        <v>0</v>
      </c>
      <c r="HJ325" s="9">
        <f>HF325+HI325</f>
        <v/>
      </c>
      <c r="HK325" s="10">
        <f>IF(HE325=0,"",HH325/HE325)</f>
        <v/>
      </c>
      <c r="HL325" s="8" t="n">
        <v>5</v>
      </c>
      <c r="HM325" s="8" t="n">
        <v>2</v>
      </c>
      <c r="HN325" s="11">
        <f>IF(HL325=0,"",HM325/HL325)</f>
        <v/>
      </c>
    </row>
    <row r="326">
      <c r="A326" s="12" t="inlineStr">
        <is>
          <t>Zomba</t>
        </is>
      </c>
      <c r="B326" s="12" t="inlineStr">
        <is>
          <t>Kuchawe</t>
        </is>
      </c>
      <c r="C326" s="13" t="inlineStr">
        <is>
          <t>FY2025/26</t>
        </is>
      </c>
      <c r="D326" s="13" t="n">
        <v>2026</v>
      </c>
      <c r="E326" s="13" t="n">
        <v>3</v>
      </c>
      <c r="F326" s="13" t="inlineStr">
        <is>
          <t>March</t>
        </is>
      </c>
      <c r="G326" s="13" t="inlineStr">
        <is>
          <t>Q4</t>
        </is>
      </c>
      <c r="H326" s="14" t="n">
        <v>2853</v>
      </c>
      <c r="I326" s="14" t="n">
        <v>107</v>
      </c>
      <c r="J326" s="14" t="n">
        <v>0</v>
      </c>
      <c r="K326" s="14" t="n">
        <v>233</v>
      </c>
      <c r="L326" s="14" t="n">
        <v>0</v>
      </c>
      <c r="M326" s="15">
        <f>SUM(I326,J326,K326,L326)</f>
        <v/>
      </c>
      <c r="N326" s="14" t="n">
        <v>475.2000000000002</v>
      </c>
      <c r="O326" s="14" t="n">
        <v>88.80000000000001</v>
      </c>
      <c r="P326" s="14" t="n">
        <v>76.40000000000001</v>
      </c>
      <c r="Q326" s="14" t="n">
        <v>1759.9</v>
      </c>
      <c r="R326" s="15">
        <f>SUM(N326,O326,P326,Q326)</f>
        <v/>
      </c>
      <c r="S326" s="15">
        <f>M326+R326</f>
        <v/>
      </c>
      <c r="T326" s="14" t="n">
        <v>112.7000000000003</v>
      </c>
      <c r="U326" s="16">
        <f>IF(H326=0,"",T326/H326)</f>
        <v/>
      </c>
      <c r="V326" s="14" t="n">
        <v>13</v>
      </c>
      <c r="W326" s="17">
        <f>IF(H326=0,"",V326/H326)</f>
        <v/>
      </c>
      <c r="X326" s="14" t="n">
        <v>10</v>
      </c>
      <c r="Y326" s="17">
        <f>IF(H326=0,"",X326/H326)</f>
        <v/>
      </c>
      <c r="Z326" s="14" t="n">
        <v>9</v>
      </c>
      <c r="AA326" s="17">
        <f>IF(H326=0,"",Z326/H326)</f>
        <v/>
      </c>
      <c r="AB326" s="14" t="n">
        <v>0</v>
      </c>
      <c r="AC326" s="17">
        <f>IF(H326=0,"",AB326/H326)</f>
        <v/>
      </c>
      <c r="AD326" s="14" t="n">
        <v>0</v>
      </c>
      <c r="AE326" s="17">
        <f>IF(H326=0,"",AD326/H326)</f>
        <v/>
      </c>
      <c r="AF326" s="14" t="n">
        <v>0</v>
      </c>
      <c r="AG326" s="17">
        <f>IF(H326=0,"",AF326/H326)</f>
        <v/>
      </c>
      <c r="AH326" s="14" t="n">
        <v>534044</v>
      </c>
      <c r="AI326" s="15">
        <f>IF(H326=0,"",AH326/H326)</f>
        <v/>
      </c>
      <c r="AJ326" s="14" t="n">
        <v>1967.96</v>
      </c>
      <c r="AK326" s="17">
        <f>IF(H326=0,"",AJ326/H326)</f>
        <v/>
      </c>
      <c r="AL326" s="14" t="n">
        <v>569467.6296399999</v>
      </c>
      <c r="AM326" s="15">
        <f>IF(H326=0,"",AL326/H326)</f>
        <v/>
      </c>
      <c r="AN326" s="14" t="n">
        <v>0</v>
      </c>
      <c r="AO326" s="14" t="n">
        <v>0</v>
      </c>
      <c r="AP326" s="14" t="n">
        <v>0</v>
      </c>
      <c r="AQ326" s="14" t="n">
        <v>0</v>
      </c>
      <c r="AR326" s="14" t="n">
        <v>0</v>
      </c>
      <c r="AS326" s="14" t="n">
        <v>0</v>
      </c>
      <c r="AT326" s="14" t="n">
        <v>0</v>
      </c>
      <c r="AU326" s="15">
        <f>AH326+AL326+AP326+AQ326+AR326+AS326+AT326</f>
        <v/>
      </c>
      <c r="AV326" s="15">
        <f>IF(H326=0,"",AU326/H326)</f>
        <v/>
      </c>
      <c r="AW326" s="15">
        <f>IF(S326=0,"",AU326/S326)</f>
        <v/>
      </c>
      <c r="AX326" s="14" t="n">
        <v>3</v>
      </c>
      <c r="AY326" s="15">
        <f>IF(H326=0,"",AX326/(H326/1000/12))</f>
        <v/>
      </c>
      <c r="AZ326" s="14" t="n">
        <v>5</v>
      </c>
      <c r="BA326" s="14" t="n">
        <v>0</v>
      </c>
      <c r="BB326" s="14" t="n">
        <v>0</v>
      </c>
      <c r="BC326" s="14" t="n">
        <v>0</v>
      </c>
      <c r="BD326" s="14" t="n">
        <v>0</v>
      </c>
      <c r="BE326" s="15">
        <f>BC326+BD326</f>
        <v/>
      </c>
      <c r="BF326" s="15">
        <f>BA326+BB326-BE326</f>
        <v/>
      </c>
      <c r="BG326" s="14" t="n">
        <v>0</v>
      </c>
      <c r="BH326" s="14" t="n">
        <v>0</v>
      </c>
      <c r="BI326" s="14" t="n">
        <v>0</v>
      </c>
      <c r="BJ326" s="14" t="n">
        <v>0</v>
      </c>
      <c r="BK326" s="15">
        <f>BI326+BJ326</f>
        <v/>
      </c>
      <c r="BL326" s="15">
        <f>BG326+BH326-BK326</f>
        <v/>
      </c>
      <c r="BM326" s="14" t="n">
        <v>0</v>
      </c>
      <c r="BN326" s="14" t="n">
        <v>0</v>
      </c>
      <c r="BO326" s="14" t="n">
        <v>0</v>
      </c>
      <c r="BP326" s="14" t="n">
        <v>0</v>
      </c>
      <c r="BQ326" s="15">
        <f>BO326+BP326</f>
        <v/>
      </c>
      <c r="BR326" s="15">
        <f>BM326+BN326-BQ326</f>
        <v/>
      </c>
      <c r="BS326" s="14" t="n">
        <v>0</v>
      </c>
      <c r="BT326" s="14" t="n">
        <v>0</v>
      </c>
      <c r="BU326" s="14" t="n">
        <v>0</v>
      </c>
      <c r="BV326" s="14" t="n">
        <v>0</v>
      </c>
      <c r="BW326" s="15">
        <f>BU326+BV326</f>
        <v/>
      </c>
      <c r="BX326" s="15">
        <f>BS326+BT326-BW326</f>
        <v/>
      </c>
      <c r="BY326" s="15">
        <f>BA326+BG326+BM326+BS326</f>
        <v/>
      </c>
      <c r="BZ326" s="15">
        <f>BB326+BH326+BN326+BT326</f>
        <v/>
      </c>
      <c r="CA326" s="15">
        <f>BE326+BK326+BQ326+BW326</f>
        <v/>
      </c>
      <c r="CB326" s="15">
        <f>BF326+BL326+BR326+BX326</f>
        <v/>
      </c>
      <c r="CC326" s="14" t="n">
        <v>0</v>
      </c>
      <c r="CD326" s="14" t="n">
        <v>87</v>
      </c>
      <c r="CE326" s="14" t="n">
        <v>4</v>
      </c>
      <c r="CF326" s="14" t="n">
        <v>4</v>
      </c>
      <c r="CG326" s="14" t="n">
        <v>0</v>
      </c>
      <c r="CH326" s="15">
        <f>CD326+CE326+CF326+CG326</f>
        <v/>
      </c>
      <c r="CI326" s="14" t="n">
        <v>22</v>
      </c>
      <c r="CJ326" s="14" t="n">
        <v>7</v>
      </c>
      <c r="CK326" s="14" t="n">
        <v>0</v>
      </c>
      <c r="CL326" s="14" t="n">
        <v>0</v>
      </c>
      <c r="CM326" s="15">
        <f>CI326+CJ326+CK326+CL326</f>
        <v/>
      </c>
      <c r="CN326" s="14" t="n">
        <v>165</v>
      </c>
      <c r="CO326" s="14" t="n">
        <v>9</v>
      </c>
      <c r="CP326" s="14" t="n">
        <v>17</v>
      </c>
      <c r="CQ326" s="14" t="n">
        <v>23</v>
      </c>
      <c r="CR326" s="15">
        <f>CN326+CO326+CP326+CQ326</f>
        <v/>
      </c>
      <c r="CS326" s="15">
        <f>CM326+CR326</f>
        <v/>
      </c>
      <c r="CT326" s="14" t="n">
        <v>338</v>
      </c>
      <c r="CU326" s="14" t="n">
        <v>1996</v>
      </c>
      <c r="CV326" s="14" t="n">
        <v>1986</v>
      </c>
      <c r="CW326" s="16">
        <f>IF(CU326=0,"",CV326/CU326)</f>
        <v/>
      </c>
      <c r="CX326" s="14" t="n"/>
      <c r="CY326" s="14" t="n"/>
      <c r="CZ326" s="14" t="n"/>
      <c r="DA326" s="14" t="n"/>
      <c r="DB326" s="15">
        <f>CX326+CY326-CZ326-DA326</f>
        <v/>
      </c>
      <c r="DC326" s="14" t="n">
        <v>0</v>
      </c>
      <c r="DD326" s="14" t="n">
        <v>0</v>
      </c>
      <c r="DE326" s="14" t="n">
        <v>0</v>
      </c>
      <c r="DF326" s="14" t="n">
        <v>0</v>
      </c>
      <c r="DG326" s="15">
        <f>DC326+DD326-DE326-DF326</f>
        <v/>
      </c>
      <c r="DH326" s="14" t="n">
        <v>0</v>
      </c>
      <c r="DI326" s="14" t="n">
        <v>0</v>
      </c>
      <c r="DJ326" s="14" t="n">
        <v>0</v>
      </c>
      <c r="DK326" s="14" t="n">
        <v>0</v>
      </c>
      <c r="DL326" s="15">
        <f>DH326+DI326-DJ326-DK326</f>
        <v/>
      </c>
      <c r="DM326" s="14" t="n">
        <v>0</v>
      </c>
      <c r="DN326" s="14" t="n">
        <v>0</v>
      </c>
      <c r="DO326" s="14" t="n">
        <v>0</v>
      </c>
      <c r="DP326" s="14" t="n">
        <v>0</v>
      </c>
      <c r="DQ326" s="15">
        <f>DM326+DN326-DO326-DP326</f>
        <v/>
      </c>
      <c r="DR326" s="15">
        <f>CX326+DC326+DH326+DM326</f>
        <v/>
      </c>
      <c r="DS326" s="15">
        <f>CY326+DD326+DI326+DN326</f>
        <v/>
      </c>
      <c r="DT326" s="15">
        <f>CZ326+DE326+DJ326+DO326</f>
        <v/>
      </c>
      <c r="DU326" s="15">
        <f>DA326+DF326+DK326+DP326</f>
        <v/>
      </c>
      <c r="DV326" s="15">
        <f>DB326+DG326+DL326+DQ326</f>
        <v/>
      </c>
      <c r="DW326" s="14" t="n">
        <v>11</v>
      </c>
      <c r="DX326" s="14" t="n">
        <v>5</v>
      </c>
      <c r="DY326" s="14" t="n">
        <v>6</v>
      </c>
      <c r="DZ326" s="14" t="n">
        <v>1</v>
      </c>
      <c r="EA326" s="14" t="n">
        <v>3</v>
      </c>
      <c r="EB326" s="14" t="n">
        <v>0</v>
      </c>
      <c r="EC326" s="14" t="n">
        <v>0</v>
      </c>
      <c r="ED326" s="14" t="n">
        <v>0</v>
      </c>
      <c r="EE326" s="14" t="n">
        <v>0</v>
      </c>
      <c r="EF326" s="14" t="n">
        <v>0</v>
      </c>
      <c r="EG326" s="14" t="n">
        <v>0</v>
      </c>
      <c r="EH326" s="14" t="n">
        <v>0</v>
      </c>
      <c r="EI326" s="14" t="n">
        <v>0</v>
      </c>
      <c r="EJ326" s="14" t="n">
        <v>2</v>
      </c>
      <c r="EK326" s="14" t="n">
        <v>0</v>
      </c>
      <c r="EL326" s="14" t="n">
        <v>0</v>
      </c>
      <c r="EM326" s="14" t="n">
        <v>0</v>
      </c>
      <c r="EN326" s="14" t="n">
        <v>0</v>
      </c>
      <c r="EO326" s="14" t="n">
        <v>0</v>
      </c>
      <c r="EP326" s="14" t="n">
        <v>0</v>
      </c>
      <c r="EQ326" s="14" t="n">
        <v>0</v>
      </c>
      <c r="ER326" s="14" t="n">
        <v>0</v>
      </c>
      <c r="ES326" s="14" t="n">
        <v>0</v>
      </c>
      <c r="ET326" s="14" t="n">
        <v>0</v>
      </c>
      <c r="EU326" s="14" t="n">
        <v>0</v>
      </c>
      <c r="EV326" s="14" t="n">
        <v>0</v>
      </c>
      <c r="EW326" s="14" t="n">
        <v>0</v>
      </c>
      <c r="EX326" s="14" t="n">
        <v>0</v>
      </c>
      <c r="EY326" s="14" t="n">
        <v>0</v>
      </c>
      <c r="EZ326" s="14" t="n">
        <v>0</v>
      </c>
      <c r="FA326" s="14" t="n">
        <v>0</v>
      </c>
      <c r="FB326" s="14" t="n">
        <v>0</v>
      </c>
      <c r="FC326" s="14" t="n">
        <v>0</v>
      </c>
      <c r="FD326" s="14" t="n">
        <v>0</v>
      </c>
      <c r="FE326" s="14" t="n">
        <v>1</v>
      </c>
      <c r="FF326" s="14" t="n">
        <v>0</v>
      </c>
      <c r="FG326" s="15">
        <f>SUM(DW326,DX326,DY326,DZ326,EA326,EB326,EC326,ED326,EE326,EF326,EG326,EH326,EI326,EJ326,EK326,EL326,EM326,EN326,EO326,EP326,EQ326,ER326,ES326,ET326,EU326,EV326,EW326,EX326,EY326,EZ326,FA326,FB326,FC326,FD326,FE326,FF326)</f>
        <v/>
      </c>
      <c r="FH326" s="14" t="n">
        <v>0</v>
      </c>
      <c r="FI326" s="14" t="n">
        <v>0</v>
      </c>
      <c r="FJ326" s="14" t="n">
        <v>22</v>
      </c>
      <c r="FK326" s="14" t="n">
        <v>80.90000000000001</v>
      </c>
      <c r="FL326" s="14" t="n">
        <v>0</v>
      </c>
      <c r="FM326" s="14" t="n">
        <v>0</v>
      </c>
      <c r="FN326" s="14" t="n">
        <v>0</v>
      </c>
      <c r="FO326" s="14" t="n">
        <v>0</v>
      </c>
      <c r="FP326" s="14" t="n">
        <v>0</v>
      </c>
      <c r="FQ326" s="15">
        <f>FL326+FM326+FN326+FO326+FP326</f>
        <v/>
      </c>
      <c r="FR326" s="14" t="n">
        <v>44500</v>
      </c>
      <c r="FS326" s="14" t="n">
        <v>0</v>
      </c>
      <c r="FT326" s="14" t="n">
        <v>0</v>
      </c>
      <c r="FU326" s="14" t="n">
        <v>0</v>
      </c>
      <c r="FV326" s="15">
        <f>FR326+FS326+FT326+FU326</f>
        <v/>
      </c>
      <c r="FW326" s="14" t="n">
        <v>604401.1800000001</v>
      </c>
      <c r="FX326" s="14" t="n">
        <v>21900</v>
      </c>
      <c r="FY326" s="14" t="n">
        <v>8322100</v>
      </c>
      <c r="FZ326" s="14" t="n">
        <v>231400</v>
      </c>
      <c r="GA326" s="15">
        <f>FW326+FX326+FY326+FZ326</f>
        <v/>
      </c>
      <c r="GB326" s="15">
        <f>FV326+GA326</f>
        <v/>
      </c>
      <c r="GC326" s="14" t="n">
        <v>110506.77</v>
      </c>
      <c r="GD326" s="14" t="n">
        <v>0</v>
      </c>
      <c r="GE326" s="14" t="n">
        <v>754137.5699999999</v>
      </c>
      <c r="GF326" s="14" t="n">
        <v>0</v>
      </c>
      <c r="GG326" s="15">
        <f>GC326+GD326+GE326+GF326</f>
        <v/>
      </c>
      <c r="GH326" s="14" t="n">
        <v>591747.1800000001</v>
      </c>
      <c r="GI326" s="14" t="n">
        <v>18900</v>
      </c>
      <c r="GJ326" s="14" t="n">
        <v>231400</v>
      </c>
      <c r="GK326" s="14" t="n">
        <v>8322100</v>
      </c>
      <c r="GL326" s="15">
        <f>GH326+GI326+GJ326+GK326</f>
        <v/>
      </c>
      <c r="GM326" s="15">
        <f>GG326+GL326</f>
        <v/>
      </c>
      <c r="GN326" s="14" t="n">
        <v>12213.32</v>
      </c>
      <c r="GO326" s="14" t="n">
        <v>0</v>
      </c>
      <c r="GP326" s="14" t="n">
        <v>23755.48</v>
      </c>
      <c r="GQ326" s="14" t="n">
        <v>0</v>
      </c>
      <c r="GR326" s="15">
        <f>GN326+GO326+GP326+GQ326</f>
        <v/>
      </c>
      <c r="GS326" s="14" t="n">
        <v>19646</v>
      </c>
      <c r="GT326" s="14" t="n">
        <v>0</v>
      </c>
      <c r="GU326" s="14" t="n">
        <v>6251</v>
      </c>
      <c r="GV326" s="14" t="n">
        <v>0</v>
      </c>
      <c r="GW326" s="15">
        <f>GS326+GT326+GU326+GV326</f>
        <v/>
      </c>
      <c r="GX326" s="15">
        <f>GM326+GR326+GW326</f>
        <v/>
      </c>
      <c r="GY326" s="14" t="n">
        <v>10890198.80000001</v>
      </c>
      <c r="GZ326" s="14" t="n">
        <v>-29150.51</v>
      </c>
      <c r="HA326" s="9">
        <f>GY326+GZ326</f>
        <v/>
      </c>
      <c r="HB326" s="15">
        <f>IF(GX326=0,"",AU326/GX326)</f>
        <v/>
      </c>
      <c r="HC326" s="16">
        <f>IF((GX326+GY326)=0,"",GB326/(GX326+GY326))</f>
        <v/>
      </c>
      <c r="HD326" s="15">
        <f>IF(GX326=0,"",GB326/GX326)</f>
        <v/>
      </c>
      <c r="HE326" s="14" t="n">
        <v>4</v>
      </c>
      <c r="HF326" s="14" t="n">
        <v>1</v>
      </c>
      <c r="HG326" s="14" t="n">
        <v>0</v>
      </c>
      <c r="HH326" s="14" t="n">
        <v>0</v>
      </c>
      <c r="HI326" s="14" t="n">
        <v>0</v>
      </c>
      <c r="HJ326" s="15">
        <f>HF326+HI326</f>
        <v/>
      </c>
      <c r="HK326" s="16">
        <f>IF(HE326=0,"",HH326/HE326)</f>
        <v/>
      </c>
      <c r="HL326" s="14" t="n">
        <v>2</v>
      </c>
      <c r="HM326" s="14" t="n">
        <v>1</v>
      </c>
      <c r="HN326" s="17">
        <f>IF(HL326=0,"",HM326/HL326)</f>
        <v/>
      </c>
    </row>
    <row r="327">
      <c r="A327" s="6" t="inlineStr">
        <is>
          <t>Zomba</t>
        </is>
      </c>
      <c r="B327" s="6" t="inlineStr">
        <is>
          <t>Lirangwe</t>
        </is>
      </c>
      <c r="C327" s="7" t="inlineStr">
        <is>
          <t>FY2025/26</t>
        </is>
      </c>
      <c r="D327" s="7" t="n">
        <v>2025</v>
      </c>
      <c r="E327" s="7" t="n">
        <v>4</v>
      </c>
      <c r="F327" s="7" t="inlineStr">
        <is>
          <t>April</t>
        </is>
      </c>
      <c r="G327" s="7" t="inlineStr">
        <is>
          <t>Q1</t>
        </is>
      </c>
      <c r="H327" s="8" t="n">
        <v>6830</v>
      </c>
      <c r="I327" s="8" t="n">
        <v>261</v>
      </c>
      <c r="J327" s="8" t="n">
        <v>0</v>
      </c>
      <c r="K327" s="8" t="n">
        <v>8</v>
      </c>
      <c r="L327" s="8" t="n">
        <v>0</v>
      </c>
      <c r="M327" s="9">
        <f>SUM(I327,J327,K327,L327)</f>
        <v/>
      </c>
      <c r="N327" s="8" t="n">
        <v>5007.89999999999</v>
      </c>
      <c r="O327" s="8" t="n">
        <v>281.4</v>
      </c>
      <c r="P327" s="8" t="n">
        <v>217.6</v>
      </c>
      <c r="Q327" s="8" t="n">
        <v>33.2</v>
      </c>
      <c r="R327" s="9">
        <f>SUM(N327,O327,P327,Q327)</f>
        <v/>
      </c>
      <c r="S327" s="9">
        <f>M327+R327</f>
        <v/>
      </c>
      <c r="T327" s="8" t="n">
        <v>1020.90000000001</v>
      </c>
      <c r="U327" s="10">
        <f>IF(H327=0,"",T327/H327)</f>
        <v/>
      </c>
      <c r="V327" s="8" t="n">
        <v>6</v>
      </c>
      <c r="W327" s="11">
        <f>IF(H327=0,"",V327/H327)</f>
        <v/>
      </c>
      <c r="X327" s="8" t="n">
        <v>0</v>
      </c>
      <c r="Y327" s="11">
        <f>IF(H327=0,"",X327/H327)</f>
        <v/>
      </c>
      <c r="Z327" s="8" t="n">
        <v>0</v>
      </c>
      <c r="AA327" s="11">
        <f>IF(H327=0,"",Z327/H327)</f>
        <v/>
      </c>
      <c r="AB327" s="8" t="n">
        <v>0</v>
      </c>
      <c r="AC327" s="11">
        <f>IF(H327=0,"",AB327/H327)</f>
        <v/>
      </c>
      <c r="AD327" s="8" t="n">
        <v>0</v>
      </c>
      <c r="AE327" s="11">
        <f>IF(H327=0,"",AD327/H327)</f>
        <v/>
      </c>
      <c r="AF327" s="8" t="n">
        <v>0</v>
      </c>
      <c r="AG327" s="11">
        <f>IF(H327=0,"",AF327/H327)</f>
        <v/>
      </c>
      <c r="AH327" s="8" t="n">
        <v>156000</v>
      </c>
      <c r="AI327" s="9">
        <f>IF(H327=0,"",AH327/H327)</f>
        <v/>
      </c>
      <c r="AJ327" s="8" t="n">
        <v>1352</v>
      </c>
      <c r="AK327" s="11">
        <f>IF(H327=0,"",AJ327/H327)</f>
        <v/>
      </c>
      <c r="AL327" s="8" t="n">
        <v>401120.218</v>
      </c>
      <c r="AM327" s="9">
        <f>IF(H327=0,"",AL327/H327)</f>
        <v/>
      </c>
      <c r="AN327" s="8" t="n">
        <v>0</v>
      </c>
      <c r="AO327" s="8" t="n">
        <v>0</v>
      </c>
      <c r="AP327" s="8" t="n">
        <v>0</v>
      </c>
      <c r="AQ327" s="8" t="n">
        <v>0</v>
      </c>
      <c r="AR327" s="8" t="n">
        <v>4660656.32</v>
      </c>
      <c r="AS327" s="8" t="n">
        <v>655840.42</v>
      </c>
      <c r="AT327" s="8" t="n">
        <v>0</v>
      </c>
      <c r="AU327" s="9">
        <f>AH327+AL327+AP327+AQ327+AR327+AS327+AT327</f>
        <v/>
      </c>
      <c r="AV327" s="9">
        <f>IF(H327=0,"",AU327/H327)</f>
        <v/>
      </c>
      <c r="AW327" s="9">
        <f>IF(S327=0,"",AU327/S327)</f>
        <v/>
      </c>
      <c r="AX327" s="8" t="n">
        <v>7</v>
      </c>
      <c r="AY327" s="9">
        <f>IF(H327=0,"",AX327/(H327/1000/12))</f>
        <v/>
      </c>
      <c r="AZ327" s="8" t="n">
        <v>7</v>
      </c>
      <c r="BA327" s="8" t="n">
        <v>24</v>
      </c>
      <c r="BB327" s="8" t="n">
        <v>7</v>
      </c>
      <c r="BC327" s="8" t="n">
        <v>7</v>
      </c>
      <c r="BD327" s="8" t="n">
        <v>0</v>
      </c>
      <c r="BE327" s="9">
        <f>BC327+BD327</f>
        <v/>
      </c>
      <c r="BF327" s="9">
        <f>BA327+BB327-BE327</f>
        <v/>
      </c>
      <c r="BG327" s="8" t="n">
        <v>0</v>
      </c>
      <c r="BH327" s="8" t="n">
        <v>0</v>
      </c>
      <c r="BI327" s="8" t="n">
        <v>0</v>
      </c>
      <c r="BJ327" s="8" t="n">
        <v>0</v>
      </c>
      <c r="BK327" s="9">
        <f>BI327+BJ327</f>
        <v/>
      </c>
      <c r="BL327" s="9">
        <f>BG327+BH327-BK327</f>
        <v/>
      </c>
      <c r="BM327" s="8" t="n">
        <v>0</v>
      </c>
      <c r="BN327" s="8" t="n">
        <v>0</v>
      </c>
      <c r="BO327" s="8" t="n">
        <v>0</v>
      </c>
      <c r="BP327" s="8" t="n">
        <v>0</v>
      </c>
      <c r="BQ327" s="9">
        <f>BO327+BP327</f>
        <v/>
      </c>
      <c r="BR327" s="9">
        <f>BM327+BN327-BQ327</f>
        <v/>
      </c>
      <c r="BS327" s="8" t="n">
        <v>0</v>
      </c>
      <c r="BT327" s="8" t="n">
        <v>0</v>
      </c>
      <c r="BU327" s="8" t="n">
        <v>0</v>
      </c>
      <c r="BV327" s="8" t="n">
        <v>0</v>
      </c>
      <c r="BW327" s="9">
        <f>BU327+BV327</f>
        <v/>
      </c>
      <c r="BX327" s="9">
        <f>BS327+BT327-BW327</f>
        <v/>
      </c>
      <c r="BY327" s="9">
        <f>BA327+BG327+BM327+BS327</f>
        <v/>
      </c>
      <c r="BZ327" s="9">
        <f>BB327+BH327+BN327+BT327</f>
        <v/>
      </c>
      <c r="CA327" s="9">
        <f>BE327+BK327+BQ327+BW327</f>
        <v/>
      </c>
      <c r="CB327" s="9">
        <f>BF327+BL327+BR327+BX327</f>
        <v/>
      </c>
      <c r="CC327" s="8" t="n">
        <v>0</v>
      </c>
      <c r="CD327" s="8" t="n">
        <v>21</v>
      </c>
      <c r="CE327" s="8" t="n">
        <v>5</v>
      </c>
      <c r="CF327" s="8" t="n">
        <v>1</v>
      </c>
      <c r="CG327" s="8" t="n">
        <v>7</v>
      </c>
      <c r="CH327" s="9">
        <f>CD327+CE327+CF327+CG327</f>
        <v/>
      </c>
      <c r="CI327" s="8" t="n">
        <v>45</v>
      </c>
      <c r="CJ327" s="8" t="n">
        <v>1</v>
      </c>
      <c r="CK327" s="8" t="n">
        <v>0</v>
      </c>
      <c r="CL327" s="8" t="n">
        <v>0</v>
      </c>
      <c r="CM327" s="9">
        <f>CI327+CJ327+CK327+CL327</f>
        <v/>
      </c>
      <c r="CN327" s="8" t="n">
        <v>967</v>
      </c>
      <c r="CO327" s="8" t="n">
        <v>15</v>
      </c>
      <c r="CP327" s="8" t="n">
        <v>10</v>
      </c>
      <c r="CQ327" s="8" t="n">
        <v>12</v>
      </c>
      <c r="CR327" s="9">
        <f>CN327+CO327+CP327+CQ327</f>
        <v/>
      </c>
      <c r="CS327" s="9">
        <f>CM327+CR327</f>
        <v/>
      </c>
      <c r="CT327" s="8" t="n">
        <v>1084</v>
      </c>
      <c r="CU327" s="8" t="n">
        <v>8299</v>
      </c>
      <c r="CV327" s="8" t="n">
        <v>7312.1</v>
      </c>
      <c r="CW327" s="10">
        <f>IF(CU327=0,"",CV327/CU327)</f>
        <v/>
      </c>
      <c r="CX327" s="8" t="n">
        <v>0</v>
      </c>
      <c r="CY327" s="8" t="n">
        <v>0</v>
      </c>
      <c r="CZ327" s="8" t="n">
        <v>0</v>
      </c>
      <c r="DA327" s="8" t="n">
        <v>0</v>
      </c>
      <c r="DB327" s="9">
        <f>CX327+CY327-CZ327-DA327</f>
        <v/>
      </c>
      <c r="DC327" s="8" t="n">
        <v>0</v>
      </c>
      <c r="DD327" s="8" t="n">
        <v>0</v>
      </c>
      <c r="DE327" s="8" t="n">
        <v>0</v>
      </c>
      <c r="DF327" s="8" t="n">
        <v>0</v>
      </c>
      <c r="DG327" s="9">
        <f>DC327+DD327-DE327-DF327</f>
        <v/>
      </c>
      <c r="DH327" s="8" t="n">
        <v>0</v>
      </c>
      <c r="DI327" s="8" t="n">
        <v>0</v>
      </c>
      <c r="DJ327" s="8" t="n">
        <v>0</v>
      </c>
      <c r="DK327" s="8" t="n">
        <v>0</v>
      </c>
      <c r="DL327" s="9">
        <f>DH327+DI327-DJ327-DK327</f>
        <v/>
      </c>
      <c r="DM327" s="8" t="n">
        <v>0</v>
      </c>
      <c r="DN327" s="8" t="n">
        <v>0</v>
      </c>
      <c r="DO327" s="8" t="n">
        <v>0</v>
      </c>
      <c r="DP327" s="8" t="n">
        <v>0</v>
      </c>
      <c r="DQ327" s="9">
        <f>DM327+DN327-DO327-DP327</f>
        <v/>
      </c>
      <c r="DR327" s="9">
        <f>CX327+DC327+DH327+DM327</f>
        <v/>
      </c>
      <c r="DS327" s="9">
        <f>CY327+DD327+DI327+DN327</f>
        <v/>
      </c>
      <c r="DT327" s="9">
        <f>CZ327+DE327+DJ327+DO327</f>
        <v/>
      </c>
      <c r="DU327" s="9">
        <f>DA327+DF327+DK327+DP327</f>
        <v/>
      </c>
      <c r="DV327" s="9">
        <f>DB327+DG327+DL327+DQ327</f>
        <v/>
      </c>
      <c r="DW327" s="8" t="n">
        <v>25</v>
      </c>
      <c r="DX327" s="8" t="n">
        <v>0</v>
      </c>
      <c r="DY327" s="8" t="n">
        <v>0</v>
      </c>
      <c r="DZ327" s="8" t="n">
        <v>0</v>
      </c>
      <c r="EA327" s="8" t="n">
        <v>0</v>
      </c>
      <c r="EB327" s="8" t="n">
        <v>1</v>
      </c>
      <c r="EC327" s="8" t="n">
        <v>0</v>
      </c>
      <c r="ED327" s="8" t="n">
        <v>2</v>
      </c>
      <c r="EE327" s="8" t="n">
        <v>0</v>
      </c>
      <c r="EF327" s="8" t="n">
        <v>0</v>
      </c>
      <c r="EG327" s="8" t="n">
        <v>0</v>
      </c>
      <c r="EH327" s="8" t="n">
        <v>0</v>
      </c>
      <c r="EI327" s="8" t="n">
        <v>0</v>
      </c>
      <c r="EJ327" s="8" t="n">
        <v>3</v>
      </c>
      <c r="EK327" s="8" t="n">
        <v>0</v>
      </c>
      <c r="EL327" s="8" t="n">
        <v>0</v>
      </c>
      <c r="EM327" s="8" t="n">
        <v>0</v>
      </c>
      <c r="EN327" s="8" t="n">
        <v>0</v>
      </c>
      <c r="EO327" s="8" t="n">
        <v>0</v>
      </c>
      <c r="EP327" s="8" t="n">
        <v>0</v>
      </c>
      <c r="EQ327" s="8" t="n">
        <v>0</v>
      </c>
      <c r="ER327" s="8" t="n">
        <v>0</v>
      </c>
      <c r="ES327" s="8" t="n">
        <v>0</v>
      </c>
      <c r="ET327" s="8" t="n">
        <v>0</v>
      </c>
      <c r="EU327" s="8" t="n">
        <v>0</v>
      </c>
      <c r="EV327" s="8" t="n">
        <v>0</v>
      </c>
      <c r="EW327" s="8" t="n">
        <v>0</v>
      </c>
      <c r="EX327" s="8" t="n">
        <v>0</v>
      </c>
      <c r="EY327" s="8" t="n">
        <v>0</v>
      </c>
      <c r="EZ327" s="8" t="n">
        <v>0</v>
      </c>
      <c r="FA327" s="8" t="n">
        <v>0</v>
      </c>
      <c r="FB327" s="8" t="n">
        <v>0</v>
      </c>
      <c r="FC327" s="8" t="n">
        <v>0</v>
      </c>
      <c r="FD327" s="8" t="n">
        <v>0</v>
      </c>
      <c r="FE327" s="8" t="n">
        <v>0</v>
      </c>
      <c r="FF327" s="8" t="n">
        <v>0</v>
      </c>
      <c r="FG327" s="9">
        <f>SUM(DW327,DX327,DY327,DZ327,EA327,EB327,EC327,ED327,EE327,EF327,EG327,EH327,EI327,EJ327,EK327,EL327,EM327,EN327,EO327,EP327,EQ327,ER327,ES327,ET327,EU327,EV327,EW327,EX327,EY327,EZ327,FA327,FB327,FC327,FD327,FE327,FF327)</f>
        <v/>
      </c>
      <c r="FH327" s="8" t="n">
        <v>0</v>
      </c>
      <c r="FI327" s="8" t="n">
        <v>0</v>
      </c>
      <c r="FJ327" s="8" t="n">
        <v>22</v>
      </c>
      <c r="FK327" s="8" t="n">
        <v>0</v>
      </c>
      <c r="FL327" s="8" t="n">
        <v>0</v>
      </c>
      <c r="FM327" s="8" t="n">
        <v>0</v>
      </c>
      <c r="FN327" s="8" t="n">
        <v>0</v>
      </c>
      <c r="FO327" s="8" t="n">
        <v>0</v>
      </c>
      <c r="FP327" s="8" t="n">
        <v>0</v>
      </c>
      <c r="FQ327" s="9">
        <f>FL327+FM327+FN327+FO327+FP327</f>
        <v/>
      </c>
      <c r="FR327" s="8" t="n">
        <v>110276</v>
      </c>
      <c r="FS327" s="8" t="n">
        <v>0</v>
      </c>
      <c r="FT327" s="8" t="n">
        <v>0</v>
      </c>
      <c r="FU327" s="8" t="n">
        <v>0</v>
      </c>
      <c r="FV327" s="9">
        <f>FR327+FS327+FT327+FU327</f>
        <v/>
      </c>
      <c r="FW327" s="8" t="n">
        <v>6351754.59</v>
      </c>
      <c r="FX327" s="8" t="n">
        <v>59750</v>
      </c>
      <c r="FY327" s="8" t="n">
        <v>156000</v>
      </c>
      <c r="FZ327" s="8" t="n">
        <v>662300</v>
      </c>
      <c r="GA327" s="9">
        <f>FW327+FX327+FY327+FZ327</f>
        <v/>
      </c>
      <c r="GB327" s="9">
        <f>FV327+GA327</f>
        <v/>
      </c>
      <c r="GC327" s="8" t="n">
        <v>265997.99</v>
      </c>
      <c r="GD327" s="8" t="n">
        <v>0</v>
      </c>
      <c r="GE327" s="8" t="n">
        <v>19059.63</v>
      </c>
      <c r="GF327" s="8" t="n">
        <v>0</v>
      </c>
      <c r="GG327" s="9">
        <f>GC327+GD327+GE327+GF327</f>
        <v/>
      </c>
      <c r="GH327" s="8" t="n">
        <v>6218341.44</v>
      </c>
      <c r="GI327" s="8" t="n">
        <v>59750</v>
      </c>
      <c r="GJ327" s="8" t="n">
        <v>661100</v>
      </c>
      <c r="GK327" s="8" t="n">
        <v>156000</v>
      </c>
      <c r="GL327" s="9">
        <f>GH327+GI327+GJ327+GK327</f>
        <v/>
      </c>
      <c r="GM327" s="9">
        <f>GG327+GL327</f>
        <v/>
      </c>
      <c r="GN327" s="8" t="n">
        <v>24521.85</v>
      </c>
      <c r="GO327" s="8" t="n">
        <v>0</v>
      </c>
      <c r="GP327" s="8" t="n">
        <v>3393.64</v>
      </c>
      <c r="GQ327" s="8" t="n">
        <v>0</v>
      </c>
      <c r="GR327" s="9">
        <f>GN327+GO327+GP327+GQ327</f>
        <v/>
      </c>
      <c r="GS327" s="8" t="n">
        <v>40185</v>
      </c>
      <c r="GT327" s="8" t="n">
        <v>0</v>
      </c>
      <c r="GU327" s="8" t="n">
        <v>893</v>
      </c>
      <c r="GV327" s="8" t="n">
        <v>0</v>
      </c>
      <c r="GW327" s="9">
        <f>GS327+GT327+GU327+GV327</f>
        <v/>
      </c>
      <c r="GX327" s="9">
        <f>GM327+GR327+GW327</f>
        <v/>
      </c>
      <c r="GY327" s="8" t="n">
        <v>4120709.11</v>
      </c>
      <c r="GZ327" s="8" t="n">
        <v>0</v>
      </c>
      <c r="HA327" s="9">
        <f>GY327+GZ327</f>
        <v/>
      </c>
      <c r="HB327" s="9">
        <f>IF(GX327=0,"",AU327/GX327)</f>
        <v/>
      </c>
      <c r="HC327" s="10">
        <f>IF((GX327+GY327)=0,"",GB327/(GX327+GY327))</f>
        <v/>
      </c>
      <c r="HD327" s="9">
        <f>IF(GX327=0,"",GB327/GX327)</f>
        <v/>
      </c>
      <c r="HE327" s="8" t="n">
        <v>7</v>
      </c>
      <c r="HF327" s="8" t="n">
        <v>1</v>
      </c>
      <c r="HG327" s="8" t="n">
        <v>24</v>
      </c>
      <c r="HH327" s="8" t="n">
        <v>7</v>
      </c>
      <c r="HI327" s="8" t="n">
        <v>30</v>
      </c>
      <c r="HJ327" s="9">
        <f>HF327+HI327</f>
        <v/>
      </c>
      <c r="HK327" s="10">
        <f>IF(HE327=0,"",HH327/HE327)</f>
        <v/>
      </c>
      <c r="HL327" s="8" t="n">
        <v>0</v>
      </c>
      <c r="HM327" s="8" t="n">
        <v>0</v>
      </c>
      <c r="HN327" s="11">
        <f>IF(HL327=0,"",HM327/HL327)</f>
        <v/>
      </c>
    </row>
    <row r="328">
      <c r="A328" s="12" t="inlineStr">
        <is>
          <t>Zomba</t>
        </is>
      </c>
      <c r="B328" s="12" t="inlineStr">
        <is>
          <t>Lirangwe</t>
        </is>
      </c>
      <c r="C328" s="13" t="inlineStr">
        <is>
          <t>FY2025/26</t>
        </is>
      </c>
      <c r="D328" s="13" t="n">
        <v>2025</v>
      </c>
      <c r="E328" s="13" t="n">
        <v>5</v>
      </c>
      <c r="F328" s="13" t="inlineStr">
        <is>
          <t>May</t>
        </is>
      </c>
      <c r="G328" s="13" t="inlineStr">
        <is>
          <t>Q1</t>
        </is>
      </c>
      <c r="H328" s="14" t="n">
        <v>6120</v>
      </c>
      <c r="I328" s="14" t="n">
        <v>254</v>
      </c>
      <c r="J328" s="14" t="n">
        <v>0</v>
      </c>
      <c r="K328" s="14" t="n">
        <v>11</v>
      </c>
      <c r="L328" s="14" t="n">
        <v>0</v>
      </c>
      <c r="M328" s="15">
        <f>SUM(I328,J328,K328,L328)</f>
        <v/>
      </c>
      <c r="N328" s="14" t="n">
        <v>4966.69999999999</v>
      </c>
      <c r="O328" s="14" t="n">
        <v>179.7</v>
      </c>
      <c r="P328" s="14" t="n">
        <v>88.5</v>
      </c>
      <c r="Q328" s="14" t="n">
        <v>50.5</v>
      </c>
      <c r="R328" s="15">
        <f>SUM(N328,O328,P328,Q328)</f>
        <v/>
      </c>
      <c r="S328" s="15">
        <f>M328+R328</f>
        <v/>
      </c>
      <c r="T328" s="14" t="n">
        <v>569.600000000009</v>
      </c>
      <c r="U328" s="16">
        <f>IF(H328=0,"",T328/H328)</f>
        <v/>
      </c>
      <c r="V328" s="14" t="n">
        <v>6</v>
      </c>
      <c r="W328" s="17">
        <f>IF(H328=0,"",V328/H328)</f>
        <v/>
      </c>
      <c r="X328" s="14" t="n">
        <v>0</v>
      </c>
      <c r="Y328" s="17">
        <f>IF(H328=0,"",X328/H328)</f>
        <v/>
      </c>
      <c r="Z328" s="14" t="n">
        <v>0</v>
      </c>
      <c r="AA328" s="17">
        <f>IF(H328=0,"",Z328/H328)</f>
        <v/>
      </c>
      <c r="AB328" s="14" t="n">
        <v>0</v>
      </c>
      <c r="AC328" s="17">
        <f>IF(H328=0,"",AB328/H328)</f>
        <v/>
      </c>
      <c r="AD328" s="14" t="n">
        <v>0</v>
      </c>
      <c r="AE328" s="17">
        <f>IF(H328=0,"",AD328/H328)</f>
        <v/>
      </c>
      <c r="AF328" s="14" t="n">
        <v>0</v>
      </c>
      <c r="AG328" s="17">
        <f>IF(H328=0,"",AF328/H328)</f>
        <v/>
      </c>
      <c r="AH328" s="14" t="n">
        <v>156000</v>
      </c>
      <c r="AI328" s="15">
        <f>IF(H328=0,"",AH328/H328)</f>
        <v/>
      </c>
      <c r="AJ328" s="14" t="n">
        <v>1423</v>
      </c>
      <c r="AK328" s="17">
        <f>IF(H328=0,"",AJ328/H328)</f>
        <v/>
      </c>
      <c r="AL328" s="14" t="n">
        <v>420525.157</v>
      </c>
      <c r="AM328" s="15">
        <f>IF(H328=0,"",AL328/H328)</f>
        <v/>
      </c>
      <c r="AN328" s="14" t="n">
        <v>0</v>
      </c>
      <c r="AO328" s="14" t="n">
        <v>0</v>
      </c>
      <c r="AP328" s="14" t="n">
        <v>0</v>
      </c>
      <c r="AQ328" s="14" t="n">
        <v>0</v>
      </c>
      <c r="AR328" s="14" t="n">
        <v>0</v>
      </c>
      <c r="AS328" s="14" t="n">
        <v>0</v>
      </c>
      <c r="AT328" s="14" t="n">
        <v>0</v>
      </c>
      <c r="AU328" s="15">
        <f>AH328+AL328+AP328+AQ328+AR328+AS328+AT328</f>
        <v/>
      </c>
      <c r="AV328" s="15">
        <f>IF(H328=0,"",AU328/H328)</f>
        <v/>
      </c>
      <c r="AW328" s="15">
        <f>IF(S328=0,"",AU328/S328)</f>
        <v/>
      </c>
      <c r="AX328" s="14" t="n">
        <v>7</v>
      </c>
      <c r="AY328" s="15">
        <f>IF(H328=0,"",AX328/(H328/1000/12))</f>
        <v/>
      </c>
      <c r="AZ328" s="14" t="n">
        <v>7</v>
      </c>
      <c r="BA328" s="14" t="n">
        <v>24</v>
      </c>
      <c r="BB328" s="14" t="n">
        <v>13</v>
      </c>
      <c r="BC328" s="14" t="n">
        <v>13</v>
      </c>
      <c r="BD328" s="14" t="n">
        <v>0</v>
      </c>
      <c r="BE328" s="15">
        <f>BC328+BD328</f>
        <v/>
      </c>
      <c r="BF328" s="15">
        <f>BA328+BB328-BE328</f>
        <v/>
      </c>
      <c r="BG328" s="14" t="n">
        <v>0</v>
      </c>
      <c r="BH328" s="14" t="n">
        <v>0</v>
      </c>
      <c r="BI328" s="14" t="n">
        <v>0</v>
      </c>
      <c r="BJ328" s="14" t="n">
        <v>0</v>
      </c>
      <c r="BK328" s="15">
        <f>BI328+BJ328</f>
        <v/>
      </c>
      <c r="BL328" s="15">
        <f>BG328+BH328-BK328</f>
        <v/>
      </c>
      <c r="BM328" s="14" t="n">
        <v>0</v>
      </c>
      <c r="BN328" s="14" t="n">
        <v>0</v>
      </c>
      <c r="BO328" s="14" t="n">
        <v>0</v>
      </c>
      <c r="BP328" s="14" t="n">
        <v>0</v>
      </c>
      <c r="BQ328" s="15">
        <f>BO328+BP328</f>
        <v/>
      </c>
      <c r="BR328" s="15">
        <f>BM328+BN328-BQ328</f>
        <v/>
      </c>
      <c r="BS328" s="14" t="n">
        <v>0</v>
      </c>
      <c r="BT328" s="14" t="n">
        <v>0</v>
      </c>
      <c r="BU328" s="14" t="n">
        <v>0</v>
      </c>
      <c r="BV328" s="14" t="n">
        <v>0</v>
      </c>
      <c r="BW328" s="15">
        <f>BU328+BV328</f>
        <v/>
      </c>
      <c r="BX328" s="15">
        <f>BS328+BT328-BW328</f>
        <v/>
      </c>
      <c r="BY328" s="15">
        <f>BA328+BG328+BM328+BS328</f>
        <v/>
      </c>
      <c r="BZ328" s="15">
        <f>BB328+BH328+BN328+BT328</f>
        <v/>
      </c>
      <c r="CA328" s="15">
        <f>BE328+BK328+BQ328+BW328</f>
        <v/>
      </c>
      <c r="CB328" s="15">
        <f>BF328+BL328+BR328+BX328</f>
        <v/>
      </c>
      <c r="CC328" s="14" t="n">
        <v>0</v>
      </c>
      <c r="CD328" s="14" t="n">
        <v>61</v>
      </c>
      <c r="CE328" s="14" t="n">
        <v>5</v>
      </c>
      <c r="CF328" s="14" t="n">
        <v>1</v>
      </c>
      <c r="CG328" s="14" t="n">
        <v>7</v>
      </c>
      <c r="CH328" s="15">
        <f>CD328+CE328+CF328+CG328</f>
        <v/>
      </c>
      <c r="CI328" s="14" t="n">
        <v>58</v>
      </c>
      <c r="CJ328" s="14" t="n">
        <v>1</v>
      </c>
      <c r="CK328" s="14" t="n">
        <v>0</v>
      </c>
      <c r="CL328" s="14" t="n">
        <v>0</v>
      </c>
      <c r="CM328" s="15">
        <f>CI328+CJ328+CK328+CL328</f>
        <v/>
      </c>
      <c r="CN328" s="14" t="n">
        <v>927</v>
      </c>
      <c r="CO328" s="14" t="n">
        <v>15</v>
      </c>
      <c r="CP328" s="14" t="n">
        <v>10</v>
      </c>
      <c r="CQ328" s="14" t="n">
        <v>12</v>
      </c>
      <c r="CR328" s="15">
        <f>CN328+CO328+CP328+CQ328</f>
        <v/>
      </c>
      <c r="CS328" s="15">
        <f>CM328+CR328</f>
        <v/>
      </c>
      <c r="CT328" s="14" t="n">
        <v>1097</v>
      </c>
      <c r="CU328" s="14" t="n">
        <v>8309</v>
      </c>
      <c r="CV328" s="14" t="n">
        <v>7367.9</v>
      </c>
      <c r="CW328" s="16">
        <f>IF(CU328=0,"",CV328/CU328)</f>
        <v/>
      </c>
      <c r="CX328" s="14" t="n">
        <v>0</v>
      </c>
      <c r="CY328" s="14" t="n">
        <v>0</v>
      </c>
      <c r="CZ328" s="14" t="n">
        <v>0</v>
      </c>
      <c r="DA328" s="14" t="n">
        <v>0</v>
      </c>
      <c r="DB328" s="15">
        <f>CX328+CY328-CZ328-DA328</f>
        <v/>
      </c>
      <c r="DC328" s="14" t="n">
        <v>0</v>
      </c>
      <c r="DD328" s="14" t="n">
        <v>0</v>
      </c>
      <c r="DE328" s="14" t="n">
        <v>0</v>
      </c>
      <c r="DF328" s="14" t="n">
        <v>0</v>
      </c>
      <c r="DG328" s="15">
        <f>DC328+DD328-DE328-DF328</f>
        <v/>
      </c>
      <c r="DH328" s="14" t="n">
        <v>0</v>
      </c>
      <c r="DI328" s="14" t="n">
        <v>0</v>
      </c>
      <c r="DJ328" s="14" t="n">
        <v>0</v>
      </c>
      <c r="DK328" s="14" t="n">
        <v>0</v>
      </c>
      <c r="DL328" s="15">
        <f>DH328+DI328-DJ328-DK328</f>
        <v/>
      </c>
      <c r="DM328" s="14" t="n">
        <v>0</v>
      </c>
      <c r="DN328" s="14" t="n">
        <v>0</v>
      </c>
      <c r="DO328" s="14" t="n">
        <v>0</v>
      </c>
      <c r="DP328" s="14" t="n">
        <v>0</v>
      </c>
      <c r="DQ328" s="15">
        <f>DM328+DN328-DO328-DP328</f>
        <v/>
      </c>
      <c r="DR328" s="15">
        <f>CX328+DC328+DH328+DM328</f>
        <v/>
      </c>
      <c r="DS328" s="15">
        <f>CY328+DD328+DI328+DN328</f>
        <v/>
      </c>
      <c r="DT328" s="15">
        <f>CZ328+DE328+DJ328+DO328</f>
        <v/>
      </c>
      <c r="DU328" s="15">
        <f>DA328+DF328+DK328+DP328</f>
        <v/>
      </c>
      <c r="DV328" s="15">
        <f>DB328+DG328+DL328+DQ328</f>
        <v/>
      </c>
      <c r="DW328" s="14" t="n">
        <v>23</v>
      </c>
      <c r="DX328" s="14" t="n">
        <v>4</v>
      </c>
      <c r="DY328" s="14" t="n">
        <v>4</v>
      </c>
      <c r="DZ328" s="14" t="n">
        <v>0</v>
      </c>
      <c r="EA328" s="14" t="n">
        <v>0</v>
      </c>
      <c r="EB328" s="14" t="n">
        <v>1</v>
      </c>
      <c r="EC328" s="14" t="n">
        <v>0</v>
      </c>
      <c r="ED328" s="14" t="n">
        <v>0</v>
      </c>
      <c r="EE328" s="14" t="n">
        <v>0</v>
      </c>
      <c r="EF328" s="14" t="n">
        <v>0</v>
      </c>
      <c r="EG328" s="14" t="n">
        <v>0</v>
      </c>
      <c r="EH328" s="14" t="n">
        <v>0</v>
      </c>
      <c r="EI328" s="14" t="n">
        <v>0</v>
      </c>
      <c r="EJ328" s="14" t="n">
        <v>3</v>
      </c>
      <c r="EK328" s="14" t="n">
        <v>2</v>
      </c>
      <c r="EL328" s="14" t="n">
        <v>0</v>
      </c>
      <c r="EM328" s="14" t="n">
        <v>0</v>
      </c>
      <c r="EN328" s="14" t="n">
        <v>0</v>
      </c>
      <c r="EO328" s="14" t="n">
        <v>0</v>
      </c>
      <c r="EP328" s="14" t="n">
        <v>1</v>
      </c>
      <c r="EQ328" s="14" t="n">
        <v>0</v>
      </c>
      <c r="ER328" s="14" t="n">
        <v>0</v>
      </c>
      <c r="ES328" s="14" t="n">
        <v>0</v>
      </c>
      <c r="ET328" s="14" t="n">
        <v>0</v>
      </c>
      <c r="EU328" s="14" t="n">
        <v>0</v>
      </c>
      <c r="EV328" s="14" t="n">
        <v>0</v>
      </c>
      <c r="EW328" s="14" t="n">
        <v>0</v>
      </c>
      <c r="EX328" s="14" t="n">
        <v>0</v>
      </c>
      <c r="EY328" s="14" t="n">
        <v>0</v>
      </c>
      <c r="EZ328" s="14" t="n">
        <v>0</v>
      </c>
      <c r="FA328" s="14" t="n">
        <v>0</v>
      </c>
      <c r="FB328" s="14" t="n">
        <v>0</v>
      </c>
      <c r="FC328" s="14" t="n">
        <v>0</v>
      </c>
      <c r="FD328" s="14" t="n">
        <v>0</v>
      </c>
      <c r="FE328" s="14" t="n">
        <v>0</v>
      </c>
      <c r="FF328" s="14" t="n">
        <v>0</v>
      </c>
      <c r="FG328" s="15">
        <f>SUM(DW328,DX328,DY328,DZ328,EA328,EB328,EC328,ED328,EE328,EF328,EG328,EH328,EI328,EJ328,EK328,EL328,EM328,EN328,EO328,EP328,EQ328,ER328,ES328,ET328,EU328,EV328,EW328,EX328,EY328,EZ328,FA328,FB328,FC328,FD328,FE328,FF328)</f>
        <v/>
      </c>
      <c r="FH328" s="14" t="n">
        <v>0</v>
      </c>
      <c r="FI328" s="14" t="n">
        <v>0</v>
      </c>
      <c r="FJ328" s="14" t="n">
        <v>21</v>
      </c>
      <c r="FK328" s="14" t="n">
        <v>0</v>
      </c>
      <c r="FL328" s="14" t="n">
        <v>0</v>
      </c>
      <c r="FM328" s="14" t="n">
        <v>0</v>
      </c>
      <c r="FN328" s="14" t="n">
        <v>0</v>
      </c>
      <c r="FO328" s="14" t="n">
        <v>0</v>
      </c>
      <c r="FP328" s="14" t="n">
        <v>0</v>
      </c>
      <c r="FQ328" s="15">
        <f>FL328+FM328+FN328+FO328+FP328</f>
        <v/>
      </c>
      <c r="FR328" s="14" t="n">
        <v>271980</v>
      </c>
      <c r="FS328" s="14" t="n">
        <v>0</v>
      </c>
      <c r="FT328" s="14" t="n">
        <v>0</v>
      </c>
      <c r="FU328" s="14" t="n">
        <v>0</v>
      </c>
      <c r="FV328" s="15">
        <f>FR328+FS328+FT328+FU328</f>
        <v/>
      </c>
      <c r="FW328" s="14" t="n">
        <v>6246665.65</v>
      </c>
      <c r="FX328" s="14" t="n">
        <v>38200</v>
      </c>
      <c r="FY328" s="14" t="n">
        <v>237400</v>
      </c>
      <c r="FZ328" s="14" t="n">
        <v>278700</v>
      </c>
      <c r="GA328" s="15">
        <f>FW328+FX328+FY328+FZ328</f>
        <v/>
      </c>
      <c r="GB328" s="15">
        <f>FV328+GA328</f>
        <v/>
      </c>
      <c r="GC328" s="14" t="n">
        <v>269976.55</v>
      </c>
      <c r="GD328" s="14" t="n">
        <v>0</v>
      </c>
      <c r="GE328" s="14" t="n">
        <v>27392.2</v>
      </c>
      <c r="GF328" s="14" t="n">
        <v>0</v>
      </c>
      <c r="GG328" s="15">
        <f>GC328+GD328+GE328+GF328</f>
        <v/>
      </c>
      <c r="GH328" s="14" t="n">
        <v>6166774.78</v>
      </c>
      <c r="GI328" s="14" t="n">
        <v>38200</v>
      </c>
      <c r="GJ328" s="14" t="n">
        <v>268926.56</v>
      </c>
      <c r="GK328" s="14" t="n">
        <v>237400</v>
      </c>
      <c r="GL328" s="15">
        <f>GH328+GI328+GJ328+GK328</f>
        <v/>
      </c>
      <c r="GM328" s="15">
        <f>GG328+GL328</f>
        <v/>
      </c>
      <c r="GN328" s="14" t="n">
        <v>31605.94</v>
      </c>
      <c r="GO328" s="14" t="n">
        <v>0</v>
      </c>
      <c r="GP328" s="14" t="n">
        <v>3393.64</v>
      </c>
      <c r="GQ328" s="14" t="n">
        <v>0</v>
      </c>
      <c r="GR328" s="15">
        <f>GN328+GO328+GP328+GQ328</f>
        <v/>
      </c>
      <c r="GS328" s="14" t="n">
        <v>51794</v>
      </c>
      <c r="GT328" s="14" t="n">
        <v>0</v>
      </c>
      <c r="GU328" s="14" t="n">
        <v>893</v>
      </c>
      <c r="GV328" s="14" t="n">
        <v>0</v>
      </c>
      <c r="GW328" s="15">
        <f>GS328+GT328+GU328+GV328</f>
        <v/>
      </c>
      <c r="GX328" s="15">
        <f>GM328+GR328+GW328</f>
        <v/>
      </c>
      <c r="GY328" s="14" t="n">
        <v>4296663.819999998</v>
      </c>
      <c r="GZ328" s="14" t="n">
        <v>0</v>
      </c>
      <c r="HA328" s="9">
        <f>GY328+GZ328</f>
        <v/>
      </c>
      <c r="HB328" s="15">
        <f>IF(GX328=0,"",AU328/GX328)</f>
        <v/>
      </c>
      <c r="HC328" s="16">
        <f>IF((GX328+GY328)=0,"",GB328/(GX328+GY328))</f>
        <v/>
      </c>
      <c r="HD328" s="15">
        <f>IF(GX328=0,"",GB328/GX328)</f>
        <v/>
      </c>
      <c r="HE328" s="14" t="n">
        <v>13</v>
      </c>
      <c r="HF328" s="14" t="n">
        <v>1</v>
      </c>
      <c r="HG328" s="14" t="n">
        <v>24</v>
      </c>
      <c r="HH328" s="14" t="n">
        <v>13</v>
      </c>
      <c r="HI328" s="14" t="n">
        <v>30</v>
      </c>
      <c r="HJ328" s="15">
        <f>HF328+HI328</f>
        <v/>
      </c>
      <c r="HK328" s="16">
        <f>IF(HE328=0,"",HH328/HE328)</f>
        <v/>
      </c>
      <c r="HL328" s="14" t="n">
        <v>0</v>
      </c>
      <c r="HM328" s="14" t="n">
        <v>0</v>
      </c>
      <c r="HN328" s="17">
        <f>IF(HL328=0,"",HM328/HL328)</f>
        <v/>
      </c>
    </row>
    <row r="329">
      <c r="A329" s="6" t="inlineStr">
        <is>
          <t>Zomba</t>
        </is>
      </c>
      <c r="B329" s="6" t="inlineStr">
        <is>
          <t>Lirangwe</t>
        </is>
      </c>
      <c r="C329" s="7" t="inlineStr">
        <is>
          <t>FY2025/26</t>
        </is>
      </c>
      <c r="D329" s="7" t="n">
        <v>2025</v>
      </c>
      <c r="E329" s="7" t="n">
        <v>6</v>
      </c>
      <c r="F329" s="7" t="inlineStr">
        <is>
          <t>June</t>
        </is>
      </c>
      <c r="G329" s="7" t="inlineStr">
        <is>
          <t>Q1</t>
        </is>
      </c>
      <c r="H329" s="8" t="n">
        <v>7951</v>
      </c>
      <c r="I329" s="8" t="n">
        <v>262</v>
      </c>
      <c r="J329" s="8" t="n">
        <v>0</v>
      </c>
      <c r="K329" s="8" t="n">
        <v>8</v>
      </c>
      <c r="L329" s="8" t="n">
        <v>0</v>
      </c>
      <c r="M329" s="9">
        <f>SUM(I329,J329,K329,L329)</f>
        <v/>
      </c>
      <c r="N329" s="8" t="n">
        <v>5535.80000000003</v>
      </c>
      <c r="O329" s="8" t="n">
        <v>160.2</v>
      </c>
      <c r="P329" s="8" t="n">
        <v>188</v>
      </c>
      <c r="Q329" s="8" t="n">
        <v>66.2</v>
      </c>
      <c r="R329" s="9">
        <f>SUM(N329,O329,P329,Q329)</f>
        <v/>
      </c>
      <c r="S329" s="9">
        <f>M329+R329</f>
        <v/>
      </c>
      <c r="T329" s="8" t="n">
        <v>1730.79999999997</v>
      </c>
      <c r="U329" s="10">
        <f>IF(H329=0,"",T329/H329)</f>
        <v/>
      </c>
      <c r="V329" s="8" t="n">
        <v>6</v>
      </c>
      <c r="W329" s="11">
        <f>IF(H329=0,"",V329/H329)</f>
        <v/>
      </c>
      <c r="X329" s="8" t="n">
        <v>0</v>
      </c>
      <c r="Y329" s="11">
        <f>IF(H329=0,"",X329/H329)</f>
        <v/>
      </c>
      <c r="Z329" s="8" t="n">
        <v>0</v>
      </c>
      <c r="AA329" s="11">
        <f>IF(H329=0,"",Z329/H329)</f>
        <v/>
      </c>
      <c r="AB329" s="8" t="n">
        <v>0</v>
      </c>
      <c r="AC329" s="11">
        <f>IF(H329=0,"",AB329/H329)</f>
        <v/>
      </c>
      <c r="AD329" s="8" t="n">
        <v>0</v>
      </c>
      <c r="AE329" s="11">
        <f>IF(H329=0,"",AD329/H329)</f>
        <v/>
      </c>
      <c r="AF329" s="8" t="n">
        <v>0</v>
      </c>
      <c r="AG329" s="11">
        <f>IF(H329=0,"",AF329/H329)</f>
        <v/>
      </c>
      <c r="AH329" s="8" t="n">
        <v>156000</v>
      </c>
      <c r="AI329" s="9">
        <f>IF(H329=0,"",AH329/H329)</f>
        <v/>
      </c>
      <c r="AJ329" s="8" t="n">
        <v>1427</v>
      </c>
      <c r="AK329" s="11">
        <f>IF(H329=0,"",AJ329/H329)</f>
        <v/>
      </c>
      <c r="AL329" s="8" t="n">
        <v>421618.393</v>
      </c>
      <c r="AM329" s="9">
        <f>IF(H329=0,"",AL329/H329)</f>
        <v/>
      </c>
      <c r="AN329" s="8" t="n">
        <v>0</v>
      </c>
      <c r="AO329" s="8" t="n">
        <v>0</v>
      </c>
      <c r="AP329" s="8" t="n">
        <v>0</v>
      </c>
      <c r="AQ329" s="8" t="n">
        <v>0</v>
      </c>
      <c r="AR329" s="8" t="n">
        <v>0</v>
      </c>
      <c r="AS329" s="8" t="n">
        <v>0</v>
      </c>
      <c r="AT329" s="8" t="n">
        <v>0</v>
      </c>
      <c r="AU329" s="9">
        <f>AH329+AL329+AP329+AQ329+AR329+AS329+AT329</f>
        <v/>
      </c>
      <c r="AV329" s="9">
        <f>IF(H329=0,"",AU329/H329)</f>
        <v/>
      </c>
      <c r="AW329" s="9">
        <f>IF(S329=0,"",AU329/S329)</f>
        <v/>
      </c>
      <c r="AX329" s="8" t="n">
        <v>7</v>
      </c>
      <c r="AY329" s="9">
        <f>IF(H329=0,"",AX329/(H329/1000/12))</f>
        <v/>
      </c>
      <c r="AZ329" s="8" t="n">
        <v>7</v>
      </c>
      <c r="BA329" s="8" t="n">
        <v>24</v>
      </c>
      <c r="BB329" s="8" t="n">
        <v>12</v>
      </c>
      <c r="BC329" s="8" t="n">
        <v>13</v>
      </c>
      <c r="BD329" s="8" t="n">
        <v>0</v>
      </c>
      <c r="BE329" s="9">
        <f>BC329+BD329</f>
        <v/>
      </c>
      <c r="BF329" s="9">
        <f>BA329+BB329-BE329</f>
        <v/>
      </c>
      <c r="BG329" s="8" t="n">
        <v>0</v>
      </c>
      <c r="BH329" s="8" t="n">
        <v>0</v>
      </c>
      <c r="BI329" s="8" t="n">
        <v>0</v>
      </c>
      <c r="BJ329" s="8" t="n">
        <v>0</v>
      </c>
      <c r="BK329" s="9">
        <f>BI329+BJ329</f>
        <v/>
      </c>
      <c r="BL329" s="9">
        <f>BG329+BH329-BK329</f>
        <v/>
      </c>
      <c r="BM329" s="8" t="n">
        <v>0</v>
      </c>
      <c r="BN329" s="8" t="n">
        <v>0</v>
      </c>
      <c r="BO329" s="8" t="n">
        <v>0</v>
      </c>
      <c r="BP329" s="8" t="n">
        <v>0</v>
      </c>
      <c r="BQ329" s="9">
        <f>BO329+BP329</f>
        <v/>
      </c>
      <c r="BR329" s="9">
        <f>BM329+BN329-BQ329</f>
        <v/>
      </c>
      <c r="BS329" s="8" t="n">
        <v>0</v>
      </c>
      <c r="BT329" s="8" t="n">
        <v>0</v>
      </c>
      <c r="BU329" s="8" t="n">
        <v>0</v>
      </c>
      <c r="BV329" s="8" t="n">
        <v>0</v>
      </c>
      <c r="BW329" s="9">
        <f>BU329+BV329</f>
        <v/>
      </c>
      <c r="BX329" s="9">
        <f>BS329+BT329-BW329</f>
        <v/>
      </c>
      <c r="BY329" s="9">
        <f>BA329+BG329+BM329+BS329</f>
        <v/>
      </c>
      <c r="BZ329" s="9">
        <f>BB329+BH329+BN329+BT329</f>
        <v/>
      </c>
      <c r="CA329" s="9">
        <f>BE329+BK329+BQ329+BW329</f>
        <v/>
      </c>
      <c r="CB329" s="9">
        <f>BF329+BL329+BR329+BX329</f>
        <v/>
      </c>
      <c r="CC329" s="8" t="n">
        <v>0</v>
      </c>
      <c r="CD329" s="8" t="n">
        <v>59</v>
      </c>
      <c r="CE329" s="8" t="n">
        <v>5</v>
      </c>
      <c r="CF329" s="8" t="n">
        <v>1</v>
      </c>
      <c r="CG329" s="8" t="n">
        <v>7</v>
      </c>
      <c r="CH329" s="9">
        <f>CD329+CE329+CF329+CG329</f>
        <v/>
      </c>
      <c r="CI329" s="8" t="n">
        <v>50</v>
      </c>
      <c r="CJ329" s="8" t="n">
        <v>1</v>
      </c>
      <c r="CK329" s="8" t="n">
        <v>0</v>
      </c>
      <c r="CL329" s="8" t="n">
        <v>0</v>
      </c>
      <c r="CM329" s="9">
        <f>CI329+CJ329+CK329+CL329</f>
        <v/>
      </c>
      <c r="CN329" s="8" t="n">
        <v>950</v>
      </c>
      <c r="CO329" s="8" t="n">
        <v>15</v>
      </c>
      <c r="CP329" s="8" t="n">
        <v>10</v>
      </c>
      <c r="CQ329" s="8" t="n">
        <v>12</v>
      </c>
      <c r="CR329" s="9">
        <f>CN329+CO329+CP329+CQ329</f>
        <v/>
      </c>
      <c r="CS329" s="9">
        <f>CM329+CR329</f>
        <v/>
      </c>
      <c r="CT329" s="8" t="n">
        <v>1110</v>
      </c>
      <c r="CU329" s="8" t="n">
        <v>8319</v>
      </c>
      <c r="CV329" s="8" t="n">
        <v>7423.9</v>
      </c>
      <c r="CW329" s="10">
        <f>IF(CU329=0,"",CV329/CU329)</f>
        <v/>
      </c>
      <c r="CX329" s="8" t="n">
        <v>0</v>
      </c>
      <c r="CY329" s="8" t="n">
        <v>0</v>
      </c>
      <c r="CZ329" s="8" t="n">
        <v>0</v>
      </c>
      <c r="DA329" s="8" t="n">
        <v>0</v>
      </c>
      <c r="DB329" s="9">
        <f>CX329+CY329-CZ329-DA329</f>
        <v/>
      </c>
      <c r="DC329" s="8" t="n">
        <v>0</v>
      </c>
      <c r="DD329" s="8" t="n">
        <v>0</v>
      </c>
      <c r="DE329" s="8" t="n">
        <v>0</v>
      </c>
      <c r="DF329" s="8" t="n">
        <v>0</v>
      </c>
      <c r="DG329" s="9">
        <f>DC329+DD329-DE329-DF329</f>
        <v/>
      </c>
      <c r="DH329" s="8" t="n">
        <v>0</v>
      </c>
      <c r="DI329" s="8" t="n">
        <v>0</v>
      </c>
      <c r="DJ329" s="8" t="n">
        <v>0</v>
      </c>
      <c r="DK329" s="8" t="n">
        <v>0</v>
      </c>
      <c r="DL329" s="9">
        <f>DH329+DI329-DJ329-DK329</f>
        <v/>
      </c>
      <c r="DM329" s="8" t="n">
        <v>0</v>
      </c>
      <c r="DN329" s="8" t="n">
        <v>0</v>
      </c>
      <c r="DO329" s="8" t="n">
        <v>0</v>
      </c>
      <c r="DP329" s="8" t="n">
        <v>0</v>
      </c>
      <c r="DQ329" s="9">
        <f>DM329+DN329-DO329-DP329</f>
        <v/>
      </c>
      <c r="DR329" s="9">
        <f>CX329+DC329+DH329+DM329</f>
        <v/>
      </c>
      <c r="DS329" s="9">
        <f>CY329+DD329+DI329+DN329</f>
        <v/>
      </c>
      <c r="DT329" s="9">
        <f>CZ329+DE329+DJ329+DO329</f>
        <v/>
      </c>
      <c r="DU329" s="9">
        <f>DA329+DF329+DK329+DP329</f>
        <v/>
      </c>
      <c r="DV329" s="9">
        <f>DB329+DG329+DL329+DQ329</f>
        <v/>
      </c>
      <c r="DW329" s="8" t="n">
        <v>21</v>
      </c>
      <c r="DX329" s="8" t="n">
        <v>3</v>
      </c>
      <c r="DY329" s="8" t="n">
        <v>4</v>
      </c>
      <c r="DZ329" s="8" t="n">
        <v>0</v>
      </c>
      <c r="EA329" s="8" t="n">
        <v>0</v>
      </c>
      <c r="EB329" s="8" t="n">
        <v>0</v>
      </c>
      <c r="EC329" s="8" t="n">
        <v>0</v>
      </c>
      <c r="ED329" s="8" t="n">
        <v>1</v>
      </c>
      <c r="EE329" s="8" t="n">
        <v>0</v>
      </c>
      <c r="EF329" s="8" t="n">
        <v>0</v>
      </c>
      <c r="EG329" s="8" t="n">
        <v>0</v>
      </c>
      <c r="EH329" s="8" t="n">
        <v>0</v>
      </c>
      <c r="EI329" s="8" t="n">
        <v>0</v>
      </c>
      <c r="EJ329" s="8" t="n">
        <v>1</v>
      </c>
      <c r="EK329" s="8" t="n">
        <v>1</v>
      </c>
      <c r="EL329" s="8" t="n">
        <v>0</v>
      </c>
      <c r="EM329" s="8" t="n">
        <v>0</v>
      </c>
      <c r="EN329" s="8" t="n">
        <v>0</v>
      </c>
      <c r="EO329" s="8" t="n">
        <v>0</v>
      </c>
      <c r="EP329" s="8" t="n">
        <v>0</v>
      </c>
      <c r="EQ329" s="8" t="n">
        <v>0</v>
      </c>
      <c r="ER329" s="8" t="n">
        <v>0</v>
      </c>
      <c r="ES329" s="8" t="n">
        <v>0</v>
      </c>
      <c r="ET329" s="8" t="n">
        <v>0</v>
      </c>
      <c r="EU329" s="8" t="n">
        <v>0</v>
      </c>
      <c r="EV329" s="8" t="n">
        <v>0</v>
      </c>
      <c r="EW329" s="8" t="n">
        <v>0</v>
      </c>
      <c r="EX329" s="8" t="n">
        <v>0</v>
      </c>
      <c r="EY329" s="8" t="n">
        <v>0</v>
      </c>
      <c r="EZ329" s="8" t="n">
        <v>0</v>
      </c>
      <c r="FA329" s="8" t="n">
        <v>0</v>
      </c>
      <c r="FB329" s="8" t="n">
        <v>0</v>
      </c>
      <c r="FC329" s="8" t="n">
        <v>0</v>
      </c>
      <c r="FD329" s="8" t="n">
        <v>0</v>
      </c>
      <c r="FE329" s="8" t="n">
        <v>0</v>
      </c>
      <c r="FF329" s="8" t="n">
        <v>0</v>
      </c>
      <c r="FG329" s="9">
        <f>SUM(DW329,DX329,DY329,DZ329,EA329,EB329,EC329,ED329,EE329,EF329,EG329,EH329,EI329,EJ329,EK329,EL329,EM329,EN329,EO329,EP329,EQ329,ER329,ES329,ET329,EU329,EV329,EW329,EX329,EY329,EZ329,FA329,FB329,FC329,FD329,FE329,FF329)</f>
        <v/>
      </c>
      <c r="FH329" s="8" t="n">
        <v>0</v>
      </c>
      <c r="FI329" s="8" t="n">
        <v>0</v>
      </c>
      <c r="FJ329" s="8" t="n">
        <v>21</v>
      </c>
      <c r="FK329" s="8" t="n">
        <v>24</v>
      </c>
      <c r="FL329" s="8" t="n">
        <v>0</v>
      </c>
      <c r="FM329" s="8" t="n">
        <v>0</v>
      </c>
      <c r="FN329" s="8" t="n">
        <v>0</v>
      </c>
      <c r="FO329" s="8" t="n">
        <v>0</v>
      </c>
      <c r="FP329" s="8" t="n">
        <v>0</v>
      </c>
      <c r="FQ329" s="9">
        <f>FL329+FM329+FN329+FO329+FP329</f>
        <v/>
      </c>
      <c r="FR329" s="8" t="n">
        <v>165796</v>
      </c>
      <c r="FS329" s="8" t="n">
        <v>0</v>
      </c>
      <c r="FT329" s="8" t="n">
        <v>0</v>
      </c>
      <c r="FU329" s="8" t="n">
        <v>0</v>
      </c>
      <c r="FV329" s="9">
        <f>FR329+FS329+FT329+FU329</f>
        <v/>
      </c>
      <c r="FW329" s="8" t="n">
        <v>6968678.62</v>
      </c>
      <c r="FX329" s="8" t="n">
        <v>34000</v>
      </c>
      <c r="FY329" s="8" t="n">
        <v>311900</v>
      </c>
      <c r="FZ329" s="8" t="n">
        <v>571400</v>
      </c>
      <c r="GA329" s="9">
        <f>FW329+FX329+FY329+FZ329</f>
        <v/>
      </c>
      <c r="GB329" s="9">
        <f>FV329+GA329</f>
        <v/>
      </c>
      <c r="GC329" s="8" t="n">
        <v>277203.23</v>
      </c>
      <c r="GD329" s="8" t="n">
        <v>0</v>
      </c>
      <c r="GE329" s="8" t="n">
        <v>19059.63</v>
      </c>
      <c r="GF329" s="8" t="n">
        <v>0</v>
      </c>
      <c r="GG329" s="9">
        <f>GC329+GD329+GE329+GF329</f>
        <v/>
      </c>
      <c r="GH329" s="8" t="n">
        <v>6876402.4</v>
      </c>
      <c r="GI329" s="8" t="n">
        <v>34000</v>
      </c>
      <c r="GJ329" s="8" t="n">
        <v>571400</v>
      </c>
      <c r="GK329" s="8" t="n">
        <v>311900</v>
      </c>
      <c r="GL329" s="9">
        <f>GH329+GI329+GJ329+GK329</f>
        <v/>
      </c>
      <c r="GM329" s="9">
        <f>GG329+GL329</f>
        <v/>
      </c>
      <c r="GN329" s="8" t="n">
        <v>27246.5</v>
      </c>
      <c r="GO329" s="8" t="n">
        <v>0</v>
      </c>
      <c r="GP329" s="8" t="n">
        <v>3393.64</v>
      </c>
      <c r="GQ329" s="8" t="n">
        <v>0</v>
      </c>
      <c r="GR329" s="9">
        <f>GN329+GO329+GP329+GQ329</f>
        <v/>
      </c>
      <c r="GS329" s="8" t="n">
        <v>44650</v>
      </c>
      <c r="GT329" s="8" t="n">
        <v>0</v>
      </c>
      <c r="GU329" s="8" t="n">
        <v>893</v>
      </c>
      <c r="GV329" s="8" t="n">
        <v>0</v>
      </c>
      <c r="GW329" s="9">
        <f>GS329+GT329+GU329+GV329</f>
        <v/>
      </c>
      <c r="GX329" s="9">
        <f>GM329+GR329+GW329</f>
        <v/>
      </c>
      <c r="GY329" s="8" t="n">
        <v>4433721.159999998</v>
      </c>
      <c r="GZ329" s="8" t="n">
        <v>0</v>
      </c>
      <c r="HA329" s="9">
        <f>GY329+GZ329</f>
        <v/>
      </c>
      <c r="HB329" s="9">
        <f>IF(GX329=0,"",AU329/GX329)</f>
        <v/>
      </c>
      <c r="HC329" s="10">
        <f>IF((GX329+GY329)=0,"",GB329/(GX329+GY329))</f>
        <v/>
      </c>
      <c r="HD329" s="9">
        <f>IF(GX329=0,"",GB329/GX329)</f>
        <v/>
      </c>
      <c r="HE329" s="8" t="n">
        <v>12</v>
      </c>
      <c r="HF329" s="8" t="n">
        <v>1</v>
      </c>
      <c r="HG329" s="8" t="n">
        <v>23</v>
      </c>
      <c r="HH329" s="8" t="n">
        <v>12</v>
      </c>
      <c r="HI329" s="8" t="n">
        <v>30</v>
      </c>
      <c r="HJ329" s="9">
        <f>HF329+HI329</f>
        <v/>
      </c>
      <c r="HK329" s="10">
        <f>IF(HE329=0,"",HH329/HE329)</f>
        <v/>
      </c>
      <c r="HL329" s="8" t="n">
        <v>0</v>
      </c>
      <c r="HM329" s="8" t="n">
        <v>0</v>
      </c>
      <c r="HN329" s="11">
        <f>IF(HL329=0,"",HM329/HL329)</f>
        <v/>
      </c>
    </row>
    <row r="330">
      <c r="A330" s="12" t="inlineStr">
        <is>
          <t>Zomba</t>
        </is>
      </c>
      <c r="B330" s="12" t="inlineStr">
        <is>
          <t>Lirangwe</t>
        </is>
      </c>
      <c r="C330" s="13" t="inlineStr">
        <is>
          <t>FY2025/26</t>
        </is>
      </c>
      <c r="D330" s="13" t="n">
        <v>2025</v>
      </c>
      <c r="E330" s="13" t="n">
        <v>7</v>
      </c>
      <c r="F330" s="13" t="inlineStr">
        <is>
          <t>July</t>
        </is>
      </c>
      <c r="G330" s="13" t="inlineStr">
        <is>
          <t>Q2</t>
        </is>
      </c>
      <c r="H330" s="14" t="n">
        <v>7704</v>
      </c>
      <c r="I330" s="14" t="n">
        <v>331</v>
      </c>
      <c r="J330" s="14" t="n">
        <v>0</v>
      </c>
      <c r="K330" s="14" t="n">
        <v>15</v>
      </c>
      <c r="L330" s="14" t="n">
        <v>0</v>
      </c>
      <c r="M330" s="15">
        <f>SUM(I330,J330,K330,L330)</f>
        <v/>
      </c>
      <c r="N330" s="14" t="n">
        <v>5748.40000000003</v>
      </c>
      <c r="O330" s="14" t="n">
        <v>170.9</v>
      </c>
      <c r="P330" s="14" t="n">
        <v>604.1</v>
      </c>
      <c r="Q330" s="14" t="n">
        <v>44.1</v>
      </c>
      <c r="R330" s="15">
        <f>SUM(N330,O330,P330,Q330)</f>
        <v/>
      </c>
      <c r="S330" s="15">
        <f>M330+R330</f>
        <v/>
      </c>
      <c r="T330" s="14" t="n">
        <v>790.499999999965</v>
      </c>
      <c r="U330" s="16">
        <f>IF(H330=0,"",T330/H330)</f>
        <v/>
      </c>
      <c r="V330" s="14" t="n">
        <v>6</v>
      </c>
      <c r="W330" s="17">
        <f>IF(H330=0,"",V330/H330)</f>
        <v/>
      </c>
      <c r="X330" s="14" t="n">
        <v>0</v>
      </c>
      <c r="Y330" s="17">
        <f>IF(H330=0,"",X330/H330)</f>
        <v/>
      </c>
      <c r="Z330" s="14" t="n">
        <v>0</v>
      </c>
      <c r="AA330" s="17">
        <f>IF(H330=0,"",Z330/H330)</f>
        <v/>
      </c>
      <c r="AB330" s="14" t="n">
        <v>0</v>
      </c>
      <c r="AC330" s="17">
        <f>IF(H330=0,"",AB330/H330)</f>
        <v/>
      </c>
      <c r="AD330" s="14" t="n">
        <v>0</v>
      </c>
      <c r="AE330" s="17">
        <f>IF(H330=0,"",AD330/H330)</f>
        <v/>
      </c>
      <c r="AF330" s="14" t="n">
        <v>0</v>
      </c>
      <c r="AG330" s="17">
        <f>IF(H330=0,"",AF330/H330)</f>
        <v/>
      </c>
      <c r="AH330" s="14" t="n">
        <v>156000</v>
      </c>
      <c r="AI330" s="15">
        <f>IF(H330=0,"",AH330/H330)</f>
        <v/>
      </c>
      <c r="AJ330" s="14" t="n">
        <v>1836</v>
      </c>
      <c r="AK330" s="17">
        <f>IF(H330=0,"",AJ330/H330)</f>
        <v/>
      </c>
      <c r="AL330" s="14" t="n">
        <v>533401.774</v>
      </c>
      <c r="AM330" s="15">
        <f>IF(H330=0,"",AL330/H330)</f>
        <v/>
      </c>
      <c r="AN330" s="14" t="n">
        <v>0</v>
      </c>
      <c r="AO330" s="14" t="n">
        <v>0</v>
      </c>
      <c r="AP330" s="14" t="n">
        <v>0</v>
      </c>
      <c r="AQ330" s="14" t="n">
        <v>0</v>
      </c>
      <c r="AR330" s="14" t="n">
        <v>0</v>
      </c>
      <c r="AS330" s="14" t="n">
        <v>0</v>
      </c>
      <c r="AT330" s="14" t="n">
        <v>0</v>
      </c>
      <c r="AU330" s="15">
        <f>AH330+AL330+AP330+AQ330+AR330+AS330+AT330</f>
        <v/>
      </c>
      <c r="AV330" s="15">
        <f>IF(H330=0,"",AU330/H330)</f>
        <v/>
      </c>
      <c r="AW330" s="15">
        <f>IF(S330=0,"",AU330/S330)</f>
        <v/>
      </c>
      <c r="AX330" s="14" t="n">
        <v>7</v>
      </c>
      <c r="AY330" s="15">
        <f>IF(H330=0,"",AX330/(H330/1000/12))</f>
        <v/>
      </c>
      <c r="AZ330" s="14" t="n">
        <v>6</v>
      </c>
      <c r="BA330" s="14" t="n">
        <v>23</v>
      </c>
      <c r="BB330" s="14" t="n">
        <v>12</v>
      </c>
      <c r="BC330" s="14" t="n">
        <v>16</v>
      </c>
      <c r="BD330" s="14" t="n">
        <v>0</v>
      </c>
      <c r="BE330" s="15">
        <f>BC330+BD330</f>
        <v/>
      </c>
      <c r="BF330" s="15">
        <f>BA330+BB330-BE330</f>
        <v/>
      </c>
      <c r="BG330" s="14" t="n">
        <v>0</v>
      </c>
      <c r="BH330" s="14" t="n">
        <v>0</v>
      </c>
      <c r="BI330" s="14" t="n">
        <v>0</v>
      </c>
      <c r="BJ330" s="14" t="n">
        <v>0</v>
      </c>
      <c r="BK330" s="15">
        <f>BI330+BJ330</f>
        <v/>
      </c>
      <c r="BL330" s="15">
        <f>BG330+BH330-BK330</f>
        <v/>
      </c>
      <c r="BM330" s="14" t="n">
        <v>0</v>
      </c>
      <c r="BN330" s="14" t="n">
        <v>0</v>
      </c>
      <c r="BO330" s="14" t="n">
        <v>0</v>
      </c>
      <c r="BP330" s="14" t="n">
        <v>0</v>
      </c>
      <c r="BQ330" s="15">
        <f>BO330+BP330</f>
        <v/>
      </c>
      <c r="BR330" s="15">
        <f>BM330+BN330-BQ330</f>
        <v/>
      </c>
      <c r="BS330" s="14" t="n">
        <v>0</v>
      </c>
      <c r="BT330" s="14" t="n">
        <v>0</v>
      </c>
      <c r="BU330" s="14" t="n">
        <v>0</v>
      </c>
      <c r="BV330" s="14" t="n">
        <v>0</v>
      </c>
      <c r="BW330" s="15">
        <f>BU330+BV330</f>
        <v/>
      </c>
      <c r="BX330" s="15">
        <f>BS330+BT330-BW330</f>
        <v/>
      </c>
      <c r="BY330" s="15">
        <f>BA330+BG330+BM330+BS330</f>
        <v/>
      </c>
      <c r="BZ330" s="15">
        <f>BB330+BH330+BN330+BT330</f>
        <v/>
      </c>
      <c r="CA330" s="15">
        <f>BE330+BK330+BQ330+BW330</f>
        <v/>
      </c>
      <c r="CB330" s="15">
        <f>BF330+BL330+BR330+BX330</f>
        <v/>
      </c>
      <c r="CC330" s="14" t="n">
        <v>0</v>
      </c>
      <c r="CD330" s="14" t="n">
        <v>59</v>
      </c>
      <c r="CE330" s="14" t="n">
        <v>5</v>
      </c>
      <c r="CF330" s="14" t="n">
        <v>1</v>
      </c>
      <c r="CG330" s="14" t="n">
        <v>7</v>
      </c>
      <c r="CH330" s="15">
        <f>CD330+CE330+CF330+CG330</f>
        <v/>
      </c>
      <c r="CI330" s="14" t="n">
        <v>66</v>
      </c>
      <c r="CJ330" s="14" t="n">
        <v>1</v>
      </c>
      <c r="CK330" s="14" t="n">
        <v>0</v>
      </c>
      <c r="CL330" s="14" t="n">
        <v>0</v>
      </c>
      <c r="CM330" s="15">
        <f>CI330+CJ330+CK330+CL330</f>
        <v/>
      </c>
      <c r="CN330" s="14" t="n">
        <v>950</v>
      </c>
      <c r="CO330" s="14" t="n">
        <v>15</v>
      </c>
      <c r="CP330" s="14" t="n">
        <v>10</v>
      </c>
      <c r="CQ330" s="14" t="n">
        <v>12</v>
      </c>
      <c r="CR330" s="15">
        <f>CN330+CO330+CP330+CQ330</f>
        <v/>
      </c>
      <c r="CS330" s="15">
        <f>CM330+CR330</f>
        <v/>
      </c>
      <c r="CT330" s="14" t="n">
        <v>1126</v>
      </c>
      <c r="CU330" s="14" t="n">
        <v>8329</v>
      </c>
      <c r="CV330" s="14" t="n">
        <v>7492.8</v>
      </c>
      <c r="CW330" s="16">
        <f>IF(CU330=0,"",CV330/CU330)</f>
        <v/>
      </c>
      <c r="CX330" s="14" t="n">
        <v>0</v>
      </c>
      <c r="CY330" s="14" t="n">
        <v>0</v>
      </c>
      <c r="CZ330" s="14" t="n">
        <v>0</v>
      </c>
      <c r="DA330" s="14" t="n">
        <v>0</v>
      </c>
      <c r="DB330" s="15">
        <f>CX330+CY330-CZ330-DA330</f>
        <v/>
      </c>
      <c r="DC330" s="14" t="n">
        <v>0</v>
      </c>
      <c r="DD330" s="14" t="n">
        <v>0</v>
      </c>
      <c r="DE330" s="14" t="n">
        <v>0</v>
      </c>
      <c r="DF330" s="14" t="n">
        <v>0</v>
      </c>
      <c r="DG330" s="15">
        <f>DC330+DD330-DE330-DF330</f>
        <v/>
      </c>
      <c r="DH330" s="14" t="n">
        <v>0</v>
      </c>
      <c r="DI330" s="14" t="n">
        <v>0</v>
      </c>
      <c r="DJ330" s="14" t="n">
        <v>0</v>
      </c>
      <c r="DK330" s="14" t="n">
        <v>0</v>
      </c>
      <c r="DL330" s="15">
        <f>DH330+DI330-DJ330-DK330</f>
        <v/>
      </c>
      <c r="DM330" s="14" t="n">
        <v>0</v>
      </c>
      <c r="DN330" s="14" t="n">
        <v>1</v>
      </c>
      <c r="DO330" s="14" t="n">
        <v>0</v>
      </c>
      <c r="DP330" s="14" t="n">
        <v>0</v>
      </c>
      <c r="DQ330" s="15">
        <f>DM330+DN330-DO330-DP330</f>
        <v/>
      </c>
      <c r="DR330" s="15">
        <f>CX330+DC330+DH330+DM330</f>
        <v/>
      </c>
      <c r="DS330" s="15">
        <f>CY330+DD330+DI330+DN330</f>
        <v/>
      </c>
      <c r="DT330" s="15">
        <f>CZ330+DE330+DJ330+DO330</f>
        <v/>
      </c>
      <c r="DU330" s="15">
        <f>DA330+DF330+DK330+DP330</f>
        <v/>
      </c>
      <c r="DV330" s="15">
        <f>DB330+DG330+DL330+DQ330</f>
        <v/>
      </c>
      <c r="DW330" s="14" t="n">
        <v>18</v>
      </c>
      <c r="DX330" s="14" t="n">
        <v>3</v>
      </c>
      <c r="DY330" s="14" t="n">
        <v>4</v>
      </c>
      <c r="DZ330" s="14" t="n">
        <v>0</v>
      </c>
      <c r="EA330" s="14" t="n">
        <v>0</v>
      </c>
      <c r="EB330" s="14" t="n">
        <v>0</v>
      </c>
      <c r="EC330" s="14" t="n">
        <v>0</v>
      </c>
      <c r="ED330" s="14" t="n">
        <v>0</v>
      </c>
      <c r="EE330" s="14" t="n">
        <v>0</v>
      </c>
      <c r="EF330" s="14" t="n">
        <v>0</v>
      </c>
      <c r="EG330" s="14" t="n">
        <v>0</v>
      </c>
      <c r="EH330" s="14" t="n">
        <v>0</v>
      </c>
      <c r="EI330" s="14" t="n">
        <v>0</v>
      </c>
      <c r="EJ330" s="14" t="n">
        <v>4</v>
      </c>
      <c r="EK330" s="14" t="n">
        <v>1</v>
      </c>
      <c r="EL330" s="14" t="n">
        <v>0</v>
      </c>
      <c r="EM330" s="14" t="n">
        <v>0</v>
      </c>
      <c r="EN330" s="14" t="n">
        <v>0</v>
      </c>
      <c r="EO330" s="14" t="n">
        <v>0</v>
      </c>
      <c r="EP330" s="14" t="n">
        <v>0</v>
      </c>
      <c r="EQ330" s="14" t="n">
        <v>0</v>
      </c>
      <c r="ER330" s="14" t="n">
        <v>0</v>
      </c>
      <c r="ES330" s="14" t="n">
        <v>0</v>
      </c>
      <c r="ET330" s="14" t="n">
        <v>0</v>
      </c>
      <c r="EU330" s="14" t="n">
        <v>0</v>
      </c>
      <c r="EV330" s="14" t="n">
        <v>0</v>
      </c>
      <c r="EW330" s="14" t="n">
        <v>0</v>
      </c>
      <c r="EX330" s="14" t="n">
        <v>0</v>
      </c>
      <c r="EY330" s="14" t="n">
        <v>0</v>
      </c>
      <c r="EZ330" s="14" t="n">
        <v>0</v>
      </c>
      <c r="FA330" s="14" t="n">
        <v>0</v>
      </c>
      <c r="FB330" s="14" t="n">
        <v>0</v>
      </c>
      <c r="FC330" s="14" t="n">
        <v>0</v>
      </c>
      <c r="FD330" s="14" t="n">
        <v>0</v>
      </c>
      <c r="FE330" s="14" t="n">
        <v>0</v>
      </c>
      <c r="FF330" s="14" t="n">
        <v>0</v>
      </c>
      <c r="FG330" s="15">
        <f>SUM(DW330,DX330,DY330,DZ330,EA330,EB330,EC330,ED330,EE330,EF330,EG330,EH330,EI330,EJ330,EK330,EL330,EM330,EN330,EO330,EP330,EQ330,ER330,ES330,ET330,EU330,EV330,EW330,EX330,EY330,EZ330,FA330,FB330,FC330,FD330,FE330,FF330)</f>
        <v/>
      </c>
      <c r="FH330" s="14" t="n">
        <v>0</v>
      </c>
      <c r="FI330" s="14" t="n">
        <v>0</v>
      </c>
      <c r="FJ330" s="14" t="n">
        <v>22</v>
      </c>
      <c r="FK330" s="14" t="n">
        <v>0</v>
      </c>
      <c r="FL330" s="14" t="n">
        <v>0</v>
      </c>
      <c r="FM330" s="14" t="n">
        <v>0</v>
      </c>
      <c r="FN330" s="14" t="n">
        <v>0</v>
      </c>
      <c r="FO330" s="14" t="n">
        <v>0</v>
      </c>
      <c r="FP330" s="14" t="n">
        <v>0</v>
      </c>
      <c r="FQ330" s="15">
        <f>FL330+FM330+FN330+FO330+FP330</f>
        <v/>
      </c>
      <c r="FR330" s="14" t="n">
        <v>123544</v>
      </c>
      <c r="FS330" s="14" t="n">
        <v>0</v>
      </c>
      <c r="FT330" s="14" t="n">
        <v>0</v>
      </c>
      <c r="FU330" s="14" t="n">
        <v>0</v>
      </c>
      <c r="FV330" s="15">
        <f>FR330+FS330+FT330+FU330</f>
        <v/>
      </c>
      <c r="FW330" s="14" t="n">
        <v>7204395.36</v>
      </c>
      <c r="FX330" s="14" t="n">
        <v>36300</v>
      </c>
      <c r="FY330" s="14" t="n">
        <v>207600</v>
      </c>
      <c r="FZ330" s="14" t="n">
        <v>1836000</v>
      </c>
      <c r="GA330" s="15">
        <f>FW330+FX330+FY330+FZ330</f>
        <v/>
      </c>
      <c r="GB330" s="15">
        <f>FV330+GA330</f>
        <v/>
      </c>
      <c r="GC330" s="14" t="n">
        <v>350021.65</v>
      </c>
      <c r="GD330" s="14" t="n">
        <v>0</v>
      </c>
      <c r="GE330" s="14" t="n">
        <v>39425.2</v>
      </c>
      <c r="GF330" s="14" t="n">
        <v>0</v>
      </c>
      <c r="GG330" s="15">
        <f>GC330+GD330+GE330+GF330</f>
        <v/>
      </c>
      <c r="GH330" s="14" t="n">
        <v>7138850.1</v>
      </c>
      <c r="GI330" s="14" t="n">
        <v>36300</v>
      </c>
      <c r="GJ330" s="14" t="n">
        <v>1836000</v>
      </c>
      <c r="GK330" s="14" t="n">
        <v>207600</v>
      </c>
      <c r="GL330" s="15">
        <f>GH330+GI330+GJ330+GK330</f>
        <v/>
      </c>
      <c r="GM330" s="15">
        <f>GG330+GL330</f>
        <v/>
      </c>
      <c r="GN330" s="14" t="n">
        <v>35965.38</v>
      </c>
      <c r="GO330" s="14" t="n">
        <v>0</v>
      </c>
      <c r="GP330" s="14" t="n">
        <v>3393.64</v>
      </c>
      <c r="GQ330" s="14" t="n">
        <v>0</v>
      </c>
      <c r="GR330" s="15">
        <f>GN330+GO330+GP330+GQ330</f>
        <v/>
      </c>
      <c r="GS330" s="14" t="n">
        <v>58938</v>
      </c>
      <c r="GT330" s="14" t="n">
        <v>0</v>
      </c>
      <c r="GU330" s="14" t="n">
        <v>893</v>
      </c>
      <c r="GV330" s="14" t="n">
        <v>0</v>
      </c>
      <c r="GW330" s="15">
        <f>GS330+GT330+GU330+GV330</f>
        <v/>
      </c>
      <c r="GX330" s="15">
        <f>GM330+GR330+GW330</f>
        <v/>
      </c>
      <c r="GY330" s="14" t="n">
        <v>4716920.9</v>
      </c>
      <c r="GZ330" s="14" t="n">
        <v>0</v>
      </c>
      <c r="HA330" s="9">
        <f>GY330+GZ330</f>
        <v/>
      </c>
      <c r="HB330" s="15">
        <f>IF(GX330=0,"",AU330/GX330)</f>
        <v/>
      </c>
      <c r="HC330" s="16">
        <f>IF((GX330+GY330)=0,"",GB330/(GX330+GY330))</f>
        <v/>
      </c>
      <c r="HD330" s="15">
        <f>IF(GX330=0,"",GB330/GX330)</f>
        <v/>
      </c>
      <c r="HE330" s="14" t="n">
        <v>12</v>
      </c>
      <c r="HF330" s="14" t="n">
        <v>1</v>
      </c>
      <c r="HG330" s="14" t="n">
        <v>19</v>
      </c>
      <c r="HH330" s="14" t="n">
        <v>12</v>
      </c>
      <c r="HI330" s="14" t="n">
        <v>31</v>
      </c>
      <c r="HJ330" s="15">
        <f>HF330+HI330</f>
        <v/>
      </c>
      <c r="HK330" s="16">
        <f>IF(HE330=0,"",HH330/HE330)</f>
        <v/>
      </c>
      <c r="HL330" s="14" t="n">
        <v>0</v>
      </c>
      <c r="HM330" s="14" t="n">
        <v>0</v>
      </c>
      <c r="HN330" s="17">
        <f>IF(HL330=0,"",HM330/HL330)</f>
        <v/>
      </c>
    </row>
    <row r="331">
      <c r="A331" s="6" t="inlineStr">
        <is>
          <t>Zomba</t>
        </is>
      </c>
      <c r="B331" s="6" t="inlineStr">
        <is>
          <t>Lirangwe</t>
        </is>
      </c>
      <c r="C331" s="7" t="inlineStr">
        <is>
          <t>FY2025/26</t>
        </is>
      </c>
      <c r="D331" s="7" t="n">
        <v>2025</v>
      </c>
      <c r="E331" s="7" t="n">
        <v>8</v>
      </c>
      <c r="F331" s="7" t="inlineStr">
        <is>
          <t>August</t>
        </is>
      </c>
      <c r="G331" s="7" t="inlineStr">
        <is>
          <t>Q2</t>
        </is>
      </c>
      <c r="H331" s="8" t="n">
        <v>8572</v>
      </c>
      <c r="I331" s="8" t="n">
        <v>363</v>
      </c>
      <c r="J331" s="8" t="n">
        <v>0</v>
      </c>
      <c r="K331" s="8" t="n">
        <v>13</v>
      </c>
      <c r="L331" s="8" t="n">
        <v>0</v>
      </c>
      <c r="M331" s="9">
        <f>SUM(I331,J331,K331,L331)</f>
        <v/>
      </c>
      <c r="N331" s="8" t="n">
        <v>6176.30000000004</v>
      </c>
      <c r="O331" s="8" t="n">
        <v>209.8</v>
      </c>
      <c r="P331" s="8" t="n">
        <v>206.1</v>
      </c>
      <c r="Q331" s="8" t="n">
        <v>57</v>
      </c>
      <c r="R331" s="9">
        <f>SUM(N331,O331,P331,Q331)</f>
        <v/>
      </c>
      <c r="S331" s="9">
        <f>M331+R331</f>
        <v/>
      </c>
      <c r="T331" s="8" t="n">
        <v>1546.79999999996</v>
      </c>
      <c r="U331" s="10">
        <f>IF(H331=0,"",T331/H331)</f>
        <v/>
      </c>
      <c r="V331" s="8" t="n">
        <v>6</v>
      </c>
      <c r="W331" s="11">
        <f>IF(H331=0,"",V331/H331)</f>
        <v/>
      </c>
      <c r="X331" s="8" t="n">
        <v>0</v>
      </c>
      <c r="Y331" s="11">
        <f>IF(H331=0,"",X331/H331)</f>
        <v/>
      </c>
      <c r="Z331" s="8" t="n">
        <v>0</v>
      </c>
      <c r="AA331" s="11">
        <f>IF(H331=0,"",Z331/H331)</f>
        <v/>
      </c>
      <c r="AB331" s="8" t="n">
        <v>0</v>
      </c>
      <c r="AC331" s="11">
        <f>IF(H331=0,"",AB331/H331)</f>
        <v/>
      </c>
      <c r="AD331" s="8" t="n">
        <v>0</v>
      </c>
      <c r="AE331" s="11">
        <f>IF(H331=0,"",AD331/H331)</f>
        <v/>
      </c>
      <c r="AF331" s="8" t="n">
        <v>0</v>
      </c>
      <c r="AG331" s="11">
        <f>IF(H331=0,"",AF331/H331)</f>
        <v/>
      </c>
      <c r="AH331" s="8" t="n">
        <v>156000</v>
      </c>
      <c r="AI331" s="9">
        <f>IF(H331=0,"",AH331/H331)</f>
        <v/>
      </c>
      <c r="AJ331" s="8" t="n">
        <v>2151</v>
      </c>
      <c r="AK331" s="11">
        <f>IF(H331=0,"",AJ331/H331)</f>
        <v/>
      </c>
      <c r="AL331" s="8" t="n">
        <v>619494.1090000001</v>
      </c>
      <c r="AM331" s="9">
        <f>IF(H331=0,"",AL331/H331)</f>
        <v/>
      </c>
      <c r="AN331" s="8" t="n">
        <v>0</v>
      </c>
      <c r="AO331" s="8" t="n">
        <v>0</v>
      </c>
      <c r="AP331" s="8" t="n">
        <v>0</v>
      </c>
      <c r="AQ331" s="8" t="n">
        <v>0</v>
      </c>
      <c r="AR331" s="8" t="n">
        <v>0</v>
      </c>
      <c r="AS331" s="8" t="n">
        <v>0</v>
      </c>
      <c r="AT331" s="8" t="n">
        <v>0</v>
      </c>
      <c r="AU331" s="9">
        <f>AH331+AL331+AP331+AQ331+AR331+AS331+AT331</f>
        <v/>
      </c>
      <c r="AV331" s="9">
        <f>IF(H331=0,"",AU331/H331)</f>
        <v/>
      </c>
      <c r="AW331" s="9">
        <f>IF(S331=0,"",AU331/S331)</f>
        <v/>
      </c>
      <c r="AX331" s="8" t="n">
        <v>7</v>
      </c>
      <c r="AY331" s="9">
        <f>IF(H331=0,"",AX331/(H331/1000/12))</f>
        <v/>
      </c>
      <c r="AZ331" s="8" t="n">
        <v>6</v>
      </c>
      <c r="BA331" s="8" t="n">
        <v>19</v>
      </c>
      <c r="BB331" s="8" t="n">
        <v>34</v>
      </c>
      <c r="BC331" s="8" t="n">
        <v>24</v>
      </c>
      <c r="BD331" s="8" t="n">
        <v>0</v>
      </c>
      <c r="BE331" s="9">
        <f>BC331+BD331</f>
        <v/>
      </c>
      <c r="BF331" s="9">
        <f>BA331+BB331-BE331</f>
        <v/>
      </c>
      <c r="BG331" s="8" t="n">
        <v>0</v>
      </c>
      <c r="BH331" s="8" t="n">
        <v>0</v>
      </c>
      <c r="BI331" s="8" t="n">
        <v>0</v>
      </c>
      <c r="BJ331" s="8" t="n">
        <v>0</v>
      </c>
      <c r="BK331" s="9">
        <f>BI331+BJ331</f>
        <v/>
      </c>
      <c r="BL331" s="9">
        <f>BG331+BH331-BK331</f>
        <v/>
      </c>
      <c r="BM331" s="8" t="n">
        <v>0</v>
      </c>
      <c r="BN331" s="8" t="n">
        <v>0</v>
      </c>
      <c r="BO331" s="8" t="n">
        <v>0</v>
      </c>
      <c r="BP331" s="8" t="n">
        <v>0</v>
      </c>
      <c r="BQ331" s="9">
        <f>BO331+BP331</f>
        <v/>
      </c>
      <c r="BR331" s="9">
        <f>BM331+BN331-BQ331</f>
        <v/>
      </c>
      <c r="BS331" s="8" t="n">
        <v>0</v>
      </c>
      <c r="BT331" s="8" t="n">
        <v>0</v>
      </c>
      <c r="BU331" s="8" t="n">
        <v>0</v>
      </c>
      <c r="BV331" s="8" t="n">
        <v>0</v>
      </c>
      <c r="BW331" s="9">
        <f>BU331+BV331</f>
        <v/>
      </c>
      <c r="BX331" s="9">
        <f>BS331+BT331-BW331</f>
        <v/>
      </c>
      <c r="BY331" s="9">
        <f>BA331+BG331+BM331+BS331</f>
        <v/>
      </c>
      <c r="BZ331" s="9">
        <f>BB331+BH331+BN331+BT331</f>
        <v/>
      </c>
      <c r="CA331" s="9">
        <f>BE331+BK331+BQ331+BW331</f>
        <v/>
      </c>
      <c r="CB331" s="9">
        <f>BF331+BL331+BR331+BX331</f>
        <v/>
      </c>
      <c r="CC331" s="8" t="n">
        <v>0</v>
      </c>
      <c r="CD331" s="8" t="n">
        <v>56</v>
      </c>
      <c r="CE331" s="8" t="n">
        <v>5</v>
      </c>
      <c r="CF331" s="8" t="n">
        <v>1</v>
      </c>
      <c r="CG331" s="8" t="n">
        <v>7</v>
      </c>
      <c r="CH331" s="9">
        <f>CD331+CE331+CF331+CG331</f>
        <v/>
      </c>
      <c r="CI331" s="8" t="n">
        <v>62</v>
      </c>
      <c r="CJ331" s="8" t="n">
        <v>1</v>
      </c>
      <c r="CK331" s="8" t="n">
        <v>0</v>
      </c>
      <c r="CL331" s="8" t="n">
        <v>0</v>
      </c>
      <c r="CM331" s="9">
        <f>CI331+CJ331+CK331+CL331</f>
        <v/>
      </c>
      <c r="CN331" s="8" t="n">
        <v>981</v>
      </c>
      <c r="CO331" s="8" t="n">
        <v>15</v>
      </c>
      <c r="CP331" s="8" t="n">
        <v>10</v>
      </c>
      <c r="CQ331" s="8" t="n">
        <v>12</v>
      </c>
      <c r="CR331" s="9">
        <f>CN331+CO331+CP331+CQ331</f>
        <v/>
      </c>
      <c r="CS331" s="9">
        <f>CM331+CR331</f>
        <v/>
      </c>
      <c r="CT331" s="8" t="n">
        <v>1150</v>
      </c>
      <c r="CU331" s="8" t="n">
        <v>8339</v>
      </c>
      <c r="CV331" s="8" t="n">
        <v>7596.2</v>
      </c>
      <c r="CW331" s="10">
        <f>IF(CU331=0,"",CV331/CU331)</f>
        <v/>
      </c>
      <c r="CX331" s="8" t="n">
        <v>0</v>
      </c>
      <c r="CY331" s="8" t="n">
        <v>0</v>
      </c>
      <c r="CZ331" s="8" t="n">
        <v>0</v>
      </c>
      <c r="DA331" s="8" t="n">
        <v>0</v>
      </c>
      <c r="DB331" s="9">
        <f>CX331+CY331-CZ331-DA331</f>
        <v/>
      </c>
      <c r="DC331" s="8" t="n">
        <v>0</v>
      </c>
      <c r="DD331" s="8" t="n">
        <v>0</v>
      </c>
      <c r="DE331" s="8" t="n">
        <v>0</v>
      </c>
      <c r="DF331" s="8" t="n">
        <v>0</v>
      </c>
      <c r="DG331" s="9">
        <f>DC331+DD331-DE331-DF331</f>
        <v/>
      </c>
      <c r="DH331" s="8" t="n">
        <v>0</v>
      </c>
      <c r="DI331" s="8" t="n">
        <v>0</v>
      </c>
      <c r="DJ331" s="8" t="n">
        <v>0</v>
      </c>
      <c r="DK331" s="8" t="n">
        <v>0</v>
      </c>
      <c r="DL331" s="9">
        <f>DH331+DI331-DJ331-DK331</f>
        <v/>
      </c>
      <c r="DM331" s="8" t="n">
        <v>1</v>
      </c>
      <c r="DN331" s="8" t="n">
        <v>0</v>
      </c>
      <c r="DO331" s="8" t="n">
        <v>1</v>
      </c>
      <c r="DP331" s="8" t="n">
        <v>0</v>
      </c>
      <c r="DQ331" s="9">
        <f>DM331+DN331-DO331-DP331</f>
        <v/>
      </c>
      <c r="DR331" s="9">
        <f>CX331+DC331+DH331+DM331</f>
        <v/>
      </c>
      <c r="DS331" s="9">
        <f>CY331+DD331+DI331+DN331</f>
        <v/>
      </c>
      <c r="DT331" s="9">
        <f>CZ331+DE331+DJ331+DO331</f>
        <v/>
      </c>
      <c r="DU331" s="9">
        <f>DA331+DF331+DK331+DP331</f>
        <v/>
      </c>
      <c r="DV331" s="9">
        <f>DB331+DG331+DL331+DQ331</f>
        <v/>
      </c>
      <c r="DW331" s="8" t="n">
        <v>20</v>
      </c>
      <c r="DX331" s="8" t="n">
        <v>0</v>
      </c>
      <c r="DY331" s="8" t="n">
        <v>5</v>
      </c>
      <c r="DZ331" s="8" t="n">
        <v>0</v>
      </c>
      <c r="EA331" s="8" t="n">
        <v>0</v>
      </c>
      <c r="EB331" s="8" t="n">
        <v>1</v>
      </c>
      <c r="EC331" s="8" t="n">
        <v>0</v>
      </c>
      <c r="ED331" s="8" t="n">
        <v>0</v>
      </c>
      <c r="EE331" s="8" t="n">
        <v>0</v>
      </c>
      <c r="EF331" s="8" t="n">
        <v>0</v>
      </c>
      <c r="EG331" s="8" t="n">
        <v>0</v>
      </c>
      <c r="EH331" s="8" t="n">
        <v>0</v>
      </c>
      <c r="EI331" s="8" t="n">
        <v>0</v>
      </c>
      <c r="EJ331" s="8" t="n">
        <v>4</v>
      </c>
      <c r="EK331" s="8" t="n">
        <v>5</v>
      </c>
      <c r="EL331" s="8" t="n">
        <v>0</v>
      </c>
      <c r="EM331" s="8" t="n">
        <v>0</v>
      </c>
      <c r="EN331" s="8" t="n">
        <v>0</v>
      </c>
      <c r="EO331" s="8" t="n">
        <v>0</v>
      </c>
      <c r="EP331" s="8" t="n">
        <v>0</v>
      </c>
      <c r="EQ331" s="8" t="n">
        <v>0</v>
      </c>
      <c r="ER331" s="8" t="n">
        <v>0</v>
      </c>
      <c r="ES331" s="8" t="n">
        <v>0</v>
      </c>
      <c r="ET331" s="8" t="n">
        <v>0</v>
      </c>
      <c r="EU331" s="8" t="n">
        <v>0</v>
      </c>
      <c r="EV331" s="8" t="n">
        <v>0</v>
      </c>
      <c r="EW331" s="8" t="n">
        <v>0</v>
      </c>
      <c r="EX331" s="8" t="n">
        <v>0</v>
      </c>
      <c r="EY331" s="8" t="n">
        <v>0</v>
      </c>
      <c r="EZ331" s="8" t="n">
        <v>0</v>
      </c>
      <c r="FA331" s="8" t="n">
        <v>0</v>
      </c>
      <c r="FB331" s="8" t="n">
        <v>0</v>
      </c>
      <c r="FC331" s="8" t="n">
        <v>0</v>
      </c>
      <c r="FD331" s="8" t="n">
        <v>0</v>
      </c>
      <c r="FE331" s="8" t="n">
        <v>0</v>
      </c>
      <c r="FF331" s="8" t="n">
        <v>0</v>
      </c>
      <c r="FG331" s="9">
        <f>SUM(DW331,DX331,DY331,DZ331,EA331,EB331,EC331,ED331,EE331,EF331,EG331,EH331,EI331,EJ331,EK331,EL331,EM331,EN331,EO331,EP331,EQ331,ER331,ES331,ET331,EU331,EV331,EW331,EX331,EY331,EZ331,FA331,FB331,FC331,FD331,FE331,FF331)</f>
        <v/>
      </c>
      <c r="FH331" s="8" t="n">
        <v>0</v>
      </c>
      <c r="FI331" s="8" t="n">
        <v>0</v>
      </c>
      <c r="FJ331" s="8" t="n">
        <v>20</v>
      </c>
      <c r="FK331" s="8" t="n">
        <v>52</v>
      </c>
      <c r="FL331" s="8" t="n">
        <v>0</v>
      </c>
      <c r="FM331" s="8" t="n">
        <v>0</v>
      </c>
      <c r="FN331" s="8" t="n">
        <v>0</v>
      </c>
      <c r="FO331" s="8" t="n">
        <v>0</v>
      </c>
      <c r="FP331" s="8" t="n">
        <v>0</v>
      </c>
      <c r="FQ331" s="9">
        <f>FL331+FM331+FN331+FO331+FP331</f>
        <v/>
      </c>
      <c r="FR331" s="8" t="n">
        <v>115917</v>
      </c>
      <c r="FS331" s="8" t="n">
        <v>0</v>
      </c>
      <c r="FT331" s="8" t="n">
        <v>0</v>
      </c>
      <c r="FU331" s="8" t="n">
        <v>0</v>
      </c>
      <c r="FV331" s="9">
        <f>FR331+FS331+FT331+FU331</f>
        <v/>
      </c>
      <c r="FW331" s="8" t="n">
        <v>8012805.64</v>
      </c>
      <c r="FX331" s="8" t="n">
        <v>44600</v>
      </c>
      <c r="FY331" s="8" t="n">
        <v>298700</v>
      </c>
      <c r="FZ331" s="8" t="n">
        <v>626600</v>
      </c>
      <c r="GA331" s="9">
        <f>FW331+FX331+FY331+FZ331</f>
        <v/>
      </c>
      <c r="GB331" s="9">
        <f>FV331+GA331</f>
        <v/>
      </c>
      <c r="GC331" s="8" t="n">
        <v>378492.25</v>
      </c>
      <c r="GD331" s="8" t="n">
        <v>0</v>
      </c>
      <c r="GE331" s="8" t="n">
        <v>33408.7</v>
      </c>
      <c r="GF331" s="8" t="n">
        <v>0</v>
      </c>
      <c r="GG331" s="9">
        <f>GC331+GD331+GE331+GF331</f>
        <v/>
      </c>
      <c r="GH331" s="8" t="n">
        <v>7674722.31</v>
      </c>
      <c r="GI331" s="8" t="n">
        <v>44600</v>
      </c>
      <c r="GJ331" s="8" t="n">
        <v>626600</v>
      </c>
      <c r="GK331" s="8" t="n">
        <v>268700</v>
      </c>
      <c r="GL331" s="9">
        <f>GH331+GI331+GJ331+GK331</f>
        <v/>
      </c>
      <c r="GM331" s="9">
        <f>GG331+GL331</f>
        <v/>
      </c>
      <c r="GN331" s="8" t="n">
        <v>33785.66</v>
      </c>
      <c r="GO331" s="8" t="n">
        <v>0</v>
      </c>
      <c r="GP331" s="8" t="n">
        <v>3393.64</v>
      </c>
      <c r="GQ331" s="8" t="n">
        <v>0</v>
      </c>
      <c r="GR331" s="9">
        <f>GN331+GO331+GP331+GQ331</f>
        <v/>
      </c>
      <c r="GS331" s="8" t="n">
        <v>55366</v>
      </c>
      <c r="GT331" s="8" t="n">
        <v>0</v>
      </c>
      <c r="GU331" s="8" t="n">
        <v>893</v>
      </c>
      <c r="GV331" s="8" t="n">
        <v>0</v>
      </c>
      <c r="GW331" s="9">
        <f>GS331+GT331+GU331+GV331</f>
        <v/>
      </c>
      <c r="GX331" s="9">
        <f>GM331+GR331+GW331</f>
        <v/>
      </c>
      <c r="GY331" s="8" t="n">
        <v>5106343.15</v>
      </c>
      <c r="GZ331" s="8" t="n">
        <v>0</v>
      </c>
      <c r="HA331" s="9">
        <f>GY331+GZ331</f>
        <v/>
      </c>
      <c r="HB331" s="9">
        <f>IF(GX331=0,"",AU331/GX331)</f>
        <v/>
      </c>
      <c r="HC331" s="10">
        <f>IF((GX331+GY331)=0,"",GB331/(GX331+GY331))</f>
        <v/>
      </c>
      <c r="HD331" s="9">
        <f>IF(GX331=0,"",GB331/GX331)</f>
        <v/>
      </c>
      <c r="HE331" s="8" t="n">
        <v>34</v>
      </c>
      <c r="HF331" s="8" t="n">
        <v>1</v>
      </c>
      <c r="HG331" s="8" t="n">
        <v>29</v>
      </c>
      <c r="HH331" s="8" t="n">
        <v>34</v>
      </c>
      <c r="HI331" s="8" t="n">
        <v>30</v>
      </c>
      <c r="HJ331" s="9">
        <f>HF331+HI331</f>
        <v/>
      </c>
      <c r="HK331" s="10">
        <f>IF(HE331=0,"",HH331/HE331)</f>
        <v/>
      </c>
      <c r="HL331" s="8" t="n">
        <v>0</v>
      </c>
      <c r="HM331" s="8" t="n">
        <v>0</v>
      </c>
      <c r="HN331" s="11">
        <f>IF(HL331=0,"",HM331/HL331)</f>
        <v/>
      </c>
    </row>
    <row r="332">
      <c r="A332" s="12" t="inlineStr">
        <is>
          <t>Zomba</t>
        </is>
      </c>
      <c r="B332" s="12" t="inlineStr">
        <is>
          <t>Lirangwe</t>
        </is>
      </c>
      <c r="C332" s="13" t="inlineStr">
        <is>
          <t>FY2025/26</t>
        </is>
      </c>
      <c r="D332" s="13" t="n">
        <v>2025</v>
      </c>
      <c r="E332" s="13" t="n">
        <v>9</v>
      </c>
      <c r="F332" s="13" t="inlineStr">
        <is>
          <t>September</t>
        </is>
      </c>
      <c r="G332" s="13" t="inlineStr">
        <is>
          <t>Q2</t>
        </is>
      </c>
      <c r="H332" s="14" t="n">
        <v>8930</v>
      </c>
      <c r="I332" s="14" t="n">
        <v>491</v>
      </c>
      <c r="J332" s="14" t="n">
        <v>0</v>
      </c>
      <c r="K332" s="14" t="n">
        <v>14</v>
      </c>
      <c r="L332" s="14" t="n">
        <v>0</v>
      </c>
      <c r="M332" s="15">
        <f>SUM(I332,J332,K332,L332)</f>
        <v/>
      </c>
      <c r="N332" s="14" t="n">
        <v>6322.30000000003</v>
      </c>
      <c r="O332" s="14" t="n">
        <v>182</v>
      </c>
      <c r="P332" s="14" t="n">
        <v>224.9</v>
      </c>
      <c r="Q332" s="14" t="n">
        <v>115.8</v>
      </c>
      <c r="R332" s="15">
        <f>SUM(N332,O332,P332,Q332)</f>
        <v/>
      </c>
      <c r="S332" s="15">
        <f>M332+R332</f>
        <v/>
      </c>
      <c r="T332" s="14" t="n">
        <v>1579.99999999997</v>
      </c>
      <c r="U332" s="16">
        <f>IF(H332=0,"",T332/H332)</f>
        <v/>
      </c>
      <c r="V332" s="14" t="n">
        <v>5</v>
      </c>
      <c r="W332" s="17">
        <f>IF(H332=0,"",V332/H332)</f>
        <v/>
      </c>
      <c r="X332" s="14" t="n">
        <v>0</v>
      </c>
      <c r="Y332" s="17">
        <f>IF(H332=0,"",X332/H332)</f>
        <v/>
      </c>
      <c r="Z332" s="14" t="n">
        <v>0</v>
      </c>
      <c r="AA332" s="17">
        <f>IF(H332=0,"",Z332/H332)</f>
        <v/>
      </c>
      <c r="AB332" s="14" t="n">
        <v>0</v>
      </c>
      <c r="AC332" s="17">
        <f>IF(H332=0,"",AB332/H332)</f>
        <v/>
      </c>
      <c r="AD332" s="14" t="n">
        <v>0</v>
      </c>
      <c r="AE332" s="17">
        <f>IF(H332=0,"",AD332/H332)</f>
        <v/>
      </c>
      <c r="AF332" s="14" t="n">
        <v>0</v>
      </c>
      <c r="AG332" s="17">
        <f>IF(H332=0,"",AF332/H332)</f>
        <v/>
      </c>
      <c r="AH332" s="14" t="n">
        <v>130000</v>
      </c>
      <c r="AI332" s="15">
        <f>IF(H332=0,"",AH332/H332)</f>
        <v/>
      </c>
      <c r="AJ332" s="14" t="n">
        <v>2069</v>
      </c>
      <c r="AK332" s="17">
        <f>IF(H332=0,"",AJ332/H332)</f>
        <v/>
      </c>
      <c r="AL332" s="14" t="n">
        <v>597082.7709999999</v>
      </c>
      <c r="AM332" s="15">
        <f>IF(H332=0,"",AL332/H332)</f>
        <v/>
      </c>
      <c r="AN332" s="14" t="n">
        <v>0</v>
      </c>
      <c r="AO332" s="14" t="n">
        <v>0</v>
      </c>
      <c r="AP332" s="14" t="n">
        <v>0</v>
      </c>
      <c r="AQ332" s="14" t="n">
        <v>0</v>
      </c>
      <c r="AR332" s="14" t="n">
        <v>0</v>
      </c>
      <c r="AS332" s="14" t="n">
        <v>0</v>
      </c>
      <c r="AT332" s="14" t="n">
        <v>0</v>
      </c>
      <c r="AU332" s="15">
        <f>AH332+AL332+AP332+AQ332+AR332+AS332+AT332</f>
        <v/>
      </c>
      <c r="AV332" s="15">
        <f>IF(H332=0,"",AU332/H332)</f>
        <v/>
      </c>
      <c r="AW332" s="15">
        <f>IF(S332=0,"",AU332/S332)</f>
        <v/>
      </c>
      <c r="AX332" s="14" t="n">
        <v>7</v>
      </c>
      <c r="AY332" s="15">
        <f>IF(H332=0,"",AX332/(H332/1000/12))</f>
        <v/>
      </c>
      <c r="AZ332" s="14" t="n">
        <v>6</v>
      </c>
      <c r="BA332" s="14" t="n">
        <v>29</v>
      </c>
      <c r="BB332" s="14" t="n">
        <v>20</v>
      </c>
      <c r="BC332" s="14" t="n">
        <v>25</v>
      </c>
      <c r="BD332" s="14" t="n">
        <v>0</v>
      </c>
      <c r="BE332" s="15">
        <f>BC332+BD332</f>
        <v/>
      </c>
      <c r="BF332" s="15">
        <f>BA332+BB332-BE332</f>
        <v/>
      </c>
      <c r="BG332" s="14" t="n">
        <v>0</v>
      </c>
      <c r="BH332" s="14" t="n">
        <v>1</v>
      </c>
      <c r="BI332" s="14" t="n">
        <v>0</v>
      </c>
      <c r="BJ332" s="14" t="n">
        <v>0</v>
      </c>
      <c r="BK332" s="15">
        <f>BI332+BJ332</f>
        <v/>
      </c>
      <c r="BL332" s="15">
        <f>BG332+BH332-BK332</f>
        <v/>
      </c>
      <c r="BM332" s="14" t="n">
        <v>0</v>
      </c>
      <c r="BN332" s="14" t="n">
        <v>0</v>
      </c>
      <c r="BO332" s="14" t="n">
        <v>0</v>
      </c>
      <c r="BP332" s="14" t="n">
        <v>0</v>
      </c>
      <c r="BQ332" s="15">
        <f>BO332+BP332</f>
        <v/>
      </c>
      <c r="BR332" s="15">
        <f>BM332+BN332-BQ332</f>
        <v/>
      </c>
      <c r="BS332" s="14" t="n">
        <v>0</v>
      </c>
      <c r="BT332" s="14" t="n">
        <v>0</v>
      </c>
      <c r="BU332" s="14" t="n">
        <v>0</v>
      </c>
      <c r="BV332" s="14" t="n">
        <v>0</v>
      </c>
      <c r="BW332" s="15">
        <f>BU332+BV332</f>
        <v/>
      </c>
      <c r="BX332" s="15">
        <f>BS332+BT332-BW332</f>
        <v/>
      </c>
      <c r="BY332" s="15">
        <f>BA332+BG332+BM332+BS332</f>
        <v/>
      </c>
      <c r="BZ332" s="15">
        <f>BB332+BH332+BN332+BT332</f>
        <v/>
      </c>
      <c r="CA332" s="15">
        <f>BE332+BK332+BQ332+BW332</f>
        <v/>
      </c>
      <c r="CB332" s="15">
        <f>BF332+BL332+BR332+BX332</f>
        <v/>
      </c>
      <c r="CC332" s="14" t="n">
        <v>0</v>
      </c>
      <c r="CD332" s="14" t="n">
        <v>45</v>
      </c>
      <c r="CE332" s="14" t="n">
        <v>5</v>
      </c>
      <c r="CF332" s="14" t="n">
        <v>0</v>
      </c>
      <c r="CG332" s="14" t="n">
        <v>6</v>
      </c>
      <c r="CH332" s="15">
        <f>CD332+CE332+CF332+CG332</f>
        <v/>
      </c>
      <c r="CI332" s="14" t="n">
        <v>74</v>
      </c>
      <c r="CJ332" s="14" t="n">
        <v>1</v>
      </c>
      <c r="CK332" s="14" t="n">
        <v>0</v>
      </c>
      <c r="CL332" s="14" t="n">
        <v>0</v>
      </c>
      <c r="CM332" s="15">
        <f>CI332+CJ332+CK332+CL332</f>
        <v/>
      </c>
      <c r="CN332" s="14" t="n">
        <v>1005</v>
      </c>
      <c r="CO332" s="14" t="n">
        <v>15</v>
      </c>
      <c r="CP332" s="14" t="n">
        <v>11</v>
      </c>
      <c r="CQ332" s="14" t="n">
        <v>13</v>
      </c>
      <c r="CR332" s="15">
        <f>CN332+CO332+CP332+CQ332</f>
        <v/>
      </c>
      <c r="CS332" s="15">
        <f>CM332+CR332</f>
        <v/>
      </c>
      <c r="CT332" s="14" t="n">
        <v>1175</v>
      </c>
      <c r="CU332" s="14" t="n">
        <v>8349</v>
      </c>
      <c r="CV332" s="14" t="n">
        <v>7703.5</v>
      </c>
      <c r="CW332" s="16">
        <f>IF(CU332=0,"",CV332/CU332)</f>
        <v/>
      </c>
      <c r="CX332" s="14" t="n">
        <v>0</v>
      </c>
      <c r="CY332" s="14" t="n">
        <v>0</v>
      </c>
      <c r="CZ332" s="14" t="n">
        <v>0</v>
      </c>
      <c r="DA332" s="14" t="n">
        <v>0</v>
      </c>
      <c r="DB332" s="15">
        <f>CX332+CY332-CZ332-DA332</f>
        <v/>
      </c>
      <c r="DC332" s="14" t="n">
        <v>0</v>
      </c>
      <c r="DD332" s="14" t="n">
        <v>0</v>
      </c>
      <c r="DE332" s="14" t="n">
        <v>0</v>
      </c>
      <c r="DF332" s="14" t="n">
        <v>0</v>
      </c>
      <c r="DG332" s="15">
        <f>DC332+DD332-DE332-DF332</f>
        <v/>
      </c>
      <c r="DH332" s="14" t="n">
        <v>0</v>
      </c>
      <c r="DI332" s="14" t="n">
        <v>0</v>
      </c>
      <c r="DJ332" s="14" t="n">
        <v>0</v>
      </c>
      <c r="DK332" s="14" t="n">
        <v>0</v>
      </c>
      <c r="DL332" s="15">
        <f>DH332+DI332-DJ332-DK332</f>
        <v/>
      </c>
      <c r="DM332" s="14" t="n">
        <v>0</v>
      </c>
      <c r="DN332" s="14" t="n">
        <v>0</v>
      </c>
      <c r="DO332" s="14" t="n">
        <v>0</v>
      </c>
      <c r="DP332" s="14" t="n">
        <v>0</v>
      </c>
      <c r="DQ332" s="15">
        <f>DM332+DN332-DO332-DP332</f>
        <v/>
      </c>
      <c r="DR332" s="15">
        <f>CX332+DC332+DH332+DM332</f>
        <v/>
      </c>
      <c r="DS332" s="15">
        <f>CY332+DD332+DI332+DN332</f>
        <v/>
      </c>
      <c r="DT332" s="15">
        <f>CZ332+DE332+DJ332+DO332</f>
        <v/>
      </c>
      <c r="DU332" s="15">
        <f>DA332+DF332+DK332+DP332</f>
        <v/>
      </c>
      <c r="DV332" s="15">
        <f>DB332+DG332+DL332+DQ332</f>
        <v/>
      </c>
      <c r="DW332" s="14" t="n">
        <v>19</v>
      </c>
      <c r="DX332" s="14" t="n">
        <v>2</v>
      </c>
      <c r="DY332" s="14" t="n">
        <v>7</v>
      </c>
      <c r="DZ332" s="14" t="n">
        <v>1</v>
      </c>
      <c r="EA332" s="14" t="n">
        <v>0</v>
      </c>
      <c r="EB332" s="14" t="n">
        <v>1</v>
      </c>
      <c r="EC332" s="14" t="n">
        <v>0</v>
      </c>
      <c r="ED332" s="14" t="n">
        <v>0</v>
      </c>
      <c r="EE332" s="14" t="n">
        <v>0</v>
      </c>
      <c r="EF332" s="14" t="n">
        <v>0</v>
      </c>
      <c r="EG332" s="14" t="n">
        <v>0</v>
      </c>
      <c r="EH332" s="14" t="n">
        <v>0</v>
      </c>
      <c r="EI332" s="14" t="n">
        <v>0</v>
      </c>
      <c r="EJ332" s="14" t="n">
        <v>1</v>
      </c>
      <c r="EK332" s="14" t="n">
        <v>0</v>
      </c>
      <c r="EL332" s="14" t="n">
        <v>0</v>
      </c>
      <c r="EM332" s="14" t="n">
        <v>0</v>
      </c>
      <c r="EN332" s="14" t="n">
        <v>0</v>
      </c>
      <c r="EO332" s="14" t="n">
        <v>0</v>
      </c>
      <c r="EP332" s="14" t="n">
        <v>0</v>
      </c>
      <c r="EQ332" s="14" t="n">
        <v>0</v>
      </c>
      <c r="ER332" s="14" t="n">
        <v>0</v>
      </c>
      <c r="ES332" s="14" t="n">
        <v>0</v>
      </c>
      <c r="ET332" s="14" t="n">
        <v>0</v>
      </c>
      <c r="EU332" s="14" t="n">
        <v>0</v>
      </c>
      <c r="EV332" s="14" t="n">
        <v>0</v>
      </c>
      <c r="EW332" s="14" t="n">
        <v>0</v>
      </c>
      <c r="EX332" s="14" t="n">
        <v>0</v>
      </c>
      <c r="EY332" s="14" t="n">
        <v>0</v>
      </c>
      <c r="EZ332" s="14" t="n">
        <v>0</v>
      </c>
      <c r="FA332" s="14" t="n">
        <v>0</v>
      </c>
      <c r="FB332" s="14" t="n">
        <v>0</v>
      </c>
      <c r="FC332" s="14" t="n">
        <v>0</v>
      </c>
      <c r="FD332" s="14" t="n">
        <v>0</v>
      </c>
      <c r="FE332" s="14" t="n">
        <v>0</v>
      </c>
      <c r="FF332" s="14" t="n">
        <v>0</v>
      </c>
      <c r="FG332" s="15">
        <f>SUM(DW332,DX332,DY332,DZ332,EA332,EB332,EC332,ED332,EE332,EF332,EG332,EH332,EI332,EJ332,EK332,EL332,EM332,EN332,EO332,EP332,EQ332,ER332,ES332,ET332,EU332,EV332,EW332,EX332,EY332,EZ332,FA332,FB332,FC332,FD332,FE332,FF332)</f>
        <v/>
      </c>
      <c r="FH332" s="14" t="n">
        <v>0</v>
      </c>
      <c r="FI332" s="14" t="n">
        <v>0</v>
      </c>
      <c r="FJ332" s="14" t="n">
        <v>18</v>
      </c>
      <c r="FK332" s="14" t="n">
        <v>24</v>
      </c>
      <c r="FL332" s="14" t="n">
        <v>0</v>
      </c>
      <c r="FM332" s="14" t="n">
        <v>0</v>
      </c>
      <c r="FN332" s="14" t="n">
        <v>0</v>
      </c>
      <c r="FO332" s="14" t="n">
        <v>0</v>
      </c>
      <c r="FP332" s="14" t="n">
        <v>0</v>
      </c>
      <c r="FQ332" s="15">
        <f>FL332+FM332+FN332+FO332+FP332</f>
        <v/>
      </c>
      <c r="FR332" s="14" t="n">
        <v>176614</v>
      </c>
      <c r="FS332" s="14" t="n">
        <v>0</v>
      </c>
      <c r="FT332" s="14" t="n">
        <v>0</v>
      </c>
      <c r="FU332" s="14" t="n">
        <v>0</v>
      </c>
      <c r="FV332" s="15">
        <f>FR332+FS332+FT332+FU332</f>
        <v/>
      </c>
      <c r="FW332" s="14" t="n">
        <v>8205257.16</v>
      </c>
      <c r="FX332" s="14" t="n">
        <v>38698</v>
      </c>
      <c r="FY332" s="14" t="n">
        <v>546300</v>
      </c>
      <c r="FZ332" s="14" t="n">
        <v>683300</v>
      </c>
      <c r="GA332" s="15">
        <f>FW332+FX332+FY332+FZ332</f>
        <v/>
      </c>
      <c r="GB332" s="15">
        <f>FV332+GA332</f>
        <v/>
      </c>
      <c r="GC332" s="14" t="n">
        <v>475741.07</v>
      </c>
      <c r="GD332" s="14" t="n">
        <v>0</v>
      </c>
      <c r="GE332" s="14" t="n">
        <v>36416.95</v>
      </c>
      <c r="GF332" s="14" t="n">
        <v>0</v>
      </c>
      <c r="GG332" s="15">
        <f>GC332+GD332+GE332+GF332</f>
        <v/>
      </c>
      <c r="GH332" s="14" t="n">
        <v>7847575.63</v>
      </c>
      <c r="GI332" s="14" t="n">
        <v>38698</v>
      </c>
      <c r="GJ332" s="14" t="n">
        <v>683300</v>
      </c>
      <c r="GK332" s="14" t="n">
        <v>546300</v>
      </c>
      <c r="GL332" s="15">
        <f>GH332+GI332+GJ332+GK332</f>
        <v/>
      </c>
      <c r="GM332" s="15">
        <f>GG332+GL332</f>
        <v/>
      </c>
      <c r="GN332" s="14" t="n">
        <v>40324.82</v>
      </c>
      <c r="GO332" s="14" t="n">
        <v>0</v>
      </c>
      <c r="GP332" s="14" t="n">
        <v>3393.64</v>
      </c>
      <c r="GQ332" s="14" t="n">
        <v>0</v>
      </c>
      <c r="GR332" s="15">
        <f>GN332+GO332+GP332+GQ332</f>
        <v/>
      </c>
      <c r="GS332" s="14" t="n">
        <v>66082</v>
      </c>
      <c r="GT332" s="14" t="n">
        <v>0</v>
      </c>
      <c r="GU332" s="14" t="n">
        <v>893</v>
      </c>
      <c r="GV332" s="14" t="n">
        <v>0</v>
      </c>
      <c r="GW332" s="15">
        <f>GS332+GT332+GU332+GV332</f>
        <v/>
      </c>
      <c r="GX332" s="15">
        <f>GM332+GR332+GW332</f>
        <v/>
      </c>
      <c r="GY332" s="14" t="n">
        <v>5393918.19</v>
      </c>
      <c r="GZ332" s="14" t="n">
        <v>0</v>
      </c>
      <c r="HA332" s="9">
        <f>GY332+GZ332</f>
        <v/>
      </c>
      <c r="HB332" s="15">
        <f>IF(GX332=0,"",AU332/GX332)</f>
        <v/>
      </c>
      <c r="HC332" s="16">
        <f>IF((GX332+GY332)=0,"",GB332/(GX332+GY332))</f>
        <v/>
      </c>
      <c r="HD332" s="15">
        <f>IF(GX332=0,"",GB332/GX332)</f>
        <v/>
      </c>
      <c r="HE332" s="14" t="n">
        <v>21</v>
      </c>
      <c r="HF332" s="14" t="n">
        <v>1</v>
      </c>
      <c r="HG332" s="14" t="n">
        <v>25</v>
      </c>
      <c r="HH332" s="14" t="n">
        <v>21</v>
      </c>
      <c r="HI332" s="14" t="n">
        <v>30</v>
      </c>
      <c r="HJ332" s="15">
        <f>HF332+HI332</f>
        <v/>
      </c>
      <c r="HK332" s="16">
        <f>IF(HE332=0,"",HH332/HE332)</f>
        <v/>
      </c>
      <c r="HL332" s="14" t="n">
        <v>0</v>
      </c>
      <c r="HM332" s="14" t="n">
        <v>0</v>
      </c>
      <c r="HN332" s="17">
        <f>IF(HL332=0,"",HM332/HL332)</f>
        <v/>
      </c>
    </row>
    <row r="333">
      <c r="A333" s="6" t="inlineStr">
        <is>
          <t>Zomba</t>
        </is>
      </c>
      <c r="B333" s="6" t="inlineStr">
        <is>
          <t>Lirangwe</t>
        </is>
      </c>
      <c r="C333" s="7" t="inlineStr">
        <is>
          <t>FY2025/26</t>
        </is>
      </c>
      <c r="D333" s="7" t="n">
        <v>2025</v>
      </c>
      <c r="E333" s="7" t="n">
        <v>10</v>
      </c>
      <c r="F333" s="7" t="inlineStr">
        <is>
          <t>October</t>
        </is>
      </c>
      <c r="G333" s="7" t="inlineStr">
        <is>
          <t>Q3</t>
        </is>
      </c>
      <c r="H333" s="8" t="n">
        <v>7600</v>
      </c>
      <c r="I333" s="8" t="n">
        <v>514</v>
      </c>
      <c r="J333" s="8" t="n">
        <v>0</v>
      </c>
      <c r="K333" s="8" t="n">
        <v>14</v>
      </c>
      <c r="L333" s="8" t="n">
        <v>0</v>
      </c>
      <c r="M333" s="9">
        <f>SUM(I333,J333,K333,L333)</f>
        <v/>
      </c>
      <c r="N333" s="8" t="n">
        <v>6165.40000000005</v>
      </c>
      <c r="O333" s="8" t="n">
        <v>185.9</v>
      </c>
      <c r="P333" s="8" t="n">
        <v>58</v>
      </c>
      <c r="Q333" s="8" t="n">
        <v>75</v>
      </c>
      <c r="R333" s="9">
        <f>SUM(N333,O333,P333,Q333)</f>
        <v/>
      </c>
      <c r="S333" s="9">
        <f>M333+R333</f>
        <v/>
      </c>
      <c r="T333" s="8" t="n">
        <v>587.699999999946</v>
      </c>
      <c r="U333" s="10">
        <f>IF(H333=0,"",T333/H333)</f>
        <v/>
      </c>
      <c r="V333" s="8" t="n">
        <v>4</v>
      </c>
      <c r="W333" s="11">
        <f>IF(H333=0,"",V333/H333)</f>
        <v/>
      </c>
      <c r="X333" s="8" t="n">
        <v>0</v>
      </c>
      <c r="Y333" s="11">
        <f>IF(H333=0,"",X333/H333)</f>
        <v/>
      </c>
      <c r="Z333" s="8" t="n">
        <v>0</v>
      </c>
      <c r="AA333" s="11">
        <f>IF(H333=0,"",Z333/H333)</f>
        <v/>
      </c>
      <c r="AB333" s="8" t="n">
        <v>0</v>
      </c>
      <c r="AC333" s="11">
        <f>IF(H333=0,"",AB333/H333)</f>
        <v/>
      </c>
      <c r="AD333" s="8" t="n">
        <v>0</v>
      </c>
      <c r="AE333" s="11">
        <f>IF(H333=0,"",AD333/H333)</f>
        <v/>
      </c>
      <c r="AF333" s="8" t="n">
        <v>0</v>
      </c>
      <c r="AG333" s="11">
        <f>IF(H333=0,"",AF333/H333)</f>
        <v/>
      </c>
      <c r="AH333" s="8" t="n">
        <v>104000</v>
      </c>
      <c r="AI333" s="9">
        <f>IF(H333=0,"",AH333/H333)</f>
        <v/>
      </c>
      <c r="AJ333" s="8" t="n">
        <v>1743</v>
      </c>
      <c r="AK333" s="11">
        <f>IF(H333=0,"",AJ333/H333)</f>
        <v/>
      </c>
      <c r="AL333" s="8" t="n">
        <v>507984.037</v>
      </c>
      <c r="AM333" s="9">
        <f>IF(H333=0,"",AL333/H333)</f>
        <v/>
      </c>
      <c r="AN333" s="8" t="n">
        <v>0</v>
      </c>
      <c r="AO333" s="8" t="n">
        <v>0</v>
      </c>
      <c r="AP333" s="8" t="n">
        <v>0</v>
      </c>
      <c r="AQ333" s="8" t="n">
        <v>0</v>
      </c>
      <c r="AR333" s="8" t="n">
        <v>0</v>
      </c>
      <c r="AS333" s="8" t="n">
        <v>0</v>
      </c>
      <c r="AT333" s="8" t="n">
        <v>0</v>
      </c>
      <c r="AU333" s="9">
        <f>AH333+AL333+AP333+AQ333+AR333+AS333+AT333</f>
        <v/>
      </c>
      <c r="AV333" s="9">
        <f>IF(H333=0,"",AU333/H333)</f>
        <v/>
      </c>
      <c r="AW333" s="9">
        <f>IF(S333=0,"",AU333/S333)</f>
        <v/>
      </c>
      <c r="AX333" s="8" t="n">
        <v>6</v>
      </c>
      <c r="AY333" s="9">
        <f>IF(H333=0,"",AX333/(H333/1000/12))</f>
        <v/>
      </c>
      <c r="AZ333" s="8" t="n">
        <v>6</v>
      </c>
      <c r="BA333" s="8" t="n">
        <v>24</v>
      </c>
      <c r="BB333" s="8" t="n">
        <v>26</v>
      </c>
      <c r="BC333" s="8" t="n">
        <v>23</v>
      </c>
      <c r="BD333" s="8" t="n">
        <v>0</v>
      </c>
      <c r="BE333" s="9">
        <f>BC333+BD333</f>
        <v/>
      </c>
      <c r="BF333" s="9">
        <f>BA333+BB333-BE333</f>
        <v/>
      </c>
      <c r="BG333" s="8" t="n">
        <v>1</v>
      </c>
      <c r="BH333" s="8" t="n">
        <v>0</v>
      </c>
      <c r="BI333" s="8" t="n">
        <v>1</v>
      </c>
      <c r="BJ333" s="8" t="n">
        <v>0</v>
      </c>
      <c r="BK333" s="9">
        <f>BI333+BJ333</f>
        <v/>
      </c>
      <c r="BL333" s="9">
        <f>BG333+BH333-BK333</f>
        <v/>
      </c>
      <c r="BM333" s="8" t="n">
        <v>0</v>
      </c>
      <c r="BN333" s="8" t="n">
        <v>0</v>
      </c>
      <c r="BO333" s="8" t="n">
        <v>0</v>
      </c>
      <c r="BP333" s="8" t="n">
        <v>0</v>
      </c>
      <c r="BQ333" s="9">
        <f>BO333+BP333</f>
        <v/>
      </c>
      <c r="BR333" s="9">
        <f>BM333+BN333-BQ333</f>
        <v/>
      </c>
      <c r="BS333" s="8" t="n">
        <v>0</v>
      </c>
      <c r="BT333" s="8" t="n">
        <v>0</v>
      </c>
      <c r="BU333" s="8" t="n">
        <v>0</v>
      </c>
      <c r="BV333" s="8" t="n">
        <v>0</v>
      </c>
      <c r="BW333" s="9">
        <f>BU333+BV333</f>
        <v/>
      </c>
      <c r="BX333" s="9">
        <f>BS333+BT333-BW333</f>
        <v/>
      </c>
      <c r="BY333" s="9">
        <f>BA333+BG333+BM333+BS333</f>
        <v/>
      </c>
      <c r="BZ333" s="9">
        <f>BB333+BH333+BN333+BT333</f>
        <v/>
      </c>
      <c r="CA333" s="9">
        <f>BE333+BK333+BQ333+BW333</f>
        <v/>
      </c>
      <c r="CB333" s="9">
        <f>BF333+BL333+BR333+BX333</f>
        <v/>
      </c>
      <c r="CC333" s="8" t="n">
        <v>17</v>
      </c>
      <c r="CD333" s="8" t="n">
        <v>42</v>
      </c>
      <c r="CE333" s="8" t="n">
        <v>5</v>
      </c>
      <c r="CF333" s="8" t="n">
        <v>2</v>
      </c>
      <c r="CG333" s="8" t="n">
        <v>6</v>
      </c>
      <c r="CH333" s="9">
        <f>CD333+CE333+CF333+CG333</f>
        <v/>
      </c>
      <c r="CI333" s="8" t="n">
        <v>83</v>
      </c>
      <c r="CJ333" s="8" t="n">
        <v>2</v>
      </c>
      <c r="CK333" s="8" t="n">
        <v>0</v>
      </c>
      <c r="CL333" s="8" t="n">
        <v>0</v>
      </c>
      <c r="CM333" s="9">
        <f>CI333+CJ333+CK333+CL333</f>
        <v/>
      </c>
      <c r="CN333" s="8" t="n">
        <v>1022</v>
      </c>
      <c r="CO333" s="8" t="n">
        <v>15</v>
      </c>
      <c r="CP333" s="8" t="n">
        <v>9</v>
      </c>
      <c r="CQ333" s="8" t="n">
        <v>13</v>
      </c>
      <c r="CR333" s="9">
        <f>CN333+CO333+CP333+CQ333</f>
        <v/>
      </c>
      <c r="CS333" s="9">
        <f>CM333+CR333</f>
        <v/>
      </c>
      <c r="CT333" s="8" t="n">
        <v>1199</v>
      </c>
      <c r="CU333" s="8" t="n">
        <v>8359</v>
      </c>
      <c r="CV333" s="8" t="n">
        <v>7807.2</v>
      </c>
      <c r="CW333" s="10">
        <f>IF(CU333=0,"",CV333/CU333)</f>
        <v/>
      </c>
      <c r="CX333" s="8" t="n">
        <v>0</v>
      </c>
      <c r="CY333" s="8" t="n">
        <v>0</v>
      </c>
      <c r="CZ333" s="8" t="n">
        <v>0</v>
      </c>
      <c r="DA333" s="8" t="n">
        <v>0</v>
      </c>
      <c r="DB333" s="9">
        <f>CX333+CY333-CZ333-DA333</f>
        <v/>
      </c>
      <c r="DC333" s="8" t="n">
        <v>0</v>
      </c>
      <c r="DD333" s="8" t="n">
        <v>0</v>
      </c>
      <c r="DE333" s="8" t="n">
        <v>0</v>
      </c>
      <c r="DF333" s="8" t="n">
        <v>0</v>
      </c>
      <c r="DG333" s="9">
        <f>DC333+DD333-DE333-DF333</f>
        <v/>
      </c>
      <c r="DH333" s="8" t="n">
        <v>0</v>
      </c>
      <c r="DI333" s="8" t="n">
        <v>0</v>
      </c>
      <c r="DJ333" s="8" t="n">
        <v>0</v>
      </c>
      <c r="DK333" s="8" t="n">
        <v>0</v>
      </c>
      <c r="DL333" s="9">
        <f>DH333+DI333-DJ333-DK333</f>
        <v/>
      </c>
      <c r="DM333" s="8" t="n">
        <v>0</v>
      </c>
      <c r="DN333" s="8" t="n">
        <v>0</v>
      </c>
      <c r="DO333" s="8" t="n">
        <v>0</v>
      </c>
      <c r="DP333" s="8" t="n">
        <v>0</v>
      </c>
      <c r="DQ333" s="9">
        <f>DM333+DN333-DO333-DP333</f>
        <v/>
      </c>
      <c r="DR333" s="9">
        <f>CX333+DC333+DH333+DM333</f>
        <v/>
      </c>
      <c r="DS333" s="9">
        <f>CY333+DD333+DI333+DN333</f>
        <v/>
      </c>
      <c r="DT333" s="9">
        <f>CZ333+DE333+DJ333+DO333</f>
        <v/>
      </c>
      <c r="DU333" s="9">
        <f>DA333+DF333+DK333+DP333</f>
        <v/>
      </c>
      <c r="DV333" s="9">
        <f>DB333+DG333+DL333+DQ333</f>
        <v/>
      </c>
      <c r="DW333" s="8" t="n">
        <v>20</v>
      </c>
      <c r="DX333" s="8" t="n">
        <v>2</v>
      </c>
      <c r="DY333" s="8" t="n">
        <v>2</v>
      </c>
      <c r="DZ333" s="8" t="n">
        <v>0</v>
      </c>
      <c r="EA333" s="8" t="n">
        <v>0</v>
      </c>
      <c r="EB333" s="8" t="n">
        <v>0</v>
      </c>
      <c r="EC333" s="8" t="n">
        <v>0</v>
      </c>
      <c r="ED333" s="8" t="n">
        <v>0</v>
      </c>
      <c r="EE333" s="8" t="n">
        <v>0</v>
      </c>
      <c r="EF333" s="8" t="n">
        <v>0</v>
      </c>
      <c r="EG333" s="8" t="n">
        <v>0</v>
      </c>
      <c r="EH333" s="8" t="n">
        <v>0</v>
      </c>
      <c r="EI333" s="8" t="n">
        <v>0</v>
      </c>
      <c r="EJ333" s="8" t="n">
        <v>1</v>
      </c>
      <c r="EK333" s="8" t="n">
        <v>0</v>
      </c>
      <c r="EL333" s="8" t="n">
        <v>0</v>
      </c>
      <c r="EM333" s="8" t="n">
        <v>0</v>
      </c>
      <c r="EN333" s="8" t="n">
        <v>0</v>
      </c>
      <c r="EO333" s="8" t="n">
        <v>0</v>
      </c>
      <c r="EP333" s="8" t="n">
        <v>0</v>
      </c>
      <c r="EQ333" s="8" t="n">
        <v>0</v>
      </c>
      <c r="ER333" s="8" t="n">
        <v>0</v>
      </c>
      <c r="ES333" s="8" t="n">
        <v>0</v>
      </c>
      <c r="ET333" s="8" t="n">
        <v>0</v>
      </c>
      <c r="EU333" s="8" t="n">
        <v>0</v>
      </c>
      <c r="EV333" s="8" t="n">
        <v>0</v>
      </c>
      <c r="EW333" s="8" t="n">
        <v>0</v>
      </c>
      <c r="EX333" s="8" t="n">
        <v>0</v>
      </c>
      <c r="EY333" s="8" t="n">
        <v>0</v>
      </c>
      <c r="EZ333" s="8" t="n">
        <v>0</v>
      </c>
      <c r="FA333" s="8" t="n">
        <v>0</v>
      </c>
      <c r="FB333" s="8" t="n">
        <v>0</v>
      </c>
      <c r="FC333" s="8" t="n">
        <v>0</v>
      </c>
      <c r="FD333" s="8" t="n">
        <v>0</v>
      </c>
      <c r="FE333" s="8" t="n">
        <v>0</v>
      </c>
      <c r="FF333" s="8" t="n">
        <v>0</v>
      </c>
      <c r="FG333" s="9">
        <f>SUM(DW333,DX333,DY333,DZ333,EA333,EB333,EC333,ED333,EE333,EF333,EG333,EH333,EI333,EJ333,EK333,EL333,EM333,EN333,EO333,EP333,EQ333,ER333,ES333,ET333,EU333,EV333,EW333,EX333,EY333,EZ333,FA333,FB333,FC333,FD333,FE333,FF333)</f>
        <v/>
      </c>
      <c r="FH333" s="8" t="n">
        <v>0</v>
      </c>
      <c r="FI333" s="8" t="n">
        <v>0</v>
      </c>
      <c r="FJ333" s="8" t="n">
        <v>15</v>
      </c>
      <c r="FK333" s="8" t="n">
        <v>31</v>
      </c>
      <c r="FL333" s="8" t="n">
        <v>0</v>
      </c>
      <c r="FM333" s="8" t="n">
        <v>0</v>
      </c>
      <c r="FN333" s="8" t="n">
        <v>0</v>
      </c>
      <c r="FO333" s="8" t="n">
        <v>0</v>
      </c>
      <c r="FP333" s="8" t="n">
        <v>0</v>
      </c>
      <c r="FQ333" s="9">
        <f>FL333+FM333+FN333+FO333+FP333</f>
        <v/>
      </c>
      <c r="FR333" s="8" t="n">
        <v>114836</v>
      </c>
      <c r="FS333" s="8" t="n">
        <v>0</v>
      </c>
      <c r="FT333" s="8" t="n">
        <v>0</v>
      </c>
      <c r="FU333" s="8" t="n">
        <v>0</v>
      </c>
      <c r="FV333" s="9">
        <f>FR333+FS333+FT333+FU333</f>
        <v/>
      </c>
      <c r="FW333" s="8" t="n">
        <v>7873001</v>
      </c>
      <c r="FX333" s="8" t="n">
        <v>39500</v>
      </c>
      <c r="FY333" s="8" t="n">
        <v>354699</v>
      </c>
      <c r="FZ333" s="8" t="n">
        <v>176200</v>
      </c>
      <c r="GA333" s="9">
        <f>FW333+FX333+FY333+FZ333</f>
        <v/>
      </c>
      <c r="GB333" s="9">
        <f>FV333+GA333</f>
        <v/>
      </c>
      <c r="GC333" s="8" t="n">
        <v>500440.53</v>
      </c>
      <c r="GD333" s="8" t="n">
        <v>0</v>
      </c>
      <c r="GE333" s="8" t="n">
        <v>32794.94</v>
      </c>
      <c r="GF333" s="8" t="n">
        <v>0</v>
      </c>
      <c r="GG333" s="9">
        <f>GC333+GD333+GE333+GF333</f>
        <v/>
      </c>
      <c r="GH333" s="8" t="n">
        <v>7659411.75</v>
      </c>
      <c r="GI333" s="8" t="n">
        <v>39500</v>
      </c>
      <c r="GJ333" s="8" t="n">
        <v>176200</v>
      </c>
      <c r="GK333" s="8" t="n">
        <v>354699</v>
      </c>
      <c r="GL333" s="9">
        <f>GH333+GI333+GJ333+GK333</f>
        <v/>
      </c>
      <c r="GM333" s="9">
        <f>GG333+GL333</f>
        <v/>
      </c>
      <c r="GN333" s="8" t="n">
        <v>45229.19</v>
      </c>
      <c r="GO333" s="8" t="n">
        <v>0</v>
      </c>
      <c r="GP333" s="8" t="n">
        <v>6787.28</v>
      </c>
      <c r="GQ333" s="8" t="n">
        <v>0</v>
      </c>
      <c r="GR333" s="9">
        <f>GN333+GO333+GP333+GQ333</f>
        <v/>
      </c>
      <c r="GS333" s="8" t="n">
        <v>74119</v>
      </c>
      <c r="GT333" s="8" t="n">
        <v>0</v>
      </c>
      <c r="GU333" s="8" t="n">
        <v>1786</v>
      </c>
      <c r="GV333" s="8" t="n">
        <v>0</v>
      </c>
      <c r="GW333" s="9">
        <f>GS333+GT333+GU333+GV333</f>
        <v/>
      </c>
      <c r="GX333" s="9">
        <f>GM333+GR333+GW333</f>
        <v/>
      </c>
      <c r="GY333" s="8" t="n">
        <v>5880069.390000004</v>
      </c>
      <c r="GZ333" s="8" t="n">
        <v>0</v>
      </c>
      <c r="HA333" s="9">
        <f>GY333+GZ333</f>
        <v/>
      </c>
      <c r="HB333" s="9">
        <f>IF(GX333=0,"",AU333/GX333)</f>
        <v/>
      </c>
      <c r="HC333" s="10">
        <f>IF((GX333+GY333)=0,"",GB333/(GX333+GY333))</f>
        <v/>
      </c>
      <c r="HD333" s="9">
        <f>IF(GX333=0,"",GB333/GX333)</f>
        <v/>
      </c>
      <c r="HE333" s="8" t="n">
        <v>26</v>
      </c>
      <c r="HF333" s="8" t="n">
        <v>1</v>
      </c>
      <c r="HG333" s="8" t="n">
        <v>27</v>
      </c>
      <c r="HH333" s="8" t="n">
        <v>26</v>
      </c>
      <c r="HI333" s="8" t="n">
        <v>30</v>
      </c>
      <c r="HJ333" s="9">
        <f>HF333+HI333</f>
        <v/>
      </c>
      <c r="HK333" s="10">
        <f>IF(HE333=0,"",HH333/HE333)</f>
        <v/>
      </c>
      <c r="HL333" s="8" t="n">
        <v>11</v>
      </c>
      <c r="HM333" s="8" t="n">
        <v>31</v>
      </c>
      <c r="HN333" s="11">
        <f>IF(HL333=0,"",HM333/HL333)</f>
        <v/>
      </c>
    </row>
    <row r="334">
      <c r="A334" s="12" t="inlineStr">
        <is>
          <t>Zomba</t>
        </is>
      </c>
      <c r="B334" s="12" t="inlineStr">
        <is>
          <t>Lirangwe</t>
        </is>
      </c>
      <c r="C334" s="13" t="inlineStr">
        <is>
          <t>FY2025/26</t>
        </is>
      </c>
      <c r="D334" s="13" t="n">
        <v>2025</v>
      </c>
      <c r="E334" s="13" t="n">
        <v>11</v>
      </c>
      <c r="F334" s="13" t="inlineStr">
        <is>
          <t>November</t>
        </is>
      </c>
      <c r="G334" s="13" t="inlineStr">
        <is>
          <t>Q3</t>
        </is>
      </c>
      <c r="H334" s="14" t="n">
        <v>8104</v>
      </c>
      <c r="I334" s="14" t="n">
        <v>495</v>
      </c>
      <c r="J334" s="14" t="n">
        <v>0</v>
      </c>
      <c r="K334" s="14" t="n">
        <v>18</v>
      </c>
      <c r="L334" s="14" t="n">
        <v>0</v>
      </c>
      <c r="M334" s="15">
        <f>SUM(I334,J334,K334,L334)</f>
        <v/>
      </c>
      <c r="N334" s="14" t="n">
        <v>5142.90000000002</v>
      </c>
      <c r="O334" s="14" t="n">
        <v>193.9</v>
      </c>
      <c r="P334" s="14" t="n">
        <v>212.1</v>
      </c>
      <c r="Q334" s="14" t="n">
        <v>101.1</v>
      </c>
      <c r="R334" s="15">
        <f>SUM(N334,O334,P334,Q334)</f>
        <v/>
      </c>
      <c r="S334" s="15">
        <f>M334+R334</f>
        <v/>
      </c>
      <c r="T334" s="14" t="n">
        <v>1940.99999999999</v>
      </c>
      <c r="U334" s="16">
        <f>IF(H334=0,"",T334/H334)</f>
        <v/>
      </c>
      <c r="V334" s="14" t="n">
        <v>6</v>
      </c>
      <c r="W334" s="17">
        <f>IF(H334=0,"",V334/H334)</f>
        <v/>
      </c>
      <c r="X334" s="14" t="n">
        <v>0</v>
      </c>
      <c r="Y334" s="17">
        <f>IF(H334=0,"",X334/H334)</f>
        <v/>
      </c>
      <c r="Z334" s="14" t="n">
        <v>0</v>
      </c>
      <c r="AA334" s="17">
        <f>IF(H334=0,"",Z334/H334)</f>
        <v/>
      </c>
      <c r="AB334" s="14" t="n">
        <v>0</v>
      </c>
      <c r="AC334" s="17">
        <f>IF(H334=0,"",AB334/H334)</f>
        <v/>
      </c>
      <c r="AD334" s="14" t="n">
        <v>0</v>
      </c>
      <c r="AE334" s="17">
        <f>IF(H334=0,"",AD334/H334)</f>
        <v/>
      </c>
      <c r="AF334" s="14" t="n">
        <v>0</v>
      </c>
      <c r="AG334" s="17">
        <f>IF(H334=0,"",AF334/H334)</f>
        <v/>
      </c>
      <c r="AH334" s="14" t="n">
        <v>156000</v>
      </c>
      <c r="AI334" s="15">
        <f>IF(H334=0,"",AH334/H334)</f>
        <v/>
      </c>
      <c r="AJ334" s="14" t="n">
        <v>1661</v>
      </c>
      <c r="AK334" s="17">
        <f>IF(H334=0,"",AJ334/H334)</f>
        <v/>
      </c>
      <c r="AL334" s="14" t="n">
        <v>485572.699</v>
      </c>
      <c r="AM334" s="15">
        <f>IF(H334=0,"",AL334/H334)</f>
        <v/>
      </c>
      <c r="AN334" s="14" t="n">
        <v>0</v>
      </c>
      <c r="AO334" s="14" t="n">
        <v>0</v>
      </c>
      <c r="AP334" s="14" t="n">
        <v>0</v>
      </c>
      <c r="AQ334" s="14" t="n">
        <v>0</v>
      </c>
      <c r="AR334" s="14" t="n">
        <v>0</v>
      </c>
      <c r="AS334" s="14" t="n">
        <v>0</v>
      </c>
      <c r="AT334" s="14" t="n">
        <v>0</v>
      </c>
      <c r="AU334" s="15">
        <f>AH334+AL334+AP334+AQ334+AR334+AS334+AT334</f>
        <v/>
      </c>
      <c r="AV334" s="15">
        <f>IF(H334=0,"",AU334/H334)</f>
        <v/>
      </c>
      <c r="AW334" s="15">
        <f>IF(S334=0,"",AU334/S334)</f>
        <v/>
      </c>
      <c r="AX334" s="14" t="n">
        <v>6</v>
      </c>
      <c r="AY334" s="15">
        <f>IF(H334=0,"",AX334/(H334/1000/12))</f>
        <v/>
      </c>
      <c r="AZ334" s="14" t="n">
        <v>6</v>
      </c>
      <c r="BA334" s="14" t="n">
        <v>27</v>
      </c>
      <c r="BB334" s="14" t="n">
        <v>13</v>
      </c>
      <c r="BC334" s="14" t="n">
        <v>17</v>
      </c>
      <c r="BD334" s="14" t="n">
        <v>0</v>
      </c>
      <c r="BE334" s="15">
        <f>BC334+BD334</f>
        <v/>
      </c>
      <c r="BF334" s="15">
        <f>BA334+BB334-BE334</f>
        <v/>
      </c>
      <c r="BG334" s="14" t="n">
        <v>0</v>
      </c>
      <c r="BH334" s="14" t="n">
        <v>0</v>
      </c>
      <c r="BI334" s="14" t="n">
        <v>0</v>
      </c>
      <c r="BJ334" s="14" t="n">
        <v>0</v>
      </c>
      <c r="BK334" s="15">
        <f>BI334+BJ334</f>
        <v/>
      </c>
      <c r="BL334" s="15">
        <f>BG334+BH334-BK334</f>
        <v/>
      </c>
      <c r="BM334" s="14" t="n">
        <v>0</v>
      </c>
      <c r="BN334" s="14" t="n">
        <v>0</v>
      </c>
      <c r="BO334" s="14" t="n">
        <v>0</v>
      </c>
      <c r="BP334" s="14" t="n">
        <v>0</v>
      </c>
      <c r="BQ334" s="15">
        <f>BO334+BP334</f>
        <v/>
      </c>
      <c r="BR334" s="15">
        <f>BM334+BN334-BQ334</f>
        <v/>
      </c>
      <c r="BS334" s="14" t="n">
        <v>0</v>
      </c>
      <c r="BT334" s="14" t="n">
        <v>0</v>
      </c>
      <c r="BU334" s="14" t="n">
        <v>0</v>
      </c>
      <c r="BV334" s="14" t="n">
        <v>0</v>
      </c>
      <c r="BW334" s="15">
        <f>BU334+BV334</f>
        <v/>
      </c>
      <c r="BX334" s="15">
        <f>BS334+BT334-BW334</f>
        <v/>
      </c>
      <c r="BY334" s="15">
        <f>BA334+BG334+BM334+BS334</f>
        <v/>
      </c>
      <c r="BZ334" s="15">
        <f>BB334+BH334+BN334+BT334</f>
        <v/>
      </c>
      <c r="CA334" s="15">
        <f>BE334+BK334+BQ334+BW334</f>
        <v/>
      </c>
      <c r="CB334" s="15">
        <f>BF334+BL334+BR334+BX334</f>
        <v/>
      </c>
      <c r="CC334" s="14" t="n">
        <v>0</v>
      </c>
      <c r="CD334" s="14" t="n">
        <v>44</v>
      </c>
      <c r="CE334" s="14" t="n">
        <v>4</v>
      </c>
      <c r="CF334" s="14" t="n">
        <v>1</v>
      </c>
      <c r="CG334" s="14" t="n">
        <v>6</v>
      </c>
      <c r="CH334" s="15">
        <f>CD334+CE334+CF334+CG334</f>
        <v/>
      </c>
      <c r="CI334" s="14" t="n">
        <v>94</v>
      </c>
      <c r="CJ334" s="14" t="n">
        <v>2</v>
      </c>
      <c r="CK334" s="14" t="n">
        <v>0</v>
      </c>
      <c r="CL334" s="14" t="n">
        <v>0</v>
      </c>
      <c r="CM334" s="15">
        <f>CI334+CJ334+CK334+CL334</f>
        <v/>
      </c>
      <c r="CN334" s="14" t="n">
        <v>1026</v>
      </c>
      <c r="CO334" s="14" t="n">
        <v>16</v>
      </c>
      <c r="CP334" s="14" t="n">
        <v>10</v>
      </c>
      <c r="CQ334" s="14" t="n">
        <v>13</v>
      </c>
      <c r="CR334" s="15">
        <f>CN334+CO334+CP334+CQ334</f>
        <v/>
      </c>
      <c r="CS334" s="15">
        <f>CM334+CR334</f>
        <v/>
      </c>
      <c r="CT334" s="14" t="n">
        <v>1216</v>
      </c>
      <c r="CU334" s="14" t="n">
        <v>8369</v>
      </c>
      <c r="CV334" s="14" t="n">
        <v>7880.1</v>
      </c>
      <c r="CW334" s="16">
        <f>IF(CU334=0,"",CV334/CU334)</f>
        <v/>
      </c>
      <c r="CX334" s="14" t="n">
        <v>0</v>
      </c>
      <c r="CY334" s="14" t="n">
        <v>0</v>
      </c>
      <c r="CZ334" s="14" t="n">
        <v>0</v>
      </c>
      <c r="DA334" s="14" t="n">
        <v>0</v>
      </c>
      <c r="DB334" s="15">
        <f>CX334+CY334-CZ334-DA334</f>
        <v/>
      </c>
      <c r="DC334" s="14" t="n">
        <v>0</v>
      </c>
      <c r="DD334" s="14" t="n">
        <v>0</v>
      </c>
      <c r="DE334" s="14" t="n">
        <v>0</v>
      </c>
      <c r="DF334" s="14" t="n">
        <v>0</v>
      </c>
      <c r="DG334" s="15">
        <f>DC334+DD334-DE334-DF334</f>
        <v/>
      </c>
      <c r="DH334" s="14" t="n">
        <v>0</v>
      </c>
      <c r="DI334" s="14" t="n">
        <v>0</v>
      </c>
      <c r="DJ334" s="14" t="n">
        <v>0</v>
      </c>
      <c r="DK334" s="14" t="n">
        <v>0</v>
      </c>
      <c r="DL334" s="15">
        <f>DH334+DI334-DJ334-DK334</f>
        <v/>
      </c>
      <c r="DM334" s="14" t="n">
        <v>0</v>
      </c>
      <c r="DN334" s="14" t="n">
        <v>0</v>
      </c>
      <c r="DO334" s="14" t="n">
        <v>0</v>
      </c>
      <c r="DP334" s="14" t="n">
        <v>0</v>
      </c>
      <c r="DQ334" s="15">
        <f>DM334+DN334-DO334-DP334</f>
        <v/>
      </c>
      <c r="DR334" s="15">
        <f>CX334+DC334+DH334+DM334</f>
        <v/>
      </c>
      <c r="DS334" s="15">
        <f>CY334+DD334+DI334+DN334</f>
        <v/>
      </c>
      <c r="DT334" s="15">
        <f>CZ334+DE334+DJ334+DO334</f>
        <v/>
      </c>
      <c r="DU334" s="15">
        <f>DA334+DF334+DK334+DP334</f>
        <v/>
      </c>
      <c r="DV334" s="15">
        <f>DB334+DG334+DL334+DQ334</f>
        <v/>
      </c>
      <c r="DW334" s="14" t="n">
        <v>16</v>
      </c>
      <c r="DX334" s="14" t="n">
        <v>2</v>
      </c>
      <c r="DY334" s="14" t="n">
        <v>3</v>
      </c>
      <c r="DZ334" s="14" t="n">
        <v>0</v>
      </c>
      <c r="EA334" s="14" t="n">
        <v>0</v>
      </c>
      <c r="EB334" s="14" t="n">
        <v>0</v>
      </c>
      <c r="EC334" s="14" t="n">
        <v>0</v>
      </c>
      <c r="ED334" s="14" t="n">
        <v>2</v>
      </c>
      <c r="EE334" s="14" t="n">
        <v>0</v>
      </c>
      <c r="EF334" s="14" t="n">
        <v>0</v>
      </c>
      <c r="EG334" s="14" t="n">
        <v>0</v>
      </c>
      <c r="EH334" s="14" t="n">
        <v>0</v>
      </c>
      <c r="EI334" s="14" t="n">
        <v>0</v>
      </c>
      <c r="EJ334" s="14" t="n">
        <v>0</v>
      </c>
      <c r="EK334" s="14" t="n">
        <v>0</v>
      </c>
      <c r="EL334" s="14" t="n">
        <v>0</v>
      </c>
      <c r="EM334" s="14" t="n">
        <v>0</v>
      </c>
      <c r="EN334" s="14" t="n">
        <v>0</v>
      </c>
      <c r="EO334" s="14" t="n">
        <v>0</v>
      </c>
      <c r="EP334" s="14" t="n">
        <v>0</v>
      </c>
      <c r="EQ334" s="14" t="n">
        <v>0</v>
      </c>
      <c r="ER334" s="14" t="n">
        <v>0</v>
      </c>
      <c r="ES334" s="14" t="n">
        <v>0</v>
      </c>
      <c r="ET334" s="14" t="n">
        <v>0</v>
      </c>
      <c r="EU334" s="14" t="n">
        <v>0</v>
      </c>
      <c r="EV334" s="14" t="n">
        <v>0</v>
      </c>
      <c r="EW334" s="14" t="n">
        <v>0</v>
      </c>
      <c r="EX334" s="14" t="n">
        <v>0</v>
      </c>
      <c r="EY334" s="14" t="n">
        <v>0</v>
      </c>
      <c r="EZ334" s="14" t="n">
        <v>0</v>
      </c>
      <c r="FA334" s="14" t="n">
        <v>0</v>
      </c>
      <c r="FB334" s="14" t="n">
        <v>0</v>
      </c>
      <c r="FC334" s="14" t="n">
        <v>0</v>
      </c>
      <c r="FD334" s="14" t="n">
        <v>0</v>
      </c>
      <c r="FE334" s="14" t="n">
        <v>0</v>
      </c>
      <c r="FF334" s="14" t="n">
        <v>0</v>
      </c>
      <c r="FG334" s="15">
        <f>SUM(DW334,DX334,DY334,DZ334,EA334,EB334,EC334,ED334,EE334,EF334,EG334,EH334,EI334,EJ334,EK334,EL334,EM334,EN334,EO334,EP334,EQ334,ER334,ES334,ET334,EU334,EV334,EW334,EX334,EY334,EZ334,FA334,FB334,FC334,FD334,FE334,FF334)</f>
        <v/>
      </c>
      <c r="FH334" s="14" t="n">
        <v>0</v>
      </c>
      <c r="FI334" s="14" t="n">
        <v>0</v>
      </c>
      <c r="FJ334" s="14" t="n">
        <v>18</v>
      </c>
      <c r="FK334" s="14" t="n">
        <v>51</v>
      </c>
      <c r="FL334" s="14" t="n">
        <v>0</v>
      </c>
      <c r="FM334" s="14" t="n">
        <v>0</v>
      </c>
      <c r="FN334" s="14" t="n">
        <v>0</v>
      </c>
      <c r="FO334" s="14" t="n">
        <v>0</v>
      </c>
      <c r="FP334" s="14" t="n">
        <v>0</v>
      </c>
      <c r="FQ334" s="15">
        <f>FL334+FM334+FN334+FO334+FP334</f>
        <v/>
      </c>
      <c r="FR334" s="14" t="n">
        <v>415953</v>
      </c>
      <c r="FS334" s="14" t="n">
        <v>0</v>
      </c>
      <c r="FT334" s="14" t="n">
        <v>0</v>
      </c>
      <c r="FU334" s="14" t="n">
        <v>0</v>
      </c>
      <c r="FV334" s="15">
        <f>FR334+FS334+FT334+FU334</f>
        <v/>
      </c>
      <c r="FW334" s="14" t="n">
        <v>6475491.22</v>
      </c>
      <c r="FX334" s="14" t="n">
        <v>41200</v>
      </c>
      <c r="FY334" s="14" t="n">
        <v>482000</v>
      </c>
      <c r="FZ334" s="14" t="n">
        <v>644400</v>
      </c>
      <c r="GA334" s="15">
        <f>FW334+FX334+FY334+FZ334</f>
        <v/>
      </c>
      <c r="GB334" s="15">
        <f>FV334+GA334</f>
        <v/>
      </c>
      <c r="GC334" s="14" t="n">
        <v>516074.6</v>
      </c>
      <c r="GD334" s="14" t="n">
        <v>0</v>
      </c>
      <c r="GE334" s="14" t="n">
        <v>44827.94</v>
      </c>
      <c r="GF334" s="14" t="n">
        <v>0</v>
      </c>
      <c r="GG334" s="15">
        <f>GC334+GD334+GE334+GF334</f>
        <v/>
      </c>
      <c r="GH334" s="14" t="n">
        <v>6384863.46</v>
      </c>
      <c r="GI334" s="14" t="n">
        <v>41200</v>
      </c>
      <c r="GJ334" s="14" t="n">
        <v>644400</v>
      </c>
      <c r="GK334" s="14" t="n">
        <v>478100</v>
      </c>
      <c r="GL334" s="15">
        <f>GH334+GI334+GJ334+GK334</f>
        <v/>
      </c>
      <c r="GM334" s="15">
        <f>GG334+GL334</f>
        <v/>
      </c>
      <c r="GN334" s="14" t="n">
        <v>51223.42</v>
      </c>
      <c r="GO334" s="14" t="n">
        <v>0</v>
      </c>
      <c r="GP334" s="14" t="n">
        <v>6787.28</v>
      </c>
      <c r="GQ334" s="14" t="n">
        <v>0</v>
      </c>
      <c r="GR334" s="15">
        <f>GN334+GO334+GP334+GQ334</f>
        <v/>
      </c>
      <c r="GS334" s="14" t="n">
        <v>83942</v>
      </c>
      <c r="GT334" s="14" t="n">
        <v>0</v>
      </c>
      <c r="GU334" s="14" t="n">
        <v>1786</v>
      </c>
      <c r="GV334" s="14" t="n">
        <v>0</v>
      </c>
      <c r="GW334" s="15">
        <f>GS334+GT334+GU334+GV334</f>
        <v/>
      </c>
      <c r="GX334" s="15">
        <f>GM334+GR334+GW334</f>
        <v/>
      </c>
      <c r="GY334" s="14" t="n">
        <v>5764339.090000003</v>
      </c>
      <c r="GZ334" s="14" t="n">
        <v>0</v>
      </c>
      <c r="HA334" s="9">
        <f>GY334+GZ334</f>
        <v/>
      </c>
      <c r="HB334" s="15">
        <f>IF(GX334=0,"",AU334/GX334)</f>
        <v/>
      </c>
      <c r="HC334" s="16">
        <f>IF((GX334+GY334)=0,"",GB334/(GX334+GY334))</f>
        <v/>
      </c>
      <c r="HD334" s="15">
        <f>IF(GX334=0,"",GB334/GX334)</f>
        <v/>
      </c>
      <c r="HE334" s="14" t="n">
        <v>16</v>
      </c>
      <c r="HF334" s="14" t="n">
        <v>1</v>
      </c>
      <c r="HG334" s="14" t="n">
        <v>23</v>
      </c>
      <c r="HH334" s="14" t="n">
        <v>13</v>
      </c>
      <c r="HI334" s="14" t="n">
        <v>30</v>
      </c>
      <c r="HJ334" s="15">
        <f>HF334+HI334</f>
        <v/>
      </c>
      <c r="HK334" s="16">
        <f>IF(HE334=0,"",HH334/HE334)</f>
        <v/>
      </c>
      <c r="HL334" s="14" t="n">
        <v>0</v>
      </c>
      <c r="HM334" s="14" t="n">
        <v>0</v>
      </c>
      <c r="HN334" s="17">
        <f>IF(HL334=0,"",HM334/HL334)</f>
        <v/>
      </c>
    </row>
    <row r="335">
      <c r="A335" s="6" t="inlineStr">
        <is>
          <t>Zomba</t>
        </is>
      </c>
      <c r="B335" s="6" t="inlineStr">
        <is>
          <t>Lirangwe</t>
        </is>
      </c>
      <c r="C335" s="7" t="inlineStr">
        <is>
          <t>FY2025/26</t>
        </is>
      </c>
      <c r="D335" s="7" t="n">
        <v>2025</v>
      </c>
      <c r="E335" s="7" t="n">
        <v>12</v>
      </c>
      <c r="F335" s="7" t="inlineStr">
        <is>
          <t>December</t>
        </is>
      </c>
      <c r="G335" s="7" t="inlineStr">
        <is>
          <t>Q3</t>
        </is>
      </c>
      <c r="H335" s="8" t="n">
        <v>7120</v>
      </c>
      <c r="I335" s="8" t="n">
        <v>319</v>
      </c>
      <c r="J335" s="8" t="n">
        <v>0</v>
      </c>
      <c r="K335" s="8" t="n">
        <v>13</v>
      </c>
      <c r="L335" s="8" t="n">
        <v>0</v>
      </c>
      <c r="M335" s="9">
        <f>SUM(I335,J335,K335,L335)</f>
        <v/>
      </c>
      <c r="N335" s="8" t="n">
        <v>4893.6</v>
      </c>
      <c r="O335" s="8" t="n">
        <v>133.1</v>
      </c>
      <c r="P335" s="8" t="n">
        <v>441.3</v>
      </c>
      <c r="Q335" s="8" t="n">
        <v>101.5</v>
      </c>
      <c r="R335" s="9">
        <f>SUM(N335,O335,P335,Q335)</f>
        <v/>
      </c>
      <c r="S335" s="9">
        <f>M335+R335</f>
        <v/>
      </c>
      <c r="T335" s="8" t="n">
        <v>1218.5</v>
      </c>
      <c r="U335" s="10">
        <f>IF(H335=0,"",T335/H335)</f>
        <v/>
      </c>
      <c r="V335" s="8" t="n">
        <v>6.25</v>
      </c>
      <c r="W335" s="11">
        <f>IF(H335=0,"",V335/H335)</f>
        <v/>
      </c>
      <c r="X335" s="8" t="n">
        <v>0</v>
      </c>
      <c r="Y335" s="11">
        <f>IF(H335=0,"",X335/H335)</f>
        <v/>
      </c>
      <c r="Z335" s="8" t="n">
        <v>0</v>
      </c>
      <c r="AA335" s="11">
        <f>IF(H335=0,"",Z335/H335)</f>
        <v/>
      </c>
      <c r="AB335" s="8" t="n">
        <v>0</v>
      </c>
      <c r="AC335" s="11">
        <f>IF(H335=0,"",AB335/H335)</f>
        <v/>
      </c>
      <c r="AD335" s="8" t="n">
        <v>0</v>
      </c>
      <c r="AE335" s="11">
        <f>IF(H335=0,"",AD335/H335)</f>
        <v/>
      </c>
      <c r="AF335" s="8" t="n">
        <v>0</v>
      </c>
      <c r="AG335" s="11">
        <f>IF(H335=0,"",AF335/H335)</f>
        <v/>
      </c>
      <c r="AH335" s="8" t="n">
        <v>162500</v>
      </c>
      <c r="AI335" s="9">
        <f>IF(H335=0,"",AH335/H335)</f>
        <v/>
      </c>
      <c r="AJ335" s="8" t="n">
        <v>5790</v>
      </c>
      <c r="AK335" s="11">
        <f>IF(H335=0,"",AJ335/H335)</f>
        <v/>
      </c>
      <c r="AL335" s="8" t="n">
        <v>1614065.56</v>
      </c>
      <c r="AM335" s="9">
        <f>IF(H335=0,"",AL335/H335)</f>
        <v/>
      </c>
      <c r="AN335" s="8" t="n">
        <v>0</v>
      </c>
      <c r="AO335" s="8" t="n">
        <v>0</v>
      </c>
      <c r="AP335" s="8" t="n">
        <v>0</v>
      </c>
      <c r="AQ335" s="8" t="n">
        <v>0</v>
      </c>
      <c r="AR335" s="8" t="n">
        <v>0</v>
      </c>
      <c r="AS335" s="8" t="n">
        <v>0</v>
      </c>
      <c r="AT335" s="8" t="n">
        <v>0</v>
      </c>
      <c r="AU335" s="9">
        <f>AH335+AL335+AP335+AQ335+AR335+AS335+AT335</f>
        <v/>
      </c>
      <c r="AV335" s="9">
        <f>IF(H335=0,"",AU335/H335)</f>
        <v/>
      </c>
      <c r="AW335" s="9">
        <f>IF(S335=0,"",AU335/S335)</f>
        <v/>
      </c>
      <c r="AX335" s="8" t="n">
        <v>6</v>
      </c>
      <c r="AY335" s="9">
        <f>IF(H335=0,"",AX335/(H335/1000/12))</f>
        <v/>
      </c>
      <c r="AZ335" s="8" t="n">
        <v>6</v>
      </c>
      <c r="BA335" s="8" t="n">
        <v>23</v>
      </c>
      <c r="BB335" s="8" t="n">
        <v>9</v>
      </c>
      <c r="BC335" s="8" t="n">
        <v>9</v>
      </c>
      <c r="BD335" s="8" t="n">
        <v>0</v>
      </c>
      <c r="BE335" s="9">
        <f>BC335+BD335</f>
        <v/>
      </c>
      <c r="BF335" s="9">
        <f>BA335+BB335-BE335</f>
        <v/>
      </c>
      <c r="BG335" s="8" t="n">
        <v>0</v>
      </c>
      <c r="BH335" s="8" t="n">
        <v>0</v>
      </c>
      <c r="BI335" s="8" t="n">
        <v>0</v>
      </c>
      <c r="BJ335" s="8" t="n">
        <v>0</v>
      </c>
      <c r="BK335" s="9">
        <f>BI335+BJ335</f>
        <v/>
      </c>
      <c r="BL335" s="9">
        <f>BG335+BH335-BK335</f>
        <v/>
      </c>
      <c r="BM335" s="8" t="n">
        <v>0</v>
      </c>
      <c r="BN335" s="8" t="n">
        <v>0</v>
      </c>
      <c r="BO335" s="8" t="n">
        <v>0</v>
      </c>
      <c r="BP335" s="8" t="n">
        <v>0</v>
      </c>
      <c r="BQ335" s="9">
        <f>BO335+BP335</f>
        <v/>
      </c>
      <c r="BR335" s="9">
        <f>BM335+BN335-BQ335</f>
        <v/>
      </c>
      <c r="BS335" s="8" t="n">
        <v>0</v>
      </c>
      <c r="BT335" s="8" t="n">
        <v>0</v>
      </c>
      <c r="BU335" s="8" t="n">
        <v>0</v>
      </c>
      <c r="BV335" s="8" t="n">
        <v>0</v>
      </c>
      <c r="BW335" s="9">
        <f>BU335+BV335</f>
        <v/>
      </c>
      <c r="BX335" s="9">
        <f>BS335+BT335-BW335</f>
        <v/>
      </c>
      <c r="BY335" s="9">
        <f>BA335+BG335+BM335+BS335</f>
        <v/>
      </c>
      <c r="BZ335" s="9">
        <f>BB335+BH335+BN335+BT335</f>
        <v/>
      </c>
      <c r="CA335" s="9">
        <f>BE335+BK335+BQ335+BW335</f>
        <v/>
      </c>
      <c r="CB335" s="9">
        <f>BF335+BL335+BR335+BX335</f>
        <v/>
      </c>
      <c r="CC335" s="8" t="n">
        <v>0</v>
      </c>
      <c r="CD335" s="8" t="n">
        <v>42</v>
      </c>
      <c r="CE335" s="8" t="n">
        <v>4</v>
      </c>
      <c r="CF335" s="8" t="n">
        <v>1</v>
      </c>
      <c r="CG335" s="8" t="n">
        <v>6</v>
      </c>
      <c r="CH335" s="9">
        <f>CD335+CE335+CF335+CG335</f>
        <v/>
      </c>
      <c r="CI335" s="8" t="n">
        <v>59</v>
      </c>
      <c r="CJ335" s="8" t="n">
        <v>2</v>
      </c>
      <c r="CK335" s="8" t="n">
        <v>0</v>
      </c>
      <c r="CL335" s="8" t="n">
        <v>0</v>
      </c>
      <c r="CM335" s="9">
        <f>CI335+CJ335+CK335+CL335</f>
        <v/>
      </c>
      <c r="CN335" s="8" t="n">
        <v>1072</v>
      </c>
      <c r="CO335" s="8" t="n">
        <v>16</v>
      </c>
      <c r="CP335" s="8" t="n">
        <v>10</v>
      </c>
      <c r="CQ335" s="8" t="n">
        <v>13</v>
      </c>
      <c r="CR335" s="9">
        <f>CN335+CO335+CP335+CQ335</f>
        <v/>
      </c>
      <c r="CS335" s="9">
        <f>CM335+CR335</f>
        <v/>
      </c>
      <c r="CT335" s="8" t="n">
        <v>1225</v>
      </c>
      <c r="CU335" s="8" t="n">
        <v>8379</v>
      </c>
      <c r="CV335" s="8" t="n">
        <v>7918.7</v>
      </c>
      <c r="CW335" s="10">
        <f>IF(CU335=0,"",CV335/CU335)</f>
        <v/>
      </c>
      <c r="CX335" s="8" t="n">
        <v>0</v>
      </c>
      <c r="CY335" s="8" t="n">
        <v>0</v>
      </c>
      <c r="CZ335" s="8" t="n">
        <v>0</v>
      </c>
      <c r="DA335" s="8" t="n">
        <v>0</v>
      </c>
      <c r="DB335" s="9">
        <f>CX335+CY335-CZ335-DA335</f>
        <v/>
      </c>
      <c r="DC335" s="8" t="n">
        <v>0</v>
      </c>
      <c r="DD335" s="8" t="n">
        <v>0</v>
      </c>
      <c r="DE335" s="8" t="n">
        <v>0</v>
      </c>
      <c r="DF335" s="8" t="n">
        <v>0</v>
      </c>
      <c r="DG335" s="9">
        <f>DC335+DD335-DE335-DF335</f>
        <v/>
      </c>
      <c r="DH335" s="8" t="n">
        <v>0</v>
      </c>
      <c r="DI335" s="8" t="n">
        <v>0</v>
      </c>
      <c r="DJ335" s="8" t="n">
        <v>0</v>
      </c>
      <c r="DK335" s="8" t="n">
        <v>0</v>
      </c>
      <c r="DL335" s="9">
        <f>DH335+DI335-DJ335-DK335</f>
        <v/>
      </c>
      <c r="DM335" s="8" t="n">
        <v>0</v>
      </c>
      <c r="DN335" s="8" t="n">
        <v>0</v>
      </c>
      <c r="DO335" s="8" t="n">
        <v>0</v>
      </c>
      <c r="DP335" s="8" t="n">
        <v>0</v>
      </c>
      <c r="DQ335" s="9">
        <f>DM335+DN335-DO335-DP335</f>
        <v/>
      </c>
      <c r="DR335" s="9">
        <f>CX335+DC335+DH335+DM335</f>
        <v/>
      </c>
      <c r="DS335" s="9">
        <f>CY335+DD335+DI335+DN335</f>
        <v/>
      </c>
      <c r="DT335" s="9">
        <f>CZ335+DE335+DJ335+DO335</f>
        <v/>
      </c>
      <c r="DU335" s="9">
        <f>DA335+DF335+DK335+DP335</f>
        <v/>
      </c>
      <c r="DV335" s="9">
        <f>DB335+DG335+DL335+DQ335</f>
        <v/>
      </c>
      <c r="DW335" s="8" t="n">
        <v>20</v>
      </c>
      <c r="DX335" s="8" t="n">
        <v>4</v>
      </c>
      <c r="DY335" s="8" t="n">
        <v>4</v>
      </c>
      <c r="DZ335" s="8" t="n">
        <v>0</v>
      </c>
      <c r="EA335" s="8" t="n">
        <v>0</v>
      </c>
      <c r="EB335" s="8" t="n">
        <v>0</v>
      </c>
      <c r="EC335" s="8" t="n">
        <v>0</v>
      </c>
      <c r="ED335" s="8" t="n">
        <v>0</v>
      </c>
      <c r="EE335" s="8" t="n">
        <v>1</v>
      </c>
      <c r="EF335" s="8" t="n">
        <v>0</v>
      </c>
      <c r="EG335" s="8" t="n">
        <v>0</v>
      </c>
      <c r="EH335" s="8" t="n">
        <v>0</v>
      </c>
      <c r="EI335" s="8" t="n">
        <v>0</v>
      </c>
      <c r="EJ335" s="8" t="n">
        <v>0</v>
      </c>
      <c r="EK335" s="8" t="n">
        <v>0</v>
      </c>
      <c r="EL335" s="8" t="n">
        <v>0</v>
      </c>
      <c r="EM335" s="8" t="n">
        <v>0</v>
      </c>
      <c r="EN335" s="8" t="n">
        <v>0</v>
      </c>
      <c r="EO335" s="8" t="n">
        <v>0</v>
      </c>
      <c r="EP335" s="8" t="n">
        <v>0</v>
      </c>
      <c r="EQ335" s="8" t="n">
        <v>0</v>
      </c>
      <c r="ER335" s="8" t="n">
        <v>0</v>
      </c>
      <c r="ES335" s="8" t="n">
        <v>0</v>
      </c>
      <c r="ET335" s="8" t="n">
        <v>0</v>
      </c>
      <c r="EU335" s="8" t="n">
        <v>0</v>
      </c>
      <c r="EV335" s="8" t="n">
        <v>0</v>
      </c>
      <c r="EW335" s="8" t="n">
        <v>0</v>
      </c>
      <c r="EX335" s="8" t="n">
        <v>0</v>
      </c>
      <c r="EY335" s="8" t="n">
        <v>0</v>
      </c>
      <c r="EZ335" s="8" t="n">
        <v>0</v>
      </c>
      <c r="FA335" s="8" t="n">
        <v>0</v>
      </c>
      <c r="FB335" s="8" t="n">
        <v>0</v>
      </c>
      <c r="FC335" s="8" t="n">
        <v>0</v>
      </c>
      <c r="FD335" s="8" t="n">
        <v>0</v>
      </c>
      <c r="FE335" s="8" t="n">
        <v>0</v>
      </c>
      <c r="FF335" s="8" t="n">
        <v>0</v>
      </c>
      <c r="FG335" s="9">
        <f>SUM(DW335,DX335,DY335,DZ335,EA335,EB335,EC335,ED335,EE335,EF335,EG335,EH335,EI335,EJ335,EK335,EL335,EM335,EN335,EO335,EP335,EQ335,ER335,ES335,ET335,EU335,EV335,EW335,EX335,EY335,EZ335,FA335,FB335,FC335,FD335,FE335,FF335)</f>
        <v/>
      </c>
      <c r="FH335" s="8" t="n">
        <v>1</v>
      </c>
      <c r="FI335" s="8" t="n">
        <v>72</v>
      </c>
      <c r="FJ335" s="8" t="n">
        <v>18</v>
      </c>
      <c r="FK335" s="8" t="n">
        <v>121</v>
      </c>
      <c r="FL335" s="8" t="n">
        <v>0</v>
      </c>
      <c r="FM335" s="8" t="n">
        <v>0</v>
      </c>
      <c r="FN335" s="8" t="n">
        <v>0</v>
      </c>
      <c r="FO335" s="8" t="n">
        <v>0</v>
      </c>
      <c r="FP335" s="8" t="n">
        <v>0</v>
      </c>
      <c r="FQ335" s="9">
        <f>FL335+FM335+FN335+FO335+FP335</f>
        <v/>
      </c>
      <c r="FR335" s="8" t="n">
        <v>265975</v>
      </c>
      <c r="FS335" s="8" t="n">
        <v>0</v>
      </c>
      <c r="FT335" s="8" t="n">
        <v>0</v>
      </c>
      <c r="FU335" s="8" t="n">
        <v>0</v>
      </c>
      <c r="FV335" s="9">
        <f>FR335+FS335+FT335+FU335</f>
        <v/>
      </c>
      <c r="FW335" s="8" t="n">
        <v>6266802</v>
      </c>
      <c r="FX335" s="8" t="n">
        <v>29500</v>
      </c>
      <c r="FY335" s="8" t="n">
        <v>479400</v>
      </c>
      <c r="FZ335" s="8" t="n">
        <v>1341000</v>
      </c>
      <c r="GA335" s="9">
        <f>FW335+FX335+FY335+FZ335</f>
        <v/>
      </c>
      <c r="GB335" s="9">
        <f>FV335+GA335</f>
        <v/>
      </c>
      <c r="GC335" s="8" t="n">
        <v>331316.48</v>
      </c>
      <c r="GD335" s="8" t="n">
        <v>0</v>
      </c>
      <c r="GE335" s="8" t="n">
        <v>30132.78</v>
      </c>
      <c r="GF335" s="8" t="n">
        <v>0</v>
      </c>
      <c r="GG335" s="9">
        <f>GC335+GD335+GE335+GF335</f>
        <v/>
      </c>
      <c r="GH335" s="8" t="n">
        <v>6083233.8</v>
      </c>
      <c r="GI335" s="8" t="n">
        <v>28300</v>
      </c>
      <c r="GJ335" s="8" t="n">
        <v>1341000</v>
      </c>
      <c r="GK335" s="8" t="n">
        <v>479400</v>
      </c>
      <c r="GL335" s="9">
        <f>GH335+GI335+GJ335+GK335</f>
        <v/>
      </c>
      <c r="GM335" s="9">
        <f>GG335+GL335</f>
        <v/>
      </c>
      <c r="GN335" s="8" t="n">
        <v>32150.87</v>
      </c>
      <c r="GO335" s="8" t="n">
        <v>0</v>
      </c>
      <c r="GP335" s="8" t="n">
        <v>6787.28</v>
      </c>
      <c r="GQ335" s="8" t="n">
        <v>0</v>
      </c>
      <c r="GR335" s="9">
        <f>GN335+GO335+GP335+GQ335</f>
        <v/>
      </c>
      <c r="GS335" s="8" t="n">
        <v>52687</v>
      </c>
      <c r="GT335" s="8" t="n">
        <v>0</v>
      </c>
      <c r="GU335" s="8" t="n">
        <v>1786</v>
      </c>
      <c r="GV335" s="8" t="n">
        <v>0</v>
      </c>
      <c r="GW335" s="9">
        <f>GS335+GT335+GU335+GV335</f>
        <v/>
      </c>
      <c r="GX335" s="9">
        <f>GM335+GR335+GW335</f>
        <v/>
      </c>
      <c r="GY335" s="8" t="n">
        <v>5813754.660000005</v>
      </c>
      <c r="GZ335" s="8" t="n">
        <v>0</v>
      </c>
      <c r="HA335" s="9">
        <f>GY335+GZ335</f>
        <v/>
      </c>
      <c r="HB335" s="9">
        <f>IF(GX335=0,"",AU335/GX335)</f>
        <v/>
      </c>
      <c r="HC335" s="10">
        <f>IF((GX335+GY335)=0,"",GB335/(GX335+GY335))</f>
        <v/>
      </c>
      <c r="HD335" s="9">
        <f>IF(GX335=0,"",GB335/GX335)</f>
        <v/>
      </c>
      <c r="HE335" s="8" t="n">
        <v>8</v>
      </c>
      <c r="HF335" s="8" t="n">
        <v>1</v>
      </c>
      <c r="HG335" s="8" t="n">
        <v>23</v>
      </c>
      <c r="HH335" s="8" t="n">
        <v>9</v>
      </c>
      <c r="HI335" s="8" t="n">
        <v>30</v>
      </c>
      <c r="HJ335" s="9">
        <f>HF335+HI335</f>
        <v/>
      </c>
      <c r="HK335" s="10">
        <f>IF(HE335=0,"",HH335/HE335)</f>
        <v/>
      </c>
      <c r="HL335" s="8" t="n">
        <v>0</v>
      </c>
      <c r="HM335" s="8" t="n">
        <v>0</v>
      </c>
      <c r="HN335" s="11">
        <f>IF(HL335=0,"",HM335/HL335)</f>
        <v/>
      </c>
    </row>
    <row r="336">
      <c r="A336" s="12" t="inlineStr">
        <is>
          <t>Zomba</t>
        </is>
      </c>
      <c r="B336" s="12" t="inlineStr">
        <is>
          <t>Lirangwe</t>
        </is>
      </c>
      <c r="C336" s="13" t="inlineStr">
        <is>
          <t>FY2025/26</t>
        </is>
      </c>
      <c r="D336" s="13" t="n">
        <v>2026</v>
      </c>
      <c r="E336" s="13" t="n">
        <v>1</v>
      </c>
      <c r="F336" s="13" t="inlineStr">
        <is>
          <t>January</t>
        </is>
      </c>
      <c r="G336" s="13" t="inlineStr">
        <is>
          <t>Q4</t>
        </is>
      </c>
      <c r="H336" s="14" t="n">
        <v>8326</v>
      </c>
      <c r="I336" s="14" t="n">
        <v>333</v>
      </c>
      <c r="J336" s="14" t="n">
        <v>0</v>
      </c>
      <c r="K336" s="14" t="n">
        <v>13</v>
      </c>
      <c r="L336" s="14" t="n">
        <v>0</v>
      </c>
      <c r="M336" s="15" t="n">
        <v>346</v>
      </c>
      <c r="N336" s="14" t="n">
        <v>5478.900000000027</v>
      </c>
      <c r="O336" s="14" t="n">
        <v>154.5</v>
      </c>
      <c r="P336" s="14" t="n">
        <v>63.8</v>
      </c>
      <c r="Q336" s="14" t="n">
        <v>71.39999999999999</v>
      </c>
      <c r="R336" s="15" t="n">
        <v>5768.600000000027</v>
      </c>
      <c r="S336" s="15" t="n">
        <v>6114.600000000027</v>
      </c>
      <c r="T336" s="14" t="n">
        <v>2211.399999999973</v>
      </c>
      <c r="U336" s="16" t="n">
        <v>0.2656017295219761</v>
      </c>
      <c r="V336" s="14" t="n">
        <v>8</v>
      </c>
      <c r="W336" s="17" t="n">
        <v>0.9608455440787893</v>
      </c>
      <c r="X336" s="14" t="n">
        <v>0</v>
      </c>
      <c r="Y336" s="17" t="n">
        <v>0</v>
      </c>
      <c r="Z336" s="14" t="n">
        <v>0</v>
      </c>
      <c r="AA336" s="17" t="n">
        <v>0</v>
      </c>
      <c r="AB336" s="14" t="n">
        <v>0</v>
      </c>
      <c r="AC336" s="17" t="n">
        <v>0</v>
      </c>
      <c r="AD336" s="14" t="n">
        <v>0</v>
      </c>
      <c r="AE336" s="17" t="n">
        <v>0</v>
      </c>
      <c r="AF336" s="14" t="n">
        <v>0</v>
      </c>
      <c r="AG336" s="17" t="n">
        <v>0</v>
      </c>
      <c r="AH336" s="14" t="n">
        <v>208000</v>
      </c>
      <c r="AI336" s="15" t="n">
        <v>24.98198414604852</v>
      </c>
      <c r="AJ336" s="14" t="n">
        <v>6200</v>
      </c>
      <c r="AK336" s="17" t="n">
        <v>0.7446552966610618</v>
      </c>
      <c r="AL336" s="14" t="n">
        <v>1726122.25</v>
      </c>
      <c r="AM336" s="15" t="n">
        <v>193.8584626471295</v>
      </c>
      <c r="AN336" s="14" t="n">
        <v>0</v>
      </c>
      <c r="AO336" s="14" t="n">
        <v>0</v>
      </c>
      <c r="AP336" s="14" t="n">
        <v>0</v>
      </c>
      <c r="AQ336" s="14" t="n">
        <v>0</v>
      </c>
      <c r="AR336" s="14" t="n">
        <v>0</v>
      </c>
      <c r="AS336" s="14" t="n">
        <v>0</v>
      </c>
      <c r="AT336" s="14" t="n">
        <v>0</v>
      </c>
      <c r="AU336" s="15" t="n">
        <v>1822065.56</v>
      </c>
      <c r="AV336" s="15" t="n">
        <v>218.840446793178</v>
      </c>
      <c r="AW336" s="15" t="n">
        <v>297.9860595950663</v>
      </c>
      <c r="AX336" s="14" t="n">
        <v>6</v>
      </c>
      <c r="AY336" s="15" t="n">
        <v>22.33965889983185</v>
      </c>
      <c r="AZ336" s="14" t="n">
        <v>6</v>
      </c>
      <c r="BA336" s="14" t="n">
        <v>23</v>
      </c>
      <c r="BB336" s="14" t="n">
        <v>10</v>
      </c>
      <c r="BC336" s="14" t="n">
        <v>5</v>
      </c>
      <c r="BD336" s="14" t="n">
        <v>0</v>
      </c>
      <c r="BE336" s="15" t="n">
        <v>5</v>
      </c>
      <c r="BF336" s="15" t="n">
        <v>28</v>
      </c>
      <c r="BG336" s="14" t="n">
        <v>0</v>
      </c>
      <c r="BH336" s="14" t="n">
        <v>0</v>
      </c>
      <c r="BI336" s="14" t="n">
        <v>0</v>
      </c>
      <c r="BJ336" s="14" t="n">
        <v>0</v>
      </c>
      <c r="BK336" s="15" t="n">
        <v>0</v>
      </c>
      <c r="BL336" s="15" t="n">
        <v>0</v>
      </c>
      <c r="BM336" s="14" t="n">
        <v>0</v>
      </c>
      <c r="BN336" s="14" t="n">
        <v>0</v>
      </c>
      <c r="BO336" s="14" t="n">
        <v>0</v>
      </c>
      <c r="BP336" s="14" t="n">
        <v>0</v>
      </c>
      <c r="BQ336" s="15" t="n">
        <v>0</v>
      </c>
      <c r="BR336" s="15" t="n">
        <v>0</v>
      </c>
      <c r="BS336" s="14" t="n">
        <v>0</v>
      </c>
      <c r="BT336" s="14" t="n">
        <v>0</v>
      </c>
      <c r="BU336" s="14" t="n">
        <v>0</v>
      </c>
      <c r="BV336" s="14" t="n">
        <v>0</v>
      </c>
      <c r="BW336" s="15" t="n">
        <v>0</v>
      </c>
      <c r="BX336" s="15" t="n">
        <v>0</v>
      </c>
      <c r="BY336" s="15" t="n">
        <v>23</v>
      </c>
      <c r="BZ336" s="15" t="n">
        <v>10</v>
      </c>
      <c r="CA336" s="15" t="n">
        <v>5</v>
      </c>
      <c r="CB336" s="15" t="n">
        <v>28</v>
      </c>
      <c r="CC336" s="14" t="n">
        <v>0</v>
      </c>
      <c r="CD336" s="14" t="n">
        <v>42</v>
      </c>
      <c r="CE336" s="14" t="n">
        <v>4</v>
      </c>
      <c r="CF336" s="14" t="n">
        <v>0</v>
      </c>
      <c r="CG336" s="14" t="n">
        <v>6</v>
      </c>
      <c r="CH336" s="15" t="n">
        <v>52</v>
      </c>
      <c r="CI336" s="14" t="n">
        <v>64</v>
      </c>
      <c r="CJ336" s="14" t="n">
        <v>2</v>
      </c>
      <c r="CK336" s="14" t="n">
        <v>0</v>
      </c>
      <c r="CL336" s="14" t="n">
        <v>0</v>
      </c>
      <c r="CM336" s="15" t="n">
        <v>66</v>
      </c>
      <c r="CN336" s="14" t="n">
        <v>1072</v>
      </c>
      <c r="CO336" s="14" t="n">
        <v>16</v>
      </c>
      <c r="CP336" s="14" t="n">
        <v>11</v>
      </c>
      <c r="CQ336" s="14" t="n">
        <v>13</v>
      </c>
      <c r="CR336" s="15" t="n">
        <v>1112</v>
      </c>
      <c r="CS336" s="15" t="n">
        <v>1178</v>
      </c>
      <c r="CT336" s="14" t="n">
        <v>1230</v>
      </c>
      <c r="CU336" s="14" t="n">
        <v>8389</v>
      </c>
      <c r="CV336" s="14" t="n">
        <v>7940.5</v>
      </c>
      <c r="CW336" s="16" t="n">
        <v>0.9465371319585171</v>
      </c>
      <c r="CX336" s="14" t="n">
        <v>0</v>
      </c>
      <c r="CY336" s="14" t="n">
        <v>0</v>
      </c>
      <c r="CZ336" s="14" t="n">
        <v>0</v>
      </c>
      <c r="DA336" s="14" t="n">
        <v>0</v>
      </c>
      <c r="DB336" s="15" t="n">
        <v>0</v>
      </c>
      <c r="DC336" s="14" t="n">
        <v>0</v>
      </c>
      <c r="DD336" s="14" t="n">
        <v>0</v>
      </c>
      <c r="DE336" s="14" t="n">
        <v>0</v>
      </c>
      <c r="DF336" s="14" t="n">
        <v>0</v>
      </c>
      <c r="DG336" s="15" t="n">
        <v>0</v>
      </c>
      <c r="DH336" s="14" t="n">
        <v>0</v>
      </c>
      <c r="DI336" s="14" t="n">
        <v>0</v>
      </c>
      <c r="DJ336" s="14" t="n">
        <v>0</v>
      </c>
      <c r="DK336" s="14" t="n">
        <v>0</v>
      </c>
      <c r="DL336" s="15" t="n">
        <v>0</v>
      </c>
      <c r="DM336" s="14" t="n">
        <v>0</v>
      </c>
      <c r="DN336" s="14" t="n">
        <v>0</v>
      </c>
      <c r="DO336" s="14" t="n">
        <v>0</v>
      </c>
      <c r="DP336" s="14" t="n">
        <v>0</v>
      </c>
      <c r="DQ336" s="15" t="n">
        <v>0</v>
      </c>
      <c r="DR336" s="15" t="n">
        <v>0</v>
      </c>
      <c r="DS336" s="15" t="n">
        <v>0</v>
      </c>
      <c r="DT336" s="15" t="n">
        <v>0</v>
      </c>
      <c r="DU336" s="15" t="n">
        <v>0</v>
      </c>
      <c r="DV336" s="15" t="n">
        <v>0</v>
      </c>
      <c r="DW336" s="14" t="n">
        <v>24</v>
      </c>
      <c r="DX336" s="14" t="n">
        <v>5</v>
      </c>
      <c r="DY336" s="14" t="n">
        <v>0</v>
      </c>
      <c r="DZ336" s="14" t="n">
        <v>0</v>
      </c>
      <c r="EA336" s="14" t="n">
        <v>0</v>
      </c>
      <c r="EB336" s="14" t="n">
        <v>0</v>
      </c>
      <c r="EC336" s="14" t="n">
        <v>0</v>
      </c>
      <c r="ED336" s="14" t="n">
        <v>0</v>
      </c>
      <c r="EE336" s="14" t="n">
        <v>0</v>
      </c>
      <c r="EF336" s="14" t="n">
        <v>0</v>
      </c>
      <c r="EG336" s="14" t="n">
        <v>0</v>
      </c>
      <c r="EH336" s="14" t="n">
        <v>0</v>
      </c>
      <c r="EI336" s="14" t="n">
        <v>0</v>
      </c>
      <c r="EJ336" s="14" t="n">
        <v>2</v>
      </c>
      <c r="EK336" s="14" t="n">
        <v>0</v>
      </c>
      <c r="EL336" s="14" t="n">
        <v>0</v>
      </c>
      <c r="EM336" s="14" t="n">
        <v>0</v>
      </c>
      <c r="EN336" s="14" t="n">
        <v>0</v>
      </c>
      <c r="EO336" s="14" t="n">
        <v>0</v>
      </c>
      <c r="EP336" s="14" t="n">
        <v>0</v>
      </c>
      <c r="EQ336" s="14" t="n">
        <v>0</v>
      </c>
      <c r="ER336" s="14" t="n">
        <v>0</v>
      </c>
      <c r="ES336" s="14" t="n">
        <v>0</v>
      </c>
      <c r="ET336" s="14" t="n">
        <v>0</v>
      </c>
      <c r="EU336" s="14" t="n">
        <v>0</v>
      </c>
      <c r="EV336" s="14" t="n">
        <v>0</v>
      </c>
      <c r="EW336" s="14" t="n">
        <v>0</v>
      </c>
      <c r="EX336" s="14" t="n">
        <v>0</v>
      </c>
      <c r="EY336" s="14" t="n">
        <v>0</v>
      </c>
      <c r="EZ336" s="14" t="n">
        <v>0</v>
      </c>
      <c r="FA336" s="14" t="n">
        <v>0</v>
      </c>
      <c r="FB336" s="14" t="n">
        <v>0</v>
      </c>
      <c r="FC336" s="14" t="n">
        <v>0</v>
      </c>
      <c r="FD336" s="14" t="n">
        <v>0</v>
      </c>
      <c r="FE336" s="14" t="n">
        <v>0</v>
      </c>
      <c r="FF336" s="14" t="n">
        <v>0</v>
      </c>
      <c r="FG336" s="15" t="n">
        <v>31</v>
      </c>
      <c r="FH336" s="14" t="n">
        <v>1</v>
      </c>
      <c r="FI336" s="14" t="n">
        <v>72</v>
      </c>
      <c r="FJ336" s="14" t="n">
        <v>22</v>
      </c>
      <c r="FK336" s="14" t="n">
        <v>29</v>
      </c>
      <c r="FL336" s="14" t="n">
        <v>0</v>
      </c>
      <c r="FM336" s="14" t="n">
        <v>0</v>
      </c>
      <c r="FN336" s="14" t="n">
        <v>0</v>
      </c>
      <c r="FO336" s="14" t="n">
        <v>0</v>
      </c>
      <c r="FP336" s="14" t="n">
        <v>0</v>
      </c>
      <c r="FQ336" s="15" t="n">
        <v>0</v>
      </c>
      <c r="FR336" s="14" t="n">
        <v>238488</v>
      </c>
      <c r="FS336" s="14" t="n">
        <v>0</v>
      </c>
      <c r="FT336" s="14" t="n">
        <v>0</v>
      </c>
      <c r="FU336" s="14" t="n">
        <v>0</v>
      </c>
      <c r="FV336" s="15" t="n">
        <v>238488</v>
      </c>
      <c r="FW336" s="14" t="n">
        <v>6999292</v>
      </c>
      <c r="FX336" s="14" t="n">
        <v>32790</v>
      </c>
      <c r="FY336" s="14" t="n">
        <v>337700</v>
      </c>
      <c r="FZ336" s="14" t="n">
        <v>193700</v>
      </c>
      <c r="GA336" s="15" t="n">
        <v>7563482</v>
      </c>
      <c r="GB336" s="15" t="n">
        <v>7801970</v>
      </c>
      <c r="GC336" s="14" t="n">
        <v>325748.09</v>
      </c>
      <c r="GD336" s="14" t="n">
        <v>0</v>
      </c>
      <c r="GE336" s="14" t="n">
        <v>30132.78</v>
      </c>
      <c r="GF336" s="14" t="n">
        <v>0</v>
      </c>
      <c r="GG336" s="15" t="n">
        <v>355880.87</v>
      </c>
      <c r="GH336" s="14" t="n">
        <v>6805977.48</v>
      </c>
      <c r="GI336" s="14" t="n">
        <v>32790</v>
      </c>
      <c r="GJ336" s="14" t="n">
        <v>193700</v>
      </c>
      <c r="GK336" s="14" t="n">
        <v>337700</v>
      </c>
      <c r="GL336" s="15" t="n">
        <v>7370167.48</v>
      </c>
      <c r="GM336" s="15" t="n">
        <v>7726048.350000001</v>
      </c>
      <c r="GN336" s="14" t="n">
        <v>34875.52</v>
      </c>
      <c r="GO336" s="14" t="n">
        <v>0</v>
      </c>
      <c r="GP336" s="14" t="n">
        <v>6787.28</v>
      </c>
      <c r="GQ336" s="14" t="n">
        <v>0</v>
      </c>
      <c r="GR336" s="15" t="n">
        <v>41662.8</v>
      </c>
      <c r="GS336" s="14" t="n">
        <v>57152</v>
      </c>
      <c r="GT336" s="14" t="n">
        <v>0</v>
      </c>
      <c r="GU336" s="14" t="n">
        <v>1786</v>
      </c>
      <c r="GV336" s="14" t="n">
        <v>0</v>
      </c>
      <c r="GW336" s="15" t="n">
        <v>58938</v>
      </c>
      <c r="GX336" s="15" t="n">
        <v>7826649.15</v>
      </c>
      <c r="GY336" s="14" t="n">
        <v>6017465.310000004</v>
      </c>
      <c r="GZ336" s="14" t="n">
        <v>0</v>
      </c>
      <c r="HA336" s="9">
        <f>GY336+GZ336</f>
        <v/>
      </c>
      <c r="HB336" s="15" t="n">
        <v>7826649.15</v>
      </c>
      <c r="HC336" s="16" t="n">
        <v>0</v>
      </c>
      <c r="HD336" s="15" t="n">
        <v>0</v>
      </c>
      <c r="HE336" s="14" t="n">
        <v>10</v>
      </c>
      <c r="HF336" s="14" t="n">
        <v>1</v>
      </c>
      <c r="HG336" s="14" t="n">
        <v>28</v>
      </c>
      <c r="HH336" s="14" t="n">
        <v>10</v>
      </c>
      <c r="HI336" s="14" t="n">
        <v>30</v>
      </c>
      <c r="HJ336" s="15" t="n">
        <v>3</v>
      </c>
      <c r="HK336" s="16" t="n">
        <v>17.85714285714286</v>
      </c>
      <c r="HL336" s="14" t="n">
        <v>0</v>
      </c>
      <c r="HM336" s="14" t="n">
        <v>0</v>
      </c>
      <c r="HN336" s="17" t="n"/>
    </row>
    <row r="337">
      <c r="A337" s="6" t="inlineStr">
        <is>
          <t>Zomba</t>
        </is>
      </c>
      <c r="B337" s="6" t="inlineStr">
        <is>
          <t>Lirangwe</t>
        </is>
      </c>
      <c r="C337" s="7" t="inlineStr">
        <is>
          <t>FY2025/26</t>
        </is>
      </c>
      <c r="D337" s="7" t="n">
        <v>2026</v>
      </c>
      <c r="E337" s="7" t="n">
        <v>2</v>
      </c>
      <c r="F337" s="7" t="inlineStr">
        <is>
          <t>February</t>
        </is>
      </c>
      <c r="G337" s="7" t="inlineStr">
        <is>
          <t>Q4</t>
        </is>
      </c>
      <c r="H337" s="8" t="n">
        <v>7378</v>
      </c>
      <c r="I337" s="8" t="n">
        <v>389</v>
      </c>
      <c r="J337" s="8" t="n">
        <v>0</v>
      </c>
      <c r="K337" s="8" t="n">
        <v>8</v>
      </c>
      <c r="L337" s="8" t="n">
        <v>0</v>
      </c>
      <c r="M337" s="9">
        <f>SUM(I337,J337,K337,L337)</f>
        <v/>
      </c>
      <c r="N337" s="8" t="n">
        <v>4523.800000000006</v>
      </c>
      <c r="O337" s="8" t="n">
        <v>125.7</v>
      </c>
      <c r="P337" s="8" t="n">
        <v>370</v>
      </c>
      <c r="Q337" s="8" t="n">
        <v>88.10000000000001</v>
      </c>
      <c r="R337" s="9">
        <f>SUM(N337,O337,P337,Q337)</f>
        <v/>
      </c>
      <c r="S337" s="9">
        <f>M337+R337</f>
        <v/>
      </c>
      <c r="T337" s="8" t="n">
        <v>1873.399999999994</v>
      </c>
      <c r="U337" s="10">
        <f>IF(H337=0,"",T337/H337)</f>
        <v/>
      </c>
      <c r="V337" s="8" t="n">
        <v>7</v>
      </c>
      <c r="W337" s="11">
        <f>IF(H337=0,"",V337/H337)</f>
        <v/>
      </c>
      <c r="X337" s="8" t="n">
        <v>0</v>
      </c>
      <c r="Y337" s="11">
        <f>IF(H337=0,"",X337/H337)</f>
        <v/>
      </c>
      <c r="Z337" s="8" t="n">
        <v>0</v>
      </c>
      <c r="AA337" s="11">
        <f>IF(H337=0,"",Z337/H337)</f>
        <v/>
      </c>
      <c r="AB337" s="8" t="n">
        <v>0</v>
      </c>
      <c r="AC337" s="11">
        <f>IF(H337=0,"",AB337/H337)</f>
        <v/>
      </c>
      <c r="AD337" s="8" t="n">
        <v>0</v>
      </c>
      <c r="AE337" s="11">
        <f>IF(H337=0,"",AD337/H337)</f>
        <v/>
      </c>
      <c r="AF337" s="8" t="n">
        <v>0</v>
      </c>
      <c r="AG337" s="11">
        <f>IF(H337=0,"",AF337/H337)</f>
        <v/>
      </c>
      <c r="AH337" s="8" t="n">
        <v>182000</v>
      </c>
      <c r="AI337" s="9">
        <f>IF(H337=0,"",AH337/H337)</f>
        <v/>
      </c>
      <c r="AJ337" s="8" t="n">
        <v>4086</v>
      </c>
      <c r="AK337" s="11">
        <f>IF(H337=0,"",AJ337/H337)</f>
        <v/>
      </c>
      <c r="AL337" s="8" t="n">
        <v>1148347.024</v>
      </c>
      <c r="AM337" s="9">
        <f>IF(H337=0,"",AL337/H337)</f>
        <v/>
      </c>
      <c r="AN337" s="8" t="n">
        <v>0</v>
      </c>
      <c r="AO337" s="8" t="n">
        <v>0</v>
      </c>
      <c r="AP337" s="8" t="n">
        <v>0</v>
      </c>
      <c r="AQ337" s="8" t="n">
        <v>0</v>
      </c>
      <c r="AR337" s="8" t="n">
        <v>0</v>
      </c>
      <c r="AS337" s="8" t="n">
        <v>0</v>
      </c>
      <c r="AT337" s="8" t="n">
        <v>0</v>
      </c>
      <c r="AU337" s="9">
        <f>AH337+AL337+AP337+AQ337+AR337+AS337+AT337</f>
        <v/>
      </c>
      <c r="AV337" s="9">
        <f>IF(H337=0,"",AU337/H337)</f>
        <v/>
      </c>
      <c r="AW337" s="9">
        <f>IF(S337=0,"",AU337/S337)</f>
        <v/>
      </c>
      <c r="AX337" s="8" t="n">
        <v>6</v>
      </c>
      <c r="AY337" s="9">
        <f>IF(H337=0,"",AX337/(H337/1000/12))</f>
        <v/>
      </c>
      <c r="AZ337" s="8" t="n">
        <v>6</v>
      </c>
      <c r="BA337" s="8" t="n">
        <v>28</v>
      </c>
      <c r="BB337" s="8" t="n">
        <v>13</v>
      </c>
      <c r="BC337" s="8" t="n">
        <v>17</v>
      </c>
      <c r="BD337" s="8" t="n">
        <v>0</v>
      </c>
      <c r="BE337" s="9">
        <f>BC337+BD337</f>
        <v/>
      </c>
      <c r="BF337" s="9">
        <f>BA337+BB337-BE337</f>
        <v/>
      </c>
      <c r="BG337" s="8" t="n">
        <v>0</v>
      </c>
      <c r="BH337" s="8" t="n">
        <v>1</v>
      </c>
      <c r="BI337" s="8" t="n">
        <v>1</v>
      </c>
      <c r="BJ337" s="8" t="n">
        <v>0</v>
      </c>
      <c r="BK337" s="9">
        <f>BI337+BJ337</f>
        <v/>
      </c>
      <c r="BL337" s="9">
        <f>BG337+BH337-BK337</f>
        <v/>
      </c>
      <c r="BM337" s="8" t="n">
        <v>0</v>
      </c>
      <c r="BN337" s="8" t="n">
        <v>0</v>
      </c>
      <c r="BO337" s="8" t="n">
        <v>0</v>
      </c>
      <c r="BP337" s="8" t="n">
        <v>0</v>
      </c>
      <c r="BQ337" s="9">
        <f>BO337+BP337</f>
        <v/>
      </c>
      <c r="BR337" s="9">
        <f>BM337+BN337-BQ337</f>
        <v/>
      </c>
      <c r="BS337" s="8" t="n">
        <v>0</v>
      </c>
      <c r="BT337" s="8" t="n">
        <v>0</v>
      </c>
      <c r="BU337" s="8" t="n">
        <v>0</v>
      </c>
      <c r="BV337" s="8" t="n">
        <v>0</v>
      </c>
      <c r="BW337" s="9">
        <f>BU337+BV337</f>
        <v/>
      </c>
      <c r="BX337" s="9">
        <f>BS337+BT337-BW337</f>
        <v/>
      </c>
      <c r="BY337" s="9">
        <f>BA337+BG337+BM337+BS337</f>
        <v/>
      </c>
      <c r="BZ337" s="9">
        <f>BB337+BH337+BN337+BT337</f>
        <v/>
      </c>
      <c r="CA337" s="9">
        <f>BE337+BK337+BQ337+BW337</f>
        <v/>
      </c>
      <c r="CB337" s="9">
        <f>BF337+BL337+BR337+BX337</f>
        <v/>
      </c>
      <c r="CC337" s="8" t="n">
        <v>0</v>
      </c>
      <c r="CD337" s="8" t="n">
        <v>50</v>
      </c>
      <c r="CE337" s="8" t="n">
        <v>4</v>
      </c>
      <c r="CF337" s="8" t="n">
        <v>0</v>
      </c>
      <c r="CG337" s="8" t="n">
        <v>6</v>
      </c>
      <c r="CH337" s="9">
        <f>CD337+CE337+CF337+CG337</f>
        <v/>
      </c>
      <c r="CI337" s="8" t="n">
        <v>78</v>
      </c>
      <c r="CJ337" s="8" t="n">
        <v>3</v>
      </c>
      <c r="CK337" s="8" t="n">
        <v>0</v>
      </c>
      <c r="CL337" s="8" t="n">
        <v>0</v>
      </c>
      <c r="CM337" s="9">
        <f>CI337+CJ337+CK337+CL337</f>
        <v/>
      </c>
      <c r="CN337" s="8" t="n">
        <v>1067</v>
      </c>
      <c r="CO337" s="8" t="n">
        <v>16</v>
      </c>
      <c r="CP337" s="8" t="n">
        <v>11</v>
      </c>
      <c r="CQ337" s="8" t="n">
        <v>13</v>
      </c>
      <c r="CR337" s="9">
        <f>CN337+CO337+CP337+CQ337</f>
        <v/>
      </c>
      <c r="CS337" s="9">
        <f>CM337+CR337</f>
        <v/>
      </c>
      <c r="CT337" s="8" t="n">
        <v>1248</v>
      </c>
      <c r="CU337" s="8" t="n">
        <v>8399</v>
      </c>
      <c r="CV337" s="8" t="n">
        <v>8014.1</v>
      </c>
      <c r="CW337" s="10">
        <f>IF(CU337=0,"",CV337/CU337)</f>
        <v/>
      </c>
      <c r="CX337" s="8" t="n">
        <v>0</v>
      </c>
      <c r="CY337" s="8" t="n">
        <v>0</v>
      </c>
      <c r="CZ337" s="8" t="n">
        <v>0</v>
      </c>
      <c r="DA337" s="8" t="n">
        <v>0</v>
      </c>
      <c r="DB337" s="9">
        <f>CX337+CY337-CZ337-DA337</f>
        <v/>
      </c>
      <c r="DC337" s="8" t="n">
        <v>0</v>
      </c>
      <c r="DD337" s="8" t="n">
        <v>0</v>
      </c>
      <c r="DE337" s="8" t="n">
        <v>0</v>
      </c>
      <c r="DF337" s="8" t="n">
        <v>0</v>
      </c>
      <c r="DG337" s="9">
        <f>DC337+DD337-DE337-DF337</f>
        <v/>
      </c>
      <c r="DH337" s="8" t="n">
        <v>0</v>
      </c>
      <c r="DI337" s="8" t="n">
        <v>0</v>
      </c>
      <c r="DJ337" s="8" t="n">
        <v>0</v>
      </c>
      <c r="DK337" s="8" t="n">
        <v>0</v>
      </c>
      <c r="DL337" s="9">
        <f>DH337+DI337-DJ337-DK337</f>
        <v/>
      </c>
      <c r="DM337" s="8" t="n">
        <v>0</v>
      </c>
      <c r="DN337" s="8" t="n">
        <v>0</v>
      </c>
      <c r="DO337" s="8" t="n">
        <v>0</v>
      </c>
      <c r="DP337" s="8" t="n">
        <v>0</v>
      </c>
      <c r="DQ337" s="9">
        <f>DM337+DN337-DO337-DP337</f>
        <v/>
      </c>
      <c r="DR337" s="9">
        <f>CX337+DC337+DH337+DM337</f>
        <v/>
      </c>
      <c r="DS337" s="9">
        <f>CY337+DD337+DI337+DN337</f>
        <v/>
      </c>
      <c r="DT337" s="9">
        <f>CZ337+DE337+DJ337+DO337</f>
        <v/>
      </c>
      <c r="DU337" s="9">
        <f>DA337+DF337+DK337+DP337</f>
        <v/>
      </c>
      <c r="DV337" s="9">
        <f>DB337+DG337+DL337+DQ337</f>
        <v/>
      </c>
      <c r="DW337" s="8" t="n">
        <v>11</v>
      </c>
      <c r="DX337" s="8" t="n">
        <v>4</v>
      </c>
      <c r="DY337" s="8" t="n">
        <v>2</v>
      </c>
      <c r="DZ337" s="8" t="n">
        <v>0</v>
      </c>
      <c r="EA337" s="8" t="n">
        <v>1</v>
      </c>
      <c r="EB337" s="8" t="n">
        <v>0</v>
      </c>
      <c r="EC337" s="8" t="n">
        <v>0</v>
      </c>
      <c r="ED337" s="8" t="n">
        <v>0</v>
      </c>
      <c r="EE337" s="8" t="n">
        <v>1</v>
      </c>
      <c r="EF337" s="8" t="n">
        <v>0</v>
      </c>
      <c r="EG337" s="8" t="n">
        <v>0</v>
      </c>
      <c r="EH337" s="8" t="n">
        <v>0</v>
      </c>
      <c r="EI337" s="8" t="n">
        <v>0</v>
      </c>
      <c r="EJ337" s="8" t="n">
        <v>0</v>
      </c>
      <c r="EK337" s="8" t="n">
        <v>1</v>
      </c>
      <c r="EL337" s="8" t="n">
        <v>0</v>
      </c>
      <c r="EM337" s="8" t="n">
        <v>0</v>
      </c>
      <c r="EN337" s="8" t="n">
        <v>0</v>
      </c>
      <c r="EO337" s="8" t="n">
        <v>0</v>
      </c>
      <c r="EP337" s="8" t="n">
        <v>0</v>
      </c>
      <c r="EQ337" s="8" t="n">
        <v>0</v>
      </c>
      <c r="ER337" s="8" t="n">
        <v>0</v>
      </c>
      <c r="ES337" s="8" t="n">
        <v>0</v>
      </c>
      <c r="ET337" s="8" t="n">
        <v>0</v>
      </c>
      <c r="EU337" s="8" t="n">
        <v>0</v>
      </c>
      <c r="EV337" s="8" t="n">
        <v>0</v>
      </c>
      <c r="EW337" s="8" t="n">
        <v>0</v>
      </c>
      <c r="EX337" s="8" t="n">
        <v>0</v>
      </c>
      <c r="EY337" s="8" t="n">
        <v>0</v>
      </c>
      <c r="EZ337" s="8" t="n">
        <v>0</v>
      </c>
      <c r="FA337" s="8" t="n">
        <v>0</v>
      </c>
      <c r="FB337" s="8" t="n">
        <v>0</v>
      </c>
      <c r="FC337" s="8" t="n">
        <v>0</v>
      </c>
      <c r="FD337" s="8" t="n">
        <v>0</v>
      </c>
      <c r="FE337" s="8" t="n">
        <v>0</v>
      </c>
      <c r="FF337" s="8" t="n">
        <v>0</v>
      </c>
      <c r="FG337" s="9">
        <f>SUM(DW337,DX337,DY337,DZ337,EA337,EB337,EC337,ED337,EE337,EF337,EG337,EH337,EI337,EJ337,EK337,EL337,EM337,EN337,EO337,EP337,EQ337,ER337,ES337,ET337,EU337,EV337,EW337,EX337,EY337,EZ337,FA337,FB337,FC337,FD337,FE337,FF337)</f>
        <v/>
      </c>
      <c r="FH337" s="8" t="n">
        <v>0</v>
      </c>
      <c r="FI337" s="8" t="n">
        <v>0</v>
      </c>
      <c r="FJ337" s="8" t="n">
        <v>21</v>
      </c>
      <c r="FK337" s="8" t="n">
        <v>151</v>
      </c>
      <c r="FL337" s="8" t="n">
        <v>0</v>
      </c>
      <c r="FM337" s="8" t="n">
        <v>0</v>
      </c>
      <c r="FN337" s="8" t="n">
        <v>0</v>
      </c>
      <c r="FO337" s="8" t="n">
        <v>0</v>
      </c>
      <c r="FP337" s="8" t="n">
        <v>0</v>
      </c>
      <c r="FQ337" s="9">
        <f>FL337+FM337+FN337+FO337+FP337</f>
        <v/>
      </c>
      <c r="FR337" s="8" t="n">
        <v>190036</v>
      </c>
      <c r="FS337" s="8" t="n">
        <v>0</v>
      </c>
      <c r="FT337" s="8" t="n">
        <v>0</v>
      </c>
      <c r="FU337" s="8" t="n">
        <v>37000</v>
      </c>
      <c r="FV337" s="9">
        <f>FR337+FS337+FT337+FU337</f>
        <v/>
      </c>
      <c r="FW337" s="8" t="n">
        <v>5790767.83</v>
      </c>
      <c r="FX337" s="8" t="n">
        <v>26650</v>
      </c>
      <c r="FY337" s="8" t="n">
        <v>416972.81</v>
      </c>
      <c r="FZ337" s="8" t="n">
        <v>1124450</v>
      </c>
      <c r="GA337" s="9">
        <f>FW337+FX337+FY337+FZ337</f>
        <v/>
      </c>
      <c r="GB337" s="9">
        <f>FV337+GA337</f>
        <v/>
      </c>
      <c r="GC337" s="8" t="n">
        <v>408518.66</v>
      </c>
      <c r="GD337" s="8" t="n">
        <v>0</v>
      </c>
      <c r="GE337" s="8" t="n">
        <v>25232.97</v>
      </c>
      <c r="GF337" s="8" t="n">
        <v>0</v>
      </c>
      <c r="GG337" s="9">
        <f>GC337+GD337+GE337+GF337</f>
        <v/>
      </c>
      <c r="GH337" s="8" t="n">
        <v>5620584.61</v>
      </c>
      <c r="GI337" s="8" t="n">
        <v>26650</v>
      </c>
      <c r="GJ337" s="8" t="n">
        <v>1124450</v>
      </c>
      <c r="GK337" s="8" t="n">
        <v>416972.81</v>
      </c>
      <c r="GL337" s="9">
        <f>GH337+GI337+GJ337+GK337</f>
        <v/>
      </c>
      <c r="GM337" s="9">
        <f>GG337+GL337</f>
        <v/>
      </c>
      <c r="GN337" s="8" t="n">
        <v>42504.54</v>
      </c>
      <c r="GO337" s="8" t="n">
        <v>0</v>
      </c>
      <c r="GP337" s="8" t="n">
        <v>10180.92</v>
      </c>
      <c r="GQ337" s="8" t="n">
        <v>0</v>
      </c>
      <c r="GR337" s="9">
        <f>GN337+GO337+GP337+GQ337</f>
        <v/>
      </c>
      <c r="GS337" s="8" t="n">
        <v>69654</v>
      </c>
      <c r="GT337" s="8" t="n">
        <v>0</v>
      </c>
      <c r="GU337" s="8" t="n">
        <v>2679</v>
      </c>
      <c r="GV337" s="8" t="n">
        <v>0</v>
      </c>
      <c r="GW337" s="9">
        <f>GS337+GT337+GU337+GV337</f>
        <v/>
      </c>
      <c r="GX337" s="9">
        <f>GM337+GR337+GW337</f>
        <v/>
      </c>
      <c r="GY337" s="8" t="n">
        <v>6279765.320000006</v>
      </c>
      <c r="GZ337" s="8" t="n">
        <v>0</v>
      </c>
      <c r="HA337" s="9">
        <f>GY337+GZ337</f>
        <v/>
      </c>
      <c r="HB337" s="9">
        <f>IF(GX337=0,"",AU337/GX337)</f>
        <v/>
      </c>
      <c r="HC337" s="10">
        <f>IF((GX337+GY337)=0,"",GB337/(GX337+GY337))</f>
        <v/>
      </c>
      <c r="HD337" s="9">
        <f>IF(GX337=0,"",GB337/GX337)</f>
        <v/>
      </c>
      <c r="HE337" s="8" t="n">
        <v>13</v>
      </c>
      <c r="HF337" s="8" t="n">
        <v>1</v>
      </c>
      <c r="HG337" s="8" t="n">
        <v>24</v>
      </c>
      <c r="HH337" s="8" t="n">
        <v>14</v>
      </c>
      <c r="HI337" s="8" t="n">
        <v>30</v>
      </c>
      <c r="HJ337" s="9">
        <f>HF337+HI337</f>
        <v/>
      </c>
      <c r="HK337" s="10">
        <f>IF(HE337=0,"",HH337/HE337)</f>
        <v/>
      </c>
      <c r="HL337" s="8" t="n">
        <v>0</v>
      </c>
      <c r="HM337" s="8" t="n">
        <v>0</v>
      </c>
      <c r="HN337" s="11">
        <f>IF(HL337=0,"",HM337/HL337)</f>
        <v/>
      </c>
    </row>
    <row r="338">
      <c r="A338" s="12" t="inlineStr">
        <is>
          <t>Zomba</t>
        </is>
      </c>
      <c r="B338" s="12" t="inlineStr">
        <is>
          <t>Lirangwe</t>
        </is>
      </c>
      <c r="C338" s="13" t="inlineStr">
        <is>
          <t>FY2025/26</t>
        </is>
      </c>
      <c r="D338" s="13" t="n">
        <v>2026</v>
      </c>
      <c r="E338" s="13" t="n">
        <v>3</v>
      </c>
      <c r="F338" s="13" t="inlineStr">
        <is>
          <t>March</t>
        </is>
      </c>
      <c r="G338" s="13" t="inlineStr">
        <is>
          <t>Q4</t>
        </is>
      </c>
      <c r="H338" s="14" t="n">
        <v>7250</v>
      </c>
      <c r="I338" s="14" t="n">
        <v>427</v>
      </c>
      <c r="J338" s="14" t="n">
        <v>0</v>
      </c>
      <c r="K338" s="14" t="n">
        <v>20</v>
      </c>
      <c r="L338" s="14" t="n">
        <v>0</v>
      </c>
      <c r="M338" s="15">
        <f>SUM(I338,J338,K338,L338)</f>
        <v/>
      </c>
      <c r="N338" s="14" t="n">
        <v>5348.000000000022</v>
      </c>
      <c r="O338" s="14" t="n">
        <v>162.2</v>
      </c>
      <c r="P338" s="14" t="n">
        <v>245.4</v>
      </c>
      <c r="Q338" s="14" t="n">
        <v>88.69999999999999</v>
      </c>
      <c r="R338" s="15">
        <f>SUM(N338,O338,P338,Q338)</f>
        <v/>
      </c>
      <c r="S338" s="15">
        <f>M338+R338</f>
        <v/>
      </c>
      <c r="T338" s="14" t="n">
        <v>958.6999999999789</v>
      </c>
      <c r="U338" s="16">
        <f>IF(H338=0,"",T338/H338)</f>
        <v/>
      </c>
      <c r="V338" s="14" t="n">
        <v>7</v>
      </c>
      <c r="W338" s="17">
        <f>IF(H338=0,"",V338/H338)</f>
        <v/>
      </c>
      <c r="X338" s="14" t="n">
        <v>0</v>
      </c>
      <c r="Y338" s="17">
        <f>IF(H338=0,"",X338/H338)</f>
        <v/>
      </c>
      <c r="Z338" s="14" t="n">
        <v>0</v>
      </c>
      <c r="AA338" s="17">
        <f>IF(H338=0,"",Z338/H338)</f>
        <v/>
      </c>
      <c r="AB338" s="14" t="n">
        <v>0</v>
      </c>
      <c r="AC338" s="17">
        <f>IF(H338=0,"",AB338/H338)</f>
        <v/>
      </c>
      <c r="AD338" s="14" t="n">
        <v>0</v>
      </c>
      <c r="AE338" s="17">
        <f>IF(H338=0,"",AD338/H338)</f>
        <v/>
      </c>
      <c r="AF338" s="14" t="n">
        <v>0</v>
      </c>
      <c r="AG338" s="17">
        <f>IF(H338=0,"",AF338/H338)</f>
        <v/>
      </c>
      <c r="AH338" s="14" t="n">
        <v>182000</v>
      </c>
      <c r="AI338" s="15">
        <f>IF(H338=0,"",AH338/H338)</f>
        <v/>
      </c>
      <c r="AJ338" s="14" t="n">
        <v>4962</v>
      </c>
      <c r="AK338" s="17">
        <f>IF(H338=0,"",AJ338/H338)</f>
        <v/>
      </c>
      <c r="AL338" s="14" t="n">
        <v>1387765.708</v>
      </c>
      <c r="AM338" s="15">
        <f>IF(H338=0,"",AL338/H338)</f>
        <v/>
      </c>
      <c r="AN338" s="14" t="n">
        <v>0</v>
      </c>
      <c r="AO338" s="14" t="n">
        <v>0</v>
      </c>
      <c r="AP338" s="14" t="n">
        <v>0</v>
      </c>
      <c r="AQ338" s="14" t="n">
        <v>0</v>
      </c>
      <c r="AR338" s="14" t="n">
        <v>0</v>
      </c>
      <c r="AS338" s="14" t="n">
        <v>0</v>
      </c>
      <c r="AT338" s="14" t="n">
        <v>0</v>
      </c>
      <c r="AU338" s="15">
        <f>AH338+AL338+AP338+AQ338+AR338+AS338+AT338</f>
        <v/>
      </c>
      <c r="AV338" s="15">
        <f>IF(H338=0,"",AU338/H338)</f>
        <v/>
      </c>
      <c r="AW338" s="15">
        <f>IF(S338=0,"",AU338/S338)</f>
        <v/>
      </c>
      <c r="AX338" s="14" t="n">
        <v>6</v>
      </c>
      <c r="AY338" s="15">
        <f>IF(H338=0,"",AX338/(H338/1000/12))</f>
        <v/>
      </c>
      <c r="AZ338" s="14" t="n">
        <v>6</v>
      </c>
      <c r="BA338" s="14" t="n">
        <v>24</v>
      </c>
      <c r="BB338" s="14" t="n">
        <v>15</v>
      </c>
      <c r="BC338" s="14" t="n">
        <v>12</v>
      </c>
      <c r="BD338" s="14" t="n">
        <v>0</v>
      </c>
      <c r="BE338" s="15">
        <f>BC338+BD338</f>
        <v/>
      </c>
      <c r="BF338" s="15">
        <f>BA338+BB338-BE338</f>
        <v/>
      </c>
      <c r="BG338" s="14" t="n">
        <v>0</v>
      </c>
      <c r="BH338" s="14" t="n">
        <v>0</v>
      </c>
      <c r="BI338" s="14" t="n">
        <v>0</v>
      </c>
      <c r="BJ338" s="14" t="n">
        <v>0</v>
      </c>
      <c r="BK338" s="15">
        <f>BI338+BJ338</f>
        <v/>
      </c>
      <c r="BL338" s="15">
        <f>BG338+BH338-BK338</f>
        <v/>
      </c>
      <c r="BM338" s="14" t="n">
        <v>0</v>
      </c>
      <c r="BN338" s="14" t="n">
        <v>0</v>
      </c>
      <c r="BO338" s="14" t="n">
        <v>0</v>
      </c>
      <c r="BP338" s="14" t="n">
        <v>0</v>
      </c>
      <c r="BQ338" s="15">
        <f>BO338+BP338</f>
        <v/>
      </c>
      <c r="BR338" s="15">
        <f>BM338+BN338-BQ338</f>
        <v/>
      </c>
      <c r="BS338" s="14" t="n">
        <v>0</v>
      </c>
      <c r="BT338" s="14" t="n">
        <v>0</v>
      </c>
      <c r="BU338" s="14" t="n">
        <v>0</v>
      </c>
      <c r="BV338" s="14" t="n">
        <v>0</v>
      </c>
      <c r="BW338" s="15">
        <f>BU338+BV338</f>
        <v/>
      </c>
      <c r="BX338" s="15">
        <f>BS338+BT338-BW338</f>
        <v/>
      </c>
      <c r="BY338" s="15">
        <f>BA338+BG338+BM338+BS338</f>
        <v/>
      </c>
      <c r="BZ338" s="15">
        <f>BB338+BH338+BN338+BT338</f>
        <v/>
      </c>
      <c r="CA338" s="15">
        <f>BE338+BK338+BQ338+BW338</f>
        <v/>
      </c>
      <c r="CB338" s="15">
        <f>BF338+BL338+BR338+BX338</f>
        <v/>
      </c>
      <c r="CC338" s="14" t="n">
        <v>0</v>
      </c>
      <c r="CD338" s="14" t="n">
        <v>47</v>
      </c>
      <c r="CE338" s="14" t="n">
        <v>5</v>
      </c>
      <c r="CF338" s="14" t="n">
        <v>0</v>
      </c>
      <c r="CG338" s="14" t="n">
        <v>6</v>
      </c>
      <c r="CH338" s="15">
        <f>CD338+CE338+CF338+CG338</f>
        <v/>
      </c>
      <c r="CI338" s="14" t="n">
        <v>90</v>
      </c>
      <c r="CJ338" s="14" t="n">
        <v>3</v>
      </c>
      <c r="CK338" s="14" t="n">
        <v>0</v>
      </c>
      <c r="CL338" s="14" t="n">
        <v>0</v>
      </c>
      <c r="CM338" s="15">
        <f>CI338+CJ338+CK338+CL338</f>
        <v/>
      </c>
      <c r="CN338" s="14" t="n">
        <v>1070</v>
      </c>
      <c r="CO338" s="14" t="n">
        <v>15</v>
      </c>
      <c r="CP338" s="14" t="n">
        <v>11</v>
      </c>
      <c r="CQ338" s="14" t="n">
        <v>13</v>
      </c>
      <c r="CR338" s="15">
        <f>CN338+CO338+CP338+CQ338</f>
        <v/>
      </c>
      <c r="CS338" s="15">
        <f>CM338+CR338</f>
        <v/>
      </c>
      <c r="CT338" s="14" t="n">
        <v>1260</v>
      </c>
      <c r="CU338" s="14" t="n">
        <v>8409</v>
      </c>
      <c r="CV338" s="14" t="n">
        <v>8065.6</v>
      </c>
      <c r="CW338" s="16">
        <f>IF(CU338=0,"",CV338/CU338)</f>
        <v/>
      </c>
      <c r="CX338" s="14" t="n"/>
      <c r="CY338" s="14" t="n"/>
      <c r="CZ338" s="14" t="n"/>
      <c r="DA338" s="14" t="n"/>
      <c r="DB338" s="15">
        <f>CX338+CY338-CZ338-DA338</f>
        <v/>
      </c>
      <c r="DC338" s="14" t="n">
        <v>0</v>
      </c>
      <c r="DD338" s="14" t="n">
        <v>0</v>
      </c>
      <c r="DE338" s="14" t="n">
        <v>0</v>
      </c>
      <c r="DF338" s="14" t="n">
        <v>0</v>
      </c>
      <c r="DG338" s="15">
        <f>DC338+DD338-DE338-DF338</f>
        <v/>
      </c>
      <c r="DH338" s="14" t="n">
        <v>0</v>
      </c>
      <c r="DI338" s="14" t="n">
        <v>0</v>
      </c>
      <c r="DJ338" s="14" t="n">
        <v>0</v>
      </c>
      <c r="DK338" s="14" t="n">
        <v>0</v>
      </c>
      <c r="DL338" s="15">
        <f>DH338+DI338-DJ338-DK338</f>
        <v/>
      </c>
      <c r="DM338" s="14" t="n">
        <v>0</v>
      </c>
      <c r="DN338" s="14" t="n">
        <v>32</v>
      </c>
      <c r="DO338" s="14" t="n">
        <v>0</v>
      </c>
      <c r="DP338" s="14" t="n">
        <v>32</v>
      </c>
      <c r="DQ338" s="15">
        <f>DM338+DN338-DO338-DP338</f>
        <v/>
      </c>
      <c r="DR338" s="15">
        <f>CX338+DC338+DH338+DM338</f>
        <v/>
      </c>
      <c r="DS338" s="15">
        <f>CY338+DD338+DI338+DN338</f>
        <v/>
      </c>
      <c r="DT338" s="15">
        <f>CZ338+DE338+DJ338+DO338</f>
        <v/>
      </c>
      <c r="DU338" s="15">
        <f>DA338+DF338+DK338+DP338</f>
        <v/>
      </c>
      <c r="DV338" s="15">
        <f>DB338+DG338+DL338+DQ338</f>
        <v/>
      </c>
      <c r="DW338" s="14" t="n">
        <v>18</v>
      </c>
      <c r="DX338" s="14" t="n">
        <v>3</v>
      </c>
      <c r="DY338" s="14" t="n">
        <v>4</v>
      </c>
      <c r="DZ338" s="14" t="n">
        <v>0</v>
      </c>
      <c r="EA338" s="14" t="n">
        <v>1</v>
      </c>
      <c r="EB338" s="14" t="n">
        <v>0</v>
      </c>
      <c r="EC338" s="14" t="n">
        <v>0</v>
      </c>
      <c r="ED338" s="14" t="n">
        <v>0</v>
      </c>
      <c r="EE338" s="14" t="n">
        <v>0</v>
      </c>
      <c r="EF338" s="14" t="n">
        <v>0</v>
      </c>
      <c r="EG338" s="14" t="n">
        <v>0</v>
      </c>
      <c r="EH338" s="14" t="n">
        <v>0</v>
      </c>
      <c r="EI338" s="14" t="n">
        <v>0</v>
      </c>
      <c r="EJ338" s="14" t="n">
        <v>1</v>
      </c>
      <c r="EK338" s="14" t="n">
        <v>0</v>
      </c>
      <c r="EL338" s="14" t="n">
        <v>0</v>
      </c>
      <c r="EM338" s="14" t="n">
        <v>0</v>
      </c>
      <c r="EN338" s="14" t="n">
        <v>0</v>
      </c>
      <c r="EO338" s="14" t="n">
        <v>0</v>
      </c>
      <c r="EP338" s="14" t="n">
        <v>0</v>
      </c>
      <c r="EQ338" s="14" t="n">
        <v>0</v>
      </c>
      <c r="ER338" s="14" t="n">
        <v>0</v>
      </c>
      <c r="ES338" s="14" t="n">
        <v>0</v>
      </c>
      <c r="ET338" s="14" t="n">
        <v>0</v>
      </c>
      <c r="EU338" s="14" t="n">
        <v>0</v>
      </c>
      <c r="EV338" s="14" t="n">
        <v>0</v>
      </c>
      <c r="EW338" s="14" t="n">
        <v>0</v>
      </c>
      <c r="EX338" s="14" t="n">
        <v>0</v>
      </c>
      <c r="EY338" s="14" t="n">
        <v>0</v>
      </c>
      <c r="EZ338" s="14" t="n">
        <v>0</v>
      </c>
      <c r="FA338" s="14" t="n">
        <v>0</v>
      </c>
      <c r="FB338" s="14" t="n">
        <v>0</v>
      </c>
      <c r="FC338" s="14" t="n">
        <v>0</v>
      </c>
      <c r="FD338" s="14" t="n">
        <v>0</v>
      </c>
      <c r="FE338" s="14" t="n">
        <v>0</v>
      </c>
      <c r="FF338" s="14" t="n">
        <v>0</v>
      </c>
      <c r="FG338" s="15">
        <f>SUM(DW338,DX338,DY338,DZ338,EA338,EB338,EC338,ED338,EE338,EF338,EG338,EH338,EI338,EJ338,EK338,EL338,EM338,EN338,EO338,EP338,EQ338,ER338,ES338,ET338,EU338,EV338,EW338,EX338,EY338,EZ338,FA338,FB338,FC338,FD338,FE338,FF338)</f>
        <v/>
      </c>
      <c r="FH338" s="14" t="n">
        <v>0</v>
      </c>
      <c r="FI338" s="14" t="n">
        <v>0</v>
      </c>
      <c r="FJ338" s="14" t="n">
        <v>22</v>
      </c>
      <c r="FK338" s="14" t="n">
        <v>50</v>
      </c>
      <c r="FL338" s="14" t="n">
        <v>0</v>
      </c>
      <c r="FM338" s="14" t="n">
        <v>0</v>
      </c>
      <c r="FN338" s="14" t="n">
        <v>0</v>
      </c>
      <c r="FO338" s="14" t="n">
        <v>0</v>
      </c>
      <c r="FP338" s="14" t="n">
        <v>0</v>
      </c>
      <c r="FQ338" s="15">
        <f>FL338+FM338+FN338+FO338+FP338</f>
        <v/>
      </c>
      <c r="FR338" s="14" t="n">
        <v>391201</v>
      </c>
      <c r="FS338" s="14" t="n">
        <v>0</v>
      </c>
      <c r="FT338" s="14" t="n">
        <v>0</v>
      </c>
      <c r="FU338" s="14" t="n">
        <v>0</v>
      </c>
      <c r="FV338" s="15">
        <f>FR338+FS338+FT338+FU338</f>
        <v/>
      </c>
      <c r="FW338" s="14" t="n">
        <v>6875502.5</v>
      </c>
      <c r="FX338" s="14" t="n">
        <v>34450</v>
      </c>
      <c r="FY338" s="14" t="n">
        <v>419900</v>
      </c>
      <c r="FZ338" s="14" t="n">
        <v>745569.7</v>
      </c>
      <c r="GA338" s="15">
        <f>FW338+FX338+FY338+FZ338</f>
        <v/>
      </c>
      <c r="GB338" s="15">
        <f>FV338+GA338</f>
        <v/>
      </c>
      <c r="GC338" s="14" t="n">
        <v>433721.49</v>
      </c>
      <c r="GD338" s="14" t="n">
        <v>0</v>
      </c>
      <c r="GE338" s="14" t="n">
        <v>56247.18</v>
      </c>
      <c r="GF338" s="14" t="n">
        <v>0</v>
      </c>
      <c r="GG338" s="15">
        <f>GC338+GD338+GE338+GF338</f>
        <v/>
      </c>
      <c r="GH338" s="14" t="n">
        <v>6645292.16</v>
      </c>
      <c r="GI338" s="14" t="n">
        <v>34450</v>
      </c>
      <c r="GJ338" s="14" t="n">
        <v>745569.7</v>
      </c>
      <c r="GK338" s="14" t="n">
        <v>419900</v>
      </c>
      <c r="GL338" s="15">
        <f>GH338+GI338+GJ338+GK338</f>
        <v/>
      </c>
      <c r="GM338" s="15">
        <f>GG338+GL338</f>
        <v/>
      </c>
      <c r="GN338" s="14" t="n">
        <v>49043.7</v>
      </c>
      <c r="GO338" s="14" t="n">
        <v>0</v>
      </c>
      <c r="GP338" s="14" t="n">
        <v>10180.92</v>
      </c>
      <c r="GQ338" s="14" t="n">
        <v>0</v>
      </c>
      <c r="GR338" s="15">
        <f>GN338+GO338+GP338+GQ338</f>
        <v/>
      </c>
      <c r="GS338" s="14" t="n">
        <v>80370</v>
      </c>
      <c r="GT338" s="14" t="n">
        <v>0</v>
      </c>
      <c r="GU338" s="14" t="n">
        <v>2679</v>
      </c>
      <c r="GV338" s="14" t="n">
        <v>0</v>
      </c>
      <c r="GW338" s="15">
        <f>GS338+GT338+GU338+GV338</f>
        <v/>
      </c>
      <c r="GX338" s="15">
        <f>GM338+GR338+GW338</f>
        <v/>
      </c>
      <c r="GY338" s="14" t="n">
        <v>6472689.930000002</v>
      </c>
      <c r="GZ338" s="14" t="n">
        <v>0</v>
      </c>
      <c r="HA338" s="9">
        <f>GY338+GZ338</f>
        <v/>
      </c>
      <c r="HB338" s="15">
        <f>IF(GX338=0,"",AU338/GX338)</f>
        <v/>
      </c>
      <c r="HC338" s="16">
        <f>IF((GX338+GY338)=0,"",GB338/(GX338+GY338))</f>
        <v/>
      </c>
      <c r="HD338" s="15">
        <f>IF(GX338=0,"",GB338/GX338)</f>
        <v/>
      </c>
      <c r="HE338" s="14" t="n">
        <v>15</v>
      </c>
      <c r="HF338" s="14" t="n">
        <v>1</v>
      </c>
      <c r="HG338" s="14" t="n">
        <v>27</v>
      </c>
      <c r="HH338" s="14" t="n">
        <v>15</v>
      </c>
      <c r="HI338" s="14" t="n">
        <v>28</v>
      </c>
      <c r="HJ338" s="15">
        <f>HF338+HI338</f>
        <v/>
      </c>
      <c r="HK338" s="16">
        <f>IF(HE338=0,"",HH338/HE338)</f>
        <v/>
      </c>
      <c r="HL338" s="14" t="n">
        <v>0</v>
      </c>
      <c r="HM338" s="14" t="n">
        <v>0</v>
      </c>
      <c r="HN338" s="17">
        <f>IF(HL338=0,"",HM338/HL338)</f>
        <v/>
      </c>
    </row>
    <row r="339">
      <c r="A339" s="6" t="inlineStr">
        <is>
          <t>Zomba</t>
        </is>
      </c>
      <c r="B339" s="6" t="inlineStr">
        <is>
          <t>Mwanza</t>
        </is>
      </c>
      <c r="C339" s="7" t="inlineStr">
        <is>
          <t>FY2025/26</t>
        </is>
      </c>
      <c r="D339" s="7" t="n">
        <v>2025</v>
      </c>
      <c r="E339" s="7" t="n">
        <v>4</v>
      </c>
      <c r="F339" s="7" t="inlineStr">
        <is>
          <t>April</t>
        </is>
      </c>
      <c r="G339" s="7" t="inlineStr">
        <is>
          <t>Q1</t>
        </is>
      </c>
      <c r="H339" s="8" t="n">
        <v>39065</v>
      </c>
      <c r="I339" s="8" t="n">
        <v>21024</v>
      </c>
      <c r="J339" s="8" t="n">
        <v>1073</v>
      </c>
      <c r="K339" s="8" t="n">
        <v>380</v>
      </c>
      <c r="L339" s="8" t="n">
        <v>139</v>
      </c>
      <c r="M339" s="9">
        <f>SUM(I339,J339,K339,L339)</f>
        <v/>
      </c>
      <c r="N339" s="8" t="n">
        <v>2036.5</v>
      </c>
      <c r="O339" s="8" t="n">
        <v>226.9</v>
      </c>
      <c r="P339" s="8" t="n">
        <v>3423.6</v>
      </c>
      <c r="Q339" s="8" t="n">
        <v>536.6</v>
      </c>
      <c r="R339" s="9">
        <f>SUM(N339,O339,P339,Q339)</f>
        <v/>
      </c>
      <c r="S339" s="9">
        <f>M339+R339</f>
        <v/>
      </c>
      <c r="T339" s="8" t="n">
        <v>10225.4</v>
      </c>
      <c r="U339" s="10">
        <f>IF(H339=0,"",T339/H339)</f>
        <v/>
      </c>
      <c r="V339" s="8" t="n">
        <v>8</v>
      </c>
      <c r="W339" s="11">
        <f>IF(H339=0,"",V339/H339)</f>
        <v/>
      </c>
      <c r="X339" s="8" t="n">
        <v>0</v>
      </c>
      <c r="Y339" s="11">
        <f>IF(H339=0,"",X339/H339)</f>
        <v/>
      </c>
      <c r="Z339" s="8" t="n">
        <v>0</v>
      </c>
      <c r="AA339" s="11">
        <f>IF(H339=0,"",Z339/H339)</f>
        <v/>
      </c>
      <c r="AB339" s="8" t="n">
        <v>0</v>
      </c>
      <c r="AC339" s="11">
        <f>IF(H339=0,"",AB339/H339)</f>
        <v/>
      </c>
      <c r="AD339" s="8" t="n">
        <v>0</v>
      </c>
      <c r="AE339" s="11">
        <f>IF(H339=0,"",AD339/H339)</f>
        <v/>
      </c>
      <c r="AF339" s="8" t="n">
        <v>0</v>
      </c>
      <c r="AG339" s="11">
        <f>IF(H339=0,"",AF339/H339)</f>
        <v/>
      </c>
      <c r="AH339" s="8" t="n">
        <v>208000</v>
      </c>
      <c r="AI339" s="9">
        <f>IF(H339=0,"",AH339/H339)</f>
        <v/>
      </c>
      <c r="AJ339" s="8" t="n">
        <v>16170</v>
      </c>
      <c r="AK339" s="11">
        <f>IF(H339=0,"",AJ339/H339)</f>
        <v/>
      </c>
      <c r="AL339" s="8" t="n">
        <v>4451012.98</v>
      </c>
      <c r="AM339" s="9">
        <f>IF(H339=0,"",AL339/H339)</f>
        <v/>
      </c>
      <c r="AN339" s="8" t="n">
        <v>0</v>
      </c>
      <c r="AO339" s="8" t="n">
        <v>0</v>
      </c>
      <c r="AP339" s="8" t="n">
        <v>0</v>
      </c>
      <c r="AQ339" s="8" t="n">
        <v>0</v>
      </c>
      <c r="AR339" s="8" t="n">
        <v>9543673.68</v>
      </c>
      <c r="AS339" s="8" t="n">
        <v>2435978.69</v>
      </c>
      <c r="AT339" s="8" t="n">
        <v>0</v>
      </c>
      <c r="AU339" s="9">
        <f>AH339+AL339+AP339+AQ339+AR339+AS339+AT339</f>
        <v/>
      </c>
      <c r="AV339" s="9">
        <f>IF(H339=0,"",AU339/H339)</f>
        <v/>
      </c>
      <c r="AW339" s="9">
        <f>IF(S339=0,"",AU339/S339)</f>
        <v/>
      </c>
      <c r="AX339" s="8" t="n">
        <v>12</v>
      </c>
      <c r="AY339" s="9">
        <f>IF(H339=0,"",AX339/(H339/1000/12))</f>
        <v/>
      </c>
      <c r="AZ339" s="8" t="n">
        <v>26</v>
      </c>
      <c r="BA339" s="8" t="n">
        <v>62</v>
      </c>
      <c r="BB339" s="8" t="n">
        <v>13</v>
      </c>
      <c r="BC339" s="8" t="n">
        <v>28</v>
      </c>
      <c r="BD339" s="8" t="n">
        <v>0</v>
      </c>
      <c r="BE339" s="9">
        <f>BC339+BD339</f>
        <v/>
      </c>
      <c r="BF339" s="9">
        <f>BA339+BB339-BE339</f>
        <v/>
      </c>
      <c r="BG339" s="8" t="n">
        <v>0</v>
      </c>
      <c r="BH339" s="8" t="n">
        <v>0</v>
      </c>
      <c r="BI339" s="8" t="n">
        <v>0</v>
      </c>
      <c r="BJ339" s="8" t="n">
        <v>0</v>
      </c>
      <c r="BK339" s="9">
        <f>BI339+BJ339</f>
        <v/>
      </c>
      <c r="BL339" s="9">
        <f>BG339+BH339-BK339</f>
        <v/>
      </c>
      <c r="BM339" s="8" t="n">
        <v>0</v>
      </c>
      <c r="BN339" s="8" t="n">
        <v>0</v>
      </c>
      <c r="BO339" s="8" t="n">
        <v>0</v>
      </c>
      <c r="BP339" s="8" t="n">
        <v>0</v>
      </c>
      <c r="BQ339" s="9">
        <f>BO339+BP339</f>
        <v/>
      </c>
      <c r="BR339" s="9">
        <f>BM339+BN339-BQ339</f>
        <v/>
      </c>
      <c r="BS339" s="8" t="n">
        <v>0</v>
      </c>
      <c r="BT339" s="8" t="n">
        <v>0</v>
      </c>
      <c r="BU339" s="8" t="n">
        <v>0</v>
      </c>
      <c r="BV339" s="8" t="n">
        <v>0</v>
      </c>
      <c r="BW339" s="9">
        <f>BU339+BV339</f>
        <v/>
      </c>
      <c r="BX339" s="9">
        <f>BS339+BT339-BW339</f>
        <v/>
      </c>
      <c r="BY339" s="9">
        <f>BA339+BG339+BM339+BS339</f>
        <v/>
      </c>
      <c r="BZ339" s="9">
        <f>BB339+BH339+BN339+BT339</f>
        <v/>
      </c>
      <c r="CA339" s="9">
        <f>BE339+BK339+BQ339+BW339</f>
        <v/>
      </c>
      <c r="CB339" s="9">
        <f>BF339+BL339+BR339+BX339</f>
        <v/>
      </c>
      <c r="CC339" s="8" t="n">
        <v>0</v>
      </c>
      <c r="CD339" s="8" t="n">
        <v>853</v>
      </c>
      <c r="CE339" s="8" t="n">
        <v>54</v>
      </c>
      <c r="CF339" s="8" t="n">
        <v>10</v>
      </c>
      <c r="CG339" s="8" t="n">
        <v>10</v>
      </c>
      <c r="CH339" s="9">
        <f>CD339+CE339+CF339+CG339</f>
        <v/>
      </c>
      <c r="CI339" s="8" t="n">
        <v>2606</v>
      </c>
      <c r="CJ339" s="8" t="n">
        <v>18</v>
      </c>
      <c r="CK339" s="8" t="n">
        <v>21</v>
      </c>
      <c r="CL339" s="8" t="n">
        <v>16</v>
      </c>
      <c r="CM339" s="9">
        <f>CI339+CJ339+CK339+CL339</f>
        <v/>
      </c>
      <c r="CN339" s="8" t="n">
        <v>255</v>
      </c>
      <c r="CO339" s="8" t="n">
        <v>39</v>
      </c>
      <c r="CP339" s="8" t="n">
        <v>73</v>
      </c>
      <c r="CQ339" s="8" t="n">
        <v>2</v>
      </c>
      <c r="CR339" s="9">
        <f>CN339+CO339+CP339+CQ339</f>
        <v/>
      </c>
      <c r="CS339" s="9">
        <f>CM339+CR339</f>
        <v/>
      </c>
      <c r="CT339" s="8" t="n">
        <v>3957</v>
      </c>
      <c r="CU339" s="8" t="n">
        <v>23099</v>
      </c>
      <c r="CV339" s="8" t="n">
        <v>19584.4</v>
      </c>
      <c r="CW339" s="10">
        <f>IF(CU339=0,"",CV339/CU339)</f>
        <v/>
      </c>
      <c r="CX339" s="8" t="n">
        <v>4</v>
      </c>
      <c r="CY339" s="8" t="n">
        <v>1</v>
      </c>
      <c r="CZ339" s="8" t="n">
        <v>0</v>
      </c>
      <c r="DA339" s="8" t="n">
        <v>0</v>
      </c>
      <c r="DB339" s="9">
        <f>CX339+CY339-CZ339-DA339</f>
        <v/>
      </c>
      <c r="DC339" s="8" t="n">
        <v>7</v>
      </c>
      <c r="DD339" s="8" t="n">
        <v>0</v>
      </c>
      <c r="DE339" s="8" t="n">
        <v>1</v>
      </c>
      <c r="DF339" s="8" t="n">
        <v>0</v>
      </c>
      <c r="DG339" s="9">
        <f>DC339+DD339-DE339-DF339</f>
        <v/>
      </c>
      <c r="DH339" s="8" t="n">
        <v>2</v>
      </c>
      <c r="DI339" s="8" t="n">
        <v>1</v>
      </c>
      <c r="DJ339" s="8" t="n">
        <v>0</v>
      </c>
      <c r="DK339" s="8" t="n">
        <v>0</v>
      </c>
      <c r="DL339" s="9">
        <f>DH339+DI339-DJ339-DK339</f>
        <v/>
      </c>
      <c r="DM339" s="8" t="n">
        <v>457</v>
      </c>
      <c r="DN339" s="8" t="n">
        <v>55</v>
      </c>
      <c r="DO339" s="8" t="n">
        <v>12</v>
      </c>
      <c r="DP339" s="8" t="n">
        <v>0</v>
      </c>
      <c r="DQ339" s="9">
        <f>DM339+DN339-DO339-DP339</f>
        <v/>
      </c>
      <c r="DR339" s="9">
        <f>CX339+DC339+DH339+DM339</f>
        <v/>
      </c>
      <c r="DS339" s="9">
        <f>CY339+DD339+DI339+DN339</f>
        <v/>
      </c>
      <c r="DT339" s="9">
        <f>CZ339+DE339+DJ339+DO339</f>
        <v/>
      </c>
      <c r="DU339" s="9">
        <f>DA339+DF339+DK339+DP339</f>
        <v/>
      </c>
      <c r="DV339" s="9">
        <f>DB339+DG339+DL339+DQ339</f>
        <v/>
      </c>
      <c r="DW339" s="8" t="n">
        <v>37</v>
      </c>
      <c r="DX339" s="8" t="n">
        <v>15</v>
      </c>
      <c r="DY339" s="8" t="n">
        <v>7</v>
      </c>
      <c r="DZ339" s="8" t="n">
        <v>3</v>
      </c>
      <c r="EA339" s="8" t="n">
        <v>6</v>
      </c>
      <c r="EB339" s="8" t="n">
        <v>9</v>
      </c>
      <c r="EC339" s="8" t="n">
        <v>4</v>
      </c>
      <c r="ED339" s="8" t="n">
        <v>6</v>
      </c>
      <c r="EE339" s="8" t="n">
        <v>0</v>
      </c>
      <c r="EF339" s="8" t="n">
        <v>0</v>
      </c>
      <c r="EG339" s="8" t="n">
        <v>0</v>
      </c>
      <c r="EH339" s="8" t="n">
        <v>0</v>
      </c>
      <c r="EI339" s="8" t="n">
        <v>0</v>
      </c>
      <c r="EJ339" s="8" t="n">
        <v>3</v>
      </c>
      <c r="EK339" s="8" t="n">
        <v>0</v>
      </c>
      <c r="EL339" s="8" t="n">
        <v>0</v>
      </c>
      <c r="EM339" s="8" t="n">
        <v>0</v>
      </c>
      <c r="EN339" s="8" t="n">
        <v>0</v>
      </c>
      <c r="EO339" s="8" t="n">
        <v>0</v>
      </c>
      <c r="EP339" s="8" t="n">
        <v>0</v>
      </c>
      <c r="EQ339" s="8" t="n">
        <v>0</v>
      </c>
      <c r="ER339" s="8" t="n">
        <v>0</v>
      </c>
      <c r="ES339" s="8" t="n">
        <v>0</v>
      </c>
      <c r="ET339" s="8" t="n">
        <v>0</v>
      </c>
      <c r="EU339" s="8" t="n">
        <v>0</v>
      </c>
      <c r="EV339" s="8" t="n">
        <v>0</v>
      </c>
      <c r="EW339" s="8" t="n">
        <v>0</v>
      </c>
      <c r="EX339" s="8" t="n">
        <v>0</v>
      </c>
      <c r="EY339" s="8" t="n">
        <v>0</v>
      </c>
      <c r="EZ339" s="8" t="n">
        <v>0</v>
      </c>
      <c r="FA339" s="8" t="n">
        <v>0</v>
      </c>
      <c r="FB339" s="8" t="n">
        <v>0</v>
      </c>
      <c r="FC339" s="8" t="n">
        <v>0</v>
      </c>
      <c r="FD339" s="8" t="n">
        <v>0</v>
      </c>
      <c r="FE339" s="8" t="n">
        <v>0</v>
      </c>
      <c r="FF339" s="8" t="n">
        <v>0</v>
      </c>
      <c r="FG339" s="9">
        <f>SUM(DW339,DX339,DY339,DZ339,EA339,EB339,EC339,ED339,EE339,EF339,EG339,EH339,EI339,EJ339,EK339,EL339,EM339,EN339,EO339,EP339,EQ339,ER339,ES339,ET339,EU339,EV339,EW339,EX339,EY339,EZ339,FA339,FB339,FC339,FD339,FE339,FF339)</f>
        <v/>
      </c>
      <c r="FH339" s="8" t="n">
        <v>0</v>
      </c>
      <c r="FI339" s="8" t="n">
        <v>0</v>
      </c>
      <c r="FJ339" s="8" t="n">
        <v>22</v>
      </c>
      <c r="FK339" s="8" t="n">
        <v>8.449999999999999</v>
      </c>
      <c r="FL339" s="8" t="n">
        <v>0</v>
      </c>
      <c r="FM339" s="8" t="n">
        <v>0</v>
      </c>
      <c r="FN339" s="8" t="n">
        <v>0</v>
      </c>
      <c r="FO339" s="8" t="n">
        <v>0</v>
      </c>
      <c r="FP339" s="8" t="n">
        <v>0</v>
      </c>
      <c r="FQ339" s="9">
        <f>FL339+FM339+FN339+FO339+FP339</f>
        <v/>
      </c>
      <c r="FR339" s="8" t="n">
        <v>14765037.88</v>
      </c>
      <c r="FS339" s="8" t="n">
        <v>93500</v>
      </c>
      <c r="FT339" s="8" t="n">
        <v>678950</v>
      </c>
      <c r="FU339" s="8" t="n">
        <v>80000</v>
      </c>
      <c r="FV339" s="9">
        <f>FR339+FS339+FT339+FU339</f>
        <v/>
      </c>
      <c r="FW339" s="8" t="n">
        <v>2405863</v>
      </c>
      <c r="FX339" s="8" t="n">
        <v>48200</v>
      </c>
      <c r="FY339" s="8" t="n">
        <v>2625662</v>
      </c>
      <c r="FZ339" s="8" t="n">
        <v>10479621.34</v>
      </c>
      <c r="GA339" s="9">
        <f>FW339+FX339+FY339+FZ339</f>
        <v/>
      </c>
      <c r="GB339" s="9">
        <f>FV339+GA339</f>
        <v/>
      </c>
      <c r="GC339" s="8" t="n">
        <v>19206701.02</v>
      </c>
      <c r="GD339" s="8" t="n">
        <v>205243.44</v>
      </c>
      <c r="GE339" s="8" t="n">
        <v>1242601.96</v>
      </c>
      <c r="GF339" s="8" t="n">
        <v>435253.65</v>
      </c>
      <c r="GG339" s="9">
        <f>GC339+GD339+GE339+GF339</f>
        <v/>
      </c>
      <c r="GH339" s="8" t="n">
        <v>2541680.92</v>
      </c>
      <c r="GI339" s="8" t="n">
        <v>48200</v>
      </c>
      <c r="GJ339" s="8" t="n">
        <v>10404321.34</v>
      </c>
      <c r="GK339" s="8" t="n">
        <v>2535764.59</v>
      </c>
      <c r="GL339" s="9">
        <f>GH339+GI339+GJ339+GK339</f>
        <v/>
      </c>
      <c r="GM339" s="9">
        <f>GG339+GL339</f>
        <v/>
      </c>
      <c r="GN339" s="8" t="n">
        <v>1382381.26</v>
      </c>
      <c r="GO339" s="8" t="n">
        <v>3060.48</v>
      </c>
      <c r="GP339" s="8" t="n">
        <v>61085.52</v>
      </c>
      <c r="GQ339" s="8" t="n">
        <v>97384.14</v>
      </c>
      <c r="GR339" s="9">
        <f>GN339+GO339+GP339+GQ339</f>
        <v/>
      </c>
      <c r="GS339" s="8" t="n">
        <v>2327158</v>
      </c>
      <c r="GT339" s="8" t="n">
        <v>14288</v>
      </c>
      <c r="GU339" s="8" t="n">
        <v>16074</v>
      </c>
      <c r="GV339" s="8" t="n">
        <v>18753</v>
      </c>
      <c r="GW339" s="9">
        <f>GS339+GT339+GU339+GV339</f>
        <v/>
      </c>
      <c r="GX339" s="9">
        <f>GM339+GR339+GW339</f>
        <v/>
      </c>
      <c r="GY339" s="8" t="n">
        <v>147482438.8699994</v>
      </c>
      <c r="GZ339" s="8" t="n">
        <v>-1849403.34</v>
      </c>
      <c r="HA339" s="9">
        <f>GY339+GZ339</f>
        <v/>
      </c>
      <c r="HB339" s="9">
        <f>IF(GX339=0,"",AU339/GX339)</f>
        <v/>
      </c>
      <c r="HC339" s="10">
        <f>IF((GX339+GY339)=0,"",GB339/(GX339+GY339))</f>
        <v/>
      </c>
      <c r="HD339" s="9">
        <f>IF(GX339=0,"",GB339/GX339)</f>
        <v/>
      </c>
      <c r="HE339" s="8" t="n">
        <v>13</v>
      </c>
      <c r="HF339" s="8" t="n">
        <v>2</v>
      </c>
      <c r="HG339" s="8" t="n">
        <v>47</v>
      </c>
      <c r="HH339" s="8" t="n">
        <v>13</v>
      </c>
      <c r="HI339" s="8" t="n">
        <v>8</v>
      </c>
      <c r="HJ339" s="9">
        <f>HF339+HI339</f>
        <v/>
      </c>
      <c r="HK339" s="10">
        <f>IF(HE339=0,"",HH339/HE339)</f>
        <v/>
      </c>
      <c r="HL339" s="8" t="n">
        <v>43</v>
      </c>
      <c r="HM339" s="8" t="n">
        <v>8</v>
      </c>
      <c r="HN339" s="11">
        <f>IF(HL339=0,"",HM339/HL339)</f>
        <v/>
      </c>
    </row>
    <row r="340">
      <c r="A340" s="12" t="inlineStr">
        <is>
          <t>Zomba</t>
        </is>
      </c>
      <c r="B340" s="12" t="inlineStr">
        <is>
          <t>Mwanza</t>
        </is>
      </c>
      <c r="C340" s="13" t="inlineStr">
        <is>
          <t>FY2025/26</t>
        </is>
      </c>
      <c r="D340" s="13" t="n">
        <v>2025</v>
      </c>
      <c r="E340" s="13" t="n">
        <v>5</v>
      </c>
      <c r="F340" s="13" t="inlineStr">
        <is>
          <t>May</t>
        </is>
      </c>
      <c r="G340" s="13" t="inlineStr">
        <is>
          <t>Q1</t>
        </is>
      </c>
      <c r="H340" s="14" t="n">
        <v>36765</v>
      </c>
      <c r="I340" s="14" t="n">
        <v>20389</v>
      </c>
      <c r="J340" s="14" t="n">
        <v>873</v>
      </c>
      <c r="K340" s="14" t="n">
        <v>404</v>
      </c>
      <c r="L340" s="14" t="n">
        <v>121</v>
      </c>
      <c r="M340" s="15">
        <f>SUM(I340,J340,K340,L340)</f>
        <v/>
      </c>
      <c r="N340" s="14" t="n">
        <v>1819.9</v>
      </c>
      <c r="O340" s="14" t="n">
        <v>242</v>
      </c>
      <c r="P340" s="14" t="n">
        <v>1562</v>
      </c>
      <c r="Q340" s="14" t="n">
        <v>479.400000000001</v>
      </c>
      <c r="R340" s="15">
        <f>SUM(N340,O340,P340,Q340)</f>
        <v/>
      </c>
      <c r="S340" s="15">
        <f>M340+R340</f>
        <v/>
      </c>
      <c r="T340" s="14" t="n">
        <v>10874.7</v>
      </c>
      <c r="U340" s="16">
        <f>IF(H340=0,"",T340/H340)</f>
        <v/>
      </c>
      <c r="V340" s="14" t="n">
        <v>10.5</v>
      </c>
      <c r="W340" s="17">
        <f>IF(H340=0,"",V340/H340)</f>
        <v/>
      </c>
      <c r="X340" s="14" t="n">
        <v>0</v>
      </c>
      <c r="Y340" s="17">
        <f>IF(H340=0,"",X340/H340)</f>
        <v/>
      </c>
      <c r="Z340" s="14" t="n">
        <v>0</v>
      </c>
      <c r="AA340" s="17">
        <f>IF(H340=0,"",Z340/H340)</f>
        <v/>
      </c>
      <c r="AB340" s="14" t="n">
        <v>0</v>
      </c>
      <c r="AC340" s="17">
        <f>IF(H340=0,"",AB340/H340)</f>
        <v/>
      </c>
      <c r="AD340" s="14" t="n">
        <v>0</v>
      </c>
      <c r="AE340" s="17">
        <f>IF(H340=0,"",AD340/H340)</f>
        <v/>
      </c>
      <c r="AF340" s="14" t="n">
        <v>0</v>
      </c>
      <c r="AG340" s="17">
        <f>IF(H340=0,"",AF340/H340)</f>
        <v/>
      </c>
      <c r="AH340" s="14" t="n">
        <v>273000</v>
      </c>
      <c r="AI340" s="15">
        <f>IF(H340=0,"",AH340/H340)</f>
        <v/>
      </c>
      <c r="AJ340" s="14" t="n">
        <v>18839</v>
      </c>
      <c r="AK340" s="17">
        <f>IF(H340=0,"",AJ340/H340)</f>
        <v/>
      </c>
      <c r="AL340" s="14" t="n">
        <v>5180474.701</v>
      </c>
      <c r="AM340" s="15">
        <f>IF(H340=0,"",AL340/H340)</f>
        <v/>
      </c>
      <c r="AN340" s="14" t="n">
        <v>0</v>
      </c>
      <c r="AO340" s="14" t="n">
        <v>0</v>
      </c>
      <c r="AP340" s="14" t="n">
        <v>0</v>
      </c>
      <c r="AQ340" s="14" t="n">
        <v>0</v>
      </c>
      <c r="AR340" s="14" t="n">
        <v>0</v>
      </c>
      <c r="AS340" s="14" t="n">
        <v>0</v>
      </c>
      <c r="AT340" s="14" t="n">
        <v>0</v>
      </c>
      <c r="AU340" s="15">
        <f>AH340+AL340+AP340+AQ340+AR340+AS340+AT340</f>
        <v/>
      </c>
      <c r="AV340" s="15">
        <f>IF(H340=0,"",AU340/H340)</f>
        <v/>
      </c>
      <c r="AW340" s="15">
        <f>IF(S340=0,"",AU340/S340)</f>
        <v/>
      </c>
      <c r="AX340" s="14" t="n">
        <v>12</v>
      </c>
      <c r="AY340" s="15">
        <f>IF(H340=0,"",AX340/(H340/1000/12))</f>
        <v/>
      </c>
      <c r="AZ340" s="14" t="n">
        <v>26</v>
      </c>
      <c r="BA340" s="14" t="n">
        <v>47</v>
      </c>
      <c r="BB340" s="14" t="n">
        <v>17</v>
      </c>
      <c r="BC340" s="14" t="n">
        <v>23</v>
      </c>
      <c r="BD340" s="14" t="n">
        <v>0</v>
      </c>
      <c r="BE340" s="15">
        <f>BC340+BD340</f>
        <v/>
      </c>
      <c r="BF340" s="15">
        <f>BA340+BB340-BE340</f>
        <v/>
      </c>
      <c r="BG340" s="14" t="n">
        <v>0</v>
      </c>
      <c r="BH340" s="14" t="n">
        <v>0</v>
      </c>
      <c r="BI340" s="14" t="n">
        <v>0</v>
      </c>
      <c r="BJ340" s="14" t="n">
        <v>0</v>
      </c>
      <c r="BK340" s="15">
        <f>BI340+BJ340</f>
        <v/>
      </c>
      <c r="BL340" s="15">
        <f>BG340+BH340-BK340</f>
        <v/>
      </c>
      <c r="BM340" s="14" t="n">
        <v>0</v>
      </c>
      <c r="BN340" s="14" t="n">
        <v>0</v>
      </c>
      <c r="BO340" s="14" t="n">
        <v>0</v>
      </c>
      <c r="BP340" s="14" t="n">
        <v>0</v>
      </c>
      <c r="BQ340" s="15">
        <f>BO340+BP340</f>
        <v/>
      </c>
      <c r="BR340" s="15">
        <f>BM340+BN340-BQ340</f>
        <v/>
      </c>
      <c r="BS340" s="14" t="n">
        <v>0</v>
      </c>
      <c r="BT340" s="14" t="n">
        <v>0</v>
      </c>
      <c r="BU340" s="14" t="n">
        <v>0</v>
      </c>
      <c r="BV340" s="14" t="n">
        <v>0</v>
      </c>
      <c r="BW340" s="15">
        <f>BU340+BV340</f>
        <v/>
      </c>
      <c r="BX340" s="15">
        <f>BS340+BT340-BW340</f>
        <v/>
      </c>
      <c r="BY340" s="15">
        <f>BA340+BG340+BM340+BS340</f>
        <v/>
      </c>
      <c r="BZ340" s="15">
        <f>BB340+BH340+BN340+BT340</f>
        <v/>
      </c>
      <c r="CA340" s="15">
        <f>BE340+BK340+BQ340+BW340</f>
        <v/>
      </c>
      <c r="CB340" s="15">
        <f>BF340+BL340+BR340+BX340</f>
        <v/>
      </c>
      <c r="CC340" s="14" t="n">
        <v>0</v>
      </c>
      <c r="CD340" s="14" t="n">
        <v>848</v>
      </c>
      <c r="CE340" s="14" t="n">
        <v>54</v>
      </c>
      <c r="CF340" s="14" t="n">
        <v>12</v>
      </c>
      <c r="CG340" s="14" t="n">
        <v>10</v>
      </c>
      <c r="CH340" s="15">
        <f>CD340+CE340+CF340+CG340</f>
        <v/>
      </c>
      <c r="CI340" s="14" t="n">
        <v>2636</v>
      </c>
      <c r="CJ340" s="14" t="n">
        <v>18</v>
      </c>
      <c r="CK340" s="14" t="n">
        <v>19</v>
      </c>
      <c r="CL340" s="14" t="n">
        <v>16</v>
      </c>
      <c r="CM340" s="15">
        <f>CI340+CJ340+CK340+CL340</f>
        <v/>
      </c>
      <c r="CN340" s="14" t="n">
        <v>253</v>
      </c>
      <c r="CO340" s="14" t="n">
        <v>39</v>
      </c>
      <c r="CP340" s="14" t="n">
        <v>73</v>
      </c>
      <c r="CQ340" s="14" t="n">
        <v>2</v>
      </c>
      <c r="CR340" s="15">
        <f>CN340+CO340+CP340+CQ340</f>
        <v/>
      </c>
      <c r="CS340" s="15">
        <f>CM340+CR340</f>
        <v/>
      </c>
      <c r="CT340" s="14" t="n">
        <v>3980</v>
      </c>
      <c r="CU340" s="14" t="n">
        <v>23155</v>
      </c>
      <c r="CV340" s="14" t="n">
        <v>19584.4</v>
      </c>
      <c r="CW340" s="16">
        <f>IF(CU340=0,"",CV340/CU340)</f>
        <v/>
      </c>
      <c r="CX340" s="14" t="n">
        <v>5</v>
      </c>
      <c r="CY340" s="14" t="n">
        <v>0</v>
      </c>
      <c r="CZ340" s="14" t="n">
        <v>1</v>
      </c>
      <c r="DA340" s="14" t="n">
        <v>0</v>
      </c>
      <c r="DB340" s="15">
        <f>CX340+CY340-CZ340-DA340</f>
        <v/>
      </c>
      <c r="DC340" s="14" t="n">
        <v>6</v>
      </c>
      <c r="DD340" s="14" t="n">
        <v>0</v>
      </c>
      <c r="DE340" s="14" t="n">
        <v>0</v>
      </c>
      <c r="DF340" s="14" t="n">
        <v>0</v>
      </c>
      <c r="DG340" s="15">
        <f>DC340+DD340-DE340-DF340</f>
        <v/>
      </c>
      <c r="DH340" s="14" t="n">
        <v>3</v>
      </c>
      <c r="DI340" s="14" t="n">
        <v>0</v>
      </c>
      <c r="DJ340" s="14" t="n">
        <v>0</v>
      </c>
      <c r="DK340" s="14" t="n">
        <v>0</v>
      </c>
      <c r="DL340" s="15">
        <f>DH340+DI340-DJ340-DK340</f>
        <v/>
      </c>
      <c r="DM340" s="14" t="n">
        <v>500</v>
      </c>
      <c r="DN340" s="14" t="n">
        <v>56</v>
      </c>
      <c r="DO340" s="14" t="n">
        <v>6</v>
      </c>
      <c r="DP340" s="14" t="n">
        <v>0</v>
      </c>
      <c r="DQ340" s="15">
        <f>DM340+DN340-DO340-DP340</f>
        <v/>
      </c>
      <c r="DR340" s="15">
        <f>CX340+DC340+DH340+DM340</f>
        <v/>
      </c>
      <c r="DS340" s="15">
        <f>CY340+DD340+DI340+DN340</f>
        <v/>
      </c>
      <c r="DT340" s="15">
        <f>CZ340+DE340+DJ340+DO340</f>
        <v/>
      </c>
      <c r="DU340" s="15">
        <f>DA340+DF340+DK340+DP340</f>
        <v/>
      </c>
      <c r="DV340" s="15">
        <f>DB340+DG340+DL340+DQ340</f>
        <v/>
      </c>
      <c r="DW340" s="14" t="n">
        <v>31</v>
      </c>
      <c r="DX340" s="14" t="n">
        <v>18</v>
      </c>
      <c r="DY340" s="14" t="n">
        <v>7</v>
      </c>
      <c r="DZ340" s="14" t="n">
        <v>4</v>
      </c>
      <c r="EA340" s="14" t="n">
        <v>7</v>
      </c>
      <c r="EB340" s="14" t="n">
        <v>10</v>
      </c>
      <c r="EC340" s="14" t="n">
        <v>5</v>
      </c>
      <c r="ED340" s="14" t="n">
        <v>4</v>
      </c>
      <c r="EE340" s="14" t="n">
        <v>0</v>
      </c>
      <c r="EF340" s="14" t="n">
        <v>0</v>
      </c>
      <c r="EG340" s="14" t="n">
        <v>0</v>
      </c>
      <c r="EH340" s="14" t="n">
        <v>0</v>
      </c>
      <c r="EI340" s="14" t="n">
        <v>0</v>
      </c>
      <c r="EJ340" s="14" t="n">
        <v>6</v>
      </c>
      <c r="EK340" s="14" t="n">
        <v>0</v>
      </c>
      <c r="EL340" s="14" t="n">
        <v>0</v>
      </c>
      <c r="EM340" s="14" t="n">
        <v>0</v>
      </c>
      <c r="EN340" s="14" t="n">
        <v>0</v>
      </c>
      <c r="EO340" s="14" t="n">
        <v>0</v>
      </c>
      <c r="EP340" s="14" t="n">
        <v>0</v>
      </c>
      <c r="EQ340" s="14" t="n">
        <v>0</v>
      </c>
      <c r="ER340" s="14" t="n">
        <v>0</v>
      </c>
      <c r="ES340" s="14" t="n">
        <v>0</v>
      </c>
      <c r="ET340" s="14" t="n">
        <v>0</v>
      </c>
      <c r="EU340" s="14" t="n">
        <v>0</v>
      </c>
      <c r="EV340" s="14" t="n">
        <v>0</v>
      </c>
      <c r="EW340" s="14" t="n">
        <v>0</v>
      </c>
      <c r="EX340" s="14" t="n">
        <v>0</v>
      </c>
      <c r="EY340" s="14" t="n">
        <v>0</v>
      </c>
      <c r="EZ340" s="14" t="n">
        <v>0</v>
      </c>
      <c r="FA340" s="14" t="n">
        <v>0</v>
      </c>
      <c r="FB340" s="14" t="n">
        <v>0</v>
      </c>
      <c r="FC340" s="14" t="n">
        <v>0</v>
      </c>
      <c r="FD340" s="14" t="n">
        <v>0</v>
      </c>
      <c r="FE340" s="14" t="n">
        <v>0</v>
      </c>
      <c r="FF340" s="14" t="n">
        <v>0</v>
      </c>
      <c r="FG340" s="15">
        <f>SUM(DW340,DX340,DY340,DZ340,EA340,EB340,EC340,ED340,EE340,EF340,EG340,EH340,EI340,EJ340,EK340,EL340,EM340,EN340,EO340,EP340,EQ340,ER340,ES340,ET340,EU340,EV340,EW340,EX340,EY340,EZ340,FA340,FB340,FC340,FD340,FE340,FF340)</f>
        <v/>
      </c>
      <c r="FH340" s="14" t="n">
        <v>0</v>
      </c>
      <c r="FI340" s="14" t="n">
        <v>0</v>
      </c>
      <c r="FJ340" s="14" t="n">
        <v>21</v>
      </c>
      <c r="FK340" s="14" t="n">
        <v>18.2</v>
      </c>
      <c r="FL340" s="14" t="n">
        <v>0</v>
      </c>
      <c r="FM340" s="14" t="n">
        <v>0</v>
      </c>
      <c r="FN340" s="14" t="n">
        <v>0</v>
      </c>
      <c r="FO340" s="14" t="n">
        <v>0</v>
      </c>
      <c r="FP340" s="14" t="n">
        <v>0</v>
      </c>
      <c r="FQ340" s="15">
        <f>FL340+FM340+FN340+FO340+FP340</f>
        <v/>
      </c>
      <c r="FR340" s="14" t="n">
        <v>52330841.63999994</v>
      </c>
      <c r="FS340" s="14" t="n">
        <v>357100</v>
      </c>
      <c r="FT340" s="14" t="n">
        <v>1001480.54</v>
      </c>
      <c r="FU340" s="14" t="n">
        <v>668917.22</v>
      </c>
      <c r="FV340" s="15">
        <f>FR340+FS340+FT340+FU340</f>
        <v/>
      </c>
      <c r="FW340" s="14" t="n">
        <v>2290450</v>
      </c>
      <c r="FX340" s="14" t="n">
        <v>51400</v>
      </c>
      <c r="FY340" s="14" t="n">
        <v>2267000</v>
      </c>
      <c r="FZ340" s="14" t="n">
        <v>4749550</v>
      </c>
      <c r="GA340" s="15">
        <f>FW340+FX340+FY340+FZ340</f>
        <v/>
      </c>
      <c r="GB340" s="15">
        <f>FV340+GA340</f>
        <v/>
      </c>
      <c r="GC340" s="14" t="n">
        <v>18635170.88</v>
      </c>
      <c r="GD340" s="14" t="n">
        <v>166987.44</v>
      </c>
      <c r="GE340" s="14" t="n">
        <v>1308360.08</v>
      </c>
      <c r="GF340" s="14" t="n">
        <v>363843.65</v>
      </c>
      <c r="GG340" s="15">
        <f>GC340+GD340+GE340+GF340</f>
        <v/>
      </c>
      <c r="GH340" s="14" t="n">
        <v>2270550</v>
      </c>
      <c r="GI340" s="14" t="n">
        <v>51400</v>
      </c>
      <c r="GJ340" s="14" t="n">
        <v>4746550</v>
      </c>
      <c r="GK340" s="14" t="n">
        <v>2264420</v>
      </c>
      <c r="GL340" s="15">
        <f>GH340+GI340+GJ340+GK340</f>
        <v/>
      </c>
      <c r="GM340" s="15">
        <f>GG340+GL340</f>
        <v/>
      </c>
      <c r="GN340" s="14" t="n">
        <v>1398073.76</v>
      </c>
      <c r="GO340" s="14" t="n">
        <v>3060.48</v>
      </c>
      <c r="GP340" s="14" t="n">
        <v>61085.52</v>
      </c>
      <c r="GQ340" s="14" t="n">
        <v>88109.46000000001</v>
      </c>
      <c r="GR340" s="15">
        <f>GN340+GO340+GP340+GQ340</f>
        <v/>
      </c>
      <c r="GS340" s="14" t="n">
        <v>2353948</v>
      </c>
      <c r="GT340" s="14" t="n">
        <v>14288</v>
      </c>
      <c r="GU340" s="14" t="n">
        <v>16074</v>
      </c>
      <c r="GV340" s="14" t="n">
        <v>16967</v>
      </c>
      <c r="GW340" s="15">
        <f>GS340+GT340+GU340+GV340</f>
        <v/>
      </c>
      <c r="GX340" s="15">
        <f>GM340+GR340+GW340</f>
        <v/>
      </c>
      <c r="GY340" s="14" t="n">
        <v>117396282.7299999</v>
      </c>
      <c r="GZ340" s="14" t="n">
        <v>-1753491.99</v>
      </c>
      <c r="HA340" s="9">
        <f>GY340+GZ340</f>
        <v/>
      </c>
      <c r="HB340" s="15">
        <f>IF(GX340=0,"",AU340/GX340)</f>
        <v/>
      </c>
      <c r="HC340" s="16">
        <f>IF((GX340+GY340)=0,"",GB340/(GX340+GY340))</f>
        <v/>
      </c>
      <c r="HD340" s="15">
        <f>IF(GX340=0,"",GB340/GX340)</f>
        <v/>
      </c>
      <c r="HE340" s="14" t="n">
        <v>17</v>
      </c>
      <c r="HF340" s="14" t="n">
        <v>2</v>
      </c>
      <c r="HG340" s="14" t="n">
        <v>41</v>
      </c>
      <c r="HH340" s="14" t="n">
        <v>17</v>
      </c>
      <c r="HI340" s="14" t="n">
        <v>6</v>
      </c>
      <c r="HJ340" s="15">
        <f>HF340+HI340</f>
        <v/>
      </c>
      <c r="HK340" s="16">
        <f>IF(HE340=0,"",HH340/HE340)</f>
        <v/>
      </c>
      <c r="HL340" s="14" t="n">
        <v>30</v>
      </c>
      <c r="HM340" s="14" t="n">
        <v>9</v>
      </c>
      <c r="HN340" s="17">
        <f>IF(HL340=0,"",HM340/HL340)</f>
        <v/>
      </c>
    </row>
    <row r="341">
      <c r="A341" s="6" t="inlineStr">
        <is>
          <t>Zomba</t>
        </is>
      </c>
      <c r="B341" s="6" t="inlineStr">
        <is>
          <t>Mwanza</t>
        </is>
      </c>
      <c r="C341" s="7" t="inlineStr">
        <is>
          <t>FY2025/26</t>
        </is>
      </c>
      <c r="D341" s="7" t="n">
        <v>2025</v>
      </c>
      <c r="E341" s="7" t="n">
        <v>6</v>
      </c>
      <c r="F341" s="7" t="inlineStr">
        <is>
          <t>June</t>
        </is>
      </c>
      <c r="G341" s="7" t="inlineStr">
        <is>
          <t>Q1</t>
        </is>
      </c>
      <c r="H341" s="8" t="n">
        <v>30857</v>
      </c>
      <c r="I341" s="8" t="n">
        <v>19389</v>
      </c>
      <c r="J341" s="8" t="n">
        <v>681</v>
      </c>
      <c r="K341" s="8" t="n">
        <v>462</v>
      </c>
      <c r="L341" s="8" t="n">
        <v>122</v>
      </c>
      <c r="M341" s="9">
        <f>SUM(I341,J341,K341,L341)</f>
        <v/>
      </c>
      <c r="N341" s="8" t="n">
        <v>1523.5</v>
      </c>
      <c r="O341" s="8" t="n">
        <v>219.8</v>
      </c>
      <c r="P341" s="8" t="n">
        <v>1161</v>
      </c>
      <c r="Q341" s="8" t="n">
        <v>510.5</v>
      </c>
      <c r="R341" s="9">
        <f>SUM(N341,O341,P341,Q341)</f>
        <v/>
      </c>
      <c r="S341" s="9">
        <f>M341+R341</f>
        <v/>
      </c>
      <c r="T341" s="8" t="n">
        <v>6788.2</v>
      </c>
      <c r="U341" s="10">
        <f>IF(H341=0,"",T341/H341)</f>
        <v/>
      </c>
      <c r="V341" s="8" t="n">
        <v>10</v>
      </c>
      <c r="W341" s="11">
        <f>IF(H341=0,"",V341/H341)</f>
        <v/>
      </c>
      <c r="X341" s="8" t="n">
        <v>0</v>
      </c>
      <c r="Y341" s="11">
        <f>IF(H341=0,"",X341/H341)</f>
        <v/>
      </c>
      <c r="Z341" s="8" t="n">
        <v>0</v>
      </c>
      <c r="AA341" s="11">
        <f>IF(H341=0,"",Z341/H341)</f>
        <v/>
      </c>
      <c r="AB341" s="8" t="n">
        <v>0</v>
      </c>
      <c r="AC341" s="11">
        <f>IF(H341=0,"",AB341/H341)</f>
        <v/>
      </c>
      <c r="AD341" s="8" t="n">
        <v>0</v>
      </c>
      <c r="AE341" s="11">
        <f>IF(H341=0,"",AD341/H341)</f>
        <v/>
      </c>
      <c r="AF341" s="8" t="n">
        <v>0</v>
      </c>
      <c r="AG341" s="11">
        <f>IF(H341=0,"",AF341/H341)</f>
        <v/>
      </c>
      <c r="AH341" s="8" t="n">
        <v>260000</v>
      </c>
      <c r="AI341" s="9">
        <f>IF(H341=0,"",AH341/H341)</f>
        <v/>
      </c>
      <c r="AJ341" s="8" t="n">
        <v>17273</v>
      </c>
      <c r="AK341" s="11">
        <f>IF(H341=0,"",AJ341/H341)</f>
        <v/>
      </c>
      <c r="AL341" s="8" t="n">
        <v>4752472.807</v>
      </c>
      <c r="AM341" s="9">
        <f>IF(H341=0,"",AL341/H341)</f>
        <v/>
      </c>
      <c r="AN341" s="8" t="n">
        <v>0</v>
      </c>
      <c r="AO341" s="8" t="n">
        <v>0</v>
      </c>
      <c r="AP341" s="8" t="n">
        <v>0</v>
      </c>
      <c r="AQ341" s="8" t="n">
        <v>0</v>
      </c>
      <c r="AR341" s="8" t="n">
        <v>0</v>
      </c>
      <c r="AS341" s="8" t="n">
        <v>0</v>
      </c>
      <c r="AT341" s="8" t="n">
        <v>0</v>
      </c>
      <c r="AU341" s="9">
        <f>AH341+AL341+AP341+AQ341+AR341+AS341+AT341</f>
        <v/>
      </c>
      <c r="AV341" s="9">
        <f>IF(H341=0,"",AU341/H341)</f>
        <v/>
      </c>
      <c r="AW341" s="9">
        <f>IF(S341=0,"",AU341/S341)</f>
        <v/>
      </c>
      <c r="AX341" s="8" t="n">
        <v>12</v>
      </c>
      <c r="AY341" s="9">
        <f>IF(H341=0,"",AX341/(H341/1000/12))</f>
        <v/>
      </c>
      <c r="AZ341" s="8" t="n">
        <v>28</v>
      </c>
      <c r="BA341" s="8" t="n">
        <v>41</v>
      </c>
      <c r="BB341" s="8" t="n">
        <v>17</v>
      </c>
      <c r="BC341" s="8" t="n">
        <v>11</v>
      </c>
      <c r="BD341" s="8" t="n">
        <v>0</v>
      </c>
      <c r="BE341" s="9">
        <f>BC341+BD341</f>
        <v/>
      </c>
      <c r="BF341" s="9">
        <f>BA341+BB341-BE341</f>
        <v/>
      </c>
      <c r="BG341" s="8" t="n">
        <v>0</v>
      </c>
      <c r="BH341" s="8" t="n">
        <v>0</v>
      </c>
      <c r="BI341" s="8" t="n">
        <v>0</v>
      </c>
      <c r="BJ341" s="8" t="n">
        <v>0</v>
      </c>
      <c r="BK341" s="9">
        <f>BI341+BJ341</f>
        <v/>
      </c>
      <c r="BL341" s="9">
        <f>BG341+BH341-BK341</f>
        <v/>
      </c>
      <c r="BM341" s="8" t="n">
        <v>0</v>
      </c>
      <c r="BN341" s="8" t="n">
        <v>0</v>
      </c>
      <c r="BO341" s="8" t="n">
        <v>0</v>
      </c>
      <c r="BP341" s="8" t="n">
        <v>0</v>
      </c>
      <c r="BQ341" s="9">
        <f>BO341+BP341</f>
        <v/>
      </c>
      <c r="BR341" s="9">
        <f>BM341+BN341-BQ341</f>
        <v/>
      </c>
      <c r="BS341" s="8" t="n">
        <v>0</v>
      </c>
      <c r="BT341" s="8" t="n">
        <v>0</v>
      </c>
      <c r="BU341" s="8" t="n">
        <v>0</v>
      </c>
      <c r="BV341" s="8" t="n">
        <v>0</v>
      </c>
      <c r="BW341" s="9">
        <f>BU341+BV341</f>
        <v/>
      </c>
      <c r="BX341" s="9">
        <f>BS341+BT341-BW341</f>
        <v/>
      </c>
      <c r="BY341" s="9">
        <f>BA341+BG341+BM341+BS341</f>
        <v/>
      </c>
      <c r="BZ341" s="9">
        <f>BB341+BH341+BN341+BT341</f>
        <v/>
      </c>
      <c r="CA341" s="9">
        <f>BE341+BK341+BQ341+BW341</f>
        <v/>
      </c>
      <c r="CB341" s="9">
        <f>BF341+BL341+BR341+BX341</f>
        <v/>
      </c>
      <c r="CC341" s="8" t="n">
        <v>2</v>
      </c>
      <c r="CD341" s="8" t="n">
        <v>838</v>
      </c>
      <c r="CE341" s="8" t="n">
        <v>52</v>
      </c>
      <c r="CF341" s="8" t="n">
        <v>12</v>
      </c>
      <c r="CG341" s="8" t="n">
        <v>10</v>
      </c>
      <c r="CH341" s="9">
        <f>CD341+CE341+CF341+CG341</f>
        <v/>
      </c>
      <c r="CI341" s="8" t="n">
        <v>2656</v>
      </c>
      <c r="CJ341" s="8" t="n">
        <v>19</v>
      </c>
      <c r="CK341" s="8" t="n">
        <v>19</v>
      </c>
      <c r="CL341" s="8" t="n">
        <v>16</v>
      </c>
      <c r="CM341" s="9">
        <f>CI341+CJ341+CK341+CL341</f>
        <v/>
      </c>
      <c r="CN341" s="8" t="n">
        <v>254</v>
      </c>
      <c r="CO341" s="8" t="n">
        <v>40</v>
      </c>
      <c r="CP341" s="8" t="n">
        <v>73</v>
      </c>
      <c r="CQ341" s="8" t="n">
        <v>2</v>
      </c>
      <c r="CR341" s="9">
        <f>CN341+CO341+CP341+CQ341</f>
        <v/>
      </c>
      <c r="CS341" s="9">
        <f>CM341+CR341</f>
        <v/>
      </c>
      <c r="CT341" s="8" t="n">
        <v>3991</v>
      </c>
      <c r="CU341" s="8" t="n">
        <v>23211</v>
      </c>
      <c r="CV341" s="8" t="n">
        <v>19631.3</v>
      </c>
      <c r="CW341" s="10">
        <f>IF(CU341=0,"",CV341/CU341)</f>
        <v/>
      </c>
      <c r="CX341" s="8" t="n">
        <v>4</v>
      </c>
      <c r="CY341" s="8" t="n">
        <v>2</v>
      </c>
      <c r="CZ341" s="8" t="n">
        <v>2</v>
      </c>
      <c r="DA341" s="8" t="n">
        <v>0</v>
      </c>
      <c r="DB341" s="9">
        <f>CX341+CY341-CZ341-DA341</f>
        <v/>
      </c>
      <c r="DC341" s="8" t="n">
        <v>6</v>
      </c>
      <c r="DD341" s="8" t="n">
        <v>1</v>
      </c>
      <c r="DE341" s="8" t="n">
        <v>0</v>
      </c>
      <c r="DF341" s="8" t="n">
        <v>0</v>
      </c>
      <c r="DG341" s="9">
        <f>DC341+DD341-DE341-DF341</f>
        <v/>
      </c>
      <c r="DH341" s="8" t="n">
        <v>3</v>
      </c>
      <c r="DI341" s="8" t="n">
        <v>0</v>
      </c>
      <c r="DJ341" s="8" t="n">
        <v>0</v>
      </c>
      <c r="DK341" s="8" t="n">
        <v>0</v>
      </c>
      <c r="DL341" s="9">
        <f>DH341+DI341-DJ341-DK341</f>
        <v/>
      </c>
      <c r="DM341" s="8" t="n">
        <v>550</v>
      </c>
      <c r="DN341" s="8" t="n">
        <v>8</v>
      </c>
      <c r="DO341" s="8" t="n">
        <v>10</v>
      </c>
      <c r="DP341" s="8" t="n">
        <v>0</v>
      </c>
      <c r="DQ341" s="9">
        <f>DM341+DN341-DO341-DP341</f>
        <v/>
      </c>
      <c r="DR341" s="9">
        <f>CX341+DC341+DH341+DM341</f>
        <v/>
      </c>
      <c r="DS341" s="9">
        <f>CY341+DD341+DI341+DN341</f>
        <v/>
      </c>
      <c r="DT341" s="9">
        <f>CZ341+DE341+DJ341+DO341</f>
        <v/>
      </c>
      <c r="DU341" s="9">
        <f>DA341+DF341+DK341+DP341</f>
        <v/>
      </c>
      <c r="DV341" s="9">
        <f>DB341+DG341+DL341+DQ341</f>
        <v/>
      </c>
      <c r="DW341" s="8" t="n">
        <v>35</v>
      </c>
      <c r="DX341" s="8" t="n">
        <v>23</v>
      </c>
      <c r="DY341" s="8" t="n">
        <v>3</v>
      </c>
      <c r="DZ341" s="8" t="n">
        <v>6</v>
      </c>
      <c r="EA341" s="8" t="n">
        <v>5</v>
      </c>
      <c r="EB341" s="8" t="n">
        <v>4</v>
      </c>
      <c r="EC341" s="8" t="n">
        <v>5</v>
      </c>
      <c r="ED341" s="8" t="n">
        <v>5</v>
      </c>
      <c r="EE341" s="8" t="n">
        <v>0</v>
      </c>
      <c r="EF341" s="8" t="n">
        <v>1</v>
      </c>
      <c r="EG341" s="8" t="n">
        <v>0</v>
      </c>
      <c r="EH341" s="8" t="n">
        <v>0</v>
      </c>
      <c r="EI341" s="8" t="n">
        <v>0</v>
      </c>
      <c r="EJ341" s="8" t="n">
        <v>5</v>
      </c>
      <c r="EK341" s="8" t="n">
        <v>0</v>
      </c>
      <c r="EL341" s="8" t="n">
        <v>0</v>
      </c>
      <c r="EM341" s="8" t="n">
        <v>0</v>
      </c>
      <c r="EN341" s="8" t="n">
        <v>0</v>
      </c>
      <c r="EO341" s="8" t="n">
        <v>0</v>
      </c>
      <c r="EP341" s="8" t="n">
        <v>0</v>
      </c>
      <c r="EQ341" s="8" t="n">
        <v>0</v>
      </c>
      <c r="ER341" s="8" t="n">
        <v>0</v>
      </c>
      <c r="ES341" s="8" t="n">
        <v>0</v>
      </c>
      <c r="ET341" s="8" t="n">
        <v>0</v>
      </c>
      <c r="EU341" s="8" t="n">
        <v>0</v>
      </c>
      <c r="EV341" s="8" t="n">
        <v>0</v>
      </c>
      <c r="EW341" s="8" t="n">
        <v>0</v>
      </c>
      <c r="EX341" s="8" t="n">
        <v>0</v>
      </c>
      <c r="EY341" s="8" t="n">
        <v>0</v>
      </c>
      <c r="EZ341" s="8" t="n">
        <v>0</v>
      </c>
      <c r="FA341" s="8" t="n">
        <v>0</v>
      </c>
      <c r="FB341" s="8" t="n">
        <v>0</v>
      </c>
      <c r="FC341" s="8" t="n">
        <v>0</v>
      </c>
      <c r="FD341" s="8" t="n">
        <v>0</v>
      </c>
      <c r="FE341" s="8" t="n">
        <v>0</v>
      </c>
      <c r="FF341" s="8" t="n">
        <v>0</v>
      </c>
      <c r="FG341" s="9">
        <f>SUM(DW341,DX341,DY341,DZ341,EA341,EB341,EC341,ED341,EE341,EF341,EG341,EH341,EI341,EJ341,EK341,EL341,EM341,EN341,EO341,EP341,EQ341,ER341,ES341,ET341,EU341,EV341,EW341,EX341,EY341,EZ341,FA341,FB341,FC341,FD341,FE341,FF341)</f>
        <v/>
      </c>
      <c r="FH341" s="8" t="n">
        <v>0</v>
      </c>
      <c r="FI341" s="8" t="n">
        <v>0</v>
      </c>
      <c r="FJ341" s="8" t="n">
        <v>20</v>
      </c>
      <c r="FK341" s="8" t="n">
        <v>27.92</v>
      </c>
      <c r="FL341" s="8" t="n">
        <v>0</v>
      </c>
      <c r="FM341" s="8" t="n">
        <v>0</v>
      </c>
      <c r="FN341" s="8" t="n">
        <v>0</v>
      </c>
      <c r="FO341" s="8" t="n">
        <v>0</v>
      </c>
      <c r="FP341" s="8" t="n">
        <v>0</v>
      </c>
      <c r="FQ341" s="9">
        <f>FL341+FM341+FN341+FO341+FP341</f>
        <v/>
      </c>
      <c r="FR341" s="8" t="n">
        <v>17339940.18</v>
      </c>
      <c r="FS341" s="8" t="n">
        <v>225950</v>
      </c>
      <c r="FT341" s="8" t="n">
        <v>310167.22</v>
      </c>
      <c r="FU341" s="8" t="n">
        <v>133800</v>
      </c>
      <c r="FV341" s="9">
        <f>FR341+FS341+FT341+FU341</f>
        <v/>
      </c>
      <c r="FW341" s="8" t="n">
        <v>1925955.36</v>
      </c>
      <c r="FX341" s="8" t="n">
        <v>46700</v>
      </c>
      <c r="FY341" s="8" t="n">
        <v>2435599</v>
      </c>
      <c r="FZ341" s="8" t="n">
        <v>3556400</v>
      </c>
      <c r="GA341" s="9">
        <f>FW341+FX341+FY341+FZ341</f>
        <v/>
      </c>
      <c r="GB341" s="9">
        <f>FV341+GA341</f>
        <v/>
      </c>
      <c r="GC341" s="8" t="n">
        <v>17865962.36</v>
      </c>
      <c r="GD341" s="8" t="n">
        <v>130261.68</v>
      </c>
      <c r="GE341" s="8" t="n">
        <v>1479064.15</v>
      </c>
      <c r="GF341" s="8" t="n">
        <v>358647.39</v>
      </c>
      <c r="GG341" s="9">
        <f>GC341+GD341+GE341+GF341</f>
        <v/>
      </c>
      <c r="GH341" s="8" t="n">
        <v>1900199.31</v>
      </c>
      <c r="GI341" s="8" t="n">
        <v>46700</v>
      </c>
      <c r="GJ341" s="8" t="n">
        <v>3528200</v>
      </c>
      <c r="GK341" s="8" t="n">
        <v>2417599</v>
      </c>
      <c r="GL341" s="9">
        <f>GH341+GI341+GJ341+GK341</f>
        <v/>
      </c>
      <c r="GM341" s="9">
        <f>GG341+GL341</f>
        <v/>
      </c>
      <c r="GN341" s="8" t="n">
        <v>1408972.36</v>
      </c>
      <c r="GO341" s="8" t="n">
        <v>3060.48</v>
      </c>
      <c r="GP341" s="8" t="n">
        <v>64479.16</v>
      </c>
      <c r="GQ341" s="8" t="n">
        <v>88109.46000000001</v>
      </c>
      <c r="GR341" s="9">
        <f>GN341+GO341+GP341+GQ341</f>
        <v/>
      </c>
      <c r="GS341" s="8" t="n">
        <v>2371808</v>
      </c>
      <c r="GT341" s="8" t="n">
        <v>14288</v>
      </c>
      <c r="GU341" s="8" t="n">
        <v>16967</v>
      </c>
      <c r="GV341" s="8" t="n">
        <v>16967</v>
      </c>
      <c r="GW341" s="9">
        <f>GS341+GT341+GU341+GV341</f>
        <v/>
      </c>
      <c r="GX341" s="9">
        <f>GM341+GR341+GW341</f>
        <v/>
      </c>
      <c r="GY341" s="8" t="n">
        <v>122121067.4499998</v>
      </c>
      <c r="GZ341" s="8" t="n">
        <v>-1715030.11</v>
      </c>
      <c r="HA341" s="9">
        <f>GY341+GZ341</f>
        <v/>
      </c>
      <c r="HB341" s="9">
        <f>IF(GX341=0,"",AU341/GX341)</f>
        <v/>
      </c>
      <c r="HC341" s="10">
        <f>IF((GX341+GY341)=0,"",GB341/(GX341+GY341))</f>
        <v/>
      </c>
      <c r="HD341" s="9">
        <f>IF(GX341=0,"",GB341/GX341)</f>
        <v/>
      </c>
      <c r="HE341" s="8" t="n">
        <v>17</v>
      </c>
      <c r="HF341" s="8" t="n">
        <v>2</v>
      </c>
      <c r="HG341" s="8" t="n">
        <v>47</v>
      </c>
      <c r="HH341" s="8" t="n">
        <v>17</v>
      </c>
      <c r="HI341" s="8" t="n">
        <v>2</v>
      </c>
      <c r="HJ341" s="9">
        <f>HF341+HI341</f>
        <v/>
      </c>
      <c r="HK341" s="10">
        <f>IF(HE341=0,"",HH341/HE341)</f>
        <v/>
      </c>
      <c r="HL341" s="8" t="n">
        <v>16</v>
      </c>
      <c r="HM341" s="8" t="n">
        <v>4</v>
      </c>
      <c r="HN341" s="11">
        <f>IF(HL341=0,"",HM341/HL341)</f>
        <v/>
      </c>
    </row>
    <row r="342">
      <c r="A342" s="12" t="inlineStr">
        <is>
          <t>Zomba</t>
        </is>
      </c>
      <c r="B342" s="12" t="inlineStr">
        <is>
          <t>Mwanza</t>
        </is>
      </c>
      <c r="C342" s="13" t="inlineStr">
        <is>
          <t>FY2025/26</t>
        </is>
      </c>
      <c r="D342" s="13" t="n">
        <v>2025</v>
      </c>
      <c r="E342" s="13" t="n">
        <v>7</v>
      </c>
      <c r="F342" s="13" t="inlineStr">
        <is>
          <t>July</t>
        </is>
      </c>
      <c r="G342" s="13" t="inlineStr">
        <is>
          <t>Q2</t>
        </is>
      </c>
      <c r="H342" s="14" t="n">
        <v>36537</v>
      </c>
      <c r="I342" s="14" t="n">
        <v>18532</v>
      </c>
      <c r="J342" s="14" t="n">
        <v>737</v>
      </c>
      <c r="K342" s="14" t="n">
        <v>272</v>
      </c>
      <c r="L342" s="14" t="n">
        <v>325</v>
      </c>
      <c r="M342" s="15">
        <f>SUM(I342,J342,K342,L342)</f>
        <v/>
      </c>
      <c r="N342" s="14" t="n">
        <v>1632.9</v>
      </c>
      <c r="O342" s="14" t="n">
        <v>208.4</v>
      </c>
      <c r="P342" s="14" t="n">
        <v>2810.9</v>
      </c>
      <c r="Q342" s="14" t="n">
        <v>565.9</v>
      </c>
      <c r="R342" s="15">
        <f>SUM(N342,O342,P342,Q342)</f>
        <v/>
      </c>
      <c r="S342" s="15">
        <f>M342+R342</f>
        <v/>
      </c>
      <c r="T342" s="14" t="n">
        <v>11452.9</v>
      </c>
      <c r="U342" s="16">
        <f>IF(H342=0,"",T342/H342)</f>
        <v/>
      </c>
      <c r="V342" s="14" t="n">
        <v>15.5</v>
      </c>
      <c r="W342" s="17">
        <f>IF(H342=0,"",V342/H342)</f>
        <v/>
      </c>
      <c r="X342" s="14" t="n">
        <v>0</v>
      </c>
      <c r="Y342" s="17">
        <f>IF(H342=0,"",X342/H342)</f>
        <v/>
      </c>
      <c r="Z342" s="14" t="n">
        <v>0</v>
      </c>
      <c r="AA342" s="17">
        <f>IF(H342=0,"",Z342/H342)</f>
        <v/>
      </c>
      <c r="AB342" s="14" t="n">
        <v>0</v>
      </c>
      <c r="AC342" s="17">
        <f>IF(H342=0,"",AB342/H342)</f>
        <v/>
      </c>
      <c r="AD342" s="14" t="n">
        <v>0</v>
      </c>
      <c r="AE342" s="17">
        <f>IF(H342=0,"",AD342/H342)</f>
        <v/>
      </c>
      <c r="AF342" s="14" t="n">
        <v>0</v>
      </c>
      <c r="AG342" s="17">
        <f>IF(H342=0,"",AF342/H342)</f>
        <v/>
      </c>
      <c r="AH342" s="14" t="n">
        <v>403000</v>
      </c>
      <c r="AI342" s="15">
        <f>IF(H342=0,"",AH342/H342)</f>
        <v/>
      </c>
      <c r="AJ342" s="14" t="n">
        <v>18981</v>
      </c>
      <c r="AK342" s="17">
        <f>IF(H342=0,"",AJ342/H342)</f>
        <v/>
      </c>
      <c r="AL342" s="14" t="n">
        <v>5219284.579</v>
      </c>
      <c r="AM342" s="15">
        <f>IF(H342=0,"",AL342/H342)</f>
        <v/>
      </c>
      <c r="AN342" s="14" t="n">
        <v>0</v>
      </c>
      <c r="AO342" s="14" t="n">
        <v>0</v>
      </c>
      <c r="AP342" s="14" t="n">
        <v>0</v>
      </c>
      <c r="AQ342" s="14" t="n">
        <v>0</v>
      </c>
      <c r="AR342" s="14" t="n">
        <v>0</v>
      </c>
      <c r="AS342" s="14" t="n">
        <v>0</v>
      </c>
      <c r="AT342" s="14" t="n">
        <v>0</v>
      </c>
      <c r="AU342" s="15">
        <f>AH342+AL342+AP342+AQ342+AR342+AS342+AT342</f>
        <v/>
      </c>
      <c r="AV342" s="15">
        <f>IF(H342=0,"",AU342/H342)</f>
        <v/>
      </c>
      <c r="AW342" s="15">
        <f>IF(S342=0,"",AU342/S342)</f>
        <v/>
      </c>
      <c r="AX342" s="14" t="n">
        <v>12</v>
      </c>
      <c r="AY342" s="15">
        <f>IF(H342=0,"",AX342/(H342/1000/12))</f>
        <v/>
      </c>
      <c r="AZ342" s="14" t="n">
        <v>28</v>
      </c>
      <c r="BA342" s="14" t="n">
        <v>47</v>
      </c>
      <c r="BB342" s="14" t="n">
        <v>19</v>
      </c>
      <c r="BC342" s="14" t="n">
        <v>29</v>
      </c>
      <c r="BD342" s="14" t="n">
        <v>0</v>
      </c>
      <c r="BE342" s="15">
        <f>BC342+BD342</f>
        <v/>
      </c>
      <c r="BF342" s="15">
        <f>BA342+BB342-BE342</f>
        <v/>
      </c>
      <c r="BG342" s="14" t="n">
        <v>0</v>
      </c>
      <c r="BH342" s="14" t="n">
        <v>0</v>
      </c>
      <c r="BI342" s="14" t="n">
        <v>0</v>
      </c>
      <c r="BJ342" s="14" t="n">
        <v>0</v>
      </c>
      <c r="BK342" s="15">
        <f>BI342+BJ342</f>
        <v/>
      </c>
      <c r="BL342" s="15">
        <f>BG342+BH342-BK342</f>
        <v/>
      </c>
      <c r="BM342" s="14" t="n">
        <v>0</v>
      </c>
      <c r="BN342" s="14" t="n">
        <v>0</v>
      </c>
      <c r="BO342" s="14" t="n">
        <v>0</v>
      </c>
      <c r="BP342" s="14" t="n">
        <v>0</v>
      </c>
      <c r="BQ342" s="15">
        <f>BO342+BP342</f>
        <v/>
      </c>
      <c r="BR342" s="15">
        <f>BM342+BN342-BQ342</f>
        <v/>
      </c>
      <c r="BS342" s="14" t="n">
        <v>0</v>
      </c>
      <c r="BT342" s="14" t="n">
        <v>0</v>
      </c>
      <c r="BU342" s="14" t="n">
        <v>0</v>
      </c>
      <c r="BV342" s="14" t="n">
        <v>0</v>
      </c>
      <c r="BW342" s="15">
        <f>BU342+BV342</f>
        <v/>
      </c>
      <c r="BX342" s="15">
        <f>BS342+BT342-BW342</f>
        <v/>
      </c>
      <c r="BY342" s="15">
        <f>BA342+BG342+BM342+BS342</f>
        <v/>
      </c>
      <c r="BZ342" s="15">
        <f>BB342+BH342+BN342+BT342</f>
        <v/>
      </c>
      <c r="CA342" s="15">
        <f>BE342+BK342+BQ342+BW342</f>
        <v/>
      </c>
      <c r="CB342" s="15">
        <f>BF342+BL342+BR342+BX342</f>
        <v/>
      </c>
      <c r="CC342" s="14" t="n">
        <v>0</v>
      </c>
      <c r="CD342" s="14" t="n">
        <v>937</v>
      </c>
      <c r="CE342" s="14" t="n">
        <v>53</v>
      </c>
      <c r="CF342" s="14" t="n">
        <v>10</v>
      </c>
      <c r="CG342" s="14" t="n">
        <v>10</v>
      </c>
      <c r="CH342" s="15">
        <f>CD342+CE342+CF342+CG342</f>
        <v/>
      </c>
      <c r="CI342" s="14" t="n">
        <v>2586</v>
      </c>
      <c r="CJ342" s="14" t="n">
        <v>18</v>
      </c>
      <c r="CK342" s="14" t="n">
        <v>21</v>
      </c>
      <c r="CL342" s="14" t="n">
        <v>16</v>
      </c>
      <c r="CM342" s="15">
        <f>CI342+CJ342+CK342+CL342</f>
        <v/>
      </c>
      <c r="CN342" s="14" t="n">
        <v>254</v>
      </c>
      <c r="CO342" s="14" t="n">
        <v>40</v>
      </c>
      <c r="CP342" s="14" t="n">
        <v>73</v>
      </c>
      <c r="CQ342" s="14" t="n">
        <v>2</v>
      </c>
      <c r="CR342" s="15">
        <f>CN342+CO342+CP342+CQ342</f>
        <v/>
      </c>
      <c r="CS342" s="15">
        <f>CM342+CR342</f>
        <v/>
      </c>
      <c r="CT342" s="14" t="n">
        <v>4020</v>
      </c>
      <c r="CU342" s="14" t="n">
        <v>23267</v>
      </c>
      <c r="CV342" s="14" t="n">
        <v>19755.7</v>
      </c>
      <c r="CW342" s="16">
        <f>IF(CU342=0,"",CV342/CU342)</f>
        <v/>
      </c>
      <c r="CX342" s="14" t="n">
        <v>4</v>
      </c>
      <c r="CY342" s="14" t="n">
        <v>0</v>
      </c>
      <c r="CZ342" s="14" t="n">
        <v>0</v>
      </c>
      <c r="DA342" s="14" t="n">
        <v>0</v>
      </c>
      <c r="DB342" s="15">
        <f>CX342+CY342-CZ342-DA342</f>
        <v/>
      </c>
      <c r="DC342" s="14" t="n">
        <v>7</v>
      </c>
      <c r="DD342" s="14" t="n">
        <v>0</v>
      </c>
      <c r="DE342" s="14" t="n">
        <v>1</v>
      </c>
      <c r="DF342" s="14" t="n">
        <v>0</v>
      </c>
      <c r="DG342" s="15">
        <f>DC342+DD342-DE342-DF342</f>
        <v/>
      </c>
      <c r="DH342" s="14" t="n">
        <v>3</v>
      </c>
      <c r="DI342" s="14" t="n">
        <v>1</v>
      </c>
      <c r="DJ342" s="14" t="n">
        <v>0</v>
      </c>
      <c r="DK342" s="14" t="n">
        <v>0</v>
      </c>
      <c r="DL342" s="15">
        <f>DH342+DI342-DJ342-DK342</f>
        <v/>
      </c>
      <c r="DM342" s="14" t="n">
        <v>548</v>
      </c>
      <c r="DN342" s="14" t="n">
        <v>37</v>
      </c>
      <c r="DO342" s="14" t="n">
        <v>10</v>
      </c>
      <c r="DP342" s="14" t="n">
        <v>0</v>
      </c>
      <c r="DQ342" s="15">
        <f>DM342+DN342-DO342-DP342</f>
        <v/>
      </c>
      <c r="DR342" s="15">
        <f>CX342+DC342+DH342+DM342</f>
        <v/>
      </c>
      <c r="DS342" s="15">
        <f>CY342+DD342+DI342+DN342</f>
        <v/>
      </c>
      <c r="DT342" s="15">
        <f>CZ342+DE342+DJ342+DO342</f>
        <v/>
      </c>
      <c r="DU342" s="15">
        <f>DA342+DF342+DK342+DP342</f>
        <v/>
      </c>
      <c r="DV342" s="15">
        <f>DB342+DG342+DL342+DQ342</f>
        <v/>
      </c>
      <c r="DW342" s="14" t="n">
        <v>25</v>
      </c>
      <c r="DX342" s="14" t="n">
        <v>11</v>
      </c>
      <c r="DY342" s="14" t="n">
        <v>5</v>
      </c>
      <c r="DZ342" s="14" t="n">
        <v>5</v>
      </c>
      <c r="EA342" s="14" t="n">
        <v>11</v>
      </c>
      <c r="EB342" s="14" t="n">
        <v>8</v>
      </c>
      <c r="EC342" s="14" t="n">
        <v>5</v>
      </c>
      <c r="ED342" s="14" t="n">
        <v>5</v>
      </c>
      <c r="EE342" s="14" t="n">
        <v>0</v>
      </c>
      <c r="EF342" s="14" t="n">
        <v>0</v>
      </c>
      <c r="EG342" s="14" t="n">
        <v>0</v>
      </c>
      <c r="EH342" s="14" t="n">
        <v>0</v>
      </c>
      <c r="EI342" s="14" t="n">
        <v>0</v>
      </c>
      <c r="EJ342" s="14" t="n">
        <v>5</v>
      </c>
      <c r="EK342" s="14" t="n">
        <v>0</v>
      </c>
      <c r="EL342" s="14" t="n">
        <v>0</v>
      </c>
      <c r="EM342" s="14" t="n">
        <v>0</v>
      </c>
      <c r="EN342" s="14" t="n">
        <v>0</v>
      </c>
      <c r="EO342" s="14" t="n">
        <v>0</v>
      </c>
      <c r="EP342" s="14" t="n">
        <v>0</v>
      </c>
      <c r="EQ342" s="14" t="n">
        <v>0</v>
      </c>
      <c r="ER342" s="14" t="n">
        <v>0</v>
      </c>
      <c r="ES342" s="14" t="n">
        <v>0</v>
      </c>
      <c r="ET342" s="14" t="n">
        <v>0</v>
      </c>
      <c r="EU342" s="14" t="n">
        <v>0</v>
      </c>
      <c r="EV342" s="14" t="n">
        <v>0</v>
      </c>
      <c r="EW342" s="14" t="n">
        <v>0</v>
      </c>
      <c r="EX342" s="14" t="n">
        <v>0</v>
      </c>
      <c r="EY342" s="14" t="n">
        <v>0</v>
      </c>
      <c r="EZ342" s="14" t="n">
        <v>0</v>
      </c>
      <c r="FA342" s="14" t="n">
        <v>0</v>
      </c>
      <c r="FB342" s="14" t="n">
        <v>0</v>
      </c>
      <c r="FC342" s="14" t="n">
        <v>0</v>
      </c>
      <c r="FD342" s="14" t="n">
        <v>0</v>
      </c>
      <c r="FE342" s="14" t="n">
        <v>0</v>
      </c>
      <c r="FF342" s="14" t="n">
        <v>0</v>
      </c>
      <c r="FG342" s="15">
        <f>SUM(DW342,DX342,DY342,DZ342,EA342,EB342,EC342,ED342,EE342,EF342,EG342,EH342,EI342,EJ342,EK342,EL342,EM342,EN342,EO342,EP342,EQ342,ER342,ES342,ET342,EU342,EV342,EW342,EX342,EY342,EZ342,FA342,FB342,FC342,FD342,FE342,FF342)</f>
        <v/>
      </c>
      <c r="FH342" s="14" t="n">
        <v>0</v>
      </c>
      <c r="FI342" s="14" t="n">
        <v>0</v>
      </c>
      <c r="FJ342" s="14" t="n">
        <v>21</v>
      </c>
      <c r="FK342" s="14" t="n">
        <v>19.16</v>
      </c>
      <c r="FL342" s="14" t="n">
        <v>0</v>
      </c>
      <c r="FM342" s="14" t="n">
        <v>0</v>
      </c>
      <c r="FN342" s="14" t="n">
        <v>0</v>
      </c>
      <c r="FO342" s="14" t="n">
        <v>0</v>
      </c>
      <c r="FP342" s="14" t="n">
        <v>0</v>
      </c>
      <c r="FQ342" s="15">
        <f>FL342+FM342+FN342+FO342+FP342</f>
        <v/>
      </c>
      <c r="FR342" s="14" t="n">
        <v>23338424.10000001</v>
      </c>
      <c r="FS342" s="14" t="n">
        <v>202400</v>
      </c>
      <c r="FT342" s="14" t="n">
        <v>355000</v>
      </c>
      <c r="FU342" s="14" t="n">
        <v>273700</v>
      </c>
      <c r="FV342" s="15">
        <f>FR342+FS342+FT342+FU342</f>
        <v/>
      </c>
      <c r="FW342" s="14" t="n">
        <v>2070733.92</v>
      </c>
      <c r="FX342" s="14" t="n">
        <v>52500</v>
      </c>
      <c r="FY342" s="14" t="n">
        <v>2686267.69</v>
      </c>
      <c r="FZ342" s="14" t="n">
        <v>8562247.07</v>
      </c>
      <c r="GA342" s="15">
        <f>FW342+FX342+FY342+FZ342</f>
        <v/>
      </c>
      <c r="GB342" s="15">
        <f>FV342+GA342</f>
        <v/>
      </c>
      <c r="GC342" s="14" t="n">
        <v>17097506.61</v>
      </c>
      <c r="GD342" s="14" t="n">
        <v>140973.36</v>
      </c>
      <c r="GE342" s="14" t="n">
        <v>883192.4399999999</v>
      </c>
      <c r="GF342" s="14" t="n">
        <v>1318310.85</v>
      </c>
      <c r="GG342" s="15">
        <f>GC342+GD342+GE342+GF342</f>
        <v/>
      </c>
      <c r="GH342" s="14" t="n">
        <v>2037199.52</v>
      </c>
      <c r="GI342" s="14" t="n">
        <v>52500</v>
      </c>
      <c r="GJ342" s="14" t="n">
        <v>8543791.16</v>
      </c>
      <c r="GK342" s="14" t="n">
        <v>2682967.6</v>
      </c>
      <c r="GL342" s="15">
        <f>GH342+GI342+GJ342+GK342</f>
        <v/>
      </c>
      <c r="GM342" s="15">
        <f>GG342+GL342</f>
        <v/>
      </c>
      <c r="GN342" s="14" t="n">
        <v>1372896.3</v>
      </c>
      <c r="GO342" s="14" t="n">
        <v>3060.48</v>
      </c>
      <c r="GP342" s="14" t="n">
        <v>61085.52</v>
      </c>
      <c r="GQ342" s="14" t="n">
        <v>97384.14</v>
      </c>
      <c r="GR342" s="15">
        <f>GN342+GO342+GP342+GQ342</f>
        <v/>
      </c>
      <c r="GS342" s="14" t="n">
        <v>2309298</v>
      </c>
      <c r="GT342" s="14" t="n">
        <v>14288</v>
      </c>
      <c r="GU342" s="14" t="n">
        <v>16074</v>
      </c>
      <c r="GV342" s="14" t="n">
        <v>18753</v>
      </c>
      <c r="GW342" s="15">
        <f>GS342+GT342+GU342+GV342</f>
        <v/>
      </c>
      <c r="GX342" s="15">
        <f>GM342+GR342+GW342</f>
        <v/>
      </c>
      <c r="GY342" s="14" t="n">
        <v>121254106.9999998</v>
      </c>
      <c r="GZ342" s="14" t="n">
        <v>-1696284.2</v>
      </c>
      <c r="HA342" s="9">
        <f>GY342+GZ342</f>
        <v/>
      </c>
      <c r="HB342" s="15">
        <f>IF(GX342=0,"",AU342/GX342)</f>
        <v/>
      </c>
      <c r="HC342" s="16">
        <f>IF((GX342+GY342)=0,"",GB342/(GX342+GY342))</f>
        <v/>
      </c>
      <c r="HD342" s="15">
        <f>IF(GX342=0,"",GB342/GX342)</f>
        <v/>
      </c>
      <c r="HE342" s="14" t="n">
        <v>19</v>
      </c>
      <c r="HF342" s="14" t="n">
        <v>2</v>
      </c>
      <c r="HG342" s="14" t="n">
        <v>37</v>
      </c>
      <c r="HH342" s="14" t="n">
        <v>19</v>
      </c>
      <c r="HI342" s="14" t="n">
        <v>2</v>
      </c>
      <c r="HJ342" s="15">
        <f>HF342+HI342</f>
        <v/>
      </c>
      <c r="HK342" s="16">
        <f>IF(HE342=0,"",HH342/HE342)</f>
        <v/>
      </c>
      <c r="HL342" s="14" t="n">
        <v>43</v>
      </c>
      <c r="HM342" s="14" t="n">
        <v>8</v>
      </c>
      <c r="HN342" s="17">
        <f>IF(HL342=0,"",HM342/HL342)</f>
        <v/>
      </c>
    </row>
    <row r="343">
      <c r="A343" s="6" t="inlineStr">
        <is>
          <t>Zomba</t>
        </is>
      </c>
      <c r="B343" s="6" t="inlineStr">
        <is>
          <t>Mwanza</t>
        </is>
      </c>
      <c r="C343" s="7" t="inlineStr">
        <is>
          <t>FY2025/26</t>
        </is>
      </c>
      <c r="D343" s="7" t="n">
        <v>2025</v>
      </c>
      <c r="E343" s="7" t="n">
        <v>8</v>
      </c>
      <c r="F343" s="7" t="inlineStr">
        <is>
          <t>August</t>
        </is>
      </c>
      <c r="G343" s="7" t="inlineStr">
        <is>
          <t>Q2</t>
        </is>
      </c>
      <c r="H343" s="8" t="n">
        <v>37201</v>
      </c>
      <c r="I343" s="8" t="n">
        <v>20948</v>
      </c>
      <c r="J343" s="8" t="n">
        <v>738</v>
      </c>
      <c r="K343" s="8" t="n">
        <v>294</v>
      </c>
      <c r="L343" s="8" t="n">
        <v>97</v>
      </c>
      <c r="M343" s="9">
        <f>SUM(I343,J343,K343,L343)</f>
        <v/>
      </c>
      <c r="N343" s="8" t="n">
        <v>1808.3</v>
      </c>
      <c r="O343" s="8" t="n">
        <v>277.1</v>
      </c>
      <c r="P343" s="8" t="n">
        <v>680.7</v>
      </c>
      <c r="Q343" s="8" t="n">
        <v>638.9</v>
      </c>
      <c r="R343" s="9">
        <f>SUM(N343,O343,P343,Q343)</f>
        <v/>
      </c>
      <c r="S343" s="9">
        <f>M343+R343</f>
        <v/>
      </c>
      <c r="T343" s="8" t="n">
        <v>11719</v>
      </c>
      <c r="U343" s="10">
        <f>IF(H343=0,"",T343/H343)</f>
        <v/>
      </c>
      <c r="V343" s="8" t="n">
        <v>12</v>
      </c>
      <c r="W343" s="11">
        <f>IF(H343=0,"",V343/H343)</f>
        <v/>
      </c>
      <c r="X343" s="8" t="n">
        <v>0</v>
      </c>
      <c r="Y343" s="11">
        <f>IF(H343=0,"",X343/H343)</f>
        <v/>
      </c>
      <c r="Z343" s="8" t="n">
        <v>0</v>
      </c>
      <c r="AA343" s="11">
        <f>IF(H343=0,"",Z343/H343)</f>
        <v/>
      </c>
      <c r="AB343" s="8" t="n">
        <v>0</v>
      </c>
      <c r="AC343" s="11">
        <f>IF(H343=0,"",AB343/H343)</f>
        <v/>
      </c>
      <c r="AD343" s="8" t="n">
        <v>0</v>
      </c>
      <c r="AE343" s="11">
        <f>IF(H343=0,"",AD343/H343)</f>
        <v/>
      </c>
      <c r="AF343" s="8" t="n">
        <v>0</v>
      </c>
      <c r="AG343" s="11">
        <f>IF(H343=0,"",AF343/H343)</f>
        <v/>
      </c>
      <c r="AH343" s="8" t="n">
        <v>312000</v>
      </c>
      <c r="AI343" s="9">
        <f>IF(H343=0,"",AH343/H343)</f>
        <v/>
      </c>
      <c r="AJ343" s="8" t="n">
        <v>21211</v>
      </c>
      <c r="AK343" s="11">
        <f>IF(H343=0,"",AJ343/H343)</f>
        <v/>
      </c>
      <c r="AL343" s="8" t="n">
        <v>5828763.649</v>
      </c>
      <c r="AM343" s="9">
        <f>IF(H343=0,"",AL343/H343)</f>
        <v/>
      </c>
      <c r="AN343" s="8" t="n">
        <v>0</v>
      </c>
      <c r="AO343" s="8" t="n">
        <v>0</v>
      </c>
      <c r="AP343" s="8" t="n">
        <v>0</v>
      </c>
      <c r="AQ343" s="8" t="n">
        <v>0</v>
      </c>
      <c r="AR343" s="8" t="n">
        <v>0</v>
      </c>
      <c r="AS343" s="8" t="n">
        <v>0</v>
      </c>
      <c r="AT343" s="8" t="n">
        <v>0</v>
      </c>
      <c r="AU343" s="9">
        <f>AH343+AL343+AP343+AQ343+AR343+AS343+AT343</f>
        <v/>
      </c>
      <c r="AV343" s="9">
        <f>IF(H343=0,"",AU343/H343)</f>
        <v/>
      </c>
      <c r="AW343" s="9">
        <f>IF(S343=0,"",AU343/S343)</f>
        <v/>
      </c>
      <c r="AX343" s="8" t="n">
        <v>12</v>
      </c>
      <c r="AY343" s="9">
        <f>IF(H343=0,"",AX343/(H343/1000/12))</f>
        <v/>
      </c>
      <c r="AZ343" s="8" t="n">
        <v>28</v>
      </c>
      <c r="BA343" s="8" t="n">
        <v>37</v>
      </c>
      <c r="BB343" s="8" t="n">
        <v>92</v>
      </c>
      <c r="BC343" s="8" t="n">
        <v>80</v>
      </c>
      <c r="BD343" s="8" t="n">
        <v>0</v>
      </c>
      <c r="BE343" s="9">
        <f>BC343+BD343</f>
        <v/>
      </c>
      <c r="BF343" s="9">
        <f>BA343+BB343-BE343</f>
        <v/>
      </c>
      <c r="BG343" s="8" t="n">
        <v>0</v>
      </c>
      <c r="BH343" s="8" t="n">
        <v>0</v>
      </c>
      <c r="BI343" s="8" t="n">
        <v>0</v>
      </c>
      <c r="BJ343" s="8" t="n">
        <v>0</v>
      </c>
      <c r="BK343" s="9">
        <f>BI343+BJ343</f>
        <v/>
      </c>
      <c r="BL343" s="9">
        <f>BG343+BH343-BK343</f>
        <v/>
      </c>
      <c r="BM343" s="8" t="n">
        <v>0</v>
      </c>
      <c r="BN343" s="8" t="n">
        <v>0</v>
      </c>
      <c r="BO343" s="8" t="n">
        <v>0</v>
      </c>
      <c r="BP343" s="8" t="n">
        <v>0</v>
      </c>
      <c r="BQ343" s="9">
        <f>BO343+BP343</f>
        <v/>
      </c>
      <c r="BR343" s="9">
        <f>BM343+BN343-BQ343</f>
        <v/>
      </c>
      <c r="BS343" s="8" t="n">
        <v>0</v>
      </c>
      <c r="BT343" s="8" t="n">
        <v>0</v>
      </c>
      <c r="BU343" s="8" t="n">
        <v>0</v>
      </c>
      <c r="BV343" s="8" t="n">
        <v>0</v>
      </c>
      <c r="BW343" s="9">
        <f>BU343+BV343</f>
        <v/>
      </c>
      <c r="BX343" s="9">
        <f>BS343+BT343-BW343</f>
        <v/>
      </c>
      <c r="BY343" s="9">
        <f>BA343+BG343+BM343+BS343</f>
        <v/>
      </c>
      <c r="BZ343" s="9">
        <f>BB343+BH343+BN343+BT343</f>
        <v/>
      </c>
      <c r="CA343" s="9">
        <f>BE343+BK343+BQ343+BW343</f>
        <v/>
      </c>
      <c r="CB343" s="9">
        <f>BF343+BL343+BR343+BX343</f>
        <v/>
      </c>
      <c r="CC343" s="8" t="n">
        <v>2</v>
      </c>
      <c r="CD343" s="8" t="n">
        <v>904</v>
      </c>
      <c r="CE343" s="8" t="n">
        <v>53</v>
      </c>
      <c r="CF343" s="8" t="n">
        <v>18</v>
      </c>
      <c r="CG343" s="8" t="n">
        <v>10</v>
      </c>
      <c r="CH343" s="9">
        <f>CD343+CE343+CF343+CG343</f>
        <v/>
      </c>
      <c r="CI343" s="8" t="n">
        <v>2698</v>
      </c>
      <c r="CJ343" s="8" t="n">
        <v>18</v>
      </c>
      <c r="CK343" s="8" t="n">
        <v>12</v>
      </c>
      <c r="CL343" s="8" t="n">
        <v>16</v>
      </c>
      <c r="CM343" s="9">
        <f>CI343+CJ343+CK343+CL343</f>
        <v/>
      </c>
      <c r="CN343" s="8" t="n">
        <v>255</v>
      </c>
      <c r="CO343" s="8" t="n">
        <v>40</v>
      </c>
      <c r="CP343" s="8" t="n">
        <v>74</v>
      </c>
      <c r="CQ343" s="8" t="n">
        <v>2</v>
      </c>
      <c r="CR343" s="9">
        <f>CN343+CO343+CP343+CQ343</f>
        <v/>
      </c>
      <c r="CS343" s="9">
        <f>CM343+CR343</f>
        <v/>
      </c>
      <c r="CT343" s="8" t="n">
        <v>4100</v>
      </c>
      <c r="CU343" s="8" t="n">
        <v>23323</v>
      </c>
      <c r="CV343" s="8" t="n">
        <v>20100</v>
      </c>
      <c r="CW343" s="10">
        <f>IF(CU343=0,"",CV343/CU343)</f>
        <v/>
      </c>
      <c r="CX343" s="8" t="n">
        <v>4</v>
      </c>
      <c r="CY343" s="8" t="n">
        <v>0</v>
      </c>
      <c r="CZ343" s="8" t="n">
        <v>1</v>
      </c>
      <c r="DA343" s="8" t="n">
        <v>0</v>
      </c>
      <c r="DB343" s="9">
        <f>CX343+CY343-CZ343-DA343</f>
        <v/>
      </c>
      <c r="DC343" s="8" t="n">
        <v>6</v>
      </c>
      <c r="DD343" s="8" t="n">
        <v>0</v>
      </c>
      <c r="DE343" s="8" t="n">
        <v>3</v>
      </c>
      <c r="DF343" s="8" t="n">
        <v>0</v>
      </c>
      <c r="DG343" s="9">
        <f>DC343+DD343-DE343-DF343</f>
        <v/>
      </c>
      <c r="DH343" s="8" t="n">
        <v>4</v>
      </c>
      <c r="DI343" s="8" t="n">
        <v>0</v>
      </c>
      <c r="DJ343" s="8" t="n">
        <v>1</v>
      </c>
      <c r="DK343" s="8" t="n">
        <v>0</v>
      </c>
      <c r="DL343" s="9">
        <f>DH343+DI343-DJ343-DK343</f>
        <v/>
      </c>
      <c r="DM343" s="8" t="n">
        <v>575</v>
      </c>
      <c r="DN343" s="8" t="n">
        <v>0</v>
      </c>
      <c r="DO343" s="8" t="n">
        <v>64</v>
      </c>
      <c r="DP343" s="8" t="n">
        <v>0</v>
      </c>
      <c r="DQ343" s="9">
        <f>DM343+DN343-DO343-DP343</f>
        <v/>
      </c>
      <c r="DR343" s="9">
        <f>CX343+DC343+DH343+DM343</f>
        <v/>
      </c>
      <c r="DS343" s="9">
        <f>CY343+DD343+DI343+DN343</f>
        <v/>
      </c>
      <c r="DT343" s="9">
        <f>CZ343+DE343+DJ343+DO343</f>
        <v/>
      </c>
      <c r="DU343" s="9">
        <f>DA343+DF343+DK343+DP343</f>
        <v/>
      </c>
      <c r="DV343" s="9">
        <f>DB343+DG343+DL343+DQ343</f>
        <v/>
      </c>
      <c r="DW343" s="8" t="n">
        <v>23</v>
      </c>
      <c r="DX343" s="8" t="n">
        <v>17</v>
      </c>
      <c r="DY343" s="8" t="n">
        <v>6</v>
      </c>
      <c r="DZ343" s="8" t="n">
        <v>6</v>
      </c>
      <c r="EA343" s="8" t="n">
        <v>6</v>
      </c>
      <c r="EB343" s="8" t="n">
        <v>9</v>
      </c>
      <c r="EC343" s="8" t="n">
        <v>7</v>
      </c>
      <c r="ED343" s="8" t="n">
        <v>4</v>
      </c>
      <c r="EE343" s="8" t="n">
        <v>0</v>
      </c>
      <c r="EF343" s="8" t="n">
        <v>0</v>
      </c>
      <c r="EG343" s="8" t="n">
        <v>0</v>
      </c>
      <c r="EH343" s="8" t="n">
        <v>0</v>
      </c>
      <c r="EI343" s="8" t="n">
        <v>0</v>
      </c>
      <c r="EJ343" s="8" t="n">
        <v>5</v>
      </c>
      <c r="EK343" s="8" t="n">
        <v>0</v>
      </c>
      <c r="EL343" s="8" t="n">
        <v>0</v>
      </c>
      <c r="EM343" s="8" t="n">
        <v>0</v>
      </c>
      <c r="EN343" s="8" t="n">
        <v>0</v>
      </c>
      <c r="EO343" s="8" t="n">
        <v>0</v>
      </c>
      <c r="EP343" s="8" t="n">
        <v>0</v>
      </c>
      <c r="EQ343" s="8" t="n">
        <v>0</v>
      </c>
      <c r="ER343" s="8" t="n">
        <v>0</v>
      </c>
      <c r="ES343" s="8" t="n">
        <v>0</v>
      </c>
      <c r="ET343" s="8" t="n">
        <v>0</v>
      </c>
      <c r="EU343" s="8" t="n">
        <v>0</v>
      </c>
      <c r="EV343" s="8" t="n">
        <v>0</v>
      </c>
      <c r="EW343" s="8" t="n">
        <v>0</v>
      </c>
      <c r="EX343" s="8" t="n">
        <v>0</v>
      </c>
      <c r="EY343" s="8" t="n">
        <v>0</v>
      </c>
      <c r="EZ343" s="8" t="n">
        <v>0</v>
      </c>
      <c r="FA343" s="8" t="n">
        <v>0</v>
      </c>
      <c r="FB343" s="8" t="n">
        <v>0</v>
      </c>
      <c r="FC343" s="8" t="n">
        <v>0</v>
      </c>
      <c r="FD343" s="8" t="n">
        <v>0</v>
      </c>
      <c r="FE343" s="8" t="n">
        <v>0</v>
      </c>
      <c r="FF343" s="8" t="n">
        <v>0</v>
      </c>
      <c r="FG343" s="9">
        <f>SUM(DW343,DX343,DY343,DZ343,EA343,EB343,EC343,ED343,EE343,EF343,EG343,EH343,EI343,EJ343,EK343,EL343,EM343,EN343,EO343,EP343,EQ343,ER343,ES343,ET343,EU343,EV343,EW343,EX343,EY343,EZ343,FA343,FB343,FC343,FD343,FE343,FF343)</f>
        <v/>
      </c>
      <c r="FH343" s="8" t="n">
        <v>0</v>
      </c>
      <c r="FI343" s="8" t="n">
        <v>0</v>
      </c>
      <c r="FJ343" s="8" t="n">
        <v>20</v>
      </c>
      <c r="FK343" s="8" t="n">
        <v>21.6</v>
      </c>
      <c r="FL343" s="8" t="n">
        <v>0</v>
      </c>
      <c r="FM343" s="8" t="n">
        <v>0</v>
      </c>
      <c r="FN343" s="8" t="n">
        <v>0</v>
      </c>
      <c r="FO343" s="8" t="n">
        <v>0</v>
      </c>
      <c r="FP343" s="8" t="n">
        <v>0</v>
      </c>
      <c r="FQ343" s="9">
        <f>FL343+FM343+FN343+FO343+FP343</f>
        <v/>
      </c>
      <c r="FR343" s="8" t="n">
        <v>23479340.58000001</v>
      </c>
      <c r="FS343" s="8" t="n">
        <v>88600</v>
      </c>
      <c r="FT343" s="8" t="n">
        <v>269200</v>
      </c>
      <c r="FU343" s="8" t="n">
        <v>223034.44</v>
      </c>
      <c r="FV343" s="9">
        <f>FR343+FS343+FT343+FU343</f>
        <v/>
      </c>
      <c r="FW343" s="8" t="n">
        <v>7462979.14</v>
      </c>
      <c r="FX343" s="8" t="n">
        <v>5000</v>
      </c>
      <c r="FY343" s="8" t="n">
        <v>619100</v>
      </c>
      <c r="FZ343" s="8" t="n">
        <v>3505099.25</v>
      </c>
      <c r="GA343" s="9">
        <f>FW343+FX343+FY343+FZ343</f>
        <v/>
      </c>
      <c r="GB343" s="9">
        <f>FV343+GA343</f>
        <v/>
      </c>
      <c r="GC343" s="8" t="n">
        <v>19149529.13</v>
      </c>
      <c r="GD343" s="8" t="n">
        <v>141164.64</v>
      </c>
      <c r="GE343" s="8" t="n">
        <v>938618.74</v>
      </c>
      <c r="GF343" s="8" t="n">
        <v>320378.14</v>
      </c>
      <c r="GG343" s="9">
        <f>GC343+GD343+GE343+GF343</f>
        <v/>
      </c>
      <c r="GH343" s="8" t="n">
        <v>2255141.62</v>
      </c>
      <c r="GI343" s="8" t="n">
        <v>68818.66</v>
      </c>
      <c r="GJ343" s="8" t="n">
        <v>2068650</v>
      </c>
      <c r="GK343" s="8" t="n">
        <v>3032600</v>
      </c>
      <c r="GL343" s="9">
        <f>GH343+GI343+GJ343+GK343</f>
        <v/>
      </c>
      <c r="GM343" s="9">
        <f>GG343+GL343</f>
        <v/>
      </c>
      <c r="GN343" s="8" t="n">
        <v>1433436.91</v>
      </c>
      <c r="GO343" s="8" t="n">
        <v>3060.48</v>
      </c>
      <c r="GP343" s="8" t="n">
        <v>61085.52</v>
      </c>
      <c r="GQ343" s="8" t="n">
        <v>55648.08</v>
      </c>
      <c r="GR343" s="9">
        <f>GN343+GO343+GP343+GQ343</f>
        <v/>
      </c>
      <c r="GS343" s="8" t="n">
        <v>2409314</v>
      </c>
      <c r="GT343" s="8" t="n">
        <v>14288</v>
      </c>
      <c r="GU343" s="8" t="n">
        <v>16074</v>
      </c>
      <c r="GV343" s="8" t="n">
        <v>10716</v>
      </c>
      <c r="GW343" s="9">
        <f>GS343+GT343+GU343+GV343</f>
        <v/>
      </c>
      <c r="GX343" s="9">
        <f>GM343+GR343+GW343</f>
        <v/>
      </c>
      <c r="GY343" s="8" t="n">
        <v>121792810.0099999</v>
      </c>
      <c r="GZ343" s="8" t="n">
        <v>-1687898.59</v>
      </c>
      <c r="HA343" s="9">
        <f>GY343+GZ343</f>
        <v/>
      </c>
      <c r="HB343" s="9">
        <f>IF(GX343=0,"",AU343/GX343)</f>
        <v/>
      </c>
      <c r="HC343" s="10">
        <f>IF((GX343+GY343)=0,"",GB343/(GX343+GY343))</f>
        <v/>
      </c>
      <c r="HD343" s="9">
        <f>IF(GX343=0,"",GB343/GX343)</f>
        <v/>
      </c>
      <c r="HE343" s="8" t="n">
        <v>20</v>
      </c>
      <c r="HF343" s="8" t="n">
        <v>2</v>
      </c>
      <c r="HG343" s="8" t="n">
        <v>49</v>
      </c>
      <c r="HH343" s="8" t="n">
        <v>92</v>
      </c>
      <c r="HI343" s="8" t="n">
        <v>17</v>
      </c>
      <c r="HJ343" s="9">
        <f>HF343+HI343</f>
        <v/>
      </c>
      <c r="HK343" s="10">
        <f>IF(HE343=0,"",HH343/HE343)</f>
        <v/>
      </c>
      <c r="HL343" s="8" t="n">
        <v>10</v>
      </c>
      <c r="HM343" s="8" t="n">
        <v>2</v>
      </c>
      <c r="HN343" s="11">
        <f>IF(HL343=0,"",HM343/HL343)</f>
        <v/>
      </c>
    </row>
    <row r="344">
      <c r="A344" s="12" t="inlineStr">
        <is>
          <t>Zomba</t>
        </is>
      </c>
      <c r="B344" s="12" t="inlineStr">
        <is>
          <t>Mwanza</t>
        </is>
      </c>
      <c r="C344" s="13" t="inlineStr">
        <is>
          <t>FY2025/26</t>
        </is>
      </c>
      <c r="D344" s="13" t="n">
        <v>2025</v>
      </c>
      <c r="E344" s="13" t="n">
        <v>9</v>
      </c>
      <c r="F344" s="13" t="inlineStr">
        <is>
          <t>September</t>
        </is>
      </c>
      <c r="G344" s="13" t="inlineStr">
        <is>
          <t>Q2</t>
        </is>
      </c>
      <c r="H344" s="14" t="n">
        <v>42985</v>
      </c>
      <c r="I344" s="14" t="n">
        <v>22351</v>
      </c>
      <c r="J344" s="14" t="n">
        <v>704</v>
      </c>
      <c r="K344" s="14" t="n">
        <v>110</v>
      </c>
      <c r="L344" s="14" t="n">
        <v>64</v>
      </c>
      <c r="M344" s="15">
        <f>SUM(I344,J344,K344,L344)</f>
        <v/>
      </c>
      <c r="N344" s="14" t="n">
        <v>2048.8</v>
      </c>
      <c r="O344" s="14" t="n">
        <v>232.5</v>
      </c>
      <c r="P344" s="14" t="n">
        <v>1785.6</v>
      </c>
      <c r="Q344" s="14" t="n">
        <v>686.3</v>
      </c>
      <c r="R344" s="15">
        <f>SUM(N344,O344,P344,Q344)</f>
        <v/>
      </c>
      <c r="S344" s="15">
        <f>M344+R344</f>
        <v/>
      </c>
      <c r="T344" s="14" t="n">
        <v>15002.8</v>
      </c>
      <c r="U344" s="16">
        <f>IF(H344=0,"",T344/H344)</f>
        <v/>
      </c>
      <c r="V344" s="14" t="n">
        <v>11</v>
      </c>
      <c r="W344" s="17">
        <f>IF(H344=0,"",V344/H344)</f>
        <v/>
      </c>
      <c r="X344" s="14" t="n">
        <v>0</v>
      </c>
      <c r="Y344" s="17">
        <f>IF(H344=0,"",X344/H344)</f>
        <v/>
      </c>
      <c r="Z344" s="14" t="n">
        <v>0</v>
      </c>
      <c r="AA344" s="17">
        <f>IF(H344=0,"",Z344/H344)</f>
        <v/>
      </c>
      <c r="AB344" s="14" t="n">
        <v>0</v>
      </c>
      <c r="AC344" s="17">
        <f>IF(H344=0,"",AB344/H344)</f>
        <v/>
      </c>
      <c r="AD344" s="14" t="n">
        <v>0</v>
      </c>
      <c r="AE344" s="17">
        <f>IF(H344=0,"",AD344/H344)</f>
        <v/>
      </c>
      <c r="AF344" s="14" t="n">
        <v>0</v>
      </c>
      <c r="AG344" s="17">
        <f>IF(H344=0,"",AF344/H344)</f>
        <v/>
      </c>
      <c r="AH344" s="14" t="n">
        <v>286000</v>
      </c>
      <c r="AI344" s="15">
        <f>IF(H344=0,"",AH344/H344)</f>
        <v/>
      </c>
      <c r="AJ344" s="14" t="n">
        <v>21882</v>
      </c>
      <c r="AK344" s="17">
        <f>IF(H344=0,"",AJ344/H344)</f>
        <v/>
      </c>
      <c r="AL344" s="14" t="n">
        <v>6012153.988</v>
      </c>
      <c r="AM344" s="15">
        <f>IF(H344=0,"",AL344/H344)</f>
        <v/>
      </c>
      <c r="AN344" s="14" t="n">
        <v>0</v>
      </c>
      <c r="AO344" s="14" t="n">
        <v>0</v>
      </c>
      <c r="AP344" s="14" t="n">
        <v>0</v>
      </c>
      <c r="AQ344" s="14" t="n">
        <v>0</v>
      </c>
      <c r="AR344" s="14" t="n">
        <v>0</v>
      </c>
      <c r="AS344" s="14" t="n">
        <v>0</v>
      </c>
      <c r="AT344" s="14" t="n">
        <v>0</v>
      </c>
      <c r="AU344" s="15">
        <f>AH344+AL344+AP344+AQ344+AR344+AS344+AT344</f>
        <v/>
      </c>
      <c r="AV344" s="15">
        <f>IF(H344=0,"",AU344/H344)</f>
        <v/>
      </c>
      <c r="AW344" s="15">
        <f>IF(S344=0,"",AU344/S344)</f>
        <v/>
      </c>
      <c r="AX344" s="14" t="n">
        <v>12</v>
      </c>
      <c r="AY344" s="15">
        <f>IF(H344=0,"",AX344/(H344/1000/12))</f>
        <v/>
      </c>
      <c r="AZ344" s="14" t="n">
        <v>28</v>
      </c>
      <c r="BA344" s="14" t="n">
        <v>49</v>
      </c>
      <c r="BB344" s="14" t="n">
        <v>25</v>
      </c>
      <c r="BC344" s="14" t="n">
        <v>24</v>
      </c>
      <c r="BD344" s="14" t="n">
        <v>0</v>
      </c>
      <c r="BE344" s="15">
        <f>BC344+BD344</f>
        <v/>
      </c>
      <c r="BF344" s="15">
        <f>BA344+BB344-BE344</f>
        <v/>
      </c>
      <c r="BG344" s="14" t="n">
        <v>0</v>
      </c>
      <c r="BH344" s="14" t="n">
        <v>0</v>
      </c>
      <c r="BI344" s="14" t="n">
        <v>0</v>
      </c>
      <c r="BJ344" s="14" t="n">
        <v>0</v>
      </c>
      <c r="BK344" s="15">
        <f>BI344+BJ344</f>
        <v/>
      </c>
      <c r="BL344" s="15">
        <f>BG344+BH344-BK344</f>
        <v/>
      </c>
      <c r="BM344" s="14" t="n">
        <v>0</v>
      </c>
      <c r="BN344" s="14" t="n">
        <v>0</v>
      </c>
      <c r="BO344" s="14" t="n">
        <v>0</v>
      </c>
      <c r="BP344" s="14" t="n">
        <v>0</v>
      </c>
      <c r="BQ344" s="15">
        <f>BO344+BP344</f>
        <v/>
      </c>
      <c r="BR344" s="15">
        <f>BM344+BN344-BQ344</f>
        <v/>
      </c>
      <c r="BS344" s="14" t="n">
        <v>0</v>
      </c>
      <c r="BT344" s="14" t="n">
        <v>0</v>
      </c>
      <c r="BU344" s="14" t="n">
        <v>0</v>
      </c>
      <c r="BV344" s="14" t="n">
        <v>0</v>
      </c>
      <c r="BW344" s="15">
        <f>BU344+BV344</f>
        <v/>
      </c>
      <c r="BX344" s="15">
        <f>BS344+BT344-BW344</f>
        <v/>
      </c>
      <c r="BY344" s="15">
        <f>BA344+BG344+BM344+BS344</f>
        <v/>
      </c>
      <c r="BZ344" s="15">
        <f>BB344+BH344+BN344+BT344</f>
        <v/>
      </c>
      <c r="CA344" s="15">
        <f>BE344+BK344+BQ344+BW344</f>
        <v/>
      </c>
      <c r="CB344" s="15">
        <f>BF344+BL344+BR344+BX344</f>
        <v/>
      </c>
      <c r="CC344" s="14" t="n">
        <v>10</v>
      </c>
      <c r="CD344" s="14" t="n">
        <v>892</v>
      </c>
      <c r="CE344" s="14" t="n">
        <v>54</v>
      </c>
      <c r="CF344" s="14" t="n">
        <v>18</v>
      </c>
      <c r="CG344" s="14" t="n">
        <v>11</v>
      </c>
      <c r="CH344" s="15">
        <f>CD344+CE344+CF344+CG344</f>
        <v/>
      </c>
      <c r="CI344" s="14" t="n">
        <v>2727</v>
      </c>
      <c r="CJ344" s="14" t="n">
        <v>14</v>
      </c>
      <c r="CK344" s="14" t="n">
        <v>13</v>
      </c>
      <c r="CL344" s="14" t="n">
        <v>14</v>
      </c>
      <c r="CM344" s="15">
        <f>CI344+CJ344+CK344+CL344</f>
        <v/>
      </c>
      <c r="CN344" s="14" t="n">
        <v>262</v>
      </c>
      <c r="CO344" s="14" t="n">
        <v>43</v>
      </c>
      <c r="CP344" s="14" t="n">
        <v>73</v>
      </c>
      <c r="CQ344" s="14" t="n">
        <v>3</v>
      </c>
      <c r="CR344" s="15">
        <f>CN344+CO344+CP344+CQ344</f>
        <v/>
      </c>
      <c r="CS344" s="15">
        <f>CM344+CR344</f>
        <v/>
      </c>
      <c r="CT344" s="14" t="n">
        <v>4124</v>
      </c>
      <c r="CU344" s="14" t="n">
        <v>23379</v>
      </c>
      <c r="CV344" s="14" t="n">
        <v>20203.2</v>
      </c>
      <c r="CW344" s="16">
        <f>IF(CU344=0,"",CV344/CU344)</f>
        <v/>
      </c>
      <c r="CX344" s="14" t="n">
        <v>3</v>
      </c>
      <c r="CY344" s="14" t="n">
        <v>2</v>
      </c>
      <c r="CZ344" s="14" t="n">
        <v>1</v>
      </c>
      <c r="DA344" s="14" t="n">
        <v>0</v>
      </c>
      <c r="DB344" s="15">
        <f>CX344+CY344-CZ344-DA344</f>
        <v/>
      </c>
      <c r="DC344" s="14" t="n">
        <v>3</v>
      </c>
      <c r="DD344" s="14" t="n">
        <v>0</v>
      </c>
      <c r="DE344" s="14" t="n">
        <v>0</v>
      </c>
      <c r="DF344" s="14" t="n">
        <v>0</v>
      </c>
      <c r="DG344" s="15">
        <f>DC344+DD344-DE344-DF344</f>
        <v/>
      </c>
      <c r="DH344" s="14" t="n">
        <v>3</v>
      </c>
      <c r="DI344" s="14" t="n">
        <v>0</v>
      </c>
      <c r="DJ344" s="14" t="n">
        <v>0</v>
      </c>
      <c r="DK344" s="14" t="n">
        <v>0</v>
      </c>
      <c r="DL344" s="15">
        <f>DH344+DI344-DJ344-DK344</f>
        <v/>
      </c>
      <c r="DM344" s="14" t="n">
        <v>511</v>
      </c>
      <c r="DN344" s="14" t="n">
        <v>0</v>
      </c>
      <c r="DO344" s="14" t="n">
        <v>45</v>
      </c>
      <c r="DP344" s="14" t="n">
        <v>0</v>
      </c>
      <c r="DQ344" s="15">
        <f>DM344+DN344-DO344-DP344</f>
        <v/>
      </c>
      <c r="DR344" s="15">
        <f>CX344+DC344+DH344+DM344</f>
        <v/>
      </c>
      <c r="DS344" s="15">
        <f>CY344+DD344+DI344+DN344</f>
        <v/>
      </c>
      <c r="DT344" s="15">
        <f>CZ344+DE344+DJ344+DO344</f>
        <v/>
      </c>
      <c r="DU344" s="15">
        <f>DA344+DF344+DK344+DP344</f>
        <v/>
      </c>
      <c r="DV344" s="15">
        <f>DB344+DG344+DL344+DQ344</f>
        <v/>
      </c>
      <c r="DW344" s="14" t="n">
        <v>25</v>
      </c>
      <c r="DX344" s="14" t="n">
        <v>16</v>
      </c>
      <c r="DY344" s="14" t="n">
        <v>6</v>
      </c>
      <c r="DZ344" s="14" t="n">
        <v>3</v>
      </c>
      <c r="EA344" s="14" t="n">
        <v>6</v>
      </c>
      <c r="EB344" s="14" t="n">
        <v>11</v>
      </c>
      <c r="EC344" s="14" t="n">
        <v>5</v>
      </c>
      <c r="ED344" s="14" t="n">
        <v>6</v>
      </c>
      <c r="EE344" s="14" t="n">
        <v>0</v>
      </c>
      <c r="EF344" s="14" t="n">
        <v>0</v>
      </c>
      <c r="EG344" s="14" t="n">
        <v>0</v>
      </c>
      <c r="EH344" s="14" t="n">
        <v>0</v>
      </c>
      <c r="EI344" s="14" t="n">
        <v>0</v>
      </c>
      <c r="EJ344" s="14" t="n">
        <v>2</v>
      </c>
      <c r="EK344" s="14" t="n">
        <v>0</v>
      </c>
      <c r="EL344" s="14" t="n">
        <v>0</v>
      </c>
      <c r="EM344" s="14" t="n">
        <v>0</v>
      </c>
      <c r="EN344" s="14" t="n">
        <v>0</v>
      </c>
      <c r="EO344" s="14" t="n">
        <v>0</v>
      </c>
      <c r="EP344" s="14" t="n">
        <v>0</v>
      </c>
      <c r="EQ344" s="14" t="n">
        <v>0</v>
      </c>
      <c r="ER344" s="14" t="n">
        <v>0</v>
      </c>
      <c r="ES344" s="14" t="n">
        <v>0</v>
      </c>
      <c r="ET344" s="14" t="n">
        <v>0</v>
      </c>
      <c r="EU344" s="14" t="n">
        <v>0</v>
      </c>
      <c r="EV344" s="14" t="n">
        <v>0</v>
      </c>
      <c r="EW344" s="14" t="n">
        <v>0</v>
      </c>
      <c r="EX344" s="14" t="n">
        <v>0</v>
      </c>
      <c r="EY344" s="14" t="n">
        <v>0</v>
      </c>
      <c r="EZ344" s="14" t="n">
        <v>0</v>
      </c>
      <c r="FA344" s="14" t="n">
        <v>0</v>
      </c>
      <c r="FB344" s="14" t="n">
        <v>0</v>
      </c>
      <c r="FC344" s="14" t="n">
        <v>0</v>
      </c>
      <c r="FD344" s="14" t="n">
        <v>0</v>
      </c>
      <c r="FE344" s="14" t="n">
        <v>0</v>
      </c>
      <c r="FF344" s="14" t="n">
        <v>0</v>
      </c>
      <c r="FG344" s="15">
        <f>SUM(DW344,DX344,DY344,DZ344,EA344,EB344,EC344,ED344,EE344,EF344,EG344,EH344,EI344,EJ344,EK344,EL344,EM344,EN344,EO344,EP344,EQ344,ER344,ES344,ET344,EU344,EV344,EW344,EX344,EY344,EZ344,FA344,FB344,FC344,FD344,FE344,FF344)</f>
        <v/>
      </c>
      <c r="FH344" s="14" t="n">
        <v>0</v>
      </c>
      <c r="FI344" s="14" t="n">
        <v>0</v>
      </c>
      <c r="FJ344" s="14" t="n">
        <v>21</v>
      </c>
      <c r="FK344" s="14" t="n">
        <v>10.99</v>
      </c>
      <c r="FL344" s="14" t="n">
        <v>0</v>
      </c>
      <c r="FM344" s="14" t="n">
        <v>0</v>
      </c>
      <c r="FN344" s="14" t="n">
        <v>0</v>
      </c>
      <c r="FO344" s="14" t="n">
        <v>0</v>
      </c>
      <c r="FP344" s="14" t="n">
        <v>0</v>
      </c>
      <c r="FQ344" s="15">
        <f>FL344+FM344+FN344+FO344+FP344</f>
        <v/>
      </c>
      <c r="FR344" s="14" t="n">
        <v>18823810.48000001</v>
      </c>
      <c r="FS344" s="14" t="n">
        <v>205500</v>
      </c>
      <c r="FT344" s="14" t="n">
        <v>204200</v>
      </c>
      <c r="FU344" s="14" t="n">
        <v>280867.22</v>
      </c>
      <c r="FV344" s="15">
        <f>FR344+FS344+FT344+FU344</f>
        <v/>
      </c>
      <c r="FW344" s="14" t="n">
        <v>2622431.13</v>
      </c>
      <c r="FX344" s="14" t="n">
        <v>49400</v>
      </c>
      <c r="FY344" s="14" t="n">
        <v>3266454.1</v>
      </c>
      <c r="FZ344" s="14" t="n">
        <v>5450363.04</v>
      </c>
      <c r="GA344" s="15">
        <f>FW344+FX344+FY344+FZ344</f>
        <v/>
      </c>
      <c r="GB344" s="15">
        <f>FV344+GA344</f>
        <v/>
      </c>
      <c r="GC344" s="14" t="n">
        <v>20400177.52</v>
      </c>
      <c r="GD344" s="14" t="n">
        <v>134661.12</v>
      </c>
      <c r="GE344" s="14" t="n">
        <v>330147.49</v>
      </c>
      <c r="GF344" s="14" t="n">
        <v>175091.99</v>
      </c>
      <c r="GG344" s="15">
        <f>GC344+GD344+GE344+GF344</f>
        <v/>
      </c>
      <c r="GH344" s="14" t="n">
        <v>2555824.18</v>
      </c>
      <c r="GI344" s="14" t="n">
        <v>49400</v>
      </c>
      <c r="GJ344" s="14" t="n">
        <v>5427563.04</v>
      </c>
      <c r="GK344" s="14" t="n">
        <v>3248454.08</v>
      </c>
      <c r="GL344" s="15">
        <f>GH344+GI344+GJ344+GK344</f>
        <v/>
      </c>
      <c r="GM344" s="15">
        <f>GG344+GL344</f>
        <v/>
      </c>
      <c r="GN344" s="14" t="n">
        <v>1448584.48</v>
      </c>
      <c r="GO344" s="14" t="n">
        <v>2677.92</v>
      </c>
      <c r="GP344" s="14" t="n">
        <v>47510.96</v>
      </c>
      <c r="GQ344" s="14" t="n">
        <v>60285.42</v>
      </c>
      <c r="GR344" s="15">
        <f>GN344+GO344+GP344+GQ344</f>
        <v/>
      </c>
      <c r="GS344" s="14" t="n">
        <v>2435211</v>
      </c>
      <c r="GT344" s="14" t="n">
        <v>12502</v>
      </c>
      <c r="GU344" s="14" t="n">
        <v>12502</v>
      </c>
      <c r="GV344" s="14" t="n">
        <v>11609</v>
      </c>
      <c r="GW344" s="15">
        <f>GS344+GT344+GU344+GV344</f>
        <v/>
      </c>
      <c r="GX344" s="15">
        <f>GM344+GR344+GW344</f>
        <v/>
      </c>
      <c r="GY344" s="14" t="n">
        <v>124910318.2799998</v>
      </c>
      <c r="GZ344" s="14" t="n">
        <v>-1780097.49</v>
      </c>
      <c r="HA344" s="9">
        <f>GY344+GZ344</f>
        <v/>
      </c>
      <c r="HB344" s="15">
        <f>IF(GX344=0,"",AU344/GX344)</f>
        <v/>
      </c>
      <c r="HC344" s="16">
        <f>IF((GX344+GY344)=0,"",GB344/(GX344+GY344))</f>
        <v/>
      </c>
      <c r="HD344" s="15">
        <f>IF(GX344=0,"",GB344/GX344)</f>
        <v/>
      </c>
      <c r="HE344" s="14" t="n">
        <v>25</v>
      </c>
      <c r="HF344" s="14" t="n">
        <v>2</v>
      </c>
      <c r="HG344" s="14" t="n">
        <v>50</v>
      </c>
      <c r="HH344" s="14" t="n">
        <v>25</v>
      </c>
      <c r="HI344" s="14" t="n">
        <v>11</v>
      </c>
      <c r="HJ344" s="15">
        <f>HF344+HI344</f>
        <v/>
      </c>
      <c r="HK344" s="16">
        <f>IF(HE344=0,"",HH344/HE344)</f>
        <v/>
      </c>
      <c r="HL344" s="14" t="n">
        <v>5</v>
      </c>
      <c r="HM344" s="14" t="n">
        <v>2</v>
      </c>
      <c r="HN344" s="17">
        <f>IF(HL344=0,"",HM344/HL344)</f>
        <v/>
      </c>
    </row>
    <row r="345">
      <c r="A345" s="6" t="inlineStr">
        <is>
          <t>Zomba</t>
        </is>
      </c>
      <c r="B345" s="6" t="inlineStr">
        <is>
          <t>Mwanza</t>
        </is>
      </c>
      <c r="C345" s="7" t="inlineStr">
        <is>
          <t>FY2025/26</t>
        </is>
      </c>
      <c r="D345" s="7" t="n">
        <v>2025</v>
      </c>
      <c r="E345" s="7" t="n">
        <v>10</v>
      </c>
      <c r="F345" s="7" t="inlineStr">
        <is>
          <t>October</t>
        </is>
      </c>
      <c r="G345" s="7" t="inlineStr">
        <is>
          <t>Q3</t>
        </is>
      </c>
      <c r="H345" s="8" t="n">
        <v>46769</v>
      </c>
      <c r="I345" s="8" t="n">
        <v>23378</v>
      </c>
      <c r="J345" s="8" t="n">
        <v>814</v>
      </c>
      <c r="K345" s="8" t="n">
        <v>86</v>
      </c>
      <c r="L345" s="8" t="n">
        <v>155</v>
      </c>
      <c r="M345" s="9">
        <f>SUM(I345,J345,K345,L345)</f>
        <v/>
      </c>
      <c r="N345" s="8" t="n">
        <v>2181.8</v>
      </c>
      <c r="O345" s="8" t="n">
        <v>367.5</v>
      </c>
      <c r="P345" s="8" t="n">
        <v>6559.7</v>
      </c>
      <c r="Q345" s="8" t="n">
        <v>906.100000000001</v>
      </c>
      <c r="R345" s="9">
        <f>SUM(N345,O345,P345,Q345)</f>
        <v/>
      </c>
      <c r="S345" s="9">
        <f>M345+R345</f>
        <v/>
      </c>
      <c r="T345" s="8" t="n">
        <v>12320.9</v>
      </c>
      <c r="U345" s="10">
        <f>IF(H345=0,"",T345/H345)</f>
        <v/>
      </c>
      <c r="V345" s="8" t="n">
        <v>12</v>
      </c>
      <c r="W345" s="11">
        <f>IF(H345=0,"",V345/H345)</f>
        <v/>
      </c>
      <c r="X345" s="8" t="n">
        <v>0</v>
      </c>
      <c r="Y345" s="11">
        <f>IF(H345=0,"",X345/H345)</f>
        <v/>
      </c>
      <c r="Z345" s="8" t="n">
        <v>0</v>
      </c>
      <c r="AA345" s="11">
        <f>IF(H345=0,"",Z345/H345)</f>
        <v/>
      </c>
      <c r="AB345" s="8" t="n">
        <v>0</v>
      </c>
      <c r="AC345" s="11">
        <f>IF(H345=0,"",AB345/H345)</f>
        <v/>
      </c>
      <c r="AD345" s="8" t="n">
        <v>0</v>
      </c>
      <c r="AE345" s="11">
        <f>IF(H345=0,"",AD345/H345)</f>
        <v/>
      </c>
      <c r="AF345" s="8" t="n">
        <v>0</v>
      </c>
      <c r="AG345" s="11">
        <f>IF(H345=0,"",AF345/H345)</f>
        <v/>
      </c>
      <c r="AH345" s="8" t="n">
        <v>312000</v>
      </c>
      <c r="AI345" s="9">
        <f>IF(H345=0,"",AH345/H345)</f>
        <v/>
      </c>
      <c r="AJ345" s="8" t="n">
        <v>20943</v>
      </c>
      <c r="AK345" s="11">
        <f>IF(H345=0,"",AJ345/H345)</f>
        <v/>
      </c>
      <c r="AL345" s="8" t="n">
        <v>5755516.837</v>
      </c>
      <c r="AM345" s="9">
        <f>IF(H345=0,"",AL345/H345)</f>
        <v/>
      </c>
      <c r="AN345" s="8" t="n">
        <v>0</v>
      </c>
      <c r="AO345" s="8" t="n">
        <v>0</v>
      </c>
      <c r="AP345" s="8" t="n">
        <v>0</v>
      </c>
      <c r="AQ345" s="8" t="n">
        <v>0</v>
      </c>
      <c r="AR345" s="8" t="n">
        <v>0</v>
      </c>
      <c r="AS345" s="8" t="n">
        <v>0</v>
      </c>
      <c r="AT345" s="8" t="n">
        <v>0</v>
      </c>
      <c r="AU345" s="9">
        <f>AH345+AL345+AP345+AQ345+AR345+AS345+AT345</f>
        <v/>
      </c>
      <c r="AV345" s="9">
        <f>IF(H345=0,"",AU345/H345)</f>
        <v/>
      </c>
      <c r="AW345" s="9">
        <f>IF(S345=0,"",AU345/S345)</f>
        <v/>
      </c>
      <c r="AX345" s="8" t="n">
        <v>12</v>
      </c>
      <c r="AY345" s="9">
        <f>IF(H345=0,"",AX345/(H345/1000/12))</f>
        <v/>
      </c>
      <c r="AZ345" s="8" t="n">
        <v>28</v>
      </c>
      <c r="BA345" s="8" t="n">
        <v>50</v>
      </c>
      <c r="BB345" s="8" t="n">
        <v>39</v>
      </c>
      <c r="BC345" s="8" t="n">
        <v>30</v>
      </c>
      <c r="BD345" s="8" t="n">
        <v>0</v>
      </c>
      <c r="BE345" s="9">
        <f>BC345+BD345</f>
        <v/>
      </c>
      <c r="BF345" s="9">
        <f>BA345+BB345-BE345</f>
        <v/>
      </c>
      <c r="BG345" s="8" t="n">
        <v>0</v>
      </c>
      <c r="BH345" s="8" t="n">
        <v>0</v>
      </c>
      <c r="BI345" s="8" t="n">
        <v>0</v>
      </c>
      <c r="BJ345" s="8" t="n">
        <v>0</v>
      </c>
      <c r="BK345" s="9">
        <f>BI345+BJ345</f>
        <v/>
      </c>
      <c r="BL345" s="9">
        <f>BG345+BH345-BK345</f>
        <v/>
      </c>
      <c r="BM345" s="8" t="n">
        <v>0</v>
      </c>
      <c r="BN345" s="8" t="n">
        <v>0</v>
      </c>
      <c r="BO345" s="8" t="n">
        <v>0</v>
      </c>
      <c r="BP345" s="8" t="n">
        <v>0</v>
      </c>
      <c r="BQ345" s="9">
        <f>BO345+BP345</f>
        <v/>
      </c>
      <c r="BR345" s="9">
        <f>BM345+BN345-BQ345</f>
        <v/>
      </c>
      <c r="BS345" s="8" t="n">
        <v>0</v>
      </c>
      <c r="BT345" s="8" t="n">
        <v>0</v>
      </c>
      <c r="BU345" s="8" t="n">
        <v>0</v>
      </c>
      <c r="BV345" s="8" t="n">
        <v>0</v>
      </c>
      <c r="BW345" s="9">
        <f>BU345+BV345</f>
        <v/>
      </c>
      <c r="BX345" s="9">
        <f>BS345+BT345-BW345</f>
        <v/>
      </c>
      <c r="BY345" s="9">
        <f>BA345+BG345+BM345+BS345</f>
        <v/>
      </c>
      <c r="BZ345" s="9">
        <f>BB345+BH345+BN345+BT345</f>
        <v/>
      </c>
      <c r="CA345" s="9">
        <f>BE345+BK345+BQ345+BW345</f>
        <v/>
      </c>
      <c r="CB345" s="9">
        <f>BF345+BL345+BR345+BX345</f>
        <v/>
      </c>
      <c r="CC345" s="8" t="n">
        <v>11</v>
      </c>
      <c r="CD345" s="8" t="n">
        <v>851</v>
      </c>
      <c r="CE345" s="8" t="n">
        <v>53</v>
      </c>
      <c r="CF345" s="8" t="n">
        <v>13</v>
      </c>
      <c r="CG345" s="8" t="n">
        <v>11</v>
      </c>
      <c r="CH345" s="9">
        <f>CD345+CE345+CF345+CG345</f>
        <v/>
      </c>
      <c r="CI345" s="8" t="n">
        <v>2790</v>
      </c>
      <c r="CJ345" s="8" t="n">
        <v>15</v>
      </c>
      <c r="CK345" s="8" t="n">
        <v>16</v>
      </c>
      <c r="CL345" s="8" t="n">
        <v>13</v>
      </c>
      <c r="CM345" s="9">
        <f>CI345+CJ345+CK345+CL345</f>
        <v/>
      </c>
      <c r="CN345" s="8" t="n">
        <v>270</v>
      </c>
      <c r="CO345" s="8" t="n">
        <v>43</v>
      </c>
      <c r="CP345" s="8" t="n">
        <v>75</v>
      </c>
      <c r="CQ345" s="8" t="n">
        <v>4</v>
      </c>
      <c r="CR345" s="9">
        <f>CN345+CO345+CP345+CQ345</f>
        <v/>
      </c>
      <c r="CS345" s="9">
        <f>CM345+CR345</f>
        <v/>
      </c>
      <c r="CT345" s="8" t="n">
        <v>4154</v>
      </c>
      <c r="CU345" s="8" t="n">
        <v>23435</v>
      </c>
      <c r="CV345" s="8" t="n">
        <v>20332</v>
      </c>
      <c r="CW345" s="10">
        <f>IF(CU345=0,"",CV345/CU345)</f>
        <v/>
      </c>
      <c r="CX345" s="8" t="n">
        <v>4</v>
      </c>
      <c r="CY345" s="8" t="n">
        <v>1</v>
      </c>
      <c r="CZ345" s="8" t="n">
        <v>0</v>
      </c>
      <c r="DA345" s="8" t="n">
        <v>0</v>
      </c>
      <c r="DB345" s="9">
        <f>CX345+CY345-CZ345-DA345</f>
        <v/>
      </c>
      <c r="DC345" s="8" t="n">
        <v>3</v>
      </c>
      <c r="DD345" s="8" t="n">
        <v>0</v>
      </c>
      <c r="DE345" s="8" t="n">
        <v>1</v>
      </c>
      <c r="DF345" s="8" t="n">
        <v>0</v>
      </c>
      <c r="DG345" s="9">
        <f>DC345+DD345-DE345-DF345</f>
        <v/>
      </c>
      <c r="DH345" s="8" t="n">
        <v>3</v>
      </c>
      <c r="DI345" s="8" t="n">
        <v>0</v>
      </c>
      <c r="DJ345" s="8" t="n">
        <v>2</v>
      </c>
      <c r="DK345" s="8" t="n">
        <v>0</v>
      </c>
      <c r="DL345" s="9">
        <f>DH345+DI345-DJ345-DK345</f>
        <v/>
      </c>
      <c r="DM345" s="8" t="n">
        <v>466</v>
      </c>
      <c r="DN345" s="8" t="n">
        <v>87</v>
      </c>
      <c r="DO345" s="8" t="n">
        <v>22</v>
      </c>
      <c r="DP345" s="8" t="n">
        <v>0</v>
      </c>
      <c r="DQ345" s="9">
        <f>DM345+DN345-DO345-DP345</f>
        <v/>
      </c>
      <c r="DR345" s="9">
        <f>CX345+DC345+DH345+DM345</f>
        <v/>
      </c>
      <c r="DS345" s="9">
        <f>CY345+DD345+DI345+DN345</f>
        <v/>
      </c>
      <c r="DT345" s="9">
        <f>CZ345+DE345+DJ345+DO345</f>
        <v/>
      </c>
      <c r="DU345" s="9">
        <f>DA345+DF345+DK345+DP345</f>
        <v/>
      </c>
      <c r="DV345" s="9">
        <f>DB345+DG345+DL345+DQ345</f>
        <v/>
      </c>
      <c r="DW345" s="8" t="n">
        <v>19</v>
      </c>
      <c r="DX345" s="8" t="n">
        <v>11</v>
      </c>
      <c r="DY345" s="8" t="n">
        <v>3</v>
      </c>
      <c r="DZ345" s="8" t="n">
        <v>5</v>
      </c>
      <c r="EA345" s="8" t="n">
        <v>8</v>
      </c>
      <c r="EB345" s="8" t="n">
        <v>10</v>
      </c>
      <c r="EC345" s="8" t="n">
        <v>4</v>
      </c>
      <c r="ED345" s="8" t="n">
        <v>4</v>
      </c>
      <c r="EE345" s="8" t="n">
        <v>2</v>
      </c>
      <c r="EF345" s="8" t="n">
        <v>1</v>
      </c>
      <c r="EG345" s="8" t="n">
        <v>0</v>
      </c>
      <c r="EH345" s="8" t="n">
        <v>0</v>
      </c>
      <c r="EI345" s="8" t="n">
        <v>0</v>
      </c>
      <c r="EJ345" s="8" t="n">
        <v>4</v>
      </c>
      <c r="EK345" s="8" t="n">
        <v>0</v>
      </c>
      <c r="EL345" s="8" t="n">
        <v>0</v>
      </c>
      <c r="EM345" s="8" t="n">
        <v>0</v>
      </c>
      <c r="EN345" s="8" t="n">
        <v>0</v>
      </c>
      <c r="EO345" s="8" t="n">
        <v>0</v>
      </c>
      <c r="EP345" s="8" t="n">
        <v>0</v>
      </c>
      <c r="EQ345" s="8" t="n">
        <v>0</v>
      </c>
      <c r="ER345" s="8" t="n">
        <v>0</v>
      </c>
      <c r="ES345" s="8" t="n">
        <v>0</v>
      </c>
      <c r="ET345" s="8" t="n">
        <v>0</v>
      </c>
      <c r="EU345" s="8" t="n">
        <v>0</v>
      </c>
      <c r="EV345" s="8" t="n">
        <v>0</v>
      </c>
      <c r="EW345" s="8" t="n">
        <v>0</v>
      </c>
      <c r="EX345" s="8" t="n">
        <v>0</v>
      </c>
      <c r="EY345" s="8" t="n">
        <v>0</v>
      </c>
      <c r="EZ345" s="8" t="n">
        <v>0</v>
      </c>
      <c r="FA345" s="8" t="n">
        <v>0</v>
      </c>
      <c r="FB345" s="8" t="n">
        <v>0</v>
      </c>
      <c r="FC345" s="8" t="n">
        <v>0</v>
      </c>
      <c r="FD345" s="8" t="n">
        <v>0</v>
      </c>
      <c r="FE345" s="8" t="n">
        <v>0</v>
      </c>
      <c r="FF345" s="8" t="n">
        <v>0</v>
      </c>
      <c r="FG345" s="9">
        <f>SUM(DW345,DX345,DY345,DZ345,EA345,EB345,EC345,ED345,EE345,EF345,EG345,EH345,EI345,EJ345,EK345,EL345,EM345,EN345,EO345,EP345,EQ345,ER345,ES345,ET345,EU345,EV345,EW345,EX345,EY345,EZ345,FA345,FB345,FC345,FD345,FE345,FF345)</f>
        <v/>
      </c>
      <c r="FH345" s="8" t="n">
        <v>0</v>
      </c>
      <c r="FI345" s="8" t="n">
        <v>0</v>
      </c>
      <c r="FJ345" s="8" t="n">
        <v>22</v>
      </c>
      <c r="FK345" s="8" t="n">
        <v>6.8</v>
      </c>
      <c r="FL345" s="8" t="n">
        <v>0</v>
      </c>
      <c r="FM345" s="8" t="n">
        <v>0</v>
      </c>
      <c r="FN345" s="8" t="n">
        <v>0</v>
      </c>
      <c r="FO345" s="8" t="n">
        <v>0</v>
      </c>
      <c r="FP345" s="8" t="n">
        <v>0</v>
      </c>
      <c r="FQ345" s="9">
        <f>FL345+FM345+FN345+FO345+FP345</f>
        <v/>
      </c>
      <c r="FR345" s="8" t="n">
        <v>20892983.4</v>
      </c>
      <c r="FS345" s="8" t="n">
        <v>93000</v>
      </c>
      <c r="FT345" s="8" t="n">
        <v>284700</v>
      </c>
      <c r="FU345" s="8" t="n">
        <v>432867.22</v>
      </c>
      <c r="FV345" s="9">
        <f>FR345+FS345+FT345+FU345</f>
        <v/>
      </c>
      <c r="FW345" s="8" t="n">
        <v>2757160</v>
      </c>
      <c r="FX345" s="8" t="n">
        <v>78100</v>
      </c>
      <c r="FY345" s="8" t="n">
        <v>4298200</v>
      </c>
      <c r="FZ345" s="8" t="n">
        <v>20052118.88</v>
      </c>
      <c r="GA345" s="9">
        <f>FW345+FX345+FY345+FZ345</f>
        <v/>
      </c>
      <c r="GB345" s="9">
        <f>FV345+GA345</f>
        <v/>
      </c>
      <c r="GC345" s="8" t="n">
        <v>21297446.99</v>
      </c>
      <c r="GD345" s="8" t="n">
        <v>155701.92</v>
      </c>
      <c r="GE345" s="8" t="n">
        <v>246220.33</v>
      </c>
      <c r="GF345" s="8" t="n">
        <v>531556.22</v>
      </c>
      <c r="GG345" s="9">
        <f>GC345+GD345+GE345+GF345</f>
        <v/>
      </c>
      <c r="GH345" s="8" t="n">
        <v>2720867.39</v>
      </c>
      <c r="GI345" s="8" t="n">
        <v>78100</v>
      </c>
      <c r="GJ345" s="8" t="n">
        <v>19935949.31</v>
      </c>
      <c r="GK345" s="8" t="n">
        <v>4298200</v>
      </c>
      <c r="GL345" s="9">
        <f>GH345+GI345+GJ345+GK345</f>
        <v/>
      </c>
      <c r="GM345" s="9">
        <f>GG345+GL345</f>
        <v/>
      </c>
      <c r="GN345" s="8" t="n">
        <v>1482484.53</v>
      </c>
      <c r="GO345" s="8" t="n">
        <v>2486.64</v>
      </c>
      <c r="GP345" s="8" t="n">
        <v>50904.6</v>
      </c>
      <c r="GQ345" s="8" t="n">
        <v>74197.44</v>
      </c>
      <c r="GR345" s="9">
        <f>GN345+GO345+GP345+GQ345</f>
        <v/>
      </c>
      <c r="GS345" s="8" t="n">
        <v>2491470</v>
      </c>
      <c r="GT345" s="8" t="n">
        <v>11609</v>
      </c>
      <c r="GU345" s="8" t="n">
        <v>13395</v>
      </c>
      <c r="GV345" s="8" t="n">
        <v>14288</v>
      </c>
      <c r="GW345" s="9">
        <f>GS345+GT345+GU345+GV345</f>
        <v/>
      </c>
      <c r="GX345" s="9">
        <f>GM345+GR345+GW345</f>
        <v/>
      </c>
      <c r="GY345" s="8" t="n">
        <v>131623274.0999998</v>
      </c>
      <c r="GZ345" s="8" t="n">
        <v>-1857224.35</v>
      </c>
      <c r="HA345" s="9">
        <f>GY345+GZ345</f>
        <v/>
      </c>
      <c r="HB345" s="9">
        <f>IF(GX345=0,"",AU345/GX345)</f>
        <v/>
      </c>
      <c r="HC345" s="10">
        <f>IF((GX345+GY345)=0,"",GB345/(GX345+GY345))</f>
        <v/>
      </c>
      <c r="HD345" s="9">
        <f>IF(GX345=0,"",GB345/GX345)</f>
        <v/>
      </c>
      <c r="HE345" s="8" t="n">
        <v>39</v>
      </c>
      <c r="HF345" s="8" t="n">
        <v>2</v>
      </c>
      <c r="HG345" s="8" t="n">
        <v>59</v>
      </c>
      <c r="HH345" s="8" t="n">
        <v>39</v>
      </c>
      <c r="HI345" s="8" t="n">
        <v>15</v>
      </c>
      <c r="HJ345" s="9">
        <f>HF345+HI345</f>
        <v/>
      </c>
      <c r="HK345" s="10">
        <f>IF(HE345=0,"",HH345/HE345)</f>
        <v/>
      </c>
      <c r="HL345" s="8" t="n">
        <v>12</v>
      </c>
      <c r="HM345" s="8" t="n">
        <v>7</v>
      </c>
      <c r="HN345" s="11">
        <f>IF(HL345=0,"",HM345/HL345)</f>
        <v/>
      </c>
    </row>
    <row r="346">
      <c r="A346" s="12" t="inlineStr">
        <is>
          <t>Zomba</t>
        </is>
      </c>
      <c r="B346" s="12" t="inlineStr">
        <is>
          <t>Mwanza</t>
        </is>
      </c>
      <c r="C346" s="13" t="inlineStr">
        <is>
          <t>FY2025/26</t>
        </is>
      </c>
      <c r="D346" s="13" t="n">
        <v>2025</v>
      </c>
      <c r="E346" s="13" t="n">
        <v>11</v>
      </c>
      <c r="F346" s="13" t="inlineStr">
        <is>
          <t>November</t>
        </is>
      </c>
      <c r="G346" s="13" t="inlineStr">
        <is>
          <t>Q3</t>
        </is>
      </c>
      <c r="H346" s="14" t="n">
        <v>41556</v>
      </c>
      <c r="I346" s="14" t="n">
        <v>23504</v>
      </c>
      <c r="J346" s="14" t="n">
        <v>780</v>
      </c>
      <c r="K346" s="14" t="n">
        <v>96</v>
      </c>
      <c r="L346" s="14" t="n">
        <v>126</v>
      </c>
      <c r="M346" s="15">
        <f>SUM(I346,J346,K346,L346)</f>
        <v/>
      </c>
      <c r="N346" s="14" t="n">
        <v>2005.09999999999</v>
      </c>
      <c r="O346" s="14" t="n">
        <v>364.9</v>
      </c>
      <c r="P346" s="14" t="n">
        <v>2418.9</v>
      </c>
      <c r="Q346" s="14" t="n">
        <v>793.400000000001</v>
      </c>
      <c r="R346" s="15">
        <f>SUM(N346,O346,P346,Q346)</f>
        <v/>
      </c>
      <c r="S346" s="15">
        <f>M346+R346</f>
        <v/>
      </c>
      <c r="T346" s="14" t="n">
        <v>11467.7</v>
      </c>
      <c r="U346" s="16">
        <f>IF(H346=0,"",T346/H346)</f>
        <v/>
      </c>
      <c r="V346" s="14" t="n">
        <v>13</v>
      </c>
      <c r="W346" s="17">
        <f>IF(H346=0,"",V346/H346)</f>
        <v/>
      </c>
      <c r="X346" s="14" t="n">
        <v>0</v>
      </c>
      <c r="Y346" s="17">
        <f>IF(H346=0,"",X346/H346)</f>
        <v/>
      </c>
      <c r="Z346" s="14" t="n">
        <v>0</v>
      </c>
      <c r="AA346" s="17">
        <f>IF(H346=0,"",Z346/H346)</f>
        <v/>
      </c>
      <c r="AB346" s="14" t="n">
        <v>0</v>
      </c>
      <c r="AC346" s="17">
        <f>IF(H346=0,"",AB346/H346)</f>
        <v/>
      </c>
      <c r="AD346" s="14" t="n">
        <v>0</v>
      </c>
      <c r="AE346" s="17">
        <f>IF(H346=0,"",AD346/H346)</f>
        <v/>
      </c>
      <c r="AF346" s="14" t="n">
        <v>0</v>
      </c>
      <c r="AG346" s="17">
        <f>IF(H346=0,"",AF346/H346)</f>
        <v/>
      </c>
      <c r="AH346" s="14" t="n">
        <v>338000</v>
      </c>
      <c r="AI346" s="15">
        <f>IF(H346=0,"",AH346/H346)</f>
        <v/>
      </c>
      <c r="AJ346" s="14" t="n">
        <v>21673</v>
      </c>
      <c r="AK346" s="17">
        <f>IF(H346=0,"",AJ346/H346)</f>
        <v/>
      </c>
      <c r="AL346" s="14" t="n">
        <v>5955032.407</v>
      </c>
      <c r="AM346" s="15">
        <f>IF(H346=0,"",AL346/H346)</f>
        <v/>
      </c>
      <c r="AN346" s="14" t="n">
        <v>0</v>
      </c>
      <c r="AO346" s="14" t="n">
        <v>0</v>
      </c>
      <c r="AP346" s="14" t="n">
        <v>0</v>
      </c>
      <c r="AQ346" s="14" t="n">
        <v>0</v>
      </c>
      <c r="AR346" s="14" t="n">
        <v>0</v>
      </c>
      <c r="AS346" s="14" t="n">
        <v>0</v>
      </c>
      <c r="AT346" s="14" t="n">
        <v>0</v>
      </c>
      <c r="AU346" s="15">
        <f>AH346+AL346+AP346+AQ346+AR346+AS346+AT346</f>
        <v/>
      </c>
      <c r="AV346" s="15">
        <f>IF(H346=0,"",AU346/H346)</f>
        <v/>
      </c>
      <c r="AW346" s="15">
        <f>IF(S346=0,"",AU346/S346)</f>
        <v/>
      </c>
      <c r="AX346" s="14" t="n">
        <v>12</v>
      </c>
      <c r="AY346" s="15">
        <f>IF(H346=0,"",AX346/(H346/1000/12))</f>
        <v/>
      </c>
      <c r="AZ346" s="14" t="n">
        <v>28</v>
      </c>
      <c r="BA346" s="14" t="n">
        <v>59</v>
      </c>
      <c r="BB346" s="14" t="n">
        <v>20</v>
      </c>
      <c r="BC346" s="14" t="n">
        <v>19</v>
      </c>
      <c r="BD346" s="14" t="n">
        <v>0</v>
      </c>
      <c r="BE346" s="15">
        <f>BC346+BD346</f>
        <v/>
      </c>
      <c r="BF346" s="15">
        <f>BA346+BB346-BE346</f>
        <v/>
      </c>
      <c r="BG346" s="14" t="n">
        <v>0</v>
      </c>
      <c r="BH346" s="14" t="n">
        <v>0</v>
      </c>
      <c r="BI346" s="14" t="n">
        <v>0</v>
      </c>
      <c r="BJ346" s="14" t="n">
        <v>0</v>
      </c>
      <c r="BK346" s="15">
        <f>BI346+BJ346</f>
        <v/>
      </c>
      <c r="BL346" s="15">
        <f>BG346+BH346-BK346</f>
        <v/>
      </c>
      <c r="BM346" s="14" t="n">
        <v>0</v>
      </c>
      <c r="BN346" s="14" t="n">
        <v>0</v>
      </c>
      <c r="BO346" s="14" t="n">
        <v>0</v>
      </c>
      <c r="BP346" s="14" t="n">
        <v>0</v>
      </c>
      <c r="BQ346" s="15">
        <f>BO346+BP346</f>
        <v/>
      </c>
      <c r="BR346" s="15">
        <f>BM346+BN346-BQ346</f>
        <v/>
      </c>
      <c r="BS346" s="14" t="n">
        <v>0</v>
      </c>
      <c r="BT346" s="14" t="n">
        <v>0</v>
      </c>
      <c r="BU346" s="14" t="n">
        <v>0</v>
      </c>
      <c r="BV346" s="14" t="n">
        <v>0</v>
      </c>
      <c r="BW346" s="15">
        <f>BU346+BV346</f>
        <v/>
      </c>
      <c r="BX346" s="15">
        <f>BS346+BT346-BW346</f>
        <v/>
      </c>
      <c r="BY346" s="15">
        <f>BA346+BG346+BM346+BS346</f>
        <v/>
      </c>
      <c r="BZ346" s="15">
        <f>BB346+BH346+BN346+BT346</f>
        <v/>
      </c>
      <c r="CA346" s="15">
        <f>BE346+BK346+BQ346+BW346</f>
        <v/>
      </c>
      <c r="CB346" s="15">
        <f>BF346+BL346+BR346+BX346</f>
        <v/>
      </c>
      <c r="CC346" s="14" t="n">
        <v>0</v>
      </c>
      <c r="CD346" s="14" t="n">
        <v>840</v>
      </c>
      <c r="CE346" s="14" t="n">
        <v>52</v>
      </c>
      <c r="CF346" s="14" t="n">
        <v>15</v>
      </c>
      <c r="CG346" s="14" t="n">
        <v>12</v>
      </c>
      <c r="CH346" s="15">
        <f>CD346+CE346+CF346+CG346</f>
        <v/>
      </c>
      <c r="CI346" s="14" t="n">
        <v>2822</v>
      </c>
      <c r="CJ346" s="14" t="n">
        <v>16</v>
      </c>
      <c r="CK346" s="14" t="n">
        <v>14</v>
      </c>
      <c r="CL346" s="14" t="n">
        <v>12</v>
      </c>
      <c r="CM346" s="15">
        <f>CI346+CJ346+CK346+CL346</f>
        <v/>
      </c>
      <c r="CN346" s="14" t="n">
        <v>268</v>
      </c>
      <c r="CO346" s="14" t="n">
        <v>43</v>
      </c>
      <c r="CP346" s="14" t="n">
        <v>75</v>
      </c>
      <c r="CQ346" s="14" t="n">
        <v>4</v>
      </c>
      <c r="CR346" s="15">
        <f>CN346+CO346+CP346+CQ346</f>
        <v/>
      </c>
      <c r="CS346" s="15">
        <f>CM346+CR346</f>
        <v/>
      </c>
      <c r="CT346" s="14" t="n">
        <v>4173</v>
      </c>
      <c r="CU346" s="14" t="n">
        <v>23491</v>
      </c>
      <c r="CV346" s="14" t="n">
        <v>20413.7</v>
      </c>
      <c r="CW346" s="16">
        <f>IF(CU346=0,"",CV346/CU346)</f>
        <v/>
      </c>
      <c r="CX346" s="14" t="n">
        <v>5</v>
      </c>
      <c r="CY346" s="14" t="n">
        <v>2</v>
      </c>
      <c r="CZ346" s="14" t="n">
        <v>1</v>
      </c>
      <c r="DA346" s="14" t="n">
        <v>0</v>
      </c>
      <c r="DB346" s="15">
        <f>CX346+CY346-CZ346-DA346</f>
        <v/>
      </c>
      <c r="DC346" s="14" t="n">
        <v>2</v>
      </c>
      <c r="DD346" s="14" t="n">
        <v>0</v>
      </c>
      <c r="DE346" s="14" t="n">
        <v>0</v>
      </c>
      <c r="DF346" s="14" t="n">
        <v>0</v>
      </c>
      <c r="DG346" s="15">
        <f>DC346+DD346-DE346-DF346</f>
        <v/>
      </c>
      <c r="DH346" s="14" t="n">
        <v>1</v>
      </c>
      <c r="DI346" s="14" t="n">
        <v>0</v>
      </c>
      <c r="DJ346" s="14" t="n">
        <v>1</v>
      </c>
      <c r="DK346" s="14" t="n">
        <v>0</v>
      </c>
      <c r="DL346" s="15">
        <f>DH346+DI346-DJ346-DK346</f>
        <v/>
      </c>
      <c r="DM346" s="14" t="n">
        <v>531</v>
      </c>
      <c r="DN346" s="14" t="n">
        <v>0</v>
      </c>
      <c r="DO346" s="14" t="n">
        <v>87</v>
      </c>
      <c r="DP346" s="14" t="n">
        <v>0</v>
      </c>
      <c r="DQ346" s="15">
        <f>DM346+DN346-DO346-DP346</f>
        <v/>
      </c>
      <c r="DR346" s="15">
        <f>CX346+DC346+DH346+DM346</f>
        <v/>
      </c>
      <c r="DS346" s="15">
        <f>CY346+DD346+DI346+DN346</f>
        <v/>
      </c>
      <c r="DT346" s="15">
        <f>CZ346+DE346+DJ346+DO346</f>
        <v/>
      </c>
      <c r="DU346" s="15">
        <f>DA346+DF346+DK346+DP346</f>
        <v/>
      </c>
      <c r="DV346" s="15">
        <f>DB346+DG346+DL346+DQ346</f>
        <v/>
      </c>
      <c r="DW346" s="14" t="n">
        <v>10</v>
      </c>
      <c r="DX346" s="14" t="n">
        <v>9</v>
      </c>
      <c r="DY346" s="14" t="n">
        <v>6</v>
      </c>
      <c r="DZ346" s="14" t="n">
        <v>5</v>
      </c>
      <c r="EA346" s="14" t="n">
        <v>6</v>
      </c>
      <c r="EB346" s="14" t="n">
        <v>8</v>
      </c>
      <c r="EC346" s="14" t="n">
        <v>7</v>
      </c>
      <c r="ED346" s="14" t="n">
        <v>5</v>
      </c>
      <c r="EE346" s="14" t="n">
        <v>0</v>
      </c>
      <c r="EF346" s="14" t="n">
        <v>0</v>
      </c>
      <c r="EG346" s="14" t="n">
        <v>0</v>
      </c>
      <c r="EH346" s="14" t="n">
        <v>0</v>
      </c>
      <c r="EI346" s="14" t="n">
        <v>0</v>
      </c>
      <c r="EJ346" s="14" t="n">
        <v>2</v>
      </c>
      <c r="EK346" s="14" t="n">
        <v>0</v>
      </c>
      <c r="EL346" s="14" t="n">
        <v>0</v>
      </c>
      <c r="EM346" s="14" t="n">
        <v>0</v>
      </c>
      <c r="EN346" s="14" t="n">
        <v>0</v>
      </c>
      <c r="EO346" s="14" t="n">
        <v>0</v>
      </c>
      <c r="EP346" s="14" t="n">
        <v>0</v>
      </c>
      <c r="EQ346" s="14" t="n">
        <v>0</v>
      </c>
      <c r="ER346" s="14" t="n">
        <v>0</v>
      </c>
      <c r="ES346" s="14" t="n">
        <v>0</v>
      </c>
      <c r="ET346" s="14" t="n">
        <v>0</v>
      </c>
      <c r="EU346" s="14" t="n">
        <v>0</v>
      </c>
      <c r="EV346" s="14" t="n">
        <v>0</v>
      </c>
      <c r="EW346" s="14" t="n">
        <v>0</v>
      </c>
      <c r="EX346" s="14" t="n">
        <v>0</v>
      </c>
      <c r="EY346" s="14" t="n">
        <v>0</v>
      </c>
      <c r="EZ346" s="14" t="n">
        <v>0</v>
      </c>
      <c r="FA346" s="14" t="n">
        <v>0</v>
      </c>
      <c r="FB346" s="14" t="n">
        <v>0</v>
      </c>
      <c r="FC346" s="14" t="n">
        <v>0</v>
      </c>
      <c r="FD346" s="14" t="n">
        <v>0</v>
      </c>
      <c r="FE346" s="14" t="n">
        <v>0</v>
      </c>
      <c r="FF346" s="14" t="n">
        <v>0</v>
      </c>
      <c r="FG346" s="15">
        <f>SUM(DW346,DX346,DY346,DZ346,EA346,EB346,EC346,ED346,EE346,EF346,EG346,EH346,EI346,EJ346,EK346,EL346,EM346,EN346,EO346,EP346,EQ346,ER346,ES346,ET346,EU346,EV346,EW346,EX346,EY346,EZ346,FA346,FB346,FC346,FD346,FE346,FF346)</f>
        <v/>
      </c>
      <c r="FH346" s="14" t="n">
        <v>0</v>
      </c>
      <c r="FI346" s="14" t="n">
        <v>0</v>
      </c>
      <c r="FJ346" s="14" t="n">
        <v>23</v>
      </c>
      <c r="FK346" s="14" t="n">
        <v>19.1</v>
      </c>
      <c r="FL346" s="14" t="n">
        <v>0</v>
      </c>
      <c r="FM346" s="14" t="n">
        <v>0</v>
      </c>
      <c r="FN346" s="14" t="n">
        <v>0</v>
      </c>
      <c r="FO346" s="14" t="n">
        <v>0</v>
      </c>
      <c r="FP346" s="14" t="n">
        <v>0</v>
      </c>
      <c r="FQ346" s="15">
        <f>FL346+FM346+FN346+FO346+FP346</f>
        <v/>
      </c>
      <c r="FR346" s="14" t="n">
        <v>22585590.4</v>
      </c>
      <c r="FS346" s="14" t="n">
        <v>103000</v>
      </c>
      <c r="FT346" s="14" t="n">
        <v>239500</v>
      </c>
      <c r="FU346" s="14" t="n">
        <v>219450</v>
      </c>
      <c r="FV346" s="15">
        <f>FR346+FS346+FT346+FU346</f>
        <v/>
      </c>
      <c r="FW346" s="14" t="n">
        <v>2531606.44</v>
      </c>
      <c r="FX346" s="14" t="n">
        <v>81400</v>
      </c>
      <c r="FY346" s="14" t="n">
        <v>3756192.15</v>
      </c>
      <c r="FZ346" s="14" t="n">
        <v>7352600</v>
      </c>
      <c r="GA346" s="15">
        <f>FW346+FX346+FY346+FZ346</f>
        <v/>
      </c>
      <c r="GB346" s="15">
        <f>FV346+GA346</f>
        <v/>
      </c>
      <c r="GC346" s="14" t="n">
        <v>21704201.93</v>
      </c>
      <c r="GD346" s="14" t="n">
        <v>149198.4</v>
      </c>
      <c r="GE346" s="14" t="n">
        <v>264647.75</v>
      </c>
      <c r="GF346" s="14" t="n">
        <v>446053.84</v>
      </c>
      <c r="GG346" s="15">
        <f>GC346+GD346+GE346+GF346</f>
        <v/>
      </c>
      <c r="GH346" s="14" t="n">
        <v>2500406.44</v>
      </c>
      <c r="GI346" s="14" t="n">
        <v>81400</v>
      </c>
      <c r="GJ346" s="14" t="n">
        <v>7352600</v>
      </c>
      <c r="GK346" s="14" t="n">
        <v>3756192.13</v>
      </c>
      <c r="GL346" s="15">
        <f>GH346+GI346+GJ346+GK346</f>
        <v/>
      </c>
      <c r="GM346" s="15">
        <f>GG346+GL346</f>
        <v/>
      </c>
      <c r="GN346" s="14" t="n">
        <v>1499491.75</v>
      </c>
      <c r="GO346" s="14" t="n">
        <v>2295.36</v>
      </c>
      <c r="GP346" s="14" t="n">
        <v>54298.24</v>
      </c>
      <c r="GQ346" s="14" t="n">
        <v>64922.76</v>
      </c>
      <c r="GR346" s="15">
        <f>GN346+GO346+GP346+GQ346</f>
        <v/>
      </c>
      <c r="GS346" s="14" t="n">
        <v>2520046</v>
      </c>
      <c r="GT346" s="14" t="n">
        <v>10716</v>
      </c>
      <c r="GU346" s="14" t="n">
        <v>14288</v>
      </c>
      <c r="GV346" s="14" t="n">
        <v>12502</v>
      </c>
      <c r="GW346" s="15">
        <f>GS346+GT346+GU346+GV346</f>
        <v/>
      </c>
      <c r="GX346" s="15">
        <f>GM346+GR346+GW346</f>
        <v/>
      </c>
      <c r="GY346" s="14" t="n">
        <v>95750734.04000023</v>
      </c>
      <c r="GZ346" s="14" t="n">
        <v>-1526929.31</v>
      </c>
      <c r="HA346" s="9">
        <f>GY346+GZ346</f>
        <v/>
      </c>
      <c r="HB346" s="15">
        <f>IF(GX346=0,"",AU346/GX346)</f>
        <v/>
      </c>
      <c r="HC346" s="16">
        <f>IF((GX346+GY346)=0,"",GB346/(GX346+GY346))</f>
        <v/>
      </c>
      <c r="HD346" s="15">
        <f>IF(GX346=0,"",GB346/GX346)</f>
        <v/>
      </c>
      <c r="HE346" s="14" t="n">
        <v>20</v>
      </c>
      <c r="HF346" s="14" t="n">
        <v>2</v>
      </c>
      <c r="HG346" s="14" t="n">
        <v>60</v>
      </c>
      <c r="HH346" s="14" t="n">
        <v>20</v>
      </c>
      <c r="HI346" s="14" t="n">
        <v>5</v>
      </c>
      <c r="HJ346" s="15">
        <f>HF346+HI346</f>
        <v/>
      </c>
      <c r="HK346" s="16">
        <f>IF(HE346=0,"",HH346/HE346)</f>
        <v/>
      </c>
      <c r="HL346" s="14" t="n">
        <v>22</v>
      </c>
      <c r="HM346" s="14" t="n">
        <v>6</v>
      </c>
      <c r="HN346" s="17">
        <f>IF(HL346=0,"",HM346/HL346)</f>
        <v/>
      </c>
    </row>
    <row r="347">
      <c r="A347" s="6" t="inlineStr">
        <is>
          <t>Zomba</t>
        </is>
      </c>
      <c r="B347" s="6" t="inlineStr">
        <is>
          <t>Mwanza</t>
        </is>
      </c>
      <c r="C347" s="7" t="inlineStr">
        <is>
          <t>FY2025/26</t>
        </is>
      </c>
      <c r="D347" s="7" t="n">
        <v>2025</v>
      </c>
      <c r="E347" s="7" t="n">
        <v>12</v>
      </c>
      <c r="F347" s="7" t="inlineStr">
        <is>
          <t>December</t>
        </is>
      </c>
      <c r="G347" s="7" t="inlineStr">
        <is>
          <t>Q3</t>
        </is>
      </c>
      <c r="H347" s="8" t="n">
        <v>39947</v>
      </c>
      <c r="I347" s="8" t="n">
        <v>21125</v>
      </c>
      <c r="J347" s="8" t="n">
        <v>623</v>
      </c>
      <c r="K347" s="8" t="n">
        <v>92</v>
      </c>
      <c r="L347" s="8" t="n">
        <v>101</v>
      </c>
      <c r="M347" s="9">
        <f>SUM(I347,J347,K347,L347)</f>
        <v/>
      </c>
      <c r="N347" s="8" t="n">
        <v>2054</v>
      </c>
      <c r="O347" s="8" t="n">
        <v>281</v>
      </c>
      <c r="P347" s="8" t="n">
        <v>3783.9</v>
      </c>
      <c r="Q347" s="8" t="n">
        <v>561.300000000001</v>
      </c>
      <c r="R347" s="9">
        <f>SUM(N347,O347,P347,Q347)</f>
        <v/>
      </c>
      <c r="S347" s="9">
        <f>M347+R347</f>
        <v/>
      </c>
      <c r="T347" s="8" t="n">
        <v>11325.8</v>
      </c>
      <c r="U347" s="10">
        <f>IF(H347=0,"",T347/H347)</f>
        <v/>
      </c>
      <c r="V347" s="8" t="n">
        <v>12.5</v>
      </c>
      <c r="W347" s="11">
        <f>IF(H347=0,"",V347/H347)</f>
        <v/>
      </c>
      <c r="X347" s="8" t="n">
        <v>0</v>
      </c>
      <c r="Y347" s="11">
        <f>IF(H347=0,"",X347/H347)</f>
        <v/>
      </c>
      <c r="Z347" s="8" t="n">
        <v>0</v>
      </c>
      <c r="AA347" s="11">
        <f>IF(H347=0,"",Z347/H347)</f>
        <v/>
      </c>
      <c r="AB347" s="8" t="n">
        <v>0</v>
      </c>
      <c r="AC347" s="11">
        <f>IF(H347=0,"",AB347/H347)</f>
        <v/>
      </c>
      <c r="AD347" s="8" t="n">
        <v>0</v>
      </c>
      <c r="AE347" s="11">
        <f>IF(H347=0,"",AD347/H347)</f>
        <v/>
      </c>
      <c r="AF347" s="8" t="n">
        <v>0</v>
      </c>
      <c r="AG347" s="11">
        <f>IF(H347=0,"",AF347/H347)</f>
        <v/>
      </c>
      <c r="AH347" s="8" t="n">
        <v>325000</v>
      </c>
      <c r="AI347" s="9">
        <f>IF(H347=0,"",AH347/H347)</f>
        <v/>
      </c>
      <c r="AJ347" s="8" t="n">
        <v>21357</v>
      </c>
      <c r="AK347" s="11">
        <f>IF(H347=0,"",AJ347/H347)</f>
        <v/>
      </c>
      <c r="AL347" s="8" t="n">
        <v>5868666.763</v>
      </c>
      <c r="AM347" s="9">
        <f>IF(H347=0,"",AL347/H347)</f>
        <v/>
      </c>
      <c r="AN347" s="8" t="n">
        <v>0</v>
      </c>
      <c r="AO347" s="8" t="n">
        <v>0</v>
      </c>
      <c r="AP347" s="8" t="n">
        <v>0</v>
      </c>
      <c r="AQ347" s="8" t="n">
        <v>0</v>
      </c>
      <c r="AR347" s="8" t="n">
        <v>0</v>
      </c>
      <c r="AS347" s="8" t="n">
        <v>0</v>
      </c>
      <c r="AT347" s="8" t="n">
        <v>0</v>
      </c>
      <c r="AU347" s="9">
        <f>AH347+AL347+AP347+AQ347+AR347+AS347+AT347</f>
        <v/>
      </c>
      <c r="AV347" s="9">
        <f>IF(H347=0,"",AU347/H347)</f>
        <v/>
      </c>
      <c r="AW347" s="9">
        <f>IF(S347=0,"",AU347/S347)</f>
        <v/>
      </c>
      <c r="AX347" s="8" t="n">
        <v>12</v>
      </c>
      <c r="AY347" s="9">
        <f>IF(H347=0,"",AX347/(H347/1000/12))</f>
        <v/>
      </c>
      <c r="AZ347" s="8" t="n">
        <v>28</v>
      </c>
      <c r="BA347" s="8" t="n">
        <v>60</v>
      </c>
      <c r="BB347" s="8" t="n">
        <v>16</v>
      </c>
      <c r="BC347" s="8" t="n">
        <v>16</v>
      </c>
      <c r="BD347" s="8" t="n">
        <v>0</v>
      </c>
      <c r="BE347" s="9">
        <f>BC347+BD347</f>
        <v/>
      </c>
      <c r="BF347" s="9">
        <f>BA347+BB347-BE347</f>
        <v/>
      </c>
      <c r="BG347" s="8" t="n">
        <v>0</v>
      </c>
      <c r="BH347" s="8" t="n">
        <v>0</v>
      </c>
      <c r="BI347" s="8" t="n">
        <v>0</v>
      </c>
      <c r="BJ347" s="8" t="n">
        <v>0</v>
      </c>
      <c r="BK347" s="9">
        <f>BI347+BJ347</f>
        <v/>
      </c>
      <c r="BL347" s="9">
        <f>BG347+BH347-BK347</f>
        <v/>
      </c>
      <c r="BM347" s="8" t="n">
        <v>0</v>
      </c>
      <c r="BN347" s="8" t="n">
        <v>0</v>
      </c>
      <c r="BO347" s="8" t="n">
        <v>0</v>
      </c>
      <c r="BP347" s="8" t="n">
        <v>0</v>
      </c>
      <c r="BQ347" s="9">
        <f>BO347+BP347</f>
        <v/>
      </c>
      <c r="BR347" s="9">
        <f>BM347+BN347-BQ347</f>
        <v/>
      </c>
      <c r="BS347" s="8" t="n">
        <v>0</v>
      </c>
      <c r="BT347" s="8" t="n">
        <v>0</v>
      </c>
      <c r="BU347" s="8" t="n">
        <v>0</v>
      </c>
      <c r="BV347" s="8" t="n">
        <v>0</v>
      </c>
      <c r="BW347" s="9">
        <f>BU347+BV347</f>
        <v/>
      </c>
      <c r="BX347" s="9">
        <f>BS347+BT347-BW347</f>
        <v/>
      </c>
      <c r="BY347" s="9">
        <f>BA347+BG347+BM347+BS347</f>
        <v/>
      </c>
      <c r="BZ347" s="9">
        <f>BB347+BH347+BN347+BT347</f>
        <v/>
      </c>
      <c r="CA347" s="9">
        <f>BE347+BK347+BQ347+BW347</f>
        <v/>
      </c>
      <c r="CB347" s="9">
        <f>BF347+BL347+BR347+BX347</f>
        <v/>
      </c>
      <c r="CC347" s="8" t="n">
        <v>0</v>
      </c>
      <c r="CD347" s="8" t="n">
        <v>859</v>
      </c>
      <c r="CE347" s="8" t="n">
        <v>52</v>
      </c>
      <c r="CF347" s="8" t="n">
        <v>13</v>
      </c>
      <c r="CG347" s="8" t="n">
        <v>11</v>
      </c>
      <c r="CH347" s="9">
        <f>CD347+CE347+CF347+CG347</f>
        <v/>
      </c>
      <c r="CI347" s="8" t="n">
        <v>2816</v>
      </c>
      <c r="CJ347" s="8" t="n">
        <v>16</v>
      </c>
      <c r="CK347" s="8" t="n">
        <v>14</v>
      </c>
      <c r="CL347" s="8" t="n">
        <v>12</v>
      </c>
      <c r="CM347" s="9">
        <f>CI347+CJ347+CK347+CL347</f>
        <v/>
      </c>
      <c r="CN347" s="8" t="n">
        <v>271</v>
      </c>
      <c r="CO347" s="8" t="n">
        <v>43</v>
      </c>
      <c r="CP347" s="8" t="n">
        <v>77</v>
      </c>
      <c r="CQ347" s="8" t="n">
        <v>5</v>
      </c>
      <c r="CR347" s="9">
        <f>CN347+CO347+CP347+CQ347</f>
        <v/>
      </c>
      <c r="CS347" s="9">
        <f>CM347+CR347</f>
        <v/>
      </c>
      <c r="CT347" s="8" t="n">
        <v>4189</v>
      </c>
      <c r="CU347" s="8" t="n">
        <v>23547</v>
      </c>
      <c r="CV347" s="8" t="n">
        <v>20482.8</v>
      </c>
      <c r="CW347" s="10">
        <f>IF(CU347=0,"",CV347/CU347)</f>
        <v/>
      </c>
      <c r="CX347" s="8" t="n">
        <v>6</v>
      </c>
      <c r="CY347" s="8" t="n">
        <v>0</v>
      </c>
      <c r="CZ347" s="8" t="n">
        <v>1</v>
      </c>
      <c r="DA347" s="8" t="n">
        <v>0</v>
      </c>
      <c r="DB347" s="9">
        <f>CX347+CY347-CZ347-DA347</f>
        <v/>
      </c>
      <c r="DC347" s="8" t="n">
        <v>2</v>
      </c>
      <c r="DD347" s="8" t="n">
        <v>0</v>
      </c>
      <c r="DE347" s="8" t="n">
        <v>0</v>
      </c>
      <c r="DF347" s="8" t="n">
        <v>0</v>
      </c>
      <c r="DG347" s="9">
        <f>DC347+DD347-DE347-DF347</f>
        <v/>
      </c>
      <c r="DH347" s="8" t="n">
        <v>0</v>
      </c>
      <c r="DI347" s="8" t="n">
        <v>0</v>
      </c>
      <c r="DJ347" s="8" t="n">
        <v>0</v>
      </c>
      <c r="DK347" s="8" t="n">
        <v>0</v>
      </c>
      <c r="DL347" s="9">
        <f>DH347+DI347-DJ347-DK347</f>
        <v/>
      </c>
      <c r="DM347" s="8" t="n">
        <v>444</v>
      </c>
      <c r="DN347" s="8" t="n">
        <v>90</v>
      </c>
      <c r="DO347" s="8" t="n">
        <v>7</v>
      </c>
      <c r="DP347" s="8" t="n">
        <v>0</v>
      </c>
      <c r="DQ347" s="9">
        <f>DM347+DN347-DO347-DP347</f>
        <v/>
      </c>
      <c r="DR347" s="9">
        <f>CX347+DC347+DH347+DM347</f>
        <v/>
      </c>
      <c r="DS347" s="9">
        <f>CY347+DD347+DI347+DN347</f>
        <v/>
      </c>
      <c r="DT347" s="9">
        <f>CZ347+DE347+DJ347+DO347</f>
        <v/>
      </c>
      <c r="DU347" s="9">
        <f>DA347+DF347+DK347+DP347</f>
        <v/>
      </c>
      <c r="DV347" s="9">
        <f>DB347+DG347+DL347+DQ347</f>
        <v/>
      </c>
      <c r="DW347" s="8" t="n">
        <v>12</v>
      </c>
      <c r="DX347" s="8" t="n">
        <v>10</v>
      </c>
      <c r="DY347" s="8" t="n">
        <v>6</v>
      </c>
      <c r="DZ347" s="8" t="n">
        <v>5</v>
      </c>
      <c r="EA347" s="8" t="n">
        <v>6</v>
      </c>
      <c r="EB347" s="8" t="n">
        <v>10</v>
      </c>
      <c r="EC347" s="8" t="n">
        <v>7</v>
      </c>
      <c r="ED347" s="8" t="n">
        <v>6</v>
      </c>
      <c r="EE347" s="8" t="n">
        <v>1</v>
      </c>
      <c r="EF347" s="8" t="n">
        <v>2</v>
      </c>
      <c r="EG347" s="8" t="n">
        <v>0</v>
      </c>
      <c r="EH347" s="8" t="n">
        <v>0</v>
      </c>
      <c r="EI347" s="8" t="n">
        <v>0</v>
      </c>
      <c r="EJ347" s="8" t="n">
        <v>3</v>
      </c>
      <c r="EK347" s="8" t="n">
        <v>0</v>
      </c>
      <c r="EL347" s="8" t="n">
        <v>0</v>
      </c>
      <c r="EM347" s="8" t="n">
        <v>0</v>
      </c>
      <c r="EN347" s="8" t="n">
        <v>0</v>
      </c>
      <c r="EO347" s="8" t="n">
        <v>0</v>
      </c>
      <c r="EP347" s="8" t="n">
        <v>0</v>
      </c>
      <c r="EQ347" s="8" t="n">
        <v>0</v>
      </c>
      <c r="ER347" s="8" t="n">
        <v>0</v>
      </c>
      <c r="ES347" s="8" t="n">
        <v>0</v>
      </c>
      <c r="ET347" s="8" t="n">
        <v>0</v>
      </c>
      <c r="EU347" s="8" t="n">
        <v>0</v>
      </c>
      <c r="EV347" s="8" t="n">
        <v>0</v>
      </c>
      <c r="EW347" s="8" t="n">
        <v>0</v>
      </c>
      <c r="EX347" s="8" t="n">
        <v>0</v>
      </c>
      <c r="EY347" s="8" t="n">
        <v>0</v>
      </c>
      <c r="EZ347" s="8" t="n">
        <v>0</v>
      </c>
      <c r="FA347" s="8" t="n">
        <v>0</v>
      </c>
      <c r="FB347" s="8" t="n">
        <v>0</v>
      </c>
      <c r="FC347" s="8" t="n">
        <v>0</v>
      </c>
      <c r="FD347" s="8" t="n">
        <v>0</v>
      </c>
      <c r="FE347" s="8" t="n">
        <v>0</v>
      </c>
      <c r="FF347" s="8" t="n">
        <v>0</v>
      </c>
      <c r="FG347" s="9">
        <f>SUM(DW347,DX347,DY347,DZ347,EA347,EB347,EC347,ED347,EE347,EF347,EG347,EH347,EI347,EJ347,EK347,EL347,EM347,EN347,EO347,EP347,EQ347,ER347,ES347,ET347,EU347,EV347,EW347,EX347,EY347,EZ347,FA347,FB347,FC347,FD347,FE347,FF347)</f>
        <v/>
      </c>
      <c r="FH347" s="8" t="n">
        <v>0</v>
      </c>
      <c r="FI347" s="8" t="n">
        <v>0</v>
      </c>
      <c r="FJ347" s="8" t="n">
        <v>22</v>
      </c>
      <c r="FK347" s="8" t="n">
        <v>57.5</v>
      </c>
      <c r="FL347" s="8" t="n">
        <v>0</v>
      </c>
      <c r="FM347" s="8" t="n">
        <v>0</v>
      </c>
      <c r="FN347" s="8" t="n">
        <v>0</v>
      </c>
      <c r="FO347" s="8" t="n">
        <v>0</v>
      </c>
      <c r="FP347" s="8" t="n">
        <v>0</v>
      </c>
      <c r="FQ347" s="9">
        <f>FL347+FM347+FN347+FO347+FP347</f>
        <v/>
      </c>
      <c r="FR347" s="8" t="n">
        <v>30726031.40999999</v>
      </c>
      <c r="FS347" s="8" t="n">
        <v>140000</v>
      </c>
      <c r="FT347" s="8" t="n">
        <v>523484.44</v>
      </c>
      <c r="FU347" s="8" t="n">
        <v>609800</v>
      </c>
      <c r="FV347" s="9">
        <f>FR347+FS347+FT347+FU347</f>
        <v/>
      </c>
      <c r="FW347" s="8" t="n">
        <v>2591260</v>
      </c>
      <c r="FX347" s="8" t="n">
        <v>59700</v>
      </c>
      <c r="FY347" s="8" t="n">
        <v>2673400</v>
      </c>
      <c r="FZ347" s="8" t="n">
        <v>11502569</v>
      </c>
      <c r="GA347" s="9">
        <f>FW347+FX347+FY347+FZ347</f>
        <v/>
      </c>
      <c r="GB347" s="9">
        <f>FV347+GA347</f>
        <v/>
      </c>
      <c r="GC347" s="8" t="n">
        <v>19672199.02</v>
      </c>
      <c r="GD347" s="8" t="n">
        <v>119167.44</v>
      </c>
      <c r="GE347" s="8" t="n">
        <v>263204.85</v>
      </c>
      <c r="GF347" s="8" t="n">
        <v>320263.82</v>
      </c>
      <c r="GG347" s="9">
        <f>GC347+GD347+GE347+GF347</f>
        <v/>
      </c>
      <c r="GH347" s="8" t="n">
        <v>2563780</v>
      </c>
      <c r="GI347" s="8" t="n">
        <v>59700</v>
      </c>
      <c r="GJ347" s="8" t="n">
        <v>11500169</v>
      </c>
      <c r="GK347" s="8" t="n">
        <v>2655400</v>
      </c>
      <c r="GL347" s="9">
        <f>GH347+GI347+GJ347+GK347</f>
        <v/>
      </c>
      <c r="GM347" s="9">
        <f>GG347+GL347</f>
        <v/>
      </c>
      <c r="GN347" s="8" t="n">
        <v>1496671.89</v>
      </c>
      <c r="GO347" s="8" t="n">
        <v>2295.36</v>
      </c>
      <c r="GP347" s="8" t="n">
        <v>54298.24</v>
      </c>
      <c r="GQ347" s="8" t="n">
        <v>64922.76</v>
      </c>
      <c r="GR347" s="9">
        <f>GN347+GO347+GP347+GQ347</f>
        <v/>
      </c>
      <c r="GS347" s="8" t="n">
        <v>2514688</v>
      </c>
      <c r="GT347" s="8" t="n">
        <v>10716</v>
      </c>
      <c r="GU347" s="8" t="n">
        <v>14288</v>
      </c>
      <c r="GV347" s="8" t="n">
        <v>12502</v>
      </c>
      <c r="GW347" s="9">
        <f>GS347+GT347+GU347+GV347</f>
        <v/>
      </c>
      <c r="GX347" s="9">
        <f>GM347+GR347+GW347</f>
        <v/>
      </c>
      <c r="GY347" s="8" t="n">
        <v>123310603.7499998</v>
      </c>
      <c r="GZ347" s="8" t="n">
        <v>-1879798.85</v>
      </c>
      <c r="HA347" s="9">
        <f>GY347+GZ347</f>
        <v/>
      </c>
      <c r="HB347" s="9">
        <f>IF(GX347=0,"",AU347/GX347)</f>
        <v/>
      </c>
      <c r="HC347" s="10">
        <f>IF((GX347+GY347)=0,"",GB347/(GX347+GY347))</f>
        <v/>
      </c>
      <c r="HD347" s="9">
        <f>IF(GX347=0,"",GB347/GX347)</f>
        <v/>
      </c>
      <c r="HE347" s="8" t="n">
        <v>16</v>
      </c>
      <c r="HF347" s="8" t="n">
        <v>2</v>
      </c>
      <c r="HG347" s="8" t="n">
        <v>60</v>
      </c>
      <c r="HH347" s="8" t="n">
        <v>16</v>
      </c>
      <c r="HI347" s="8" t="n">
        <v>9</v>
      </c>
      <c r="HJ347" s="9">
        <f>HF347+HI347</f>
        <v/>
      </c>
      <c r="HK347" s="10">
        <f>IF(HE347=0,"",HH347/HE347)</f>
        <v/>
      </c>
      <c r="HL347" s="8" t="n">
        <v>21</v>
      </c>
      <c r="HM347" s="8" t="n">
        <v>5</v>
      </c>
      <c r="HN347" s="11">
        <f>IF(HL347=0,"",HM347/HL347)</f>
        <v/>
      </c>
    </row>
    <row r="348">
      <c r="A348" s="12" t="inlineStr">
        <is>
          <t>Zomba</t>
        </is>
      </c>
      <c r="B348" s="12" t="inlineStr">
        <is>
          <t>Mwanza</t>
        </is>
      </c>
      <c r="C348" s="13" t="inlineStr">
        <is>
          <t>FY2025/26</t>
        </is>
      </c>
      <c r="D348" s="13" t="n">
        <v>2026</v>
      </c>
      <c r="E348" s="13" t="n">
        <v>1</v>
      </c>
      <c r="F348" s="13" t="inlineStr">
        <is>
          <t>January</t>
        </is>
      </c>
      <c r="G348" s="13" t="inlineStr">
        <is>
          <t>Q4</t>
        </is>
      </c>
      <c r="H348" s="14" t="n">
        <v>44228</v>
      </c>
      <c r="I348" s="14" t="n">
        <v>22614</v>
      </c>
      <c r="J348" s="14" t="n">
        <v>839</v>
      </c>
      <c r="K348" s="14" t="n">
        <v>193</v>
      </c>
      <c r="L348" s="14" t="n">
        <v>211</v>
      </c>
      <c r="M348" s="15" t="n">
        <v>23857</v>
      </c>
      <c r="N348" s="14" t="n">
        <v>2157.099999999997</v>
      </c>
      <c r="O348" s="14" t="n">
        <v>385.9</v>
      </c>
      <c r="P348" s="14" t="n">
        <v>3120.599999999999</v>
      </c>
      <c r="Q348" s="14" t="n">
        <v>506.8000000000012</v>
      </c>
      <c r="R348" s="15" t="n">
        <v>6170.399999999998</v>
      </c>
      <c r="S348" s="15" t="n">
        <v>30027.4</v>
      </c>
      <c r="T348" s="14" t="n">
        <v>14200.6</v>
      </c>
      <c r="U348" s="16" t="n">
        <v>0.3210771456995569</v>
      </c>
      <c r="V348" s="14" t="n">
        <v>12</v>
      </c>
      <c r="W348" s="17" t="n">
        <v>0.2713213349009677</v>
      </c>
      <c r="X348" s="14" t="n">
        <v>0</v>
      </c>
      <c r="Y348" s="17" t="n">
        <v>0</v>
      </c>
      <c r="Z348" s="14" t="n">
        <v>0</v>
      </c>
      <c r="AA348" s="17" t="n">
        <v>0</v>
      </c>
      <c r="AB348" s="14" t="n">
        <v>0</v>
      </c>
      <c r="AC348" s="17" t="n">
        <v>0</v>
      </c>
      <c r="AD348" s="14" t="n">
        <v>0</v>
      </c>
      <c r="AE348" s="17" t="n">
        <v>0</v>
      </c>
      <c r="AF348" s="14" t="n">
        <v>0</v>
      </c>
      <c r="AG348" s="17" t="n">
        <v>0</v>
      </c>
      <c r="AH348" s="14" t="n">
        <v>312000</v>
      </c>
      <c r="AI348" s="15" t="n">
        <v>7.05435470742516</v>
      </c>
      <c r="AJ348" s="14" t="n">
        <v>21598</v>
      </c>
      <c r="AK348" s="17" t="n">
        <v>0.4883331825992584</v>
      </c>
      <c r="AL348" s="14" t="n">
        <v>5934534.232</v>
      </c>
      <c r="AM348" s="15" t="n">
        <v>134.1804791534774</v>
      </c>
      <c r="AN348" s="14" t="n">
        <v>0</v>
      </c>
      <c r="AO348" s="14" t="n">
        <v>0</v>
      </c>
      <c r="AP348" s="14" t="n">
        <v>0</v>
      </c>
      <c r="AQ348" s="14" t="n">
        <v>0</v>
      </c>
      <c r="AR348" s="14" t="n">
        <v>0</v>
      </c>
      <c r="AS348" s="14" t="n">
        <v>0</v>
      </c>
      <c r="AT348" s="14" t="n">
        <v>0</v>
      </c>
      <c r="AU348" s="15" t="n">
        <v>6246534.232</v>
      </c>
      <c r="AV348" s="15" t="n">
        <v>141.2348338609026</v>
      </c>
      <c r="AW348" s="15" t="n">
        <v>208.0278090011123</v>
      </c>
      <c r="AX348" s="14" t="n">
        <v>12</v>
      </c>
      <c r="AY348" s="15" t="n">
        <v>8.410961381929999</v>
      </c>
      <c r="AZ348" s="14" t="n">
        <v>28</v>
      </c>
      <c r="BA348" s="14" t="n">
        <v>60</v>
      </c>
      <c r="BB348" s="14" t="n">
        <v>10</v>
      </c>
      <c r="BC348" s="14" t="n">
        <v>12</v>
      </c>
      <c r="BD348" s="14" t="n">
        <v>0</v>
      </c>
      <c r="BE348" s="15" t="n">
        <v>12</v>
      </c>
      <c r="BF348" s="15" t="n">
        <v>58</v>
      </c>
      <c r="BG348" s="14" t="n">
        <v>0</v>
      </c>
      <c r="BH348" s="14" t="n">
        <v>0</v>
      </c>
      <c r="BI348" s="14" t="n">
        <v>0</v>
      </c>
      <c r="BJ348" s="14" t="n">
        <v>0</v>
      </c>
      <c r="BK348" s="15" t="n">
        <v>0</v>
      </c>
      <c r="BL348" s="15" t="n">
        <v>0</v>
      </c>
      <c r="BM348" s="14" t="n">
        <v>0</v>
      </c>
      <c r="BN348" s="14" t="n">
        <v>0</v>
      </c>
      <c r="BO348" s="14" t="n">
        <v>0</v>
      </c>
      <c r="BP348" s="14" t="n">
        <v>0</v>
      </c>
      <c r="BQ348" s="15" t="n">
        <v>0</v>
      </c>
      <c r="BR348" s="15" t="n">
        <v>0</v>
      </c>
      <c r="BS348" s="14" t="n">
        <v>0</v>
      </c>
      <c r="BT348" s="14" t="n">
        <v>0</v>
      </c>
      <c r="BU348" s="14" t="n">
        <v>0</v>
      </c>
      <c r="BV348" s="14" t="n">
        <v>0</v>
      </c>
      <c r="BW348" s="15" t="n">
        <v>0</v>
      </c>
      <c r="BX348" s="15" t="n">
        <v>0</v>
      </c>
      <c r="BY348" s="15" t="n">
        <v>60</v>
      </c>
      <c r="BZ348" s="15" t="n">
        <v>10</v>
      </c>
      <c r="CA348" s="15" t="n">
        <v>12</v>
      </c>
      <c r="CB348" s="15" t="n">
        <v>58</v>
      </c>
      <c r="CC348" s="14" t="n">
        <v>0</v>
      </c>
      <c r="CD348" s="14" t="n">
        <v>864</v>
      </c>
      <c r="CE348" s="14" t="n">
        <v>52</v>
      </c>
      <c r="CF348" s="14" t="n">
        <v>13</v>
      </c>
      <c r="CG348" s="14" t="n">
        <v>11</v>
      </c>
      <c r="CH348" s="15" t="n">
        <v>940</v>
      </c>
      <c r="CI348" s="14" t="n">
        <v>2821</v>
      </c>
      <c r="CJ348" s="14" t="n">
        <v>16</v>
      </c>
      <c r="CK348" s="14" t="n">
        <v>14</v>
      </c>
      <c r="CL348" s="14" t="n">
        <v>12</v>
      </c>
      <c r="CM348" s="15" t="n">
        <v>2863</v>
      </c>
      <c r="CN348" s="14" t="n">
        <v>273</v>
      </c>
      <c r="CO348" s="14" t="n">
        <v>43</v>
      </c>
      <c r="CP348" s="14" t="n">
        <v>77</v>
      </c>
      <c r="CQ348" s="14" t="n">
        <v>5</v>
      </c>
      <c r="CR348" s="15" t="n">
        <v>398</v>
      </c>
      <c r="CS348" s="15" t="n">
        <v>3261</v>
      </c>
      <c r="CT348" s="14" t="n">
        <v>4201</v>
      </c>
      <c r="CU348" s="14" t="n">
        <v>23603</v>
      </c>
      <c r="CV348" s="14" t="n">
        <v>20534.6</v>
      </c>
      <c r="CW348" s="16" t="n">
        <v>0.8699995763250433</v>
      </c>
      <c r="CX348" s="14" t="n">
        <v>5</v>
      </c>
      <c r="CY348" s="14" t="n">
        <v>1</v>
      </c>
      <c r="CZ348" s="14" t="n">
        <v>0</v>
      </c>
      <c r="DA348" s="14" t="n">
        <v>0</v>
      </c>
      <c r="DB348" s="15" t="n">
        <v>6</v>
      </c>
      <c r="DC348" s="14" t="n">
        <v>2</v>
      </c>
      <c r="DD348" s="14" t="n">
        <v>1</v>
      </c>
      <c r="DE348" s="14" t="n">
        <v>0</v>
      </c>
      <c r="DF348" s="14" t="n">
        <v>0</v>
      </c>
      <c r="DG348" s="15" t="n">
        <v>3</v>
      </c>
      <c r="DH348" s="14" t="n">
        <v>0</v>
      </c>
      <c r="DI348" s="14" t="n">
        <v>0</v>
      </c>
      <c r="DJ348" s="14" t="n">
        <v>0</v>
      </c>
      <c r="DK348" s="14" t="n">
        <v>0</v>
      </c>
      <c r="DL348" s="15" t="n">
        <v>0</v>
      </c>
      <c r="DM348" s="14" t="n">
        <v>527</v>
      </c>
      <c r="DN348" s="14" t="n">
        <v>0</v>
      </c>
      <c r="DO348" s="14" t="n">
        <v>73</v>
      </c>
      <c r="DP348" s="14" t="n">
        <v>0</v>
      </c>
      <c r="DQ348" s="15" t="n">
        <v>454</v>
      </c>
      <c r="DR348" s="15" t="n">
        <v>534</v>
      </c>
      <c r="DS348" s="15" t="n">
        <v>2</v>
      </c>
      <c r="DT348" s="15" t="n">
        <v>73</v>
      </c>
      <c r="DU348" s="15" t="n">
        <v>0</v>
      </c>
      <c r="DV348" s="15" t="n">
        <v>463</v>
      </c>
      <c r="DW348" s="14" t="n">
        <v>12</v>
      </c>
      <c r="DX348" s="14" t="n">
        <v>7</v>
      </c>
      <c r="DY348" s="14" t="n">
        <v>5</v>
      </c>
      <c r="DZ348" s="14" t="n">
        <v>3</v>
      </c>
      <c r="EA348" s="14" t="n">
        <v>11</v>
      </c>
      <c r="EB348" s="14" t="n">
        <v>10</v>
      </c>
      <c r="EC348" s="14" t="n">
        <v>5</v>
      </c>
      <c r="ED348" s="14" t="n">
        <v>7</v>
      </c>
      <c r="EE348" s="14" t="n">
        <v>1</v>
      </c>
      <c r="EF348" s="14" t="n">
        <v>1</v>
      </c>
      <c r="EG348" s="14" t="n">
        <v>0</v>
      </c>
      <c r="EH348" s="14" t="n">
        <v>0</v>
      </c>
      <c r="EI348" s="14" t="n">
        <v>0</v>
      </c>
      <c r="EJ348" s="14" t="n">
        <v>5</v>
      </c>
      <c r="EK348" s="14" t="n">
        <v>0</v>
      </c>
      <c r="EL348" s="14" t="n">
        <v>0</v>
      </c>
      <c r="EM348" s="14" t="n">
        <v>0</v>
      </c>
      <c r="EN348" s="14" t="n">
        <v>0</v>
      </c>
      <c r="EO348" s="14" t="n">
        <v>0</v>
      </c>
      <c r="EP348" s="14" t="n">
        <v>0</v>
      </c>
      <c r="EQ348" s="14" t="n">
        <v>0</v>
      </c>
      <c r="ER348" s="14" t="n">
        <v>0</v>
      </c>
      <c r="ES348" s="14" t="n">
        <v>0</v>
      </c>
      <c r="ET348" s="14" t="n">
        <v>0</v>
      </c>
      <c r="EU348" s="14" t="n">
        <v>0</v>
      </c>
      <c r="EV348" s="14" t="n">
        <v>0</v>
      </c>
      <c r="EW348" s="14" t="n">
        <v>0</v>
      </c>
      <c r="EX348" s="14" t="n">
        <v>0</v>
      </c>
      <c r="EY348" s="14" t="n">
        <v>0</v>
      </c>
      <c r="EZ348" s="14" t="n">
        <v>0</v>
      </c>
      <c r="FA348" s="14" t="n">
        <v>0</v>
      </c>
      <c r="FB348" s="14" t="n">
        <v>0</v>
      </c>
      <c r="FC348" s="14" t="n">
        <v>0</v>
      </c>
      <c r="FD348" s="14" t="n">
        <v>0</v>
      </c>
      <c r="FE348" s="14" t="n">
        <v>0</v>
      </c>
      <c r="FF348" s="14" t="n">
        <v>0</v>
      </c>
      <c r="FG348" s="15" t="n">
        <v>67</v>
      </c>
      <c r="FH348" s="14" t="n">
        <v>0</v>
      </c>
      <c r="FI348" s="14" t="n">
        <v>0</v>
      </c>
      <c r="FJ348" s="14" t="n">
        <v>21</v>
      </c>
      <c r="FK348" s="14" t="n">
        <v>13.65</v>
      </c>
      <c r="FL348" s="14" t="n">
        <v>0</v>
      </c>
      <c r="FM348" s="14" t="n">
        <v>0</v>
      </c>
      <c r="FN348" s="14" t="n">
        <v>0</v>
      </c>
      <c r="FO348" s="14" t="n">
        <v>0</v>
      </c>
      <c r="FP348" s="14" t="n">
        <v>0</v>
      </c>
      <c r="FQ348" s="15" t="n">
        <v>0</v>
      </c>
      <c r="FR348" s="14" t="n">
        <v>26328080.78</v>
      </c>
      <c r="FS348" s="14" t="n">
        <v>120000</v>
      </c>
      <c r="FT348" s="14" t="n">
        <v>180700</v>
      </c>
      <c r="FU348" s="14" t="n">
        <v>159567.22</v>
      </c>
      <c r="FV348" s="15" t="n">
        <v>26788348</v>
      </c>
      <c r="FW348" s="14" t="n">
        <v>2553647.98</v>
      </c>
      <c r="FX348" s="14" t="n">
        <v>82000</v>
      </c>
      <c r="FY348" s="14" t="n">
        <v>2394237.77</v>
      </c>
      <c r="FZ348" s="14" t="n">
        <v>9497017.73</v>
      </c>
      <c r="GA348" s="15" t="n">
        <v>14526903.48</v>
      </c>
      <c r="GB348" s="15" t="n">
        <v>41315251.48</v>
      </c>
      <c r="GC348" s="14" t="n">
        <v>20784940.15</v>
      </c>
      <c r="GD348" s="14" t="n">
        <v>160483.92</v>
      </c>
      <c r="GE348" s="14" t="n">
        <v>597929.54</v>
      </c>
      <c r="GF348" s="14" t="n">
        <v>873907.84</v>
      </c>
      <c r="GG348" s="15" t="n">
        <v>22417261.45</v>
      </c>
      <c r="GH348" s="14" t="n">
        <v>2690447.98</v>
      </c>
      <c r="GI348" s="14" t="n">
        <v>82000</v>
      </c>
      <c r="GJ348" s="14" t="n">
        <v>9484861.82</v>
      </c>
      <c r="GK348" s="14" t="n">
        <v>2394237.75</v>
      </c>
      <c r="GL348" s="15" t="n">
        <v>14651547.55</v>
      </c>
      <c r="GM348" s="15" t="n">
        <v>37068809</v>
      </c>
      <c r="GN348" s="14" t="n">
        <v>1499396.54</v>
      </c>
      <c r="GO348" s="14" t="n">
        <v>2295.36</v>
      </c>
      <c r="GP348" s="14" t="n">
        <v>54298.24</v>
      </c>
      <c r="GQ348" s="14" t="n">
        <v>64922.76</v>
      </c>
      <c r="GR348" s="15" t="n">
        <v>1620912.9</v>
      </c>
      <c r="GS348" s="14" t="n">
        <v>2519153</v>
      </c>
      <c r="GT348" s="14" t="n">
        <v>10716</v>
      </c>
      <c r="GU348" s="14" t="n">
        <v>14288</v>
      </c>
      <c r="GV348" s="14" t="n">
        <v>12502</v>
      </c>
      <c r="GW348" s="15" t="n">
        <v>2556659</v>
      </c>
      <c r="GX348" s="15" t="n">
        <v>41246380.9</v>
      </c>
      <c r="GY348" s="14" t="n">
        <v>87540230.45999998</v>
      </c>
      <c r="GZ348" s="14" t="n">
        <v>-1509515.07</v>
      </c>
      <c r="HA348" s="9">
        <f>GY348+GZ348</f>
        <v/>
      </c>
      <c r="HB348" s="15" t="n">
        <v>41246380.9</v>
      </c>
      <c r="HC348" s="16" t="n">
        <v>0</v>
      </c>
      <c r="HD348" s="15" t="n">
        <v>0</v>
      </c>
      <c r="HE348" s="14" t="n">
        <v>10</v>
      </c>
      <c r="HF348" s="14" t="n">
        <v>2</v>
      </c>
      <c r="HG348" s="14" t="n">
        <v>58</v>
      </c>
      <c r="HH348" s="14" t="n">
        <v>10</v>
      </c>
      <c r="HI348" s="14" t="n">
        <v>6</v>
      </c>
      <c r="HJ348" s="15" t="n">
        <v>0.6</v>
      </c>
      <c r="HK348" s="16" t="n">
        <v>20.68965517241379</v>
      </c>
      <c r="HL348" s="14" t="n">
        <v>17</v>
      </c>
      <c r="HM348" s="14" t="n">
        <v>6</v>
      </c>
      <c r="HN348" s="17" t="n">
        <v>2.833333333333333</v>
      </c>
    </row>
    <row r="349">
      <c r="A349" s="6" t="inlineStr">
        <is>
          <t>Zomba</t>
        </is>
      </c>
      <c r="B349" s="6" t="inlineStr">
        <is>
          <t>Mwanza</t>
        </is>
      </c>
      <c r="C349" s="7" t="inlineStr">
        <is>
          <t>FY2025/26</t>
        </is>
      </c>
      <c r="D349" s="7" t="n">
        <v>2026</v>
      </c>
      <c r="E349" s="7" t="n">
        <v>2</v>
      </c>
      <c r="F349" s="7" t="inlineStr">
        <is>
          <t>February</t>
        </is>
      </c>
      <c r="G349" s="7" t="inlineStr">
        <is>
          <t>Q4</t>
        </is>
      </c>
      <c r="H349" s="8" t="n">
        <v>38004</v>
      </c>
      <c r="I349" s="8" t="n">
        <v>22061</v>
      </c>
      <c r="J349" s="8" t="n">
        <v>694</v>
      </c>
      <c r="K349" s="8" t="n">
        <v>40</v>
      </c>
      <c r="L349" s="8" t="n">
        <v>77</v>
      </c>
      <c r="M349" s="9">
        <f>SUM(I349,J349,K349,L349)</f>
        <v/>
      </c>
      <c r="N349" s="8" t="n">
        <v>2124.999999999996</v>
      </c>
      <c r="O349" s="8" t="n">
        <v>324.9</v>
      </c>
      <c r="P349" s="8" t="n">
        <v>2644.899999999998</v>
      </c>
      <c r="Q349" s="8" t="n">
        <v>469.8000000000003</v>
      </c>
      <c r="R349" s="9">
        <f>SUM(N349,O349,P349,Q349)</f>
        <v/>
      </c>
      <c r="S349" s="9">
        <f>M349+R349</f>
        <v/>
      </c>
      <c r="T349" s="8" t="n">
        <v>9567.400000000005</v>
      </c>
      <c r="U349" s="10">
        <f>IF(H349=0,"",T349/H349)</f>
        <v/>
      </c>
      <c r="V349" s="8" t="n">
        <v>11</v>
      </c>
      <c r="W349" s="11">
        <f>IF(H349=0,"",V349/H349)</f>
        <v/>
      </c>
      <c r="X349" s="8" t="n">
        <v>0</v>
      </c>
      <c r="Y349" s="11">
        <f>IF(H349=0,"",X349/H349)</f>
        <v/>
      </c>
      <c r="Z349" s="8" t="n">
        <v>0</v>
      </c>
      <c r="AA349" s="11">
        <f>IF(H349=0,"",Z349/H349)</f>
        <v/>
      </c>
      <c r="AB349" s="8" t="n">
        <v>0</v>
      </c>
      <c r="AC349" s="11">
        <f>IF(H349=0,"",AB349/H349)</f>
        <v/>
      </c>
      <c r="AD349" s="8" t="n">
        <v>0</v>
      </c>
      <c r="AE349" s="11">
        <f>IF(H349=0,"",AD349/H349)</f>
        <v/>
      </c>
      <c r="AF349" s="8" t="n">
        <v>0</v>
      </c>
      <c r="AG349" s="11">
        <f>IF(H349=0,"",AF349/H349)</f>
        <v/>
      </c>
      <c r="AH349" s="8" t="n">
        <v>286000</v>
      </c>
      <c r="AI349" s="9">
        <f>IF(H349=0,"",AH349/H349)</f>
        <v/>
      </c>
      <c r="AJ349" s="8" t="n">
        <v>19727</v>
      </c>
      <c r="AK349" s="11">
        <f>IF(H349=0,"",AJ349/H349)</f>
        <v/>
      </c>
      <c r="AL349" s="8" t="n">
        <v>5423173.093</v>
      </c>
      <c r="AM349" s="9">
        <f>IF(H349=0,"",AL349/H349)</f>
        <v/>
      </c>
      <c r="AN349" s="8" t="n">
        <v>0</v>
      </c>
      <c r="AO349" s="8" t="n">
        <v>0</v>
      </c>
      <c r="AP349" s="8" t="n">
        <v>0</v>
      </c>
      <c r="AQ349" s="8" t="n">
        <v>0</v>
      </c>
      <c r="AR349" s="8" t="n">
        <v>0</v>
      </c>
      <c r="AS349" s="8" t="n">
        <v>0</v>
      </c>
      <c r="AT349" s="8" t="n">
        <v>0</v>
      </c>
      <c r="AU349" s="9">
        <f>AH349+AL349+AP349+AQ349+AR349+AS349+AT349</f>
        <v/>
      </c>
      <c r="AV349" s="9">
        <f>IF(H349=0,"",AU349/H349)</f>
        <v/>
      </c>
      <c r="AW349" s="9">
        <f>IF(S349=0,"",AU349/S349)</f>
        <v/>
      </c>
      <c r="AX349" s="8" t="n">
        <v>12</v>
      </c>
      <c r="AY349" s="9">
        <f>IF(H349=0,"",AX349/(H349/1000/12))</f>
        <v/>
      </c>
      <c r="AZ349" s="8" t="n">
        <v>28</v>
      </c>
      <c r="BA349" s="8" t="n">
        <v>58</v>
      </c>
      <c r="BB349" s="8" t="n">
        <v>10</v>
      </c>
      <c r="BC349" s="8" t="n">
        <v>48</v>
      </c>
      <c r="BD349" s="8" t="n">
        <v>0</v>
      </c>
      <c r="BE349" s="9">
        <f>BC349+BD349</f>
        <v/>
      </c>
      <c r="BF349" s="9">
        <f>BA349+BB349-BE349</f>
        <v/>
      </c>
      <c r="BG349" s="8" t="n">
        <v>0</v>
      </c>
      <c r="BH349" s="8" t="n">
        <v>0</v>
      </c>
      <c r="BI349" s="8" t="n">
        <v>0</v>
      </c>
      <c r="BJ349" s="8" t="n">
        <v>0</v>
      </c>
      <c r="BK349" s="9">
        <f>BI349+BJ349</f>
        <v/>
      </c>
      <c r="BL349" s="9">
        <f>BG349+BH349-BK349</f>
        <v/>
      </c>
      <c r="BM349" s="8" t="n">
        <v>0</v>
      </c>
      <c r="BN349" s="8" t="n">
        <v>0</v>
      </c>
      <c r="BO349" s="8" t="n">
        <v>0</v>
      </c>
      <c r="BP349" s="8" t="n">
        <v>0</v>
      </c>
      <c r="BQ349" s="9">
        <f>BO349+BP349</f>
        <v/>
      </c>
      <c r="BR349" s="9">
        <f>BM349+BN349-BQ349</f>
        <v/>
      </c>
      <c r="BS349" s="8" t="n">
        <v>0</v>
      </c>
      <c r="BT349" s="8" t="n">
        <v>0</v>
      </c>
      <c r="BU349" s="8" t="n">
        <v>0</v>
      </c>
      <c r="BV349" s="8" t="n">
        <v>0</v>
      </c>
      <c r="BW349" s="9">
        <f>BU349+BV349</f>
        <v/>
      </c>
      <c r="BX349" s="9">
        <f>BS349+BT349-BW349</f>
        <v/>
      </c>
      <c r="BY349" s="9">
        <f>BA349+BG349+BM349+BS349</f>
        <v/>
      </c>
      <c r="BZ349" s="9">
        <f>BB349+BH349+BN349+BT349</f>
        <v/>
      </c>
      <c r="CA349" s="9">
        <f>BE349+BK349+BQ349+BW349</f>
        <v/>
      </c>
      <c r="CB349" s="9">
        <f>BF349+BL349+BR349+BX349</f>
        <v/>
      </c>
      <c r="CC349" s="8" t="n">
        <v>0</v>
      </c>
      <c r="CD349" s="8" t="n">
        <v>854</v>
      </c>
      <c r="CE349" s="8" t="n">
        <v>53</v>
      </c>
      <c r="CF349" s="8" t="n">
        <v>10</v>
      </c>
      <c r="CG349" s="8" t="n">
        <v>11</v>
      </c>
      <c r="CH349" s="9">
        <f>CD349+CE349+CF349+CG349</f>
        <v/>
      </c>
      <c r="CI349" s="8" t="n">
        <v>2855</v>
      </c>
      <c r="CJ349" s="8" t="n">
        <v>7</v>
      </c>
      <c r="CK349" s="8" t="n">
        <v>12</v>
      </c>
      <c r="CL349" s="8" t="n">
        <v>12</v>
      </c>
      <c r="CM349" s="9">
        <f>CI349+CJ349+CK349+CL349</f>
        <v/>
      </c>
      <c r="CN349" s="8" t="n">
        <v>297</v>
      </c>
      <c r="CO349" s="8" t="n">
        <v>51</v>
      </c>
      <c r="CP349" s="8" t="n">
        <v>82</v>
      </c>
      <c r="CQ349" s="8" t="n">
        <v>5</v>
      </c>
      <c r="CR349" s="9">
        <f>CN349+CO349+CP349+CQ349</f>
        <v/>
      </c>
      <c r="CS349" s="9">
        <f>CM349+CR349</f>
        <v/>
      </c>
      <c r="CT349" s="8" t="n">
        <v>4249</v>
      </c>
      <c r="CU349" s="8" t="n">
        <v>23659</v>
      </c>
      <c r="CV349" s="8" t="n">
        <v>20741.4</v>
      </c>
      <c r="CW349" s="10">
        <f>IF(CU349=0,"",CV349/CU349)</f>
        <v/>
      </c>
      <c r="CX349" s="8" t="n">
        <v>6</v>
      </c>
      <c r="CY349" s="8" t="n">
        <v>0</v>
      </c>
      <c r="CZ349" s="8" t="n">
        <v>1</v>
      </c>
      <c r="DA349" s="8" t="n">
        <v>0</v>
      </c>
      <c r="DB349" s="9">
        <f>CX349+CY349-CZ349-DA349</f>
        <v/>
      </c>
      <c r="DC349" s="8" t="n">
        <v>3</v>
      </c>
      <c r="DD349" s="8" t="n">
        <v>0</v>
      </c>
      <c r="DE349" s="8" t="n">
        <v>0</v>
      </c>
      <c r="DF349" s="8" t="n">
        <v>0</v>
      </c>
      <c r="DG349" s="9">
        <f>DC349+DD349-DE349-DF349</f>
        <v/>
      </c>
      <c r="DH349" s="8" t="n">
        <v>0</v>
      </c>
      <c r="DI349" s="8" t="n">
        <v>1</v>
      </c>
      <c r="DJ349" s="8" t="n">
        <v>0</v>
      </c>
      <c r="DK349" s="8" t="n">
        <v>0</v>
      </c>
      <c r="DL349" s="9">
        <f>DH349+DI349-DJ349-DK349</f>
        <v/>
      </c>
      <c r="DM349" s="8" t="n">
        <v>454</v>
      </c>
      <c r="DN349" s="8" t="n">
        <v>154</v>
      </c>
      <c r="DO349" s="8" t="n">
        <v>17</v>
      </c>
      <c r="DP349" s="8" t="n">
        <v>0</v>
      </c>
      <c r="DQ349" s="9">
        <f>DM349+DN349-DO349-DP349</f>
        <v/>
      </c>
      <c r="DR349" s="9">
        <f>CX349+DC349+DH349+DM349</f>
        <v/>
      </c>
      <c r="DS349" s="9">
        <f>CY349+DD349+DI349+DN349</f>
        <v/>
      </c>
      <c r="DT349" s="9">
        <f>CZ349+DE349+DJ349+DO349</f>
        <v/>
      </c>
      <c r="DU349" s="9">
        <f>DA349+DF349+DK349+DP349</f>
        <v/>
      </c>
      <c r="DV349" s="9">
        <f>DB349+DG349+DL349+DQ349</f>
        <v/>
      </c>
      <c r="DW349" s="8" t="n">
        <v>12</v>
      </c>
      <c r="DX349" s="8" t="n">
        <v>11</v>
      </c>
      <c r="DY349" s="8" t="n">
        <v>3</v>
      </c>
      <c r="DZ349" s="8" t="n">
        <v>5</v>
      </c>
      <c r="EA349" s="8" t="n">
        <v>8</v>
      </c>
      <c r="EB349" s="8" t="n">
        <v>9</v>
      </c>
      <c r="EC349" s="8" t="n">
        <v>6</v>
      </c>
      <c r="ED349" s="8" t="n">
        <v>7</v>
      </c>
      <c r="EE349" s="8" t="n">
        <v>2</v>
      </c>
      <c r="EF349" s="8" t="n">
        <v>0</v>
      </c>
      <c r="EG349" s="8" t="n">
        <v>0</v>
      </c>
      <c r="EH349" s="8" t="n">
        <v>0</v>
      </c>
      <c r="EI349" s="8" t="n">
        <v>0</v>
      </c>
      <c r="EJ349" s="8" t="n">
        <v>3</v>
      </c>
      <c r="EK349" s="8" t="n">
        <v>0</v>
      </c>
      <c r="EL349" s="8" t="n">
        <v>0</v>
      </c>
      <c r="EM349" s="8" t="n">
        <v>0</v>
      </c>
      <c r="EN349" s="8" t="n">
        <v>0</v>
      </c>
      <c r="EO349" s="8" t="n">
        <v>0</v>
      </c>
      <c r="EP349" s="8" t="n">
        <v>0</v>
      </c>
      <c r="EQ349" s="8" t="n">
        <v>0</v>
      </c>
      <c r="ER349" s="8" t="n">
        <v>0</v>
      </c>
      <c r="ES349" s="8" t="n">
        <v>0</v>
      </c>
      <c r="ET349" s="8" t="n">
        <v>0</v>
      </c>
      <c r="EU349" s="8" t="n">
        <v>0</v>
      </c>
      <c r="EV349" s="8" t="n">
        <v>0</v>
      </c>
      <c r="EW349" s="8" t="n">
        <v>0</v>
      </c>
      <c r="EX349" s="8" t="n">
        <v>0</v>
      </c>
      <c r="EY349" s="8" t="n">
        <v>0</v>
      </c>
      <c r="EZ349" s="8" t="n">
        <v>0</v>
      </c>
      <c r="FA349" s="8" t="n">
        <v>0</v>
      </c>
      <c r="FB349" s="8" t="n">
        <v>0</v>
      </c>
      <c r="FC349" s="8" t="n">
        <v>0</v>
      </c>
      <c r="FD349" s="8" t="n">
        <v>0</v>
      </c>
      <c r="FE349" s="8" t="n">
        <v>0</v>
      </c>
      <c r="FF349" s="8" t="n">
        <v>0</v>
      </c>
      <c r="FG349" s="9">
        <f>SUM(DW349,DX349,DY349,DZ349,EA349,EB349,EC349,ED349,EE349,EF349,EG349,EH349,EI349,EJ349,EK349,EL349,EM349,EN349,EO349,EP349,EQ349,ER349,ES349,ET349,EU349,EV349,EW349,EX349,EY349,EZ349,FA349,FB349,FC349,FD349,FE349,FF349)</f>
        <v/>
      </c>
      <c r="FH349" s="8" t="n">
        <v>0</v>
      </c>
      <c r="FI349" s="8" t="n">
        <v>0</v>
      </c>
      <c r="FJ349" s="8" t="n">
        <v>22</v>
      </c>
      <c r="FK349" s="8" t="n">
        <v>43.91</v>
      </c>
      <c r="FL349" s="8" t="n">
        <v>0</v>
      </c>
      <c r="FM349" s="8" t="n">
        <v>0</v>
      </c>
      <c r="FN349" s="8" t="n">
        <v>0</v>
      </c>
      <c r="FO349" s="8" t="n">
        <v>0</v>
      </c>
      <c r="FP349" s="8" t="n">
        <v>0</v>
      </c>
      <c r="FQ349" s="9">
        <f>FL349+FM349+FN349+FO349+FP349</f>
        <v/>
      </c>
      <c r="FR349" s="8" t="n">
        <v>17064844.55</v>
      </c>
      <c r="FS349" s="8" t="n">
        <v>106400</v>
      </c>
      <c r="FT349" s="8" t="n">
        <v>110000</v>
      </c>
      <c r="FU349" s="8" t="n">
        <v>207400</v>
      </c>
      <c r="FV349" s="9">
        <f>FR349+FS349+FT349+FU349</f>
        <v/>
      </c>
      <c r="FW349" s="8" t="n">
        <v>2657492.26</v>
      </c>
      <c r="FX349" s="8" t="n">
        <v>81500</v>
      </c>
      <c r="FY349" s="8" t="n">
        <v>2222750</v>
      </c>
      <c r="FZ349" s="8" t="n">
        <v>7977366.700000001</v>
      </c>
      <c r="GA349" s="9">
        <f>FW349+FX349+FY349+FZ349</f>
        <v/>
      </c>
      <c r="GB349" s="9">
        <f>FV349+GA349</f>
        <v/>
      </c>
      <c r="GC349" s="8" t="n">
        <v>20271604.05</v>
      </c>
      <c r="GD349" s="8" t="n">
        <v>132748.32</v>
      </c>
      <c r="GE349" s="8" t="n">
        <v>108872.35</v>
      </c>
      <c r="GF349" s="8" t="n">
        <v>241561.84</v>
      </c>
      <c r="GG349" s="9">
        <f>GC349+GD349+GE349+GF349</f>
        <v/>
      </c>
      <c r="GH349" s="8" t="n">
        <v>2650353</v>
      </c>
      <c r="GI349" s="8" t="n">
        <v>81500</v>
      </c>
      <c r="GJ349" s="8" t="n">
        <v>8040106.7</v>
      </c>
      <c r="GK349" s="8" t="n">
        <v>2222750</v>
      </c>
      <c r="GL349" s="9">
        <f>GH349+GI349+GJ349+GK349</f>
        <v/>
      </c>
      <c r="GM349" s="9">
        <f>GG349+GL349</f>
        <v/>
      </c>
      <c r="GN349" s="8" t="n">
        <v>1518907.26</v>
      </c>
      <c r="GO349" s="8" t="n">
        <v>2295.36</v>
      </c>
      <c r="GP349" s="8" t="n">
        <v>23755.48</v>
      </c>
      <c r="GQ349" s="8" t="n">
        <v>55648.08</v>
      </c>
      <c r="GR349" s="9">
        <f>GN349+GO349+GP349+GQ349</f>
        <v/>
      </c>
      <c r="GS349" s="8" t="n">
        <v>2549515</v>
      </c>
      <c r="GT349" s="8" t="n">
        <v>10716</v>
      </c>
      <c r="GU349" s="8" t="n">
        <v>6251</v>
      </c>
      <c r="GV349" s="8" t="n">
        <v>10716</v>
      </c>
      <c r="GW349" s="9">
        <f>GS349+GT349+GU349+GV349</f>
        <v/>
      </c>
      <c r="GX349" s="9">
        <f>GM349+GR349+GW349</f>
        <v/>
      </c>
      <c r="GY349" s="8" t="n">
        <v>131440750.5700002</v>
      </c>
      <c r="GZ349" s="8" t="n">
        <v>-1862803.41</v>
      </c>
      <c r="HA349" s="9">
        <f>GY349+GZ349</f>
        <v/>
      </c>
      <c r="HB349" s="9">
        <f>IF(GX349=0,"",AU349/GX349)</f>
        <v/>
      </c>
      <c r="HC349" s="10">
        <f>IF((GX349+GY349)=0,"",GB349/(GX349+GY349))</f>
        <v/>
      </c>
      <c r="HD349" s="9">
        <f>IF(GX349=0,"",GB349/GX349)</f>
        <v/>
      </c>
      <c r="HE349" s="8" t="n">
        <v>10</v>
      </c>
      <c r="HF349" s="8" t="n">
        <v>2</v>
      </c>
      <c r="HG349" s="8" t="n">
        <v>20</v>
      </c>
      <c r="HH349" s="8" t="n">
        <v>10</v>
      </c>
      <c r="HI349" s="8" t="n">
        <v>13</v>
      </c>
      <c r="HJ349" s="9">
        <f>HF349+HI349</f>
        <v/>
      </c>
      <c r="HK349" s="10">
        <f>IF(HE349=0,"",HH349/HE349)</f>
        <v/>
      </c>
      <c r="HL349" s="8" t="n">
        <v>7</v>
      </c>
      <c r="HM349" s="8" t="n">
        <v>2</v>
      </c>
      <c r="HN349" s="11">
        <f>IF(HL349=0,"",HM349/HL349)</f>
        <v/>
      </c>
    </row>
    <row r="350">
      <c r="A350" s="12" t="inlineStr">
        <is>
          <t>Zomba</t>
        </is>
      </c>
      <c r="B350" s="12" t="inlineStr">
        <is>
          <t>Mwanza</t>
        </is>
      </c>
      <c r="C350" s="13" t="inlineStr">
        <is>
          <t>FY2025/26</t>
        </is>
      </c>
      <c r="D350" s="13" t="n">
        <v>2026</v>
      </c>
      <c r="E350" s="13" t="n">
        <v>3</v>
      </c>
      <c r="F350" s="13" t="inlineStr">
        <is>
          <t>March</t>
        </is>
      </c>
      <c r="G350" s="13" t="inlineStr">
        <is>
          <t>Q4</t>
        </is>
      </c>
      <c r="H350" s="14" t="n">
        <v>37439</v>
      </c>
      <c r="I350" s="14" t="n">
        <v>17699</v>
      </c>
      <c r="J350" s="14" t="n">
        <v>517</v>
      </c>
      <c r="K350" s="14" t="n">
        <v>27</v>
      </c>
      <c r="L350" s="14" t="n">
        <v>60</v>
      </c>
      <c r="M350" s="15">
        <f>SUM(I350,J350,K350,L350)</f>
        <v/>
      </c>
      <c r="N350" s="14" t="n">
        <v>2022.599999999996</v>
      </c>
      <c r="O350" s="14" t="n">
        <v>81.40000000000001</v>
      </c>
      <c r="P350" s="14" t="n">
        <v>1944.6</v>
      </c>
      <c r="Q350" s="14" t="n">
        <v>535.4000000000005</v>
      </c>
      <c r="R350" s="15">
        <f>SUM(N350,O350,P350,Q350)</f>
        <v/>
      </c>
      <c r="S350" s="15">
        <f>M350+R350</f>
        <v/>
      </c>
      <c r="T350" s="14" t="n">
        <v>14552</v>
      </c>
      <c r="U350" s="16">
        <f>IF(H350=0,"",T350/H350)</f>
        <v/>
      </c>
      <c r="V350" s="14" t="n">
        <v>8</v>
      </c>
      <c r="W350" s="17">
        <f>IF(H350=0,"",V350/H350)</f>
        <v/>
      </c>
      <c r="X350" s="14" t="n">
        <v>0</v>
      </c>
      <c r="Y350" s="17">
        <f>IF(H350=0,"",X350/H350)</f>
        <v/>
      </c>
      <c r="Z350" s="14" t="n">
        <v>0</v>
      </c>
      <c r="AA350" s="17">
        <f>IF(H350=0,"",Z350/H350)</f>
        <v/>
      </c>
      <c r="AB350" s="14" t="n">
        <v>0</v>
      </c>
      <c r="AC350" s="17">
        <f>IF(H350=0,"",AB350/H350)</f>
        <v/>
      </c>
      <c r="AD350" s="14" t="n">
        <v>0</v>
      </c>
      <c r="AE350" s="17">
        <f>IF(H350=0,"",AD350/H350)</f>
        <v/>
      </c>
      <c r="AF350" s="14" t="n">
        <v>0</v>
      </c>
      <c r="AG350" s="17">
        <f>IF(H350=0,"",AF350/H350)</f>
        <v/>
      </c>
      <c r="AH350" s="14" t="n">
        <v>208000</v>
      </c>
      <c r="AI350" s="15">
        <f>IF(H350=0,"",AH350/H350)</f>
        <v/>
      </c>
      <c r="AJ350" s="14" t="n">
        <v>16680</v>
      </c>
      <c r="AK350" s="17">
        <f>IF(H350=0,"",AJ350/H350)</f>
        <v/>
      </c>
      <c r="AL350" s="14" t="n">
        <v>4590400.57</v>
      </c>
      <c r="AM350" s="15">
        <f>IF(H350=0,"",AL350/H350)</f>
        <v/>
      </c>
      <c r="AN350" s="14" t="n">
        <v>0</v>
      </c>
      <c r="AO350" s="14" t="n">
        <v>0</v>
      </c>
      <c r="AP350" s="14" t="n">
        <v>0</v>
      </c>
      <c r="AQ350" s="14" t="n">
        <v>0</v>
      </c>
      <c r="AR350" s="14" t="n">
        <v>0</v>
      </c>
      <c r="AS350" s="14" t="n">
        <v>0</v>
      </c>
      <c r="AT350" s="14" t="n">
        <v>0</v>
      </c>
      <c r="AU350" s="15">
        <f>AH350+AL350+AP350+AQ350+AR350+AS350+AT350</f>
        <v/>
      </c>
      <c r="AV350" s="15">
        <f>IF(H350=0,"",AU350/H350)</f>
        <v/>
      </c>
      <c r="AW350" s="15">
        <f>IF(S350=0,"",AU350/S350)</f>
        <v/>
      </c>
      <c r="AX350" s="14" t="n">
        <v>12</v>
      </c>
      <c r="AY350" s="15">
        <f>IF(H350=0,"",AX350/(H350/1000/12))</f>
        <v/>
      </c>
      <c r="AZ350" s="14" t="n">
        <v>28</v>
      </c>
      <c r="BA350" s="14" t="n">
        <v>20</v>
      </c>
      <c r="BB350" s="14" t="n">
        <v>10</v>
      </c>
      <c r="BC350" s="14" t="n">
        <v>6</v>
      </c>
      <c r="BD350" s="14" t="n">
        <v>0</v>
      </c>
      <c r="BE350" s="15">
        <f>BC350+BD350</f>
        <v/>
      </c>
      <c r="BF350" s="15">
        <f>BA350+BB350-BE350</f>
        <v/>
      </c>
      <c r="BG350" s="14" t="n">
        <v>0</v>
      </c>
      <c r="BH350" s="14" t="n">
        <v>0</v>
      </c>
      <c r="BI350" s="14" t="n">
        <v>0</v>
      </c>
      <c r="BJ350" s="14" t="n">
        <v>0</v>
      </c>
      <c r="BK350" s="15">
        <f>BI350+BJ350</f>
        <v/>
      </c>
      <c r="BL350" s="15">
        <f>BG350+BH350-BK350</f>
        <v/>
      </c>
      <c r="BM350" s="14" t="n">
        <v>0</v>
      </c>
      <c r="BN350" s="14" t="n">
        <v>0</v>
      </c>
      <c r="BO350" s="14" t="n">
        <v>0</v>
      </c>
      <c r="BP350" s="14" t="n">
        <v>0</v>
      </c>
      <c r="BQ350" s="15">
        <f>BO350+BP350</f>
        <v/>
      </c>
      <c r="BR350" s="15">
        <f>BM350+BN350-BQ350</f>
        <v/>
      </c>
      <c r="BS350" s="14" t="n">
        <v>0</v>
      </c>
      <c r="BT350" s="14" t="n">
        <v>0</v>
      </c>
      <c r="BU350" s="14" t="n">
        <v>0</v>
      </c>
      <c r="BV350" s="14" t="n">
        <v>0</v>
      </c>
      <c r="BW350" s="15">
        <f>BU350+BV350</f>
        <v/>
      </c>
      <c r="BX350" s="15">
        <f>BS350+BT350-BW350</f>
        <v/>
      </c>
      <c r="BY350" s="15">
        <f>BA350+BG350+BM350+BS350</f>
        <v/>
      </c>
      <c r="BZ350" s="15">
        <f>BB350+BH350+BN350+BT350</f>
        <v/>
      </c>
      <c r="CA350" s="15">
        <f>BE350+BK350+BQ350+BW350</f>
        <v/>
      </c>
      <c r="CB350" s="15">
        <f>BF350+BL350+BR350+BX350</f>
        <v/>
      </c>
      <c r="CC350" s="14" t="n">
        <v>0</v>
      </c>
      <c r="CD350" s="14" t="n">
        <v>863</v>
      </c>
      <c r="CE350" s="14" t="n">
        <v>55</v>
      </c>
      <c r="CF350" s="14" t="n">
        <v>10</v>
      </c>
      <c r="CG350" s="14" t="n">
        <v>11</v>
      </c>
      <c r="CH350" s="15">
        <f>CD350+CE350+CF350+CG350</f>
        <v/>
      </c>
      <c r="CI350" s="14" t="n">
        <v>2853</v>
      </c>
      <c r="CJ350" s="14" t="n">
        <v>5</v>
      </c>
      <c r="CK350" s="14" t="n">
        <v>12</v>
      </c>
      <c r="CL350" s="14" t="n">
        <v>12</v>
      </c>
      <c r="CM350" s="15">
        <f>CI350+CJ350+CK350+CL350</f>
        <v/>
      </c>
      <c r="CN350" s="14" t="n">
        <v>296</v>
      </c>
      <c r="CO350" s="14" t="n">
        <v>51</v>
      </c>
      <c r="CP350" s="14" t="n">
        <v>82</v>
      </c>
      <c r="CQ350" s="14" t="n">
        <v>5</v>
      </c>
      <c r="CR350" s="15">
        <f>CN350+CO350+CP350+CQ350</f>
        <v/>
      </c>
      <c r="CS350" s="15">
        <f>CM350+CR350</f>
        <v/>
      </c>
      <c r="CT350" s="14" t="n">
        <v>4255</v>
      </c>
      <c r="CU350" s="14" t="n">
        <v>23715</v>
      </c>
      <c r="CV350" s="14" t="n">
        <v>20766.8</v>
      </c>
      <c r="CW350" s="16">
        <f>IF(CU350=0,"",CV350/CU350)</f>
        <v/>
      </c>
      <c r="CX350" s="14" t="n">
        <v>5</v>
      </c>
      <c r="CY350" s="14" t="n"/>
      <c r="CZ350" s="14" t="n">
        <v>3</v>
      </c>
      <c r="DA350" s="14" t="n"/>
      <c r="DB350" s="15">
        <f>CX350+CY350-CZ350-DA350</f>
        <v/>
      </c>
      <c r="DC350" s="14" t="n">
        <v>3</v>
      </c>
      <c r="DD350" s="14" t="n">
        <v>0</v>
      </c>
      <c r="DE350" s="14" t="n">
        <v>0</v>
      </c>
      <c r="DF350" s="14" t="n">
        <v>0</v>
      </c>
      <c r="DG350" s="15">
        <f>DC350+DD350-DE350-DF350</f>
        <v/>
      </c>
      <c r="DH350" s="14" t="n">
        <v>1</v>
      </c>
      <c r="DI350" s="14" t="n">
        <v>0</v>
      </c>
      <c r="DJ350" s="14" t="n">
        <v>0</v>
      </c>
      <c r="DK350" s="14" t="n">
        <v>0</v>
      </c>
      <c r="DL350" s="15">
        <f>DH350+DI350-DJ350-DK350</f>
        <v/>
      </c>
      <c r="DM350" s="14" t="n">
        <v>591</v>
      </c>
      <c r="DN350" s="14" t="n">
        <v>41</v>
      </c>
      <c r="DO350" s="14" t="n">
        <v>0</v>
      </c>
      <c r="DP350" s="14" t="n">
        <v>0</v>
      </c>
      <c r="DQ350" s="15">
        <f>DM350+DN350-DO350-DP350</f>
        <v/>
      </c>
      <c r="DR350" s="15">
        <f>CX350+DC350+DH350+DM350</f>
        <v/>
      </c>
      <c r="DS350" s="15">
        <f>CY350+DD350+DI350+DN350</f>
        <v/>
      </c>
      <c r="DT350" s="15">
        <f>CZ350+DE350+DJ350+DO350</f>
        <v/>
      </c>
      <c r="DU350" s="15">
        <f>DA350+DF350+DK350+DP350</f>
        <v/>
      </c>
      <c r="DV350" s="15">
        <f>DB350+DG350+DL350+DQ350</f>
        <v/>
      </c>
      <c r="DW350" s="14" t="n">
        <v>20</v>
      </c>
      <c r="DX350" s="14" t="n">
        <v>16</v>
      </c>
      <c r="DY350" s="14" t="n">
        <v>5</v>
      </c>
      <c r="DZ350" s="14" t="n">
        <v>5</v>
      </c>
      <c r="EA350" s="14" t="n">
        <v>5</v>
      </c>
      <c r="EB350" s="14" t="n">
        <v>7</v>
      </c>
      <c r="EC350" s="14" t="n">
        <v>5</v>
      </c>
      <c r="ED350" s="14" t="n">
        <v>4</v>
      </c>
      <c r="EE350" s="14" t="n">
        <v>2</v>
      </c>
      <c r="EF350" s="14" t="n">
        <v>0</v>
      </c>
      <c r="EG350" s="14" t="n">
        <v>0</v>
      </c>
      <c r="EH350" s="14" t="n">
        <v>0</v>
      </c>
      <c r="EI350" s="14" t="n">
        <v>0</v>
      </c>
      <c r="EJ350" s="14" t="n">
        <v>0</v>
      </c>
      <c r="EK350" s="14" t="n">
        <v>0</v>
      </c>
      <c r="EL350" s="14" t="n">
        <v>0</v>
      </c>
      <c r="EM350" s="14" t="n">
        <v>0</v>
      </c>
      <c r="EN350" s="14" t="n">
        <v>0</v>
      </c>
      <c r="EO350" s="14" t="n">
        <v>2</v>
      </c>
      <c r="EP350" s="14" t="n">
        <v>0</v>
      </c>
      <c r="EQ350" s="14" t="n">
        <v>0</v>
      </c>
      <c r="ER350" s="14" t="n">
        <v>0</v>
      </c>
      <c r="ES350" s="14" t="n">
        <v>0</v>
      </c>
      <c r="ET350" s="14" t="n">
        <v>0</v>
      </c>
      <c r="EU350" s="14" t="n">
        <v>0</v>
      </c>
      <c r="EV350" s="14" t="n">
        <v>0</v>
      </c>
      <c r="EW350" s="14" t="n">
        <v>0</v>
      </c>
      <c r="EX350" s="14" t="n">
        <v>0</v>
      </c>
      <c r="EY350" s="14" t="n">
        <v>0</v>
      </c>
      <c r="EZ350" s="14" t="n">
        <v>0</v>
      </c>
      <c r="FA350" s="14" t="n">
        <v>0</v>
      </c>
      <c r="FB350" s="14" t="n">
        <v>0</v>
      </c>
      <c r="FC350" s="14" t="n">
        <v>0</v>
      </c>
      <c r="FD350" s="14" t="n">
        <v>0</v>
      </c>
      <c r="FE350" s="14" t="n">
        <v>0</v>
      </c>
      <c r="FF350" s="14" t="n">
        <v>0</v>
      </c>
      <c r="FG350" s="15">
        <f>SUM(DW350,DX350,DY350,DZ350,EA350,EB350,EC350,ED350,EE350,EF350,EG350,EH350,EI350,EJ350,EK350,EL350,EM350,EN350,EO350,EP350,EQ350,ER350,ES350,ET350,EU350,EV350,EW350,EX350,EY350,EZ350,FA350,FB350,FC350,FD350,FE350,FF350)</f>
        <v/>
      </c>
      <c r="FH350" s="14" t="n">
        <v>0</v>
      </c>
      <c r="FI350" s="14" t="n">
        <v>0</v>
      </c>
      <c r="FJ350" s="14" t="n">
        <v>21</v>
      </c>
      <c r="FK350" s="14" t="n">
        <v>62.4</v>
      </c>
      <c r="FL350" s="14" t="n">
        <v>0</v>
      </c>
      <c r="FM350" s="14" t="n">
        <v>0</v>
      </c>
      <c r="FN350" s="14" t="n">
        <v>0</v>
      </c>
      <c r="FO350" s="14" t="n">
        <v>0</v>
      </c>
      <c r="FP350" s="14" t="n">
        <v>0</v>
      </c>
      <c r="FQ350" s="15">
        <f>FL350+FM350+FN350+FO350+FP350</f>
        <v/>
      </c>
      <c r="FR350" s="14" t="n">
        <v>22732759.66</v>
      </c>
      <c r="FS350" s="14" t="n">
        <v>142200</v>
      </c>
      <c r="FT350" s="14" t="n">
        <v>202400</v>
      </c>
      <c r="FU350" s="14" t="n">
        <v>12700</v>
      </c>
      <c r="FV350" s="15">
        <f>FR350+FS350+FT350+FU350</f>
        <v/>
      </c>
      <c r="FW350" s="14" t="n">
        <v>2534453.24</v>
      </c>
      <c r="FX350" s="14" t="n">
        <v>17300</v>
      </c>
      <c r="FY350" s="14" t="n">
        <v>2529849.91</v>
      </c>
      <c r="FZ350" s="14" t="n">
        <v>5918739.4</v>
      </c>
      <c r="GA350" s="15">
        <f>FW350+FX350+FY350+FZ350</f>
        <v/>
      </c>
      <c r="GB350" s="15">
        <f>FV350+GA350</f>
        <v/>
      </c>
      <c r="GC350" s="14" t="n">
        <v>16696512.8</v>
      </c>
      <c r="GD350" s="14" t="n">
        <v>98891.75999999999</v>
      </c>
      <c r="GE350" s="14" t="n">
        <v>72030.89</v>
      </c>
      <c r="GF350" s="14" t="n">
        <v>175415.96</v>
      </c>
      <c r="GG350" s="15">
        <f>GC350+GD350+GE350+GF350</f>
        <v/>
      </c>
      <c r="GH350" s="14" t="n">
        <v>2524853.24</v>
      </c>
      <c r="GI350" s="14" t="n">
        <v>17300</v>
      </c>
      <c r="GJ350" s="14" t="n">
        <v>5910039.4</v>
      </c>
      <c r="GK350" s="14" t="n">
        <v>2528649.9</v>
      </c>
      <c r="GL350" s="15">
        <f>GH350+GI350+GJ350+GK350</f>
        <v/>
      </c>
      <c r="GM350" s="15">
        <f>GG350+GL350</f>
        <v/>
      </c>
      <c r="GN350" s="14" t="n">
        <v>1518697.66</v>
      </c>
      <c r="GO350" s="14" t="n">
        <v>2295.36</v>
      </c>
      <c r="GP350" s="14" t="n">
        <v>16968.2</v>
      </c>
      <c r="GQ350" s="14" t="n">
        <v>55648.08</v>
      </c>
      <c r="GR350" s="15">
        <f>GN350+GO350+GP350+GQ350</f>
        <v/>
      </c>
      <c r="GS350" s="14" t="n">
        <v>2547729</v>
      </c>
      <c r="GT350" s="14" t="n">
        <v>10716</v>
      </c>
      <c r="GU350" s="14" t="n">
        <v>4465</v>
      </c>
      <c r="GV350" s="14" t="n">
        <v>10716</v>
      </c>
      <c r="GW350" s="15">
        <f>GS350+GT350+GU350+GV350</f>
        <v/>
      </c>
      <c r="GX350" s="15">
        <f>GM350+GR350+GW350</f>
        <v/>
      </c>
      <c r="GY350" s="14" t="n">
        <v>130147778.1699998</v>
      </c>
      <c r="GZ350" s="14" t="n">
        <v>-1861057.08</v>
      </c>
      <c r="HA350" s="9">
        <f>GY350+GZ350</f>
        <v/>
      </c>
      <c r="HB350" s="15">
        <f>IF(GX350=0,"",AU350/GX350)</f>
        <v/>
      </c>
      <c r="HC350" s="16">
        <f>IF((GX350+GY350)=0,"",GB350/(GX350+GY350))</f>
        <v/>
      </c>
      <c r="HD350" s="15">
        <f>IF(GX350=0,"",GB350/GX350)</f>
        <v/>
      </c>
      <c r="HE350" s="14" t="n">
        <v>6</v>
      </c>
      <c r="HF350" s="14" t="n">
        <v>1</v>
      </c>
      <c r="HG350" s="14" t="n">
        <v>24</v>
      </c>
      <c r="HH350" s="14" t="n">
        <v>10</v>
      </c>
      <c r="HI350" s="14" t="n">
        <v>7</v>
      </c>
      <c r="HJ350" s="15">
        <f>HF350+HI350</f>
        <v/>
      </c>
      <c r="HK350" s="16">
        <f>IF(HE350=0,"",HH350/HE350)</f>
        <v/>
      </c>
      <c r="HL350" s="14" t="n">
        <v>15</v>
      </c>
      <c r="HM350" s="14" t="n">
        <v>3</v>
      </c>
      <c r="HN350" s="17">
        <f>IF(HL350=0,"",HM350/HL350)</f>
        <v/>
      </c>
    </row>
    <row r="351">
      <c r="A351" s="6" t="inlineStr">
        <is>
          <t>Zomba</t>
        </is>
      </c>
      <c r="B351" s="6" t="inlineStr">
        <is>
          <t>Namadzi</t>
        </is>
      </c>
      <c r="C351" s="7" t="inlineStr">
        <is>
          <t>FY2025/26</t>
        </is>
      </c>
      <c r="D351" s="7" t="n">
        <v>2025</v>
      </c>
      <c r="E351" s="7" t="n">
        <v>4</v>
      </c>
      <c r="F351" s="7" t="inlineStr">
        <is>
          <t>April</t>
        </is>
      </c>
      <c r="G351" s="7" t="inlineStr">
        <is>
          <t>Q1</t>
        </is>
      </c>
      <c r="H351" s="8" t="n">
        <v>10488</v>
      </c>
      <c r="I351" s="8" t="n">
        <v>1822</v>
      </c>
      <c r="J351" s="8" t="n">
        <v>4</v>
      </c>
      <c r="K351" s="8" t="n">
        <v>233</v>
      </c>
      <c r="L351" s="8" t="n">
        <v>8</v>
      </c>
      <c r="M351" s="9">
        <f>SUM(I351,J351,K351,L351)</f>
        <v/>
      </c>
      <c r="N351" s="8" t="n">
        <v>2026.3</v>
      </c>
      <c r="O351" s="8" t="n">
        <v>2.4</v>
      </c>
      <c r="P351" s="8" t="n">
        <v>5841.1</v>
      </c>
      <c r="Q351" s="8" t="n">
        <v>40.9</v>
      </c>
      <c r="R351" s="9">
        <f>SUM(N351,O351,P351,Q351)</f>
        <v/>
      </c>
      <c r="S351" s="9">
        <f>M351+R351</f>
        <v/>
      </c>
      <c r="T351" s="8" t="n">
        <v>510.300000000003</v>
      </c>
      <c r="U351" s="10">
        <f>IF(H351=0,"",T351/H351)</f>
        <v/>
      </c>
      <c r="V351" s="8" t="n">
        <v>5</v>
      </c>
      <c r="W351" s="11">
        <f>IF(H351=0,"",V351/H351)</f>
        <v/>
      </c>
      <c r="X351" s="8" t="n">
        <v>0</v>
      </c>
      <c r="Y351" s="11">
        <f>IF(H351=0,"",X351/H351)</f>
        <v/>
      </c>
      <c r="Z351" s="8" t="n">
        <v>0</v>
      </c>
      <c r="AA351" s="11">
        <f>IF(H351=0,"",Z351/H351)</f>
        <v/>
      </c>
      <c r="AB351" s="8" t="n">
        <v>0</v>
      </c>
      <c r="AC351" s="11">
        <f>IF(H351=0,"",AB351/H351)</f>
        <v/>
      </c>
      <c r="AD351" s="8" t="n">
        <v>0</v>
      </c>
      <c r="AE351" s="11">
        <f>IF(H351=0,"",AD351/H351)</f>
        <v/>
      </c>
      <c r="AF351" s="8" t="n">
        <v>0</v>
      </c>
      <c r="AG351" s="11">
        <f>IF(H351=0,"",AF351/H351)</f>
        <v/>
      </c>
      <c r="AH351" s="8" t="n">
        <v>130000</v>
      </c>
      <c r="AI351" s="9">
        <f>IF(H351=0,"",AH351/H351)</f>
        <v/>
      </c>
      <c r="AJ351" s="8" t="n">
        <v>3180.65</v>
      </c>
      <c r="AK351" s="11">
        <f>IF(H351=0,"",AJ351/H351)</f>
        <v/>
      </c>
      <c r="AL351" s="8" t="n">
        <v>900906.72085</v>
      </c>
      <c r="AM351" s="9">
        <f>IF(H351=0,"",AL351/H351)</f>
        <v/>
      </c>
      <c r="AN351" s="8" t="n">
        <v>0</v>
      </c>
      <c r="AO351" s="8" t="n">
        <v>0</v>
      </c>
      <c r="AP351" s="8" t="n">
        <v>0</v>
      </c>
      <c r="AQ351" s="8" t="n">
        <v>0</v>
      </c>
      <c r="AR351" s="8" t="n">
        <v>3438844.23</v>
      </c>
      <c r="AS351" s="8" t="n">
        <v>374765.95</v>
      </c>
      <c r="AT351" s="8" t="n">
        <v>0</v>
      </c>
      <c r="AU351" s="9">
        <f>AH351+AL351+AP351+AQ351+AR351+AS351+AT351</f>
        <v/>
      </c>
      <c r="AV351" s="9">
        <f>IF(H351=0,"",AU351/H351)</f>
        <v/>
      </c>
      <c r="AW351" s="9">
        <f>IF(S351=0,"",AU351/S351)</f>
        <v/>
      </c>
      <c r="AX351" s="8" t="n">
        <v>5</v>
      </c>
      <c r="AY351" s="9">
        <f>IF(H351=0,"",AX351/(H351/1000/12))</f>
        <v/>
      </c>
      <c r="AZ351" s="8" t="n">
        <v>5</v>
      </c>
      <c r="BA351" s="8" t="n">
        <v>56</v>
      </c>
      <c r="BB351" s="8" t="n">
        <v>0</v>
      </c>
      <c r="BC351" s="8" t="n">
        <v>2</v>
      </c>
      <c r="BD351" s="8" t="n">
        <v>0</v>
      </c>
      <c r="BE351" s="9">
        <f>BC351+BD351</f>
        <v/>
      </c>
      <c r="BF351" s="9">
        <f>BA351+BB351-BE351</f>
        <v/>
      </c>
      <c r="BG351" s="8" t="n">
        <v>0</v>
      </c>
      <c r="BH351" s="8" t="n">
        <v>0</v>
      </c>
      <c r="BI351" s="8" t="n">
        <v>0</v>
      </c>
      <c r="BJ351" s="8" t="n">
        <v>0</v>
      </c>
      <c r="BK351" s="9">
        <f>BI351+BJ351</f>
        <v/>
      </c>
      <c r="BL351" s="9">
        <f>BG351+BH351-BK351</f>
        <v/>
      </c>
      <c r="BM351" s="8" t="n">
        <v>0</v>
      </c>
      <c r="BN351" s="8" t="n">
        <v>0</v>
      </c>
      <c r="BO351" s="8" t="n">
        <v>0</v>
      </c>
      <c r="BP351" s="8" t="n">
        <v>0</v>
      </c>
      <c r="BQ351" s="9">
        <f>BO351+BP351</f>
        <v/>
      </c>
      <c r="BR351" s="9">
        <f>BM351+BN351-BQ351</f>
        <v/>
      </c>
      <c r="BS351" s="8" t="n">
        <v>0</v>
      </c>
      <c r="BT351" s="8" t="n">
        <v>0</v>
      </c>
      <c r="BU351" s="8" t="n">
        <v>0</v>
      </c>
      <c r="BV351" s="8" t="n">
        <v>0</v>
      </c>
      <c r="BW351" s="9">
        <f>BU351+BV351</f>
        <v/>
      </c>
      <c r="BX351" s="9">
        <f>BS351+BT351-BW351</f>
        <v/>
      </c>
      <c r="BY351" s="9">
        <f>BA351+BG351+BM351+BS351</f>
        <v/>
      </c>
      <c r="BZ351" s="9">
        <f>BB351+BH351+BN351+BT351</f>
        <v/>
      </c>
      <c r="CA351" s="9">
        <f>BE351+BK351+BQ351+BW351</f>
        <v/>
      </c>
      <c r="CB351" s="9">
        <f>BF351+BL351+BR351+BX351</f>
        <v/>
      </c>
      <c r="CC351" s="8" t="n">
        <v>0</v>
      </c>
      <c r="CD351" s="8" t="n">
        <v>229</v>
      </c>
      <c r="CE351" s="8" t="n">
        <v>11</v>
      </c>
      <c r="CF351" s="8" t="n">
        <v>11</v>
      </c>
      <c r="CG351" s="8" t="n">
        <v>2</v>
      </c>
      <c r="CH351" s="9">
        <f>CD351+CE351+CF351+CG351</f>
        <v/>
      </c>
      <c r="CI351" s="8" t="n">
        <v>285</v>
      </c>
      <c r="CJ351" s="8" t="n">
        <v>7</v>
      </c>
      <c r="CK351" s="8" t="n">
        <v>2</v>
      </c>
      <c r="CL351" s="8" t="n">
        <v>1</v>
      </c>
      <c r="CM351" s="9">
        <f>CI351+CJ351+CK351+CL351</f>
        <v/>
      </c>
      <c r="CN351" s="8" t="n">
        <v>121</v>
      </c>
      <c r="CO351" s="8" t="n">
        <v>24</v>
      </c>
      <c r="CP351" s="8" t="n">
        <v>3</v>
      </c>
      <c r="CQ351" s="8" t="n">
        <v>2</v>
      </c>
      <c r="CR351" s="9">
        <f>CN351+CO351+CP351+CQ351</f>
        <v/>
      </c>
      <c r="CS351" s="9">
        <f>CM351+CR351</f>
        <v/>
      </c>
      <c r="CT351" s="8" t="n">
        <v>698</v>
      </c>
      <c r="CU351" s="8" t="n">
        <v>3709</v>
      </c>
      <c r="CV351" s="8" t="n">
        <v>3476.6</v>
      </c>
      <c r="CW351" s="10">
        <f>IF(CU351=0,"",CV351/CU351)</f>
        <v/>
      </c>
      <c r="CX351" s="8" t="n">
        <v>0</v>
      </c>
      <c r="CY351" s="8" t="n">
        <v>0</v>
      </c>
      <c r="CZ351" s="8" t="n">
        <v>0</v>
      </c>
      <c r="DA351" s="8" t="n">
        <v>0</v>
      </c>
      <c r="DB351" s="9">
        <f>CX351+CY351-CZ351-DA351</f>
        <v/>
      </c>
      <c r="DC351" s="8" t="n">
        <v>0</v>
      </c>
      <c r="DD351" s="8" t="n">
        <v>0</v>
      </c>
      <c r="DE351" s="8" t="n">
        <v>0</v>
      </c>
      <c r="DF351" s="8" t="n">
        <v>0</v>
      </c>
      <c r="DG351" s="9">
        <f>DC351+DD351-DE351-DF351</f>
        <v/>
      </c>
      <c r="DH351" s="8" t="n">
        <v>0</v>
      </c>
      <c r="DI351" s="8" t="n">
        <v>0</v>
      </c>
      <c r="DJ351" s="8" t="n">
        <v>0</v>
      </c>
      <c r="DK351" s="8" t="n">
        <v>0</v>
      </c>
      <c r="DL351" s="9">
        <f>DH351+DI351-DJ351-DK351</f>
        <v/>
      </c>
      <c r="DM351" s="8" t="n">
        <v>0</v>
      </c>
      <c r="DN351" s="8" t="n">
        <v>3</v>
      </c>
      <c r="DO351" s="8" t="n">
        <v>3</v>
      </c>
      <c r="DP351" s="8" t="n">
        <v>0</v>
      </c>
      <c r="DQ351" s="9">
        <f>DM351+DN351-DO351-DP351</f>
        <v/>
      </c>
      <c r="DR351" s="9">
        <f>CX351+DC351+DH351+DM351</f>
        <v/>
      </c>
      <c r="DS351" s="9">
        <f>CY351+DD351+DI351+DN351</f>
        <v/>
      </c>
      <c r="DT351" s="9">
        <f>CZ351+DE351+DJ351+DO351</f>
        <v/>
      </c>
      <c r="DU351" s="9">
        <f>DA351+DF351+DK351+DP351</f>
        <v/>
      </c>
      <c r="DV351" s="9">
        <f>DB351+DG351+DL351+DQ351</f>
        <v/>
      </c>
      <c r="DW351" s="8" t="n">
        <v>11</v>
      </c>
      <c r="DX351" s="8" t="n">
        <v>8</v>
      </c>
      <c r="DY351" s="8" t="n">
        <v>3</v>
      </c>
      <c r="DZ351" s="8" t="n">
        <v>3</v>
      </c>
      <c r="EA351" s="8" t="n">
        <v>2</v>
      </c>
      <c r="EB351" s="8" t="n">
        <v>1</v>
      </c>
      <c r="EC351" s="8" t="n">
        <v>0</v>
      </c>
      <c r="ED351" s="8" t="n">
        <v>0</v>
      </c>
      <c r="EE351" s="8" t="n">
        <v>0</v>
      </c>
      <c r="EF351" s="8" t="n">
        <v>0</v>
      </c>
      <c r="EG351" s="8" t="n">
        <v>0</v>
      </c>
      <c r="EH351" s="8" t="n">
        <v>0</v>
      </c>
      <c r="EI351" s="8" t="n">
        <v>0</v>
      </c>
      <c r="EJ351" s="8" t="n">
        <v>0</v>
      </c>
      <c r="EK351" s="8" t="n">
        <v>0</v>
      </c>
      <c r="EL351" s="8" t="n">
        <v>0</v>
      </c>
      <c r="EM351" s="8" t="n">
        <v>0</v>
      </c>
      <c r="EN351" s="8" t="n">
        <v>0</v>
      </c>
      <c r="EO351" s="8" t="n">
        <v>0</v>
      </c>
      <c r="EP351" s="8" t="n">
        <v>0</v>
      </c>
      <c r="EQ351" s="8" t="n">
        <v>0</v>
      </c>
      <c r="ER351" s="8" t="n">
        <v>0</v>
      </c>
      <c r="ES351" s="8" t="n">
        <v>0</v>
      </c>
      <c r="ET351" s="8" t="n">
        <v>0</v>
      </c>
      <c r="EU351" s="8" t="n">
        <v>0</v>
      </c>
      <c r="EV351" s="8" t="n">
        <v>0</v>
      </c>
      <c r="EW351" s="8" t="n">
        <v>0</v>
      </c>
      <c r="EX351" s="8" t="n">
        <v>0</v>
      </c>
      <c r="EY351" s="8" t="n">
        <v>0</v>
      </c>
      <c r="EZ351" s="8" t="n">
        <v>0</v>
      </c>
      <c r="FA351" s="8" t="n">
        <v>0</v>
      </c>
      <c r="FB351" s="8" t="n">
        <v>0</v>
      </c>
      <c r="FC351" s="8" t="n">
        <v>0</v>
      </c>
      <c r="FD351" s="8" t="n">
        <v>0</v>
      </c>
      <c r="FE351" s="8" t="n">
        <v>0</v>
      </c>
      <c r="FF351" s="8" t="n">
        <v>0</v>
      </c>
      <c r="FG351" s="9">
        <f>SUM(DW351,DX351,DY351,DZ351,EA351,EB351,EC351,ED351,EE351,EF351,EG351,EH351,EI351,EJ351,EK351,EL351,EM351,EN351,EO351,EP351,EQ351,ER351,ES351,ET351,EU351,EV351,EW351,EX351,EY351,EZ351,FA351,FB351,FC351,FD351,FE351,FF351)</f>
        <v/>
      </c>
      <c r="FH351" s="8" t="n">
        <v>0</v>
      </c>
      <c r="FI351" s="8" t="n">
        <v>0</v>
      </c>
      <c r="FJ351" s="8" t="n">
        <v>20</v>
      </c>
      <c r="FK351" s="8" t="n">
        <v>268</v>
      </c>
      <c r="FL351" s="8" t="n">
        <v>0</v>
      </c>
      <c r="FM351" s="8" t="n">
        <v>0</v>
      </c>
      <c r="FN351" s="8" t="n">
        <v>0</v>
      </c>
      <c r="FO351" s="8" t="n">
        <v>0</v>
      </c>
      <c r="FP351" s="8" t="n">
        <v>0</v>
      </c>
      <c r="FQ351" s="9">
        <f>FL351+FM351+FN351+FO351+FP351</f>
        <v/>
      </c>
      <c r="FR351" s="8" t="n">
        <v>334767.22</v>
      </c>
      <c r="FS351" s="8" t="n">
        <v>0</v>
      </c>
      <c r="FT351" s="8" t="n">
        <v>0</v>
      </c>
      <c r="FU351" s="8" t="n">
        <v>0</v>
      </c>
      <c r="FV351" s="9">
        <f>FR351+FS351+FT351+FU351</f>
        <v/>
      </c>
      <c r="FW351" s="8" t="n">
        <v>2680969.73</v>
      </c>
      <c r="FX351" s="8" t="n">
        <v>1106.22</v>
      </c>
      <c r="FY351" s="8" t="n">
        <v>193992.15</v>
      </c>
      <c r="FZ351" s="8" t="n">
        <v>17753078.8</v>
      </c>
      <c r="GA351" s="9">
        <f>FW351+FX351+FY351+FZ351</f>
        <v/>
      </c>
      <c r="GB351" s="9">
        <f>FV351+GA351</f>
        <v/>
      </c>
      <c r="GC351" s="8" t="n">
        <v>1563763.62</v>
      </c>
      <c r="GD351" s="8" t="n">
        <v>765.12</v>
      </c>
      <c r="GE351" s="8" t="n">
        <v>753852.53</v>
      </c>
      <c r="GF351" s="8" t="n">
        <v>16821.98</v>
      </c>
      <c r="GG351" s="9">
        <f>GC351+GD351+GE351+GF351</f>
        <v/>
      </c>
      <c r="GH351" s="8" t="n">
        <v>2529824.68</v>
      </c>
      <c r="GI351" s="8" t="n">
        <v>506.22</v>
      </c>
      <c r="GJ351" s="8" t="n">
        <v>17753078.8</v>
      </c>
      <c r="GK351" s="8" t="n">
        <v>193992.12</v>
      </c>
      <c r="GL351" s="9">
        <f>GH351+GI351+GJ351+GK351</f>
        <v/>
      </c>
      <c r="GM351" s="9">
        <f>GG351+GL351</f>
        <v/>
      </c>
      <c r="GN351" s="8" t="n">
        <v>153152.35</v>
      </c>
      <c r="GO351" s="8" t="n">
        <v>191.28</v>
      </c>
      <c r="GP351" s="8" t="n">
        <v>23755.48</v>
      </c>
      <c r="GQ351" s="8" t="n">
        <v>9274.68</v>
      </c>
      <c r="GR351" s="9">
        <f>GN351+GO351+GP351+GQ351</f>
        <v/>
      </c>
      <c r="GS351" s="8" t="n">
        <v>254505</v>
      </c>
      <c r="GT351" s="8" t="n">
        <v>893</v>
      </c>
      <c r="GU351" s="8" t="n">
        <v>6251</v>
      </c>
      <c r="GV351" s="8" t="n">
        <v>1786</v>
      </c>
      <c r="GW351" s="9">
        <f>GS351+GT351+GU351+GV351</f>
        <v/>
      </c>
      <c r="GX351" s="9">
        <f>GM351+GR351+GW351</f>
        <v/>
      </c>
      <c r="GY351" s="8" t="n">
        <v>25607144.10999999</v>
      </c>
      <c r="GZ351" s="8" t="n">
        <v>0</v>
      </c>
      <c r="HA351" s="9">
        <f>GY351+GZ351</f>
        <v/>
      </c>
      <c r="HB351" s="9">
        <f>IF(GX351=0,"",AU351/GX351)</f>
        <v/>
      </c>
      <c r="HC351" s="10">
        <f>IF((GX351+GY351)=0,"",GB351/(GX351+GY351))</f>
        <v/>
      </c>
      <c r="HD351" s="9">
        <f>IF(GX351=0,"",GB351/GX351)</f>
        <v/>
      </c>
      <c r="HE351" s="8" t="n">
        <v>2</v>
      </c>
      <c r="HF351" s="8" t="n">
        <v>7</v>
      </c>
      <c r="HG351" s="8" t="n">
        <v>54</v>
      </c>
      <c r="HH351" s="8" t="n">
        <v>0</v>
      </c>
      <c r="HI351" s="8" t="n">
        <v>4</v>
      </c>
      <c r="HJ351" s="9">
        <f>HF351+HI351</f>
        <v/>
      </c>
      <c r="HK351" s="10">
        <f>IF(HE351=0,"",HH351/HE351)</f>
        <v/>
      </c>
      <c r="HL351" s="8" t="n">
        <v>20</v>
      </c>
      <c r="HM351" s="8" t="n">
        <v>10</v>
      </c>
      <c r="HN351" s="11">
        <f>IF(HL351=0,"",HM351/HL351)</f>
        <v/>
      </c>
    </row>
    <row r="352">
      <c r="A352" s="12" t="inlineStr">
        <is>
          <t>Zomba</t>
        </is>
      </c>
      <c r="B352" s="12" t="inlineStr">
        <is>
          <t>Namadzi</t>
        </is>
      </c>
      <c r="C352" s="13" t="inlineStr">
        <is>
          <t>FY2025/26</t>
        </is>
      </c>
      <c r="D352" s="13" t="n">
        <v>2025</v>
      </c>
      <c r="E352" s="13" t="n">
        <v>5</v>
      </c>
      <c r="F352" s="13" t="inlineStr">
        <is>
          <t>May</t>
        </is>
      </c>
      <c r="G352" s="13" t="inlineStr">
        <is>
          <t>Q1</t>
        </is>
      </c>
      <c r="H352" s="14" t="n">
        <v>6724</v>
      </c>
      <c r="I352" s="14" t="n">
        <v>491</v>
      </c>
      <c r="J352" s="14" t="n">
        <v>4</v>
      </c>
      <c r="K352" s="14" t="n">
        <v>14</v>
      </c>
      <c r="L352" s="14" t="n">
        <v>4</v>
      </c>
      <c r="M352" s="15">
        <f>SUM(I352,J352,K352,L352)</f>
        <v/>
      </c>
      <c r="N352" s="14" t="n">
        <v>2447.99999999999</v>
      </c>
      <c r="O352" s="14" t="n">
        <v>11.2</v>
      </c>
      <c r="P352" s="14" t="n">
        <v>3292.2</v>
      </c>
      <c r="Q352" s="14" t="n">
        <v>46.5</v>
      </c>
      <c r="R352" s="15">
        <f>SUM(N352,O352,P352,Q352)</f>
        <v/>
      </c>
      <c r="S352" s="15">
        <f>M352+R352</f>
        <v/>
      </c>
      <c r="T352" s="14" t="n">
        <v>413.100000000008</v>
      </c>
      <c r="U352" s="16">
        <f>IF(H352=0,"",T352/H352)</f>
        <v/>
      </c>
      <c r="V352" s="14" t="n">
        <v>5</v>
      </c>
      <c r="W352" s="17">
        <f>IF(H352=0,"",V352/H352)</f>
        <v/>
      </c>
      <c r="X352" s="14" t="n">
        <v>0</v>
      </c>
      <c r="Y352" s="17">
        <f>IF(H352=0,"",X352/H352)</f>
        <v/>
      </c>
      <c r="Z352" s="14" t="n">
        <v>0</v>
      </c>
      <c r="AA352" s="17">
        <f>IF(H352=0,"",Z352/H352)</f>
        <v/>
      </c>
      <c r="AB352" s="14" t="n">
        <v>0</v>
      </c>
      <c r="AC352" s="17">
        <f>IF(H352=0,"",AB352/H352)</f>
        <v/>
      </c>
      <c r="AD352" s="14" t="n">
        <v>0</v>
      </c>
      <c r="AE352" s="17">
        <f>IF(H352=0,"",AD352/H352)</f>
        <v/>
      </c>
      <c r="AF352" s="14" t="n">
        <v>0</v>
      </c>
      <c r="AG352" s="17">
        <f>IF(H352=0,"",AF352/H352)</f>
        <v/>
      </c>
      <c r="AH352" s="14" t="n">
        <v>130000</v>
      </c>
      <c r="AI352" s="15">
        <f>IF(H352=0,"",AH352/H352)</f>
        <v/>
      </c>
      <c r="AJ352" s="14" t="n">
        <v>3303.61</v>
      </c>
      <c r="AK352" s="17">
        <f>IF(H352=0,"",AJ352/H352)</f>
        <v/>
      </c>
      <c r="AL352" s="14" t="n">
        <v>934512.79549</v>
      </c>
      <c r="AM352" s="15">
        <f>IF(H352=0,"",AL352/H352)</f>
        <v/>
      </c>
      <c r="AN352" s="14" t="n">
        <v>0</v>
      </c>
      <c r="AO352" s="14" t="n">
        <v>0</v>
      </c>
      <c r="AP352" s="14" t="n">
        <v>0</v>
      </c>
      <c r="AQ352" s="14" t="n">
        <v>0</v>
      </c>
      <c r="AR352" s="14" t="n">
        <v>0</v>
      </c>
      <c r="AS352" s="14" t="n">
        <v>0</v>
      </c>
      <c r="AT352" s="14" t="n">
        <v>0</v>
      </c>
      <c r="AU352" s="15">
        <f>AH352+AL352+AP352+AQ352+AR352+AS352+AT352</f>
        <v/>
      </c>
      <c r="AV352" s="15">
        <f>IF(H352=0,"",AU352/H352)</f>
        <v/>
      </c>
      <c r="AW352" s="15">
        <f>IF(S352=0,"",AU352/S352)</f>
        <v/>
      </c>
      <c r="AX352" s="14" t="n">
        <v>5</v>
      </c>
      <c r="AY352" s="15">
        <f>IF(H352=0,"",AX352/(H352/1000/12))</f>
        <v/>
      </c>
      <c r="AZ352" s="14" t="n">
        <v>5</v>
      </c>
      <c r="BA352" s="14" t="n">
        <v>54</v>
      </c>
      <c r="BB352" s="14" t="n">
        <v>0</v>
      </c>
      <c r="BC352" s="14" t="n">
        <v>5</v>
      </c>
      <c r="BD352" s="14" t="n">
        <v>0</v>
      </c>
      <c r="BE352" s="15">
        <f>BC352+BD352</f>
        <v/>
      </c>
      <c r="BF352" s="15">
        <f>BA352+BB352-BE352</f>
        <v/>
      </c>
      <c r="BG352" s="14" t="n">
        <v>0</v>
      </c>
      <c r="BH352" s="14" t="n">
        <v>0</v>
      </c>
      <c r="BI352" s="14" t="n">
        <v>0</v>
      </c>
      <c r="BJ352" s="14" t="n">
        <v>0</v>
      </c>
      <c r="BK352" s="15">
        <f>BI352+BJ352</f>
        <v/>
      </c>
      <c r="BL352" s="15">
        <f>BG352+BH352-BK352</f>
        <v/>
      </c>
      <c r="BM352" s="14" t="n">
        <v>0</v>
      </c>
      <c r="BN352" s="14" t="n">
        <v>0</v>
      </c>
      <c r="BO352" s="14" t="n">
        <v>0</v>
      </c>
      <c r="BP352" s="14" t="n">
        <v>0</v>
      </c>
      <c r="BQ352" s="15">
        <f>BO352+BP352</f>
        <v/>
      </c>
      <c r="BR352" s="15">
        <f>BM352+BN352-BQ352</f>
        <v/>
      </c>
      <c r="BS352" s="14" t="n">
        <v>0</v>
      </c>
      <c r="BT352" s="14" t="n">
        <v>0</v>
      </c>
      <c r="BU352" s="14" t="n">
        <v>0</v>
      </c>
      <c r="BV352" s="14" t="n">
        <v>0</v>
      </c>
      <c r="BW352" s="15">
        <f>BU352+BV352</f>
        <v/>
      </c>
      <c r="BX352" s="15">
        <f>BS352+BT352-BW352</f>
        <v/>
      </c>
      <c r="BY352" s="15">
        <f>BA352+BG352+BM352+BS352</f>
        <v/>
      </c>
      <c r="BZ352" s="15">
        <f>BB352+BH352+BN352+BT352</f>
        <v/>
      </c>
      <c r="CA352" s="15">
        <f>BE352+BK352+BQ352+BW352</f>
        <v/>
      </c>
      <c r="CB352" s="15">
        <f>BF352+BL352+BR352+BX352</f>
        <v/>
      </c>
      <c r="CC352" s="14" t="n">
        <v>252</v>
      </c>
      <c r="CD352" s="14" t="n">
        <v>214</v>
      </c>
      <c r="CE352" s="14" t="n">
        <v>8</v>
      </c>
      <c r="CF352" s="14" t="n">
        <v>11</v>
      </c>
      <c r="CG352" s="14" t="n">
        <v>2</v>
      </c>
      <c r="CH352" s="15">
        <f>CD352+CE352+CF352+CG352</f>
        <v/>
      </c>
      <c r="CI352" s="14" t="n">
        <v>62</v>
      </c>
      <c r="CJ352" s="14" t="n">
        <v>2</v>
      </c>
      <c r="CK352" s="14" t="n">
        <v>1</v>
      </c>
      <c r="CL352" s="14" t="n">
        <v>1</v>
      </c>
      <c r="CM352" s="15">
        <f>CI352+CJ352+CK352+CL352</f>
        <v/>
      </c>
      <c r="CN352" s="14" t="n">
        <v>364</v>
      </c>
      <c r="CO352" s="14" t="n">
        <v>32</v>
      </c>
      <c r="CP352" s="14" t="n">
        <v>4</v>
      </c>
      <c r="CQ352" s="14" t="n">
        <v>2</v>
      </c>
      <c r="CR352" s="15">
        <f>CN352+CO352+CP352+CQ352</f>
        <v/>
      </c>
      <c r="CS352" s="15">
        <f>CM352+CR352</f>
        <v/>
      </c>
      <c r="CT352" s="14" t="n">
        <v>703</v>
      </c>
      <c r="CU352" s="14" t="n">
        <v>3712</v>
      </c>
      <c r="CV352" s="14" t="n">
        <v>3489.9</v>
      </c>
      <c r="CW352" s="16">
        <f>IF(CU352=0,"",CV352/CU352)</f>
        <v/>
      </c>
      <c r="CX352" s="14" t="n">
        <v>0</v>
      </c>
      <c r="CY352" s="14" t="n">
        <v>0</v>
      </c>
      <c r="CZ352" s="14" t="n">
        <v>0</v>
      </c>
      <c r="DA352" s="14" t="n">
        <v>0</v>
      </c>
      <c r="DB352" s="15">
        <f>CX352+CY352-CZ352-DA352</f>
        <v/>
      </c>
      <c r="DC352" s="14" t="n">
        <v>0</v>
      </c>
      <c r="DD352" s="14" t="n">
        <v>0</v>
      </c>
      <c r="DE352" s="14" t="n">
        <v>0</v>
      </c>
      <c r="DF352" s="14" t="n">
        <v>0</v>
      </c>
      <c r="DG352" s="15">
        <f>DC352+DD352-DE352-DF352</f>
        <v/>
      </c>
      <c r="DH352" s="14" t="n">
        <v>0</v>
      </c>
      <c r="DI352" s="14" t="n">
        <v>0</v>
      </c>
      <c r="DJ352" s="14" t="n">
        <v>0</v>
      </c>
      <c r="DK352" s="14" t="n">
        <v>0</v>
      </c>
      <c r="DL352" s="15">
        <f>DH352+DI352-DJ352-DK352</f>
        <v/>
      </c>
      <c r="DM352" s="14" t="n">
        <v>0</v>
      </c>
      <c r="DN352" s="14" t="n">
        <v>10</v>
      </c>
      <c r="DO352" s="14" t="n">
        <v>10</v>
      </c>
      <c r="DP352" s="14" t="n">
        <v>0</v>
      </c>
      <c r="DQ352" s="15">
        <f>DM352+DN352-DO352-DP352</f>
        <v/>
      </c>
      <c r="DR352" s="15">
        <f>CX352+DC352+DH352+DM352</f>
        <v/>
      </c>
      <c r="DS352" s="15">
        <f>CY352+DD352+DI352+DN352</f>
        <v/>
      </c>
      <c r="DT352" s="15">
        <f>CZ352+DE352+DJ352+DO352</f>
        <v/>
      </c>
      <c r="DU352" s="15">
        <f>DA352+DF352+DK352+DP352</f>
        <v/>
      </c>
      <c r="DV352" s="15">
        <f>DB352+DG352+DL352+DQ352</f>
        <v/>
      </c>
      <c r="DW352" s="14" t="n">
        <v>11</v>
      </c>
      <c r="DX352" s="14" t="n">
        <v>10</v>
      </c>
      <c r="DY352" s="14" t="n">
        <v>4</v>
      </c>
      <c r="DZ352" s="14" t="n">
        <v>3</v>
      </c>
      <c r="EA352" s="14" t="n">
        <v>1</v>
      </c>
      <c r="EB352" s="14" t="n">
        <v>1</v>
      </c>
      <c r="EC352" s="14" t="n">
        <v>0</v>
      </c>
      <c r="ED352" s="14" t="n">
        <v>0</v>
      </c>
      <c r="EE352" s="14" t="n">
        <v>2</v>
      </c>
      <c r="EF352" s="14" t="n">
        <v>0</v>
      </c>
      <c r="EG352" s="14" t="n">
        <v>0</v>
      </c>
      <c r="EH352" s="14" t="n">
        <v>0</v>
      </c>
      <c r="EI352" s="14" t="n">
        <v>0</v>
      </c>
      <c r="EJ352" s="14" t="n">
        <v>0</v>
      </c>
      <c r="EK352" s="14" t="n">
        <v>0</v>
      </c>
      <c r="EL352" s="14" t="n">
        <v>0</v>
      </c>
      <c r="EM352" s="14" t="n">
        <v>0</v>
      </c>
      <c r="EN352" s="14" t="n">
        <v>0</v>
      </c>
      <c r="EO352" s="14" t="n">
        <v>0</v>
      </c>
      <c r="EP352" s="14" t="n">
        <v>0</v>
      </c>
      <c r="EQ352" s="14" t="n">
        <v>0</v>
      </c>
      <c r="ER352" s="14" t="n">
        <v>0</v>
      </c>
      <c r="ES352" s="14" t="n">
        <v>0</v>
      </c>
      <c r="ET352" s="14" t="n">
        <v>0</v>
      </c>
      <c r="EU352" s="14" t="n">
        <v>0</v>
      </c>
      <c r="EV352" s="14" t="n">
        <v>0</v>
      </c>
      <c r="EW352" s="14" t="n">
        <v>0</v>
      </c>
      <c r="EX352" s="14" t="n">
        <v>0</v>
      </c>
      <c r="EY352" s="14" t="n">
        <v>0</v>
      </c>
      <c r="EZ352" s="14" t="n">
        <v>0</v>
      </c>
      <c r="FA352" s="14" t="n">
        <v>0</v>
      </c>
      <c r="FB352" s="14" t="n">
        <v>0</v>
      </c>
      <c r="FC352" s="14" t="n">
        <v>0</v>
      </c>
      <c r="FD352" s="14" t="n">
        <v>0</v>
      </c>
      <c r="FE352" s="14" t="n">
        <v>0</v>
      </c>
      <c r="FF352" s="14" t="n">
        <v>0</v>
      </c>
      <c r="FG352" s="15">
        <f>SUM(DW352,DX352,DY352,DZ352,EA352,EB352,EC352,ED352,EE352,EF352,EG352,EH352,EI352,EJ352,EK352,EL352,EM352,EN352,EO352,EP352,EQ352,ER352,ES352,ET352,EU352,EV352,EW352,EX352,EY352,EZ352,FA352,FB352,FC352,FD352,FE352,FF352)</f>
        <v/>
      </c>
      <c r="FH352" s="14" t="n">
        <v>0</v>
      </c>
      <c r="FI352" s="14" t="n">
        <v>0</v>
      </c>
      <c r="FJ352" s="14" t="n">
        <v>21</v>
      </c>
      <c r="FK352" s="14" t="n">
        <v>235.5</v>
      </c>
      <c r="FL352" s="14" t="n">
        <v>0</v>
      </c>
      <c r="FM352" s="14" t="n">
        <v>0</v>
      </c>
      <c r="FN352" s="14" t="n">
        <v>0</v>
      </c>
      <c r="FO352" s="14" t="n">
        <v>0</v>
      </c>
      <c r="FP352" s="14" t="n">
        <v>0</v>
      </c>
      <c r="FQ352" s="15">
        <f>FL352+FM352+FN352+FO352+FP352</f>
        <v/>
      </c>
      <c r="FR352" s="14" t="n">
        <v>965087.1</v>
      </c>
      <c r="FS352" s="14" t="n">
        <v>2000</v>
      </c>
      <c r="FT352" s="14" t="n">
        <v>0</v>
      </c>
      <c r="FU352" s="14" t="n">
        <v>0</v>
      </c>
      <c r="FV352" s="15">
        <f>FR352+FS352+FT352+FU352</f>
        <v/>
      </c>
      <c r="FW352" s="14" t="n">
        <v>3198354</v>
      </c>
      <c r="FX352" s="14" t="n">
        <v>5900</v>
      </c>
      <c r="FY352" s="14" t="n">
        <v>222100</v>
      </c>
      <c r="FZ352" s="14" t="n">
        <v>10006000</v>
      </c>
      <c r="GA352" s="15">
        <f>FW352+FX352+FY352+FZ352</f>
        <v/>
      </c>
      <c r="GB352" s="15">
        <f>FV352+GA352</f>
        <v/>
      </c>
      <c r="GC352" s="14" t="n">
        <v>428771.38</v>
      </c>
      <c r="GD352" s="14" t="n">
        <v>765.12</v>
      </c>
      <c r="GE352" s="14" t="n">
        <v>32794.94</v>
      </c>
      <c r="GF352" s="14" t="n">
        <v>8410.99</v>
      </c>
      <c r="GG352" s="15">
        <f>GC352+GD352+GE352+GF352</f>
        <v/>
      </c>
      <c r="GH352" s="14" t="n">
        <v>3055004.69</v>
      </c>
      <c r="GI352" s="14" t="n">
        <v>2360</v>
      </c>
      <c r="GJ352" s="14" t="n">
        <v>10006000</v>
      </c>
      <c r="GK352" s="14" t="n">
        <v>222100</v>
      </c>
      <c r="GL352" s="15">
        <f>GH352+GI352+GJ352+GK352</f>
        <v/>
      </c>
      <c r="GM352" s="15">
        <f>GG352+GL352</f>
        <v/>
      </c>
      <c r="GN352" s="14" t="n">
        <v>34071.53</v>
      </c>
      <c r="GO352" s="14" t="n">
        <v>191.28</v>
      </c>
      <c r="GP352" s="14" t="n">
        <v>6787.28</v>
      </c>
      <c r="GQ352" s="14" t="n">
        <v>4637.34</v>
      </c>
      <c r="GR352" s="15">
        <f>GN352+GO352+GP352+GQ352</f>
        <v/>
      </c>
      <c r="GS352" s="14" t="n">
        <v>55366</v>
      </c>
      <c r="GT352" s="14" t="n">
        <v>893</v>
      </c>
      <c r="GU352" s="14" t="n">
        <v>1786</v>
      </c>
      <c r="GV352" s="14" t="n">
        <v>893</v>
      </c>
      <c r="GW352" s="15">
        <f>GS352+GT352+GU352+GV352</f>
        <v/>
      </c>
      <c r="GX352" s="15">
        <f>GM352+GR352+GW352</f>
        <v/>
      </c>
      <c r="GY352" s="14" t="n">
        <v>27448387.85000001</v>
      </c>
      <c r="GZ352" s="14" t="n">
        <v>0</v>
      </c>
      <c r="HA352" s="9">
        <f>GY352+GZ352</f>
        <v/>
      </c>
      <c r="HB352" s="15">
        <f>IF(GX352=0,"",AU352/GX352)</f>
        <v/>
      </c>
      <c r="HC352" s="16">
        <f>IF((GX352+GY352)=0,"",GB352/(GX352+GY352))</f>
        <v/>
      </c>
      <c r="HD352" s="15">
        <f>IF(GX352=0,"",GB352/GX352)</f>
        <v/>
      </c>
      <c r="HE352" s="14" t="n">
        <v>9</v>
      </c>
      <c r="HF352" s="14" t="n">
        <v>2</v>
      </c>
      <c r="HG352" s="14" t="n">
        <v>49</v>
      </c>
      <c r="HH352" s="14" t="n">
        <v>0</v>
      </c>
      <c r="HI352" s="14" t="n">
        <v>5</v>
      </c>
      <c r="HJ352" s="15">
        <f>HF352+HI352</f>
        <v/>
      </c>
      <c r="HK352" s="16">
        <f>IF(HE352=0,"",HH352/HE352)</f>
        <v/>
      </c>
      <c r="HL352" s="14" t="n">
        <v>15</v>
      </c>
      <c r="HM352" s="14" t="n">
        <v>5</v>
      </c>
      <c r="HN352" s="17">
        <f>IF(HL352=0,"",HM352/HL352)</f>
        <v/>
      </c>
    </row>
    <row r="353">
      <c r="A353" s="6" t="inlineStr">
        <is>
          <t>Zomba</t>
        </is>
      </c>
      <c r="B353" s="6" t="inlineStr">
        <is>
          <t>Namadzi</t>
        </is>
      </c>
      <c r="C353" s="7" t="inlineStr">
        <is>
          <t>FY2025/26</t>
        </is>
      </c>
      <c r="D353" s="7" t="n">
        <v>2025</v>
      </c>
      <c r="E353" s="7" t="n">
        <v>6</v>
      </c>
      <c r="F353" s="7" t="inlineStr">
        <is>
          <t>June</t>
        </is>
      </c>
      <c r="G353" s="7" t="inlineStr">
        <is>
          <t>Q1</t>
        </is>
      </c>
      <c r="H353" s="8" t="n">
        <v>5228</v>
      </c>
      <c r="I353" s="8" t="n">
        <v>556</v>
      </c>
      <c r="J353" s="8" t="n">
        <v>4</v>
      </c>
      <c r="K353" s="8" t="n">
        <v>22</v>
      </c>
      <c r="L353" s="8" t="n">
        <v>14</v>
      </c>
      <c r="M353" s="9">
        <f>SUM(I353,J353,K353,L353)</f>
        <v/>
      </c>
      <c r="N353" s="8" t="n">
        <v>2285.8</v>
      </c>
      <c r="O353" s="8" t="n">
        <v>5.7</v>
      </c>
      <c r="P353" s="8" t="n">
        <v>355.1</v>
      </c>
      <c r="Q353" s="8" t="n">
        <v>17.8</v>
      </c>
      <c r="R353" s="9">
        <f>SUM(N353,O353,P353,Q353)</f>
        <v/>
      </c>
      <c r="S353" s="9">
        <f>M353+R353</f>
        <v/>
      </c>
      <c r="T353" s="8" t="n">
        <v>1967.6</v>
      </c>
      <c r="U353" s="10">
        <f>IF(H353=0,"",T353/H353)</f>
        <v/>
      </c>
      <c r="V353" s="8" t="n">
        <v>5.5</v>
      </c>
      <c r="W353" s="11">
        <f>IF(H353=0,"",V353/H353)</f>
        <v/>
      </c>
      <c r="X353" s="8" t="n">
        <v>0</v>
      </c>
      <c r="Y353" s="11">
        <f>IF(H353=0,"",X353/H353)</f>
        <v/>
      </c>
      <c r="Z353" s="8" t="n">
        <v>0</v>
      </c>
      <c r="AA353" s="11">
        <f>IF(H353=0,"",Z353/H353)</f>
        <v/>
      </c>
      <c r="AB353" s="8" t="n">
        <v>0</v>
      </c>
      <c r="AC353" s="11">
        <f>IF(H353=0,"",AB353/H353)</f>
        <v/>
      </c>
      <c r="AD353" s="8" t="n">
        <v>0</v>
      </c>
      <c r="AE353" s="11">
        <f>IF(H353=0,"",AD353/H353)</f>
        <v/>
      </c>
      <c r="AF353" s="8" t="n">
        <v>0</v>
      </c>
      <c r="AG353" s="11">
        <f>IF(H353=0,"",AF353/H353)</f>
        <v/>
      </c>
      <c r="AH353" s="8" t="n">
        <v>143000</v>
      </c>
      <c r="AI353" s="9">
        <f>IF(H353=0,"",AH353/H353)</f>
        <v/>
      </c>
      <c r="AJ353" s="8" t="n">
        <v>3143.09</v>
      </c>
      <c r="AK353" s="11">
        <f>IF(H353=0,"",AJ353/H353)</f>
        <v/>
      </c>
      <c r="AL353" s="8" t="n">
        <v>890641.2348100001</v>
      </c>
      <c r="AM353" s="9">
        <f>IF(H353=0,"",AL353/H353)</f>
        <v/>
      </c>
      <c r="AN353" s="8" t="n">
        <v>0</v>
      </c>
      <c r="AO353" s="8" t="n">
        <v>0</v>
      </c>
      <c r="AP353" s="8" t="n">
        <v>0</v>
      </c>
      <c r="AQ353" s="8" t="n">
        <v>0</v>
      </c>
      <c r="AR353" s="8" t="n">
        <v>0</v>
      </c>
      <c r="AS353" s="8" t="n">
        <v>0</v>
      </c>
      <c r="AT353" s="8" t="n">
        <v>0</v>
      </c>
      <c r="AU353" s="9">
        <f>AH353+AL353+AP353+AQ353+AR353+AS353+AT353</f>
        <v/>
      </c>
      <c r="AV353" s="9">
        <f>IF(H353=0,"",AU353/H353)</f>
        <v/>
      </c>
      <c r="AW353" s="9">
        <f>IF(S353=0,"",AU353/S353)</f>
        <v/>
      </c>
      <c r="AX353" s="8" t="n">
        <v>5</v>
      </c>
      <c r="AY353" s="9">
        <f>IF(H353=0,"",AX353/(H353/1000/12))</f>
        <v/>
      </c>
      <c r="AZ353" s="8" t="n">
        <v>5</v>
      </c>
      <c r="BA353" s="8" t="n">
        <v>49</v>
      </c>
      <c r="BB353" s="8" t="n">
        <v>0</v>
      </c>
      <c r="BC353" s="8" t="n">
        <v>6</v>
      </c>
      <c r="BD353" s="8" t="n">
        <v>0</v>
      </c>
      <c r="BE353" s="9">
        <f>BC353+BD353</f>
        <v/>
      </c>
      <c r="BF353" s="9">
        <f>BA353+BB353-BE353</f>
        <v/>
      </c>
      <c r="BG353" s="8" t="n">
        <v>0</v>
      </c>
      <c r="BH353" s="8" t="n">
        <v>0</v>
      </c>
      <c r="BI353" s="8" t="n">
        <v>0</v>
      </c>
      <c r="BJ353" s="8" t="n">
        <v>0</v>
      </c>
      <c r="BK353" s="9">
        <f>BI353+BJ353</f>
        <v/>
      </c>
      <c r="BL353" s="9">
        <f>BG353+BH353-BK353</f>
        <v/>
      </c>
      <c r="BM353" s="8" t="n">
        <v>0</v>
      </c>
      <c r="BN353" s="8" t="n">
        <v>0</v>
      </c>
      <c r="BO353" s="8" t="n">
        <v>0</v>
      </c>
      <c r="BP353" s="8" t="n">
        <v>0</v>
      </c>
      <c r="BQ353" s="9">
        <f>BO353+BP353</f>
        <v/>
      </c>
      <c r="BR353" s="9">
        <f>BM353+BN353-BQ353</f>
        <v/>
      </c>
      <c r="BS353" s="8" t="n">
        <v>0</v>
      </c>
      <c r="BT353" s="8" t="n">
        <v>0</v>
      </c>
      <c r="BU353" s="8" t="n">
        <v>0</v>
      </c>
      <c r="BV353" s="8" t="n">
        <v>0</v>
      </c>
      <c r="BW353" s="9">
        <f>BU353+BV353</f>
        <v/>
      </c>
      <c r="BX353" s="9">
        <f>BS353+BT353-BW353</f>
        <v/>
      </c>
      <c r="BY353" s="9">
        <f>BA353+BG353+BM353+BS353</f>
        <v/>
      </c>
      <c r="BZ353" s="9">
        <f>BB353+BH353+BN353+BT353</f>
        <v/>
      </c>
      <c r="CA353" s="9">
        <f>BE353+BK353+BQ353+BW353</f>
        <v/>
      </c>
      <c r="CB353" s="9">
        <f>BF353+BL353+BR353+BX353</f>
        <v/>
      </c>
      <c r="CC353" s="8" t="n">
        <v>0</v>
      </c>
      <c r="CD353" s="8" t="n">
        <v>208</v>
      </c>
      <c r="CE353" s="8" t="n">
        <v>8</v>
      </c>
      <c r="CF353" s="8" t="n">
        <v>11</v>
      </c>
      <c r="CG353" s="8" t="n">
        <v>2</v>
      </c>
      <c r="CH353" s="9">
        <f>CD353+CE353+CF353+CG353</f>
        <v/>
      </c>
      <c r="CI353" s="8" t="n">
        <v>74</v>
      </c>
      <c r="CJ353" s="8" t="n">
        <v>2</v>
      </c>
      <c r="CK353" s="8" t="n">
        <v>1</v>
      </c>
      <c r="CL353" s="8" t="n">
        <v>1</v>
      </c>
      <c r="CM353" s="9">
        <f>CI353+CJ353+CK353+CL353</f>
        <v/>
      </c>
      <c r="CN353" s="8" t="n">
        <v>364</v>
      </c>
      <c r="CO353" s="8" t="n">
        <v>32</v>
      </c>
      <c r="CP353" s="8" t="n">
        <v>4</v>
      </c>
      <c r="CQ353" s="8" t="n">
        <v>2</v>
      </c>
      <c r="CR353" s="9">
        <f>CN353+CO353+CP353+CQ353</f>
        <v/>
      </c>
      <c r="CS353" s="9">
        <f>CM353+CR353</f>
        <v/>
      </c>
      <c r="CT353" s="8" t="n">
        <v>709</v>
      </c>
      <c r="CU353" s="8" t="n">
        <v>3715</v>
      </c>
      <c r="CV353" s="8" t="n">
        <v>3515.8</v>
      </c>
      <c r="CW353" s="10">
        <f>IF(CU353=0,"",CV353/CU353)</f>
        <v/>
      </c>
      <c r="CX353" s="8" t="n">
        <v>0</v>
      </c>
      <c r="CY353" s="8" t="n">
        <v>0</v>
      </c>
      <c r="CZ353" s="8" t="n">
        <v>0</v>
      </c>
      <c r="DA353" s="8" t="n">
        <v>0</v>
      </c>
      <c r="DB353" s="9">
        <f>CX353+CY353-CZ353-DA353</f>
        <v/>
      </c>
      <c r="DC353" s="8" t="n">
        <v>0</v>
      </c>
      <c r="DD353" s="8" t="n">
        <v>0</v>
      </c>
      <c r="DE353" s="8" t="n">
        <v>0</v>
      </c>
      <c r="DF353" s="8" t="n">
        <v>0</v>
      </c>
      <c r="DG353" s="9">
        <f>DC353+DD353-DE353-DF353</f>
        <v/>
      </c>
      <c r="DH353" s="8" t="n">
        <v>0</v>
      </c>
      <c r="DI353" s="8" t="n">
        <v>0</v>
      </c>
      <c r="DJ353" s="8" t="n">
        <v>0</v>
      </c>
      <c r="DK353" s="8" t="n">
        <v>0</v>
      </c>
      <c r="DL353" s="9">
        <f>DH353+DI353-DJ353-DK353</f>
        <v/>
      </c>
      <c r="DM353" s="8" t="n">
        <v>0</v>
      </c>
      <c r="DN353" s="8" t="n">
        <v>5</v>
      </c>
      <c r="DO353" s="8" t="n">
        <v>5</v>
      </c>
      <c r="DP353" s="8" t="n">
        <v>0</v>
      </c>
      <c r="DQ353" s="9">
        <f>DM353+DN353-DO353-DP353</f>
        <v/>
      </c>
      <c r="DR353" s="9">
        <f>CX353+DC353+DH353+DM353</f>
        <v/>
      </c>
      <c r="DS353" s="9">
        <f>CY353+DD353+DI353+DN353</f>
        <v/>
      </c>
      <c r="DT353" s="9">
        <f>CZ353+DE353+DJ353+DO353</f>
        <v/>
      </c>
      <c r="DU353" s="9">
        <f>DA353+DF353+DK353+DP353</f>
        <v/>
      </c>
      <c r="DV353" s="9">
        <f>DB353+DG353+DL353+DQ353</f>
        <v/>
      </c>
      <c r="DW353" s="8" t="n">
        <v>16</v>
      </c>
      <c r="DX353" s="8" t="n">
        <v>13</v>
      </c>
      <c r="DY353" s="8" t="n">
        <v>6</v>
      </c>
      <c r="DZ353" s="8" t="n">
        <v>1</v>
      </c>
      <c r="EA353" s="8" t="n">
        <v>2</v>
      </c>
      <c r="EB353" s="8" t="n">
        <v>0</v>
      </c>
      <c r="EC353" s="8" t="n">
        <v>0</v>
      </c>
      <c r="ED353" s="8" t="n">
        <v>0</v>
      </c>
      <c r="EE353" s="8" t="n">
        <v>1</v>
      </c>
      <c r="EF353" s="8" t="n">
        <v>0</v>
      </c>
      <c r="EG353" s="8" t="n">
        <v>0</v>
      </c>
      <c r="EH353" s="8" t="n">
        <v>0</v>
      </c>
      <c r="EI353" s="8" t="n">
        <v>0</v>
      </c>
      <c r="EJ353" s="8" t="n">
        <v>0</v>
      </c>
      <c r="EK353" s="8" t="n">
        <v>0</v>
      </c>
      <c r="EL353" s="8" t="n">
        <v>0</v>
      </c>
      <c r="EM353" s="8" t="n">
        <v>0</v>
      </c>
      <c r="EN353" s="8" t="n">
        <v>0</v>
      </c>
      <c r="EO353" s="8" t="n">
        <v>0</v>
      </c>
      <c r="EP353" s="8" t="n">
        <v>0</v>
      </c>
      <c r="EQ353" s="8" t="n">
        <v>0</v>
      </c>
      <c r="ER353" s="8" t="n">
        <v>0</v>
      </c>
      <c r="ES353" s="8" t="n">
        <v>0</v>
      </c>
      <c r="ET353" s="8" t="n">
        <v>0</v>
      </c>
      <c r="EU353" s="8" t="n">
        <v>0</v>
      </c>
      <c r="EV353" s="8" t="n">
        <v>0</v>
      </c>
      <c r="EW353" s="8" t="n">
        <v>0</v>
      </c>
      <c r="EX353" s="8" t="n">
        <v>0</v>
      </c>
      <c r="EY353" s="8" t="n">
        <v>0</v>
      </c>
      <c r="EZ353" s="8" t="n">
        <v>0</v>
      </c>
      <c r="FA353" s="8" t="n">
        <v>0</v>
      </c>
      <c r="FB353" s="8" t="n">
        <v>0</v>
      </c>
      <c r="FC353" s="8" t="n">
        <v>0</v>
      </c>
      <c r="FD353" s="8" t="n">
        <v>0</v>
      </c>
      <c r="FE353" s="8" t="n">
        <v>0</v>
      </c>
      <c r="FF353" s="8" t="n">
        <v>0</v>
      </c>
      <c r="FG353" s="9">
        <f>SUM(DW353,DX353,DY353,DZ353,EA353,EB353,EC353,ED353,EE353,EF353,EG353,EH353,EI353,EJ353,EK353,EL353,EM353,EN353,EO353,EP353,EQ353,ER353,ES353,ET353,EU353,EV353,EW353,EX353,EY353,EZ353,FA353,FB353,FC353,FD353,FE353,FF353)</f>
        <v/>
      </c>
      <c r="FH353" s="8" t="n">
        <v>0</v>
      </c>
      <c r="FI353" s="8" t="n">
        <v>0</v>
      </c>
      <c r="FJ353" s="8" t="n">
        <v>22</v>
      </c>
      <c r="FK353" s="8" t="n">
        <v>108.46</v>
      </c>
      <c r="FL353" s="8" t="n">
        <v>0</v>
      </c>
      <c r="FM353" s="8" t="n">
        <v>0</v>
      </c>
      <c r="FN353" s="8" t="n">
        <v>0</v>
      </c>
      <c r="FO353" s="8" t="n">
        <v>0</v>
      </c>
      <c r="FP353" s="8" t="n">
        <v>0</v>
      </c>
      <c r="FQ353" s="9">
        <f>FL353+FM353+FN353+FO353+FP353</f>
        <v/>
      </c>
      <c r="FR353" s="8" t="n">
        <v>675317.22</v>
      </c>
      <c r="FS353" s="8" t="n">
        <v>0</v>
      </c>
      <c r="FT353" s="8" t="n">
        <v>0</v>
      </c>
      <c r="FU353" s="8" t="n">
        <v>0</v>
      </c>
      <c r="FV353" s="9">
        <f>FR353+FS353+FT353+FU353</f>
        <v/>
      </c>
      <c r="FW353" s="8" t="n">
        <v>2922558</v>
      </c>
      <c r="FX353" s="8" t="n">
        <v>1800</v>
      </c>
      <c r="FY353" s="8" t="n">
        <v>83100</v>
      </c>
      <c r="FZ353" s="8" t="n">
        <v>1109000</v>
      </c>
      <c r="GA353" s="9">
        <f>FW353+FX353+FY353+FZ353</f>
        <v/>
      </c>
      <c r="GB353" s="9">
        <f>FV353+GA353</f>
        <v/>
      </c>
      <c r="GC353" s="8" t="n">
        <v>481558</v>
      </c>
      <c r="GD353" s="8" t="n">
        <v>765.12</v>
      </c>
      <c r="GE353" s="8" t="n">
        <v>54784.4</v>
      </c>
      <c r="GF353" s="8" t="n">
        <v>45111.31</v>
      </c>
      <c r="GG353" s="9">
        <f>GC353+GD353+GE353+GF353</f>
        <v/>
      </c>
      <c r="GH353" s="8" t="n">
        <v>2852098</v>
      </c>
      <c r="GI353" s="8" t="n">
        <v>1200</v>
      </c>
      <c r="GJ353" s="8" t="n">
        <v>1079000</v>
      </c>
      <c r="GK353" s="8" t="n">
        <v>83100</v>
      </c>
      <c r="GL353" s="9">
        <f>GH353+GI353+GJ353+GK353</f>
        <v/>
      </c>
      <c r="GM353" s="9">
        <f>GG353+GL353</f>
        <v/>
      </c>
      <c r="GN353" s="8" t="n">
        <v>40610.69</v>
      </c>
      <c r="GO353" s="8" t="n">
        <v>191.28</v>
      </c>
      <c r="GP353" s="8" t="n">
        <v>6787.28</v>
      </c>
      <c r="GQ353" s="8" t="n">
        <v>4637.34</v>
      </c>
      <c r="GR353" s="9">
        <f>GN353+GO353+GP353+GQ353</f>
        <v/>
      </c>
      <c r="GS353" s="8" t="n">
        <v>66082</v>
      </c>
      <c r="GT353" s="8" t="n">
        <v>893</v>
      </c>
      <c r="GU353" s="8" t="n">
        <v>1786</v>
      </c>
      <c r="GV353" s="8" t="n">
        <v>893</v>
      </c>
      <c r="GW353" s="9">
        <f>GS353+GT353+GU353+GV353</f>
        <v/>
      </c>
      <c r="GX353" s="9">
        <f>GM353+GR353+GW353</f>
        <v/>
      </c>
      <c r="GY353" s="8" t="n">
        <v>27332700.62999998</v>
      </c>
      <c r="GZ353" s="8" t="n">
        <v>0</v>
      </c>
      <c r="HA353" s="9">
        <f>GY353+GZ353</f>
        <v/>
      </c>
      <c r="HB353" s="9">
        <f>IF(GX353=0,"",AU353/GX353)</f>
        <v/>
      </c>
      <c r="HC353" s="10">
        <f>IF((GX353+GY353)=0,"",GB353/(GX353+GY353))</f>
        <v/>
      </c>
      <c r="HD353" s="9">
        <f>IF(GX353=0,"",GB353/GX353)</f>
        <v/>
      </c>
      <c r="HE353" s="8" t="n">
        <v>6</v>
      </c>
      <c r="HF353" s="8" t="n">
        <v>1</v>
      </c>
      <c r="HG353" s="8" t="n">
        <v>43</v>
      </c>
      <c r="HH353" s="8" t="n">
        <v>0</v>
      </c>
      <c r="HI353" s="8" t="n">
        <v>2</v>
      </c>
      <c r="HJ353" s="9">
        <f>HF353+HI353</f>
        <v/>
      </c>
      <c r="HK353" s="10">
        <f>IF(HE353=0,"",HH353/HE353)</f>
        <v/>
      </c>
      <c r="HL353" s="8" t="n">
        <v>5</v>
      </c>
      <c r="HM353" s="8" t="n">
        <v>2</v>
      </c>
      <c r="HN353" s="11">
        <f>IF(HL353=0,"",HM353/HL353)</f>
        <v/>
      </c>
    </row>
    <row r="354">
      <c r="A354" s="12" t="inlineStr">
        <is>
          <t>Zomba</t>
        </is>
      </c>
      <c r="B354" s="12" t="inlineStr">
        <is>
          <t>Namadzi</t>
        </is>
      </c>
      <c r="C354" s="13" t="inlineStr">
        <is>
          <t>FY2025/26</t>
        </is>
      </c>
      <c r="D354" s="13" t="n">
        <v>2025</v>
      </c>
      <c r="E354" s="13" t="n">
        <v>7</v>
      </c>
      <c r="F354" s="13" t="inlineStr">
        <is>
          <t>July</t>
        </is>
      </c>
      <c r="G354" s="13" t="inlineStr">
        <is>
          <t>Q2</t>
        </is>
      </c>
      <c r="H354" s="14" t="n">
        <v>9395</v>
      </c>
      <c r="I354" s="14" t="n">
        <v>634</v>
      </c>
      <c r="J354" s="14" t="n">
        <v>4</v>
      </c>
      <c r="K354" s="14" t="n">
        <v>38</v>
      </c>
      <c r="L354" s="14" t="n">
        <v>0</v>
      </c>
      <c r="M354" s="15">
        <f>SUM(I354,J354,K354,L354)</f>
        <v/>
      </c>
      <c r="N354" s="14" t="n">
        <v>7698.7</v>
      </c>
      <c r="O354" s="14" t="n">
        <v>14.2</v>
      </c>
      <c r="P354" s="14" t="n">
        <v>521.6</v>
      </c>
      <c r="Q354" s="14" t="n">
        <v>48</v>
      </c>
      <c r="R354" s="15">
        <f>SUM(N354,O354,P354,Q354)</f>
        <v/>
      </c>
      <c r="S354" s="15">
        <f>M354+R354</f>
        <v/>
      </c>
      <c r="T354" s="14" t="n">
        <v>436.500000000004</v>
      </c>
      <c r="U354" s="16">
        <f>IF(H354=0,"",T354/H354)</f>
        <v/>
      </c>
      <c r="V354" s="14" t="n">
        <v>5.5</v>
      </c>
      <c r="W354" s="17">
        <f>IF(H354=0,"",V354/H354)</f>
        <v/>
      </c>
      <c r="X354" s="14" t="n">
        <v>0</v>
      </c>
      <c r="Y354" s="17">
        <f>IF(H354=0,"",X354/H354)</f>
        <v/>
      </c>
      <c r="Z354" s="14" t="n">
        <v>0</v>
      </c>
      <c r="AA354" s="17">
        <f>IF(H354=0,"",Z354/H354)</f>
        <v/>
      </c>
      <c r="AB354" s="14" t="n">
        <v>0</v>
      </c>
      <c r="AC354" s="17">
        <f>IF(H354=0,"",AB354/H354)</f>
        <v/>
      </c>
      <c r="AD354" s="14" t="n">
        <v>0</v>
      </c>
      <c r="AE354" s="17">
        <f>IF(H354=0,"",AD354/H354)</f>
        <v/>
      </c>
      <c r="AF354" s="14" t="n">
        <v>0</v>
      </c>
      <c r="AG354" s="17">
        <f>IF(H354=0,"",AF354/H354)</f>
        <v/>
      </c>
      <c r="AH354" s="14" t="n">
        <v>143000</v>
      </c>
      <c r="AI354" s="15">
        <f>IF(H354=0,"",AH354/H354)</f>
        <v/>
      </c>
      <c r="AJ354" s="14" t="n">
        <v>3446.47</v>
      </c>
      <c r="AK354" s="17">
        <f>IF(H354=0,"",AJ354/H354)</f>
        <v/>
      </c>
      <c r="AL354" s="14" t="n">
        <v>973557.71923</v>
      </c>
      <c r="AM354" s="15">
        <f>IF(H354=0,"",AL354/H354)</f>
        <v/>
      </c>
      <c r="AN354" s="14" t="n">
        <v>0</v>
      </c>
      <c r="AO354" s="14" t="n">
        <v>0</v>
      </c>
      <c r="AP354" s="14" t="n">
        <v>0</v>
      </c>
      <c r="AQ354" s="14" t="n">
        <v>0</v>
      </c>
      <c r="AR354" s="14" t="n">
        <v>0</v>
      </c>
      <c r="AS354" s="14" t="n">
        <v>0</v>
      </c>
      <c r="AT354" s="14" t="n">
        <v>0</v>
      </c>
      <c r="AU354" s="15">
        <f>AH354+AL354+AP354+AQ354+AR354+AS354+AT354</f>
        <v/>
      </c>
      <c r="AV354" s="15">
        <f>IF(H354=0,"",AU354/H354)</f>
        <v/>
      </c>
      <c r="AW354" s="15">
        <f>IF(S354=0,"",AU354/S354)</f>
        <v/>
      </c>
      <c r="AX354" s="14" t="n">
        <v>5</v>
      </c>
      <c r="AY354" s="15">
        <f>IF(H354=0,"",AX354/(H354/1000/12))</f>
        <v/>
      </c>
      <c r="AZ354" s="14" t="n">
        <v>5</v>
      </c>
      <c r="BA354" s="14" t="n">
        <v>43</v>
      </c>
      <c r="BB354" s="14" t="n">
        <v>6</v>
      </c>
      <c r="BC354" s="14" t="n">
        <v>8</v>
      </c>
      <c r="BD354" s="14" t="n">
        <v>0</v>
      </c>
      <c r="BE354" s="15">
        <f>BC354+BD354</f>
        <v/>
      </c>
      <c r="BF354" s="15">
        <f>BA354+BB354-BE354</f>
        <v/>
      </c>
      <c r="BG354" s="14" t="n">
        <v>0</v>
      </c>
      <c r="BH354" s="14" t="n">
        <v>0</v>
      </c>
      <c r="BI354" s="14" t="n">
        <v>0</v>
      </c>
      <c r="BJ354" s="14" t="n">
        <v>0</v>
      </c>
      <c r="BK354" s="15">
        <f>BI354+BJ354</f>
        <v/>
      </c>
      <c r="BL354" s="15">
        <f>BG354+BH354-BK354</f>
        <v/>
      </c>
      <c r="BM354" s="14" t="n">
        <v>0</v>
      </c>
      <c r="BN354" s="14" t="n">
        <v>0</v>
      </c>
      <c r="BO354" s="14" t="n">
        <v>0</v>
      </c>
      <c r="BP354" s="14" t="n">
        <v>0</v>
      </c>
      <c r="BQ354" s="15">
        <f>BO354+BP354</f>
        <v/>
      </c>
      <c r="BR354" s="15">
        <f>BM354+BN354-BQ354</f>
        <v/>
      </c>
      <c r="BS354" s="14" t="n">
        <v>0</v>
      </c>
      <c r="BT354" s="14" t="n">
        <v>0</v>
      </c>
      <c r="BU354" s="14" t="n">
        <v>0</v>
      </c>
      <c r="BV354" s="14" t="n">
        <v>0</v>
      </c>
      <c r="BW354" s="15">
        <f>BU354+BV354</f>
        <v/>
      </c>
      <c r="BX354" s="15">
        <f>BS354+BT354-BW354</f>
        <v/>
      </c>
      <c r="BY354" s="15">
        <f>BA354+BG354+BM354+BS354</f>
        <v/>
      </c>
      <c r="BZ354" s="15">
        <f>BB354+BH354+BN354+BT354</f>
        <v/>
      </c>
      <c r="CA354" s="15">
        <f>BE354+BK354+BQ354+BW354</f>
        <v/>
      </c>
      <c r="CB354" s="15">
        <f>BF354+BL354+BR354+BX354</f>
        <v/>
      </c>
      <c r="CC354" s="14" t="n">
        <v>0</v>
      </c>
      <c r="CD354" s="14" t="n">
        <v>208</v>
      </c>
      <c r="CE354" s="14" t="n">
        <v>8</v>
      </c>
      <c r="CF354" s="14" t="n">
        <v>12</v>
      </c>
      <c r="CG354" s="14" t="n">
        <v>2</v>
      </c>
      <c r="CH354" s="15">
        <f>CD354+CE354+CF354+CG354</f>
        <v/>
      </c>
      <c r="CI354" s="14" t="n">
        <v>82</v>
      </c>
      <c r="CJ354" s="14" t="n">
        <v>2</v>
      </c>
      <c r="CK354" s="14" t="n">
        <v>0</v>
      </c>
      <c r="CL354" s="14" t="n">
        <v>1</v>
      </c>
      <c r="CM354" s="15">
        <f>CI354+CJ354+CK354+CL354</f>
        <v/>
      </c>
      <c r="CN354" s="14" t="n">
        <v>364</v>
      </c>
      <c r="CO354" s="14" t="n">
        <v>32</v>
      </c>
      <c r="CP354" s="14" t="n">
        <v>4</v>
      </c>
      <c r="CQ354" s="14" t="n">
        <v>2</v>
      </c>
      <c r="CR354" s="15">
        <f>CN354+CO354+CP354+CQ354</f>
        <v/>
      </c>
      <c r="CS354" s="15">
        <f>CM354+CR354</f>
        <v/>
      </c>
      <c r="CT354" s="14" t="n">
        <v>717</v>
      </c>
      <c r="CU354" s="14" t="n">
        <v>3718</v>
      </c>
      <c r="CV354" s="14" t="n">
        <v>3550.4</v>
      </c>
      <c r="CW354" s="16">
        <f>IF(CU354=0,"",CV354/CU354)</f>
        <v/>
      </c>
      <c r="CX354" s="14" t="n">
        <v>0</v>
      </c>
      <c r="CY354" s="14" t="n">
        <v>0</v>
      </c>
      <c r="CZ354" s="14" t="n">
        <v>0</v>
      </c>
      <c r="DA354" s="14" t="n">
        <v>0</v>
      </c>
      <c r="DB354" s="15">
        <f>CX354+CY354-CZ354-DA354</f>
        <v/>
      </c>
      <c r="DC354" s="14" t="n">
        <v>0</v>
      </c>
      <c r="DD354" s="14" t="n">
        <v>0</v>
      </c>
      <c r="DE354" s="14" t="n">
        <v>0</v>
      </c>
      <c r="DF354" s="14" t="n">
        <v>0</v>
      </c>
      <c r="DG354" s="15">
        <f>DC354+DD354-DE354-DF354</f>
        <v/>
      </c>
      <c r="DH354" s="14" t="n">
        <v>0</v>
      </c>
      <c r="DI354" s="14" t="n">
        <v>0</v>
      </c>
      <c r="DJ354" s="14" t="n">
        <v>0</v>
      </c>
      <c r="DK354" s="14" t="n">
        <v>0</v>
      </c>
      <c r="DL354" s="15">
        <f>DH354+DI354-DJ354-DK354</f>
        <v/>
      </c>
      <c r="DM354" s="14" t="n">
        <v>0</v>
      </c>
      <c r="DN354" s="14" t="n">
        <v>16</v>
      </c>
      <c r="DO354" s="14" t="n">
        <v>8</v>
      </c>
      <c r="DP354" s="14" t="n">
        <v>8</v>
      </c>
      <c r="DQ354" s="15">
        <f>DM354+DN354-DO354-DP354</f>
        <v/>
      </c>
      <c r="DR354" s="15">
        <f>CX354+DC354+DH354+DM354</f>
        <v/>
      </c>
      <c r="DS354" s="15">
        <f>CY354+DD354+DI354+DN354</f>
        <v/>
      </c>
      <c r="DT354" s="15">
        <f>CZ354+DE354+DJ354+DO354</f>
        <v/>
      </c>
      <c r="DU354" s="15">
        <f>DA354+DF354+DK354+DP354</f>
        <v/>
      </c>
      <c r="DV354" s="15">
        <f>DB354+DG354+DL354+DQ354</f>
        <v/>
      </c>
      <c r="DW354" s="14" t="n">
        <v>21</v>
      </c>
      <c r="DX354" s="14" t="n">
        <v>11</v>
      </c>
      <c r="DY354" s="14" t="n">
        <v>10</v>
      </c>
      <c r="DZ354" s="14" t="n">
        <v>3</v>
      </c>
      <c r="EA354" s="14" t="n">
        <v>6</v>
      </c>
      <c r="EB354" s="14" t="n">
        <v>2</v>
      </c>
      <c r="EC354" s="14" t="n">
        <v>0</v>
      </c>
      <c r="ED354" s="14" t="n">
        <v>0</v>
      </c>
      <c r="EE354" s="14" t="n">
        <v>0</v>
      </c>
      <c r="EF354" s="14" t="n">
        <v>0</v>
      </c>
      <c r="EG354" s="14" t="n">
        <v>0</v>
      </c>
      <c r="EH354" s="14" t="n">
        <v>0</v>
      </c>
      <c r="EI354" s="14" t="n">
        <v>0</v>
      </c>
      <c r="EJ354" s="14" t="n">
        <v>0</v>
      </c>
      <c r="EK354" s="14" t="n">
        <v>0</v>
      </c>
      <c r="EL354" s="14" t="n">
        <v>0</v>
      </c>
      <c r="EM354" s="14" t="n">
        <v>0</v>
      </c>
      <c r="EN354" s="14" t="n">
        <v>0</v>
      </c>
      <c r="EO354" s="14" t="n">
        <v>0</v>
      </c>
      <c r="EP354" s="14" t="n">
        <v>0</v>
      </c>
      <c r="EQ354" s="14" t="n">
        <v>0</v>
      </c>
      <c r="ER354" s="14" t="n">
        <v>0</v>
      </c>
      <c r="ES354" s="14" t="n">
        <v>0</v>
      </c>
      <c r="ET354" s="14" t="n">
        <v>0</v>
      </c>
      <c r="EU354" s="14" t="n">
        <v>0</v>
      </c>
      <c r="EV354" s="14" t="n">
        <v>0</v>
      </c>
      <c r="EW354" s="14" t="n">
        <v>0</v>
      </c>
      <c r="EX354" s="14" t="n">
        <v>0</v>
      </c>
      <c r="EY354" s="14" t="n">
        <v>0</v>
      </c>
      <c r="EZ354" s="14" t="n">
        <v>0</v>
      </c>
      <c r="FA354" s="14" t="n">
        <v>0</v>
      </c>
      <c r="FB354" s="14" t="n">
        <v>0</v>
      </c>
      <c r="FC354" s="14" t="n">
        <v>0</v>
      </c>
      <c r="FD354" s="14" t="n">
        <v>0</v>
      </c>
      <c r="FE354" s="14" t="n">
        <v>0</v>
      </c>
      <c r="FF354" s="14" t="n">
        <v>0</v>
      </c>
      <c r="FG354" s="15">
        <f>SUM(DW354,DX354,DY354,DZ354,EA354,EB354,EC354,ED354,EE354,EF354,EG354,EH354,EI354,EJ354,EK354,EL354,EM354,EN354,EO354,EP354,EQ354,ER354,ES354,ET354,EU354,EV354,EW354,EX354,EY354,EZ354,FA354,FB354,FC354,FD354,FE354,FF354)</f>
        <v/>
      </c>
      <c r="FH354" s="14" t="n">
        <v>0</v>
      </c>
      <c r="FI354" s="14" t="n">
        <v>0</v>
      </c>
      <c r="FJ354" s="14" t="n">
        <v>23</v>
      </c>
      <c r="FK354" s="14" t="n">
        <v>30</v>
      </c>
      <c r="FL354" s="14" t="n">
        <v>0</v>
      </c>
      <c r="FM354" s="14" t="n">
        <v>0</v>
      </c>
      <c r="FN354" s="14" t="n">
        <v>0</v>
      </c>
      <c r="FO354" s="14" t="n">
        <v>0</v>
      </c>
      <c r="FP354" s="14" t="n">
        <v>0</v>
      </c>
      <c r="FQ354" s="15">
        <f>FL354+FM354+FN354+FO354+FP354</f>
        <v/>
      </c>
      <c r="FR354" s="14" t="n">
        <v>831171.76</v>
      </c>
      <c r="FS354" s="14" t="n">
        <v>0</v>
      </c>
      <c r="FT354" s="14" t="n">
        <v>0</v>
      </c>
      <c r="FU354" s="14" t="n">
        <v>0</v>
      </c>
      <c r="FV354" s="15">
        <f>FR354+FS354+FT354+FU354</f>
        <v/>
      </c>
      <c r="FW354" s="14" t="n">
        <v>18672301.59</v>
      </c>
      <c r="FX354" s="14" t="n">
        <v>6000</v>
      </c>
      <c r="FY354" s="14" t="n">
        <v>227523</v>
      </c>
      <c r="FZ354" s="14" t="n">
        <v>1585500</v>
      </c>
      <c r="GA354" s="15">
        <f>FW354+FX354+FY354+FZ354</f>
        <v/>
      </c>
      <c r="GB354" s="15">
        <f>FV354+GA354</f>
        <v/>
      </c>
      <c r="GC354" s="14" t="n">
        <v>554632.61</v>
      </c>
      <c r="GD354" s="14" t="n">
        <v>765.12</v>
      </c>
      <c r="GE354" s="14" t="n">
        <v>110376.88</v>
      </c>
      <c r="GF354" s="14" t="n">
        <v>0</v>
      </c>
      <c r="GG354" s="15">
        <f>GC354+GD354+GE354+GF354</f>
        <v/>
      </c>
      <c r="GH354" s="14" t="n">
        <v>18564426.98</v>
      </c>
      <c r="GI354" s="14" t="n">
        <v>3000</v>
      </c>
      <c r="GJ354" s="14" t="n">
        <v>1585500</v>
      </c>
      <c r="GK354" s="14" t="n">
        <v>227523</v>
      </c>
      <c r="GL354" s="15">
        <f>GH354+GI354+GJ354+GK354</f>
        <v/>
      </c>
      <c r="GM354" s="15">
        <f>GG354+GL354</f>
        <v/>
      </c>
      <c r="GN354" s="14" t="n">
        <v>44806.28</v>
      </c>
      <c r="GO354" s="14" t="n">
        <v>191.28</v>
      </c>
      <c r="GP354" s="14" t="n">
        <v>6787.28</v>
      </c>
      <c r="GQ354" s="14" t="n">
        <v>0</v>
      </c>
      <c r="GR354" s="15">
        <f>GN354+GO354+GP354+GQ354</f>
        <v/>
      </c>
      <c r="GS354" s="14" t="n">
        <v>73226</v>
      </c>
      <c r="GT354" s="14" t="n">
        <v>893</v>
      </c>
      <c r="GU354" s="14" t="n">
        <v>1786</v>
      </c>
      <c r="GV354" s="14" t="n">
        <v>0</v>
      </c>
      <c r="GW354" s="15">
        <f>GS354+GT354+GU354+GV354</f>
        <v/>
      </c>
      <c r="GX354" s="15">
        <f>GM354+GR354+GW354</f>
        <v/>
      </c>
      <c r="GY354" s="14" t="n">
        <v>27169983.1</v>
      </c>
      <c r="GZ354" s="14" t="n">
        <v>0</v>
      </c>
      <c r="HA354" s="9">
        <f>GY354+GZ354</f>
        <v/>
      </c>
      <c r="HB354" s="15">
        <f>IF(GX354=0,"",AU354/GX354)</f>
        <v/>
      </c>
      <c r="HC354" s="16">
        <f>IF((GX354+GY354)=0,"",GB354/(GX354+GY354))</f>
        <v/>
      </c>
      <c r="HD354" s="15">
        <f>IF(GX354=0,"",GB354/GX354)</f>
        <v/>
      </c>
      <c r="HE354" s="14" t="n">
        <v>6</v>
      </c>
      <c r="HF354" s="14" t="n">
        <v>1</v>
      </c>
      <c r="HG354" s="14" t="n">
        <v>41</v>
      </c>
      <c r="HH354" s="14" t="n">
        <v>6</v>
      </c>
      <c r="HI354" s="14" t="n">
        <v>3</v>
      </c>
      <c r="HJ354" s="15">
        <f>HF354+HI354</f>
        <v/>
      </c>
      <c r="HK354" s="16">
        <f>IF(HE354=0,"",HH354/HE354)</f>
        <v/>
      </c>
      <c r="HL354" s="14" t="n">
        <v>5</v>
      </c>
      <c r="HM354" s="14" t="n">
        <v>2</v>
      </c>
      <c r="HN354" s="17">
        <f>IF(HL354=0,"",HM354/HL354)</f>
        <v/>
      </c>
    </row>
    <row r="355">
      <c r="A355" s="6" t="inlineStr">
        <is>
          <t>Zomba</t>
        </is>
      </c>
      <c r="B355" s="6" t="inlineStr">
        <is>
          <t>Namadzi</t>
        </is>
      </c>
      <c r="C355" s="7" t="inlineStr">
        <is>
          <t>FY2025/26</t>
        </is>
      </c>
      <c r="D355" s="7" t="n">
        <v>2025</v>
      </c>
      <c r="E355" s="7" t="n">
        <v>8</v>
      </c>
      <c r="F355" s="7" t="inlineStr">
        <is>
          <t>August</t>
        </is>
      </c>
      <c r="G355" s="7" t="inlineStr">
        <is>
          <t>Q2</t>
        </is>
      </c>
      <c r="H355" s="8" t="n">
        <v>5074</v>
      </c>
      <c r="I355" s="8" t="n">
        <v>771</v>
      </c>
      <c r="J355" s="8" t="n">
        <v>4</v>
      </c>
      <c r="K355" s="8" t="n">
        <v>53</v>
      </c>
      <c r="L355" s="8" t="n">
        <v>0</v>
      </c>
      <c r="M355" s="9">
        <f>SUM(I355,J355,K355,L355)</f>
        <v/>
      </c>
      <c r="N355" s="8" t="n">
        <v>2210.39999999999</v>
      </c>
      <c r="O355" s="8" t="n">
        <v>22.7</v>
      </c>
      <c r="P355" s="8" t="n">
        <v>554.3</v>
      </c>
      <c r="Q355" s="8" t="n">
        <v>37.4</v>
      </c>
      <c r="R355" s="9">
        <f>SUM(N355,O355,P355,Q355)</f>
        <v/>
      </c>
      <c r="S355" s="9">
        <f>M355+R355</f>
        <v/>
      </c>
      <c r="T355" s="8" t="n">
        <v>1421.20000000001</v>
      </c>
      <c r="U355" s="10">
        <f>IF(H355=0,"",T355/H355)</f>
        <v/>
      </c>
      <c r="V355" s="8" t="n">
        <v>5</v>
      </c>
      <c r="W355" s="11">
        <f>IF(H355=0,"",V355/H355)</f>
        <v/>
      </c>
      <c r="X355" s="8" t="n">
        <v>0</v>
      </c>
      <c r="Y355" s="11">
        <f>IF(H355=0,"",X355/H355)</f>
        <v/>
      </c>
      <c r="Z355" s="8" t="n">
        <v>0</v>
      </c>
      <c r="AA355" s="11">
        <f>IF(H355=0,"",Z355/H355)</f>
        <v/>
      </c>
      <c r="AB355" s="8" t="n">
        <v>0</v>
      </c>
      <c r="AC355" s="11">
        <f>IF(H355=0,"",AB355/H355)</f>
        <v/>
      </c>
      <c r="AD355" s="8" t="n">
        <v>0</v>
      </c>
      <c r="AE355" s="11">
        <f>IF(H355=0,"",AD355/H355)</f>
        <v/>
      </c>
      <c r="AF355" s="8" t="n">
        <v>0</v>
      </c>
      <c r="AG355" s="11">
        <f>IF(H355=0,"",AF355/H355)</f>
        <v/>
      </c>
      <c r="AH355" s="8" t="n">
        <v>130000</v>
      </c>
      <c r="AI355" s="9">
        <f>IF(H355=0,"",AH355/H355)</f>
        <v/>
      </c>
      <c r="AJ355" s="8" t="n">
        <v>2982.59</v>
      </c>
      <c r="AK355" s="11">
        <f>IF(H355=0,"",AJ355/H355)</f>
        <v/>
      </c>
      <c r="AL355" s="8" t="n">
        <v>846775.14031</v>
      </c>
      <c r="AM355" s="9">
        <f>IF(H355=0,"",AL355/H355)</f>
        <v/>
      </c>
      <c r="AN355" s="8" t="n">
        <v>0</v>
      </c>
      <c r="AO355" s="8" t="n">
        <v>0</v>
      </c>
      <c r="AP355" s="8" t="n">
        <v>0</v>
      </c>
      <c r="AQ355" s="8" t="n">
        <v>0</v>
      </c>
      <c r="AR355" s="8" t="n">
        <v>0</v>
      </c>
      <c r="AS355" s="8" t="n">
        <v>0</v>
      </c>
      <c r="AT355" s="8" t="n">
        <v>0</v>
      </c>
      <c r="AU355" s="9">
        <f>AH355+AL355+AP355+AQ355+AR355+AS355+AT355</f>
        <v/>
      </c>
      <c r="AV355" s="9">
        <f>IF(H355=0,"",AU355/H355)</f>
        <v/>
      </c>
      <c r="AW355" s="9">
        <f>IF(S355=0,"",AU355/S355)</f>
        <v/>
      </c>
      <c r="AX355" s="8" t="n">
        <v>5</v>
      </c>
      <c r="AY355" s="9">
        <f>IF(H355=0,"",AX355/(H355/1000/12))</f>
        <v/>
      </c>
      <c r="AZ355" s="8" t="n">
        <v>5</v>
      </c>
      <c r="BA355" s="8" t="n">
        <v>41</v>
      </c>
      <c r="BB355" s="8" t="n">
        <v>6</v>
      </c>
      <c r="BC355" s="8" t="n">
        <v>5</v>
      </c>
      <c r="BD355" s="8" t="n">
        <v>0</v>
      </c>
      <c r="BE355" s="9">
        <f>BC355+BD355</f>
        <v/>
      </c>
      <c r="BF355" s="9">
        <f>BA355+BB355-BE355</f>
        <v/>
      </c>
      <c r="BG355" s="8" t="n">
        <v>0</v>
      </c>
      <c r="BH355" s="8" t="n">
        <v>0</v>
      </c>
      <c r="BI355" s="8" t="n">
        <v>0</v>
      </c>
      <c r="BJ355" s="8" t="n">
        <v>0</v>
      </c>
      <c r="BK355" s="9">
        <f>BI355+BJ355</f>
        <v/>
      </c>
      <c r="BL355" s="9">
        <f>BG355+BH355-BK355</f>
        <v/>
      </c>
      <c r="BM355" s="8" t="n">
        <v>0</v>
      </c>
      <c r="BN355" s="8" t="n">
        <v>0</v>
      </c>
      <c r="BO355" s="8" t="n">
        <v>0</v>
      </c>
      <c r="BP355" s="8" t="n">
        <v>0</v>
      </c>
      <c r="BQ355" s="9">
        <f>BO355+BP355</f>
        <v/>
      </c>
      <c r="BR355" s="9">
        <f>BM355+BN355-BQ355</f>
        <v/>
      </c>
      <c r="BS355" s="8" t="n">
        <v>0</v>
      </c>
      <c r="BT355" s="8" t="n">
        <v>0</v>
      </c>
      <c r="BU355" s="8" t="n">
        <v>0</v>
      </c>
      <c r="BV355" s="8" t="n">
        <v>0</v>
      </c>
      <c r="BW355" s="9">
        <f>BU355+BV355</f>
        <v/>
      </c>
      <c r="BX355" s="9">
        <f>BS355+BT355-BW355</f>
        <v/>
      </c>
      <c r="BY355" s="9">
        <f>BA355+BG355+BM355+BS355</f>
        <v/>
      </c>
      <c r="BZ355" s="9">
        <f>BB355+BH355+BN355+BT355</f>
        <v/>
      </c>
      <c r="CA355" s="9">
        <f>BE355+BK355+BQ355+BW355</f>
        <v/>
      </c>
      <c r="CB355" s="9">
        <f>BF355+BL355+BR355+BX355</f>
        <v/>
      </c>
      <c r="CC355" s="8" t="n">
        <v>0</v>
      </c>
      <c r="CD355" s="8" t="n">
        <v>203</v>
      </c>
      <c r="CE355" s="8" t="n">
        <v>8</v>
      </c>
      <c r="CF355" s="8" t="n">
        <v>12</v>
      </c>
      <c r="CG355" s="8" t="n">
        <v>2</v>
      </c>
      <c r="CH355" s="9">
        <f>CD355+CE355+CF355+CG355</f>
        <v/>
      </c>
      <c r="CI355" s="8" t="n">
        <v>92</v>
      </c>
      <c r="CJ355" s="8" t="n">
        <v>2</v>
      </c>
      <c r="CK355" s="8" t="n">
        <v>0</v>
      </c>
      <c r="CL355" s="8" t="n">
        <v>1</v>
      </c>
      <c r="CM355" s="9">
        <f>CI355+CJ355+CK355+CL355</f>
        <v/>
      </c>
      <c r="CN355" s="8" t="n">
        <v>364</v>
      </c>
      <c r="CO355" s="8" t="n">
        <v>32</v>
      </c>
      <c r="CP355" s="8" t="n">
        <v>4</v>
      </c>
      <c r="CQ355" s="8" t="n">
        <v>2</v>
      </c>
      <c r="CR355" s="9">
        <f>CN355+CO355+CP355+CQ355</f>
        <v/>
      </c>
      <c r="CS355" s="9">
        <f>CM355+CR355</f>
        <v/>
      </c>
      <c r="CT355" s="8" t="n">
        <v>722</v>
      </c>
      <c r="CU355" s="8" t="n">
        <v>3721</v>
      </c>
      <c r="CV355" s="8" t="n">
        <v>3571.5</v>
      </c>
      <c r="CW355" s="10">
        <f>IF(CU355=0,"",CV355/CU355)</f>
        <v/>
      </c>
      <c r="CX355" s="8" t="n">
        <v>0</v>
      </c>
      <c r="CY355" s="8" t="n">
        <v>0</v>
      </c>
      <c r="CZ355" s="8" t="n">
        <v>0</v>
      </c>
      <c r="DA355" s="8" t="n">
        <v>0</v>
      </c>
      <c r="DB355" s="9">
        <f>CX355+CY355-CZ355-DA355</f>
        <v/>
      </c>
      <c r="DC355" s="8" t="n">
        <v>0</v>
      </c>
      <c r="DD355" s="8" t="n">
        <v>0</v>
      </c>
      <c r="DE355" s="8" t="n">
        <v>0</v>
      </c>
      <c r="DF355" s="8" t="n">
        <v>0</v>
      </c>
      <c r="DG355" s="9">
        <f>DC355+DD355-DE355-DF355</f>
        <v/>
      </c>
      <c r="DH355" s="8" t="n">
        <v>0</v>
      </c>
      <c r="DI355" s="8" t="n">
        <v>0</v>
      </c>
      <c r="DJ355" s="8" t="n">
        <v>0</v>
      </c>
      <c r="DK355" s="8" t="n">
        <v>0</v>
      </c>
      <c r="DL355" s="9">
        <f>DH355+DI355-DJ355-DK355</f>
        <v/>
      </c>
      <c r="DM355" s="8" t="n">
        <v>0</v>
      </c>
      <c r="DN355" s="8" t="n">
        <v>11</v>
      </c>
      <c r="DO355" s="8" t="n">
        <v>5</v>
      </c>
      <c r="DP355" s="8" t="n">
        <v>5</v>
      </c>
      <c r="DQ355" s="9">
        <f>DM355+DN355-DO355-DP355</f>
        <v/>
      </c>
      <c r="DR355" s="9">
        <f>CX355+DC355+DH355+DM355</f>
        <v/>
      </c>
      <c r="DS355" s="9">
        <f>CY355+DD355+DI355+DN355</f>
        <v/>
      </c>
      <c r="DT355" s="9">
        <f>CZ355+DE355+DJ355+DO355</f>
        <v/>
      </c>
      <c r="DU355" s="9">
        <f>DA355+DF355+DK355+DP355</f>
        <v/>
      </c>
      <c r="DV355" s="9">
        <f>DB355+DG355+DL355+DQ355</f>
        <v/>
      </c>
      <c r="DW355" s="8" t="n">
        <v>29</v>
      </c>
      <c r="DX355" s="8" t="n">
        <v>13</v>
      </c>
      <c r="DY355" s="8" t="n">
        <v>7</v>
      </c>
      <c r="DZ355" s="8" t="n">
        <v>3</v>
      </c>
      <c r="EA355" s="8" t="n">
        <v>2</v>
      </c>
      <c r="EB355" s="8" t="n">
        <v>1</v>
      </c>
      <c r="EC355" s="8" t="n">
        <v>0</v>
      </c>
      <c r="ED355" s="8" t="n">
        <v>0</v>
      </c>
      <c r="EE355" s="8" t="n">
        <v>0</v>
      </c>
      <c r="EF355" s="8" t="n">
        <v>0</v>
      </c>
      <c r="EG355" s="8" t="n">
        <v>0</v>
      </c>
      <c r="EH355" s="8" t="n">
        <v>0</v>
      </c>
      <c r="EI355" s="8" t="n">
        <v>0</v>
      </c>
      <c r="EJ355" s="8" t="n">
        <v>1</v>
      </c>
      <c r="EK355" s="8" t="n">
        <v>0</v>
      </c>
      <c r="EL355" s="8" t="n">
        <v>0</v>
      </c>
      <c r="EM355" s="8" t="n">
        <v>0</v>
      </c>
      <c r="EN355" s="8" t="n">
        <v>0</v>
      </c>
      <c r="EO355" s="8" t="n">
        <v>0</v>
      </c>
      <c r="EP355" s="8" t="n">
        <v>0</v>
      </c>
      <c r="EQ355" s="8" t="n">
        <v>0</v>
      </c>
      <c r="ER355" s="8" t="n">
        <v>0</v>
      </c>
      <c r="ES355" s="8" t="n">
        <v>0</v>
      </c>
      <c r="ET355" s="8" t="n">
        <v>0</v>
      </c>
      <c r="EU355" s="8" t="n">
        <v>0</v>
      </c>
      <c r="EV355" s="8" t="n">
        <v>0</v>
      </c>
      <c r="EW355" s="8" t="n">
        <v>0</v>
      </c>
      <c r="EX355" s="8" t="n">
        <v>0</v>
      </c>
      <c r="EY355" s="8" t="n">
        <v>0</v>
      </c>
      <c r="EZ355" s="8" t="n">
        <v>0</v>
      </c>
      <c r="FA355" s="8" t="n">
        <v>0</v>
      </c>
      <c r="FB355" s="8" t="n">
        <v>0</v>
      </c>
      <c r="FC355" s="8" t="n">
        <v>0</v>
      </c>
      <c r="FD355" s="8" t="n">
        <v>0</v>
      </c>
      <c r="FE355" s="8" t="n">
        <v>0</v>
      </c>
      <c r="FF355" s="8" t="n">
        <v>0</v>
      </c>
      <c r="FG355" s="9">
        <f>SUM(DW355,DX355,DY355,DZ355,EA355,EB355,EC355,ED355,EE355,EF355,EG355,EH355,EI355,EJ355,EK355,EL355,EM355,EN355,EO355,EP355,EQ355,ER355,ES355,ET355,EU355,EV355,EW355,EX355,EY355,EZ355,FA355,FB355,FC355,FD355,FE355,FF355)</f>
        <v/>
      </c>
      <c r="FH355" s="8" t="n">
        <v>0</v>
      </c>
      <c r="FI355" s="8" t="n">
        <v>0</v>
      </c>
      <c r="FJ355" s="8" t="n">
        <v>22</v>
      </c>
      <c r="FK355" s="8" t="n">
        <v>147.3</v>
      </c>
      <c r="FL355" s="8" t="n">
        <v>0</v>
      </c>
      <c r="FM355" s="8" t="n">
        <v>0</v>
      </c>
      <c r="FN355" s="8" t="n">
        <v>0</v>
      </c>
      <c r="FO355" s="8" t="n">
        <v>0</v>
      </c>
      <c r="FP355" s="8" t="n">
        <v>0</v>
      </c>
      <c r="FQ355" s="9">
        <f>FL355+FM355+FN355+FO355+FP355</f>
        <v/>
      </c>
      <c r="FR355" s="8" t="n">
        <v>998817.22</v>
      </c>
      <c r="FS355" s="8" t="n">
        <v>0</v>
      </c>
      <c r="FT355" s="8" t="n">
        <v>0</v>
      </c>
      <c r="FU355" s="8" t="n">
        <v>0</v>
      </c>
      <c r="FV355" s="9">
        <f>FR355+FS355+FT355+FU355</f>
        <v/>
      </c>
      <c r="FW355" s="8" t="n">
        <v>2804100</v>
      </c>
      <c r="FX355" s="8" t="n">
        <v>9900</v>
      </c>
      <c r="FY355" s="8" t="n">
        <v>175925</v>
      </c>
      <c r="FZ355" s="8" t="n">
        <v>1684700</v>
      </c>
      <c r="GA355" s="9">
        <f>FW355+FX355+FY355+FZ355</f>
        <v/>
      </c>
      <c r="GB355" s="9">
        <f>FV355+GA355</f>
        <v/>
      </c>
      <c r="GC355" s="8" t="n">
        <v>676541.74</v>
      </c>
      <c r="GD355" s="8" t="n">
        <v>765.12</v>
      </c>
      <c r="GE355" s="8" t="n">
        <v>162268.93</v>
      </c>
      <c r="GF355" s="8" t="n">
        <v>0</v>
      </c>
      <c r="GG355" s="9">
        <f>GC355+GD355+GE355+GF355</f>
        <v/>
      </c>
      <c r="GH355" s="8" t="n">
        <v>2758132.34</v>
      </c>
      <c r="GI355" s="8" t="n">
        <v>4800</v>
      </c>
      <c r="GJ355" s="8" t="n">
        <v>1684700</v>
      </c>
      <c r="GK355" s="8" t="n">
        <v>175925</v>
      </c>
      <c r="GL355" s="9">
        <f>GH355+GI355+GJ355+GK355</f>
        <v/>
      </c>
      <c r="GM355" s="9">
        <f>GG355+GL355</f>
        <v/>
      </c>
      <c r="GN355" s="8" t="n">
        <v>50091.73</v>
      </c>
      <c r="GO355" s="8" t="n">
        <v>191.28</v>
      </c>
      <c r="GP355" s="8" t="n">
        <v>6787.28</v>
      </c>
      <c r="GQ355" s="8" t="n">
        <v>0</v>
      </c>
      <c r="GR355" s="9">
        <f>GN355+GO355+GP355+GQ355</f>
        <v/>
      </c>
      <c r="GS355" s="8" t="n">
        <v>82156</v>
      </c>
      <c r="GT355" s="8" t="n">
        <v>893</v>
      </c>
      <c r="GU355" s="8" t="n">
        <v>1786</v>
      </c>
      <c r="GV355" s="8" t="n">
        <v>0</v>
      </c>
      <c r="GW355" s="9">
        <f>GS355+GT355+GU355+GV355</f>
        <v/>
      </c>
      <c r="GX355" s="9">
        <f>GM355+GR355+GW355</f>
        <v/>
      </c>
      <c r="GY355" s="8" t="n">
        <v>27152646.96000001</v>
      </c>
      <c r="GZ355" s="8" t="n">
        <v>0</v>
      </c>
      <c r="HA355" s="9">
        <f>GY355+GZ355</f>
        <v/>
      </c>
      <c r="HB355" s="9">
        <f>IF(GX355=0,"",AU355/GX355)</f>
        <v/>
      </c>
      <c r="HC355" s="10">
        <f>IF((GX355+GY355)=0,"",GB355/(GX355+GY355))</f>
        <v/>
      </c>
      <c r="HD355" s="9">
        <f>IF(GX355=0,"",GB355/GX355)</f>
        <v/>
      </c>
      <c r="HE355" s="8" t="n">
        <v>6</v>
      </c>
      <c r="HF355" s="8" t="n">
        <v>1</v>
      </c>
      <c r="HG355" s="8" t="n">
        <v>42</v>
      </c>
      <c r="HH355" s="8" t="n">
        <v>6</v>
      </c>
      <c r="HI355" s="8" t="n">
        <v>3</v>
      </c>
      <c r="HJ355" s="9">
        <f>HF355+HI355</f>
        <v/>
      </c>
      <c r="HK355" s="10">
        <f>IF(HE355=0,"",HH355/HE355)</f>
        <v/>
      </c>
      <c r="HL355" s="8" t="n">
        <v>5</v>
      </c>
      <c r="HM355" s="8" t="n">
        <v>2</v>
      </c>
      <c r="HN355" s="11">
        <f>IF(HL355=0,"",HM355/HL355)</f>
        <v/>
      </c>
    </row>
    <row r="356">
      <c r="A356" s="12" t="inlineStr">
        <is>
          <t>Zomba</t>
        </is>
      </c>
      <c r="B356" s="12" t="inlineStr">
        <is>
          <t>Namadzi</t>
        </is>
      </c>
      <c r="C356" s="13" t="inlineStr">
        <is>
          <t>FY2025/26</t>
        </is>
      </c>
      <c r="D356" s="13" t="n">
        <v>2025</v>
      </c>
      <c r="E356" s="13" t="n">
        <v>9</v>
      </c>
      <c r="F356" s="13" t="inlineStr">
        <is>
          <t>September</t>
        </is>
      </c>
      <c r="G356" s="13" t="inlineStr">
        <is>
          <t>Q2</t>
        </is>
      </c>
      <c r="H356" s="14" t="n">
        <v>15588</v>
      </c>
      <c r="I356" s="14" t="n">
        <v>1077</v>
      </c>
      <c r="J356" s="14" t="n">
        <v>0</v>
      </c>
      <c r="K356" s="14" t="n">
        <v>51</v>
      </c>
      <c r="L356" s="14" t="n">
        <v>0</v>
      </c>
      <c r="M356" s="15">
        <f>SUM(I356,J356,K356,L356)</f>
        <v/>
      </c>
      <c r="N356" s="14" t="n">
        <v>3903.7</v>
      </c>
      <c r="O356" s="14" t="n">
        <v>23.6</v>
      </c>
      <c r="P356" s="14" t="n">
        <v>6689.6</v>
      </c>
      <c r="Q356" s="14" t="n">
        <v>33.1</v>
      </c>
      <c r="R356" s="15">
        <f>SUM(N356,O356,P356,Q356)</f>
        <v/>
      </c>
      <c r="S356" s="15">
        <f>M356+R356</f>
        <v/>
      </c>
      <c r="T356" s="14" t="n">
        <v>3810</v>
      </c>
      <c r="U356" s="16">
        <f>IF(H356=0,"",T356/H356)</f>
        <v/>
      </c>
      <c r="V356" s="14" t="n">
        <v>5</v>
      </c>
      <c r="W356" s="17">
        <f>IF(H356=0,"",V356/H356)</f>
        <v/>
      </c>
      <c r="X356" s="14" t="n">
        <v>0</v>
      </c>
      <c r="Y356" s="17">
        <f>IF(H356=0,"",X356/H356)</f>
        <v/>
      </c>
      <c r="Z356" s="14" t="n">
        <v>0</v>
      </c>
      <c r="AA356" s="17">
        <f>IF(H356=0,"",Z356/H356)</f>
        <v/>
      </c>
      <c r="AB356" s="14" t="n">
        <v>0</v>
      </c>
      <c r="AC356" s="17">
        <f>IF(H356=0,"",AB356/H356)</f>
        <v/>
      </c>
      <c r="AD356" s="14" t="n">
        <v>0</v>
      </c>
      <c r="AE356" s="17">
        <f>IF(H356=0,"",AD356/H356)</f>
        <v/>
      </c>
      <c r="AF356" s="14" t="n">
        <v>0</v>
      </c>
      <c r="AG356" s="17">
        <f>IF(H356=0,"",AF356/H356)</f>
        <v/>
      </c>
      <c r="AH356" s="14" t="n">
        <v>130000</v>
      </c>
      <c r="AI356" s="15">
        <f>IF(H356=0,"",AH356/H356)</f>
        <v/>
      </c>
      <c r="AJ356" s="14" t="n">
        <v>4455.96</v>
      </c>
      <c r="AK356" s="17">
        <f>IF(H356=0,"",AJ356/H356)</f>
        <v/>
      </c>
      <c r="AL356" s="14" t="n">
        <v>1249460.42164</v>
      </c>
      <c r="AM356" s="15">
        <f>IF(H356=0,"",AL356/H356)</f>
        <v/>
      </c>
      <c r="AN356" s="14" t="n">
        <v>0</v>
      </c>
      <c r="AO356" s="14" t="n">
        <v>0</v>
      </c>
      <c r="AP356" s="14" t="n">
        <v>0</v>
      </c>
      <c r="AQ356" s="14" t="n">
        <v>0</v>
      </c>
      <c r="AR356" s="14" t="n">
        <v>0</v>
      </c>
      <c r="AS356" s="14" t="n">
        <v>0</v>
      </c>
      <c r="AT356" s="14" t="n">
        <v>0</v>
      </c>
      <c r="AU356" s="15">
        <f>AH356+AL356+AP356+AQ356+AR356+AS356+AT356</f>
        <v/>
      </c>
      <c r="AV356" s="15">
        <f>IF(H356=0,"",AU356/H356)</f>
        <v/>
      </c>
      <c r="AW356" s="15">
        <f>IF(S356=0,"",AU356/S356)</f>
        <v/>
      </c>
      <c r="AX356" s="14" t="n">
        <v>5</v>
      </c>
      <c r="AY356" s="15">
        <f>IF(H356=0,"",AX356/(H356/1000/12))</f>
        <v/>
      </c>
      <c r="AZ356" s="14" t="n">
        <v>5</v>
      </c>
      <c r="BA356" s="14" t="n">
        <v>42</v>
      </c>
      <c r="BB356" s="14" t="n">
        <v>7</v>
      </c>
      <c r="BC356" s="14" t="n">
        <v>8</v>
      </c>
      <c r="BD356" s="14" t="n">
        <v>0</v>
      </c>
      <c r="BE356" s="15">
        <f>BC356+BD356</f>
        <v/>
      </c>
      <c r="BF356" s="15">
        <f>BA356+BB356-BE356</f>
        <v/>
      </c>
      <c r="BG356" s="14" t="n">
        <v>0</v>
      </c>
      <c r="BH356" s="14" t="n">
        <v>0</v>
      </c>
      <c r="BI356" s="14" t="n">
        <v>0</v>
      </c>
      <c r="BJ356" s="14" t="n">
        <v>0</v>
      </c>
      <c r="BK356" s="15">
        <f>BI356+BJ356</f>
        <v/>
      </c>
      <c r="BL356" s="15">
        <f>BG356+BH356-BK356</f>
        <v/>
      </c>
      <c r="BM356" s="14" t="n">
        <v>0</v>
      </c>
      <c r="BN356" s="14" t="n">
        <v>0</v>
      </c>
      <c r="BO356" s="14" t="n">
        <v>0</v>
      </c>
      <c r="BP356" s="14" t="n">
        <v>0</v>
      </c>
      <c r="BQ356" s="15">
        <f>BO356+BP356</f>
        <v/>
      </c>
      <c r="BR356" s="15">
        <f>BM356+BN356-BQ356</f>
        <v/>
      </c>
      <c r="BS356" s="14" t="n">
        <v>0</v>
      </c>
      <c r="BT356" s="14" t="n">
        <v>0</v>
      </c>
      <c r="BU356" s="14" t="n">
        <v>0</v>
      </c>
      <c r="BV356" s="14" t="n">
        <v>0</v>
      </c>
      <c r="BW356" s="15">
        <f>BU356+BV356</f>
        <v/>
      </c>
      <c r="BX356" s="15">
        <f>BS356+BT356-BW356</f>
        <v/>
      </c>
      <c r="BY356" s="15">
        <f>BA356+BG356+BM356+BS356</f>
        <v/>
      </c>
      <c r="BZ356" s="15">
        <f>BB356+BH356+BN356+BT356</f>
        <v/>
      </c>
      <c r="CA356" s="15">
        <f>BE356+BK356+BQ356+BW356</f>
        <v/>
      </c>
      <c r="CB356" s="15">
        <f>BF356+BL356+BR356+BX356</f>
        <v/>
      </c>
      <c r="CC356" s="14" t="n">
        <v>0</v>
      </c>
      <c r="CD356" s="14" t="n">
        <v>198</v>
      </c>
      <c r="CE356" s="14" t="n">
        <v>8</v>
      </c>
      <c r="CF356" s="14" t="n">
        <v>12</v>
      </c>
      <c r="CG356" s="14" t="n">
        <v>3</v>
      </c>
      <c r="CH356" s="15">
        <f>CD356+CE356+CF356+CG356</f>
        <v/>
      </c>
      <c r="CI356" s="14" t="n">
        <v>105</v>
      </c>
      <c r="CJ356" s="14" t="n">
        <v>2</v>
      </c>
      <c r="CK356" s="14" t="n">
        <v>0</v>
      </c>
      <c r="CL356" s="14" t="n">
        <v>0</v>
      </c>
      <c r="CM356" s="15">
        <f>CI356+CJ356+CK356+CL356</f>
        <v/>
      </c>
      <c r="CN356" s="14" t="n">
        <v>364</v>
      </c>
      <c r="CO356" s="14" t="n">
        <v>32</v>
      </c>
      <c r="CP356" s="14" t="n">
        <v>4</v>
      </c>
      <c r="CQ356" s="14" t="n">
        <v>2</v>
      </c>
      <c r="CR356" s="15">
        <f>CN356+CO356+CP356+CQ356</f>
        <v/>
      </c>
      <c r="CS356" s="15">
        <f>CM356+CR356</f>
        <v/>
      </c>
      <c r="CT356" s="14" t="n">
        <v>730</v>
      </c>
      <c r="CU356" s="14" t="n">
        <v>3724</v>
      </c>
      <c r="CV356" s="14" t="n">
        <v>3606.4</v>
      </c>
      <c r="CW356" s="16">
        <f>IF(CU356=0,"",CV356/CU356)</f>
        <v/>
      </c>
      <c r="CX356" s="14" t="n">
        <v>0</v>
      </c>
      <c r="CY356" s="14" t="n">
        <v>0</v>
      </c>
      <c r="CZ356" s="14" t="n">
        <v>0</v>
      </c>
      <c r="DA356" s="14" t="n">
        <v>0</v>
      </c>
      <c r="DB356" s="15">
        <f>CX356+CY356-CZ356-DA356</f>
        <v/>
      </c>
      <c r="DC356" s="14" t="n">
        <v>0</v>
      </c>
      <c r="DD356" s="14" t="n">
        <v>0</v>
      </c>
      <c r="DE356" s="14" t="n">
        <v>0</v>
      </c>
      <c r="DF356" s="14" t="n">
        <v>0</v>
      </c>
      <c r="DG356" s="15">
        <f>DC356+DD356-DE356-DF356</f>
        <v/>
      </c>
      <c r="DH356" s="14" t="n">
        <v>0</v>
      </c>
      <c r="DI356" s="14" t="n">
        <v>0</v>
      </c>
      <c r="DJ356" s="14" t="n">
        <v>0</v>
      </c>
      <c r="DK356" s="14" t="n">
        <v>0</v>
      </c>
      <c r="DL356" s="15">
        <f>DH356+DI356-DJ356-DK356</f>
        <v/>
      </c>
      <c r="DM356" s="14" t="n">
        <v>1</v>
      </c>
      <c r="DN356" s="14" t="n">
        <v>7</v>
      </c>
      <c r="DO356" s="14" t="n">
        <v>4</v>
      </c>
      <c r="DP356" s="14" t="n">
        <v>4</v>
      </c>
      <c r="DQ356" s="15">
        <f>DM356+DN356-DO356-DP356</f>
        <v/>
      </c>
      <c r="DR356" s="15">
        <f>CX356+DC356+DH356+DM356</f>
        <v/>
      </c>
      <c r="DS356" s="15">
        <f>CY356+DD356+DI356+DN356</f>
        <v/>
      </c>
      <c r="DT356" s="15">
        <f>CZ356+DE356+DJ356+DO356</f>
        <v/>
      </c>
      <c r="DU356" s="15">
        <f>DA356+DF356+DK356+DP356</f>
        <v/>
      </c>
      <c r="DV356" s="15">
        <f>DB356+DG356+DL356+DQ356</f>
        <v/>
      </c>
      <c r="DW356" s="14" t="n">
        <v>19</v>
      </c>
      <c r="DX356" s="14" t="n">
        <v>21</v>
      </c>
      <c r="DY356" s="14" t="n">
        <v>4</v>
      </c>
      <c r="DZ356" s="14" t="n">
        <v>4</v>
      </c>
      <c r="EA356" s="14" t="n">
        <v>4</v>
      </c>
      <c r="EB356" s="14" t="n">
        <v>1</v>
      </c>
      <c r="EC356" s="14" t="n">
        <v>0</v>
      </c>
      <c r="ED356" s="14" t="n">
        <v>0</v>
      </c>
      <c r="EE356" s="14" t="n">
        <v>0</v>
      </c>
      <c r="EF356" s="14" t="n">
        <v>0</v>
      </c>
      <c r="EG356" s="14" t="n">
        <v>0</v>
      </c>
      <c r="EH356" s="14" t="n">
        <v>0</v>
      </c>
      <c r="EI356" s="14" t="n">
        <v>0</v>
      </c>
      <c r="EJ356" s="14" t="n">
        <v>0</v>
      </c>
      <c r="EK356" s="14" t="n">
        <v>0</v>
      </c>
      <c r="EL356" s="14" t="n">
        <v>0</v>
      </c>
      <c r="EM356" s="14" t="n">
        <v>0</v>
      </c>
      <c r="EN356" s="14" t="n">
        <v>0</v>
      </c>
      <c r="EO356" s="14" t="n">
        <v>0</v>
      </c>
      <c r="EP356" s="14" t="n">
        <v>0</v>
      </c>
      <c r="EQ356" s="14" t="n">
        <v>0</v>
      </c>
      <c r="ER356" s="14" t="n">
        <v>0</v>
      </c>
      <c r="ES356" s="14" t="n">
        <v>0</v>
      </c>
      <c r="ET356" s="14" t="n">
        <v>0</v>
      </c>
      <c r="EU356" s="14" t="n">
        <v>0</v>
      </c>
      <c r="EV356" s="14" t="n">
        <v>0</v>
      </c>
      <c r="EW356" s="14" t="n">
        <v>0</v>
      </c>
      <c r="EX356" s="14" t="n">
        <v>0</v>
      </c>
      <c r="EY356" s="14" t="n">
        <v>0</v>
      </c>
      <c r="EZ356" s="14" t="n">
        <v>0</v>
      </c>
      <c r="FA356" s="14" t="n">
        <v>0</v>
      </c>
      <c r="FB356" s="14" t="n">
        <v>0</v>
      </c>
      <c r="FC356" s="14" t="n">
        <v>0</v>
      </c>
      <c r="FD356" s="14" t="n">
        <v>0</v>
      </c>
      <c r="FE356" s="14" t="n">
        <v>0</v>
      </c>
      <c r="FF356" s="14" t="n">
        <v>0</v>
      </c>
      <c r="FG356" s="15">
        <f>SUM(DW356,DX356,DY356,DZ356,EA356,EB356,EC356,ED356,EE356,EF356,EG356,EH356,EI356,EJ356,EK356,EL356,EM356,EN356,EO356,EP356,EQ356,ER356,ES356,ET356,EU356,EV356,EW356,EX356,EY356,EZ356,FA356,FB356,FC356,FD356,FE356,FF356)</f>
        <v/>
      </c>
      <c r="FH356" s="14" t="n">
        <v>0</v>
      </c>
      <c r="FI356" s="14" t="n">
        <v>0</v>
      </c>
      <c r="FJ356" s="14" t="n">
        <v>20</v>
      </c>
      <c r="FK356" s="14" t="n">
        <v>237</v>
      </c>
      <c r="FL356" s="14" t="n">
        <v>0</v>
      </c>
      <c r="FM356" s="14" t="n">
        <v>0</v>
      </c>
      <c r="FN356" s="14" t="n">
        <v>0</v>
      </c>
      <c r="FO356" s="14" t="n">
        <v>0</v>
      </c>
      <c r="FP356" s="14" t="n">
        <v>0</v>
      </c>
      <c r="FQ356" s="15">
        <f>FL356+FM356+FN356+FO356+FP356</f>
        <v/>
      </c>
      <c r="FR356" s="14" t="n">
        <v>513490.44</v>
      </c>
      <c r="FS356" s="14" t="n">
        <v>0</v>
      </c>
      <c r="FT356" s="14" t="n">
        <v>0</v>
      </c>
      <c r="FU356" s="14" t="n">
        <v>53200</v>
      </c>
      <c r="FV356" s="15">
        <f>FR356+FS356+FT356+FU356</f>
        <v/>
      </c>
      <c r="FW356" s="14" t="n">
        <v>4925384.440000003</v>
      </c>
      <c r="FX356" s="14" t="n">
        <v>11000</v>
      </c>
      <c r="FY356" s="14" t="n">
        <v>157200</v>
      </c>
      <c r="FZ356" s="14" t="n">
        <v>20332500</v>
      </c>
      <c r="GA356" s="15">
        <f>FW356+FX356+FY356+FZ356</f>
        <v/>
      </c>
      <c r="GB356" s="15">
        <f>FV356+GA356</f>
        <v/>
      </c>
      <c r="GC356" s="14" t="n">
        <v>959045.6899999999</v>
      </c>
      <c r="GD356" s="14" t="n">
        <v>0</v>
      </c>
      <c r="GE356" s="14" t="n">
        <v>156147.3</v>
      </c>
      <c r="GF356" s="14" t="n">
        <v>0</v>
      </c>
      <c r="GG356" s="15">
        <f>GC356+GD356+GE356+GF356</f>
        <v/>
      </c>
      <c r="GH356" s="14" t="n">
        <v>4866984.44</v>
      </c>
      <c r="GI356" s="14" t="n">
        <v>5000</v>
      </c>
      <c r="GJ356" s="14" t="n">
        <v>20332500</v>
      </c>
      <c r="GK356" s="14" t="n">
        <v>157200</v>
      </c>
      <c r="GL356" s="15">
        <f>GH356+GI356+GJ356+GK356</f>
        <v/>
      </c>
      <c r="GM356" s="15">
        <f>GG356+GL356</f>
        <v/>
      </c>
      <c r="GN356" s="14" t="n">
        <v>57175.82</v>
      </c>
      <c r="GO356" s="14" t="n">
        <v>0</v>
      </c>
      <c r="GP356" s="14" t="n">
        <v>6787.28</v>
      </c>
      <c r="GQ356" s="14" t="n">
        <v>0</v>
      </c>
      <c r="GR356" s="15">
        <f>GN356+GO356+GP356+GQ356</f>
        <v/>
      </c>
      <c r="GS356" s="14" t="n">
        <v>93765</v>
      </c>
      <c r="GT356" s="14" t="n">
        <v>0</v>
      </c>
      <c r="GU356" s="14" t="n">
        <v>1786</v>
      </c>
      <c r="GV356" s="14" t="n">
        <v>0</v>
      </c>
      <c r="GW356" s="15">
        <f>GS356+GT356+GU356+GV356</f>
        <v/>
      </c>
      <c r="GX356" s="15">
        <f>GM356+GR356+GW356</f>
        <v/>
      </c>
      <c r="GY356" s="14" t="n">
        <v>27443713.21999999</v>
      </c>
      <c r="GZ356" s="14" t="n">
        <v>0</v>
      </c>
      <c r="HA356" s="9">
        <f>GY356+GZ356</f>
        <v/>
      </c>
      <c r="HB356" s="15">
        <f>IF(GX356=0,"",AU356/GX356)</f>
        <v/>
      </c>
      <c r="HC356" s="16">
        <f>IF((GX356+GY356)=0,"",GB356/(GX356+GY356))</f>
        <v/>
      </c>
      <c r="HD356" s="15">
        <f>IF(GX356=0,"",GB356/GX356)</f>
        <v/>
      </c>
      <c r="HE356" s="14" t="n">
        <v>7</v>
      </c>
      <c r="HF356" s="14" t="n">
        <v>1</v>
      </c>
      <c r="HG356" s="14" t="n">
        <v>41</v>
      </c>
      <c r="HH356" s="14" t="n">
        <v>7</v>
      </c>
      <c r="HI356" s="14" t="n">
        <v>3</v>
      </c>
      <c r="HJ356" s="15">
        <f>HF356+HI356</f>
        <v/>
      </c>
      <c r="HK356" s="16">
        <f>IF(HE356=0,"",HH356/HE356)</f>
        <v/>
      </c>
      <c r="HL356" s="14" t="n">
        <v>5</v>
      </c>
      <c r="HM356" s="14" t="n">
        <v>2</v>
      </c>
      <c r="HN356" s="17">
        <f>IF(HL356=0,"",HM356/HL356)</f>
        <v/>
      </c>
    </row>
    <row r="357">
      <c r="A357" s="6" t="inlineStr">
        <is>
          <t>Zomba</t>
        </is>
      </c>
      <c r="B357" s="6" t="inlineStr">
        <is>
          <t>Namadzi</t>
        </is>
      </c>
      <c r="C357" s="7" t="inlineStr">
        <is>
          <t>FY2025/26</t>
        </is>
      </c>
      <c r="D357" s="7" t="n">
        <v>2025</v>
      </c>
      <c r="E357" s="7" t="n">
        <v>10</v>
      </c>
      <c r="F357" s="7" t="inlineStr">
        <is>
          <t>October</t>
        </is>
      </c>
      <c r="G357" s="7" t="inlineStr">
        <is>
          <t>Q3</t>
        </is>
      </c>
      <c r="H357" s="8" t="n">
        <v>10557</v>
      </c>
      <c r="I357" s="8" t="n">
        <v>1327</v>
      </c>
      <c r="J357" s="8" t="n">
        <v>0</v>
      </c>
      <c r="K357" s="8" t="n">
        <v>23</v>
      </c>
      <c r="L357" s="8" t="n">
        <v>0</v>
      </c>
      <c r="M357" s="9">
        <f>SUM(I357,J357,K357,L357)</f>
        <v/>
      </c>
      <c r="N357" s="8" t="n">
        <v>2854.6</v>
      </c>
      <c r="O357" s="8" t="n">
        <v>16.5</v>
      </c>
      <c r="P357" s="8" t="n">
        <v>5500.9</v>
      </c>
      <c r="Q357" s="8" t="n">
        <v>45.3</v>
      </c>
      <c r="R357" s="9">
        <f>SUM(N357,O357,P357,Q357)</f>
        <v/>
      </c>
      <c r="S357" s="9">
        <f>M357+R357</f>
        <v/>
      </c>
      <c r="T357" s="8" t="n">
        <v>789.700000000003</v>
      </c>
      <c r="U357" s="10">
        <f>IF(H357=0,"",T357/H357)</f>
        <v/>
      </c>
      <c r="V357" s="8" t="n">
        <v>5.5</v>
      </c>
      <c r="W357" s="11">
        <f>IF(H357=0,"",V357/H357)</f>
        <v/>
      </c>
      <c r="X357" s="8" t="n">
        <v>0</v>
      </c>
      <c r="Y357" s="11">
        <f>IF(H357=0,"",X357/H357)</f>
        <v/>
      </c>
      <c r="Z357" s="8" t="n">
        <v>0</v>
      </c>
      <c r="AA357" s="11">
        <f>IF(H357=0,"",Z357/H357)</f>
        <v/>
      </c>
      <c r="AB357" s="8" t="n">
        <v>0</v>
      </c>
      <c r="AC357" s="11">
        <f>IF(H357=0,"",AB357/H357)</f>
        <v/>
      </c>
      <c r="AD357" s="8" t="n">
        <v>0</v>
      </c>
      <c r="AE357" s="11">
        <f>IF(H357=0,"",AD357/H357)</f>
        <v/>
      </c>
      <c r="AF357" s="8" t="n">
        <v>0</v>
      </c>
      <c r="AG357" s="11">
        <f>IF(H357=0,"",AF357/H357)</f>
        <v/>
      </c>
      <c r="AH357" s="8" t="n">
        <v>143000</v>
      </c>
      <c r="AI357" s="9">
        <f>IF(H357=0,"",AH357/H357)</f>
        <v/>
      </c>
      <c r="AJ357" s="8" t="n">
        <v>3363.25</v>
      </c>
      <c r="AK357" s="11">
        <f>IF(H357=0,"",AJ357/H357)</f>
        <v/>
      </c>
      <c r="AL357" s="8" t="n">
        <v>950812.9442499999</v>
      </c>
      <c r="AM357" s="9">
        <f>IF(H357=0,"",AL357/H357)</f>
        <v/>
      </c>
      <c r="AN357" s="8" t="n">
        <v>0</v>
      </c>
      <c r="AO357" s="8" t="n">
        <v>0</v>
      </c>
      <c r="AP357" s="8" t="n">
        <v>0</v>
      </c>
      <c r="AQ357" s="8" t="n">
        <v>0</v>
      </c>
      <c r="AR357" s="8" t="n">
        <v>0</v>
      </c>
      <c r="AS357" s="8" t="n">
        <v>0</v>
      </c>
      <c r="AT357" s="8" t="n">
        <v>0</v>
      </c>
      <c r="AU357" s="9">
        <f>AH357+AL357+AP357+AQ357+AR357+AS357+AT357</f>
        <v/>
      </c>
      <c r="AV357" s="9">
        <f>IF(H357=0,"",AU357/H357)</f>
        <v/>
      </c>
      <c r="AW357" s="9">
        <f>IF(S357=0,"",AU357/S357)</f>
        <v/>
      </c>
      <c r="AX357" s="8" t="n">
        <v>5</v>
      </c>
      <c r="AY357" s="9">
        <f>IF(H357=0,"",AX357/(H357/1000/12))</f>
        <v/>
      </c>
      <c r="AZ357" s="8" t="n">
        <v>5</v>
      </c>
      <c r="BA357" s="8" t="n">
        <v>41</v>
      </c>
      <c r="BB357" s="8" t="n">
        <v>0</v>
      </c>
      <c r="BC357" s="8" t="n">
        <v>1</v>
      </c>
      <c r="BD357" s="8" t="n">
        <v>0</v>
      </c>
      <c r="BE357" s="9">
        <f>BC357+BD357</f>
        <v/>
      </c>
      <c r="BF357" s="9">
        <f>BA357+BB357-BE357</f>
        <v/>
      </c>
      <c r="BG357" s="8" t="n">
        <v>0</v>
      </c>
      <c r="BH357" s="8" t="n">
        <v>0</v>
      </c>
      <c r="BI357" s="8" t="n">
        <v>0</v>
      </c>
      <c r="BJ357" s="8" t="n">
        <v>0</v>
      </c>
      <c r="BK357" s="9">
        <f>BI357+BJ357</f>
        <v/>
      </c>
      <c r="BL357" s="9">
        <f>BG357+BH357-BK357</f>
        <v/>
      </c>
      <c r="BM357" s="8" t="n">
        <v>0</v>
      </c>
      <c r="BN357" s="8" t="n">
        <v>0</v>
      </c>
      <c r="BO357" s="8" t="n">
        <v>0</v>
      </c>
      <c r="BP357" s="8" t="n">
        <v>0</v>
      </c>
      <c r="BQ357" s="9">
        <f>BO357+BP357</f>
        <v/>
      </c>
      <c r="BR357" s="9">
        <f>BM357+BN357-BQ357</f>
        <v/>
      </c>
      <c r="BS357" s="8" t="n">
        <v>0</v>
      </c>
      <c r="BT357" s="8" t="n">
        <v>0</v>
      </c>
      <c r="BU357" s="8" t="n">
        <v>0</v>
      </c>
      <c r="BV357" s="8" t="n">
        <v>0</v>
      </c>
      <c r="BW357" s="9">
        <f>BU357+BV357</f>
        <v/>
      </c>
      <c r="BX357" s="9">
        <f>BS357+BT357-BW357</f>
        <v/>
      </c>
      <c r="BY357" s="9">
        <f>BA357+BG357+BM357+BS357</f>
        <v/>
      </c>
      <c r="BZ357" s="9">
        <f>BB357+BH357+BN357+BT357</f>
        <v/>
      </c>
      <c r="CA357" s="9">
        <f>BE357+BK357+BQ357+BW357</f>
        <v/>
      </c>
      <c r="CB357" s="9">
        <f>BF357+BL357+BR357+BX357</f>
        <v/>
      </c>
      <c r="CC357" s="8" t="n">
        <v>0</v>
      </c>
      <c r="CD357" s="8" t="n">
        <v>203</v>
      </c>
      <c r="CE357" s="8" t="n">
        <v>8</v>
      </c>
      <c r="CF357" s="8" t="n">
        <v>12</v>
      </c>
      <c r="CG357" s="8" t="n">
        <v>3</v>
      </c>
      <c r="CH357" s="9">
        <f>CD357+CE357+CF357+CG357</f>
        <v/>
      </c>
      <c r="CI357" s="8" t="n">
        <v>101</v>
      </c>
      <c r="CJ357" s="8" t="n">
        <v>2</v>
      </c>
      <c r="CK357" s="8" t="n">
        <v>0</v>
      </c>
      <c r="CL357" s="8" t="n">
        <v>0</v>
      </c>
      <c r="CM357" s="9">
        <f>CI357+CJ357+CK357+CL357</f>
        <v/>
      </c>
      <c r="CN357" s="8" t="n">
        <v>364</v>
      </c>
      <c r="CO357" s="8" t="n">
        <v>32</v>
      </c>
      <c r="CP357" s="8" t="n">
        <v>4</v>
      </c>
      <c r="CQ357" s="8" t="n">
        <v>2</v>
      </c>
      <c r="CR357" s="9">
        <f>CN357+CO357+CP357+CQ357</f>
        <v/>
      </c>
      <c r="CS357" s="9">
        <f>CM357+CR357</f>
        <v/>
      </c>
      <c r="CT357" s="8" t="n">
        <v>731</v>
      </c>
      <c r="CU357" s="8" t="n">
        <v>3727</v>
      </c>
      <c r="CV357" s="8" t="n">
        <v>3610.3</v>
      </c>
      <c r="CW357" s="10">
        <f>IF(CU357=0,"",CV357/CU357)</f>
        <v/>
      </c>
      <c r="CX357" s="8" t="n">
        <v>0</v>
      </c>
      <c r="CY357" s="8" t="n">
        <v>0</v>
      </c>
      <c r="CZ357" s="8" t="n">
        <v>0</v>
      </c>
      <c r="DA357" s="8" t="n">
        <v>0</v>
      </c>
      <c r="DB357" s="9">
        <f>CX357+CY357-CZ357-DA357</f>
        <v/>
      </c>
      <c r="DC357" s="8" t="n">
        <v>0</v>
      </c>
      <c r="DD357" s="8" t="n">
        <v>0</v>
      </c>
      <c r="DE357" s="8" t="n">
        <v>0</v>
      </c>
      <c r="DF357" s="8" t="n">
        <v>0</v>
      </c>
      <c r="DG357" s="9">
        <f>DC357+DD357-DE357-DF357</f>
        <v/>
      </c>
      <c r="DH357" s="8" t="n">
        <v>0</v>
      </c>
      <c r="DI357" s="8" t="n">
        <v>0</v>
      </c>
      <c r="DJ357" s="8" t="n">
        <v>0</v>
      </c>
      <c r="DK357" s="8" t="n">
        <v>0</v>
      </c>
      <c r="DL357" s="9">
        <f>DH357+DI357-DJ357-DK357</f>
        <v/>
      </c>
      <c r="DM357" s="8" t="n">
        <v>0</v>
      </c>
      <c r="DN357" s="8" t="n">
        <v>4</v>
      </c>
      <c r="DO357" s="8" t="n">
        <v>2</v>
      </c>
      <c r="DP357" s="8" t="n">
        <v>2</v>
      </c>
      <c r="DQ357" s="9">
        <f>DM357+DN357-DO357-DP357</f>
        <v/>
      </c>
      <c r="DR357" s="9">
        <f>CX357+DC357+DH357+DM357</f>
        <v/>
      </c>
      <c r="DS357" s="9">
        <f>CY357+DD357+DI357+DN357</f>
        <v/>
      </c>
      <c r="DT357" s="9">
        <f>CZ357+DE357+DJ357+DO357</f>
        <v/>
      </c>
      <c r="DU357" s="9">
        <f>DA357+DF357+DK357+DP357</f>
        <v/>
      </c>
      <c r="DV357" s="9">
        <f>DB357+DG357+DL357+DQ357</f>
        <v/>
      </c>
      <c r="DW357" s="8" t="n">
        <v>25</v>
      </c>
      <c r="DX357" s="8" t="n">
        <v>15</v>
      </c>
      <c r="DY357" s="8" t="n">
        <v>4</v>
      </c>
      <c r="DZ357" s="8" t="n">
        <v>2</v>
      </c>
      <c r="EA357" s="8" t="n">
        <v>3</v>
      </c>
      <c r="EB357" s="8" t="n">
        <v>0</v>
      </c>
      <c r="EC357" s="8" t="n">
        <v>0</v>
      </c>
      <c r="ED357" s="8" t="n">
        <v>0</v>
      </c>
      <c r="EE357" s="8" t="n">
        <v>0</v>
      </c>
      <c r="EF357" s="8" t="n">
        <v>0</v>
      </c>
      <c r="EG357" s="8" t="n">
        <v>0</v>
      </c>
      <c r="EH357" s="8" t="n">
        <v>0</v>
      </c>
      <c r="EI357" s="8" t="n">
        <v>0</v>
      </c>
      <c r="EJ357" s="8" t="n">
        <v>0</v>
      </c>
      <c r="EK357" s="8" t="n">
        <v>0</v>
      </c>
      <c r="EL357" s="8" t="n">
        <v>0</v>
      </c>
      <c r="EM357" s="8" t="n">
        <v>0</v>
      </c>
      <c r="EN357" s="8" t="n">
        <v>0</v>
      </c>
      <c r="EO357" s="8" t="n">
        <v>0</v>
      </c>
      <c r="EP357" s="8" t="n">
        <v>0</v>
      </c>
      <c r="EQ357" s="8" t="n">
        <v>0</v>
      </c>
      <c r="ER357" s="8" t="n">
        <v>0</v>
      </c>
      <c r="ES357" s="8" t="n">
        <v>0</v>
      </c>
      <c r="ET357" s="8" t="n">
        <v>0</v>
      </c>
      <c r="EU357" s="8" t="n">
        <v>0</v>
      </c>
      <c r="EV357" s="8" t="n">
        <v>0</v>
      </c>
      <c r="EW357" s="8" t="n">
        <v>0</v>
      </c>
      <c r="EX357" s="8" t="n">
        <v>0</v>
      </c>
      <c r="EY357" s="8" t="n">
        <v>0</v>
      </c>
      <c r="EZ357" s="8" t="n">
        <v>0</v>
      </c>
      <c r="FA357" s="8" t="n">
        <v>0</v>
      </c>
      <c r="FB357" s="8" t="n">
        <v>0</v>
      </c>
      <c r="FC357" s="8" t="n">
        <v>0</v>
      </c>
      <c r="FD357" s="8" t="n">
        <v>0</v>
      </c>
      <c r="FE357" s="8" t="n">
        <v>0</v>
      </c>
      <c r="FF357" s="8" t="n">
        <v>0</v>
      </c>
      <c r="FG357" s="9">
        <f>SUM(DW357,DX357,DY357,DZ357,EA357,EB357,EC357,ED357,EE357,EF357,EG357,EH357,EI357,EJ357,EK357,EL357,EM357,EN357,EO357,EP357,EQ357,ER357,ES357,ET357,EU357,EV357,EW357,EX357,EY357,EZ357,FA357,FB357,FC357,FD357,FE357,FF357)</f>
        <v/>
      </c>
      <c r="FH357" s="8" t="n">
        <v>0</v>
      </c>
      <c r="FI357" s="8" t="n">
        <v>0</v>
      </c>
      <c r="FJ357" s="8" t="n">
        <v>21</v>
      </c>
      <c r="FK357" s="8" t="n">
        <v>221.55</v>
      </c>
      <c r="FL357" s="8" t="n">
        <v>0</v>
      </c>
      <c r="FM357" s="8" t="n">
        <v>0</v>
      </c>
      <c r="FN357" s="8" t="n">
        <v>0</v>
      </c>
      <c r="FO357" s="8" t="n">
        <v>0</v>
      </c>
      <c r="FP357" s="8" t="n">
        <v>0</v>
      </c>
      <c r="FQ357" s="9">
        <f>FL357+FM357+FN357+FO357+FP357</f>
        <v/>
      </c>
      <c r="FR357" s="8" t="n">
        <v>274275</v>
      </c>
      <c r="FS357" s="8" t="n">
        <v>0</v>
      </c>
      <c r="FT357" s="8" t="n">
        <v>0</v>
      </c>
      <c r="FU357" s="8" t="n">
        <v>0</v>
      </c>
      <c r="FV357" s="9">
        <f>FR357+FS357+FT357+FU357</f>
        <v/>
      </c>
      <c r="FW357" s="8" t="n">
        <v>3625911.14</v>
      </c>
      <c r="FX357" s="8" t="n">
        <v>7700</v>
      </c>
      <c r="FY357" s="8" t="n">
        <v>213524.64</v>
      </c>
      <c r="FZ357" s="8" t="n">
        <v>16719200</v>
      </c>
      <c r="GA357" s="9">
        <f>FW357+FX357+FY357+FZ357</f>
        <v/>
      </c>
      <c r="GB357" s="9">
        <f>FV357+GA357</f>
        <v/>
      </c>
      <c r="GC357" s="8" t="n">
        <v>1197453.48</v>
      </c>
      <c r="GD357" s="8" t="n">
        <v>0</v>
      </c>
      <c r="GE357" s="8" t="n">
        <v>57792.65</v>
      </c>
      <c r="GF357" s="8" t="n">
        <v>0</v>
      </c>
      <c r="GG357" s="9">
        <f>GC357+GD357+GE357+GF357</f>
        <v/>
      </c>
      <c r="GH357" s="8" t="n">
        <v>3560807.24</v>
      </c>
      <c r="GI357" s="8" t="n">
        <v>3500</v>
      </c>
      <c r="GJ357" s="8" t="n">
        <v>16719200</v>
      </c>
      <c r="GK357" s="8" t="n">
        <v>213524.64</v>
      </c>
      <c r="GL357" s="9">
        <f>GH357+GI357+GJ357+GK357</f>
        <v/>
      </c>
      <c r="GM357" s="9">
        <f>GG357+GL357</f>
        <v/>
      </c>
      <c r="GN357" s="8" t="n">
        <v>55159.95</v>
      </c>
      <c r="GO357" s="8" t="n">
        <v>0</v>
      </c>
      <c r="GP357" s="8" t="n">
        <v>6787.28</v>
      </c>
      <c r="GQ357" s="8" t="n">
        <v>0</v>
      </c>
      <c r="GR357" s="9">
        <f>GN357+GO357+GP357+GQ357</f>
        <v/>
      </c>
      <c r="GS357" s="8" t="n">
        <v>90193</v>
      </c>
      <c r="GT357" s="8" t="n">
        <v>0</v>
      </c>
      <c r="GU357" s="8" t="n">
        <v>1786</v>
      </c>
      <c r="GV357" s="8" t="n">
        <v>0</v>
      </c>
      <c r="GW357" s="9">
        <f>GS357+GT357+GU357+GV357</f>
        <v/>
      </c>
      <c r="GX357" s="9">
        <f>GM357+GR357+GW357</f>
        <v/>
      </c>
      <c r="GY357" s="8" t="n">
        <v>28362287.05999999</v>
      </c>
      <c r="GZ357" s="8" t="n">
        <v>0</v>
      </c>
      <c r="HA357" s="9">
        <f>GY357+GZ357</f>
        <v/>
      </c>
      <c r="HB357" s="9">
        <f>IF(GX357=0,"",AU357/GX357)</f>
        <v/>
      </c>
      <c r="HC357" s="10">
        <f>IF((GX357+GY357)=0,"",GB357/(GX357+GY357))</f>
        <v/>
      </c>
      <c r="HD357" s="9">
        <f>IF(GX357=0,"",GB357/GX357)</f>
        <v/>
      </c>
      <c r="HE357" s="8" t="n">
        <v>6</v>
      </c>
      <c r="HF357" s="8" t="n">
        <v>1</v>
      </c>
      <c r="HG357" s="8" t="n">
        <v>40</v>
      </c>
      <c r="HH357" s="8" t="n">
        <v>0</v>
      </c>
      <c r="HI357" s="8" t="n">
        <v>2</v>
      </c>
      <c r="HJ357" s="9">
        <f>HF357+HI357</f>
        <v/>
      </c>
      <c r="HK357" s="10">
        <f>IF(HE357=0,"",HH357/HE357)</f>
        <v/>
      </c>
      <c r="HL357" s="8" t="n">
        <v>3</v>
      </c>
      <c r="HM357" s="8" t="n">
        <v>1</v>
      </c>
      <c r="HN357" s="11">
        <f>IF(HL357=0,"",HM357/HL357)</f>
        <v/>
      </c>
    </row>
    <row r="358">
      <c r="A358" s="12" t="inlineStr">
        <is>
          <t>Zomba</t>
        </is>
      </c>
      <c r="B358" s="12" t="inlineStr">
        <is>
          <t>Namadzi</t>
        </is>
      </c>
      <c r="C358" s="13" t="inlineStr">
        <is>
          <t>FY2025/26</t>
        </is>
      </c>
      <c r="D358" s="13" t="n">
        <v>2025</v>
      </c>
      <c r="E358" s="13" t="n">
        <v>11</v>
      </c>
      <c r="F358" s="13" t="inlineStr">
        <is>
          <t>November</t>
        </is>
      </c>
      <c r="G358" s="13" t="inlineStr">
        <is>
          <t>Q3</t>
        </is>
      </c>
      <c r="H358" s="14" t="n">
        <v>7355</v>
      </c>
      <c r="I358" s="14" t="n">
        <v>691</v>
      </c>
      <c r="J358" s="14" t="n">
        <v>0</v>
      </c>
      <c r="K358" s="14" t="n">
        <v>25</v>
      </c>
      <c r="L358" s="14" t="n">
        <v>0</v>
      </c>
      <c r="M358" s="15">
        <f>SUM(I358,J358,K358,L358)</f>
        <v/>
      </c>
      <c r="N358" s="14" t="n">
        <v>2788.9</v>
      </c>
      <c r="O358" s="14" t="n">
        <v>9.4</v>
      </c>
      <c r="P358" s="14" t="n">
        <v>458.5</v>
      </c>
      <c r="Q358" s="14" t="n">
        <v>28.6</v>
      </c>
      <c r="R358" s="15">
        <f>SUM(N358,O358,P358,Q358)</f>
        <v/>
      </c>
      <c r="S358" s="15">
        <f>M358+R358</f>
        <v/>
      </c>
      <c r="T358" s="14" t="n">
        <v>3353.60000000001</v>
      </c>
      <c r="U358" s="16">
        <f>IF(H358=0,"",T358/H358)</f>
        <v/>
      </c>
      <c r="V358" s="14" t="n">
        <v>5.5</v>
      </c>
      <c r="W358" s="17">
        <f>IF(H358=0,"",V358/H358)</f>
        <v/>
      </c>
      <c r="X358" s="14" t="n">
        <v>0</v>
      </c>
      <c r="Y358" s="17">
        <f>IF(H358=0,"",X358/H358)</f>
        <v/>
      </c>
      <c r="Z358" s="14" t="n">
        <v>0</v>
      </c>
      <c r="AA358" s="17">
        <f>IF(H358=0,"",Z358/H358)</f>
        <v/>
      </c>
      <c r="AB358" s="14" t="n">
        <v>0</v>
      </c>
      <c r="AC358" s="17">
        <f>IF(H358=0,"",AB358/H358)</f>
        <v/>
      </c>
      <c r="AD358" s="14" t="n">
        <v>0</v>
      </c>
      <c r="AE358" s="17">
        <f>IF(H358=0,"",AD358/H358)</f>
        <v/>
      </c>
      <c r="AF358" s="14" t="n">
        <v>0</v>
      </c>
      <c r="AG358" s="17">
        <f>IF(H358=0,"",AF358/H358)</f>
        <v/>
      </c>
      <c r="AH358" s="14" t="n">
        <v>143000</v>
      </c>
      <c r="AI358" s="15">
        <f>IF(H358=0,"",AH358/H358)</f>
        <v/>
      </c>
      <c r="AJ358" s="14" t="n">
        <v>4455.96</v>
      </c>
      <c r="AK358" s="17">
        <f>IF(H358=0,"",AJ358/H358)</f>
        <v/>
      </c>
      <c r="AL358" s="14" t="n">
        <v>1249460.42164</v>
      </c>
      <c r="AM358" s="15">
        <f>IF(H358=0,"",AL358/H358)</f>
        <v/>
      </c>
      <c r="AN358" s="14" t="n">
        <v>0</v>
      </c>
      <c r="AO358" s="14" t="n">
        <v>0</v>
      </c>
      <c r="AP358" s="14" t="n">
        <v>0</v>
      </c>
      <c r="AQ358" s="14" t="n">
        <v>0</v>
      </c>
      <c r="AR358" s="14" t="n">
        <v>0</v>
      </c>
      <c r="AS358" s="14" t="n">
        <v>0</v>
      </c>
      <c r="AT358" s="14" t="n">
        <v>0</v>
      </c>
      <c r="AU358" s="15">
        <f>AH358+AL358+AP358+AQ358+AR358+AS358+AT358</f>
        <v/>
      </c>
      <c r="AV358" s="15">
        <f>IF(H358=0,"",AU358/H358)</f>
        <v/>
      </c>
      <c r="AW358" s="15">
        <f>IF(S358=0,"",AU358/S358)</f>
        <v/>
      </c>
      <c r="AX358" s="14" t="n">
        <v>4</v>
      </c>
      <c r="AY358" s="15">
        <f>IF(H358=0,"",AX358/(H358/1000/12))</f>
        <v/>
      </c>
      <c r="AZ358" s="14" t="n">
        <v>5</v>
      </c>
      <c r="BA358" s="14" t="n">
        <v>40</v>
      </c>
      <c r="BB358" s="14" t="n">
        <v>1</v>
      </c>
      <c r="BC358" s="14" t="n">
        <v>0</v>
      </c>
      <c r="BD358" s="14" t="n">
        <v>0</v>
      </c>
      <c r="BE358" s="15">
        <f>BC358+BD358</f>
        <v/>
      </c>
      <c r="BF358" s="15">
        <f>BA358+BB358-BE358</f>
        <v/>
      </c>
      <c r="BG358" s="14" t="n">
        <v>0</v>
      </c>
      <c r="BH358" s="14" t="n">
        <v>0</v>
      </c>
      <c r="BI358" s="14" t="n">
        <v>0</v>
      </c>
      <c r="BJ358" s="14" t="n">
        <v>0</v>
      </c>
      <c r="BK358" s="15">
        <f>BI358+BJ358</f>
        <v/>
      </c>
      <c r="BL358" s="15">
        <f>BG358+BH358-BK358</f>
        <v/>
      </c>
      <c r="BM358" s="14" t="n">
        <v>0</v>
      </c>
      <c r="BN358" s="14" t="n">
        <v>0</v>
      </c>
      <c r="BO358" s="14" t="n">
        <v>0</v>
      </c>
      <c r="BP358" s="14" t="n">
        <v>0</v>
      </c>
      <c r="BQ358" s="15">
        <f>BO358+BP358</f>
        <v/>
      </c>
      <c r="BR358" s="15">
        <f>BM358+BN358-BQ358</f>
        <v/>
      </c>
      <c r="BS358" s="14" t="n">
        <v>0</v>
      </c>
      <c r="BT358" s="14" t="n">
        <v>0</v>
      </c>
      <c r="BU358" s="14" t="n">
        <v>0</v>
      </c>
      <c r="BV358" s="14" t="n">
        <v>0</v>
      </c>
      <c r="BW358" s="15">
        <f>BU358+BV358</f>
        <v/>
      </c>
      <c r="BX358" s="15">
        <f>BS358+BT358-BW358</f>
        <v/>
      </c>
      <c r="BY358" s="15">
        <f>BA358+BG358+BM358+BS358</f>
        <v/>
      </c>
      <c r="BZ358" s="15">
        <f>BB358+BH358+BN358+BT358</f>
        <v/>
      </c>
      <c r="CA358" s="15">
        <f>BE358+BK358+BQ358+BW358</f>
        <v/>
      </c>
      <c r="CB358" s="15">
        <f>BF358+BL358+BR358+BX358</f>
        <v/>
      </c>
      <c r="CC358" s="14" t="n">
        <v>35</v>
      </c>
      <c r="CD358" s="14" t="n">
        <v>182</v>
      </c>
      <c r="CE358" s="14" t="n">
        <v>8</v>
      </c>
      <c r="CF358" s="14" t="n">
        <v>12</v>
      </c>
      <c r="CG358" s="14" t="n">
        <v>3</v>
      </c>
      <c r="CH358" s="15">
        <f>CD358+CE358+CF358+CG358</f>
        <v/>
      </c>
      <c r="CI358" s="14" t="n">
        <v>87</v>
      </c>
      <c r="CJ358" s="14" t="n">
        <v>2</v>
      </c>
      <c r="CK358" s="14" t="n">
        <v>0</v>
      </c>
      <c r="CL358" s="14" t="n">
        <v>0</v>
      </c>
      <c r="CM358" s="15">
        <f>CI358+CJ358+CK358+CL358</f>
        <v/>
      </c>
      <c r="CN358" s="14" t="n">
        <v>399</v>
      </c>
      <c r="CO358" s="14" t="n">
        <v>32</v>
      </c>
      <c r="CP358" s="14" t="n">
        <v>4</v>
      </c>
      <c r="CQ358" s="14" t="n">
        <v>2</v>
      </c>
      <c r="CR358" s="15">
        <f>CN358+CO358+CP358+CQ358</f>
        <v/>
      </c>
      <c r="CS358" s="15">
        <f>CM358+CR358</f>
        <v/>
      </c>
      <c r="CT358" s="14" t="n">
        <v>731</v>
      </c>
      <c r="CU358" s="14" t="n">
        <v>3730</v>
      </c>
      <c r="CV358" s="14" t="n">
        <v>3610</v>
      </c>
      <c r="CW358" s="16">
        <f>IF(CU358=0,"",CV358/CU358)</f>
        <v/>
      </c>
      <c r="CX358" s="14" t="n">
        <v>0</v>
      </c>
      <c r="CY358" s="14" t="n">
        <v>0</v>
      </c>
      <c r="CZ358" s="14" t="n">
        <v>0</v>
      </c>
      <c r="DA358" s="14" t="n">
        <v>0</v>
      </c>
      <c r="DB358" s="15">
        <f>CX358+CY358-CZ358-DA358</f>
        <v/>
      </c>
      <c r="DC358" s="14" t="n">
        <v>0</v>
      </c>
      <c r="DD358" s="14" t="n">
        <v>0</v>
      </c>
      <c r="DE358" s="14" t="n">
        <v>0</v>
      </c>
      <c r="DF358" s="14" t="n">
        <v>0</v>
      </c>
      <c r="DG358" s="15">
        <f>DC358+DD358-DE358-DF358</f>
        <v/>
      </c>
      <c r="DH358" s="14" t="n">
        <v>0</v>
      </c>
      <c r="DI358" s="14" t="n">
        <v>0</v>
      </c>
      <c r="DJ358" s="14" t="n">
        <v>0</v>
      </c>
      <c r="DK358" s="14" t="n">
        <v>0</v>
      </c>
      <c r="DL358" s="15">
        <f>DH358+DI358-DJ358-DK358</f>
        <v/>
      </c>
      <c r="DM358" s="14" t="n">
        <v>0</v>
      </c>
      <c r="DN358" s="14" t="n">
        <v>6</v>
      </c>
      <c r="DO358" s="14" t="n">
        <v>3</v>
      </c>
      <c r="DP358" s="14" t="n">
        <v>3</v>
      </c>
      <c r="DQ358" s="15">
        <f>DM358+DN358-DO358-DP358</f>
        <v/>
      </c>
      <c r="DR358" s="15">
        <f>CX358+DC358+DH358+DM358</f>
        <v/>
      </c>
      <c r="DS358" s="15">
        <f>CY358+DD358+DI358+DN358</f>
        <v/>
      </c>
      <c r="DT358" s="15">
        <f>CZ358+DE358+DJ358+DO358</f>
        <v/>
      </c>
      <c r="DU358" s="15">
        <f>DA358+DF358+DK358+DP358</f>
        <v/>
      </c>
      <c r="DV358" s="15">
        <f>DB358+DG358+DL358+DQ358</f>
        <v/>
      </c>
      <c r="DW358" s="14" t="n">
        <v>13</v>
      </c>
      <c r="DX358" s="14" t="n">
        <v>12</v>
      </c>
      <c r="DY358" s="14" t="n">
        <v>5</v>
      </c>
      <c r="DZ358" s="14" t="n">
        <v>4</v>
      </c>
      <c r="EA358" s="14" t="n">
        <v>2</v>
      </c>
      <c r="EB358" s="14" t="n">
        <v>3</v>
      </c>
      <c r="EC358" s="14" t="n">
        <v>1</v>
      </c>
      <c r="ED358" s="14" t="n">
        <v>0</v>
      </c>
      <c r="EE358" s="14" t="n">
        <v>0</v>
      </c>
      <c r="EF358" s="14" t="n">
        <v>0</v>
      </c>
      <c r="EG358" s="14" t="n">
        <v>0</v>
      </c>
      <c r="EH358" s="14" t="n">
        <v>0</v>
      </c>
      <c r="EI358" s="14" t="n">
        <v>0</v>
      </c>
      <c r="EJ358" s="14" t="n">
        <v>0</v>
      </c>
      <c r="EK358" s="14" t="n">
        <v>0</v>
      </c>
      <c r="EL358" s="14" t="n">
        <v>0</v>
      </c>
      <c r="EM358" s="14" t="n">
        <v>0</v>
      </c>
      <c r="EN358" s="14" t="n">
        <v>0</v>
      </c>
      <c r="EO358" s="14" t="n">
        <v>0</v>
      </c>
      <c r="EP358" s="14" t="n">
        <v>0</v>
      </c>
      <c r="EQ358" s="14" t="n">
        <v>0</v>
      </c>
      <c r="ER358" s="14" t="n">
        <v>0</v>
      </c>
      <c r="ES358" s="14" t="n">
        <v>0</v>
      </c>
      <c r="ET358" s="14" t="n">
        <v>0</v>
      </c>
      <c r="EU358" s="14" t="n">
        <v>0</v>
      </c>
      <c r="EV358" s="14" t="n">
        <v>0</v>
      </c>
      <c r="EW358" s="14" t="n">
        <v>0</v>
      </c>
      <c r="EX358" s="14" t="n">
        <v>0</v>
      </c>
      <c r="EY358" s="14" t="n">
        <v>0</v>
      </c>
      <c r="EZ358" s="14" t="n">
        <v>0</v>
      </c>
      <c r="FA358" s="14" t="n">
        <v>0</v>
      </c>
      <c r="FB358" s="14" t="n">
        <v>0</v>
      </c>
      <c r="FC358" s="14" t="n">
        <v>0</v>
      </c>
      <c r="FD358" s="14" t="n">
        <v>0</v>
      </c>
      <c r="FE358" s="14" t="n">
        <v>0</v>
      </c>
      <c r="FF358" s="14" t="n">
        <v>0</v>
      </c>
      <c r="FG358" s="15">
        <f>SUM(DW358,DX358,DY358,DZ358,EA358,EB358,EC358,ED358,EE358,EF358,EG358,EH358,EI358,EJ358,EK358,EL358,EM358,EN358,EO358,EP358,EQ358,ER358,ES358,ET358,EU358,EV358,EW358,EX358,EY358,EZ358,FA358,FB358,FC358,FD358,FE358,FF358)</f>
        <v/>
      </c>
      <c r="FH358" s="14" t="n">
        <v>0</v>
      </c>
      <c r="FI358" s="14" t="n">
        <v>0</v>
      </c>
      <c r="FJ358" s="14" t="n">
        <v>19</v>
      </c>
      <c r="FK358" s="14" t="n">
        <v>426</v>
      </c>
      <c r="FL358" s="14" t="n">
        <v>0</v>
      </c>
      <c r="FM358" s="14" t="n">
        <v>0</v>
      </c>
      <c r="FN358" s="14" t="n">
        <v>0</v>
      </c>
      <c r="FO358" s="14" t="n">
        <v>0</v>
      </c>
      <c r="FP358" s="14" t="n">
        <v>0</v>
      </c>
      <c r="FQ358" s="15">
        <f>FL358+FM358+FN358+FO358+FP358</f>
        <v/>
      </c>
      <c r="FR358" s="14" t="n">
        <v>586192.52</v>
      </c>
      <c r="FS358" s="14" t="n">
        <v>0</v>
      </c>
      <c r="FT358" s="14" t="n">
        <v>0</v>
      </c>
      <c r="FU358" s="14" t="n">
        <v>0</v>
      </c>
      <c r="FV358" s="15">
        <f>FR358+FS358+FT358+FU358</f>
        <v/>
      </c>
      <c r="FW358" s="14" t="n">
        <v>3522487</v>
      </c>
      <c r="FX358" s="14" t="n">
        <v>5000</v>
      </c>
      <c r="FY358" s="14" t="n">
        <v>135600</v>
      </c>
      <c r="FZ358" s="14" t="n">
        <v>1375000</v>
      </c>
      <c r="GA358" s="15">
        <f>FW358+FX358+FY358+FZ358</f>
        <v/>
      </c>
      <c r="GB358" s="15">
        <f>FV358+GA358</f>
        <v/>
      </c>
      <c r="GC358" s="14" t="n">
        <v>608420.79</v>
      </c>
      <c r="GD358" s="14" t="n">
        <v>0</v>
      </c>
      <c r="GE358" s="14" t="n">
        <v>63809.15</v>
      </c>
      <c r="GF358" s="14" t="n">
        <v>0</v>
      </c>
      <c r="GG358" s="15">
        <f>GC358+GD358+GE358+GF358</f>
        <v/>
      </c>
      <c r="GH358" s="14" t="n">
        <v>3477874.17</v>
      </c>
      <c r="GI358" s="14" t="n">
        <v>2000</v>
      </c>
      <c r="GJ358" s="14" t="n">
        <v>1375000</v>
      </c>
      <c r="GK358" s="14" t="n">
        <v>135600</v>
      </c>
      <c r="GL358" s="15">
        <f>GH358+GI358+GJ358+GK358</f>
        <v/>
      </c>
      <c r="GM358" s="15">
        <f>GG358+GL358</f>
        <v/>
      </c>
      <c r="GN358" s="14" t="n">
        <v>47081.21</v>
      </c>
      <c r="GO358" s="14" t="n">
        <v>0</v>
      </c>
      <c r="GP358" s="14" t="n">
        <v>6787.28</v>
      </c>
      <c r="GQ358" s="14" t="n">
        <v>0</v>
      </c>
      <c r="GR358" s="15">
        <f>GN358+GO358+GP358+GQ358</f>
        <v/>
      </c>
      <c r="GS358" s="14" t="n">
        <v>77691</v>
      </c>
      <c r="GT358" s="14" t="n">
        <v>0</v>
      </c>
      <c r="GU358" s="14" t="n">
        <v>1786</v>
      </c>
      <c r="GV358" s="14" t="n">
        <v>0</v>
      </c>
      <c r="GW358" s="15">
        <f>GS358+GT358+GU358+GV358</f>
        <v/>
      </c>
      <c r="GX358" s="15">
        <f>GM358+GR358+GW358</f>
        <v/>
      </c>
      <c r="GY358" s="14" t="n">
        <v>16900527.04000001</v>
      </c>
      <c r="GZ358" s="14" t="n">
        <v>0</v>
      </c>
      <c r="HA358" s="9">
        <f>GY358+GZ358</f>
        <v/>
      </c>
      <c r="HB358" s="15">
        <f>IF(GX358=0,"",AU358/GX358)</f>
        <v/>
      </c>
      <c r="HC358" s="16">
        <f>IF((GX358+GY358)=0,"",GB358/(GX358+GY358))</f>
        <v/>
      </c>
      <c r="HD358" s="15">
        <f>IF(GX358=0,"",GB358/GX358)</f>
        <v/>
      </c>
      <c r="HE358" s="14" t="n">
        <v>1</v>
      </c>
      <c r="HF358" s="14" t="n">
        <v>1</v>
      </c>
      <c r="HG358" s="14" t="n">
        <v>41</v>
      </c>
      <c r="HH358" s="14" t="n">
        <v>1</v>
      </c>
      <c r="HI358" s="14" t="n">
        <v>0</v>
      </c>
      <c r="HJ358" s="15">
        <f>HF358+HI358</f>
        <v/>
      </c>
      <c r="HK358" s="16">
        <f>IF(HE358=0,"",HH358/HE358)</f>
        <v/>
      </c>
      <c r="HL358" s="14" t="n">
        <v>8</v>
      </c>
      <c r="HM358" s="14" t="n">
        <v>2</v>
      </c>
      <c r="HN358" s="17">
        <f>IF(HL358=0,"",HM358/HL358)</f>
        <v/>
      </c>
    </row>
    <row r="359">
      <c r="A359" s="6" t="inlineStr">
        <is>
          <t>Zomba</t>
        </is>
      </c>
      <c r="B359" s="6" t="inlineStr">
        <is>
          <t>Namadzi</t>
        </is>
      </c>
      <c r="C359" s="7" t="inlineStr">
        <is>
          <t>FY2025/26</t>
        </is>
      </c>
      <c r="D359" s="7" t="n">
        <v>2025</v>
      </c>
      <c r="E359" s="7" t="n">
        <v>12</v>
      </c>
      <c r="F359" s="7" t="inlineStr">
        <is>
          <t>December</t>
        </is>
      </c>
      <c r="G359" s="7" t="inlineStr">
        <is>
          <t>Q3</t>
        </is>
      </c>
      <c r="H359" s="8" t="n">
        <v>9195</v>
      </c>
      <c r="I359" s="8" t="n">
        <v>620</v>
      </c>
      <c r="J359" s="8" t="n">
        <v>0</v>
      </c>
      <c r="K359" s="8" t="n">
        <v>82</v>
      </c>
      <c r="L359" s="8" t="n">
        <v>8</v>
      </c>
      <c r="M359" s="9">
        <f>SUM(I359,J359,K359,L359)</f>
        <v/>
      </c>
      <c r="N359" s="8" t="n">
        <v>2145</v>
      </c>
      <c r="O359" s="8" t="n">
        <v>12.7</v>
      </c>
      <c r="P359" s="8" t="n">
        <v>5448.2</v>
      </c>
      <c r="Q359" s="8" t="n">
        <v>38.4</v>
      </c>
      <c r="R359" s="9">
        <f>SUM(N359,O359,P359,Q359)</f>
        <v/>
      </c>
      <c r="S359" s="9">
        <f>M359+R359</f>
        <v/>
      </c>
      <c r="T359" s="8" t="n">
        <v>840.700000000004</v>
      </c>
      <c r="U359" s="10">
        <f>IF(H359=0,"",T359/H359)</f>
        <v/>
      </c>
      <c r="V359" s="8" t="n">
        <v>6</v>
      </c>
      <c r="W359" s="11">
        <f>IF(H359=0,"",V359/H359)</f>
        <v/>
      </c>
      <c r="X359" s="8" t="n">
        <v>0</v>
      </c>
      <c r="Y359" s="11">
        <f>IF(H359=0,"",X359/H359)</f>
        <v/>
      </c>
      <c r="Z359" s="8" t="n">
        <v>0</v>
      </c>
      <c r="AA359" s="11">
        <f>IF(H359=0,"",Z359/H359)</f>
        <v/>
      </c>
      <c r="AB359" s="8" t="n">
        <v>0</v>
      </c>
      <c r="AC359" s="11">
        <f>IF(H359=0,"",AB359/H359)</f>
        <v/>
      </c>
      <c r="AD359" s="8" t="n">
        <v>0</v>
      </c>
      <c r="AE359" s="11">
        <f>IF(H359=0,"",AD359/H359)</f>
        <v/>
      </c>
      <c r="AF359" s="8" t="n">
        <v>0</v>
      </c>
      <c r="AG359" s="11">
        <f>IF(H359=0,"",AF359/H359)</f>
        <v/>
      </c>
      <c r="AH359" s="8" t="n">
        <v>156000</v>
      </c>
      <c r="AI359" s="9">
        <f>IF(H359=0,"",AH359/H359)</f>
        <v/>
      </c>
      <c r="AJ359" s="8" t="n">
        <v>3071.09</v>
      </c>
      <c r="AK359" s="11">
        <f>IF(H359=0,"",AJ359/H359)</f>
        <v/>
      </c>
      <c r="AL359" s="8" t="n">
        <v>870962.98681</v>
      </c>
      <c r="AM359" s="9">
        <f>IF(H359=0,"",AL359/H359)</f>
        <v/>
      </c>
      <c r="AN359" s="8" t="n">
        <v>0</v>
      </c>
      <c r="AO359" s="8" t="n">
        <v>0</v>
      </c>
      <c r="AP359" s="8" t="n">
        <v>0</v>
      </c>
      <c r="AQ359" s="8" t="n">
        <v>0</v>
      </c>
      <c r="AR359" s="8" t="n">
        <v>0</v>
      </c>
      <c r="AS359" s="8" t="n">
        <v>0</v>
      </c>
      <c r="AT359" s="8" t="n">
        <v>0</v>
      </c>
      <c r="AU359" s="9">
        <f>AH359+AL359+AP359+AQ359+AR359+AS359+AT359</f>
        <v/>
      </c>
      <c r="AV359" s="9">
        <f>IF(H359=0,"",AU359/H359)</f>
        <v/>
      </c>
      <c r="AW359" s="9">
        <f>IF(S359=0,"",AU359/S359)</f>
        <v/>
      </c>
      <c r="AX359" s="8" t="n">
        <v>4</v>
      </c>
      <c r="AY359" s="9">
        <f>IF(H359=0,"",AX359/(H359/1000/12))</f>
        <v/>
      </c>
      <c r="AZ359" s="8" t="n">
        <v>4</v>
      </c>
      <c r="BA359" s="8" t="n">
        <v>41</v>
      </c>
      <c r="BB359" s="8" t="n">
        <v>0</v>
      </c>
      <c r="BC359" s="8" t="n">
        <v>2</v>
      </c>
      <c r="BD359" s="8" t="n">
        <v>0</v>
      </c>
      <c r="BE359" s="9">
        <f>BC359+BD359</f>
        <v/>
      </c>
      <c r="BF359" s="9">
        <f>BA359+BB359-BE359</f>
        <v/>
      </c>
      <c r="BG359" s="8" t="n">
        <v>0</v>
      </c>
      <c r="BH359" s="8" t="n">
        <v>0</v>
      </c>
      <c r="BI359" s="8" t="n">
        <v>0</v>
      </c>
      <c r="BJ359" s="8" t="n">
        <v>0</v>
      </c>
      <c r="BK359" s="9">
        <f>BI359+BJ359</f>
        <v/>
      </c>
      <c r="BL359" s="9">
        <f>BG359+BH359-BK359</f>
        <v/>
      </c>
      <c r="BM359" s="8" t="n">
        <v>0</v>
      </c>
      <c r="BN359" s="8" t="n">
        <v>1</v>
      </c>
      <c r="BO359" s="8" t="n">
        <v>1</v>
      </c>
      <c r="BP359" s="8" t="n">
        <v>0</v>
      </c>
      <c r="BQ359" s="9">
        <f>BO359+BP359</f>
        <v/>
      </c>
      <c r="BR359" s="9">
        <f>BM359+BN359-BQ359</f>
        <v/>
      </c>
      <c r="BS359" s="8" t="n">
        <v>0</v>
      </c>
      <c r="BT359" s="8" t="n">
        <v>0</v>
      </c>
      <c r="BU359" s="8" t="n">
        <v>0</v>
      </c>
      <c r="BV359" s="8" t="n">
        <v>0</v>
      </c>
      <c r="BW359" s="9">
        <f>BU359+BV359</f>
        <v/>
      </c>
      <c r="BX359" s="9">
        <f>BS359+BT359-BW359</f>
        <v/>
      </c>
      <c r="BY359" s="9">
        <f>BA359+BG359+BM359+BS359</f>
        <v/>
      </c>
      <c r="BZ359" s="9">
        <f>BB359+BH359+BN359+BT359</f>
        <v/>
      </c>
      <c r="CA359" s="9">
        <f>BE359+BK359+BQ359+BW359</f>
        <v/>
      </c>
      <c r="CB359" s="9">
        <f>BF359+BL359+BR359+BX359</f>
        <v/>
      </c>
      <c r="CC359" s="8" t="n">
        <v>0</v>
      </c>
      <c r="CD359" s="8" t="n">
        <v>165</v>
      </c>
      <c r="CE359" s="8" t="n">
        <v>8</v>
      </c>
      <c r="CF359" s="8" t="n">
        <v>10</v>
      </c>
      <c r="CG359" s="8" t="n">
        <v>3</v>
      </c>
      <c r="CH359" s="9">
        <f>CD359+CE359+CF359+CG359</f>
        <v/>
      </c>
      <c r="CI359" s="8" t="n">
        <v>80</v>
      </c>
      <c r="CJ359" s="8" t="n">
        <v>2</v>
      </c>
      <c r="CK359" s="8" t="n">
        <v>2</v>
      </c>
      <c r="CL359" s="8" t="n">
        <v>0</v>
      </c>
      <c r="CM359" s="9">
        <f>CI359+CJ359+CK359+CL359</f>
        <v/>
      </c>
      <c r="CN359" s="8" t="n">
        <v>426</v>
      </c>
      <c r="CO359" s="8" t="n">
        <v>32</v>
      </c>
      <c r="CP359" s="8" t="n">
        <v>4</v>
      </c>
      <c r="CQ359" s="8" t="n">
        <v>2</v>
      </c>
      <c r="CR359" s="9">
        <f>CN359+CO359+CP359+CQ359</f>
        <v/>
      </c>
      <c r="CS359" s="9">
        <f>CM359+CR359</f>
        <v/>
      </c>
      <c r="CT359" s="8" t="n">
        <v>734</v>
      </c>
      <c r="CU359" s="8" t="n">
        <v>3733</v>
      </c>
      <c r="CV359" s="8" t="n">
        <v>3622.9</v>
      </c>
      <c r="CW359" s="10">
        <f>IF(CU359=0,"",CV359/CU359)</f>
        <v/>
      </c>
      <c r="CX359" s="8" t="n">
        <v>0</v>
      </c>
      <c r="CY359" s="8" t="n">
        <v>0</v>
      </c>
      <c r="CZ359" s="8" t="n">
        <v>0</v>
      </c>
      <c r="DA359" s="8" t="n">
        <v>0</v>
      </c>
      <c r="DB359" s="9">
        <f>CX359+CY359-CZ359-DA359</f>
        <v/>
      </c>
      <c r="DC359" s="8" t="n">
        <v>0</v>
      </c>
      <c r="DD359" s="8" t="n">
        <v>0</v>
      </c>
      <c r="DE359" s="8" t="n">
        <v>0</v>
      </c>
      <c r="DF359" s="8" t="n">
        <v>0</v>
      </c>
      <c r="DG359" s="9">
        <f>DC359+DD359-DE359-DF359</f>
        <v/>
      </c>
      <c r="DH359" s="8" t="n">
        <v>0</v>
      </c>
      <c r="DI359" s="8" t="n">
        <v>0</v>
      </c>
      <c r="DJ359" s="8" t="n">
        <v>0</v>
      </c>
      <c r="DK359" s="8" t="n">
        <v>0</v>
      </c>
      <c r="DL359" s="9">
        <f>DH359+DI359-DJ359-DK359</f>
        <v/>
      </c>
      <c r="DM359" s="8" t="n">
        <v>0</v>
      </c>
      <c r="DN359" s="8" t="n">
        <v>4</v>
      </c>
      <c r="DO359" s="8" t="n">
        <v>2</v>
      </c>
      <c r="DP359" s="8" t="n">
        <v>2</v>
      </c>
      <c r="DQ359" s="9">
        <f>DM359+DN359-DO359-DP359</f>
        <v/>
      </c>
      <c r="DR359" s="9">
        <f>CX359+DC359+DH359+DM359</f>
        <v/>
      </c>
      <c r="DS359" s="9">
        <f>CY359+DD359+DI359+DN359</f>
        <v/>
      </c>
      <c r="DT359" s="9">
        <f>CZ359+DE359+DJ359+DO359</f>
        <v/>
      </c>
      <c r="DU359" s="9">
        <f>DA359+DF359+DK359+DP359</f>
        <v/>
      </c>
      <c r="DV359" s="9">
        <f>DB359+DG359+DL359+DQ359</f>
        <v/>
      </c>
      <c r="DW359" s="8" t="n">
        <v>16</v>
      </c>
      <c r="DX359" s="8" t="n">
        <v>11</v>
      </c>
      <c r="DY359" s="8" t="n">
        <v>4</v>
      </c>
      <c r="DZ359" s="8" t="n">
        <v>2</v>
      </c>
      <c r="EA359" s="8" t="n">
        <v>5</v>
      </c>
      <c r="EB359" s="8" t="n">
        <v>1</v>
      </c>
      <c r="EC359" s="8" t="n">
        <v>0</v>
      </c>
      <c r="ED359" s="8" t="n">
        <v>0</v>
      </c>
      <c r="EE359" s="8" t="n">
        <v>0</v>
      </c>
      <c r="EF359" s="8" t="n">
        <v>0</v>
      </c>
      <c r="EG359" s="8" t="n">
        <v>0</v>
      </c>
      <c r="EH359" s="8" t="n">
        <v>0</v>
      </c>
      <c r="EI359" s="8" t="n">
        <v>0</v>
      </c>
      <c r="EJ359" s="8" t="n">
        <v>0</v>
      </c>
      <c r="EK359" s="8" t="n">
        <v>0</v>
      </c>
      <c r="EL359" s="8" t="n">
        <v>0</v>
      </c>
      <c r="EM359" s="8" t="n">
        <v>0</v>
      </c>
      <c r="EN359" s="8" t="n">
        <v>0</v>
      </c>
      <c r="EO359" s="8" t="n">
        <v>0</v>
      </c>
      <c r="EP359" s="8" t="n">
        <v>0</v>
      </c>
      <c r="EQ359" s="8" t="n">
        <v>0</v>
      </c>
      <c r="ER359" s="8" t="n">
        <v>0</v>
      </c>
      <c r="ES359" s="8" t="n">
        <v>0</v>
      </c>
      <c r="ET359" s="8" t="n">
        <v>0</v>
      </c>
      <c r="EU359" s="8" t="n">
        <v>0</v>
      </c>
      <c r="EV359" s="8" t="n">
        <v>0</v>
      </c>
      <c r="EW359" s="8" t="n">
        <v>0</v>
      </c>
      <c r="EX359" s="8" t="n">
        <v>0</v>
      </c>
      <c r="EY359" s="8" t="n">
        <v>0</v>
      </c>
      <c r="EZ359" s="8" t="n">
        <v>0</v>
      </c>
      <c r="FA359" s="8" t="n">
        <v>0</v>
      </c>
      <c r="FB359" s="8" t="n">
        <v>0</v>
      </c>
      <c r="FC359" s="8" t="n">
        <v>0</v>
      </c>
      <c r="FD359" s="8" t="n">
        <v>0</v>
      </c>
      <c r="FE359" s="8" t="n">
        <v>0</v>
      </c>
      <c r="FF359" s="8" t="n">
        <v>0</v>
      </c>
      <c r="FG359" s="9">
        <f>SUM(DW359,DX359,DY359,DZ359,EA359,EB359,EC359,ED359,EE359,EF359,EG359,EH359,EI359,EJ359,EK359,EL359,EM359,EN359,EO359,EP359,EQ359,ER359,ES359,ET359,EU359,EV359,EW359,EX359,EY359,EZ359,FA359,FB359,FC359,FD359,FE359,FF359)</f>
        <v/>
      </c>
      <c r="FH359" s="8" t="n">
        <v>0</v>
      </c>
      <c r="FI359" s="8" t="n">
        <v>0</v>
      </c>
      <c r="FJ359" s="8" t="n">
        <v>21</v>
      </c>
      <c r="FK359" s="8" t="n">
        <v>146.5</v>
      </c>
      <c r="FL359" s="8" t="n">
        <v>0</v>
      </c>
      <c r="FM359" s="8" t="n">
        <v>0</v>
      </c>
      <c r="FN359" s="8" t="n">
        <v>0</v>
      </c>
      <c r="FO359" s="8" t="n">
        <v>0</v>
      </c>
      <c r="FP359" s="8" t="n">
        <v>0</v>
      </c>
      <c r="FQ359" s="9">
        <f>FL359+FM359+FN359+FO359+FP359</f>
        <v/>
      </c>
      <c r="FR359" s="8" t="n">
        <v>349620</v>
      </c>
      <c r="FS359" s="8" t="n">
        <v>0</v>
      </c>
      <c r="FT359" s="8" t="n">
        <v>0</v>
      </c>
      <c r="FU359" s="8" t="n">
        <v>0</v>
      </c>
      <c r="FV359" s="9">
        <f>FR359+FS359+FT359+FU359</f>
        <v/>
      </c>
      <c r="FW359" s="8" t="n">
        <v>2704457.9</v>
      </c>
      <c r="FX359" s="8" t="n">
        <v>3900</v>
      </c>
      <c r="FY359" s="8" t="n">
        <v>182164.05</v>
      </c>
      <c r="FZ359" s="8" t="n">
        <v>16559000</v>
      </c>
      <c r="GA359" s="9">
        <f>FW359+FX359+FY359+FZ359</f>
        <v/>
      </c>
      <c r="GB359" s="9">
        <f>FV359+GA359</f>
        <v/>
      </c>
      <c r="GC359" s="8" t="n">
        <v>543035.4399999999</v>
      </c>
      <c r="GD359" s="8" t="n">
        <v>0</v>
      </c>
      <c r="GE359" s="8" t="n">
        <v>258742.84</v>
      </c>
      <c r="GF359" s="8" t="n">
        <v>16821.98</v>
      </c>
      <c r="GG359" s="9">
        <f>GC359+GD359+GE359+GF359</f>
        <v/>
      </c>
      <c r="GH359" s="8" t="n">
        <v>2677190.24</v>
      </c>
      <c r="GI359" s="8" t="n">
        <v>2700</v>
      </c>
      <c r="GJ359" s="8" t="n">
        <v>16559000</v>
      </c>
      <c r="GK359" s="8" t="n">
        <v>182164.04</v>
      </c>
      <c r="GL359" s="9">
        <f>GH359+GI359+GJ359+GK359</f>
        <v/>
      </c>
      <c r="GM359" s="9">
        <f>GG359+GL359</f>
        <v/>
      </c>
      <c r="GN359" s="8" t="n">
        <v>43266.7</v>
      </c>
      <c r="GO359" s="8" t="n">
        <v>0</v>
      </c>
      <c r="GP359" s="8" t="n">
        <v>6787.28</v>
      </c>
      <c r="GQ359" s="8" t="n">
        <v>9274.68</v>
      </c>
      <c r="GR359" s="9">
        <f>GN359+GO359+GP359+GQ359</f>
        <v/>
      </c>
      <c r="GS359" s="8" t="n">
        <v>71440</v>
      </c>
      <c r="GT359" s="8" t="n">
        <v>0</v>
      </c>
      <c r="GU359" s="8" t="n">
        <v>1786</v>
      </c>
      <c r="GV359" s="8" t="n">
        <v>1786</v>
      </c>
      <c r="GW359" s="9">
        <f>GS359+GT359+GU359+GV359</f>
        <v/>
      </c>
      <c r="GX359" s="9">
        <f>GM359+GR359+GW359</f>
        <v/>
      </c>
      <c r="GY359" s="8" t="n">
        <v>28307050.15</v>
      </c>
      <c r="GZ359" s="8" t="n">
        <v>0</v>
      </c>
      <c r="HA359" s="9">
        <f>GY359+GZ359</f>
        <v/>
      </c>
      <c r="HB359" s="9">
        <f>IF(GX359=0,"",AU359/GX359)</f>
        <v/>
      </c>
      <c r="HC359" s="10">
        <f>IF((GX359+GY359)=0,"",GB359/(GX359+GY359))</f>
        <v/>
      </c>
      <c r="HD359" s="9">
        <f>IF(GX359=0,"",GB359/GX359)</f>
        <v/>
      </c>
      <c r="HE359" s="8" t="n">
        <v>1</v>
      </c>
      <c r="HF359" s="8" t="n">
        <v>1</v>
      </c>
      <c r="HG359" s="8" t="n">
        <v>39</v>
      </c>
      <c r="HH359" s="8" t="n">
        <v>1</v>
      </c>
      <c r="HI359" s="8" t="n">
        <v>2</v>
      </c>
      <c r="HJ359" s="9">
        <f>HF359+HI359</f>
        <v/>
      </c>
      <c r="HK359" s="10">
        <f>IF(HE359=0,"",HH359/HE359)</f>
        <v/>
      </c>
      <c r="HL359" s="8" t="n">
        <v>5</v>
      </c>
      <c r="HM359" s="8" t="n">
        <v>2</v>
      </c>
      <c r="HN359" s="11">
        <f>IF(HL359=0,"",HM359/HL359)</f>
        <v/>
      </c>
    </row>
    <row r="360">
      <c r="A360" s="12" t="inlineStr">
        <is>
          <t>Zomba</t>
        </is>
      </c>
      <c r="B360" s="12" t="inlineStr">
        <is>
          <t>Namadzi</t>
        </is>
      </c>
      <c r="C360" s="13" t="inlineStr">
        <is>
          <t>FY2025/26</t>
        </is>
      </c>
      <c r="D360" s="13" t="n">
        <v>2026</v>
      </c>
      <c r="E360" s="13" t="n">
        <v>1</v>
      </c>
      <c r="F360" s="13" t="inlineStr">
        <is>
          <t>January</t>
        </is>
      </c>
      <c r="G360" s="13" t="inlineStr">
        <is>
          <t>Q4</t>
        </is>
      </c>
      <c r="H360" s="14" t="n">
        <v>5723</v>
      </c>
      <c r="I360" s="14" t="n">
        <v>552</v>
      </c>
      <c r="J360" s="14" t="n">
        <v>0</v>
      </c>
      <c r="K360" s="14" t="n">
        <v>31</v>
      </c>
      <c r="L360" s="14" t="n">
        <v>8</v>
      </c>
      <c r="M360" s="15" t="n">
        <v>591</v>
      </c>
      <c r="N360" s="14" t="n">
        <v>2411.899999999996</v>
      </c>
      <c r="O360" s="14" t="n">
        <v>14</v>
      </c>
      <c r="P360" s="14" t="n">
        <v>291.9</v>
      </c>
      <c r="Q360" s="14" t="n">
        <v>33.90000000000001</v>
      </c>
      <c r="R360" s="15" t="n">
        <v>2751.699999999996</v>
      </c>
      <c r="S360" s="15" t="n">
        <v>3342.699999999996</v>
      </c>
      <c r="T360" s="14" t="n">
        <v>2380.300000000004</v>
      </c>
      <c r="U360" s="16" t="n">
        <v>0.415918224707322</v>
      </c>
      <c r="V360" s="14" t="n">
        <v>5.7</v>
      </c>
      <c r="W360" s="17" t="n">
        <v>0.9959811287786127</v>
      </c>
      <c r="X360" s="14" t="n">
        <v>0</v>
      </c>
      <c r="Y360" s="17" t="n">
        <v>0</v>
      </c>
      <c r="Z360" s="14" t="n">
        <v>0</v>
      </c>
      <c r="AA360" s="17" t="n">
        <v>0</v>
      </c>
      <c r="AB360" s="14" t="n">
        <v>0</v>
      </c>
      <c r="AC360" s="17" t="n">
        <v>0</v>
      </c>
      <c r="AD360" s="14" t="n">
        <v>0</v>
      </c>
      <c r="AE360" s="17" t="n">
        <v>0</v>
      </c>
      <c r="AF360" s="14" t="n">
        <v>0</v>
      </c>
      <c r="AG360" s="17" t="n">
        <v>0</v>
      </c>
      <c r="AH360" s="14" t="n">
        <v>148200</v>
      </c>
      <c r="AI360" s="15" t="n">
        <v>25.89550934824393</v>
      </c>
      <c r="AJ360" s="14" t="n">
        <v>3140.89</v>
      </c>
      <c r="AK360" s="17" t="n">
        <v>0.5488188013279748</v>
      </c>
      <c r="AL360" s="14" t="n">
        <v>890039.95501</v>
      </c>
      <c r="AM360" s="15" t="n">
        <v>155.5198243945483</v>
      </c>
      <c r="AN360" s="14" t="n">
        <v>0</v>
      </c>
      <c r="AO360" s="14" t="n">
        <v>0</v>
      </c>
      <c r="AP360" s="14" t="n">
        <v>0</v>
      </c>
      <c r="AQ360" s="14" t="n">
        <v>0</v>
      </c>
      <c r="AR360" s="14" t="n">
        <v>0</v>
      </c>
      <c r="AS360" s="14" t="n">
        <v>0</v>
      </c>
      <c r="AT360" s="14" t="n">
        <v>0</v>
      </c>
      <c r="AU360" s="15" t="n">
        <v>1038239.95501</v>
      </c>
      <c r="AV360" s="15" t="n">
        <v>181.4153337427923</v>
      </c>
      <c r="AW360" s="15" t="n">
        <v>310.5992027432917</v>
      </c>
      <c r="AX360" s="14" t="n">
        <v>4</v>
      </c>
      <c r="AY360" s="15" t="n">
        <v>21.66695788921894</v>
      </c>
      <c r="AZ360" s="14" t="n">
        <v>4</v>
      </c>
      <c r="BA360" s="14" t="n">
        <v>39</v>
      </c>
      <c r="BB360" s="14" t="n">
        <v>0</v>
      </c>
      <c r="BC360" s="14" t="n">
        <v>1</v>
      </c>
      <c r="BD360" s="14" t="n">
        <v>0</v>
      </c>
      <c r="BE360" s="15" t="n">
        <v>1</v>
      </c>
      <c r="BF360" s="15" t="n">
        <v>38</v>
      </c>
      <c r="BG360" s="14" t="n">
        <v>0</v>
      </c>
      <c r="BH360" s="14" t="n">
        <v>0</v>
      </c>
      <c r="BI360" s="14" t="n">
        <v>0</v>
      </c>
      <c r="BJ360" s="14" t="n">
        <v>0</v>
      </c>
      <c r="BK360" s="15" t="n">
        <v>0</v>
      </c>
      <c r="BL360" s="15" t="n">
        <v>0</v>
      </c>
      <c r="BM360" s="14" t="n">
        <v>0</v>
      </c>
      <c r="BN360" s="14" t="n">
        <v>0</v>
      </c>
      <c r="BO360" s="14" t="n">
        <v>0</v>
      </c>
      <c r="BP360" s="14" t="n">
        <v>0</v>
      </c>
      <c r="BQ360" s="15" t="n">
        <v>0</v>
      </c>
      <c r="BR360" s="15" t="n">
        <v>0</v>
      </c>
      <c r="BS360" s="14" t="n">
        <v>0</v>
      </c>
      <c r="BT360" s="14" t="n">
        <v>0</v>
      </c>
      <c r="BU360" s="14" t="n">
        <v>0</v>
      </c>
      <c r="BV360" s="14" t="n">
        <v>0</v>
      </c>
      <c r="BW360" s="15" t="n">
        <v>0</v>
      </c>
      <c r="BX360" s="15" t="n">
        <v>0</v>
      </c>
      <c r="BY360" s="15" t="n">
        <v>39</v>
      </c>
      <c r="BZ360" s="15" t="n">
        <v>0</v>
      </c>
      <c r="CA360" s="15" t="n">
        <v>1</v>
      </c>
      <c r="CB360" s="15" t="n">
        <v>38</v>
      </c>
      <c r="CC360" s="14" t="n">
        <v>0</v>
      </c>
      <c r="CD360" s="14" t="n">
        <v>162</v>
      </c>
      <c r="CE360" s="14" t="n">
        <v>8</v>
      </c>
      <c r="CF360" s="14" t="n">
        <v>10</v>
      </c>
      <c r="CG360" s="14" t="n">
        <v>3</v>
      </c>
      <c r="CH360" s="15" t="n">
        <v>183</v>
      </c>
      <c r="CI360" s="14" t="n">
        <v>84</v>
      </c>
      <c r="CJ360" s="14" t="n">
        <v>2</v>
      </c>
      <c r="CK360" s="14" t="n">
        <v>2</v>
      </c>
      <c r="CL360" s="14" t="n">
        <v>0</v>
      </c>
      <c r="CM360" s="15" t="n">
        <v>88</v>
      </c>
      <c r="CN360" s="14" t="n">
        <v>426</v>
      </c>
      <c r="CO360" s="14" t="n">
        <v>32</v>
      </c>
      <c r="CP360" s="14" t="n">
        <v>4</v>
      </c>
      <c r="CQ360" s="14" t="n">
        <v>2</v>
      </c>
      <c r="CR360" s="15" t="n">
        <v>464</v>
      </c>
      <c r="CS360" s="15" t="n">
        <v>552</v>
      </c>
      <c r="CT360" s="14" t="n">
        <v>735</v>
      </c>
      <c r="CU360" s="14" t="n">
        <v>3736</v>
      </c>
      <c r="CV360" s="14" t="n">
        <v>3631.6</v>
      </c>
      <c r="CW360" s="16" t="n">
        <v>0.9720556745182013</v>
      </c>
      <c r="CX360" s="14" t="n">
        <v>0</v>
      </c>
      <c r="CY360" s="14" t="n">
        <v>0</v>
      </c>
      <c r="CZ360" s="14" t="n">
        <v>0</v>
      </c>
      <c r="DA360" s="14" t="n">
        <v>0</v>
      </c>
      <c r="DB360" s="15" t="n">
        <v>0</v>
      </c>
      <c r="DC360" s="14" t="n">
        <v>0</v>
      </c>
      <c r="DD360" s="14" t="n">
        <v>0</v>
      </c>
      <c r="DE360" s="14" t="n">
        <v>0</v>
      </c>
      <c r="DF360" s="14" t="n">
        <v>0</v>
      </c>
      <c r="DG360" s="15" t="n">
        <v>0</v>
      </c>
      <c r="DH360" s="14" t="n">
        <v>0</v>
      </c>
      <c r="DI360" s="14" t="n">
        <v>0</v>
      </c>
      <c r="DJ360" s="14" t="n">
        <v>0</v>
      </c>
      <c r="DK360" s="14" t="n">
        <v>0</v>
      </c>
      <c r="DL360" s="15" t="n">
        <v>0</v>
      </c>
      <c r="DM360" s="14" t="n">
        <v>0</v>
      </c>
      <c r="DN360" s="14" t="n">
        <v>2</v>
      </c>
      <c r="DO360" s="14" t="n">
        <v>2</v>
      </c>
      <c r="DP360" s="14" t="n">
        <v>0</v>
      </c>
      <c r="DQ360" s="15" t="n">
        <v>0</v>
      </c>
      <c r="DR360" s="15" t="n">
        <v>0</v>
      </c>
      <c r="DS360" s="15" t="n">
        <v>2</v>
      </c>
      <c r="DT360" s="15" t="n">
        <v>2</v>
      </c>
      <c r="DU360" s="15" t="n">
        <v>0</v>
      </c>
      <c r="DV360" s="15" t="n">
        <v>0</v>
      </c>
      <c r="DW360" s="14" t="n">
        <v>23</v>
      </c>
      <c r="DX360" s="14" t="n">
        <v>12</v>
      </c>
      <c r="DY360" s="14" t="n">
        <v>7</v>
      </c>
      <c r="DZ360" s="14" t="n">
        <v>3</v>
      </c>
      <c r="EA360" s="14" t="n">
        <v>2</v>
      </c>
      <c r="EB360" s="14" t="n">
        <v>0</v>
      </c>
      <c r="EC360" s="14" t="n">
        <v>0</v>
      </c>
      <c r="ED360" s="14" t="n">
        <v>0</v>
      </c>
      <c r="EE360" s="14" t="n">
        <v>2</v>
      </c>
      <c r="EF360" s="14" t="n">
        <v>0</v>
      </c>
      <c r="EG360" s="14" t="n">
        <v>0</v>
      </c>
      <c r="EH360" s="14" t="n">
        <v>0</v>
      </c>
      <c r="EI360" s="14" t="n">
        <v>0</v>
      </c>
      <c r="EJ360" s="14" t="n">
        <v>0</v>
      </c>
      <c r="EK360" s="14" t="n">
        <v>0</v>
      </c>
      <c r="EL360" s="14" t="n">
        <v>0</v>
      </c>
      <c r="EM360" s="14" t="n">
        <v>0</v>
      </c>
      <c r="EN360" s="14" t="n">
        <v>0</v>
      </c>
      <c r="EO360" s="14" t="n">
        <v>0</v>
      </c>
      <c r="EP360" s="14" t="n">
        <v>0</v>
      </c>
      <c r="EQ360" s="14" t="n">
        <v>0</v>
      </c>
      <c r="ER360" s="14" t="n">
        <v>0</v>
      </c>
      <c r="ES360" s="14" t="n">
        <v>0</v>
      </c>
      <c r="ET360" s="14" t="n">
        <v>0</v>
      </c>
      <c r="EU360" s="14" t="n">
        <v>0</v>
      </c>
      <c r="EV360" s="14" t="n">
        <v>0</v>
      </c>
      <c r="EW360" s="14" t="n">
        <v>0</v>
      </c>
      <c r="EX360" s="14" t="n">
        <v>0</v>
      </c>
      <c r="EY360" s="14" t="n">
        <v>0</v>
      </c>
      <c r="EZ360" s="14" t="n">
        <v>0</v>
      </c>
      <c r="FA360" s="14" t="n">
        <v>0</v>
      </c>
      <c r="FB360" s="14" t="n">
        <v>0</v>
      </c>
      <c r="FC360" s="14" t="n">
        <v>0</v>
      </c>
      <c r="FD360" s="14" t="n">
        <v>0</v>
      </c>
      <c r="FE360" s="14" t="n">
        <v>0</v>
      </c>
      <c r="FF360" s="14" t="n">
        <v>0</v>
      </c>
      <c r="FG360" s="15" t="n">
        <v>49</v>
      </c>
      <c r="FH360" s="14" t="n">
        <v>0</v>
      </c>
      <c r="FI360" s="14" t="n">
        <v>0</v>
      </c>
      <c r="FJ360" s="14" t="n">
        <v>22</v>
      </c>
      <c r="FK360" s="14" t="n">
        <v>146</v>
      </c>
      <c r="FL360" s="14" t="n">
        <v>0</v>
      </c>
      <c r="FM360" s="14" t="n">
        <v>0</v>
      </c>
      <c r="FN360" s="14" t="n">
        <v>0</v>
      </c>
      <c r="FO360" s="14" t="n">
        <v>0</v>
      </c>
      <c r="FP360" s="14" t="n">
        <v>0</v>
      </c>
      <c r="FQ360" s="15" t="n">
        <v>0</v>
      </c>
      <c r="FR360" s="14" t="n">
        <v>401780</v>
      </c>
      <c r="FS360" s="14" t="n">
        <v>0</v>
      </c>
      <c r="FT360" s="14" t="n">
        <v>2000</v>
      </c>
      <c r="FU360" s="14" t="n">
        <v>0</v>
      </c>
      <c r="FV360" s="15" t="n">
        <v>403780</v>
      </c>
      <c r="FW360" s="14" t="n">
        <v>3072700</v>
      </c>
      <c r="FX360" s="14" t="n">
        <v>5200</v>
      </c>
      <c r="FY360" s="14" t="n">
        <v>161900</v>
      </c>
      <c r="FZ360" s="14" t="n">
        <v>887000</v>
      </c>
      <c r="GA360" s="15" t="n">
        <v>4126800</v>
      </c>
      <c r="GB360" s="15" t="n">
        <v>4530580</v>
      </c>
      <c r="GC360" s="14" t="n">
        <v>477998.6</v>
      </c>
      <c r="GD360" s="14" t="n">
        <v>0</v>
      </c>
      <c r="GE360" s="14" t="n">
        <v>84114.75</v>
      </c>
      <c r="GF360" s="14" t="n">
        <v>16821.98</v>
      </c>
      <c r="GG360" s="15" t="n">
        <v>578935.33</v>
      </c>
      <c r="GH360" s="14" t="n">
        <v>3009950</v>
      </c>
      <c r="GI360" s="14" t="n">
        <v>2980</v>
      </c>
      <c r="GJ360" s="14" t="n">
        <v>887000</v>
      </c>
      <c r="GK360" s="14" t="n">
        <v>161900</v>
      </c>
      <c r="GL360" s="15" t="n">
        <v>4061830</v>
      </c>
      <c r="GM360" s="15" t="n">
        <v>4640765.33</v>
      </c>
      <c r="GN360" s="14" t="n">
        <v>45446.42000000001</v>
      </c>
      <c r="GO360" s="14" t="n">
        <v>0</v>
      </c>
      <c r="GP360" s="14" t="n">
        <v>6787.28</v>
      </c>
      <c r="GQ360" s="14" t="n">
        <v>9274.68</v>
      </c>
      <c r="GR360" s="15" t="n">
        <v>61508.38</v>
      </c>
      <c r="GS360" s="14" t="n">
        <v>75012</v>
      </c>
      <c r="GT360" s="14" t="n">
        <v>0</v>
      </c>
      <c r="GU360" s="14" t="n">
        <v>1786</v>
      </c>
      <c r="GV360" s="14" t="n">
        <v>1786</v>
      </c>
      <c r="GW360" s="15" t="n">
        <v>78584</v>
      </c>
      <c r="GX360" s="15" t="n">
        <v>4780857.71</v>
      </c>
      <c r="GY360" s="14" t="n">
        <v>17317166.24000002</v>
      </c>
      <c r="GZ360" s="14" t="n">
        <v>50269.68</v>
      </c>
      <c r="HA360" s="9">
        <f>GY360+GZ360</f>
        <v/>
      </c>
      <c r="HB360" s="15" t="n">
        <v>4780857.71</v>
      </c>
      <c r="HC360" s="16" t="n">
        <v>0</v>
      </c>
      <c r="HD360" s="15" t="n">
        <v>0</v>
      </c>
      <c r="HE360" s="14" t="n">
        <v>0</v>
      </c>
      <c r="HF360" s="14" t="n">
        <v>0</v>
      </c>
      <c r="HG360" s="14" t="n">
        <v>38</v>
      </c>
      <c r="HH360" s="14" t="n">
        <v>0</v>
      </c>
      <c r="HI360" s="14" t="n">
        <v>2</v>
      </c>
      <c r="HJ360" s="15" t="n">
        <v>0</v>
      </c>
      <c r="HK360" s="16" t="n">
        <v>2.631578947368421</v>
      </c>
      <c r="HL360" s="14" t="n">
        <v>10</v>
      </c>
      <c r="HM360" s="14" t="n">
        <v>5</v>
      </c>
      <c r="HN360" s="17" t="n">
        <v>2</v>
      </c>
    </row>
    <row r="361">
      <c r="A361" s="6" t="inlineStr">
        <is>
          <t>Zomba</t>
        </is>
      </c>
      <c r="B361" s="6" t="inlineStr">
        <is>
          <t>Namadzi</t>
        </is>
      </c>
      <c r="C361" s="7" t="inlineStr">
        <is>
          <t>FY2025/26</t>
        </is>
      </c>
      <c r="D361" s="7" t="n">
        <v>2026</v>
      </c>
      <c r="E361" s="7" t="n">
        <v>2</v>
      </c>
      <c r="F361" s="7" t="inlineStr">
        <is>
          <t>February</t>
        </is>
      </c>
      <c r="G361" s="7" t="inlineStr">
        <is>
          <t>Q4</t>
        </is>
      </c>
      <c r="H361" s="8" t="n">
        <v>18509</v>
      </c>
      <c r="I361" s="8" t="n">
        <v>563</v>
      </c>
      <c r="J361" s="8" t="n">
        <v>0</v>
      </c>
      <c r="K361" s="8" t="n">
        <v>29</v>
      </c>
      <c r="L361" s="8" t="n">
        <v>8</v>
      </c>
      <c r="M361" s="9">
        <f>SUM(I361,J361,K361,L361)</f>
        <v/>
      </c>
      <c r="N361" s="8" t="n">
        <v>14294.6</v>
      </c>
      <c r="O361" s="8" t="n">
        <v>11.3</v>
      </c>
      <c r="P361" s="8" t="n">
        <v>1912.1</v>
      </c>
      <c r="Q361" s="8" t="n">
        <v>33.00000000000001</v>
      </c>
      <c r="R361" s="9">
        <f>SUM(N361,O361,P361,Q361)</f>
        <v/>
      </c>
      <c r="S361" s="9">
        <f>M361+R361</f>
        <v/>
      </c>
      <c r="T361" s="8" t="n">
        <v>1658</v>
      </c>
      <c r="U361" s="10">
        <f>IF(H361=0,"",T361/H361)</f>
        <v/>
      </c>
      <c r="V361" s="8" t="n">
        <v>4.5</v>
      </c>
      <c r="W361" s="11">
        <f>IF(H361=0,"",V361/H361)</f>
        <v/>
      </c>
      <c r="X361" s="8" t="n">
        <v>0</v>
      </c>
      <c r="Y361" s="11">
        <f>IF(H361=0,"",X361/H361)</f>
        <v/>
      </c>
      <c r="Z361" s="8" t="n">
        <v>0</v>
      </c>
      <c r="AA361" s="11">
        <f>IF(H361=0,"",Z361/H361)</f>
        <v/>
      </c>
      <c r="AB361" s="8" t="n">
        <v>0</v>
      </c>
      <c r="AC361" s="11">
        <f>IF(H361=0,"",AB361/H361)</f>
        <v/>
      </c>
      <c r="AD361" s="8" t="n">
        <v>0</v>
      </c>
      <c r="AE361" s="11">
        <f>IF(H361=0,"",AD361/H361)</f>
        <v/>
      </c>
      <c r="AF361" s="8" t="n">
        <v>0</v>
      </c>
      <c r="AG361" s="11">
        <f>IF(H361=0,"",AF361/H361)</f>
        <v/>
      </c>
      <c r="AH361" s="8" t="n">
        <v>117000</v>
      </c>
      <c r="AI361" s="9">
        <f>IF(H361=0,"",AH361/H361)</f>
        <v/>
      </c>
      <c r="AJ361" s="8" t="n">
        <v>3043.17</v>
      </c>
      <c r="AK361" s="11">
        <f>IF(H361=0,"",AJ361/H361)</f>
        <v/>
      </c>
      <c r="AL361" s="8" t="n">
        <v>863332.1995300001</v>
      </c>
      <c r="AM361" s="9">
        <f>IF(H361=0,"",AL361/H361)</f>
        <v/>
      </c>
      <c r="AN361" s="8" t="n">
        <v>0</v>
      </c>
      <c r="AO361" s="8" t="n">
        <v>0</v>
      </c>
      <c r="AP361" s="8" t="n">
        <v>0</v>
      </c>
      <c r="AQ361" s="8" t="n">
        <v>0</v>
      </c>
      <c r="AR361" s="8" t="n">
        <v>0</v>
      </c>
      <c r="AS361" s="8" t="n">
        <v>0</v>
      </c>
      <c r="AT361" s="8" t="n">
        <v>0</v>
      </c>
      <c r="AU361" s="9">
        <f>AH361+AL361+AP361+AQ361+AR361+AS361+AT361</f>
        <v/>
      </c>
      <c r="AV361" s="9">
        <f>IF(H361=0,"",AU361/H361)</f>
        <v/>
      </c>
      <c r="AW361" s="9">
        <f>IF(S361=0,"",AU361/S361)</f>
        <v/>
      </c>
      <c r="AX361" s="8" t="n">
        <v>4</v>
      </c>
      <c r="AY361" s="9">
        <f>IF(H361=0,"",AX361/(H361/1000/12))</f>
        <v/>
      </c>
      <c r="AZ361" s="8" t="n">
        <v>4</v>
      </c>
      <c r="BA361" s="8" t="n">
        <v>38</v>
      </c>
      <c r="BB361" s="8" t="n">
        <v>0</v>
      </c>
      <c r="BC361" s="8" t="n">
        <v>1</v>
      </c>
      <c r="BD361" s="8" t="n">
        <v>0</v>
      </c>
      <c r="BE361" s="9">
        <f>BC361+BD361</f>
        <v/>
      </c>
      <c r="BF361" s="9">
        <f>BA361+BB361-BE361</f>
        <v/>
      </c>
      <c r="BG361" s="8" t="n">
        <v>0</v>
      </c>
      <c r="BH361" s="8" t="n">
        <v>0</v>
      </c>
      <c r="BI361" s="8" t="n">
        <v>0</v>
      </c>
      <c r="BJ361" s="8" t="n">
        <v>0</v>
      </c>
      <c r="BK361" s="9">
        <f>BI361+BJ361</f>
        <v/>
      </c>
      <c r="BL361" s="9">
        <f>BG361+BH361-BK361</f>
        <v/>
      </c>
      <c r="BM361" s="8" t="n">
        <v>0</v>
      </c>
      <c r="BN361" s="8" t="n">
        <v>0</v>
      </c>
      <c r="BO361" s="8" t="n">
        <v>0</v>
      </c>
      <c r="BP361" s="8" t="n">
        <v>0</v>
      </c>
      <c r="BQ361" s="9">
        <f>BO361+BP361</f>
        <v/>
      </c>
      <c r="BR361" s="9">
        <f>BM361+BN361-BQ361</f>
        <v/>
      </c>
      <c r="BS361" s="8" t="n">
        <v>0</v>
      </c>
      <c r="BT361" s="8" t="n">
        <v>0</v>
      </c>
      <c r="BU361" s="8" t="n">
        <v>0</v>
      </c>
      <c r="BV361" s="8" t="n">
        <v>0</v>
      </c>
      <c r="BW361" s="9">
        <f>BU361+BV361</f>
        <v/>
      </c>
      <c r="BX361" s="9">
        <f>BS361+BT361-BW361</f>
        <v/>
      </c>
      <c r="BY361" s="9">
        <f>BA361+BG361+BM361+BS361</f>
        <v/>
      </c>
      <c r="BZ361" s="9">
        <f>BB361+BH361+BN361+BT361</f>
        <v/>
      </c>
      <c r="CA361" s="9">
        <f>BE361+BK361+BQ361+BW361</f>
        <v/>
      </c>
      <c r="CB361" s="9">
        <f>BF361+BL361+BR361+BX361</f>
        <v/>
      </c>
      <c r="CC361" s="8" t="n">
        <v>0</v>
      </c>
      <c r="CD361" s="8" t="n">
        <v>167</v>
      </c>
      <c r="CE361" s="8" t="n">
        <v>8</v>
      </c>
      <c r="CF361" s="8" t="n">
        <v>10</v>
      </c>
      <c r="CG361" s="8" t="n">
        <v>3</v>
      </c>
      <c r="CH361" s="9">
        <f>CD361+CE361+CF361+CG361</f>
        <v/>
      </c>
      <c r="CI361" s="8" t="n">
        <v>81</v>
      </c>
      <c r="CJ361" s="8" t="n">
        <v>2</v>
      </c>
      <c r="CK361" s="8" t="n">
        <v>2</v>
      </c>
      <c r="CL361" s="8" t="n">
        <v>0</v>
      </c>
      <c r="CM361" s="9">
        <f>CI361+CJ361+CK361+CL361</f>
        <v/>
      </c>
      <c r="CN361" s="8" t="n">
        <v>425</v>
      </c>
      <c r="CO361" s="8" t="n">
        <v>32</v>
      </c>
      <c r="CP361" s="8" t="n">
        <v>4</v>
      </c>
      <c r="CQ361" s="8" t="n">
        <v>2</v>
      </c>
      <c r="CR361" s="9">
        <f>CN361+CO361+CP361+CQ361</f>
        <v/>
      </c>
      <c r="CS361" s="9">
        <f>CM361+CR361</f>
        <v/>
      </c>
      <c r="CT361" s="8" t="n">
        <v>736</v>
      </c>
      <c r="CU361" s="8" t="n">
        <v>3739</v>
      </c>
      <c r="CV361" s="8" t="n">
        <v>3636.3</v>
      </c>
      <c r="CW361" s="10">
        <f>IF(CU361=0,"",CV361/CU361)</f>
        <v/>
      </c>
      <c r="CX361" s="8" t="n">
        <v>0</v>
      </c>
      <c r="CY361" s="8" t="n">
        <v>0</v>
      </c>
      <c r="CZ361" s="8" t="n">
        <v>0</v>
      </c>
      <c r="DA361" s="8" t="n">
        <v>0</v>
      </c>
      <c r="DB361" s="9">
        <f>CX361+CY361-CZ361-DA361</f>
        <v/>
      </c>
      <c r="DC361" s="8" t="n">
        <v>0</v>
      </c>
      <c r="DD361" s="8" t="n">
        <v>0</v>
      </c>
      <c r="DE361" s="8" t="n">
        <v>0</v>
      </c>
      <c r="DF361" s="8" t="n">
        <v>0</v>
      </c>
      <c r="DG361" s="9">
        <f>DC361+DD361-DE361-DF361</f>
        <v/>
      </c>
      <c r="DH361" s="8" t="n">
        <v>0</v>
      </c>
      <c r="DI361" s="8" t="n">
        <v>0</v>
      </c>
      <c r="DJ361" s="8" t="n">
        <v>0</v>
      </c>
      <c r="DK361" s="8" t="n">
        <v>0</v>
      </c>
      <c r="DL361" s="9">
        <f>DH361+DI361-DJ361-DK361</f>
        <v/>
      </c>
      <c r="DM361" s="8" t="n">
        <v>0</v>
      </c>
      <c r="DN361" s="8" t="n">
        <v>4</v>
      </c>
      <c r="DO361" s="8" t="n">
        <v>2</v>
      </c>
      <c r="DP361" s="8" t="n">
        <v>2</v>
      </c>
      <c r="DQ361" s="9">
        <f>DM361+DN361-DO361-DP361</f>
        <v/>
      </c>
      <c r="DR361" s="9">
        <f>CX361+DC361+DH361+DM361</f>
        <v/>
      </c>
      <c r="DS361" s="9">
        <f>CY361+DD361+DI361+DN361</f>
        <v/>
      </c>
      <c r="DT361" s="9">
        <f>CZ361+DE361+DJ361+DO361</f>
        <v/>
      </c>
      <c r="DU361" s="9">
        <f>DA361+DF361+DK361+DP361</f>
        <v/>
      </c>
      <c r="DV361" s="9">
        <f>DB361+DG361+DL361+DQ361</f>
        <v/>
      </c>
      <c r="DW361" s="8" t="n">
        <v>13</v>
      </c>
      <c r="DX361" s="8" t="n">
        <v>13</v>
      </c>
      <c r="DY361" s="8" t="n">
        <v>4</v>
      </c>
      <c r="DZ361" s="8" t="n">
        <v>3</v>
      </c>
      <c r="EA361" s="8" t="n">
        <v>4</v>
      </c>
      <c r="EB361" s="8" t="n">
        <v>0</v>
      </c>
      <c r="EC361" s="8" t="n">
        <v>0</v>
      </c>
      <c r="ED361" s="8" t="n">
        <v>0</v>
      </c>
      <c r="EE361" s="8" t="n">
        <v>0</v>
      </c>
      <c r="EF361" s="8" t="n">
        <v>0</v>
      </c>
      <c r="EG361" s="8" t="n">
        <v>0</v>
      </c>
      <c r="EH361" s="8" t="n">
        <v>0</v>
      </c>
      <c r="EI361" s="8" t="n">
        <v>0</v>
      </c>
      <c r="EJ361" s="8" t="n">
        <v>0</v>
      </c>
      <c r="EK361" s="8" t="n">
        <v>0</v>
      </c>
      <c r="EL361" s="8" t="n">
        <v>0</v>
      </c>
      <c r="EM361" s="8" t="n">
        <v>0</v>
      </c>
      <c r="EN361" s="8" t="n">
        <v>0</v>
      </c>
      <c r="EO361" s="8" t="n">
        <v>0</v>
      </c>
      <c r="EP361" s="8" t="n">
        <v>0</v>
      </c>
      <c r="EQ361" s="8" t="n">
        <v>0</v>
      </c>
      <c r="ER361" s="8" t="n">
        <v>0</v>
      </c>
      <c r="ES361" s="8" t="n">
        <v>0</v>
      </c>
      <c r="ET361" s="8" t="n">
        <v>0</v>
      </c>
      <c r="EU361" s="8" t="n">
        <v>0</v>
      </c>
      <c r="EV361" s="8" t="n">
        <v>0</v>
      </c>
      <c r="EW361" s="8" t="n">
        <v>0</v>
      </c>
      <c r="EX361" s="8" t="n">
        <v>0</v>
      </c>
      <c r="EY361" s="8" t="n">
        <v>0</v>
      </c>
      <c r="EZ361" s="8" t="n">
        <v>0</v>
      </c>
      <c r="FA361" s="8" t="n">
        <v>0</v>
      </c>
      <c r="FB361" s="8" t="n">
        <v>0</v>
      </c>
      <c r="FC361" s="8" t="n">
        <v>0</v>
      </c>
      <c r="FD361" s="8" t="n">
        <v>0</v>
      </c>
      <c r="FE361" s="8" t="n">
        <v>0</v>
      </c>
      <c r="FF361" s="8" t="n">
        <v>0</v>
      </c>
      <c r="FG361" s="9">
        <f>SUM(DW361,DX361,DY361,DZ361,EA361,EB361,EC361,ED361,EE361,EF361,EG361,EH361,EI361,EJ361,EK361,EL361,EM361,EN361,EO361,EP361,EQ361,ER361,ES361,ET361,EU361,EV361,EW361,EX361,EY361,EZ361,FA361,FB361,FC361,FD361,FE361,FF361)</f>
        <v/>
      </c>
      <c r="FH361" s="8" t="n">
        <v>0</v>
      </c>
      <c r="FI361" s="8" t="n">
        <v>0</v>
      </c>
      <c r="FJ361" s="8" t="n">
        <v>20</v>
      </c>
      <c r="FK361" s="8" t="n">
        <v>193.5</v>
      </c>
      <c r="FL361" s="8" t="n">
        <v>0</v>
      </c>
      <c r="FM361" s="8" t="n">
        <v>0</v>
      </c>
      <c r="FN361" s="8" t="n">
        <v>0</v>
      </c>
      <c r="FO361" s="8" t="n">
        <v>0</v>
      </c>
      <c r="FP361" s="8" t="n">
        <v>0</v>
      </c>
      <c r="FQ361" s="9">
        <f>FL361+FM361+FN361+FO361+FP361</f>
        <v/>
      </c>
      <c r="FR361" s="8" t="n">
        <v>468678</v>
      </c>
      <c r="FS361" s="8" t="n">
        <v>0</v>
      </c>
      <c r="FT361" s="8" t="n">
        <v>0</v>
      </c>
      <c r="FU361" s="8" t="n">
        <v>0</v>
      </c>
      <c r="FV361" s="9">
        <f>FR361+FS361+FT361+FU361</f>
        <v/>
      </c>
      <c r="FW361" s="8" t="n">
        <v>35798396</v>
      </c>
      <c r="FX361" s="8" t="n">
        <v>6000</v>
      </c>
      <c r="FY361" s="8" t="n">
        <v>157600</v>
      </c>
      <c r="FZ361" s="8" t="n">
        <v>5811500</v>
      </c>
      <c r="GA361" s="9">
        <f>FW361+FX361+FY361+FZ361</f>
        <v/>
      </c>
      <c r="GB361" s="9">
        <f>FV361+GA361</f>
        <v/>
      </c>
      <c r="GC361" s="8" t="n">
        <v>493072.54</v>
      </c>
      <c r="GD361" s="8" t="n">
        <v>0</v>
      </c>
      <c r="GE361" s="8" t="n">
        <v>76744.59</v>
      </c>
      <c r="GF361" s="8" t="n">
        <v>16821.98</v>
      </c>
      <c r="GG361" s="9">
        <f>GC361+GD361+GE361+GF361</f>
        <v/>
      </c>
      <c r="GH361" s="8" t="n">
        <v>35750376</v>
      </c>
      <c r="GI361" s="8" t="n">
        <v>2400</v>
      </c>
      <c r="GJ361" s="8" t="n">
        <v>5811500</v>
      </c>
      <c r="GK361" s="8" t="n">
        <v>157600</v>
      </c>
      <c r="GL361" s="9">
        <f>GH361+GI361+GJ361+GK361</f>
        <v/>
      </c>
      <c r="GM361" s="9">
        <f>GG361+GL361</f>
        <v/>
      </c>
      <c r="GN361" s="8" t="n">
        <v>43811.63</v>
      </c>
      <c r="GO361" s="8" t="n">
        <v>0</v>
      </c>
      <c r="GP361" s="8" t="n">
        <v>6787.28</v>
      </c>
      <c r="GQ361" s="8" t="n">
        <v>9274.68</v>
      </c>
      <c r="GR361" s="9">
        <f>GN361+GO361+GP361+GQ361</f>
        <v/>
      </c>
      <c r="GS361" s="8" t="n">
        <v>72333</v>
      </c>
      <c r="GT361" s="8" t="n">
        <v>0</v>
      </c>
      <c r="GU361" s="8" t="n">
        <v>1786</v>
      </c>
      <c r="GV361" s="8" t="n">
        <v>1786</v>
      </c>
      <c r="GW361" s="9">
        <f>GS361+GT361+GU361+GV361</f>
        <v/>
      </c>
      <c r="GX361" s="9">
        <f>GM361+GR361+GW361</f>
        <v/>
      </c>
      <c r="GY361" s="8" t="n">
        <v>28394956.72000001</v>
      </c>
      <c r="GZ361" s="8" t="n">
        <v>0</v>
      </c>
      <c r="HA361" s="9">
        <f>GY361+GZ361</f>
        <v/>
      </c>
      <c r="HB361" s="9">
        <f>IF(GX361=0,"",AU361/GX361)</f>
        <v/>
      </c>
      <c r="HC361" s="10">
        <f>IF((GX361+GY361)=0,"",GB361/(GX361+GY361))</f>
        <v/>
      </c>
      <c r="HD361" s="9">
        <f>IF(GX361=0,"",GB361/GX361)</f>
        <v/>
      </c>
      <c r="HE361" s="8" t="n">
        <v>2</v>
      </c>
      <c r="HF361" s="8" t="n">
        <v>1</v>
      </c>
      <c r="HG361" s="8" t="n">
        <v>37</v>
      </c>
      <c r="HH361" s="8" t="n">
        <v>0</v>
      </c>
      <c r="HI361" s="8" t="n">
        <v>2</v>
      </c>
      <c r="HJ361" s="9">
        <f>HF361+HI361</f>
        <v/>
      </c>
      <c r="HK361" s="10">
        <f>IF(HE361=0,"",HH361/HE361)</f>
        <v/>
      </c>
      <c r="HL361" s="8" t="n">
        <v>5</v>
      </c>
      <c r="HM361" s="8" t="n">
        <v>5</v>
      </c>
      <c r="HN361" s="11">
        <f>IF(HL361=0,"",HM361/HL361)</f>
        <v/>
      </c>
    </row>
    <row r="362">
      <c r="A362" s="12" t="inlineStr">
        <is>
          <t>Zomba</t>
        </is>
      </c>
      <c r="B362" s="12" t="inlineStr">
        <is>
          <t>Namadzi</t>
        </is>
      </c>
      <c r="C362" s="13" t="inlineStr">
        <is>
          <t>FY2025/26</t>
        </is>
      </c>
      <c r="D362" s="13" t="n">
        <v>2026</v>
      </c>
      <c r="E362" s="13" t="n">
        <v>3</v>
      </c>
      <c r="F362" s="13" t="inlineStr">
        <is>
          <t>March</t>
        </is>
      </c>
      <c r="G362" s="13" t="inlineStr">
        <is>
          <t>Q4</t>
        </is>
      </c>
      <c r="H362" s="14" t="n">
        <v>5652</v>
      </c>
      <c r="I362" s="14" t="n">
        <v>562</v>
      </c>
      <c r="J362" s="14" t="n">
        <v>0</v>
      </c>
      <c r="K362" s="14" t="n">
        <v>74</v>
      </c>
      <c r="L362" s="14" t="n">
        <v>8</v>
      </c>
      <c r="M362" s="15">
        <f>SUM(I362,J362,K362,L362)</f>
        <v/>
      </c>
      <c r="N362" s="14" t="n">
        <v>2000.999999999998</v>
      </c>
      <c r="O362" s="14" t="n">
        <v>7.199999999999999</v>
      </c>
      <c r="P362" s="14" t="n">
        <v>117.5</v>
      </c>
      <c r="Q362" s="14" t="n">
        <v>29.9</v>
      </c>
      <c r="R362" s="15">
        <f>SUM(N362,O362,P362,Q362)</f>
        <v/>
      </c>
      <c r="S362" s="15">
        <f>M362+R362</f>
        <v/>
      </c>
      <c r="T362" s="14" t="n">
        <v>2852.400000000002</v>
      </c>
      <c r="U362" s="16">
        <f>IF(H362=0,"",T362/H362)</f>
        <v/>
      </c>
      <c r="V362" s="14" t="n">
        <v>5.5</v>
      </c>
      <c r="W362" s="17">
        <f>IF(H362=0,"",V362/H362)</f>
        <v/>
      </c>
      <c r="X362" s="14" t="n">
        <v>0</v>
      </c>
      <c r="Y362" s="17">
        <f>IF(H362=0,"",X362/H362)</f>
        <v/>
      </c>
      <c r="Z362" s="14" t="n">
        <v>0</v>
      </c>
      <c r="AA362" s="17">
        <f>IF(H362=0,"",Z362/H362)</f>
        <v/>
      </c>
      <c r="AB362" s="14" t="n">
        <v>0</v>
      </c>
      <c r="AC362" s="17">
        <f>IF(H362=0,"",AB362/H362)</f>
        <v/>
      </c>
      <c r="AD362" s="14" t="n">
        <v>0</v>
      </c>
      <c r="AE362" s="17">
        <f>IF(H362=0,"",AD362/H362)</f>
        <v/>
      </c>
      <c r="AF362" s="14" t="n">
        <v>0</v>
      </c>
      <c r="AG362" s="17">
        <f>IF(H362=0,"",AF362/H362)</f>
        <v/>
      </c>
      <c r="AH362" s="14" t="n">
        <v>143000</v>
      </c>
      <c r="AI362" s="15">
        <f>IF(H362=0,"",AH362/H362)</f>
        <v/>
      </c>
      <c r="AJ362" s="14" t="n">
        <v>3166.26</v>
      </c>
      <c r="AK362" s="17">
        <f>IF(H362=0,"",AJ362/H362)</f>
        <v/>
      </c>
      <c r="AL362" s="14" t="n">
        <v>896973.80434</v>
      </c>
      <c r="AM362" s="15">
        <f>IF(H362=0,"",AL362/H362)</f>
        <v/>
      </c>
      <c r="AN362" s="14" t="n">
        <v>0</v>
      </c>
      <c r="AO362" s="14" t="n">
        <v>0</v>
      </c>
      <c r="AP362" s="14" t="n">
        <v>0</v>
      </c>
      <c r="AQ362" s="14" t="n">
        <v>0</v>
      </c>
      <c r="AR362" s="14" t="n">
        <v>0</v>
      </c>
      <c r="AS362" s="14" t="n">
        <v>0</v>
      </c>
      <c r="AT362" s="14" t="n">
        <v>0</v>
      </c>
      <c r="AU362" s="15">
        <f>AH362+AL362+AP362+AQ362+AR362+AS362+AT362</f>
        <v/>
      </c>
      <c r="AV362" s="15">
        <f>IF(H362=0,"",AU362/H362)</f>
        <v/>
      </c>
      <c r="AW362" s="15">
        <f>IF(S362=0,"",AU362/S362)</f>
        <v/>
      </c>
      <c r="AX362" s="14" t="n">
        <v>4</v>
      </c>
      <c r="AY362" s="15">
        <f>IF(H362=0,"",AX362/(H362/1000/12))</f>
        <v/>
      </c>
      <c r="AZ362" s="14" t="n">
        <v>4</v>
      </c>
      <c r="BA362" s="14" t="n">
        <v>37</v>
      </c>
      <c r="BB362" s="14" t="n">
        <v>0</v>
      </c>
      <c r="BC362" s="14" t="n">
        <v>0</v>
      </c>
      <c r="BD362" s="14" t="n">
        <v>0</v>
      </c>
      <c r="BE362" s="15">
        <f>BC362+BD362</f>
        <v/>
      </c>
      <c r="BF362" s="15">
        <f>BA362+BB362-BE362</f>
        <v/>
      </c>
      <c r="BG362" s="14" t="n">
        <v>0</v>
      </c>
      <c r="BH362" s="14" t="n">
        <v>0</v>
      </c>
      <c r="BI362" s="14" t="n">
        <v>0</v>
      </c>
      <c r="BJ362" s="14" t="n">
        <v>0</v>
      </c>
      <c r="BK362" s="15">
        <f>BI362+BJ362</f>
        <v/>
      </c>
      <c r="BL362" s="15">
        <f>BG362+BH362-BK362</f>
        <v/>
      </c>
      <c r="BM362" s="14" t="n">
        <v>0</v>
      </c>
      <c r="BN362" s="14" t="n">
        <v>0</v>
      </c>
      <c r="BO362" s="14" t="n">
        <v>0</v>
      </c>
      <c r="BP362" s="14" t="n">
        <v>0</v>
      </c>
      <c r="BQ362" s="15">
        <f>BO362+BP362</f>
        <v/>
      </c>
      <c r="BR362" s="15">
        <f>BM362+BN362-BQ362</f>
        <v/>
      </c>
      <c r="BS362" s="14" t="n">
        <v>0</v>
      </c>
      <c r="BT362" s="14" t="n">
        <v>0</v>
      </c>
      <c r="BU362" s="14" t="n">
        <v>0</v>
      </c>
      <c r="BV362" s="14" t="n">
        <v>0</v>
      </c>
      <c r="BW362" s="15">
        <f>BU362+BV362</f>
        <v/>
      </c>
      <c r="BX362" s="15">
        <f>BS362+BT362-BW362</f>
        <v/>
      </c>
      <c r="BY362" s="15">
        <f>BA362+BG362+BM362+BS362</f>
        <v/>
      </c>
      <c r="BZ362" s="15">
        <f>BB362+BH362+BN362+BT362</f>
        <v/>
      </c>
      <c r="CA362" s="15">
        <f>BE362+BK362+BQ362+BW362</f>
        <v/>
      </c>
      <c r="CB362" s="15">
        <f>BF362+BL362+BR362+BX362</f>
        <v/>
      </c>
      <c r="CC362" s="14" t="n">
        <v>0</v>
      </c>
      <c r="CD362" s="14" t="n">
        <v>166</v>
      </c>
      <c r="CE362" s="14" t="n">
        <v>8</v>
      </c>
      <c r="CF362" s="14" t="n">
        <v>10</v>
      </c>
      <c r="CG362" s="14" t="n">
        <v>3</v>
      </c>
      <c r="CH362" s="15">
        <f>CD362+CE362+CF362+CG362</f>
        <v/>
      </c>
      <c r="CI362" s="14" t="n">
        <v>81</v>
      </c>
      <c r="CJ362" s="14" t="n">
        <v>2</v>
      </c>
      <c r="CK362" s="14" t="n">
        <v>2</v>
      </c>
      <c r="CL362" s="14" t="n">
        <v>0</v>
      </c>
      <c r="CM362" s="15">
        <f>CI362+CJ362+CK362+CL362</f>
        <v/>
      </c>
      <c r="CN362" s="14" t="n">
        <v>426</v>
      </c>
      <c r="CO362" s="14" t="n">
        <v>32</v>
      </c>
      <c r="CP362" s="14" t="n">
        <v>4</v>
      </c>
      <c r="CQ362" s="14" t="n">
        <v>2</v>
      </c>
      <c r="CR362" s="15">
        <f>CN362+CO362+CP362+CQ362</f>
        <v/>
      </c>
      <c r="CS362" s="15">
        <f>CM362+CR362</f>
        <v/>
      </c>
      <c r="CT362" s="14" t="n">
        <v>736</v>
      </c>
      <c r="CU362" s="14" t="n">
        <v>3742</v>
      </c>
      <c r="CV362" s="14" t="n">
        <v>3636</v>
      </c>
      <c r="CW362" s="16">
        <f>IF(CU362=0,"",CV362/CU362)</f>
        <v/>
      </c>
      <c r="CX362" s="14" t="n"/>
      <c r="CY362" s="14" t="n"/>
      <c r="CZ362" s="14" t="n"/>
      <c r="DA362" s="14" t="n"/>
      <c r="DB362" s="15">
        <f>CX362+CY362-CZ362-DA362</f>
        <v/>
      </c>
      <c r="DC362" s="14" t="n">
        <v>0</v>
      </c>
      <c r="DD362" s="14" t="n">
        <v>0</v>
      </c>
      <c r="DE362" s="14" t="n">
        <v>0</v>
      </c>
      <c r="DF362" s="14" t="n">
        <v>0</v>
      </c>
      <c r="DG362" s="15">
        <f>DC362+DD362-DE362-DF362</f>
        <v/>
      </c>
      <c r="DH362" s="14" t="n">
        <v>0</v>
      </c>
      <c r="DI362" s="14" t="n">
        <v>0</v>
      </c>
      <c r="DJ362" s="14" t="n">
        <v>0</v>
      </c>
      <c r="DK362" s="14" t="n">
        <v>0</v>
      </c>
      <c r="DL362" s="15">
        <f>DH362+DI362-DJ362-DK362</f>
        <v/>
      </c>
      <c r="DM362" s="14" t="n">
        <v>0</v>
      </c>
      <c r="DN362" s="14" t="n">
        <v>0</v>
      </c>
      <c r="DO362" s="14" t="n">
        <v>0</v>
      </c>
      <c r="DP362" s="14" t="n">
        <v>0</v>
      </c>
      <c r="DQ362" s="15">
        <f>DM362+DN362-DO362-DP362</f>
        <v/>
      </c>
      <c r="DR362" s="15">
        <f>CX362+DC362+DH362+DM362</f>
        <v/>
      </c>
      <c r="DS362" s="15">
        <f>CY362+DD362+DI362+DN362</f>
        <v/>
      </c>
      <c r="DT362" s="15">
        <f>CZ362+DE362+DJ362+DO362</f>
        <v/>
      </c>
      <c r="DU362" s="15">
        <f>DA362+DF362+DK362+DP362</f>
        <v/>
      </c>
      <c r="DV362" s="15">
        <f>DB362+DG362+DL362+DQ362</f>
        <v/>
      </c>
      <c r="DW362" s="14" t="n">
        <v>20</v>
      </c>
      <c r="DX362" s="14" t="n">
        <v>12</v>
      </c>
      <c r="DY362" s="14" t="n">
        <v>4</v>
      </c>
      <c r="DZ362" s="14" t="n">
        <v>2</v>
      </c>
      <c r="EA362" s="14" t="n">
        <v>2</v>
      </c>
      <c r="EB362" s="14" t="n">
        <v>0</v>
      </c>
      <c r="EC362" s="14" t="n">
        <v>0</v>
      </c>
      <c r="ED362" s="14" t="n">
        <v>0</v>
      </c>
      <c r="EE362" s="14" t="n">
        <v>0</v>
      </c>
      <c r="EF362" s="14" t="n">
        <v>0</v>
      </c>
      <c r="EG362" s="14" t="n">
        <v>0</v>
      </c>
      <c r="EH362" s="14" t="n">
        <v>0</v>
      </c>
      <c r="EI362" s="14" t="n">
        <v>0</v>
      </c>
      <c r="EJ362" s="14" t="n">
        <v>0</v>
      </c>
      <c r="EK362" s="14" t="n">
        <v>0</v>
      </c>
      <c r="EL362" s="14" t="n">
        <v>0</v>
      </c>
      <c r="EM362" s="14" t="n">
        <v>0</v>
      </c>
      <c r="EN362" s="14" t="n">
        <v>0</v>
      </c>
      <c r="EO362" s="14" t="n">
        <v>0</v>
      </c>
      <c r="EP362" s="14" t="n">
        <v>0</v>
      </c>
      <c r="EQ362" s="14" t="n">
        <v>0</v>
      </c>
      <c r="ER362" s="14" t="n">
        <v>0</v>
      </c>
      <c r="ES362" s="14" t="n">
        <v>0</v>
      </c>
      <c r="ET362" s="14" t="n">
        <v>0</v>
      </c>
      <c r="EU362" s="14" t="n">
        <v>0</v>
      </c>
      <c r="EV362" s="14" t="n">
        <v>0</v>
      </c>
      <c r="EW362" s="14" t="n">
        <v>0</v>
      </c>
      <c r="EX362" s="14" t="n">
        <v>0</v>
      </c>
      <c r="EY362" s="14" t="n">
        <v>0</v>
      </c>
      <c r="EZ362" s="14" t="n">
        <v>0</v>
      </c>
      <c r="FA362" s="14" t="n">
        <v>0</v>
      </c>
      <c r="FB362" s="14" t="n">
        <v>0</v>
      </c>
      <c r="FC362" s="14" t="n">
        <v>0</v>
      </c>
      <c r="FD362" s="14" t="n">
        <v>0</v>
      </c>
      <c r="FE362" s="14" t="n">
        <v>0</v>
      </c>
      <c r="FF362" s="14" t="n">
        <v>0</v>
      </c>
      <c r="FG362" s="15">
        <f>SUM(DW362,DX362,DY362,DZ362,EA362,EB362,EC362,ED362,EE362,EF362,EG362,EH362,EI362,EJ362,EK362,EL362,EM362,EN362,EO362,EP362,EQ362,ER362,ES362,ET362,EU362,EV362,EW362,EX362,EY362,EZ362,FA362,FB362,FC362,FD362,FE362,FF362)</f>
        <v/>
      </c>
      <c r="FH362" s="14" t="n">
        <v>0</v>
      </c>
      <c r="FI362" s="14" t="n">
        <v>0</v>
      </c>
      <c r="FJ362" s="14" t="n">
        <v>22</v>
      </c>
      <c r="FK362" s="14" t="n">
        <v>46.5</v>
      </c>
      <c r="FL362" s="14" t="n">
        <v>150</v>
      </c>
      <c r="FM362" s="14" t="n">
        <v>0</v>
      </c>
      <c r="FN362" s="14" t="n">
        <v>0</v>
      </c>
      <c r="FO362" s="14" t="n">
        <v>0</v>
      </c>
      <c r="FP362" s="14" t="n">
        <v>0</v>
      </c>
      <c r="FQ362" s="15">
        <f>FL362+FM362+FN362+FO362+FP362</f>
        <v/>
      </c>
      <c r="FR362" s="14" t="n">
        <v>727307.27</v>
      </c>
      <c r="FS362" s="14" t="n">
        <v>0</v>
      </c>
      <c r="FT362" s="14" t="n">
        <v>0</v>
      </c>
      <c r="FU362" s="14" t="n">
        <v>0</v>
      </c>
      <c r="FV362" s="15">
        <f>FR362+FS362+FT362+FU362</f>
        <v/>
      </c>
      <c r="FW362" s="14" t="n">
        <v>2550856</v>
      </c>
      <c r="FX362" s="14" t="n">
        <v>3800</v>
      </c>
      <c r="FY362" s="14" t="n">
        <v>143700</v>
      </c>
      <c r="FZ362" s="14" t="n">
        <v>357000</v>
      </c>
      <c r="GA362" s="15">
        <f>FW362+FX362+FY362+FZ362</f>
        <v/>
      </c>
      <c r="GB362" s="15">
        <f>FV362+GA362</f>
        <v/>
      </c>
      <c r="GC362" s="14" t="n">
        <v>491302.83</v>
      </c>
      <c r="GD362" s="14" t="n">
        <v>0</v>
      </c>
      <c r="GE362" s="14" t="n">
        <v>234120.49</v>
      </c>
      <c r="GF362" s="14" t="n">
        <v>16821.98</v>
      </c>
      <c r="GG362" s="15">
        <f>GC362+GD362+GE362+GF362</f>
        <v/>
      </c>
      <c r="GH362" s="14" t="n">
        <v>2496796</v>
      </c>
      <c r="GI362" s="14" t="n">
        <v>1520</v>
      </c>
      <c r="GJ362" s="14" t="n">
        <v>357000</v>
      </c>
      <c r="GK362" s="14" t="n">
        <v>143700</v>
      </c>
      <c r="GL362" s="15">
        <f>GH362+GI362+GJ362+GK362</f>
        <v/>
      </c>
      <c r="GM362" s="15">
        <f>GG362+GL362</f>
        <v/>
      </c>
      <c r="GN362" s="14" t="n">
        <v>43647.78</v>
      </c>
      <c r="GO362" s="14" t="n">
        <v>0</v>
      </c>
      <c r="GP362" s="14" t="n">
        <v>6787.28</v>
      </c>
      <c r="GQ362" s="14" t="n">
        <v>9274.68</v>
      </c>
      <c r="GR362" s="15">
        <f>GN362+GO362+GP362+GQ362</f>
        <v/>
      </c>
      <c r="GS362" s="14" t="n">
        <v>72333</v>
      </c>
      <c r="GT362" s="14" t="n">
        <v>0</v>
      </c>
      <c r="GU362" s="14" t="n">
        <v>1786</v>
      </c>
      <c r="GV362" s="14" t="n">
        <v>1786</v>
      </c>
      <c r="GW362" s="15">
        <f>GS362+GT362+GU362+GV362</f>
        <v/>
      </c>
      <c r="GX362" s="15">
        <f>GM362+GR362+GW362</f>
        <v/>
      </c>
      <c r="GY362" s="14" t="n">
        <v>28354574.33999999</v>
      </c>
      <c r="GZ362" s="14" t="n">
        <v>0</v>
      </c>
      <c r="HA362" s="9">
        <f>GY362+GZ362</f>
        <v/>
      </c>
      <c r="HB362" s="15">
        <f>IF(GX362=0,"",AU362/GX362)</f>
        <v/>
      </c>
      <c r="HC362" s="16">
        <f>IF((GX362+GY362)=0,"",GB362/(GX362+GY362))</f>
        <v/>
      </c>
      <c r="HD362" s="15">
        <f>IF(GX362=0,"",GB362/GX362)</f>
        <v/>
      </c>
      <c r="HE362" s="14" t="n">
        <v>2</v>
      </c>
      <c r="HF362" s="14" t="n">
        <v>1</v>
      </c>
      <c r="HG362" s="14" t="n">
        <v>37</v>
      </c>
      <c r="HH362" s="14" t="n">
        <v>0</v>
      </c>
      <c r="HI362" s="14" t="n">
        <v>0</v>
      </c>
      <c r="HJ362" s="15">
        <f>HF362+HI362</f>
        <v/>
      </c>
      <c r="HK362" s="16">
        <f>IF(HE362=0,"",HH362/HE362)</f>
        <v/>
      </c>
      <c r="HL362" s="14" t="n">
        <v>5</v>
      </c>
      <c r="HM362" s="14" t="n">
        <v>5</v>
      </c>
      <c r="HN362" s="17">
        <f>IF(HL362=0,"",HM362/HL362)</f>
        <v/>
      </c>
    </row>
    <row r="363">
      <c r="A363" s="6" t="inlineStr">
        <is>
          <t>Zomba</t>
        </is>
      </c>
      <c r="B363" s="6" t="inlineStr">
        <is>
          <t>Neno</t>
        </is>
      </c>
      <c r="C363" s="7" t="inlineStr">
        <is>
          <t>FY2025/26</t>
        </is>
      </c>
      <c r="D363" s="7" t="n">
        <v>2025</v>
      </c>
      <c r="E363" s="7" t="n">
        <v>4</v>
      </c>
      <c r="F363" s="7" t="inlineStr">
        <is>
          <t>April</t>
        </is>
      </c>
      <c r="G363" s="7" t="inlineStr">
        <is>
          <t>Q1</t>
        </is>
      </c>
      <c r="H363" s="8" t="n">
        <v>7850</v>
      </c>
      <c r="I363" s="8" t="n">
        <v>3983</v>
      </c>
      <c r="J363" s="8" t="n">
        <v>10</v>
      </c>
      <c r="K363" s="8" t="n">
        <v>55</v>
      </c>
      <c r="L363" s="8" t="n">
        <v>47</v>
      </c>
      <c r="M363" s="9">
        <f>SUM(I363,J363,K363,L363)</f>
        <v/>
      </c>
      <c r="N363" s="8" t="n">
        <v>865.500000000001</v>
      </c>
      <c r="O363" s="8" t="n">
        <v>0</v>
      </c>
      <c r="P363" s="8" t="n">
        <v>145.4</v>
      </c>
      <c r="Q363" s="8" t="n">
        <v>76.5</v>
      </c>
      <c r="R363" s="9">
        <f>SUM(N363,O363,P363,Q363)</f>
        <v/>
      </c>
      <c r="S363" s="9">
        <f>M363+R363</f>
        <v/>
      </c>
      <c r="T363" s="8" t="n">
        <v>2667.6</v>
      </c>
      <c r="U363" s="10">
        <f>IF(H363=0,"",T363/H363)</f>
        <v/>
      </c>
      <c r="V363" s="8" t="n">
        <v>10</v>
      </c>
      <c r="W363" s="11">
        <f>IF(H363=0,"",V363/H363)</f>
        <v/>
      </c>
      <c r="X363" s="8" t="n">
        <v>0</v>
      </c>
      <c r="Y363" s="11">
        <f>IF(H363=0,"",X363/H363)</f>
        <v/>
      </c>
      <c r="Z363" s="8" t="n">
        <v>0</v>
      </c>
      <c r="AA363" s="11">
        <f>IF(H363=0,"",Z363/H363)</f>
        <v/>
      </c>
      <c r="AB363" s="8" t="n">
        <v>0</v>
      </c>
      <c r="AC363" s="11">
        <f>IF(H363=0,"",AB363/H363)</f>
        <v/>
      </c>
      <c r="AD363" s="8" t="n">
        <v>0</v>
      </c>
      <c r="AE363" s="11">
        <f>IF(H363=0,"",AD363/H363)</f>
        <v/>
      </c>
      <c r="AF363" s="8" t="n">
        <v>0</v>
      </c>
      <c r="AG363" s="11">
        <f>IF(H363=0,"",AF363/H363)</f>
        <v/>
      </c>
      <c r="AH363" s="8" t="n">
        <v>260000</v>
      </c>
      <c r="AI363" s="9">
        <f>IF(H363=0,"",AH363/H363)</f>
        <v/>
      </c>
      <c r="AJ363" s="8" t="n">
        <v>6086.62</v>
      </c>
      <c r="AK363" s="11">
        <f>IF(H363=0,"",AJ363/H363)</f>
        <v/>
      </c>
      <c r="AL363" s="8" t="n">
        <v>1695134.47558</v>
      </c>
      <c r="AM363" s="9">
        <f>IF(H363=0,"",AL363/H363)</f>
        <v/>
      </c>
      <c r="AN363" s="8" t="n">
        <v>0</v>
      </c>
      <c r="AO363" s="8" t="n">
        <v>0</v>
      </c>
      <c r="AP363" s="8" t="n">
        <v>0</v>
      </c>
      <c r="AQ363" s="8" t="n">
        <v>0</v>
      </c>
      <c r="AR363" s="8" t="n">
        <v>3463589.38</v>
      </c>
      <c r="AS363" s="8" t="n">
        <v>1311680.83</v>
      </c>
      <c r="AT363" s="8" t="n">
        <v>0</v>
      </c>
      <c r="AU363" s="9">
        <f>AH363+AL363+AP363+AQ363+AR363+AS363+AT363</f>
        <v/>
      </c>
      <c r="AV363" s="9">
        <f>IF(H363=0,"",AU363/H363)</f>
        <v/>
      </c>
      <c r="AW363" s="9">
        <f>IF(S363=0,"",AU363/S363)</f>
        <v/>
      </c>
      <c r="AX363" s="8" t="n">
        <v>5</v>
      </c>
      <c r="AY363" s="9">
        <f>IF(H363=0,"",AX363/(H363/1000/12))</f>
        <v/>
      </c>
      <c r="AZ363" s="8" t="n">
        <v>15</v>
      </c>
      <c r="BA363" s="8" t="n">
        <v>17</v>
      </c>
      <c r="BB363" s="8" t="n">
        <v>6</v>
      </c>
      <c r="BC363" s="8" t="n">
        <v>6</v>
      </c>
      <c r="BD363" s="8" t="n">
        <v>0</v>
      </c>
      <c r="BE363" s="9">
        <f>BC363+BD363</f>
        <v/>
      </c>
      <c r="BF363" s="9">
        <f>BA363+BB363-BE363</f>
        <v/>
      </c>
      <c r="BG363" s="8" t="n">
        <v>0</v>
      </c>
      <c r="BH363" s="8" t="n">
        <v>0</v>
      </c>
      <c r="BI363" s="8" t="n">
        <v>0</v>
      </c>
      <c r="BJ363" s="8" t="n">
        <v>0</v>
      </c>
      <c r="BK363" s="9">
        <f>BI363+BJ363</f>
        <v/>
      </c>
      <c r="BL363" s="9">
        <f>BG363+BH363-BK363</f>
        <v/>
      </c>
      <c r="BM363" s="8" t="n">
        <v>0</v>
      </c>
      <c r="BN363" s="8" t="n">
        <v>0</v>
      </c>
      <c r="BO363" s="8" t="n">
        <v>0</v>
      </c>
      <c r="BP363" s="8" t="n">
        <v>0</v>
      </c>
      <c r="BQ363" s="9">
        <f>BO363+BP363</f>
        <v/>
      </c>
      <c r="BR363" s="9">
        <f>BM363+BN363-BQ363</f>
        <v/>
      </c>
      <c r="BS363" s="8" t="n">
        <v>0</v>
      </c>
      <c r="BT363" s="8" t="n">
        <v>0</v>
      </c>
      <c r="BU363" s="8" t="n">
        <v>0</v>
      </c>
      <c r="BV363" s="8" t="n">
        <v>0</v>
      </c>
      <c r="BW363" s="9">
        <f>BU363+BV363</f>
        <v/>
      </c>
      <c r="BX363" s="9">
        <f>BS363+BT363-BW363</f>
        <v/>
      </c>
      <c r="BY363" s="9">
        <f>BA363+BG363+BM363+BS363</f>
        <v/>
      </c>
      <c r="BZ363" s="9">
        <f>BB363+BH363+BN363+BT363</f>
        <v/>
      </c>
      <c r="CA363" s="9">
        <f>BE363+BK363+BQ363+BW363</f>
        <v/>
      </c>
      <c r="CB363" s="9">
        <f>BF363+BL363+BR363+BX363</f>
        <v/>
      </c>
      <c r="CC363" s="8" t="n">
        <v>0</v>
      </c>
      <c r="CD363" s="8" t="n">
        <v>156</v>
      </c>
      <c r="CE363" s="8" t="n">
        <v>4</v>
      </c>
      <c r="CF363" s="8" t="n">
        <v>2</v>
      </c>
      <c r="CG363" s="8" t="n">
        <v>3</v>
      </c>
      <c r="CH363" s="9">
        <f>CD363+CE363+CF363+CG363</f>
        <v/>
      </c>
      <c r="CI363" s="8" t="n">
        <v>641</v>
      </c>
      <c r="CJ363" s="8" t="n">
        <v>9</v>
      </c>
      <c r="CK363" s="8" t="n">
        <v>13</v>
      </c>
      <c r="CL363" s="8" t="n">
        <v>2</v>
      </c>
      <c r="CM363" s="9">
        <f>CI363+CJ363+CK363+CL363</f>
        <v/>
      </c>
      <c r="CN363" s="8" t="n">
        <v>104</v>
      </c>
      <c r="CO363" s="8" t="n">
        <v>19</v>
      </c>
      <c r="CP363" s="8" t="n">
        <v>7</v>
      </c>
      <c r="CQ363" s="8" t="n">
        <v>0</v>
      </c>
      <c r="CR363" s="9">
        <f>CN363+CO363+CP363+CQ363</f>
        <v/>
      </c>
      <c r="CS363" s="9">
        <f>CM363+CR363</f>
        <v/>
      </c>
      <c r="CT363" s="8" t="n">
        <v>960</v>
      </c>
      <c r="CU363" s="8" t="n">
        <v>3031</v>
      </c>
      <c r="CV363" s="8" t="n">
        <v>3010</v>
      </c>
      <c r="CW363" s="10">
        <f>IF(CU363=0,"",CV363/CU363)</f>
        <v/>
      </c>
      <c r="CX363" s="8" t="n">
        <v>0</v>
      </c>
      <c r="CY363" s="8" t="n">
        <v>0</v>
      </c>
      <c r="CZ363" s="8" t="n">
        <v>0</v>
      </c>
      <c r="DA363" s="8" t="n">
        <v>0</v>
      </c>
      <c r="DB363" s="9">
        <f>CX363+CY363-CZ363-DA363</f>
        <v/>
      </c>
      <c r="DC363" s="8" t="n">
        <v>0</v>
      </c>
      <c r="DD363" s="8" t="n">
        <v>0</v>
      </c>
      <c r="DE363" s="8" t="n">
        <v>0</v>
      </c>
      <c r="DF363" s="8" t="n">
        <v>0</v>
      </c>
      <c r="DG363" s="9">
        <f>DC363+DD363-DE363-DF363</f>
        <v/>
      </c>
      <c r="DH363" s="8" t="n">
        <v>0</v>
      </c>
      <c r="DI363" s="8" t="n">
        <v>0</v>
      </c>
      <c r="DJ363" s="8" t="n">
        <v>0</v>
      </c>
      <c r="DK363" s="8" t="n">
        <v>0</v>
      </c>
      <c r="DL363" s="9">
        <f>DH363+DI363-DJ363-DK363</f>
        <v/>
      </c>
      <c r="DM363" s="8" t="n">
        <v>0</v>
      </c>
      <c r="DN363" s="8" t="n">
        <v>1</v>
      </c>
      <c r="DO363" s="8" t="n">
        <v>1</v>
      </c>
      <c r="DP363" s="8" t="n">
        <v>0</v>
      </c>
      <c r="DQ363" s="9">
        <f>DM363+DN363-DO363-DP363</f>
        <v/>
      </c>
      <c r="DR363" s="9">
        <f>CX363+DC363+DH363+DM363</f>
        <v/>
      </c>
      <c r="DS363" s="9">
        <f>CY363+DD363+DI363+DN363</f>
        <v/>
      </c>
      <c r="DT363" s="9">
        <f>CZ363+DE363+DJ363+DO363</f>
        <v/>
      </c>
      <c r="DU363" s="9">
        <f>DA363+DF363+DK363+DP363</f>
        <v/>
      </c>
      <c r="DV363" s="9">
        <f>DB363+DG363+DL363+DQ363</f>
        <v/>
      </c>
      <c r="DW363" s="8" t="n">
        <v>5</v>
      </c>
      <c r="DX363" s="8" t="n">
        <v>1</v>
      </c>
      <c r="DY363" s="8" t="n">
        <v>0</v>
      </c>
      <c r="DZ363" s="8" t="n">
        <v>0</v>
      </c>
      <c r="EA363" s="8" t="n">
        <v>0</v>
      </c>
      <c r="EB363" s="8" t="n">
        <v>1</v>
      </c>
      <c r="EC363" s="8" t="n">
        <v>0</v>
      </c>
      <c r="ED363" s="8" t="n">
        <v>0</v>
      </c>
      <c r="EE363" s="8" t="n">
        <v>0</v>
      </c>
      <c r="EF363" s="8" t="n">
        <v>0</v>
      </c>
      <c r="EG363" s="8" t="n">
        <v>0</v>
      </c>
      <c r="EH363" s="8" t="n">
        <v>0</v>
      </c>
      <c r="EI363" s="8" t="n">
        <v>0</v>
      </c>
      <c r="EJ363" s="8" t="n">
        <v>0</v>
      </c>
      <c r="EK363" s="8" t="n">
        <v>0</v>
      </c>
      <c r="EL363" s="8" t="n">
        <v>0</v>
      </c>
      <c r="EM363" s="8" t="n">
        <v>0</v>
      </c>
      <c r="EN363" s="8" t="n">
        <v>0</v>
      </c>
      <c r="EO363" s="8" t="n">
        <v>0</v>
      </c>
      <c r="EP363" s="8" t="n">
        <v>0</v>
      </c>
      <c r="EQ363" s="8" t="n">
        <v>0</v>
      </c>
      <c r="ER363" s="8" t="n">
        <v>0</v>
      </c>
      <c r="ES363" s="8" t="n">
        <v>0</v>
      </c>
      <c r="ET363" s="8" t="n">
        <v>0</v>
      </c>
      <c r="EU363" s="8" t="n">
        <v>0</v>
      </c>
      <c r="EV363" s="8" t="n">
        <v>0</v>
      </c>
      <c r="EW363" s="8" t="n">
        <v>0</v>
      </c>
      <c r="EX363" s="8" t="n">
        <v>0</v>
      </c>
      <c r="EY363" s="8" t="n">
        <v>0</v>
      </c>
      <c r="EZ363" s="8" t="n">
        <v>0</v>
      </c>
      <c r="FA363" s="8" t="n">
        <v>0</v>
      </c>
      <c r="FB363" s="8" t="n">
        <v>0</v>
      </c>
      <c r="FC363" s="8" t="n">
        <v>0</v>
      </c>
      <c r="FD363" s="8" t="n">
        <v>0</v>
      </c>
      <c r="FE363" s="8" t="n">
        <v>0</v>
      </c>
      <c r="FF363" s="8" t="n">
        <v>0</v>
      </c>
      <c r="FG363" s="9">
        <f>SUM(DW363,DX363,DY363,DZ363,EA363,EB363,EC363,ED363,EE363,EF363,EG363,EH363,EI363,EJ363,EK363,EL363,EM363,EN363,EO363,EP363,EQ363,ER363,ES363,ET363,EU363,EV363,EW363,EX363,EY363,EZ363,FA363,FB363,FC363,FD363,FE363,FF363)</f>
        <v/>
      </c>
      <c r="FH363" s="8" t="n">
        <v>0</v>
      </c>
      <c r="FI363" s="8" t="n">
        <v>0</v>
      </c>
      <c r="FJ363" s="8" t="n">
        <v>12</v>
      </c>
      <c r="FK363" s="8" t="n">
        <v>32</v>
      </c>
      <c r="FL363" s="8" t="n">
        <v>0</v>
      </c>
      <c r="FM363" s="8" t="n">
        <v>0</v>
      </c>
      <c r="FN363" s="8" t="n">
        <v>0</v>
      </c>
      <c r="FO363" s="8" t="n">
        <v>0</v>
      </c>
      <c r="FP363" s="8" t="n">
        <v>0</v>
      </c>
      <c r="FQ363" s="9">
        <f>FL363+FM363+FN363+FO363+FP363</f>
        <v/>
      </c>
      <c r="FR363" s="8" t="n">
        <v>1899905.58</v>
      </c>
      <c r="FS363" s="8" t="n">
        <v>0</v>
      </c>
      <c r="FT363" s="8" t="n">
        <v>804000</v>
      </c>
      <c r="FU363" s="8" t="n">
        <v>50000</v>
      </c>
      <c r="FV363" s="9">
        <f>FR363+FS363+FT363+FU363</f>
        <v/>
      </c>
      <c r="FW363" s="8" t="n">
        <v>1148850</v>
      </c>
      <c r="FX363" s="8" t="n">
        <v>0</v>
      </c>
      <c r="FY363" s="8" t="n">
        <v>364500</v>
      </c>
      <c r="FZ363" s="8" t="n">
        <v>447700</v>
      </c>
      <c r="GA363" s="9">
        <f>FW363+FX363+FY363+FZ363</f>
        <v/>
      </c>
      <c r="GB363" s="9">
        <f>FV363+GA363</f>
        <v/>
      </c>
      <c r="GC363" s="8" t="n">
        <v>3635928.2</v>
      </c>
      <c r="GD363" s="8" t="n">
        <v>1912.8</v>
      </c>
      <c r="GE363" s="8" t="n">
        <v>126972.13</v>
      </c>
      <c r="GF363" s="8" t="n">
        <v>109342.87</v>
      </c>
      <c r="GG363" s="9">
        <f>GC363+GD363+GE363+GF363</f>
        <v/>
      </c>
      <c r="GH363" s="8" t="n">
        <v>1080542.06</v>
      </c>
      <c r="GI363" s="8" t="n">
        <v>0</v>
      </c>
      <c r="GJ363" s="8" t="n">
        <v>441700</v>
      </c>
      <c r="GK363" s="8" t="n">
        <v>362100</v>
      </c>
      <c r="GL363" s="9">
        <f>GH363+GI363+GJ363+GK363</f>
        <v/>
      </c>
      <c r="GM363" s="9">
        <f>GG363+GL363</f>
        <v/>
      </c>
      <c r="GN363" s="8" t="n">
        <v>350260.58</v>
      </c>
      <c r="GO363" s="8" t="n">
        <v>382.56</v>
      </c>
      <c r="GP363" s="8" t="n">
        <v>30542.76</v>
      </c>
      <c r="GQ363" s="8" t="n">
        <v>60285.42</v>
      </c>
      <c r="GR363" s="9">
        <f>GN363+GO363+GP363+GQ363</f>
        <v/>
      </c>
      <c r="GS363" s="8" t="n">
        <v>572413</v>
      </c>
      <c r="GT363" s="8" t="n">
        <v>1786</v>
      </c>
      <c r="GU363" s="8" t="n">
        <v>8037</v>
      </c>
      <c r="GV363" s="8" t="n">
        <v>11609</v>
      </c>
      <c r="GW363" s="9">
        <f>GS363+GT363+GU363+GV363</f>
        <v/>
      </c>
      <c r="GX363" s="9">
        <f>GM363+GR363+GW363</f>
        <v/>
      </c>
      <c r="GY363" s="8" t="n">
        <v>52831486.41999991</v>
      </c>
      <c r="GZ363" s="8" t="n">
        <v>0</v>
      </c>
      <c r="HA363" s="9">
        <f>GY363+GZ363</f>
        <v/>
      </c>
      <c r="HB363" s="9">
        <f>IF(GX363=0,"",AU363/GX363)</f>
        <v/>
      </c>
      <c r="HC363" s="10">
        <f>IF((GX363+GY363)=0,"",GB363/(GX363+GY363))</f>
        <v/>
      </c>
      <c r="HD363" s="9">
        <f>IF(GX363=0,"",GB363/GX363)</f>
        <v/>
      </c>
      <c r="HE363" s="8" t="n">
        <v>5</v>
      </c>
      <c r="HF363" s="8" t="n">
        <v>11</v>
      </c>
      <c r="HG363" s="8" t="n">
        <v>17</v>
      </c>
      <c r="HH363" s="8" t="n">
        <v>6</v>
      </c>
      <c r="HI363" s="8" t="n">
        <v>10</v>
      </c>
      <c r="HJ363" s="9">
        <f>HF363+HI363</f>
        <v/>
      </c>
      <c r="HK363" s="10">
        <f>IF(HE363=0,"",HH363/HE363)</f>
        <v/>
      </c>
      <c r="HL363" s="8" t="n">
        <v>30</v>
      </c>
      <c r="HM363" s="8" t="n">
        <v>30</v>
      </c>
      <c r="HN363" s="11">
        <f>IF(HL363=0,"",HM363/HL363)</f>
        <v/>
      </c>
    </row>
    <row r="364">
      <c r="A364" s="12" t="inlineStr">
        <is>
          <t>Zomba</t>
        </is>
      </c>
      <c r="B364" s="12" t="inlineStr">
        <is>
          <t>Neno</t>
        </is>
      </c>
      <c r="C364" s="13" t="inlineStr">
        <is>
          <t>FY2025/26</t>
        </is>
      </c>
      <c r="D364" s="13" t="n">
        <v>2025</v>
      </c>
      <c r="E364" s="13" t="n">
        <v>5</v>
      </c>
      <c r="F364" s="13" t="inlineStr">
        <is>
          <t>May</t>
        </is>
      </c>
      <c r="G364" s="13" t="inlineStr">
        <is>
          <t>Q1</t>
        </is>
      </c>
      <c r="H364" s="14" t="n">
        <v>6497</v>
      </c>
      <c r="I364" s="14" t="n">
        <v>3631</v>
      </c>
      <c r="J364" s="14" t="n">
        <v>10</v>
      </c>
      <c r="K364" s="14" t="n">
        <v>43</v>
      </c>
      <c r="L364" s="14" t="n">
        <v>43</v>
      </c>
      <c r="M364" s="15">
        <f>SUM(I364,J364,K364,L364)</f>
        <v/>
      </c>
      <c r="N364" s="14" t="n">
        <v>888.200000000001</v>
      </c>
      <c r="O364" s="14" t="n">
        <v>0</v>
      </c>
      <c r="P364" s="14" t="n">
        <v>120.4</v>
      </c>
      <c r="Q364" s="14" t="n">
        <v>148.5</v>
      </c>
      <c r="R364" s="15">
        <f>SUM(N364,O364,P364,Q364)</f>
        <v/>
      </c>
      <c r="S364" s="15">
        <f>M364+R364</f>
        <v/>
      </c>
      <c r="T364" s="14" t="n">
        <v>1612.9</v>
      </c>
      <c r="U364" s="16">
        <f>IF(H364=0,"",T364/H364)</f>
        <v/>
      </c>
      <c r="V364" s="14" t="n">
        <v>15</v>
      </c>
      <c r="W364" s="17">
        <f>IF(H364=0,"",V364/H364)</f>
        <v/>
      </c>
      <c r="X364" s="14" t="n">
        <v>0</v>
      </c>
      <c r="Y364" s="17">
        <f>IF(H364=0,"",X364/H364)</f>
        <v/>
      </c>
      <c r="Z364" s="14" t="n">
        <v>0</v>
      </c>
      <c r="AA364" s="17">
        <f>IF(H364=0,"",Z364/H364)</f>
        <v/>
      </c>
      <c r="AB364" s="14" t="n">
        <v>0</v>
      </c>
      <c r="AC364" s="17">
        <f>IF(H364=0,"",AB364/H364)</f>
        <v/>
      </c>
      <c r="AD364" s="14" t="n">
        <v>0</v>
      </c>
      <c r="AE364" s="17">
        <f>IF(H364=0,"",AD364/H364)</f>
        <v/>
      </c>
      <c r="AF364" s="14" t="n">
        <v>0</v>
      </c>
      <c r="AG364" s="17">
        <f>IF(H364=0,"",AF364/H364)</f>
        <v/>
      </c>
      <c r="AH364" s="14" t="n">
        <v>390000</v>
      </c>
      <c r="AI364" s="15">
        <f>IF(H364=0,"",AH364/H364)</f>
        <v/>
      </c>
      <c r="AJ364" s="14" t="n">
        <v>7820</v>
      </c>
      <c r="AK364" s="17">
        <f>IF(H364=0,"",AJ364/H364)</f>
        <v/>
      </c>
      <c r="AL364" s="14" t="n">
        <v>2168882.83</v>
      </c>
      <c r="AM364" s="15">
        <f>IF(H364=0,"",AL364/H364)</f>
        <v/>
      </c>
      <c r="AN364" s="14" t="n">
        <v>0</v>
      </c>
      <c r="AO364" s="14" t="n">
        <v>0</v>
      </c>
      <c r="AP364" s="14" t="n">
        <v>0</v>
      </c>
      <c r="AQ364" s="14" t="n">
        <v>0</v>
      </c>
      <c r="AR364" s="14" t="n">
        <v>0</v>
      </c>
      <c r="AS364" s="14" t="n">
        <v>0</v>
      </c>
      <c r="AT364" s="14" t="n">
        <v>0</v>
      </c>
      <c r="AU364" s="15">
        <f>AH364+AL364+AP364+AQ364+AR364+AS364+AT364</f>
        <v/>
      </c>
      <c r="AV364" s="15">
        <f>IF(H364=0,"",AU364/H364)</f>
        <v/>
      </c>
      <c r="AW364" s="15">
        <f>IF(S364=0,"",AU364/S364)</f>
        <v/>
      </c>
      <c r="AX364" s="14" t="n">
        <v>5</v>
      </c>
      <c r="AY364" s="15">
        <f>IF(H364=0,"",AX364/(H364/1000/12))</f>
        <v/>
      </c>
      <c r="AZ364" s="14" t="n">
        <v>15</v>
      </c>
      <c r="BA364" s="14" t="n">
        <v>17</v>
      </c>
      <c r="BB364" s="14" t="n">
        <v>0</v>
      </c>
      <c r="BC364" s="14" t="n">
        <v>6</v>
      </c>
      <c r="BD364" s="14" t="n">
        <v>0</v>
      </c>
      <c r="BE364" s="15">
        <f>BC364+BD364</f>
        <v/>
      </c>
      <c r="BF364" s="15">
        <f>BA364+BB364-BE364</f>
        <v/>
      </c>
      <c r="BG364" s="14" t="n">
        <v>0</v>
      </c>
      <c r="BH364" s="14" t="n">
        <v>0</v>
      </c>
      <c r="BI364" s="14" t="n">
        <v>0</v>
      </c>
      <c r="BJ364" s="14" t="n">
        <v>0</v>
      </c>
      <c r="BK364" s="15">
        <f>BI364+BJ364</f>
        <v/>
      </c>
      <c r="BL364" s="15">
        <f>BG364+BH364-BK364</f>
        <v/>
      </c>
      <c r="BM364" s="14" t="n">
        <v>0</v>
      </c>
      <c r="BN364" s="14" t="n">
        <v>0</v>
      </c>
      <c r="BO364" s="14" t="n">
        <v>0</v>
      </c>
      <c r="BP364" s="14" t="n">
        <v>0</v>
      </c>
      <c r="BQ364" s="15">
        <f>BO364+BP364</f>
        <v/>
      </c>
      <c r="BR364" s="15">
        <f>BM364+BN364-BQ364</f>
        <v/>
      </c>
      <c r="BS364" s="14" t="n">
        <v>0</v>
      </c>
      <c r="BT364" s="14" t="n">
        <v>0</v>
      </c>
      <c r="BU364" s="14" t="n">
        <v>0</v>
      </c>
      <c r="BV364" s="14" t="n">
        <v>0</v>
      </c>
      <c r="BW364" s="15">
        <f>BU364+BV364</f>
        <v/>
      </c>
      <c r="BX364" s="15">
        <f>BS364+BT364-BW364</f>
        <v/>
      </c>
      <c r="BY364" s="15">
        <f>BA364+BG364+BM364+BS364</f>
        <v/>
      </c>
      <c r="BZ364" s="15">
        <f>BB364+BH364+BN364+BT364</f>
        <v/>
      </c>
      <c r="CA364" s="15">
        <f>BE364+BK364+BQ364+BW364</f>
        <v/>
      </c>
      <c r="CB364" s="15">
        <f>BF364+BL364+BR364+BX364</f>
        <v/>
      </c>
      <c r="CC364" s="14" t="n">
        <v>0</v>
      </c>
      <c r="CD364" s="14" t="n">
        <v>168</v>
      </c>
      <c r="CE364" s="14" t="n">
        <v>4</v>
      </c>
      <c r="CF364" s="14" t="n">
        <v>5</v>
      </c>
      <c r="CG364" s="14" t="n">
        <v>3</v>
      </c>
      <c r="CH364" s="15">
        <f>CD364+CE364+CF364+CG364</f>
        <v/>
      </c>
      <c r="CI364" s="14" t="n">
        <v>635</v>
      </c>
      <c r="CJ364" s="14" t="n">
        <v>9</v>
      </c>
      <c r="CK364" s="14" t="n">
        <v>10</v>
      </c>
      <c r="CL364" s="14" t="n">
        <v>2</v>
      </c>
      <c r="CM364" s="15">
        <f>CI364+CJ364+CK364+CL364</f>
        <v/>
      </c>
      <c r="CN364" s="14" t="n">
        <v>104</v>
      </c>
      <c r="CO364" s="14" t="n">
        <v>19</v>
      </c>
      <c r="CP364" s="14" t="n">
        <v>7</v>
      </c>
      <c r="CQ364" s="14" t="n">
        <v>0</v>
      </c>
      <c r="CR364" s="15">
        <f>CN364+CO364+CP364+CQ364</f>
        <v/>
      </c>
      <c r="CS364" s="15">
        <f>CM364+CR364</f>
        <v/>
      </c>
      <c r="CT364" s="14" t="n">
        <v>966</v>
      </c>
      <c r="CU364" s="14" t="n">
        <v>3036</v>
      </c>
      <c r="CV364" s="14" t="n">
        <v>3035.8</v>
      </c>
      <c r="CW364" s="16">
        <f>IF(CU364=0,"",CV364/CU364)</f>
        <v/>
      </c>
      <c r="CX364" s="14" t="n">
        <v>0</v>
      </c>
      <c r="CY364" s="14" t="n">
        <v>0</v>
      </c>
      <c r="CZ364" s="14" t="n">
        <v>0</v>
      </c>
      <c r="DA364" s="14" t="n">
        <v>0</v>
      </c>
      <c r="DB364" s="15">
        <f>CX364+CY364-CZ364-DA364</f>
        <v/>
      </c>
      <c r="DC364" s="14" t="n">
        <v>0</v>
      </c>
      <c r="DD364" s="14" t="n">
        <v>0</v>
      </c>
      <c r="DE364" s="14" t="n">
        <v>0</v>
      </c>
      <c r="DF364" s="14" t="n">
        <v>0</v>
      </c>
      <c r="DG364" s="15">
        <f>DC364+DD364-DE364-DF364</f>
        <v/>
      </c>
      <c r="DH364" s="14" t="n">
        <v>0</v>
      </c>
      <c r="DI364" s="14" t="n">
        <v>0</v>
      </c>
      <c r="DJ364" s="14" t="n">
        <v>0</v>
      </c>
      <c r="DK364" s="14" t="n">
        <v>0</v>
      </c>
      <c r="DL364" s="15">
        <f>DH364+DI364-DJ364-DK364</f>
        <v/>
      </c>
      <c r="DM364" s="14" t="n">
        <v>0</v>
      </c>
      <c r="DN364" s="14" t="n">
        <v>2</v>
      </c>
      <c r="DO364" s="14" t="n">
        <v>0</v>
      </c>
      <c r="DP364" s="14" t="n">
        <v>0</v>
      </c>
      <c r="DQ364" s="15">
        <f>DM364+DN364-DO364-DP364</f>
        <v/>
      </c>
      <c r="DR364" s="15">
        <f>CX364+DC364+DH364+DM364</f>
        <v/>
      </c>
      <c r="DS364" s="15">
        <f>CY364+DD364+DI364+DN364</f>
        <v/>
      </c>
      <c r="DT364" s="15">
        <f>CZ364+DE364+DJ364+DO364</f>
        <v/>
      </c>
      <c r="DU364" s="15">
        <f>DA364+DF364+DK364+DP364</f>
        <v/>
      </c>
      <c r="DV364" s="15">
        <f>DB364+DG364+DL364+DQ364</f>
        <v/>
      </c>
      <c r="DW364" s="14" t="n">
        <v>3</v>
      </c>
      <c r="DX364" s="14" t="n">
        <v>6</v>
      </c>
      <c r="DY364" s="14" t="n">
        <v>2</v>
      </c>
      <c r="DZ364" s="14" t="n">
        <v>2</v>
      </c>
      <c r="EA364" s="14" t="n">
        <v>1</v>
      </c>
      <c r="EB364" s="14" t="n">
        <v>1</v>
      </c>
      <c r="EC364" s="14" t="n">
        <v>0</v>
      </c>
      <c r="ED364" s="14" t="n">
        <v>0</v>
      </c>
      <c r="EE364" s="14" t="n">
        <v>0</v>
      </c>
      <c r="EF364" s="14" t="n">
        <v>0</v>
      </c>
      <c r="EG364" s="14" t="n">
        <v>0</v>
      </c>
      <c r="EH364" s="14" t="n">
        <v>0</v>
      </c>
      <c r="EI364" s="14" t="n">
        <v>0</v>
      </c>
      <c r="EJ364" s="14" t="n">
        <v>0</v>
      </c>
      <c r="EK364" s="14" t="n">
        <v>0</v>
      </c>
      <c r="EL364" s="14" t="n">
        <v>0</v>
      </c>
      <c r="EM364" s="14" t="n">
        <v>0</v>
      </c>
      <c r="EN364" s="14" t="n">
        <v>0</v>
      </c>
      <c r="EO364" s="14" t="n">
        <v>0</v>
      </c>
      <c r="EP364" s="14" t="n">
        <v>0</v>
      </c>
      <c r="EQ364" s="14" t="n">
        <v>0</v>
      </c>
      <c r="ER364" s="14" t="n">
        <v>0</v>
      </c>
      <c r="ES364" s="14" t="n">
        <v>0</v>
      </c>
      <c r="ET364" s="14" t="n">
        <v>0</v>
      </c>
      <c r="EU364" s="14" t="n">
        <v>0</v>
      </c>
      <c r="EV364" s="14" t="n">
        <v>0</v>
      </c>
      <c r="EW364" s="14" t="n">
        <v>0</v>
      </c>
      <c r="EX364" s="14" t="n">
        <v>0</v>
      </c>
      <c r="EY364" s="14" t="n">
        <v>0</v>
      </c>
      <c r="EZ364" s="14" t="n">
        <v>0</v>
      </c>
      <c r="FA364" s="14" t="n">
        <v>0</v>
      </c>
      <c r="FB364" s="14" t="n">
        <v>0</v>
      </c>
      <c r="FC364" s="14" t="n">
        <v>0</v>
      </c>
      <c r="FD364" s="14" t="n">
        <v>0</v>
      </c>
      <c r="FE364" s="14" t="n">
        <v>0</v>
      </c>
      <c r="FF364" s="14" t="n">
        <v>0</v>
      </c>
      <c r="FG364" s="15">
        <f>SUM(DW364,DX364,DY364,DZ364,EA364,EB364,EC364,ED364,EE364,EF364,EG364,EH364,EI364,EJ364,EK364,EL364,EM364,EN364,EO364,EP364,EQ364,ER364,ES364,ET364,EU364,EV364,EW364,EX364,EY364,EZ364,FA364,FB364,FC364,FD364,FE364,FF364)</f>
        <v/>
      </c>
      <c r="FH364" s="14" t="n">
        <v>0</v>
      </c>
      <c r="FI364" s="14" t="n">
        <v>0</v>
      </c>
      <c r="FJ364" s="14" t="n">
        <v>12</v>
      </c>
      <c r="FK364" s="14" t="n">
        <v>72</v>
      </c>
      <c r="FL364" s="14" t="n">
        <v>0</v>
      </c>
      <c r="FM364" s="14" t="n">
        <v>0</v>
      </c>
      <c r="FN364" s="14" t="n">
        <v>0</v>
      </c>
      <c r="FO364" s="14" t="n">
        <v>0</v>
      </c>
      <c r="FP364" s="14" t="n">
        <v>0</v>
      </c>
      <c r="FQ364" s="15">
        <f>FL364+FM364+FN364+FO364+FP364</f>
        <v/>
      </c>
      <c r="FR364" s="14" t="n">
        <v>11445156.39</v>
      </c>
      <c r="FS364" s="14" t="n">
        <v>19700</v>
      </c>
      <c r="FT364" s="14" t="n">
        <v>250000</v>
      </c>
      <c r="FU364" s="14" t="n">
        <v>0</v>
      </c>
      <c r="FV364" s="15">
        <f>FR364+FS364+FT364+FU364</f>
        <v/>
      </c>
      <c r="FW364" s="14" t="n">
        <v>1164143.72</v>
      </c>
      <c r="FX364" s="14" t="n">
        <v>0</v>
      </c>
      <c r="FY364" s="14" t="n">
        <v>705500</v>
      </c>
      <c r="FZ364" s="14" t="n">
        <v>377700</v>
      </c>
      <c r="GA364" s="15">
        <f>FW364+FX364+FY364+FZ364</f>
        <v/>
      </c>
      <c r="GB364" s="15">
        <f>FV364+GA364</f>
        <v/>
      </c>
      <c r="GC364" s="14" t="n">
        <v>3238899.55</v>
      </c>
      <c r="GD364" s="14" t="n">
        <v>1912.8</v>
      </c>
      <c r="GE364" s="14" t="n">
        <v>94334.03</v>
      </c>
      <c r="GF364" s="14" t="n">
        <v>94266.82000000001</v>
      </c>
      <c r="GG364" s="15">
        <f>GC364+GD364+GE364+GF364</f>
        <v/>
      </c>
      <c r="GH364" s="14" t="n">
        <v>1107863.72</v>
      </c>
      <c r="GI364" s="14" t="n">
        <v>0</v>
      </c>
      <c r="GJ364" s="14" t="n">
        <v>365700</v>
      </c>
      <c r="GK364" s="14" t="n">
        <v>702500</v>
      </c>
      <c r="GL364" s="15">
        <f>GH364+GI364+GJ364+GK364</f>
        <v/>
      </c>
      <c r="GM364" s="15">
        <f>GG364+GL364</f>
        <v/>
      </c>
      <c r="GN364" s="14" t="n">
        <v>346991</v>
      </c>
      <c r="GO364" s="14" t="n">
        <v>382.56</v>
      </c>
      <c r="GP364" s="14" t="n">
        <v>30542.76</v>
      </c>
      <c r="GQ364" s="14" t="n">
        <v>46373.4</v>
      </c>
      <c r="GR364" s="15">
        <f>GN364+GO364+GP364+GQ364</f>
        <v/>
      </c>
      <c r="GS364" s="14" t="n">
        <v>567055</v>
      </c>
      <c r="GT364" s="14" t="n">
        <v>1786</v>
      </c>
      <c r="GU364" s="14" t="n">
        <v>8037</v>
      </c>
      <c r="GV364" s="14" t="n">
        <v>8930</v>
      </c>
      <c r="GW364" s="15">
        <f>GS364+GT364+GU364+GV364</f>
        <v/>
      </c>
      <c r="GX364" s="15">
        <f>GM364+GR364+GW364</f>
        <v/>
      </c>
      <c r="GY364" s="14" t="n">
        <v>47537740.72999993</v>
      </c>
      <c r="GZ364" s="14" t="n">
        <v>0</v>
      </c>
      <c r="HA364" s="9">
        <f>GY364+GZ364</f>
        <v/>
      </c>
      <c r="HB364" s="15">
        <f>IF(GX364=0,"",AU364/GX364)</f>
        <v/>
      </c>
      <c r="HC364" s="16">
        <f>IF((GX364+GY364)=0,"",GB364/(GX364+GY364))</f>
        <v/>
      </c>
      <c r="HD364" s="15">
        <f>IF(GX364=0,"",GB364/GX364)</f>
        <v/>
      </c>
      <c r="HE364" s="14" t="n">
        <v>5</v>
      </c>
      <c r="HF364" s="14" t="n">
        <v>2</v>
      </c>
      <c r="HG364" s="14" t="n">
        <v>11</v>
      </c>
      <c r="HH364" s="14" t="n">
        <v>0</v>
      </c>
      <c r="HI364" s="14" t="n">
        <v>7</v>
      </c>
      <c r="HJ364" s="15">
        <f>HF364+HI364</f>
        <v/>
      </c>
      <c r="HK364" s="16">
        <f>IF(HE364=0,"",HH364/HE364)</f>
        <v/>
      </c>
      <c r="HL364" s="14" t="n">
        <v>15</v>
      </c>
      <c r="HM364" s="14" t="n">
        <v>31</v>
      </c>
      <c r="HN364" s="17">
        <f>IF(HL364=0,"",HM364/HL364)</f>
        <v/>
      </c>
    </row>
    <row r="365">
      <c r="A365" s="6" t="inlineStr">
        <is>
          <t>Zomba</t>
        </is>
      </c>
      <c r="B365" s="6" t="inlineStr">
        <is>
          <t>Neno</t>
        </is>
      </c>
      <c r="C365" s="7" t="inlineStr">
        <is>
          <t>FY2025/26</t>
        </is>
      </c>
      <c r="D365" s="7" t="n">
        <v>2025</v>
      </c>
      <c r="E365" s="7" t="n">
        <v>6</v>
      </c>
      <c r="F365" s="7" t="inlineStr">
        <is>
          <t>June</t>
        </is>
      </c>
      <c r="G365" s="7" t="inlineStr">
        <is>
          <t>Q1</t>
        </is>
      </c>
      <c r="H365" s="8" t="n">
        <v>7138</v>
      </c>
      <c r="I365" s="8" t="n">
        <v>4165</v>
      </c>
      <c r="J365" s="8" t="n">
        <v>6</v>
      </c>
      <c r="K365" s="8" t="n">
        <v>57</v>
      </c>
      <c r="L365" s="8" t="n">
        <v>51</v>
      </c>
      <c r="M365" s="9">
        <f>SUM(I365,J365,K365,L365)</f>
        <v/>
      </c>
      <c r="N365" s="8" t="n">
        <v>1033.3</v>
      </c>
      <c r="O365" s="8" t="n">
        <v>0</v>
      </c>
      <c r="P365" s="8" t="n">
        <v>38.8</v>
      </c>
      <c r="Q365" s="8" t="n">
        <v>51.3</v>
      </c>
      <c r="R365" s="9">
        <f>SUM(N365,O365,P365,Q365)</f>
        <v/>
      </c>
      <c r="S365" s="9">
        <f>M365+R365</f>
        <v/>
      </c>
      <c r="T365" s="8" t="n">
        <v>1735.6</v>
      </c>
      <c r="U365" s="10">
        <f>IF(H365=0,"",T365/H365)</f>
        <v/>
      </c>
      <c r="V365" s="8" t="n">
        <v>14</v>
      </c>
      <c r="W365" s="11">
        <f>IF(H365=0,"",V365/H365)</f>
        <v/>
      </c>
      <c r="X365" s="8" t="n">
        <v>0</v>
      </c>
      <c r="Y365" s="11">
        <f>IF(H365=0,"",X365/H365)</f>
        <v/>
      </c>
      <c r="Z365" s="8" t="n">
        <v>0</v>
      </c>
      <c r="AA365" s="11">
        <f>IF(H365=0,"",Z365/H365)</f>
        <v/>
      </c>
      <c r="AB365" s="8" t="n">
        <v>0</v>
      </c>
      <c r="AC365" s="11">
        <f>IF(H365=0,"",AB365/H365)</f>
        <v/>
      </c>
      <c r="AD365" s="8" t="n">
        <v>0</v>
      </c>
      <c r="AE365" s="11">
        <f>IF(H365=0,"",AD365/H365)</f>
        <v/>
      </c>
      <c r="AF365" s="8" t="n">
        <v>0</v>
      </c>
      <c r="AG365" s="11">
        <f>IF(H365=0,"",AF365/H365)</f>
        <v/>
      </c>
      <c r="AH365" s="8" t="n">
        <v>364000</v>
      </c>
      <c r="AI365" s="9">
        <f>IF(H365=0,"",AH365/H365)</f>
        <v/>
      </c>
      <c r="AJ365" s="8" t="n">
        <v>6678</v>
      </c>
      <c r="AK365" s="11">
        <f>IF(H365=0,"",AJ365/H365)</f>
        <v/>
      </c>
      <c r="AL365" s="8" t="n">
        <v>1856763.952</v>
      </c>
      <c r="AM365" s="9">
        <f>IF(H365=0,"",AL365/H365)</f>
        <v/>
      </c>
      <c r="AN365" s="8" t="n">
        <v>0</v>
      </c>
      <c r="AO365" s="8" t="n">
        <v>0</v>
      </c>
      <c r="AP365" s="8" t="n">
        <v>0</v>
      </c>
      <c r="AQ365" s="8" t="n">
        <v>0</v>
      </c>
      <c r="AR365" s="8" t="n">
        <v>0</v>
      </c>
      <c r="AS365" s="8" t="n">
        <v>0</v>
      </c>
      <c r="AT365" s="8" t="n">
        <v>0</v>
      </c>
      <c r="AU365" s="9">
        <f>AH365+AL365+AP365+AQ365+AR365+AS365+AT365</f>
        <v/>
      </c>
      <c r="AV365" s="9">
        <f>IF(H365=0,"",AU365/H365)</f>
        <v/>
      </c>
      <c r="AW365" s="9">
        <f>IF(S365=0,"",AU365/S365)</f>
        <v/>
      </c>
      <c r="AX365" s="8" t="n">
        <v>5</v>
      </c>
      <c r="AY365" s="9">
        <f>IF(H365=0,"",AX365/(H365/1000/12))</f>
        <v/>
      </c>
      <c r="AZ365" s="8" t="n">
        <v>15</v>
      </c>
      <c r="BA365" s="8" t="n">
        <v>11</v>
      </c>
      <c r="BB365" s="8" t="n">
        <v>0</v>
      </c>
      <c r="BC365" s="8" t="n">
        <v>7</v>
      </c>
      <c r="BD365" s="8" t="n">
        <v>0</v>
      </c>
      <c r="BE365" s="9">
        <f>BC365+BD365</f>
        <v/>
      </c>
      <c r="BF365" s="9">
        <f>BA365+BB365-BE365</f>
        <v/>
      </c>
      <c r="BG365" s="8" t="n">
        <v>0</v>
      </c>
      <c r="BH365" s="8" t="n">
        <v>0</v>
      </c>
      <c r="BI365" s="8" t="n">
        <v>0</v>
      </c>
      <c r="BJ365" s="8" t="n">
        <v>0</v>
      </c>
      <c r="BK365" s="9">
        <f>BI365+BJ365</f>
        <v/>
      </c>
      <c r="BL365" s="9">
        <f>BG365+BH365-BK365</f>
        <v/>
      </c>
      <c r="BM365" s="8" t="n">
        <v>0</v>
      </c>
      <c r="BN365" s="8" t="n">
        <v>0</v>
      </c>
      <c r="BO365" s="8" t="n">
        <v>0</v>
      </c>
      <c r="BP365" s="8" t="n">
        <v>0</v>
      </c>
      <c r="BQ365" s="9">
        <f>BO365+BP365</f>
        <v/>
      </c>
      <c r="BR365" s="9">
        <f>BM365+BN365-BQ365</f>
        <v/>
      </c>
      <c r="BS365" s="8" t="n">
        <v>0</v>
      </c>
      <c r="BT365" s="8" t="n">
        <v>0</v>
      </c>
      <c r="BU365" s="8" t="n">
        <v>0</v>
      </c>
      <c r="BV365" s="8" t="n">
        <v>0</v>
      </c>
      <c r="BW365" s="9">
        <f>BU365+BV365</f>
        <v/>
      </c>
      <c r="BX365" s="9">
        <f>BS365+BT365-BW365</f>
        <v/>
      </c>
      <c r="BY365" s="9">
        <f>BA365+BG365+BM365+BS365</f>
        <v/>
      </c>
      <c r="BZ365" s="9">
        <f>BB365+BH365+BN365+BT365</f>
        <v/>
      </c>
      <c r="CA365" s="9">
        <f>BE365+BK365+BQ365+BW365</f>
        <v/>
      </c>
      <c r="CB365" s="9">
        <f>BF365+BL365+BR365+BX365</f>
        <v/>
      </c>
      <c r="CC365" s="8" t="n">
        <v>0</v>
      </c>
      <c r="CD365" s="8" t="n">
        <v>163</v>
      </c>
      <c r="CE365" s="8" t="n">
        <v>4</v>
      </c>
      <c r="CF365" s="8" t="n">
        <v>3</v>
      </c>
      <c r="CG365" s="8" t="n">
        <v>3</v>
      </c>
      <c r="CH365" s="9">
        <f>CD365+CE365+CF365+CG365</f>
        <v/>
      </c>
      <c r="CI365" s="8" t="n">
        <v>647</v>
      </c>
      <c r="CJ365" s="8" t="n">
        <v>9</v>
      </c>
      <c r="CK365" s="8" t="n">
        <v>12</v>
      </c>
      <c r="CL365" s="8" t="n">
        <v>2</v>
      </c>
      <c r="CM365" s="9">
        <f>CI365+CJ365+CK365+CL365</f>
        <v/>
      </c>
      <c r="CN365" s="8" t="n">
        <v>104</v>
      </c>
      <c r="CO365" s="8" t="n">
        <v>19</v>
      </c>
      <c r="CP365" s="8" t="n">
        <v>7</v>
      </c>
      <c r="CQ365" s="8" t="n">
        <v>0</v>
      </c>
      <c r="CR365" s="9">
        <f>CN365+CO365+CP365+CQ365</f>
        <v/>
      </c>
      <c r="CS365" s="9">
        <f>CM365+CR365</f>
        <v/>
      </c>
      <c r="CT365" s="8" t="n">
        <v>973</v>
      </c>
      <c r="CU365" s="8" t="n">
        <v>3041</v>
      </c>
      <c r="CV365" s="8" t="n">
        <v>3040.3</v>
      </c>
      <c r="CW365" s="10">
        <f>IF(CU365=0,"",CV365/CU365)</f>
        <v/>
      </c>
      <c r="CX365" s="8" t="n">
        <v>0</v>
      </c>
      <c r="CY365" s="8" t="n">
        <v>0</v>
      </c>
      <c r="CZ365" s="8" t="n">
        <v>0</v>
      </c>
      <c r="DA365" s="8" t="n">
        <v>0</v>
      </c>
      <c r="DB365" s="9">
        <f>CX365+CY365-CZ365-DA365</f>
        <v/>
      </c>
      <c r="DC365" s="8" t="n">
        <v>0</v>
      </c>
      <c r="DD365" s="8" t="n">
        <v>0</v>
      </c>
      <c r="DE365" s="8" t="n">
        <v>0</v>
      </c>
      <c r="DF365" s="8" t="n">
        <v>0</v>
      </c>
      <c r="DG365" s="9">
        <f>DC365+DD365-DE365-DF365</f>
        <v/>
      </c>
      <c r="DH365" s="8" t="n">
        <v>0</v>
      </c>
      <c r="DI365" s="8" t="n">
        <v>0</v>
      </c>
      <c r="DJ365" s="8" t="n">
        <v>0</v>
      </c>
      <c r="DK365" s="8" t="n">
        <v>0</v>
      </c>
      <c r="DL365" s="9">
        <f>DH365+DI365-DJ365-DK365</f>
        <v/>
      </c>
      <c r="DM365" s="8" t="n">
        <v>2</v>
      </c>
      <c r="DN365" s="8" t="n">
        <v>0</v>
      </c>
      <c r="DO365" s="8" t="n">
        <v>2</v>
      </c>
      <c r="DP365" s="8" t="n">
        <v>0</v>
      </c>
      <c r="DQ365" s="9">
        <f>DM365+DN365-DO365-DP365</f>
        <v/>
      </c>
      <c r="DR365" s="9">
        <f>CX365+DC365+DH365+DM365</f>
        <v/>
      </c>
      <c r="DS365" s="9">
        <f>CY365+DD365+DI365+DN365</f>
        <v/>
      </c>
      <c r="DT365" s="9">
        <f>CZ365+DE365+DJ365+DO365</f>
        <v/>
      </c>
      <c r="DU365" s="9">
        <f>DA365+DF365+DK365+DP365</f>
        <v/>
      </c>
      <c r="DV365" s="9">
        <f>DB365+DG365+DL365+DQ365</f>
        <v/>
      </c>
      <c r="DW365" s="8" t="n">
        <v>2</v>
      </c>
      <c r="DX365" s="8" t="n">
        <v>6</v>
      </c>
      <c r="DY365" s="8" t="n">
        <v>1</v>
      </c>
      <c r="DZ365" s="8" t="n">
        <v>0</v>
      </c>
      <c r="EA365" s="8" t="n">
        <v>0</v>
      </c>
      <c r="EB365" s="8" t="n">
        <v>0</v>
      </c>
      <c r="EC365" s="8" t="n">
        <v>0</v>
      </c>
      <c r="ED365" s="8" t="n">
        <v>1</v>
      </c>
      <c r="EE365" s="8" t="n">
        <v>0</v>
      </c>
      <c r="EF365" s="8" t="n">
        <v>0</v>
      </c>
      <c r="EG365" s="8" t="n">
        <v>0</v>
      </c>
      <c r="EH365" s="8" t="n">
        <v>0</v>
      </c>
      <c r="EI365" s="8" t="n">
        <v>0</v>
      </c>
      <c r="EJ365" s="8" t="n">
        <v>0</v>
      </c>
      <c r="EK365" s="8" t="n">
        <v>0</v>
      </c>
      <c r="EL365" s="8" t="n">
        <v>0</v>
      </c>
      <c r="EM365" s="8" t="n">
        <v>0</v>
      </c>
      <c r="EN365" s="8" t="n">
        <v>0</v>
      </c>
      <c r="EO365" s="8" t="n">
        <v>0</v>
      </c>
      <c r="EP365" s="8" t="n">
        <v>0</v>
      </c>
      <c r="EQ365" s="8" t="n">
        <v>0</v>
      </c>
      <c r="ER365" s="8" t="n">
        <v>0</v>
      </c>
      <c r="ES365" s="8" t="n">
        <v>0</v>
      </c>
      <c r="ET365" s="8" t="n">
        <v>0</v>
      </c>
      <c r="EU365" s="8" t="n">
        <v>0</v>
      </c>
      <c r="EV365" s="8" t="n">
        <v>0</v>
      </c>
      <c r="EW365" s="8" t="n">
        <v>0</v>
      </c>
      <c r="EX365" s="8" t="n">
        <v>0</v>
      </c>
      <c r="EY365" s="8" t="n">
        <v>0</v>
      </c>
      <c r="EZ365" s="8" t="n">
        <v>0</v>
      </c>
      <c r="FA365" s="8" t="n">
        <v>0</v>
      </c>
      <c r="FB365" s="8" t="n">
        <v>0</v>
      </c>
      <c r="FC365" s="8" t="n">
        <v>0</v>
      </c>
      <c r="FD365" s="8" t="n">
        <v>0</v>
      </c>
      <c r="FE365" s="8" t="n">
        <v>0</v>
      </c>
      <c r="FF365" s="8" t="n">
        <v>0</v>
      </c>
      <c r="FG365" s="9">
        <f>SUM(DW365,DX365,DY365,DZ365,EA365,EB365,EC365,ED365,EE365,EF365,EG365,EH365,EI365,EJ365,EK365,EL365,EM365,EN365,EO365,EP365,EQ365,ER365,ES365,ET365,EU365,EV365,EW365,EX365,EY365,EZ365,FA365,FB365,FC365,FD365,FE365,FF365)</f>
        <v/>
      </c>
      <c r="FH365" s="8" t="n">
        <v>0</v>
      </c>
      <c r="FI365" s="8" t="n">
        <v>0</v>
      </c>
      <c r="FJ365" s="8" t="n">
        <v>12</v>
      </c>
      <c r="FK365" s="8" t="n">
        <v>30.5</v>
      </c>
      <c r="FL365" s="8" t="n">
        <v>0</v>
      </c>
      <c r="FM365" s="8" t="n">
        <v>0</v>
      </c>
      <c r="FN365" s="8" t="n">
        <v>0</v>
      </c>
      <c r="FO365" s="8" t="n">
        <v>0</v>
      </c>
      <c r="FP365" s="8" t="n">
        <v>0</v>
      </c>
      <c r="FQ365" s="9">
        <f>FL365+FM365+FN365+FO365+FP365</f>
        <v/>
      </c>
      <c r="FR365" s="8" t="n">
        <v>1879177.09</v>
      </c>
      <c r="FS365" s="8" t="n">
        <v>0</v>
      </c>
      <c r="FT365" s="8" t="n">
        <v>0</v>
      </c>
      <c r="FU365" s="8" t="n">
        <v>199029.46</v>
      </c>
      <c r="FV365" s="9">
        <f>FR365+FS365+FT365+FU365</f>
        <v/>
      </c>
      <c r="FW365" s="8" t="n">
        <v>1332268.38</v>
      </c>
      <c r="FX365" s="8" t="n">
        <v>0</v>
      </c>
      <c r="FY365" s="8" t="n">
        <v>246198.1</v>
      </c>
      <c r="FZ365" s="8" t="n">
        <v>151078.8</v>
      </c>
      <c r="GA365" s="9">
        <f>FW365+FX365+FY365+FZ365</f>
        <v/>
      </c>
      <c r="GB365" s="9">
        <f>FV365+GA365</f>
        <v/>
      </c>
      <c r="GC365" s="8" t="n">
        <v>3802926.79</v>
      </c>
      <c r="GD365" s="8" t="n">
        <v>1147.68</v>
      </c>
      <c r="GE365" s="8" t="n">
        <v>140253.66</v>
      </c>
      <c r="GF365" s="8" t="n">
        <v>117860.08</v>
      </c>
      <c r="GG365" s="9">
        <f>GC365+GD365+GE365+GF365</f>
        <v/>
      </c>
      <c r="GH365" s="8" t="n">
        <v>1290218.58</v>
      </c>
      <c r="GI365" s="8" t="n">
        <v>0</v>
      </c>
      <c r="GJ365" s="8" t="n">
        <v>118078.8</v>
      </c>
      <c r="GK365" s="8" t="n">
        <v>243198.08</v>
      </c>
      <c r="GL365" s="9">
        <f>GH365+GI365+GJ365+GK365</f>
        <v/>
      </c>
      <c r="GM365" s="9">
        <f>GG365+GL365</f>
        <v/>
      </c>
      <c r="GN365" s="8" t="n">
        <v>353530.16</v>
      </c>
      <c r="GO365" s="8" t="n">
        <v>382.56</v>
      </c>
      <c r="GP365" s="8" t="n">
        <v>30542.76</v>
      </c>
      <c r="GQ365" s="8" t="n">
        <v>55648.08</v>
      </c>
      <c r="GR365" s="9">
        <f>GN365+GO365+GP365+GQ365</f>
        <v/>
      </c>
      <c r="GS365" s="8" t="n">
        <v>577771</v>
      </c>
      <c r="GT365" s="8" t="n">
        <v>1786</v>
      </c>
      <c r="GU365" s="8" t="n">
        <v>8037</v>
      </c>
      <c r="GV365" s="8" t="n">
        <v>10716</v>
      </c>
      <c r="GW365" s="9">
        <f>GS365+GT365+GU365+GV365</f>
        <v/>
      </c>
      <c r="GX365" s="9">
        <f>GM365+GR365+GW365</f>
        <v/>
      </c>
      <c r="GY365" s="8" t="n">
        <v>50516285.08999991</v>
      </c>
      <c r="GZ365" s="8" t="n">
        <v>0</v>
      </c>
      <c r="HA365" s="9">
        <f>GY365+GZ365</f>
        <v/>
      </c>
      <c r="HB365" s="9">
        <f>IF(GX365=0,"",AU365/GX365)</f>
        <v/>
      </c>
      <c r="HC365" s="10">
        <f>IF((GX365+GY365)=0,"",GB365/(GX365+GY365))</f>
        <v/>
      </c>
      <c r="HD365" s="9">
        <f>IF(GX365=0,"",GB365/GX365)</f>
        <v/>
      </c>
      <c r="HE365" s="8" t="n">
        <v>7</v>
      </c>
      <c r="HF365" s="8" t="n">
        <v>1</v>
      </c>
      <c r="HG365" s="8" t="n">
        <v>4</v>
      </c>
      <c r="HH365" s="8" t="n">
        <v>0</v>
      </c>
      <c r="HI365" s="8" t="n">
        <v>5</v>
      </c>
      <c r="HJ365" s="9">
        <f>HF365+HI365</f>
        <v/>
      </c>
      <c r="HK365" s="10">
        <f>IF(HE365=0,"",HH365/HE365)</f>
        <v/>
      </c>
      <c r="HL365" s="8" t="n">
        <v>30</v>
      </c>
      <c r="HM365" s="8" t="n">
        <v>30</v>
      </c>
      <c r="HN365" s="11">
        <f>IF(HL365=0,"",HM365/HL365)</f>
        <v/>
      </c>
    </row>
    <row r="366">
      <c r="A366" s="12" t="inlineStr">
        <is>
          <t>Zomba</t>
        </is>
      </c>
      <c r="B366" s="12" t="inlineStr">
        <is>
          <t>Neno</t>
        </is>
      </c>
      <c r="C366" s="13" t="inlineStr">
        <is>
          <t>FY2025/26</t>
        </is>
      </c>
      <c r="D366" s="13" t="n">
        <v>2025</v>
      </c>
      <c r="E366" s="13" t="n">
        <v>7</v>
      </c>
      <c r="F366" s="13" t="inlineStr">
        <is>
          <t>July</t>
        </is>
      </c>
      <c r="G366" s="13" t="inlineStr">
        <is>
          <t>Q2</t>
        </is>
      </c>
      <c r="H366" s="14" t="n">
        <v>11048</v>
      </c>
      <c r="I366" s="14" t="n">
        <v>3353</v>
      </c>
      <c r="J366" s="14" t="n">
        <v>8</v>
      </c>
      <c r="K366" s="14" t="n">
        <v>47</v>
      </c>
      <c r="L366" s="14" t="n">
        <v>36</v>
      </c>
      <c r="M366" s="15">
        <f>SUM(I366,J366,K366,L366)</f>
        <v/>
      </c>
      <c r="N366" s="14" t="n">
        <v>5548.00000000001</v>
      </c>
      <c r="O366" s="14" t="n">
        <v>39.1</v>
      </c>
      <c r="P366" s="14" t="n">
        <v>468.9</v>
      </c>
      <c r="Q366" s="14" t="n">
        <v>109.9</v>
      </c>
      <c r="R366" s="15">
        <f>SUM(N366,O366,P366,Q366)</f>
        <v/>
      </c>
      <c r="S366" s="15">
        <f>M366+R366</f>
        <v/>
      </c>
      <c r="T366" s="14" t="n">
        <v>1438.09999999999</v>
      </c>
      <c r="U366" s="16">
        <f>IF(H366=0,"",T366/H366)</f>
        <v/>
      </c>
      <c r="V366" s="14" t="n">
        <v>15</v>
      </c>
      <c r="W366" s="17">
        <f>IF(H366=0,"",V366/H366)</f>
        <v/>
      </c>
      <c r="X366" s="14" t="n">
        <v>0</v>
      </c>
      <c r="Y366" s="17">
        <f>IF(H366=0,"",X366/H366)</f>
        <v/>
      </c>
      <c r="Z366" s="14" t="n">
        <v>0</v>
      </c>
      <c r="AA366" s="17">
        <f>IF(H366=0,"",Z366/H366)</f>
        <v/>
      </c>
      <c r="AB366" s="14" t="n">
        <v>0</v>
      </c>
      <c r="AC366" s="17">
        <f>IF(H366=0,"",AB366/H366)</f>
        <v/>
      </c>
      <c r="AD366" s="14" t="n">
        <v>0</v>
      </c>
      <c r="AE366" s="17">
        <f>IF(H366=0,"",AD366/H366)</f>
        <v/>
      </c>
      <c r="AF366" s="14" t="n">
        <v>0</v>
      </c>
      <c r="AG366" s="17">
        <f>IF(H366=0,"",AF366/H366)</f>
        <v/>
      </c>
      <c r="AH366" s="14" t="n">
        <v>390000</v>
      </c>
      <c r="AI366" s="15">
        <f>IF(H366=0,"",AH366/H366)</f>
        <v/>
      </c>
      <c r="AJ366" s="14" t="n">
        <v>6507.6</v>
      </c>
      <c r="AK366" s="17">
        <f>IF(H366=0,"",AJ366/H366)</f>
        <v/>
      </c>
      <c r="AL366" s="14" t="n">
        <v>1810192.0984</v>
      </c>
      <c r="AM366" s="15">
        <f>IF(H366=0,"",AL366/H366)</f>
        <v/>
      </c>
      <c r="AN366" s="14" t="n">
        <v>0</v>
      </c>
      <c r="AO366" s="14" t="n">
        <v>0</v>
      </c>
      <c r="AP366" s="14" t="n">
        <v>0</v>
      </c>
      <c r="AQ366" s="14" t="n">
        <v>0</v>
      </c>
      <c r="AR366" s="14" t="n">
        <v>0</v>
      </c>
      <c r="AS366" s="14" t="n">
        <v>0</v>
      </c>
      <c r="AT366" s="14" t="n">
        <v>0</v>
      </c>
      <c r="AU366" s="15">
        <f>AH366+AL366+AP366+AQ366+AR366+AS366+AT366</f>
        <v/>
      </c>
      <c r="AV366" s="15">
        <f>IF(H366=0,"",AU366/H366)</f>
        <v/>
      </c>
      <c r="AW366" s="15">
        <f>IF(S366=0,"",AU366/S366)</f>
        <v/>
      </c>
      <c r="AX366" s="14" t="n">
        <v>4</v>
      </c>
      <c r="AY366" s="15">
        <f>IF(H366=0,"",AX366/(H366/1000/12))</f>
        <v/>
      </c>
      <c r="AZ366" s="14" t="n">
        <v>15</v>
      </c>
      <c r="BA366" s="14" t="n">
        <v>4</v>
      </c>
      <c r="BB366" s="14" t="n">
        <v>0</v>
      </c>
      <c r="BC366" s="14" t="n">
        <v>1</v>
      </c>
      <c r="BD366" s="14" t="n">
        <v>0</v>
      </c>
      <c r="BE366" s="15">
        <f>BC366+BD366</f>
        <v/>
      </c>
      <c r="BF366" s="15">
        <f>BA366+BB366-BE366</f>
        <v/>
      </c>
      <c r="BG366" s="14" t="n">
        <v>0</v>
      </c>
      <c r="BH366" s="14" t="n">
        <v>0</v>
      </c>
      <c r="BI366" s="14" t="n">
        <v>0</v>
      </c>
      <c r="BJ366" s="14" t="n">
        <v>0</v>
      </c>
      <c r="BK366" s="15">
        <f>BI366+BJ366</f>
        <v/>
      </c>
      <c r="BL366" s="15">
        <f>BG366+BH366-BK366</f>
        <v/>
      </c>
      <c r="BM366" s="14" t="n">
        <v>0</v>
      </c>
      <c r="BN366" s="14" t="n">
        <v>0</v>
      </c>
      <c r="BO366" s="14" t="n">
        <v>0</v>
      </c>
      <c r="BP366" s="14" t="n">
        <v>0</v>
      </c>
      <c r="BQ366" s="15">
        <f>BO366+BP366</f>
        <v/>
      </c>
      <c r="BR366" s="15">
        <f>BM366+BN366-BQ366</f>
        <v/>
      </c>
      <c r="BS366" s="14" t="n">
        <v>0</v>
      </c>
      <c r="BT366" s="14" t="n">
        <v>0</v>
      </c>
      <c r="BU366" s="14" t="n">
        <v>0</v>
      </c>
      <c r="BV366" s="14" t="n">
        <v>0</v>
      </c>
      <c r="BW366" s="15">
        <f>BU366+BV366</f>
        <v/>
      </c>
      <c r="BX366" s="15">
        <f>BS366+BT366-BW366</f>
        <v/>
      </c>
      <c r="BY366" s="15">
        <f>BA366+BG366+BM366+BS366</f>
        <v/>
      </c>
      <c r="BZ366" s="15">
        <f>BB366+BH366+BN366+BT366</f>
        <v/>
      </c>
      <c r="CA366" s="15">
        <f>BE366+BK366+BQ366+BW366</f>
        <v/>
      </c>
      <c r="CB366" s="15">
        <f>BF366+BL366+BR366+BX366</f>
        <v/>
      </c>
      <c r="CC366" s="14" t="n">
        <v>0</v>
      </c>
      <c r="CD366" s="14" t="n">
        <v>181</v>
      </c>
      <c r="CE366" s="14" t="n">
        <v>7</v>
      </c>
      <c r="CF366" s="14" t="n">
        <v>5</v>
      </c>
      <c r="CG366" s="14" t="n">
        <v>3</v>
      </c>
      <c r="CH366" s="15">
        <f>CD366+CE366+CF366+CG366</f>
        <v/>
      </c>
      <c r="CI366" s="14" t="n">
        <v>630</v>
      </c>
      <c r="CJ366" s="14" t="n">
        <v>6</v>
      </c>
      <c r="CK366" s="14" t="n">
        <v>10</v>
      </c>
      <c r="CL366" s="14" t="n">
        <v>2</v>
      </c>
      <c r="CM366" s="15">
        <f>CI366+CJ366+CK366+CL366</f>
        <v/>
      </c>
      <c r="CN366" s="14" t="n">
        <v>104</v>
      </c>
      <c r="CO366" s="14" t="n">
        <v>19</v>
      </c>
      <c r="CP366" s="14" t="n">
        <v>7</v>
      </c>
      <c r="CQ366" s="14" t="n">
        <v>0</v>
      </c>
      <c r="CR366" s="15">
        <f>CN366+CO366+CP366+CQ366</f>
        <v/>
      </c>
      <c r="CS366" s="15">
        <f>CM366+CR366</f>
        <v/>
      </c>
      <c r="CT366" s="14" t="n">
        <v>974</v>
      </c>
      <c r="CU366" s="14" t="n">
        <v>3046</v>
      </c>
      <c r="CV366" s="14" t="n">
        <v>3044.3</v>
      </c>
      <c r="CW366" s="16">
        <f>IF(CU366=0,"",CV366/CU366)</f>
        <v/>
      </c>
      <c r="CX366" s="14" t="n">
        <v>0</v>
      </c>
      <c r="CY366" s="14" t="n">
        <v>0</v>
      </c>
      <c r="CZ366" s="14" t="n">
        <v>0</v>
      </c>
      <c r="DA366" s="14" t="n">
        <v>0</v>
      </c>
      <c r="DB366" s="15">
        <f>CX366+CY366-CZ366-DA366</f>
        <v/>
      </c>
      <c r="DC366" s="14" t="n">
        <v>0</v>
      </c>
      <c r="DD366" s="14" t="n">
        <v>0</v>
      </c>
      <c r="DE366" s="14" t="n">
        <v>0</v>
      </c>
      <c r="DF366" s="14" t="n">
        <v>0</v>
      </c>
      <c r="DG366" s="15">
        <f>DC366+DD366-DE366-DF366</f>
        <v/>
      </c>
      <c r="DH366" s="14" t="n">
        <v>0</v>
      </c>
      <c r="DI366" s="14" t="n">
        <v>0</v>
      </c>
      <c r="DJ366" s="14" t="n">
        <v>0</v>
      </c>
      <c r="DK366" s="14" t="n">
        <v>0</v>
      </c>
      <c r="DL366" s="15">
        <f>DH366+DI366-DJ366-DK366</f>
        <v/>
      </c>
      <c r="DM366" s="14" t="n">
        <v>0</v>
      </c>
      <c r="DN366" s="14" t="n">
        <v>0</v>
      </c>
      <c r="DO366" s="14" t="n">
        <v>0</v>
      </c>
      <c r="DP366" s="14" t="n">
        <v>0</v>
      </c>
      <c r="DQ366" s="15">
        <f>DM366+DN366-DO366-DP366</f>
        <v/>
      </c>
      <c r="DR366" s="15">
        <f>CX366+DC366+DH366+DM366</f>
        <v/>
      </c>
      <c r="DS366" s="15">
        <f>CY366+DD366+DI366+DN366</f>
        <v/>
      </c>
      <c r="DT366" s="15">
        <f>CZ366+DE366+DJ366+DO366</f>
        <v/>
      </c>
      <c r="DU366" s="15">
        <f>DA366+DF366+DK366+DP366</f>
        <v/>
      </c>
      <c r="DV366" s="15">
        <f>DB366+DG366+DL366+DQ366</f>
        <v/>
      </c>
      <c r="DW366" s="14" t="n">
        <v>7</v>
      </c>
      <c r="DX366" s="14" t="n">
        <v>1</v>
      </c>
      <c r="DY366" s="14" t="n">
        <v>0</v>
      </c>
      <c r="DZ366" s="14" t="n">
        <v>0</v>
      </c>
      <c r="EA366" s="14" t="n">
        <v>0</v>
      </c>
      <c r="EB366" s="14" t="n">
        <v>2</v>
      </c>
      <c r="EC366" s="14" t="n">
        <v>0</v>
      </c>
      <c r="ED366" s="14" t="n">
        <v>1</v>
      </c>
      <c r="EE366" s="14" t="n">
        <v>0</v>
      </c>
      <c r="EF366" s="14" t="n">
        <v>0</v>
      </c>
      <c r="EG366" s="14" t="n">
        <v>0</v>
      </c>
      <c r="EH366" s="14" t="n">
        <v>0</v>
      </c>
      <c r="EI366" s="14" t="n">
        <v>0</v>
      </c>
      <c r="EJ366" s="14" t="n">
        <v>0</v>
      </c>
      <c r="EK366" s="14" t="n">
        <v>0</v>
      </c>
      <c r="EL366" s="14" t="n">
        <v>0</v>
      </c>
      <c r="EM366" s="14" t="n">
        <v>0</v>
      </c>
      <c r="EN366" s="14" t="n">
        <v>0</v>
      </c>
      <c r="EO366" s="14" t="n">
        <v>0</v>
      </c>
      <c r="EP366" s="14" t="n">
        <v>0</v>
      </c>
      <c r="EQ366" s="14" t="n">
        <v>0</v>
      </c>
      <c r="ER366" s="14" t="n">
        <v>0</v>
      </c>
      <c r="ES366" s="14" t="n">
        <v>0</v>
      </c>
      <c r="ET366" s="14" t="n">
        <v>0</v>
      </c>
      <c r="EU366" s="14" t="n">
        <v>0</v>
      </c>
      <c r="EV366" s="14" t="n">
        <v>0</v>
      </c>
      <c r="EW366" s="14" t="n">
        <v>0</v>
      </c>
      <c r="EX366" s="14" t="n">
        <v>0</v>
      </c>
      <c r="EY366" s="14" t="n">
        <v>0</v>
      </c>
      <c r="EZ366" s="14" t="n">
        <v>0</v>
      </c>
      <c r="FA366" s="14" t="n">
        <v>0</v>
      </c>
      <c r="FB366" s="14" t="n">
        <v>0</v>
      </c>
      <c r="FC366" s="14" t="n">
        <v>0</v>
      </c>
      <c r="FD366" s="14" t="n">
        <v>0</v>
      </c>
      <c r="FE366" s="14" t="n">
        <v>0</v>
      </c>
      <c r="FF366" s="14" t="n">
        <v>0</v>
      </c>
      <c r="FG366" s="15">
        <f>SUM(DW366,DX366,DY366,DZ366,EA366,EB366,EC366,ED366,EE366,EF366,EG366,EH366,EI366,EJ366,EK366,EL366,EM366,EN366,EO366,EP366,EQ366,ER366,ES366,ET366,EU366,EV366,EW366,EX366,EY366,EZ366,FA366,FB366,FC366,FD366,FE366,FF366)</f>
        <v/>
      </c>
      <c r="FH366" s="14" t="n">
        <v>0</v>
      </c>
      <c r="FI366" s="14" t="n">
        <v>0</v>
      </c>
      <c r="FJ366" s="14" t="n">
        <v>12</v>
      </c>
      <c r="FK366" s="14" t="n">
        <v>10</v>
      </c>
      <c r="FL366" s="14" t="n">
        <v>0</v>
      </c>
      <c r="FM366" s="14" t="n">
        <v>0</v>
      </c>
      <c r="FN366" s="14" t="n">
        <v>0</v>
      </c>
      <c r="FO366" s="14" t="n">
        <v>0</v>
      </c>
      <c r="FP366" s="14" t="n">
        <v>0</v>
      </c>
      <c r="FQ366" s="15">
        <f>FL366+FM366+FN366+FO366+FP366</f>
        <v/>
      </c>
      <c r="FR366" s="14" t="n">
        <v>793611.22</v>
      </c>
      <c r="FS366" s="14" t="n">
        <v>0</v>
      </c>
      <c r="FT366" s="14" t="n">
        <v>79000</v>
      </c>
      <c r="FU366" s="14" t="n">
        <v>60000</v>
      </c>
      <c r="FV366" s="15">
        <f>FR366+FS366+FT366+FU366</f>
        <v/>
      </c>
      <c r="FW366" s="14" t="n">
        <v>6996381.579999997</v>
      </c>
      <c r="FX366" s="14" t="n">
        <v>9352.58</v>
      </c>
      <c r="FY366" s="14" t="n">
        <v>521919.88</v>
      </c>
      <c r="FZ366" s="14" t="n">
        <v>1473281.53</v>
      </c>
      <c r="GA366" s="15">
        <f>FW366+FX366+FY366+FZ366</f>
        <v/>
      </c>
      <c r="GB366" s="15">
        <f>FV366+GA366</f>
        <v/>
      </c>
      <c r="GC366" s="14" t="n">
        <v>3009149.74</v>
      </c>
      <c r="GD366" s="14" t="n">
        <v>1530.24</v>
      </c>
      <c r="GE366" s="14" t="n">
        <v>120872.09</v>
      </c>
      <c r="GF366" s="14" t="n">
        <v>87495.53999999999</v>
      </c>
      <c r="GG366" s="15">
        <f>GC366+GD366+GE366+GF366</f>
        <v/>
      </c>
      <c r="GH366" s="14" t="n">
        <v>6929438.119999997</v>
      </c>
      <c r="GI366" s="14" t="n">
        <v>9352.58</v>
      </c>
      <c r="GJ366" s="14" t="n">
        <v>1411001.98</v>
      </c>
      <c r="GK366" s="14" t="n">
        <v>518319.74</v>
      </c>
      <c r="GL366" s="15">
        <f>GH366+GI366+GJ366+GK366</f>
        <v/>
      </c>
      <c r="GM366" s="15">
        <f>GG366+GL366</f>
        <v/>
      </c>
      <c r="GN366" s="14" t="n">
        <v>344430.2</v>
      </c>
      <c r="GO366" s="14" t="n">
        <v>382.56</v>
      </c>
      <c r="GP366" s="14" t="n">
        <v>20361.84</v>
      </c>
      <c r="GQ366" s="14" t="n">
        <v>46373.4</v>
      </c>
      <c r="GR366" s="15">
        <f>GN366+GO366+GP366+GQ366</f>
        <v/>
      </c>
      <c r="GS366" s="14" t="n">
        <v>562590</v>
      </c>
      <c r="GT366" s="14" t="n">
        <v>1786</v>
      </c>
      <c r="GU366" s="14" t="n">
        <v>5358</v>
      </c>
      <c r="GV366" s="14" t="n">
        <v>8930</v>
      </c>
      <c r="GW366" s="15">
        <f>GS366+GT366+GU366+GV366</f>
        <v/>
      </c>
      <c r="GX366" s="15">
        <f>GM366+GR366+GW366</f>
        <v/>
      </c>
      <c r="GY366" s="14" t="n">
        <v>53708170.01999992</v>
      </c>
      <c r="GZ366" s="14" t="n">
        <v>0</v>
      </c>
      <c r="HA366" s="9">
        <f>GY366+GZ366</f>
        <v/>
      </c>
      <c r="HB366" s="15">
        <f>IF(GX366=0,"",AU366/GX366)</f>
        <v/>
      </c>
      <c r="HC366" s="16">
        <f>IF((GX366+GY366)=0,"",GB366/(GX366+GY366))</f>
        <v/>
      </c>
      <c r="HD366" s="15">
        <f>IF(GX366=0,"",GB366/GX366)</f>
        <v/>
      </c>
      <c r="HE366" s="14" t="n">
        <v>1</v>
      </c>
      <c r="HF366" s="14" t="n">
        <v>1</v>
      </c>
      <c r="HG366" s="14" t="n">
        <v>3</v>
      </c>
      <c r="HH366" s="14" t="n">
        <v>0</v>
      </c>
      <c r="HI366" s="14" t="n">
        <v>3</v>
      </c>
      <c r="HJ366" s="15">
        <f>HF366+HI366</f>
        <v/>
      </c>
      <c r="HK366" s="16">
        <f>IF(HE366=0,"",HH366/HE366)</f>
        <v/>
      </c>
      <c r="HL366" s="14" t="n">
        <v>15</v>
      </c>
      <c r="HM366" s="14" t="n">
        <v>31</v>
      </c>
      <c r="HN366" s="17">
        <f>IF(HL366=0,"",HM366/HL366)</f>
        <v/>
      </c>
    </row>
    <row r="367">
      <c r="A367" s="6" t="inlineStr">
        <is>
          <t>Zomba</t>
        </is>
      </c>
      <c r="B367" s="6" t="inlineStr">
        <is>
          <t>Neno</t>
        </is>
      </c>
      <c r="C367" s="7" t="inlineStr">
        <is>
          <t>FY2025/26</t>
        </is>
      </c>
      <c r="D367" s="7" t="n">
        <v>2025</v>
      </c>
      <c r="E367" s="7" t="n">
        <v>8</v>
      </c>
      <c r="F367" s="7" t="inlineStr">
        <is>
          <t>August</t>
        </is>
      </c>
      <c r="G367" s="7" t="inlineStr">
        <is>
          <t>Q2</t>
        </is>
      </c>
      <c r="H367" s="8" t="n">
        <v>9266</v>
      </c>
      <c r="I367" s="8" t="n">
        <v>111</v>
      </c>
      <c r="J367" s="8" t="n">
        <v>0</v>
      </c>
      <c r="K367" s="8" t="n">
        <v>45</v>
      </c>
      <c r="L367" s="8" t="n">
        <v>0</v>
      </c>
      <c r="M367" s="9">
        <f>SUM(I367,J367,K367,L367)</f>
        <v/>
      </c>
      <c r="N367" s="8" t="n">
        <v>5879.30000000003</v>
      </c>
      <c r="O367" s="8" t="n">
        <v>23.5</v>
      </c>
      <c r="P367" s="8" t="n">
        <v>1011.9</v>
      </c>
      <c r="Q367" s="8" t="n">
        <v>129.1</v>
      </c>
      <c r="R367" s="9">
        <f>SUM(N367,O367,P367,Q367)</f>
        <v/>
      </c>
      <c r="S367" s="9">
        <f>M367+R367</f>
        <v/>
      </c>
      <c r="T367" s="8" t="n">
        <v>2066.19999999998</v>
      </c>
      <c r="U367" s="10">
        <f>IF(H367=0,"",T367/H367)</f>
        <v/>
      </c>
      <c r="V367" s="8" t="n">
        <v>17</v>
      </c>
      <c r="W367" s="11">
        <f>IF(H367=0,"",V367/H367)</f>
        <v/>
      </c>
      <c r="X367" s="8" t="n">
        <v>0</v>
      </c>
      <c r="Y367" s="11">
        <f>IF(H367=0,"",X367/H367)</f>
        <v/>
      </c>
      <c r="Z367" s="8" t="n">
        <v>0</v>
      </c>
      <c r="AA367" s="11">
        <f>IF(H367=0,"",Z367/H367)</f>
        <v/>
      </c>
      <c r="AB367" s="8" t="n">
        <v>0</v>
      </c>
      <c r="AC367" s="11">
        <f>IF(H367=0,"",AB367/H367)</f>
        <v/>
      </c>
      <c r="AD367" s="8" t="n">
        <v>0</v>
      </c>
      <c r="AE367" s="11">
        <f>IF(H367=0,"",AD367/H367)</f>
        <v/>
      </c>
      <c r="AF367" s="8" t="n">
        <v>0</v>
      </c>
      <c r="AG367" s="11">
        <f>IF(H367=0,"",AF367/H367)</f>
        <v/>
      </c>
      <c r="AH367" s="8" t="n">
        <v>442000</v>
      </c>
      <c r="AI367" s="9">
        <f>IF(H367=0,"",AH367/H367)</f>
        <v/>
      </c>
      <c r="AJ367" s="8" t="n">
        <v>8494.620000000001</v>
      </c>
      <c r="AK367" s="11">
        <f>IF(H367=0,"",AJ367/H367)</f>
        <v/>
      </c>
      <c r="AL367" s="8" t="n">
        <v>2353262.54758</v>
      </c>
      <c r="AM367" s="9">
        <f>IF(H367=0,"",AL367/H367)</f>
        <v/>
      </c>
      <c r="AN367" s="8" t="n">
        <v>0</v>
      </c>
      <c r="AO367" s="8" t="n">
        <v>0</v>
      </c>
      <c r="AP367" s="8" t="n">
        <v>0</v>
      </c>
      <c r="AQ367" s="8" t="n">
        <v>0</v>
      </c>
      <c r="AR367" s="8" t="n">
        <v>0</v>
      </c>
      <c r="AS367" s="8" t="n">
        <v>0</v>
      </c>
      <c r="AT367" s="8" t="n">
        <v>0</v>
      </c>
      <c r="AU367" s="9">
        <f>AH367+AL367+AP367+AQ367+AR367+AS367+AT367</f>
        <v/>
      </c>
      <c r="AV367" s="9">
        <f>IF(H367=0,"",AU367/H367)</f>
        <v/>
      </c>
      <c r="AW367" s="9">
        <f>IF(S367=0,"",AU367/S367)</f>
        <v/>
      </c>
      <c r="AX367" s="8" t="n">
        <v>4</v>
      </c>
      <c r="AY367" s="9">
        <f>IF(H367=0,"",AX367/(H367/1000/12))</f>
        <v/>
      </c>
      <c r="AZ367" s="8" t="n">
        <v>15</v>
      </c>
      <c r="BA367" s="8" t="n">
        <v>3</v>
      </c>
      <c r="BB367" s="8" t="n">
        <v>20</v>
      </c>
      <c r="BC367" s="8" t="n">
        <v>19</v>
      </c>
      <c r="BD367" s="8" t="n">
        <v>0</v>
      </c>
      <c r="BE367" s="9">
        <f>BC367+BD367</f>
        <v/>
      </c>
      <c r="BF367" s="9">
        <f>BA367+BB367-BE367</f>
        <v/>
      </c>
      <c r="BG367" s="8" t="n">
        <v>0</v>
      </c>
      <c r="BH367" s="8" t="n">
        <v>2</v>
      </c>
      <c r="BI367" s="8" t="n">
        <v>2</v>
      </c>
      <c r="BJ367" s="8" t="n">
        <v>0</v>
      </c>
      <c r="BK367" s="9">
        <f>BI367+BJ367</f>
        <v/>
      </c>
      <c r="BL367" s="9">
        <f>BG367+BH367-BK367</f>
        <v/>
      </c>
      <c r="BM367" s="8" t="n">
        <v>0</v>
      </c>
      <c r="BN367" s="8" t="n">
        <v>0</v>
      </c>
      <c r="BO367" s="8" t="n">
        <v>0</v>
      </c>
      <c r="BP367" s="8" t="n">
        <v>0</v>
      </c>
      <c r="BQ367" s="9">
        <f>BO367+BP367</f>
        <v/>
      </c>
      <c r="BR367" s="9">
        <f>BM367+BN367-BQ367</f>
        <v/>
      </c>
      <c r="BS367" s="8" t="n">
        <v>0</v>
      </c>
      <c r="BT367" s="8" t="n">
        <v>0</v>
      </c>
      <c r="BU367" s="8" t="n">
        <v>0</v>
      </c>
      <c r="BV367" s="8" t="n">
        <v>0</v>
      </c>
      <c r="BW367" s="9">
        <f>BU367+BV367</f>
        <v/>
      </c>
      <c r="BX367" s="9">
        <f>BS367+BT367-BW367</f>
        <v/>
      </c>
      <c r="BY367" s="9">
        <f>BA367+BG367+BM367+BS367</f>
        <v/>
      </c>
      <c r="BZ367" s="9">
        <f>BB367+BH367+BN367+BT367</f>
        <v/>
      </c>
      <c r="CA367" s="9">
        <f>BE367+BK367+BQ367+BW367</f>
        <v/>
      </c>
      <c r="CB367" s="9">
        <f>BF367+BL367+BR367+BX367</f>
        <v/>
      </c>
      <c r="CC367" s="8" t="n">
        <v>0</v>
      </c>
      <c r="CD367" s="8" t="n">
        <v>170</v>
      </c>
      <c r="CE367" s="8" t="n">
        <v>7</v>
      </c>
      <c r="CF367" s="8" t="n">
        <v>5</v>
      </c>
      <c r="CG367" s="8" t="n">
        <v>3</v>
      </c>
      <c r="CH367" s="9">
        <f>CD367+CE367+CF367+CG367</f>
        <v/>
      </c>
      <c r="CI367" s="8" t="n">
        <v>25</v>
      </c>
      <c r="CJ367" s="8" t="n">
        <v>4</v>
      </c>
      <c r="CK367" s="8" t="n">
        <v>0</v>
      </c>
      <c r="CL367" s="8" t="n">
        <v>0</v>
      </c>
      <c r="CM367" s="9">
        <f>CI367+CJ367+CK367+CL367</f>
        <v/>
      </c>
      <c r="CN367" s="8" t="n">
        <v>739</v>
      </c>
      <c r="CO367" s="8" t="n">
        <v>23</v>
      </c>
      <c r="CP367" s="8" t="n">
        <v>17</v>
      </c>
      <c r="CQ367" s="8" t="n">
        <v>2</v>
      </c>
      <c r="CR367" s="9">
        <f>CN367+CO367+CP367+CQ367</f>
        <v/>
      </c>
      <c r="CS367" s="9">
        <f>CM367+CR367</f>
        <v/>
      </c>
      <c r="CT367" s="8" t="n">
        <v>995</v>
      </c>
      <c r="CU367" s="8" t="n">
        <v>3051</v>
      </c>
      <c r="CV367" s="8" t="n">
        <v>3048.3</v>
      </c>
      <c r="CW367" s="10">
        <f>IF(CU367=0,"",CV367/CU367)</f>
        <v/>
      </c>
      <c r="CX367" s="8" t="n">
        <v>0</v>
      </c>
      <c r="CY367" s="8" t="n">
        <v>0</v>
      </c>
      <c r="CZ367" s="8" t="n">
        <v>0</v>
      </c>
      <c r="DA367" s="8" t="n">
        <v>0</v>
      </c>
      <c r="DB367" s="9">
        <f>CX367+CY367-CZ367-DA367</f>
        <v/>
      </c>
      <c r="DC367" s="8" t="n">
        <v>0</v>
      </c>
      <c r="DD367" s="8" t="n">
        <v>0</v>
      </c>
      <c r="DE367" s="8" t="n">
        <v>0</v>
      </c>
      <c r="DF367" s="8" t="n">
        <v>0</v>
      </c>
      <c r="DG367" s="9">
        <f>DC367+DD367-DE367-DF367</f>
        <v/>
      </c>
      <c r="DH367" s="8" t="n">
        <v>0</v>
      </c>
      <c r="DI367" s="8" t="n">
        <v>0</v>
      </c>
      <c r="DJ367" s="8" t="n">
        <v>0</v>
      </c>
      <c r="DK367" s="8" t="n">
        <v>0</v>
      </c>
      <c r="DL367" s="9">
        <f>DH367+DI367-DJ367-DK367</f>
        <v/>
      </c>
      <c r="DM367" s="8" t="n">
        <v>0</v>
      </c>
      <c r="DN367" s="8" t="n">
        <v>0</v>
      </c>
      <c r="DO367" s="8" t="n">
        <v>0</v>
      </c>
      <c r="DP367" s="8" t="n">
        <v>0</v>
      </c>
      <c r="DQ367" s="9">
        <f>DM367+DN367-DO367-DP367</f>
        <v/>
      </c>
      <c r="DR367" s="9">
        <f>CX367+DC367+DH367+DM367</f>
        <v/>
      </c>
      <c r="DS367" s="9">
        <f>CY367+DD367+DI367+DN367</f>
        <v/>
      </c>
      <c r="DT367" s="9">
        <f>CZ367+DE367+DJ367+DO367</f>
        <v/>
      </c>
      <c r="DU367" s="9">
        <f>DA367+DF367+DK367+DP367</f>
        <v/>
      </c>
      <c r="DV367" s="9">
        <f>DB367+DG367+DL367+DQ367</f>
        <v/>
      </c>
      <c r="DW367" s="8" t="n">
        <v>7</v>
      </c>
      <c r="DX367" s="8" t="n">
        <v>5</v>
      </c>
      <c r="DY367" s="8" t="n">
        <v>2</v>
      </c>
      <c r="DZ367" s="8" t="n">
        <v>0</v>
      </c>
      <c r="EA367" s="8" t="n">
        <v>1</v>
      </c>
      <c r="EB367" s="8" t="n">
        <v>1</v>
      </c>
      <c r="EC367" s="8" t="n">
        <v>0</v>
      </c>
      <c r="ED367" s="8" t="n">
        <v>3</v>
      </c>
      <c r="EE367" s="8" t="n">
        <v>0</v>
      </c>
      <c r="EF367" s="8" t="n">
        <v>0</v>
      </c>
      <c r="EG367" s="8" t="n">
        <v>0</v>
      </c>
      <c r="EH367" s="8" t="n">
        <v>0</v>
      </c>
      <c r="EI367" s="8" t="n">
        <v>0</v>
      </c>
      <c r="EJ367" s="8" t="n">
        <v>0</v>
      </c>
      <c r="EK367" s="8" t="n">
        <v>0</v>
      </c>
      <c r="EL367" s="8" t="n">
        <v>0</v>
      </c>
      <c r="EM367" s="8" t="n">
        <v>0</v>
      </c>
      <c r="EN367" s="8" t="n">
        <v>0</v>
      </c>
      <c r="EO367" s="8" t="n">
        <v>0</v>
      </c>
      <c r="EP367" s="8" t="n">
        <v>0</v>
      </c>
      <c r="EQ367" s="8" t="n">
        <v>0</v>
      </c>
      <c r="ER367" s="8" t="n">
        <v>0</v>
      </c>
      <c r="ES367" s="8" t="n">
        <v>0</v>
      </c>
      <c r="ET367" s="8" t="n">
        <v>0</v>
      </c>
      <c r="EU367" s="8" t="n">
        <v>0</v>
      </c>
      <c r="EV367" s="8" t="n">
        <v>0</v>
      </c>
      <c r="EW367" s="8" t="n">
        <v>0</v>
      </c>
      <c r="EX367" s="8" t="n">
        <v>0</v>
      </c>
      <c r="EY367" s="8" t="n">
        <v>0</v>
      </c>
      <c r="EZ367" s="8" t="n">
        <v>0</v>
      </c>
      <c r="FA367" s="8" t="n">
        <v>0</v>
      </c>
      <c r="FB367" s="8" t="n">
        <v>0</v>
      </c>
      <c r="FC367" s="8" t="n">
        <v>0</v>
      </c>
      <c r="FD367" s="8" t="n">
        <v>0</v>
      </c>
      <c r="FE367" s="8" t="n">
        <v>0</v>
      </c>
      <c r="FF367" s="8" t="n">
        <v>0</v>
      </c>
      <c r="FG367" s="9">
        <f>SUM(DW367,DX367,DY367,DZ367,EA367,EB367,EC367,ED367,EE367,EF367,EG367,EH367,EI367,EJ367,EK367,EL367,EM367,EN367,EO367,EP367,EQ367,ER367,ES367,ET367,EU367,EV367,EW367,EX367,EY367,EZ367,FA367,FB367,FC367,FD367,FE367,FF367)</f>
        <v/>
      </c>
      <c r="FH367" s="8" t="n">
        <v>0</v>
      </c>
      <c r="FI367" s="8" t="n">
        <v>0</v>
      </c>
      <c r="FJ367" s="8" t="n">
        <v>12</v>
      </c>
      <c r="FK367" s="8" t="n">
        <v>16</v>
      </c>
      <c r="FL367" s="8" t="n">
        <v>0</v>
      </c>
      <c r="FM367" s="8" t="n">
        <v>0</v>
      </c>
      <c r="FN367" s="8" t="n">
        <v>0</v>
      </c>
      <c r="FO367" s="8" t="n">
        <v>0</v>
      </c>
      <c r="FP367" s="8" t="n">
        <v>0</v>
      </c>
      <c r="FQ367" s="9">
        <f>FL367+FM367+FN367+FO367+FP367</f>
        <v/>
      </c>
      <c r="FR367" s="8" t="n">
        <v>1180146.99</v>
      </c>
      <c r="FS367" s="8" t="n">
        <v>3000</v>
      </c>
      <c r="FT367" s="8" t="n">
        <v>0</v>
      </c>
      <c r="FU367" s="8" t="n">
        <v>117460.73</v>
      </c>
      <c r="FV367" s="9">
        <f>FR367+FS367+FT367+FU367</f>
        <v/>
      </c>
      <c r="FW367" s="8" t="n">
        <v>7462979.14</v>
      </c>
      <c r="FX367" s="8" t="n">
        <v>5000</v>
      </c>
      <c r="FY367" s="8" t="n">
        <v>619100</v>
      </c>
      <c r="FZ367" s="8" t="n">
        <v>3505099.25</v>
      </c>
      <c r="GA367" s="9">
        <f>FW367+FX367+FY367+FZ367</f>
        <v/>
      </c>
      <c r="GB367" s="9">
        <f>FV367+GA367</f>
        <v/>
      </c>
      <c r="GC367" s="8" t="n">
        <v>124911.97</v>
      </c>
      <c r="GD367" s="8" t="n">
        <v>0</v>
      </c>
      <c r="GE367" s="8" t="n">
        <v>132131.93</v>
      </c>
      <c r="GF367" s="8" t="n">
        <v>0</v>
      </c>
      <c r="GG367" s="9">
        <f>GC367+GD367+GE367+GF367</f>
        <v/>
      </c>
      <c r="GH367" s="8" t="n">
        <v>7340512.26</v>
      </c>
      <c r="GI367" s="8" t="n">
        <v>5000</v>
      </c>
      <c r="GJ367" s="8" t="n">
        <v>3075439.13</v>
      </c>
      <c r="GK367" s="8" t="n">
        <v>608600</v>
      </c>
      <c r="GL367" s="9">
        <f>GH367+GI367+GJ367+GK367</f>
        <v/>
      </c>
      <c r="GM367" s="9">
        <f>GG367+GL367</f>
        <v/>
      </c>
      <c r="GN367" s="8" t="n">
        <v>13623.25</v>
      </c>
      <c r="GO367" s="8" t="n">
        <v>0</v>
      </c>
      <c r="GP367" s="8" t="n">
        <v>13574.56</v>
      </c>
      <c r="GQ367" s="8" t="n">
        <v>0</v>
      </c>
      <c r="GR367" s="9">
        <f>GN367+GO367+GP367+GQ367</f>
        <v/>
      </c>
      <c r="GS367" s="8" t="n">
        <v>22325</v>
      </c>
      <c r="GT367" s="8" t="n">
        <v>0</v>
      </c>
      <c r="GU367" s="8" t="n">
        <v>3572</v>
      </c>
      <c r="GV367" s="8" t="n">
        <v>0</v>
      </c>
      <c r="GW367" s="9">
        <f>GS367+GT367+GU367+GV367</f>
        <v/>
      </c>
      <c r="GX367" s="9">
        <f>GM367+GR367+GW367</f>
        <v/>
      </c>
      <c r="GY367" s="8" t="n">
        <v>52727201.00999996</v>
      </c>
      <c r="GZ367" s="8" t="n">
        <v>0</v>
      </c>
      <c r="HA367" s="9">
        <f>GY367+GZ367</f>
        <v/>
      </c>
      <c r="HB367" s="9">
        <f>IF(GX367=0,"",AU367/GX367)</f>
        <v/>
      </c>
      <c r="HC367" s="10">
        <f>IF((GX367+GY367)=0,"",GB367/(GX367+GY367))</f>
        <v/>
      </c>
      <c r="HD367" s="9">
        <f>IF(GX367=0,"",GB367/GX367)</f>
        <v/>
      </c>
      <c r="HE367" s="8" t="n">
        <v>30</v>
      </c>
      <c r="HF367" s="8" t="n">
        <v>5</v>
      </c>
      <c r="HG367" s="8" t="n">
        <v>4</v>
      </c>
      <c r="HH367" s="8" t="n">
        <v>22</v>
      </c>
      <c r="HI367" s="8" t="n">
        <v>28</v>
      </c>
      <c r="HJ367" s="9">
        <f>HF367+HI367</f>
        <v/>
      </c>
      <c r="HK367" s="10">
        <f>IF(HE367=0,"",HH367/HE367)</f>
        <v/>
      </c>
      <c r="HL367" s="8" t="n">
        <v>27</v>
      </c>
      <c r="HM367" s="8" t="n">
        <v>31</v>
      </c>
      <c r="HN367" s="11">
        <f>IF(HL367=0,"",HM367/HL367)</f>
        <v/>
      </c>
    </row>
    <row r="368">
      <c r="A368" s="12" t="inlineStr">
        <is>
          <t>Zomba</t>
        </is>
      </c>
      <c r="B368" s="12" t="inlineStr">
        <is>
          <t>Neno</t>
        </is>
      </c>
      <c r="C368" s="13" t="inlineStr">
        <is>
          <t>FY2025/26</t>
        </is>
      </c>
      <c r="D368" s="13" t="n">
        <v>2025</v>
      </c>
      <c r="E368" s="13" t="n">
        <v>9</v>
      </c>
      <c r="F368" s="13" t="inlineStr">
        <is>
          <t>September</t>
        </is>
      </c>
      <c r="G368" s="13" t="inlineStr">
        <is>
          <t>Q2</t>
        </is>
      </c>
      <c r="H368" s="14" t="n">
        <v>8814</v>
      </c>
      <c r="I368" s="14" t="n">
        <v>173</v>
      </c>
      <c r="J368" s="14" t="n">
        <v>0</v>
      </c>
      <c r="K368" s="14" t="n">
        <v>38</v>
      </c>
      <c r="L368" s="14" t="n">
        <v>0</v>
      </c>
      <c r="M368" s="15">
        <f>SUM(I368,J368,K368,L368)</f>
        <v/>
      </c>
      <c r="N368" s="14" t="n">
        <v>6069.80000000003</v>
      </c>
      <c r="O368" s="14" t="n">
        <v>40</v>
      </c>
      <c r="P368" s="14" t="n">
        <v>213.2</v>
      </c>
      <c r="Q368" s="14" t="n">
        <v>126.4</v>
      </c>
      <c r="R368" s="15">
        <f>SUM(N368,O368,P368,Q368)</f>
        <v/>
      </c>
      <c r="S368" s="15">
        <f>M368+R368</f>
        <v/>
      </c>
      <c r="T368" s="14" t="n">
        <v>2153.59999999997</v>
      </c>
      <c r="U368" s="16">
        <f>IF(H368=0,"",T368/H368)</f>
        <v/>
      </c>
      <c r="V368" s="14" t="n">
        <v>18</v>
      </c>
      <c r="W368" s="17">
        <f>IF(H368=0,"",V368/H368)</f>
        <v/>
      </c>
      <c r="X368" s="14" t="n">
        <v>0</v>
      </c>
      <c r="Y368" s="17">
        <f>IF(H368=0,"",X368/H368)</f>
        <v/>
      </c>
      <c r="Z368" s="14" t="n">
        <v>0</v>
      </c>
      <c r="AA368" s="17">
        <f>IF(H368=0,"",Z368/H368)</f>
        <v/>
      </c>
      <c r="AB368" s="14" t="n">
        <v>0</v>
      </c>
      <c r="AC368" s="17">
        <f>IF(H368=0,"",AB368/H368)</f>
        <v/>
      </c>
      <c r="AD368" s="14" t="n">
        <v>0</v>
      </c>
      <c r="AE368" s="17">
        <f>IF(H368=0,"",AD368/H368)</f>
        <v/>
      </c>
      <c r="AF368" s="14" t="n">
        <v>0</v>
      </c>
      <c r="AG368" s="17">
        <f>IF(H368=0,"",AF368/H368)</f>
        <v/>
      </c>
      <c r="AH368" s="14" t="n">
        <v>468000</v>
      </c>
      <c r="AI368" s="15">
        <f>IF(H368=0,"",AH368/H368)</f>
        <v/>
      </c>
      <c r="AJ368" s="14" t="n">
        <v>9267.08</v>
      </c>
      <c r="AK368" s="17">
        <f>IF(H368=0,"",AJ368/H368)</f>
        <v/>
      </c>
      <c r="AL368" s="14" t="n">
        <v>2564382.81772</v>
      </c>
      <c r="AM368" s="15">
        <f>IF(H368=0,"",AL368/H368)</f>
        <v/>
      </c>
      <c r="AN368" s="14" t="n">
        <v>0</v>
      </c>
      <c r="AO368" s="14" t="n">
        <v>0</v>
      </c>
      <c r="AP368" s="14" t="n">
        <v>0</v>
      </c>
      <c r="AQ368" s="14" t="n">
        <v>0</v>
      </c>
      <c r="AR368" s="14" t="n">
        <v>0</v>
      </c>
      <c r="AS368" s="14" t="n">
        <v>0</v>
      </c>
      <c r="AT368" s="14" t="n">
        <v>0</v>
      </c>
      <c r="AU368" s="15">
        <f>AH368+AL368+AP368+AQ368+AR368+AS368+AT368</f>
        <v/>
      </c>
      <c r="AV368" s="15">
        <f>IF(H368=0,"",AU368/H368)</f>
        <v/>
      </c>
      <c r="AW368" s="15">
        <f>IF(S368=0,"",AU368/S368)</f>
        <v/>
      </c>
      <c r="AX368" s="14" t="n">
        <v>4</v>
      </c>
      <c r="AY368" s="15">
        <f>IF(H368=0,"",AX368/(H368/1000/12))</f>
        <v/>
      </c>
      <c r="AZ368" s="14" t="n">
        <v>15</v>
      </c>
      <c r="BA368" s="14" t="n">
        <v>4</v>
      </c>
      <c r="BB368" s="14" t="n">
        <v>12</v>
      </c>
      <c r="BC368" s="14" t="n">
        <v>10</v>
      </c>
      <c r="BD368" s="14" t="n">
        <v>0</v>
      </c>
      <c r="BE368" s="15">
        <f>BC368+BD368</f>
        <v/>
      </c>
      <c r="BF368" s="15">
        <f>BA368+BB368-BE368</f>
        <v/>
      </c>
      <c r="BG368" s="14" t="n">
        <v>0</v>
      </c>
      <c r="BH368" s="14" t="n">
        <v>0</v>
      </c>
      <c r="BI368" s="14" t="n">
        <v>0</v>
      </c>
      <c r="BJ368" s="14" t="n">
        <v>0</v>
      </c>
      <c r="BK368" s="15">
        <f>BI368+BJ368</f>
        <v/>
      </c>
      <c r="BL368" s="15">
        <f>BG368+BH368-BK368</f>
        <v/>
      </c>
      <c r="BM368" s="14" t="n">
        <v>0</v>
      </c>
      <c r="BN368" s="14" t="n">
        <v>0</v>
      </c>
      <c r="BO368" s="14" t="n">
        <v>0</v>
      </c>
      <c r="BP368" s="14" t="n">
        <v>0</v>
      </c>
      <c r="BQ368" s="15">
        <f>BO368+BP368</f>
        <v/>
      </c>
      <c r="BR368" s="15">
        <f>BM368+BN368-BQ368</f>
        <v/>
      </c>
      <c r="BS368" s="14" t="n">
        <v>0</v>
      </c>
      <c r="BT368" s="14" t="n">
        <v>0</v>
      </c>
      <c r="BU368" s="14" t="n">
        <v>0</v>
      </c>
      <c r="BV368" s="14" t="n">
        <v>0</v>
      </c>
      <c r="BW368" s="15">
        <f>BU368+BV368</f>
        <v/>
      </c>
      <c r="BX368" s="15">
        <f>BS368+BT368-BW368</f>
        <v/>
      </c>
      <c r="BY368" s="15">
        <f>BA368+BG368+BM368+BS368</f>
        <v/>
      </c>
      <c r="BZ368" s="15">
        <f>BB368+BH368+BN368+BT368</f>
        <v/>
      </c>
      <c r="CA368" s="15">
        <f>BE368+BK368+BQ368+BW368</f>
        <v/>
      </c>
      <c r="CB368" s="15">
        <f>BF368+BL368+BR368+BX368</f>
        <v/>
      </c>
      <c r="CC368" s="14" t="n">
        <v>0</v>
      </c>
      <c r="CD368" s="14" t="n">
        <v>172</v>
      </c>
      <c r="CE368" s="14" t="n">
        <v>8</v>
      </c>
      <c r="CF368" s="14" t="n">
        <v>5</v>
      </c>
      <c r="CG368" s="14" t="n">
        <v>3</v>
      </c>
      <c r="CH368" s="15">
        <f>CD368+CE368+CF368+CG368</f>
        <v/>
      </c>
      <c r="CI368" s="14" t="n">
        <v>33</v>
      </c>
      <c r="CJ368" s="14" t="n">
        <v>3</v>
      </c>
      <c r="CK368" s="14" t="n">
        <v>0</v>
      </c>
      <c r="CL368" s="14" t="n">
        <v>0</v>
      </c>
      <c r="CM368" s="15">
        <f>CI368+CJ368+CK368+CL368</f>
        <v/>
      </c>
      <c r="CN368" s="14" t="n">
        <v>739</v>
      </c>
      <c r="CO368" s="14" t="n">
        <v>23</v>
      </c>
      <c r="CP368" s="14" t="n">
        <v>17</v>
      </c>
      <c r="CQ368" s="14" t="n">
        <v>2</v>
      </c>
      <c r="CR368" s="15">
        <f>CN368+CO368+CP368+CQ368</f>
        <v/>
      </c>
      <c r="CS368" s="15">
        <f>CM368+CR368</f>
        <v/>
      </c>
      <c r="CT368" s="14" t="n">
        <v>1005</v>
      </c>
      <c r="CU368" s="14" t="n">
        <v>3056</v>
      </c>
      <c r="CV368" s="14" t="n">
        <v>3056.6</v>
      </c>
      <c r="CW368" s="16">
        <f>IF(CU368=0,"",CV368/CU368)</f>
        <v/>
      </c>
      <c r="CX368" s="14" t="n">
        <v>0</v>
      </c>
      <c r="CY368" s="14" t="n">
        <v>0</v>
      </c>
      <c r="CZ368" s="14" t="n">
        <v>0</v>
      </c>
      <c r="DA368" s="14" t="n">
        <v>0</v>
      </c>
      <c r="DB368" s="15">
        <f>CX368+CY368-CZ368-DA368</f>
        <v/>
      </c>
      <c r="DC368" s="14" t="n">
        <v>0</v>
      </c>
      <c r="DD368" s="14" t="n">
        <v>0</v>
      </c>
      <c r="DE368" s="14" t="n">
        <v>0</v>
      </c>
      <c r="DF368" s="14" t="n">
        <v>0</v>
      </c>
      <c r="DG368" s="15">
        <f>DC368+DD368-DE368-DF368</f>
        <v/>
      </c>
      <c r="DH368" s="14" t="n">
        <v>0</v>
      </c>
      <c r="DI368" s="14" t="n">
        <v>0</v>
      </c>
      <c r="DJ368" s="14" t="n">
        <v>0</v>
      </c>
      <c r="DK368" s="14" t="n">
        <v>0</v>
      </c>
      <c r="DL368" s="15">
        <f>DH368+DI368-DJ368-DK368</f>
        <v/>
      </c>
      <c r="DM368" s="14" t="n">
        <v>0</v>
      </c>
      <c r="DN368" s="14" t="n">
        <v>0</v>
      </c>
      <c r="DO368" s="14" t="n">
        <v>0</v>
      </c>
      <c r="DP368" s="14" t="n">
        <v>0</v>
      </c>
      <c r="DQ368" s="15">
        <f>DM368+DN368-DO368-DP368</f>
        <v/>
      </c>
      <c r="DR368" s="15">
        <f>CX368+DC368+DH368+DM368</f>
        <v/>
      </c>
      <c r="DS368" s="15">
        <f>CY368+DD368+DI368+DN368</f>
        <v/>
      </c>
      <c r="DT368" s="15">
        <f>CZ368+DE368+DJ368+DO368</f>
        <v/>
      </c>
      <c r="DU368" s="15">
        <f>DA368+DF368+DK368+DP368</f>
        <v/>
      </c>
      <c r="DV368" s="15">
        <f>DB368+DG368+DL368+DQ368</f>
        <v/>
      </c>
      <c r="DW368" s="14" t="n">
        <v>7</v>
      </c>
      <c r="DX368" s="14" t="n">
        <v>1</v>
      </c>
      <c r="DY368" s="14" t="n">
        <v>0</v>
      </c>
      <c r="DZ368" s="14" t="n">
        <v>0</v>
      </c>
      <c r="EA368" s="14" t="n">
        <v>0</v>
      </c>
      <c r="EB368" s="14" t="n">
        <v>2</v>
      </c>
      <c r="EC368" s="14" t="n">
        <v>0</v>
      </c>
      <c r="ED368" s="14" t="n">
        <v>1</v>
      </c>
      <c r="EE368" s="14" t="n">
        <v>0</v>
      </c>
      <c r="EF368" s="14" t="n">
        <v>0</v>
      </c>
      <c r="EG368" s="14" t="n">
        <v>0</v>
      </c>
      <c r="EH368" s="14" t="n">
        <v>0</v>
      </c>
      <c r="EI368" s="14" t="n">
        <v>0</v>
      </c>
      <c r="EJ368" s="14" t="n">
        <v>0</v>
      </c>
      <c r="EK368" s="14" t="n">
        <v>0</v>
      </c>
      <c r="EL368" s="14" t="n">
        <v>0</v>
      </c>
      <c r="EM368" s="14" t="n">
        <v>0</v>
      </c>
      <c r="EN368" s="14" t="n">
        <v>0</v>
      </c>
      <c r="EO368" s="14" t="n">
        <v>0</v>
      </c>
      <c r="EP368" s="14" t="n">
        <v>0</v>
      </c>
      <c r="EQ368" s="14" t="n">
        <v>0</v>
      </c>
      <c r="ER368" s="14" t="n">
        <v>0</v>
      </c>
      <c r="ES368" s="14" t="n">
        <v>0</v>
      </c>
      <c r="ET368" s="14" t="n">
        <v>0</v>
      </c>
      <c r="EU368" s="14" t="n">
        <v>0</v>
      </c>
      <c r="EV368" s="14" t="n">
        <v>0</v>
      </c>
      <c r="EW368" s="14" t="n">
        <v>0</v>
      </c>
      <c r="EX368" s="14" t="n">
        <v>0</v>
      </c>
      <c r="EY368" s="14" t="n">
        <v>0</v>
      </c>
      <c r="EZ368" s="14" t="n">
        <v>0</v>
      </c>
      <c r="FA368" s="14" t="n">
        <v>0</v>
      </c>
      <c r="FB368" s="14" t="n">
        <v>0</v>
      </c>
      <c r="FC368" s="14" t="n">
        <v>0</v>
      </c>
      <c r="FD368" s="14" t="n">
        <v>0</v>
      </c>
      <c r="FE368" s="14" t="n">
        <v>0</v>
      </c>
      <c r="FF368" s="14" t="n">
        <v>0</v>
      </c>
      <c r="FG368" s="15">
        <f>SUM(DW368,DX368,DY368,DZ368,EA368,EB368,EC368,ED368,EE368,EF368,EG368,EH368,EI368,EJ368,EK368,EL368,EM368,EN368,EO368,EP368,EQ368,ER368,ES368,ET368,EU368,EV368,EW368,EX368,EY368,EZ368,FA368,FB368,FC368,FD368,FE368,FF368)</f>
        <v/>
      </c>
      <c r="FH368" s="14" t="n">
        <v>0</v>
      </c>
      <c r="FI368" s="14" t="n">
        <v>0</v>
      </c>
      <c r="FJ368" s="14" t="n">
        <v>13</v>
      </c>
      <c r="FK368" s="14" t="n">
        <v>6</v>
      </c>
      <c r="FL368" s="14" t="n">
        <v>0</v>
      </c>
      <c r="FM368" s="14" t="n">
        <v>0</v>
      </c>
      <c r="FN368" s="14" t="n">
        <v>0</v>
      </c>
      <c r="FO368" s="14" t="n">
        <v>0</v>
      </c>
      <c r="FP368" s="14" t="n">
        <v>0</v>
      </c>
      <c r="FQ368" s="15">
        <f>FL368+FM368+FN368+FO368+FP368</f>
        <v/>
      </c>
      <c r="FR368" s="14" t="n">
        <v>206734.44</v>
      </c>
      <c r="FS368" s="14" t="n">
        <v>0</v>
      </c>
      <c r="FT368" s="14" t="n">
        <v>12000</v>
      </c>
      <c r="FU368" s="14" t="n">
        <v>0</v>
      </c>
      <c r="FV368" s="15">
        <f>FR368+FS368+FT368+FU368</f>
        <v/>
      </c>
      <c r="FW368" s="14" t="n">
        <v>7670718.54</v>
      </c>
      <c r="FX368" s="14" t="n">
        <v>8500</v>
      </c>
      <c r="FY368" s="14" t="n">
        <v>619900</v>
      </c>
      <c r="FZ368" s="14" t="n">
        <v>769218.95</v>
      </c>
      <c r="GA368" s="15">
        <f>FW368+FX368+FY368+FZ368</f>
        <v/>
      </c>
      <c r="GB368" s="15">
        <f>FV368+GA368</f>
        <v/>
      </c>
      <c r="GC368" s="14" t="n">
        <v>184049.05</v>
      </c>
      <c r="GD368" s="14" t="n">
        <v>0</v>
      </c>
      <c r="GE368" s="14" t="n">
        <v>107341.92</v>
      </c>
      <c r="GF368" s="14" t="n">
        <v>0</v>
      </c>
      <c r="GG368" s="15">
        <f>GC368+GD368+GE368+GF368</f>
        <v/>
      </c>
      <c r="GH368" s="14" t="n">
        <v>7573590.23</v>
      </c>
      <c r="GI368" s="14" t="n">
        <v>8500</v>
      </c>
      <c r="GJ368" s="14" t="n">
        <v>645553.8</v>
      </c>
      <c r="GK368" s="14" t="n">
        <v>597700</v>
      </c>
      <c r="GL368" s="15">
        <f>GH368+GI368+GJ368+GK368</f>
        <v/>
      </c>
      <c r="GM368" s="15">
        <f>GG368+GL368</f>
        <v/>
      </c>
      <c r="GN368" s="14" t="n">
        <v>17982.69</v>
      </c>
      <c r="GO368" s="14" t="n">
        <v>0</v>
      </c>
      <c r="GP368" s="14" t="n">
        <v>10180.92</v>
      </c>
      <c r="GQ368" s="14" t="n">
        <v>0</v>
      </c>
      <c r="GR368" s="15">
        <f>GN368+GO368+GP368+GQ368</f>
        <v/>
      </c>
      <c r="GS368" s="14" t="n">
        <v>29469</v>
      </c>
      <c r="GT368" s="14" t="n">
        <v>0</v>
      </c>
      <c r="GU368" s="14" t="n">
        <v>2679</v>
      </c>
      <c r="GV368" s="14" t="n">
        <v>0</v>
      </c>
      <c r="GW368" s="15">
        <f>GS368+GT368+GU368+GV368</f>
        <v/>
      </c>
      <c r="GX368" s="15">
        <f>GM368+GR368+GW368</f>
        <v/>
      </c>
      <c r="GY368" s="14" t="n">
        <v>52678788.72999993</v>
      </c>
      <c r="GZ368" s="14" t="n">
        <v>0</v>
      </c>
      <c r="HA368" s="9">
        <f>GY368+GZ368</f>
        <v/>
      </c>
      <c r="HB368" s="15">
        <f>IF(GX368=0,"",AU368/GX368)</f>
        <v/>
      </c>
      <c r="HC368" s="16">
        <f>IF((GX368+GY368)=0,"",GB368/(GX368+GY368))</f>
        <v/>
      </c>
      <c r="HD368" s="15">
        <f>IF(GX368=0,"",GB368/GX368)</f>
        <v/>
      </c>
      <c r="HE368" s="14" t="n">
        <v>13</v>
      </c>
      <c r="HF368" s="14" t="n">
        <v>1</v>
      </c>
      <c r="HG368" s="14" t="n">
        <v>6</v>
      </c>
      <c r="HH368" s="14" t="n">
        <v>12</v>
      </c>
      <c r="HI368" s="14" t="n">
        <v>0</v>
      </c>
      <c r="HJ368" s="15">
        <f>HF368+HI368</f>
        <v/>
      </c>
      <c r="HK368" s="16">
        <f>IF(HE368=0,"",HH368/HE368)</f>
        <v/>
      </c>
      <c r="HL368" s="14" t="n">
        <v>51</v>
      </c>
      <c r="HM368" s="14" t="n">
        <v>30</v>
      </c>
      <c r="HN368" s="17">
        <f>IF(HL368=0,"",HM368/HL368)</f>
        <v/>
      </c>
    </row>
    <row r="369">
      <c r="A369" s="6" t="inlineStr">
        <is>
          <t>Zomba</t>
        </is>
      </c>
      <c r="B369" s="6" t="inlineStr">
        <is>
          <t>Neno</t>
        </is>
      </c>
      <c r="C369" s="7" t="inlineStr">
        <is>
          <t>FY2025/26</t>
        </is>
      </c>
      <c r="D369" s="7" t="n">
        <v>2025</v>
      </c>
      <c r="E369" s="7" t="n">
        <v>10</v>
      </c>
      <c r="F369" s="7" t="inlineStr">
        <is>
          <t>October</t>
        </is>
      </c>
      <c r="G369" s="7" t="inlineStr">
        <is>
          <t>Q3</t>
        </is>
      </c>
      <c r="H369" s="8" t="n">
        <v>6896</v>
      </c>
      <c r="I369" s="8" t="n">
        <v>216</v>
      </c>
      <c r="J369" s="8" t="n">
        <v>0</v>
      </c>
      <c r="K369" s="8" t="n">
        <v>29</v>
      </c>
      <c r="L369" s="8" t="n">
        <v>0</v>
      </c>
      <c r="M369" s="9">
        <f>SUM(I369,J369,K369,L369)</f>
        <v/>
      </c>
      <c r="N369" s="8" t="n">
        <v>5505.00000000003</v>
      </c>
      <c r="O369" s="8" t="n">
        <v>37.6</v>
      </c>
      <c r="P369" s="8" t="n">
        <v>446</v>
      </c>
      <c r="Q369" s="8" t="n">
        <v>109</v>
      </c>
      <c r="R369" s="9">
        <f>SUM(N369,O369,P369,Q369)</f>
        <v/>
      </c>
      <c r="S369" s="9">
        <f>M369+R369</f>
        <v/>
      </c>
      <c r="T369" s="8" t="n">
        <v>553.399999999968</v>
      </c>
      <c r="U369" s="10">
        <f>IF(H369=0,"",T369/H369)</f>
        <v/>
      </c>
      <c r="V369" s="8" t="n">
        <v>16</v>
      </c>
      <c r="W369" s="11">
        <f>IF(H369=0,"",V369/H369)</f>
        <v/>
      </c>
      <c r="X369" s="8" t="n">
        <v>0</v>
      </c>
      <c r="Y369" s="11">
        <f>IF(H369=0,"",X369/H369)</f>
        <v/>
      </c>
      <c r="Z369" s="8" t="n">
        <v>0</v>
      </c>
      <c r="AA369" s="11">
        <f>IF(H369=0,"",Z369/H369)</f>
        <v/>
      </c>
      <c r="AB369" s="8" t="n">
        <v>0</v>
      </c>
      <c r="AC369" s="11">
        <f>IF(H369=0,"",AB369/H369)</f>
        <v/>
      </c>
      <c r="AD369" s="8" t="n">
        <v>0</v>
      </c>
      <c r="AE369" s="11">
        <f>IF(H369=0,"",AD369/H369)</f>
        <v/>
      </c>
      <c r="AF369" s="8" t="n">
        <v>0</v>
      </c>
      <c r="AG369" s="11">
        <f>IF(H369=0,"",AF369/H369)</f>
        <v/>
      </c>
      <c r="AH369" s="8" t="n">
        <v>416000</v>
      </c>
      <c r="AI369" s="9">
        <f>IF(H369=0,"",AH369/H369)</f>
        <v/>
      </c>
      <c r="AJ369" s="8" t="n">
        <v>6899.28</v>
      </c>
      <c r="AK369" s="11">
        <f>IF(H369=0,"",AJ369/H369)</f>
        <v/>
      </c>
      <c r="AL369" s="8" t="n">
        <v>1917241.76752</v>
      </c>
      <c r="AM369" s="9">
        <f>IF(H369=0,"",AL369/H369)</f>
        <v/>
      </c>
      <c r="AN369" s="8" t="n">
        <v>0</v>
      </c>
      <c r="AO369" s="8" t="n">
        <v>0</v>
      </c>
      <c r="AP369" s="8" t="n">
        <v>0</v>
      </c>
      <c r="AQ369" s="8" t="n">
        <v>0</v>
      </c>
      <c r="AR369" s="8" t="n">
        <v>0</v>
      </c>
      <c r="AS369" s="8" t="n">
        <v>0</v>
      </c>
      <c r="AT369" s="8" t="n">
        <v>0</v>
      </c>
      <c r="AU369" s="9">
        <f>AH369+AL369+AP369+AQ369+AR369+AS369+AT369</f>
        <v/>
      </c>
      <c r="AV369" s="9">
        <f>IF(H369=0,"",AU369/H369)</f>
        <v/>
      </c>
      <c r="AW369" s="9">
        <f>IF(S369=0,"",AU369/S369)</f>
        <v/>
      </c>
      <c r="AX369" s="8" t="n">
        <v>5</v>
      </c>
      <c r="AY369" s="9">
        <f>IF(H369=0,"",AX369/(H369/1000/12))</f>
        <v/>
      </c>
      <c r="AZ369" s="8" t="n">
        <v>15</v>
      </c>
      <c r="BA369" s="8" t="n">
        <v>6</v>
      </c>
      <c r="BB369" s="8" t="n">
        <v>0</v>
      </c>
      <c r="BC369" s="8" t="n">
        <v>6</v>
      </c>
      <c r="BD369" s="8" t="n">
        <v>0</v>
      </c>
      <c r="BE369" s="9">
        <f>BC369+BD369</f>
        <v/>
      </c>
      <c r="BF369" s="9">
        <f>BA369+BB369-BE369</f>
        <v/>
      </c>
      <c r="BG369" s="8" t="n">
        <v>0</v>
      </c>
      <c r="BH369" s="8" t="n">
        <v>0</v>
      </c>
      <c r="BI369" s="8" t="n">
        <v>0</v>
      </c>
      <c r="BJ369" s="8" t="n">
        <v>0</v>
      </c>
      <c r="BK369" s="9">
        <f>BI369+BJ369</f>
        <v/>
      </c>
      <c r="BL369" s="9">
        <f>BG369+BH369-BK369</f>
        <v/>
      </c>
      <c r="BM369" s="8" t="n">
        <v>0</v>
      </c>
      <c r="BN369" s="8" t="n">
        <v>0</v>
      </c>
      <c r="BO369" s="8" t="n">
        <v>0</v>
      </c>
      <c r="BP369" s="8" t="n">
        <v>0</v>
      </c>
      <c r="BQ369" s="9">
        <f>BO369+BP369</f>
        <v/>
      </c>
      <c r="BR369" s="9">
        <f>BM369+BN369-BQ369</f>
        <v/>
      </c>
      <c r="BS369" s="8" t="n">
        <v>0</v>
      </c>
      <c r="BT369" s="8" t="n">
        <v>0</v>
      </c>
      <c r="BU369" s="8" t="n">
        <v>0</v>
      </c>
      <c r="BV369" s="8" t="n">
        <v>0</v>
      </c>
      <c r="BW369" s="9">
        <f>BU369+BV369</f>
        <v/>
      </c>
      <c r="BX369" s="9">
        <f>BS369+BT369-BW369</f>
        <v/>
      </c>
      <c r="BY369" s="9">
        <f>BA369+BG369+BM369+BS369</f>
        <v/>
      </c>
      <c r="BZ369" s="9">
        <f>BB369+BH369+BN369+BT369</f>
        <v/>
      </c>
      <c r="CA369" s="9">
        <f>BE369+BK369+BQ369+BW369</f>
        <v/>
      </c>
      <c r="CB369" s="9">
        <f>BF369+BL369+BR369+BX369</f>
        <v/>
      </c>
      <c r="CC369" s="8" t="n">
        <v>0</v>
      </c>
      <c r="CD369" s="8" t="n">
        <v>175</v>
      </c>
      <c r="CE369" s="8" t="n">
        <v>10</v>
      </c>
      <c r="CF369" s="8" t="n">
        <v>5</v>
      </c>
      <c r="CG369" s="8" t="n">
        <v>3</v>
      </c>
      <c r="CH369" s="9">
        <f>CD369+CE369+CF369+CG369</f>
        <v/>
      </c>
      <c r="CI369" s="8" t="n">
        <v>36</v>
      </c>
      <c r="CJ369" s="8" t="n">
        <v>1</v>
      </c>
      <c r="CK369" s="8" t="n">
        <v>0</v>
      </c>
      <c r="CL369" s="8" t="n">
        <v>0</v>
      </c>
      <c r="CM369" s="9">
        <f>CI369+CJ369+CK369+CL369</f>
        <v/>
      </c>
      <c r="CN369" s="8" t="n">
        <v>739</v>
      </c>
      <c r="CO369" s="8" t="n">
        <v>23</v>
      </c>
      <c r="CP369" s="8" t="n">
        <v>17</v>
      </c>
      <c r="CQ369" s="8" t="n">
        <v>2</v>
      </c>
      <c r="CR369" s="9">
        <f>CN369+CO369+CP369+CQ369</f>
        <v/>
      </c>
      <c r="CS369" s="9">
        <f>CM369+CR369</f>
        <v/>
      </c>
      <c r="CT369" s="8" t="n">
        <v>1011</v>
      </c>
      <c r="CU369" s="8" t="n">
        <v>3061</v>
      </c>
      <c r="CV369" s="8" t="n">
        <v>3061.3</v>
      </c>
      <c r="CW369" s="10">
        <f>IF(CU369=0,"",CV369/CU369)</f>
        <v/>
      </c>
      <c r="CX369" s="8" t="n">
        <v>0</v>
      </c>
      <c r="CY369" s="8" t="n">
        <v>0</v>
      </c>
      <c r="CZ369" s="8" t="n">
        <v>0</v>
      </c>
      <c r="DA369" s="8" t="n">
        <v>0</v>
      </c>
      <c r="DB369" s="9">
        <f>CX369+CY369-CZ369-DA369</f>
        <v/>
      </c>
      <c r="DC369" s="8" t="n">
        <v>0</v>
      </c>
      <c r="DD369" s="8" t="n">
        <v>0</v>
      </c>
      <c r="DE369" s="8" t="n">
        <v>0</v>
      </c>
      <c r="DF369" s="8" t="n">
        <v>0</v>
      </c>
      <c r="DG369" s="9">
        <f>DC369+DD369-DE369-DF369</f>
        <v/>
      </c>
      <c r="DH369" s="8" t="n">
        <v>0</v>
      </c>
      <c r="DI369" s="8" t="n">
        <v>0</v>
      </c>
      <c r="DJ369" s="8" t="n">
        <v>0</v>
      </c>
      <c r="DK369" s="8" t="n">
        <v>0</v>
      </c>
      <c r="DL369" s="9">
        <f>DH369+DI369-DJ369-DK369</f>
        <v/>
      </c>
      <c r="DM369" s="8" t="n">
        <v>0</v>
      </c>
      <c r="DN369" s="8" t="n">
        <v>0</v>
      </c>
      <c r="DO369" s="8" t="n">
        <v>0</v>
      </c>
      <c r="DP369" s="8" t="n">
        <v>0</v>
      </c>
      <c r="DQ369" s="9">
        <f>DM369+DN369-DO369-DP369</f>
        <v/>
      </c>
      <c r="DR369" s="9">
        <f>CX369+DC369+DH369+DM369</f>
        <v/>
      </c>
      <c r="DS369" s="9">
        <f>CY369+DD369+DI369+DN369</f>
        <v/>
      </c>
      <c r="DT369" s="9">
        <f>CZ369+DE369+DJ369+DO369</f>
        <v/>
      </c>
      <c r="DU369" s="9">
        <f>DA369+DF369+DK369+DP369</f>
        <v/>
      </c>
      <c r="DV369" s="9">
        <f>DB369+DG369+DL369+DQ369</f>
        <v/>
      </c>
      <c r="DW369" s="8" t="n">
        <v>7</v>
      </c>
      <c r="DX369" s="8" t="n">
        <v>4</v>
      </c>
      <c r="DY369" s="8" t="n">
        <v>2</v>
      </c>
      <c r="DZ369" s="8" t="n">
        <v>0</v>
      </c>
      <c r="EA369" s="8" t="n">
        <v>0</v>
      </c>
      <c r="EB369" s="8" t="n">
        <v>3</v>
      </c>
      <c r="EC369" s="8" t="n">
        <v>0</v>
      </c>
      <c r="ED369" s="8" t="n">
        <v>0</v>
      </c>
      <c r="EE369" s="8" t="n">
        <v>0</v>
      </c>
      <c r="EF369" s="8" t="n">
        <v>0</v>
      </c>
      <c r="EG369" s="8" t="n">
        <v>0</v>
      </c>
      <c r="EH369" s="8" t="n">
        <v>0</v>
      </c>
      <c r="EI369" s="8" t="n">
        <v>0</v>
      </c>
      <c r="EJ369" s="8" t="n">
        <v>0</v>
      </c>
      <c r="EK369" s="8" t="n">
        <v>0</v>
      </c>
      <c r="EL369" s="8" t="n">
        <v>0</v>
      </c>
      <c r="EM369" s="8" t="n">
        <v>0</v>
      </c>
      <c r="EN369" s="8" t="n">
        <v>0</v>
      </c>
      <c r="EO369" s="8" t="n">
        <v>0</v>
      </c>
      <c r="EP369" s="8" t="n">
        <v>0</v>
      </c>
      <c r="EQ369" s="8" t="n">
        <v>0</v>
      </c>
      <c r="ER369" s="8" t="n">
        <v>0</v>
      </c>
      <c r="ES369" s="8" t="n">
        <v>0</v>
      </c>
      <c r="ET369" s="8" t="n">
        <v>0</v>
      </c>
      <c r="EU369" s="8" t="n">
        <v>0</v>
      </c>
      <c r="EV369" s="8" t="n">
        <v>0</v>
      </c>
      <c r="EW369" s="8" t="n">
        <v>0</v>
      </c>
      <c r="EX369" s="8" t="n">
        <v>0</v>
      </c>
      <c r="EY369" s="8" t="n">
        <v>0</v>
      </c>
      <c r="EZ369" s="8" t="n">
        <v>0</v>
      </c>
      <c r="FA369" s="8" t="n">
        <v>0</v>
      </c>
      <c r="FB369" s="8" t="n">
        <v>0</v>
      </c>
      <c r="FC369" s="8" t="n">
        <v>0</v>
      </c>
      <c r="FD369" s="8" t="n">
        <v>0</v>
      </c>
      <c r="FE369" s="8" t="n">
        <v>0</v>
      </c>
      <c r="FF369" s="8" t="n">
        <v>0</v>
      </c>
      <c r="FG369" s="9">
        <f>SUM(DW369,DX369,DY369,DZ369,EA369,EB369,EC369,ED369,EE369,EF369,EG369,EH369,EI369,EJ369,EK369,EL369,EM369,EN369,EO369,EP369,EQ369,ER369,ES369,ET369,EU369,EV369,EW369,EX369,EY369,EZ369,FA369,FB369,FC369,FD369,FE369,FF369)</f>
        <v/>
      </c>
      <c r="FH369" s="8" t="n">
        <v>1</v>
      </c>
      <c r="FI369" s="8" t="n">
        <v>120</v>
      </c>
      <c r="FJ369" s="8" t="n">
        <v>11</v>
      </c>
      <c r="FK369" s="8" t="n">
        <v>99</v>
      </c>
      <c r="FL369" s="8" t="n">
        <v>0</v>
      </c>
      <c r="FM369" s="8" t="n">
        <v>0</v>
      </c>
      <c r="FN369" s="8" t="n">
        <v>0</v>
      </c>
      <c r="FO369" s="8" t="n">
        <v>0</v>
      </c>
      <c r="FP369" s="8" t="n">
        <v>0</v>
      </c>
      <c r="FQ369" s="9">
        <f>FL369+FM369+FN369+FO369+FP369</f>
        <v/>
      </c>
      <c r="FR369" s="8" t="n">
        <v>223534.44</v>
      </c>
      <c r="FS369" s="8" t="n">
        <v>0</v>
      </c>
      <c r="FT369" s="8" t="n">
        <v>0</v>
      </c>
      <c r="FU369" s="8" t="n">
        <v>0</v>
      </c>
      <c r="FV369" s="9">
        <f>FR369+FS369+FT369+FU369</f>
        <v/>
      </c>
      <c r="FW369" s="8" t="n">
        <v>6926966.3</v>
      </c>
      <c r="FX369" s="8" t="n">
        <v>8000</v>
      </c>
      <c r="FY369" s="8" t="n">
        <v>522400</v>
      </c>
      <c r="FZ369" s="8" t="n">
        <v>1380839.4</v>
      </c>
      <c r="GA369" s="9">
        <f>FW369+FX369+FY369+FZ369</f>
        <v/>
      </c>
      <c r="GB369" s="9">
        <f>FV369+GA369</f>
        <v/>
      </c>
      <c r="GC369" s="8" t="n">
        <v>196290.06</v>
      </c>
      <c r="GD369" s="8" t="n">
        <v>0</v>
      </c>
      <c r="GE369" s="8" t="n">
        <v>87857.78</v>
      </c>
      <c r="GF369" s="8" t="n">
        <v>0</v>
      </c>
      <c r="GG369" s="9">
        <f>GC369+GD369+GE369+GF369</f>
        <v/>
      </c>
      <c r="GH369" s="8" t="n">
        <v>6865915.98</v>
      </c>
      <c r="GI369" s="8" t="n">
        <v>8000</v>
      </c>
      <c r="GJ369" s="8" t="n">
        <v>1356419.4</v>
      </c>
      <c r="GK369" s="8" t="n">
        <v>516400</v>
      </c>
      <c r="GL369" s="9">
        <f>GH369+GI369+GJ369+GK369</f>
        <v/>
      </c>
      <c r="GM369" s="9">
        <f>GG369+GL369</f>
        <v/>
      </c>
      <c r="GN369" s="8" t="n">
        <v>19617.48</v>
      </c>
      <c r="GO369" s="8" t="n">
        <v>0</v>
      </c>
      <c r="GP369" s="8" t="n">
        <v>3393.64</v>
      </c>
      <c r="GQ369" s="8" t="n">
        <v>0</v>
      </c>
      <c r="GR369" s="9">
        <f>GN369+GO369+GP369+GQ369</f>
        <v/>
      </c>
      <c r="GS369" s="8" t="n">
        <v>32148</v>
      </c>
      <c r="GT369" s="8" t="n">
        <v>0</v>
      </c>
      <c r="GU369" s="8" t="n">
        <v>893</v>
      </c>
      <c r="GV369" s="8" t="n">
        <v>0</v>
      </c>
      <c r="GW369" s="9">
        <f>GS369+GT369+GU369+GV369</f>
        <v/>
      </c>
      <c r="GX369" s="9">
        <f>GM369+GR369+GW369</f>
        <v/>
      </c>
      <c r="GY369" s="8" t="n">
        <v>52681937.65999992</v>
      </c>
      <c r="GZ369" s="8" t="n">
        <v>0</v>
      </c>
      <c r="HA369" s="9">
        <f>GY369+GZ369</f>
        <v/>
      </c>
      <c r="HB369" s="9">
        <f>IF(GX369=0,"",AU369/GX369)</f>
        <v/>
      </c>
      <c r="HC369" s="10">
        <f>IF((GX369+GY369)=0,"",GB369/(GX369+GY369))</f>
        <v/>
      </c>
      <c r="HD369" s="9">
        <f>IF(GX369=0,"",GB369/GX369)</f>
        <v/>
      </c>
      <c r="HE369" s="8" t="n">
        <v>6</v>
      </c>
      <c r="HF369" s="8" t="n">
        <v>1</v>
      </c>
      <c r="HG369" s="8" t="n">
        <v>0</v>
      </c>
      <c r="HH369" s="8" t="n">
        <v>0</v>
      </c>
      <c r="HI369" s="8" t="n">
        <v>0</v>
      </c>
      <c r="HJ369" s="9">
        <f>HF369+HI369</f>
        <v/>
      </c>
      <c r="HK369" s="10">
        <f>IF(HE369=0,"",HH369/HE369)</f>
        <v/>
      </c>
      <c r="HL369" s="8" t="n">
        <v>89</v>
      </c>
      <c r="HM369" s="8" t="n">
        <v>31</v>
      </c>
      <c r="HN369" s="11">
        <f>IF(HL369=0,"",HM369/HL369)</f>
        <v/>
      </c>
    </row>
    <row r="370">
      <c r="A370" s="12" t="inlineStr">
        <is>
          <t>Zomba</t>
        </is>
      </c>
      <c r="B370" s="12" t="inlineStr">
        <is>
          <t>Neno</t>
        </is>
      </c>
      <c r="C370" s="13" t="inlineStr">
        <is>
          <t>FY2025/26</t>
        </is>
      </c>
      <c r="D370" s="13" t="n">
        <v>2025</v>
      </c>
      <c r="E370" s="13" t="n">
        <v>11</v>
      </c>
      <c r="F370" s="13" t="inlineStr">
        <is>
          <t>November</t>
        </is>
      </c>
      <c r="G370" s="13" t="inlineStr">
        <is>
          <t>Q3</t>
        </is>
      </c>
      <c r="H370" s="14" t="n">
        <v>7781</v>
      </c>
      <c r="I370" s="14" t="n">
        <v>188</v>
      </c>
      <c r="J370" s="14" t="n">
        <v>0</v>
      </c>
      <c r="K370" s="14" t="n">
        <v>28</v>
      </c>
      <c r="L370" s="14" t="n">
        <v>0</v>
      </c>
      <c r="M370" s="15">
        <f>SUM(I370,J370,K370,L370)</f>
        <v/>
      </c>
      <c r="N370" s="14" t="n">
        <v>5412.00000000004</v>
      </c>
      <c r="O370" s="14" t="n">
        <v>47</v>
      </c>
      <c r="P370" s="14" t="n">
        <v>1335.7</v>
      </c>
      <c r="Q370" s="14" t="n">
        <v>85.8</v>
      </c>
      <c r="R370" s="15">
        <f>SUM(N370,O370,P370,Q370)</f>
        <v/>
      </c>
      <c r="S370" s="15">
        <f>M370+R370</f>
        <v/>
      </c>
      <c r="T370" s="14" t="n">
        <v>684.499999999961</v>
      </c>
      <c r="U370" s="16">
        <f>IF(H370=0,"",T370/H370)</f>
        <v/>
      </c>
      <c r="V370" s="14" t="n">
        <v>18</v>
      </c>
      <c r="W370" s="17">
        <f>IF(H370=0,"",V370/H370)</f>
        <v/>
      </c>
      <c r="X370" s="14" t="n">
        <v>0</v>
      </c>
      <c r="Y370" s="17">
        <f>IF(H370=0,"",X370/H370)</f>
        <v/>
      </c>
      <c r="Z370" s="14" t="n">
        <v>0</v>
      </c>
      <c r="AA370" s="17">
        <f>IF(H370=0,"",Z370/H370)</f>
        <v/>
      </c>
      <c r="AB370" s="14" t="n">
        <v>0</v>
      </c>
      <c r="AC370" s="17">
        <f>IF(H370=0,"",AB370/H370)</f>
        <v/>
      </c>
      <c r="AD370" s="14" t="n">
        <v>0</v>
      </c>
      <c r="AE370" s="17">
        <f>IF(H370=0,"",AD370/H370)</f>
        <v/>
      </c>
      <c r="AF370" s="14" t="n">
        <v>0</v>
      </c>
      <c r="AG370" s="17">
        <f>IF(H370=0,"",AF370/H370)</f>
        <v/>
      </c>
      <c r="AH370" s="14" t="n">
        <v>468000</v>
      </c>
      <c r="AI370" s="15">
        <f>IF(H370=0,"",AH370/H370)</f>
        <v/>
      </c>
      <c r="AJ370" s="14" t="n">
        <v>8020.14</v>
      </c>
      <c r="AK370" s="17">
        <f>IF(H370=0,"",AJ370/H370)</f>
        <v/>
      </c>
      <c r="AL370" s="14" t="n">
        <v>2223582.89326</v>
      </c>
      <c r="AM370" s="15">
        <f>IF(H370=0,"",AL370/H370)</f>
        <v/>
      </c>
      <c r="AN370" s="14" t="n">
        <v>0</v>
      </c>
      <c r="AO370" s="14" t="n">
        <v>0</v>
      </c>
      <c r="AP370" s="14" t="n">
        <v>0</v>
      </c>
      <c r="AQ370" s="14" t="n">
        <v>0</v>
      </c>
      <c r="AR370" s="14" t="n">
        <v>0</v>
      </c>
      <c r="AS370" s="14" t="n">
        <v>0</v>
      </c>
      <c r="AT370" s="14" t="n">
        <v>0</v>
      </c>
      <c r="AU370" s="15">
        <f>AH370+AL370+AP370+AQ370+AR370+AS370+AT370</f>
        <v/>
      </c>
      <c r="AV370" s="15">
        <f>IF(H370=0,"",AU370/H370)</f>
        <v/>
      </c>
      <c r="AW370" s="15">
        <f>IF(S370=0,"",AU370/S370)</f>
        <v/>
      </c>
      <c r="AX370" s="14" t="n">
        <v>5</v>
      </c>
      <c r="AY370" s="15">
        <f>IF(H370=0,"",AX370/(H370/1000/12))</f>
        <v/>
      </c>
      <c r="AZ370" s="14" t="n">
        <v>15</v>
      </c>
      <c r="BA370" s="14" t="n">
        <v>0</v>
      </c>
      <c r="BB370" s="14" t="n">
        <v>8</v>
      </c>
      <c r="BC370" s="14" t="n">
        <v>8</v>
      </c>
      <c r="BD370" s="14" t="n">
        <v>0</v>
      </c>
      <c r="BE370" s="15">
        <f>BC370+BD370</f>
        <v/>
      </c>
      <c r="BF370" s="15">
        <f>BA370+BB370-BE370</f>
        <v/>
      </c>
      <c r="BG370" s="14" t="n">
        <v>0</v>
      </c>
      <c r="BH370" s="14" t="n">
        <v>0</v>
      </c>
      <c r="BI370" s="14" t="n">
        <v>0</v>
      </c>
      <c r="BJ370" s="14" t="n">
        <v>0</v>
      </c>
      <c r="BK370" s="15">
        <f>BI370+BJ370</f>
        <v/>
      </c>
      <c r="BL370" s="15">
        <f>BG370+BH370-BK370</f>
        <v/>
      </c>
      <c r="BM370" s="14" t="n">
        <v>0</v>
      </c>
      <c r="BN370" s="14" t="n">
        <v>0</v>
      </c>
      <c r="BO370" s="14" t="n">
        <v>0</v>
      </c>
      <c r="BP370" s="14" t="n">
        <v>0</v>
      </c>
      <c r="BQ370" s="15">
        <f>BO370+BP370</f>
        <v/>
      </c>
      <c r="BR370" s="15">
        <f>BM370+BN370-BQ370</f>
        <v/>
      </c>
      <c r="BS370" s="14" t="n">
        <v>0</v>
      </c>
      <c r="BT370" s="14" t="n">
        <v>0</v>
      </c>
      <c r="BU370" s="14" t="n">
        <v>0</v>
      </c>
      <c r="BV370" s="14" t="n">
        <v>0</v>
      </c>
      <c r="BW370" s="15">
        <f>BU370+BV370</f>
        <v/>
      </c>
      <c r="BX370" s="15">
        <f>BS370+BT370-BW370</f>
        <v/>
      </c>
      <c r="BY370" s="15">
        <f>BA370+BG370+BM370+BS370</f>
        <v/>
      </c>
      <c r="BZ370" s="15">
        <f>BB370+BH370+BN370+BT370</f>
        <v/>
      </c>
      <c r="CA370" s="15">
        <f>BE370+BK370+BQ370+BW370</f>
        <v/>
      </c>
      <c r="CB370" s="15">
        <f>BF370+BL370+BR370+BX370</f>
        <v/>
      </c>
      <c r="CC370" s="14" t="n">
        <v>0</v>
      </c>
      <c r="CD370" s="14" t="n">
        <v>175</v>
      </c>
      <c r="CE370" s="14" t="n">
        <v>10</v>
      </c>
      <c r="CF370" s="14" t="n">
        <v>5</v>
      </c>
      <c r="CG370" s="14" t="n">
        <v>3</v>
      </c>
      <c r="CH370" s="15">
        <f>CD370+CE370+CF370+CG370</f>
        <v/>
      </c>
      <c r="CI370" s="14" t="n">
        <v>27</v>
      </c>
      <c r="CJ370" s="14" t="n">
        <v>1</v>
      </c>
      <c r="CK370" s="14" t="n">
        <v>0</v>
      </c>
      <c r="CL370" s="14" t="n">
        <v>0</v>
      </c>
      <c r="CM370" s="15">
        <f>CI370+CJ370+CK370+CL370</f>
        <v/>
      </c>
      <c r="CN370" s="14" t="n">
        <v>756</v>
      </c>
      <c r="CO370" s="14" t="n">
        <v>23</v>
      </c>
      <c r="CP370" s="14" t="n">
        <v>17</v>
      </c>
      <c r="CQ370" s="14" t="n">
        <v>2</v>
      </c>
      <c r="CR370" s="15">
        <f>CN370+CO370+CP370+CQ370</f>
        <v/>
      </c>
      <c r="CS370" s="15">
        <f>CM370+CR370</f>
        <v/>
      </c>
      <c r="CT370" s="14" t="n">
        <v>1019</v>
      </c>
      <c r="CU370" s="14" t="n">
        <v>3066</v>
      </c>
      <c r="CV370" s="14" t="n">
        <v>3065.3</v>
      </c>
      <c r="CW370" s="16">
        <f>IF(CU370=0,"",CV370/CU370)</f>
        <v/>
      </c>
      <c r="CX370" s="14" t="n">
        <v>0</v>
      </c>
      <c r="CY370" s="14" t="n">
        <v>0</v>
      </c>
      <c r="CZ370" s="14" t="n">
        <v>0</v>
      </c>
      <c r="DA370" s="14" t="n">
        <v>0</v>
      </c>
      <c r="DB370" s="15">
        <f>CX370+CY370-CZ370-DA370</f>
        <v/>
      </c>
      <c r="DC370" s="14" t="n">
        <v>0</v>
      </c>
      <c r="DD370" s="14" t="n">
        <v>0</v>
      </c>
      <c r="DE370" s="14" t="n">
        <v>0</v>
      </c>
      <c r="DF370" s="14" t="n">
        <v>0</v>
      </c>
      <c r="DG370" s="15">
        <f>DC370+DD370-DE370-DF370</f>
        <v/>
      </c>
      <c r="DH370" s="14" t="n">
        <v>0</v>
      </c>
      <c r="DI370" s="14" t="n">
        <v>0</v>
      </c>
      <c r="DJ370" s="14" t="n">
        <v>0</v>
      </c>
      <c r="DK370" s="14" t="n">
        <v>0</v>
      </c>
      <c r="DL370" s="15">
        <f>DH370+DI370-DJ370-DK370</f>
        <v/>
      </c>
      <c r="DM370" s="14" t="n">
        <v>0</v>
      </c>
      <c r="DN370" s="14" t="n">
        <v>0</v>
      </c>
      <c r="DO370" s="14" t="n">
        <v>0</v>
      </c>
      <c r="DP370" s="14" t="n">
        <v>0</v>
      </c>
      <c r="DQ370" s="15">
        <f>DM370+DN370-DO370-DP370</f>
        <v/>
      </c>
      <c r="DR370" s="15">
        <f>CX370+DC370+DH370+DM370</f>
        <v/>
      </c>
      <c r="DS370" s="15">
        <f>CY370+DD370+DI370+DN370</f>
        <v/>
      </c>
      <c r="DT370" s="15">
        <f>CZ370+DE370+DJ370+DO370</f>
        <v/>
      </c>
      <c r="DU370" s="15">
        <f>DA370+DF370+DK370+DP370</f>
        <v/>
      </c>
      <c r="DV370" s="15">
        <f>DB370+DG370+DL370+DQ370</f>
        <v/>
      </c>
      <c r="DW370" s="14" t="n">
        <v>8</v>
      </c>
      <c r="DX370" s="14" t="n">
        <v>7</v>
      </c>
      <c r="DY370" s="14" t="n">
        <v>3</v>
      </c>
      <c r="DZ370" s="14" t="n">
        <v>0</v>
      </c>
      <c r="EA370" s="14" t="n">
        <v>0</v>
      </c>
      <c r="EB370" s="14" t="n">
        <v>0</v>
      </c>
      <c r="EC370" s="14" t="n">
        <v>0</v>
      </c>
      <c r="ED370" s="14" t="n">
        <v>0</v>
      </c>
      <c r="EE370" s="14" t="n">
        <v>0</v>
      </c>
      <c r="EF370" s="14" t="n">
        <v>0</v>
      </c>
      <c r="EG370" s="14" t="n">
        <v>0</v>
      </c>
      <c r="EH370" s="14" t="n">
        <v>0</v>
      </c>
      <c r="EI370" s="14" t="n">
        <v>0</v>
      </c>
      <c r="EJ370" s="14" t="n">
        <v>1</v>
      </c>
      <c r="EK370" s="14" t="n">
        <v>1</v>
      </c>
      <c r="EL370" s="14" t="n">
        <v>0</v>
      </c>
      <c r="EM370" s="14" t="n">
        <v>0</v>
      </c>
      <c r="EN370" s="14" t="n">
        <v>0</v>
      </c>
      <c r="EO370" s="14" t="n">
        <v>0</v>
      </c>
      <c r="EP370" s="14" t="n">
        <v>0</v>
      </c>
      <c r="EQ370" s="14" t="n">
        <v>0</v>
      </c>
      <c r="ER370" s="14" t="n">
        <v>0</v>
      </c>
      <c r="ES370" s="14" t="n">
        <v>0</v>
      </c>
      <c r="ET370" s="14" t="n">
        <v>0</v>
      </c>
      <c r="EU370" s="14" t="n">
        <v>0</v>
      </c>
      <c r="EV370" s="14" t="n">
        <v>0</v>
      </c>
      <c r="EW370" s="14" t="n">
        <v>0</v>
      </c>
      <c r="EX370" s="14" t="n">
        <v>0</v>
      </c>
      <c r="EY370" s="14" t="n">
        <v>0</v>
      </c>
      <c r="EZ370" s="14" t="n">
        <v>0</v>
      </c>
      <c r="FA370" s="14" t="n">
        <v>0</v>
      </c>
      <c r="FB370" s="14" t="n">
        <v>0</v>
      </c>
      <c r="FC370" s="14" t="n">
        <v>0</v>
      </c>
      <c r="FD370" s="14" t="n">
        <v>0</v>
      </c>
      <c r="FE370" s="14" t="n">
        <v>0</v>
      </c>
      <c r="FF370" s="14" t="n">
        <v>0</v>
      </c>
      <c r="FG370" s="15">
        <f>SUM(DW370,DX370,DY370,DZ370,EA370,EB370,EC370,ED370,EE370,EF370,EG370,EH370,EI370,EJ370,EK370,EL370,EM370,EN370,EO370,EP370,EQ370,ER370,ES370,ET370,EU370,EV370,EW370,EX370,EY370,EZ370,FA370,FB370,FC370,FD370,FE370,FF370)</f>
        <v/>
      </c>
      <c r="FH370" s="14" t="n">
        <v>1</v>
      </c>
      <c r="FI370" s="14" t="n">
        <v>120</v>
      </c>
      <c r="FJ370" s="14" t="n">
        <v>10</v>
      </c>
      <c r="FK370" s="14" t="n">
        <v>96</v>
      </c>
      <c r="FL370" s="14" t="n">
        <v>0</v>
      </c>
      <c r="FM370" s="14" t="n">
        <v>0</v>
      </c>
      <c r="FN370" s="14" t="n">
        <v>0</v>
      </c>
      <c r="FO370" s="14" t="n">
        <v>0</v>
      </c>
      <c r="FP370" s="14" t="n">
        <v>0</v>
      </c>
      <c r="FQ370" s="15">
        <f>FL370+FM370+FN370+FO370+FP370</f>
        <v/>
      </c>
      <c r="FR370" s="14" t="n">
        <v>30600</v>
      </c>
      <c r="FS370" s="14" t="n">
        <v>0</v>
      </c>
      <c r="FT370" s="14" t="n">
        <v>0</v>
      </c>
      <c r="FU370" s="14" t="n">
        <v>0</v>
      </c>
      <c r="FV370" s="15">
        <f>FR370+FS370+FT370+FU370</f>
        <v/>
      </c>
      <c r="FW370" s="14" t="n">
        <v>6815873.18</v>
      </c>
      <c r="FX370" s="14" t="n">
        <v>10000</v>
      </c>
      <c r="FY370" s="14" t="n">
        <v>411700</v>
      </c>
      <c r="FZ370" s="14" t="n">
        <v>4080190.7</v>
      </c>
      <c r="GA370" s="15">
        <f>FW370+FX370+FY370+FZ370</f>
        <v/>
      </c>
      <c r="GB370" s="15">
        <f>FV370+GA370</f>
        <v/>
      </c>
      <c r="GC370" s="14" t="n">
        <v>170548.84</v>
      </c>
      <c r="GD370" s="14" t="n">
        <v>0</v>
      </c>
      <c r="GE370" s="14" t="n">
        <v>84398.31</v>
      </c>
      <c r="GF370" s="14" t="n">
        <v>0</v>
      </c>
      <c r="GG370" s="15">
        <f>GC370+GD370+GE370+GF370</f>
        <v/>
      </c>
      <c r="GH370" s="14" t="n">
        <v>6749993.18</v>
      </c>
      <c r="GI370" s="14" t="n">
        <v>10000</v>
      </c>
      <c r="GJ370" s="14" t="n">
        <v>4060450.7</v>
      </c>
      <c r="GK370" s="14" t="n">
        <v>406300</v>
      </c>
      <c r="GL370" s="15">
        <f>GH370+GI370+GJ370+GK370</f>
        <v/>
      </c>
      <c r="GM370" s="15">
        <f>GG370+GL370</f>
        <v/>
      </c>
      <c r="GN370" s="14" t="n">
        <v>14713.11</v>
      </c>
      <c r="GO370" s="14" t="n">
        <v>0</v>
      </c>
      <c r="GP370" s="14" t="n">
        <v>3393.64</v>
      </c>
      <c r="GQ370" s="14" t="n">
        <v>0</v>
      </c>
      <c r="GR370" s="15">
        <f>GN370+GO370+GP370+GQ370</f>
        <v/>
      </c>
      <c r="GS370" s="14" t="n">
        <v>24111</v>
      </c>
      <c r="GT370" s="14" t="n">
        <v>0</v>
      </c>
      <c r="GU370" s="14" t="n">
        <v>893</v>
      </c>
      <c r="GV370" s="14" t="n">
        <v>0</v>
      </c>
      <c r="GW370" s="15">
        <f>GS370+GT370+GU370+GV370</f>
        <v/>
      </c>
      <c r="GX370" s="15">
        <f>GM370+GR370+GW370</f>
        <v/>
      </c>
      <c r="GY370" s="14" t="n">
        <v>43574342.54999999</v>
      </c>
      <c r="GZ370" s="14" t="n">
        <v>0</v>
      </c>
      <c r="HA370" s="9">
        <f>GY370+GZ370</f>
        <v/>
      </c>
      <c r="HB370" s="15">
        <f>IF(GX370=0,"",AU370/GX370)</f>
        <v/>
      </c>
      <c r="HC370" s="16">
        <f>IF((GX370+GY370)=0,"",GB370/(GX370+GY370))</f>
        <v/>
      </c>
      <c r="HD370" s="15">
        <f>IF(GX370=0,"",GB370/GX370)</f>
        <v/>
      </c>
      <c r="HE370" s="14" t="n">
        <v>8</v>
      </c>
      <c r="HF370" s="14" t="n">
        <v>1</v>
      </c>
      <c r="HG370" s="14" t="n">
        <v>0</v>
      </c>
      <c r="HH370" s="14" t="n">
        <v>8</v>
      </c>
      <c r="HI370" s="14" t="n">
        <v>28</v>
      </c>
      <c r="HJ370" s="15">
        <f>HF370+HI370</f>
        <v/>
      </c>
      <c r="HK370" s="16">
        <f>IF(HE370=0,"",HH370/HE370)</f>
        <v/>
      </c>
      <c r="HL370" s="14" t="n">
        <v>45</v>
      </c>
      <c r="HM370" s="14" t="n">
        <v>30</v>
      </c>
      <c r="HN370" s="17">
        <f>IF(HL370=0,"",HM370/HL370)</f>
        <v/>
      </c>
    </row>
    <row r="371">
      <c r="A371" s="6" t="inlineStr">
        <is>
          <t>Zomba</t>
        </is>
      </c>
      <c r="B371" s="6" t="inlineStr">
        <is>
          <t>Neno</t>
        </is>
      </c>
      <c r="C371" s="7" t="inlineStr">
        <is>
          <t>FY2025/26</t>
        </is>
      </c>
      <c r="D371" s="7" t="n">
        <v>2025</v>
      </c>
      <c r="E371" s="7" t="n">
        <v>12</v>
      </c>
      <c r="F371" s="7" t="inlineStr">
        <is>
          <t>December</t>
        </is>
      </c>
      <c r="G371" s="7" t="inlineStr">
        <is>
          <t>Q3</t>
        </is>
      </c>
      <c r="H371" s="8" t="n">
        <v>6112</v>
      </c>
      <c r="I371" s="8" t="n">
        <v>218</v>
      </c>
      <c r="J371" s="8" t="n">
        <v>0</v>
      </c>
      <c r="K371" s="8" t="n">
        <v>16</v>
      </c>
      <c r="L371" s="8" t="n">
        <v>0</v>
      </c>
      <c r="M371" s="9">
        <f>SUM(I371,J371,K371,L371)</f>
        <v/>
      </c>
      <c r="N371" s="8" t="n">
        <v>4433.60000000001</v>
      </c>
      <c r="O371" s="8" t="n">
        <v>23.5</v>
      </c>
      <c r="P371" s="8" t="n">
        <v>121.2</v>
      </c>
      <c r="Q371" s="8" t="n">
        <v>134.1</v>
      </c>
      <c r="R371" s="9">
        <f>SUM(N371,O371,P371,Q371)</f>
        <v/>
      </c>
      <c r="S371" s="9">
        <f>M371+R371</f>
        <v/>
      </c>
      <c r="T371" s="8" t="n">
        <v>1165.59999999999</v>
      </c>
      <c r="U371" s="10">
        <f>IF(H371=0,"",T371/H371)</f>
        <v/>
      </c>
      <c r="V371" s="8" t="n">
        <v>17</v>
      </c>
      <c r="W371" s="11">
        <f>IF(H371=0,"",V371/H371)</f>
        <v/>
      </c>
      <c r="X371" s="8" t="n">
        <v>0</v>
      </c>
      <c r="Y371" s="11">
        <f>IF(H371=0,"",X371/H371)</f>
        <v/>
      </c>
      <c r="Z371" s="8" t="n">
        <v>0</v>
      </c>
      <c r="AA371" s="11">
        <f>IF(H371=0,"",Z371/H371)</f>
        <v/>
      </c>
      <c r="AB371" s="8" t="n">
        <v>0</v>
      </c>
      <c r="AC371" s="11">
        <f>IF(H371=0,"",AB371/H371)</f>
        <v/>
      </c>
      <c r="AD371" s="8" t="n">
        <v>0</v>
      </c>
      <c r="AE371" s="11">
        <f>IF(H371=0,"",AD371/H371)</f>
        <v/>
      </c>
      <c r="AF371" s="8" t="n">
        <v>0</v>
      </c>
      <c r="AG371" s="11">
        <f>IF(H371=0,"",AF371/H371)</f>
        <v/>
      </c>
      <c r="AH371" s="8" t="n">
        <v>442000</v>
      </c>
      <c r="AI371" s="9">
        <f>IF(H371=0,"",AH371/H371)</f>
        <v/>
      </c>
      <c r="AJ371" s="8" t="n">
        <v>6299.95</v>
      </c>
      <c r="AK371" s="11">
        <f>IF(H371=0,"",AJ371/H371)</f>
        <v/>
      </c>
      <c r="AL371" s="8" t="n">
        <v>1753439.48455</v>
      </c>
      <c r="AM371" s="9">
        <f>IF(H371=0,"",AL371/H371)</f>
        <v/>
      </c>
      <c r="AN371" s="8" t="n">
        <v>0</v>
      </c>
      <c r="AO371" s="8" t="n">
        <v>0</v>
      </c>
      <c r="AP371" s="8" t="n">
        <v>0</v>
      </c>
      <c r="AQ371" s="8" t="n">
        <v>0</v>
      </c>
      <c r="AR371" s="8" t="n">
        <v>0</v>
      </c>
      <c r="AS371" s="8" t="n">
        <v>0</v>
      </c>
      <c r="AT371" s="8" t="n">
        <v>0</v>
      </c>
      <c r="AU371" s="9">
        <f>AH371+AL371+AP371+AQ371+AR371+AS371+AT371</f>
        <v/>
      </c>
      <c r="AV371" s="9">
        <f>IF(H371=0,"",AU371/H371)</f>
        <v/>
      </c>
      <c r="AW371" s="9">
        <f>IF(S371=0,"",AU371/S371)</f>
        <v/>
      </c>
      <c r="AX371" s="8" t="n">
        <v>4</v>
      </c>
      <c r="AY371" s="9">
        <f>IF(H371=0,"",AX371/(H371/1000/12))</f>
        <v/>
      </c>
      <c r="AZ371" s="8" t="n">
        <v>15</v>
      </c>
      <c r="BA371" s="8" t="n">
        <v>0</v>
      </c>
      <c r="BB371" s="8" t="n">
        <v>11</v>
      </c>
      <c r="BC371" s="8" t="n">
        <v>11</v>
      </c>
      <c r="BD371" s="8" t="n">
        <v>0</v>
      </c>
      <c r="BE371" s="9">
        <f>BC371+BD371</f>
        <v/>
      </c>
      <c r="BF371" s="9">
        <f>BA371+BB371-BE371</f>
        <v/>
      </c>
      <c r="BG371" s="8" t="n">
        <v>0</v>
      </c>
      <c r="BH371" s="8" t="n">
        <v>0</v>
      </c>
      <c r="BI371" s="8" t="n">
        <v>0</v>
      </c>
      <c r="BJ371" s="8" t="n">
        <v>0</v>
      </c>
      <c r="BK371" s="9">
        <f>BI371+BJ371</f>
        <v/>
      </c>
      <c r="BL371" s="9">
        <f>BG371+BH371-BK371</f>
        <v/>
      </c>
      <c r="BM371" s="8" t="n">
        <v>0</v>
      </c>
      <c r="BN371" s="8" t="n">
        <v>0</v>
      </c>
      <c r="BO371" s="8" t="n">
        <v>0</v>
      </c>
      <c r="BP371" s="8" t="n">
        <v>0</v>
      </c>
      <c r="BQ371" s="9">
        <f>BO371+BP371</f>
        <v/>
      </c>
      <c r="BR371" s="9">
        <f>BM371+BN371-BQ371</f>
        <v/>
      </c>
      <c r="BS371" s="8" t="n">
        <v>0</v>
      </c>
      <c r="BT371" s="8" t="n">
        <v>0</v>
      </c>
      <c r="BU371" s="8" t="n">
        <v>0</v>
      </c>
      <c r="BV371" s="8" t="n">
        <v>0</v>
      </c>
      <c r="BW371" s="9">
        <f>BU371+BV371</f>
        <v/>
      </c>
      <c r="BX371" s="9">
        <f>BS371+BT371-BW371</f>
        <v/>
      </c>
      <c r="BY371" s="9">
        <f>BA371+BG371+BM371+BS371</f>
        <v/>
      </c>
      <c r="BZ371" s="9">
        <f>BB371+BH371+BN371+BT371</f>
        <v/>
      </c>
      <c r="CA371" s="9">
        <f>BE371+BK371+BQ371+BW371</f>
        <v/>
      </c>
      <c r="CB371" s="9">
        <f>BF371+BL371+BR371+BX371</f>
        <v/>
      </c>
      <c r="CC371" s="8" t="n">
        <v>0</v>
      </c>
      <c r="CD371" s="8" t="n">
        <v>171</v>
      </c>
      <c r="CE371" s="8" t="n">
        <v>10</v>
      </c>
      <c r="CF371" s="8" t="n">
        <v>5</v>
      </c>
      <c r="CG371" s="8" t="n">
        <v>3</v>
      </c>
      <c r="CH371" s="9">
        <f>CD371+CE371+CF371+CG371</f>
        <v/>
      </c>
      <c r="CI371" s="8" t="n">
        <v>42</v>
      </c>
      <c r="CJ371" s="8" t="n">
        <v>1</v>
      </c>
      <c r="CK371" s="8" t="n">
        <v>0</v>
      </c>
      <c r="CL371" s="8" t="n">
        <v>0</v>
      </c>
      <c r="CM371" s="9">
        <f>CI371+CJ371+CK371+CL371</f>
        <v/>
      </c>
      <c r="CN371" s="8" t="n">
        <v>756</v>
      </c>
      <c r="CO371" s="8" t="n">
        <v>23</v>
      </c>
      <c r="CP371" s="8" t="n">
        <v>17</v>
      </c>
      <c r="CQ371" s="8" t="n">
        <v>2</v>
      </c>
      <c r="CR371" s="9">
        <f>CN371+CO371+CP371+CQ371</f>
        <v/>
      </c>
      <c r="CS371" s="9">
        <f>CM371+CR371</f>
        <v/>
      </c>
      <c r="CT371" s="8" t="n">
        <v>1030</v>
      </c>
      <c r="CU371" s="8" t="n">
        <v>3071</v>
      </c>
      <c r="CV371" s="8" t="n">
        <v>3069.3</v>
      </c>
      <c r="CW371" s="10">
        <f>IF(CU371=0,"",CV371/CU371)</f>
        <v/>
      </c>
      <c r="CX371" s="8" t="n">
        <v>0</v>
      </c>
      <c r="CY371" s="8" t="n">
        <v>0</v>
      </c>
      <c r="CZ371" s="8" t="n">
        <v>0</v>
      </c>
      <c r="DA371" s="8" t="n">
        <v>0</v>
      </c>
      <c r="DB371" s="9">
        <f>CX371+CY371-CZ371-DA371</f>
        <v/>
      </c>
      <c r="DC371" s="8" t="n">
        <v>0</v>
      </c>
      <c r="DD371" s="8" t="n">
        <v>0</v>
      </c>
      <c r="DE371" s="8" t="n">
        <v>0</v>
      </c>
      <c r="DF371" s="8" t="n">
        <v>0</v>
      </c>
      <c r="DG371" s="9">
        <f>DC371+DD371-DE371-DF371</f>
        <v/>
      </c>
      <c r="DH371" s="8" t="n">
        <v>0</v>
      </c>
      <c r="DI371" s="8" t="n">
        <v>0</v>
      </c>
      <c r="DJ371" s="8" t="n">
        <v>0</v>
      </c>
      <c r="DK371" s="8" t="n">
        <v>0</v>
      </c>
      <c r="DL371" s="9">
        <f>DH371+DI371-DJ371-DK371</f>
        <v/>
      </c>
      <c r="DM371" s="8" t="n">
        <v>0</v>
      </c>
      <c r="DN371" s="8" t="n">
        <v>1</v>
      </c>
      <c r="DO371" s="8" t="n">
        <v>0</v>
      </c>
      <c r="DP371" s="8" t="n">
        <v>0</v>
      </c>
      <c r="DQ371" s="9">
        <f>DM371+DN371-DO371-DP371</f>
        <v/>
      </c>
      <c r="DR371" s="9">
        <f>CX371+DC371+DH371+DM371</f>
        <v/>
      </c>
      <c r="DS371" s="9">
        <f>CY371+DD371+DI371+DN371</f>
        <v/>
      </c>
      <c r="DT371" s="9">
        <f>CZ371+DE371+DJ371+DO371</f>
        <v/>
      </c>
      <c r="DU371" s="9">
        <f>DA371+DF371+DK371+DP371</f>
        <v/>
      </c>
      <c r="DV371" s="9">
        <f>DB371+DG371+DL371+DQ371</f>
        <v/>
      </c>
      <c r="DW371" s="8" t="n">
        <v>10</v>
      </c>
      <c r="DX371" s="8" t="n">
        <v>5</v>
      </c>
      <c r="DY371" s="8" t="n">
        <v>2</v>
      </c>
      <c r="DZ371" s="8" t="n">
        <v>0</v>
      </c>
      <c r="EA371" s="8" t="n">
        <v>0</v>
      </c>
      <c r="EB371" s="8" t="n">
        <v>1</v>
      </c>
      <c r="EC371" s="8" t="n">
        <v>0</v>
      </c>
      <c r="ED371" s="8" t="n">
        <v>1</v>
      </c>
      <c r="EE371" s="8" t="n">
        <v>0</v>
      </c>
      <c r="EF371" s="8" t="n">
        <v>0</v>
      </c>
      <c r="EG371" s="8" t="n">
        <v>0</v>
      </c>
      <c r="EH371" s="8" t="n">
        <v>0</v>
      </c>
      <c r="EI371" s="8" t="n">
        <v>0</v>
      </c>
      <c r="EJ371" s="8" t="n">
        <v>0</v>
      </c>
      <c r="EK371" s="8" t="n">
        <v>0</v>
      </c>
      <c r="EL371" s="8" t="n">
        <v>0</v>
      </c>
      <c r="EM371" s="8" t="n">
        <v>0</v>
      </c>
      <c r="EN371" s="8" t="n">
        <v>0</v>
      </c>
      <c r="EO371" s="8" t="n">
        <v>0</v>
      </c>
      <c r="EP371" s="8" t="n">
        <v>0</v>
      </c>
      <c r="EQ371" s="8" t="n">
        <v>0</v>
      </c>
      <c r="ER371" s="8" t="n">
        <v>0</v>
      </c>
      <c r="ES371" s="8" t="n">
        <v>0</v>
      </c>
      <c r="ET371" s="8" t="n">
        <v>0</v>
      </c>
      <c r="EU371" s="8" t="n">
        <v>0</v>
      </c>
      <c r="EV371" s="8" t="n">
        <v>0</v>
      </c>
      <c r="EW371" s="8" t="n">
        <v>0</v>
      </c>
      <c r="EX371" s="8" t="n">
        <v>0</v>
      </c>
      <c r="EY371" s="8" t="n">
        <v>0</v>
      </c>
      <c r="EZ371" s="8" t="n">
        <v>0</v>
      </c>
      <c r="FA371" s="8" t="n">
        <v>0</v>
      </c>
      <c r="FB371" s="8" t="n">
        <v>0</v>
      </c>
      <c r="FC371" s="8" t="n">
        <v>0</v>
      </c>
      <c r="FD371" s="8" t="n">
        <v>0</v>
      </c>
      <c r="FE371" s="8" t="n">
        <v>0</v>
      </c>
      <c r="FF371" s="8" t="n">
        <v>0</v>
      </c>
      <c r="FG371" s="9">
        <f>SUM(DW371,DX371,DY371,DZ371,EA371,EB371,EC371,ED371,EE371,EF371,EG371,EH371,EI371,EJ371,EK371,EL371,EM371,EN371,EO371,EP371,EQ371,ER371,ES371,ET371,EU371,EV371,EW371,EX371,EY371,EZ371,FA371,FB371,FC371,FD371,FE371,FF371)</f>
        <v/>
      </c>
      <c r="FH371" s="8" t="n">
        <v>1</v>
      </c>
      <c r="FI371" s="8" t="n">
        <v>744</v>
      </c>
      <c r="FJ371" s="8" t="n">
        <v>12</v>
      </c>
      <c r="FK371" s="8" t="n">
        <v>168</v>
      </c>
      <c r="FL371" s="8" t="n">
        <v>0</v>
      </c>
      <c r="FM371" s="8" t="n">
        <v>0</v>
      </c>
      <c r="FN371" s="8" t="n">
        <v>0</v>
      </c>
      <c r="FO371" s="8" t="n">
        <v>0</v>
      </c>
      <c r="FP371" s="8" t="n">
        <v>0</v>
      </c>
      <c r="FQ371" s="9">
        <f>FL371+FM371+FN371+FO371+FP371</f>
        <v/>
      </c>
      <c r="FR371" s="8" t="n">
        <v>12500</v>
      </c>
      <c r="FS371" s="8" t="n">
        <v>0</v>
      </c>
      <c r="FT371" s="8" t="n">
        <v>0</v>
      </c>
      <c r="FU371" s="8" t="n">
        <v>0</v>
      </c>
      <c r="FV371" s="9">
        <f>FR371+FS371+FT371+FU371</f>
        <v/>
      </c>
      <c r="FW371" s="8" t="n">
        <v>5555244</v>
      </c>
      <c r="FX371" s="8" t="n">
        <v>5000</v>
      </c>
      <c r="FY371" s="8" t="n">
        <v>635200</v>
      </c>
      <c r="FZ371" s="8" t="n">
        <v>393500</v>
      </c>
      <c r="GA371" s="9">
        <f>FW371+FX371+FY371+FZ371</f>
        <v/>
      </c>
      <c r="GB371" s="9">
        <f>FV371+GA371</f>
        <v/>
      </c>
      <c r="GC371" s="8" t="n">
        <v>200740.23</v>
      </c>
      <c r="GD371" s="8" t="n">
        <v>0</v>
      </c>
      <c r="GE371" s="8" t="n">
        <v>42884.67</v>
      </c>
      <c r="GF371" s="8" t="n">
        <v>0</v>
      </c>
      <c r="GG371" s="9">
        <f>GC371+GD371+GE371+GF371</f>
        <v/>
      </c>
      <c r="GH371" s="8" t="n">
        <v>5530270.74</v>
      </c>
      <c r="GI371" s="8" t="n">
        <v>5000</v>
      </c>
      <c r="GJ371" s="8" t="n">
        <v>368360</v>
      </c>
      <c r="GK371" s="8" t="n">
        <v>635200</v>
      </c>
      <c r="GL371" s="9">
        <f>GH371+GI371+GJ371+GK371</f>
        <v/>
      </c>
      <c r="GM371" s="9">
        <f>GG371+GL371</f>
        <v/>
      </c>
      <c r="GN371" s="8" t="n">
        <v>22887.06</v>
      </c>
      <c r="GO371" s="8" t="n">
        <v>0</v>
      </c>
      <c r="GP371" s="8" t="n">
        <v>3393.64</v>
      </c>
      <c r="GQ371" s="8" t="n">
        <v>0</v>
      </c>
      <c r="GR371" s="9">
        <f>GN371+GO371+GP371+GQ371</f>
        <v/>
      </c>
      <c r="GS371" s="8" t="n">
        <v>37506</v>
      </c>
      <c r="GT371" s="8" t="n">
        <v>0</v>
      </c>
      <c r="GU371" s="8" t="n">
        <v>893</v>
      </c>
      <c r="GV371" s="8" t="n">
        <v>0</v>
      </c>
      <c r="GW371" s="9">
        <f>GS371+GT371+GU371+GV371</f>
        <v/>
      </c>
      <c r="GX371" s="9">
        <f>GM371+GR371+GW371</f>
        <v/>
      </c>
      <c r="GY371" s="8" t="n">
        <v>47115511.53999995</v>
      </c>
      <c r="GZ371" s="8" t="n">
        <v>0</v>
      </c>
      <c r="HA371" s="9">
        <f>GY371+GZ371</f>
        <v/>
      </c>
      <c r="HB371" s="9">
        <f>IF(GX371=0,"",AU371/GX371)</f>
        <v/>
      </c>
      <c r="HC371" s="10">
        <f>IF((GX371+GY371)=0,"",GB371/(GX371+GY371))</f>
        <v/>
      </c>
      <c r="HD371" s="9">
        <f>IF(GX371=0,"",GB371/GX371)</f>
        <v/>
      </c>
      <c r="HE371" s="8" t="n">
        <v>11</v>
      </c>
      <c r="HF371" s="8" t="n">
        <v>2</v>
      </c>
      <c r="HG371" s="8" t="n">
        <v>0</v>
      </c>
      <c r="HH371" s="8" t="n">
        <v>11</v>
      </c>
      <c r="HI371" s="8" t="n">
        <v>28</v>
      </c>
      <c r="HJ371" s="9">
        <f>HF371+HI371</f>
        <v/>
      </c>
      <c r="HK371" s="10">
        <f>IF(HE371=0,"",HH371/HE371)</f>
        <v/>
      </c>
      <c r="HL371" s="8" t="n">
        <v>20</v>
      </c>
      <c r="HM371" s="8" t="n">
        <v>31</v>
      </c>
      <c r="HN371" s="11">
        <f>IF(HL371=0,"",HM371/HL371)</f>
        <v/>
      </c>
    </row>
    <row r="372">
      <c r="A372" s="12" t="inlineStr">
        <is>
          <t>Zomba</t>
        </is>
      </c>
      <c r="B372" s="12" t="inlineStr">
        <is>
          <t>Neno</t>
        </is>
      </c>
      <c r="C372" s="13" t="inlineStr">
        <is>
          <t>FY2025/26</t>
        </is>
      </c>
      <c r="D372" s="13" t="n">
        <v>2026</v>
      </c>
      <c r="E372" s="13" t="n">
        <v>1</v>
      </c>
      <c r="F372" s="13" t="inlineStr">
        <is>
          <t>January</t>
        </is>
      </c>
      <c r="G372" s="13" t="inlineStr">
        <is>
          <t>Q4</t>
        </is>
      </c>
      <c r="H372" s="14" t="n">
        <v>6797</v>
      </c>
      <c r="I372" s="14" t="n">
        <v>323</v>
      </c>
      <c r="J372" s="14" t="n">
        <v>0</v>
      </c>
      <c r="K372" s="14" t="n">
        <v>16</v>
      </c>
      <c r="L372" s="14" t="n">
        <v>0</v>
      </c>
      <c r="M372" s="15" t="n">
        <v>339</v>
      </c>
      <c r="N372" s="14" t="n">
        <v>4947.800000000025</v>
      </c>
      <c r="O372" s="14" t="n">
        <v>32.9</v>
      </c>
      <c r="P372" s="14" t="n">
        <v>98.60000000000001</v>
      </c>
      <c r="Q372" s="14" t="n">
        <v>78.90000000000001</v>
      </c>
      <c r="R372" s="15" t="n">
        <v>5158.200000000024</v>
      </c>
      <c r="S372" s="15" t="n">
        <v>5497.200000000024</v>
      </c>
      <c r="T372" s="14" t="n">
        <v>1299.799999999976</v>
      </c>
      <c r="U372" s="16" t="n">
        <v>0.1912314256289504</v>
      </c>
      <c r="V372" s="14" t="n">
        <v>19</v>
      </c>
      <c r="W372" s="17" t="n">
        <v>2.795350890098573</v>
      </c>
      <c r="X372" s="14" t="n">
        <v>0</v>
      </c>
      <c r="Y372" s="17" t="n">
        <v>0</v>
      </c>
      <c r="Z372" s="14" t="n">
        <v>0</v>
      </c>
      <c r="AA372" s="17" t="n">
        <v>0</v>
      </c>
      <c r="AB372" s="14" t="n">
        <v>0</v>
      </c>
      <c r="AC372" s="17" t="n">
        <v>0</v>
      </c>
      <c r="AD372" s="14" t="n">
        <v>0</v>
      </c>
      <c r="AE372" s="17" t="n">
        <v>0</v>
      </c>
      <c r="AF372" s="14" t="n">
        <v>0</v>
      </c>
      <c r="AG372" s="17" t="n">
        <v>0</v>
      </c>
      <c r="AH372" s="14" t="n">
        <v>494000</v>
      </c>
      <c r="AI372" s="15" t="n">
        <v>72.6791231425629</v>
      </c>
      <c r="AJ372" s="14" t="n">
        <v>10835.98</v>
      </c>
      <c r="AK372" s="17" t="n">
        <v>1.594229807267912</v>
      </c>
      <c r="AL372" s="14" t="n">
        <v>2993177.30782</v>
      </c>
      <c r="AM372" s="15" t="n">
        <v>440.3674132440783</v>
      </c>
      <c r="AN372" s="14" t="n">
        <v>0</v>
      </c>
      <c r="AO372" s="14" t="n">
        <v>0</v>
      </c>
      <c r="AP372" s="14" t="n">
        <v>0</v>
      </c>
      <c r="AQ372" s="14" t="n">
        <v>0</v>
      </c>
      <c r="AR372" s="14" t="n">
        <v>0</v>
      </c>
      <c r="AS372" s="14" t="n">
        <v>0</v>
      </c>
      <c r="AT372" s="14" t="n">
        <v>0</v>
      </c>
      <c r="AU372" s="15" t="n">
        <v>3487177.30782</v>
      </c>
      <c r="AV372" s="15" t="n">
        <v>513.0465363866412</v>
      </c>
      <c r="AW372" s="15" t="n">
        <v>634.3551822418657</v>
      </c>
      <c r="AX372" s="14" t="n">
        <v>4</v>
      </c>
      <c r="AY372" s="15" t="n">
        <v>18.24334265116963</v>
      </c>
      <c r="AZ372" s="14" t="n">
        <v>15</v>
      </c>
      <c r="BA372" s="14" t="n">
        <v>0</v>
      </c>
      <c r="BB372" s="14" t="n">
        <v>4</v>
      </c>
      <c r="BC372" s="14" t="n">
        <v>4</v>
      </c>
      <c r="BD372" s="14" t="n">
        <v>0</v>
      </c>
      <c r="BE372" s="15" t="n">
        <v>4</v>
      </c>
      <c r="BF372" s="15" t="n">
        <v>0</v>
      </c>
      <c r="BG372" s="14" t="n">
        <v>0</v>
      </c>
      <c r="BH372" s="14" t="n">
        <v>0</v>
      </c>
      <c r="BI372" s="14" t="n">
        <v>0</v>
      </c>
      <c r="BJ372" s="14" t="n">
        <v>0</v>
      </c>
      <c r="BK372" s="15" t="n">
        <v>0</v>
      </c>
      <c r="BL372" s="15" t="n">
        <v>0</v>
      </c>
      <c r="BM372" s="14" t="n">
        <v>0</v>
      </c>
      <c r="BN372" s="14" t="n">
        <v>0</v>
      </c>
      <c r="BO372" s="14" t="n">
        <v>0</v>
      </c>
      <c r="BP372" s="14" t="n">
        <v>0</v>
      </c>
      <c r="BQ372" s="15" t="n">
        <v>0</v>
      </c>
      <c r="BR372" s="15" t="n">
        <v>0</v>
      </c>
      <c r="BS372" s="14" t="n">
        <v>0</v>
      </c>
      <c r="BT372" s="14" t="n">
        <v>0</v>
      </c>
      <c r="BU372" s="14" t="n">
        <v>0</v>
      </c>
      <c r="BV372" s="14" t="n">
        <v>0</v>
      </c>
      <c r="BW372" s="15" t="n">
        <v>0</v>
      </c>
      <c r="BX372" s="15" t="n">
        <v>0</v>
      </c>
      <c r="BY372" s="15" t="n">
        <v>0</v>
      </c>
      <c r="BZ372" s="15" t="n">
        <v>4</v>
      </c>
      <c r="CA372" s="15" t="n">
        <v>4</v>
      </c>
      <c r="CB372" s="15" t="n">
        <v>0</v>
      </c>
      <c r="CC372" s="14" t="n">
        <v>0</v>
      </c>
      <c r="CD372" s="14" t="n">
        <v>167</v>
      </c>
      <c r="CE372" s="14" t="n">
        <v>10</v>
      </c>
      <c r="CF372" s="14" t="n">
        <v>5</v>
      </c>
      <c r="CG372" s="14" t="n">
        <v>3</v>
      </c>
      <c r="CH372" s="15" t="n">
        <v>185</v>
      </c>
      <c r="CI372" s="14" t="n">
        <v>50</v>
      </c>
      <c r="CJ372" s="14" t="n">
        <v>1</v>
      </c>
      <c r="CK372" s="14" t="n">
        <v>0</v>
      </c>
      <c r="CL372" s="14" t="n">
        <v>0</v>
      </c>
      <c r="CM372" s="15" t="n">
        <v>51</v>
      </c>
      <c r="CN372" s="14" t="n">
        <v>756</v>
      </c>
      <c r="CO372" s="14" t="n">
        <v>23</v>
      </c>
      <c r="CP372" s="14" t="n">
        <v>17</v>
      </c>
      <c r="CQ372" s="14" t="n">
        <v>2</v>
      </c>
      <c r="CR372" s="15" t="n">
        <v>798</v>
      </c>
      <c r="CS372" s="15" t="n">
        <v>849</v>
      </c>
      <c r="CT372" s="14" t="n">
        <v>1034</v>
      </c>
      <c r="CU372" s="14" t="n">
        <v>3076</v>
      </c>
      <c r="CV372" s="14" t="n">
        <v>3073.3</v>
      </c>
      <c r="CW372" s="16" t="n">
        <v>0.9991222366710013</v>
      </c>
      <c r="CX372" s="14" t="n">
        <v>0</v>
      </c>
      <c r="CY372" s="14" t="n">
        <v>0</v>
      </c>
      <c r="CZ372" s="14" t="n">
        <v>0</v>
      </c>
      <c r="DA372" s="14" t="n">
        <v>0</v>
      </c>
      <c r="DB372" s="15" t="n">
        <v>0</v>
      </c>
      <c r="DC372" s="14" t="n">
        <v>0</v>
      </c>
      <c r="DD372" s="14" t="n">
        <v>0</v>
      </c>
      <c r="DE372" s="14" t="n">
        <v>0</v>
      </c>
      <c r="DF372" s="14" t="n">
        <v>0</v>
      </c>
      <c r="DG372" s="15" t="n">
        <v>0</v>
      </c>
      <c r="DH372" s="14" t="n">
        <v>0</v>
      </c>
      <c r="DI372" s="14" t="n">
        <v>0</v>
      </c>
      <c r="DJ372" s="14" t="n">
        <v>0</v>
      </c>
      <c r="DK372" s="14" t="n">
        <v>0</v>
      </c>
      <c r="DL372" s="15" t="n">
        <v>0</v>
      </c>
      <c r="DM372" s="14" t="n">
        <v>1</v>
      </c>
      <c r="DN372" s="14" t="n">
        <v>0</v>
      </c>
      <c r="DO372" s="14" t="n">
        <v>1</v>
      </c>
      <c r="DP372" s="14" t="n">
        <v>0</v>
      </c>
      <c r="DQ372" s="15" t="n">
        <v>0</v>
      </c>
      <c r="DR372" s="15" t="n">
        <v>1</v>
      </c>
      <c r="DS372" s="15" t="n">
        <v>0</v>
      </c>
      <c r="DT372" s="15" t="n">
        <v>1</v>
      </c>
      <c r="DU372" s="15" t="n">
        <v>0</v>
      </c>
      <c r="DV372" s="15" t="n">
        <v>0</v>
      </c>
      <c r="DW372" s="14" t="n">
        <v>9</v>
      </c>
      <c r="DX372" s="14" t="n">
        <v>6</v>
      </c>
      <c r="DY372" s="14" t="n">
        <v>1</v>
      </c>
      <c r="DZ372" s="14" t="n">
        <v>0</v>
      </c>
      <c r="EA372" s="14" t="n">
        <v>0</v>
      </c>
      <c r="EB372" s="14" t="n">
        <v>3</v>
      </c>
      <c r="EC372" s="14" t="n">
        <v>0</v>
      </c>
      <c r="ED372" s="14" t="n">
        <v>1</v>
      </c>
      <c r="EE372" s="14" t="n">
        <v>0</v>
      </c>
      <c r="EF372" s="14" t="n">
        <v>0</v>
      </c>
      <c r="EG372" s="14" t="n">
        <v>0</v>
      </c>
      <c r="EH372" s="14" t="n">
        <v>0</v>
      </c>
      <c r="EI372" s="14" t="n">
        <v>0</v>
      </c>
      <c r="EJ372" s="14" t="n">
        <v>0</v>
      </c>
      <c r="EK372" s="14" t="n">
        <v>0</v>
      </c>
      <c r="EL372" s="14" t="n">
        <v>0</v>
      </c>
      <c r="EM372" s="14" t="n">
        <v>0</v>
      </c>
      <c r="EN372" s="14" t="n">
        <v>0</v>
      </c>
      <c r="EO372" s="14" t="n">
        <v>0</v>
      </c>
      <c r="EP372" s="14" t="n">
        <v>0</v>
      </c>
      <c r="EQ372" s="14" t="n">
        <v>0</v>
      </c>
      <c r="ER372" s="14" t="n">
        <v>0</v>
      </c>
      <c r="ES372" s="14" t="n">
        <v>0</v>
      </c>
      <c r="ET372" s="14" t="n">
        <v>0</v>
      </c>
      <c r="EU372" s="14" t="n">
        <v>0</v>
      </c>
      <c r="EV372" s="14" t="n">
        <v>0</v>
      </c>
      <c r="EW372" s="14" t="n">
        <v>0</v>
      </c>
      <c r="EX372" s="14" t="n">
        <v>0</v>
      </c>
      <c r="EY372" s="14" t="n">
        <v>0</v>
      </c>
      <c r="EZ372" s="14" t="n">
        <v>0</v>
      </c>
      <c r="FA372" s="14" t="n">
        <v>0</v>
      </c>
      <c r="FB372" s="14" t="n">
        <v>0</v>
      </c>
      <c r="FC372" s="14" t="n">
        <v>0</v>
      </c>
      <c r="FD372" s="14" t="n">
        <v>0</v>
      </c>
      <c r="FE372" s="14" t="n">
        <v>0</v>
      </c>
      <c r="FF372" s="14" t="n">
        <v>0</v>
      </c>
      <c r="FG372" s="15" t="n">
        <v>20</v>
      </c>
      <c r="FH372" s="14" t="n">
        <v>0</v>
      </c>
      <c r="FI372" s="14" t="n">
        <v>0</v>
      </c>
      <c r="FJ372" s="14" t="n">
        <v>18</v>
      </c>
      <c r="FK372" s="14" t="n">
        <v>12</v>
      </c>
      <c r="FL372" s="14" t="n">
        <v>0</v>
      </c>
      <c r="FM372" s="14" t="n">
        <v>0</v>
      </c>
      <c r="FN372" s="14" t="n">
        <v>0</v>
      </c>
      <c r="FO372" s="14" t="n">
        <v>0</v>
      </c>
      <c r="FP372" s="14" t="n">
        <v>0</v>
      </c>
      <c r="FQ372" s="15" t="n">
        <v>0</v>
      </c>
      <c r="FR372" s="14" t="n">
        <v>114600</v>
      </c>
      <c r="FS372" s="14" t="n">
        <v>0</v>
      </c>
      <c r="FT372" s="14" t="n">
        <v>0</v>
      </c>
      <c r="FU372" s="14" t="n">
        <v>0</v>
      </c>
      <c r="FV372" s="15" t="n">
        <v>114600</v>
      </c>
      <c r="FW372" s="14" t="n">
        <v>6196682.18</v>
      </c>
      <c r="FX372" s="14" t="n">
        <v>7000</v>
      </c>
      <c r="FY372" s="14" t="n">
        <v>380700</v>
      </c>
      <c r="FZ372" s="14" t="n">
        <v>325700</v>
      </c>
      <c r="GA372" s="15" t="n">
        <v>6910082.18</v>
      </c>
      <c r="GB372" s="15" t="n">
        <v>7024682.18</v>
      </c>
      <c r="GC372" s="14" t="n">
        <v>295976.18</v>
      </c>
      <c r="GD372" s="14" t="n">
        <v>0</v>
      </c>
      <c r="GE372" s="14" t="n">
        <v>42884.67</v>
      </c>
      <c r="GF372" s="14" t="n">
        <v>0</v>
      </c>
      <c r="GG372" s="15" t="n">
        <v>338860.85</v>
      </c>
      <c r="GH372" s="14" t="n">
        <v>6172442.18</v>
      </c>
      <c r="GI372" s="14" t="n">
        <v>7000</v>
      </c>
      <c r="GJ372" s="14" t="n">
        <v>299180</v>
      </c>
      <c r="GK372" s="14" t="n">
        <v>373500</v>
      </c>
      <c r="GL372" s="15" t="n">
        <v>6852122.18</v>
      </c>
      <c r="GM372" s="15" t="n">
        <v>7190983.029999999</v>
      </c>
      <c r="GN372" s="14" t="n">
        <v>27246.5</v>
      </c>
      <c r="GO372" s="14" t="n">
        <v>0</v>
      </c>
      <c r="GP372" s="14" t="n">
        <v>3393.64</v>
      </c>
      <c r="GQ372" s="14" t="n">
        <v>0</v>
      </c>
      <c r="GR372" s="15" t="n">
        <v>30640.14</v>
      </c>
      <c r="GS372" s="14" t="n">
        <v>44650</v>
      </c>
      <c r="GT372" s="14" t="n">
        <v>0</v>
      </c>
      <c r="GU372" s="14" t="n">
        <v>893</v>
      </c>
      <c r="GV372" s="14" t="n">
        <v>0</v>
      </c>
      <c r="GW372" s="15" t="n">
        <v>45543</v>
      </c>
      <c r="GX372" s="15" t="n">
        <v>7267166.169999999</v>
      </c>
      <c r="GY372" s="14" t="n">
        <v>44015688.28000001</v>
      </c>
      <c r="GZ372" s="14" t="n">
        <v>0</v>
      </c>
      <c r="HA372" s="9">
        <f>GY372+GZ372</f>
        <v/>
      </c>
      <c r="HB372" s="15" t="n">
        <v>7267166.169999999</v>
      </c>
      <c r="HC372" s="16" t="n">
        <v>0</v>
      </c>
      <c r="HD372" s="15" t="n">
        <v>0</v>
      </c>
      <c r="HE372" s="14" t="n">
        <v>4</v>
      </c>
      <c r="HF372" s="14" t="n">
        <v>1</v>
      </c>
      <c r="HG372" s="14" t="n">
        <v>0</v>
      </c>
      <c r="HH372" s="14" t="n">
        <v>4</v>
      </c>
      <c r="HI372" s="14" t="n">
        <v>3</v>
      </c>
      <c r="HJ372" s="15" t="n">
        <v>0.75</v>
      </c>
      <c r="HK372" s="16" t="n">
        <v>0</v>
      </c>
      <c r="HL372" s="14" t="n">
        <v>15</v>
      </c>
      <c r="HM372" s="14" t="n">
        <v>31</v>
      </c>
      <c r="HN372" s="17" t="n">
        <v>0.4838709677419355</v>
      </c>
    </row>
    <row r="373">
      <c r="A373" s="6" t="inlineStr">
        <is>
          <t>Zomba</t>
        </is>
      </c>
      <c r="B373" s="6" t="inlineStr">
        <is>
          <t>Neno</t>
        </is>
      </c>
      <c r="C373" s="7" t="inlineStr">
        <is>
          <t>FY2025/26</t>
        </is>
      </c>
      <c r="D373" s="7" t="n">
        <v>2026</v>
      </c>
      <c r="E373" s="7" t="n">
        <v>2</v>
      </c>
      <c r="F373" s="7" t="inlineStr">
        <is>
          <t>February</t>
        </is>
      </c>
      <c r="G373" s="7" t="inlineStr">
        <is>
          <t>Q4</t>
        </is>
      </c>
      <c r="H373" s="8" t="n">
        <v>8744</v>
      </c>
      <c r="I373" s="8" t="n">
        <v>308</v>
      </c>
      <c r="J373" s="8" t="n">
        <v>0</v>
      </c>
      <c r="K373" s="8" t="n">
        <v>18</v>
      </c>
      <c r="L373" s="8" t="n">
        <v>0</v>
      </c>
      <c r="M373" s="9">
        <f>SUM(I373,J373,K373,L373)</f>
        <v/>
      </c>
      <c r="N373" s="8" t="n">
        <v>4847.500000000004</v>
      </c>
      <c r="O373" s="8" t="n">
        <v>18.8</v>
      </c>
      <c r="P373" s="8" t="n">
        <v>60.09999999999998</v>
      </c>
      <c r="Q373" s="8" t="n">
        <v>81.00000000000001</v>
      </c>
      <c r="R373" s="9">
        <f>SUM(N373,O373,P373,Q373)</f>
        <v/>
      </c>
      <c r="S373" s="9">
        <f>M373+R373</f>
        <v/>
      </c>
      <c r="T373" s="8" t="n">
        <v>3410.599999999996</v>
      </c>
      <c r="U373" s="10">
        <f>IF(H373=0,"",T373/H373)</f>
        <v/>
      </c>
      <c r="V373" s="8" t="n">
        <v>18</v>
      </c>
      <c r="W373" s="11">
        <f>IF(H373=0,"",V373/H373)</f>
        <v/>
      </c>
      <c r="X373" s="8" t="n">
        <v>0</v>
      </c>
      <c r="Y373" s="11">
        <f>IF(H373=0,"",X373/H373)</f>
        <v/>
      </c>
      <c r="Z373" s="8" t="n">
        <v>0</v>
      </c>
      <c r="AA373" s="11">
        <f>IF(H373=0,"",Z373/H373)</f>
        <v/>
      </c>
      <c r="AB373" s="8" t="n">
        <v>0</v>
      </c>
      <c r="AC373" s="11">
        <f>IF(H373=0,"",AB373/H373)</f>
        <v/>
      </c>
      <c r="AD373" s="8" t="n">
        <v>0</v>
      </c>
      <c r="AE373" s="11">
        <f>IF(H373=0,"",AD373/H373)</f>
        <v/>
      </c>
      <c r="AF373" s="8" t="n">
        <v>0</v>
      </c>
      <c r="AG373" s="11">
        <f>IF(H373=0,"",AF373/H373)</f>
        <v/>
      </c>
      <c r="AH373" s="8" t="n">
        <v>468000</v>
      </c>
      <c r="AI373" s="9">
        <f>IF(H373=0,"",AH373/H373)</f>
        <v/>
      </c>
      <c r="AJ373" s="8" t="n">
        <v>10211.71</v>
      </c>
      <c r="AK373" s="11">
        <f>IF(H373=0,"",AJ373/H373)</f>
        <v/>
      </c>
      <c r="AL373" s="8" t="n">
        <v>2822558.69839</v>
      </c>
      <c r="AM373" s="9">
        <f>IF(H373=0,"",AL373/H373)</f>
        <v/>
      </c>
      <c r="AN373" s="8" t="n">
        <v>0</v>
      </c>
      <c r="AO373" s="8" t="n">
        <v>0</v>
      </c>
      <c r="AP373" s="8" t="n">
        <v>0</v>
      </c>
      <c r="AQ373" s="8" t="n">
        <v>0</v>
      </c>
      <c r="AR373" s="8" t="n">
        <v>0</v>
      </c>
      <c r="AS373" s="8" t="n">
        <v>0</v>
      </c>
      <c r="AT373" s="8" t="n">
        <v>0</v>
      </c>
      <c r="AU373" s="9">
        <f>AH373+AL373+AP373+AQ373+AR373+AS373+AT373</f>
        <v/>
      </c>
      <c r="AV373" s="9">
        <f>IF(H373=0,"",AU373/H373)</f>
        <v/>
      </c>
      <c r="AW373" s="9">
        <f>IF(S373=0,"",AU373/S373)</f>
        <v/>
      </c>
      <c r="AX373" s="8" t="n">
        <v>4</v>
      </c>
      <c r="AY373" s="9">
        <f>IF(H373=0,"",AX373/(H373/1000/12))</f>
        <v/>
      </c>
      <c r="AZ373" s="8" t="n">
        <v>15</v>
      </c>
      <c r="BA373" s="8" t="n">
        <v>0</v>
      </c>
      <c r="BB373" s="8" t="n">
        <v>7</v>
      </c>
      <c r="BC373" s="8" t="n">
        <v>7</v>
      </c>
      <c r="BD373" s="8" t="n">
        <v>0</v>
      </c>
      <c r="BE373" s="9">
        <f>BC373+BD373</f>
        <v/>
      </c>
      <c r="BF373" s="9">
        <f>BA373+BB373-BE373</f>
        <v/>
      </c>
      <c r="BG373" s="8" t="n">
        <v>0</v>
      </c>
      <c r="BH373" s="8" t="n">
        <v>0</v>
      </c>
      <c r="BI373" s="8" t="n">
        <v>0</v>
      </c>
      <c r="BJ373" s="8" t="n">
        <v>0</v>
      </c>
      <c r="BK373" s="9">
        <f>BI373+BJ373</f>
        <v/>
      </c>
      <c r="BL373" s="9">
        <f>BG373+BH373-BK373</f>
        <v/>
      </c>
      <c r="BM373" s="8" t="n">
        <v>0</v>
      </c>
      <c r="BN373" s="8" t="n">
        <v>0</v>
      </c>
      <c r="BO373" s="8" t="n">
        <v>0</v>
      </c>
      <c r="BP373" s="8" t="n">
        <v>0</v>
      </c>
      <c r="BQ373" s="9">
        <f>BO373+BP373</f>
        <v/>
      </c>
      <c r="BR373" s="9">
        <f>BM373+BN373-BQ373</f>
        <v/>
      </c>
      <c r="BS373" s="8" t="n">
        <v>0</v>
      </c>
      <c r="BT373" s="8" t="n">
        <v>0</v>
      </c>
      <c r="BU373" s="8" t="n">
        <v>0</v>
      </c>
      <c r="BV373" s="8" t="n">
        <v>0</v>
      </c>
      <c r="BW373" s="9">
        <f>BU373+BV373</f>
        <v/>
      </c>
      <c r="BX373" s="9">
        <f>BS373+BT373-BW373</f>
        <v/>
      </c>
      <c r="BY373" s="9">
        <f>BA373+BG373+BM373+BS373</f>
        <v/>
      </c>
      <c r="BZ373" s="9">
        <f>BB373+BH373+BN373+BT373</f>
        <v/>
      </c>
      <c r="CA373" s="9">
        <f>BE373+BK373+BQ373+BW373</f>
        <v/>
      </c>
      <c r="CB373" s="9">
        <f>BF373+BL373+BR373+BX373</f>
        <v/>
      </c>
      <c r="CC373" s="8" t="n">
        <v>0</v>
      </c>
      <c r="CD373" s="8" t="n">
        <v>170</v>
      </c>
      <c r="CE373" s="8" t="n">
        <v>10</v>
      </c>
      <c r="CF373" s="8" t="n">
        <v>5</v>
      </c>
      <c r="CG373" s="8" t="n">
        <v>3</v>
      </c>
      <c r="CH373" s="9">
        <f>CD373+CE373+CF373+CG373</f>
        <v/>
      </c>
      <c r="CI373" s="8" t="n">
        <v>54</v>
      </c>
      <c r="CJ373" s="8" t="n">
        <v>1</v>
      </c>
      <c r="CK373" s="8" t="n">
        <v>0</v>
      </c>
      <c r="CL373" s="8" t="n">
        <v>0</v>
      </c>
      <c r="CM373" s="9">
        <f>CI373+CJ373+CK373+CL373</f>
        <v/>
      </c>
      <c r="CN373" s="8" t="n">
        <v>756</v>
      </c>
      <c r="CO373" s="8" t="n">
        <v>23</v>
      </c>
      <c r="CP373" s="8" t="n">
        <v>17</v>
      </c>
      <c r="CQ373" s="8" t="n">
        <v>2</v>
      </c>
      <c r="CR373" s="9">
        <f>CN373+CO373+CP373+CQ373</f>
        <v/>
      </c>
      <c r="CS373" s="9">
        <f>CM373+CR373</f>
        <v/>
      </c>
      <c r="CT373" s="8" t="n">
        <v>1041</v>
      </c>
      <c r="CU373" s="8" t="n">
        <v>3081</v>
      </c>
      <c r="CV373" s="8" t="n">
        <v>3077.3</v>
      </c>
      <c r="CW373" s="10">
        <f>IF(CU373=0,"",CV373/CU373)</f>
        <v/>
      </c>
      <c r="CX373" s="8" t="n">
        <v>0</v>
      </c>
      <c r="CY373" s="8" t="n">
        <v>0</v>
      </c>
      <c r="CZ373" s="8" t="n">
        <v>0</v>
      </c>
      <c r="DA373" s="8" t="n">
        <v>0</v>
      </c>
      <c r="DB373" s="9">
        <f>CX373+CY373-CZ373-DA373</f>
        <v/>
      </c>
      <c r="DC373" s="8" t="n">
        <v>0</v>
      </c>
      <c r="DD373" s="8" t="n">
        <v>0</v>
      </c>
      <c r="DE373" s="8" t="n">
        <v>0</v>
      </c>
      <c r="DF373" s="8" t="n">
        <v>0</v>
      </c>
      <c r="DG373" s="9">
        <f>DC373+DD373-DE373-DF373</f>
        <v/>
      </c>
      <c r="DH373" s="8" t="n">
        <v>0</v>
      </c>
      <c r="DI373" s="8" t="n">
        <v>0</v>
      </c>
      <c r="DJ373" s="8" t="n">
        <v>0</v>
      </c>
      <c r="DK373" s="8" t="n">
        <v>0</v>
      </c>
      <c r="DL373" s="9">
        <f>DH373+DI373-DJ373-DK373</f>
        <v/>
      </c>
      <c r="DM373" s="8" t="n">
        <v>0</v>
      </c>
      <c r="DN373" s="8" t="n">
        <v>0</v>
      </c>
      <c r="DO373" s="8" t="n">
        <v>0</v>
      </c>
      <c r="DP373" s="8" t="n">
        <v>0</v>
      </c>
      <c r="DQ373" s="9">
        <f>DM373+DN373-DO373-DP373</f>
        <v/>
      </c>
      <c r="DR373" s="9">
        <f>CX373+DC373+DH373+DM373</f>
        <v/>
      </c>
      <c r="DS373" s="9">
        <f>CY373+DD373+DI373+DN373</f>
        <v/>
      </c>
      <c r="DT373" s="9">
        <f>CZ373+DE373+DJ373+DO373</f>
        <v/>
      </c>
      <c r="DU373" s="9">
        <f>DA373+DF373+DK373+DP373</f>
        <v/>
      </c>
      <c r="DV373" s="9">
        <f>DB373+DG373+DL373+DQ373</f>
        <v/>
      </c>
      <c r="DW373" s="8" t="n">
        <v>15</v>
      </c>
      <c r="DX373" s="8" t="n">
        <v>5</v>
      </c>
      <c r="DY373" s="8" t="n">
        <v>3</v>
      </c>
      <c r="DZ373" s="8" t="n">
        <v>0</v>
      </c>
      <c r="EA373" s="8" t="n">
        <v>1</v>
      </c>
      <c r="EB373" s="8" t="n">
        <v>1</v>
      </c>
      <c r="EC373" s="8" t="n">
        <v>0</v>
      </c>
      <c r="ED373" s="8" t="n">
        <v>0</v>
      </c>
      <c r="EE373" s="8" t="n">
        <v>0</v>
      </c>
      <c r="EF373" s="8" t="n">
        <v>0</v>
      </c>
      <c r="EG373" s="8" t="n">
        <v>0</v>
      </c>
      <c r="EH373" s="8" t="n">
        <v>0</v>
      </c>
      <c r="EI373" s="8" t="n">
        <v>0</v>
      </c>
      <c r="EJ373" s="8" t="n">
        <v>1</v>
      </c>
      <c r="EK373" s="8" t="n">
        <v>1</v>
      </c>
      <c r="EL373" s="8" t="n">
        <v>0</v>
      </c>
      <c r="EM373" s="8" t="n">
        <v>0</v>
      </c>
      <c r="EN373" s="8" t="n">
        <v>0</v>
      </c>
      <c r="EO373" s="8" t="n">
        <v>0</v>
      </c>
      <c r="EP373" s="8" t="n">
        <v>0</v>
      </c>
      <c r="EQ373" s="8" t="n">
        <v>0</v>
      </c>
      <c r="ER373" s="8" t="n">
        <v>0</v>
      </c>
      <c r="ES373" s="8" t="n">
        <v>0</v>
      </c>
      <c r="ET373" s="8" t="n">
        <v>0</v>
      </c>
      <c r="EU373" s="8" t="n">
        <v>0</v>
      </c>
      <c r="EV373" s="8" t="n">
        <v>0</v>
      </c>
      <c r="EW373" s="8" t="n">
        <v>0</v>
      </c>
      <c r="EX373" s="8" t="n">
        <v>0</v>
      </c>
      <c r="EY373" s="8" t="n">
        <v>0</v>
      </c>
      <c r="EZ373" s="8" t="n">
        <v>0</v>
      </c>
      <c r="FA373" s="8" t="n">
        <v>0</v>
      </c>
      <c r="FB373" s="8" t="n">
        <v>0</v>
      </c>
      <c r="FC373" s="8" t="n">
        <v>0</v>
      </c>
      <c r="FD373" s="8" t="n">
        <v>0</v>
      </c>
      <c r="FE373" s="8" t="n">
        <v>0</v>
      </c>
      <c r="FF373" s="8" t="n">
        <v>0</v>
      </c>
      <c r="FG373" s="9">
        <f>SUM(DW373,DX373,DY373,DZ373,EA373,EB373,EC373,ED373,EE373,EF373,EG373,EH373,EI373,EJ373,EK373,EL373,EM373,EN373,EO373,EP373,EQ373,ER373,ES373,ET373,EU373,EV373,EW373,EX373,EY373,EZ373,FA373,FB373,FC373,FD373,FE373,FF373)</f>
        <v/>
      </c>
      <c r="FH373" s="8" t="n">
        <v>0</v>
      </c>
      <c r="FI373" s="8" t="n">
        <v>0</v>
      </c>
      <c r="FJ373" s="8" t="n">
        <v>18</v>
      </c>
      <c r="FK373" s="8" t="n">
        <v>54.5</v>
      </c>
      <c r="FL373" s="8" t="n">
        <v>0</v>
      </c>
      <c r="FM373" s="8" t="n">
        <v>0</v>
      </c>
      <c r="FN373" s="8" t="n">
        <v>0</v>
      </c>
      <c r="FO373" s="8" t="n">
        <v>0</v>
      </c>
      <c r="FP373" s="8" t="n">
        <v>0</v>
      </c>
      <c r="FQ373" s="9">
        <f>FL373+FM373+FN373+FO373+FP373</f>
        <v/>
      </c>
      <c r="FR373" s="8" t="n">
        <v>45000</v>
      </c>
      <c r="FS373" s="8" t="n">
        <v>0</v>
      </c>
      <c r="FT373" s="8" t="n">
        <v>90000</v>
      </c>
      <c r="FU373" s="8" t="n">
        <v>0</v>
      </c>
      <c r="FV373" s="9">
        <f>FR373+FS373+FT373+FU373</f>
        <v/>
      </c>
      <c r="FW373" s="8" t="n">
        <v>6082854.2</v>
      </c>
      <c r="FX373" s="8" t="n">
        <v>4000</v>
      </c>
      <c r="FY373" s="8" t="n">
        <v>395200</v>
      </c>
      <c r="FZ373" s="8" t="n">
        <v>205603.94</v>
      </c>
      <c r="GA373" s="9">
        <f>FW373+FX373+FY373+FZ373</f>
        <v/>
      </c>
      <c r="GB373" s="9">
        <f>FV373+GA373</f>
        <v/>
      </c>
      <c r="GC373" s="8" t="n">
        <v>281408.69</v>
      </c>
      <c r="GD373" s="8" t="n">
        <v>0</v>
      </c>
      <c r="GE373" s="8" t="n">
        <v>49803.61</v>
      </c>
      <c r="GF373" s="8" t="n">
        <v>0</v>
      </c>
      <c r="GG373" s="9">
        <f>GC373+GD373+GE373+GF373</f>
        <v/>
      </c>
      <c r="GH373" s="8" t="n">
        <v>6050694.2</v>
      </c>
      <c r="GI373" s="8" t="n">
        <v>4000</v>
      </c>
      <c r="GJ373" s="8" t="n">
        <v>183883.94</v>
      </c>
      <c r="GK373" s="8" t="n">
        <v>382600</v>
      </c>
      <c r="GL373" s="9">
        <f>GH373+GI373+GJ373+GK373</f>
        <v/>
      </c>
      <c r="GM373" s="9">
        <f>GG373+GL373</f>
        <v/>
      </c>
      <c r="GN373" s="8" t="n">
        <v>29426.22</v>
      </c>
      <c r="GO373" s="8" t="n">
        <v>0</v>
      </c>
      <c r="GP373" s="8" t="n">
        <v>3393.64</v>
      </c>
      <c r="GQ373" s="8" t="n">
        <v>0</v>
      </c>
      <c r="GR373" s="9">
        <f>GN373+GO373+GP373+GQ373</f>
        <v/>
      </c>
      <c r="GS373" s="8" t="n">
        <v>48222</v>
      </c>
      <c r="GT373" s="8" t="n">
        <v>0</v>
      </c>
      <c r="GU373" s="8" t="n">
        <v>893</v>
      </c>
      <c r="GV373" s="8" t="n">
        <v>0</v>
      </c>
      <c r="GW373" s="9">
        <f>GS373+GT373+GU373+GV373</f>
        <v/>
      </c>
      <c r="GX373" s="9">
        <f>GM373+GR373+GW373</f>
        <v/>
      </c>
      <c r="GY373" s="8" t="n">
        <v>47653617.22999998</v>
      </c>
      <c r="GZ373" s="8" t="n">
        <v>0</v>
      </c>
      <c r="HA373" s="9">
        <f>GY373+GZ373</f>
        <v/>
      </c>
      <c r="HB373" s="9">
        <f>IF(GX373=0,"",AU373/GX373)</f>
        <v/>
      </c>
      <c r="HC373" s="10">
        <f>IF((GX373+GY373)=0,"",GB373/(GX373+GY373))</f>
        <v/>
      </c>
      <c r="HD373" s="9">
        <f>IF(GX373=0,"",GB373/GX373)</f>
        <v/>
      </c>
      <c r="HE373" s="8" t="n">
        <v>7</v>
      </c>
      <c r="HF373" s="8" t="n">
        <v>2</v>
      </c>
      <c r="HG373" s="8" t="n">
        <v>0</v>
      </c>
      <c r="HH373" s="8" t="n">
        <v>7</v>
      </c>
      <c r="HI373" s="8" t="n">
        <v>14</v>
      </c>
      <c r="HJ373" s="9">
        <f>HF373+HI373</f>
        <v/>
      </c>
      <c r="HK373" s="10">
        <f>IF(HE373=0,"",HH373/HE373)</f>
        <v/>
      </c>
      <c r="HL373" s="8" t="n">
        <v>2</v>
      </c>
      <c r="HM373" s="8" t="n">
        <v>1</v>
      </c>
      <c r="HN373" s="11">
        <f>IF(HL373=0,"",HM373/HL373)</f>
        <v/>
      </c>
    </row>
    <row r="374">
      <c r="A374" s="12" t="inlineStr">
        <is>
          <t>Zomba</t>
        </is>
      </c>
      <c r="B374" s="12" t="inlineStr">
        <is>
          <t>Neno</t>
        </is>
      </c>
      <c r="C374" s="13" t="inlineStr">
        <is>
          <t>FY2025/26</t>
        </is>
      </c>
      <c r="D374" s="13" t="n">
        <v>2026</v>
      </c>
      <c r="E374" s="13" t="n">
        <v>3</v>
      </c>
      <c r="F374" s="13" t="inlineStr">
        <is>
          <t>March</t>
        </is>
      </c>
      <c r="G374" s="13" t="inlineStr">
        <is>
          <t>Q4</t>
        </is>
      </c>
      <c r="H374" s="14" t="n">
        <v>9084</v>
      </c>
      <c r="I374" s="14" t="n">
        <v>259</v>
      </c>
      <c r="J374" s="14" t="n">
        <v>0</v>
      </c>
      <c r="K374" s="14" t="n">
        <v>16</v>
      </c>
      <c r="L374" s="14" t="n">
        <v>0</v>
      </c>
      <c r="M374" s="15">
        <f>SUM(I374,J374,K374,L374)</f>
        <v/>
      </c>
      <c r="N374" s="14" t="n">
        <v>5303.100000000013</v>
      </c>
      <c r="O374" s="14" t="n">
        <v>18.8</v>
      </c>
      <c r="P374" s="14" t="n">
        <v>175.8</v>
      </c>
      <c r="Q374" s="14" t="n">
        <v>76.20000000000003</v>
      </c>
      <c r="R374" s="15">
        <f>SUM(N374,O374,P374,Q374)</f>
        <v/>
      </c>
      <c r="S374" s="15">
        <f>M374+R374</f>
        <v/>
      </c>
      <c r="T374" s="14" t="n">
        <v>3235.099999999987</v>
      </c>
      <c r="U374" s="16">
        <f>IF(H374=0,"",T374/H374)</f>
        <v/>
      </c>
      <c r="V374" s="14" t="n">
        <v>19</v>
      </c>
      <c r="W374" s="17">
        <f>IF(H374=0,"",V374/H374)</f>
        <v/>
      </c>
      <c r="X374" s="14" t="n">
        <v>0</v>
      </c>
      <c r="Y374" s="17">
        <f>IF(H374=0,"",X374/H374)</f>
        <v/>
      </c>
      <c r="Z374" s="14" t="n">
        <v>0</v>
      </c>
      <c r="AA374" s="17">
        <f>IF(H374=0,"",Z374/H374)</f>
        <v/>
      </c>
      <c r="AB374" s="14" t="n">
        <v>0</v>
      </c>
      <c r="AC374" s="17">
        <f>IF(H374=0,"",AB374/H374)</f>
        <v/>
      </c>
      <c r="AD374" s="14" t="n">
        <v>0</v>
      </c>
      <c r="AE374" s="17">
        <f>IF(H374=0,"",AD374/H374)</f>
        <v/>
      </c>
      <c r="AF374" s="14" t="n">
        <v>0</v>
      </c>
      <c r="AG374" s="17">
        <f>IF(H374=0,"",AF374/H374)</f>
        <v/>
      </c>
      <c r="AH374" s="14" t="n">
        <v>494000</v>
      </c>
      <c r="AI374" s="15">
        <f>IF(H374=0,"",AH374/H374)</f>
        <v/>
      </c>
      <c r="AJ374" s="14" t="n">
        <v>9230.5</v>
      </c>
      <c r="AK374" s="17">
        <f>IF(H374=0,"",AJ374/H374)</f>
        <v/>
      </c>
      <c r="AL374" s="14" t="n">
        <v>2554385.1745</v>
      </c>
      <c r="AM374" s="15">
        <f>IF(H374=0,"",AL374/H374)</f>
        <v/>
      </c>
      <c r="AN374" s="14" t="n">
        <v>0</v>
      </c>
      <c r="AO374" s="14" t="n">
        <v>0</v>
      </c>
      <c r="AP374" s="14" t="n">
        <v>0</v>
      </c>
      <c r="AQ374" s="14" t="n">
        <v>0</v>
      </c>
      <c r="AR374" s="14" t="n">
        <v>0</v>
      </c>
      <c r="AS374" s="14" t="n">
        <v>0</v>
      </c>
      <c r="AT374" s="14" t="n">
        <v>0</v>
      </c>
      <c r="AU374" s="15">
        <f>AH374+AL374+AP374+AQ374+AR374+AS374+AT374</f>
        <v/>
      </c>
      <c r="AV374" s="15">
        <f>IF(H374=0,"",AU374/H374)</f>
        <v/>
      </c>
      <c r="AW374" s="15">
        <f>IF(S374=0,"",AU374/S374)</f>
        <v/>
      </c>
      <c r="AX374" s="14" t="n">
        <v>4</v>
      </c>
      <c r="AY374" s="15">
        <f>IF(H374=0,"",AX374/(H374/1000/12))</f>
        <v/>
      </c>
      <c r="AZ374" s="14" t="n">
        <v>15</v>
      </c>
      <c r="BA374" s="14" t="n">
        <v>0</v>
      </c>
      <c r="BB374" s="14" t="n">
        <v>0</v>
      </c>
      <c r="BC374" s="14" t="n">
        <v>0</v>
      </c>
      <c r="BD374" s="14" t="n">
        <v>0</v>
      </c>
      <c r="BE374" s="15">
        <f>BC374+BD374</f>
        <v/>
      </c>
      <c r="BF374" s="15">
        <f>BA374+BB374-BE374</f>
        <v/>
      </c>
      <c r="BG374" s="14" t="n">
        <v>0</v>
      </c>
      <c r="BH374" s="14" t="n">
        <v>0</v>
      </c>
      <c r="BI374" s="14" t="n">
        <v>0</v>
      </c>
      <c r="BJ374" s="14" t="n">
        <v>0</v>
      </c>
      <c r="BK374" s="15">
        <f>BI374+BJ374</f>
        <v/>
      </c>
      <c r="BL374" s="15">
        <f>BG374+BH374-BK374</f>
        <v/>
      </c>
      <c r="BM374" s="14" t="n">
        <v>0</v>
      </c>
      <c r="BN374" s="14" t="n">
        <v>0</v>
      </c>
      <c r="BO374" s="14" t="n">
        <v>0</v>
      </c>
      <c r="BP374" s="14" t="n">
        <v>0</v>
      </c>
      <c r="BQ374" s="15">
        <f>BO374+BP374</f>
        <v/>
      </c>
      <c r="BR374" s="15">
        <f>BM374+BN374-BQ374</f>
        <v/>
      </c>
      <c r="BS374" s="14" t="n">
        <v>0</v>
      </c>
      <c r="BT374" s="14" t="n">
        <v>0</v>
      </c>
      <c r="BU374" s="14" t="n">
        <v>0</v>
      </c>
      <c r="BV374" s="14" t="n">
        <v>0</v>
      </c>
      <c r="BW374" s="15">
        <f>BU374+BV374</f>
        <v/>
      </c>
      <c r="BX374" s="15">
        <f>BS374+BT374-BW374</f>
        <v/>
      </c>
      <c r="BY374" s="15">
        <f>BA374+BG374+BM374+BS374</f>
        <v/>
      </c>
      <c r="BZ374" s="15">
        <f>BB374+BH374+BN374+BT374</f>
        <v/>
      </c>
      <c r="CA374" s="15">
        <f>BE374+BK374+BQ374+BW374</f>
        <v/>
      </c>
      <c r="CB374" s="15">
        <f>BF374+BL374+BR374+BX374</f>
        <v/>
      </c>
      <c r="CC374" s="14" t="n">
        <v>0</v>
      </c>
      <c r="CD374" s="14" t="n">
        <v>170</v>
      </c>
      <c r="CE374" s="14" t="n">
        <v>10</v>
      </c>
      <c r="CF374" s="14" t="n">
        <v>5</v>
      </c>
      <c r="CG374" s="14" t="n">
        <v>3</v>
      </c>
      <c r="CH374" s="15">
        <f>CD374+CE374+CF374+CG374</f>
        <v/>
      </c>
      <c r="CI374" s="14" t="n">
        <v>54</v>
      </c>
      <c r="CJ374" s="14" t="n">
        <v>1</v>
      </c>
      <c r="CK374" s="14" t="n">
        <v>0</v>
      </c>
      <c r="CL374" s="14" t="n">
        <v>0</v>
      </c>
      <c r="CM374" s="15">
        <f>CI374+CJ374+CK374+CL374</f>
        <v/>
      </c>
      <c r="CN374" s="14" t="n">
        <v>756</v>
      </c>
      <c r="CO374" s="14" t="n">
        <v>23</v>
      </c>
      <c r="CP374" s="14" t="n">
        <v>17</v>
      </c>
      <c r="CQ374" s="14" t="n">
        <v>2</v>
      </c>
      <c r="CR374" s="15">
        <f>CN374+CO374+CP374+CQ374</f>
        <v/>
      </c>
      <c r="CS374" s="15">
        <f>CM374+CR374</f>
        <v/>
      </c>
      <c r="CT374" s="14" t="n">
        <v>1041</v>
      </c>
      <c r="CU374" s="14" t="n">
        <v>3086</v>
      </c>
      <c r="CV374" s="14" t="n">
        <v>3077</v>
      </c>
      <c r="CW374" s="16">
        <f>IF(CU374=0,"",CV374/CU374)</f>
        <v/>
      </c>
      <c r="CX374" s="14" t="n"/>
      <c r="CY374" s="14" t="n"/>
      <c r="CZ374" s="14" t="n"/>
      <c r="DA374" s="14" t="n"/>
      <c r="DB374" s="15">
        <f>CX374+CY374-CZ374-DA374</f>
        <v/>
      </c>
      <c r="DC374" s="14" t="n">
        <v>0</v>
      </c>
      <c r="DD374" s="14" t="n">
        <v>0</v>
      </c>
      <c r="DE374" s="14" t="n">
        <v>0</v>
      </c>
      <c r="DF374" s="14" t="n">
        <v>0</v>
      </c>
      <c r="DG374" s="15">
        <f>DC374+DD374-DE374-DF374</f>
        <v/>
      </c>
      <c r="DH374" s="14" t="n">
        <v>0</v>
      </c>
      <c r="DI374" s="14" t="n">
        <v>0</v>
      </c>
      <c r="DJ374" s="14" t="n">
        <v>0</v>
      </c>
      <c r="DK374" s="14" t="n">
        <v>0</v>
      </c>
      <c r="DL374" s="15">
        <f>DH374+DI374-DJ374-DK374</f>
        <v/>
      </c>
      <c r="DM374" s="14" t="n">
        <v>0</v>
      </c>
      <c r="DN374" s="14" t="n">
        <v>0</v>
      </c>
      <c r="DO374" s="14" t="n">
        <v>0</v>
      </c>
      <c r="DP374" s="14" t="n">
        <v>0</v>
      </c>
      <c r="DQ374" s="15">
        <f>DM374+DN374-DO374-DP374</f>
        <v/>
      </c>
      <c r="DR374" s="15">
        <f>CX374+DC374+DH374+DM374</f>
        <v/>
      </c>
      <c r="DS374" s="15">
        <f>CY374+DD374+DI374+DN374</f>
        <v/>
      </c>
      <c r="DT374" s="15">
        <f>CZ374+DE374+DJ374+DO374</f>
        <v/>
      </c>
      <c r="DU374" s="15">
        <f>DA374+DF374+DK374+DP374</f>
        <v/>
      </c>
      <c r="DV374" s="15">
        <f>DB374+DG374+DL374+DQ374</f>
        <v/>
      </c>
      <c r="DW374" s="14" t="n">
        <v>7</v>
      </c>
      <c r="DX374" s="14" t="n">
        <v>6</v>
      </c>
      <c r="DY374" s="14" t="n">
        <v>1</v>
      </c>
      <c r="DZ374" s="14" t="n">
        <v>0</v>
      </c>
      <c r="EA374" s="14" t="n">
        <v>1</v>
      </c>
      <c r="EB374" s="14" t="n">
        <v>2</v>
      </c>
      <c r="EC374" s="14" t="n">
        <v>0</v>
      </c>
      <c r="ED374" s="14" t="n">
        <v>0</v>
      </c>
      <c r="EE374" s="14" t="n">
        <v>0</v>
      </c>
      <c r="EF374" s="14" t="n">
        <v>0</v>
      </c>
      <c r="EG374" s="14" t="n">
        <v>0</v>
      </c>
      <c r="EH374" s="14" t="n">
        <v>0</v>
      </c>
      <c r="EI374" s="14" t="n">
        <v>0</v>
      </c>
      <c r="EJ374" s="14" t="n">
        <v>0</v>
      </c>
      <c r="EK374" s="14" t="n">
        <v>0</v>
      </c>
      <c r="EL374" s="14" t="n">
        <v>0</v>
      </c>
      <c r="EM374" s="14" t="n">
        <v>0</v>
      </c>
      <c r="EN374" s="14" t="n">
        <v>0</v>
      </c>
      <c r="EO374" s="14" t="n">
        <v>0</v>
      </c>
      <c r="EP374" s="14" t="n">
        <v>0</v>
      </c>
      <c r="EQ374" s="14" t="n">
        <v>0</v>
      </c>
      <c r="ER374" s="14" t="n">
        <v>0</v>
      </c>
      <c r="ES374" s="14" t="n">
        <v>0</v>
      </c>
      <c r="ET374" s="14" t="n">
        <v>0</v>
      </c>
      <c r="EU374" s="14" t="n">
        <v>0</v>
      </c>
      <c r="EV374" s="14" t="n">
        <v>0</v>
      </c>
      <c r="EW374" s="14" t="n">
        <v>0</v>
      </c>
      <c r="EX374" s="14" t="n">
        <v>0</v>
      </c>
      <c r="EY374" s="14" t="n">
        <v>0</v>
      </c>
      <c r="EZ374" s="14" t="n">
        <v>0</v>
      </c>
      <c r="FA374" s="14" t="n">
        <v>0</v>
      </c>
      <c r="FB374" s="14" t="n">
        <v>0</v>
      </c>
      <c r="FC374" s="14" t="n">
        <v>0</v>
      </c>
      <c r="FD374" s="14" t="n">
        <v>0</v>
      </c>
      <c r="FE374" s="14" t="n">
        <v>0</v>
      </c>
      <c r="FF374" s="14" t="n">
        <v>0</v>
      </c>
      <c r="FG374" s="15">
        <f>SUM(DW374,DX374,DY374,DZ374,EA374,EB374,EC374,ED374,EE374,EF374,EG374,EH374,EI374,EJ374,EK374,EL374,EM374,EN374,EO374,EP374,EQ374,ER374,ES374,ET374,EU374,EV374,EW374,EX374,EY374,EZ374,FA374,FB374,FC374,FD374,FE374,FF374)</f>
        <v/>
      </c>
      <c r="FH374" s="14" t="n">
        <v>0</v>
      </c>
      <c r="FI374" s="14" t="n">
        <v>0</v>
      </c>
      <c r="FJ374" s="14" t="n">
        <v>18</v>
      </c>
      <c r="FK374" s="14" t="n">
        <v>104.5</v>
      </c>
      <c r="FL374" s="14" t="n">
        <v>0</v>
      </c>
      <c r="FM374" s="14" t="n">
        <v>0</v>
      </c>
      <c r="FN374" s="14" t="n">
        <v>0</v>
      </c>
      <c r="FO374" s="14" t="n">
        <v>0</v>
      </c>
      <c r="FP374" s="14" t="n">
        <v>0</v>
      </c>
      <c r="FQ374" s="15">
        <f>FL374+FM374+FN374+FO374+FP374</f>
        <v/>
      </c>
      <c r="FR374" s="14" t="n">
        <v>34400</v>
      </c>
      <c r="FS374" s="14" t="n">
        <v>0</v>
      </c>
      <c r="FT374" s="14" t="n">
        <v>0</v>
      </c>
      <c r="FU374" s="14" t="n">
        <v>0</v>
      </c>
      <c r="FV374" s="15">
        <f>FR374+FS374+FT374+FU374</f>
        <v/>
      </c>
      <c r="FW374" s="14" t="n">
        <v>6703008.94</v>
      </c>
      <c r="FX374" s="14" t="n">
        <v>4000</v>
      </c>
      <c r="FY374" s="14" t="n">
        <v>369790</v>
      </c>
      <c r="FZ374" s="14" t="n">
        <v>546700</v>
      </c>
      <c r="GA374" s="15">
        <f>FW374+FX374+FY374+FZ374</f>
        <v/>
      </c>
      <c r="GB374" s="15">
        <f>FV374+GA374</f>
        <v/>
      </c>
      <c r="GC374" s="14" t="n">
        <v>252199.16</v>
      </c>
      <c r="GD374" s="14" t="n">
        <v>0</v>
      </c>
      <c r="GE374" s="14" t="n">
        <v>42884.67</v>
      </c>
      <c r="GF374" s="14" t="n">
        <v>0</v>
      </c>
      <c r="GG374" s="15">
        <f>GC374+GD374+GE374+GF374</f>
        <v/>
      </c>
      <c r="GH374" s="14" t="n">
        <v>6619299.45</v>
      </c>
      <c r="GI374" s="14" t="n">
        <v>4000</v>
      </c>
      <c r="GJ374" s="14" t="n">
        <v>532900</v>
      </c>
      <c r="GK374" s="14" t="n">
        <v>360790</v>
      </c>
      <c r="GL374" s="15">
        <f>GH374+GI374+GJ374+GK374</f>
        <v/>
      </c>
      <c r="GM374" s="15">
        <f>GG374+GL374</f>
        <v/>
      </c>
      <c r="GN374" s="14" t="n">
        <v>29426.22</v>
      </c>
      <c r="GO374" s="14" t="n">
        <v>0</v>
      </c>
      <c r="GP374" s="14" t="n">
        <v>3393.64</v>
      </c>
      <c r="GQ374" s="14" t="n">
        <v>0</v>
      </c>
      <c r="GR374" s="15">
        <f>GN374+GO374+GP374+GQ374</f>
        <v/>
      </c>
      <c r="GS374" s="14" t="n">
        <v>48222</v>
      </c>
      <c r="GT374" s="14" t="n">
        <v>0</v>
      </c>
      <c r="GU374" s="14" t="n">
        <v>893</v>
      </c>
      <c r="GV374" s="14" t="n">
        <v>0</v>
      </c>
      <c r="GW374" s="15">
        <f>GS374+GT374+GU374+GV374</f>
        <v/>
      </c>
      <c r="GX374" s="15">
        <f>GM374+GR374+GW374</f>
        <v/>
      </c>
      <c r="GY374" s="14" t="n">
        <v>47816184.33999996</v>
      </c>
      <c r="GZ374" s="14" t="n">
        <v>0</v>
      </c>
      <c r="HA374" s="9">
        <f>GY374+GZ374</f>
        <v/>
      </c>
      <c r="HB374" s="15">
        <f>IF(GX374=0,"",AU374/GX374)</f>
        <v/>
      </c>
      <c r="HC374" s="16">
        <f>IF((GX374+GY374)=0,"",GB374/(GX374+GY374))</f>
        <v/>
      </c>
      <c r="HD374" s="15">
        <f>IF(GX374=0,"",GB374/GX374)</f>
        <v/>
      </c>
      <c r="HE374" s="14" t="n">
        <v>0</v>
      </c>
      <c r="HF374" s="14" t="n">
        <v>0</v>
      </c>
      <c r="HG374" s="14" t="n">
        <v>0</v>
      </c>
      <c r="HH374" s="14" t="n">
        <v>0</v>
      </c>
      <c r="HI374" s="14" t="n">
        <v>0</v>
      </c>
      <c r="HJ374" s="15">
        <f>HF374+HI374</f>
        <v/>
      </c>
      <c r="HK374" s="16">
        <f>IF(HE374=0,"",HH374/HE374)</f>
        <v/>
      </c>
      <c r="HL374" s="14" t="n">
        <v>0</v>
      </c>
      <c r="HM374" s="14" t="n">
        <v>0</v>
      </c>
      <c r="HN374" s="17">
        <f>IF(HL374=0,"",HM374/HL374)</f>
        <v/>
      </c>
    </row>
    <row r="375">
      <c r="A375" s="6" t="inlineStr">
        <is>
          <t>Zomba</t>
        </is>
      </c>
      <c r="B375" s="6" t="inlineStr">
        <is>
          <t>Thondwe</t>
        </is>
      </c>
      <c r="C375" s="7" t="inlineStr">
        <is>
          <t>FY2025/26</t>
        </is>
      </c>
      <c r="D375" s="7" t="n">
        <v>2025</v>
      </c>
      <c r="E375" s="7" t="n">
        <v>4</v>
      </c>
      <c r="F375" s="7" t="inlineStr">
        <is>
          <t>April</t>
        </is>
      </c>
      <c r="G375" s="7" t="inlineStr">
        <is>
          <t>Q1</t>
        </is>
      </c>
      <c r="H375" s="8" t="n">
        <v>6100</v>
      </c>
      <c r="I375" s="8" t="n">
        <v>1897</v>
      </c>
      <c r="J375" s="8" t="n">
        <v>0</v>
      </c>
      <c r="K375" s="8" t="n">
        <v>30</v>
      </c>
      <c r="L375" s="8" t="n">
        <v>5</v>
      </c>
      <c r="M375" s="9">
        <f>SUM(I375,J375,K375,L375)</f>
        <v/>
      </c>
      <c r="N375" s="8" t="n">
        <v>757.6</v>
      </c>
      <c r="O375" s="8" t="n">
        <v>47.1</v>
      </c>
      <c r="P375" s="8" t="n">
        <v>4.8</v>
      </c>
      <c r="Q375" s="8" t="n">
        <v>12.1</v>
      </c>
      <c r="R375" s="9">
        <f>SUM(N375,O375,P375,Q375)</f>
        <v/>
      </c>
      <c r="S375" s="9">
        <f>M375+R375</f>
        <v/>
      </c>
      <c r="T375" s="8" t="n">
        <v>3346.4</v>
      </c>
      <c r="U375" s="10">
        <f>IF(H375=0,"",T375/H375)</f>
        <v/>
      </c>
      <c r="V375" s="8" t="n">
        <v>15</v>
      </c>
      <c r="W375" s="11">
        <f>IF(H375=0,"",V375/H375)</f>
        <v/>
      </c>
      <c r="X375" s="8" t="n">
        <v>70</v>
      </c>
      <c r="Y375" s="11">
        <f>IF(H375=0,"",X375/H375)</f>
        <v/>
      </c>
      <c r="Z375" s="8" t="n">
        <v>20</v>
      </c>
      <c r="AA375" s="11">
        <f>IF(H375=0,"",Z375/H375)</f>
        <v/>
      </c>
      <c r="AB375" s="8" t="n">
        <v>0</v>
      </c>
      <c r="AC375" s="11">
        <f>IF(H375=0,"",AB375/H375)</f>
        <v/>
      </c>
      <c r="AD375" s="8" t="n">
        <v>0</v>
      </c>
      <c r="AE375" s="11">
        <f>IF(H375=0,"",AD375/H375)</f>
        <v/>
      </c>
      <c r="AF375" s="8" t="n">
        <v>0</v>
      </c>
      <c r="AG375" s="11">
        <f>IF(H375=0,"",AF375/H375)</f>
        <v/>
      </c>
      <c r="AH375" s="8" t="n">
        <v>1241320</v>
      </c>
      <c r="AI375" s="9">
        <f>IF(H375=0,"",AH375/H375)</f>
        <v/>
      </c>
      <c r="AJ375" s="8" t="n">
        <v>394.89</v>
      </c>
      <c r="AK375" s="11">
        <f>IF(H375=0,"",AJ375/H375)</f>
        <v/>
      </c>
      <c r="AL375" s="8" t="n">
        <v>139533.44101</v>
      </c>
      <c r="AM375" s="9">
        <f>IF(H375=0,"",AL375/H375)</f>
        <v/>
      </c>
      <c r="AN375" s="8" t="n">
        <v>0</v>
      </c>
      <c r="AO375" s="8" t="n">
        <v>0</v>
      </c>
      <c r="AP375" s="8" t="n">
        <v>0</v>
      </c>
      <c r="AQ375" s="8" t="n">
        <v>0</v>
      </c>
      <c r="AR375" s="8" t="n">
        <v>685470</v>
      </c>
      <c r="AS375" s="8" t="n">
        <v>374765.95</v>
      </c>
      <c r="AT375" s="8" t="n">
        <v>0</v>
      </c>
      <c r="AU375" s="9">
        <f>AH375+AL375+AP375+AQ375+AR375+AS375+AT375</f>
        <v/>
      </c>
      <c r="AV375" s="9">
        <f>IF(H375=0,"",AU375/H375)</f>
        <v/>
      </c>
      <c r="AW375" s="9">
        <f>IF(S375=0,"",AU375/S375)</f>
        <v/>
      </c>
      <c r="AX375" s="8" t="n">
        <v>1</v>
      </c>
      <c r="AY375" s="9">
        <f>IF(H375=0,"",AX375/(H375/1000/12))</f>
        <v/>
      </c>
      <c r="AZ375" s="8" t="n">
        <v>4</v>
      </c>
      <c r="BA375" s="8" t="n">
        <v>2</v>
      </c>
      <c r="BB375" s="8" t="n">
        <v>5</v>
      </c>
      <c r="BC375" s="8" t="n">
        <v>3</v>
      </c>
      <c r="BD375" s="8" t="n">
        <v>0</v>
      </c>
      <c r="BE375" s="9">
        <f>BC375+BD375</f>
        <v/>
      </c>
      <c r="BF375" s="9">
        <f>BA375+BB375-BE375</f>
        <v/>
      </c>
      <c r="BG375" s="8" t="n">
        <v>0</v>
      </c>
      <c r="BH375" s="8" t="n">
        <v>0</v>
      </c>
      <c r="BI375" s="8" t="n">
        <v>0</v>
      </c>
      <c r="BJ375" s="8" t="n">
        <v>0</v>
      </c>
      <c r="BK375" s="9">
        <f>BI375+BJ375</f>
        <v/>
      </c>
      <c r="BL375" s="9">
        <f>BG375+BH375-BK375</f>
        <v/>
      </c>
      <c r="BM375" s="8" t="n">
        <v>0</v>
      </c>
      <c r="BN375" s="8" t="n">
        <v>0</v>
      </c>
      <c r="BO375" s="8" t="n">
        <v>0</v>
      </c>
      <c r="BP375" s="8" t="n">
        <v>0</v>
      </c>
      <c r="BQ375" s="9">
        <f>BO375+BP375</f>
        <v/>
      </c>
      <c r="BR375" s="9">
        <f>BM375+BN375-BQ375</f>
        <v/>
      </c>
      <c r="BS375" s="8" t="n">
        <v>0</v>
      </c>
      <c r="BT375" s="8" t="n">
        <v>0</v>
      </c>
      <c r="BU375" s="8" t="n">
        <v>0</v>
      </c>
      <c r="BV375" s="8" t="n">
        <v>0</v>
      </c>
      <c r="BW375" s="9">
        <f>BU375+BV375</f>
        <v/>
      </c>
      <c r="BX375" s="9">
        <f>BS375+BT375-BW375</f>
        <v/>
      </c>
      <c r="BY375" s="9">
        <f>BA375+BG375+BM375+BS375</f>
        <v/>
      </c>
      <c r="BZ375" s="9">
        <f>BB375+BH375+BN375+BT375</f>
        <v/>
      </c>
      <c r="CA375" s="9">
        <f>BE375+BK375+BQ375+BW375</f>
        <v/>
      </c>
      <c r="CB375" s="9">
        <f>BF375+BL375+BR375+BX375</f>
        <v/>
      </c>
      <c r="CC375" s="8" t="n">
        <v>0</v>
      </c>
      <c r="CD375" s="8" t="n">
        <v>143</v>
      </c>
      <c r="CE375" s="8" t="n">
        <v>4</v>
      </c>
      <c r="CF375" s="8" t="n">
        <v>0</v>
      </c>
      <c r="CG375" s="8" t="n">
        <v>0</v>
      </c>
      <c r="CH375" s="9">
        <f>CD375+CE375+CF375+CG375</f>
        <v/>
      </c>
      <c r="CI375" s="8" t="n">
        <v>358</v>
      </c>
      <c r="CJ375" s="8" t="n">
        <v>2</v>
      </c>
      <c r="CK375" s="8" t="n">
        <v>1</v>
      </c>
      <c r="CL375" s="8" t="n">
        <v>0</v>
      </c>
      <c r="CM375" s="9">
        <f>CI375+CJ375+CK375+CL375</f>
        <v/>
      </c>
      <c r="CN375" s="8" t="n">
        <v>32</v>
      </c>
      <c r="CO375" s="8" t="n">
        <v>3</v>
      </c>
      <c r="CP375" s="8" t="n">
        <v>11</v>
      </c>
      <c r="CQ375" s="8" t="n">
        <v>4</v>
      </c>
      <c r="CR375" s="9">
        <f>CN375+CO375+CP375+CQ375</f>
        <v/>
      </c>
      <c r="CS375" s="9">
        <f>CM375+CR375</f>
        <v/>
      </c>
      <c r="CT375" s="8" t="n">
        <v>558</v>
      </c>
      <c r="CU375" s="8" t="n">
        <v>3590</v>
      </c>
      <c r="CV375" s="8" t="n">
        <v>3386.9</v>
      </c>
      <c r="CW375" s="10">
        <f>IF(CU375=0,"",CV375/CU375)</f>
        <v/>
      </c>
      <c r="CX375" s="8" t="n">
        <v>0</v>
      </c>
      <c r="CY375" s="8" t="n">
        <v>0</v>
      </c>
      <c r="CZ375" s="8" t="n">
        <v>0</v>
      </c>
      <c r="DA375" s="8" t="n">
        <v>0</v>
      </c>
      <c r="DB375" s="9">
        <f>CX375+CY375-CZ375-DA375</f>
        <v/>
      </c>
      <c r="DC375" s="8" t="n">
        <v>0</v>
      </c>
      <c r="DD375" s="8" t="n">
        <v>0</v>
      </c>
      <c r="DE375" s="8" t="n">
        <v>0</v>
      </c>
      <c r="DF375" s="8" t="n">
        <v>0</v>
      </c>
      <c r="DG375" s="9">
        <f>DC375+DD375-DE375-DF375</f>
        <v/>
      </c>
      <c r="DH375" s="8" t="n">
        <v>0</v>
      </c>
      <c r="DI375" s="8" t="n">
        <v>0</v>
      </c>
      <c r="DJ375" s="8" t="n">
        <v>0</v>
      </c>
      <c r="DK375" s="8" t="n">
        <v>0</v>
      </c>
      <c r="DL375" s="9">
        <f>DH375+DI375-DJ375-DK375</f>
        <v/>
      </c>
      <c r="DM375" s="8" t="n">
        <v>0</v>
      </c>
      <c r="DN375" s="8" t="n">
        <v>0</v>
      </c>
      <c r="DO375" s="8" t="n">
        <v>0</v>
      </c>
      <c r="DP375" s="8" t="n">
        <v>0</v>
      </c>
      <c r="DQ375" s="9">
        <f>DM375+DN375-DO375-DP375</f>
        <v/>
      </c>
      <c r="DR375" s="9">
        <f>CX375+DC375+DH375+DM375</f>
        <v/>
      </c>
      <c r="DS375" s="9">
        <f>CY375+DD375+DI375+DN375</f>
        <v/>
      </c>
      <c r="DT375" s="9">
        <f>CZ375+DE375+DJ375+DO375</f>
        <v/>
      </c>
      <c r="DU375" s="9">
        <f>DA375+DF375+DK375+DP375</f>
        <v/>
      </c>
      <c r="DV375" s="9">
        <f>DB375+DG375+DL375+DQ375</f>
        <v/>
      </c>
      <c r="DW375" s="8" t="n">
        <v>3</v>
      </c>
      <c r="DX375" s="8" t="n">
        <v>1</v>
      </c>
      <c r="DY375" s="8" t="n">
        <v>0</v>
      </c>
      <c r="DZ375" s="8" t="n">
        <v>1</v>
      </c>
      <c r="EA375" s="8" t="n">
        <v>0</v>
      </c>
      <c r="EB375" s="8" t="n">
        <v>0</v>
      </c>
      <c r="EC375" s="8" t="n">
        <v>0</v>
      </c>
      <c r="ED375" s="8" t="n">
        <v>0</v>
      </c>
      <c r="EE375" s="8" t="n">
        <v>2</v>
      </c>
      <c r="EF375" s="8" t="n">
        <v>0</v>
      </c>
      <c r="EG375" s="8" t="n">
        <v>0</v>
      </c>
      <c r="EH375" s="8" t="n">
        <v>0</v>
      </c>
      <c r="EI375" s="8" t="n">
        <v>0</v>
      </c>
      <c r="EJ375" s="8" t="n">
        <v>0</v>
      </c>
      <c r="EK375" s="8" t="n">
        <v>0</v>
      </c>
      <c r="EL375" s="8" t="n">
        <v>0</v>
      </c>
      <c r="EM375" s="8" t="n">
        <v>0</v>
      </c>
      <c r="EN375" s="8" t="n">
        <v>0</v>
      </c>
      <c r="EO375" s="8" t="n">
        <v>0</v>
      </c>
      <c r="EP375" s="8" t="n">
        <v>0</v>
      </c>
      <c r="EQ375" s="8" t="n">
        <v>0</v>
      </c>
      <c r="ER375" s="8" t="n">
        <v>0</v>
      </c>
      <c r="ES375" s="8" t="n">
        <v>0</v>
      </c>
      <c r="ET375" s="8" t="n">
        <v>0</v>
      </c>
      <c r="EU375" s="8" t="n">
        <v>0</v>
      </c>
      <c r="EV375" s="8" t="n">
        <v>0</v>
      </c>
      <c r="EW375" s="8" t="n">
        <v>0</v>
      </c>
      <c r="EX375" s="8" t="n">
        <v>0</v>
      </c>
      <c r="EY375" s="8" t="n">
        <v>0</v>
      </c>
      <c r="EZ375" s="8" t="n">
        <v>0</v>
      </c>
      <c r="FA375" s="8" t="n">
        <v>0</v>
      </c>
      <c r="FB375" s="8" t="n">
        <v>0</v>
      </c>
      <c r="FC375" s="8" t="n">
        <v>0</v>
      </c>
      <c r="FD375" s="8" t="n">
        <v>0</v>
      </c>
      <c r="FE375" s="8" t="n">
        <v>0</v>
      </c>
      <c r="FF375" s="8" t="n">
        <v>0</v>
      </c>
      <c r="FG375" s="9">
        <f>SUM(DW375,DX375,DY375,DZ375,EA375,EB375,EC375,ED375,EE375,EF375,EG375,EH375,EI375,EJ375,EK375,EL375,EM375,EN375,EO375,EP375,EQ375,ER375,ES375,ET375,EU375,EV375,EW375,EX375,EY375,EZ375,FA375,FB375,FC375,FD375,FE375,FF375)</f>
        <v/>
      </c>
      <c r="FH375" s="8" t="n">
        <v>0</v>
      </c>
      <c r="FI375" s="8" t="n">
        <v>0</v>
      </c>
      <c r="FJ375" s="8" t="n">
        <v>12</v>
      </c>
      <c r="FK375" s="8" t="n">
        <v>0</v>
      </c>
      <c r="FL375" s="8" t="n">
        <v>0</v>
      </c>
      <c r="FM375" s="8" t="n">
        <v>0</v>
      </c>
      <c r="FN375" s="8" t="n">
        <v>0</v>
      </c>
      <c r="FO375" s="8" t="n">
        <v>0</v>
      </c>
      <c r="FP375" s="8" t="n">
        <v>0</v>
      </c>
      <c r="FQ375" s="9">
        <f>FL375+FM375+FN375+FO375+FP375</f>
        <v/>
      </c>
      <c r="FR375" s="8" t="n">
        <v>697167.22</v>
      </c>
      <c r="FS375" s="8" t="n">
        <v>0</v>
      </c>
      <c r="FT375" s="8" t="n">
        <v>0</v>
      </c>
      <c r="FU375" s="8" t="n">
        <v>142775.2</v>
      </c>
      <c r="FV375" s="9">
        <f>FR375+FS375+FT375+FU375</f>
        <v/>
      </c>
      <c r="FW375" s="8" t="n">
        <v>995708.42</v>
      </c>
      <c r="FX375" s="8" t="n">
        <v>10000</v>
      </c>
      <c r="FY375" s="8" t="n">
        <v>72200</v>
      </c>
      <c r="FZ375" s="8" t="n">
        <v>14400</v>
      </c>
      <c r="GA375" s="9">
        <f>FW375+FX375+FY375+FZ375</f>
        <v/>
      </c>
      <c r="GB375" s="9">
        <f>FV375+GA375</f>
        <v/>
      </c>
      <c r="GC375" s="8" t="n">
        <v>1611410.52</v>
      </c>
      <c r="GD375" s="8" t="n">
        <v>0</v>
      </c>
      <c r="GE375" s="8" t="n">
        <v>85093.05</v>
      </c>
      <c r="GF375" s="8" t="n">
        <v>11796.63</v>
      </c>
      <c r="GG375" s="9">
        <f>GC375+GD375+GE375+GF375</f>
        <v/>
      </c>
      <c r="GH375" s="8" t="n">
        <v>946151.47</v>
      </c>
      <c r="GI375" s="8" t="n">
        <v>10000</v>
      </c>
      <c r="GJ375" s="8" t="n">
        <v>14400</v>
      </c>
      <c r="GK375" s="8" t="n">
        <v>57320</v>
      </c>
      <c r="GL375" s="9">
        <f>GH375+GI375+GJ375+GK375</f>
        <v/>
      </c>
      <c r="GM375" s="9">
        <f>GG375+GL375</f>
        <v/>
      </c>
      <c r="GN375" s="8" t="n">
        <v>195084.94</v>
      </c>
      <c r="GO375" s="8" t="n">
        <v>0</v>
      </c>
      <c r="GP375" s="8" t="n">
        <v>6787.28</v>
      </c>
      <c r="GQ375" s="8" t="n">
        <v>4637.34</v>
      </c>
      <c r="GR375" s="9">
        <f>GN375+GO375+GP375+GQ375</f>
        <v/>
      </c>
      <c r="GS375" s="8" t="n">
        <v>319694</v>
      </c>
      <c r="GT375" s="8" t="n">
        <v>0</v>
      </c>
      <c r="GU375" s="8" t="n">
        <v>1786</v>
      </c>
      <c r="GV375" s="8" t="n">
        <v>893</v>
      </c>
      <c r="GW375" s="9">
        <f>GS375+GT375+GU375+GV375</f>
        <v/>
      </c>
      <c r="GX375" s="9">
        <f>GM375+GR375+GW375</f>
        <v/>
      </c>
      <c r="GY375" s="8" t="n">
        <v>16166830.52999999</v>
      </c>
      <c r="GZ375" s="8" t="n">
        <v>0</v>
      </c>
      <c r="HA375" s="9">
        <f>GY375+GZ375</f>
        <v/>
      </c>
      <c r="HB375" s="9">
        <f>IF(GX375=0,"",AU375/GX375)</f>
        <v/>
      </c>
      <c r="HC375" s="10">
        <f>IF((GX375+GY375)=0,"",GB375/(GX375+GY375))</f>
        <v/>
      </c>
      <c r="HD375" s="9">
        <f>IF(GX375=0,"",GB375/GX375)</f>
        <v/>
      </c>
      <c r="HE375" s="8" t="n">
        <v>1</v>
      </c>
      <c r="HF375" s="8" t="n">
        <v>1</v>
      </c>
      <c r="HG375" s="8" t="n">
        <v>4</v>
      </c>
      <c r="HH375" s="8" t="n">
        <v>5</v>
      </c>
      <c r="HI375" s="8" t="n">
        <v>3</v>
      </c>
      <c r="HJ375" s="9">
        <f>HF375+HI375</f>
        <v/>
      </c>
      <c r="HK375" s="10">
        <f>IF(HE375=0,"",HH375/HE375)</f>
        <v/>
      </c>
      <c r="HL375" s="8" t="n">
        <v>5</v>
      </c>
      <c r="HM375" s="8" t="n">
        <v>2</v>
      </c>
      <c r="HN375" s="11">
        <f>IF(HL375=0,"",HM375/HL375)</f>
        <v/>
      </c>
    </row>
    <row r="376">
      <c r="A376" s="12" t="inlineStr">
        <is>
          <t>Zomba</t>
        </is>
      </c>
      <c r="B376" s="12" t="inlineStr">
        <is>
          <t>Thondwe</t>
        </is>
      </c>
      <c r="C376" s="13" t="inlineStr">
        <is>
          <t>FY2025/26</t>
        </is>
      </c>
      <c r="D376" s="13" t="n">
        <v>2025</v>
      </c>
      <c r="E376" s="13" t="n">
        <v>5</v>
      </c>
      <c r="F376" s="13" t="inlineStr">
        <is>
          <t>May</t>
        </is>
      </c>
      <c r="G376" s="13" t="inlineStr">
        <is>
          <t>Q1</t>
        </is>
      </c>
      <c r="H376" s="14" t="n">
        <v>5530</v>
      </c>
      <c r="I376" s="14" t="n">
        <v>1247</v>
      </c>
      <c r="J376" s="14" t="n">
        <v>0</v>
      </c>
      <c r="K376" s="14" t="n">
        <v>49</v>
      </c>
      <c r="L376" s="14" t="n">
        <v>4</v>
      </c>
      <c r="M376" s="15">
        <f>SUM(I376,J376,K376,L376)</f>
        <v/>
      </c>
      <c r="N376" s="14" t="n">
        <v>1030.7</v>
      </c>
      <c r="O376" s="14" t="n">
        <v>0</v>
      </c>
      <c r="P376" s="14" t="n">
        <v>29.3</v>
      </c>
      <c r="Q376" s="14" t="n">
        <v>12.1</v>
      </c>
      <c r="R376" s="15">
        <f>SUM(N376,O376,P376,Q376)</f>
        <v/>
      </c>
      <c r="S376" s="15">
        <f>M376+R376</f>
        <v/>
      </c>
      <c r="T376" s="14" t="n">
        <v>3157.9</v>
      </c>
      <c r="U376" s="16">
        <f>IF(H376=0,"",T376/H376)</f>
        <v/>
      </c>
      <c r="V376" s="14" t="n">
        <v>11</v>
      </c>
      <c r="W376" s="17">
        <f>IF(H376=0,"",V376/H376)</f>
        <v/>
      </c>
      <c r="X376" s="14" t="n">
        <v>63</v>
      </c>
      <c r="Y376" s="17">
        <f>IF(H376=0,"",X376/H376)</f>
        <v/>
      </c>
      <c r="Z376" s="14" t="n">
        <v>24</v>
      </c>
      <c r="AA376" s="17">
        <f>IF(H376=0,"",Z376/H376)</f>
        <v/>
      </c>
      <c r="AB376" s="14" t="n">
        <v>0</v>
      </c>
      <c r="AC376" s="17">
        <f>IF(H376=0,"",AB376/H376)</f>
        <v/>
      </c>
      <c r="AD376" s="14" t="n">
        <v>0</v>
      </c>
      <c r="AE376" s="17">
        <f>IF(H376=0,"",AD376/H376)</f>
        <v/>
      </c>
      <c r="AF376" s="14" t="n">
        <v>0</v>
      </c>
      <c r="AG376" s="17">
        <f>IF(H376=0,"",AF376/H376)</f>
        <v/>
      </c>
      <c r="AH376" s="14" t="n">
        <v>1124884</v>
      </c>
      <c r="AI376" s="15">
        <f>IF(H376=0,"",AH376/H376)</f>
        <v/>
      </c>
      <c r="AJ376" s="14" t="n">
        <v>255.91</v>
      </c>
      <c r="AK376" s="17">
        <f>IF(H376=0,"",AJ376/H376)</f>
        <v/>
      </c>
      <c r="AL376" s="14" t="n">
        <v>101548.95619</v>
      </c>
      <c r="AM376" s="15">
        <f>IF(H376=0,"",AL376/H376)</f>
        <v/>
      </c>
      <c r="AN376" s="14" t="n">
        <v>0</v>
      </c>
      <c r="AO376" s="14" t="n">
        <v>0</v>
      </c>
      <c r="AP376" s="14" t="n">
        <v>0</v>
      </c>
      <c r="AQ376" s="14" t="n">
        <v>0</v>
      </c>
      <c r="AR376" s="14" t="n">
        <v>0</v>
      </c>
      <c r="AS376" s="14" t="n">
        <v>0</v>
      </c>
      <c r="AT376" s="14" t="n">
        <v>0</v>
      </c>
      <c r="AU376" s="15">
        <f>AH376+AL376+AP376+AQ376+AR376+AS376+AT376</f>
        <v/>
      </c>
      <c r="AV376" s="15">
        <f>IF(H376=0,"",AU376/H376)</f>
        <v/>
      </c>
      <c r="AW376" s="15">
        <f>IF(S376=0,"",AU376/S376)</f>
        <v/>
      </c>
      <c r="AX376" s="14" t="n">
        <v>1</v>
      </c>
      <c r="AY376" s="15">
        <f>IF(H376=0,"",AX376/(H376/1000/12))</f>
        <v/>
      </c>
      <c r="AZ376" s="14" t="n">
        <v>4</v>
      </c>
      <c r="BA376" s="14" t="n">
        <v>4</v>
      </c>
      <c r="BB376" s="14" t="n">
        <v>6</v>
      </c>
      <c r="BC376" s="14" t="n">
        <v>6</v>
      </c>
      <c r="BD376" s="14" t="n">
        <v>0</v>
      </c>
      <c r="BE376" s="15">
        <f>BC376+BD376</f>
        <v/>
      </c>
      <c r="BF376" s="15">
        <f>BA376+BB376-BE376</f>
        <v/>
      </c>
      <c r="BG376" s="14" t="n">
        <v>0</v>
      </c>
      <c r="BH376" s="14" t="n">
        <v>1</v>
      </c>
      <c r="BI376" s="14" t="n">
        <v>1</v>
      </c>
      <c r="BJ376" s="14" t="n">
        <v>0</v>
      </c>
      <c r="BK376" s="15">
        <f>BI376+BJ376</f>
        <v/>
      </c>
      <c r="BL376" s="15">
        <f>BG376+BH376-BK376</f>
        <v/>
      </c>
      <c r="BM376" s="14" t="n">
        <v>0</v>
      </c>
      <c r="BN376" s="14" t="n">
        <v>0</v>
      </c>
      <c r="BO376" s="14" t="n">
        <v>0</v>
      </c>
      <c r="BP376" s="14" t="n">
        <v>0</v>
      </c>
      <c r="BQ376" s="15">
        <f>BO376+BP376</f>
        <v/>
      </c>
      <c r="BR376" s="15">
        <f>BM376+BN376-BQ376</f>
        <v/>
      </c>
      <c r="BS376" s="14" t="n">
        <v>0</v>
      </c>
      <c r="BT376" s="14" t="n">
        <v>0</v>
      </c>
      <c r="BU376" s="14" t="n">
        <v>0</v>
      </c>
      <c r="BV376" s="14" t="n">
        <v>0</v>
      </c>
      <c r="BW376" s="15">
        <f>BU376+BV376</f>
        <v/>
      </c>
      <c r="BX376" s="15">
        <f>BS376+BT376-BW376</f>
        <v/>
      </c>
      <c r="BY376" s="15">
        <f>BA376+BG376+BM376+BS376</f>
        <v/>
      </c>
      <c r="BZ376" s="15">
        <f>BB376+BH376+BN376+BT376</f>
        <v/>
      </c>
      <c r="CA376" s="15">
        <f>BE376+BK376+BQ376+BW376</f>
        <v/>
      </c>
      <c r="CB376" s="15">
        <f>BF376+BL376+BR376+BX376</f>
        <v/>
      </c>
      <c r="CC376" s="14" t="n">
        <v>168</v>
      </c>
      <c r="CD376" s="14" t="n">
        <v>136</v>
      </c>
      <c r="CE376" s="14" t="n">
        <v>4</v>
      </c>
      <c r="CF376" s="14" t="n">
        <v>0</v>
      </c>
      <c r="CG376" s="14" t="n">
        <v>0</v>
      </c>
      <c r="CH376" s="15">
        <f>CD376+CE376+CF376+CG376</f>
        <v/>
      </c>
      <c r="CI376" s="14" t="n">
        <v>203</v>
      </c>
      <c r="CJ376" s="14" t="n">
        <v>3</v>
      </c>
      <c r="CK376" s="14" t="n">
        <v>1</v>
      </c>
      <c r="CL376" s="14" t="n">
        <v>0</v>
      </c>
      <c r="CM376" s="15">
        <f>CI376+CJ376+CK376+CL376</f>
        <v/>
      </c>
      <c r="CN376" s="14" t="n">
        <v>200</v>
      </c>
      <c r="CO376" s="14" t="n">
        <v>3</v>
      </c>
      <c r="CP376" s="14" t="n">
        <v>11</v>
      </c>
      <c r="CQ376" s="14" t="n">
        <v>4</v>
      </c>
      <c r="CR376" s="15">
        <f>CN376+CO376+CP376+CQ376</f>
        <v/>
      </c>
      <c r="CS376" s="15">
        <f>CM376+CR376</f>
        <v/>
      </c>
      <c r="CT376" s="14" t="n">
        <v>565</v>
      </c>
      <c r="CU376" s="14" t="n">
        <v>3597</v>
      </c>
      <c r="CV376" s="14" t="n">
        <v>3417.1</v>
      </c>
      <c r="CW376" s="16">
        <f>IF(CU376=0,"",CV376/CU376)</f>
        <v/>
      </c>
      <c r="CX376" s="14" t="n">
        <v>0</v>
      </c>
      <c r="CY376" s="14" t="n">
        <v>0</v>
      </c>
      <c r="CZ376" s="14" t="n">
        <v>0</v>
      </c>
      <c r="DA376" s="14" t="n">
        <v>0</v>
      </c>
      <c r="DB376" s="15">
        <f>CX376+CY376-CZ376-DA376</f>
        <v/>
      </c>
      <c r="DC376" s="14" t="n">
        <v>0</v>
      </c>
      <c r="DD376" s="14" t="n">
        <v>0</v>
      </c>
      <c r="DE376" s="14" t="n">
        <v>0</v>
      </c>
      <c r="DF376" s="14" t="n">
        <v>0</v>
      </c>
      <c r="DG376" s="15">
        <f>DC376+DD376-DE376-DF376</f>
        <v/>
      </c>
      <c r="DH376" s="14" t="n">
        <v>0</v>
      </c>
      <c r="DI376" s="14" t="n">
        <v>0</v>
      </c>
      <c r="DJ376" s="14" t="n">
        <v>0</v>
      </c>
      <c r="DK376" s="14" t="n">
        <v>0</v>
      </c>
      <c r="DL376" s="15">
        <f>DH376+DI376-DJ376-DK376</f>
        <v/>
      </c>
      <c r="DM376" s="14" t="n">
        <v>0</v>
      </c>
      <c r="DN376" s="14" t="n">
        <v>0</v>
      </c>
      <c r="DO376" s="14" t="n">
        <v>0</v>
      </c>
      <c r="DP376" s="14" t="n">
        <v>0</v>
      </c>
      <c r="DQ376" s="15">
        <f>DM376+DN376-DO376-DP376</f>
        <v/>
      </c>
      <c r="DR376" s="15">
        <f>CX376+DC376+DH376+DM376</f>
        <v/>
      </c>
      <c r="DS376" s="15">
        <f>CY376+DD376+DI376+DN376</f>
        <v/>
      </c>
      <c r="DT376" s="15">
        <f>CZ376+DE376+DJ376+DO376</f>
        <v/>
      </c>
      <c r="DU376" s="15">
        <f>DA376+DF376+DK376+DP376</f>
        <v/>
      </c>
      <c r="DV376" s="15">
        <f>DB376+DG376+DL376+DQ376</f>
        <v/>
      </c>
      <c r="DW376" s="14" t="n">
        <v>2</v>
      </c>
      <c r="DX376" s="14" t="n">
        <v>1</v>
      </c>
      <c r="DY376" s="14" t="n">
        <v>2</v>
      </c>
      <c r="DZ376" s="14" t="n">
        <v>0</v>
      </c>
      <c r="EA376" s="14" t="n">
        <v>0</v>
      </c>
      <c r="EB376" s="14" t="n">
        <v>0</v>
      </c>
      <c r="EC376" s="14" t="n">
        <v>1</v>
      </c>
      <c r="ED376" s="14" t="n">
        <v>0</v>
      </c>
      <c r="EE376" s="14" t="n">
        <v>0</v>
      </c>
      <c r="EF376" s="14" t="n">
        <v>0</v>
      </c>
      <c r="EG376" s="14" t="n">
        <v>0</v>
      </c>
      <c r="EH376" s="14" t="n">
        <v>0</v>
      </c>
      <c r="EI376" s="14" t="n">
        <v>0</v>
      </c>
      <c r="EJ376" s="14" t="n">
        <v>0</v>
      </c>
      <c r="EK376" s="14" t="n">
        <v>0</v>
      </c>
      <c r="EL376" s="14" t="n">
        <v>0</v>
      </c>
      <c r="EM376" s="14" t="n">
        <v>0</v>
      </c>
      <c r="EN376" s="14" t="n">
        <v>0</v>
      </c>
      <c r="EO376" s="14" t="n">
        <v>0</v>
      </c>
      <c r="EP376" s="14" t="n">
        <v>0</v>
      </c>
      <c r="EQ376" s="14" t="n">
        <v>0</v>
      </c>
      <c r="ER376" s="14" t="n">
        <v>0</v>
      </c>
      <c r="ES376" s="14" t="n">
        <v>0</v>
      </c>
      <c r="ET376" s="14" t="n">
        <v>0</v>
      </c>
      <c r="EU376" s="14" t="n">
        <v>0</v>
      </c>
      <c r="EV376" s="14" t="n">
        <v>0</v>
      </c>
      <c r="EW376" s="14" t="n">
        <v>0</v>
      </c>
      <c r="EX376" s="14" t="n">
        <v>0</v>
      </c>
      <c r="EY376" s="14" t="n">
        <v>0</v>
      </c>
      <c r="EZ376" s="14" t="n">
        <v>0</v>
      </c>
      <c r="FA376" s="14" t="n">
        <v>0</v>
      </c>
      <c r="FB376" s="14" t="n">
        <v>0</v>
      </c>
      <c r="FC376" s="14" t="n">
        <v>0</v>
      </c>
      <c r="FD376" s="14" t="n">
        <v>0</v>
      </c>
      <c r="FE376" s="14" t="n">
        <v>0</v>
      </c>
      <c r="FF376" s="14" t="n">
        <v>0</v>
      </c>
      <c r="FG376" s="15">
        <f>SUM(DW376,DX376,DY376,DZ376,EA376,EB376,EC376,ED376,EE376,EF376,EG376,EH376,EI376,EJ376,EK376,EL376,EM376,EN376,EO376,EP376,EQ376,ER376,ES376,ET376,EU376,EV376,EW376,EX376,EY376,EZ376,FA376,FB376,FC376,FD376,FE376,FF376)</f>
        <v/>
      </c>
      <c r="FH376" s="14" t="n">
        <v>0</v>
      </c>
      <c r="FI376" s="14" t="n">
        <v>0</v>
      </c>
      <c r="FJ376" s="14" t="n">
        <v>16</v>
      </c>
      <c r="FK376" s="14" t="n">
        <v>0</v>
      </c>
      <c r="FL376" s="14" t="n">
        <v>0</v>
      </c>
      <c r="FM376" s="14" t="n">
        <v>0</v>
      </c>
      <c r="FN376" s="14" t="n">
        <v>0</v>
      </c>
      <c r="FO376" s="14" t="n">
        <v>0</v>
      </c>
      <c r="FP376" s="14" t="n">
        <v>0</v>
      </c>
      <c r="FQ376" s="15">
        <f>FL376+FM376+FN376+FO376+FP376</f>
        <v/>
      </c>
      <c r="FR376" s="14" t="n">
        <v>2557976.04</v>
      </c>
      <c r="FS376" s="14" t="n">
        <v>0</v>
      </c>
      <c r="FT376" s="14" t="n">
        <v>0</v>
      </c>
      <c r="FU376" s="14" t="n">
        <v>0</v>
      </c>
      <c r="FV376" s="15">
        <f>FR376+FS376+FT376+FU376</f>
        <v/>
      </c>
      <c r="FW376" s="14" t="n">
        <v>1378424.4</v>
      </c>
      <c r="FX376" s="14" t="n">
        <v>0</v>
      </c>
      <c r="FY376" s="14" t="n">
        <v>72900</v>
      </c>
      <c r="FZ376" s="14" t="n">
        <v>89400</v>
      </c>
      <c r="GA376" s="15">
        <f>FW376+FX376+FY376+FZ376</f>
        <v/>
      </c>
      <c r="GB376" s="15">
        <f>FV376+GA376</f>
        <v/>
      </c>
      <c r="GC376" s="14" t="n">
        <v>1069378.91</v>
      </c>
      <c r="GD376" s="14" t="n">
        <v>0</v>
      </c>
      <c r="GE376" s="14" t="n">
        <v>146193.4</v>
      </c>
      <c r="GF376" s="14" t="n">
        <v>8410.99</v>
      </c>
      <c r="GG376" s="15">
        <f>GC376+GD376+GE376+GF376</f>
        <v/>
      </c>
      <c r="GH376" s="14" t="n">
        <v>1285684.23</v>
      </c>
      <c r="GI376" s="14" t="n">
        <v>0</v>
      </c>
      <c r="GJ376" s="14" t="n">
        <v>89400</v>
      </c>
      <c r="GK376" s="14" t="n">
        <v>57660</v>
      </c>
      <c r="GL376" s="15">
        <f>GH376+GI376+GJ376+GK376</f>
        <v/>
      </c>
      <c r="GM376" s="15">
        <f>GG376+GL376</f>
        <v/>
      </c>
      <c r="GN376" s="14" t="n">
        <v>110620.79</v>
      </c>
      <c r="GO376" s="14" t="n">
        <v>0</v>
      </c>
      <c r="GP376" s="14" t="n">
        <v>10180.92</v>
      </c>
      <c r="GQ376" s="14" t="n">
        <v>4637.34</v>
      </c>
      <c r="GR376" s="15">
        <f>GN376+GO376+GP376+GQ376</f>
        <v/>
      </c>
      <c r="GS376" s="14" t="n">
        <v>181279</v>
      </c>
      <c r="GT376" s="14" t="n">
        <v>0</v>
      </c>
      <c r="GU376" s="14" t="n">
        <v>2679</v>
      </c>
      <c r="GV376" s="14" t="n">
        <v>893</v>
      </c>
      <c r="GW376" s="15">
        <f>GS376+GT376+GU376+GV376</f>
        <v/>
      </c>
      <c r="GX376" s="15">
        <f>GM376+GR376+GW376</f>
        <v/>
      </c>
      <c r="GY376" s="14" t="n">
        <v>15906338.54</v>
      </c>
      <c r="GZ376" s="14" t="n">
        <v>0</v>
      </c>
      <c r="HA376" s="9">
        <f>GY376+GZ376</f>
        <v/>
      </c>
      <c r="HB376" s="15">
        <f>IF(GX376=0,"",AU376/GX376)</f>
        <v/>
      </c>
      <c r="HC376" s="16">
        <f>IF((GX376+GY376)=0,"",GB376/(GX376+GY376))</f>
        <v/>
      </c>
      <c r="HD376" s="15">
        <f>IF(GX376=0,"",GB376/GX376)</f>
        <v/>
      </c>
      <c r="HE376" s="14" t="n">
        <v>6</v>
      </c>
      <c r="HF376" s="14" t="n">
        <v>1</v>
      </c>
      <c r="HG376" s="14" t="n">
        <v>4</v>
      </c>
      <c r="HH376" s="14" t="n">
        <v>7</v>
      </c>
      <c r="HI376" s="14" t="n">
        <v>7</v>
      </c>
      <c r="HJ376" s="15">
        <f>HF376+HI376</f>
        <v/>
      </c>
      <c r="HK376" s="16">
        <f>IF(HE376=0,"",HH376/HE376)</f>
        <v/>
      </c>
      <c r="HL376" s="14" t="n">
        <v>23</v>
      </c>
      <c r="HM376" s="14" t="n">
        <v>31</v>
      </c>
      <c r="HN376" s="17">
        <f>IF(HL376=0,"",HM376/HL376)</f>
        <v/>
      </c>
    </row>
    <row r="377">
      <c r="A377" s="6" t="inlineStr">
        <is>
          <t>Zomba</t>
        </is>
      </c>
      <c r="B377" s="6" t="inlineStr">
        <is>
          <t>Thondwe</t>
        </is>
      </c>
      <c r="C377" s="7" t="inlineStr">
        <is>
          <t>FY2025/26</t>
        </is>
      </c>
      <c r="D377" s="7" t="n">
        <v>2025</v>
      </c>
      <c r="E377" s="7" t="n">
        <v>6</v>
      </c>
      <c r="F377" s="7" t="inlineStr">
        <is>
          <t>June</t>
        </is>
      </c>
      <c r="G377" s="7" t="inlineStr">
        <is>
          <t>Q1</t>
        </is>
      </c>
      <c r="H377" s="8" t="n">
        <v>4110</v>
      </c>
      <c r="I377" s="8" t="n">
        <v>674</v>
      </c>
      <c r="J377" s="8" t="n">
        <v>0</v>
      </c>
      <c r="K377" s="8" t="n">
        <v>57</v>
      </c>
      <c r="L377" s="8" t="n">
        <v>4</v>
      </c>
      <c r="M377" s="9">
        <f>SUM(I377,J377,K377,L377)</f>
        <v/>
      </c>
      <c r="N377" s="8" t="n">
        <v>1542.9</v>
      </c>
      <c r="O377" s="8" t="n">
        <v>56.1</v>
      </c>
      <c r="P377" s="8" t="n">
        <v>4.6</v>
      </c>
      <c r="Q377" s="8" t="n">
        <v>19.5</v>
      </c>
      <c r="R377" s="9">
        <f>SUM(N377,O377,P377,Q377)</f>
        <v/>
      </c>
      <c r="S377" s="9">
        <f>M377+R377</f>
        <v/>
      </c>
      <c r="T377" s="8" t="n">
        <v>1751.9</v>
      </c>
      <c r="U377" s="10">
        <f>IF(H377=0,"",T377/H377)</f>
        <v/>
      </c>
      <c r="V377" s="8" t="n">
        <v>9</v>
      </c>
      <c r="W377" s="11">
        <f>IF(H377=0,"",V377/H377)</f>
        <v/>
      </c>
      <c r="X377" s="8" t="n">
        <v>30</v>
      </c>
      <c r="Y377" s="11">
        <f>IF(H377=0,"",X377/H377)</f>
        <v/>
      </c>
      <c r="Z377" s="8" t="n">
        <v>16</v>
      </c>
      <c r="AA377" s="11">
        <f>IF(H377=0,"",Z377/H377)</f>
        <v/>
      </c>
      <c r="AB377" s="8" t="n">
        <v>0</v>
      </c>
      <c r="AC377" s="11">
        <f>IF(H377=0,"",AB377/H377)</f>
        <v/>
      </c>
      <c r="AD377" s="8" t="n">
        <v>0</v>
      </c>
      <c r="AE377" s="11">
        <f>IF(H377=0,"",AD377/H377)</f>
        <v/>
      </c>
      <c r="AF377" s="8" t="n">
        <v>0</v>
      </c>
      <c r="AG377" s="11">
        <f>IF(H377=0,"",AF377/H377)</f>
        <v/>
      </c>
      <c r="AH377" s="8" t="n">
        <v>688856</v>
      </c>
      <c r="AI377" s="9">
        <f>IF(H377=0,"",AH377/H377)</f>
        <v/>
      </c>
      <c r="AJ377" s="8" t="n">
        <v>289.94</v>
      </c>
      <c r="AK377" s="11">
        <f>IF(H377=0,"",AJ377/H377)</f>
        <v/>
      </c>
      <c r="AL377" s="8" t="n">
        <v>110849.66146</v>
      </c>
      <c r="AM377" s="9">
        <f>IF(H377=0,"",AL377/H377)</f>
        <v/>
      </c>
      <c r="AN377" s="8" t="n">
        <v>0</v>
      </c>
      <c r="AO377" s="8" t="n">
        <v>0</v>
      </c>
      <c r="AP377" s="8" t="n">
        <v>0</v>
      </c>
      <c r="AQ377" s="8" t="n">
        <v>0</v>
      </c>
      <c r="AR377" s="8" t="n">
        <v>0</v>
      </c>
      <c r="AS377" s="8" t="n">
        <v>0</v>
      </c>
      <c r="AT377" s="8" t="n">
        <v>0</v>
      </c>
      <c r="AU377" s="9">
        <f>AH377+AL377+AP377+AQ377+AR377+AS377+AT377</f>
        <v/>
      </c>
      <c r="AV377" s="9">
        <f>IF(H377=0,"",AU377/H377)</f>
        <v/>
      </c>
      <c r="AW377" s="9">
        <f>IF(S377=0,"",AU377/S377)</f>
        <v/>
      </c>
      <c r="AX377" s="8" t="n">
        <v>1</v>
      </c>
      <c r="AY377" s="9">
        <f>IF(H377=0,"",AX377/(H377/1000/12))</f>
        <v/>
      </c>
      <c r="AZ377" s="8" t="n">
        <v>4</v>
      </c>
      <c r="BA377" s="8" t="n">
        <v>4</v>
      </c>
      <c r="BB377" s="8" t="n">
        <v>10</v>
      </c>
      <c r="BC377" s="8" t="n">
        <v>11</v>
      </c>
      <c r="BD377" s="8" t="n">
        <v>0</v>
      </c>
      <c r="BE377" s="9">
        <f>BC377+BD377</f>
        <v/>
      </c>
      <c r="BF377" s="9">
        <f>BA377+BB377-BE377</f>
        <v/>
      </c>
      <c r="BG377" s="8" t="n">
        <v>0</v>
      </c>
      <c r="BH377" s="8" t="n">
        <v>0</v>
      </c>
      <c r="BI377" s="8" t="n">
        <v>0</v>
      </c>
      <c r="BJ377" s="8" t="n">
        <v>0</v>
      </c>
      <c r="BK377" s="9">
        <f>BI377+BJ377</f>
        <v/>
      </c>
      <c r="BL377" s="9">
        <f>BG377+BH377-BK377</f>
        <v/>
      </c>
      <c r="BM377" s="8" t="n">
        <v>0</v>
      </c>
      <c r="BN377" s="8" t="n">
        <v>0</v>
      </c>
      <c r="BO377" s="8" t="n">
        <v>0</v>
      </c>
      <c r="BP377" s="8" t="n">
        <v>0</v>
      </c>
      <c r="BQ377" s="9">
        <f>BO377+BP377</f>
        <v/>
      </c>
      <c r="BR377" s="9">
        <f>BM377+BN377-BQ377</f>
        <v/>
      </c>
      <c r="BS377" s="8" t="n">
        <v>0</v>
      </c>
      <c r="BT377" s="8" t="n">
        <v>0</v>
      </c>
      <c r="BU377" s="8" t="n">
        <v>0</v>
      </c>
      <c r="BV377" s="8" t="n">
        <v>0</v>
      </c>
      <c r="BW377" s="9">
        <f>BU377+BV377</f>
        <v/>
      </c>
      <c r="BX377" s="9">
        <f>BS377+BT377-BW377</f>
        <v/>
      </c>
      <c r="BY377" s="9">
        <f>BA377+BG377+BM377+BS377</f>
        <v/>
      </c>
      <c r="BZ377" s="9">
        <f>BB377+BH377+BN377+BT377</f>
        <v/>
      </c>
      <c r="CA377" s="9">
        <f>BE377+BK377+BQ377+BW377</f>
        <v/>
      </c>
      <c r="CB377" s="9">
        <f>BF377+BL377+BR377+BX377</f>
        <v/>
      </c>
      <c r="CC377" s="8" t="n">
        <v>0</v>
      </c>
      <c r="CD377" s="8" t="n">
        <v>134</v>
      </c>
      <c r="CE377" s="8" t="n">
        <v>4</v>
      </c>
      <c r="CF377" s="8" t="n">
        <v>0</v>
      </c>
      <c r="CG377" s="8" t="n">
        <v>0</v>
      </c>
      <c r="CH377" s="9">
        <f>CD377+CE377+CF377+CG377</f>
        <v/>
      </c>
      <c r="CI377" s="8" t="n">
        <v>126</v>
      </c>
      <c r="CJ377" s="8" t="n">
        <v>3</v>
      </c>
      <c r="CK377" s="8" t="n">
        <v>1</v>
      </c>
      <c r="CL377" s="8" t="n">
        <v>0</v>
      </c>
      <c r="CM377" s="9">
        <f>CI377+CJ377+CK377+CL377</f>
        <v/>
      </c>
      <c r="CN377" s="8" t="n">
        <v>290</v>
      </c>
      <c r="CO377" s="8" t="n">
        <v>3</v>
      </c>
      <c r="CP377" s="8" t="n">
        <v>11</v>
      </c>
      <c r="CQ377" s="8" t="n">
        <v>4</v>
      </c>
      <c r="CR377" s="9">
        <f>CN377+CO377+CP377+CQ377</f>
        <v/>
      </c>
      <c r="CS377" s="9">
        <f>CM377+CR377</f>
        <v/>
      </c>
      <c r="CT377" s="8" t="n">
        <v>576</v>
      </c>
      <c r="CU377" s="8" t="n">
        <v>3604</v>
      </c>
      <c r="CV377" s="8" t="n">
        <v>3464.3</v>
      </c>
      <c r="CW377" s="10">
        <f>IF(CU377=0,"",CV377/CU377)</f>
        <v/>
      </c>
      <c r="CX377" s="8" t="n">
        <v>0</v>
      </c>
      <c r="CY377" s="8" t="n">
        <v>0</v>
      </c>
      <c r="CZ377" s="8" t="n">
        <v>0</v>
      </c>
      <c r="DA377" s="8" t="n">
        <v>0</v>
      </c>
      <c r="DB377" s="9">
        <f>CX377+CY377-CZ377-DA377</f>
        <v/>
      </c>
      <c r="DC377" s="8" t="n">
        <v>0</v>
      </c>
      <c r="DD377" s="8" t="n">
        <v>0</v>
      </c>
      <c r="DE377" s="8" t="n">
        <v>0</v>
      </c>
      <c r="DF377" s="8" t="n">
        <v>0</v>
      </c>
      <c r="DG377" s="9">
        <f>DC377+DD377-DE377-DF377</f>
        <v/>
      </c>
      <c r="DH377" s="8" t="n">
        <v>0</v>
      </c>
      <c r="DI377" s="8" t="n">
        <v>0</v>
      </c>
      <c r="DJ377" s="8" t="n">
        <v>0</v>
      </c>
      <c r="DK377" s="8" t="n">
        <v>0</v>
      </c>
      <c r="DL377" s="9">
        <f>DH377+DI377-DJ377-DK377</f>
        <v/>
      </c>
      <c r="DM377" s="8" t="n">
        <v>0</v>
      </c>
      <c r="DN377" s="8" t="n">
        <v>0</v>
      </c>
      <c r="DO377" s="8" t="n">
        <v>0</v>
      </c>
      <c r="DP377" s="8" t="n">
        <v>0</v>
      </c>
      <c r="DQ377" s="9">
        <f>DM377+DN377-DO377-DP377</f>
        <v/>
      </c>
      <c r="DR377" s="9">
        <f>CX377+DC377+DH377+DM377</f>
        <v/>
      </c>
      <c r="DS377" s="9">
        <f>CY377+DD377+DI377+DN377</f>
        <v/>
      </c>
      <c r="DT377" s="9">
        <f>CZ377+DE377+DJ377+DO377</f>
        <v/>
      </c>
      <c r="DU377" s="9">
        <f>DA377+DF377+DK377+DP377</f>
        <v/>
      </c>
      <c r="DV377" s="9">
        <f>DB377+DG377+DL377+DQ377</f>
        <v/>
      </c>
      <c r="DW377" s="8" t="n">
        <v>2</v>
      </c>
      <c r="DX377" s="8" t="n">
        <v>0</v>
      </c>
      <c r="DY377" s="8" t="n">
        <v>0</v>
      </c>
      <c r="DZ377" s="8" t="n">
        <v>0</v>
      </c>
      <c r="EA377" s="8" t="n">
        <v>0</v>
      </c>
      <c r="EB377" s="8" t="n">
        <v>2</v>
      </c>
      <c r="EC377" s="8" t="n">
        <v>0</v>
      </c>
      <c r="ED377" s="8" t="n">
        <v>0</v>
      </c>
      <c r="EE377" s="8" t="n">
        <v>1</v>
      </c>
      <c r="EF377" s="8" t="n">
        <v>1</v>
      </c>
      <c r="EG377" s="8" t="n">
        <v>0</v>
      </c>
      <c r="EH377" s="8" t="n">
        <v>0</v>
      </c>
      <c r="EI377" s="8" t="n">
        <v>0</v>
      </c>
      <c r="EJ377" s="8" t="n">
        <v>0</v>
      </c>
      <c r="EK377" s="8" t="n">
        <v>0</v>
      </c>
      <c r="EL377" s="8" t="n">
        <v>0</v>
      </c>
      <c r="EM377" s="8" t="n">
        <v>0</v>
      </c>
      <c r="EN377" s="8" t="n">
        <v>0</v>
      </c>
      <c r="EO377" s="8" t="n">
        <v>0</v>
      </c>
      <c r="EP377" s="8" t="n">
        <v>0</v>
      </c>
      <c r="EQ377" s="8" t="n">
        <v>0</v>
      </c>
      <c r="ER377" s="8" t="n">
        <v>0</v>
      </c>
      <c r="ES377" s="8" t="n">
        <v>0</v>
      </c>
      <c r="ET377" s="8" t="n">
        <v>0</v>
      </c>
      <c r="EU377" s="8" t="n">
        <v>0</v>
      </c>
      <c r="EV377" s="8" t="n">
        <v>0</v>
      </c>
      <c r="EW377" s="8" t="n">
        <v>0</v>
      </c>
      <c r="EX377" s="8" t="n">
        <v>0</v>
      </c>
      <c r="EY377" s="8" t="n">
        <v>0</v>
      </c>
      <c r="EZ377" s="8" t="n">
        <v>0</v>
      </c>
      <c r="FA377" s="8" t="n">
        <v>0</v>
      </c>
      <c r="FB377" s="8" t="n">
        <v>0</v>
      </c>
      <c r="FC377" s="8" t="n">
        <v>0</v>
      </c>
      <c r="FD377" s="8" t="n">
        <v>0</v>
      </c>
      <c r="FE377" s="8" t="n">
        <v>0</v>
      </c>
      <c r="FF377" s="8" t="n">
        <v>0</v>
      </c>
      <c r="FG377" s="9">
        <f>SUM(DW377,DX377,DY377,DZ377,EA377,EB377,EC377,ED377,EE377,EF377,EG377,EH377,EI377,EJ377,EK377,EL377,EM377,EN377,EO377,EP377,EQ377,ER377,ES377,ET377,EU377,EV377,EW377,EX377,EY377,EZ377,FA377,FB377,FC377,FD377,FE377,FF377)</f>
        <v/>
      </c>
      <c r="FH377" s="8" t="n">
        <v>0</v>
      </c>
      <c r="FI377" s="8" t="n">
        <v>0</v>
      </c>
      <c r="FJ377" s="8" t="n">
        <v>14</v>
      </c>
      <c r="FK377" s="8" t="n">
        <v>0</v>
      </c>
      <c r="FL377" s="8" t="n">
        <v>0</v>
      </c>
      <c r="FM377" s="8" t="n">
        <v>0</v>
      </c>
      <c r="FN377" s="8" t="n">
        <v>0</v>
      </c>
      <c r="FO377" s="8" t="n">
        <v>0</v>
      </c>
      <c r="FP377" s="8" t="n">
        <v>0</v>
      </c>
      <c r="FQ377" s="9">
        <f>FL377+FM377+FN377+FO377+FP377</f>
        <v/>
      </c>
      <c r="FR377" s="8" t="n">
        <v>1293244.49</v>
      </c>
      <c r="FS377" s="8" t="n">
        <v>0</v>
      </c>
      <c r="FT377" s="8" t="n">
        <v>0</v>
      </c>
      <c r="FU377" s="8" t="n">
        <v>12700</v>
      </c>
      <c r="FV377" s="9">
        <f>FR377+FS377+FT377+FU377</f>
        <v/>
      </c>
      <c r="FW377" s="8" t="n">
        <v>2391084.32</v>
      </c>
      <c r="FX377" s="8" t="n">
        <v>11900</v>
      </c>
      <c r="FY377" s="8" t="n">
        <v>108400</v>
      </c>
      <c r="FZ377" s="8" t="n">
        <v>14400</v>
      </c>
      <c r="GA377" s="9">
        <f>FW377+FX377+FY377+FZ377</f>
        <v/>
      </c>
      <c r="GB377" s="9">
        <f>FV377+GA377</f>
        <v/>
      </c>
      <c r="GC377" s="8" t="n">
        <v>575221.08</v>
      </c>
      <c r="GD377" s="8" t="n">
        <v>0</v>
      </c>
      <c r="GE377" s="8" t="n">
        <v>173869.16</v>
      </c>
      <c r="GF377" s="8" t="n">
        <v>8410.99</v>
      </c>
      <c r="GG377" s="9">
        <f>GC377+GD377+GE377+GF377</f>
        <v/>
      </c>
      <c r="GH377" s="8" t="n">
        <v>1925831.51</v>
      </c>
      <c r="GI377" s="8" t="n">
        <v>11900</v>
      </c>
      <c r="GJ377" s="8" t="n">
        <v>14400</v>
      </c>
      <c r="GK377" s="8" t="n">
        <v>92275.8</v>
      </c>
      <c r="GL377" s="9">
        <f>GH377+GI377+GJ377+GK377</f>
        <v/>
      </c>
      <c r="GM377" s="9">
        <f>GG377+GL377</f>
        <v/>
      </c>
      <c r="GN377" s="8" t="n">
        <v>68661.17999999999</v>
      </c>
      <c r="GO377" s="8" t="n">
        <v>0</v>
      </c>
      <c r="GP377" s="8" t="n">
        <v>10180.92</v>
      </c>
      <c r="GQ377" s="8" t="n">
        <v>4637.34</v>
      </c>
      <c r="GR377" s="9">
        <f>GN377+GO377+GP377+GQ377</f>
        <v/>
      </c>
      <c r="GS377" s="8" t="n">
        <v>112518</v>
      </c>
      <c r="GT377" s="8" t="n">
        <v>0</v>
      </c>
      <c r="GU377" s="8" t="n">
        <v>2679</v>
      </c>
      <c r="GV377" s="8" t="n">
        <v>893</v>
      </c>
      <c r="GW377" s="9">
        <f>GS377+GT377+GU377+GV377</f>
        <v/>
      </c>
      <c r="GX377" s="9">
        <f>GM377+GR377+GW377</f>
        <v/>
      </c>
      <c r="GY377" s="8" t="n">
        <v>15530825.76</v>
      </c>
      <c r="GZ377" s="8" t="n">
        <v>0</v>
      </c>
      <c r="HA377" s="9">
        <f>GY377+GZ377</f>
        <v/>
      </c>
      <c r="HB377" s="9">
        <f>IF(GX377=0,"",AU377/GX377)</f>
        <v/>
      </c>
      <c r="HC377" s="10">
        <f>IF((GX377+GY377)=0,"",GB377/(GX377+GY377))</f>
        <v/>
      </c>
      <c r="HD377" s="9">
        <f>IF(GX377=0,"",GB377/GX377)</f>
        <v/>
      </c>
      <c r="HE377" s="8" t="n">
        <v>11</v>
      </c>
      <c r="HF377" s="8" t="n">
        <v>1</v>
      </c>
      <c r="HG377" s="8" t="n">
        <v>3</v>
      </c>
      <c r="HH377" s="8" t="n">
        <v>10</v>
      </c>
      <c r="HI377" s="8" t="n">
        <v>7</v>
      </c>
      <c r="HJ377" s="9">
        <f>HF377+HI377</f>
        <v/>
      </c>
      <c r="HK377" s="10">
        <f>IF(HE377=0,"",HH377/HE377)</f>
        <v/>
      </c>
      <c r="HL377" s="8" t="n">
        <v>10</v>
      </c>
      <c r="HM377" s="8" t="n">
        <v>1</v>
      </c>
      <c r="HN377" s="11">
        <f>IF(HL377=0,"",HM377/HL377)</f>
        <v/>
      </c>
    </row>
    <row r="378">
      <c r="A378" s="12" t="inlineStr">
        <is>
          <t>Zomba</t>
        </is>
      </c>
      <c r="B378" s="12" t="inlineStr">
        <is>
          <t>Thondwe</t>
        </is>
      </c>
      <c r="C378" s="13" t="inlineStr">
        <is>
          <t>FY2025/26</t>
        </is>
      </c>
      <c r="D378" s="13" t="n">
        <v>2025</v>
      </c>
      <c r="E378" s="13" t="n">
        <v>7</v>
      </c>
      <c r="F378" s="13" t="inlineStr">
        <is>
          <t>July</t>
        </is>
      </c>
      <c r="G378" s="13" t="inlineStr">
        <is>
          <t>Q2</t>
        </is>
      </c>
      <c r="H378" s="14" t="n">
        <v>9240</v>
      </c>
      <c r="I378" s="14" t="n">
        <v>605</v>
      </c>
      <c r="J378" s="14" t="n">
        <v>0</v>
      </c>
      <c r="K378" s="14" t="n">
        <v>64</v>
      </c>
      <c r="L378" s="14" t="n">
        <v>4</v>
      </c>
      <c r="M378" s="15">
        <f>SUM(I378,J378,K378,L378)</f>
        <v/>
      </c>
      <c r="N378" s="14" t="n">
        <v>1719.79999999999</v>
      </c>
      <c r="O378" s="14" t="n">
        <v>0</v>
      </c>
      <c r="P378" s="14" t="n">
        <v>31.5</v>
      </c>
      <c r="Q378" s="14" t="n">
        <v>11</v>
      </c>
      <c r="R378" s="15">
        <f>SUM(N378,O378,P378,Q378)</f>
        <v/>
      </c>
      <c r="S378" s="15">
        <f>M378+R378</f>
        <v/>
      </c>
      <c r="T378" s="14" t="n">
        <v>6804.70000000001</v>
      </c>
      <c r="U378" s="16">
        <f>IF(H378=0,"",T378/H378)</f>
        <v/>
      </c>
      <c r="V378" s="14" t="n">
        <v>18</v>
      </c>
      <c r="W378" s="17">
        <f>IF(H378=0,"",V378/H378)</f>
        <v/>
      </c>
      <c r="X378" s="14" t="n">
        <v>57</v>
      </c>
      <c r="Y378" s="17">
        <f>IF(H378=0,"",X378/H378)</f>
        <v/>
      </c>
      <c r="Z378" s="14" t="n">
        <v>35</v>
      </c>
      <c r="AA378" s="17">
        <f>IF(H378=0,"",Z378/H378)</f>
        <v/>
      </c>
      <c r="AB378" s="14" t="n">
        <v>0</v>
      </c>
      <c r="AC378" s="17">
        <f>IF(H378=0,"",AB378/H378)</f>
        <v/>
      </c>
      <c r="AD378" s="14" t="n">
        <v>0</v>
      </c>
      <c r="AE378" s="17">
        <f>IF(H378=0,"",AD378/H378)</f>
        <v/>
      </c>
      <c r="AF378" s="14" t="n">
        <v>0</v>
      </c>
      <c r="AG378" s="17">
        <f>IF(H378=0,"",AF378/H378)</f>
        <v/>
      </c>
      <c r="AH378" s="14" t="n">
        <v>1387960</v>
      </c>
      <c r="AI378" s="15">
        <f>IF(H378=0,"",AH378/H378)</f>
        <v/>
      </c>
      <c r="AJ378" s="14" t="n">
        <v>635.96</v>
      </c>
      <c r="AK378" s="17">
        <f>IF(H378=0,"",AJ378/H378)</f>
        <v/>
      </c>
      <c r="AL378" s="14" t="n">
        <v>205420.04164</v>
      </c>
      <c r="AM378" s="15">
        <f>IF(H378=0,"",AL378/H378)</f>
        <v/>
      </c>
      <c r="AN378" s="14" t="n">
        <v>0</v>
      </c>
      <c r="AO378" s="14" t="n">
        <v>0</v>
      </c>
      <c r="AP378" s="14" t="n">
        <v>0</v>
      </c>
      <c r="AQ378" s="14" t="n">
        <v>0</v>
      </c>
      <c r="AR378" s="14" t="n">
        <v>0</v>
      </c>
      <c r="AS378" s="14" t="n">
        <v>0</v>
      </c>
      <c r="AT378" s="14" t="n">
        <v>0</v>
      </c>
      <c r="AU378" s="15">
        <f>AH378+AL378+AP378+AQ378+AR378+AS378+AT378</f>
        <v/>
      </c>
      <c r="AV378" s="15">
        <f>IF(H378=0,"",AU378/H378)</f>
        <v/>
      </c>
      <c r="AW378" s="15">
        <f>IF(S378=0,"",AU378/S378)</f>
        <v/>
      </c>
      <c r="AX378" s="14" t="n">
        <v>1</v>
      </c>
      <c r="AY378" s="15">
        <f>IF(H378=0,"",AX378/(H378/1000/12))</f>
        <v/>
      </c>
      <c r="AZ378" s="14" t="n">
        <v>4</v>
      </c>
      <c r="BA378" s="14" t="n">
        <v>3</v>
      </c>
      <c r="BB378" s="14" t="n">
        <v>4</v>
      </c>
      <c r="BC378" s="14" t="n">
        <v>7</v>
      </c>
      <c r="BD378" s="14" t="n">
        <v>0</v>
      </c>
      <c r="BE378" s="15">
        <f>BC378+BD378</f>
        <v/>
      </c>
      <c r="BF378" s="15">
        <f>BA378+BB378-BE378</f>
        <v/>
      </c>
      <c r="BG378" s="14" t="n">
        <v>0</v>
      </c>
      <c r="BH378" s="14" t="n">
        <v>0</v>
      </c>
      <c r="BI378" s="14" t="n">
        <v>0</v>
      </c>
      <c r="BJ378" s="14" t="n">
        <v>0</v>
      </c>
      <c r="BK378" s="15">
        <f>BI378+BJ378</f>
        <v/>
      </c>
      <c r="BL378" s="15">
        <f>BG378+BH378-BK378</f>
        <v/>
      </c>
      <c r="BM378" s="14" t="n">
        <v>0</v>
      </c>
      <c r="BN378" s="14" t="n">
        <v>0</v>
      </c>
      <c r="BO378" s="14" t="n">
        <v>0</v>
      </c>
      <c r="BP378" s="14" t="n">
        <v>0</v>
      </c>
      <c r="BQ378" s="15">
        <f>BO378+BP378</f>
        <v/>
      </c>
      <c r="BR378" s="15">
        <f>BM378+BN378-BQ378</f>
        <v/>
      </c>
      <c r="BS378" s="14" t="n">
        <v>0</v>
      </c>
      <c r="BT378" s="14" t="n">
        <v>0</v>
      </c>
      <c r="BU378" s="14" t="n">
        <v>0</v>
      </c>
      <c r="BV378" s="14" t="n">
        <v>0</v>
      </c>
      <c r="BW378" s="15">
        <f>BU378+BV378</f>
        <v/>
      </c>
      <c r="BX378" s="15">
        <f>BS378+BT378-BW378</f>
        <v/>
      </c>
      <c r="BY378" s="15">
        <f>BA378+BG378+BM378+BS378</f>
        <v/>
      </c>
      <c r="BZ378" s="15">
        <f>BB378+BH378+BN378+BT378</f>
        <v/>
      </c>
      <c r="CA378" s="15">
        <f>BE378+BK378+BQ378+BW378</f>
        <v/>
      </c>
      <c r="CB378" s="15">
        <f>BF378+BL378+BR378+BX378</f>
        <v/>
      </c>
      <c r="CC378" s="14" t="n">
        <v>0</v>
      </c>
      <c r="CD378" s="14" t="n">
        <v>24</v>
      </c>
      <c r="CE378" s="14" t="n">
        <v>0</v>
      </c>
      <c r="CF378" s="14" t="n">
        <v>0</v>
      </c>
      <c r="CG378" s="14" t="n">
        <v>0</v>
      </c>
      <c r="CH378" s="15">
        <f>CD378+CE378+CF378+CG378</f>
        <v/>
      </c>
      <c r="CI378" s="14" t="n">
        <v>95</v>
      </c>
      <c r="CJ378" s="14" t="n">
        <v>3</v>
      </c>
      <c r="CK378" s="14" t="n">
        <v>1</v>
      </c>
      <c r="CL378" s="14" t="n">
        <v>0</v>
      </c>
      <c r="CM378" s="15">
        <f>CI378+CJ378+CK378+CL378</f>
        <v/>
      </c>
      <c r="CN378" s="14" t="n">
        <v>438</v>
      </c>
      <c r="CO378" s="14" t="n">
        <v>7</v>
      </c>
      <c r="CP378" s="14" t="n">
        <v>11</v>
      </c>
      <c r="CQ378" s="14" t="n">
        <v>4</v>
      </c>
      <c r="CR378" s="15">
        <f>CN378+CO378+CP378+CQ378</f>
        <v/>
      </c>
      <c r="CS378" s="15">
        <f>CM378+CR378</f>
        <v/>
      </c>
      <c r="CT378" s="14" t="n">
        <v>583</v>
      </c>
      <c r="CU378" s="14" t="n">
        <v>3611</v>
      </c>
      <c r="CV378" s="14" t="n">
        <v>3494.1</v>
      </c>
      <c r="CW378" s="16">
        <f>IF(CU378=0,"",CV378/CU378)</f>
        <v/>
      </c>
      <c r="CX378" s="14" t="n">
        <v>0</v>
      </c>
      <c r="CY378" s="14" t="n">
        <v>0</v>
      </c>
      <c r="CZ378" s="14" t="n">
        <v>0</v>
      </c>
      <c r="DA378" s="14" t="n">
        <v>0</v>
      </c>
      <c r="DB378" s="15">
        <f>CX378+CY378-CZ378-DA378</f>
        <v/>
      </c>
      <c r="DC378" s="14" t="n">
        <v>0</v>
      </c>
      <c r="DD378" s="14" t="n">
        <v>0</v>
      </c>
      <c r="DE378" s="14" t="n">
        <v>0</v>
      </c>
      <c r="DF378" s="14" t="n">
        <v>0</v>
      </c>
      <c r="DG378" s="15">
        <f>DC378+DD378-DE378-DF378</f>
        <v/>
      </c>
      <c r="DH378" s="14" t="n">
        <v>0</v>
      </c>
      <c r="DI378" s="14" t="n">
        <v>0</v>
      </c>
      <c r="DJ378" s="14" t="n">
        <v>0</v>
      </c>
      <c r="DK378" s="14" t="n">
        <v>0</v>
      </c>
      <c r="DL378" s="15">
        <f>DH378+DI378-DJ378-DK378</f>
        <v/>
      </c>
      <c r="DM378" s="14" t="n">
        <v>0</v>
      </c>
      <c r="DN378" s="14" t="n">
        <v>0</v>
      </c>
      <c r="DO378" s="14" t="n">
        <v>0</v>
      </c>
      <c r="DP378" s="14" t="n">
        <v>0</v>
      </c>
      <c r="DQ378" s="15">
        <f>DM378+DN378-DO378-DP378</f>
        <v/>
      </c>
      <c r="DR378" s="15">
        <f>CX378+DC378+DH378+DM378</f>
        <v/>
      </c>
      <c r="DS378" s="15">
        <f>CY378+DD378+DI378+DN378</f>
        <v/>
      </c>
      <c r="DT378" s="15">
        <f>CZ378+DE378+DJ378+DO378</f>
        <v/>
      </c>
      <c r="DU378" s="15">
        <f>DA378+DF378+DK378+DP378</f>
        <v/>
      </c>
      <c r="DV378" s="15">
        <f>DB378+DG378+DL378+DQ378</f>
        <v/>
      </c>
      <c r="DW378" s="14" t="n">
        <v>2</v>
      </c>
      <c r="DX378" s="14" t="n">
        <v>0</v>
      </c>
      <c r="DY378" s="14" t="n">
        <v>0</v>
      </c>
      <c r="DZ378" s="14" t="n">
        <v>1</v>
      </c>
      <c r="EA378" s="14" t="n">
        <v>0</v>
      </c>
      <c r="EB378" s="14" t="n">
        <v>0</v>
      </c>
      <c r="EC378" s="14" t="n">
        <v>0</v>
      </c>
      <c r="ED378" s="14" t="n">
        <v>0</v>
      </c>
      <c r="EE378" s="14" t="n">
        <v>0</v>
      </c>
      <c r="EF378" s="14" t="n">
        <v>2</v>
      </c>
      <c r="EG378" s="14" t="n">
        <v>0</v>
      </c>
      <c r="EH378" s="14" t="n">
        <v>0</v>
      </c>
      <c r="EI378" s="14" t="n">
        <v>0</v>
      </c>
      <c r="EJ378" s="14" t="n">
        <v>0</v>
      </c>
      <c r="EK378" s="14" t="n">
        <v>0</v>
      </c>
      <c r="EL378" s="14" t="n">
        <v>0</v>
      </c>
      <c r="EM378" s="14" t="n">
        <v>0</v>
      </c>
      <c r="EN378" s="14" t="n">
        <v>0</v>
      </c>
      <c r="EO378" s="14" t="n">
        <v>0</v>
      </c>
      <c r="EP378" s="14" t="n">
        <v>0</v>
      </c>
      <c r="EQ378" s="14" t="n">
        <v>0</v>
      </c>
      <c r="ER378" s="14" t="n">
        <v>0</v>
      </c>
      <c r="ES378" s="14" t="n">
        <v>0</v>
      </c>
      <c r="ET378" s="14" t="n">
        <v>0</v>
      </c>
      <c r="EU378" s="14" t="n">
        <v>0</v>
      </c>
      <c r="EV378" s="14" t="n">
        <v>0</v>
      </c>
      <c r="EW378" s="14" t="n">
        <v>0</v>
      </c>
      <c r="EX378" s="14" t="n">
        <v>0</v>
      </c>
      <c r="EY378" s="14" t="n">
        <v>0</v>
      </c>
      <c r="EZ378" s="14" t="n">
        <v>0</v>
      </c>
      <c r="FA378" s="14" t="n">
        <v>0</v>
      </c>
      <c r="FB378" s="14" t="n">
        <v>0</v>
      </c>
      <c r="FC378" s="14" t="n">
        <v>0</v>
      </c>
      <c r="FD378" s="14" t="n">
        <v>0</v>
      </c>
      <c r="FE378" s="14" t="n">
        <v>0</v>
      </c>
      <c r="FF378" s="14" t="n">
        <v>0</v>
      </c>
      <c r="FG378" s="15">
        <f>SUM(DW378,DX378,DY378,DZ378,EA378,EB378,EC378,ED378,EE378,EF378,EG378,EH378,EI378,EJ378,EK378,EL378,EM378,EN378,EO378,EP378,EQ378,ER378,ES378,ET378,EU378,EV378,EW378,EX378,EY378,EZ378,FA378,FB378,FC378,FD378,FE378,FF378)</f>
        <v/>
      </c>
      <c r="FH378" s="14" t="n">
        <v>0</v>
      </c>
      <c r="FI378" s="14" t="n">
        <v>0</v>
      </c>
      <c r="FJ378" s="14" t="n">
        <v>12</v>
      </c>
      <c r="FK378" s="14" t="n">
        <v>0</v>
      </c>
      <c r="FL378" s="14" t="n">
        <v>0</v>
      </c>
      <c r="FM378" s="14" t="n">
        <v>0</v>
      </c>
      <c r="FN378" s="14" t="n">
        <v>0</v>
      </c>
      <c r="FO378" s="14" t="n">
        <v>0</v>
      </c>
      <c r="FP378" s="14" t="n">
        <v>0</v>
      </c>
      <c r="FQ378" s="15">
        <f>FL378+FM378+FN378+FO378+FP378</f>
        <v/>
      </c>
      <c r="FR378" s="14" t="n">
        <v>681285.4399999999</v>
      </c>
      <c r="FS378" s="14" t="n">
        <v>0</v>
      </c>
      <c r="FT378" s="14" t="n">
        <v>0</v>
      </c>
      <c r="FU378" s="14" t="n">
        <v>12700</v>
      </c>
      <c r="FV378" s="15">
        <f>FR378+FS378+FT378+FU378</f>
        <v/>
      </c>
      <c r="FW378" s="14" t="n">
        <v>2255220</v>
      </c>
      <c r="FX378" s="14" t="n">
        <v>0</v>
      </c>
      <c r="FY378" s="14" t="n">
        <v>62900</v>
      </c>
      <c r="FZ378" s="14" t="n">
        <v>96100</v>
      </c>
      <c r="GA378" s="15">
        <f>FW378+FX378+FY378+FZ378</f>
        <v/>
      </c>
      <c r="GB378" s="15">
        <f>FV378+GA378</f>
        <v/>
      </c>
      <c r="GC378" s="14" t="n">
        <v>519767.62</v>
      </c>
      <c r="GD378" s="14" t="n">
        <v>0</v>
      </c>
      <c r="GE378" s="14" t="n">
        <v>198085.45</v>
      </c>
      <c r="GF378" s="14" t="n">
        <v>8410.99</v>
      </c>
      <c r="GG378" s="15">
        <f>GC378+GD378+GE378+GF378</f>
        <v/>
      </c>
      <c r="GH378" s="14" t="n">
        <v>2146032.52</v>
      </c>
      <c r="GI378" s="14" t="n">
        <v>0</v>
      </c>
      <c r="GJ378" s="14" t="n">
        <v>96100</v>
      </c>
      <c r="GK378" s="14" t="n">
        <v>51380</v>
      </c>
      <c r="GL378" s="15">
        <f>GH378+GI378+GJ378+GK378</f>
        <v/>
      </c>
      <c r="GM378" s="15">
        <f>GG378+GL378</f>
        <v/>
      </c>
      <c r="GN378" s="14" t="n">
        <v>51768.35</v>
      </c>
      <c r="GO378" s="14" t="n">
        <v>0</v>
      </c>
      <c r="GP378" s="14" t="n">
        <v>10180.92</v>
      </c>
      <c r="GQ378" s="14" t="n">
        <v>4637.34</v>
      </c>
      <c r="GR378" s="15">
        <f>GN378+GO378+GP378+GQ378</f>
        <v/>
      </c>
      <c r="GS378" s="14" t="n">
        <v>84835</v>
      </c>
      <c r="GT378" s="14" t="n">
        <v>0</v>
      </c>
      <c r="GU378" s="14" t="n">
        <v>2679</v>
      </c>
      <c r="GV378" s="14" t="n">
        <v>893</v>
      </c>
      <c r="GW378" s="15">
        <f>GS378+GT378+GU378+GV378</f>
        <v/>
      </c>
      <c r="GX378" s="15">
        <f>GM378+GR378+GW378</f>
        <v/>
      </c>
      <c r="GY378" s="14" t="n">
        <v>15691459.03</v>
      </c>
      <c r="GZ378" s="14" t="n">
        <v>0</v>
      </c>
      <c r="HA378" s="9">
        <f>GY378+GZ378</f>
        <v/>
      </c>
      <c r="HB378" s="15">
        <f>IF(GX378=0,"",AU378/GX378)</f>
        <v/>
      </c>
      <c r="HC378" s="16">
        <f>IF((GX378+GY378)=0,"",GB378/(GX378+GY378))</f>
        <v/>
      </c>
      <c r="HD378" s="15">
        <f>IF(GX378=0,"",GB378/GX378)</f>
        <v/>
      </c>
      <c r="HE378" s="14" t="n">
        <v>4</v>
      </c>
      <c r="HF378" s="14" t="n">
        <v>1</v>
      </c>
      <c r="HG378" s="14" t="n">
        <v>0</v>
      </c>
      <c r="HH378" s="14" t="n">
        <v>4</v>
      </c>
      <c r="HI378" s="14" t="n">
        <v>11</v>
      </c>
      <c r="HJ378" s="15">
        <f>HF378+HI378</f>
        <v/>
      </c>
      <c r="HK378" s="16">
        <f>IF(HE378=0,"",HH378/HE378)</f>
        <v/>
      </c>
      <c r="HL378" s="14" t="n">
        <v>87</v>
      </c>
      <c r="HM378" s="14" t="n">
        <v>31</v>
      </c>
      <c r="HN378" s="17">
        <f>IF(HL378=0,"",HM378/HL378)</f>
        <v/>
      </c>
    </row>
    <row r="379">
      <c r="A379" s="6" t="inlineStr">
        <is>
          <t>Zomba</t>
        </is>
      </c>
      <c r="B379" s="6" t="inlineStr">
        <is>
          <t>Thondwe</t>
        </is>
      </c>
      <c r="C379" s="7" t="inlineStr">
        <is>
          <t>FY2025/26</t>
        </is>
      </c>
      <c r="D379" s="7" t="n">
        <v>2025</v>
      </c>
      <c r="E379" s="7" t="n">
        <v>8</v>
      </c>
      <c r="F379" s="7" t="inlineStr">
        <is>
          <t>August</t>
        </is>
      </c>
      <c r="G379" s="7" t="inlineStr">
        <is>
          <t>Q2</t>
        </is>
      </c>
      <c r="H379" s="8" t="n">
        <v>4000</v>
      </c>
      <c r="I379" s="8" t="n">
        <v>564</v>
      </c>
      <c r="J379" s="8" t="n">
        <v>0</v>
      </c>
      <c r="K379" s="8" t="n">
        <v>19</v>
      </c>
      <c r="L379" s="8" t="n">
        <v>4</v>
      </c>
      <c r="M379" s="9">
        <f>SUM(I379,J379,K379,L379)</f>
        <v/>
      </c>
      <c r="N379" s="8" t="n">
        <v>1430.8</v>
      </c>
      <c r="O379" s="8" t="n">
        <v>33.1</v>
      </c>
      <c r="P379" s="8" t="n">
        <v>164.5</v>
      </c>
      <c r="Q379" s="8" t="n">
        <v>7.3</v>
      </c>
      <c r="R379" s="9">
        <f>SUM(N379,O379,P379,Q379)</f>
        <v/>
      </c>
      <c r="S379" s="9">
        <f>M379+R379</f>
        <v/>
      </c>
      <c r="T379" s="8" t="n">
        <v>1777.3</v>
      </c>
      <c r="U379" s="10">
        <f>IF(H379=0,"",T379/H379)</f>
        <v/>
      </c>
      <c r="V379" s="8" t="n">
        <v>9</v>
      </c>
      <c r="W379" s="11">
        <f>IF(H379=0,"",V379/H379)</f>
        <v/>
      </c>
      <c r="X379" s="8" t="n">
        <v>16</v>
      </c>
      <c r="Y379" s="11">
        <f>IF(H379=0,"",X379/H379)</f>
        <v/>
      </c>
      <c r="Z379" s="8" t="n">
        <v>12</v>
      </c>
      <c r="AA379" s="11">
        <f>IF(H379=0,"",Z379/H379)</f>
        <v/>
      </c>
      <c r="AB379" s="8" t="n">
        <v>0</v>
      </c>
      <c r="AC379" s="11">
        <f>IF(H379=0,"",AB379/H379)</f>
        <v/>
      </c>
      <c r="AD379" s="8" t="n">
        <v>0</v>
      </c>
      <c r="AE379" s="11">
        <f>IF(H379=0,"",AD379/H379)</f>
        <v/>
      </c>
      <c r="AF379" s="8" t="n">
        <v>0</v>
      </c>
      <c r="AG379" s="11">
        <f>IF(H379=0,"",AF379/H379)</f>
        <v/>
      </c>
      <c r="AH379" s="8" t="n">
        <v>518592</v>
      </c>
      <c r="AI379" s="9">
        <f>IF(H379=0,"",AH379/H379)</f>
        <v/>
      </c>
      <c r="AJ379" s="8" t="n">
        <v>215.68</v>
      </c>
      <c r="AK379" s="11">
        <f>IF(H379=0,"",AJ379/H379)</f>
        <v/>
      </c>
      <c r="AL379" s="8" t="n">
        <v>90553.73512</v>
      </c>
      <c r="AM379" s="9">
        <f>IF(H379=0,"",AL379/H379)</f>
        <v/>
      </c>
      <c r="AN379" s="8" t="n">
        <v>0</v>
      </c>
      <c r="AO379" s="8" t="n">
        <v>0</v>
      </c>
      <c r="AP379" s="8" t="n">
        <v>0</v>
      </c>
      <c r="AQ379" s="8" t="n">
        <v>0</v>
      </c>
      <c r="AR379" s="8" t="n">
        <v>0</v>
      </c>
      <c r="AS379" s="8" t="n">
        <v>0</v>
      </c>
      <c r="AT379" s="8" t="n">
        <v>0</v>
      </c>
      <c r="AU379" s="9">
        <f>AH379+AL379+AP379+AQ379+AR379+AS379+AT379</f>
        <v/>
      </c>
      <c r="AV379" s="9">
        <f>IF(H379=0,"",AU379/H379)</f>
        <v/>
      </c>
      <c r="AW379" s="9">
        <f>IF(S379=0,"",AU379/S379)</f>
        <v/>
      </c>
      <c r="AX379" s="8" t="n">
        <v>1</v>
      </c>
      <c r="AY379" s="9">
        <f>IF(H379=0,"",AX379/(H379/1000/12))</f>
        <v/>
      </c>
      <c r="AZ379" s="8" t="n">
        <v>4</v>
      </c>
      <c r="BA379" s="8" t="n">
        <v>0</v>
      </c>
      <c r="BB379" s="8" t="n">
        <v>6</v>
      </c>
      <c r="BC379" s="8" t="n">
        <v>6</v>
      </c>
      <c r="BD379" s="8" t="n">
        <v>0</v>
      </c>
      <c r="BE379" s="9">
        <f>BC379+BD379</f>
        <v/>
      </c>
      <c r="BF379" s="9">
        <f>BA379+BB379-BE379</f>
        <v/>
      </c>
      <c r="BG379" s="8" t="n">
        <v>0</v>
      </c>
      <c r="BH379" s="8" t="n">
        <v>0</v>
      </c>
      <c r="BI379" s="8" t="n">
        <v>0</v>
      </c>
      <c r="BJ379" s="8" t="n">
        <v>0</v>
      </c>
      <c r="BK379" s="9">
        <f>BI379+BJ379</f>
        <v/>
      </c>
      <c r="BL379" s="9">
        <f>BG379+BH379-BK379</f>
        <v/>
      </c>
      <c r="BM379" s="8" t="n">
        <v>0</v>
      </c>
      <c r="BN379" s="8" t="n">
        <v>0</v>
      </c>
      <c r="BO379" s="8" t="n">
        <v>0</v>
      </c>
      <c r="BP379" s="8" t="n">
        <v>0</v>
      </c>
      <c r="BQ379" s="9">
        <f>BO379+BP379</f>
        <v/>
      </c>
      <c r="BR379" s="9">
        <f>BM379+BN379-BQ379</f>
        <v/>
      </c>
      <c r="BS379" s="8" t="n">
        <v>0</v>
      </c>
      <c r="BT379" s="8" t="n">
        <v>0</v>
      </c>
      <c r="BU379" s="8" t="n">
        <v>0</v>
      </c>
      <c r="BV379" s="8" t="n">
        <v>0</v>
      </c>
      <c r="BW379" s="9">
        <f>BU379+BV379</f>
        <v/>
      </c>
      <c r="BX379" s="9">
        <f>BS379+BT379-BW379</f>
        <v/>
      </c>
      <c r="BY379" s="9">
        <f>BA379+BG379+BM379+BS379</f>
        <v/>
      </c>
      <c r="BZ379" s="9">
        <f>BB379+BH379+BN379+BT379</f>
        <v/>
      </c>
      <c r="CA379" s="9">
        <f>BE379+BK379+BQ379+BW379</f>
        <v/>
      </c>
      <c r="CB379" s="9">
        <f>BF379+BL379+BR379+BX379</f>
        <v/>
      </c>
      <c r="CC379" s="8" t="n">
        <v>0</v>
      </c>
      <c r="CD379" s="8" t="n">
        <v>23</v>
      </c>
      <c r="CE379" s="8" t="n">
        <v>0</v>
      </c>
      <c r="CF379" s="8" t="n">
        <v>0</v>
      </c>
      <c r="CG379" s="8" t="n">
        <v>0</v>
      </c>
      <c r="CH379" s="9">
        <f>CD379+CE379+CF379+CG379</f>
        <v/>
      </c>
      <c r="CI379" s="8" t="n">
        <v>96</v>
      </c>
      <c r="CJ379" s="8" t="n">
        <v>3</v>
      </c>
      <c r="CK379" s="8" t="n">
        <v>1</v>
      </c>
      <c r="CL379" s="8" t="n">
        <v>0</v>
      </c>
      <c r="CM379" s="9">
        <f>CI379+CJ379+CK379+CL379</f>
        <v/>
      </c>
      <c r="CN379" s="8" t="n">
        <v>444</v>
      </c>
      <c r="CO379" s="8" t="n">
        <v>7</v>
      </c>
      <c r="CP379" s="8" t="n">
        <v>11</v>
      </c>
      <c r="CQ379" s="8" t="n">
        <v>4</v>
      </c>
      <c r="CR379" s="9">
        <f>CN379+CO379+CP379+CQ379</f>
        <v/>
      </c>
      <c r="CS379" s="9">
        <f>CM379+CR379</f>
        <v/>
      </c>
      <c r="CT379" s="8" t="n">
        <v>589</v>
      </c>
      <c r="CU379" s="8" t="n">
        <v>3618</v>
      </c>
      <c r="CV379" s="8" t="n">
        <v>3519.8</v>
      </c>
      <c r="CW379" s="10">
        <f>IF(CU379=0,"",CV379/CU379)</f>
        <v/>
      </c>
      <c r="CX379" s="8" t="n">
        <v>0</v>
      </c>
      <c r="CY379" s="8" t="n">
        <v>0</v>
      </c>
      <c r="CZ379" s="8" t="n">
        <v>0</v>
      </c>
      <c r="DA379" s="8" t="n">
        <v>0</v>
      </c>
      <c r="DB379" s="9">
        <f>CX379+CY379-CZ379-DA379</f>
        <v/>
      </c>
      <c r="DC379" s="8" t="n">
        <v>0</v>
      </c>
      <c r="DD379" s="8" t="n">
        <v>0</v>
      </c>
      <c r="DE379" s="8" t="n">
        <v>0</v>
      </c>
      <c r="DF379" s="8" t="n">
        <v>0</v>
      </c>
      <c r="DG379" s="9">
        <f>DC379+DD379-DE379-DF379</f>
        <v/>
      </c>
      <c r="DH379" s="8" t="n">
        <v>0</v>
      </c>
      <c r="DI379" s="8" t="n">
        <v>0</v>
      </c>
      <c r="DJ379" s="8" t="n">
        <v>0</v>
      </c>
      <c r="DK379" s="8" t="n">
        <v>0</v>
      </c>
      <c r="DL379" s="9">
        <f>DH379+DI379-DJ379-DK379</f>
        <v/>
      </c>
      <c r="DM379" s="8" t="n">
        <v>0</v>
      </c>
      <c r="DN379" s="8" t="n">
        <v>0</v>
      </c>
      <c r="DO379" s="8" t="n">
        <v>0</v>
      </c>
      <c r="DP379" s="8" t="n">
        <v>0</v>
      </c>
      <c r="DQ379" s="9">
        <f>DM379+DN379-DO379-DP379</f>
        <v/>
      </c>
      <c r="DR379" s="9">
        <f>CX379+DC379+DH379+DM379</f>
        <v/>
      </c>
      <c r="DS379" s="9">
        <f>CY379+DD379+DI379+DN379</f>
        <v/>
      </c>
      <c r="DT379" s="9">
        <f>CZ379+DE379+DJ379+DO379</f>
        <v/>
      </c>
      <c r="DU379" s="9">
        <f>DA379+DF379+DK379+DP379</f>
        <v/>
      </c>
      <c r="DV379" s="9">
        <f>DB379+DG379+DL379+DQ379</f>
        <v/>
      </c>
      <c r="DW379" s="8" t="n">
        <v>0</v>
      </c>
      <c r="DX379" s="8" t="n">
        <v>0</v>
      </c>
      <c r="DY379" s="8" t="n">
        <v>0</v>
      </c>
      <c r="DZ379" s="8" t="n">
        <v>0</v>
      </c>
      <c r="EA379" s="8" t="n">
        <v>0</v>
      </c>
      <c r="EB379" s="8" t="n">
        <v>0</v>
      </c>
      <c r="EC379" s="8" t="n">
        <v>0</v>
      </c>
      <c r="ED379" s="8" t="n">
        <v>0</v>
      </c>
      <c r="EE379" s="8" t="n">
        <v>1</v>
      </c>
      <c r="EF379" s="8" t="n">
        <v>1</v>
      </c>
      <c r="EG379" s="8" t="n">
        <v>0</v>
      </c>
      <c r="EH379" s="8" t="n">
        <v>0</v>
      </c>
      <c r="EI379" s="8" t="n">
        <v>0</v>
      </c>
      <c r="EJ379" s="8" t="n">
        <v>0</v>
      </c>
      <c r="EK379" s="8" t="n">
        <v>0</v>
      </c>
      <c r="EL379" s="8" t="n">
        <v>0</v>
      </c>
      <c r="EM379" s="8" t="n">
        <v>0</v>
      </c>
      <c r="EN379" s="8" t="n">
        <v>0</v>
      </c>
      <c r="EO379" s="8" t="n">
        <v>0</v>
      </c>
      <c r="EP379" s="8" t="n">
        <v>0</v>
      </c>
      <c r="EQ379" s="8" t="n">
        <v>0</v>
      </c>
      <c r="ER379" s="8" t="n">
        <v>0</v>
      </c>
      <c r="ES379" s="8" t="n">
        <v>0</v>
      </c>
      <c r="ET379" s="8" t="n">
        <v>0</v>
      </c>
      <c r="EU379" s="8" t="n">
        <v>0</v>
      </c>
      <c r="EV379" s="8" t="n">
        <v>0</v>
      </c>
      <c r="EW379" s="8" t="n">
        <v>0</v>
      </c>
      <c r="EX379" s="8" t="n">
        <v>0</v>
      </c>
      <c r="EY379" s="8" t="n">
        <v>0</v>
      </c>
      <c r="EZ379" s="8" t="n">
        <v>0</v>
      </c>
      <c r="FA379" s="8" t="n">
        <v>0</v>
      </c>
      <c r="FB379" s="8" t="n">
        <v>0</v>
      </c>
      <c r="FC379" s="8" t="n">
        <v>0</v>
      </c>
      <c r="FD379" s="8" t="n">
        <v>0</v>
      </c>
      <c r="FE379" s="8" t="n">
        <v>0</v>
      </c>
      <c r="FF379" s="8" t="n">
        <v>0</v>
      </c>
      <c r="FG379" s="9">
        <f>SUM(DW379,DX379,DY379,DZ379,EA379,EB379,EC379,ED379,EE379,EF379,EG379,EH379,EI379,EJ379,EK379,EL379,EM379,EN379,EO379,EP379,EQ379,ER379,ES379,ET379,EU379,EV379,EW379,EX379,EY379,EZ379,FA379,FB379,FC379,FD379,FE379,FF379)</f>
        <v/>
      </c>
      <c r="FH379" s="8" t="n">
        <v>0</v>
      </c>
      <c r="FI379" s="8" t="n">
        <v>0</v>
      </c>
      <c r="FJ379" s="8" t="n">
        <v>8</v>
      </c>
      <c r="FK379" s="8" t="n">
        <v>0</v>
      </c>
      <c r="FL379" s="8" t="n">
        <v>0</v>
      </c>
      <c r="FM379" s="8" t="n">
        <v>0</v>
      </c>
      <c r="FN379" s="8" t="n">
        <v>0</v>
      </c>
      <c r="FO379" s="8" t="n">
        <v>0</v>
      </c>
      <c r="FP379" s="8" t="n">
        <v>0</v>
      </c>
      <c r="FQ379" s="9">
        <f>FL379+FM379+FN379+FO379+FP379</f>
        <v/>
      </c>
      <c r="FR379" s="8" t="n">
        <v>470000</v>
      </c>
      <c r="FS379" s="8" t="n">
        <v>0</v>
      </c>
      <c r="FT379" s="8" t="n">
        <v>0</v>
      </c>
      <c r="FU379" s="8" t="n">
        <v>12500</v>
      </c>
      <c r="FV379" s="9">
        <f>FR379+FS379+FT379+FU379</f>
        <v/>
      </c>
      <c r="FW379" s="8" t="n">
        <v>1800415.18</v>
      </c>
      <c r="FX379" s="8" t="n">
        <v>7050</v>
      </c>
      <c r="FY379" s="8" t="n">
        <v>65100</v>
      </c>
      <c r="FZ379" s="8" t="n">
        <v>500000</v>
      </c>
      <c r="GA379" s="9">
        <f>FW379+FX379+FY379+FZ379</f>
        <v/>
      </c>
      <c r="GB379" s="9">
        <f>FV379+GA379</f>
        <v/>
      </c>
      <c r="GC379" s="8" t="n">
        <v>485283.79</v>
      </c>
      <c r="GD379" s="8" t="n">
        <v>0</v>
      </c>
      <c r="GE379" s="8" t="n">
        <v>44214.18</v>
      </c>
      <c r="GF379" s="8" t="n">
        <v>8410.99</v>
      </c>
      <c r="GG379" s="9">
        <f>GC379+GD379+GE379+GF379</f>
        <v/>
      </c>
      <c r="GH379" s="8" t="n">
        <v>1785415.18</v>
      </c>
      <c r="GI379" s="8" t="n">
        <v>7050</v>
      </c>
      <c r="GJ379" s="8" t="n">
        <v>500000</v>
      </c>
      <c r="GK379" s="8" t="n">
        <v>35640</v>
      </c>
      <c r="GL379" s="9">
        <f>GH379+GI379+GJ379+GK379</f>
        <v/>
      </c>
      <c r="GM379" s="9">
        <f>GG379+GL379</f>
        <v/>
      </c>
      <c r="GN379" s="8" t="n">
        <v>52313.28</v>
      </c>
      <c r="GO379" s="8" t="n">
        <v>0</v>
      </c>
      <c r="GP379" s="8" t="n">
        <v>10180.92</v>
      </c>
      <c r="GQ379" s="8" t="n">
        <v>4637.34</v>
      </c>
      <c r="GR379" s="9">
        <f>GN379+GO379+GP379+GQ379</f>
        <v/>
      </c>
      <c r="GS379" s="8" t="n">
        <v>85728</v>
      </c>
      <c r="GT379" s="8" t="n">
        <v>0</v>
      </c>
      <c r="GU379" s="8" t="n">
        <v>2679</v>
      </c>
      <c r="GV379" s="8" t="n">
        <v>893</v>
      </c>
      <c r="GW379" s="9">
        <f>GS379+GT379+GU379+GV379</f>
        <v/>
      </c>
      <c r="GX379" s="9">
        <f>GM379+GR379+GW379</f>
        <v/>
      </c>
      <c r="GY379" s="8" t="n">
        <v>15903299.53000001</v>
      </c>
      <c r="GZ379" s="8" t="n">
        <v>0</v>
      </c>
      <c r="HA379" s="9">
        <f>GY379+GZ379</f>
        <v/>
      </c>
      <c r="HB379" s="9">
        <f>IF(GX379=0,"",AU379/GX379)</f>
        <v/>
      </c>
      <c r="HC379" s="10">
        <f>IF((GX379+GY379)=0,"",GB379/(GX379+GY379))</f>
        <v/>
      </c>
      <c r="HD379" s="9">
        <f>IF(GX379=0,"",GB379/GX379)</f>
        <v/>
      </c>
      <c r="HE379" s="8" t="n">
        <v>6</v>
      </c>
      <c r="HF379" s="8" t="n">
        <v>1</v>
      </c>
      <c r="HG379" s="8" t="n">
        <v>0</v>
      </c>
      <c r="HH379" s="8" t="n">
        <v>6</v>
      </c>
      <c r="HI379" s="8" t="n">
        <v>28</v>
      </c>
      <c r="HJ379" s="9">
        <f>HF379+HI379</f>
        <v/>
      </c>
      <c r="HK379" s="10">
        <f>IF(HE379=0,"",HH379/HE379)</f>
        <v/>
      </c>
      <c r="HL379" s="8" t="n">
        <v>271</v>
      </c>
      <c r="HM379" s="8" t="n">
        <v>31</v>
      </c>
      <c r="HN379" s="11">
        <f>IF(HL379=0,"",HM379/HL379)</f>
        <v/>
      </c>
    </row>
    <row r="380">
      <c r="A380" s="12" t="inlineStr">
        <is>
          <t>Zomba</t>
        </is>
      </c>
      <c r="B380" s="12" t="inlineStr">
        <is>
          <t>Thondwe</t>
        </is>
      </c>
      <c r="C380" s="13" t="inlineStr">
        <is>
          <t>FY2025/26</t>
        </is>
      </c>
      <c r="D380" s="13" t="n">
        <v>2025</v>
      </c>
      <c r="E380" s="13" t="n">
        <v>9</v>
      </c>
      <c r="F380" s="13" t="inlineStr">
        <is>
          <t>September</t>
        </is>
      </c>
      <c r="G380" s="13" t="inlineStr">
        <is>
          <t>Q2</t>
        </is>
      </c>
      <c r="H380" s="14" t="n">
        <v>3320</v>
      </c>
      <c r="I380" s="14" t="n">
        <v>613</v>
      </c>
      <c r="J380" s="14" t="n">
        <v>0</v>
      </c>
      <c r="K380" s="14" t="n">
        <v>19</v>
      </c>
      <c r="L380" s="14" t="n">
        <v>8</v>
      </c>
      <c r="M380" s="15">
        <f>SUM(I380,J380,K380,L380)</f>
        <v/>
      </c>
      <c r="N380" s="14" t="n">
        <v>1492.4</v>
      </c>
      <c r="O380" s="14" t="n">
        <v>75.5</v>
      </c>
      <c r="P380" s="14" t="n">
        <v>4.8</v>
      </c>
      <c r="Q380" s="14" t="n">
        <v>15.2</v>
      </c>
      <c r="R380" s="15">
        <f>SUM(N380,O380,P380,Q380)</f>
        <v/>
      </c>
      <c r="S380" s="15">
        <f>M380+R380</f>
        <v/>
      </c>
      <c r="T380" s="14" t="n">
        <v>1092.1</v>
      </c>
      <c r="U380" s="16">
        <f>IF(H380=0,"",T380/H380)</f>
        <v/>
      </c>
      <c r="V380" s="14" t="n">
        <v>8</v>
      </c>
      <c r="W380" s="17">
        <f>IF(H380=0,"",V380/H380)</f>
        <v/>
      </c>
      <c r="X380" s="14" t="n">
        <v>18</v>
      </c>
      <c r="Y380" s="17">
        <f>IF(H380=0,"",X380/H380)</f>
        <v/>
      </c>
      <c r="Z380" s="14" t="n">
        <v>14</v>
      </c>
      <c r="AA380" s="17">
        <f>IF(H380=0,"",Z380/H380)</f>
        <v/>
      </c>
      <c r="AB380" s="14" t="n">
        <v>0</v>
      </c>
      <c r="AC380" s="17">
        <f>IF(H380=0,"",AB380/H380)</f>
        <v/>
      </c>
      <c r="AD380" s="14" t="n">
        <v>0</v>
      </c>
      <c r="AE380" s="17">
        <f>IF(H380=0,"",AD380/H380)</f>
        <v/>
      </c>
      <c r="AF380" s="14" t="n">
        <v>0</v>
      </c>
      <c r="AG380" s="17">
        <f>IF(H380=0,"",AF380/H380)</f>
        <v/>
      </c>
      <c r="AH380" s="14" t="n">
        <v>534224</v>
      </c>
      <c r="AI380" s="15">
        <f>IF(H380=0,"",AH380/H380)</f>
        <v/>
      </c>
      <c r="AJ380" s="14" t="n">
        <v>178.48</v>
      </c>
      <c r="AK380" s="17">
        <f>IF(H380=0,"",AJ380/H380)</f>
        <v/>
      </c>
      <c r="AL380" s="14" t="n">
        <v>80386.64032000001</v>
      </c>
      <c r="AM380" s="15">
        <f>IF(H380=0,"",AL380/H380)</f>
        <v/>
      </c>
      <c r="AN380" s="14" t="n">
        <v>0</v>
      </c>
      <c r="AO380" s="14" t="n">
        <v>0</v>
      </c>
      <c r="AP380" s="14" t="n">
        <v>0</v>
      </c>
      <c r="AQ380" s="14" t="n">
        <v>0</v>
      </c>
      <c r="AR380" s="14" t="n">
        <v>0</v>
      </c>
      <c r="AS380" s="14" t="n">
        <v>0</v>
      </c>
      <c r="AT380" s="14" t="n">
        <v>0</v>
      </c>
      <c r="AU380" s="15">
        <f>AH380+AL380+AP380+AQ380+AR380+AS380+AT380</f>
        <v/>
      </c>
      <c r="AV380" s="15">
        <f>IF(H380=0,"",AU380/H380)</f>
        <v/>
      </c>
      <c r="AW380" s="15">
        <f>IF(S380=0,"",AU380/S380)</f>
        <v/>
      </c>
      <c r="AX380" s="14" t="n">
        <v>1</v>
      </c>
      <c r="AY380" s="15">
        <f>IF(H380=0,"",AX380/(H380/1000/12))</f>
        <v/>
      </c>
      <c r="AZ380" s="14" t="n">
        <v>4</v>
      </c>
      <c r="BA380" s="14" t="n">
        <v>0</v>
      </c>
      <c r="BB380" s="14" t="n">
        <v>12</v>
      </c>
      <c r="BC380" s="14" t="n">
        <v>12</v>
      </c>
      <c r="BD380" s="14" t="n">
        <v>0</v>
      </c>
      <c r="BE380" s="15">
        <f>BC380+BD380</f>
        <v/>
      </c>
      <c r="BF380" s="15">
        <f>BA380+BB380-BE380</f>
        <v/>
      </c>
      <c r="BG380" s="14" t="n">
        <v>0</v>
      </c>
      <c r="BH380" s="14" t="n">
        <v>0</v>
      </c>
      <c r="BI380" s="14" t="n">
        <v>0</v>
      </c>
      <c r="BJ380" s="14" t="n">
        <v>0</v>
      </c>
      <c r="BK380" s="15">
        <f>BI380+BJ380</f>
        <v/>
      </c>
      <c r="BL380" s="15">
        <f>BG380+BH380-BK380</f>
        <v/>
      </c>
      <c r="BM380" s="14" t="n">
        <v>0</v>
      </c>
      <c r="BN380" s="14" t="n">
        <v>1</v>
      </c>
      <c r="BO380" s="14" t="n">
        <v>1</v>
      </c>
      <c r="BP380" s="14" t="n">
        <v>0</v>
      </c>
      <c r="BQ380" s="15">
        <f>BO380+BP380</f>
        <v/>
      </c>
      <c r="BR380" s="15">
        <f>BM380+BN380-BQ380</f>
        <v/>
      </c>
      <c r="BS380" s="14" t="n">
        <v>0</v>
      </c>
      <c r="BT380" s="14" t="n">
        <v>0</v>
      </c>
      <c r="BU380" s="14" t="n">
        <v>0</v>
      </c>
      <c r="BV380" s="14" t="n">
        <v>0</v>
      </c>
      <c r="BW380" s="15">
        <f>BU380+BV380</f>
        <v/>
      </c>
      <c r="BX380" s="15">
        <f>BS380+BT380-BW380</f>
        <v/>
      </c>
      <c r="BY380" s="15">
        <f>BA380+BG380+BM380+BS380</f>
        <v/>
      </c>
      <c r="BZ380" s="15">
        <f>BB380+BH380+BN380+BT380</f>
        <v/>
      </c>
      <c r="CA380" s="15">
        <f>BE380+BK380+BQ380+BW380</f>
        <v/>
      </c>
      <c r="CB380" s="15">
        <f>BF380+BL380+BR380+BX380</f>
        <v/>
      </c>
      <c r="CC380" s="14" t="n">
        <v>0</v>
      </c>
      <c r="CD380" s="14" t="n">
        <v>20</v>
      </c>
      <c r="CE380" s="14" t="n">
        <v>0</v>
      </c>
      <c r="CF380" s="14" t="n">
        <v>0</v>
      </c>
      <c r="CG380" s="14" t="n">
        <v>0</v>
      </c>
      <c r="CH380" s="15">
        <f>CD380+CE380+CF380+CG380</f>
        <v/>
      </c>
      <c r="CI380" s="14" t="n">
        <v>111</v>
      </c>
      <c r="CJ380" s="14" t="n">
        <v>3</v>
      </c>
      <c r="CK380" s="14" t="n">
        <v>2</v>
      </c>
      <c r="CL380" s="14" t="n">
        <v>0</v>
      </c>
      <c r="CM380" s="15">
        <f>CI380+CJ380+CK380+CL380</f>
        <v/>
      </c>
      <c r="CN380" s="14" t="n">
        <v>444</v>
      </c>
      <c r="CO380" s="14" t="n">
        <v>7</v>
      </c>
      <c r="CP380" s="14" t="n">
        <v>11</v>
      </c>
      <c r="CQ380" s="14" t="n">
        <v>4</v>
      </c>
      <c r="CR380" s="15">
        <f>CN380+CO380+CP380+CQ380</f>
        <v/>
      </c>
      <c r="CS380" s="15">
        <f>CM380+CR380</f>
        <v/>
      </c>
      <c r="CT380" s="14" t="n">
        <v>602</v>
      </c>
      <c r="CU380" s="14" t="n">
        <v>3625</v>
      </c>
      <c r="CV380" s="14" t="n">
        <v>3575.9</v>
      </c>
      <c r="CW380" s="16">
        <f>IF(CU380=0,"",CV380/CU380)</f>
        <v/>
      </c>
      <c r="CX380" s="14" t="n">
        <v>0</v>
      </c>
      <c r="CY380" s="14" t="n">
        <v>0</v>
      </c>
      <c r="CZ380" s="14" t="n">
        <v>0</v>
      </c>
      <c r="DA380" s="14" t="n">
        <v>0</v>
      </c>
      <c r="DB380" s="15">
        <f>CX380+CY380-CZ380-DA380</f>
        <v/>
      </c>
      <c r="DC380" s="14" t="n">
        <v>0</v>
      </c>
      <c r="DD380" s="14" t="n">
        <v>0</v>
      </c>
      <c r="DE380" s="14" t="n">
        <v>0</v>
      </c>
      <c r="DF380" s="14" t="n">
        <v>0</v>
      </c>
      <c r="DG380" s="15">
        <f>DC380+DD380-DE380-DF380</f>
        <v/>
      </c>
      <c r="DH380" s="14" t="n">
        <v>0</v>
      </c>
      <c r="DI380" s="14" t="n">
        <v>0</v>
      </c>
      <c r="DJ380" s="14" t="n">
        <v>0</v>
      </c>
      <c r="DK380" s="14" t="n">
        <v>0</v>
      </c>
      <c r="DL380" s="15">
        <f>DH380+DI380-DJ380-DK380</f>
        <v/>
      </c>
      <c r="DM380" s="14" t="n">
        <v>0</v>
      </c>
      <c r="DN380" s="14" t="n">
        <v>0</v>
      </c>
      <c r="DO380" s="14" t="n">
        <v>0</v>
      </c>
      <c r="DP380" s="14" t="n">
        <v>0</v>
      </c>
      <c r="DQ380" s="15">
        <f>DM380+DN380-DO380-DP380</f>
        <v/>
      </c>
      <c r="DR380" s="15">
        <f>CX380+DC380+DH380+DM380</f>
        <v/>
      </c>
      <c r="DS380" s="15">
        <f>CY380+DD380+DI380+DN380</f>
        <v/>
      </c>
      <c r="DT380" s="15">
        <f>CZ380+DE380+DJ380+DO380</f>
        <v/>
      </c>
      <c r="DU380" s="15">
        <f>DA380+DF380+DK380+DP380</f>
        <v/>
      </c>
      <c r="DV380" s="15">
        <f>DB380+DG380+DL380+DQ380</f>
        <v/>
      </c>
      <c r="DW380" s="14" t="n">
        <v>2</v>
      </c>
      <c r="DX380" s="14" t="n">
        <v>0</v>
      </c>
      <c r="DY380" s="14" t="n">
        <v>0</v>
      </c>
      <c r="DZ380" s="14" t="n">
        <v>1</v>
      </c>
      <c r="EA380" s="14" t="n">
        <v>0</v>
      </c>
      <c r="EB380" s="14" t="n">
        <v>1</v>
      </c>
      <c r="EC380" s="14" t="n">
        <v>0</v>
      </c>
      <c r="ED380" s="14" t="n">
        <v>0</v>
      </c>
      <c r="EE380" s="14" t="n">
        <v>1</v>
      </c>
      <c r="EF380" s="14" t="n">
        <v>1</v>
      </c>
      <c r="EG380" s="14" t="n">
        <v>0</v>
      </c>
      <c r="EH380" s="14" t="n">
        <v>0</v>
      </c>
      <c r="EI380" s="14" t="n">
        <v>0</v>
      </c>
      <c r="EJ380" s="14" t="n">
        <v>0</v>
      </c>
      <c r="EK380" s="14" t="n">
        <v>0</v>
      </c>
      <c r="EL380" s="14" t="n">
        <v>0</v>
      </c>
      <c r="EM380" s="14" t="n">
        <v>0</v>
      </c>
      <c r="EN380" s="14" t="n">
        <v>0</v>
      </c>
      <c r="EO380" s="14" t="n">
        <v>0</v>
      </c>
      <c r="EP380" s="14" t="n">
        <v>0</v>
      </c>
      <c r="EQ380" s="14" t="n">
        <v>0</v>
      </c>
      <c r="ER380" s="14" t="n">
        <v>0</v>
      </c>
      <c r="ES380" s="14" t="n">
        <v>0</v>
      </c>
      <c r="ET380" s="14" t="n">
        <v>0</v>
      </c>
      <c r="EU380" s="14" t="n">
        <v>0</v>
      </c>
      <c r="EV380" s="14" t="n">
        <v>0</v>
      </c>
      <c r="EW380" s="14" t="n">
        <v>0</v>
      </c>
      <c r="EX380" s="14" t="n">
        <v>0</v>
      </c>
      <c r="EY380" s="14" t="n">
        <v>0</v>
      </c>
      <c r="EZ380" s="14" t="n">
        <v>0</v>
      </c>
      <c r="FA380" s="14" t="n">
        <v>0</v>
      </c>
      <c r="FB380" s="14" t="n">
        <v>0</v>
      </c>
      <c r="FC380" s="14" t="n">
        <v>0</v>
      </c>
      <c r="FD380" s="14" t="n">
        <v>0</v>
      </c>
      <c r="FE380" s="14" t="n">
        <v>0</v>
      </c>
      <c r="FF380" s="14" t="n">
        <v>0</v>
      </c>
      <c r="FG380" s="15">
        <f>SUM(DW380,DX380,DY380,DZ380,EA380,EB380,EC380,ED380,EE380,EF380,EG380,EH380,EI380,EJ380,EK380,EL380,EM380,EN380,EO380,EP380,EQ380,ER380,ES380,ET380,EU380,EV380,EW380,EX380,EY380,EZ380,FA380,FB380,FC380,FD380,FE380,FF380)</f>
        <v/>
      </c>
      <c r="FH380" s="14" t="n">
        <v>0</v>
      </c>
      <c r="FI380" s="14" t="n">
        <v>0</v>
      </c>
      <c r="FJ380" s="14" t="n">
        <v>10</v>
      </c>
      <c r="FK380" s="14" t="n">
        <v>0</v>
      </c>
      <c r="FL380" s="14" t="n">
        <v>0</v>
      </c>
      <c r="FM380" s="14" t="n">
        <v>0</v>
      </c>
      <c r="FN380" s="14" t="n">
        <v>0</v>
      </c>
      <c r="FO380" s="14" t="n">
        <v>0</v>
      </c>
      <c r="FP380" s="14" t="n">
        <v>0</v>
      </c>
      <c r="FQ380" s="15">
        <f>FL380+FM380+FN380+FO380+FP380</f>
        <v/>
      </c>
      <c r="FR380" s="14" t="n">
        <v>292700</v>
      </c>
      <c r="FS380" s="14" t="n">
        <v>0</v>
      </c>
      <c r="FT380" s="14" t="n">
        <v>0</v>
      </c>
      <c r="FU380" s="14" t="n">
        <v>13000</v>
      </c>
      <c r="FV380" s="15">
        <f>FR380+FS380+FT380+FU380</f>
        <v/>
      </c>
      <c r="FW380" s="14" t="n">
        <v>1914505.04</v>
      </c>
      <c r="FX380" s="14" t="n">
        <v>16050</v>
      </c>
      <c r="FY380" s="14" t="n">
        <v>101300</v>
      </c>
      <c r="FZ380" s="14" t="n">
        <v>14719.7</v>
      </c>
      <c r="GA380" s="15">
        <f>FW380+FX380+FY380+FZ380</f>
        <v/>
      </c>
      <c r="GB380" s="15">
        <f>FV380+GA380</f>
        <v/>
      </c>
      <c r="GC380" s="14" t="n">
        <v>522526.86</v>
      </c>
      <c r="GD380" s="14" t="n">
        <v>0</v>
      </c>
      <c r="GE380" s="14" t="n">
        <v>43868.09</v>
      </c>
      <c r="GF380" s="14" t="n">
        <v>16821.98</v>
      </c>
      <c r="GG380" s="15">
        <f>GC380+GD380+GE380+GF380</f>
        <v/>
      </c>
      <c r="GH380" s="14" t="n">
        <v>1861605.04</v>
      </c>
      <c r="GI380" s="14" t="n">
        <v>16050</v>
      </c>
      <c r="GJ380" s="14" t="n">
        <v>14719.7</v>
      </c>
      <c r="GK380" s="14" t="n">
        <v>72020</v>
      </c>
      <c r="GL380" s="15">
        <f>GH380+GI380+GJ380+GK380</f>
        <v/>
      </c>
      <c r="GM380" s="15">
        <f>GG380+GL380</f>
        <v/>
      </c>
      <c r="GN380" s="14" t="n">
        <v>60487.23</v>
      </c>
      <c r="GO380" s="14" t="n">
        <v>0</v>
      </c>
      <c r="GP380" s="14" t="n">
        <v>10180.92</v>
      </c>
      <c r="GQ380" s="14" t="n">
        <v>9274.68</v>
      </c>
      <c r="GR380" s="15">
        <f>GN380+GO380+GP380+GQ380</f>
        <v/>
      </c>
      <c r="GS380" s="14" t="n">
        <v>99123</v>
      </c>
      <c r="GT380" s="14" t="n">
        <v>0</v>
      </c>
      <c r="GU380" s="14" t="n">
        <v>2679</v>
      </c>
      <c r="GV380" s="14" t="n">
        <v>1786</v>
      </c>
      <c r="GW380" s="15">
        <f>GS380+GT380+GU380+GV380</f>
        <v/>
      </c>
      <c r="GX380" s="15">
        <f>GM380+GR380+GW380</f>
        <v/>
      </c>
      <c r="GY380" s="14" t="n">
        <v>16311069.37</v>
      </c>
      <c r="GZ380" s="14" t="n">
        <v>0</v>
      </c>
      <c r="HA380" s="9">
        <f>GY380+GZ380</f>
        <v/>
      </c>
      <c r="HB380" s="15">
        <f>IF(GX380=0,"",AU380/GX380)</f>
        <v/>
      </c>
      <c r="HC380" s="16">
        <f>IF((GX380+GY380)=0,"",GB380/(GX380+GY380))</f>
        <v/>
      </c>
      <c r="HD380" s="15">
        <f>IF(GX380=0,"",GB380/GX380)</f>
        <v/>
      </c>
      <c r="HE380" s="14" t="n">
        <v>9</v>
      </c>
      <c r="HF380" s="14" t="n">
        <v>1</v>
      </c>
      <c r="HG380" s="14" t="n">
        <v>0</v>
      </c>
      <c r="HH380" s="14" t="n">
        <v>13</v>
      </c>
      <c r="HI380" s="14" t="n">
        <v>30</v>
      </c>
      <c r="HJ380" s="15">
        <f>HF380+HI380</f>
        <v/>
      </c>
      <c r="HK380" s="16">
        <f>IF(HE380=0,"",HH380/HE380)</f>
        <v/>
      </c>
      <c r="HL380" s="14" t="n">
        <v>57</v>
      </c>
      <c r="HM380" s="14" t="n">
        <v>30</v>
      </c>
      <c r="HN380" s="17">
        <f>IF(HL380=0,"",HM380/HL380)</f>
        <v/>
      </c>
    </row>
    <row r="381">
      <c r="A381" s="6" t="inlineStr">
        <is>
          <t>Zomba</t>
        </is>
      </c>
      <c r="B381" s="6" t="inlineStr">
        <is>
          <t>Thondwe</t>
        </is>
      </c>
      <c r="C381" s="7" t="inlineStr">
        <is>
          <t>FY2025/26</t>
        </is>
      </c>
      <c r="D381" s="7" t="n">
        <v>2025</v>
      </c>
      <c r="E381" s="7" t="n">
        <v>10</v>
      </c>
      <c r="F381" s="7" t="inlineStr">
        <is>
          <t>October</t>
        </is>
      </c>
      <c r="G381" s="7" t="inlineStr">
        <is>
          <t>Q3</t>
        </is>
      </c>
      <c r="H381" s="8" t="n">
        <v>2760</v>
      </c>
      <c r="I381" s="8" t="n">
        <v>535</v>
      </c>
      <c r="J381" s="8" t="n">
        <v>0</v>
      </c>
      <c r="K381" s="8" t="n">
        <v>20</v>
      </c>
      <c r="L381" s="8" t="n">
        <v>8</v>
      </c>
      <c r="M381" s="9">
        <f>SUM(I381,J381,K381,L381)</f>
        <v/>
      </c>
      <c r="N381" s="8" t="n">
        <v>1911.8</v>
      </c>
      <c r="O381" s="8" t="n">
        <v>63.6</v>
      </c>
      <c r="P381" s="8" t="n">
        <v>28.1</v>
      </c>
      <c r="Q381" s="8" t="n">
        <v>8.1</v>
      </c>
      <c r="R381" s="9">
        <f>SUM(N381,O381,P381,Q381)</f>
        <v/>
      </c>
      <c r="S381" s="9">
        <f>M381+R381</f>
        <v/>
      </c>
      <c r="T381" s="8" t="n">
        <v>185.400000000006</v>
      </c>
      <c r="U381" s="10">
        <f>IF(H381=0,"",T381/H381)</f>
        <v/>
      </c>
      <c r="V381" s="8" t="n">
        <v>5</v>
      </c>
      <c r="W381" s="11">
        <f>IF(H381=0,"",V381/H381)</f>
        <v/>
      </c>
      <c r="X381" s="8" t="n">
        <v>17</v>
      </c>
      <c r="Y381" s="11">
        <f>IF(H381=0,"",X381/H381)</f>
        <v/>
      </c>
      <c r="Z381" s="8" t="n">
        <v>11</v>
      </c>
      <c r="AA381" s="11">
        <f>IF(H381=0,"",Z381/H381)</f>
        <v/>
      </c>
      <c r="AB381" s="8" t="n">
        <v>0</v>
      </c>
      <c r="AC381" s="11">
        <f>IF(H381=0,"",AB381/H381)</f>
        <v/>
      </c>
      <c r="AD381" s="8" t="n">
        <v>0</v>
      </c>
      <c r="AE381" s="11">
        <f>IF(H381=0,"",AD381/H381)</f>
        <v/>
      </c>
      <c r="AF381" s="8" t="n">
        <v>0</v>
      </c>
      <c r="AG381" s="11">
        <f>IF(H381=0,"",AF381/H381)</f>
        <v/>
      </c>
      <c r="AH381" s="8" t="n">
        <v>411176</v>
      </c>
      <c r="AI381" s="9">
        <f>IF(H381=0,"",AH381/H381)</f>
        <v/>
      </c>
      <c r="AJ381" s="8" t="n">
        <v>123.87</v>
      </c>
      <c r="AK381" s="11">
        <f>IF(H381=0,"",AJ381/H381)</f>
        <v/>
      </c>
      <c r="AL381" s="8" t="n">
        <v>65461.23583</v>
      </c>
      <c r="AM381" s="9">
        <f>IF(H381=0,"",AL381/H381)</f>
        <v/>
      </c>
      <c r="AN381" s="8" t="n">
        <v>0</v>
      </c>
      <c r="AO381" s="8" t="n">
        <v>0</v>
      </c>
      <c r="AP381" s="8" t="n">
        <v>0</v>
      </c>
      <c r="AQ381" s="8" t="n">
        <v>0</v>
      </c>
      <c r="AR381" s="8" t="n">
        <v>0</v>
      </c>
      <c r="AS381" s="8" t="n">
        <v>0</v>
      </c>
      <c r="AT381" s="8" t="n">
        <v>0</v>
      </c>
      <c r="AU381" s="9">
        <f>AH381+AL381+AP381+AQ381+AR381+AS381+AT381</f>
        <v/>
      </c>
      <c r="AV381" s="9">
        <f>IF(H381=0,"",AU381/H381)</f>
        <v/>
      </c>
      <c r="AW381" s="9">
        <f>IF(S381=0,"",AU381/S381)</f>
        <v/>
      </c>
      <c r="AX381" s="8" t="n">
        <v>1</v>
      </c>
      <c r="AY381" s="9">
        <f>IF(H381=0,"",AX381/(H381/1000/12))</f>
        <v/>
      </c>
      <c r="AZ381" s="8" t="n">
        <v>4</v>
      </c>
      <c r="BA381" s="8" t="n">
        <v>0</v>
      </c>
      <c r="BB381" s="8" t="n">
        <v>31</v>
      </c>
      <c r="BC381" s="8" t="n">
        <v>31</v>
      </c>
      <c r="BD381" s="8" t="n">
        <v>0</v>
      </c>
      <c r="BE381" s="9">
        <f>BC381+BD381</f>
        <v/>
      </c>
      <c r="BF381" s="9">
        <f>BA381+BB381-BE381</f>
        <v/>
      </c>
      <c r="BG381" s="8" t="n">
        <v>0</v>
      </c>
      <c r="BH381" s="8" t="n">
        <v>0</v>
      </c>
      <c r="BI381" s="8" t="n">
        <v>0</v>
      </c>
      <c r="BJ381" s="8" t="n">
        <v>0</v>
      </c>
      <c r="BK381" s="9">
        <f>BI381+BJ381</f>
        <v/>
      </c>
      <c r="BL381" s="9">
        <f>BG381+BH381-BK381</f>
        <v/>
      </c>
      <c r="BM381" s="8" t="n">
        <v>0</v>
      </c>
      <c r="BN381" s="8" t="n">
        <v>0</v>
      </c>
      <c r="BO381" s="8" t="n">
        <v>0</v>
      </c>
      <c r="BP381" s="8" t="n">
        <v>0</v>
      </c>
      <c r="BQ381" s="9">
        <f>BO381+BP381</f>
        <v/>
      </c>
      <c r="BR381" s="9">
        <f>BM381+BN381-BQ381</f>
        <v/>
      </c>
      <c r="BS381" s="8" t="n">
        <v>0</v>
      </c>
      <c r="BT381" s="8" t="n">
        <v>0</v>
      </c>
      <c r="BU381" s="8" t="n">
        <v>0</v>
      </c>
      <c r="BV381" s="8" t="n">
        <v>0</v>
      </c>
      <c r="BW381" s="9">
        <f>BU381+BV381</f>
        <v/>
      </c>
      <c r="BX381" s="9">
        <f>BS381+BT381-BW381</f>
        <v/>
      </c>
      <c r="BY381" s="9">
        <f>BA381+BG381+BM381+BS381</f>
        <v/>
      </c>
      <c r="BZ381" s="9">
        <f>BB381+BH381+BN381+BT381</f>
        <v/>
      </c>
      <c r="CA381" s="9">
        <f>BE381+BK381+BQ381+BW381</f>
        <v/>
      </c>
      <c r="CB381" s="9">
        <f>BF381+BL381+BR381+BX381</f>
        <v/>
      </c>
      <c r="CC381" s="8" t="n">
        <v>0</v>
      </c>
      <c r="CD381" s="8" t="n">
        <v>85</v>
      </c>
      <c r="CE381" s="8" t="n">
        <v>1</v>
      </c>
      <c r="CF381" s="8" t="n">
        <v>0</v>
      </c>
      <c r="CG381" s="8" t="n">
        <v>0</v>
      </c>
      <c r="CH381" s="9">
        <f>CD381+CE381+CF381+CG381</f>
        <v/>
      </c>
      <c r="CI381" s="8" t="n">
        <v>96</v>
      </c>
      <c r="CJ381" s="8" t="n">
        <v>2</v>
      </c>
      <c r="CK381" s="8" t="n">
        <v>2</v>
      </c>
      <c r="CL381" s="8" t="n">
        <v>0</v>
      </c>
      <c r="CM381" s="9">
        <f>CI381+CJ381+CK381+CL381</f>
        <v/>
      </c>
      <c r="CN381" s="8" t="n">
        <v>425</v>
      </c>
      <c r="CO381" s="8" t="n">
        <v>7</v>
      </c>
      <c r="CP381" s="8" t="n">
        <v>11</v>
      </c>
      <c r="CQ381" s="8" t="n">
        <v>4</v>
      </c>
      <c r="CR381" s="9">
        <f>CN381+CO381+CP381+CQ381</f>
        <v/>
      </c>
      <c r="CS381" s="9">
        <f>CM381+CR381</f>
        <v/>
      </c>
      <c r="CT381" s="8" t="n">
        <v>633</v>
      </c>
      <c r="CU381" s="8" t="n">
        <v>3632</v>
      </c>
      <c r="CV381" s="8" t="n">
        <v>3631.9</v>
      </c>
      <c r="CW381" s="10">
        <f>IF(CU381=0,"",CV381/CU381)</f>
        <v/>
      </c>
      <c r="CX381" s="8" t="n">
        <v>0</v>
      </c>
      <c r="CY381" s="8" t="n">
        <v>0</v>
      </c>
      <c r="CZ381" s="8" t="n">
        <v>0</v>
      </c>
      <c r="DA381" s="8" t="n">
        <v>0</v>
      </c>
      <c r="DB381" s="9">
        <f>CX381+CY381-CZ381-DA381</f>
        <v/>
      </c>
      <c r="DC381" s="8" t="n">
        <v>0</v>
      </c>
      <c r="DD381" s="8" t="n">
        <v>0</v>
      </c>
      <c r="DE381" s="8" t="n">
        <v>0</v>
      </c>
      <c r="DF381" s="8" t="n">
        <v>0</v>
      </c>
      <c r="DG381" s="9">
        <f>DC381+DD381-DE381-DF381</f>
        <v/>
      </c>
      <c r="DH381" s="8" t="n">
        <v>0</v>
      </c>
      <c r="DI381" s="8" t="n">
        <v>0</v>
      </c>
      <c r="DJ381" s="8" t="n">
        <v>0</v>
      </c>
      <c r="DK381" s="8" t="n">
        <v>0</v>
      </c>
      <c r="DL381" s="9">
        <f>DH381+DI381-DJ381-DK381</f>
        <v/>
      </c>
      <c r="DM381" s="8" t="n">
        <v>0</v>
      </c>
      <c r="DN381" s="8" t="n">
        <v>0</v>
      </c>
      <c r="DO381" s="8" t="n">
        <v>0</v>
      </c>
      <c r="DP381" s="8" t="n">
        <v>0</v>
      </c>
      <c r="DQ381" s="9">
        <f>DM381+DN381-DO381-DP381</f>
        <v/>
      </c>
      <c r="DR381" s="9">
        <f>CX381+DC381+DH381+DM381</f>
        <v/>
      </c>
      <c r="DS381" s="9">
        <f>CY381+DD381+DI381+DN381</f>
        <v/>
      </c>
      <c r="DT381" s="9">
        <f>CZ381+DE381+DJ381+DO381</f>
        <v/>
      </c>
      <c r="DU381" s="9">
        <f>DA381+DF381+DK381+DP381</f>
        <v/>
      </c>
      <c r="DV381" s="9">
        <f>DB381+DG381+DL381+DQ381</f>
        <v/>
      </c>
      <c r="DW381" s="8" t="n">
        <v>4</v>
      </c>
      <c r="DX381" s="8" t="n">
        <v>0</v>
      </c>
      <c r="DY381" s="8" t="n">
        <v>3</v>
      </c>
      <c r="DZ381" s="8" t="n">
        <v>0</v>
      </c>
      <c r="EA381" s="8" t="n">
        <v>0</v>
      </c>
      <c r="EB381" s="8" t="n">
        <v>0</v>
      </c>
      <c r="EC381" s="8" t="n">
        <v>0</v>
      </c>
      <c r="ED381" s="8" t="n">
        <v>0</v>
      </c>
      <c r="EE381" s="8" t="n">
        <v>1</v>
      </c>
      <c r="EF381" s="8" t="n">
        <v>0</v>
      </c>
      <c r="EG381" s="8" t="n">
        <v>0</v>
      </c>
      <c r="EH381" s="8" t="n">
        <v>0</v>
      </c>
      <c r="EI381" s="8" t="n">
        <v>0</v>
      </c>
      <c r="EJ381" s="8" t="n">
        <v>0</v>
      </c>
      <c r="EK381" s="8" t="n">
        <v>0</v>
      </c>
      <c r="EL381" s="8" t="n">
        <v>0</v>
      </c>
      <c r="EM381" s="8" t="n">
        <v>0</v>
      </c>
      <c r="EN381" s="8" t="n">
        <v>0</v>
      </c>
      <c r="EO381" s="8" t="n">
        <v>0</v>
      </c>
      <c r="EP381" s="8" t="n">
        <v>0</v>
      </c>
      <c r="EQ381" s="8" t="n">
        <v>0</v>
      </c>
      <c r="ER381" s="8" t="n">
        <v>0</v>
      </c>
      <c r="ES381" s="8" t="n">
        <v>0</v>
      </c>
      <c r="ET381" s="8" t="n">
        <v>0</v>
      </c>
      <c r="EU381" s="8" t="n">
        <v>0</v>
      </c>
      <c r="EV381" s="8" t="n">
        <v>0</v>
      </c>
      <c r="EW381" s="8" t="n">
        <v>0</v>
      </c>
      <c r="EX381" s="8" t="n">
        <v>0</v>
      </c>
      <c r="EY381" s="8" t="n">
        <v>0</v>
      </c>
      <c r="EZ381" s="8" t="n">
        <v>0</v>
      </c>
      <c r="FA381" s="8" t="n">
        <v>0</v>
      </c>
      <c r="FB381" s="8" t="n">
        <v>0</v>
      </c>
      <c r="FC381" s="8" t="n">
        <v>0</v>
      </c>
      <c r="FD381" s="8" t="n">
        <v>0</v>
      </c>
      <c r="FE381" s="8" t="n">
        <v>0</v>
      </c>
      <c r="FF381" s="8" t="n">
        <v>0</v>
      </c>
      <c r="FG381" s="9">
        <f>SUM(DW381,DX381,DY381,DZ381,EA381,EB381,EC381,ED381,EE381,EF381,EG381,EH381,EI381,EJ381,EK381,EL381,EM381,EN381,EO381,EP381,EQ381,ER381,ES381,ET381,EU381,EV381,EW381,EX381,EY381,EZ381,FA381,FB381,FC381,FD381,FE381,FF381)</f>
        <v/>
      </c>
      <c r="FH381" s="8" t="n">
        <v>0</v>
      </c>
      <c r="FI381" s="8" t="n">
        <v>0</v>
      </c>
      <c r="FJ381" s="8" t="n">
        <v>10</v>
      </c>
      <c r="FK381" s="8" t="n">
        <v>0</v>
      </c>
      <c r="FL381" s="8" t="n">
        <v>0</v>
      </c>
      <c r="FM381" s="8" t="n">
        <v>0</v>
      </c>
      <c r="FN381" s="8" t="n">
        <v>0</v>
      </c>
      <c r="FO381" s="8" t="n">
        <v>0</v>
      </c>
      <c r="FP381" s="8" t="n">
        <v>0</v>
      </c>
      <c r="FQ381" s="9">
        <f>FL381+FM381+FN381+FO381+FP381</f>
        <v/>
      </c>
      <c r="FR381" s="8" t="n">
        <v>439800</v>
      </c>
      <c r="FS381" s="8" t="n">
        <v>0</v>
      </c>
      <c r="FT381" s="8" t="n">
        <v>40000</v>
      </c>
      <c r="FU381" s="8" t="n">
        <v>0</v>
      </c>
      <c r="FV381" s="9">
        <f>FR381+FS381+FT381+FU381</f>
        <v/>
      </c>
      <c r="FW381" s="8" t="n">
        <v>2474139.4</v>
      </c>
      <c r="FX381" s="8" t="n">
        <v>13500</v>
      </c>
      <c r="FY381" s="8" t="n">
        <v>53564.05</v>
      </c>
      <c r="FZ381" s="8" t="n">
        <v>85700</v>
      </c>
      <c r="GA381" s="9">
        <f>FW381+FX381+FY381+FZ381</f>
        <v/>
      </c>
      <c r="GB381" s="9">
        <f>FV381+GA381</f>
        <v/>
      </c>
      <c r="GC381" s="8" t="n">
        <v>456408.93</v>
      </c>
      <c r="GD381" s="8" t="n">
        <v>0</v>
      </c>
      <c r="GE381" s="8" t="n">
        <v>50498.35</v>
      </c>
      <c r="GF381" s="8" t="n">
        <v>16821.98</v>
      </c>
      <c r="GG381" s="9">
        <f>GC381+GD381+GE381+GF381</f>
        <v/>
      </c>
      <c r="GH381" s="8" t="n">
        <v>2384619.4</v>
      </c>
      <c r="GI381" s="8" t="n">
        <v>13500</v>
      </c>
      <c r="GJ381" s="8" t="n">
        <v>85700</v>
      </c>
      <c r="GK381" s="8" t="n">
        <v>38444.04</v>
      </c>
      <c r="GL381" s="9">
        <f>GH381+GI381+GJ381+GK381</f>
        <v/>
      </c>
      <c r="GM381" s="9">
        <f>GG381+GL381</f>
        <v/>
      </c>
      <c r="GN381" s="8" t="n">
        <v>52313.28</v>
      </c>
      <c r="GO381" s="8" t="n">
        <v>0</v>
      </c>
      <c r="GP381" s="8" t="n">
        <v>6787.28</v>
      </c>
      <c r="GQ381" s="8" t="n">
        <v>9274.68</v>
      </c>
      <c r="GR381" s="9">
        <f>GN381+GO381+GP381+GQ381</f>
        <v/>
      </c>
      <c r="GS381" s="8" t="n">
        <v>85728</v>
      </c>
      <c r="GT381" s="8" t="n">
        <v>0</v>
      </c>
      <c r="GU381" s="8" t="n">
        <v>1786</v>
      </c>
      <c r="GV381" s="8" t="n">
        <v>1786</v>
      </c>
      <c r="GW381" s="9">
        <f>GS381+GT381+GU381+GV381</f>
        <v/>
      </c>
      <c r="GX381" s="9">
        <f>GM381+GR381+GW381</f>
        <v/>
      </c>
      <c r="GY381" s="8" t="n">
        <v>16491034.91</v>
      </c>
      <c r="GZ381" s="8" t="n">
        <v>0</v>
      </c>
      <c r="HA381" s="9">
        <f>GY381+GZ381</f>
        <v/>
      </c>
      <c r="HB381" s="9">
        <f>IF(GX381=0,"",AU381/GX381)</f>
        <v/>
      </c>
      <c r="HC381" s="10">
        <f>IF((GX381+GY381)=0,"",GB381/(GX381+GY381))</f>
        <v/>
      </c>
      <c r="HD381" s="9">
        <f>IF(GX381=0,"",GB381/GX381)</f>
        <v/>
      </c>
      <c r="HE381" s="8" t="n">
        <v>3</v>
      </c>
      <c r="HF381" s="8" t="n">
        <v>1</v>
      </c>
      <c r="HG381" s="8" t="n">
        <v>0</v>
      </c>
      <c r="HH381" s="8" t="n">
        <v>31</v>
      </c>
      <c r="HI381" s="8" t="n">
        <v>31</v>
      </c>
      <c r="HJ381" s="9">
        <f>HF381+HI381</f>
        <v/>
      </c>
      <c r="HK381" s="10">
        <f>IF(HE381=0,"",HH381/HE381)</f>
        <v/>
      </c>
      <c r="HL381" s="8" t="n">
        <v>54</v>
      </c>
      <c r="HM381" s="8" t="n">
        <v>31</v>
      </c>
      <c r="HN381" s="11">
        <f>IF(HL381=0,"",HM381/HL381)</f>
        <v/>
      </c>
    </row>
    <row r="382">
      <c r="A382" s="12" t="inlineStr">
        <is>
          <t>Zomba</t>
        </is>
      </c>
      <c r="B382" s="12" t="inlineStr">
        <is>
          <t>Thondwe</t>
        </is>
      </c>
      <c r="C382" s="13" t="inlineStr">
        <is>
          <t>FY2025/26</t>
        </is>
      </c>
      <c r="D382" s="13" t="n">
        <v>2025</v>
      </c>
      <c r="E382" s="13" t="n">
        <v>11</v>
      </c>
      <c r="F382" s="13" t="inlineStr">
        <is>
          <t>November</t>
        </is>
      </c>
      <c r="G382" s="13" t="inlineStr">
        <is>
          <t>Q3</t>
        </is>
      </c>
      <c r="H382" s="14" t="n">
        <v>2640</v>
      </c>
      <c r="I382" s="14" t="n">
        <v>550</v>
      </c>
      <c r="J382" s="14" t="n">
        <v>0</v>
      </c>
      <c r="K382" s="14" t="n">
        <v>25</v>
      </c>
      <c r="L382" s="14" t="n">
        <v>8</v>
      </c>
      <c r="M382" s="15">
        <f>SUM(I382,J382,K382,L382)</f>
        <v/>
      </c>
      <c r="N382" s="14" t="n">
        <v>1860.99999999999</v>
      </c>
      <c r="O382" s="14" t="n">
        <v>18.9</v>
      </c>
      <c r="P382" s="14" t="n">
        <v>54.9</v>
      </c>
      <c r="Q382" s="14" t="n">
        <v>31.8</v>
      </c>
      <c r="R382" s="15">
        <f>SUM(N382,O382,P382,Q382)</f>
        <v/>
      </c>
      <c r="S382" s="15">
        <f>M382+R382</f>
        <v/>
      </c>
      <c r="T382" s="14" t="n">
        <v>90.4000000000087</v>
      </c>
      <c r="U382" s="16">
        <f>IF(H382=0,"",T382/H382)</f>
        <v/>
      </c>
      <c r="V382" s="14" t="n">
        <v>4</v>
      </c>
      <c r="W382" s="17">
        <f>IF(H382=0,"",V382/H382)</f>
        <v/>
      </c>
      <c r="X382" s="14" t="n">
        <v>18</v>
      </c>
      <c r="Y382" s="17">
        <f>IF(H382=0,"",X382/H382)</f>
        <v/>
      </c>
      <c r="Z382" s="14" t="n">
        <v>11</v>
      </c>
      <c r="AA382" s="17">
        <f>IF(H382=0,"",Z382/H382)</f>
        <v/>
      </c>
      <c r="AB382" s="14" t="n">
        <v>0</v>
      </c>
      <c r="AC382" s="17">
        <f>IF(H382=0,"",AB382/H382)</f>
        <v/>
      </c>
      <c r="AD382" s="14" t="n">
        <v>0</v>
      </c>
      <c r="AE382" s="17">
        <f>IF(H382=0,"",AD382/H382)</f>
        <v/>
      </c>
      <c r="AF382" s="14" t="n">
        <v>0</v>
      </c>
      <c r="AG382" s="17">
        <f>IF(H382=0,"",AF382/H382)</f>
        <v/>
      </c>
      <c r="AH382" s="14" t="n">
        <v>393876</v>
      </c>
      <c r="AI382" s="15">
        <f>IF(H382=0,"",AH382/H382)</f>
        <v/>
      </c>
      <c r="AJ382" s="14" t="n">
        <v>127.05</v>
      </c>
      <c r="AK382" s="17">
        <f>IF(H382=0,"",AJ382/H382)</f>
        <v/>
      </c>
      <c r="AL382" s="14" t="n">
        <v>66330.35845</v>
      </c>
      <c r="AM382" s="15">
        <f>IF(H382=0,"",AL382/H382)</f>
        <v/>
      </c>
      <c r="AN382" s="14" t="n">
        <v>0</v>
      </c>
      <c r="AO382" s="14" t="n">
        <v>0</v>
      </c>
      <c r="AP382" s="14" t="n">
        <v>0</v>
      </c>
      <c r="AQ382" s="14" t="n">
        <v>0</v>
      </c>
      <c r="AR382" s="14" t="n">
        <v>0</v>
      </c>
      <c r="AS382" s="14" t="n">
        <v>0</v>
      </c>
      <c r="AT382" s="14" t="n">
        <v>0</v>
      </c>
      <c r="AU382" s="15">
        <f>AH382+AL382+AP382+AQ382+AR382+AS382+AT382</f>
        <v/>
      </c>
      <c r="AV382" s="15">
        <f>IF(H382=0,"",AU382/H382)</f>
        <v/>
      </c>
      <c r="AW382" s="15">
        <f>IF(S382=0,"",AU382/S382)</f>
        <v/>
      </c>
      <c r="AX382" s="14" t="n">
        <v>1</v>
      </c>
      <c r="AY382" s="15">
        <f>IF(H382=0,"",AX382/(H382/1000/12))</f>
        <v/>
      </c>
      <c r="AZ382" s="14" t="n">
        <v>4</v>
      </c>
      <c r="BA382" s="14" t="n">
        <v>0</v>
      </c>
      <c r="BB382" s="14" t="n">
        <v>8</v>
      </c>
      <c r="BC382" s="14" t="n">
        <v>8</v>
      </c>
      <c r="BD382" s="14" t="n">
        <v>0</v>
      </c>
      <c r="BE382" s="15">
        <f>BC382+BD382</f>
        <v/>
      </c>
      <c r="BF382" s="15">
        <f>BA382+BB382-BE382</f>
        <v/>
      </c>
      <c r="BG382" s="14" t="n">
        <v>0</v>
      </c>
      <c r="BH382" s="14" t="n">
        <v>0</v>
      </c>
      <c r="BI382" s="14" t="n">
        <v>0</v>
      </c>
      <c r="BJ382" s="14" t="n">
        <v>0</v>
      </c>
      <c r="BK382" s="15">
        <f>BI382+BJ382</f>
        <v/>
      </c>
      <c r="BL382" s="15">
        <f>BG382+BH382-BK382</f>
        <v/>
      </c>
      <c r="BM382" s="14" t="n">
        <v>0</v>
      </c>
      <c r="BN382" s="14" t="n">
        <v>0</v>
      </c>
      <c r="BO382" s="14" t="n">
        <v>0</v>
      </c>
      <c r="BP382" s="14" t="n">
        <v>0</v>
      </c>
      <c r="BQ382" s="15">
        <f>BO382+BP382</f>
        <v/>
      </c>
      <c r="BR382" s="15">
        <f>BM382+BN382-BQ382</f>
        <v/>
      </c>
      <c r="BS382" s="14" t="n">
        <v>0</v>
      </c>
      <c r="BT382" s="14" t="n">
        <v>0</v>
      </c>
      <c r="BU382" s="14" t="n">
        <v>0</v>
      </c>
      <c r="BV382" s="14" t="n">
        <v>0</v>
      </c>
      <c r="BW382" s="15">
        <f>BU382+BV382</f>
        <v/>
      </c>
      <c r="BX382" s="15">
        <f>BS382+BT382-BW382</f>
        <v/>
      </c>
      <c r="BY382" s="15">
        <f>BA382+BG382+BM382+BS382</f>
        <v/>
      </c>
      <c r="BZ382" s="15">
        <f>BB382+BH382+BN382+BT382</f>
        <v/>
      </c>
      <c r="CA382" s="15">
        <f>BE382+BK382+BQ382+BW382</f>
        <v/>
      </c>
      <c r="CB382" s="15">
        <f>BF382+BL382+BR382+BX382</f>
        <v/>
      </c>
      <c r="CC382" s="14" t="n">
        <v>0</v>
      </c>
      <c r="CD382" s="14" t="n">
        <v>85</v>
      </c>
      <c r="CE382" s="14" t="n">
        <v>1</v>
      </c>
      <c r="CF382" s="14" t="n">
        <v>0</v>
      </c>
      <c r="CG382" s="14" t="n">
        <v>0</v>
      </c>
      <c r="CH382" s="15">
        <f>CD382+CE382+CF382+CG382</f>
        <v/>
      </c>
      <c r="CI382" s="14" t="n">
        <v>78</v>
      </c>
      <c r="CJ382" s="14" t="n">
        <v>2</v>
      </c>
      <c r="CK382" s="14" t="n">
        <v>2</v>
      </c>
      <c r="CL382" s="14" t="n">
        <v>0</v>
      </c>
      <c r="CM382" s="15">
        <f>CI382+CJ382+CK382+CL382</f>
        <v/>
      </c>
      <c r="CN382" s="14" t="n">
        <v>451</v>
      </c>
      <c r="CO382" s="14" t="n">
        <v>7</v>
      </c>
      <c r="CP382" s="14" t="n">
        <v>11</v>
      </c>
      <c r="CQ382" s="14" t="n">
        <v>4</v>
      </c>
      <c r="CR382" s="15">
        <f>CN382+CO382+CP382+CQ382</f>
        <v/>
      </c>
      <c r="CS382" s="15">
        <f>CM382+CR382</f>
        <v/>
      </c>
      <c r="CT382" s="14" t="n">
        <v>641</v>
      </c>
      <c r="CU382" s="14" t="n">
        <v>3639</v>
      </c>
      <c r="CV382" s="14" t="n">
        <v>3640.6</v>
      </c>
      <c r="CW382" s="16">
        <f>IF(CU382=0,"",CV382/CU382)</f>
        <v/>
      </c>
      <c r="CX382" s="14" t="n">
        <v>0</v>
      </c>
      <c r="CY382" s="14" t="n">
        <v>0</v>
      </c>
      <c r="CZ382" s="14" t="n">
        <v>0</v>
      </c>
      <c r="DA382" s="14" t="n">
        <v>0</v>
      </c>
      <c r="DB382" s="15">
        <f>CX382+CY382-CZ382-DA382</f>
        <v/>
      </c>
      <c r="DC382" s="14" t="n">
        <v>0</v>
      </c>
      <c r="DD382" s="14" t="n">
        <v>0</v>
      </c>
      <c r="DE382" s="14" t="n">
        <v>0</v>
      </c>
      <c r="DF382" s="14" t="n">
        <v>0</v>
      </c>
      <c r="DG382" s="15">
        <f>DC382+DD382-DE382-DF382</f>
        <v/>
      </c>
      <c r="DH382" s="14" t="n">
        <v>0</v>
      </c>
      <c r="DI382" s="14" t="n">
        <v>0</v>
      </c>
      <c r="DJ382" s="14" t="n">
        <v>0</v>
      </c>
      <c r="DK382" s="14" t="n">
        <v>0</v>
      </c>
      <c r="DL382" s="15">
        <f>DH382+DI382-DJ382-DK382</f>
        <v/>
      </c>
      <c r="DM382" s="14" t="n">
        <v>0</v>
      </c>
      <c r="DN382" s="14" t="n">
        <v>0</v>
      </c>
      <c r="DO382" s="14" t="n">
        <v>0</v>
      </c>
      <c r="DP382" s="14" t="n">
        <v>0</v>
      </c>
      <c r="DQ382" s="15">
        <f>DM382+DN382-DO382-DP382</f>
        <v/>
      </c>
      <c r="DR382" s="15">
        <f>CX382+DC382+DH382+DM382</f>
        <v/>
      </c>
      <c r="DS382" s="15">
        <f>CY382+DD382+DI382+DN382</f>
        <v/>
      </c>
      <c r="DT382" s="15">
        <f>CZ382+DE382+DJ382+DO382</f>
        <v/>
      </c>
      <c r="DU382" s="15">
        <f>DA382+DF382+DK382+DP382</f>
        <v/>
      </c>
      <c r="DV382" s="15">
        <f>DB382+DG382+DL382+DQ382</f>
        <v/>
      </c>
      <c r="DW382" s="14" t="n">
        <v>1</v>
      </c>
      <c r="DX382" s="14" t="n">
        <v>0</v>
      </c>
      <c r="DY382" s="14" t="n">
        <v>0</v>
      </c>
      <c r="DZ382" s="14" t="n">
        <v>0</v>
      </c>
      <c r="EA382" s="14" t="n">
        <v>0</v>
      </c>
      <c r="EB382" s="14" t="n">
        <v>2</v>
      </c>
      <c r="EC382" s="14" t="n">
        <v>2</v>
      </c>
      <c r="ED382" s="14" t="n">
        <v>1</v>
      </c>
      <c r="EE382" s="14" t="n">
        <v>0</v>
      </c>
      <c r="EF382" s="14" t="n">
        <v>1</v>
      </c>
      <c r="EG382" s="14" t="n">
        <v>0</v>
      </c>
      <c r="EH382" s="14" t="n">
        <v>0</v>
      </c>
      <c r="EI382" s="14" t="n">
        <v>0</v>
      </c>
      <c r="EJ382" s="14" t="n">
        <v>0</v>
      </c>
      <c r="EK382" s="14" t="n">
        <v>0</v>
      </c>
      <c r="EL382" s="14" t="n">
        <v>0</v>
      </c>
      <c r="EM382" s="14" t="n">
        <v>0</v>
      </c>
      <c r="EN382" s="14" t="n">
        <v>0</v>
      </c>
      <c r="EO382" s="14" t="n">
        <v>0</v>
      </c>
      <c r="EP382" s="14" t="n">
        <v>0</v>
      </c>
      <c r="EQ382" s="14" t="n">
        <v>0</v>
      </c>
      <c r="ER382" s="14" t="n">
        <v>0</v>
      </c>
      <c r="ES382" s="14" t="n">
        <v>0</v>
      </c>
      <c r="ET382" s="14" t="n">
        <v>0</v>
      </c>
      <c r="EU382" s="14" t="n">
        <v>0</v>
      </c>
      <c r="EV382" s="14" t="n">
        <v>0</v>
      </c>
      <c r="EW382" s="14" t="n">
        <v>0</v>
      </c>
      <c r="EX382" s="14" t="n">
        <v>0</v>
      </c>
      <c r="EY382" s="14" t="n">
        <v>0</v>
      </c>
      <c r="EZ382" s="14" t="n">
        <v>0</v>
      </c>
      <c r="FA382" s="14" t="n">
        <v>0</v>
      </c>
      <c r="FB382" s="14" t="n">
        <v>0</v>
      </c>
      <c r="FC382" s="14" t="n">
        <v>0</v>
      </c>
      <c r="FD382" s="14" t="n">
        <v>0</v>
      </c>
      <c r="FE382" s="14" t="n">
        <v>0</v>
      </c>
      <c r="FF382" s="14" t="n">
        <v>0</v>
      </c>
      <c r="FG382" s="15">
        <f>SUM(DW382,DX382,DY382,DZ382,EA382,EB382,EC382,ED382,EE382,EF382,EG382,EH382,EI382,EJ382,EK382,EL382,EM382,EN382,EO382,EP382,EQ382,ER382,ES382,ET382,EU382,EV382,EW382,EX382,EY382,EZ382,FA382,FB382,FC382,FD382,FE382,FF382)</f>
        <v/>
      </c>
      <c r="FH382" s="14" t="n">
        <v>0</v>
      </c>
      <c r="FI382" s="14" t="n">
        <v>0</v>
      </c>
      <c r="FJ382" s="14" t="n">
        <v>12</v>
      </c>
      <c r="FK382" s="14" t="n">
        <v>0</v>
      </c>
      <c r="FL382" s="14" t="n">
        <v>0</v>
      </c>
      <c r="FM382" s="14" t="n">
        <v>0</v>
      </c>
      <c r="FN382" s="14" t="n">
        <v>0</v>
      </c>
      <c r="FO382" s="14" t="n">
        <v>0</v>
      </c>
      <c r="FP382" s="14" t="n">
        <v>0</v>
      </c>
      <c r="FQ382" s="15">
        <f>FL382+FM382+FN382+FO382+FP382</f>
        <v/>
      </c>
      <c r="FR382" s="14" t="n">
        <v>430900</v>
      </c>
      <c r="FS382" s="14" t="n">
        <v>0</v>
      </c>
      <c r="FT382" s="14" t="n">
        <v>0</v>
      </c>
      <c r="FU382" s="14" t="n">
        <v>1178046.49</v>
      </c>
      <c r="FV382" s="15">
        <f>FR382+FS382+FT382+FU382</f>
        <v/>
      </c>
      <c r="FW382" s="14" t="n">
        <v>2428762</v>
      </c>
      <c r="FX382" s="14" t="n">
        <v>4000</v>
      </c>
      <c r="FY382" s="14" t="n">
        <v>165117</v>
      </c>
      <c r="FZ382" s="14" t="n">
        <v>166670</v>
      </c>
      <c r="GA382" s="15">
        <f>FW382+FX382+FY382+FZ382</f>
        <v/>
      </c>
      <c r="GB382" s="15">
        <f>FV382+GA382</f>
        <v/>
      </c>
      <c r="GC382" s="14" t="n">
        <v>476163.66</v>
      </c>
      <c r="GD382" s="14" t="n">
        <v>0</v>
      </c>
      <c r="GE382" s="14" t="n">
        <v>68593.00999999999</v>
      </c>
      <c r="GF382" s="14" t="n">
        <v>16821.98</v>
      </c>
      <c r="GG382" s="15">
        <f>GC382+GD382+GE382+GF382</f>
        <v/>
      </c>
      <c r="GH382" s="14" t="n">
        <v>2320082</v>
      </c>
      <c r="GI382" s="14" t="n">
        <v>4000</v>
      </c>
      <c r="GJ382" s="14" t="n">
        <v>166670</v>
      </c>
      <c r="GK382" s="14" t="n">
        <v>150777</v>
      </c>
      <c r="GL382" s="15">
        <f>GH382+GI382+GJ382+GK382</f>
        <v/>
      </c>
      <c r="GM382" s="15">
        <f>GG382+GL382</f>
        <v/>
      </c>
      <c r="GN382" s="14" t="n">
        <v>42504.54</v>
      </c>
      <c r="GO382" s="14" t="n">
        <v>0</v>
      </c>
      <c r="GP382" s="14" t="n">
        <v>6787.28</v>
      </c>
      <c r="GQ382" s="14" t="n">
        <v>9274.68</v>
      </c>
      <c r="GR382" s="15">
        <f>GN382+GO382+GP382+GQ382</f>
        <v/>
      </c>
      <c r="GS382" s="14" t="n">
        <v>69654</v>
      </c>
      <c r="GT382" s="14" t="n">
        <v>0</v>
      </c>
      <c r="GU382" s="14" t="n">
        <v>1786</v>
      </c>
      <c r="GV382" s="14" t="n">
        <v>1786</v>
      </c>
      <c r="GW382" s="15">
        <f>GS382+GT382+GU382+GV382</f>
        <v/>
      </c>
      <c r="GX382" s="15">
        <f>GM382+GR382+GW382</f>
        <v/>
      </c>
      <c r="GY382" s="14" t="n">
        <v>15460374</v>
      </c>
      <c r="GZ382" s="14" t="n">
        <v>0</v>
      </c>
      <c r="HA382" s="9">
        <f>GY382+GZ382</f>
        <v/>
      </c>
      <c r="HB382" s="15">
        <f>IF(GX382=0,"",AU382/GX382)</f>
        <v/>
      </c>
      <c r="HC382" s="16">
        <f>IF((GX382+GY382)=0,"",GB382/(GX382+GY382))</f>
        <v/>
      </c>
      <c r="HD382" s="15">
        <f>IF(GX382=0,"",GB382/GX382)</f>
        <v/>
      </c>
      <c r="HE382" s="14" t="n">
        <v>6</v>
      </c>
      <c r="HF382" s="14" t="n">
        <v>1</v>
      </c>
      <c r="HG382" s="14" t="n">
        <v>0</v>
      </c>
      <c r="HH382" s="14" t="n">
        <v>8</v>
      </c>
      <c r="HI382" s="14" t="n">
        <v>28</v>
      </c>
      <c r="HJ382" s="15">
        <f>HF382+HI382</f>
        <v/>
      </c>
      <c r="HK382" s="16">
        <f>IF(HE382=0,"",HH382/HE382)</f>
        <v/>
      </c>
      <c r="HL382" s="14" t="n">
        <v>49</v>
      </c>
      <c r="HM382" s="14" t="n">
        <v>30</v>
      </c>
      <c r="HN382" s="17">
        <f>IF(HL382=0,"",HM382/HL382)</f>
        <v/>
      </c>
    </row>
    <row r="383">
      <c r="A383" s="6" t="inlineStr">
        <is>
          <t>Zomba</t>
        </is>
      </c>
      <c r="B383" s="6" t="inlineStr">
        <is>
          <t>Thondwe</t>
        </is>
      </c>
      <c r="C383" s="7" t="inlineStr">
        <is>
          <t>FY2025/26</t>
        </is>
      </c>
      <c r="D383" s="7" t="n">
        <v>2025</v>
      </c>
      <c r="E383" s="7" t="n">
        <v>12</v>
      </c>
      <c r="F383" s="7" t="inlineStr">
        <is>
          <t>December</t>
        </is>
      </c>
      <c r="G383" s="7" t="inlineStr">
        <is>
          <t>Q3</t>
        </is>
      </c>
      <c r="H383" s="8" t="n">
        <v>4120</v>
      </c>
      <c r="I383" s="8" t="n">
        <v>269</v>
      </c>
      <c r="J383" s="8" t="n">
        <v>0</v>
      </c>
      <c r="K383" s="8" t="n">
        <v>26</v>
      </c>
      <c r="L383" s="8" t="n">
        <v>4</v>
      </c>
      <c r="M383" s="9">
        <f>SUM(I383,J383,K383,L383)</f>
        <v/>
      </c>
      <c r="N383" s="8" t="n">
        <v>1658.89999999999</v>
      </c>
      <c r="O383" s="8" t="n">
        <v>23.8</v>
      </c>
      <c r="P383" s="8" t="n">
        <v>14.2</v>
      </c>
      <c r="Q383" s="8" t="n">
        <v>7.5</v>
      </c>
      <c r="R383" s="9">
        <f>SUM(N383,O383,P383,Q383)</f>
        <v/>
      </c>
      <c r="S383" s="9">
        <f>M383+R383</f>
        <v/>
      </c>
      <c r="T383" s="8" t="n">
        <v>2116.60000000001</v>
      </c>
      <c r="U383" s="10">
        <f>IF(H383=0,"",T383/H383)</f>
        <v/>
      </c>
      <c r="V383" s="8" t="n">
        <v>7</v>
      </c>
      <c r="W383" s="11">
        <f>IF(H383=0,"",V383/H383)</f>
        <v/>
      </c>
      <c r="X383" s="8" t="n">
        <v>36</v>
      </c>
      <c r="Y383" s="11">
        <f>IF(H383=0,"",X383/H383)</f>
        <v/>
      </c>
      <c r="Z383" s="8" t="n">
        <v>20</v>
      </c>
      <c r="AA383" s="11">
        <f>IF(H383=0,"",Z383/H383)</f>
        <v/>
      </c>
      <c r="AB383" s="8" t="n">
        <v>0</v>
      </c>
      <c r="AC383" s="11">
        <f>IF(H383=0,"",AB383/H383)</f>
        <v/>
      </c>
      <c r="AD383" s="8" t="n">
        <v>0</v>
      </c>
      <c r="AE383" s="11">
        <f>IF(H383=0,"",AD383/H383)</f>
        <v/>
      </c>
      <c r="AF383" s="8" t="n">
        <v>0</v>
      </c>
      <c r="AG383" s="11">
        <f>IF(H383=0,"",AF383/H383)</f>
        <v/>
      </c>
      <c r="AH383" s="8" t="n">
        <v>737520</v>
      </c>
      <c r="AI383" s="9">
        <f>IF(H383=0,"",AH383/H383)</f>
        <v/>
      </c>
      <c r="AJ383" s="8" t="n">
        <v>193.7</v>
      </c>
      <c r="AK383" s="11">
        <f>IF(H383=0,"",AJ383/H383)</f>
        <v/>
      </c>
      <c r="AL383" s="8" t="n">
        <v>84546.40330000001</v>
      </c>
      <c r="AM383" s="9">
        <f>IF(H383=0,"",AL383/H383)</f>
        <v/>
      </c>
      <c r="AN383" s="8" t="n">
        <v>0</v>
      </c>
      <c r="AO383" s="8" t="n">
        <v>0</v>
      </c>
      <c r="AP383" s="8" t="n">
        <v>0</v>
      </c>
      <c r="AQ383" s="8" t="n">
        <v>0</v>
      </c>
      <c r="AR383" s="8" t="n">
        <v>0</v>
      </c>
      <c r="AS383" s="8" t="n">
        <v>0</v>
      </c>
      <c r="AT383" s="8" t="n">
        <v>0</v>
      </c>
      <c r="AU383" s="9">
        <f>AH383+AL383+AP383+AQ383+AR383+AS383+AT383</f>
        <v/>
      </c>
      <c r="AV383" s="9">
        <f>IF(H383=0,"",AU383/H383)</f>
        <v/>
      </c>
      <c r="AW383" s="9">
        <f>IF(S383=0,"",AU383/S383)</f>
        <v/>
      </c>
      <c r="AX383" s="8" t="n">
        <v>1</v>
      </c>
      <c r="AY383" s="9">
        <f>IF(H383=0,"",AX383/(H383/1000/12))</f>
        <v/>
      </c>
      <c r="AZ383" s="8" t="n">
        <v>4</v>
      </c>
      <c r="BA383" s="8" t="n">
        <v>0</v>
      </c>
      <c r="BB383" s="8" t="n">
        <v>5</v>
      </c>
      <c r="BC383" s="8" t="n">
        <v>3</v>
      </c>
      <c r="BD383" s="8" t="n">
        <v>0</v>
      </c>
      <c r="BE383" s="9">
        <f>BC383+BD383</f>
        <v/>
      </c>
      <c r="BF383" s="9">
        <f>BA383+BB383-BE383</f>
        <v/>
      </c>
      <c r="BG383" s="8" t="n">
        <v>0</v>
      </c>
      <c r="BH383" s="8" t="n">
        <v>0</v>
      </c>
      <c r="BI383" s="8" t="n">
        <v>0</v>
      </c>
      <c r="BJ383" s="8" t="n">
        <v>0</v>
      </c>
      <c r="BK383" s="9">
        <f>BI383+BJ383</f>
        <v/>
      </c>
      <c r="BL383" s="9">
        <f>BG383+BH383-BK383</f>
        <v/>
      </c>
      <c r="BM383" s="8" t="n">
        <v>0</v>
      </c>
      <c r="BN383" s="8" t="n">
        <v>0</v>
      </c>
      <c r="BO383" s="8" t="n">
        <v>0</v>
      </c>
      <c r="BP383" s="8" t="n">
        <v>0</v>
      </c>
      <c r="BQ383" s="9">
        <f>BO383+BP383</f>
        <v/>
      </c>
      <c r="BR383" s="9">
        <f>BM383+BN383-BQ383</f>
        <v/>
      </c>
      <c r="BS383" s="8" t="n">
        <v>0</v>
      </c>
      <c r="BT383" s="8" t="n">
        <v>0</v>
      </c>
      <c r="BU383" s="8" t="n">
        <v>0</v>
      </c>
      <c r="BV383" s="8" t="n">
        <v>0</v>
      </c>
      <c r="BW383" s="9">
        <f>BU383+BV383</f>
        <v/>
      </c>
      <c r="BX383" s="9">
        <f>BS383+BT383-BW383</f>
        <v/>
      </c>
      <c r="BY383" s="9">
        <f>BA383+BG383+BM383+BS383</f>
        <v/>
      </c>
      <c r="BZ383" s="9">
        <f>BB383+BH383+BN383+BT383</f>
        <v/>
      </c>
      <c r="CA383" s="9">
        <f>BE383+BK383+BQ383+BW383</f>
        <v/>
      </c>
      <c r="CB383" s="9">
        <f>BF383+BL383+BR383+BX383</f>
        <v/>
      </c>
      <c r="CC383" s="8" t="n">
        <v>0</v>
      </c>
      <c r="CD383" s="8" t="n">
        <v>85</v>
      </c>
      <c r="CE383" s="8" t="n">
        <v>1</v>
      </c>
      <c r="CF383" s="8" t="n">
        <v>1</v>
      </c>
      <c r="CG383" s="8" t="n">
        <v>0</v>
      </c>
      <c r="CH383" s="9">
        <f>CD383+CE383+CF383+CG383</f>
        <v/>
      </c>
      <c r="CI383" s="8" t="n">
        <v>37</v>
      </c>
      <c r="CJ383" s="8" t="n">
        <v>2</v>
      </c>
      <c r="CK383" s="8" t="n">
        <v>1</v>
      </c>
      <c r="CL383" s="8" t="n">
        <v>0</v>
      </c>
      <c r="CM383" s="9">
        <f>CI383+CJ383+CK383+CL383</f>
        <v/>
      </c>
      <c r="CN383" s="8" t="n">
        <v>495</v>
      </c>
      <c r="CO383" s="8" t="n">
        <v>7</v>
      </c>
      <c r="CP383" s="8" t="n">
        <v>11</v>
      </c>
      <c r="CQ383" s="8" t="n">
        <v>4</v>
      </c>
      <c r="CR383" s="9">
        <f>CN383+CO383+CP383+CQ383</f>
        <v/>
      </c>
      <c r="CS383" s="9">
        <f>CM383+CR383</f>
        <v/>
      </c>
      <c r="CT383" s="8" t="n">
        <v>644</v>
      </c>
      <c r="CU383" s="8" t="n">
        <v>3646</v>
      </c>
      <c r="CV383" s="8" t="n">
        <v>3645.3</v>
      </c>
      <c r="CW383" s="10">
        <f>IF(CU383=0,"",CV383/CU383)</f>
        <v/>
      </c>
      <c r="CX383" s="8" t="n">
        <v>0</v>
      </c>
      <c r="CY383" s="8" t="n">
        <v>0</v>
      </c>
      <c r="CZ383" s="8" t="n">
        <v>0</v>
      </c>
      <c r="DA383" s="8" t="n">
        <v>0</v>
      </c>
      <c r="DB383" s="9">
        <f>CX383+CY383-CZ383-DA383</f>
        <v/>
      </c>
      <c r="DC383" s="8" t="n">
        <v>0</v>
      </c>
      <c r="DD383" s="8" t="n">
        <v>0</v>
      </c>
      <c r="DE383" s="8" t="n">
        <v>0</v>
      </c>
      <c r="DF383" s="8" t="n">
        <v>0</v>
      </c>
      <c r="DG383" s="9">
        <f>DC383+DD383-DE383-DF383</f>
        <v/>
      </c>
      <c r="DH383" s="8" t="n">
        <v>0</v>
      </c>
      <c r="DI383" s="8" t="n">
        <v>0</v>
      </c>
      <c r="DJ383" s="8" t="n">
        <v>0</v>
      </c>
      <c r="DK383" s="8" t="n">
        <v>0</v>
      </c>
      <c r="DL383" s="9">
        <f>DH383+DI383-DJ383-DK383</f>
        <v/>
      </c>
      <c r="DM383" s="8" t="n">
        <v>0</v>
      </c>
      <c r="DN383" s="8" t="n">
        <v>0</v>
      </c>
      <c r="DO383" s="8" t="n">
        <v>0</v>
      </c>
      <c r="DP383" s="8" t="n">
        <v>0</v>
      </c>
      <c r="DQ383" s="9">
        <f>DM383+DN383-DO383-DP383</f>
        <v/>
      </c>
      <c r="DR383" s="9">
        <f>CX383+DC383+DH383+DM383</f>
        <v/>
      </c>
      <c r="DS383" s="9">
        <f>CY383+DD383+DI383+DN383</f>
        <v/>
      </c>
      <c r="DT383" s="9">
        <f>CZ383+DE383+DJ383+DO383</f>
        <v/>
      </c>
      <c r="DU383" s="9">
        <f>DA383+DF383+DK383+DP383</f>
        <v/>
      </c>
      <c r="DV383" s="9">
        <f>DB383+DG383+DL383+DQ383</f>
        <v/>
      </c>
      <c r="DW383" s="8" t="n">
        <v>2</v>
      </c>
      <c r="DX383" s="8" t="n">
        <v>0</v>
      </c>
      <c r="DY383" s="8" t="n">
        <v>0</v>
      </c>
      <c r="DZ383" s="8" t="n">
        <v>0</v>
      </c>
      <c r="EA383" s="8" t="n">
        <v>0</v>
      </c>
      <c r="EB383" s="8" t="n">
        <v>2</v>
      </c>
      <c r="EC383" s="8" t="n">
        <v>1</v>
      </c>
      <c r="ED383" s="8" t="n">
        <v>0</v>
      </c>
      <c r="EE383" s="8" t="n">
        <v>2</v>
      </c>
      <c r="EF383" s="8" t="n">
        <v>1</v>
      </c>
      <c r="EG383" s="8" t="n">
        <v>0</v>
      </c>
      <c r="EH383" s="8" t="n">
        <v>0</v>
      </c>
      <c r="EI383" s="8" t="n">
        <v>0</v>
      </c>
      <c r="EJ383" s="8" t="n">
        <v>0</v>
      </c>
      <c r="EK383" s="8" t="n">
        <v>0</v>
      </c>
      <c r="EL383" s="8" t="n">
        <v>0</v>
      </c>
      <c r="EM383" s="8" t="n">
        <v>0</v>
      </c>
      <c r="EN383" s="8" t="n">
        <v>0</v>
      </c>
      <c r="EO383" s="8" t="n">
        <v>0</v>
      </c>
      <c r="EP383" s="8" t="n">
        <v>0</v>
      </c>
      <c r="EQ383" s="8" t="n">
        <v>0</v>
      </c>
      <c r="ER383" s="8" t="n">
        <v>0</v>
      </c>
      <c r="ES383" s="8" t="n">
        <v>0</v>
      </c>
      <c r="ET383" s="8" t="n">
        <v>0</v>
      </c>
      <c r="EU383" s="8" t="n">
        <v>0</v>
      </c>
      <c r="EV383" s="8" t="n">
        <v>0</v>
      </c>
      <c r="EW383" s="8" t="n">
        <v>0</v>
      </c>
      <c r="EX383" s="8" t="n">
        <v>0</v>
      </c>
      <c r="EY383" s="8" t="n">
        <v>0</v>
      </c>
      <c r="EZ383" s="8" t="n">
        <v>0</v>
      </c>
      <c r="FA383" s="8" t="n">
        <v>0</v>
      </c>
      <c r="FB383" s="8" t="n">
        <v>0</v>
      </c>
      <c r="FC383" s="8" t="n">
        <v>0</v>
      </c>
      <c r="FD383" s="8" t="n">
        <v>0</v>
      </c>
      <c r="FE383" s="8" t="n">
        <v>0</v>
      </c>
      <c r="FF383" s="8" t="n">
        <v>0</v>
      </c>
      <c r="FG383" s="9">
        <f>SUM(DW383,DX383,DY383,DZ383,EA383,EB383,EC383,ED383,EE383,EF383,EG383,EH383,EI383,EJ383,EK383,EL383,EM383,EN383,EO383,EP383,EQ383,ER383,ES383,ET383,EU383,EV383,EW383,EX383,EY383,EZ383,FA383,FB383,FC383,FD383,FE383,FF383)</f>
        <v/>
      </c>
      <c r="FH383" s="8" t="n">
        <v>0</v>
      </c>
      <c r="FI383" s="8" t="n">
        <v>0</v>
      </c>
      <c r="FJ383" s="8" t="n">
        <v>11</v>
      </c>
      <c r="FK383" s="8" t="n">
        <v>0</v>
      </c>
      <c r="FL383" s="8" t="n">
        <v>0</v>
      </c>
      <c r="FM383" s="8" t="n">
        <v>0</v>
      </c>
      <c r="FN383" s="8" t="n">
        <v>0</v>
      </c>
      <c r="FO383" s="8" t="n">
        <v>0</v>
      </c>
      <c r="FP383" s="8" t="n">
        <v>0</v>
      </c>
      <c r="FQ383" s="9">
        <f>FL383+FM383+FN383+FO383+FP383</f>
        <v/>
      </c>
      <c r="FR383" s="8" t="n">
        <v>322850</v>
      </c>
      <c r="FS383" s="8" t="n">
        <v>0</v>
      </c>
      <c r="FT383" s="8" t="n">
        <v>0</v>
      </c>
      <c r="FU383" s="8" t="n">
        <v>0</v>
      </c>
      <c r="FV383" s="9">
        <f>FR383+FS383+FT383+FU383</f>
        <v/>
      </c>
      <c r="FW383" s="8" t="n">
        <v>2138660.74</v>
      </c>
      <c r="FX383" s="8" t="n">
        <v>5000</v>
      </c>
      <c r="FY383" s="8" t="n">
        <v>55054.17</v>
      </c>
      <c r="FZ383" s="8" t="n">
        <v>43000</v>
      </c>
      <c r="GA383" s="9">
        <f>FW383+FX383+FY383+FZ383</f>
        <v/>
      </c>
      <c r="GB383" s="9">
        <f>FV383+GA383</f>
        <v/>
      </c>
      <c r="GC383" s="8" t="n">
        <v>234159.77</v>
      </c>
      <c r="GD383" s="8" t="n">
        <v>0</v>
      </c>
      <c r="GE383" s="8" t="n">
        <v>78971.42</v>
      </c>
      <c r="GF383" s="8" t="n">
        <v>8410.99</v>
      </c>
      <c r="GG383" s="9">
        <f>GC383+GD383+GE383+GF383</f>
        <v/>
      </c>
      <c r="GH383" s="8" t="n">
        <v>2068170.74</v>
      </c>
      <c r="GI383" s="8" t="n">
        <v>5000</v>
      </c>
      <c r="GJ383" s="8" t="n">
        <v>43000</v>
      </c>
      <c r="GK383" s="8" t="n">
        <v>36448.08</v>
      </c>
      <c r="GL383" s="9">
        <f>GH383+GI383+GJ383+GK383</f>
        <v/>
      </c>
      <c r="GM383" s="9">
        <f>GG383+GL383</f>
        <v/>
      </c>
      <c r="GN383" s="8" t="n">
        <v>20162.41</v>
      </c>
      <c r="GO383" s="8" t="n">
        <v>0</v>
      </c>
      <c r="GP383" s="8" t="n">
        <v>6787.28</v>
      </c>
      <c r="GQ383" s="8" t="n">
        <v>4637.34</v>
      </c>
      <c r="GR383" s="9">
        <f>GN383+GO383+GP383+GQ383</f>
        <v/>
      </c>
      <c r="GS383" s="8" t="n">
        <v>33041</v>
      </c>
      <c r="GT383" s="8" t="n">
        <v>0</v>
      </c>
      <c r="GU383" s="8" t="n">
        <v>1786</v>
      </c>
      <c r="GV383" s="8" t="n">
        <v>893</v>
      </c>
      <c r="GW383" s="9">
        <f>GS383+GT383+GU383+GV383</f>
        <v/>
      </c>
      <c r="GX383" s="9">
        <f>GM383+GR383+GW383</f>
        <v/>
      </c>
      <c r="GY383" s="8" t="n">
        <v>15455284.25</v>
      </c>
      <c r="GZ383" s="8" t="n">
        <v>0</v>
      </c>
      <c r="HA383" s="9">
        <f>GY383+GZ383</f>
        <v/>
      </c>
      <c r="HB383" s="9">
        <f>IF(GX383=0,"",AU383/GX383)</f>
        <v/>
      </c>
      <c r="HC383" s="10">
        <f>IF((GX383+GY383)=0,"",GB383/(GX383+GY383))</f>
        <v/>
      </c>
      <c r="HD383" s="9">
        <f>IF(GX383=0,"",GB383/GX383)</f>
        <v/>
      </c>
      <c r="HE383" s="8" t="n">
        <v>3</v>
      </c>
      <c r="HF383" s="8" t="n">
        <v>1</v>
      </c>
      <c r="HG383" s="8" t="n">
        <v>2</v>
      </c>
      <c r="HH383" s="8" t="n">
        <v>5</v>
      </c>
      <c r="HI383" s="8" t="n">
        <v>1</v>
      </c>
      <c r="HJ383" s="9">
        <f>HF383+HI383</f>
        <v/>
      </c>
      <c r="HK383" s="10">
        <f>IF(HE383=0,"",HH383/HE383)</f>
        <v/>
      </c>
      <c r="HL383" s="8" t="n">
        <v>8</v>
      </c>
      <c r="HM383" s="8" t="n">
        <v>1</v>
      </c>
      <c r="HN383" s="11">
        <f>IF(HL383=0,"",HM383/HL383)</f>
        <v/>
      </c>
    </row>
    <row r="384">
      <c r="A384" s="12" t="inlineStr">
        <is>
          <t>Zomba</t>
        </is>
      </c>
      <c r="B384" s="12" t="inlineStr">
        <is>
          <t>Thondwe</t>
        </is>
      </c>
      <c r="C384" s="13" t="inlineStr">
        <is>
          <t>FY2025/26</t>
        </is>
      </c>
      <c r="D384" s="13" t="n">
        <v>2026</v>
      </c>
      <c r="E384" s="13" t="n">
        <v>1</v>
      </c>
      <c r="F384" s="13" t="inlineStr">
        <is>
          <t>January</t>
        </is>
      </c>
      <c r="G384" s="13" t="inlineStr">
        <is>
          <t>Q4</t>
        </is>
      </c>
      <c r="H384" s="14" t="n">
        <v>2750</v>
      </c>
      <c r="I384" s="14" t="n">
        <v>205</v>
      </c>
      <c r="J384" s="14" t="n">
        <v>0</v>
      </c>
      <c r="K384" s="14" t="n">
        <v>32</v>
      </c>
      <c r="L384" s="14" t="n">
        <v>4</v>
      </c>
      <c r="M384" s="15" t="n">
        <v>241</v>
      </c>
      <c r="N384" s="14" t="n">
        <v>1955.399999999998</v>
      </c>
      <c r="O384" s="14" t="n">
        <v>27.5</v>
      </c>
      <c r="P384" s="14" t="n">
        <v>2.5</v>
      </c>
      <c r="Q384" s="14" t="n">
        <v>9.800000000000001</v>
      </c>
      <c r="R384" s="15" t="n">
        <v>1995.199999999998</v>
      </c>
      <c r="S384" s="15" t="n">
        <v>2236.199999999998</v>
      </c>
      <c r="T384" s="14" t="n">
        <v>513.800000000002</v>
      </c>
      <c r="U384" s="16" t="n">
        <v>0.1868363636363644</v>
      </c>
      <c r="V384" s="14" t="n">
        <v>5</v>
      </c>
      <c r="W384" s="17" t="n">
        <v>1.818181818181818</v>
      </c>
      <c r="X384" s="14" t="n">
        <v>24</v>
      </c>
      <c r="Y384" s="17" t="n">
        <v>8.727272727272727</v>
      </c>
      <c r="Z384" s="14" t="n">
        <v>12</v>
      </c>
      <c r="AA384" s="17" t="n">
        <v>4.363636363636363</v>
      </c>
      <c r="AB384" s="14" t="n">
        <v>0</v>
      </c>
      <c r="AC384" s="17" t="n">
        <v>0</v>
      </c>
      <c r="AD384" s="14" t="n">
        <v>0</v>
      </c>
      <c r="AE384" s="17" t="n">
        <v>0</v>
      </c>
      <c r="AF384" s="14" t="n">
        <v>0</v>
      </c>
      <c r="AG384" s="17" t="n">
        <v>0</v>
      </c>
      <c r="AH384" s="14" t="n">
        <v>484192</v>
      </c>
      <c r="AI384" s="15" t="n">
        <v>176.0698181818182</v>
      </c>
      <c r="AJ384" s="14" t="n">
        <v>155.38</v>
      </c>
      <c r="AK384" s="17" t="n">
        <v>0.05650181818181818</v>
      </c>
      <c r="AL384" s="14" t="n">
        <v>74073.20242</v>
      </c>
      <c r="AM384" s="15" t="n">
        <v>26.93570997090909</v>
      </c>
      <c r="AN384" s="14" t="n">
        <v>0</v>
      </c>
      <c r="AO384" s="14" t="n">
        <v>0</v>
      </c>
      <c r="AP384" s="14" t="n">
        <v>0</v>
      </c>
      <c r="AQ384" s="14" t="n">
        <v>0</v>
      </c>
      <c r="AR384" s="14" t="n">
        <v>0</v>
      </c>
      <c r="AS384" s="14" t="n">
        <v>0</v>
      </c>
      <c r="AT384" s="14" t="n">
        <v>0</v>
      </c>
      <c r="AU384" s="15" t="n">
        <v>558265.20242</v>
      </c>
      <c r="AV384" s="15" t="n">
        <v>203.0055281527273</v>
      </c>
      <c r="AW384" s="15" t="n">
        <v>249.6490485734731</v>
      </c>
      <c r="AX384" s="14" t="n">
        <v>1</v>
      </c>
      <c r="AY384" s="15" t="n">
        <v>11.27272727272727</v>
      </c>
      <c r="AZ384" s="14" t="n">
        <v>4</v>
      </c>
      <c r="BA384" s="14" t="n">
        <v>2</v>
      </c>
      <c r="BB384" s="14" t="n">
        <v>4</v>
      </c>
      <c r="BC384" s="14" t="n">
        <v>6</v>
      </c>
      <c r="BD384" s="14" t="n">
        <v>0</v>
      </c>
      <c r="BE384" s="15" t="n">
        <v>6</v>
      </c>
      <c r="BF384" s="15" t="n">
        <v>0</v>
      </c>
      <c r="BG384" s="14" t="n">
        <v>0</v>
      </c>
      <c r="BH384" s="14" t="n">
        <v>0</v>
      </c>
      <c r="BI384" s="14" t="n">
        <v>0</v>
      </c>
      <c r="BJ384" s="14" t="n">
        <v>0</v>
      </c>
      <c r="BK384" s="15" t="n">
        <v>0</v>
      </c>
      <c r="BL384" s="15" t="n">
        <v>0</v>
      </c>
      <c r="BM384" s="14" t="n">
        <v>0</v>
      </c>
      <c r="BN384" s="14" t="n">
        <v>0</v>
      </c>
      <c r="BO384" s="14" t="n">
        <v>0</v>
      </c>
      <c r="BP384" s="14" t="n">
        <v>0</v>
      </c>
      <c r="BQ384" s="15" t="n">
        <v>0</v>
      </c>
      <c r="BR384" s="15" t="n">
        <v>0</v>
      </c>
      <c r="BS384" s="14" t="n">
        <v>0</v>
      </c>
      <c r="BT384" s="14" t="n">
        <v>0</v>
      </c>
      <c r="BU384" s="14" t="n">
        <v>0</v>
      </c>
      <c r="BV384" s="14" t="n">
        <v>0</v>
      </c>
      <c r="BW384" s="15" t="n">
        <v>0</v>
      </c>
      <c r="BX384" s="15" t="n">
        <v>0</v>
      </c>
      <c r="BY384" s="15" t="n">
        <v>2</v>
      </c>
      <c r="BZ384" s="15" t="n">
        <v>4</v>
      </c>
      <c r="CA384" s="15" t="n">
        <v>6</v>
      </c>
      <c r="CB384" s="15" t="n">
        <v>0</v>
      </c>
      <c r="CC384" s="14" t="n">
        <v>0</v>
      </c>
      <c r="CD384" s="14" t="n">
        <v>85</v>
      </c>
      <c r="CE384" s="14" t="n">
        <v>1</v>
      </c>
      <c r="CF384" s="14" t="n">
        <v>1</v>
      </c>
      <c r="CG384" s="14" t="n">
        <v>0</v>
      </c>
      <c r="CH384" s="15" t="n">
        <v>87</v>
      </c>
      <c r="CI384" s="14" t="n">
        <v>38</v>
      </c>
      <c r="CJ384" s="14" t="n">
        <v>2</v>
      </c>
      <c r="CK384" s="14" t="n">
        <v>1</v>
      </c>
      <c r="CL384" s="14" t="n">
        <v>0</v>
      </c>
      <c r="CM384" s="15" t="n">
        <v>41</v>
      </c>
      <c r="CN384" s="14" t="n">
        <v>500</v>
      </c>
      <c r="CO384" s="14" t="n">
        <v>7</v>
      </c>
      <c r="CP384" s="14" t="n">
        <v>11</v>
      </c>
      <c r="CQ384" s="14" t="n">
        <v>4</v>
      </c>
      <c r="CR384" s="15" t="n">
        <v>522</v>
      </c>
      <c r="CS384" s="15" t="n">
        <v>563</v>
      </c>
      <c r="CT384" s="14" t="n">
        <v>650</v>
      </c>
      <c r="CU384" s="14" t="n">
        <v>3653</v>
      </c>
      <c r="CV384" s="14" t="n">
        <v>3649.3</v>
      </c>
      <c r="CW384" s="16" t="n">
        <v>0.9989871338625788</v>
      </c>
      <c r="CX384" s="14" t="n">
        <v>0</v>
      </c>
      <c r="CY384" s="14" t="n">
        <v>0</v>
      </c>
      <c r="CZ384" s="14" t="n">
        <v>0</v>
      </c>
      <c r="DA384" s="14" t="n">
        <v>0</v>
      </c>
      <c r="DB384" s="15" t="n">
        <v>0</v>
      </c>
      <c r="DC384" s="14" t="n">
        <v>0</v>
      </c>
      <c r="DD384" s="14" t="n">
        <v>0</v>
      </c>
      <c r="DE384" s="14" t="n">
        <v>0</v>
      </c>
      <c r="DF384" s="14" t="n">
        <v>0</v>
      </c>
      <c r="DG384" s="15" t="n">
        <v>0</v>
      </c>
      <c r="DH384" s="14" t="n">
        <v>0</v>
      </c>
      <c r="DI384" s="14" t="n">
        <v>0</v>
      </c>
      <c r="DJ384" s="14" t="n">
        <v>0</v>
      </c>
      <c r="DK384" s="14" t="n">
        <v>0</v>
      </c>
      <c r="DL384" s="15" t="n">
        <v>0</v>
      </c>
      <c r="DM384" s="14" t="n">
        <v>0</v>
      </c>
      <c r="DN384" s="14" t="n">
        <v>0</v>
      </c>
      <c r="DO384" s="14" t="n">
        <v>0</v>
      </c>
      <c r="DP384" s="14" t="n">
        <v>0</v>
      </c>
      <c r="DQ384" s="15" t="n">
        <v>0</v>
      </c>
      <c r="DR384" s="15" t="n">
        <v>0</v>
      </c>
      <c r="DS384" s="15" t="n">
        <v>0</v>
      </c>
      <c r="DT384" s="15" t="n">
        <v>0</v>
      </c>
      <c r="DU384" s="15" t="n">
        <v>0</v>
      </c>
      <c r="DV384" s="15" t="n">
        <v>0</v>
      </c>
      <c r="DW384" s="14" t="n">
        <v>1</v>
      </c>
      <c r="DX384" s="14" t="n">
        <v>1</v>
      </c>
      <c r="DY384" s="14" t="n">
        <v>0</v>
      </c>
      <c r="DZ384" s="14" t="n">
        <v>0</v>
      </c>
      <c r="EA384" s="14" t="n">
        <v>0</v>
      </c>
      <c r="EB384" s="14" t="n">
        <v>0</v>
      </c>
      <c r="EC384" s="14" t="n">
        <v>0</v>
      </c>
      <c r="ED384" s="14" t="n">
        <v>0</v>
      </c>
      <c r="EE384" s="14" t="n">
        <v>1</v>
      </c>
      <c r="EF384" s="14" t="n">
        <v>1</v>
      </c>
      <c r="EG384" s="14" t="n">
        <v>0</v>
      </c>
      <c r="EH384" s="14" t="n">
        <v>0</v>
      </c>
      <c r="EI384" s="14" t="n">
        <v>0</v>
      </c>
      <c r="EJ384" s="14" t="n">
        <v>0</v>
      </c>
      <c r="EK384" s="14" t="n">
        <v>0</v>
      </c>
      <c r="EL384" s="14" t="n">
        <v>0</v>
      </c>
      <c r="EM384" s="14" t="n">
        <v>0</v>
      </c>
      <c r="EN384" s="14" t="n">
        <v>0</v>
      </c>
      <c r="EO384" s="14" t="n">
        <v>0</v>
      </c>
      <c r="EP384" s="14" t="n">
        <v>0</v>
      </c>
      <c r="EQ384" s="14" t="n">
        <v>0</v>
      </c>
      <c r="ER384" s="14" t="n">
        <v>0</v>
      </c>
      <c r="ES384" s="14" t="n">
        <v>0</v>
      </c>
      <c r="ET384" s="14" t="n">
        <v>0</v>
      </c>
      <c r="EU384" s="14" t="n">
        <v>0</v>
      </c>
      <c r="EV384" s="14" t="n">
        <v>0</v>
      </c>
      <c r="EW384" s="14" t="n">
        <v>0</v>
      </c>
      <c r="EX384" s="14" t="n">
        <v>0</v>
      </c>
      <c r="EY384" s="14" t="n">
        <v>0</v>
      </c>
      <c r="EZ384" s="14" t="n">
        <v>0</v>
      </c>
      <c r="FA384" s="14" t="n">
        <v>0</v>
      </c>
      <c r="FB384" s="14" t="n">
        <v>0</v>
      </c>
      <c r="FC384" s="14" t="n">
        <v>0</v>
      </c>
      <c r="FD384" s="14" t="n">
        <v>0</v>
      </c>
      <c r="FE384" s="14" t="n">
        <v>0</v>
      </c>
      <c r="FF384" s="14" t="n">
        <v>0</v>
      </c>
      <c r="FG384" s="15" t="n">
        <v>4</v>
      </c>
      <c r="FH384" s="14" t="n">
        <v>0</v>
      </c>
      <c r="FI384" s="14" t="n">
        <v>0</v>
      </c>
      <c r="FJ384" s="14" t="n">
        <v>10</v>
      </c>
      <c r="FK384" s="14" t="n">
        <v>0</v>
      </c>
      <c r="FL384" s="14" t="n">
        <v>0</v>
      </c>
      <c r="FM384" s="14" t="n">
        <v>0</v>
      </c>
      <c r="FN384" s="14" t="n">
        <v>0</v>
      </c>
      <c r="FO384" s="14" t="n">
        <v>0</v>
      </c>
      <c r="FP384" s="14" t="n">
        <v>0</v>
      </c>
      <c r="FQ384" s="15" t="n">
        <v>0</v>
      </c>
      <c r="FR384" s="14" t="n">
        <v>300400</v>
      </c>
      <c r="FS384" s="14" t="n">
        <v>0</v>
      </c>
      <c r="FT384" s="14" t="n">
        <v>0</v>
      </c>
      <c r="FU384" s="14" t="n">
        <v>0</v>
      </c>
      <c r="FV384" s="15" t="n">
        <v>300400</v>
      </c>
      <c r="FW384" s="14" t="n">
        <v>2486871.62</v>
      </c>
      <c r="FX384" s="14" t="n">
        <v>5850</v>
      </c>
      <c r="FY384" s="14" t="n">
        <v>59000</v>
      </c>
      <c r="FZ384" s="14" t="n">
        <v>7500</v>
      </c>
      <c r="GA384" s="15" t="n">
        <v>2559221.62</v>
      </c>
      <c r="GB384" s="15" t="n">
        <v>2859621.62</v>
      </c>
      <c r="GC384" s="14" t="n">
        <v>173986.69</v>
      </c>
      <c r="GD384" s="14" t="n">
        <v>0</v>
      </c>
      <c r="GE384" s="14" t="n">
        <v>92809.3</v>
      </c>
      <c r="GF384" s="14" t="n">
        <v>8410.99</v>
      </c>
      <c r="GG384" s="15" t="n">
        <v>275206.98</v>
      </c>
      <c r="GH384" s="14" t="n">
        <v>2435541.62</v>
      </c>
      <c r="GI384" s="14" t="n">
        <v>5850</v>
      </c>
      <c r="GJ384" s="14" t="n">
        <v>7500</v>
      </c>
      <c r="GK384" s="14" t="n">
        <v>46460</v>
      </c>
      <c r="GL384" s="15" t="n">
        <v>2495351.62</v>
      </c>
      <c r="GM384" s="15" t="n">
        <v>2770558.6</v>
      </c>
      <c r="GN384" s="14" t="n">
        <v>20707.34</v>
      </c>
      <c r="GO384" s="14" t="n">
        <v>0</v>
      </c>
      <c r="GP384" s="14" t="n">
        <v>6787.28</v>
      </c>
      <c r="GQ384" s="14" t="n">
        <v>4637.34</v>
      </c>
      <c r="GR384" s="15" t="n">
        <v>32131.96</v>
      </c>
      <c r="GS384" s="14" t="n">
        <v>33934</v>
      </c>
      <c r="GT384" s="14" t="n">
        <v>0</v>
      </c>
      <c r="GU384" s="14" t="n">
        <v>1786</v>
      </c>
      <c r="GV384" s="14" t="n">
        <v>893</v>
      </c>
      <c r="GW384" s="15" t="n">
        <v>36613</v>
      </c>
      <c r="GX384" s="15" t="n">
        <v>2839303.56</v>
      </c>
      <c r="GY384" s="14" t="n">
        <v>15501647.23</v>
      </c>
      <c r="GZ384" s="14" t="n">
        <v>0</v>
      </c>
      <c r="HA384" s="9">
        <f>GY384+GZ384</f>
        <v/>
      </c>
      <c r="HB384" s="15" t="n">
        <v>2839303.56</v>
      </c>
      <c r="HC384" s="16" t="n">
        <v>0</v>
      </c>
      <c r="HD384" s="15" t="n">
        <v>0</v>
      </c>
      <c r="HE384" s="14" t="n">
        <v>4</v>
      </c>
      <c r="HF384" s="14" t="n">
        <v>1</v>
      </c>
      <c r="HG384" s="14" t="n">
        <v>0</v>
      </c>
      <c r="HH384" s="14" t="n">
        <v>4</v>
      </c>
      <c r="HI384" s="14" t="n">
        <v>5</v>
      </c>
      <c r="HJ384" s="15" t="n">
        <v>1.25</v>
      </c>
      <c r="HK384" s="16" t="n">
        <v>0</v>
      </c>
      <c r="HL384" s="14" t="n">
        <v>10</v>
      </c>
      <c r="HM384" s="14" t="n">
        <v>2</v>
      </c>
      <c r="HN384" s="17" t="n">
        <v>5</v>
      </c>
    </row>
    <row r="385">
      <c r="A385" s="6" t="inlineStr">
        <is>
          <t>Zomba</t>
        </is>
      </c>
      <c r="B385" s="6" t="inlineStr">
        <is>
          <t>Thondwe</t>
        </is>
      </c>
      <c r="C385" s="7" t="inlineStr">
        <is>
          <t>FY2025/26</t>
        </is>
      </c>
      <c r="D385" s="7" t="n">
        <v>2026</v>
      </c>
      <c r="E385" s="7" t="n">
        <v>2</v>
      </c>
      <c r="F385" s="7" t="inlineStr">
        <is>
          <t>February</t>
        </is>
      </c>
      <c r="G385" s="7" t="inlineStr">
        <is>
          <t>Q4</t>
        </is>
      </c>
      <c r="H385" s="8" t="n">
        <v>2620</v>
      </c>
      <c r="I385" s="8" t="n">
        <v>235</v>
      </c>
      <c r="J385" s="8" t="n">
        <v>0</v>
      </c>
      <c r="K385" s="8" t="n">
        <v>39</v>
      </c>
      <c r="L385" s="8" t="n">
        <v>8</v>
      </c>
      <c r="M385" s="9">
        <f>SUM(I385,J385,K385,L385)</f>
        <v/>
      </c>
      <c r="N385" s="8" t="n">
        <v>2022.199999999995</v>
      </c>
      <c r="O385" s="8" t="n">
        <v>23.5</v>
      </c>
      <c r="P385" s="8" t="n">
        <v>11.2</v>
      </c>
      <c r="Q385" s="8" t="n">
        <v>15.7</v>
      </c>
      <c r="R385" s="9">
        <f>SUM(N385,O385,P385,Q385)</f>
        <v/>
      </c>
      <c r="S385" s="9">
        <f>M385+R385</f>
        <v/>
      </c>
      <c r="T385" s="8" t="n">
        <v>265.4000000000055</v>
      </c>
      <c r="U385" s="10">
        <f>IF(H385=0,"",T385/H385)</f>
        <v/>
      </c>
      <c r="V385" s="8" t="n">
        <v>7</v>
      </c>
      <c r="W385" s="11">
        <f>IF(H385=0,"",V385/H385)</f>
        <v/>
      </c>
      <c r="X385" s="8" t="n">
        <v>32</v>
      </c>
      <c r="Y385" s="11">
        <f>IF(H385=0,"",X385/H385)</f>
        <v/>
      </c>
      <c r="Z385" s="8" t="n">
        <v>11</v>
      </c>
      <c r="AA385" s="11">
        <f>IF(H385=0,"",Z385/H385)</f>
        <v/>
      </c>
      <c r="AB385" s="8" t="n">
        <v>0</v>
      </c>
      <c r="AC385" s="11">
        <f>IF(H385=0,"",AB385/H385)</f>
        <v/>
      </c>
      <c r="AD385" s="8" t="n">
        <v>0</v>
      </c>
      <c r="AE385" s="11">
        <f>IF(H385=0,"",AD385/H385)</f>
        <v/>
      </c>
      <c r="AF385" s="8" t="n">
        <v>0</v>
      </c>
      <c r="AG385" s="11">
        <f>IF(H385=0,"",AF385/H385)</f>
        <v/>
      </c>
      <c r="AH385" s="8" t="n">
        <v>593676</v>
      </c>
      <c r="AI385" s="9">
        <f>IF(H385=0,"",AH385/H385)</f>
        <v/>
      </c>
      <c r="AJ385" s="8" t="n">
        <v>149.98</v>
      </c>
      <c r="AK385" s="11">
        <f>IF(H385=0,"",AJ385/H385)</f>
        <v/>
      </c>
      <c r="AL385" s="8" t="n">
        <v>72597.33382</v>
      </c>
      <c r="AM385" s="9">
        <f>IF(H385=0,"",AL385/H385)</f>
        <v/>
      </c>
      <c r="AN385" s="8" t="n">
        <v>0</v>
      </c>
      <c r="AO385" s="8" t="n">
        <v>0</v>
      </c>
      <c r="AP385" s="8" t="n">
        <v>0</v>
      </c>
      <c r="AQ385" s="8" t="n">
        <v>0</v>
      </c>
      <c r="AR385" s="8" t="n">
        <v>0</v>
      </c>
      <c r="AS385" s="8" t="n">
        <v>0</v>
      </c>
      <c r="AT385" s="8" t="n">
        <v>0</v>
      </c>
      <c r="AU385" s="9">
        <f>AH385+AL385+AP385+AQ385+AR385+AS385+AT385</f>
        <v/>
      </c>
      <c r="AV385" s="9">
        <f>IF(H385=0,"",AU385/H385)</f>
        <v/>
      </c>
      <c r="AW385" s="9">
        <f>IF(S385=0,"",AU385/S385)</f>
        <v/>
      </c>
      <c r="AX385" s="8" t="n">
        <v>1</v>
      </c>
      <c r="AY385" s="9">
        <f>IF(H385=0,"",AX385/(H385/1000/12))</f>
        <v/>
      </c>
      <c r="AZ385" s="8" t="n">
        <v>4</v>
      </c>
      <c r="BA385" s="8" t="n">
        <v>0</v>
      </c>
      <c r="BB385" s="8" t="n">
        <v>9</v>
      </c>
      <c r="BC385" s="8" t="n">
        <v>9</v>
      </c>
      <c r="BD385" s="8" t="n">
        <v>0</v>
      </c>
      <c r="BE385" s="9">
        <f>BC385+BD385</f>
        <v/>
      </c>
      <c r="BF385" s="9">
        <f>BA385+BB385-BE385</f>
        <v/>
      </c>
      <c r="BG385" s="8" t="n">
        <v>0</v>
      </c>
      <c r="BH385" s="8" t="n">
        <v>0</v>
      </c>
      <c r="BI385" s="8" t="n">
        <v>0</v>
      </c>
      <c r="BJ385" s="8" t="n">
        <v>0</v>
      </c>
      <c r="BK385" s="9">
        <f>BI385+BJ385</f>
        <v/>
      </c>
      <c r="BL385" s="9">
        <f>BG385+BH385-BK385</f>
        <v/>
      </c>
      <c r="BM385" s="8" t="n">
        <v>0</v>
      </c>
      <c r="BN385" s="8" t="n">
        <v>0</v>
      </c>
      <c r="BO385" s="8" t="n">
        <v>0</v>
      </c>
      <c r="BP385" s="8" t="n">
        <v>0</v>
      </c>
      <c r="BQ385" s="9">
        <f>BO385+BP385</f>
        <v/>
      </c>
      <c r="BR385" s="9">
        <f>BM385+BN385-BQ385</f>
        <v/>
      </c>
      <c r="BS385" s="8" t="n">
        <v>0</v>
      </c>
      <c r="BT385" s="8" t="n">
        <v>0</v>
      </c>
      <c r="BU385" s="8" t="n">
        <v>0</v>
      </c>
      <c r="BV385" s="8" t="n">
        <v>0</v>
      </c>
      <c r="BW385" s="9">
        <f>BU385+BV385</f>
        <v/>
      </c>
      <c r="BX385" s="9">
        <f>BS385+BT385-BW385</f>
        <v/>
      </c>
      <c r="BY385" s="9">
        <f>BA385+BG385+BM385+BS385</f>
        <v/>
      </c>
      <c r="BZ385" s="9">
        <f>BB385+BH385+BN385+BT385</f>
        <v/>
      </c>
      <c r="CA385" s="9">
        <f>BE385+BK385+BQ385+BW385</f>
        <v/>
      </c>
      <c r="CB385" s="9">
        <f>BF385+BL385+BR385+BX385</f>
        <v/>
      </c>
      <c r="CC385" s="8" t="n">
        <v>0</v>
      </c>
      <c r="CD385" s="8" t="n">
        <v>116</v>
      </c>
      <c r="CE385" s="8" t="n">
        <v>1</v>
      </c>
      <c r="CF385" s="8" t="n">
        <v>0</v>
      </c>
      <c r="CG385" s="8" t="n">
        <v>0</v>
      </c>
      <c r="CH385" s="9">
        <f>CD385+CE385+CF385+CG385</f>
        <v/>
      </c>
      <c r="CI385" s="8" t="n">
        <v>30</v>
      </c>
      <c r="CJ385" s="8" t="n">
        <v>2</v>
      </c>
      <c r="CK385" s="8" t="n">
        <v>2</v>
      </c>
      <c r="CL385" s="8" t="n">
        <v>0</v>
      </c>
      <c r="CM385" s="9">
        <f>CI385+CJ385+CK385+CL385</f>
        <v/>
      </c>
      <c r="CN385" s="8" t="n">
        <v>486</v>
      </c>
      <c r="CO385" s="8" t="n">
        <v>7</v>
      </c>
      <c r="CP385" s="8" t="n">
        <v>11</v>
      </c>
      <c r="CQ385" s="8" t="n">
        <v>4</v>
      </c>
      <c r="CR385" s="9">
        <f>CN385+CO385+CP385+CQ385</f>
        <v/>
      </c>
      <c r="CS385" s="9">
        <f>CM385+CR385</f>
        <v/>
      </c>
      <c r="CT385" s="8" t="n">
        <v>659</v>
      </c>
      <c r="CU385" s="8" t="n">
        <v>3660</v>
      </c>
      <c r="CV385" s="8" t="n">
        <v>3657.6</v>
      </c>
      <c r="CW385" s="10">
        <f>IF(CU385=0,"",CV385/CU385)</f>
        <v/>
      </c>
      <c r="CX385" s="8" t="n">
        <v>0</v>
      </c>
      <c r="CY385" s="8" t="n">
        <v>0</v>
      </c>
      <c r="CZ385" s="8" t="n">
        <v>0</v>
      </c>
      <c r="DA385" s="8" t="n">
        <v>0</v>
      </c>
      <c r="DB385" s="9">
        <f>CX385+CY385-CZ385-DA385</f>
        <v/>
      </c>
      <c r="DC385" s="8" t="n">
        <v>0</v>
      </c>
      <c r="DD385" s="8" t="n">
        <v>0</v>
      </c>
      <c r="DE385" s="8" t="n">
        <v>0</v>
      </c>
      <c r="DF385" s="8" t="n">
        <v>0</v>
      </c>
      <c r="DG385" s="9">
        <f>DC385+DD385-DE385-DF385</f>
        <v/>
      </c>
      <c r="DH385" s="8" t="n">
        <v>0</v>
      </c>
      <c r="DI385" s="8" t="n">
        <v>0</v>
      </c>
      <c r="DJ385" s="8" t="n">
        <v>0</v>
      </c>
      <c r="DK385" s="8" t="n">
        <v>0</v>
      </c>
      <c r="DL385" s="9">
        <f>DH385+DI385-DJ385-DK385</f>
        <v/>
      </c>
      <c r="DM385" s="8" t="n">
        <v>0</v>
      </c>
      <c r="DN385" s="8" t="n">
        <v>0</v>
      </c>
      <c r="DO385" s="8" t="n">
        <v>0</v>
      </c>
      <c r="DP385" s="8" t="n">
        <v>0</v>
      </c>
      <c r="DQ385" s="9">
        <f>DM385+DN385-DO385-DP385</f>
        <v/>
      </c>
      <c r="DR385" s="9">
        <f>CX385+DC385+DH385+DM385</f>
        <v/>
      </c>
      <c r="DS385" s="9">
        <f>CY385+DD385+DI385+DN385</f>
        <v/>
      </c>
      <c r="DT385" s="9">
        <f>CZ385+DE385+DJ385+DO385</f>
        <v/>
      </c>
      <c r="DU385" s="9">
        <f>DA385+DF385+DK385+DP385</f>
        <v/>
      </c>
      <c r="DV385" s="9">
        <f>DB385+DG385+DL385+DQ385</f>
        <v/>
      </c>
      <c r="DW385" s="8" t="n">
        <v>0</v>
      </c>
      <c r="DX385" s="8" t="n">
        <v>0</v>
      </c>
      <c r="DY385" s="8" t="n">
        <v>2</v>
      </c>
      <c r="DZ385" s="8" t="n">
        <v>1</v>
      </c>
      <c r="EA385" s="8" t="n">
        <v>0</v>
      </c>
      <c r="EB385" s="8" t="n">
        <v>1</v>
      </c>
      <c r="EC385" s="8" t="n">
        <v>0</v>
      </c>
      <c r="ED385" s="8" t="n">
        <v>1</v>
      </c>
      <c r="EE385" s="8" t="n">
        <v>1</v>
      </c>
      <c r="EF385" s="8" t="n">
        <v>1</v>
      </c>
      <c r="EG385" s="8" t="n">
        <v>0</v>
      </c>
      <c r="EH385" s="8" t="n">
        <v>0</v>
      </c>
      <c r="EI385" s="8" t="n">
        <v>0</v>
      </c>
      <c r="EJ385" s="8" t="n">
        <v>0</v>
      </c>
      <c r="EK385" s="8" t="n">
        <v>0</v>
      </c>
      <c r="EL385" s="8" t="n">
        <v>0</v>
      </c>
      <c r="EM385" s="8" t="n">
        <v>0</v>
      </c>
      <c r="EN385" s="8" t="n">
        <v>0</v>
      </c>
      <c r="EO385" s="8" t="n">
        <v>0</v>
      </c>
      <c r="EP385" s="8" t="n">
        <v>0</v>
      </c>
      <c r="EQ385" s="8" t="n">
        <v>0</v>
      </c>
      <c r="ER385" s="8" t="n">
        <v>0</v>
      </c>
      <c r="ES385" s="8" t="n">
        <v>0</v>
      </c>
      <c r="ET385" s="8" t="n">
        <v>0</v>
      </c>
      <c r="EU385" s="8" t="n">
        <v>0</v>
      </c>
      <c r="EV385" s="8" t="n">
        <v>0</v>
      </c>
      <c r="EW385" s="8" t="n">
        <v>0</v>
      </c>
      <c r="EX385" s="8" t="n">
        <v>0</v>
      </c>
      <c r="EY385" s="8" t="n">
        <v>0</v>
      </c>
      <c r="EZ385" s="8" t="n">
        <v>0</v>
      </c>
      <c r="FA385" s="8" t="n">
        <v>0</v>
      </c>
      <c r="FB385" s="8" t="n">
        <v>0</v>
      </c>
      <c r="FC385" s="8" t="n">
        <v>0</v>
      </c>
      <c r="FD385" s="8" t="n">
        <v>0</v>
      </c>
      <c r="FE385" s="8" t="n">
        <v>0</v>
      </c>
      <c r="FF385" s="8" t="n">
        <v>0</v>
      </c>
      <c r="FG385" s="9">
        <f>SUM(DW385,DX385,DY385,DZ385,EA385,EB385,EC385,ED385,EE385,EF385,EG385,EH385,EI385,EJ385,EK385,EL385,EM385,EN385,EO385,EP385,EQ385,ER385,ES385,ET385,EU385,EV385,EW385,EX385,EY385,EZ385,FA385,FB385,FC385,FD385,FE385,FF385)</f>
        <v/>
      </c>
      <c r="FH385" s="8" t="n">
        <v>0</v>
      </c>
      <c r="FI385" s="8" t="n">
        <v>0</v>
      </c>
      <c r="FJ385" s="8" t="n">
        <v>12</v>
      </c>
      <c r="FK385" s="8" t="n">
        <v>0</v>
      </c>
      <c r="FL385" s="8" t="n">
        <v>0</v>
      </c>
      <c r="FM385" s="8" t="n">
        <v>0</v>
      </c>
      <c r="FN385" s="8" t="n">
        <v>0</v>
      </c>
      <c r="FO385" s="8" t="n">
        <v>0</v>
      </c>
      <c r="FP385" s="8" t="n">
        <v>0</v>
      </c>
      <c r="FQ385" s="9">
        <f>FL385+FM385+FN385+FO385+FP385</f>
        <v/>
      </c>
      <c r="FR385" s="8" t="n">
        <v>218418.68</v>
      </c>
      <c r="FS385" s="8" t="n">
        <v>0</v>
      </c>
      <c r="FT385" s="8" t="n">
        <v>0</v>
      </c>
      <c r="FU385" s="8" t="n">
        <v>0</v>
      </c>
      <c r="FV385" s="9">
        <f>FR385+FS385+FT385+FU385</f>
        <v/>
      </c>
      <c r="FW385" s="8" t="n">
        <v>2565115.44</v>
      </c>
      <c r="FX385" s="8" t="n">
        <v>5000</v>
      </c>
      <c r="FY385" s="8" t="n">
        <v>91700</v>
      </c>
      <c r="FZ385" s="8" t="n">
        <v>34100</v>
      </c>
      <c r="GA385" s="9">
        <f>FW385+FX385+FY385+FZ385</f>
        <v/>
      </c>
      <c r="GB385" s="9">
        <f>FV385+GA385</f>
        <v/>
      </c>
      <c r="GC385" s="8" t="n">
        <v>206808.35</v>
      </c>
      <c r="GD385" s="8" t="n">
        <v>0</v>
      </c>
      <c r="GE385" s="8" t="n">
        <v>117025.59</v>
      </c>
      <c r="GF385" s="8" t="n">
        <v>16821.98</v>
      </c>
      <c r="GG385" s="9">
        <f>GC385+GD385+GE385+GF385</f>
        <v/>
      </c>
      <c r="GH385" s="8" t="n">
        <v>2520871.44</v>
      </c>
      <c r="GI385" s="8" t="n">
        <v>5000</v>
      </c>
      <c r="GJ385" s="8" t="n">
        <v>34100</v>
      </c>
      <c r="GK385" s="8" t="n">
        <v>74300</v>
      </c>
      <c r="GL385" s="9">
        <f>GH385+GI385+GJ385+GK385</f>
        <v/>
      </c>
      <c r="GM385" s="9">
        <f>GG385+GL385</f>
        <v/>
      </c>
      <c r="GN385" s="8" t="n">
        <v>16347.9</v>
      </c>
      <c r="GO385" s="8" t="n">
        <v>0</v>
      </c>
      <c r="GP385" s="8" t="n">
        <v>6787.28</v>
      </c>
      <c r="GQ385" s="8" t="n">
        <v>9274.68</v>
      </c>
      <c r="GR385" s="9">
        <f>GN385+GO385+GP385+GQ385</f>
        <v/>
      </c>
      <c r="GS385" s="8" t="n">
        <v>26790</v>
      </c>
      <c r="GT385" s="8" t="n">
        <v>0</v>
      </c>
      <c r="GU385" s="8" t="n">
        <v>1786</v>
      </c>
      <c r="GV385" s="8" t="n">
        <v>1786</v>
      </c>
      <c r="GW385" s="9">
        <f>GS385+GT385+GU385+GV385</f>
        <v/>
      </c>
      <c r="GX385" s="9">
        <f>GM385+GR385+GW385</f>
        <v/>
      </c>
      <c r="GY385" s="8" t="n">
        <v>15719184.59</v>
      </c>
      <c r="GZ385" s="8" t="n">
        <v>0</v>
      </c>
      <c r="HA385" s="9">
        <f>GY385+GZ385</f>
        <v/>
      </c>
      <c r="HB385" s="9">
        <f>IF(GX385=0,"",AU385/GX385)</f>
        <v/>
      </c>
      <c r="HC385" s="10">
        <f>IF((GX385+GY385)=0,"",GB385/(GX385+GY385))</f>
        <v/>
      </c>
      <c r="HD385" s="9">
        <f>IF(GX385=0,"",GB385/GX385)</f>
        <v/>
      </c>
      <c r="HE385" s="8" t="n">
        <v>9</v>
      </c>
      <c r="HF385" s="8" t="n">
        <v>1</v>
      </c>
      <c r="HG385" s="8" t="n">
        <v>0</v>
      </c>
      <c r="HH385" s="8" t="n">
        <v>9</v>
      </c>
      <c r="HI385" s="8" t="n">
        <v>7</v>
      </c>
      <c r="HJ385" s="9">
        <f>HF385+HI385</f>
        <v/>
      </c>
      <c r="HK385" s="10">
        <f>IF(HE385=0,"",HH385/HE385)</f>
        <v/>
      </c>
      <c r="HL385" s="8" t="n">
        <v>71</v>
      </c>
      <c r="HM385" s="8" t="n">
        <v>28</v>
      </c>
      <c r="HN385" s="11">
        <f>IF(HL385=0,"",HM385/HL385)</f>
        <v/>
      </c>
    </row>
    <row r="386">
      <c r="A386" s="12" t="inlineStr">
        <is>
          <t>Zomba</t>
        </is>
      </c>
      <c r="B386" s="12" t="inlineStr">
        <is>
          <t>Thondwe</t>
        </is>
      </c>
      <c r="C386" s="13" t="inlineStr">
        <is>
          <t>FY2025/26</t>
        </is>
      </c>
      <c r="D386" s="13" t="n">
        <v>2026</v>
      </c>
      <c r="E386" s="13" t="n">
        <v>3</v>
      </c>
      <c r="F386" s="13" t="inlineStr">
        <is>
          <t>March</t>
        </is>
      </c>
      <c r="G386" s="13" t="inlineStr">
        <is>
          <t>Q4</t>
        </is>
      </c>
      <c r="H386" s="14" t="n">
        <v>2040</v>
      </c>
      <c r="I386" s="14" t="n">
        <v>255</v>
      </c>
      <c r="J386" s="14" t="n">
        <v>0</v>
      </c>
      <c r="K386" s="14" t="n">
        <v>19</v>
      </c>
      <c r="L386" s="14" t="n">
        <v>8</v>
      </c>
      <c r="M386" s="15">
        <f>SUM(I386,J386,K386,L386)</f>
        <v/>
      </c>
      <c r="N386" s="14" t="n">
        <v>1310.499999999998</v>
      </c>
      <c r="O386" s="14" t="n">
        <v>28.6</v>
      </c>
      <c r="P386" s="14" t="n">
        <v>20</v>
      </c>
      <c r="Q386" s="14" t="n">
        <v>1.6</v>
      </c>
      <c r="R386" s="15">
        <f>SUM(N386,O386,P386,Q386)</f>
        <v/>
      </c>
      <c r="S386" s="15">
        <f>M386+R386</f>
        <v/>
      </c>
      <c r="T386" s="14" t="n">
        <v>397.300000000002</v>
      </c>
      <c r="U386" s="16">
        <f>IF(H386=0,"",T386/H386)</f>
        <v/>
      </c>
      <c r="V386" s="14" t="n">
        <v>5</v>
      </c>
      <c r="W386" s="17">
        <f>IF(H386=0,"",V386/H386)</f>
        <v/>
      </c>
      <c r="X386" s="14" t="n">
        <v>23</v>
      </c>
      <c r="Y386" s="17">
        <f>IF(H386=0,"",X386/H386)</f>
        <v/>
      </c>
      <c r="Z386" s="14" t="n">
        <v>10</v>
      </c>
      <c r="AA386" s="17">
        <f>IF(H386=0,"",Z386/H386)</f>
        <v/>
      </c>
      <c r="AB386" s="14" t="n">
        <v>0</v>
      </c>
      <c r="AC386" s="17">
        <f>IF(H386=0,"",AB386/H386)</f>
        <v/>
      </c>
      <c r="AD386" s="14" t="n">
        <v>0</v>
      </c>
      <c r="AE386" s="17">
        <f>IF(H386=0,"",AD386/H386)</f>
        <v/>
      </c>
      <c r="AF386" s="14" t="n">
        <v>0</v>
      </c>
      <c r="AG386" s="17">
        <f>IF(H386=0,"",AF386/H386)</f>
        <v/>
      </c>
      <c r="AH386" s="14" t="n">
        <v>451260</v>
      </c>
      <c r="AI386" s="15">
        <f>IF(H386=0,"",AH386/H386)</f>
        <v/>
      </c>
      <c r="AJ386" s="14" t="n">
        <v>82.8</v>
      </c>
      <c r="AK386" s="17">
        <f>IF(H386=0,"",AJ386/H386)</f>
        <v/>
      </c>
      <c r="AL386" s="14" t="n">
        <v>54236.4352</v>
      </c>
      <c r="AM386" s="15">
        <f>IF(H386=0,"",AL386/H386)</f>
        <v/>
      </c>
      <c r="AN386" s="14" t="n">
        <v>0</v>
      </c>
      <c r="AO386" s="14" t="n">
        <v>0</v>
      </c>
      <c r="AP386" s="14" t="n">
        <v>0</v>
      </c>
      <c r="AQ386" s="14" t="n">
        <v>0</v>
      </c>
      <c r="AR386" s="14" t="n">
        <v>0</v>
      </c>
      <c r="AS386" s="14" t="n">
        <v>0</v>
      </c>
      <c r="AT386" s="14" t="n">
        <v>0</v>
      </c>
      <c r="AU386" s="15">
        <f>AH386+AL386+AP386+AQ386+AR386+AS386+AT386</f>
        <v/>
      </c>
      <c r="AV386" s="15">
        <f>IF(H386=0,"",AU386/H386)</f>
        <v/>
      </c>
      <c r="AW386" s="15">
        <f>IF(S386=0,"",AU386/S386)</f>
        <v/>
      </c>
      <c r="AX386" s="14" t="n">
        <v>1</v>
      </c>
      <c r="AY386" s="15">
        <f>IF(H386=0,"",AX386/(H386/1000/12))</f>
        <v/>
      </c>
      <c r="AZ386" s="14" t="n">
        <v>4</v>
      </c>
      <c r="BA386" s="14" t="n">
        <v>0</v>
      </c>
      <c r="BB386" s="14" t="n">
        <v>14</v>
      </c>
      <c r="BC386" s="14" t="n">
        <v>10</v>
      </c>
      <c r="BD386" s="14" t="n">
        <v>0</v>
      </c>
      <c r="BE386" s="15">
        <f>BC386+BD386</f>
        <v/>
      </c>
      <c r="BF386" s="15">
        <f>BA386+BB386-BE386</f>
        <v/>
      </c>
      <c r="BG386" s="14" t="n">
        <v>0</v>
      </c>
      <c r="BH386" s="14" t="n">
        <v>0</v>
      </c>
      <c r="BI386" s="14" t="n">
        <v>0</v>
      </c>
      <c r="BJ386" s="14" t="n">
        <v>0</v>
      </c>
      <c r="BK386" s="15">
        <f>BI386+BJ386</f>
        <v/>
      </c>
      <c r="BL386" s="15">
        <f>BG386+BH386-BK386</f>
        <v/>
      </c>
      <c r="BM386" s="14" t="n">
        <v>0</v>
      </c>
      <c r="BN386" s="14" t="n">
        <v>0</v>
      </c>
      <c r="BO386" s="14" t="n">
        <v>0</v>
      </c>
      <c r="BP386" s="14" t="n">
        <v>0</v>
      </c>
      <c r="BQ386" s="15">
        <f>BO386+BP386</f>
        <v/>
      </c>
      <c r="BR386" s="15">
        <f>BM386+BN386-BQ386</f>
        <v/>
      </c>
      <c r="BS386" s="14" t="n">
        <v>0</v>
      </c>
      <c r="BT386" s="14" t="n">
        <v>0</v>
      </c>
      <c r="BU386" s="14" t="n">
        <v>0</v>
      </c>
      <c r="BV386" s="14" t="n">
        <v>0</v>
      </c>
      <c r="BW386" s="15">
        <f>BU386+BV386</f>
        <v/>
      </c>
      <c r="BX386" s="15">
        <f>BS386+BT386-BW386</f>
        <v/>
      </c>
      <c r="BY386" s="15">
        <f>BA386+BG386+BM386+BS386</f>
        <v/>
      </c>
      <c r="BZ386" s="15">
        <f>BB386+BH386+BN386+BT386</f>
        <v/>
      </c>
      <c r="CA386" s="15">
        <f>BE386+BK386+BQ386+BW386</f>
        <v/>
      </c>
      <c r="CB386" s="15">
        <f>BF386+BL386+BR386+BX386</f>
        <v/>
      </c>
      <c r="CC386" s="14" t="n">
        <v>0</v>
      </c>
      <c r="CD386" s="14" t="n">
        <v>115</v>
      </c>
      <c r="CE386" s="14" t="n">
        <v>1</v>
      </c>
      <c r="CF386" s="14" t="n">
        <v>0</v>
      </c>
      <c r="CG386" s="14" t="n">
        <v>0</v>
      </c>
      <c r="CH386" s="15">
        <f>CD386+CE386+CF386+CG386</f>
        <v/>
      </c>
      <c r="CI386" s="14" t="n">
        <v>41</v>
      </c>
      <c r="CJ386" s="14" t="n">
        <v>2</v>
      </c>
      <c r="CK386" s="14" t="n">
        <v>2</v>
      </c>
      <c r="CL386" s="14" t="n">
        <v>0</v>
      </c>
      <c r="CM386" s="15">
        <f>CI386+CJ386+CK386+CL386</f>
        <v/>
      </c>
      <c r="CN386" s="14" t="n">
        <v>486</v>
      </c>
      <c r="CO386" s="14" t="n">
        <v>7</v>
      </c>
      <c r="CP386" s="14" t="n">
        <v>11</v>
      </c>
      <c r="CQ386" s="14" t="n">
        <v>4</v>
      </c>
      <c r="CR386" s="15">
        <f>CN386+CO386+CP386+CQ386</f>
        <v/>
      </c>
      <c r="CS386" s="15">
        <f>CM386+CR386</f>
        <v/>
      </c>
      <c r="CT386" s="14" t="n">
        <v>669</v>
      </c>
      <c r="CU386" s="14" t="n">
        <v>3667</v>
      </c>
      <c r="CV386" s="14" t="n">
        <v>3666.6</v>
      </c>
      <c r="CW386" s="16">
        <f>IF(CU386=0,"",CV386/CU386)</f>
        <v/>
      </c>
      <c r="CX386" s="14" t="n"/>
      <c r="CY386" s="14" t="n"/>
      <c r="CZ386" s="14" t="n"/>
      <c r="DA386" s="14" t="n"/>
      <c r="DB386" s="15">
        <f>CX386+CY386-CZ386-DA386</f>
        <v/>
      </c>
      <c r="DC386" s="14" t="n">
        <v>0</v>
      </c>
      <c r="DD386" s="14" t="n">
        <v>0</v>
      </c>
      <c r="DE386" s="14" t="n">
        <v>0</v>
      </c>
      <c r="DF386" s="14" t="n">
        <v>0</v>
      </c>
      <c r="DG386" s="15">
        <f>DC386+DD386-DE386-DF386</f>
        <v/>
      </c>
      <c r="DH386" s="14" t="n">
        <v>0</v>
      </c>
      <c r="DI386" s="14" t="n">
        <v>0</v>
      </c>
      <c r="DJ386" s="14" t="n">
        <v>0</v>
      </c>
      <c r="DK386" s="14" t="n">
        <v>0</v>
      </c>
      <c r="DL386" s="15">
        <f>DH386+DI386-DJ386-DK386</f>
        <v/>
      </c>
      <c r="DM386" s="14" t="n">
        <v>0</v>
      </c>
      <c r="DN386" s="14" t="n">
        <v>0</v>
      </c>
      <c r="DO386" s="14" t="n">
        <v>0</v>
      </c>
      <c r="DP386" s="14" t="n">
        <v>0</v>
      </c>
      <c r="DQ386" s="15">
        <f>DM386+DN386-DO386-DP386</f>
        <v/>
      </c>
      <c r="DR386" s="15">
        <f>CX386+DC386+DH386+DM386</f>
        <v/>
      </c>
      <c r="DS386" s="15">
        <f>CY386+DD386+DI386+DN386</f>
        <v/>
      </c>
      <c r="DT386" s="15">
        <f>CZ386+DE386+DJ386+DO386</f>
        <v/>
      </c>
      <c r="DU386" s="15">
        <f>DA386+DF386+DK386+DP386</f>
        <v/>
      </c>
      <c r="DV386" s="15">
        <f>DB386+DG386+DL386+DQ386</f>
        <v/>
      </c>
      <c r="DW386" s="14" t="n">
        <v>3</v>
      </c>
      <c r="DX386" s="14" t="n">
        <v>1</v>
      </c>
      <c r="DY386" s="14" t="n">
        <v>1</v>
      </c>
      <c r="DZ386" s="14" t="n">
        <v>0</v>
      </c>
      <c r="EA386" s="14" t="n">
        <v>0</v>
      </c>
      <c r="EB386" s="14" t="n">
        <v>0</v>
      </c>
      <c r="EC386" s="14" t="n">
        <v>0</v>
      </c>
      <c r="ED386" s="14" t="n">
        <v>0</v>
      </c>
      <c r="EE386" s="14" t="n">
        <v>0</v>
      </c>
      <c r="EF386" s="14" t="n">
        <v>0</v>
      </c>
      <c r="EG386" s="14" t="n">
        <v>0</v>
      </c>
      <c r="EH386" s="14" t="n">
        <v>0</v>
      </c>
      <c r="EI386" s="14" t="n">
        <v>0</v>
      </c>
      <c r="EJ386" s="14" t="n">
        <v>0</v>
      </c>
      <c r="EK386" s="14" t="n">
        <v>0</v>
      </c>
      <c r="EL386" s="14" t="n">
        <v>0</v>
      </c>
      <c r="EM386" s="14" t="n">
        <v>0</v>
      </c>
      <c r="EN386" s="14" t="n">
        <v>0</v>
      </c>
      <c r="EO386" s="14" t="n">
        <v>0</v>
      </c>
      <c r="EP386" s="14" t="n">
        <v>0</v>
      </c>
      <c r="EQ386" s="14" t="n">
        <v>0</v>
      </c>
      <c r="ER386" s="14" t="n">
        <v>0</v>
      </c>
      <c r="ES386" s="14" t="n">
        <v>0</v>
      </c>
      <c r="ET386" s="14" t="n">
        <v>0</v>
      </c>
      <c r="EU386" s="14" t="n">
        <v>0</v>
      </c>
      <c r="EV386" s="14" t="n">
        <v>0</v>
      </c>
      <c r="EW386" s="14" t="n">
        <v>0</v>
      </c>
      <c r="EX386" s="14" t="n">
        <v>0</v>
      </c>
      <c r="EY386" s="14" t="n">
        <v>0</v>
      </c>
      <c r="EZ386" s="14" t="n">
        <v>0</v>
      </c>
      <c r="FA386" s="14" t="n">
        <v>0</v>
      </c>
      <c r="FB386" s="14" t="n">
        <v>0</v>
      </c>
      <c r="FC386" s="14" t="n">
        <v>0</v>
      </c>
      <c r="FD386" s="14" t="n">
        <v>0</v>
      </c>
      <c r="FE386" s="14" t="n">
        <v>0</v>
      </c>
      <c r="FF386" s="14" t="n">
        <v>0</v>
      </c>
      <c r="FG386" s="15">
        <f>SUM(DW386,DX386,DY386,DZ386,EA386,EB386,EC386,ED386,EE386,EF386,EG386,EH386,EI386,EJ386,EK386,EL386,EM386,EN386,EO386,EP386,EQ386,ER386,ES386,ET386,EU386,EV386,EW386,EX386,EY386,EZ386,FA386,FB386,FC386,FD386,FE386,FF386)</f>
        <v/>
      </c>
      <c r="FH386" s="14" t="n">
        <v>0</v>
      </c>
      <c r="FI386" s="14" t="n">
        <v>0</v>
      </c>
      <c r="FJ386" s="14" t="n">
        <v>18</v>
      </c>
      <c r="FK386" s="14" t="n">
        <v>0</v>
      </c>
      <c r="FL386" s="14" t="n">
        <v>0</v>
      </c>
      <c r="FM386" s="14" t="n">
        <v>0</v>
      </c>
      <c r="FN386" s="14" t="n">
        <v>2418</v>
      </c>
      <c r="FO386" s="14" t="n">
        <v>0</v>
      </c>
      <c r="FP386" s="14" t="n">
        <v>0</v>
      </c>
      <c r="FQ386" s="15">
        <f>FL386+FM386+FN386+FO386+FP386</f>
        <v/>
      </c>
      <c r="FR386" s="14" t="n">
        <v>69870</v>
      </c>
      <c r="FS386" s="14" t="n">
        <v>0</v>
      </c>
      <c r="FT386" s="14" t="n">
        <v>0</v>
      </c>
      <c r="FU386" s="14" t="n">
        <v>0</v>
      </c>
      <c r="FV386" s="15">
        <f>FR386+FS386+FT386+FU386</f>
        <v/>
      </c>
      <c r="FW386" s="14" t="n">
        <v>1683879.46</v>
      </c>
      <c r="FX386" s="14" t="n">
        <v>6050</v>
      </c>
      <c r="FY386" s="14" t="n">
        <v>9650</v>
      </c>
      <c r="FZ386" s="14" t="n">
        <v>60500</v>
      </c>
      <c r="GA386" s="15">
        <f>FW386+FX386+FY386+FZ386</f>
        <v/>
      </c>
      <c r="GB386" s="15">
        <f>FV386+GA386</f>
        <v/>
      </c>
      <c r="GC386" s="14" t="n">
        <v>220680.01</v>
      </c>
      <c r="GD386" s="14" t="n">
        <v>0</v>
      </c>
      <c r="GE386" s="14" t="n">
        <v>47836.19</v>
      </c>
      <c r="GF386" s="14" t="n">
        <v>16821.98</v>
      </c>
      <c r="GG386" s="15">
        <f>GC386+GD386+GE386+GF386</f>
        <v/>
      </c>
      <c r="GH386" s="14" t="n">
        <v>1635424.14</v>
      </c>
      <c r="GI386" s="14" t="n">
        <v>6050</v>
      </c>
      <c r="GJ386" s="14" t="n">
        <v>60500</v>
      </c>
      <c r="GK386" s="14" t="n">
        <v>7460</v>
      </c>
      <c r="GL386" s="15">
        <f>GH386+GI386+GJ386+GK386</f>
        <v/>
      </c>
      <c r="GM386" s="15">
        <f>GG386+GL386</f>
        <v/>
      </c>
      <c r="GN386" s="14" t="n">
        <v>22342.13</v>
      </c>
      <c r="GO386" s="14" t="n">
        <v>0</v>
      </c>
      <c r="GP386" s="14" t="n">
        <v>6787.28</v>
      </c>
      <c r="GQ386" s="14" t="n">
        <v>9274.68</v>
      </c>
      <c r="GR386" s="15">
        <f>GN386+GO386+GP386+GQ386</f>
        <v/>
      </c>
      <c r="GS386" s="14" t="n">
        <v>36613</v>
      </c>
      <c r="GT386" s="14" t="n">
        <v>0</v>
      </c>
      <c r="GU386" s="14" t="n">
        <v>1786</v>
      </c>
      <c r="GV386" s="14" t="n">
        <v>1786</v>
      </c>
      <c r="GW386" s="15">
        <f>GS386+GT386+GU386+GV386</f>
        <v/>
      </c>
      <c r="GX386" s="15">
        <f>GM386+GR386+GW386</f>
        <v/>
      </c>
      <c r="GY386" s="14" t="n">
        <v>15914985.68</v>
      </c>
      <c r="GZ386" s="14" t="n">
        <v>0</v>
      </c>
      <c r="HA386" s="9">
        <f>GY386+GZ386</f>
        <v/>
      </c>
      <c r="HB386" s="15">
        <f>IF(GX386=0,"",AU386/GX386)</f>
        <v/>
      </c>
      <c r="HC386" s="16">
        <f>IF((GX386+GY386)=0,"",GB386/(GX386+GY386))</f>
        <v/>
      </c>
      <c r="HD386" s="15">
        <f>IF(GX386=0,"",GB386/GX386)</f>
        <v/>
      </c>
      <c r="HE386" s="14" t="n">
        <v>14</v>
      </c>
      <c r="HF386" s="14" t="n">
        <v>1</v>
      </c>
      <c r="HG386" s="14" t="n">
        <v>4</v>
      </c>
      <c r="HH386" s="14" t="n">
        <v>14</v>
      </c>
      <c r="HI386" s="14" t="n">
        <v>7</v>
      </c>
      <c r="HJ386" s="15">
        <f>HF386+HI386</f>
        <v/>
      </c>
      <c r="HK386" s="16">
        <f>IF(HE386=0,"",HH386/HE386)</f>
        <v/>
      </c>
      <c r="HL386" s="14" t="n">
        <v>165</v>
      </c>
      <c r="HM386" s="14" t="n">
        <v>31</v>
      </c>
      <c r="HN386" s="17">
        <f>IF(HL386=0,"",HM386/HL386)</f>
        <v/>
      </c>
    </row>
    <row r="387">
      <c r="A387" s="6" t="inlineStr">
        <is>
          <t>Zomba</t>
        </is>
      </c>
      <c r="B387" s="6" t="inlineStr">
        <is>
          <t>Zomba</t>
        </is>
      </c>
      <c r="C387" s="7" t="inlineStr">
        <is>
          <t>FY2025/26</t>
        </is>
      </c>
      <c r="D387" s="7" t="n">
        <v>2025</v>
      </c>
      <c r="E387" s="7" t="n">
        <v>4</v>
      </c>
      <c r="F387" s="7" t="inlineStr">
        <is>
          <t>April</t>
        </is>
      </c>
      <c r="G387" s="7" t="inlineStr">
        <is>
          <t>Q1</t>
        </is>
      </c>
      <c r="H387" s="8" t="n">
        <v>500520</v>
      </c>
      <c r="I387" s="8" t="n">
        <v>135096</v>
      </c>
      <c r="J387" s="8" t="n">
        <v>11943</v>
      </c>
      <c r="K387" s="8" t="n">
        <v>31519</v>
      </c>
      <c r="L387" s="8" t="n">
        <v>190</v>
      </c>
      <c r="M387" s="9">
        <f>SUM(I387,J387,K387,L387)</f>
        <v/>
      </c>
      <c r="N387" s="8" t="n">
        <v>60959.6999999991</v>
      </c>
      <c r="O387" s="8" t="n">
        <v>7610.50000000001</v>
      </c>
      <c r="P387" s="8" t="n">
        <v>60906.7999999999</v>
      </c>
      <c r="Q387" s="8" t="n">
        <v>6934.30000000001</v>
      </c>
      <c r="R387" s="9">
        <f>SUM(N387,O387,P387,Q387)</f>
        <v/>
      </c>
      <c r="S387" s="9">
        <f>M387+R387</f>
        <v/>
      </c>
      <c r="T387" s="8" t="n">
        <v>185360.700000001</v>
      </c>
      <c r="U387" s="10">
        <f>IF(H387=0,"",T387/H387)</f>
        <v/>
      </c>
      <c r="V387" s="8" t="n">
        <v>1324</v>
      </c>
      <c r="W387" s="11">
        <f>IF(H387=0,"",V387/H387)</f>
        <v/>
      </c>
      <c r="X387" s="8" t="n">
        <v>6179</v>
      </c>
      <c r="Y387" s="11">
        <f>IF(H387=0,"",X387/H387)</f>
        <v/>
      </c>
      <c r="Z387" s="8" t="n">
        <v>1765</v>
      </c>
      <c r="AA387" s="11">
        <f>IF(H387=0,"",Z387/H387)</f>
        <v/>
      </c>
      <c r="AB387" s="8" t="n">
        <v>0</v>
      </c>
      <c r="AC387" s="11">
        <f>IF(H387=0,"",AB387/H387)</f>
        <v/>
      </c>
      <c r="AD387" s="8" t="n">
        <v>0</v>
      </c>
      <c r="AE387" s="11">
        <f>IF(H387=0,"",AD387/H387)</f>
        <v/>
      </c>
      <c r="AF387" s="8" t="n">
        <v>0</v>
      </c>
      <c r="AG387" s="11">
        <f>IF(H387=0,"",AF387/H387)</f>
        <v/>
      </c>
      <c r="AH387" s="8" t="n">
        <v>109566040</v>
      </c>
      <c r="AI387" s="9">
        <f>IF(H387=0,"",AH387/H387)</f>
        <v/>
      </c>
      <c r="AJ387" s="8" t="n">
        <v>34991.3</v>
      </c>
      <c r="AK387" s="11">
        <f>IF(H387=0,"",AJ387/H387)</f>
        <v/>
      </c>
      <c r="AL387" s="8" t="n">
        <v>9595043.661700001</v>
      </c>
      <c r="AM387" s="9">
        <f>IF(H387=0,"",AL387/H387)</f>
        <v/>
      </c>
      <c r="AN387" s="8" t="n">
        <v>0</v>
      </c>
      <c r="AO387" s="8" t="n">
        <v>0</v>
      </c>
      <c r="AP387" s="8" t="n">
        <v>0</v>
      </c>
      <c r="AQ387" s="8" t="n">
        <v>0</v>
      </c>
      <c r="AR387" s="8" t="n">
        <v>56258358.31000002</v>
      </c>
      <c r="AS387" s="8" t="n">
        <v>13088694.02</v>
      </c>
      <c r="AT387" s="8" t="n">
        <v>0</v>
      </c>
      <c r="AU387" s="9">
        <f>AH387+AL387+AP387+AQ387+AR387+AS387+AT387</f>
        <v/>
      </c>
      <c r="AV387" s="9">
        <f>IF(H387=0,"",AU387/H387)</f>
        <v/>
      </c>
      <c r="AW387" s="9">
        <f>IF(S387=0,"",AU387/S387)</f>
        <v/>
      </c>
      <c r="AX387" s="8" t="n">
        <v>63</v>
      </c>
      <c r="AY387" s="9">
        <f>IF(H387=0,"",AX387/(H387/1000/12))</f>
        <v/>
      </c>
      <c r="AZ387" s="8" t="n">
        <v>75</v>
      </c>
      <c r="BA387" s="8" t="n">
        <v>176</v>
      </c>
      <c r="BB387" s="8" t="n">
        <v>149</v>
      </c>
      <c r="BC387" s="8" t="n">
        <v>87</v>
      </c>
      <c r="BD387" s="8" t="n">
        <v>0</v>
      </c>
      <c r="BE387" s="9">
        <f>BC387+BD387</f>
        <v/>
      </c>
      <c r="BF387" s="9">
        <f>BA387+BB387-BE387</f>
        <v/>
      </c>
      <c r="BG387" s="8" t="n">
        <v>18</v>
      </c>
      <c r="BH387" s="8" t="n">
        <v>0</v>
      </c>
      <c r="BI387" s="8" t="n">
        <v>0</v>
      </c>
      <c r="BJ387" s="8" t="n">
        <v>0</v>
      </c>
      <c r="BK387" s="9">
        <f>BI387+BJ387</f>
        <v/>
      </c>
      <c r="BL387" s="9">
        <f>BG387+BH387-BK387</f>
        <v/>
      </c>
      <c r="BM387" s="8" t="n">
        <v>8</v>
      </c>
      <c r="BN387" s="8" t="n">
        <v>3</v>
      </c>
      <c r="BO387" s="8" t="n">
        <v>1</v>
      </c>
      <c r="BP387" s="8" t="n">
        <v>0</v>
      </c>
      <c r="BQ387" s="9">
        <f>BO387+BP387</f>
        <v/>
      </c>
      <c r="BR387" s="9">
        <f>BM387+BN387-BQ387</f>
        <v/>
      </c>
      <c r="BS387" s="8" t="n">
        <v>3</v>
      </c>
      <c r="BT387" s="8" t="n">
        <v>1</v>
      </c>
      <c r="BU387" s="8" t="n">
        <v>0</v>
      </c>
      <c r="BV387" s="8" t="n">
        <v>0</v>
      </c>
      <c r="BW387" s="9">
        <f>BU387+BV387</f>
        <v/>
      </c>
      <c r="BX387" s="9">
        <f>BS387+BT387-BW387</f>
        <v/>
      </c>
      <c r="BY387" s="9">
        <f>BA387+BG387+BM387+BS387</f>
        <v/>
      </c>
      <c r="BZ387" s="9">
        <f>BB387+BH387+BN387+BT387</f>
        <v/>
      </c>
      <c r="CA387" s="9">
        <f>BE387+BK387+BQ387+BW387</f>
        <v/>
      </c>
      <c r="CB387" s="9">
        <f>BF387+BL387+BR387+BX387</f>
        <v/>
      </c>
      <c r="CC387" s="8" t="n">
        <v>0</v>
      </c>
      <c r="CD387" s="8" t="n">
        <v>7985</v>
      </c>
      <c r="CE387" s="8" t="n">
        <v>507</v>
      </c>
      <c r="CF387" s="8" t="n">
        <v>282</v>
      </c>
      <c r="CG387" s="8" t="n">
        <v>90</v>
      </c>
      <c r="CH387" s="9">
        <f>CD387+CE387+CF387+CG387</f>
        <v/>
      </c>
      <c r="CI387" s="8" t="n">
        <v>12236</v>
      </c>
      <c r="CJ387" s="8" t="n">
        <v>58</v>
      </c>
      <c r="CK387" s="8" t="n">
        <v>9</v>
      </c>
      <c r="CL387" s="8" t="n">
        <v>117</v>
      </c>
      <c r="CM387" s="9">
        <f>CI387+CJ387+CK387+CL387</f>
        <v/>
      </c>
      <c r="CN387" s="8" t="n">
        <v>3851</v>
      </c>
      <c r="CO387" s="8" t="n">
        <v>242</v>
      </c>
      <c r="CP387" s="8" t="n">
        <v>181</v>
      </c>
      <c r="CQ387" s="8" t="n">
        <v>80</v>
      </c>
      <c r="CR387" s="9">
        <f>CN387+CO387+CP387+CQ387</f>
        <v/>
      </c>
      <c r="CS387" s="9">
        <f>CM387+CR387</f>
        <v/>
      </c>
      <c r="CT387" s="8" t="n">
        <v>25638</v>
      </c>
      <c r="CU387" s="8" t="n">
        <v>139742</v>
      </c>
      <c r="CV387" s="8" t="n">
        <v>139409.4</v>
      </c>
      <c r="CW387" s="10">
        <f>IF(CU387=0,"",CV387/CU387)</f>
        <v/>
      </c>
      <c r="CX387" s="8" t="n">
        <v>4</v>
      </c>
      <c r="CY387" s="8" t="n">
        <v>0</v>
      </c>
      <c r="CZ387" s="8" t="n">
        <v>2</v>
      </c>
      <c r="DA387" s="8" t="n">
        <v>0</v>
      </c>
      <c r="DB387" s="9">
        <f>CX387+CY387-CZ387-DA387</f>
        <v/>
      </c>
      <c r="DC387" s="8" t="n">
        <v>0</v>
      </c>
      <c r="DD387" s="8" t="n">
        <v>1</v>
      </c>
      <c r="DE387" s="8" t="n">
        <v>0</v>
      </c>
      <c r="DF387" s="8" t="n">
        <v>0</v>
      </c>
      <c r="DG387" s="9">
        <f>DC387+DD387-DE387-DF387</f>
        <v/>
      </c>
      <c r="DH387" s="8" t="n">
        <v>9</v>
      </c>
      <c r="DI387" s="8" t="n">
        <v>0</v>
      </c>
      <c r="DJ387" s="8" t="n">
        <v>3</v>
      </c>
      <c r="DK387" s="8" t="n">
        <v>0</v>
      </c>
      <c r="DL387" s="9">
        <f>DH387+DI387-DJ387-DK387</f>
        <v/>
      </c>
      <c r="DM387" s="8" t="n">
        <v>1097</v>
      </c>
      <c r="DN387" s="8" t="n">
        <v>38</v>
      </c>
      <c r="DO387" s="8" t="n">
        <v>0</v>
      </c>
      <c r="DP387" s="8" t="n">
        <v>80</v>
      </c>
      <c r="DQ387" s="9">
        <f>DM387+DN387-DO387-DP387</f>
        <v/>
      </c>
      <c r="DR387" s="9">
        <f>CX387+DC387+DH387+DM387</f>
        <v/>
      </c>
      <c r="DS387" s="9">
        <f>CY387+DD387+DI387+DN387</f>
        <v/>
      </c>
      <c r="DT387" s="9">
        <f>CZ387+DE387+DJ387+DO387</f>
        <v/>
      </c>
      <c r="DU387" s="9">
        <f>DA387+DF387+DK387+DP387</f>
        <v/>
      </c>
      <c r="DV387" s="9">
        <f>DB387+DG387+DL387+DQ387</f>
        <v/>
      </c>
      <c r="DW387" s="8" t="n">
        <v>222</v>
      </c>
      <c r="DX387" s="8" t="n">
        <v>104</v>
      </c>
      <c r="DY387" s="8" t="n">
        <v>50</v>
      </c>
      <c r="DZ387" s="8" t="n">
        <v>12</v>
      </c>
      <c r="EA387" s="8" t="n">
        <v>15</v>
      </c>
      <c r="EB387" s="8" t="n">
        <v>23</v>
      </c>
      <c r="EC387" s="8" t="n">
        <v>0</v>
      </c>
      <c r="ED387" s="8" t="n">
        <v>9</v>
      </c>
      <c r="EE387" s="8" t="n">
        <v>4</v>
      </c>
      <c r="EF387" s="8" t="n">
        <v>0</v>
      </c>
      <c r="EG387" s="8" t="n">
        <v>0</v>
      </c>
      <c r="EH387" s="8" t="n">
        <v>0</v>
      </c>
      <c r="EI387" s="8" t="n">
        <v>0</v>
      </c>
      <c r="EJ387" s="8" t="n">
        <v>20</v>
      </c>
      <c r="EK387" s="8" t="n">
        <v>3</v>
      </c>
      <c r="EL387" s="8" t="n">
        <v>1</v>
      </c>
      <c r="EM387" s="8" t="n">
        <v>1</v>
      </c>
      <c r="EN387" s="8" t="n">
        <v>0</v>
      </c>
      <c r="EO387" s="8" t="n">
        <v>0</v>
      </c>
      <c r="EP387" s="8" t="n">
        <v>0</v>
      </c>
      <c r="EQ387" s="8" t="n">
        <v>0</v>
      </c>
      <c r="ER387" s="8" t="n">
        <v>0</v>
      </c>
      <c r="ES387" s="8" t="n">
        <v>0</v>
      </c>
      <c r="ET387" s="8" t="n">
        <v>0</v>
      </c>
      <c r="EU387" s="8" t="n">
        <v>0</v>
      </c>
      <c r="EV387" s="8" t="n">
        <v>0</v>
      </c>
      <c r="EW387" s="8" t="n">
        <v>0</v>
      </c>
      <c r="EX387" s="8" t="n">
        <v>0</v>
      </c>
      <c r="EY387" s="8" t="n">
        <v>3</v>
      </c>
      <c r="EZ387" s="8" t="n">
        <v>4</v>
      </c>
      <c r="FA387" s="8" t="n">
        <v>1</v>
      </c>
      <c r="FB387" s="8" t="n">
        <v>1</v>
      </c>
      <c r="FC387" s="8" t="n">
        <v>0</v>
      </c>
      <c r="FD387" s="8" t="n">
        <v>0</v>
      </c>
      <c r="FE387" s="8" t="n">
        <v>1</v>
      </c>
      <c r="FF387" s="8" t="n">
        <v>0</v>
      </c>
      <c r="FG387" s="9">
        <f>SUM(DW387,DX387,DY387,DZ387,EA387,EB387,EC387,ED387,EE387,EF387,EG387,EH387,EI387,EJ387,EK387,EL387,EM387,EN387,EO387,EP387,EQ387,ER387,ES387,ET387,EU387,EV387,EW387,EX387,EY387,EZ387,FA387,FB387,FC387,FD387,FE387,FF387)</f>
        <v/>
      </c>
      <c r="FH387" s="8" t="n">
        <v>0</v>
      </c>
      <c r="FI387" s="8" t="n">
        <v>0</v>
      </c>
      <c r="FJ387" s="8" t="n">
        <v>23</v>
      </c>
      <c r="FK387" s="8" t="n">
        <v>17.3</v>
      </c>
      <c r="FL387" s="8" t="n">
        <v>0</v>
      </c>
      <c r="FM387" s="8" t="n">
        <v>0</v>
      </c>
      <c r="FN387" s="8" t="n">
        <v>0</v>
      </c>
      <c r="FO387" s="8" t="n">
        <v>0</v>
      </c>
      <c r="FP387" s="8" t="n">
        <v>0</v>
      </c>
      <c r="FQ387" s="9">
        <f>FL387+FM387+FN387+FO387+FP387</f>
        <v/>
      </c>
      <c r="FR387" s="8" t="n">
        <v>181619164.79</v>
      </c>
      <c r="FS387" s="8" t="n">
        <v>2390950</v>
      </c>
      <c r="FT387" s="8" t="n">
        <v>881209.3</v>
      </c>
      <c r="FU387" s="8" t="n">
        <v>1491419.38</v>
      </c>
      <c r="FV387" s="9">
        <f>FR387+FS387+FT387+FU387</f>
        <v/>
      </c>
      <c r="FW387" s="8" t="n">
        <v>81250065.15999991</v>
      </c>
      <c r="FX387" s="8" t="n">
        <v>1707700</v>
      </c>
      <c r="FY387" s="8" t="n">
        <v>35363659.1</v>
      </c>
      <c r="FZ387" s="8" t="n">
        <v>191060859.45</v>
      </c>
      <c r="GA387" s="9">
        <f>FW387+FX387+FY387+FZ387</f>
        <v/>
      </c>
      <c r="GB387" s="9">
        <f>FV387+GA387</f>
        <v/>
      </c>
      <c r="GC387" s="8" t="n">
        <v>121824141.62</v>
      </c>
      <c r="GD387" s="8" t="n">
        <v>2284457.04</v>
      </c>
      <c r="GE387" s="8" t="n">
        <v>108460753.9</v>
      </c>
      <c r="GF387" s="8" t="n">
        <v>831837.33</v>
      </c>
      <c r="GG387" s="9">
        <f>GC387+GD387+GE387+GF387</f>
        <v/>
      </c>
      <c r="GH387" s="8" t="n">
        <v>76162017.57000004</v>
      </c>
      <c r="GI387" s="8" t="n">
        <v>1624150</v>
      </c>
      <c r="GJ387" s="8" t="n">
        <v>185107305.7500001</v>
      </c>
      <c r="GK387" s="8" t="n">
        <v>32810918.54000001</v>
      </c>
      <c r="GL387" s="9">
        <f>GH387+GI387+GJ387+GK387</f>
        <v/>
      </c>
      <c r="GM387" s="9">
        <f>GG387+GL387</f>
        <v/>
      </c>
      <c r="GN387" s="8" t="n">
        <v>6599697.09</v>
      </c>
      <c r="GO387" s="8" t="n">
        <v>22379.76</v>
      </c>
      <c r="GP387" s="8" t="n">
        <v>196831.12</v>
      </c>
      <c r="GQ387" s="8" t="n">
        <v>41736.06</v>
      </c>
      <c r="GR387" s="9">
        <f>GN387+GO387+GP387+GQ387</f>
        <v/>
      </c>
      <c r="GS387" s="8" t="n">
        <v>10926748</v>
      </c>
      <c r="GT387" s="8" t="n">
        <v>104481</v>
      </c>
      <c r="GU387" s="8" t="n">
        <v>51794</v>
      </c>
      <c r="GV387" s="8" t="n">
        <v>8037</v>
      </c>
      <c r="GW387" s="9">
        <f>GS387+GT387+GU387+GV387</f>
        <v/>
      </c>
      <c r="GX387" s="9">
        <f>GM387+GR387+GW387</f>
        <v/>
      </c>
      <c r="GY387" s="8" t="n">
        <v>1391927807.37</v>
      </c>
      <c r="GZ387" s="8" t="n">
        <v>241420819.88</v>
      </c>
      <c r="HA387" s="9">
        <f>GY387+GZ387</f>
        <v/>
      </c>
      <c r="HB387" s="9">
        <f>IF(GX387=0,"",AU387/GX387)</f>
        <v/>
      </c>
      <c r="HC387" s="10">
        <f>IF((GX387+GY387)=0,"",GB387/(GX387+GY387))</f>
        <v/>
      </c>
      <c r="HD387" s="9">
        <f>IF(GX387=0,"",GB387/GX387)</f>
        <v/>
      </c>
      <c r="HE387" s="8" t="n">
        <v>153</v>
      </c>
      <c r="HF387" s="8" t="n">
        <v>5</v>
      </c>
      <c r="HG387" s="8" t="n">
        <v>270</v>
      </c>
      <c r="HH387" s="8" t="n">
        <v>153</v>
      </c>
      <c r="HI387" s="8" t="n">
        <v>90</v>
      </c>
      <c r="HJ387" s="9">
        <f>HF387+HI387</f>
        <v/>
      </c>
      <c r="HK387" s="10">
        <f>IF(HE387=0,"",HH387/HE387)</f>
        <v/>
      </c>
      <c r="HL387" s="8" t="n">
        <v>28</v>
      </c>
      <c r="HM387" s="8" t="n">
        <v>30</v>
      </c>
      <c r="HN387" s="11">
        <f>IF(HL387=0,"",HM387/HL387)</f>
        <v/>
      </c>
    </row>
    <row r="388">
      <c r="A388" s="12" t="inlineStr">
        <is>
          <t>Zomba</t>
        </is>
      </c>
      <c r="B388" s="12" t="inlineStr">
        <is>
          <t>Zomba</t>
        </is>
      </c>
      <c r="C388" s="13" t="inlineStr">
        <is>
          <t>FY2025/26</t>
        </is>
      </c>
      <c r="D388" s="13" t="n">
        <v>2025</v>
      </c>
      <c r="E388" s="13" t="n">
        <v>5</v>
      </c>
      <c r="F388" s="13" t="inlineStr">
        <is>
          <t>May</t>
        </is>
      </c>
      <c r="G388" s="13" t="inlineStr">
        <is>
          <t>Q1</t>
        </is>
      </c>
      <c r="H388" s="14" t="n">
        <v>492993</v>
      </c>
      <c r="I388" s="14" t="n">
        <v>127306</v>
      </c>
      <c r="J388" s="14" t="n">
        <v>11456</v>
      </c>
      <c r="K388" s="14" t="n">
        <v>32483</v>
      </c>
      <c r="L388" s="14" t="n">
        <v>71</v>
      </c>
      <c r="M388" s="15">
        <f>SUM(I388,J388,K388,L388)</f>
        <v/>
      </c>
      <c r="N388" s="14" t="n">
        <v>56400.7999999992</v>
      </c>
      <c r="O388" s="14" t="n">
        <v>7619.4</v>
      </c>
      <c r="P388" s="14" t="n">
        <v>72545.7999999999</v>
      </c>
      <c r="Q388" s="14" t="n">
        <v>6655.40000000002</v>
      </c>
      <c r="R388" s="15">
        <f>SUM(N388,O388,P388,Q388)</f>
        <v/>
      </c>
      <c r="S388" s="15">
        <f>M388+R388</f>
        <v/>
      </c>
      <c r="T388" s="14" t="n">
        <v>178455.600000001</v>
      </c>
      <c r="U388" s="16">
        <f>IF(H388=0,"",T388/H388)</f>
        <v/>
      </c>
      <c r="V388" s="14" t="n">
        <v>1130</v>
      </c>
      <c r="W388" s="17">
        <f>IF(H388=0,"",V388/H388)</f>
        <v/>
      </c>
      <c r="X388" s="14" t="n">
        <v>6683</v>
      </c>
      <c r="Y388" s="17">
        <f>IF(H388=0,"",X388/H388)</f>
        <v/>
      </c>
      <c r="Z388" s="14" t="n">
        <v>2555</v>
      </c>
      <c r="AA388" s="17">
        <f>IF(H388=0,"",Z388/H388)</f>
        <v/>
      </c>
      <c r="AB388" s="14" t="n">
        <v>0</v>
      </c>
      <c r="AC388" s="17">
        <f>IF(H388=0,"",AB388/H388)</f>
        <v/>
      </c>
      <c r="AD388" s="14" t="n">
        <v>0</v>
      </c>
      <c r="AE388" s="17">
        <f>IF(H388=0,"",AD388/H388)</f>
        <v/>
      </c>
      <c r="AF388" s="14" t="n">
        <v>0</v>
      </c>
      <c r="AG388" s="17">
        <f>IF(H388=0,"",AF388/H388)</f>
        <v/>
      </c>
      <c r="AH388" s="14" t="n">
        <v>118478480</v>
      </c>
      <c r="AI388" s="15">
        <f>IF(H388=0,"",AH388/H388)</f>
        <v/>
      </c>
      <c r="AJ388" s="14" t="n">
        <v>26979.24</v>
      </c>
      <c r="AK388" s="17">
        <f>IF(H388=0,"",AJ388/H388)</f>
        <v/>
      </c>
      <c r="AL388" s="14" t="n">
        <v>7405275.55516</v>
      </c>
      <c r="AM388" s="15">
        <f>IF(H388=0,"",AL388/H388)</f>
        <v/>
      </c>
      <c r="AN388" s="14" t="n">
        <v>0</v>
      </c>
      <c r="AO388" s="14" t="n">
        <v>0</v>
      </c>
      <c r="AP388" s="14" t="n">
        <v>0</v>
      </c>
      <c r="AQ388" s="14" t="n">
        <v>0</v>
      </c>
      <c r="AR388" s="14" t="n">
        <v>0</v>
      </c>
      <c r="AS388" s="14" t="n">
        <v>0</v>
      </c>
      <c r="AT388" s="14" t="n">
        <v>0</v>
      </c>
      <c r="AU388" s="15">
        <f>AH388+AL388+AP388+AQ388+AR388+AS388+AT388</f>
        <v/>
      </c>
      <c r="AV388" s="15">
        <f>IF(H388=0,"",AU388/H388)</f>
        <v/>
      </c>
      <c r="AW388" s="15">
        <f>IF(S388=0,"",AU388/S388)</f>
        <v/>
      </c>
      <c r="AX388" s="14" t="n">
        <v>63</v>
      </c>
      <c r="AY388" s="15">
        <f>IF(H388=0,"",AX388/(H388/1000/12))</f>
        <v/>
      </c>
      <c r="AZ388" s="14" t="n">
        <v>75</v>
      </c>
      <c r="BA388" s="14" t="n">
        <v>238</v>
      </c>
      <c r="BB388" s="14" t="n">
        <v>117</v>
      </c>
      <c r="BC388" s="14" t="n">
        <v>95</v>
      </c>
      <c r="BD388" s="14" t="n">
        <v>0</v>
      </c>
      <c r="BE388" s="15">
        <f>BC388+BD388</f>
        <v/>
      </c>
      <c r="BF388" s="15">
        <f>BA388+BB388-BE388</f>
        <v/>
      </c>
      <c r="BG388" s="14" t="n">
        <v>18</v>
      </c>
      <c r="BH388" s="14" t="n">
        <v>0</v>
      </c>
      <c r="BI388" s="14" t="n">
        <v>0</v>
      </c>
      <c r="BJ388" s="14" t="n">
        <v>0</v>
      </c>
      <c r="BK388" s="15">
        <f>BI388+BJ388</f>
        <v/>
      </c>
      <c r="BL388" s="15">
        <f>BG388+BH388-BK388</f>
        <v/>
      </c>
      <c r="BM388" s="14" t="n">
        <v>10</v>
      </c>
      <c r="BN388" s="14" t="n">
        <v>0</v>
      </c>
      <c r="BO388" s="14" t="n">
        <v>2</v>
      </c>
      <c r="BP388" s="14" t="n">
        <v>0</v>
      </c>
      <c r="BQ388" s="15">
        <f>BO388+BP388</f>
        <v/>
      </c>
      <c r="BR388" s="15">
        <f>BM388+BN388-BQ388</f>
        <v/>
      </c>
      <c r="BS388" s="14" t="n">
        <v>4</v>
      </c>
      <c r="BT388" s="14" t="n">
        <v>0</v>
      </c>
      <c r="BU388" s="14" t="n">
        <v>0</v>
      </c>
      <c r="BV388" s="14" t="n">
        <v>0</v>
      </c>
      <c r="BW388" s="15">
        <f>BU388+BV388</f>
        <v/>
      </c>
      <c r="BX388" s="15">
        <f>BS388+BT388-BW388</f>
        <v/>
      </c>
      <c r="BY388" s="15">
        <f>BA388+BG388+BM388+BS388</f>
        <v/>
      </c>
      <c r="BZ388" s="15">
        <f>BB388+BH388+BN388+BT388</f>
        <v/>
      </c>
      <c r="CA388" s="15">
        <f>BE388+BK388+BQ388+BW388</f>
        <v/>
      </c>
      <c r="CB388" s="15">
        <f>BF388+BL388+BR388+BX388</f>
        <v/>
      </c>
      <c r="CC388" s="14" t="n">
        <v>0</v>
      </c>
      <c r="CD388" s="14" t="n">
        <v>7650</v>
      </c>
      <c r="CE388" s="14" t="n">
        <v>484</v>
      </c>
      <c r="CF388" s="14" t="n">
        <v>269</v>
      </c>
      <c r="CG388" s="14" t="n">
        <v>87</v>
      </c>
      <c r="CH388" s="15">
        <f>CD388+CE388+CF388+CG388</f>
        <v/>
      </c>
      <c r="CI388" s="14" t="n">
        <v>12319</v>
      </c>
      <c r="CJ388" s="14" t="n">
        <v>52</v>
      </c>
      <c r="CK388" s="14" t="n">
        <v>13</v>
      </c>
      <c r="CL388" s="14" t="n">
        <v>118</v>
      </c>
      <c r="CM388" s="15">
        <f>CI388+CJ388+CK388+CL388</f>
        <v/>
      </c>
      <c r="CN388" s="14" t="n">
        <v>4198</v>
      </c>
      <c r="CO388" s="14" t="n">
        <v>271</v>
      </c>
      <c r="CP388" s="14" t="n">
        <v>192</v>
      </c>
      <c r="CQ388" s="14" t="n">
        <v>82</v>
      </c>
      <c r="CR388" s="15">
        <f>CN388+CO388+CP388+CQ388</f>
        <v/>
      </c>
      <c r="CS388" s="15">
        <f>CM388+CR388</f>
        <v/>
      </c>
      <c r="CT388" s="14" t="n">
        <v>25735</v>
      </c>
      <c r="CU388" s="14" t="n">
        <v>139999</v>
      </c>
      <c r="CV388" s="14" t="n">
        <v>139826.1</v>
      </c>
      <c r="CW388" s="16">
        <f>IF(CU388=0,"",CV388/CU388)</f>
        <v/>
      </c>
      <c r="CX388" s="14" t="n">
        <v>2</v>
      </c>
      <c r="CY388" s="14" t="n">
        <v>2</v>
      </c>
      <c r="CZ388" s="14" t="n">
        <v>0</v>
      </c>
      <c r="DA388" s="14" t="n">
        <v>0</v>
      </c>
      <c r="DB388" s="15">
        <f>CX388+CY388-CZ388-DA388</f>
        <v/>
      </c>
      <c r="DC388" s="14" t="n">
        <v>1</v>
      </c>
      <c r="DD388" s="14" t="n">
        <v>0</v>
      </c>
      <c r="DE388" s="14" t="n">
        <v>1</v>
      </c>
      <c r="DF388" s="14" t="n">
        <v>0</v>
      </c>
      <c r="DG388" s="15">
        <f>DC388+DD388-DE388-DF388</f>
        <v/>
      </c>
      <c r="DH388" s="14" t="n">
        <v>6</v>
      </c>
      <c r="DI388" s="14" t="n">
        <v>6</v>
      </c>
      <c r="DJ388" s="14" t="n">
        <v>0</v>
      </c>
      <c r="DK388" s="14" t="n">
        <v>1</v>
      </c>
      <c r="DL388" s="15">
        <f>DH388+DI388-DJ388-DK388</f>
        <v/>
      </c>
      <c r="DM388" s="14" t="n">
        <v>1055</v>
      </c>
      <c r="DN388" s="14" t="n">
        <v>113</v>
      </c>
      <c r="DO388" s="14" t="n">
        <v>0</v>
      </c>
      <c r="DP388" s="14" t="n">
        <v>70</v>
      </c>
      <c r="DQ388" s="15">
        <f>DM388+DN388-DO388-DP388</f>
        <v/>
      </c>
      <c r="DR388" s="15">
        <f>CX388+DC388+DH388+DM388</f>
        <v/>
      </c>
      <c r="DS388" s="15">
        <f>CY388+DD388+DI388+DN388</f>
        <v/>
      </c>
      <c r="DT388" s="15">
        <f>CZ388+DE388+DJ388+DO388</f>
        <v/>
      </c>
      <c r="DU388" s="15">
        <f>DA388+DF388+DK388+DP388</f>
        <v/>
      </c>
      <c r="DV388" s="15">
        <f>DB388+DG388+DL388+DQ388</f>
        <v/>
      </c>
      <c r="DW388" s="14" t="n">
        <v>220</v>
      </c>
      <c r="DX388" s="14" t="n">
        <v>91</v>
      </c>
      <c r="DY388" s="14" t="n">
        <v>60</v>
      </c>
      <c r="DZ388" s="14" t="n">
        <v>13</v>
      </c>
      <c r="EA388" s="14" t="n">
        <v>22</v>
      </c>
      <c r="EB388" s="14" t="n">
        <v>19</v>
      </c>
      <c r="EC388" s="14" t="n">
        <v>5</v>
      </c>
      <c r="ED388" s="14" t="n">
        <v>9</v>
      </c>
      <c r="EE388" s="14" t="n">
        <v>7</v>
      </c>
      <c r="EF388" s="14" t="n">
        <v>1</v>
      </c>
      <c r="EG388" s="14" t="n">
        <v>1</v>
      </c>
      <c r="EH388" s="14" t="n">
        <v>0</v>
      </c>
      <c r="EI388" s="14" t="n">
        <v>0</v>
      </c>
      <c r="EJ388" s="14" t="n">
        <v>14</v>
      </c>
      <c r="EK388" s="14" t="n">
        <v>5</v>
      </c>
      <c r="EL388" s="14" t="n">
        <v>0</v>
      </c>
      <c r="EM388" s="14" t="n">
        <v>1</v>
      </c>
      <c r="EN388" s="14" t="n">
        <v>0</v>
      </c>
      <c r="EO388" s="14" t="n">
        <v>0</v>
      </c>
      <c r="EP388" s="14" t="n">
        <v>0</v>
      </c>
      <c r="EQ388" s="14" t="n">
        <v>0</v>
      </c>
      <c r="ER388" s="14" t="n">
        <v>0</v>
      </c>
      <c r="ES388" s="14" t="n">
        <v>0</v>
      </c>
      <c r="ET388" s="14" t="n">
        <v>1</v>
      </c>
      <c r="EU388" s="14" t="n">
        <v>0</v>
      </c>
      <c r="EV388" s="14" t="n">
        <v>0</v>
      </c>
      <c r="EW388" s="14" t="n">
        <v>0</v>
      </c>
      <c r="EX388" s="14" t="n">
        <v>0</v>
      </c>
      <c r="EY388" s="14" t="n">
        <v>1</v>
      </c>
      <c r="EZ388" s="14" t="n">
        <v>3</v>
      </c>
      <c r="FA388" s="14" t="n">
        <v>1</v>
      </c>
      <c r="FB388" s="14" t="n">
        <v>0</v>
      </c>
      <c r="FC388" s="14" t="n">
        <v>0</v>
      </c>
      <c r="FD388" s="14" t="n">
        <v>0</v>
      </c>
      <c r="FE388" s="14" t="n">
        <v>0</v>
      </c>
      <c r="FF388" s="14" t="n">
        <v>0</v>
      </c>
      <c r="FG388" s="15">
        <f>SUM(DW388,DX388,DY388,DZ388,EA388,EB388,EC388,ED388,EE388,EF388,EG388,EH388,EI388,EJ388,EK388,EL388,EM388,EN388,EO388,EP388,EQ388,ER388,ES388,ET388,EU388,EV388,EW388,EX388,EY388,EZ388,FA388,FB388,FC388,FD388,FE388,FF388)</f>
        <v/>
      </c>
      <c r="FH388" s="14" t="n">
        <v>0</v>
      </c>
      <c r="FI388" s="14" t="n">
        <v>0</v>
      </c>
      <c r="FJ388" s="14" t="n">
        <v>22</v>
      </c>
      <c r="FK388" s="14" t="n">
        <v>25.1</v>
      </c>
      <c r="FL388" s="14" t="n">
        <v>0</v>
      </c>
      <c r="FM388" s="14" t="n">
        <v>0</v>
      </c>
      <c r="FN388" s="14" t="n">
        <v>0</v>
      </c>
      <c r="FO388" s="14" t="n">
        <v>0</v>
      </c>
      <c r="FP388" s="14" t="n">
        <v>0</v>
      </c>
      <c r="FQ388" s="15">
        <f>FL388+FM388+FN388+FO388+FP388</f>
        <v/>
      </c>
      <c r="FR388" s="14" t="n">
        <v>234199287.9199995</v>
      </c>
      <c r="FS388" s="14" t="n">
        <v>3272968.88</v>
      </c>
      <c r="FT388" s="14" t="n">
        <v>374700</v>
      </c>
      <c r="FU388" s="14" t="n">
        <v>597063.4399999999</v>
      </c>
      <c r="FV388" s="15">
        <f>FR388+FS388+FT388+FU388</f>
        <v/>
      </c>
      <c r="FW388" s="14" t="n">
        <v>74436634.42</v>
      </c>
      <c r="FX388" s="14" t="n">
        <v>1735603.11</v>
      </c>
      <c r="FY388" s="14" t="n">
        <v>33170238.44</v>
      </c>
      <c r="FZ388" s="14" t="n">
        <v>222383598.04</v>
      </c>
      <c r="GA388" s="15">
        <f>FW388+FX388+FY388+FZ388</f>
        <v/>
      </c>
      <c r="GB388" s="15">
        <f>FV388+GA388</f>
        <v/>
      </c>
      <c r="GC388" s="14" t="n">
        <v>113865040.76</v>
      </c>
      <c r="GD388" s="14" t="n">
        <v>2191303.68</v>
      </c>
      <c r="GE388" s="14" t="n">
        <v>111821461.21</v>
      </c>
      <c r="GF388" s="14" t="n">
        <v>195443.05</v>
      </c>
      <c r="GG388" s="15">
        <f>GC388+GD388+GE388+GF388</f>
        <v/>
      </c>
      <c r="GH388" s="14" t="n">
        <v>70448420.41</v>
      </c>
      <c r="GI388" s="14" t="n">
        <v>1618781.24</v>
      </c>
      <c r="GJ388" s="14" t="n">
        <v>220526966.3399999</v>
      </c>
      <c r="GK388" s="14" t="n">
        <v>31479714.78</v>
      </c>
      <c r="GL388" s="15">
        <f>GH388+GI388+GJ388+GK388</f>
        <v/>
      </c>
      <c r="GM388" s="15">
        <f>GG388+GL388</f>
        <v/>
      </c>
      <c r="GN388" s="14" t="n">
        <v>6630345.27</v>
      </c>
      <c r="GO388" s="14" t="n">
        <v>22571.04</v>
      </c>
      <c r="GP388" s="14" t="n">
        <v>176469.28</v>
      </c>
      <c r="GQ388" s="14" t="n">
        <v>60285.42</v>
      </c>
      <c r="GR388" s="15">
        <f>GN388+GO388+GP388+GQ388</f>
        <v/>
      </c>
      <c r="GS388" s="14" t="n">
        <v>11000867</v>
      </c>
      <c r="GT388" s="14" t="n">
        <v>105374</v>
      </c>
      <c r="GU388" s="14" t="n">
        <v>46436</v>
      </c>
      <c r="GV388" s="14" t="n">
        <v>11609</v>
      </c>
      <c r="GW388" s="15">
        <f>GS388+GT388+GU388+GV388</f>
        <v/>
      </c>
      <c r="GX388" s="15">
        <f>GM388+GR388+GW388</f>
        <v/>
      </c>
      <c r="GY388" s="14" t="n">
        <v>1284720995.349991</v>
      </c>
      <c r="GZ388" s="14" t="n">
        <v>348430761.4</v>
      </c>
      <c r="HA388" s="9">
        <f>GY388+GZ388</f>
        <v/>
      </c>
      <c r="HB388" s="15">
        <f>IF(GX388=0,"",AU388/GX388)</f>
        <v/>
      </c>
      <c r="HC388" s="16">
        <f>IF((GX388+GY388)=0,"",GB388/(GX388+GY388))</f>
        <v/>
      </c>
      <c r="HD388" s="15">
        <f>IF(GX388=0,"",GB388/GX388)</f>
        <v/>
      </c>
      <c r="HE388" s="14" t="n">
        <v>117</v>
      </c>
      <c r="HF388" s="14" t="n">
        <v>5</v>
      </c>
      <c r="HG388" s="14" t="n">
        <v>290</v>
      </c>
      <c r="HH388" s="14" t="n">
        <v>117</v>
      </c>
      <c r="HI388" s="14" t="n">
        <v>90</v>
      </c>
      <c r="HJ388" s="15">
        <f>HF388+HI388</f>
        <v/>
      </c>
      <c r="HK388" s="16">
        <f>IF(HE388=0,"",HH388/HE388)</f>
        <v/>
      </c>
      <c r="HL388" s="14" t="n">
        <v>61</v>
      </c>
      <c r="HM388" s="14" t="n">
        <v>31</v>
      </c>
      <c r="HN388" s="17">
        <f>IF(HL388=0,"",HM388/HL388)</f>
        <v/>
      </c>
    </row>
    <row r="389">
      <c r="A389" s="6" t="inlineStr">
        <is>
          <t>Zomba</t>
        </is>
      </c>
      <c r="B389" s="6" t="inlineStr">
        <is>
          <t>Zomba</t>
        </is>
      </c>
      <c r="C389" s="7" t="inlineStr">
        <is>
          <t>FY2025/26</t>
        </is>
      </c>
      <c r="D389" s="7" t="n">
        <v>2025</v>
      </c>
      <c r="E389" s="7" t="n">
        <v>6</v>
      </c>
      <c r="F389" s="7" t="inlineStr">
        <is>
          <t>June</t>
        </is>
      </c>
      <c r="G389" s="7" t="inlineStr">
        <is>
          <t>Q1</t>
        </is>
      </c>
      <c r="H389" s="8" t="n">
        <v>451649</v>
      </c>
      <c r="I389" s="8" t="n">
        <v>126282</v>
      </c>
      <c r="J389" s="8" t="n">
        <v>12170</v>
      </c>
      <c r="K389" s="8" t="n">
        <v>34963</v>
      </c>
      <c r="L389" s="8" t="n">
        <v>57</v>
      </c>
      <c r="M389" s="9">
        <f>SUM(I389,J389,K389,L389)</f>
        <v/>
      </c>
      <c r="N389" s="8" t="n">
        <v>51538.999999999</v>
      </c>
      <c r="O389" s="8" t="n">
        <v>8492.700000000001</v>
      </c>
      <c r="P389" s="8" t="n">
        <v>39431.2</v>
      </c>
      <c r="Q389" s="8" t="n">
        <v>4730.7</v>
      </c>
      <c r="R389" s="9">
        <f>SUM(N389,O389,P389,Q389)</f>
        <v/>
      </c>
      <c r="S389" s="9">
        <f>M389+R389</f>
        <v/>
      </c>
      <c r="T389" s="8" t="n">
        <v>173983.400000001</v>
      </c>
      <c r="U389" s="10">
        <f>IF(H389=0,"",T389/H389)</f>
        <v/>
      </c>
      <c r="V389" s="8" t="n">
        <v>1181</v>
      </c>
      <c r="W389" s="11">
        <f>IF(H389=0,"",V389/H389)</f>
        <v/>
      </c>
      <c r="X389" s="8" t="n">
        <v>4010</v>
      </c>
      <c r="Y389" s="11">
        <f>IF(H389=0,"",X389/H389)</f>
        <v/>
      </c>
      <c r="Z389" s="8" t="n">
        <v>2165</v>
      </c>
      <c r="AA389" s="11">
        <f>IF(H389=0,"",Z389/H389)</f>
        <v/>
      </c>
      <c r="AB389" s="8" t="n">
        <v>0</v>
      </c>
      <c r="AC389" s="11">
        <f>IF(H389=0,"",AB389/H389)</f>
        <v/>
      </c>
      <c r="AD389" s="8" t="n">
        <v>0</v>
      </c>
      <c r="AE389" s="11">
        <f>IF(H389=0,"",AD389/H389)</f>
        <v/>
      </c>
      <c r="AF389" s="8" t="n">
        <v>0</v>
      </c>
      <c r="AG389" s="11">
        <f>IF(H389=0,"",AF389/H389)</f>
        <v/>
      </c>
      <c r="AH389" s="8" t="n">
        <v>91824140</v>
      </c>
      <c r="AI389" s="9">
        <f>IF(H389=0,"",AH389/H389)</f>
        <v/>
      </c>
      <c r="AJ389" s="8" t="n">
        <v>38916.35</v>
      </c>
      <c r="AK389" s="11">
        <f>IF(H389=0,"",AJ389/H389)</f>
        <v/>
      </c>
      <c r="AL389" s="8" t="n">
        <v>10667795.15215</v>
      </c>
      <c r="AM389" s="9">
        <f>IF(H389=0,"",AL389/H389)</f>
        <v/>
      </c>
      <c r="AN389" s="8" t="n">
        <v>0</v>
      </c>
      <c r="AO389" s="8" t="n">
        <v>0</v>
      </c>
      <c r="AP389" s="8" t="n">
        <v>0</v>
      </c>
      <c r="AQ389" s="8" t="n">
        <v>0</v>
      </c>
      <c r="AR389" s="8" t="n">
        <v>0</v>
      </c>
      <c r="AS389" s="8" t="n">
        <v>0</v>
      </c>
      <c r="AT389" s="8" t="n">
        <v>0</v>
      </c>
      <c r="AU389" s="9">
        <f>AH389+AL389+AP389+AQ389+AR389+AS389+AT389</f>
        <v/>
      </c>
      <c r="AV389" s="9">
        <f>IF(H389=0,"",AU389/H389)</f>
        <v/>
      </c>
      <c r="AW389" s="9">
        <f>IF(S389=0,"",AU389/S389)</f>
        <v/>
      </c>
      <c r="AX389" s="8" t="n">
        <v>63</v>
      </c>
      <c r="AY389" s="9">
        <f>IF(H389=0,"",AX389/(H389/1000/12))</f>
        <v/>
      </c>
      <c r="AZ389" s="8" t="n">
        <v>75</v>
      </c>
      <c r="BA389" s="8" t="n">
        <v>260</v>
      </c>
      <c r="BB389" s="8" t="n">
        <v>149</v>
      </c>
      <c r="BC389" s="8" t="n">
        <v>133</v>
      </c>
      <c r="BD389" s="8" t="n">
        <v>0</v>
      </c>
      <c r="BE389" s="9">
        <f>BC389+BD389</f>
        <v/>
      </c>
      <c r="BF389" s="9">
        <f>BA389+BB389-BE389</f>
        <v/>
      </c>
      <c r="BG389" s="8" t="n">
        <v>18</v>
      </c>
      <c r="BH389" s="8" t="n">
        <v>0</v>
      </c>
      <c r="BI389" s="8" t="n">
        <v>2</v>
      </c>
      <c r="BJ389" s="8" t="n">
        <v>0</v>
      </c>
      <c r="BK389" s="9">
        <f>BI389+BJ389</f>
        <v/>
      </c>
      <c r="BL389" s="9">
        <f>BG389+BH389-BK389</f>
        <v/>
      </c>
      <c r="BM389" s="8" t="n">
        <v>8</v>
      </c>
      <c r="BN389" s="8" t="n">
        <v>0</v>
      </c>
      <c r="BO389" s="8" t="n">
        <v>0</v>
      </c>
      <c r="BP389" s="8" t="n">
        <v>0</v>
      </c>
      <c r="BQ389" s="9">
        <f>BO389+BP389</f>
        <v/>
      </c>
      <c r="BR389" s="9">
        <f>BM389+BN389-BQ389</f>
        <v/>
      </c>
      <c r="BS389" s="8" t="n">
        <v>4</v>
      </c>
      <c r="BT389" s="8" t="n">
        <v>0</v>
      </c>
      <c r="BU389" s="8" t="n">
        <v>0</v>
      </c>
      <c r="BV389" s="8" t="n">
        <v>0</v>
      </c>
      <c r="BW389" s="9">
        <f>BU389+BV389</f>
        <v/>
      </c>
      <c r="BX389" s="9">
        <f>BS389+BT389-BW389</f>
        <v/>
      </c>
      <c r="BY389" s="9">
        <f>BA389+BG389+BM389+BS389</f>
        <v/>
      </c>
      <c r="BZ389" s="9">
        <f>BB389+BH389+BN389+BT389</f>
        <v/>
      </c>
      <c r="CA389" s="9">
        <f>BE389+BK389+BQ389+BW389</f>
        <v/>
      </c>
      <c r="CB389" s="9">
        <f>BF389+BL389+BR389+BX389</f>
        <v/>
      </c>
      <c r="CC389" s="8" t="n">
        <v>0</v>
      </c>
      <c r="CD389" s="8" t="n">
        <v>8078</v>
      </c>
      <c r="CE389" s="8" t="n">
        <v>484</v>
      </c>
      <c r="CF389" s="8" t="n">
        <v>270</v>
      </c>
      <c r="CG389" s="8" t="n">
        <v>87</v>
      </c>
      <c r="CH389" s="9">
        <f>CD389+CE389+CF389+CG389</f>
        <v/>
      </c>
      <c r="CI389" s="8" t="n">
        <v>12041</v>
      </c>
      <c r="CJ389" s="8" t="n">
        <v>49</v>
      </c>
      <c r="CK389" s="8" t="n">
        <v>13</v>
      </c>
      <c r="CL389" s="8" t="n">
        <v>118</v>
      </c>
      <c r="CM389" s="9">
        <f>CI389+CJ389+CK389+CL389</f>
        <v/>
      </c>
      <c r="CN389" s="8" t="n">
        <v>4181</v>
      </c>
      <c r="CO389" s="8" t="n">
        <v>276</v>
      </c>
      <c r="CP389" s="8" t="n">
        <v>191</v>
      </c>
      <c r="CQ389" s="8" t="n">
        <v>82</v>
      </c>
      <c r="CR389" s="9">
        <f>CN389+CO389+CP389+CQ389</f>
        <v/>
      </c>
      <c r="CS389" s="9">
        <f>CM389+CR389</f>
        <v/>
      </c>
      <c r="CT389" s="8" t="n">
        <v>25870</v>
      </c>
      <c r="CU389" s="8" t="n">
        <v>140256</v>
      </c>
      <c r="CV389" s="8" t="n">
        <v>140243.1</v>
      </c>
      <c r="CW389" s="10">
        <f>IF(CU389=0,"",CV389/CU389)</f>
        <v/>
      </c>
      <c r="CX389" s="8" t="n">
        <v>4</v>
      </c>
      <c r="CY389" s="8" t="n">
        <v>0</v>
      </c>
      <c r="CZ389" s="8" t="n">
        <v>3</v>
      </c>
      <c r="DA389" s="8" t="n">
        <v>0</v>
      </c>
      <c r="DB389" s="9">
        <f>CX389+CY389-CZ389-DA389</f>
        <v/>
      </c>
      <c r="DC389" s="8" t="n">
        <v>0</v>
      </c>
      <c r="DD389" s="8" t="n">
        <v>1</v>
      </c>
      <c r="DE389" s="8" t="n">
        <v>0</v>
      </c>
      <c r="DF389" s="8" t="n">
        <v>0</v>
      </c>
      <c r="DG389" s="9">
        <f>DC389+DD389-DE389-DF389</f>
        <v/>
      </c>
      <c r="DH389" s="8" t="n">
        <v>11</v>
      </c>
      <c r="DI389" s="8" t="n">
        <v>0</v>
      </c>
      <c r="DJ389" s="8" t="n">
        <v>3</v>
      </c>
      <c r="DK389" s="8" t="n">
        <v>2</v>
      </c>
      <c r="DL389" s="9">
        <f>DH389+DI389-DJ389-DK389</f>
        <v/>
      </c>
      <c r="DM389" s="8" t="n">
        <v>1098</v>
      </c>
      <c r="DN389" s="8" t="n">
        <v>24</v>
      </c>
      <c r="DO389" s="8" t="n">
        <v>1</v>
      </c>
      <c r="DP389" s="8" t="n">
        <v>139</v>
      </c>
      <c r="DQ389" s="9">
        <f>DM389+DN389-DO389-DP389</f>
        <v/>
      </c>
      <c r="DR389" s="9">
        <f>CX389+DC389+DH389+DM389</f>
        <v/>
      </c>
      <c r="DS389" s="9">
        <f>CY389+DD389+DI389+DN389</f>
        <v/>
      </c>
      <c r="DT389" s="9">
        <f>CZ389+DE389+DJ389+DO389</f>
        <v/>
      </c>
      <c r="DU389" s="9">
        <f>DA389+DF389+DK389+DP389</f>
        <v/>
      </c>
      <c r="DV389" s="9">
        <f>DB389+DG389+DL389+DQ389</f>
        <v/>
      </c>
      <c r="DW389" s="8" t="n">
        <v>183</v>
      </c>
      <c r="DX389" s="8" t="n">
        <v>89</v>
      </c>
      <c r="DY389" s="8" t="n">
        <v>47</v>
      </c>
      <c r="DZ389" s="8" t="n">
        <v>13</v>
      </c>
      <c r="EA389" s="8" t="n">
        <v>21</v>
      </c>
      <c r="EB389" s="8" t="n">
        <v>23</v>
      </c>
      <c r="EC389" s="8" t="n">
        <v>1</v>
      </c>
      <c r="ED389" s="8" t="n">
        <v>4</v>
      </c>
      <c r="EE389" s="8" t="n">
        <v>6</v>
      </c>
      <c r="EF389" s="8" t="n">
        <v>3</v>
      </c>
      <c r="EG389" s="8" t="n">
        <v>2</v>
      </c>
      <c r="EH389" s="8" t="n">
        <v>0</v>
      </c>
      <c r="EI389" s="8" t="n">
        <v>0</v>
      </c>
      <c r="EJ389" s="8" t="n">
        <v>26</v>
      </c>
      <c r="EK389" s="8" t="n">
        <v>3</v>
      </c>
      <c r="EL389" s="8" t="n">
        <v>0</v>
      </c>
      <c r="EM389" s="8" t="n">
        <v>0</v>
      </c>
      <c r="EN389" s="8" t="n">
        <v>0</v>
      </c>
      <c r="EO389" s="8" t="n">
        <v>1</v>
      </c>
      <c r="EP389" s="8" t="n">
        <v>2</v>
      </c>
      <c r="EQ389" s="8" t="n">
        <v>0</v>
      </c>
      <c r="ER389" s="8" t="n">
        <v>0</v>
      </c>
      <c r="ES389" s="8" t="n">
        <v>1</v>
      </c>
      <c r="ET389" s="8" t="n">
        <v>0</v>
      </c>
      <c r="EU389" s="8" t="n">
        <v>0</v>
      </c>
      <c r="EV389" s="8" t="n">
        <v>0</v>
      </c>
      <c r="EW389" s="8" t="n">
        <v>0</v>
      </c>
      <c r="EX389" s="8" t="n">
        <v>0</v>
      </c>
      <c r="EY389" s="8" t="n">
        <v>0</v>
      </c>
      <c r="EZ389" s="8" t="n">
        <v>0</v>
      </c>
      <c r="FA389" s="8" t="n">
        <v>0</v>
      </c>
      <c r="FB389" s="8" t="n">
        <v>0</v>
      </c>
      <c r="FC389" s="8" t="n">
        <v>0</v>
      </c>
      <c r="FD389" s="8" t="n">
        <v>0</v>
      </c>
      <c r="FE389" s="8" t="n">
        <v>1</v>
      </c>
      <c r="FF389" s="8" t="n">
        <v>0</v>
      </c>
      <c r="FG389" s="9">
        <f>SUM(DW389,DX389,DY389,DZ389,EA389,EB389,EC389,ED389,EE389,EF389,EG389,EH389,EI389,EJ389,EK389,EL389,EM389,EN389,EO389,EP389,EQ389,ER389,ES389,ET389,EU389,EV389,EW389,EX389,EY389,EZ389,FA389,FB389,FC389,FD389,FE389,FF389)</f>
        <v/>
      </c>
      <c r="FH389" s="8" t="n">
        <v>0</v>
      </c>
      <c r="FI389" s="8" t="n">
        <v>0</v>
      </c>
      <c r="FJ389" s="8" t="n">
        <v>22</v>
      </c>
      <c r="FK389" s="8" t="n">
        <v>21</v>
      </c>
      <c r="FL389" s="8" t="n">
        <v>0</v>
      </c>
      <c r="FM389" s="8" t="n">
        <v>0</v>
      </c>
      <c r="FN389" s="8" t="n">
        <v>0</v>
      </c>
      <c r="FO389" s="8" t="n">
        <v>0</v>
      </c>
      <c r="FP389" s="8" t="n">
        <v>0</v>
      </c>
      <c r="FQ389" s="9">
        <f>FL389+FM389+FN389+FO389+FP389</f>
        <v/>
      </c>
      <c r="FR389" s="8" t="n">
        <v>152756079.4699998</v>
      </c>
      <c r="FS389" s="8" t="n">
        <v>3363220.66</v>
      </c>
      <c r="FT389" s="8" t="n">
        <v>1514868.88</v>
      </c>
      <c r="FU389" s="8" t="n">
        <v>201952112.89</v>
      </c>
      <c r="FV389" s="9">
        <f>FR389+FS389+FT389+FU389</f>
        <v/>
      </c>
      <c r="FW389" s="8" t="n">
        <v>67288099.81999998</v>
      </c>
      <c r="FX389" s="8" t="n">
        <v>1957812.44</v>
      </c>
      <c r="FY389" s="8" t="n">
        <v>23658145.85</v>
      </c>
      <c r="FZ389" s="8" t="n">
        <v>124612739.81</v>
      </c>
      <c r="GA389" s="9">
        <f>FW389+FX389+FY389+FZ389</f>
        <v/>
      </c>
      <c r="GB389" s="9">
        <f>FV389+GA389</f>
        <v/>
      </c>
      <c r="GC389" s="8" t="n">
        <v>115413347.33</v>
      </c>
      <c r="GD389" s="8" t="n">
        <v>2327877.6</v>
      </c>
      <c r="GE389" s="8" t="n">
        <v>120489579.01</v>
      </c>
      <c r="GF389" s="8" t="n">
        <v>156741.83</v>
      </c>
      <c r="GG389" s="9">
        <f>GC389+GD389+GE389+GF389</f>
        <v/>
      </c>
      <c r="GH389" s="8" t="n">
        <v>64352716.87</v>
      </c>
      <c r="GI389" s="8" t="n">
        <v>1804362.44</v>
      </c>
      <c r="GJ389" s="8" t="n">
        <v>119872360.23</v>
      </c>
      <c r="GK389" s="8" t="n">
        <v>22335027.02</v>
      </c>
      <c r="GL389" s="9">
        <f>GH389+GI389+GJ389+GK389</f>
        <v/>
      </c>
      <c r="GM389" s="9">
        <f>GG389+GL389</f>
        <v/>
      </c>
      <c r="GN389" s="8" t="n">
        <v>6474341.82</v>
      </c>
      <c r="GO389" s="8" t="n">
        <v>22571.04</v>
      </c>
      <c r="GP389" s="8" t="n">
        <v>166288.36</v>
      </c>
      <c r="GQ389" s="8" t="n">
        <v>60285.42</v>
      </c>
      <c r="GR389" s="9">
        <f>GN389+GO389+GP389+GQ389</f>
        <v/>
      </c>
      <c r="GS389" s="8" t="n">
        <v>10752613</v>
      </c>
      <c r="GT389" s="8" t="n">
        <v>105374</v>
      </c>
      <c r="GU389" s="8" t="n">
        <v>43757</v>
      </c>
      <c r="GV389" s="8" t="n">
        <v>11609</v>
      </c>
      <c r="GW389" s="9">
        <f>GS389+GT389+GU389+GV389</f>
        <v/>
      </c>
      <c r="GX389" s="9">
        <f>GM389+GR389+GW389</f>
        <v/>
      </c>
      <c r="GY389" s="8" t="n">
        <v>1254057728.029993</v>
      </c>
      <c r="GZ389" s="8" t="n">
        <v>262737742.9800001</v>
      </c>
      <c r="HA389" s="9">
        <f>GY389+GZ389</f>
        <v/>
      </c>
      <c r="HB389" s="9">
        <f>IF(GX389=0,"",AU389/GX389)</f>
        <v/>
      </c>
      <c r="HC389" s="10">
        <f>IF((GX389+GY389)=0,"",GB389/(GX389+GY389))</f>
        <v/>
      </c>
      <c r="HD389" s="9">
        <f>IF(GX389=0,"",GB389/GX389)</f>
        <v/>
      </c>
      <c r="HE389" s="8" t="n">
        <v>149</v>
      </c>
      <c r="HF389" s="8" t="n">
        <v>5</v>
      </c>
      <c r="HG389" s="8" t="n">
        <v>304</v>
      </c>
      <c r="HH389" s="8" t="n">
        <v>149</v>
      </c>
      <c r="HI389" s="8" t="n">
        <v>90</v>
      </c>
      <c r="HJ389" s="9">
        <f>HF389+HI389</f>
        <v/>
      </c>
      <c r="HK389" s="10">
        <f>IF(HE389=0,"",HH389/HE389)</f>
        <v/>
      </c>
      <c r="HL389" s="8" t="n">
        <v>38</v>
      </c>
      <c r="HM389" s="8" t="n">
        <v>30</v>
      </c>
      <c r="HN389" s="11">
        <f>IF(HL389=0,"",HM389/HL389)</f>
        <v/>
      </c>
    </row>
    <row r="390">
      <c r="A390" s="12" t="inlineStr">
        <is>
          <t>Zomba</t>
        </is>
      </c>
      <c r="B390" s="12" t="inlineStr">
        <is>
          <t>Zomba</t>
        </is>
      </c>
      <c r="C390" s="13" t="inlineStr">
        <is>
          <t>FY2025/26</t>
        </is>
      </c>
      <c r="D390" s="13" t="n">
        <v>2025</v>
      </c>
      <c r="E390" s="13" t="n">
        <v>7</v>
      </c>
      <c r="F390" s="13" t="inlineStr">
        <is>
          <t>July</t>
        </is>
      </c>
      <c r="G390" s="13" t="inlineStr">
        <is>
          <t>Q2</t>
        </is>
      </c>
      <c r="H390" s="14" t="n">
        <v>478147</v>
      </c>
      <c r="I390" s="14" t="n">
        <v>134424</v>
      </c>
      <c r="J390" s="14" t="n">
        <v>12248</v>
      </c>
      <c r="K390" s="14" t="n">
        <v>36455</v>
      </c>
      <c r="L390" s="14" t="n">
        <v>101</v>
      </c>
      <c r="M390" s="15">
        <f>SUM(I390,J390,K390,L390)</f>
        <v/>
      </c>
      <c r="N390" s="14" t="n">
        <v>69840.09999999939</v>
      </c>
      <c r="O390" s="14" t="n">
        <v>8994.400000000011</v>
      </c>
      <c r="P390" s="14" t="n">
        <v>28620.1</v>
      </c>
      <c r="Q390" s="14" t="n">
        <v>6503.30000000002</v>
      </c>
      <c r="R390" s="15">
        <f>SUM(N390,O390,P390,Q390)</f>
        <v/>
      </c>
      <c r="S390" s="15">
        <f>M390+R390</f>
        <v/>
      </c>
      <c r="T390" s="14" t="n">
        <v>180961.100000001</v>
      </c>
      <c r="U390" s="16">
        <f>IF(H390=0,"",T390/H390)</f>
        <v/>
      </c>
      <c r="V390" s="14" t="n">
        <v>1024</v>
      </c>
      <c r="W390" s="17">
        <f>IF(H390=0,"",V390/H390)</f>
        <v/>
      </c>
      <c r="X390" s="14" t="n">
        <v>3333</v>
      </c>
      <c r="Y390" s="17">
        <f>IF(H390=0,"",X390/H390)</f>
        <v/>
      </c>
      <c r="Z390" s="14" t="n">
        <v>2023</v>
      </c>
      <c r="AA390" s="17">
        <f>IF(H390=0,"",Z390/H390)</f>
        <v/>
      </c>
      <c r="AB390" s="14" t="n">
        <v>0</v>
      </c>
      <c r="AC390" s="17">
        <f>IF(H390=0,"",AB390/H390)</f>
        <v/>
      </c>
      <c r="AD390" s="14" t="n">
        <v>0</v>
      </c>
      <c r="AE390" s="17">
        <f>IF(H390=0,"",AD390/H390)</f>
        <v/>
      </c>
      <c r="AF390" s="14" t="n">
        <v>0</v>
      </c>
      <c r="AG390" s="17">
        <f>IF(H390=0,"",AF390/H390)</f>
        <v/>
      </c>
      <c r="AH390" s="14" t="n">
        <v>80131768</v>
      </c>
      <c r="AI390" s="15">
        <f>IF(H390=0,"",AH390/H390)</f>
        <v/>
      </c>
      <c r="AJ390" s="14" t="n">
        <v>37039.09</v>
      </c>
      <c r="AK390" s="17">
        <f>IF(H390=0,"",AJ390/H390)</f>
        <v/>
      </c>
      <c r="AL390" s="14" t="n">
        <v>10154723.09881</v>
      </c>
      <c r="AM390" s="15">
        <f>IF(H390=0,"",AL390/H390)</f>
        <v/>
      </c>
      <c r="AN390" s="14" t="n">
        <v>0</v>
      </c>
      <c r="AO390" s="14" t="n">
        <v>0</v>
      </c>
      <c r="AP390" s="14" t="n">
        <v>0</v>
      </c>
      <c r="AQ390" s="14" t="n">
        <v>0</v>
      </c>
      <c r="AR390" s="14" t="n">
        <v>0</v>
      </c>
      <c r="AS390" s="14" t="n">
        <v>0</v>
      </c>
      <c r="AT390" s="14" t="n">
        <v>0</v>
      </c>
      <c r="AU390" s="15">
        <f>AH390+AL390+AP390+AQ390+AR390+AS390+AT390</f>
        <v/>
      </c>
      <c r="AV390" s="15">
        <f>IF(H390=0,"",AU390/H390)</f>
        <v/>
      </c>
      <c r="AW390" s="15">
        <f>IF(S390=0,"",AU390/S390)</f>
        <v/>
      </c>
      <c r="AX390" s="14" t="n">
        <v>63</v>
      </c>
      <c r="AY390" s="15">
        <f>IF(H390=0,"",AX390/(H390/1000/12))</f>
        <v/>
      </c>
      <c r="AZ390" s="14" t="n">
        <v>75</v>
      </c>
      <c r="BA390" s="14" t="n">
        <v>276</v>
      </c>
      <c r="BB390" s="14" t="n">
        <v>172</v>
      </c>
      <c r="BC390" s="14" t="n">
        <v>151</v>
      </c>
      <c r="BD390" s="14" t="n">
        <v>0</v>
      </c>
      <c r="BE390" s="15">
        <f>BC390+BD390</f>
        <v/>
      </c>
      <c r="BF390" s="15">
        <f>BA390+BB390-BE390</f>
        <v/>
      </c>
      <c r="BG390" s="14" t="n">
        <v>16</v>
      </c>
      <c r="BH390" s="14" t="n">
        <v>0</v>
      </c>
      <c r="BI390" s="14" t="n">
        <v>1</v>
      </c>
      <c r="BJ390" s="14" t="n">
        <v>0</v>
      </c>
      <c r="BK390" s="15">
        <f>BI390+BJ390</f>
        <v/>
      </c>
      <c r="BL390" s="15">
        <f>BG390+BH390-BK390</f>
        <v/>
      </c>
      <c r="BM390" s="14" t="n">
        <v>8</v>
      </c>
      <c r="BN390" s="14" t="n">
        <v>7</v>
      </c>
      <c r="BO390" s="14" t="n">
        <v>6</v>
      </c>
      <c r="BP390" s="14" t="n">
        <v>0</v>
      </c>
      <c r="BQ390" s="15">
        <f>BO390+BP390</f>
        <v/>
      </c>
      <c r="BR390" s="15">
        <f>BM390+BN390-BQ390</f>
        <v/>
      </c>
      <c r="BS390" s="14" t="n">
        <v>4</v>
      </c>
      <c r="BT390" s="14" t="n">
        <v>0</v>
      </c>
      <c r="BU390" s="14" t="n">
        <v>2</v>
      </c>
      <c r="BV390" s="14" t="n">
        <v>0</v>
      </c>
      <c r="BW390" s="15">
        <f>BU390+BV390</f>
        <v/>
      </c>
      <c r="BX390" s="15">
        <f>BS390+BT390-BW390</f>
        <v/>
      </c>
      <c r="BY390" s="15">
        <f>BA390+BG390+BM390+BS390</f>
        <v/>
      </c>
      <c r="BZ390" s="15">
        <f>BB390+BH390+BN390+BT390</f>
        <v/>
      </c>
      <c r="CA390" s="15">
        <f>BE390+BK390+BQ390+BW390</f>
        <v/>
      </c>
      <c r="CB390" s="15">
        <f>BF390+BL390+BR390+BX390</f>
        <v/>
      </c>
      <c r="CC390" s="14" t="n">
        <v>0</v>
      </c>
      <c r="CD390" s="14" t="n">
        <v>7228</v>
      </c>
      <c r="CE390" s="14" t="n">
        <v>386</v>
      </c>
      <c r="CF390" s="14" t="n">
        <v>215</v>
      </c>
      <c r="CG390" s="14" t="n">
        <v>83</v>
      </c>
      <c r="CH390" s="15">
        <f>CD390+CE390+CF390+CG390</f>
        <v/>
      </c>
      <c r="CI390" s="14" t="n">
        <v>12036</v>
      </c>
      <c r="CJ390" s="14" t="n">
        <v>49</v>
      </c>
      <c r="CK390" s="14" t="n">
        <v>18</v>
      </c>
      <c r="CL390" s="14" t="n">
        <v>121</v>
      </c>
      <c r="CM390" s="15">
        <f>CI390+CJ390+CK390+CL390</f>
        <v/>
      </c>
      <c r="CN390" s="14" t="n">
        <v>5187</v>
      </c>
      <c r="CO390" s="14" t="n">
        <v>375</v>
      </c>
      <c r="CP390" s="14" t="n">
        <v>247</v>
      </c>
      <c r="CQ390" s="14" t="n">
        <v>85</v>
      </c>
      <c r="CR390" s="15">
        <f>CN390+CO390+CP390+CQ390</f>
        <v/>
      </c>
      <c r="CS390" s="15">
        <f>CM390+CR390</f>
        <v/>
      </c>
      <c r="CT390" s="14" t="n">
        <v>26030</v>
      </c>
      <c r="CU390" s="14" t="n">
        <v>140513</v>
      </c>
      <c r="CV390" s="14" t="n">
        <v>140565.5</v>
      </c>
      <c r="CW390" s="16">
        <f>IF(CU390=0,"",CV390/CU390)</f>
        <v/>
      </c>
      <c r="CX390" s="14" t="n">
        <v>1</v>
      </c>
      <c r="CY390" s="14" t="n">
        <v>1</v>
      </c>
      <c r="CZ390" s="14" t="n">
        <v>0</v>
      </c>
      <c r="DA390" s="14" t="n">
        <v>0</v>
      </c>
      <c r="DB390" s="15">
        <f>CX390+CY390-CZ390-DA390</f>
        <v/>
      </c>
      <c r="DC390" s="14" t="n">
        <v>1</v>
      </c>
      <c r="DD390" s="14" t="n">
        <v>0</v>
      </c>
      <c r="DE390" s="14" t="n">
        <v>1</v>
      </c>
      <c r="DF390" s="14" t="n">
        <v>0</v>
      </c>
      <c r="DG390" s="15">
        <f>DC390+DD390-DE390-DF390</f>
        <v/>
      </c>
      <c r="DH390" s="14" t="n">
        <v>6</v>
      </c>
      <c r="DI390" s="14" t="n">
        <v>3</v>
      </c>
      <c r="DJ390" s="14" t="n">
        <v>0</v>
      </c>
      <c r="DK390" s="14" t="n">
        <v>1</v>
      </c>
      <c r="DL390" s="15">
        <f>DH390+DI390-DJ390-DK390</f>
        <v/>
      </c>
      <c r="DM390" s="14" t="n">
        <v>982</v>
      </c>
      <c r="DN390" s="14" t="n">
        <v>51</v>
      </c>
      <c r="DO390" s="14" t="n">
        <v>0</v>
      </c>
      <c r="DP390" s="14" t="n">
        <v>72</v>
      </c>
      <c r="DQ390" s="15">
        <f>DM390+DN390-DO390-DP390</f>
        <v/>
      </c>
      <c r="DR390" s="15">
        <f>CX390+DC390+DH390+DM390</f>
        <v/>
      </c>
      <c r="DS390" s="15">
        <f>CY390+DD390+DI390+DN390</f>
        <v/>
      </c>
      <c r="DT390" s="15">
        <f>CZ390+DE390+DJ390+DO390</f>
        <v/>
      </c>
      <c r="DU390" s="15">
        <f>DA390+DF390+DK390+DP390</f>
        <v/>
      </c>
      <c r="DV390" s="15">
        <f>DB390+DG390+DL390+DQ390</f>
        <v/>
      </c>
      <c r="DW390" s="14" t="n">
        <v>296</v>
      </c>
      <c r="DX390" s="14" t="n">
        <v>96</v>
      </c>
      <c r="DY390" s="14" t="n">
        <v>68</v>
      </c>
      <c r="DZ390" s="14" t="n">
        <v>13</v>
      </c>
      <c r="EA390" s="14" t="n">
        <v>30</v>
      </c>
      <c r="EB390" s="14" t="n">
        <v>24</v>
      </c>
      <c r="EC390" s="14" t="n">
        <v>3</v>
      </c>
      <c r="ED390" s="14" t="n">
        <v>10</v>
      </c>
      <c r="EE390" s="14" t="n">
        <v>8</v>
      </c>
      <c r="EF390" s="14" t="n">
        <v>2</v>
      </c>
      <c r="EG390" s="14" t="n">
        <v>0</v>
      </c>
      <c r="EH390" s="14" t="n">
        <v>0</v>
      </c>
      <c r="EI390" s="14" t="n">
        <v>0</v>
      </c>
      <c r="EJ390" s="14" t="n">
        <v>20</v>
      </c>
      <c r="EK390" s="14" t="n">
        <v>6</v>
      </c>
      <c r="EL390" s="14" t="n">
        <v>0</v>
      </c>
      <c r="EM390" s="14" t="n">
        <v>1</v>
      </c>
      <c r="EN390" s="14" t="n">
        <v>0</v>
      </c>
      <c r="EO390" s="14" t="n">
        <v>0</v>
      </c>
      <c r="EP390" s="14" t="n">
        <v>0</v>
      </c>
      <c r="EQ390" s="14" t="n">
        <v>0</v>
      </c>
      <c r="ER390" s="14" t="n">
        <v>0</v>
      </c>
      <c r="ES390" s="14" t="n">
        <v>0</v>
      </c>
      <c r="ET390" s="14" t="n">
        <v>0</v>
      </c>
      <c r="EU390" s="14" t="n">
        <v>0</v>
      </c>
      <c r="EV390" s="14" t="n">
        <v>0</v>
      </c>
      <c r="EW390" s="14" t="n">
        <v>0</v>
      </c>
      <c r="EX390" s="14" t="n">
        <v>0</v>
      </c>
      <c r="EY390" s="14" t="n">
        <v>0</v>
      </c>
      <c r="EZ390" s="14" t="n">
        <v>0</v>
      </c>
      <c r="FA390" s="14" t="n">
        <v>0</v>
      </c>
      <c r="FB390" s="14" t="n">
        <v>0</v>
      </c>
      <c r="FC390" s="14" t="n">
        <v>0</v>
      </c>
      <c r="FD390" s="14" t="n">
        <v>0</v>
      </c>
      <c r="FE390" s="14" t="n">
        <v>1</v>
      </c>
      <c r="FF390" s="14" t="n">
        <v>0</v>
      </c>
      <c r="FG390" s="15">
        <f>SUM(DW390,DX390,DY390,DZ390,EA390,EB390,EC390,ED390,EE390,EF390,EG390,EH390,EI390,EJ390,EK390,EL390,EM390,EN390,EO390,EP390,EQ390,ER390,ES390,ET390,EU390,EV390,EW390,EX390,EY390,EZ390,FA390,FB390,FC390,FD390,FE390,FF390)</f>
        <v/>
      </c>
      <c r="FH390" s="14" t="n">
        <v>0</v>
      </c>
      <c r="FI390" s="14" t="n">
        <v>0</v>
      </c>
      <c r="FJ390" s="14" t="n">
        <v>22</v>
      </c>
      <c r="FK390" s="14" t="n">
        <v>17</v>
      </c>
      <c r="FL390" s="14" t="n">
        <v>0</v>
      </c>
      <c r="FM390" s="14" t="n">
        <v>0</v>
      </c>
      <c r="FN390" s="14" t="n">
        <v>0</v>
      </c>
      <c r="FO390" s="14" t="n">
        <v>0</v>
      </c>
      <c r="FP390" s="14" t="n">
        <v>0</v>
      </c>
      <c r="FQ390" s="15">
        <f>FL390+FM390+FN390+FO390+FP390</f>
        <v/>
      </c>
      <c r="FR390" s="14" t="n">
        <v>133913322.6699999</v>
      </c>
      <c r="FS390" s="14" t="n">
        <v>2475767.22</v>
      </c>
      <c r="FT390" s="14" t="n">
        <v>614000</v>
      </c>
      <c r="FU390" s="14" t="n">
        <v>108200</v>
      </c>
      <c r="FV390" s="15">
        <f>FR390+FS390+FT390+FU390</f>
        <v/>
      </c>
      <c r="FW390" s="14" t="n">
        <v>91157715.48999999</v>
      </c>
      <c r="FX390" s="14" t="n">
        <v>2023645.59</v>
      </c>
      <c r="FY390" s="14" t="n">
        <v>32258417.86</v>
      </c>
      <c r="FZ390" s="14" t="n">
        <v>88953712.74000001</v>
      </c>
      <c r="GA390" s="15">
        <f>FW390+FX390+FY390+FZ390</f>
        <v/>
      </c>
      <c r="GB390" s="15">
        <f>FV390+GA390</f>
        <v/>
      </c>
      <c r="GC390" s="14" t="n">
        <v>120015467.56</v>
      </c>
      <c r="GD390" s="14" t="n">
        <v>2342797.44</v>
      </c>
      <c r="GE390" s="14" t="n">
        <v>125640085.33</v>
      </c>
      <c r="GF390" s="14" t="n">
        <v>257943.88</v>
      </c>
      <c r="GG390" s="15">
        <f>GC390+GD390+GE390+GF390</f>
        <v/>
      </c>
      <c r="GH390" s="14" t="n">
        <v>87408134.17999992</v>
      </c>
      <c r="GI390" s="14" t="n">
        <v>1910947.34</v>
      </c>
      <c r="GJ390" s="14" t="n">
        <v>86974435.65000001</v>
      </c>
      <c r="GK390" s="14" t="n">
        <v>30573558.74</v>
      </c>
      <c r="GL390" s="15">
        <f>GH390+GI390+GJ390+GK390</f>
        <v/>
      </c>
      <c r="GM390" s="15">
        <f>GG390+GL390</f>
        <v/>
      </c>
      <c r="GN390" s="14" t="n">
        <v>6465481.47</v>
      </c>
      <c r="GO390" s="14" t="n">
        <v>23144.88</v>
      </c>
      <c r="GP390" s="14" t="n">
        <v>166288.36</v>
      </c>
      <c r="GQ390" s="14" t="n">
        <v>83472.12</v>
      </c>
      <c r="GR390" s="15">
        <f>GN390+GO390+GP390+GQ390</f>
        <v/>
      </c>
      <c r="GS390" s="14" t="n">
        <v>10748148</v>
      </c>
      <c r="GT390" s="14" t="n">
        <v>108053</v>
      </c>
      <c r="GU390" s="14" t="n">
        <v>43757</v>
      </c>
      <c r="GV390" s="14" t="n">
        <v>16074</v>
      </c>
      <c r="GW390" s="15">
        <f>GS390+GT390+GU390+GV390</f>
        <v/>
      </c>
      <c r="GX390" s="15">
        <f>GM390+GR390+GW390</f>
        <v/>
      </c>
      <c r="GY390" s="14" t="n">
        <v>1256996115.090007</v>
      </c>
      <c r="GZ390" s="14" t="n">
        <v>383593563.64</v>
      </c>
      <c r="HA390" s="9">
        <f>GY390+GZ390</f>
        <v/>
      </c>
      <c r="HB390" s="15">
        <f>IF(GX390=0,"",AU390/GX390)</f>
        <v/>
      </c>
      <c r="HC390" s="16">
        <f>IF((GX390+GY390)=0,"",GB390/(GX390+GY390))</f>
        <v/>
      </c>
      <c r="HD390" s="15">
        <f>IF(GX390=0,"",GB390/GX390)</f>
        <v/>
      </c>
      <c r="HE390" s="14" t="n">
        <v>179</v>
      </c>
      <c r="HF390" s="14" t="n">
        <v>5</v>
      </c>
      <c r="HG390" s="14" t="n">
        <v>323</v>
      </c>
      <c r="HH390" s="14" t="n">
        <v>179</v>
      </c>
      <c r="HI390" s="14" t="n">
        <v>90</v>
      </c>
      <c r="HJ390" s="15">
        <f>HF390+HI390</f>
        <v/>
      </c>
      <c r="HK390" s="16">
        <f>IF(HE390=0,"",HH390/HE390)</f>
        <v/>
      </c>
      <c r="HL390" s="14" t="n">
        <v>36</v>
      </c>
      <c r="HM390" s="14" t="n">
        <v>31</v>
      </c>
      <c r="HN390" s="17">
        <f>IF(HL390=0,"",HM390/HL390)</f>
        <v/>
      </c>
    </row>
    <row r="391">
      <c r="A391" s="6" t="inlineStr">
        <is>
          <t>Zomba</t>
        </is>
      </c>
      <c r="B391" s="6" t="inlineStr">
        <is>
          <t>Zomba</t>
        </is>
      </c>
      <c r="C391" s="7" t="inlineStr">
        <is>
          <t>FY2025/26</t>
        </is>
      </c>
      <c r="D391" s="7" t="n">
        <v>2025</v>
      </c>
      <c r="E391" s="7" t="n">
        <v>8</v>
      </c>
      <c r="F391" s="7" t="inlineStr">
        <is>
          <t>August</t>
        </is>
      </c>
      <c r="G391" s="7" t="inlineStr">
        <is>
          <t>Q2</t>
        </is>
      </c>
      <c r="H391" s="8" t="n">
        <v>523919</v>
      </c>
      <c r="I391" s="8" t="n">
        <v>127983</v>
      </c>
      <c r="J391" s="8" t="n">
        <v>12849</v>
      </c>
      <c r="K391" s="8" t="n">
        <v>25981</v>
      </c>
      <c r="L391" s="8" t="n">
        <v>68</v>
      </c>
      <c r="M391" s="9">
        <f>SUM(I391,J391,K391,L391)</f>
        <v/>
      </c>
      <c r="N391" s="8" t="n">
        <v>71822.9999999998</v>
      </c>
      <c r="O391" s="8" t="n">
        <v>14934</v>
      </c>
      <c r="P391" s="8" t="n">
        <v>67701.89999999991</v>
      </c>
      <c r="Q391" s="8" t="n">
        <v>6393.80000000002</v>
      </c>
      <c r="R391" s="9">
        <f>SUM(N391,O391,P391,Q391)</f>
        <v/>
      </c>
      <c r="S391" s="9">
        <f>M391+R391</f>
        <v/>
      </c>
      <c r="T391" s="8" t="n">
        <v>196185.3</v>
      </c>
      <c r="U391" s="10">
        <f>IF(H391=0,"",T391/H391)</f>
        <v/>
      </c>
      <c r="V391" s="8" t="n">
        <v>1278</v>
      </c>
      <c r="W391" s="11">
        <f>IF(H391=0,"",V391/H391)</f>
        <v/>
      </c>
      <c r="X391" s="8" t="n">
        <v>2190</v>
      </c>
      <c r="Y391" s="11">
        <f>IF(H391=0,"",X391/H391)</f>
        <v/>
      </c>
      <c r="Z391" s="8" t="n">
        <v>1572</v>
      </c>
      <c r="AA391" s="11">
        <f>IF(H391=0,"",Z391/H391)</f>
        <v/>
      </c>
      <c r="AB391" s="8" t="n">
        <v>0</v>
      </c>
      <c r="AC391" s="11">
        <f>IF(H391=0,"",AB391/H391)</f>
        <v/>
      </c>
      <c r="AD391" s="8" t="n">
        <v>0</v>
      </c>
      <c r="AE391" s="11">
        <f>IF(H391=0,"",AD391/H391)</f>
        <v/>
      </c>
      <c r="AF391" s="8" t="n">
        <v>0</v>
      </c>
      <c r="AG391" s="11">
        <f>IF(H391=0,"",AF391/H391)</f>
        <v/>
      </c>
      <c r="AH391" s="8" t="n">
        <v>71327352</v>
      </c>
      <c r="AI391" s="9">
        <f>IF(H391=0,"",AH391/H391)</f>
        <v/>
      </c>
      <c r="AJ391" s="8" t="n">
        <v>29328.18</v>
      </c>
      <c r="AK391" s="11">
        <f>IF(H391=0,"",AJ391/H391)</f>
        <v/>
      </c>
      <c r="AL391" s="8" t="n">
        <v>8047261.99762</v>
      </c>
      <c r="AM391" s="9">
        <f>IF(H391=0,"",AL391/H391)</f>
        <v/>
      </c>
      <c r="AN391" s="8" t="n">
        <v>0</v>
      </c>
      <c r="AO391" s="8" t="n">
        <v>0</v>
      </c>
      <c r="AP391" s="8" t="n">
        <v>0</v>
      </c>
      <c r="AQ391" s="8" t="n">
        <v>0</v>
      </c>
      <c r="AR391" s="8" t="n">
        <v>0</v>
      </c>
      <c r="AS391" s="8" t="n">
        <v>0</v>
      </c>
      <c r="AT391" s="8" t="n">
        <v>0</v>
      </c>
      <c r="AU391" s="9">
        <f>AH391+AL391+AP391+AQ391+AR391+AS391+AT391</f>
        <v/>
      </c>
      <c r="AV391" s="9">
        <f>IF(H391=0,"",AU391/H391)</f>
        <v/>
      </c>
      <c r="AW391" s="9">
        <f>IF(S391=0,"",AU391/S391)</f>
        <v/>
      </c>
      <c r="AX391" s="8" t="n">
        <v>63</v>
      </c>
      <c r="AY391" s="9">
        <f>IF(H391=0,"",AX391/(H391/1000/12))</f>
        <v/>
      </c>
      <c r="AZ391" s="8" t="n">
        <v>75</v>
      </c>
      <c r="BA391" s="8" t="n">
        <v>297</v>
      </c>
      <c r="BB391" s="8" t="n">
        <v>111</v>
      </c>
      <c r="BC391" s="8" t="n">
        <v>248</v>
      </c>
      <c r="BD391" s="8" t="n">
        <v>0</v>
      </c>
      <c r="BE391" s="9">
        <f>BC391+BD391</f>
        <v/>
      </c>
      <c r="BF391" s="9">
        <f>BA391+BB391-BE391</f>
        <v/>
      </c>
      <c r="BG391" s="8" t="n">
        <v>15</v>
      </c>
      <c r="BH391" s="8" t="n">
        <v>0</v>
      </c>
      <c r="BI391" s="8" t="n">
        <v>1</v>
      </c>
      <c r="BJ391" s="8" t="n">
        <v>0</v>
      </c>
      <c r="BK391" s="9">
        <f>BI391+BJ391</f>
        <v/>
      </c>
      <c r="BL391" s="9">
        <f>BG391+BH391-BK391</f>
        <v/>
      </c>
      <c r="BM391" s="8" t="n">
        <v>9</v>
      </c>
      <c r="BN391" s="8" t="n">
        <v>0</v>
      </c>
      <c r="BO391" s="8" t="n">
        <v>0</v>
      </c>
      <c r="BP391" s="8" t="n">
        <v>0</v>
      </c>
      <c r="BQ391" s="9">
        <f>BO391+BP391</f>
        <v/>
      </c>
      <c r="BR391" s="9">
        <f>BM391+BN391-BQ391</f>
        <v/>
      </c>
      <c r="BS391" s="8" t="n">
        <v>2</v>
      </c>
      <c r="BT391" s="8" t="n">
        <v>0</v>
      </c>
      <c r="BU391" s="8" t="n">
        <v>0</v>
      </c>
      <c r="BV391" s="8" t="n">
        <v>0</v>
      </c>
      <c r="BW391" s="9">
        <f>BU391+BV391</f>
        <v/>
      </c>
      <c r="BX391" s="9">
        <f>BS391+BT391-BW391</f>
        <v/>
      </c>
      <c r="BY391" s="9">
        <f>BA391+BG391+BM391+BS391</f>
        <v/>
      </c>
      <c r="BZ391" s="9">
        <f>BB391+BH391+BN391+BT391</f>
        <v/>
      </c>
      <c r="CA391" s="9">
        <f>BE391+BK391+BQ391+BW391</f>
        <v/>
      </c>
      <c r="CB391" s="9">
        <f>BF391+BL391+BR391+BX391</f>
        <v/>
      </c>
      <c r="CC391" s="8" t="n">
        <v>152</v>
      </c>
      <c r="CD391" s="8" t="n">
        <v>7228</v>
      </c>
      <c r="CE391" s="8" t="n">
        <v>387</v>
      </c>
      <c r="CF391" s="8" t="n">
        <v>215</v>
      </c>
      <c r="CG391" s="8" t="n">
        <v>83</v>
      </c>
      <c r="CH391" s="9">
        <f>CD391+CE391+CF391+CG391</f>
        <v/>
      </c>
      <c r="CI391" s="8" t="n">
        <v>12132</v>
      </c>
      <c r="CJ391" s="8" t="n">
        <v>49</v>
      </c>
      <c r="CK391" s="8" t="n">
        <v>18</v>
      </c>
      <c r="CL391" s="8" t="n">
        <v>121</v>
      </c>
      <c r="CM391" s="9">
        <f>CI391+CJ391+CK391+CL391</f>
        <v/>
      </c>
      <c r="CN391" s="8" t="n">
        <v>5339</v>
      </c>
      <c r="CO391" s="8" t="n">
        <v>375</v>
      </c>
      <c r="CP391" s="8" t="n">
        <v>247</v>
      </c>
      <c r="CQ391" s="8" t="n">
        <v>85</v>
      </c>
      <c r="CR391" s="9">
        <f>CN391+CO391+CP391+CQ391</f>
        <v/>
      </c>
      <c r="CS391" s="9">
        <f>CM391+CR391</f>
        <v/>
      </c>
      <c r="CT391" s="8" t="n">
        <v>26279</v>
      </c>
      <c r="CU391" s="8" t="n">
        <v>140770</v>
      </c>
      <c r="CV391" s="8" t="n">
        <v>140824</v>
      </c>
      <c r="CW391" s="10">
        <f>IF(CU391=0,"",CV391/CU391)</f>
        <v/>
      </c>
      <c r="CX391" s="8" t="n">
        <v>2</v>
      </c>
      <c r="CY391" s="8" t="n">
        <v>4</v>
      </c>
      <c r="CZ391" s="8" t="n">
        <v>0</v>
      </c>
      <c r="DA391" s="8" t="n">
        <v>0</v>
      </c>
      <c r="DB391" s="9">
        <f>CX391+CY391-CZ391-DA391</f>
        <v/>
      </c>
      <c r="DC391" s="8" t="n">
        <v>0</v>
      </c>
      <c r="DD391" s="8" t="n">
        <v>1</v>
      </c>
      <c r="DE391" s="8" t="n">
        <v>0</v>
      </c>
      <c r="DF391" s="8" t="n">
        <v>0</v>
      </c>
      <c r="DG391" s="9">
        <f>DC391+DD391-DE391-DF391</f>
        <v/>
      </c>
      <c r="DH391" s="8" t="n">
        <v>8</v>
      </c>
      <c r="DI391" s="8" t="n">
        <v>0</v>
      </c>
      <c r="DJ391" s="8" t="n">
        <v>4</v>
      </c>
      <c r="DK391" s="8" t="n">
        <v>0</v>
      </c>
      <c r="DL391" s="9">
        <f>DH391+DI391-DJ391-DK391</f>
        <v/>
      </c>
      <c r="DM391" s="8" t="n">
        <v>961</v>
      </c>
      <c r="DN391" s="8" t="n">
        <v>96</v>
      </c>
      <c r="DO391" s="8" t="n">
        <v>0</v>
      </c>
      <c r="DP391" s="8" t="n">
        <v>88</v>
      </c>
      <c r="DQ391" s="9">
        <f>DM391+DN391-DO391-DP391</f>
        <v/>
      </c>
      <c r="DR391" s="9">
        <f>CX391+DC391+DH391+DM391</f>
        <v/>
      </c>
      <c r="DS391" s="9">
        <f>CY391+DD391+DI391+DN391</f>
        <v/>
      </c>
      <c r="DT391" s="9">
        <f>CZ391+DE391+DJ391+DO391</f>
        <v/>
      </c>
      <c r="DU391" s="9">
        <f>DA391+DF391+DK391+DP391</f>
        <v/>
      </c>
      <c r="DV391" s="9">
        <f>DB391+DG391+DL391+DQ391</f>
        <v/>
      </c>
      <c r="DW391" s="8" t="n">
        <v>275</v>
      </c>
      <c r="DX391" s="8" t="n">
        <v>117</v>
      </c>
      <c r="DY391" s="8" t="n">
        <v>82</v>
      </c>
      <c r="DZ391" s="8" t="n">
        <v>18</v>
      </c>
      <c r="EA391" s="8" t="n">
        <v>26</v>
      </c>
      <c r="EB391" s="8" t="n">
        <v>29</v>
      </c>
      <c r="EC391" s="8" t="n">
        <v>4</v>
      </c>
      <c r="ED391" s="8" t="n">
        <v>15</v>
      </c>
      <c r="EE391" s="8" t="n">
        <v>5</v>
      </c>
      <c r="EF391" s="8" t="n">
        <v>0</v>
      </c>
      <c r="EG391" s="8" t="n">
        <v>1</v>
      </c>
      <c r="EH391" s="8" t="n">
        <v>0</v>
      </c>
      <c r="EI391" s="8" t="n">
        <v>0</v>
      </c>
      <c r="EJ391" s="8" t="n">
        <v>14</v>
      </c>
      <c r="EK391" s="8" t="n">
        <v>0</v>
      </c>
      <c r="EL391" s="8" t="n">
        <v>0</v>
      </c>
      <c r="EM391" s="8" t="n">
        <v>0</v>
      </c>
      <c r="EN391" s="8" t="n">
        <v>0</v>
      </c>
      <c r="EO391" s="8" t="n">
        <v>0</v>
      </c>
      <c r="EP391" s="8" t="n">
        <v>0</v>
      </c>
      <c r="EQ391" s="8" t="n">
        <v>0</v>
      </c>
      <c r="ER391" s="8" t="n">
        <v>0</v>
      </c>
      <c r="ES391" s="8" t="n">
        <v>0</v>
      </c>
      <c r="ET391" s="8" t="n">
        <v>0</v>
      </c>
      <c r="EU391" s="8" t="n">
        <v>0</v>
      </c>
      <c r="EV391" s="8" t="n">
        <v>0</v>
      </c>
      <c r="EW391" s="8" t="n">
        <v>0</v>
      </c>
      <c r="EX391" s="8" t="n">
        <v>0</v>
      </c>
      <c r="EY391" s="8" t="n">
        <v>0</v>
      </c>
      <c r="EZ391" s="8" t="n">
        <v>0</v>
      </c>
      <c r="FA391" s="8" t="n">
        <v>0</v>
      </c>
      <c r="FB391" s="8" t="n">
        <v>0</v>
      </c>
      <c r="FC391" s="8" t="n">
        <v>0</v>
      </c>
      <c r="FD391" s="8" t="n">
        <v>0</v>
      </c>
      <c r="FE391" s="8" t="n">
        <v>0</v>
      </c>
      <c r="FF391" s="8" t="n">
        <v>0</v>
      </c>
      <c r="FG391" s="9">
        <f>SUM(DW391,DX391,DY391,DZ391,EA391,EB391,EC391,ED391,EE391,EF391,EG391,EH391,EI391,EJ391,EK391,EL391,EM391,EN391,EO391,EP391,EQ391,ER391,ES391,ET391,EU391,EV391,EW391,EX391,EY391,EZ391,FA391,FB391,FC391,FD391,FE391,FF391)</f>
        <v/>
      </c>
      <c r="FH391" s="8" t="n">
        <v>0</v>
      </c>
      <c r="FI391" s="8" t="n">
        <v>0</v>
      </c>
      <c r="FJ391" s="8" t="n">
        <v>22</v>
      </c>
      <c r="FK391" s="8" t="n">
        <v>11.9</v>
      </c>
      <c r="FL391" s="8" t="n">
        <v>0</v>
      </c>
      <c r="FM391" s="8" t="n">
        <v>0</v>
      </c>
      <c r="FN391" s="8" t="n">
        <v>0</v>
      </c>
      <c r="FO391" s="8" t="n">
        <v>0</v>
      </c>
      <c r="FP391" s="8" t="n">
        <v>0</v>
      </c>
      <c r="FQ391" s="9">
        <f>FL391+FM391+FN391+FO391+FP391</f>
        <v/>
      </c>
      <c r="FR391" s="8" t="n">
        <v>127413807.0299999</v>
      </c>
      <c r="FS391" s="8" t="n">
        <v>3429700</v>
      </c>
      <c r="FT391" s="8" t="n">
        <v>277647.98</v>
      </c>
      <c r="FU391" s="8" t="n">
        <v>1269000</v>
      </c>
      <c r="FV391" s="9">
        <f>FR391+FS391+FT391+FU391</f>
        <v/>
      </c>
      <c r="FW391" s="8" t="n">
        <v>93243957.31999999</v>
      </c>
      <c r="FX391" s="8" t="n">
        <v>3285978.66</v>
      </c>
      <c r="FY391" s="8" t="n">
        <v>31337448.93</v>
      </c>
      <c r="FZ391" s="8" t="n">
        <v>206665189.18</v>
      </c>
      <c r="GA391" s="9">
        <f>FW391+FX391+FY391+FZ391</f>
        <v/>
      </c>
      <c r="GB391" s="9">
        <f>FV391+GA391</f>
        <v/>
      </c>
      <c r="GC391" s="8" t="n">
        <v>115596753.81</v>
      </c>
      <c r="GD391" s="8" t="n">
        <v>2457756.72</v>
      </c>
      <c r="GE391" s="8" t="n">
        <v>89434552.62</v>
      </c>
      <c r="GF391" s="8" t="n">
        <v>198796.78</v>
      </c>
      <c r="GG391" s="9">
        <f>GC391+GD391+GE391+GF391</f>
        <v/>
      </c>
      <c r="GH391" s="8" t="n">
        <v>89641044.52999999</v>
      </c>
      <c r="GI391" s="8" t="n">
        <v>3172668.66</v>
      </c>
      <c r="GJ391" s="8" t="n">
        <v>205758698.3</v>
      </c>
      <c r="GK391" s="8" t="n">
        <v>30194447.67</v>
      </c>
      <c r="GL391" s="9">
        <f>GH391+GI391+GJ391+GK391</f>
        <v/>
      </c>
      <c r="GM391" s="9">
        <f>GG391+GL391</f>
        <v/>
      </c>
      <c r="GN391" s="8" t="n">
        <v>6513956.42</v>
      </c>
      <c r="GO391" s="8" t="n">
        <v>23144.88</v>
      </c>
      <c r="GP391" s="8" t="n">
        <v>166288.36</v>
      </c>
      <c r="GQ391" s="8" t="n">
        <v>83472.12</v>
      </c>
      <c r="GR391" s="9">
        <f>GN391+GO391+GP391+GQ391</f>
        <v/>
      </c>
      <c r="GS391" s="8" t="n">
        <v>10833876</v>
      </c>
      <c r="GT391" s="8" t="n">
        <v>108053</v>
      </c>
      <c r="GU391" s="8" t="n">
        <v>43757</v>
      </c>
      <c r="GV391" s="8" t="n">
        <v>16074</v>
      </c>
      <c r="GW391" s="9">
        <f>GS391+GT391+GU391+GV391</f>
        <v/>
      </c>
      <c r="GX391" s="9">
        <f>GM391+GR391+GW391</f>
        <v/>
      </c>
      <c r="GY391" s="8" t="n">
        <v>1264785545.080007</v>
      </c>
      <c r="GZ391" s="8" t="n">
        <v>468291459.91</v>
      </c>
      <c r="HA391" s="9">
        <f>GY391+GZ391</f>
        <v/>
      </c>
      <c r="HB391" s="9">
        <f>IF(GX391=0,"",AU391/GX391)</f>
        <v/>
      </c>
      <c r="HC391" s="10">
        <f>IF((GX391+GY391)=0,"",GB391/(GX391+GY391))</f>
        <v/>
      </c>
      <c r="HD391" s="9">
        <f>IF(GX391=0,"",GB391/GX391)</f>
        <v/>
      </c>
      <c r="HE391" s="8" t="n">
        <v>118</v>
      </c>
      <c r="HF391" s="8" t="n">
        <v>7</v>
      </c>
      <c r="HG391" s="8" t="n">
        <v>185</v>
      </c>
      <c r="HH391" s="8" t="n">
        <v>111</v>
      </c>
      <c r="HI391" s="8" t="n">
        <v>90</v>
      </c>
      <c r="HJ391" s="9">
        <f>HF391+HI391</f>
        <v/>
      </c>
      <c r="HK391" s="10">
        <f>IF(HE391=0,"",HH391/HE391)</f>
        <v/>
      </c>
      <c r="HL391" s="8" t="n">
        <v>28</v>
      </c>
      <c r="HM391" s="8" t="n">
        <v>31</v>
      </c>
      <c r="HN391" s="11">
        <f>IF(HL391=0,"",HM391/HL391)</f>
        <v/>
      </c>
    </row>
    <row r="392">
      <c r="A392" s="12" t="inlineStr">
        <is>
          <t>Zomba</t>
        </is>
      </c>
      <c r="B392" s="12" t="inlineStr">
        <is>
          <t>Zomba</t>
        </is>
      </c>
      <c r="C392" s="13" t="inlineStr">
        <is>
          <t>FY2025/26</t>
        </is>
      </c>
      <c r="D392" s="13" t="n">
        <v>2025</v>
      </c>
      <c r="E392" s="13" t="n">
        <v>9</v>
      </c>
      <c r="F392" s="13" t="inlineStr">
        <is>
          <t>September</t>
        </is>
      </c>
      <c r="G392" s="13" t="inlineStr">
        <is>
          <t>Q2</t>
        </is>
      </c>
      <c r="H392" s="14" t="n">
        <v>542173</v>
      </c>
      <c r="I392" s="14" t="n">
        <v>148874</v>
      </c>
      <c r="J392" s="14" t="n">
        <v>13938</v>
      </c>
      <c r="K392" s="14" t="n">
        <v>29446</v>
      </c>
      <c r="L392" s="14" t="n">
        <v>75</v>
      </c>
      <c r="M392" s="15">
        <f>SUM(I392,J392,K392,L392)</f>
        <v/>
      </c>
      <c r="N392" s="14" t="n">
        <v>81793.5000000006</v>
      </c>
      <c r="O392" s="14" t="n">
        <v>6522.7</v>
      </c>
      <c r="P392" s="14" t="n">
        <v>48919.5999999999</v>
      </c>
      <c r="Q392" s="14" t="n">
        <v>7030.10000000003</v>
      </c>
      <c r="R392" s="15">
        <f>SUM(N392,O392,P392,Q392)</f>
        <v/>
      </c>
      <c r="S392" s="15">
        <f>M392+R392</f>
        <v/>
      </c>
      <c r="T392" s="14" t="n">
        <v>205574.1</v>
      </c>
      <c r="U392" s="16">
        <f>IF(H392=0,"",T392/H392)</f>
        <v/>
      </c>
      <c r="V392" s="14" t="n">
        <v>1229</v>
      </c>
      <c r="W392" s="17">
        <f>IF(H392=0,"",V392/H392)</f>
        <v/>
      </c>
      <c r="X392" s="14" t="n">
        <v>2950</v>
      </c>
      <c r="Y392" s="17">
        <f>IF(H392=0,"",X392/H392)</f>
        <v/>
      </c>
      <c r="Z392" s="14" t="n">
        <v>2360</v>
      </c>
      <c r="AA392" s="17">
        <f>IF(H392=0,"",Z392/H392)</f>
        <v/>
      </c>
      <c r="AB392" s="14" t="n">
        <v>0</v>
      </c>
      <c r="AC392" s="17">
        <f>IF(H392=0,"",AB392/H392)</f>
        <v/>
      </c>
      <c r="AD392" s="14" t="n">
        <v>0</v>
      </c>
      <c r="AE392" s="17">
        <f>IF(H392=0,"",AD392/H392)</f>
        <v/>
      </c>
      <c r="AF392" s="14" t="n">
        <v>0</v>
      </c>
      <c r="AG392" s="17">
        <f>IF(H392=0,"",AF392/H392)</f>
        <v/>
      </c>
      <c r="AH392" s="14" t="n">
        <v>86212760</v>
      </c>
      <c r="AI392" s="15">
        <f>IF(H392=0,"",AH392/H392)</f>
        <v/>
      </c>
      <c r="AJ392" s="14" t="n">
        <v>29147.29</v>
      </c>
      <c r="AK392" s="17">
        <f>IF(H392=0,"",AJ392/H392)</f>
        <v/>
      </c>
      <c r="AL392" s="14" t="n">
        <v>7997823.13261</v>
      </c>
      <c r="AM392" s="15">
        <f>IF(H392=0,"",AL392/H392)</f>
        <v/>
      </c>
      <c r="AN392" s="14" t="n">
        <v>0</v>
      </c>
      <c r="AO392" s="14" t="n">
        <v>0</v>
      </c>
      <c r="AP392" s="14" t="n">
        <v>0</v>
      </c>
      <c r="AQ392" s="14" t="n">
        <v>0</v>
      </c>
      <c r="AR392" s="14" t="n">
        <v>0</v>
      </c>
      <c r="AS392" s="14" t="n">
        <v>0</v>
      </c>
      <c r="AT392" s="14" t="n">
        <v>0</v>
      </c>
      <c r="AU392" s="15">
        <f>AH392+AL392+AP392+AQ392+AR392+AS392+AT392</f>
        <v/>
      </c>
      <c r="AV392" s="15">
        <f>IF(H392=0,"",AU392/H392)</f>
        <v/>
      </c>
      <c r="AW392" s="15">
        <f>IF(S392=0,"",AU392/S392)</f>
        <v/>
      </c>
      <c r="AX392" s="14" t="n">
        <v>63</v>
      </c>
      <c r="AY392" s="15">
        <f>IF(H392=0,"",AX392/(H392/1000/12))</f>
        <v/>
      </c>
      <c r="AZ392" s="14" t="n">
        <v>75</v>
      </c>
      <c r="BA392" s="14" t="n">
        <v>160</v>
      </c>
      <c r="BB392" s="14" t="n">
        <v>187</v>
      </c>
      <c r="BC392" s="14" t="n">
        <v>186</v>
      </c>
      <c r="BD392" s="14" t="n">
        <v>0</v>
      </c>
      <c r="BE392" s="15">
        <f>BC392+BD392</f>
        <v/>
      </c>
      <c r="BF392" s="15">
        <f>BA392+BB392-BE392</f>
        <v/>
      </c>
      <c r="BG392" s="14" t="n">
        <v>14</v>
      </c>
      <c r="BH392" s="14" t="n">
        <v>4</v>
      </c>
      <c r="BI392" s="14" t="n">
        <v>0</v>
      </c>
      <c r="BJ392" s="14" t="n">
        <v>0</v>
      </c>
      <c r="BK392" s="15">
        <f>BI392+BJ392</f>
        <v/>
      </c>
      <c r="BL392" s="15">
        <f>BG392+BH392-BK392</f>
        <v/>
      </c>
      <c r="BM392" s="14" t="n">
        <v>9</v>
      </c>
      <c r="BN392" s="14" t="n">
        <v>8</v>
      </c>
      <c r="BO392" s="14" t="n">
        <v>3</v>
      </c>
      <c r="BP392" s="14" t="n">
        <v>0</v>
      </c>
      <c r="BQ392" s="15">
        <f>BO392+BP392</f>
        <v/>
      </c>
      <c r="BR392" s="15">
        <f>BM392+BN392-BQ392</f>
        <v/>
      </c>
      <c r="BS392" s="14" t="n">
        <v>2</v>
      </c>
      <c r="BT392" s="14" t="n">
        <v>3</v>
      </c>
      <c r="BU392" s="14" t="n">
        <v>2</v>
      </c>
      <c r="BV392" s="14" t="n">
        <v>0</v>
      </c>
      <c r="BW392" s="15">
        <f>BU392+BV392</f>
        <v/>
      </c>
      <c r="BX392" s="15">
        <f>BS392+BT392-BW392</f>
        <v/>
      </c>
      <c r="BY392" s="15">
        <f>BA392+BG392+BM392+BS392</f>
        <v/>
      </c>
      <c r="BZ392" s="15">
        <f>BB392+BH392+BN392+BT392</f>
        <v/>
      </c>
      <c r="CA392" s="15">
        <f>BE392+BK392+BQ392+BW392</f>
        <v/>
      </c>
      <c r="CB392" s="15">
        <f>BF392+BL392+BR392+BX392</f>
        <v/>
      </c>
      <c r="CC392" s="14" t="n">
        <v>3</v>
      </c>
      <c r="CD392" s="14" t="n">
        <v>7360</v>
      </c>
      <c r="CE392" s="14" t="n">
        <v>386</v>
      </c>
      <c r="CF392" s="14" t="n">
        <v>214</v>
      </c>
      <c r="CG392" s="14" t="n">
        <v>79</v>
      </c>
      <c r="CH392" s="15">
        <f>CD392+CE392+CF392+CG392</f>
        <v/>
      </c>
      <c r="CI392" s="14" t="n">
        <v>12248</v>
      </c>
      <c r="CJ392" s="14" t="n">
        <v>48</v>
      </c>
      <c r="CK392" s="14" t="n">
        <v>15</v>
      </c>
      <c r="CL392" s="14" t="n">
        <v>126</v>
      </c>
      <c r="CM392" s="15">
        <f>CI392+CJ392+CK392+CL392</f>
        <v/>
      </c>
      <c r="CN392" s="14" t="n">
        <v>5277</v>
      </c>
      <c r="CO392" s="14" t="n">
        <v>377</v>
      </c>
      <c r="CP392" s="14" t="n">
        <v>254</v>
      </c>
      <c r="CQ392" s="14" t="n">
        <v>86</v>
      </c>
      <c r="CR392" s="15">
        <f>CN392+CO392+CP392+CQ392</f>
        <v/>
      </c>
      <c r="CS392" s="15">
        <f>CM392+CR392</f>
        <v/>
      </c>
      <c r="CT392" s="14" t="n">
        <v>26470</v>
      </c>
      <c r="CU392" s="14" t="n">
        <v>141027</v>
      </c>
      <c r="CV392" s="14" t="n">
        <v>141082</v>
      </c>
      <c r="CW392" s="16">
        <f>IF(CU392=0,"",CV392/CU392)</f>
        <v/>
      </c>
      <c r="CX392" s="14" t="n">
        <v>6</v>
      </c>
      <c r="CY392" s="14" t="n">
        <v>0</v>
      </c>
      <c r="CZ392" s="14" t="n">
        <v>5</v>
      </c>
      <c r="DA392" s="14" t="n">
        <v>0</v>
      </c>
      <c r="DB392" s="15">
        <f>CX392+CY392-CZ392-DA392</f>
        <v/>
      </c>
      <c r="DC392" s="14" t="n">
        <v>1</v>
      </c>
      <c r="DD392" s="14" t="n">
        <v>0</v>
      </c>
      <c r="DE392" s="14" t="n">
        <v>1</v>
      </c>
      <c r="DF392" s="14" t="n">
        <v>0</v>
      </c>
      <c r="DG392" s="15">
        <f>DC392+DD392-DE392-DF392</f>
        <v/>
      </c>
      <c r="DH392" s="14" t="n">
        <v>4</v>
      </c>
      <c r="DI392" s="14" t="n">
        <v>3</v>
      </c>
      <c r="DJ392" s="14" t="n">
        <v>0</v>
      </c>
      <c r="DK392" s="14" t="n">
        <v>0</v>
      </c>
      <c r="DL392" s="15">
        <f>DH392+DI392-DJ392-DK392</f>
        <v/>
      </c>
      <c r="DM392" s="14" t="n">
        <v>969</v>
      </c>
      <c r="DN392" s="14" t="n">
        <v>130</v>
      </c>
      <c r="DO392" s="14" t="n">
        <v>0</v>
      </c>
      <c r="DP392" s="14" t="n">
        <v>31</v>
      </c>
      <c r="DQ392" s="15">
        <f>DM392+DN392-DO392-DP392</f>
        <v/>
      </c>
      <c r="DR392" s="15">
        <f>CX392+DC392+DH392+DM392</f>
        <v/>
      </c>
      <c r="DS392" s="15">
        <f>CY392+DD392+DI392+DN392</f>
        <v/>
      </c>
      <c r="DT392" s="15">
        <f>CZ392+DE392+DJ392+DO392</f>
        <v/>
      </c>
      <c r="DU392" s="15">
        <f>DA392+DF392+DK392+DP392</f>
        <v/>
      </c>
      <c r="DV392" s="15">
        <f>DB392+DG392+DL392+DQ392</f>
        <v/>
      </c>
      <c r="DW392" s="14" t="n">
        <v>187</v>
      </c>
      <c r="DX392" s="14" t="n">
        <v>105</v>
      </c>
      <c r="DY392" s="14" t="n">
        <v>74</v>
      </c>
      <c r="DZ392" s="14" t="n">
        <v>12</v>
      </c>
      <c r="EA392" s="14" t="n">
        <v>36</v>
      </c>
      <c r="EB392" s="14" t="n">
        <v>28</v>
      </c>
      <c r="EC392" s="14" t="n">
        <v>3</v>
      </c>
      <c r="ED392" s="14" t="n">
        <v>9</v>
      </c>
      <c r="EE392" s="14" t="n">
        <v>8</v>
      </c>
      <c r="EF392" s="14" t="n">
        <v>2</v>
      </c>
      <c r="EG392" s="14" t="n">
        <v>0</v>
      </c>
      <c r="EH392" s="14" t="n">
        <v>0</v>
      </c>
      <c r="EI392" s="14" t="n">
        <v>0</v>
      </c>
      <c r="EJ392" s="14" t="n">
        <v>15</v>
      </c>
      <c r="EK392" s="14" t="n">
        <v>20</v>
      </c>
      <c r="EL392" s="14" t="n">
        <v>0</v>
      </c>
      <c r="EM392" s="14" t="n">
        <v>0</v>
      </c>
      <c r="EN392" s="14" t="n">
        <v>0</v>
      </c>
      <c r="EO392" s="14" t="n">
        <v>0</v>
      </c>
      <c r="EP392" s="14" t="n">
        <v>0</v>
      </c>
      <c r="EQ392" s="14" t="n">
        <v>0</v>
      </c>
      <c r="ER392" s="14" t="n">
        <v>0</v>
      </c>
      <c r="ES392" s="14" t="n">
        <v>0</v>
      </c>
      <c r="ET392" s="14" t="n">
        <v>0</v>
      </c>
      <c r="EU392" s="14" t="n">
        <v>0</v>
      </c>
      <c r="EV392" s="14" t="n">
        <v>0</v>
      </c>
      <c r="EW392" s="14" t="n">
        <v>0</v>
      </c>
      <c r="EX392" s="14" t="n">
        <v>0</v>
      </c>
      <c r="EY392" s="14" t="n">
        <v>0</v>
      </c>
      <c r="EZ392" s="14" t="n">
        <v>0</v>
      </c>
      <c r="FA392" s="14" t="n">
        <v>0</v>
      </c>
      <c r="FB392" s="14" t="n">
        <v>0</v>
      </c>
      <c r="FC392" s="14" t="n">
        <v>0</v>
      </c>
      <c r="FD392" s="14" t="n">
        <v>0</v>
      </c>
      <c r="FE392" s="14" t="n">
        <v>0</v>
      </c>
      <c r="FF392" s="14" t="n">
        <v>0</v>
      </c>
      <c r="FG392" s="15">
        <f>SUM(DW392,DX392,DY392,DZ392,EA392,EB392,EC392,ED392,EE392,EF392,EG392,EH392,EI392,EJ392,EK392,EL392,EM392,EN392,EO392,EP392,EQ392,ER392,ES392,ET392,EU392,EV392,EW392,EX392,EY392,EZ392,FA392,FB392,FC392,FD392,FE392,FF392)</f>
        <v/>
      </c>
      <c r="FH392" s="14" t="n">
        <v>0</v>
      </c>
      <c r="FI392" s="14" t="n">
        <v>0</v>
      </c>
      <c r="FJ392" s="14" t="n">
        <v>21</v>
      </c>
      <c r="FK392" s="14" t="n">
        <v>16</v>
      </c>
      <c r="FL392" s="14" t="n">
        <v>0</v>
      </c>
      <c r="FM392" s="14" t="n">
        <v>0</v>
      </c>
      <c r="FN392" s="14" t="n">
        <v>0</v>
      </c>
      <c r="FO392" s="14" t="n">
        <v>0</v>
      </c>
      <c r="FP392" s="14" t="n">
        <v>0</v>
      </c>
      <c r="FQ392" s="15">
        <f>FL392+FM392+FN392+FO392+FP392</f>
        <v/>
      </c>
      <c r="FR392" s="14" t="n">
        <v>111817049.81</v>
      </c>
      <c r="FS392" s="14" t="n">
        <v>2179900</v>
      </c>
      <c r="FT392" s="14" t="n">
        <v>483937.29</v>
      </c>
      <c r="FU392" s="14" t="n">
        <v>296345900</v>
      </c>
      <c r="FV392" s="15">
        <f>FR392+FS392+FT392+FU392</f>
        <v/>
      </c>
      <c r="FW392" s="14" t="n">
        <v>106937991.6</v>
      </c>
      <c r="FX392" s="14" t="n">
        <v>1575665.91</v>
      </c>
      <c r="FY392" s="14" t="n">
        <v>31971966.25</v>
      </c>
      <c r="FZ392" s="14" t="n">
        <v>149549494.03</v>
      </c>
      <c r="GA392" s="15">
        <f>FW392+FX392+FY392+FZ392</f>
        <v/>
      </c>
      <c r="GB392" s="15">
        <f>FV392+GA392</f>
        <v/>
      </c>
      <c r="GC392" s="14" t="n">
        <v>134616869.07</v>
      </c>
      <c r="GD392" s="14" t="n">
        <v>2666060.64</v>
      </c>
      <c r="GE392" s="14" t="n">
        <v>101394205.57</v>
      </c>
      <c r="GF392" s="14" t="n">
        <v>191202.99</v>
      </c>
      <c r="GG392" s="15">
        <f>GC392+GD392+GE392+GF392</f>
        <v/>
      </c>
      <c r="GH392" s="14" t="n">
        <v>104295549.2500001</v>
      </c>
      <c r="GI392" s="14" t="n">
        <v>1385884.04</v>
      </c>
      <c r="GJ392" s="14" t="n">
        <v>148589018.26</v>
      </c>
      <c r="GK392" s="14" t="n">
        <v>30698011.79</v>
      </c>
      <c r="GL392" s="15">
        <f>GH392+GI392+GJ392+GK392</f>
        <v/>
      </c>
      <c r="GM392" s="15">
        <f>GG392+GL392</f>
        <v/>
      </c>
      <c r="GN392" s="14" t="n">
        <v>6576638.39</v>
      </c>
      <c r="GO392" s="14" t="n">
        <v>24101.28</v>
      </c>
      <c r="GP392" s="14" t="n">
        <v>162894.72</v>
      </c>
      <c r="GQ392" s="14" t="n">
        <v>69560.10000000001</v>
      </c>
      <c r="GR392" s="15">
        <f>GN392+GO392+GP392+GQ392</f>
        <v/>
      </c>
      <c r="GS392" s="14" t="n">
        <v>10937464</v>
      </c>
      <c r="GT392" s="14" t="n">
        <v>112518</v>
      </c>
      <c r="GU392" s="14" t="n">
        <v>42864</v>
      </c>
      <c r="GV392" s="14" t="n">
        <v>13395</v>
      </c>
      <c r="GW392" s="15">
        <f>GS392+GT392+GU392+GV392</f>
        <v/>
      </c>
      <c r="GX392" s="15">
        <f>GM392+GR392+GW392</f>
        <v/>
      </c>
      <c r="GY392" s="14" t="n">
        <v>1288661812.629995</v>
      </c>
      <c r="GZ392" s="14" t="n">
        <v>276627857.82</v>
      </c>
      <c r="HA392" s="9">
        <f>GY392+GZ392</f>
        <v/>
      </c>
      <c r="HB392" s="15">
        <f>IF(GX392=0,"",AU392/GX392)</f>
        <v/>
      </c>
      <c r="HC392" s="16">
        <f>IF((GX392+GY392)=0,"",GB392/(GX392+GY392))</f>
        <v/>
      </c>
      <c r="HD392" s="15">
        <f>IF(GX392=0,"",GB392/GX392)</f>
        <v/>
      </c>
      <c r="HE392" s="14" t="n">
        <v>202</v>
      </c>
      <c r="HF392" s="14" t="n">
        <v>5</v>
      </c>
      <c r="HG392" s="14" t="n">
        <v>196</v>
      </c>
      <c r="HH392" s="14" t="n">
        <v>202</v>
      </c>
      <c r="HI392" s="14" t="n">
        <v>90</v>
      </c>
      <c r="HJ392" s="15">
        <f>HF392+HI392</f>
        <v/>
      </c>
      <c r="HK392" s="16">
        <f>IF(HE392=0,"",HH392/HE392)</f>
        <v/>
      </c>
      <c r="HL392" s="14" t="n">
        <v>37</v>
      </c>
      <c r="HM392" s="14" t="n">
        <v>30</v>
      </c>
      <c r="HN392" s="17">
        <f>IF(HL392=0,"",HM392/HL392)</f>
        <v/>
      </c>
    </row>
    <row r="393">
      <c r="A393" s="6" t="inlineStr">
        <is>
          <t>Zomba</t>
        </is>
      </c>
      <c r="B393" s="6" t="inlineStr">
        <is>
          <t>Zomba</t>
        </is>
      </c>
      <c r="C393" s="7" t="inlineStr">
        <is>
          <t>FY2025/26</t>
        </is>
      </c>
      <c r="D393" s="7" t="n">
        <v>2025</v>
      </c>
      <c r="E393" s="7" t="n">
        <v>10</v>
      </c>
      <c r="F393" s="7" t="inlineStr">
        <is>
          <t>October</t>
        </is>
      </c>
      <c r="G393" s="7" t="inlineStr">
        <is>
          <t>Q3</t>
        </is>
      </c>
      <c r="H393" s="8" t="n">
        <v>550898</v>
      </c>
      <c r="I393" s="8" t="n">
        <v>151878</v>
      </c>
      <c r="J393" s="8" t="n">
        <v>13337</v>
      </c>
      <c r="K393" s="8" t="n">
        <v>31480</v>
      </c>
      <c r="L393" s="8" t="n">
        <v>248</v>
      </c>
      <c r="M393" s="9">
        <f>SUM(I393,J393,K393,L393)</f>
        <v/>
      </c>
      <c r="N393" s="8" t="n">
        <v>89847.0000000013</v>
      </c>
      <c r="O393" s="8" t="n">
        <v>10225.4</v>
      </c>
      <c r="P393" s="8" t="n">
        <v>47665.5999999999</v>
      </c>
      <c r="Q393" s="8" t="n">
        <v>7050.90000000002</v>
      </c>
      <c r="R393" s="9">
        <f>SUM(N393,O393,P393,Q393)</f>
        <v/>
      </c>
      <c r="S393" s="9">
        <f>M393+R393</f>
        <v/>
      </c>
      <c r="T393" s="8" t="n">
        <v>199166.099999999</v>
      </c>
      <c r="U393" s="10">
        <f>IF(H393=0,"",T393/H393)</f>
        <v/>
      </c>
      <c r="V393" s="8" t="n">
        <v>1131</v>
      </c>
      <c r="W393" s="11">
        <f>IF(H393=0,"",V393/H393)</f>
        <v/>
      </c>
      <c r="X393" s="8" t="n">
        <v>3541</v>
      </c>
      <c r="Y393" s="11">
        <f>IF(H393=0,"",X393/H393)</f>
        <v/>
      </c>
      <c r="Z393" s="8" t="n">
        <v>2361</v>
      </c>
      <c r="AA393" s="11">
        <f>IF(H393=0,"",Z393/H393)</f>
        <v/>
      </c>
      <c r="AB393" s="8" t="n">
        <v>0</v>
      </c>
      <c r="AC393" s="11">
        <f>IF(H393=0,"",AB393/H393)</f>
        <v/>
      </c>
      <c r="AD393" s="8" t="n">
        <v>0</v>
      </c>
      <c r="AE393" s="11">
        <f>IF(H393=0,"",AD393/H393)</f>
        <v/>
      </c>
      <c r="AF393" s="8" t="n">
        <v>0</v>
      </c>
      <c r="AG393" s="11">
        <f>IF(H393=0,"",AF393/H393)</f>
        <v/>
      </c>
      <c r="AH393" s="8" t="n">
        <v>88818576</v>
      </c>
      <c r="AI393" s="9">
        <f>IF(H393=0,"",AH393/H393)</f>
        <v/>
      </c>
      <c r="AJ393" s="8" t="n">
        <v>25621.24</v>
      </c>
      <c r="AK393" s="11">
        <f>IF(H393=0,"",AJ393/H393)</f>
        <v/>
      </c>
      <c r="AL393" s="8" t="n">
        <v>7034121.93316</v>
      </c>
      <c r="AM393" s="9">
        <f>IF(H393=0,"",AL393/H393)</f>
        <v/>
      </c>
      <c r="AN393" s="8" t="n">
        <v>0</v>
      </c>
      <c r="AO393" s="8" t="n">
        <v>0</v>
      </c>
      <c r="AP393" s="8" t="n">
        <v>0</v>
      </c>
      <c r="AQ393" s="8" t="n">
        <v>0</v>
      </c>
      <c r="AR393" s="8" t="n">
        <v>0</v>
      </c>
      <c r="AS393" s="8" t="n">
        <v>0</v>
      </c>
      <c r="AT393" s="8" t="n">
        <v>0</v>
      </c>
      <c r="AU393" s="9">
        <f>AH393+AL393+AP393+AQ393+AR393+AS393+AT393</f>
        <v/>
      </c>
      <c r="AV393" s="9">
        <f>IF(H393=0,"",AU393/H393)</f>
        <v/>
      </c>
      <c r="AW393" s="9">
        <f>IF(S393=0,"",AU393/S393)</f>
        <v/>
      </c>
      <c r="AX393" s="8" t="n">
        <v>63</v>
      </c>
      <c r="AY393" s="9">
        <f>IF(H393=0,"",AX393/(H393/1000/12))</f>
        <v/>
      </c>
      <c r="AZ393" s="8" t="n">
        <v>75</v>
      </c>
      <c r="BA393" s="8" t="n">
        <v>161</v>
      </c>
      <c r="BB393" s="8" t="n">
        <v>207</v>
      </c>
      <c r="BC393" s="8" t="n">
        <v>203</v>
      </c>
      <c r="BD393" s="8" t="n">
        <v>0</v>
      </c>
      <c r="BE393" s="9">
        <f>BC393+BD393</f>
        <v/>
      </c>
      <c r="BF393" s="9">
        <f>BA393+BB393-BE393</f>
        <v/>
      </c>
      <c r="BG393" s="8" t="n">
        <v>18</v>
      </c>
      <c r="BH393" s="8" t="n">
        <v>6</v>
      </c>
      <c r="BI393" s="8" t="n">
        <v>6</v>
      </c>
      <c r="BJ393" s="8" t="n">
        <v>0</v>
      </c>
      <c r="BK393" s="9">
        <f>BI393+BJ393</f>
        <v/>
      </c>
      <c r="BL393" s="9">
        <f>BG393+BH393-BK393</f>
        <v/>
      </c>
      <c r="BM393" s="8" t="n">
        <v>14</v>
      </c>
      <c r="BN393" s="8" t="n">
        <v>3</v>
      </c>
      <c r="BO393" s="8" t="n">
        <v>0</v>
      </c>
      <c r="BP393" s="8" t="n">
        <v>0</v>
      </c>
      <c r="BQ393" s="9">
        <f>BO393+BP393</f>
        <v/>
      </c>
      <c r="BR393" s="9">
        <f>BM393+BN393-BQ393</f>
        <v/>
      </c>
      <c r="BS393" s="8" t="n">
        <v>3</v>
      </c>
      <c r="BT393" s="8" t="n">
        <v>2</v>
      </c>
      <c r="BU393" s="8" t="n">
        <v>0</v>
      </c>
      <c r="BV393" s="8" t="n">
        <v>0</v>
      </c>
      <c r="BW393" s="9">
        <f>BU393+BV393</f>
        <v/>
      </c>
      <c r="BX393" s="9">
        <f>BS393+BT393-BW393</f>
        <v/>
      </c>
      <c r="BY393" s="9">
        <f>BA393+BG393+BM393+BS393</f>
        <v/>
      </c>
      <c r="BZ393" s="9">
        <f>BB393+BH393+BN393+BT393</f>
        <v/>
      </c>
      <c r="CA393" s="9">
        <f>BE393+BK393+BQ393+BW393</f>
        <v/>
      </c>
      <c r="CB393" s="9">
        <f>BF393+BL393+BR393+BX393</f>
        <v/>
      </c>
      <c r="CC393" s="8" t="n">
        <v>0</v>
      </c>
      <c r="CD393" s="8" t="n">
        <v>7400</v>
      </c>
      <c r="CE393" s="8" t="n">
        <v>391</v>
      </c>
      <c r="CF393" s="8" t="n">
        <v>216</v>
      </c>
      <c r="CG393" s="8" t="n">
        <v>80</v>
      </c>
      <c r="CH393" s="9">
        <f>CD393+CE393+CF393+CG393</f>
        <v/>
      </c>
      <c r="CI393" s="8" t="n">
        <v>12316</v>
      </c>
      <c r="CJ393" s="8" t="n">
        <v>53</v>
      </c>
      <c r="CK393" s="8" t="n">
        <v>17</v>
      </c>
      <c r="CL393" s="8" t="n">
        <v>126</v>
      </c>
      <c r="CM393" s="9">
        <f>CI393+CJ393+CK393+CL393</f>
        <v/>
      </c>
      <c r="CN393" s="8" t="n">
        <v>5372</v>
      </c>
      <c r="CO393" s="8" t="n">
        <v>373</v>
      </c>
      <c r="CP393" s="8" t="n">
        <v>250</v>
      </c>
      <c r="CQ393" s="8" t="n">
        <v>85</v>
      </c>
      <c r="CR393" s="9">
        <f>CN393+CO393+CP393+CQ393</f>
        <v/>
      </c>
      <c r="CS393" s="9">
        <f>CM393+CR393</f>
        <v/>
      </c>
      <c r="CT393" s="8" t="n">
        <v>26679</v>
      </c>
      <c r="CU393" s="8" t="n">
        <v>141284</v>
      </c>
      <c r="CV393" s="8" t="n">
        <v>141340</v>
      </c>
      <c r="CW393" s="10">
        <f>IF(CU393=0,"",CV393/CU393)</f>
        <v/>
      </c>
      <c r="CX393" s="8" t="n">
        <v>1</v>
      </c>
      <c r="CY393" s="8" t="n">
        <v>7</v>
      </c>
      <c r="CZ393" s="8" t="n">
        <v>0</v>
      </c>
      <c r="DA393" s="8" t="n">
        <v>0</v>
      </c>
      <c r="DB393" s="9">
        <f>CX393+CY393-CZ393-DA393</f>
        <v/>
      </c>
      <c r="DC393" s="8" t="n">
        <v>0</v>
      </c>
      <c r="DD393" s="8" t="n">
        <v>0</v>
      </c>
      <c r="DE393" s="8" t="n">
        <v>0</v>
      </c>
      <c r="DF393" s="8" t="n">
        <v>0</v>
      </c>
      <c r="DG393" s="9">
        <f>DC393+DD393-DE393-DF393</f>
        <v/>
      </c>
      <c r="DH393" s="8" t="n">
        <v>7</v>
      </c>
      <c r="DI393" s="8" t="n">
        <v>7</v>
      </c>
      <c r="DJ393" s="8" t="n">
        <v>1</v>
      </c>
      <c r="DK393" s="8" t="n">
        <v>0</v>
      </c>
      <c r="DL393" s="9">
        <f>DH393+DI393-DJ393-DK393</f>
        <v/>
      </c>
      <c r="DM393" s="8" t="n">
        <v>1068</v>
      </c>
      <c r="DN393" s="8" t="n">
        <v>399</v>
      </c>
      <c r="DO393" s="8" t="n">
        <v>1</v>
      </c>
      <c r="DP393" s="8" t="n">
        <v>42</v>
      </c>
      <c r="DQ393" s="9">
        <f>DM393+DN393-DO393-DP393</f>
        <v/>
      </c>
      <c r="DR393" s="9">
        <f>CX393+DC393+DH393+DM393</f>
        <v/>
      </c>
      <c r="DS393" s="9">
        <f>CY393+DD393+DI393+DN393</f>
        <v/>
      </c>
      <c r="DT393" s="9">
        <f>CZ393+DE393+DJ393+DO393</f>
        <v/>
      </c>
      <c r="DU393" s="9">
        <f>DA393+DF393+DK393+DP393</f>
        <v/>
      </c>
      <c r="DV393" s="9">
        <f>DB393+DG393+DL393+DQ393</f>
        <v/>
      </c>
      <c r="DW393" s="8" t="n">
        <v>214</v>
      </c>
      <c r="DX393" s="8" t="n">
        <v>109</v>
      </c>
      <c r="DY393" s="8" t="n">
        <v>67</v>
      </c>
      <c r="DZ393" s="8" t="n">
        <v>17</v>
      </c>
      <c r="EA393" s="8" t="n">
        <v>35</v>
      </c>
      <c r="EB393" s="8" t="n">
        <v>22</v>
      </c>
      <c r="EC393" s="8" t="n">
        <v>3</v>
      </c>
      <c r="ED393" s="8" t="n">
        <v>9</v>
      </c>
      <c r="EE393" s="8" t="n">
        <v>9</v>
      </c>
      <c r="EF393" s="8" t="n">
        <v>0</v>
      </c>
      <c r="EG393" s="8" t="n">
        <v>3</v>
      </c>
      <c r="EH393" s="8" t="n">
        <v>0</v>
      </c>
      <c r="EI393" s="8" t="n">
        <v>0</v>
      </c>
      <c r="EJ393" s="8" t="n">
        <v>11</v>
      </c>
      <c r="EK393" s="8" t="n">
        <v>2</v>
      </c>
      <c r="EL393" s="8" t="n">
        <v>0</v>
      </c>
      <c r="EM393" s="8" t="n">
        <v>1</v>
      </c>
      <c r="EN393" s="8" t="n">
        <v>0</v>
      </c>
      <c r="EO393" s="8" t="n">
        <v>0</v>
      </c>
      <c r="EP393" s="8" t="n">
        <v>0</v>
      </c>
      <c r="EQ393" s="8" t="n">
        <v>0</v>
      </c>
      <c r="ER393" s="8" t="n">
        <v>0</v>
      </c>
      <c r="ES393" s="8" t="n">
        <v>0</v>
      </c>
      <c r="ET393" s="8" t="n">
        <v>0</v>
      </c>
      <c r="EU393" s="8" t="n">
        <v>0</v>
      </c>
      <c r="EV393" s="8" t="n">
        <v>0</v>
      </c>
      <c r="EW393" s="8" t="n">
        <v>0</v>
      </c>
      <c r="EX393" s="8" t="n">
        <v>0</v>
      </c>
      <c r="EY393" s="8" t="n">
        <v>0</v>
      </c>
      <c r="EZ393" s="8" t="n">
        <v>0</v>
      </c>
      <c r="FA393" s="8" t="n">
        <v>0</v>
      </c>
      <c r="FB393" s="8" t="n">
        <v>0</v>
      </c>
      <c r="FC393" s="8" t="n">
        <v>0</v>
      </c>
      <c r="FD393" s="8" t="n">
        <v>0</v>
      </c>
      <c r="FE393" s="8" t="n">
        <v>0</v>
      </c>
      <c r="FF393" s="8" t="n">
        <v>0</v>
      </c>
      <c r="FG393" s="9">
        <f>SUM(DW393,DX393,DY393,DZ393,EA393,EB393,EC393,ED393,EE393,EF393,EG393,EH393,EI393,EJ393,EK393,EL393,EM393,EN393,EO393,EP393,EQ393,ER393,ES393,ET393,EU393,EV393,EW393,EX393,EY393,EZ393,FA393,FB393,FC393,FD393,FE393,FF393)</f>
        <v/>
      </c>
      <c r="FH393" s="8" t="n">
        <v>0</v>
      </c>
      <c r="FI393" s="8" t="n">
        <v>0</v>
      </c>
      <c r="FJ393" s="8" t="n">
        <v>22</v>
      </c>
      <c r="FK393" s="8" t="n">
        <v>27</v>
      </c>
      <c r="FL393" s="8" t="n">
        <v>0</v>
      </c>
      <c r="FM393" s="8" t="n">
        <v>0</v>
      </c>
      <c r="FN393" s="8" t="n">
        <v>0</v>
      </c>
      <c r="FO393" s="8" t="n">
        <v>0</v>
      </c>
      <c r="FP393" s="8" t="n">
        <v>0</v>
      </c>
      <c r="FQ393" s="9">
        <f>FL393+FM393+FN393+FO393+FP393</f>
        <v/>
      </c>
      <c r="FR393" s="8" t="n">
        <v>112042823.47</v>
      </c>
      <c r="FS393" s="8" t="n">
        <v>1834750</v>
      </c>
      <c r="FT393" s="8" t="n">
        <v>543041.33</v>
      </c>
      <c r="FU393" s="8" t="n">
        <v>702400</v>
      </c>
      <c r="FV393" s="9">
        <f>FR393+FS393+FT393+FU393</f>
        <v/>
      </c>
      <c r="FW393" s="8" t="n">
        <v>114820471.02</v>
      </c>
      <c r="FX393" s="8" t="n">
        <v>2525312.48</v>
      </c>
      <c r="FY393" s="8" t="n">
        <v>34784944.12</v>
      </c>
      <c r="FZ393" s="8" t="n">
        <v>146447947.83</v>
      </c>
      <c r="GA393" s="9">
        <f>FW393+FX393+FY393+FZ393</f>
        <v/>
      </c>
      <c r="GB393" s="9">
        <f>FV393+GA393</f>
        <v/>
      </c>
      <c r="GC393" s="8" t="n">
        <v>137583001.98</v>
      </c>
      <c r="GD393" s="8" t="n">
        <v>2551101.36</v>
      </c>
      <c r="GE393" s="8" t="n">
        <v>108408596.87</v>
      </c>
      <c r="GF393" s="8" t="n">
        <v>961644.4300000001</v>
      </c>
      <c r="GG393" s="9">
        <f>GC393+GD393+GE393+GF393</f>
        <v/>
      </c>
      <c r="GH393" s="8" t="n">
        <v>112114669.83</v>
      </c>
      <c r="GI393" s="8" t="n">
        <v>2360282.48</v>
      </c>
      <c r="GJ393" s="8" t="n">
        <v>144710296.62</v>
      </c>
      <c r="GK393" s="8" t="n">
        <v>33343304.82</v>
      </c>
      <c r="GL393" s="9">
        <f>GH393+GI393+GJ393+GK393</f>
        <v/>
      </c>
      <c r="GM393" s="9">
        <f>GG393+GL393</f>
        <v/>
      </c>
      <c r="GN393" s="8" t="n">
        <v>6612611.16</v>
      </c>
      <c r="GO393" s="8" t="n">
        <v>24101.28</v>
      </c>
      <c r="GP393" s="8" t="n">
        <v>179862.92</v>
      </c>
      <c r="GQ393" s="8" t="n">
        <v>78834.78</v>
      </c>
      <c r="GR393" s="9">
        <f>GN393+GO393+GP393+GQ393</f>
        <v/>
      </c>
      <c r="GS393" s="8" t="n">
        <v>10998188</v>
      </c>
      <c r="GT393" s="8" t="n">
        <v>112518</v>
      </c>
      <c r="GU393" s="8" t="n">
        <v>47329</v>
      </c>
      <c r="GV393" s="8" t="n">
        <v>15181</v>
      </c>
      <c r="GW393" s="9">
        <f>GS393+GT393+GU393+GV393</f>
        <v/>
      </c>
      <c r="GX393" s="9">
        <f>GM393+GR393+GW393</f>
        <v/>
      </c>
      <c r="GY393" s="8" t="n">
        <v>1346902743.470004</v>
      </c>
      <c r="GZ393" s="8" t="n">
        <v>374253929.6199999</v>
      </c>
      <c r="HA393" s="9">
        <f>GY393+GZ393</f>
        <v/>
      </c>
      <c r="HB393" s="9">
        <f>IF(GX393=0,"",AU393/GX393)</f>
        <v/>
      </c>
      <c r="HC393" s="10">
        <f>IF((GX393+GY393)=0,"",GB393/(GX393+GY393))</f>
        <v/>
      </c>
      <c r="HD393" s="9">
        <f>IF(GX393=0,"",GB393/GX393)</f>
        <v/>
      </c>
      <c r="HE393" s="8" t="n">
        <v>218</v>
      </c>
      <c r="HF393" s="8" t="n">
        <v>5</v>
      </c>
      <c r="HG393" s="8" t="n">
        <v>205</v>
      </c>
      <c r="HH393" s="8" t="n">
        <v>218</v>
      </c>
      <c r="HI393" s="8" t="n">
        <v>90</v>
      </c>
      <c r="HJ393" s="9">
        <f>HF393+HI393</f>
        <v/>
      </c>
      <c r="HK393" s="10">
        <f>IF(HE393=0,"",HH393/HE393)</f>
        <v/>
      </c>
      <c r="HL393" s="8" t="n">
        <v>43</v>
      </c>
      <c r="HM393" s="8" t="n">
        <v>31</v>
      </c>
      <c r="HN393" s="11">
        <f>IF(HL393=0,"",HM393/HL393)</f>
        <v/>
      </c>
    </row>
    <row r="394">
      <c r="A394" s="12" t="inlineStr">
        <is>
          <t>Zomba</t>
        </is>
      </c>
      <c r="B394" s="12" t="inlineStr">
        <is>
          <t>Zomba</t>
        </is>
      </c>
      <c r="C394" s="13" t="inlineStr">
        <is>
          <t>FY2025/26</t>
        </is>
      </c>
      <c r="D394" s="13" t="n">
        <v>2025</v>
      </c>
      <c r="E394" s="13" t="n">
        <v>11</v>
      </c>
      <c r="F394" s="13" t="inlineStr">
        <is>
          <t>November</t>
        </is>
      </c>
      <c r="G394" s="13" t="inlineStr">
        <is>
          <t>Q3</t>
        </is>
      </c>
      <c r="H394" s="14" t="n">
        <v>553292</v>
      </c>
      <c r="I394" s="14" t="n">
        <v>154676</v>
      </c>
      <c r="J394" s="14" t="n">
        <v>11383</v>
      </c>
      <c r="K394" s="14" t="n">
        <v>40128</v>
      </c>
      <c r="L394" s="14" t="n">
        <v>277</v>
      </c>
      <c r="M394" s="15">
        <f>SUM(I394,J394,K394,L394)</f>
        <v/>
      </c>
      <c r="N394" s="14" t="n">
        <v>84627.3000000005</v>
      </c>
      <c r="O394" s="14" t="n">
        <v>10692.9</v>
      </c>
      <c r="P394" s="14" t="n">
        <v>74725.39999999991</v>
      </c>
      <c r="Q394" s="14" t="n">
        <v>6977.30000000003</v>
      </c>
      <c r="R394" s="15">
        <f>SUM(N394,O394,P394,Q394)</f>
        <v/>
      </c>
      <c r="S394" s="15">
        <f>M394+R394</f>
        <v/>
      </c>
      <c r="T394" s="14" t="n">
        <v>169805.1</v>
      </c>
      <c r="U394" s="16">
        <f>IF(H394=0,"",T394/H394)</f>
        <v/>
      </c>
      <c r="V394" s="14" t="n">
        <v>935</v>
      </c>
      <c r="W394" s="17">
        <f>IF(H394=0,"",V394/H394)</f>
        <v/>
      </c>
      <c r="X394" s="14" t="n">
        <v>3739</v>
      </c>
      <c r="Y394" s="17">
        <f>IF(H394=0,"",X394/H394)</f>
        <v/>
      </c>
      <c r="Z394" s="14" t="n">
        <v>2362</v>
      </c>
      <c r="AA394" s="17">
        <f>IF(H394=0,"",Z394/H394)</f>
        <v/>
      </c>
      <c r="AB394" s="14" t="n">
        <v>0</v>
      </c>
      <c r="AC394" s="17">
        <f>IF(H394=0,"",AB394/H394)</f>
        <v/>
      </c>
      <c r="AD394" s="14" t="n">
        <v>0</v>
      </c>
      <c r="AE394" s="17">
        <f>IF(H394=0,"",AD394/H394)</f>
        <v/>
      </c>
      <c r="AF394" s="14" t="n">
        <v>0</v>
      </c>
      <c r="AG394" s="17">
        <f>IF(H394=0,"",AF394/H394)</f>
        <v/>
      </c>
      <c r="AH394" s="14" t="n">
        <v>85457292</v>
      </c>
      <c r="AI394" s="15">
        <f>IF(H394=0,"",AH394/H394)</f>
        <v/>
      </c>
      <c r="AJ394" s="14" t="n">
        <v>26722.79</v>
      </c>
      <c r="AK394" s="17">
        <f>IF(H394=0,"",AJ394/H394)</f>
        <v/>
      </c>
      <c r="AL394" s="14" t="n">
        <v>7335185.46211</v>
      </c>
      <c r="AM394" s="15">
        <f>IF(H394=0,"",AL394/H394)</f>
        <v/>
      </c>
      <c r="AN394" s="14" t="n">
        <v>0</v>
      </c>
      <c r="AO394" s="14" t="n">
        <v>0</v>
      </c>
      <c r="AP394" s="14" t="n">
        <v>0</v>
      </c>
      <c r="AQ394" s="14" t="n">
        <v>0</v>
      </c>
      <c r="AR394" s="14" t="n">
        <v>0</v>
      </c>
      <c r="AS394" s="14" t="n">
        <v>0</v>
      </c>
      <c r="AT394" s="14" t="n">
        <v>0</v>
      </c>
      <c r="AU394" s="15">
        <f>AH394+AL394+AP394+AQ394+AR394+AS394+AT394</f>
        <v/>
      </c>
      <c r="AV394" s="15">
        <f>IF(H394=0,"",AU394/H394)</f>
        <v/>
      </c>
      <c r="AW394" s="15">
        <f>IF(S394=0,"",AU394/S394)</f>
        <v/>
      </c>
      <c r="AX394" s="14" t="n">
        <v>63</v>
      </c>
      <c r="AY394" s="15">
        <f>IF(H394=0,"",AX394/(H394/1000/12))</f>
        <v/>
      </c>
      <c r="AZ394" s="14" t="n">
        <v>75</v>
      </c>
      <c r="BA394" s="14" t="n">
        <v>165</v>
      </c>
      <c r="BB394" s="14" t="n">
        <v>198</v>
      </c>
      <c r="BC394" s="14" t="n">
        <v>157</v>
      </c>
      <c r="BD394" s="14" t="n">
        <v>0</v>
      </c>
      <c r="BE394" s="15">
        <f>BC394+BD394</f>
        <v/>
      </c>
      <c r="BF394" s="15">
        <f>BA394+BB394-BE394</f>
        <v/>
      </c>
      <c r="BG394" s="14" t="n">
        <v>18</v>
      </c>
      <c r="BH394" s="14" t="n">
        <v>1</v>
      </c>
      <c r="BI394" s="14" t="n">
        <v>0</v>
      </c>
      <c r="BJ394" s="14" t="n">
        <v>0</v>
      </c>
      <c r="BK394" s="15">
        <f>BI394+BJ394</f>
        <v/>
      </c>
      <c r="BL394" s="15">
        <f>BG394+BH394-BK394</f>
        <v/>
      </c>
      <c r="BM394" s="14" t="n">
        <v>17</v>
      </c>
      <c r="BN394" s="14" t="n">
        <v>2</v>
      </c>
      <c r="BO394" s="14" t="n">
        <v>2</v>
      </c>
      <c r="BP394" s="14" t="n">
        <v>0</v>
      </c>
      <c r="BQ394" s="15">
        <f>BO394+BP394</f>
        <v/>
      </c>
      <c r="BR394" s="15">
        <f>BM394+BN394-BQ394</f>
        <v/>
      </c>
      <c r="BS394" s="14" t="n">
        <v>5</v>
      </c>
      <c r="BT394" s="14" t="n">
        <v>0</v>
      </c>
      <c r="BU394" s="14" t="n">
        <v>1</v>
      </c>
      <c r="BV394" s="14" t="n">
        <v>0</v>
      </c>
      <c r="BW394" s="15">
        <f>BU394+BV394</f>
        <v/>
      </c>
      <c r="BX394" s="15">
        <f>BS394+BT394-BW394</f>
        <v/>
      </c>
      <c r="BY394" s="15">
        <f>BA394+BG394+BM394+BS394</f>
        <v/>
      </c>
      <c r="BZ394" s="15">
        <f>BB394+BH394+BN394+BT394</f>
        <v/>
      </c>
      <c r="CA394" s="15">
        <f>BE394+BK394+BQ394+BW394</f>
        <v/>
      </c>
      <c r="CB394" s="15">
        <f>BF394+BL394+BR394+BX394</f>
        <v/>
      </c>
      <c r="CC394" s="14" t="n">
        <v>0</v>
      </c>
      <c r="CD394" s="14" t="n">
        <v>7555</v>
      </c>
      <c r="CE394" s="14" t="n">
        <v>389</v>
      </c>
      <c r="CF394" s="14" t="n">
        <v>216</v>
      </c>
      <c r="CG394" s="14" t="n">
        <v>82</v>
      </c>
      <c r="CH394" s="15">
        <f>CD394+CE394+CF394+CG394</f>
        <v/>
      </c>
      <c r="CI394" s="14" t="n">
        <v>12312</v>
      </c>
      <c r="CJ394" s="14" t="n">
        <v>54</v>
      </c>
      <c r="CK394" s="14" t="n">
        <v>19</v>
      </c>
      <c r="CL394" s="14" t="n">
        <v>115</v>
      </c>
      <c r="CM394" s="15">
        <f>CI394+CJ394+CK394+CL394</f>
        <v/>
      </c>
      <c r="CN394" s="14" t="n">
        <v>5378</v>
      </c>
      <c r="CO394" s="14" t="n">
        <v>374</v>
      </c>
      <c r="CP394" s="14" t="n">
        <v>250</v>
      </c>
      <c r="CQ394" s="14" t="n">
        <v>95</v>
      </c>
      <c r="CR394" s="15">
        <f>CN394+CO394+CP394+CQ394</f>
        <v/>
      </c>
      <c r="CS394" s="15">
        <f>CM394+CR394</f>
        <v/>
      </c>
      <c r="CT394" s="14" t="n">
        <v>26839</v>
      </c>
      <c r="CU394" s="14" t="n">
        <v>141541</v>
      </c>
      <c r="CV394" s="14" t="n">
        <v>141606.6</v>
      </c>
      <c r="CW394" s="16">
        <f>IF(CU394=0,"",CV394/CU394)</f>
        <v/>
      </c>
      <c r="CX394" s="14" t="n">
        <v>8</v>
      </c>
      <c r="CY394" s="14" t="n">
        <v>0</v>
      </c>
      <c r="CZ394" s="14" t="n">
        <v>3</v>
      </c>
      <c r="DA394" s="14" t="n">
        <v>0</v>
      </c>
      <c r="DB394" s="15">
        <f>CX394+CY394-CZ394-DA394</f>
        <v/>
      </c>
      <c r="DC394" s="14" t="n">
        <v>0</v>
      </c>
      <c r="DD394" s="14" t="n">
        <v>1</v>
      </c>
      <c r="DE394" s="14" t="n">
        <v>0</v>
      </c>
      <c r="DF394" s="14" t="n">
        <v>0</v>
      </c>
      <c r="DG394" s="15">
        <f>DC394+DD394-DE394-DF394</f>
        <v/>
      </c>
      <c r="DH394" s="14" t="n">
        <v>13</v>
      </c>
      <c r="DI394" s="14" t="n">
        <v>0</v>
      </c>
      <c r="DJ394" s="14" t="n">
        <v>6</v>
      </c>
      <c r="DK394" s="14" t="n">
        <v>0</v>
      </c>
      <c r="DL394" s="15">
        <f>DH394+DI394-DJ394-DK394</f>
        <v/>
      </c>
      <c r="DM394" s="14" t="n">
        <v>1424</v>
      </c>
      <c r="DN394" s="14" t="n">
        <v>0</v>
      </c>
      <c r="DO394" s="14" t="n">
        <v>216</v>
      </c>
      <c r="DP394" s="14" t="n">
        <v>17</v>
      </c>
      <c r="DQ394" s="15">
        <f>DM394+DN394-DO394-DP394</f>
        <v/>
      </c>
      <c r="DR394" s="15">
        <f>CX394+DC394+DH394+DM394</f>
        <v/>
      </c>
      <c r="DS394" s="15">
        <f>CY394+DD394+DI394+DN394</f>
        <v/>
      </c>
      <c r="DT394" s="15">
        <f>CZ394+DE394+DJ394+DO394</f>
        <v/>
      </c>
      <c r="DU394" s="15">
        <f>DA394+DF394+DK394+DP394</f>
        <v/>
      </c>
      <c r="DV394" s="15">
        <f>DB394+DG394+DL394+DQ394</f>
        <v/>
      </c>
      <c r="DW394" s="14" t="n">
        <v>271</v>
      </c>
      <c r="DX394" s="14" t="n">
        <v>100</v>
      </c>
      <c r="DY394" s="14" t="n">
        <v>50</v>
      </c>
      <c r="DZ394" s="14" t="n">
        <v>18</v>
      </c>
      <c r="EA394" s="14" t="n">
        <v>24</v>
      </c>
      <c r="EB394" s="14" t="n">
        <v>31</v>
      </c>
      <c r="EC394" s="14" t="n">
        <v>6</v>
      </c>
      <c r="ED394" s="14" t="n">
        <v>9</v>
      </c>
      <c r="EE394" s="14" t="n">
        <v>7</v>
      </c>
      <c r="EF394" s="14" t="n">
        <v>2</v>
      </c>
      <c r="EG394" s="14" t="n">
        <v>0</v>
      </c>
      <c r="EH394" s="14" t="n">
        <v>0</v>
      </c>
      <c r="EI394" s="14" t="n">
        <v>0</v>
      </c>
      <c r="EJ394" s="14" t="n">
        <v>17</v>
      </c>
      <c r="EK394" s="14" t="n">
        <v>6</v>
      </c>
      <c r="EL394" s="14" t="n">
        <v>0</v>
      </c>
      <c r="EM394" s="14" t="n">
        <v>3</v>
      </c>
      <c r="EN394" s="14" t="n">
        <v>0</v>
      </c>
      <c r="EO394" s="14" t="n">
        <v>2</v>
      </c>
      <c r="EP394" s="14" t="n">
        <v>0</v>
      </c>
      <c r="EQ394" s="14" t="n">
        <v>0</v>
      </c>
      <c r="ER394" s="14" t="n">
        <v>0</v>
      </c>
      <c r="ES394" s="14" t="n">
        <v>0</v>
      </c>
      <c r="ET394" s="14" t="n">
        <v>0</v>
      </c>
      <c r="EU394" s="14" t="n">
        <v>0</v>
      </c>
      <c r="EV394" s="14" t="n">
        <v>0</v>
      </c>
      <c r="EW394" s="14" t="n">
        <v>0</v>
      </c>
      <c r="EX394" s="14" t="n">
        <v>0</v>
      </c>
      <c r="EY394" s="14" t="n">
        <v>0</v>
      </c>
      <c r="EZ394" s="14" t="n">
        <v>0</v>
      </c>
      <c r="FA394" s="14" t="n">
        <v>0</v>
      </c>
      <c r="FB394" s="14" t="n">
        <v>0</v>
      </c>
      <c r="FC394" s="14" t="n">
        <v>0</v>
      </c>
      <c r="FD394" s="14" t="n">
        <v>0</v>
      </c>
      <c r="FE394" s="14" t="n">
        <v>0</v>
      </c>
      <c r="FF394" s="14" t="n">
        <v>0</v>
      </c>
      <c r="FG394" s="15">
        <f>SUM(DW394,DX394,DY394,DZ394,EA394,EB394,EC394,ED394,EE394,EF394,EG394,EH394,EI394,EJ394,EK394,EL394,EM394,EN394,EO394,EP394,EQ394,ER394,ES394,ET394,EU394,EV394,EW394,EX394,EY394,EZ394,FA394,FB394,FC394,FD394,FE394,FF394)</f>
        <v/>
      </c>
      <c r="FH394" s="14" t="n">
        <v>0</v>
      </c>
      <c r="FI394" s="14" t="n">
        <v>0</v>
      </c>
      <c r="FJ394" s="14" t="n">
        <v>21</v>
      </c>
      <c r="FK394" s="14" t="n">
        <v>12.35</v>
      </c>
      <c r="FL394" s="14" t="n">
        <v>0</v>
      </c>
      <c r="FM394" s="14" t="n">
        <v>0</v>
      </c>
      <c r="FN394" s="14" t="n">
        <v>0</v>
      </c>
      <c r="FO394" s="14" t="n">
        <v>0</v>
      </c>
      <c r="FP394" s="14" t="n">
        <v>0</v>
      </c>
      <c r="FQ394" s="15">
        <f>FL394+FM394+FN394+FO394+FP394</f>
        <v/>
      </c>
      <c r="FR394" s="14" t="n">
        <v>173012688.9799999</v>
      </c>
      <c r="FS394" s="14" t="n">
        <v>2030817.22</v>
      </c>
      <c r="FT394" s="14" t="n">
        <v>415000</v>
      </c>
      <c r="FU394" s="14" t="n">
        <v>5614767.97</v>
      </c>
      <c r="FV394" s="15">
        <f>FR394+FS394+FT394+FU394</f>
        <v/>
      </c>
      <c r="FW394" s="14" t="n">
        <v>112987384.89</v>
      </c>
      <c r="FX394" s="14" t="n">
        <v>2553168.64</v>
      </c>
      <c r="FY394" s="14" t="n">
        <v>33192201.26</v>
      </c>
      <c r="FZ394" s="14" t="n">
        <v>230600999.85</v>
      </c>
      <c r="GA394" s="15">
        <f>FW394+FX394+FY394+FZ394</f>
        <v/>
      </c>
      <c r="GB394" s="15">
        <f>FV394+GA394</f>
        <v/>
      </c>
      <c r="GC394" s="14" t="n">
        <v>139832061.06</v>
      </c>
      <c r="GD394" s="14" t="n">
        <v>2177340.24</v>
      </c>
      <c r="GE394" s="14" t="n">
        <v>138288490.88</v>
      </c>
      <c r="GF394" s="14" t="n">
        <v>1079560.23</v>
      </c>
      <c r="GG394" s="15">
        <f>GC394+GD394+GE394+GF394</f>
        <v/>
      </c>
      <c r="GH394" s="14" t="n">
        <v>107166642.2499999</v>
      </c>
      <c r="GI394" s="14" t="n">
        <v>2272008.27</v>
      </c>
      <c r="GJ394" s="14" t="n">
        <v>226910131.92</v>
      </c>
      <c r="GK394" s="14" t="n">
        <v>31721121.47</v>
      </c>
      <c r="GL394" s="15">
        <f>GH394+GI394+GJ394+GK394</f>
        <v/>
      </c>
      <c r="GM394" s="15">
        <f>GG394+GL394</f>
        <v/>
      </c>
      <c r="GN394" s="14" t="n">
        <v>6610926.46</v>
      </c>
      <c r="GO394" s="14" t="n">
        <v>21997.2</v>
      </c>
      <c r="GP394" s="14" t="n">
        <v>183256.56</v>
      </c>
      <c r="GQ394" s="14" t="n">
        <v>88109.46000000001</v>
      </c>
      <c r="GR394" s="15">
        <f>GN394+GO394+GP394+GQ394</f>
        <v/>
      </c>
      <c r="GS394" s="14" t="n">
        <v>10994616</v>
      </c>
      <c r="GT394" s="14" t="n">
        <v>102695</v>
      </c>
      <c r="GU394" s="14" t="n">
        <v>48222</v>
      </c>
      <c r="GV394" s="14" t="n">
        <v>16967</v>
      </c>
      <c r="GW394" s="15">
        <f>GS394+GT394+GU394+GV394</f>
        <v/>
      </c>
      <c r="GX394" s="15">
        <f>GM394+GR394+GW394</f>
        <v/>
      </c>
      <c r="GY394" s="14" t="n">
        <v>204663737.8900863</v>
      </c>
      <c r="GZ394" s="14" t="n">
        <v>620301217.8199998</v>
      </c>
      <c r="HA394" s="9">
        <f>GY394+GZ394</f>
        <v/>
      </c>
      <c r="HB394" s="15">
        <f>IF(GX394=0,"",AU394/GX394)</f>
        <v/>
      </c>
      <c r="HC394" s="16">
        <f>IF((GX394+GY394)=0,"",GB394/(GX394+GY394))</f>
        <v/>
      </c>
      <c r="HD394" s="15">
        <f>IF(GX394=0,"",GB394/GX394)</f>
        <v/>
      </c>
      <c r="HE394" s="14" t="n">
        <v>201</v>
      </c>
      <c r="HF394" s="14" t="n">
        <v>5</v>
      </c>
      <c r="HG394" s="14" t="n">
        <v>246</v>
      </c>
      <c r="HH394" s="14" t="n">
        <v>201</v>
      </c>
      <c r="HI394" s="14" t="n">
        <v>90</v>
      </c>
      <c r="HJ394" s="15">
        <f>HF394+HI394</f>
        <v/>
      </c>
      <c r="HK394" s="16">
        <f>IF(HE394=0,"",HH394/HE394)</f>
        <v/>
      </c>
      <c r="HL394" s="14" t="n">
        <v>48</v>
      </c>
      <c r="HM394" s="14" t="n">
        <v>30</v>
      </c>
      <c r="HN394" s="17">
        <f>IF(HL394=0,"",HM394/HL394)</f>
        <v/>
      </c>
    </row>
    <row r="395">
      <c r="A395" s="6" t="inlineStr">
        <is>
          <t>Zomba</t>
        </is>
      </c>
      <c r="B395" s="6" t="inlineStr">
        <is>
          <t>Zomba</t>
        </is>
      </c>
      <c r="C395" s="7" t="inlineStr">
        <is>
          <t>FY2025/26</t>
        </is>
      </c>
      <c r="D395" s="7" t="n">
        <v>2025</v>
      </c>
      <c r="E395" s="7" t="n">
        <v>12</v>
      </c>
      <c r="F395" s="7" t="inlineStr">
        <is>
          <t>December</t>
        </is>
      </c>
      <c r="G395" s="7" t="inlineStr">
        <is>
          <t>Q3</t>
        </is>
      </c>
      <c r="H395" s="8" t="n">
        <v>565393</v>
      </c>
      <c r="I395" s="8" t="n">
        <v>139074</v>
      </c>
      <c r="J395" s="8" t="n">
        <v>9521</v>
      </c>
      <c r="K395" s="8" t="n">
        <v>34578</v>
      </c>
      <c r="L395" s="8" t="n">
        <v>279</v>
      </c>
      <c r="M395" s="9">
        <f>SUM(I395,J395,K395,L395)</f>
        <v/>
      </c>
      <c r="N395" s="8" t="n">
        <v>79991.50000000119</v>
      </c>
      <c r="O395" s="8" t="n">
        <v>12989.5</v>
      </c>
      <c r="P395" s="8" t="n">
        <v>77833.5</v>
      </c>
      <c r="Q395" s="8" t="n">
        <v>6213.30000000004</v>
      </c>
      <c r="R395" s="9">
        <f>SUM(N395,O395,P395,Q395)</f>
        <v/>
      </c>
      <c r="S395" s="9">
        <f>M395+R395</f>
        <v/>
      </c>
      <c r="T395" s="8" t="n">
        <v>204913.199999999</v>
      </c>
      <c r="U395" s="10">
        <f>IF(H395=0,"",T395/H395)</f>
        <v/>
      </c>
      <c r="V395" s="8" t="n">
        <v>991</v>
      </c>
      <c r="W395" s="11">
        <f>IF(H395=0,"",V395/H395)</f>
        <v/>
      </c>
      <c r="X395" s="8" t="n">
        <v>4925</v>
      </c>
      <c r="Y395" s="11">
        <f>IF(H395=0,"",X395/H395)</f>
        <v/>
      </c>
      <c r="Z395" s="8" t="n">
        <v>2748</v>
      </c>
      <c r="AA395" s="11">
        <f>IF(H395=0,"",Z395/H395)</f>
        <v/>
      </c>
      <c r="AB395" s="8" t="n">
        <v>0</v>
      </c>
      <c r="AC395" s="11">
        <f>IF(H395=0,"",AB395/H395)</f>
        <v/>
      </c>
      <c r="AD395" s="8" t="n">
        <v>0</v>
      </c>
      <c r="AE395" s="11">
        <f>IF(H395=0,"",AD395/H395)</f>
        <v/>
      </c>
      <c r="AF395" s="8" t="n">
        <v>0</v>
      </c>
      <c r="AG395" s="11">
        <f>IF(H395=0,"",AF395/H395)</f>
        <v/>
      </c>
      <c r="AH395" s="8" t="n">
        <v>101908268</v>
      </c>
      <c r="AI395" s="9">
        <f>IF(H395=0,"",AH395/H395)</f>
        <v/>
      </c>
      <c r="AJ395" s="8" t="n">
        <v>26581.78</v>
      </c>
      <c r="AK395" s="11">
        <f>IF(H395=0,"",AJ395/H395)</f>
        <v/>
      </c>
      <c r="AL395" s="8" t="n">
        <v>7296646.16002</v>
      </c>
      <c r="AM395" s="9">
        <f>IF(H395=0,"",AL395/H395)</f>
        <v/>
      </c>
      <c r="AN395" s="8" t="n">
        <v>0</v>
      </c>
      <c r="AO395" s="8" t="n">
        <v>0</v>
      </c>
      <c r="AP395" s="8" t="n">
        <v>0</v>
      </c>
      <c r="AQ395" s="8" t="n">
        <v>0</v>
      </c>
      <c r="AR395" s="8" t="n">
        <v>0</v>
      </c>
      <c r="AS395" s="8" t="n">
        <v>0</v>
      </c>
      <c r="AT395" s="8" t="n">
        <v>0</v>
      </c>
      <c r="AU395" s="9">
        <f>AH395+AL395+AP395+AQ395+AR395+AS395+AT395</f>
        <v/>
      </c>
      <c r="AV395" s="9">
        <f>IF(H395=0,"",AU395/H395)</f>
        <v/>
      </c>
      <c r="AW395" s="9">
        <f>IF(S395=0,"",AU395/S395)</f>
        <v/>
      </c>
      <c r="AX395" s="8" t="n">
        <v>63</v>
      </c>
      <c r="AY395" s="9">
        <f>IF(H395=0,"",AX395/(H395/1000/12))</f>
        <v/>
      </c>
      <c r="AZ395" s="8" t="n">
        <v>75</v>
      </c>
      <c r="BA395" s="8" t="n">
        <v>206</v>
      </c>
      <c r="BB395" s="8" t="n">
        <v>84</v>
      </c>
      <c r="BC395" s="8" t="n">
        <v>90</v>
      </c>
      <c r="BD395" s="8" t="n">
        <v>0</v>
      </c>
      <c r="BE395" s="9">
        <f>BC395+BD395</f>
        <v/>
      </c>
      <c r="BF395" s="9">
        <f>BA395+BB395-BE395</f>
        <v/>
      </c>
      <c r="BG395" s="8" t="n">
        <v>19</v>
      </c>
      <c r="BH395" s="8" t="n">
        <v>0</v>
      </c>
      <c r="BI395" s="8" t="n">
        <v>0</v>
      </c>
      <c r="BJ395" s="8" t="n">
        <v>0</v>
      </c>
      <c r="BK395" s="9">
        <f>BI395+BJ395</f>
        <v/>
      </c>
      <c r="BL395" s="9">
        <f>BG395+BH395-BK395</f>
        <v/>
      </c>
      <c r="BM395" s="8" t="n">
        <v>17</v>
      </c>
      <c r="BN395" s="8" t="n">
        <v>0</v>
      </c>
      <c r="BO395" s="8" t="n">
        <v>0</v>
      </c>
      <c r="BP395" s="8" t="n">
        <v>0</v>
      </c>
      <c r="BQ395" s="9">
        <f>BO395+BP395</f>
        <v/>
      </c>
      <c r="BR395" s="9">
        <f>BM395+BN395-BQ395</f>
        <v/>
      </c>
      <c r="BS395" s="8" t="n">
        <v>4</v>
      </c>
      <c r="BT395" s="8" t="n">
        <v>0</v>
      </c>
      <c r="BU395" s="8" t="n">
        <v>0</v>
      </c>
      <c r="BV395" s="8" t="n">
        <v>0</v>
      </c>
      <c r="BW395" s="9">
        <f>BU395+BV395</f>
        <v/>
      </c>
      <c r="BX395" s="9">
        <f>BS395+BT395-BW395</f>
        <v/>
      </c>
      <c r="BY395" s="9">
        <f>BA395+BG395+BM395+BS395</f>
        <v/>
      </c>
      <c r="BZ395" s="9">
        <f>BB395+BH395+BN395+BT395</f>
        <v/>
      </c>
      <c r="CA395" s="9">
        <f>BE395+BK395+BQ395+BW395</f>
        <v/>
      </c>
      <c r="CB395" s="9">
        <f>BF395+BL395+BR395+BX395</f>
        <v/>
      </c>
      <c r="CC395" s="8" t="n">
        <v>147</v>
      </c>
      <c r="CD395" s="8" t="n">
        <v>7406</v>
      </c>
      <c r="CE395" s="8" t="n">
        <v>390</v>
      </c>
      <c r="CF395" s="8" t="n">
        <v>216</v>
      </c>
      <c r="CG395" s="8" t="n">
        <v>56</v>
      </c>
      <c r="CH395" s="9">
        <f>CD395+CE395+CF395+CG395</f>
        <v/>
      </c>
      <c r="CI395" s="8" t="n">
        <v>12083</v>
      </c>
      <c r="CJ395" s="8" t="n">
        <v>53</v>
      </c>
      <c r="CK395" s="8" t="n">
        <v>19</v>
      </c>
      <c r="CL395" s="8" t="n">
        <v>103</v>
      </c>
      <c r="CM395" s="9">
        <f>CI395+CJ395+CK395+CL395</f>
        <v/>
      </c>
      <c r="CN395" s="8" t="n">
        <v>5846</v>
      </c>
      <c r="CO395" s="8" t="n">
        <v>374</v>
      </c>
      <c r="CP395" s="8" t="n">
        <v>250</v>
      </c>
      <c r="CQ395" s="8" t="n">
        <v>133</v>
      </c>
      <c r="CR395" s="9">
        <f>CN395+CO395+CP395+CQ395</f>
        <v/>
      </c>
      <c r="CS395" s="9">
        <f>CM395+CR395</f>
        <v/>
      </c>
      <c r="CT395" s="8" t="n">
        <v>26929</v>
      </c>
      <c r="CU395" s="8" t="n">
        <v>141798</v>
      </c>
      <c r="CV395" s="8" t="n">
        <v>141796.2</v>
      </c>
      <c r="CW395" s="10">
        <f>IF(CU395=0,"",CV395/CU395)</f>
        <v/>
      </c>
      <c r="CX395" s="8" t="n">
        <v>5</v>
      </c>
      <c r="CY395" s="8" t="n">
        <v>1</v>
      </c>
      <c r="CZ395" s="8" t="n">
        <v>0</v>
      </c>
      <c r="DA395" s="8" t="n">
        <v>1</v>
      </c>
      <c r="DB395" s="9">
        <f>CX395+CY395-CZ395-DA395</f>
        <v/>
      </c>
      <c r="DC395" s="8" t="n">
        <v>1</v>
      </c>
      <c r="DD395" s="8" t="n">
        <v>0</v>
      </c>
      <c r="DE395" s="8" t="n">
        <v>0</v>
      </c>
      <c r="DF395" s="8" t="n">
        <v>0</v>
      </c>
      <c r="DG395" s="9">
        <f>DC395+DD395-DE395-DF395</f>
        <v/>
      </c>
      <c r="DH395" s="8" t="n">
        <v>7</v>
      </c>
      <c r="DI395" s="8" t="n">
        <v>3</v>
      </c>
      <c r="DJ395" s="8" t="n">
        <v>0</v>
      </c>
      <c r="DK395" s="8" t="n">
        <v>0</v>
      </c>
      <c r="DL395" s="9">
        <f>DH395+DI395-DJ395-DK395</f>
        <v/>
      </c>
      <c r="DM395" s="8" t="n">
        <v>1191</v>
      </c>
      <c r="DN395" s="8" t="n">
        <v>0</v>
      </c>
      <c r="DO395" s="8" t="n">
        <v>72</v>
      </c>
      <c r="DP395" s="8" t="n">
        <v>16</v>
      </c>
      <c r="DQ395" s="9">
        <f>DM395+DN395-DO395-DP395</f>
        <v/>
      </c>
      <c r="DR395" s="9">
        <f>CX395+DC395+DH395+DM395</f>
        <v/>
      </c>
      <c r="DS395" s="9">
        <f>CY395+DD395+DI395+DN395</f>
        <v/>
      </c>
      <c r="DT395" s="9">
        <f>CZ395+DE395+DJ395+DO395</f>
        <v/>
      </c>
      <c r="DU395" s="9">
        <f>DA395+DF395+DK395+DP395</f>
        <v/>
      </c>
      <c r="DV395" s="9">
        <f>DB395+DG395+DL395+DQ395</f>
        <v/>
      </c>
      <c r="DW395" s="8" t="n">
        <v>227</v>
      </c>
      <c r="DX395" s="8" t="n">
        <v>141</v>
      </c>
      <c r="DY395" s="8" t="n">
        <v>80</v>
      </c>
      <c r="DZ395" s="8" t="n">
        <v>8</v>
      </c>
      <c r="EA395" s="8" t="n">
        <v>21</v>
      </c>
      <c r="EB395" s="8" t="n">
        <v>25</v>
      </c>
      <c r="EC395" s="8" t="n">
        <v>1</v>
      </c>
      <c r="ED395" s="8" t="n">
        <v>16</v>
      </c>
      <c r="EE395" s="8" t="n">
        <v>9</v>
      </c>
      <c r="EF395" s="8" t="n">
        <v>2</v>
      </c>
      <c r="EG395" s="8" t="n">
        <v>0</v>
      </c>
      <c r="EH395" s="8" t="n">
        <v>0</v>
      </c>
      <c r="EI395" s="8" t="n">
        <v>0</v>
      </c>
      <c r="EJ395" s="8" t="n">
        <v>3</v>
      </c>
      <c r="EK395" s="8" t="n">
        <v>1</v>
      </c>
      <c r="EL395" s="8" t="n">
        <v>0</v>
      </c>
      <c r="EM395" s="8" t="n">
        <v>2</v>
      </c>
      <c r="EN395" s="8" t="n">
        <v>0</v>
      </c>
      <c r="EO395" s="8" t="n">
        <v>1</v>
      </c>
      <c r="EP395" s="8" t="n">
        <v>0</v>
      </c>
      <c r="EQ395" s="8" t="n">
        <v>0</v>
      </c>
      <c r="ER395" s="8" t="n">
        <v>0</v>
      </c>
      <c r="ES395" s="8" t="n">
        <v>0</v>
      </c>
      <c r="ET395" s="8" t="n">
        <v>0</v>
      </c>
      <c r="EU395" s="8" t="n">
        <v>0</v>
      </c>
      <c r="EV395" s="8" t="n">
        <v>0</v>
      </c>
      <c r="EW395" s="8" t="n">
        <v>0</v>
      </c>
      <c r="EX395" s="8" t="n">
        <v>0</v>
      </c>
      <c r="EY395" s="8" t="n">
        <v>0</v>
      </c>
      <c r="EZ395" s="8" t="n">
        <v>0</v>
      </c>
      <c r="FA395" s="8" t="n">
        <v>0</v>
      </c>
      <c r="FB395" s="8" t="n">
        <v>0</v>
      </c>
      <c r="FC395" s="8" t="n">
        <v>0</v>
      </c>
      <c r="FD395" s="8" t="n">
        <v>0</v>
      </c>
      <c r="FE395" s="8" t="n">
        <v>0</v>
      </c>
      <c r="FF395" s="8" t="n">
        <v>0</v>
      </c>
      <c r="FG395" s="9">
        <f>SUM(DW395,DX395,DY395,DZ395,EA395,EB395,EC395,ED395,EE395,EF395,EG395,EH395,EI395,EJ395,EK395,EL395,EM395,EN395,EO395,EP395,EQ395,ER395,ES395,ET395,EU395,EV395,EW395,EX395,EY395,EZ395,FA395,FB395,FC395,FD395,FE395,FF395)</f>
        <v/>
      </c>
      <c r="FH395" s="8" t="n">
        <v>0</v>
      </c>
      <c r="FI395" s="8" t="n">
        <v>0</v>
      </c>
      <c r="FJ395" s="8" t="n">
        <v>20</v>
      </c>
      <c r="FK395" s="8" t="n">
        <v>27.37</v>
      </c>
      <c r="FL395" s="8" t="n">
        <v>0</v>
      </c>
      <c r="FM395" s="8" t="n">
        <v>0</v>
      </c>
      <c r="FN395" s="8" t="n">
        <v>2047</v>
      </c>
      <c r="FO395" s="8" t="n">
        <v>0</v>
      </c>
      <c r="FP395" s="8" t="n">
        <v>0</v>
      </c>
      <c r="FQ395" s="9">
        <f>FL395+FM395+FN395+FO395+FP395</f>
        <v/>
      </c>
      <c r="FR395" s="8" t="n">
        <v>164635661.2999999</v>
      </c>
      <c r="FS395" s="8" t="n">
        <v>2481571.32</v>
      </c>
      <c r="FT395" s="8" t="n">
        <v>1297714.11</v>
      </c>
      <c r="FU395" s="8" t="n">
        <v>340033569.8500001</v>
      </c>
      <c r="FV395" s="9">
        <f>FR395+FS395+FT395+FU395</f>
        <v/>
      </c>
      <c r="FW395" s="8" t="n">
        <v>107763104.82</v>
      </c>
      <c r="FX395" s="8" t="n">
        <v>3381087.98</v>
      </c>
      <c r="FY395" s="8" t="n">
        <v>30451108.35</v>
      </c>
      <c r="FZ395" s="8" t="n">
        <v>238320524.7299999</v>
      </c>
      <c r="GA395" s="9">
        <f>FW395+FX395+FY395+FZ395</f>
        <v/>
      </c>
      <c r="GB395" s="9">
        <f>FV395+GA395</f>
        <v/>
      </c>
      <c r="GC395" s="8" t="n">
        <v>125732176.46</v>
      </c>
      <c r="GD395" s="8" t="n">
        <v>1821176.88</v>
      </c>
      <c r="GE395" s="8" t="n">
        <v>119119595.4</v>
      </c>
      <c r="GF395" s="8" t="n">
        <v>1110448.77</v>
      </c>
      <c r="GG395" s="9">
        <f>GC395+GD395+GE395+GF395</f>
        <v/>
      </c>
      <c r="GH395" s="8" t="n">
        <v>100373447.3500001</v>
      </c>
      <c r="GI395" s="8" t="n">
        <v>2774831.19</v>
      </c>
      <c r="GJ395" s="8" t="n">
        <v>236549154.6199999</v>
      </c>
      <c r="GK395" s="8" t="n">
        <v>29376448.27</v>
      </c>
      <c r="GL395" s="9">
        <f>GH395+GI395+GJ395+GK395</f>
        <v/>
      </c>
      <c r="GM395" s="9">
        <f>GG395+GL395</f>
        <v/>
      </c>
      <c r="GN395" s="8" t="n">
        <v>6482626.86</v>
      </c>
      <c r="GO395" s="8" t="n">
        <v>19701.84</v>
      </c>
      <c r="GP395" s="8" t="n">
        <v>179862.92</v>
      </c>
      <c r="GQ395" s="8" t="n">
        <v>88109.46000000001</v>
      </c>
      <c r="GR395" s="9">
        <f>GN395+GO395+GP395+GQ395</f>
        <v/>
      </c>
      <c r="GS395" s="8" t="n">
        <v>10790119</v>
      </c>
      <c r="GT395" s="8" t="n">
        <v>91979</v>
      </c>
      <c r="GU395" s="8" t="n">
        <v>47329</v>
      </c>
      <c r="GV395" s="8" t="n">
        <v>16967</v>
      </c>
      <c r="GW395" s="9">
        <f>GS395+GT395+GU395+GV395</f>
        <v/>
      </c>
      <c r="GX395" s="9">
        <f>GM395+GR395+GW395</f>
        <v/>
      </c>
      <c r="GY395" s="8" t="n">
        <v>1269180148.319992</v>
      </c>
      <c r="GZ395" s="8" t="n">
        <v>275202170.54</v>
      </c>
      <c r="HA395" s="9">
        <f>GY395+GZ395</f>
        <v/>
      </c>
      <c r="HB395" s="9">
        <f>IF(GX395=0,"",AU395/GX395)</f>
        <v/>
      </c>
      <c r="HC395" s="10">
        <f>IF((GX395+GY395)=0,"",GB395/(GX395+GY395))</f>
        <v/>
      </c>
      <c r="HD395" s="9">
        <f>IF(GX395=0,"",GB395/GX395)</f>
        <v/>
      </c>
      <c r="HE395" s="8" t="n">
        <v>84</v>
      </c>
      <c r="HF395" s="8" t="n">
        <v>5</v>
      </c>
      <c r="HG395" s="8" t="n">
        <v>240</v>
      </c>
      <c r="HH395" s="8" t="n">
        <v>84</v>
      </c>
      <c r="HI395" s="8" t="n">
        <v>90</v>
      </c>
      <c r="HJ395" s="9">
        <f>HF395+HI395</f>
        <v/>
      </c>
      <c r="HK395" s="10">
        <f>IF(HE395=0,"",HH395/HE395)</f>
        <v/>
      </c>
      <c r="HL395" s="8" t="n">
        <v>45</v>
      </c>
      <c r="HM395" s="8" t="n">
        <v>31</v>
      </c>
      <c r="HN395" s="11">
        <f>IF(HL395=0,"",HM395/HL395)</f>
        <v/>
      </c>
    </row>
    <row r="396">
      <c r="A396" s="12" t="inlineStr">
        <is>
          <t>Zomba</t>
        </is>
      </c>
      <c r="B396" s="12" t="inlineStr">
        <is>
          <t>Zomba</t>
        </is>
      </c>
      <c r="C396" s="13" t="inlineStr">
        <is>
          <t>FY2025/26</t>
        </is>
      </c>
      <c r="D396" s="13" t="n">
        <v>2026</v>
      </c>
      <c r="E396" s="13" t="n">
        <v>1</v>
      </c>
      <c r="F396" s="13" t="inlineStr">
        <is>
          <t>January</t>
        </is>
      </c>
      <c r="G396" s="13" t="inlineStr">
        <is>
          <t>Q4</t>
        </is>
      </c>
      <c r="H396" s="14" t="n">
        <v>458675</v>
      </c>
      <c r="I396" s="14" t="n">
        <v>122239</v>
      </c>
      <c r="J396" s="14" t="n">
        <v>5868</v>
      </c>
      <c r="K396" s="14" t="n">
        <v>57545</v>
      </c>
      <c r="L396" s="14" t="n">
        <v>165</v>
      </c>
      <c r="M396" s="15" t="n">
        <v>185817</v>
      </c>
      <c r="N396" s="14" t="n">
        <v>80839.60000000236</v>
      </c>
      <c r="O396" s="14" t="n">
        <v>14264.30000000001</v>
      </c>
      <c r="P396" s="14" t="n">
        <v>28997.89999999987</v>
      </c>
      <c r="Q396" s="14" t="n">
        <v>6160.80000000003</v>
      </c>
      <c r="R396" s="15" t="n">
        <v>130262.6000000023</v>
      </c>
      <c r="S396" s="15" t="n">
        <v>316079.6000000023</v>
      </c>
      <c r="T396" s="14" t="n">
        <v>142595.3999999977</v>
      </c>
      <c r="U396" s="16" t="n">
        <v>0.3108854853654498</v>
      </c>
      <c r="V396" s="14" t="n">
        <v>882</v>
      </c>
      <c r="W396" s="17" t="n">
        <v>1.92293017932087</v>
      </c>
      <c r="X396" s="14" t="n">
        <v>4054</v>
      </c>
      <c r="Y396" s="17" t="n">
        <v>8.838502207445359</v>
      </c>
      <c r="Z396" s="14" t="n">
        <v>1960</v>
      </c>
      <c r="AA396" s="17" t="n">
        <v>4.273178176268599</v>
      </c>
      <c r="AB396" s="14" t="n">
        <v>0</v>
      </c>
      <c r="AC396" s="17" t="n">
        <v>0</v>
      </c>
      <c r="AD396" s="14" t="n">
        <v>0</v>
      </c>
      <c r="AE396" s="17" t="n">
        <v>0</v>
      </c>
      <c r="AF396" s="14" t="n">
        <v>0</v>
      </c>
      <c r="AG396" s="17" t="n">
        <v>0</v>
      </c>
      <c r="AH396" s="14" t="n">
        <v>81949160</v>
      </c>
      <c r="AI396" s="15" t="n">
        <v>178.6649806507876</v>
      </c>
      <c r="AJ396" s="14" t="n">
        <v>25916.56</v>
      </c>
      <c r="AK396" s="17" t="n">
        <v>0.05650310132446722</v>
      </c>
      <c r="AL396" s="14" t="n">
        <v>7114835.54704</v>
      </c>
      <c r="AM396" s="15" t="n">
        <v>15.51171427926091</v>
      </c>
      <c r="AN396" s="14" t="n">
        <v>0</v>
      </c>
      <c r="AO396" s="14" t="n">
        <v>0</v>
      </c>
      <c r="AP396" s="14" t="n">
        <v>0</v>
      </c>
      <c r="AQ396" s="14" t="n">
        <v>0</v>
      </c>
      <c r="AR396" s="14" t="n">
        <v>0</v>
      </c>
      <c r="AS396" s="14" t="n">
        <v>0</v>
      </c>
      <c r="AT396" s="14" t="n">
        <v>0</v>
      </c>
      <c r="AU396" s="15" t="n">
        <v>89063995.54704</v>
      </c>
      <c r="AV396" s="15" t="n">
        <v>194.1766949300485</v>
      </c>
      <c r="AW396" s="15" t="n">
        <v>281.7771078773807</v>
      </c>
      <c r="AX396" s="14" t="n">
        <v>63</v>
      </c>
      <c r="AY396" s="15" t="n">
        <v>4.257916825639069</v>
      </c>
      <c r="AZ396" s="14" t="n">
        <v>75</v>
      </c>
      <c r="BA396" s="14" t="n">
        <v>200</v>
      </c>
      <c r="BB396" s="14" t="n">
        <v>91</v>
      </c>
      <c r="BC396" s="14" t="n">
        <v>90</v>
      </c>
      <c r="BD396" s="14" t="n">
        <v>0</v>
      </c>
      <c r="BE396" s="15" t="n">
        <v>90</v>
      </c>
      <c r="BF396" s="15" t="n">
        <v>201</v>
      </c>
      <c r="BG396" s="14" t="n">
        <v>19</v>
      </c>
      <c r="BH396" s="14" t="n">
        <v>0</v>
      </c>
      <c r="BI396" s="14" t="n">
        <v>1</v>
      </c>
      <c r="BJ396" s="14" t="n">
        <v>0</v>
      </c>
      <c r="BK396" s="15" t="n">
        <v>1</v>
      </c>
      <c r="BL396" s="15" t="n">
        <v>18</v>
      </c>
      <c r="BM396" s="14" t="n">
        <v>17</v>
      </c>
      <c r="BN396" s="14" t="n">
        <v>0</v>
      </c>
      <c r="BO396" s="14" t="n">
        <v>1</v>
      </c>
      <c r="BP396" s="14" t="n">
        <v>0</v>
      </c>
      <c r="BQ396" s="15" t="n">
        <v>1</v>
      </c>
      <c r="BR396" s="15" t="n">
        <v>16</v>
      </c>
      <c r="BS396" s="14" t="n">
        <v>4</v>
      </c>
      <c r="BT396" s="14" t="n">
        <v>0</v>
      </c>
      <c r="BU396" s="14" t="n">
        <v>0</v>
      </c>
      <c r="BV396" s="14" t="n">
        <v>0</v>
      </c>
      <c r="BW396" s="15" t="n">
        <v>0</v>
      </c>
      <c r="BX396" s="15" t="n">
        <v>4</v>
      </c>
      <c r="BY396" s="15" t="n">
        <v>240</v>
      </c>
      <c r="BZ396" s="15" t="n">
        <v>91</v>
      </c>
      <c r="CA396" s="15" t="n">
        <v>92</v>
      </c>
      <c r="CB396" s="15" t="n">
        <v>239</v>
      </c>
      <c r="CC396" s="14" t="n">
        <v>3</v>
      </c>
      <c r="CD396" s="14" t="n">
        <v>7472</v>
      </c>
      <c r="CE396" s="14" t="n">
        <v>389</v>
      </c>
      <c r="CF396" s="14" t="n">
        <v>219</v>
      </c>
      <c r="CG396" s="14" t="n">
        <v>56</v>
      </c>
      <c r="CH396" s="15" t="n">
        <v>8136</v>
      </c>
      <c r="CI396" s="14" t="n">
        <v>11907</v>
      </c>
      <c r="CJ396" s="14" t="n">
        <v>55</v>
      </c>
      <c r="CK396" s="14" t="n">
        <v>17</v>
      </c>
      <c r="CL396" s="14" t="n">
        <v>80</v>
      </c>
      <c r="CM396" s="15" t="n">
        <v>12059</v>
      </c>
      <c r="CN396" s="14" t="n">
        <v>6046</v>
      </c>
      <c r="CO396" s="14" t="n">
        <v>374</v>
      </c>
      <c r="CP396" s="14" t="n">
        <v>250</v>
      </c>
      <c r="CQ396" s="14" t="n">
        <v>156</v>
      </c>
      <c r="CR396" s="15" t="n">
        <v>6826</v>
      </c>
      <c r="CS396" s="15" t="n">
        <v>18885</v>
      </c>
      <c r="CT396" s="14" t="n">
        <v>27021</v>
      </c>
      <c r="CU396" s="14" t="n">
        <v>142055</v>
      </c>
      <c r="CV396" s="14" t="n">
        <v>142054</v>
      </c>
      <c r="CW396" s="16" t="n">
        <v>0.9999929604730562</v>
      </c>
      <c r="CX396" s="14" t="n">
        <v>5</v>
      </c>
      <c r="CY396" s="14" t="n">
        <v>0</v>
      </c>
      <c r="CZ396" s="14" t="n">
        <v>1</v>
      </c>
      <c r="DA396" s="14" t="n">
        <v>0</v>
      </c>
      <c r="DB396" s="15" t="n">
        <v>4</v>
      </c>
      <c r="DC396" s="14" t="n">
        <v>1</v>
      </c>
      <c r="DD396" s="14" t="n">
        <v>0</v>
      </c>
      <c r="DE396" s="14" t="n">
        <v>1</v>
      </c>
      <c r="DF396" s="14" t="n">
        <v>0</v>
      </c>
      <c r="DG396" s="15" t="n">
        <v>0</v>
      </c>
      <c r="DH396" s="14" t="n">
        <v>10</v>
      </c>
      <c r="DI396" s="14" t="n">
        <v>0</v>
      </c>
      <c r="DJ396" s="14" t="n">
        <v>6</v>
      </c>
      <c r="DK396" s="14" t="n">
        <v>0</v>
      </c>
      <c r="DL396" s="15" t="n">
        <v>4</v>
      </c>
      <c r="DM396" s="14" t="n">
        <v>1103</v>
      </c>
      <c r="DN396" s="14" t="n">
        <v>3</v>
      </c>
      <c r="DO396" s="14" t="n">
        <v>0</v>
      </c>
      <c r="DP396" s="14" t="n">
        <v>0</v>
      </c>
      <c r="DQ396" s="15" t="n">
        <v>1106</v>
      </c>
      <c r="DR396" s="15" t="n">
        <v>1119</v>
      </c>
      <c r="DS396" s="15" t="n">
        <v>3</v>
      </c>
      <c r="DT396" s="15" t="n">
        <v>8</v>
      </c>
      <c r="DU396" s="15" t="n">
        <v>0</v>
      </c>
      <c r="DV396" s="15" t="n">
        <v>1114</v>
      </c>
      <c r="DW396" s="14" t="n">
        <v>230</v>
      </c>
      <c r="DX396" s="14" t="n">
        <v>142</v>
      </c>
      <c r="DY396" s="14" t="n">
        <v>84</v>
      </c>
      <c r="DZ396" s="14" t="n">
        <v>16</v>
      </c>
      <c r="EA396" s="14" t="n">
        <v>34</v>
      </c>
      <c r="EB396" s="14" t="n">
        <v>36</v>
      </c>
      <c r="EC396" s="14" t="n">
        <v>3</v>
      </c>
      <c r="ED396" s="14" t="n">
        <v>12</v>
      </c>
      <c r="EE396" s="14" t="n">
        <v>6</v>
      </c>
      <c r="EF396" s="14" t="n">
        <v>2</v>
      </c>
      <c r="EG396" s="14" t="n">
        <v>0</v>
      </c>
      <c r="EH396" s="14" t="n">
        <v>0</v>
      </c>
      <c r="EI396" s="14" t="n">
        <v>0</v>
      </c>
      <c r="EJ396" s="14" t="n">
        <v>12</v>
      </c>
      <c r="EK396" s="14" t="n">
        <v>0</v>
      </c>
      <c r="EL396" s="14" t="n">
        <v>0</v>
      </c>
      <c r="EM396" s="14" t="n">
        <v>0</v>
      </c>
      <c r="EN396" s="14" t="n">
        <v>0</v>
      </c>
      <c r="EO396" s="14" t="n">
        <v>0</v>
      </c>
      <c r="EP396" s="14" t="n">
        <v>0</v>
      </c>
      <c r="EQ396" s="14" t="n">
        <v>1</v>
      </c>
      <c r="ER396" s="14" t="n">
        <v>0</v>
      </c>
      <c r="ES396" s="14" t="n">
        <v>0</v>
      </c>
      <c r="ET396" s="14" t="n">
        <v>0</v>
      </c>
      <c r="EU396" s="14" t="n">
        <v>0</v>
      </c>
      <c r="EV396" s="14" t="n">
        <v>0</v>
      </c>
      <c r="EW396" s="14" t="n">
        <v>0</v>
      </c>
      <c r="EX396" s="14" t="n">
        <v>0</v>
      </c>
      <c r="EY396" s="14" t="n">
        <v>0</v>
      </c>
      <c r="EZ396" s="14" t="n">
        <v>0</v>
      </c>
      <c r="FA396" s="14" t="n">
        <v>0</v>
      </c>
      <c r="FB396" s="14" t="n">
        <v>0</v>
      </c>
      <c r="FC396" s="14" t="n">
        <v>0</v>
      </c>
      <c r="FD396" s="14" t="n">
        <v>1</v>
      </c>
      <c r="FE396" s="14" t="n">
        <v>0</v>
      </c>
      <c r="FF396" s="14" t="n">
        <v>0</v>
      </c>
      <c r="FG396" s="15" t="n">
        <v>579</v>
      </c>
      <c r="FH396" s="14" t="n">
        <v>0</v>
      </c>
      <c r="FI396" s="14" t="n">
        <v>0</v>
      </c>
      <c r="FJ396" s="14" t="n">
        <v>21</v>
      </c>
      <c r="FK396" s="14" t="n">
        <v>32</v>
      </c>
      <c r="FL396" s="14" t="n">
        <v>0</v>
      </c>
      <c r="FM396" s="14" t="n">
        <v>1000</v>
      </c>
      <c r="FN396" s="14" t="n">
        <v>2590</v>
      </c>
      <c r="FO396" s="14" t="n">
        <v>0</v>
      </c>
      <c r="FP396" s="14" t="n">
        <v>0</v>
      </c>
      <c r="FQ396" s="15" t="n">
        <v>3590</v>
      </c>
      <c r="FR396" s="14" t="n">
        <v>146931148.29</v>
      </c>
      <c r="FS396" s="14" t="n">
        <v>1100150</v>
      </c>
      <c r="FT396" s="14" t="n">
        <v>1652836.21</v>
      </c>
      <c r="FU396" s="14" t="n">
        <v>719850</v>
      </c>
      <c r="FV396" s="15" t="n">
        <v>150403984.5</v>
      </c>
      <c r="FW396" s="14" t="n">
        <v>105930818.4</v>
      </c>
      <c r="FX396" s="14" t="n">
        <v>3513853.26</v>
      </c>
      <c r="FY396" s="14" t="n">
        <v>29950728.4</v>
      </c>
      <c r="FZ396" s="14" t="n">
        <v>88861522.81999999</v>
      </c>
      <c r="GA396" s="15" t="n">
        <v>228256922.88</v>
      </c>
      <c r="GB396" s="15" t="n">
        <v>378660907.38</v>
      </c>
      <c r="GC396" s="14" t="n">
        <v>110300202.16</v>
      </c>
      <c r="GD396" s="14" t="n">
        <v>1122431.04</v>
      </c>
      <c r="GE396" s="14" t="n">
        <v>198587193.53</v>
      </c>
      <c r="GF396" s="14" t="n">
        <v>616584.87</v>
      </c>
      <c r="GG396" s="15" t="n">
        <v>310626411.6</v>
      </c>
      <c r="GH396" s="14" t="n">
        <v>101002230.79</v>
      </c>
      <c r="GI396" s="14" t="n">
        <v>3059067.86</v>
      </c>
      <c r="GJ396" s="14" t="n">
        <v>88125922.81999999</v>
      </c>
      <c r="GK396" s="14" t="n">
        <v>29127599.15</v>
      </c>
      <c r="GL396" s="15" t="n">
        <v>221314820.62</v>
      </c>
      <c r="GM396" s="15" t="n">
        <v>531941232.22</v>
      </c>
      <c r="GN396" s="14" t="n">
        <v>6390879.91</v>
      </c>
      <c r="GO396" s="14" t="n">
        <v>15302.4</v>
      </c>
      <c r="GP396" s="14" t="n">
        <v>186650.2</v>
      </c>
      <c r="GQ396" s="14" t="n">
        <v>78834.78</v>
      </c>
      <c r="GR396" s="15" t="n">
        <v>6671667.290000001</v>
      </c>
      <c r="GS396" s="14" t="n">
        <v>10632951</v>
      </c>
      <c r="GT396" s="14" t="n">
        <v>71440</v>
      </c>
      <c r="GU396" s="14" t="n">
        <v>49115</v>
      </c>
      <c r="GV396" s="14" t="n">
        <v>15181</v>
      </c>
      <c r="GW396" s="15" t="n">
        <v>10768687</v>
      </c>
      <c r="GX396" s="15" t="n">
        <v>549381586.51</v>
      </c>
      <c r="GY396" s="14" t="n">
        <v>151807356.2600807</v>
      </c>
      <c r="GZ396" s="14" t="n">
        <v>592074048.0299999</v>
      </c>
      <c r="HA396" s="9">
        <f>GY396+GZ396</f>
        <v/>
      </c>
      <c r="HB396" s="15" t="n">
        <v>549381586.51</v>
      </c>
      <c r="HC396" s="16" t="n">
        <v>0</v>
      </c>
      <c r="HD396" s="15" t="n">
        <v>0</v>
      </c>
      <c r="HE396" s="14" t="n">
        <v>90</v>
      </c>
      <c r="HF396" s="14" t="n">
        <v>5</v>
      </c>
      <c r="HG396" s="14" t="n">
        <v>239</v>
      </c>
      <c r="HH396" s="14" t="n">
        <v>91</v>
      </c>
      <c r="HI396" s="14" t="n">
        <v>60</v>
      </c>
      <c r="HJ396" s="15" t="n">
        <v>0.6593406593406593</v>
      </c>
      <c r="HK396" s="16" t="n">
        <v>38.49372384937239</v>
      </c>
      <c r="HL396" s="14" t="n">
        <v>63</v>
      </c>
      <c r="HM396" s="14" t="n">
        <v>31</v>
      </c>
      <c r="HN396" s="17" t="n">
        <v>2.032258064516129</v>
      </c>
    </row>
    <row r="397">
      <c r="A397" s="6" t="inlineStr">
        <is>
          <t>Zomba</t>
        </is>
      </c>
      <c r="B397" s="6" t="inlineStr">
        <is>
          <t>Zomba</t>
        </is>
      </c>
      <c r="C397" s="7" t="inlineStr">
        <is>
          <t>FY2025/26</t>
        </is>
      </c>
      <c r="D397" s="7" t="n">
        <v>2026</v>
      </c>
      <c r="E397" s="7" t="n">
        <v>2</v>
      </c>
      <c r="F397" s="7" t="inlineStr">
        <is>
          <t>February</t>
        </is>
      </c>
      <c r="G397" s="7" t="inlineStr">
        <is>
          <t>Q4</t>
        </is>
      </c>
      <c r="H397" s="8" t="n">
        <v>468064</v>
      </c>
      <c r="I397" s="8" t="n">
        <v>125762</v>
      </c>
      <c r="J397" s="8" t="n">
        <v>3884</v>
      </c>
      <c r="K397" s="8" t="n">
        <v>37455</v>
      </c>
      <c r="L397" s="8" t="n">
        <v>278</v>
      </c>
      <c r="M397" s="9">
        <f>SUM(I397,J397,K397,L397)</f>
        <v/>
      </c>
      <c r="N397" s="8" t="n">
        <v>79464.90000000111</v>
      </c>
      <c r="O397" s="8" t="n">
        <v>15944.80000000001</v>
      </c>
      <c r="P397" s="8" t="n">
        <v>49538.29999999987</v>
      </c>
      <c r="Q397" s="8" t="n">
        <v>5284.099999999998</v>
      </c>
      <c r="R397" s="9">
        <f>SUM(N397,O397,P397,Q397)</f>
        <v/>
      </c>
      <c r="S397" s="9">
        <f>M397+R397</f>
        <v/>
      </c>
      <c r="T397" s="8" t="n">
        <v>150452.899999999</v>
      </c>
      <c r="U397" s="10">
        <f>IF(H397=0,"",T397/H397)</f>
        <v/>
      </c>
      <c r="V397" s="8" t="n">
        <v>1277</v>
      </c>
      <c r="W397" s="11">
        <f>IF(H397=0,"",V397/H397)</f>
        <v/>
      </c>
      <c r="X397" s="8" t="n">
        <v>5697</v>
      </c>
      <c r="Y397" s="11">
        <f>IF(H397=0,"",X397/H397)</f>
        <v/>
      </c>
      <c r="Z397" s="8" t="n">
        <v>1964</v>
      </c>
      <c r="AA397" s="11">
        <f>IF(H397=0,"",Z397/H397)</f>
        <v/>
      </c>
      <c r="AB397" s="8" t="n">
        <v>0</v>
      </c>
      <c r="AC397" s="11">
        <f>IF(H397=0,"",AB397/H397)</f>
        <v/>
      </c>
      <c r="AD397" s="8" t="n">
        <v>0</v>
      </c>
      <c r="AE397" s="11">
        <f>IF(H397=0,"",AD397/H397)</f>
        <v/>
      </c>
      <c r="AF397" s="8" t="n">
        <v>0</v>
      </c>
      <c r="AG397" s="11">
        <f>IF(H397=0,"",AF397/H397)</f>
        <v/>
      </c>
      <c r="AH397" s="8" t="n">
        <v>106561724</v>
      </c>
      <c r="AI397" s="9">
        <f>IF(H397=0,"",AH397/H397)</f>
        <v/>
      </c>
      <c r="AJ397" s="8" t="n">
        <v>26794.38</v>
      </c>
      <c r="AK397" s="11">
        <f>IF(H397=0,"",AJ397/H397)</f>
        <v/>
      </c>
      <c r="AL397" s="8" t="n">
        <v>7354751.65342</v>
      </c>
      <c r="AM397" s="9">
        <f>IF(H397=0,"",AL397/H397)</f>
        <v/>
      </c>
      <c r="AN397" s="8" t="n">
        <v>0</v>
      </c>
      <c r="AO397" s="8" t="n">
        <v>0</v>
      </c>
      <c r="AP397" s="8" t="n">
        <v>0</v>
      </c>
      <c r="AQ397" s="8" t="n">
        <v>0</v>
      </c>
      <c r="AR397" s="8" t="n">
        <v>0</v>
      </c>
      <c r="AS397" s="8" t="n">
        <v>0</v>
      </c>
      <c r="AT397" s="8" t="n">
        <v>0</v>
      </c>
      <c r="AU397" s="9">
        <f>AH397+AL397+AP397+AQ397+AR397+AS397+AT397</f>
        <v/>
      </c>
      <c r="AV397" s="9">
        <f>IF(H397=0,"",AU397/H397)</f>
        <v/>
      </c>
      <c r="AW397" s="9">
        <f>IF(S397=0,"",AU397/S397)</f>
        <v/>
      </c>
      <c r="AX397" s="8" t="n">
        <v>63</v>
      </c>
      <c r="AY397" s="9">
        <f>IF(H397=0,"",AX397/(H397/1000/12))</f>
        <v/>
      </c>
      <c r="AZ397" s="8" t="n">
        <v>75</v>
      </c>
      <c r="BA397" s="8" t="n">
        <v>201</v>
      </c>
      <c r="BB397" s="8" t="n">
        <v>157</v>
      </c>
      <c r="BC397" s="8" t="n">
        <v>113</v>
      </c>
      <c r="BD397" s="8" t="n">
        <v>0</v>
      </c>
      <c r="BE397" s="9">
        <f>BC397+BD397</f>
        <v/>
      </c>
      <c r="BF397" s="9">
        <f>BA397+BB397-BE397</f>
        <v/>
      </c>
      <c r="BG397" s="8" t="n">
        <v>18</v>
      </c>
      <c r="BH397" s="8" t="n">
        <v>0</v>
      </c>
      <c r="BI397" s="8" t="n">
        <v>1</v>
      </c>
      <c r="BJ397" s="8" t="n">
        <v>0</v>
      </c>
      <c r="BK397" s="9">
        <f>BI397+BJ397</f>
        <v/>
      </c>
      <c r="BL397" s="9">
        <f>BG397+BH397-BK397</f>
        <v/>
      </c>
      <c r="BM397" s="8" t="n">
        <v>16</v>
      </c>
      <c r="BN397" s="8" t="n">
        <v>0</v>
      </c>
      <c r="BO397" s="8" t="n">
        <v>0</v>
      </c>
      <c r="BP397" s="8" t="n">
        <v>0</v>
      </c>
      <c r="BQ397" s="9">
        <f>BO397+BP397</f>
        <v/>
      </c>
      <c r="BR397" s="9">
        <f>BM397+BN397-BQ397</f>
        <v/>
      </c>
      <c r="BS397" s="8" t="n">
        <v>4</v>
      </c>
      <c r="BT397" s="8" t="n">
        <v>1</v>
      </c>
      <c r="BU397" s="8" t="n">
        <v>1</v>
      </c>
      <c r="BV397" s="8" t="n">
        <v>0</v>
      </c>
      <c r="BW397" s="9">
        <f>BU397+BV397</f>
        <v/>
      </c>
      <c r="BX397" s="9">
        <f>BS397+BT397-BW397</f>
        <v/>
      </c>
      <c r="BY397" s="9">
        <f>BA397+BG397+BM397+BS397</f>
        <v/>
      </c>
      <c r="BZ397" s="9">
        <f>BB397+BH397+BN397+BT397</f>
        <v/>
      </c>
      <c r="CA397" s="9">
        <f>BE397+BK397+BQ397+BW397</f>
        <v/>
      </c>
      <c r="CB397" s="9">
        <f>BF397+BL397+BR397+BX397</f>
        <v/>
      </c>
      <c r="CC397" s="8" t="n">
        <v>0</v>
      </c>
      <c r="CD397" s="8" t="n">
        <v>6602</v>
      </c>
      <c r="CE397" s="8" t="n">
        <v>376</v>
      </c>
      <c r="CF397" s="8" t="n">
        <v>212</v>
      </c>
      <c r="CG397" s="8" t="n">
        <v>59</v>
      </c>
      <c r="CH397" s="9">
        <f>CD397+CE397+CF397+CG397</f>
        <v/>
      </c>
      <c r="CI397" s="8" t="n">
        <v>11642</v>
      </c>
      <c r="CJ397" s="8" t="n">
        <v>51</v>
      </c>
      <c r="CK397" s="8" t="n">
        <v>13</v>
      </c>
      <c r="CL397" s="8" t="n">
        <v>46</v>
      </c>
      <c r="CM397" s="9">
        <f>CI397+CJ397+CK397+CL397</f>
        <v/>
      </c>
      <c r="CN397" s="8" t="n">
        <v>7294</v>
      </c>
      <c r="CO397" s="8" t="n">
        <v>392</v>
      </c>
      <c r="CP397" s="8" t="n">
        <v>261</v>
      </c>
      <c r="CQ397" s="8" t="n">
        <v>188</v>
      </c>
      <c r="CR397" s="9">
        <f>CN397+CO397+CP397+CQ397</f>
        <v/>
      </c>
      <c r="CS397" s="9">
        <f>CM397+CR397</f>
        <v/>
      </c>
      <c r="CT397" s="8" t="n">
        <v>27136</v>
      </c>
      <c r="CU397" s="8" t="n">
        <v>142312</v>
      </c>
      <c r="CV397" s="8" t="n">
        <v>142312</v>
      </c>
      <c r="CW397" s="10">
        <f>IF(CU397=0,"",CV397/CU397)</f>
        <v/>
      </c>
      <c r="CX397" s="8" t="n">
        <v>4</v>
      </c>
      <c r="CY397" s="8" t="n">
        <v>0</v>
      </c>
      <c r="CZ397" s="8" t="n">
        <v>0</v>
      </c>
      <c r="DA397" s="8" t="n">
        <v>0</v>
      </c>
      <c r="DB397" s="9">
        <f>CX397+CY397-CZ397-DA397</f>
        <v/>
      </c>
      <c r="DC397" s="8" t="n">
        <v>0</v>
      </c>
      <c r="DD397" s="8" t="n">
        <v>2</v>
      </c>
      <c r="DE397" s="8" t="n">
        <v>0</v>
      </c>
      <c r="DF397" s="8" t="n">
        <v>1</v>
      </c>
      <c r="DG397" s="9">
        <f>DC397+DD397-DE397-DF397</f>
        <v/>
      </c>
      <c r="DH397" s="8" t="n">
        <v>4</v>
      </c>
      <c r="DI397" s="8" t="n">
        <v>0</v>
      </c>
      <c r="DJ397" s="8" t="n">
        <v>3</v>
      </c>
      <c r="DK397" s="8" t="n">
        <v>0</v>
      </c>
      <c r="DL397" s="9">
        <f>DH397+DI397-DJ397-DK397</f>
        <v/>
      </c>
      <c r="DM397" s="8" t="n">
        <v>1106</v>
      </c>
      <c r="DN397" s="8" t="n">
        <v>14</v>
      </c>
      <c r="DO397" s="8" t="n">
        <v>0</v>
      </c>
      <c r="DP397" s="8" t="n">
        <v>36</v>
      </c>
      <c r="DQ397" s="9">
        <f>DM397+DN397-DO397-DP397</f>
        <v/>
      </c>
      <c r="DR397" s="9">
        <f>CX397+DC397+DH397+DM397</f>
        <v/>
      </c>
      <c r="DS397" s="9">
        <f>CY397+DD397+DI397+DN397</f>
        <v/>
      </c>
      <c r="DT397" s="9">
        <f>CZ397+DE397+DJ397+DO397</f>
        <v/>
      </c>
      <c r="DU397" s="9">
        <f>DA397+DF397+DK397+DP397</f>
        <v/>
      </c>
      <c r="DV397" s="9">
        <f>DB397+DG397+DL397+DQ397</f>
        <v/>
      </c>
      <c r="DW397" s="8" t="n">
        <v>207</v>
      </c>
      <c r="DX397" s="8" t="n">
        <v>126</v>
      </c>
      <c r="DY397" s="8" t="n">
        <v>83</v>
      </c>
      <c r="DZ397" s="8" t="n">
        <v>12</v>
      </c>
      <c r="EA397" s="8" t="n">
        <v>29</v>
      </c>
      <c r="EB397" s="8" t="n">
        <v>32</v>
      </c>
      <c r="EC397" s="8" t="n">
        <v>1</v>
      </c>
      <c r="ED397" s="8" t="n">
        <v>5</v>
      </c>
      <c r="EE397" s="8" t="n">
        <v>5</v>
      </c>
      <c r="EF397" s="8" t="n">
        <v>1</v>
      </c>
      <c r="EG397" s="8" t="n">
        <v>0</v>
      </c>
      <c r="EH397" s="8" t="n">
        <v>1</v>
      </c>
      <c r="EI397" s="8" t="n">
        <v>0</v>
      </c>
      <c r="EJ397" s="8" t="n">
        <v>12</v>
      </c>
      <c r="EK397" s="8" t="n">
        <v>0</v>
      </c>
      <c r="EL397" s="8" t="n">
        <v>0</v>
      </c>
      <c r="EM397" s="8" t="n">
        <v>0</v>
      </c>
      <c r="EN397" s="8" t="n">
        <v>3</v>
      </c>
      <c r="EO397" s="8" t="n">
        <v>0</v>
      </c>
      <c r="EP397" s="8" t="n">
        <v>0</v>
      </c>
      <c r="EQ397" s="8" t="n">
        <v>0</v>
      </c>
      <c r="ER397" s="8" t="n">
        <v>0</v>
      </c>
      <c r="ES397" s="8" t="n">
        <v>0</v>
      </c>
      <c r="ET397" s="8" t="n">
        <v>0</v>
      </c>
      <c r="EU397" s="8" t="n">
        <v>0</v>
      </c>
      <c r="EV397" s="8" t="n">
        <v>0</v>
      </c>
      <c r="EW397" s="8" t="n">
        <v>0</v>
      </c>
      <c r="EX397" s="8" t="n">
        <v>0</v>
      </c>
      <c r="EY397" s="8" t="n">
        <v>0</v>
      </c>
      <c r="EZ397" s="8" t="n">
        <v>0</v>
      </c>
      <c r="FA397" s="8" t="n">
        <v>0</v>
      </c>
      <c r="FB397" s="8" t="n">
        <v>0</v>
      </c>
      <c r="FC397" s="8" t="n">
        <v>0</v>
      </c>
      <c r="FD397" s="8" t="n">
        <v>0</v>
      </c>
      <c r="FE397" s="8" t="n">
        <v>0</v>
      </c>
      <c r="FF397" s="8" t="n">
        <v>0</v>
      </c>
      <c r="FG397" s="9">
        <f>SUM(DW397,DX397,DY397,DZ397,EA397,EB397,EC397,ED397,EE397,EF397,EG397,EH397,EI397,EJ397,EK397,EL397,EM397,EN397,EO397,EP397,EQ397,ER397,ES397,ET397,EU397,EV397,EW397,EX397,EY397,EZ397,FA397,FB397,FC397,FD397,FE397,FF397)</f>
        <v/>
      </c>
      <c r="FH397" s="8" t="n">
        <v>0</v>
      </c>
      <c r="FI397" s="8" t="n">
        <v>0</v>
      </c>
      <c r="FJ397" s="8" t="n">
        <v>21</v>
      </c>
      <c r="FK397" s="8" t="n">
        <v>77.90000000000001</v>
      </c>
      <c r="FL397" s="8" t="n">
        <v>0</v>
      </c>
      <c r="FM397" s="8" t="n">
        <v>0</v>
      </c>
      <c r="FN397" s="8" t="n">
        <v>0</v>
      </c>
      <c r="FO397" s="8" t="n">
        <v>0</v>
      </c>
      <c r="FP397" s="8" t="n">
        <v>0</v>
      </c>
      <c r="FQ397" s="9">
        <f>FL397+FM397+FN397+FO397+FP397</f>
        <v/>
      </c>
      <c r="FR397" s="8" t="n">
        <v>184734513.3299997</v>
      </c>
      <c r="FS397" s="8" t="n">
        <v>1443058.77</v>
      </c>
      <c r="FT397" s="8" t="n">
        <v>1410046.1</v>
      </c>
      <c r="FU397" s="8" t="n">
        <v>6309290.52</v>
      </c>
      <c r="FV397" s="9">
        <f>FR397+FS397+FT397+FU397</f>
        <v/>
      </c>
      <c r="FW397" s="8" t="n">
        <v>105198505.55</v>
      </c>
      <c r="FX397" s="8" t="n">
        <v>4067561.14</v>
      </c>
      <c r="FY397" s="8" t="n">
        <v>25496314.04</v>
      </c>
      <c r="FZ397" s="8" t="n">
        <v>155512970.65</v>
      </c>
      <c r="GA397" s="9">
        <f>FW397+FX397+FY397+FZ397</f>
        <v/>
      </c>
      <c r="GB397" s="9">
        <f>FV397+GA397</f>
        <v/>
      </c>
      <c r="GC397" s="8" t="n">
        <v>113217857.52</v>
      </c>
      <c r="GD397" s="8" t="n">
        <v>742931.52</v>
      </c>
      <c r="GE397" s="8" t="n">
        <v>129085466.07</v>
      </c>
      <c r="GF397" s="8" t="n">
        <v>1138476.81</v>
      </c>
      <c r="GG397" s="9">
        <f>GC397+GD397+GE397+GF397</f>
        <v/>
      </c>
      <c r="GH397" s="8" t="n">
        <v>101117282.47</v>
      </c>
      <c r="GI397" s="8" t="n">
        <v>3394951.88</v>
      </c>
      <c r="GJ397" s="8" t="n">
        <v>150481032.62</v>
      </c>
      <c r="GK397" s="8" t="n">
        <v>24741343.62</v>
      </c>
      <c r="GL397" s="9">
        <f>GH397+GI397+GJ397+GK397</f>
        <v/>
      </c>
      <c r="GM397" s="9">
        <f>GG397+GL397</f>
        <v/>
      </c>
      <c r="GN397" s="8" t="n">
        <v>6246933.59</v>
      </c>
      <c r="GO397" s="8" t="n">
        <v>8798.879999999999</v>
      </c>
      <c r="GP397" s="8" t="n">
        <v>173075.64</v>
      </c>
      <c r="GQ397" s="8" t="n">
        <v>60285.42</v>
      </c>
      <c r="GR397" s="9">
        <f>GN397+GO397+GP397+GQ397</f>
        <v/>
      </c>
      <c r="GS397" s="8" t="n">
        <v>10396306</v>
      </c>
      <c r="GT397" s="8" t="n">
        <v>41078</v>
      </c>
      <c r="GU397" s="8" t="n">
        <v>45543</v>
      </c>
      <c r="GV397" s="8" t="n">
        <v>11609</v>
      </c>
      <c r="GW397" s="9">
        <f>GS397+GT397+GU397+GV397</f>
        <v/>
      </c>
      <c r="GX397" s="9">
        <f>GM397+GR397+GW397</f>
        <v/>
      </c>
      <c r="GY397" s="8" t="n">
        <v>1210135554.049961</v>
      </c>
      <c r="GZ397" s="8" t="n">
        <v>586901584.7599998</v>
      </c>
      <c r="HA397" s="9">
        <f>GY397+GZ397</f>
        <v/>
      </c>
      <c r="HB397" s="9">
        <f>IF(GX397=0,"",AU397/GX397)</f>
        <v/>
      </c>
      <c r="HC397" s="10">
        <f>IF((GX397+GY397)=0,"",GB397/(GX397+GY397))</f>
        <v/>
      </c>
      <c r="HD397" s="9">
        <f>IF(GX397=0,"",GB397/GX397)</f>
        <v/>
      </c>
      <c r="HE397" s="8" t="n">
        <v>158</v>
      </c>
      <c r="HF397" s="8" t="n">
        <v>5</v>
      </c>
      <c r="HG397" s="8" t="n">
        <v>282</v>
      </c>
      <c r="HH397" s="8" t="n">
        <v>158</v>
      </c>
      <c r="HI397" s="8" t="n">
        <v>90</v>
      </c>
      <c r="HJ397" s="9">
        <f>HF397+HI397</f>
        <v/>
      </c>
      <c r="HK397" s="10">
        <f>IF(HE397=0,"",HH397/HE397)</f>
        <v/>
      </c>
      <c r="HL397" s="8" t="n">
        <v>54</v>
      </c>
      <c r="HM397" s="8" t="n">
        <v>28</v>
      </c>
      <c r="HN397" s="11">
        <f>IF(HL397=0,"",HM397/HL397)</f>
        <v/>
      </c>
    </row>
    <row r="398">
      <c r="A398" s="12" t="inlineStr">
        <is>
          <t>Zomba</t>
        </is>
      </c>
      <c r="B398" s="12" t="inlineStr">
        <is>
          <t>Zomba</t>
        </is>
      </c>
      <c r="C398" s="13" t="inlineStr">
        <is>
          <t>FY2025/26</t>
        </is>
      </c>
      <c r="D398" s="13" t="n">
        <v>2026</v>
      </c>
      <c r="E398" s="13" t="n">
        <v>3</v>
      </c>
      <c r="F398" s="13" t="inlineStr">
        <is>
          <t>March</t>
        </is>
      </c>
      <c r="G398" s="13" t="inlineStr">
        <is>
          <t>Q4</t>
        </is>
      </c>
      <c r="H398" s="14" t="n">
        <v>488156</v>
      </c>
      <c r="I398" s="14" t="n">
        <v>110271</v>
      </c>
      <c r="J398" s="14" t="n">
        <v>2992</v>
      </c>
      <c r="K398" s="14" t="n">
        <v>33958</v>
      </c>
      <c r="L398" s="14" t="n">
        <v>221</v>
      </c>
      <c r="M398" s="15">
        <f>SUM(I398,J398,K398,L398)</f>
        <v/>
      </c>
      <c r="N398" s="14" t="n">
        <v>89313.1000000026</v>
      </c>
      <c r="O398" s="14" t="n">
        <v>19258.70000000002</v>
      </c>
      <c r="P398" s="14" t="n">
        <v>99591.99999999997</v>
      </c>
      <c r="Q398" s="14" t="n">
        <v>5619.499999999983</v>
      </c>
      <c r="R398" s="15">
        <f>SUM(N398,O398,P398,Q398)</f>
        <v/>
      </c>
      <c r="S398" s="15">
        <f>M398+R398</f>
        <v/>
      </c>
      <c r="T398" s="14" t="n">
        <v>126930.6999999974</v>
      </c>
      <c r="U398" s="16">
        <f>IF(H398=0,"",T398/H398)</f>
        <v/>
      </c>
      <c r="V398" s="14" t="n">
        <v>1085</v>
      </c>
      <c r="W398" s="17">
        <f>IF(H398=0,"",V398/H398)</f>
        <v/>
      </c>
      <c r="X398" s="14" t="n">
        <v>5412</v>
      </c>
      <c r="Y398" s="17">
        <f>IF(H398=0,"",X398/H398)</f>
        <v/>
      </c>
      <c r="Z398" s="14" t="n">
        <v>2368</v>
      </c>
      <c r="AA398" s="17">
        <f>IF(H398=0,"",Z398/H398)</f>
        <v/>
      </c>
      <c r="AB398" s="14" t="n">
        <v>0</v>
      </c>
      <c r="AC398" s="17">
        <f>IF(H398=0,"",AB398/H398)</f>
        <v/>
      </c>
      <c r="AD398" s="14" t="n">
        <v>0</v>
      </c>
      <c r="AE398" s="17">
        <f>IF(H398=0,"",AD398/H398)</f>
        <v/>
      </c>
      <c r="AF398" s="14" t="n">
        <v>0</v>
      </c>
      <c r="AG398" s="17">
        <f>IF(H398=0,"",AF398/H398)</f>
        <v/>
      </c>
      <c r="AH398" s="14" t="n">
        <v>103985088</v>
      </c>
      <c r="AI398" s="15">
        <f>IF(H398=0,"",AH398/H398)</f>
        <v/>
      </c>
      <c r="AJ398" s="14" t="n">
        <v>19889.9</v>
      </c>
      <c r="AK398" s="17">
        <f>IF(H398=0,"",AJ398/H398)</f>
        <v/>
      </c>
      <c r="AL398" s="14" t="n">
        <v>5467695.1291</v>
      </c>
      <c r="AM398" s="15">
        <f>IF(H398=0,"",AL398/H398)</f>
        <v/>
      </c>
      <c r="AN398" s="14" t="n">
        <v>0</v>
      </c>
      <c r="AO398" s="14" t="n">
        <v>0</v>
      </c>
      <c r="AP398" s="14" t="n">
        <v>0</v>
      </c>
      <c r="AQ398" s="14" t="n">
        <v>0</v>
      </c>
      <c r="AR398" s="14" t="n">
        <v>0</v>
      </c>
      <c r="AS398" s="14" t="n">
        <v>0</v>
      </c>
      <c r="AT398" s="14" t="n">
        <v>0</v>
      </c>
      <c r="AU398" s="15">
        <f>AH398+AL398+AP398+AQ398+AR398+AS398+AT398</f>
        <v/>
      </c>
      <c r="AV398" s="15">
        <f>IF(H398=0,"",AU398/H398)</f>
        <v/>
      </c>
      <c r="AW398" s="15">
        <f>IF(S398=0,"",AU398/S398)</f>
        <v/>
      </c>
      <c r="AX398" s="14" t="n">
        <v>63</v>
      </c>
      <c r="AY398" s="15">
        <f>IF(H398=0,"",AX398/(H398/1000/12))</f>
        <v/>
      </c>
      <c r="AZ398" s="14" t="n">
        <v>75</v>
      </c>
      <c r="BA398" s="14" t="n">
        <v>245</v>
      </c>
      <c r="BB398" s="14" t="n">
        <v>123</v>
      </c>
      <c r="BC398" s="14" t="n">
        <v>125</v>
      </c>
      <c r="BD398" s="14" t="n">
        <v>0</v>
      </c>
      <c r="BE398" s="15">
        <f>BC398+BD398</f>
        <v/>
      </c>
      <c r="BF398" s="15">
        <f>BA398+BB398-BE398</f>
        <v/>
      </c>
      <c r="BG398" s="14" t="n">
        <v>17</v>
      </c>
      <c r="BH398" s="14" t="n">
        <v>2</v>
      </c>
      <c r="BI398" s="14" t="n">
        <v>2</v>
      </c>
      <c r="BJ398" s="14" t="n">
        <v>0</v>
      </c>
      <c r="BK398" s="15">
        <f>BI398+BJ398</f>
        <v/>
      </c>
      <c r="BL398" s="15">
        <f>BG398+BH398-BK398</f>
        <v/>
      </c>
      <c r="BM398" s="14" t="n">
        <v>16</v>
      </c>
      <c r="BN398" s="14" t="n">
        <v>0</v>
      </c>
      <c r="BO398" s="14" t="n">
        <v>0</v>
      </c>
      <c r="BP398" s="14" t="n">
        <v>0</v>
      </c>
      <c r="BQ398" s="15">
        <f>BO398+BP398</f>
        <v/>
      </c>
      <c r="BR398" s="15">
        <f>BM398+BN398-BQ398</f>
        <v/>
      </c>
      <c r="BS398" s="14" t="n">
        <v>4</v>
      </c>
      <c r="BT398" s="14" t="n">
        <v>0</v>
      </c>
      <c r="BU398" s="14" t="n">
        <v>0</v>
      </c>
      <c r="BV398" s="14" t="n">
        <v>0</v>
      </c>
      <c r="BW398" s="15">
        <f>BU398+BV398</f>
        <v/>
      </c>
      <c r="BX398" s="15">
        <f>BS398+BT398-BW398</f>
        <v/>
      </c>
      <c r="BY398" s="15">
        <f>BA398+BG398+BM398+BS398</f>
        <v/>
      </c>
      <c r="BZ398" s="15">
        <f>BB398+BH398+BN398+BT398</f>
        <v/>
      </c>
      <c r="CA398" s="15">
        <f>BE398+BK398+BQ398+BW398</f>
        <v/>
      </c>
      <c r="CB398" s="15">
        <f>BF398+BL398+BR398+BX398</f>
        <v/>
      </c>
      <c r="CC398" s="14" t="n">
        <v>0</v>
      </c>
      <c r="CD398" s="14" t="n">
        <v>7707</v>
      </c>
      <c r="CE398" s="14" t="n">
        <v>344</v>
      </c>
      <c r="CF398" s="14" t="n">
        <v>86</v>
      </c>
      <c r="CG398" s="14" t="n">
        <v>88</v>
      </c>
      <c r="CH398" s="15">
        <f>CD398+CE398+CF398+CG398</f>
        <v/>
      </c>
      <c r="CI398" s="14" t="n">
        <v>11216</v>
      </c>
      <c r="CJ398" s="14" t="n">
        <v>53</v>
      </c>
      <c r="CK398" s="14" t="n">
        <v>11</v>
      </c>
      <c r="CL398" s="14" t="n">
        <v>40</v>
      </c>
      <c r="CM398" s="15">
        <f>CI398+CJ398+CK398+CL398</f>
        <v/>
      </c>
      <c r="CN398" s="14" t="n">
        <v>6740</v>
      </c>
      <c r="CO398" s="14" t="n">
        <v>424</v>
      </c>
      <c r="CP398" s="14" t="n">
        <v>389</v>
      </c>
      <c r="CQ398" s="14" t="n">
        <v>165</v>
      </c>
      <c r="CR398" s="15">
        <f>CN398+CO398+CP398+CQ398</f>
        <v/>
      </c>
      <c r="CS398" s="15">
        <f>CM398+CR398</f>
        <v/>
      </c>
      <c r="CT398" s="14" t="n">
        <v>27263</v>
      </c>
      <c r="CU398" s="14" t="n">
        <v>142569</v>
      </c>
      <c r="CV398" s="14" t="n">
        <v>142565.7</v>
      </c>
      <c r="CW398" s="16">
        <f>IF(CU398=0,"",CV398/CU398)</f>
        <v/>
      </c>
      <c r="CX398" s="14" t="n">
        <v>4</v>
      </c>
      <c r="CY398" s="14" t="n">
        <v>3</v>
      </c>
      <c r="CZ398" s="14" t="n"/>
      <c r="DA398" s="14" t="n">
        <v>2</v>
      </c>
      <c r="DB398" s="15">
        <f>CX398+CY398-CZ398-DA398</f>
        <v/>
      </c>
      <c r="DC398" s="14" t="n">
        <v>1</v>
      </c>
      <c r="DD398" s="14" t="n">
        <v>1</v>
      </c>
      <c r="DE398" s="14" t="n">
        <v>0</v>
      </c>
      <c r="DF398" s="14" t="n">
        <v>0</v>
      </c>
      <c r="DG398" s="15">
        <f>DC398+DD398-DE398-DF398</f>
        <v/>
      </c>
      <c r="DH398" s="14" t="n">
        <v>1</v>
      </c>
      <c r="DI398" s="14" t="n">
        <v>2</v>
      </c>
      <c r="DJ398" s="14" t="n">
        <v>0</v>
      </c>
      <c r="DK398" s="14" t="n">
        <v>0</v>
      </c>
      <c r="DL398" s="15">
        <f>DH398+DI398-DJ398-DK398</f>
        <v/>
      </c>
      <c r="DM398" s="14" t="n">
        <v>1084</v>
      </c>
      <c r="DN398" s="14" t="n">
        <v>39</v>
      </c>
      <c r="DO398" s="14" t="n">
        <v>0</v>
      </c>
      <c r="DP398" s="14" t="n">
        <v>55</v>
      </c>
      <c r="DQ398" s="15">
        <f>DM398+DN398-DO398-DP398</f>
        <v/>
      </c>
      <c r="DR398" s="15">
        <f>CX398+DC398+DH398+DM398</f>
        <v/>
      </c>
      <c r="DS398" s="15">
        <f>CY398+DD398+DI398+DN398</f>
        <v/>
      </c>
      <c r="DT398" s="15">
        <f>CZ398+DE398+DJ398+DO398</f>
        <v/>
      </c>
      <c r="DU398" s="15">
        <f>DA398+DF398+DK398+DP398</f>
        <v/>
      </c>
      <c r="DV398" s="15">
        <f>DB398+DG398+DL398+DQ398</f>
        <v/>
      </c>
      <c r="DW398" s="14" t="n">
        <v>262</v>
      </c>
      <c r="DX398" s="14" t="n">
        <v>126</v>
      </c>
      <c r="DY398" s="14" t="n">
        <v>87</v>
      </c>
      <c r="DZ398" s="14" t="n">
        <v>15</v>
      </c>
      <c r="EA398" s="14" t="n">
        <v>49</v>
      </c>
      <c r="EB398" s="14" t="n">
        <v>32</v>
      </c>
      <c r="EC398" s="14" t="n">
        <v>17</v>
      </c>
      <c r="ED398" s="14" t="n">
        <v>0</v>
      </c>
      <c r="EE398" s="14" t="n">
        <v>5</v>
      </c>
      <c r="EF398" s="14" t="n">
        <v>1</v>
      </c>
      <c r="EG398" s="14" t="n">
        <v>0</v>
      </c>
      <c r="EH398" s="14" t="n">
        <v>0</v>
      </c>
      <c r="EI398" s="14" t="n">
        <v>0</v>
      </c>
      <c r="EJ398" s="14" t="n">
        <v>7</v>
      </c>
      <c r="EK398" s="14" t="n">
        <v>0</v>
      </c>
      <c r="EL398" s="14" t="n">
        <v>0</v>
      </c>
      <c r="EM398" s="14" t="n">
        <v>0</v>
      </c>
      <c r="EN398" s="14" t="n">
        <v>0</v>
      </c>
      <c r="EO398" s="14" t="n">
        <v>0</v>
      </c>
      <c r="EP398" s="14" t="n">
        <v>0</v>
      </c>
      <c r="EQ398" s="14" t="n">
        <v>0</v>
      </c>
      <c r="ER398" s="14" t="n">
        <v>0</v>
      </c>
      <c r="ES398" s="14" t="n">
        <v>0</v>
      </c>
      <c r="ET398" s="14" t="n">
        <v>0</v>
      </c>
      <c r="EU398" s="14" t="n">
        <v>0</v>
      </c>
      <c r="EV398" s="14" t="n">
        <v>0</v>
      </c>
      <c r="EW398" s="14" t="n">
        <v>0</v>
      </c>
      <c r="EX398" s="14" t="n">
        <v>0</v>
      </c>
      <c r="EY398" s="14" t="n">
        <v>0</v>
      </c>
      <c r="EZ398" s="14" t="n">
        <v>0</v>
      </c>
      <c r="FA398" s="14" t="n">
        <v>0</v>
      </c>
      <c r="FB398" s="14" t="n">
        <v>0</v>
      </c>
      <c r="FC398" s="14" t="n">
        <v>0</v>
      </c>
      <c r="FD398" s="14" t="n">
        <v>0</v>
      </c>
      <c r="FE398" s="14" t="n">
        <v>0</v>
      </c>
      <c r="FF398" s="14" t="n">
        <v>0</v>
      </c>
      <c r="FG398" s="15">
        <f>SUM(DW398,DX398,DY398,DZ398,EA398,EB398,EC398,ED398,EE398,EF398,EG398,EH398,EI398,EJ398,EK398,EL398,EM398,EN398,EO398,EP398,EQ398,ER398,ES398,ET398,EU398,EV398,EW398,EX398,EY398,EZ398,FA398,FB398,FC398,FD398,FE398,FF398)</f>
        <v/>
      </c>
      <c r="FH398" s="14" t="n">
        <v>0</v>
      </c>
      <c r="FI398" s="14" t="n">
        <v>0</v>
      </c>
      <c r="FJ398" s="14" t="n">
        <v>22</v>
      </c>
      <c r="FK398" s="14" t="n">
        <v>121.15</v>
      </c>
      <c r="FL398" s="14" t="n">
        <v>0</v>
      </c>
      <c r="FM398" s="14" t="n">
        <v>2050</v>
      </c>
      <c r="FN398" s="14" t="n">
        <v>2502</v>
      </c>
      <c r="FO398" s="14" t="n">
        <v>0</v>
      </c>
      <c r="FP398" s="14" t="n">
        <v>752</v>
      </c>
      <c r="FQ398" s="15">
        <f>FL398+FM398+FN398+FO398+FP398</f>
        <v/>
      </c>
      <c r="FR398" s="14" t="n">
        <v>107865557.2899999</v>
      </c>
      <c r="FS398" s="14" t="n">
        <v>678700</v>
      </c>
      <c r="FT398" s="14" t="n">
        <v>256576</v>
      </c>
      <c r="FU398" s="14" t="n">
        <v>2227727.92</v>
      </c>
      <c r="FV398" s="15">
        <f>FR398+FS398+FT398+FU398</f>
        <v/>
      </c>
      <c r="FW398" s="14" t="n">
        <v>115507594.22</v>
      </c>
      <c r="FX398" s="14" t="n">
        <v>4976204.25</v>
      </c>
      <c r="FY398" s="14" t="n">
        <v>27456505.72</v>
      </c>
      <c r="FZ398" s="14" t="n">
        <v>304256571.05</v>
      </c>
      <c r="GA398" s="15">
        <f>FW398+FX398+FY398+FZ398</f>
        <v/>
      </c>
      <c r="GB398" s="15">
        <f>FV398+GA398</f>
        <v/>
      </c>
      <c r="GC398" s="14" t="n">
        <v>100240242.08</v>
      </c>
      <c r="GD398" s="14" t="n">
        <v>572309.76</v>
      </c>
      <c r="GE398" s="14" t="n">
        <v>117022346.97</v>
      </c>
      <c r="GF398" s="14" t="n">
        <v>867693.33</v>
      </c>
      <c r="GG398" s="15">
        <f>GC398+GD398+GE398+GF398</f>
        <v/>
      </c>
      <c r="GH398" s="14" t="n">
        <v>111609908.13</v>
      </c>
      <c r="GI398" s="14" t="n">
        <v>4091543.73</v>
      </c>
      <c r="GJ398" s="14" t="n">
        <v>302684863.34</v>
      </c>
      <c r="GK398" s="14" t="n">
        <v>26551868.42</v>
      </c>
      <c r="GL398" s="15">
        <f>GH398+GI398+GJ398+GK398</f>
        <v/>
      </c>
      <c r="GM398" s="15">
        <f>GG398+GL398</f>
        <v/>
      </c>
      <c r="GN398" s="14" t="n">
        <v>6016872.859999999</v>
      </c>
      <c r="GO398" s="14" t="n">
        <v>7651.2</v>
      </c>
      <c r="GP398" s="14" t="n">
        <v>179862.92</v>
      </c>
      <c r="GQ398" s="14" t="n">
        <v>51010.74</v>
      </c>
      <c r="GR398" s="15">
        <f>GN398+GO398+GP398+GQ398</f>
        <v/>
      </c>
      <c r="GS398" s="14" t="n">
        <v>10015888</v>
      </c>
      <c r="GT398" s="14" t="n">
        <v>35720</v>
      </c>
      <c r="GU398" s="14" t="n">
        <v>47329</v>
      </c>
      <c r="GV398" s="14" t="n">
        <v>9823</v>
      </c>
      <c r="GW398" s="15">
        <f>GS398+GT398+GU398+GV398</f>
        <v/>
      </c>
      <c r="GX398" s="15">
        <f>GM398+GR398+GW398</f>
        <v/>
      </c>
      <c r="GY398" s="14" t="n">
        <v>1203767995.170024</v>
      </c>
      <c r="GZ398" s="14" t="n">
        <v>695966125.6299999</v>
      </c>
      <c r="HA398" s="9">
        <f>GY398+GZ398</f>
        <v/>
      </c>
      <c r="HB398" s="15">
        <f>IF(GX398=0,"",AU398/GX398)</f>
        <v/>
      </c>
      <c r="HC398" s="16">
        <f>IF((GX398+GY398)=0,"",GB398/(GX398+GY398))</f>
        <v/>
      </c>
      <c r="HD398" s="15">
        <f>IF(GX398=0,"",GB398/GX398)</f>
        <v/>
      </c>
      <c r="HE398" s="14" t="n">
        <v>125</v>
      </c>
      <c r="HF398" s="14" t="n">
        <v>5</v>
      </c>
      <c r="HG398" s="14" t="n">
        <v>280</v>
      </c>
      <c r="HH398" s="14" t="n">
        <v>125</v>
      </c>
      <c r="HI398" s="14" t="n">
        <v>90</v>
      </c>
      <c r="HJ398" s="15">
        <f>HF398+HI398</f>
        <v/>
      </c>
      <c r="HK398" s="16">
        <f>IF(HE398=0,"",HH398/HE398)</f>
        <v/>
      </c>
      <c r="HL398" s="14" t="n">
        <v>41</v>
      </c>
      <c r="HM398" s="14" t="n">
        <v>31</v>
      </c>
      <c r="HN398" s="17">
        <f>IF(HL398=0,"",HM398/HL398)</f>
        <v/>
      </c>
    </row>
  </sheetData>
  <mergeCells count="32">
    <mergeCell ref="BG1:BL1"/>
    <mergeCell ref="BM1:BR1"/>
    <mergeCell ref="BS1:BX1"/>
    <mergeCell ref="H1:U1"/>
    <mergeCell ref="EJ1:ER1"/>
    <mergeCell ref="AJ1:AM1"/>
    <mergeCell ref="GS1:GW1"/>
    <mergeCell ref="BY1:CB1"/>
    <mergeCell ref="EY1:FF1"/>
    <mergeCell ref="HL1:HN1"/>
    <mergeCell ref="GN1:GR1"/>
    <mergeCell ref="V1:AI1"/>
    <mergeCell ref="GX1:HD1"/>
    <mergeCell ref="ES1:EX1"/>
    <mergeCell ref="FL1:FQ1"/>
    <mergeCell ref="DM1:DQ1"/>
    <mergeCell ref="BA1:BF1"/>
    <mergeCell ref="A1:G1"/>
    <mergeCell ref="FH1:FK1"/>
    <mergeCell ref="GC1:GM1"/>
    <mergeCell ref="FR1:GB1"/>
    <mergeCell ref="CX1:DB1"/>
    <mergeCell ref="DH1:DL1"/>
    <mergeCell ref="HE1:HK1"/>
    <mergeCell ref="AN1:AW1"/>
    <mergeCell ref="DR1:DV1"/>
    <mergeCell ref="AX1:AZ1"/>
    <mergeCell ref="CC1:CH1"/>
    <mergeCell ref="CI1:CT1"/>
    <mergeCell ref="CU1:CW1"/>
    <mergeCell ref="DW1:EI1"/>
    <mergeCell ref="DC1:D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1"/>
  <sheetViews>
    <sheetView showGridLines="0" workbookViewId="0">
      <selection activeCell="A1" sqref="A1"/>
    </sheetView>
  </sheetViews>
  <sheetFormatPr baseColWidth="8" defaultColWidth="8.6640625" defaultRowHeight="14.4"/>
  <cols>
    <col width="14" customWidth="1" style="47" min="1" max="2"/>
    <col width="28" customWidth="1" style="47" min="3" max="3"/>
    <col width="16" customWidth="1" style="47" min="4" max="8"/>
    <col width="9.21875" customWidth="1" style="47" min="9" max="9"/>
  </cols>
  <sheetData>
    <row r="1" ht="25.5" customHeight="1" s="47">
      <c r="A1" s="44" t="inlineStr">
        <is>
          <t>QUARTERLY PERFORMANCE SUMMARY — FY 2025/26  (Auto-calculated from DataEntry)</t>
        </is>
      </c>
      <c r="B1" s="45" t="n"/>
      <c r="C1" s="45" t="n"/>
      <c r="D1" s="45" t="n"/>
      <c r="E1" s="45" t="n"/>
      <c r="F1" s="45" t="n"/>
      <c r="G1" s="45" t="n"/>
      <c r="H1" s="45" t="n"/>
    </row>
    <row r="2" ht="24.75" customHeight="1" s="47">
      <c r="A2" s="18" t="inlineStr">
        <is>
          <t>Zone</t>
        </is>
      </c>
      <c r="B2" s="18" t="inlineStr">
        <is>
          <t>Scheme</t>
        </is>
      </c>
      <c r="C2" s="18" t="inlineStr">
        <is>
          <t>KPI</t>
        </is>
      </c>
      <c r="D2" s="18" t="inlineStr">
        <is>
          <t>Q1 (Apr-Jun)</t>
        </is>
      </c>
      <c r="E2" s="18" t="inlineStr">
        <is>
          <t>Q2 (Jul-Sep)</t>
        </is>
      </c>
      <c r="F2" s="18" t="inlineStr">
        <is>
          <t>Q3 (Oct-Dec)</t>
        </is>
      </c>
      <c r="G2" s="18" t="inlineStr">
        <is>
          <t>Q4 (Jan-Mar)</t>
        </is>
      </c>
      <c r="H2" s="18" t="inlineStr">
        <is>
          <t>Full Year</t>
        </is>
      </c>
    </row>
    <row r="3">
      <c r="A3" s="19" t="inlineStr">
        <is>
          <t>Liwonde</t>
        </is>
      </c>
      <c r="B3" s="19" t="inlineStr">
        <is>
          <t>Balaka</t>
        </is>
      </c>
      <c r="C3" s="6" t="inlineStr">
        <is>
          <t>Volume Produced (m³)</t>
        </is>
      </c>
      <c r="D3" s="15">
        <f>IFERROR(SUMIFS(DataEntry!$H:$H,DataEntry!$A:$A,"Liwonde",DataEntry!$B:$B,"Balaka",DataEntry!$G:$G,"Q1"),"")</f>
        <v/>
      </c>
      <c r="E3" s="15">
        <f>IFERROR(SUMIFS(DataEntry!$H:$H,DataEntry!$A:$A,"Liwonde",DataEntry!$B:$B,"Balaka",DataEntry!$G:$G,"Q2"),"")</f>
        <v/>
      </c>
      <c r="F3" s="15">
        <f>IFERROR(SUMIFS(DataEntry!$H:$H,DataEntry!$A:$A,"Liwonde",DataEntry!$B:$B,"Balaka",DataEntry!$G:$G,"Q3"),"")</f>
        <v/>
      </c>
      <c r="G3" s="15">
        <f>IFERROR(SUMIFS(DataEntry!$H:$H,DataEntry!$A:$A,"Liwonde",DataEntry!$B:$B,"Balaka",DataEntry!$G:$G,"Q4"),"")</f>
        <v/>
      </c>
      <c r="H3" s="20">
        <f>IFERROR(SUM(D3:G3),"")</f>
        <v/>
      </c>
    </row>
    <row r="4">
      <c r="A4" s="21" t="inlineStr">
        <is>
          <t>Liwonde</t>
        </is>
      </c>
      <c r="B4" s="21" t="inlineStr">
        <is>
          <t>Balaka</t>
        </is>
      </c>
      <c r="C4" s="12" t="inlineStr">
        <is>
          <t>Total Revenue Water</t>
        </is>
      </c>
      <c r="D4" s="9">
        <f>IFERROR(SUMIFS(DataEntry!$S:$S,DataEntry!$A:$A,"Liwonde",DataEntry!$B:$B,"Balaka",DataEntry!$G:$G,"Q1"),"")</f>
        <v/>
      </c>
      <c r="E4" s="9">
        <f>IFERROR(SUMIFS(DataEntry!$S:$S,DataEntry!$A:$A,"Liwonde",DataEntry!$B:$B,"Balaka",DataEntry!$G:$G,"Q2"),"")</f>
        <v/>
      </c>
      <c r="F4" s="9">
        <f>IFERROR(SUMIFS(DataEntry!$S:$S,DataEntry!$A:$A,"Liwonde",DataEntry!$B:$B,"Balaka",DataEntry!$G:$G,"Q3"),"")</f>
        <v/>
      </c>
      <c r="G4" s="9">
        <f>IFERROR(SUMIFS(DataEntry!$S:$S,DataEntry!$A:$A,"Liwonde",DataEntry!$B:$B,"Balaka",DataEntry!$G:$G,"Q4"),"")</f>
        <v/>
      </c>
      <c r="H4" s="22">
        <f>IFERROR(SUM(D4:G4),"")</f>
        <v/>
      </c>
    </row>
    <row r="5">
      <c r="A5" s="19" t="inlineStr">
        <is>
          <t>Liwonde</t>
        </is>
      </c>
      <c r="B5" s="19" t="inlineStr">
        <is>
          <t>Balaka</t>
        </is>
      </c>
      <c r="C5" s="6" t="inlineStr">
        <is>
          <t>Non-Revenue Water</t>
        </is>
      </c>
      <c r="D5" s="15">
        <f>IFERROR(SUMIFS(DataEntry!$T:$T,DataEntry!$A:$A,"Liwonde",DataEntry!$B:$B,"Balaka",DataEntry!$G:$G,"Q1"),"")</f>
        <v/>
      </c>
      <c r="E5" s="15">
        <f>IFERROR(SUMIFS(DataEntry!$T:$T,DataEntry!$A:$A,"Liwonde",DataEntry!$B:$B,"Balaka",DataEntry!$G:$G,"Q2"),"")</f>
        <v/>
      </c>
      <c r="F5" s="15">
        <f>IFERROR(SUMIFS(DataEntry!$T:$T,DataEntry!$A:$A,"Liwonde",DataEntry!$B:$B,"Balaka",DataEntry!$G:$G,"Q3"),"")</f>
        <v/>
      </c>
      <c r="G5" s="15">
        <f>IFERROR(SUMIFS(DataEntry!$T:$T,DataEntry!$A:$A,"Liwonde",DataEntry!$B:$B,"Balaka",DataEntry!$G:$G,"Q4"),"")</f>
        <v/>
      </c>
      <c r="H5" s="20">
        <f>IFERROR(SUM(D5:G5),"")</f>
        <v/>
      </c>
    </row>
    <row r="6">
      <c r="A6" s="21" t="inlineStr">
        <is>
          <t>Liwonde</t>
        </is>
      </c>
      <c r="B6" s="21" t="inlineStr">
        <is>
          <t>Balaka</t>
        </is>
      </c>
      <c r="C6" s="12" t="inlineStr">
        <is>
          <t>% NRW</t>
        </is>
      </c>
      <c r="D6" s="10">
        <f>IFERROR(AVERAGEIFS(DataEntry!$U:$U,DataEntry!$A:$A,"Liwonde",DataEntry!$B:$B,"Balaka",DataEntry!$G:$G,"Q1"),"")</f>
        <v/>
      </c>
      <c r="E6" s="10">
        <f>IFERROR(AVERAGEIFS(DataEntry!$U:$U,DataEntry!$A:$A,"Liwonde",DataEntry!$B:$B,"Balaka",DataEntry!$G:$G,"Q2"),"")</f>
        <v/>
      </c>
      <c r="F6" s="10">
        <f>IFERROR(AVERAGEIFS(DataEntry!$U:$U,DataEntry!$A:$A,"Liwonde",DataEntry!$B:$B,"Balaka",DataEntry!$G:$G,"Q3"),"")</f>
        <v/>
      </c>
      <c r="G6" s="10">
        <f>IFERROR(AVERAGEIFS(DataEntry!$U:$U,DataEntry!$A:$A,"Liwonde",DataEntry!$B:$B,"Balaka",DataEntry!$G:$G,"Q4"),"")</f>
        <v/>
      </c>
      <c r="H6" s="23">
        <f>IFERROR(AVERAGE(D6:G6),"")</f>
        <v/>
      </c>
    </row>
    <row r="7">
      <c r="A7" s="19" t="inlineStr">
        <is>
          <t>Liwonde</t>
        </is>
      </c>
      <c r="B7" s="19" t="inlineStr">
        <is>
          <t>Balaka</t>
        </is>
      </c>
      <c r="C7" s="6" t="inlineStr">
        <is>
          <t>Total Operating Costs</t>
        </is>
      </c>
      <c r="D7" s="15">
        <f>IFERROR(SUMIFS(DataEntry!$AU:$AU,DataEntry!$A:$A,"Liwonde",DataEntry!$B:$B,"Balaka",DataEntry!$G:$G,"Q1"),"")</f>
        <v/>
      </c>
      <c r="E7" s="15">
        <f>IFERROR(SUMIFS(DataEntry!$AU:$AU,DataEntry!$A:$A,"Liwonde",DataEntry!$B:$B,"Balaka",DataEntry!$G:$G,"Q2"),"")</f>
        <v/>
      </c>
      <c r="F7" s="15">
        <f>IFERROR(SUMIFS(DataEntry!$AU:$AU,DataEntry!$A:$A,"Liwonde",DataEntry!$B:$B,"Balaka",DataEntry!$G:$G,"Q3"),"")</f>
        <v/>
      </c>
      <c r="G7" s="15">
        <f>IFERROR(SUMIFS(DataEntry!$AU:$AU,DataEntry!$A:$A,"Liwonde",DataEntry!$B:$B,"Balaka",DataEntry!$G:$G,"Q4"),"")</f>
        <v/>
      </c>
      <c r="H7" s="20">
        <f>IFERROR(SUM(D7:G7),"")</f>
        <v/>
      </c>
    </row>
    <row r="8">
      <c r="A8" s="21" t="inlineStr">
        <is>
          <t>Liwonde</t>
        </is>
      </c>
      <c r="B8" s="21" t="inlineStr">
        <is>
          <t>Balaka</t>
        </is>
      </c>
      <c r="C8" s="12" t="inlineStr">
        <is>
          <t>Total Cash Collected</t>
        </is>
      </c>
      <c r="D8" s="9">
        <f>IFERROR(SUMIFS(DataEntry!$GB:$GB,DataEntry!$A:$A,"Liwonde",DataEntry!$B:$B,"Balaka",DataEntry!$G:$G,"Q1"),"")</f>
        <v/>
      </c>
      <c r="E8" s="9">
        <f>IFERROR(SUMIFS(DataEntry!$GB:$GB,DataEntry!$A:$A,"Liwonde",DataEntry!$B:$B,"Balaka",DataEntry!$G:$G,"Q2"),"")</f>
        <v/>
      </c>
      <c r="F8" s="9">
        <f>IFERROR(SUMIFS(DataEntry!$GB:$GB,DataEntry!$A:$A,"Liwonde",DataEntry!$B:$B,"Balaka",DataEntry!$G:$G,"Q3"),"")</f>
        <v/>
      </c>
      <c r="G8" s="9">
        <f>IFERROR(SUMIFS(DataEntry!$GB:$GB,DataEntry!$A:$A,"Liwonde",DataEntry!$B:$B,"Balaka",DataEntry!$G:$G,"Q4"),"")</f>
        <v/>
      </c>
      <c r="H8" s="22">
        <f>IFERROR(SUM(D8:G8),"")</f>
        <v/>
      </c>
    </row>
    <row r="9">
      <c r="A9" s="19" t="inlineStr">
        <is>
          <t>Liwonde</t>
        </is>
      </c>
      <c r="B9" s="19" t="inlineStr">
        <is>
          <t>Balaka</t>
        </is>
      </c>
      <c r="C9" s="6" t="inlineStr">
        <is>
          <t>Total Amount Billed</t>
        </is>
      </c>
      <c r="D9" s="15">
        <f>IFERROR(SUMIFS(DataEntry!$GM:$GM,DataEntry!$A:$A,"Liwonde",DataEntry!$B:$B,"Balaka",DataEntry!$G:$G,"Q1"),"")</f>
        <v/>
      </c>
      <c r="E9" s="15">
        <f>IFERROR(SUMIFS(DataEntry!$GM:$GM,DataEntry!$A:$A,"Liwonde",DataEntry!$B:$B,"Balaka",DataEntry!$G:$G,"Q2"),"")</f>
        <v/>
      </c>
      <c r="F9" s="15">
        <f>IFERROR(SUMIFS(DataEntry!$GM:$GM,DataEntry!$A:$A,"Liwonde",DataEntry!$B:$B,"Balaka",DataEntry!$G:$G,"Q3"),"")</f>
        <v/>
      </c>
      <c r="G9" s="15">
        <f>IFERROR(SUMIFS(DataEntry!$GM:$GM,DataEntry!$A:$A,"Liwonde",DataEntry!$B:$B,"Balaka",DataEntry!$G:$G,"Q4"),"")</f>
        <v/>
      </c>
      <c r="H9" s="20">
        <f>IFERROR(SUM(D9:G9),"")</f>
        <v/>
      </c>
    </row>
    <row r="10">
      <c r="A10" s="21" t="inlineStr">
        <is>
          <t>Liwonde</t>
        </is>
      </c>
      <c r="B10" s="21" t="inlineStr">
        <is>
          <t>Balaka</t>
        </is>
      </c>
      <c r="C10" s="12" t="inlineStr">
        <is>
          <t>Total Sales</t>
        </is>
      </c>
      <c r="D10" s="9">
        <f>IFERROR(SUMIFS(DataEntry!$GX:$GX,DataEntry!$A:$A,"Liwonde",DataEntry!$B:$B,"Balaka",DataEntry!$G:$G,"Q1"),"")</f>
        <v/>
      </c>
      <c r="E10" s="9">
        <f>IFERROR(SUMIFS(DataEntry!$GX:$GX,DataEntry!$A:$A,"Liwonde",DataEntry!$B:$B,"Balaka",DataEntry!$G:$G,"Q2"),"")</f>
        <v/>
      </c>
      <c r="F10" s="9">
        <f>IFERROR(SUMIFS(DataEntry!$GX:$GX,DataEntry!$A:$A,"Liwonde",DataEntry!$B:$B,"Balaka",DataEntry!$G:$G,"Q3"),"")</f>
        <v/>
      </c>
      <c r="G10" s="9">
        <f>IFERROR(SUMIFS(DataEntry!$GX:$GX,DataEntry!$A:$A,"Liwonde",DataEntry!$B:$B,"Balaka",DataEntry!$G:$G,"Q4"),"")</f>
        <v/>
      </c>
      <c r="H10" s="22">
        <f>IFERROR(SUM(D10:G10),"")</f>
        <v/>
      </c>
    </row>
    <row r="11">
      <c r="A11" s="19" t="inlineStr">
        <is>
          <t>Liwonde</t>
        </is>
      </c>
      <c r="B11" s="19" t="inlineStr">
        <is>
          <t>Balaka</t>
        </is>
      </c>
      <c r="C11" s="6" t="inlineStr">
        <is>
          <t>Active Customers</t>
        </is>
      </c>
      <c r="D11" s="15">
        <f>IFERROR(SUMIFS(DataEntry!$CS:$CS,DataEntry!$A:$A,"Liwonde",DataEntry!$B:$B,"Balaka",DataEntry!$G:$G,"Q1"),"")</f>
        <v/>
      </c>
      <c r="E11" s="15">
        <f>IFERROR(SUMIFS(DataEntry!$CS:$CS,DataEntry!$A:$A,"Liwonde",DataEntry!$B:$B,"Balaka",DataEntry!$G:$G,"Q2"),"")</f>
        <v/>
      </c>
      <c r="F11" s="15">
        <f>IFERROR(SUMIFS(DataEntry!$CS:$CS,DataEntry!$A:$A,"Liwonde",DataEntry!$B:$B,"Balaka",DataEntry!$G:$G,"Q3"),"")</f>
        <v/>
      </c>
      <c r="G11" s="15">
        <f>IFERROR(SUMIFS(DataEntry!$CS:$CS,DataEntry!$A:$A,"Liwonde",DataEntry!$B:$B,"Balaka",DataEntry!$G:$G,"Q4"),"")</f>
        <v/>
      </c>
      <c r="H11" s="20">
        <f>IFERROR(SUM(D11:G11),"")</f>
        <v/>
      </c>
    </row>
    <row r="12">
      <c r="A12" s="21" t="inlineStr">
        <is>
          <t>Liwonde</t>
        </is>
      </c>
      <c r="B12" s="21" t="inlineStr">
        <is>
          <t>Balaka</t>
        </is>
      </c>
      <c r="C12" s="12" t="inlineStr">
        <is>
          <t>New Connections</t>
        </is>
      </c>
      <c r="D12" s="9">
        <f>IFERROR(SUMIFS(DataEntry!$CA:$CA,DataEntry!$A:$A,"Liwonde",DataEntry!$B:$B,"Balaka",DataEntry!$G:$G,"Q1"),"")</f>
        <v/>
      </c>
      <c r="E12" s="9">
        <f>IFERROR(SUMIFS(DataEntry!$CA:$CA,DataEntry!$A:$A,"Liwonde",DataEntry!$B:$B,"Balaka",DataEntry!$G:$G,"Q2"),"")</f>
        <v/>
      </c>
      <c r="F12" s="9">
        <f>IFERROR(SUMIFS(DataEntry!$CA:$CA,DataEntry!$A:$A,"Liwonde",DataEntry!$B:$B,"Balaka",DataEntry!$G:$G,"Q3"),"")</f>
        <v/>
      </c>
      <c r="G12" s="9">
        <f>IFERROR(SUMIFS(DataEntry!$CA:$CA,DataEntry!$A:$A,"Liwonde",DataEntry!$B:$B,"Balaka",DataEntry!$G:$G,"Q4"),"")</f>
        <v/>
      </c>
      <c r="H12" s="22">
        <f>IFERROR(SUM(D12:G12),"")</f>
        <v/>
      </c>
    </row>
    <row r="13">
      <c r="A13" s="19" t="inlineStr">
        <is>
          <t>Liwonde</t>
        </is>
      </c>
      <c r="B13" s="19" t="inlineStr">
        <is>
          <t>Balaka</t>
        </is>
      </c>
      <c r="C13" s="6" t="inlineStr">
        <is>
          <t>Stuck Meters C/Fwd</t>
        </is>
      </c>
      <c r="D13" s="15">
        <f>IFERROR(SUMIFS(DataEntry!$DV:$DV,DataEntry!$A:$A,"Liwonde",DataEntry!$B:$B,"Balaka",DataEntry!$G:$G,"Q1"),"")</f>
        <v/>
      </c>
      <c r="E13" s="15">
        <f>IFERROR(SUMIFS(DataEntry!$DV:$DV,DataEntry!$A:$A,"Liwonde",DataEntry!$B:$B,"Balaka",DataEntry!$G:$G,"Q2"),"")</f>
        <v/>
      </c>
      <c r="F13" s="15">
        <f>IFERROR(SUMIFS(DataEntry!$DV:$DV,DataEntry!$A:$A,"Liwonde",DataEntry!$B:$B,"Balaka",DataEntry!$G:$G,"Q3"),"")</f>
        <v/>
      </c>
      <c r="G13" s="15">
        <f>IFERROR(SUMIFS(DataEntry!$DV:$DV,DataEntry!$A:$A,"Liwonde",DataEntry!$B:$B,"Balaka",DataEntry!$G:$G,"Q4"),"")</f>
        <v/>
      </c>
      <c r="H13" s="20">
        <f>IFERROR(SUM(D13:G13),"")</f>
        <v/>
      </c>
    </row>
    <row r="14">
      <c r="A14" s="21" t="inlineStr">
        <is>
          <t>Liwonde</t>
        </is>
      </c>
      <c r="B14" s="21" t="inlineStr">
        <is>
          <t>Balaka</t>
        </is>
      </c>
      <c r="C14" s="12" t="inlineStr">
        <is>
          <t>Cash Collection Rate</t>
        </is>
      </c>
      <c r="D14" s="10">
        <f>IFERROR(AVERAGEIFS(DataEntry!$HC:$HC,DataEntry!$A:$A,"Liwonde",DataEntry!$B:$B,"Balaka",DataEntry!$G:$G,"Q1"),"")</f>
        <v/>
      </c>
      <c r="E14" s="10">
        <f>IFERROR(AVERAGEIFS(DataEntry!$HC:$HC,DataEntry!$A:$A,"Liwonde",DataEntry!$B:$B,"Balaka",DataEntry!$G:$G,"Q2"),"")</f>
        <v/>
      </c>
      <c r="F14" s="10">
        <f>IFERROR(AVERAGEIFS(DataEntry!$HC:$HC,DataEntry!$A:$A,"Liwonde",DataEntry!$B:$B,"Balaka",DataEntry!$G:$G,"Q3"),"")</f>
        <v/>
      </c>
      <c r="G14" s="10">
        <f>IFERROR(AVERAGEIFS(DataEntry!$HC:$HC,DataEntry!$A:$A,"Liwonde",DataEntry!$B:$B,"Balaka",DataEntry!$G:$G,"Q4"),"")</f>
        <v/>
      </c>
      <c r="H14" s="23">
        <f>IFERROR(AVERAGE(D14:G14),"")</f>
        <v/>
      </c>
    </row>
    <row r="15">
      <c r="A15" s="19" t="inlineStr">
        <is>
          <t>Liwonde</t>
        </is>
      </c>
      <c r="B15" s="19" t="inlineStr">
        <is>
          <t>Balaka</t>
        </is>
      </c>
      <c r="C15" s="6" t="inlineStr">
        <is>
          <t>OpCost per Sales</t>
        </is>
      </c>
      <c r="D15" s="16">
        <f>IFERROR(AVERAGEIFS(DataEntry!$HB:$HB,DataEntry!$A:$A,"Liwonde",DataEntry!$B:$B,"Balaka",DataEntry!$G:$G,"Q1"),"")</f>
        <v/>
      </c>
      <c r="E15" s="16">
        <f>IFERROR(AVERAGEIFS(DataEntry!$HB:$HB,DataEntry!$A:$A,"Liwonde",DataEntry!$B:$B,"Balaka",DataEntry!$G:$G,"Q2"),"")</f>
        <v/>
      </c>
      <c r="F15" s="16">
        <f>IFERROR(AVERAGEIFS(DataEntry!$HB:$HB,DataEntry!$A:$A,"Liwonde",DataEntry!$B:$B,"Balaka",DataEntry!$G:$G,"Q3"),"")</f>
        <v/>
      </c>
      <c r="G15" s="16">
        <f>IFERROR(AVERAGEIFS(DataEntry!$HB:$HB,DataEntry!$A:$A,"Liwonde",DataEntry!$B:$B,"Balaka",DataEntry!$G:$G,"Q4"),"")</f>
        <v/>
      </c>
      <c r="H15" s="24">
        <f>IFERROR(AVERAGE(D15:G15),"")</f>
        <v/>
      </c>
    </row>
    <row r="16">
      <c r="A16" s="21" t="inlineStr">
        <is>
          <t>Liwonde</t>
        </is>
      </c>
      <c r="B16" s="21" t="inlineStr">
        <is>
          <t>Liwonde</t>
        </is>
      </c>
      <c r="C16" s="12" t="inlineStr">
        <is>
          <t>Volume Produced (m³)</t>
        </is>
      </c>
      <c r="D16" s="9">
        <f>IFERROR(SUMIFS(DataEntry!$H:$H,DataEntry!$A:$A,"Liwonde",DataEntry!$B:$B,"Liwonde",DataEntry!$G:$G,"Q1"),"")</f>
        <v/>
      </c>
      <c r="E16" s="9">
        <f>IFERROR(SUMIFS(DataEntry!$H:$H,DataEntry!$A:$A,"Liwonde",DataEntry!$B:$B,"Liwonde",DataEntry!$G:$G,"Q2"),"")</f>
        <v/>
      </c>
      <c r="F16" s="9">
        <f>IFERROR(SUMIFS(DataEntry!$H:$H,DataEntry!$A:$A,"Liwonde",DataEntry!$B:$B,"Liwonde",DataEntry!$G:$G,"Q3"),"")</f>
        <v/>
      </c>
      <c r="G16" s="9">
        <f>IFERROR(SUMIFS(DataEntry!$H:$H,DataEntry!$A:$A,"Liwonde",DataEntry!$B:$B,"Liwonde",DataEntry!$G:$G,"Q4"),"")</f>
        <v/>
      </c>
      <c r="H16" s="22">
        <f>IFERROR(SUM(D16:G16),"")</f>
        <v/>
      </c>
    </row>
    <row r="17">
      <c r="A17" s="19" t="inlineStr">
        <is>
          <t>Liwonde</t>
        </is>
      </c>
      <c r="B17" s="19" t="inlineStr">
        <is>
          <t>Liwonde</t>
        </is>
      </c>
      <c r="C17" s="6" t="inlineStr">
        <is>
          <t>Total Revenue Water</t>
        </is>
      </c>
      <c r="D17" s="15">
        <f>IFERROR(SUMIFS(DataEntry!$S:$S,DataEntry!$A:$A,"Liwonde",DataEntry!$B:$B,"Liwonde",DataEntry!$G:$G,"Q1"),"")</f>
        <v/>
      </c>
      <c r="E17" s="15">
        <f>IFERROR(SUMIFS(DataEntry!$S:$S,DataEntry!$A:$A,"Liwonde",DataEntry!$B:$B,"Liwonde",DataEntry!$G:$G,"Q2"),"")</f>
        <v/>
      </c>
      <c r="F17" s="15">
        <f>IFERROR(SUMIFS(DataEntry!$S:$S,DataEntry!$A:$A,"Liwonde",DataEntry!$B:$B,"Liwonde",DataEntry!$G:$G,"Q3"),"")</f>
        <v/>
      </c>
      <c r="G17" s="15">
        <f>IFERROR(SUMIFS(DataEntry!$S:$S,DataEntry!$A:$A,"Liwonde",DataEntry!$B:$B,"Liwonde",DataEntry!$G:$G,"Q4"),"")</f>
        <v/>
      </c>
      <c r="H17" s="20">
        <f>IFERROR(SUM(D17:G17),"")</f>
        <v/>
      </c>
    </row>
    <row r="18">
      <c r="A18" s="21" t="inlineStr">
        <is>
          <t>Liwonde</t>
        </is>
      </c>
      <c r="B18" s="21" t="inlineStr">
        <is>
          <t>Liwonde</t>
        </is>
      </c>
      <c r="C18" s="12" t="inlineStr">
        <is>
          <t>Non-Revenue Water</t>
        </is>
      </c>
      <c r="D18" s="9">
        <f>IFERROR(SUMIFS(DataEntry!$T:$T,DataEntry!$A:$A,"Liwonde",DataEntry!$B:$B,"Liwonde",DataEntry!$G:$G,"Q1"),"")</f>
        <v/>
      </c>
      <c r="E18" s="9">
        <f>IFERROR(SUMIFS(DataEntry!$T:$T,DataEntry!$A:$A,"Liwonde",DataEntry!$B:$B,"Liwonde",DataEntry!$G:$G,"Q2"),"")</f>
        <v/>
      </c>
      <c r="F18" s="9">
        <f>IFERROR(SUMIFS(DataEntry!$T:$T,DataEntry!$A:$A,"Liwonde",DataEntry!$B:$B,"Liwonde",DataEntry!$G:$G,"Q3"),"")</f>
        <v/>
      </c>
      <c r="G18" s="9">
        <f>IFERROR(SUMIFS(DataEntry!$T:$T,DataEntry!$A:$A,"Liwonde",DataEntry!$B:$B,"Liwonde",DataEntry!$G:$G,"Q4"),"")</f>
        <v/>
      </c>
      <c r="H18" s="22">
        <f>IFERROR(SUM(D18:G18),"")</f>
        <v/>
      </c>
    </row>
    <row r="19">
      <c r="A19" s="19" t="inlineStr">
        <is>
          <t>Liwonde</t>
        </is>
      </c>
      <c r="B19" s="19" t="inlineStr">
        <is>
          <t>Liwonde</t>
        </is>
      </c>
      <c r="C19" s="6" t="inlineStr">
        <is>
          <t>% NRW</t>
        </is>
      </c>
      <c r="D19" s="16">
        <f>IFERROR(AVERAGEIFS(DataEntry!$U:$U,DataEntry!$A:$A,"Liwonde",DataEntry!$B:$B,"Liwonde",DataEntry!$G:$G,"Q1"),"")</f>
        <v/>
      </c>
      <c r="E19" s="16">
        <f>IFERROR(AVERAGEIFS(DataEntry!$U:$U,DataEntry!$A:$A,"Liwonde",DataEntry!$B:$B,"Liwonde",DataEntry!$G:$G,"Q2"),"")</f>
        <v/>
      </c>
      <c r="F19" s="16">
        <f>IFERROR(AVERAGEIFS(DataEntry!$U:$U,DataEntry!$A:$A,"Liwonde",DataEntry!$B:$B,"Liwonde",DataEntry!$G:$G,"Q3"),"")</f>
        <v/>
      </c>
      <c r="G19" s="16">
        <f>IFERROR(AVERAGEIFS(DataEntry!$U:$U,DataEntry!$A:$A,"Liwonde",DataEntry!$B:$B,"Liwonde",DataEntry!$G:$G,"Q4"),"")</f>
        <v/>
      </c>
      <c r="H19" s="24">
        <f>IFERROR(AVERAGE(D19:G19),"")</f>
        <v/>
      </c>
    </row>
    <row r="20">
      <c r="A20" s="21" t="inlineStr">
        <is>
          <t>Liwonde</t>
        </is>
      </c>
      <c r="B20" s="21" t="inlineStr">
        <is>
          <t>Liwonde</t>
        </is>
      </c>
      <c r="C20" s="12" t="inlineStr">
        <is>
          <t>Total Operating Costs</t>
        </is>
      </c>
      <c r="D20" s="9">
        <f>IFERROR(SUMIFS(DataEntry!$AU:$AU,DataEntry!$A:$A,"Liwonde",DataEntry!$B:$B,"Liwonde",DataEntry!$G:$G,"Q1"),"")</f>
        <v/>
      </c>
      <c r="E20" s="9">
        <f>IFERROR(SUMIFS(DataEntry!$AU:$AU,DataEntry!$A:$A,"Liwonde",DataEntry!$B:$B,"Liwonde",DataEntry!$G:$G,"Q2"),"")</f>
        <v/>
      </c>
      <c r="F20" s="9">
        <f>IFERROR(SUMIFS(DataEntry!$AU:$AU,DataEntry!$A:$A,"Liwonde",DataEntry!$B:$B,"Liwonde",DataEntry!$G:$G,"Q3"),"")</f>
        <v/>
      </c>
      <c r="G20" s="9">
        <f>IFERROR(SUMIFS(DataEntry!$AU:$AU,DataEntry!$A:$A,"Liwonde",DataEntry!$B:$B,"Liwonde",DataEntry!$G:$G,"Q4"),"")</f>
        <v/>
      </c>
      <c r="H20" s="22">
        <f>IFERROR(SUM(D20:G20),"")</f>
        <v/>
      </c>
    </row>
    <row r="21">
      <c r="A21" s="19" t="inlineStr">
        <is>
          <t>Liwonde</t>
        </is>
      </c>
      <c r="B21" s="19" t="inlineStr">
        <is>
          <t>Liwonde</t>
        </is>
      </c>
      <c r="C21" s="6" t="inlineStr">
        <is>
          <t>Total Cash Collected</t>
        </is>
      </c>
      <c r="D21" s="15">
        <f>IFERROR(SUMIFS(DataEntry!$GB:$GB,DataEntry!$A:$A,"Liwonde",DataEntry!$B:$B,"Liwonde",DataEntry!$G:$G,"Q1"),"")</f>
        <v/>
      </c>
      <c r="E21" s="15">
        <f>IFERROR(SUMIFS(DataEntry!$GB:$GB,DataEntry!$A:$A,"Liwonde",DataEntry!$B:$B,"Liwonde",DataEntry!$G:$G,"Q2"),"")</f>
        <v/>
      </c>
      <c r="F21" s="15">
        <f>IFERROR(SUMIFS(DataEntry!$GB:$GB,DataEntry!$A:$A,"Liwonde",DataEntry!$B:$B,"Liwonde",DataEntry!$G:$G,"Q3"),"")</f>
        <v/>
      </c>
      <c r="G21" s="15">
        <f>IFERROR(SUMIFS(DataEntry!$GB:$GB,DataEntry!$A:$A,"Liwonde",DataEntry!$B:$B,"Liwonde",DataEntry!$G:$G,"Q4"),"")</f>
        <v/>
      </c>
      <c r="H21" s="20">
        <f>IFERROR(SUM(D21:G21),"")</f>
        <v/>
      </c>
    </row>
    <row r="22">
      <c r="A22" s="21" t="inlineStr">
        <is>
          <t>Liwonde</t>
        </is>
      </c>
      <c r="B22" s="21" t="inlineStr">
        <is>
          <t>Liwonde</t>
        </is>
      </c>
      <c r="C22" s="12" t="inlineStr">
        <is>
          <t>Total Amount Billed</t>
        </is>
      </c>
      <c r="D22" s="9">
        <f>IFERROR(SUMIFS(DataEntry!$GM:$GM,DataEntry!$A:$A,"Liwonde",DataEntry!$B:$B,"Liwonde",DataEntry!$G:$G,"Q1"),"")</f>
        <v/>
      </c>
      <c r="E22" s="9">
        <f>IFERROR(SUMIFS(DataEntry!$GM:$GM,DataEntry!$A:$A,"Liwonde",DataEntry!$B:$B,"Liwonde",DataEntry!$G:$G,"Q2"),"")</f>
        <v/>
      </c>
      <c r="F22" s="9">
        <f>IFERROR(SUMIFS(DataEntry!$GM:$GM,DataEntry!$A:$A,"Liwonde",DataEntry!$B:$B,"Liwonde",DataEntry!$G:$G,"Q3"),"")</f>
        <v/>
      </c>
      <c r="G22" s="9">
        <f>IFERROR(SUMIFS(DataEntry!$GM:$GM,DataEntry!$A:$A,"Liwonde",DataEntry!$B:$B,"Liwonde",DataEntry!$G:$G,"Q4"),"")</f>
        <v/>
      </c>
      <c r="H22" s="22">
        <f>IFERROR(SUM(D22:G22),"")</f>
        <v/>
      </c>
    </row>
    <row r="23">
      <c r="A23" s="19" t="inlineStr">
        <is>
          <t>Liwonde</t>
        </is>
      </c>
      <c r="B23" s="19" t="inlineStr">
        <is>
          <t>Liwonde</t>
        </is>
      </c>
      <c r="C23" s="6" t="inlineStr">
        <is>
          <t>Total Sales</t>
        </is>
      </c>
      <c r="D23" s="15">
        <f>IFERROR(SUMIFS(DataEntry!$GX:$GX,DataEntry!$A:$A,"Liwonde",DataEntry!$B:$B,"Liwonde",DataEntry!$G:$G,"Q1"),"")</f>
        <v/>
      </c>
      <c r="E23" s="15">
        <f>IFERROR(SUMIFS(DataEntry!$GX:$GX,DataEntry!$A:$A,"Liwonde",DataEntry!$B:$B,"Liwonde",DataEntry!$G:$G,"Q2"),"")</f>
        <v/>
      </c>
      <c r="F23" s="15">
        <f>IFERROR(SUMIFS(DataEntry!$GX:$GX,DataEntry!$A:$A,"Liwonde",DataEntry!$B:$B,"Liwonde",DataEntry!$G:$G,"Q3"),"")</f>
        <v/>
      </c>
      <c r="G23" s="15">
        <f>IFERROR(SUMIFS(DataEntry!$GX:$GX,DataEntry!$A:$A,"Liwonde",DataEntry!$B:$B,"Liwonde",DataEntry!$G:$G,"Q4"),"")</f>
        <v/>
      </c>
      <c r="H23" s="20">
        <f>IFERROR(SUM(D23:G23),"")</f>
        <v/>
      </c>
    </row>
    <row r="24">
      <c r="A24" s="21" t="inlineStr">
        <is>
          <t>Liwonde</t>
        </is>
      </c>
      <c r="B24" s="21" t="inlineStr">
        <is>
          <t>Liwonde</t>
        </is>
      </c>
      <c r="C24" s="12" t="inlineStr">
        <is>
          <t>Active Customers</t>
        </is>
      </c>
      <c r="D24" s="9">
        <f>IFERROR(SUMIFS(DataEntry!$CS:$CS,DataEntry!$A:$A,"Liwonde",DataEntry!$B:$B,"Liwonde",DataEntry!$G:$G,"Q1"),"")</f>
        <v/>
      </c>
      <c r="E24" s="9">
        <f>IFERROR(SUMIFS(DataEntry!$CS:$CS,DataEntry!$A:$A,"Liwonde",DataEntry!$B:$B,"Liwonde",DataEntry!$G:$G,"Q2"),"")</f>
        <v/>
      </c>
      <c r="F24" s="9">
        <f>IFERROR(SUMIFS(DataEntry!$CS:$CS,DataEntry!$A:$A,"Liwonde",DataEntry!$B:$B,"Liwonde",DataEntry!$G:$G,"Q3"),"")</f>
        <v/>
      </c>
      <c r="G24" s="9">
        <f>IFERROR(SUMIFS(DataEntry!$CS:$CS,DataEntry!$A:$A,"Liwonde",DataEntry!$B:$B,"Liwonde",DataEntry!$G:$G,"Q4"),"")</f>
        <v/>
      </c>
      <c r="H24" s="22">
        <f>IFERROR(SUM(D24:G24),"")</f>
        <v/>
      </c>
    </row>
    <row r="25">
      <c r="A25" s="19" t="inlineStr">
        <is>
          <t>Liwonde</t>
        </is>
      </c>
      <c r="B25" s="19" t="inlineStr">
        <is>
          <t>Liwonde</t>
        </is>
      </c>
      <c r="C25" s="6" t="inlineStr">
        <is>
          <t>New Connections</t>
        </is>
      </c>
      <c r="D25" s="15">
        <f>IFERROR(SUMIFS(DataEntry!$CA:$CA,DataEntry!$A:$A,"Liwonde",DataEntry!$B:$B,"Liwonde",DataEntry!$G:$G,"Q1"),"")</f>
        <v/>
      </c>
      <c r="E25" s="15">
        <f>IFERROR(SUMIFS(DataEntry!$CA:$CA,DataEntry!$A:$A,"Liwonde",DataEntry!$B:$B,"Liwonde",DataEntry!$G:$G,"Q2"),"")</f>
        <v/>
      </c>
      <c r="F25" s="15">
        <f>IFERROR(SUMIFS(DataEntry!$CA:$CA,DataEntry!$A:$A,"Liwonde",DataEntry!$B:$B,"Liwonde",DataEntry!$G:$G,"Q3"),"")</f>
        <v/>
      </c>
      <c r="G25" s="15">
        <f>IFERROR(SUMIFS(DataEntry!$CA:$CA,DataEntry!$A:$A,"Liwonde",DataEntry!$B:$B,"Liwonde",DataEntry!$G:$G,"Q4"),"")</f>
        <v/>
      </c>
      <c r="H25" s="20">
        <f>IFERROR(SUM(D25:G25),"")</f>
        <v/>
      </c>
    </row>
    <row r="26">
      <c r="A26" s="21" t="inlineStr">
        <is>
          <t>Liwonde</t>
        </is>
      </c>
      <c r="B26" s="21" t="inlineStr">
        <is>
          <t>Liwonde</t>
        </is>
      </c>
      <c r="C26" s="12" t="inlineStr">
        <is>
          <t>Stuck Meters C/Fwd</t>
        </is>
      </c>
      <c r="D26" s="9">
        <f>IFERROR(SUMIFS(DataEntry!$DV:$DV,DataEntry!$A:$A,"Liwonde",DataEntry!$B:$B,"Liwonde",DataEntry!$G:$G,"Q1"),"")</f>
        <v/>
      </c>
      <c r="E26" s="9">
        <f>IFERROR(SUMIFS(DataEntry!$DV:$DV,DataEntry!$A:$A,"Liwonde",DataEntry!$B:$B,"Liwonde",DataEntry!$G:$G,"Q2"),"")</f>
        <v/>
      </c>
      <c r="F26" s="9">
        <f>IFERROR(SUMIFS(DataEntry!$DV:$DV,DataEntry!$A:$A,"Liwonde",DataEntry!$B:$B,"Liwonde",DataEntry!$G:$G,"Q3"),"")</f>
        <v/>
      </c>
      <c r="G26" s="9">
        <f>IFERROR(SUMIFS(DataEntry!$DV:$DV,DataEntry!$A:$A,"Liwonde",DataEntry!$B:$B,"Liwonde",DataEntry!$G:$G,"Q4"),"")</f>
        <v/>
      </c>
      <c r="H26" s="22">
        <f>IFERROR(SUM(D26:G26),"")</f>
        <v/>
      </c>
    </row>
    <row r="27">
      <c r="A27" s="19" t="inlineStr">
        <is>
          <t>Liwonde</t>
        </is>
      </c>
      <c r="B27" s="19" t="inlineStr">
        <is>
          <t>Liwonde</t>
        </is>
      </c>
      <c r="C27" s="6" t="inlineStr">
        <is>
          <t>Cash Collection Rate</t>
        </is>
      </c>
      <c r="D27" s="16">
        <f>IFERROR(AVERAGEIFS(DataEntry!$HC:$HC,DataEntry!$A:$A,"Liwonde",DataEntry!$B:$B,"Liwonde",DataEntry!$G:$G,"Q1"),"")</f>
        <v/>
      </c>
      <c r="E27" s="16">
        <f>IFERROR(AVERAGEIFS(DataEntry!$HC:$HC,DataEntry!$A:$A,"Liwonde",DataEntry!$B:$B,"Liwonde",DataEntry!$G:$G,"Q2"),"")</f>
        <v/>
      </c>
      <c r="F27" s="16">
        <f>IFERROR(AVERAGEIFS(DataEntry!$HC:$HC,DataEntry!$A:$A,"Liwonde",DataEntry!$B:$B,"Liwonde",DataEntry!$G:$G,"Q3"),"")</f>
        <v/>
      </c>
      <c r="G27" s="16">
        <f>IFERROR(AVERAGEIFS(DataEntry!$HC:$HC,DataEntry!$A:$A,"Liwonde",DataEntry!$B:$B,"Liwonde",DataEntry!$G:$G,"Q4"),"")</f>
        <v/>
      </c>
      <c r="H27" s="24">
        <f>IFERROR(AVERAGE(D27:G27),"")</f>
        <v/>
      </c>
    </row>
    <row r="28">
      <c r="A28" s="21" t="inlineStr">
        <is>
          <t>Liwonde</t>
        </is>
      </c>
      <c r="B28" s="21" t="inlineStr">
        <is>
          <t>Liwonde</t>
        </is>
      </c>
      <c r="C28" s="12" t="inlineStr">
        <is>
          <t>OpCost per Sales</t>
        </is>
      </c>
      <c r="D28" s="10">
        <f>IFERROR(AVERAGEIFS(DataEntry!$HB:$HB,DataEntry!$A:$A,"Liwonde",DataEntry!$B:$B,"Liwonde",DataEntry!$G:$G,"Q1"),"")</f>
        <v/>
      </c>
      <c r="E28" s="10">
        <f>IFERROR(AVERAGEIFS(DataEntry!$HB:$HB,DataEntry!$A:$A,"Liwonde",DataEntry!$B:$B,"Liwonde",DataEntry!$G:$G,"Q2"),"")</f>
        <v/>
      </c>
      <c r="F28" s="10">
        <f>IFERROR(AVERAGEIFS(DataEntry!$HB:$HB,DataEntry!$A:$A,"Liwonde",DataEntry!$B:$B,"Liwonde",DataEntry!$G:$G,"Q3"),"")</f>
        <v/>
      </c>
      <c r="G28" s="10">
        <f>IFERROR(AVERAGEIFS(DataEntry!$HB:$HB,DataEntry!$A:$A,"Liwonde",DataEntry!$B:$B,"Liwonde",DataEntry!$G:$G,"Q4"),"")</f>
        <v/>
      </c>
      <c r="H28" s="23">
        <f>IFERROR(AVERAGE(D28:G28),"")</f>
        <v/>
      </c>
    </row>
    <row r="29">
      <c r="A29" s="19" t="inlineStr">
        <is>
          <t>Liwonde</t>
        </is>
      </c>
      <c r="B29" s="19" t="inlineStr">
        <is>
          <t>Machinga</t>
        </is>
      </c>
      <c r="C29" s="6" t="inlineStr">
        <is>
          <t>Volume Produced (m³)</t>
        </is>
      </c>
      <c r="D29" s="15">
        <f>IFERROR(SUMIFS(DataEntry!$H:$H,DataEntry!$A:$A,"Liwonde",DataEntry!$B:$B,"Machinga",DataEntry!$G:$G,"Q1"),"")</f>
        <v/>
      </c>
      <c r="E29" s="15">
        <f>IFERROR(SUMIFS(DataEntry!$H:$H,DataEntry!$A:$A,"Liwonde",DataEntry!$B:$B,"Machinga",DataEntry!$G:$G,"Q2"),"")</f>
        <v/>
      </c>
      <c r="F29" s="15">
        <f>IFERROR(SUMIFS(DataEntry!$H:$H,DataEntry!$A:$A,"Liwonde",DataEntry!$B:$B,"Machinga",DataEntry!$G:$G,"Q3"),"")</f>
        <v/>
      </c>
      <c r="G29" s="15">
        <f>IFERROR(SUMIFS(DataEntry!$H:$H,DataEntry!$A:$A,"Liwonde",DataEntry!$B:$B,"Machinga",DataEntry!$G:$G,"Q4"),"")</f>
        <v/>
      </c>
      <c r="H29" s="20">
        <f>IFERROR(SUM(D29:G29),"")</f>
        <v/>
      </c>
    </row>
    <row r="30">
      <c r="A30" s="21" t="inlineStr">
        <is>
          <t>Liwonde</t>
        </is>
      </c>
      <c r="B30" s="21" t="inlineStr">
        <is>
          <t>Machinga</t>
        </is>
      </c>
      <c r="C30" s="12" t="inlineStr">
        <is>
          <t>Total Revenue Water</t>
        </is>
      </c>
      <c r="D30" s="9">
        <f>IFERROR(SUMIFS(DataEntry!$S:$S,DataEntry!$A:$A,"Liwonde",DataEntry!$B:$B,"Machinga",DataEntry!$G:$G,"Q1"),"")</f>
        <v/>
      </c>
      <c r="E30" s="9">
        <f>IFERROR(SUMIFS(DataEntry!$S:$S,DataEntry!$A:$A,"Liwonde",DataEntry!$B:$B,"Machinga",DataEntry!$G:$G,"Q2"),"")</f>
        <v/>
      </c>
      <c r="F30" s="9">
        <f>IFERROR(SUMIFS(DataEntry!$S:$S,DataEntry!$A:$A,"Liwonde",DataEntry!$B:$B,"Machinga",DataEntry!$G:$G,"Q3"),"")</f>
        <v/>
      </c>
      <c r="G30" s="9">
        <f>IFERROR(SUMIFS(DataEntry!$S:$S,DataEntry!$A:$A,"Liwonde",DataEntry!$B:$B,"Machinga",DataEntry!$G:$G,"Q4"),"")</f>
        <v/>
      </c>
      <c r="H30" s="22">
        <f>IFERROR(SUM(D30:G30),"")</f>
        <v/>
      </c>
    </row>
    <row r="31">
      <c r="A31" s="19" t="inlineStr">
        <is>
          <t>Liwonde</t>
        </is>
      </c>
      <c r="B31" s="19" t="inlineStr">
        <is>
          <t>Machinga</t>
        </is>
      </c>
      <c r="C31" s="6" t="inlineStr">
        <is>
          <t>Non-Revenue Water</t>
        </is>
      </c>
      <c r="D31" s="15">
        <f>IFERROR(SUMIFS(DataEntry!$T:$T,DataEntry!$A:$A,"Liwonde",DataEntry!$B:$B,"Machinga",DataEntry!$G:$G,"Q1"),"")</f>
        <v/>
      </c>
      <c r="E31" s="15">
        <f>IFERROR(SUMIFS(DataEntry!$T:$T,DataEntry!$A:$A,"Liwonde",DataEntry!$B:$B,"Machinga",DataEntry!$G:$G,"Q2"),"")</f>
        <v/>
      </c>
      <c r="F31" s="15">
        <f>IFERROR(SUMIFS(DataEntry!$T:$T,DataEntry!$A:$A,"Liwonde",DataEntry!$B:$B,"Machinga",DataEntry!$G:$G,"Q3"),"")</f>
        <v/>
      </c>
      <c r="G31" s="15">
        <f>IFERROR(SUMIFS(DataEntry!$T:$T,DataEntry!$A:$A,"Liwonde",DataEntry!$B:$B,"Machinga",DataEntry!$G:$G,"Q4"),"")</f>
        <v/>
      </c>
      <c r="H31" s="20">
        <f>IFERROR(SUM(D31:G31),"")</f>
        <v/>
      </c>
    </row>
    <row r="32">
      <c r="A32" s="21" t="inlineStr">
        <is>
          <t>Liwonde</t>
        </is>
      </c>
      <c r="B32" s="21" t="inlineStr">
        <is>
          <t>Machinga</t>
        </is>
      </c>
      <c r="C32" s="12" t="inlineStr">
        <is>
          <t>% NRW</t>
        </is>
      </c>
      <c r="D32" s="10">
        <f>IFERROR(AVERAGEIFS(DataEntry!$U:$U,DataEntry!$A:$A,"Liwonde",DataEntry!$B:$B,"Machinga",DataEntry!$G:$G,"Q1"),"")</f>
        <v/>
      </c>
      <c r="E32" s="10">
        <f>IFERROR(AVERAGEIFS(DataEntry!$U:$U,DataEntry!$A:$A,"Liwonde",DataEntry!$B:$B,"Machinga",DataEntry!$G:$G,"Q2"),"")</f>
        <v/>
      </c>
      <c r="F32" s="10">
        <f>IFERROR(AVERAGEIFS(DataEntry!$U:$U,DataEntry!$A:$A,"Liwonde",DataEntry!$B:$B,"Machinga",DataEntry!$G:$G,"Q3"),"")</f>
        <v/>
      </c>
      <c r="G32" s="10">
        <f>IFERROR(AVERAGEIFS(DataEntry!$U:$U,DataEntry!$A:$A,"Liwonde",DataEntry!$B:$B,"Machinga",DataEntry!$G:$G,"Q4"),"")</f>
        <v/>
      </c>
      <c r="H32" s="23">
        <f>IFERROR(AVERAGE(D32:G32),"")</f>
        <v/>
      </c>
    </row>
    <row r="33">
      <c r="A33" s="19" t="inlineStr">
        <is>
          <t>Liwonde</t>
        </is>
      </c>
      <c r="B33" s="19" t="inlineStr">
        <is>
          <t>Machinga</t>
        </is>
      </c>
      <c r="C33" s="6" t="inlineStr">
        <is>
          <t>Total Operating Costs</t>
        </is>
      </c>
      <c r="D33" s="15">
        <f>IFERROR(SUMIFS(DataEntry!$AU:$AU,DataEntry!$A:$A,"Liwonde",DataEntry!$B:$B,"Machinga",DataEntry!$G:$G,"Q1"),"")</f>
        <v/>
      </c>
      <c r="E33" s="15">
        <f>IFERROR(SUMIFS(DataEntry!$AU:$AU,DataEntry!$A:$A,"Liwonde",DataEntry!$B:$B,"Machinga",DataEntry!$G:$G,"Q2"),"")</f>
        <v/>
      </c>
      <c r="F33" s="15">
        <f>IFERROR(SUMIFS(DataEntry!$AU:$AU,DataEntry!$A:$A,"Liwonde",DataEntry!$B:$B,"Machinga",DataEntry!$G:$G,"Q3"),"")</f>
        <v/>
      </c>
      <c r="G33" s="15">
        <f>IFERROR(SUMIFS(DataEntry!$AU:$AU,DataEntry!$A:$A,"Liwonde",DataEntry!$B:$B,"Machinga",DataEntry!$G:$G,"Q4"),"")</f>
        <v/>
      </c>
      <c r="H33" s="20">
        <f>IFERROR(SUM(D33:G33),"")</f>
        <v/>
      </c>
    </row>
    <row r="34">
      <c r="A34" s="21" t="inlineStr">
        <is>
          <t>Liwonde</t>
        </is>
      </c>
      <c r="B34" s="21" t="inlineStr">
        <is>
          <t>Machinga</t>
        </is>
      </c>
      <c r="C34" s="12" t="inlineStr">
        <is>
          <t>Total Cash Collected</t>
        </is>
      </c>
      <c r="D34" s="9">
        <f>IFERROR(SUMIFS(DataEntry!$GB:$GB,DataEntry!$A:$A,"Liwonde",DataEntry!$B:$B,"Machinga",DataEntry!$G:$G,"Q1"),"")</f>
        <v/>
      </c>
      <c r="E34" s="9">
        <f>IFERROR(SUMIFS(DataEntry!$GB:$GB,DataEntry!$A:$A,"Liwonde",DataEntry!$B:$B,"Machinga",DataEntry!$G:$G,"Q2"),"")</f>
        <v/>
      </c>
      <c r="F34" s="9">
        <f>IFERROR(SUMIFS(DataEntry!$GB:$GB,DataEntry!$A:$A,"Liwonde",DataEntry!$B:$B,"Machinga",DataEntry!$G:$G,"Q3"),"")</f>
        <v/>
      </c>
      <c r="G34" s="9">
        <f>IFERROR(SUMIFS(DataEntry!$GB:$GB,DataEntry!$A:$A,"Liwonde",DataEntry!$B:$B,"Machinga",DataEntry!$G:$G,"Q4"),"")</f>
        <v/>
      </c>
      <c r="H34" s="22">
        <f>IFERROR(SUM(D34:G34),"")</f>
        <v/>
      </c>
    </row>
    <row r="35">
      <c r="A35" s="19" t="inlineStr">
        <is>
          <t>Liwonde</t>
        </is>
      </c>
      <c r="B35" s="19" t="inlineStr">
        <is>
          <t>Machinga</t>
        </is>
      </c>
      <c r="C35" s="6" t="inlineStr">
        <is>
          <t>Total Amount Billed</t>
        </is>
      </c>
      <c r="D35" s="15">
        <f>IFERROR(SUMIFS(DataEntry!$GM:$GM,DataEntry!$A:$A,"Liwonde",DataEntry!$B:$B,"Machinga",DataEntry!$G:$G,"Q1"),"")</f>
        <v/>
      </c>
      <c r="E35" s="15">
        <f>IFERROR(SUMIFS(DataEntry!$GM:$GM,DataEntry!$A:$A,"Liwonde",DataEntry!$B:$B,"Machinga",DataEntry!$G:$G,"Q2"),"")</f>
        <v/>
      </c>
      <c r="F35" s="15">
        <f>IFERROR(SUMIFS(DataEntry!$GM:$GM,DataEntry!$A:$A,"Liwonde",DataEntry!$B:$B,"Machinga",DataEntry!$G:$G,"Q3"),"")</f>
        <v/>
      </c>
      <c r="G35" s="15">
        <f>IFERROR(SUMIFS(DataEntry!$GM:$GM,DataEntry!$A:$A,"Liwonde",DataEntry!$B:$B,"Machinga",DataEntry!$G:$G,"Q4"),"")</f>
        <v/>
      </c>
      <c r="H35" s="20">
        <f>IFERROR(SUM(D35:G35),"")</f>
        <v/>
      </c>
    </row>
    <row r="36">
      <c r="A36" s="21" t="inlineStr">
        <is>
          <t>Liwonde</t>
        </is>
      </c>
      <c r="B36" s="21" t="inlineStr">
        <is>
          <t>Machinga</t>
        </is>
      </c>
      <c r="C36" s="12" t="inlineStr">
        <is>
          <t>Total Sales</t>
        </is>
      </c>
      <c r="D36" s="9">
        <f>IFERROR(SUMIFS(DataEntry!$GX:$GX,DataEntry!$A:$A,"Liwonde",DataEntry!$B:$B,"Machinga",DataEntry!$G:$G,"Q1"),"")</f>
        <v/>
      </c>
      <c r="E36" s="9">
        <f>IFERROR(SUMIFS(DataEntry!$GX:$GX,DataEntry!$A:$A,"Liwonde",DataEntry!$B:$B,"Machinga",DataEntry!$G:$G,"Q2"),"")</f>
        <v/>
      </c>
      <c r="F36" s="9">
        <f>IFERROR(SUMIFS(DataEntry!$GX:$GX,DataEntry!$A:$A,"Liwonde",DataEntry!$B:$B,"Machinga",DataEntry!$G:$G,"Q3"),"")</f>
        <v/>
      </c>
      <c r="G36" s="9">
        <f>IFERROR(SUMIFS(DataEntry!$GX:$GX,DataEntry!$A:$A,"Liwonde",DataEntry!$B:$B,"Machinga",DataEntry!$G:$G,"Q4"),"")</f>
        <v/>
      </c>
      <c r="H36" s="22">
        <f>IFERROR(SUM(D36:G36),"")</f>
        <v/>
      </c>
    </row>
    <row r="37">
      <c r="A37" s="19" t="inlineStr">
        <is>
          <t>Liwonde</t>
        </is>
      </c>
      <c r="B37" s="19" t="inlineStr">
        <is>
          <t>Machinga</t>
        </is>
      </c>
      <c r="C37" s="6" t="inlineStr">
        <is>
          <t>Active Customers</t>
        </is>
      </c>
      <c r="D37" s="15">
        <f>IFERROR(SUMIFS(DataEntry!$CS:$CS,DataEntry!$A:$A,"Liwonde",DataEntry!$B:$B,"Machinga",DataEntry!$G:$G,"Q1"),"")</f>
        <v/>
      </c>
      <c r="E37" s="15">
        <f>IFERROR(SUMIFS(DataEntry!$CS:$CS,DataEntry!$A:$A,"Liwonde",DataEntry!$B:$B,"Machinga",DataEntry!$G:$G,"Q2"),"")</f>
        <v/>
      </c>
      <c r="F37" s="15">
        <f>IFERROR(SUMIFS(DataEntry!$CS:$CS,DataEntry!$A:$A,"Liwonde",DataEntry!$B:$B,"Machinga",DataEntry!$G:$G,"Q3"),"")</f>
        <v/>
      </c>
      <c r="G37" s="15">
        <f>IFERROR(SUMIFS(DataEntry!$CS:$CS,DataEntry!$A:$A,"Liwonde",DataEntry!$B:$B,"Machinga",DataEntry!$G:$G,"Q4"),"")</f>
        <v/>
      </c>
      <c r="H37" s="20">
        <f>IFERROR(SUM(D37:G37),"")</f>
        <v/>
      </c>
    </row>
    <row r="38">
      <c r="A38" s="21" t="inlineStr">
        <is>
          <t>Liwonde</t>
        </is>
      </c>
      <c r="B38" s="21" t="inlineStr">
        <is>
          <t>Machinga</t>
        </is>
      </c>
      <c r="C38" s="12" t="inlineStr">
        <is>
          <t>New Connections</t>
        </is>
      </c>
      <c r="D38" s="9">
        <f>IFERROR(SUMIFS(DataEntry!$CA:$CA,DataEntry!$A:$A,"Liwonde",DataEntry!$B:$B,"Machinga",DataEntry!$G:$G,"Q1"),"")</f>
        <v/>
      </c>
      <c r="E38" s="9">
        <f>IFERROR(SUMIFS(DataEntry!$CA:$CA,DataEntry!$A:$A,"Liwonde",DataEntry!$B:$B,"Machinga",DataEntry!$G:$G,"Q2"),"")</f>
        <v/>
      </c>
      <c r="F38" s="9">
        <f>IFERROR(SUMIFS(DataEntry!$CA:$CA,DataEntry!$A:$A,"Liwonde",DataEntry!$B:$B,"Machinga",DataEntry!$G:$G,"Q3"),"")</f>
        <v/>
      </c>
      <c r="G38" s="9">
        <f>IFERROR(SUMIFS(DataEntry!$CA:$CA,DataEntry!$A:$A,"Liwonde",DataEntry!$B:$B,"Machinga",DataEntry!$G:$G,"Q4"),"")</f>
        <v/>
      </c>
      <c r="H38" s="22">
        <f>IFERROR(SUM(D38:G38),"")</f>
        <v/>
      </c>
    </row>
    <row r="39">
      <c r="A39" s="19" t="inlineStr">
        <is>
          <t>Liwonde</t>
        </is>
      </c>
      <c r="B39" s="19" t="inlineStr">
        <is>
          <t>Machinga</t>
        </is>
      </c>
      <c r="C39" s="6" t="inlineStr">
        <is>
          <t>Stuck Meters C/Fwd</t>
        </is>
      </c>
      <c r="D39" s="15">
        <f>IFERROR(SUMIFS(DataEntry!$DV:$DV,DataEntry!$A:$A,"Liwonde",DataEntry!$B:$B,"Machinga",DataEntry!$G:$G,"Q1"),"")</f>
        <v/>
      </c>
      <c r="E39" s="15">
        <f>IFERROR(SUMIFS(DataEntry!$DV:$DV,DataEntry!$A:$A,"Liwonde",DataEntry!$B:$B,"Machinga",DataEntry!$G:$G,"Q2"),"")</f>
        <v/>
      </c>
      <c r="F39" s="15">
        <f>IFERROR(SUMIFS(DataEntry!$DV:$DV,DataEntry!$A:$A,"Liwonde",DataEntry!$B:$B,"Machinga",DataEntry!$G:$G,"Q3"),"")</f>
        <v/>
      </c>
      <c r="G39" s="15">
        <f>IFERROR(SUMIFS(DataEntry!$DV:$DV,DataEntry!$A:$A,"Liwonde",DataEntry!$B:$B,"Machinga",DataEntry!$G:$G,"Q4"),"")</f>
        <v/>
      </c>
      <c r="H39" s="20">
        <f>IFERROR(SUM(D39:G39),"")</f>
        <v/>
      </c>
    </row>
    <row r="40">
      <c r="A40" s="21" t="inlineStr">
        <is>
          <t>Liwonde</t>
        </is>
      </c>
      <c r="B40" s="21" t="inlineStr">
        <is>
          <t>Machinga</t>
        </is>
      </c>
      <c r="C40" s="12" t="inlineStr">
        <is>
          <t>Cash Collection Rate</t>
        </is>
      </c>
      <c r="D40" s="10">
        <f>IFERROR(AVERAGEIFS(DataEntry!$HC:$HC,DataEntry!$A:$A,"Liwonde",DataEntry!$B:$B,"Machinga",DataEntry!$G:$G,"Q1"),"")</f>
        <v/>
      </c>
      <c r="E40" s="10">
        <f>IFERROR(AVERAGEIFS(DataEntry!$HC:$HC,DataEntry!$A:$A,"Liwonde",DataEntry!$B:$B,"Machinga",DataEntry!$G:$G,"Q2"),"")</f>
        <v/>
      </c>
      <c r="F40" s="10">
        <f>IFERROR(AVERAGEIFS(DataEntry!$HC:$HC,DataEntry!$A:$A,"Liwonde",DataEntry!$B:$B,"Machinga",DataEntry!$G:$G,"Q3"),"")</f>
        <v/>
      </c>
      <c r="G40" s="10">
        <f>IFERROR(AVERAGEIFS(DataEntry!$HC:$HC,DataEntry!$A:$A,"Liwonde",DataEntry!$B:$B,"Machinga",DataEntry!$G:$G,"Q4"),"")</f>
        <v/>
      </c>
      <c r="H40" s="23">
        <f>IFERROR(AVERAGE(D40:G40),"")</f>
        <v/>
      </c>
    </row>
    <row r="41">
      <c r="A41" s="19" t="inlineStr">
        <is>
          <t>Liwonde</t>
        </is>
      </c>
      <c r="B41" s="19" t="inlineStr">
        <is>
          <t>Machinga</t>
        </is>
      </c>
      <c r="C41" s="6" t="inlineStr">
        <is>
          <t>OpCost per Sales</t>
        </is>
      </c>
      <c r="D41" s="16">
        <f>IFERROR(AVERAGEIFS(DataEntry!$HB:$HB,DataEntry!$A:$A,"Liwonde",DataEntry!$B:$B,"Machinga",DataEntry!$G:$G,"Q1"),"")</f>
        <v/>
      </c>
      <c r="E41" s="16">
        <f>IFERROR(AVERAGEIFS(DataEntry!$HB:$HB,DataEntry!$A:$A,"Liwonde",DataEntry!$B:$B,"Machinga",DataEntry!$G:$G,"Q2"),"")</f>
        <v/>
      </c>
      <c r="F41" s="16">
        <f>IFERROR(AVERAGEIFS(DataEntry!$HB:$HB,DataEntry!$A:$A,"Liwonde",DataEntry!$B:$B,"Machinga",DataEntry!$G:$G,"Q3"),"")</f>
        <v/>
      </c>
      <c r="G41" s="16">
        <f>IFERROR(AVERAGEIFS(DataEntry!$HB:$HB,DataEntry!$A:$A,"Liwonde",DataEntry!$B:$B,"Machinga",DataEntry!$G:$G,"Q4"),"")</f>
        <v/>
      </c>
      <c r="H41" s="24">
        <f>IFERROR(AVERAGE(D41:G41),"")</f>
        <v/>
      </c>
    </row>
    <row r="42">
      <c r="A42" s="21" t="inlineStr">
        <is>
          <t>Liwonde</t>
        </is>
      </c>
      <c r="B42" s="21" t="inlineStr">
        <is>
          <t>Ntaja</t>
        </is>
      </c>
      <c r="C42" s="12" t="inlineStr">
        <is>
          <t>Volume Produced (m³)</t>
        </is>
      </c>
      <c r="D42" s="9">
        <f>IFERROR(SUMIFS(DataEntry!$H:$H,DataEntry!$A:$A,"Liwonde",DataEntry!$B:$B,"Ntaja",DataEntry!$G:$G,"Q1"),"")</f>
        <v/>
      </c>
      <c r="E42" s="9">
        <f>IFERROR(SUMIFS(DataEntry!$H:$H,DataEntry!$A:$A,"Liwonde",DataEntry!$B:$B,"Ntaja",DataEntry!$G:$G,"Q2"),"")</f>
        <v/>
      </c>
      <c r="F42" s="9">
        <f>IFERROR(SUMIFS(DataEntry!$H:$H,DataEntry!$A:$A,"Liwonde",DataEntry!$B:$B,"Ntaja",DataEntry!$G:$G,"Q3"),"")</f>
        <v/>
      </c>
      <c r="G42" s="9">
        <f>IFERROR(SUMIFS(DataEntry!$H:$H,DataEntry!$A:$A,"Liwonde",DataEntry!$B:$B,"Ntaja",DataEntry!$G:$G,"Q4"),"")</f>
        <v/>
      </c>
      <c r="H42" s="22">
        <f>IFERROR(SUM(D42:G42),"")</f>
        <v/>
      </c>
    </row>
    <row r="43">
      <c r="A43" s="19" t="inlineStr">
        <is>
          <t>Liwonde</t>
        </is>
      </c>
      <c r="B43" s="19" t="inlineStr">
        <is>
          <t>Ntaja</t>
        </is>
      </c>
      <c r="C43" s="6" t="inlineStr">
        <is>
          <t>Total Revenue Water</t>
        </is>
      </c>
      <c r="D43" s="15">
        <f>IFERROR(SUMIFS(DataEntry!$S:$S,DataEntry!$A:$A,"Liwonde",DataEntry!$B:$B,"Ntaja",DataEntry!$G:$G,"Q1"),"")</f>
        <v/>
      </c>
      <c r="E43" s="15">
        <f>IFERROR(SUMIFS(DataEntry!$S:$S,DataEntry!$A:$A,"Liwonde",DataEntry!$B:$B,"Ntaja",DataEntry!$G:$G,"Q2"),"")</f>
        <v/>
      </c>
      <c r="F43" s="15">
        <f>IFERROR(SUMIFS(DataEntry!$S:$S,DataEntry!$A:$A,"Liwonde",DataEntry!$B:$B,"Ntaja",DataEntry!$G:$G,"Q3"),"")</f>
        <v/>
      </c>
      <c r="G43" s="15">
        <f>IFERROR(SUMIFS(DataEntry!$S:$S,DataEntry!$A:$A,"Liwonde",DataEntry!$B:$B,"Ntaja",DataEntry!$G:$G,"Q4"),"")</f>
        <v/>
      </c>
      <c r="H43" s="20">
        <f>IFERROR(SUM(D43:G43),"")</f>
        <v/>
      </c>
    </row>
    <row r="44">
      <c r="A44" s="21" t="inlineStr">
        <is>
          <t>Liwonde</t>
        </is>
      </c>
      <c r="B44" s="21" t="inlineStr">
        <is>
          <t>Ntaja</t>
        </is>
      </c>
      <c r="C44" s="12" t="inlineStr">
        <is>
          <t>Non-Revenue Water</t>
        </is>
      </c>
      <c r="D44" s="9">
        <f>IFERROR(SUMIFS(DataEntry!$T:$T,DataEntry!$A:$A,"Liwonde",DataEntry!$B:$B,"Ntaja",DataEntry!$G:$G,"Q1"),"")</f>
        <v/>
      </c>
      <c r="E44" s="9">
        <f>IFERROR(SUMIFS(DataEntry!$T:$T,DataEntry!$A:$A,"Liwonde",DataEntry!$B:$B,"Ntaja",DataEntry!$G:$G,"Q2"),"")</f>
        <v/>
      </c>
      <c r="F44" s="9">
        <f>IFERROR(SUMIFS(DataEntry!$T:$T,DataEntry!$A:$A,"Liwonde",DataEntry!$B:$B,"Ntaja",DataEntry!$G:$G,"Q3"),"")</f>
        <v/>
      </c>
      <c r="G44" s="9">
        <f>IFERROR(SUMIFS(DataEntry!$T:$T,DataEntry!$A:$A,"Liwonde",DataEntry!$B:$B,"Ntaja",DataEntry!$G:$G,"Q4"),"")</f>
        <v/>
      </c>
      <c r="H44" s="22">
        <f>IFERROR(SUM(D44:G44),"")</f>
        <v/>
      </c>
    </row>
    <row r="45">
      <c r="A45" s="19" t="inlineStr">
        <is>
          <t>Liwonde</t>
        </is>
      </c>
      <c r="B45" s="19" t="inlineStr">
        <is>
          <t>Ntaja</t>
        </is>
      </c>
      <c r="C45" s="6" t="inlineStr">
        <is>
          <t>% NRW</t>
        </is>
      </c>
      <c r="D45" s="16">
        <f>IFERROR(AVERAGEIFS(DataEntry!$U:$U,DataEntry!$A:$A,"Liwonde",DataEntry!$B:$B,"Ntaja",DataEntry!$G:$G,"Q1"),"")</f>
        <v/>
      </c>
      <c r="E45" s="16">
        <f>IFERROR(AVERAGEIFS(DataEntry!$U:$U,DataEntry!$A:$A,"Liwonde",DataEntry!$B:$B,"Ntaja",DataEntry!$G:$G,"Q2"),"")</f>
        <v/>
      </c>
      <c r="F45" s="16">
        <f>IFERROR(AVERAGEIFS(DataEntry!$U:$U,DataEntry!$A:$A,"Liwonde",DataEntry!$B:$B,"Ntaja",DataEntry!$G:$G,"Q3"),"")</f>
        <v/>
      </c>
      <c r="G45" s="16">
        <f>IFERROR(AVERAGEIFS(DataEntry!$U:$U,DataEntry!$A:$A,"Liwonde",DataEntry!$B:$B,"Ntaja",DataEntry!$G:$G,"Q4"),"")</f>
        <v/>
      </c>
      <c r="H45" s="24">
        <f>IFERROR(AVERAGE(D45:G45),"")</f>
        <v/>
      </c>
    </row>
    <row r="46">
      <c r="A46" s="21" t="inlineStr">
        <is>
          <t>Liwonde</t>
        </is>
      </c>
      <c r="B46" s="21" t="inlineStr">
        <is>
          <t>Ntaja</t>
        </is>
      </c>
      <c r="C46" s="12" t="inlineStr">
        <is>
          <t>Total Operating Costs</t>
        </is>
      </c>
      <c r="D46" s="9">
        <f>IFERROR(SUMIFS(DataEntry!$AU:$AU,DataEntry!$A:$A,"Liwonde",DataEntry!$B:$B,"Ntaja",DataEntry!$G:$G,"Q1"),"")</f>
        <v/>
      </c>
      <c r="E46" s="9">
        <f>IFERROR(SUMIFS(DataEntry!$AU:$AU,DataEntry!$A:$A,"Liwonde",DataEntry!$B:$B,"Ntaja",DataEntry!$G:$G,"Q2"),"")</f>
        <v/>
      </c>
      <c r="F46" s="9">
        <f>IFERROR(SUMIFS(DataEntry!$AU:$AU,DataEntry!$A:$A,"Liwonde",DataEntry!$B:$B,"Ntaja",DataEntry!$G:$G,"Q3"),"")</f>
        <v/>
      </c>
      <c r="G46" s="9">
        <f>IFERROR(SUMIFS(DataEntry!$AU:$AU,DataEntry!$A:$A,"Liwonde",DataEntry!$B:$B,"Ntaja",DataEntry!$G:$G,"Q4"),"")</f>
        <v/>
      </c>
      <c r="H46" s="22">
        <f>IFERROR(SUM(D46:G46),"")</f>
        <v/>
      </c>
    </row>
    <row r="47">
      <c r="A47" s="19" t="inlineStr">
        <is>
          <t>Liwonde</t>
        </is>
      </c>
      <c r="B47" s="19" t="inlineStr">
        <is>
          <t>Ntaja</t>
        </is>
      </c>
      <c r="C47" s="6" t="inlineStr">
        <is>
          <t>Total Cash Collected</t>
        </is>
      </c>
      <c r="D47" s="15">
        <f>IFERROR(SUMIFS(DataEntry!$GB:$GB,DataEntry!$A:$A,"Liwonde",DataEntry!$B:$B,"Ntaja",DataEntry!$G:$G,"Q1"),"")</f>
        <v/>
      </c>
      <c r="E47" s="15">
        <f>IFERROR(SUMIFS(DataEntry!$GB:$GB,DataEntry!$A:$A,"Liwonde",DataEntry!$B:$B,"Ntaja",DataEntry!$G:$G,"Q2"),"")</f>
        <v/>
      </c>
      <c r="F47" s="15">
        <f>IFERROR(SUMIFS(DataEntry!$GB:$GB,DataEntry!$A:$A,"Liwonde",DataEntry!$B:$B,"Ntaja",DataEntry!$G:$G,"Q3"),"")</f>
        <v/>
      </c>
      <c r="G47" s="15">
        <f>IFERROR(SUMIFS(DataEntry!$GB:$GB,DataEntry!$A:$A,"Liwonde",DataEntry!$B:$B,"Ntaja",DataEntry!$G:$G,"Q4"),"")</f>
        <v/>
      </c>
      <c r="H47" s="20">
        <f>IFERROR(SUM(D47:G47),"")</f>
        <v/>
      </c>
    </row>
    <row r="48">
      <c r="A48" s="21" t="inlineStr">
        <is>
          <t>Liwonde</t>
        </is>
      </c>
      <c r="B48" s="21" t="inlineStr">
        <is>
          <t>Ntaja</t>
        </is>
      </c>
      <c r="C48" s="12" t="inlineStr">
        <is>
          <t>Total Amount Billed</t>
        </is>
      </c>
      <c r="D48" s="9">
        <f>IFERROR(SUMIFS(DataEntry!$GM:$GM,DataEntry!$A:$A,"Liwonde",DataEntry!$B:$B,"Ntaja",DataEntry!$G:$G,"Q1"),"")</f>
        <v/>
      </c>
      <c r="E48" s="9">
        <f>IFERROR(SUMIFS(DataEntry!$GM:$GM,DataEntry!$A:$A,"Liwonde",DataEntry!$B:$B,"Ntaja",DataEntry!$G:$G,"Q2"),"")</f>
        <v/>
      </c>
      <c r="F48" s="9">
        <f>IFERROR(SUMIFS(DataEntry!$GM:$GM,DataEntry!$A:$A,"Liwonde",DataEntry!$B:$B,"Ntaja",DataEntry!$G:$G,"Q3"),"")</f>
        <v/>
      </c>
      <c r="G48" s="9">
        <f>IFERROR(SUMIFS(DataEntry!$GM:$GM,DataEntry!$A:$A,"Liwonde",DataEntry!$B:$B,"Ntaja",DataEntry!$G:$G,"Q4"),"")</f>
        <v/>
      </c>
      <c r="H48" s="22">
        <f>IFERROR(SUM(D48:G48),"")</f>
        <v/>
      </c>
    </row>
    <row r="49">
      <c r="A49" s="19" t="inlineStr">
        <is>
          <t>Liwonde</t>
        </is>
      </c>
      <c r="B49" s="19" t="inlineStr">
        <is>
          <t>Ntaja</t>
        </is>
      </c>
      <c r="C49" s="6" t="inlineStr">
        <is>
          <t>Total Sales</t>
        </is>
      </c>
      <c r="D49" s="15">
        <f>IFERROR(SUMIFS(DataEntry!$GX:$GX,DataEntry!$A:$A,"Liwonde",DataEntry!$B:$B,"Ntaja",DataEntry!$G:$G,"Q1"),"")</f>
        <v/>
      </c>
      <c r="E49" s="15">
        <f>IFERROR(SUMIFS(DataEntry!$GX:$GX,DataEntry!$A:$A,"Liwonde",DataEntry!$B:$B,"Ntaja",DataEntry!$G:$G,"Q2"),"")</f>
        <v/>
      </c>
      <c r="F49" s="15">
        <f>IFERROR(SUMIFS(DataEntry!$GX:$GX,DataEntry!$A:$A,"Liwonde",DataEntry!$B:$B,"Ntaja",DataEntry!$G:$G,"Q3"),"")</f>
        <v/>
      </c>
      <c r="G49" s="15">
        <f>IFERROR(SUMIFS(DataEntry!$GX:$GX,DataEntry!$A:$A,"Liwonde",DataEntry!$B:$B,"Ntaja",DataEntry!$G:$G,"Q4"),"")</f>
        <v/>
      </c>
      <c r="H49" s="20">
        <f>IFERROR(SUM(D49:G49),"")</f>
        <v/>
      </c>
    </row>
    <row r="50">
      <c r="A50" s="21" t="inlineStr">
        <is>
          <t>Liwonde</t>
        </is>
      </c>
      <c r="B50" s="21" t="inlineStr">
        <is>
          <t>Ntaja</t>
        </is>
      </c>
      <c r="C50" s="12" t="inlineStr">
        <is>
          <t>Active Customers</t>
        </is>
      </c>
      <c r="D50" s="9">
        <f>IFERROR(SUMIFS(DataEntry!$CS:$CS,DataEntry!$A:$A,"Liwonde",DataEntry!$B:$B,"Ntaja",DataEntry!$G:$G,"Q1"),"")</f>
        <v/>
      </c>
      <c r="E50" s="9">
        <f>IFERROR(SUMIFS(DataEntry!$CS:$CS,DataEntry!$A:$A,"Liwonde",DataEntry!$B:$B,"Ntaja",DataEntry!$G:$G,"Q2"),"")</f>
        <v/>
      </c>
      <c r="F50" s="9">
        <f>IFERROR(SUMIFS(DataEntry!$CS:$CS,DataEntry!$A:$A,"Liwonde",DataEntry!$B:$B,"Ntaja",DataEntry!$G:$G,"Q3"),"")</f>
        <v/>
      </c>
      <c r="G50" s="9">
        <f>IFERROR(SUMIFS(DataEntry!$CS:$CS,DataEntry!$A:$A,"Liwonde",DataEntry!$B:$B,"Ntaja",DataEntry!$G:$G,"Q4"),"")</f>
        <v/>
      </c>
      <c r="H50" s="22">
        <f>IFERROR(SUM(D50:G50),"")</f>
        <v/>
      </c>
    </row>
    <row r="51">
      <c r="A51" s="19" t="inlineStr">
        <is>
          <t>Liwonde</t>
        </is>
      </c>
      <c r="B51" s="19" t="inlineStr">
        <is>
          <t>Ntaja</t>
        </is>
      </c>
      <c r="C51" s="6" t="inlineStr">
        <is>
          <t>New Connections</t>
        </is>
      </c>
      <c r="D51" s="15">
        <f>IFERROR(SUMIFS(DataEntry!$CA:$CA,DataEntry!$A:$A,"Liwonde",DataEntry!$B:$B,"Ntaja",DataEntry!$G:$G,"Q1"),"")</f>
        <v/>
      </c>
      <c r="E51" s="15">
        <f>IFERROR(SUMIFS(DataEntry!$CA:$CA,DataEntry!$A:$A,"Liwonde",DataEntry!$B:$B,"Ntaja",DataEntry!$G:$G,"Q2"),"")</f>
        <v/>
      </c>
      <c r="F51" s="15">
        <f>IFERROR(SUMIFS(DataEntry!$CA:$CA,DataEntry!$A:$A,"Liwonde",DataEntry!$B:$B,"Ntaja",DataEntry!$G:$G,"Q3"),"")</f>
        <v/>
      </c>
      <c r="G51" s="15">
        <f>IFERROR(SUMIFS(DataEntry!$CA:$CA,DataEntry!$A:$A,"Liwonde",DataEntry!$B:$B,"Ntaja",DataEntry!$G:$G,"Q4"),"")</f>
        <v/>
      </c>
      <c r="H51" s="20">
        <f>IFERROR(SUM(D51:G51),"")</f>
        <v/>
      </c>
    </row>
    <row r="52">
      <c r="A52" s="21" t="inlineStr">
        <is>
          <t>Liwonde</t>
        </is>
      </c>
      <c r="B52" s="21" t="inlineStr">
        <is>
          <t>Ntaja</t>
        </is>
      </c>
      <c r="C52" s="12" t="inlineStr">
        <is>
          <t>Stuck Meters C/Fwd</t>
        </is>
      </c>
      <c r="D52" s="9">
        <f>IFERROR(SUMIFS(DataEntry!$DV:$DV,DataEntry!$A:$A,"Liwonde",DataEntry!$B:$B,"Ntaja",DataEntry!$G:$G,"Q1"),"")</f>
        <v/>
      </c>
      <c r="E52" s="9">
        <f>IFERROR(SUMIFS(DataEntry!$DV:$DV,DataEntry!$A:$A,"Liwonde",DataEntry!$B:$B,"Ntaja",DataEntry!$G:$G,"Q2"),"")</f>
        <v/>
      </c>
      <c r="F52" s="9">
        <f>IFERROR(SUMIFS(DataEntry!$DV:$DV,DataEntry!$A:$A,"Liwonde",DataEntry!$B:$B,"Ntaja",DataEntry!$G:$G,"Q3"),"")</f>
        <v/>
      </c>
      <c r="G52" s="9">
        <f>IFERROR(SUMIFS(DataEntry!$DV:$DV,DataEntry!$A:$A,"Liwonde",DataEntry!$B:$B,"Ntaja",DataEntry!$G:$G,"Q4"),"")</f>
        <v/>
      </c>
      <c r="H52" s="22">
        <f>IFERROR(SUM(D52:G52),"")</f>
        <v/>
      </c>
    </row>
    <row r="53">
      <c r="A53" s="19" t="inlineStr">
        <is>
          <t>Liwonde</t>
        </is>
      </c>
      <c r="B53" s="19" t="inlineStr">
        <is>
          <t>Ntaja</t>
        </is>
      </c>
      <c r="C53" s="6" t="inlineStr">
        <is>
          <t>Cash Collection Rate</t>
        </is>
      </c>
      <c r="D53" s="16">
        <f>IFERROR(AVERAGEIFS(DataEntry!$HC:$HC,DataEntry!$A:$A,"Liwonde",DataEntry!$B:$B,"Ntaja",DataEntry!$G:$G,"Q1"),"")</f>
        <v/>
      </c>
      <c r="E53" s="16">
        <f>IFERROR(AVERAGEIFS(DataEntry!$HC:$HC,DataEntry!$A:$A,"Liwonde",DataEntry!$B:$B,"Ntaja",DataEntry!$G:$G,"Q2"),"")</f>
        <v/>
      </c>
      <c r="F53" s="16">
        <f>IFERROR(AVERAGEIFS(DataEntry!$HC:$HC,DataEntry!$A:$A,"Liwonde",DataEntry!$B:$B,"Ntaja",DataEntry!$G:$G,"Q3"),"")</f>
        <v/>
      </c>
      <c r="G53" s="16">
        <f>IFERROR(AVERAGEIFS(DataEntry!$HC:$HC,DataEntry!$A:$A,"Liwonde",DataEntry!$B:$B,"Ntaja",DataEntry!$G:$G,"Q4"),"")</f>
        <v/>
      </c>
      <c r="H53" s="24">
        <f>IFERROR(AVERAGE(D53:G53),"")</f>
        <v/>
      </c>
    </row>
    <row r="54">
      <c r="A54" s="21" t="inlineStr">
        <is>
          <t>Liwonde</t>
        </is>
      </c>
      <c r="B54" s="21" t="inlineStr">
        <is>
          <t>Ntaja</t>
        </is>
      </c>
      <c r="C54" s="12" t="inlineStr">
        <is>
          <t>OpCost per Sales</t>
        </is>
      </c>
      <c r="D54" s="10">
        <f>IFERROR(AVERAGEIFS(DataEntry!$HB:$HB,DataEntry!$A:$A,"Liwonde",DataEntry!$B:$B,"Ntaja",DataEntry!$G:$G,"Q1"),"")</f>
        <v/>
      </c>
      <c r="E54" s="10">
        <f>IFERROR(AVERAGEIFS(DataEntry!$HB:$HB,DataEntry!$A:$A,"Liwonde",DataEntry!$B:$B,"Ntaja",DataEntry!$G:$G,"Q2"),"")</f>
        <v/>
      </c>
      <c r="F54" s="10">
        <f>IFERROR(AVERAGEIFS(DataEntry!$HB:$HB,DataEntry!$A:$A,"Liwonde",DataEntry!$B:$B,"Ntaja",DataEntry!$G:$G,"Q3"),"")</f>
        <v/>
      </c>
      <c r="G54" s="10">
        <f>IFERROR(AVERAGEIFS(DataEntry!$HB:$HB,DataEntry!$A:$A,"Liwonde",DataEntry!$B:$B,"Ntaja",DataEntry!$G:$G,"Q4"),"")</f>
        <v/>
      </c>
      <c r="H54" s="23">
        <f>IFERROR(AVERAGE(D54:G54),"")</f>
        <v/>
      </c>
    </row>
    <row r="55">
      <c r="A55" s="19" t="inlineStr">
        <is>
          <t>Mangochi</t>
        </is>
      </c>
      <c r="B55" s="19" t="inlineStr">
        <is>
          <t>Mangochi</t>
        </is>
      </c>
      <c r="C55" s="6" t="inlineStr">
        <is>
          <t>Volume Produced (m³)</t>
        </is>
      </c>
      <c r="D55" s="15">
        <f>IFERROR(SUMIFS(DataEntry!$H:$H,DataEntry!$A:$A,"Mangochi",DataEntry!$B:$B,"Mangochi",DataEntry!$G:$G,"Q1"),"")</f>
        <v/>
      </c>
      <c r="E55" s="15">
        <f>IFERROR(SUMIFS(DataEntry!$H:$H,DataEntry!$A:$A,"Mangochi",DataEntry!$B:$B,"Mangochi",DataEntry!$G:$G,"Q2"),"")</f>
        <v/>
      </c>
      <c r="F55" s="15">
        <f>IFERROR(SUMIFS(DataEntry!$H:$H,DataEntry!$A:$A,"Mangochi",DataEntry!$B:$B,"Mangochi",DataEntry!$G:$G,"Q3"),"")</f>
        <v/>
      </c>
      <c r="G55" s="15">
        <f>IFERROR(SUMIFS(DataEntry!$H:$H,DataEntry!$A:$A,"Mangochi",DataEntry!$B:$B,"Mangochi",DataEntry!$G:$G,"Q4"),"")</f>
        <v/>
      </c>
      <c r="H55" s="20">
        <f>IFERROR(SUM(D55:G55),"")</f>
        <v/>
      </c>
    </row>
    <row r="56">
      <c r="A56" s="21" t="inlineStr">
        <is>
          <t>Mangochi</t>
        </is>
      </c>
      <c r="B56" s="21" t="inlineStr">
        <is>
          <t>Mangochi</t>
        </is>
      </c>
      <c r="C56" s="12" t="inlineStr">
        <is>
          <t>Total Revenue Water</t>
        </is>
      </c>
      <c r="D56" s="9">
        <f>IFERROR(SUMIFS(DataEntry!$S:$S,DataEntry!$A:$A,"Mangochi",DataEntry!$B:$B,"Mangochi",DataEntry!$G:$G,"Q1"),"")</f>
        <v/>
      </c>
      <c r="E56" s="9">
        <f>IFERROR(SUMIFS(DataEntry!$S:$S,DataEntry!$A:$A,"Mangochi",DataEntry!$B:$B,"Mangochi",DataEntry!$G:$G,"Q2"),"")</f>
        <v/>
      </c>
      <c r="F56" s="9">
        <f>IFERROR(SUMIFS(DataEntry!$S:$S,DataEntry!$A:$A,"Mangochi",DataEntry!$B:$B,"Mangochi",DataEntry!$G:$G,"Q3"),"")</f>
        <v/>
      </c>
      <c r="G56" s="9">
        <f>IFERROR(SUMIFS(DataEntry!$S:$S,DataEntry!$A:$A,"Mangochi",DataEntry!$B:$B,"Mangochi",DataEntry!$G:$G,"Q4"),"")</f>
        <v/>
      </c>
      <c r="H56" s="22">
        <f>IFERROR(SUM(D56:G56),"")</f>
        <v/>
      </c>
    </row>
    <row r="57">
      <c r="A57" s="19" t="inlineStr">
        <is>
          <t>Mangochi</t>
        </is>
      </c>
      <c r="B57" s="19" t="inlineStr">
        <is>
          <t>Mangochi</t>
        </is>
      </c>
      <c r="C57" s="6" t="inlineStr">
        <is>
          <t>Non-Revenue Water</t>
        </is>
      </c>
      <c r="D57" s="15">
        <f>IFERROR(SUMIFS(DataEntry!$T:$T,DataEntry!$A:$A,"Mangochi",DataEntry!$B:$B,"Mangochi",DataEntry!$G:$G,"Q1"),"")</f>
        <v/>
      </c>
      <c r="E57" s="15">
        <f>IFERROR(SUMIFS(DataEntry!$T:$T,DataEntry!$A:$A,"Mangochi",DataEntry!$B:$B,"Mangochi",DataEntry!$G:$G,"Q2"),"")</f>
        <v/>
      </c>
      <c r="F57" s="15">
        <f>IFERROR(SUMIFS(DataEntry!$T:$T,DataEntry!$A:$A,"Mangochi",DataEntry!$B:$B,"Mangochi",DataEntry!$G:$G,"Q3"),"")</f>
        <v/>
      </c>
      <c r="G57" s="15">
        <f>IFERROR(SUMIFS(DataEntry!$T:$T,DataEntry!$A:$A,"Mangochi",DataEntry!$B:$B,"Mangochi",DataEntry!$G:$G,"Q4"),"")</f>
        <v/>
      </c>
      <c r="H57" s="20">
        <f>IFERROR(SUM(D57:G57),"")</f>
        <v/>
      </c>
    </row>
    <row r="58">
      <c r="A58" s="21" t="inlineStr">
        <is>
          <t>Mangochi</t>
        </is>
      </c>
      <c r="B58" s="21" t="inlineStr">
        <is>
          <t>Mangochi</t>
        </is>
      </c>
      <c r="C58" s="12" t="inlineStr">
        <is>
          <t>% NRW</t>
        </is>
      </c>
      <c r="D58" s="10">
        <f>IFERROR(AVERAGEIFS(DataEntry!$U:$U,DataEntry!$A:$A,"Mangochi",DataEntry!$B:$B,"Mangochi",DataEntry!$G:$G,"Q1"),"")</f>
        <v/>
      </c>
      <c r="E58" s="10">
        <f>IFERROR(AVERAGEIFS(DataEntry!$U:$U,DataEntry!$A:$A,"Mangochi",DataEntry!$B:$B,"Mangochi",DataEntry!$G:$G,"Q2"),"")</f>
        <v/>
      </c>
      <c r="F58" s="10">
        <f>IFERROR(AVERAGEIFS(DataEntry!$U:$U,DataEntry!$A:$A,"Mangochi",DataEntry!$B:$B,"Mangochi",DataEntry!$G:$G,"Q3"),"")</f>
        <v/>
      </c>
      <c r="G58" s="10">
        <f>IFERROR(AVERAGEIFS(DataEntry!$U:$U,DataEntry!$A:$A,"Mangochi",DataEntry!$B:$B,"Mangochi",DataEntry!$G:$G,"Q4"),"")</f>
        <v/>
      </c>
      <c r="H58" s="23">
        <f>IFERROR(AVERAGE(D58:G58),"")</f>
        <v/>
      </c>
    </row>
    <row r="59">
      <c r="A59" s="19" t="inlineStr">
        <is>
          <t>Mangochi</t>
        </is>
      </c>
      <c r="B59" s="19" t="inlineStr">
        <is>
          <t>Mangochi</t>
        </is>
      </c>
      <c r="C59" s="6" t="inlineStr">
        <is>
          <t>Total Operating Costs</t>
        </is>
      </c>
      <c r="D59" s="15">
        <f>IFERROR(SUMIFS(DataEntry!$AU:$AU,DataEntry!$A:$A,"Mangochi",DataEntry!$B:$B,"Mangochi",DataEntry!$G:$G,"Q1"),"")</f>
        <v/>
      </c>
      <c r="E59" s="15">
        <f>IFERROR(SUMIFS(DataEntry!$AU:$AU,DataEntry!$A:$A,"Mangochi",DataEntry!$B:$B,"Mangochi",DataEntry!$G:$G,"Q2"),"")</f>
        <v/>
      </c>
      <c r="F59" s="15">
        <f>IFERROR(SUMIFS(DataEntry!$AU:$AU,DataEntry!$A:$A,"Mangochi",DataEntry!$B:$B,"Mangochi",DataEntry!$G:$G,"Q3"),"")</f>
        <v/>
      </c>
      <c r="G59" s="15">
        <f>IFERROR(SUMIFS(DataEntry!$AU:$AU,DataEntry!$A:$A,"Mangochi",DataEntry!$B:$B,"Mangochi",DataEntry!$G:$G,"Q4"),"")</f>
        <v/>
      </c>
      <c r="H59" s="20">
        <f>IFERROR(SUM(D59:G59),"")</f>
        <v/>
      </c>
    </row>
    <row r="60">
      <c r="A60" s="21" t="inlineStr">
        <is>
          <t>Mangochi</t>
        </is>
      </c>
      <c r="B60" s="21" t="inlineStr">
        <is>
          <t>Mangochi</t>
        </is>
      </c>
      <c r="C60" s="12" t="inlineStr">
        <is>
          <t>Total Cash Collected</t>
        </is>
      </c>
      <c r="D60" s="9">
        <f>IFERROR(SUMIFS(DataEntry!$GB:$GB,DataEntry!$A:$A,"Mangochi",DataEntry!$B:$B,"Mangochi",DataEntry!$G:$G,"Q1"),"")</f>
        <v/>
      </c>
      <c r="E60" s="9">
        <f>IFERROR(SUMIFS(DataEntry!$GB:$GB,DataEntry!$A:$A,"Mangochi",DataEntry!$B:$B,"Mangochi",DataEntry!$G:$G,"Q2"),"")</f>
        <v/>
      </c>
      <c r="F60" s="9">
        <f>IFERROR(SUMIFS(DataEntry!$GB:$GB,DataEntry!$A:$A,"Mangochi",DataEntry!$B:$B,"Mangochi",DataEntry!$G:$G,"Q3"),"")</f>
        <v/>
      </c>
      <c r="G60" s="9">
        <f>IFERROR(SUMIFS(DataEntry!$GB:$GB,DataEntry!$A:$A,"Mangochi",DataEntry!$B:$B,"Mangochi",DataEntry!$G:$G,"Q4"),"")</f>
        <v/>
      </c>
      <c r="H60" s="22">
        <f>IFERROR(SUM(D60:G60),"")</f>
        <v/>
      </c>
    </row>
    <row r="61">
      <c r="A61" s="19" t="inlineStr">
        <is>
          <t>Mangochi</t>
        </is>
      </c>
      <c r="B61" s="19" t="inlineStr">
        <is>
          <t>Mangochi</t>
        </is>
      </c>
      <c r="C61" s="6" t="inlineStr">
        <is>
          <t>Total Amount Billed</t>
        </is>
      </c>
      <c r="D61" s="15">
        <f>IFERROR(SUMIFS(DataEntry!$GM:$GM,DataEntry!$A:$A,"Mangochi",DataEntry!$B:$B,"Mangochi",DataEntry!$G:$G,"Q1"),"")</f>
        <v/>
      </c>
      <c r="E61" s="15">
        <f>IFERROR(SUMIFS(DataEntry!$GM:$GM,DataEntry!$A:$A,"Mangochi",DataEntry!$B:$B,"Mangochi",DataEntry!$G:$G,"Q2"),"")</f>
        <v/>
      </c>
      <c r="F61" s="15">
        <f>IFERROR(SUMIFS(DataEntry!$GM:$GM,DataEntry!$A:$A,"Mangochi",DataEntry!$B:$B,"Mangochi",DataEntry!$G:$G,"Q3"),"")</f>
        <v/>
      </c>
      <c r="G61" s="15">
        <f>IFERROR(SUMIFS(DataEntry!$GM:$GM,DataEntry!$A:$A,"Mangochi",DataEntry!$B:$B,"Mangochi",DataEntry!$G:$G,"Q4"),"")</f>
        <v/>
      </c>
      <c r="H61" s="20">
        <f>IFERROR(SUM(D61:G61),"")</f>
        <v/>
      </c>
    </row>
    <row r="62">
      <c r="A62" s="21" t="inlineStr">
        <is>
          <t>Mangochi</t>
        </is>
      </c>
      <c r="B62" s="21" t="inlineStr">
        <is>
          <t>Mangochi</t>
        </is>
      </c>
      <c r="C62" s="12" t="inlineStr">
        <is>
          <t>Total Sales</t>
        </is>
      </c>
      <c r="D62" s="9">
        <f>IFERROR(SUMIFS(DataEntry!$GX:$GX,DataEntry!$A:$A,"Mangochi",DataEntry!$B:$B,"Mangochi",DataEntry!$G:$G,"Q1"),"")</f>
        <v/>
      </c>
      <c r="E62" s="9">
        <f>IFERROR(SUMIFS(DataEntry!$GX:$GX,DataEntry!$A:$A,"Mangochi",DataEntry!$B:$B,"Mangochi",DataEntry!$G:$G,"Q2"),"")</f>
        <v/>
      </c>
      <c r="F62" s="9">
        <f>IFERROR(SUMIFS(DataEntry!$GX:$GX,DataEntry!$A:$A,"Mangochi",DataEntry!$B:$B,"Mangochi",DataEntry!$G:$G,"Q3"),"")</f>
        <v/>
      </c>
      <c r="G62" s="9">
        <f>IFERROR(SUMIFS(DataEntry!$GX:$GX,DataEntry!$A:$A,"Mangochi",DataEntry!$B:$B,"Mangochi",DataEntry!$G:$G,"Q4"),"")</f>
        <v/>
      </c>
      <c r="H62" s="22">
        <f>IFERROR(SUM(D62:G62),"")</f>
        <v/>
      </c>
    </row>
    <row r="63">
      <c r="A63" s="19" t="inlineStr">
        <is>
          <t>Mangochi</t>
        </is>
      </c>
      <c r="B63" s="19" t="inlineStr">
        <is>
          <t>Mangochi</t>
        </is>
      </c>
      <c r="C63" s="6" t="inlineStr">
        <is>
          <t>Active Customers</t>
        </is>
      </c>
      <c r="D63" s="15">
        <f>IFERROR(SUMIFS(DataEntry!$CS:$CS,DataEntry!$A:$A,"Mangochi",DataEntry!$B:$B,"Mangochi",DataEntry!$G:$G,"Q1"),"")</f>
        <v/>
      </c>
      <c r="E63" s="15">
        <f>IFERROR(SUMIFS(DataEntry!$CS:$CS,DataEntry!$A:$A,"Mangochi",DataEntry!$B:$B,"Mangochi",DataEntry!$G:$G,"Q2"),"")</f>
        <v/>
      </c>
      <c r="F63" s="15">
        <f>IFERROR(SUMIFS(DataEntry!$CS:$CS,DataEntry!$A:$A,"Mangochi",DataEntry!$B:$B,"Mangochi",DataEntry!$G:$G,"Q3"),"")</f>
        <v/>
      </c>
      <c r="G63" s="15">
        <f>IFERROR(SUMIFS(DataEntry!$CS:$CS,DataEntry!$A:$A,"Mangochi",DataEntry!$B:$B,"Mangochi",DataEntry!$G:$G,"Q4"),"")</f>
        <v/>
      </c>
      <c r="H63" s="20">
        <f>IFERROR(SUM(D63:G63),"")</f>
        <v/>
      </c>
    </row>
    <row r="64">
      <c r="A64" s="21" t="inlineStr">
        <is>
          <t>Mangochi</t>
        </is>
      </c>
      <c r="B64" s="21" t="inlineStr">
        <is>
          <t>Mangochi</t>
        </is>
      </c>
      <c r="C64" s="12" t="inlineStr">
        <is>
          <t>New Connections</t>
        </is>
      </c>
      <c r="D64" s="9">
        <f>IFERROR(SUMIFS(DataEntry!$CA:$CA,DataEntry!$A:$A,"Mangochi",DataEntry!$B:$B,"Mangochi",DataEntry!$G:$G,"Q1"),"")</f>
        <v/>
      </c>
      <c r="E64" s="9">
        <f>IFERROR(SUMIFS(DataEntry!$CA:$CA,DataEntry!$A:$A,"Mangochi",DataEntry!$B:$B,"Mangochi",DataEntry!$G:$G,"Q2"),"")</f>
        <v/>
      </c>
      <c r="F64" s="9">
        <f>IFERROR(SUMIFS(DataEntry!$CA:$CA,DataEntry!$A:$A,"Mangochi",DataEntry!$B:$B,"Mangochi",DataEntry!$G:$G,"Q3"),"")</f>
        <v/>
      </c>
      <c r="G64" s="9">
        <f>IFERROR(SUMIFS(DataEntry!$CA:$CA,DataEntry!$A:$A,"Mangochi",DataEntry!$B:$B,"Mangochi",DataEntry!$G:$G,"Q4"),"")</f>
        <v/>
      </c>
      <c r="H64" s="22">
        <f>IFERROR(SUM(D64:G64),"")</f>
        <v/>
      </c>
    </row>
    <row r="65">
      <c r="A65" s="19" t="inlineStr">
        <is>
          <t>Mangochi</t>
        </is>
      </c>
      <c r="B65" s="19" t="inlineStr">
        <is>
          <t>Mangochi</t>
        </is>
      </c>
      <c r="C65" s="6" t="inlineStr">
        <is>
          <t>Stuck Meters C/Fwd</t>
        </is>
      </c>
      <c r="D65" s="15">
        <f>IFERROR(SUMIFS(DataEntry!$DV:$DV,DataEntry!$A:$A,"Mangochi",DataEntry!$B:$B,"Mangochi",DataEntry!$G:$G,"Q1"),"")</f>
        <v/>
      </c>
      <c r="E65" s="15">
        <f>IFERROR(SUMIFS(DataEntry!$DV:$DV,DataEntry!$A:$A,"Mangochi",DataEntry!$B:$B,"Mangochi",DataEntry!$G:$G,"Q2"),"")</f>
        <v/>
      </c>
      <c r="F65" s="15">
        <f>IFERROR(SUMIFS(DataEntry!$DV:$DV,DataEntry!$A:$A,"Mangochi",DataEntry!$B:$B,"Mangochi",DataEntry!$G:$G,"Q3"),"")</f>
        <v/>
      </c>
      <c r="G65" s="15">
        <f>IFERROR(SUMIFS(DataEntry!$DV:$DV,DataEntry!$A:$A,"Mangochi",DataEntry!$B:$B,"Mangochi",DataEntry!$G:$G,"Q4"),"")</f>
        <v/>
      </c>
      <c r="H65" s="20">
        <f>IFERROR(SUM(D65:G65),"")</f>
        <v/>
      </c>
    </row>
    <row r="66">
      <c r="A66" s="21" t="inlineStr">
        <is>
          <t>Mangochi</t>
        </is>
      </c>
      <c r="B66" s="21" t="inlineStr">
        <is>
          <t>Mangochi</t>
        </is>
      </c>
      <c r="C66" s="12" t="inlineStr">
        <is>
          <t>Cash Collection Rate</t>
        </is>
      </c>
      <c r="D66" s="10">
        <f>IFERROR(AVERAGEIFS(DataEntry!$HC:$HC,DataEntry!$A:$A,"Mangochi",DataEntry!$B:$B,"Mangochi",DataEntry!$G:$G,"Q1"),"")</f>
        <v/>
      </c>
      <c r="E66" s="10">
        <f>IFERROR(AVERAGEIFS(DataEntry!$HC:$HC,DataEntry!$A:$A,"Mangochi",DataEntry!$B:$B,"Mangochi",DataEntry!$G:$G,"Q2"),"")</f>
        <v/>
      </c>
      <c r="F66" s="10">
        <f>IFERROR(AVERAGEIFS(DataEntry!$HC:$HC,DataEntry!$A:$A,"Mangochi",DataEntry!$B:$B,"Mangochi",DataEntry!$G:$G,"Q3"),"")</f>
        <v/>
      </c>
      <c r="G66" s="10">
        <f>IFERROR(AVERAGEIFS(DataEntry!$HC:$HC,DataEntry!$A:$A,"Mangochi",DataEntry!$B:$B,"Mangochi",DataEntry!$G:$G,"Q4"),"")</f>
        <v/>
      </c>
      <c r="H66" s="23">
        <f>IFERROR(AVERAGE(D66:G66),"")</f>
        <v/>
      </c>
    </row>
    <row r="67">
      <c r="A67" s="19" t="inlineStr">
        <is>
          <t>Mangochi</t>
        </is>
      </c>
      <c r="B67" s="19" t="inlineStr">
        <is>
          <t>Mangochi</t>
        </is>
      </c>
      <c r="C67" s="6" t="inlineStr">
        <is>
          <t>OpCost per Sales</t>
        </is>
      </c>
      <c r="D67" s="16">
        <f>IFERROR(AVERAGEIFS(DataEntry!$HB:$HB,DataEntry!$A:$A,"Mangochi",DataEntry!$B:$B,"Mangochi",DataEntry!$G:$G,"Q1"),"")</f>
        <v/>
      </c>
      <c r="E67" s="16">
        <f>IFERROR(AVERAGEIFS(DataEntry!$HB:$HB,DataEntry!$A:$A,"Mangochi",DataEntry!$B:$B,"Mangochi",DataEntry!$G:$G,"Q2"),"")</f>
        <v/>
      </c>
      <c r="F67" s="16">
        <f>IFERROR(AVERAGEIFS(DataEntry!$HB:$HB,DataEntry!$A:$A,"Mangochi",DataEntry!$B:$B,"Mangochi",DataEntry!$G:$G,"Q3"),"")</f>
        <v/>
      </c>
      <c r="G67" s="16">
        <f>IFERROR(AVERAGEIFS(DataEntry!$HB:$HB,DataEntry!$A:$A,"Mangochi",DataEntry!$B:$B,"Mangochi",DataEntry!$G:$G,"Q4"),"")</f>
        <v/>
      </c>
      <c r="H67" s="24">
        <f>IFERROR(AVERAGE(D67:G67),"")</f>
        <v/>
      </c>
    </row>
    <row r="68">
      <c r="A68" s="21" t="inlineStr">
        <is>
          <t>Mangochi</t>
        </is>
      </c>
      <c r="B68" s="21" t="inlineStr">
        <is>
          <t>Monkey Bay</t>
        </is>
      </c>
      <c r="C68" s="12" t="inlineStr">
        <is>
          <t>Volume Produced (m³)</t>
        </is>
      </c>
      <c r="D68" s="9">
        <f>IFERROR(SUMIFS(DataEntry!$H:$H,DataEntry!$A:$A,"Mangochi",DataEntry!$B:$B,"Monkey Bay",DataEntry!$G:$G,"Q1"),"")</f>
        <v/>
      </c>
      <c r="E68" s="9">
        <f>IFERROR(SUMIFS(DataEntry!$H:$H,DataEntry!$A:$A,"Mangochi",DataEntry!$B:$B,"Monkey Bay",DataEntry!$G:$G,"Q2"),"")</f>
        <v/>
      </c>
      <c r="F68" s="9">
        <f>IFERROR(SUMIFS(DataEntry!$H:$H,DataEntry!$A:$A,"Mangochi",DataEntry!$B:$B,"Monkey Bay",DataEntry!$G:$G,"Q3"),"")</f>
        <v/>
      </c>
      <c r="G68" s="9">
        <f>IFERROR(SUMIFS(DataEntry!$H:$H,DataEntry!$A:$A,"Mangochi",DataEntry!$B:$B,"Monkey Bay",DataEntry!$G:$G,"Q4"),"")</f>
        <v/>
      </c>
      <c r="H68" s="22">
        <f>IFERROR(SUM(D68:G68),"")</f>
        <v/>
      </c>
    </row>
    <row r="69">
      <c r="A69" s="19" t="inlineStr">
        <is>
          <t>Mangochi</t>
        </is>
      </c>
      <c r="B69" s="19" t="inlineStr">
        <is>
          <t>Monkey Bay</t>
        </is>
      </c>
      <c r="C69" s="6" t="inlineStr">
        <is>
          <t>Total Revenue Water</t>
        </is>
      </c>
      <c r="D69" s="15">
        <f>IFERROR(SUMIFS(DataEntry!$S:$S,DataEntry!$A:$A,"Mangochi",DataEntry!$B:$B,"Monkey Bay",DataEntry!$G:$G,"Q1"),"")</f>
        <v/>
      </c>
      <c r="E69" s="15">
        <f>IFERROR(SUMIFS(DataEntry!$S:$S,DataEntry!$A:$A,"Mangochi",DataEntry!$B:$B,"Monkey Bay",DataEntry!$G:$G,"Q2"),"")</f>
        <v/>
      </c>
      <c r="F69" s="15">
        <f>IFERROR(SUMIFS(DataEntry!$S:$S,DataEntry!$A:$A,"Mangochi",DataEntry!$B:$B,"Monkey Bay",DataEntry!$G:$G,"Q3"),"")</f>
        <v/>
      </c>
      <c r="G69" s="15">
        <f>IFERROR(SUMIFS(DataEntry!$S:$S,DataEntry!$A:$A,"Mangochi",DataEntry!$B:$B,"Monkey Bay",DataEntry!$G:$G,"Q4"),"")</f>
        <v/>
      </c>
      <c r="H69" s="20">
        <f>IFERROR(SUM(D69:G69),"")</f>
        <v/>
      </c>
    </row>
    <row r="70">
      <c r="A70" s="21" t="inlineStr">
        <is>
          <t>Mangochi</t>
        </is>
      </c>
      <c r="B70" s="21" t="inlineStr">
        <is>
          <t>Monkey Bay</t>
        </is>
      </c>
      <c r="C70" s="12" t="inlineStr">
        <is>
          <t>Non-Revenue Water</t>
        </is>
      </c>
      <c r="D70" s="9">
        <f>IFERROR(SUMIFS(DataEntry!$T:$T,DataEntry!$A:$A,"Mangochi",DataEntry!$B:$B,"Monkey Bay",DataEntry!$G:$G,"Q1"),"")</f>
        <v/>
      </c>
      <c r="E70" s="9">
        <f>IFERROR(SUMIFS(DataEntry!$T:$T,DataEntry!$A:$A,"Mangochi",DataEntry!$B:$B,"Monkey Bay",DataEntry!$G:$G,"Q2"),"")</f>
        <v/>
      </c>
      <c r="F70" s="9">
        <f>IFERROR(SUMIFS(DataEntry!$T:$T,DataEntry!$A:$A,"Mangochi",DataEntry!$B:$B,"Monkey Bay",DataEntry!$G:$G,"Q3"),"")</f>
        <v/>
      </c>
      <c r="G70" s="9">
        <f>IFERROR(SUMIFS(DataEntry!$T:$T,DataEntry!$A:$A,"Mangochi",DataEntry!$B:$B,"Monkey Bay",DataEntry!$G:$G,"Q4"),"")</f>
        <v/>
      </c>
      <c r="H70" s="22">
        <f>IFERROR(SUM(D70:G70),"")</f>
        <v/>
      </c>
    </row>
    <row r="71">
      <c r="A71" s="19" t="inlineStr">
        <is>
          <t>Mangochi</t>
        </is>
      </c>
      <c r="B71" s="19" t="inlineStr">
        <is>
          <t>Monkey Bay</t>
        </is>
      </c>
      <c r="C71" s="6" t="inlineStr">
        <is>
          <t>% NRW</t>
        </is>
      </c>
      <c r="D71" s="16">
        <f>IFERROR(AVERAGEIFS(DataEntry!$U:$U,DataEntry!$A:$A,"Mangochi",DataEntry!$B:$B,"Monkey Bay",DataEntry!$G:$G,"Q1"),"")</f>
        <v/>
      </c>
      <c r="E71" s="16">
        <f>IFERROR(AVERAGEIFS(DataEntry!$U:$U,DataEntry!$A:$A,"Mangochi",DataEntry!$B:$B,"Monkey Bay",DataEntry!$G:$G,"Q2"),"")</f>
        <v/>
      </c>
      <c r="F71" s="16">
        <f>IFERROR(AVERAGEIFS(DataEntry!$U:$U,DataEntry!$A:$A,"Mangochi",DataEntry!$B:$B,"Monkey Bay",DataEntry!$G:$G,"Q3"),"")</f>
        <v/>
      </c>
      <c r="G71" s="16">
        <f>IFERROR(AVERAGEIFS(DataEntry!$U:$U,DataEntry!$A:$A,"Mangochi",DataEntry!$B:$B,"Monkey Bay",DataEntry!$G:$G,"Q4"),"")</f>
        <v/>
      </c>
      <c r="H71" s="24">
        <f>IFERROR(AVERAGE(D71:G71),"")</f>
        <v/>
      </c>
    </row>
    <row r="72">
      <c r="A72" s="21" t="inlineStr">
        <is>
          <t>Mangochi</t>
        </is>
      </c>
      <c r="B72" s="21" t="inlineStr">
        <is>
          <t>Monkey Bay</t>
        </is>
      </c>
      <c r="C72" s="12" t="inlineStr">
        <is>
          <t>Total Operating Costs</t>
        </is>
      </c>
      <c r="D72" s="9">
        <f>IFERROR(SUMIFS(DataEntry!$AU:$AU,DataEntry!$A:$A,"Mangochi",DataEntry!$B:$B,"Monkey Bay",DataEntry!$G:$G,"Q1"),"")</f>
        <v/>
      </c>
      <c r="E72" s="9">
        <f>IFERROR(SUMIFS(DataEntry!$AU:$AU,DataEntry!$A:$A,"Mangochi",DataEntry!$B:$B,"Monkey Bay",DataEntry!$G:$G,"Q2"),"")</f>
        <v/>
      </c>
      <c r="F72" s="9">
        <f>IFERROR(SUMIFS(DataEntry!$AU:$AU,DataEntry!$A:$A,"Mangochi",DataEntry!$B:$B,"Monkey Bay",DataEntry!$G:$G,"Q3"),"")</f>
        <v/>
      </c>
      <c r="G72" s="9">
        <f>IFERROR(SUMIFS(DataEntry!$AU:$AU,DataEntry!$A:$A,"Mangochi",DataEntry!$B:$B,"Monkey Bay",DataEntry!$G:$G,"Q4"),"")</f>
        <v/>
      </c>
      <c r="H72" s="22">
        <f>IFERROR(SUM(D72:G72),"")</f>
        <v/>
      </c>
    </row>
    <row r="73">
      <c r="A73" s="19" t="inlineStr">
        <is>
          <t>Mangochi</t>
        </is>
      </c>
      <c r="B73" s="19" t="inlineStr">
        <is>
          <t>Monkey Bay</t>
        </is>
      </c>
      <c r="C73" s="6" t="inlineStr">
        <is>
          <t>Total Cash Collected</t>
        </is>
      </c>
      <c r="D73" s="15">
        <f>IFERROR(SUMIFS(DataEntry!$GB:$GB,DataEntry!$A:$A,"Mangochi",DataEntry!$B:$B,"Monkey Bay",DataEntry!$G:$G,"Q1"),"")</f>
        <v/>
      </c>
      <c r="E73" s="15">
        <f>IFERROR(SUMIFS(DataEntry!$GB:$GB,DataEntry!$A:$A,"Mangochi",DataEntry!$B:$B,"Monkey Bay",DataEntry!$G:$G,"Q2"),"")</f>
        <v/>
      </c>
      <c r="F73" s="15">
        <f>IFERROR(SUMIFS(DataEntry!$GB:$GB,DataEntry!$A:$A,"Mangochi",DataEntry!$B:$B,"Monkey Bay",DataEntry!$G:$G,"Q3"),"")</f>
        <v/>
      </c>
      <c r="G73" s="15">
        <f>IFERROR(SUMIFS(DataEntry!$GB:$GB,DataEntry!$A:$A,"Mangochi",DataEntry!$B:$B,"Monkey Bay",DataEntry!$G:$G,"Q4"),"")</f>
        <v/>
      </c>
      <c r="H73" s="20">
        <f>IFERROR(SUM(D73:G73),"")</f>
        <v/>
      </c>
    </row>
    <row r="74">
      <c r="A74" s="21" t="inlineStr">
        <is>
          <t>Mangochi</t>
        </is>
      </c>
      <c r="B74" s="21" t="inlineStr">
        <is>
          <t>Monkey Bay</t>
        </is>
      </c>
      <c r="C74" s="12" t="inlineStr">
        <is>
          <t>Total Amount Billed</t>
        </is>
      </c>
      <c r="D74" s="9">
        <f>IFERROR(SUMIFS(DataEntry!$GM:$GM,DataEntry!$A:$A,"Mangochi",DataEntry!$B:$B,"Monkey Bay",DataEntry!$G:$G,"Q1"),"")</f>
        <v/>
      </c>
      <c r="E74" s="9">
        <f>IFERROR(SUMIFS(DataEntry!$GM:$GM,DataEntry!$A:$A,"Mangochi",DataEntry!$B:$B,"Monkey Bay",DataEntry!$G:$G,"Q2"),"")</f>
        <v/>
      </c>
      <c r="F74" s="9">
        <f>IFERROR(SUMIFS(DataEntry!$GM:$GM,DataEntry!$A:$A,"Mangochi",DataEntry!$B:$B,"Monkey Bay",DataEntry!$G:$G,"Q3"),"")</f>
        <v/>
      </c>
      <c r="G74" s="9">
        <f>IFERROR(SUMIFS(DataEntry!$GM:$GM,DataEntry!$A:$A,"Mangochi",DataEntry!$B:$B,"Monkey Bay",DataEntry!$G:$G,"Q4"),"")</f>
        <v/>
      </c>
      <c r="H74" s="22">
        <f>IFERROR(SUM(D74:G74),"")</f>
        <v/>
      </c>
    </row>
    <row r="75">
      <c r="A75" s="19" t="inlineStr">
        <is>
          <t>Mangochi</t>
        </is>
      </c>
      <c r="B75" s="19" t="inlineStr">
        <is>
          <t>Monkey Bay</t>
        </is>
      </c>
      <c r="C75" s="6" t="inlineStr">
        <is>
          <t>Total Sales</t>
        </is>
      </c>
      <c r="D75" s="15">
        <f>IFERROR(SUMIFS(DataEntry!$GX:$GX,DataEntry!$A:$A,"Mangochi",DataEntry!$B:$B,"Monkey Bay",DataEntry!$G:$G,"Q1"),"")</f>
        <v/>
      </c>
      <c r="E75" s="15">
        <f>IFERROR(SUMIFS(DataEntry!$GX:$GX,DataEntry!$A:$A,"Mangochi",DataEntry!$B:$B,"Monkey Bay",DataEntry!$G:$G,"Q2"),"")</f>
        <v/>
      </c>
      <c r="F75" s="15">
        <f>IFERROR(SUMIFS(DataEntry!$GX:$GX,DataEntry!$A:$A,"Mangochi",DataEntry!$B:$B,"Monkey Bay",DataEntry!$G:$G,"Q3"),"")</f>
        <v/>
      </c>
      <c r="G75" s="15">
        <f>IFERROR(SUMIFS(DataEntry!$GX:$GX,DataEntry!$A:$A,"Mangochi",DataEntry!$B:$B,"Monkey Bay",DataEntry!$G:$G,"Q4"),"")</f>
        <v/>
      </c>
      <c r="H75" s="20">
        <f>IFERROR(SUM(D75:G75),"")</f>
        <v/>
      </c>
    </row>
    <row r="76">
      <c r="A76" s="21" t="inlineStr">
        <is>
          <t>Mangochi</t>
        </is>
      </c>
      <c r="B76" s="21" t="inlineStr">
        <is>
          <t>Monkey Bay</t>
        </is>
      </c>
      <c r="C76" s="12" t="inlineStr">
        <is>
          <t>Active Customers</t>
        </is>
      </c>
      <c r="D76" s="9">
        <f>IFERROR(SUMIFS(DataEntry!$CS:$CS,DataEntry!$A:$A,"Mangochi",DataEntry!$B:$B,"Monkey Bay",DataEntry!$G:$G,"Q1"),"")</f>
        <v/>
      </c>
      <c r="E76" s="9">
        <f>IFERROR(SUMIFS(DataEntry!$CS:$CS,DataEntry!$A:$A,"Mangochi",DataEntry!$B:$B,"Monkey Bay",DataEntry!$G:$G,"Q2"),"")</f>
        <v/>
      </c>
      <c r="F76" s="9">
        <f>IFERROR(SUMIFS(DataEntry!$CS:$CS,DataEntry!$A:$A,"Mangochi",DataEntry!$B:$B,"Monkey Bay",DataEntry!$G:$G,"Q3"),"")</f>
        <v/>
      </c>
      <c r="G76" s="9">
        <f>IFERROR(SUMIFS(DataEntry!$CS:$CS,DataEntry!$A:$A,"Mangochi",DataEntry!$B:$B,"Monkey Bay",DataEntry!$G:$G,"Q4"),"")</f>
        <v/>
      </c>
      <c r="H76" s="22">
        <f>IFERROR(SUM(D76:G76),"")</f>
        <v/>
      </c>
    </row>
    <row r="77">
      <c r="A77" s="19" t="inlineStr">
        <is>
          <t>Mangochi</t>
        </is>
      </c>
      <c r="B77" s="19" t="inlineStr">
        <is>
          <t>Monkey Bay</t>
        </is>
      </c>
      <c r="C77" s="6" t="inlineStr">
        <is>
          <t>New Connections</t>
        </is>
      </c>
      <c r="D77" s="15">
        <f>IFERROR(SUMIFS(DataEntry!$CA:$CA,DataEntry!$A:$A,"Mangochi",DataEntry!$B:$B,"Monkey Bay",DataEntry!$G:$G,"Q1"),"")</f>
        <v/>
      </c>
      <c r="E77" s="15">
        <f>IFERROR(SUMIFS(DataEntry!$CA:$CA,DataEntry!$A:$A,"Mangochi",DataEntry!$B:$B,"Monkey Bay",DataEntry!$G:$G,"Q2"),"")</f>
        <v/>
      </c>
      <c r="F77" s="15">
        <f>IFERROR(SUMIFS(DataEntry!$CA:$CA,DataEntry!$A:$A,"Mangochi",DataEntry!$B:$B,"Monkey Bay",DataEntry!$G:$G,"Q3"),"")</f>
        <v/>
      </c>
      <c r="G77" s="15">
        <f>IFERROR(SUMIFS(DataEntry!$CA:$CA,DataEntry!$A:$A,"Mangochi",DataEntry!$B:$B,"Monkey Bay",DataEntry!$G:$G,"Q4"),"")</f>
        <v/>
      </c>
      <c r="H77" s="20">
        <f>IFERROR(SUM(D77:G77),"")</f>
        <v/>
      </c>
    </row>
    <row r="78">
      <c r="A78" s="21" t="inlineStr">
        <is>
          <t>Mangochi</t>
        </is>
      </c>
      <c r="B78" s="21" t="inlineStr">
        <is>
          <t>Monkey Bay</t>
        </is>
      </c>
      <c r="C78" s="12" t="inlineStr">
        <is>
          <t>Stuck Meters C/Fwd</t>
        </is>
      </c>
      <c r="D78" s="9">
        <f>IFERROR(SUMIFS(DataEntry!$DV:$DV,DataEntry!$A:$A,"Mangochi",DataEntry!$B:$B,"Monkey Bay",DataEntry!$G:$G,"Q1"),"")</f>
        <v/>
      </c>
      <c r="E78" s="9">
        <f>IFERROR(SUMIFS(DataEntry!$DV:$DV,DataEntry!$A:$A,"Mangochi",DataEntry!$B:$B,"Monkey Bay",DataEntry!$G:$G,"Q2"),"")</f>
        <v/>
      </c>
      <c r="F78" s="9">
        <f>IFERROR(SUMIFS(DataEntry!$DV:$DV,DataEntry!$A:$A,"Mangochi",DataEntry!$B:$B,"Monkey Bay",DataEntry!$G:$G,"Q3"),"")</f>
        <v/>
      </c>
      <c r="G78" s="9">
        <f>IFERROR(SUMIFS(DataEntry!$DV:$DV,DataEntry!$A:$A,"Mangochi",DataEntry!$B:$B,"Monkey Bay",DataEntry!$G:$G,"Q4"),"")</f>
        <v/>
      </c>
      <c r="H78" s="22">
        <f>IFERROR(SUM(D78:G78),"")</f>
        <v/>
      </c>
    </row>
    <row r="79">
      <c r="A79" s="19" t="inlineStr">
        <is>
          <t>Mangochi</t>
        </is>
      </c>
      <c r="B79" s="19" t="inlineStr">
        <is>
          <t>Monkey Bay</t>
        </is>
      </c>
      <c r="C79" s="6" t="inlineStr">
        <is>
          <t>Cash Collection Rate</t>
        </is>
      </c>
      <c r="D79" s="16">
        <f>IFERROR(AVERAGEIFS(DataEntry!$HC:$HC,DataEntry!$A:$A,"Mangochi",DataEntry!$B:$B,"Monkey Bay",DataEntry!$G:$G,"Q1"),"")</f>
        <v/>
      </c>
      <c r="E79" s="16">
        <f>IFERROR(AVERAGEIFS(DataEntry!$HC:$HC,DataEntry!$A:$A,"Mangochi",DataEntry!$B:$B,"Monkey Bay",DataEntry!$G:$G,"Q2"),"")</f>
        <v/>
      </c>
      <c r="F79" s="16">
        <f>IFERROR(AVERAGEIFS(DataEntry!$HC:$HC,DataEntry!$A:$A,"Mangochi",DataEntry!$B:$B,"Monkey Bay",DataEntry!$G:$G,"Q3"),"")</f>
        <v/>
      </c>
      <c r="G79" s="16">
        <f>IFERROR(AVERAGEIFS(DataEntry!$HC:$HC,DataEntry!$A:$A,"Mangochi",DataEntry!$B:$B,"Monkey Bay",DataEntry!$G:$G,"Q4"),"")</f>
        <v/>
      </c>
      <c r="H79" s="24">
        <f>IFERROR(AVERAGE(D79:G79),"")</f>
        <v/>
      </c>
    </row>
    <row r="80">
      <c r="A80" s="21" t="inlineStr">
        <is>
          <t>Mangochi</t>
        </is>
      </c>
      <c r="B80" s="21" t="inlineStr">
        <is>
          <t>Monkey Bay</t>
        </is>
      </c>
      <c r="C80" s="12" t="inlineStr">
        <is>
          <t>OpCost per Sales</t>
        </is>
      </c>
      <c r="D80" s="10">
        <f>IFERROR(AVERAGEIFS(DataEntry!$HB:$HB,DataEntry!$A:$A,"Mangochi",DataEntry!$B:$B,"Monkey Bay",DataEntry!$G:$G,"Q1"),"")</f>
        <v/>
      </c>
      <c r="E80" s="10">
        <f>IFERROR(AVERAGEIFS(DataEntry!$HB:$HB,DataEntry!$A:$A,"Mangochi",DataEntry!$B:$B,"Monkey Bay",DataEntry!$G:$G,"Q2"),"")</f>
        <v/>
      </c>
      <c r="F80" s="10">
        <f>IFERROR(AVERAGEIFS(DataEntry!$HB:$HB,DataEntry!$A:$A,"Mangochi",DataEntry!$B:$B,"Monkey Bay",DataEntry!$G:$G,"Q3"),"")</f>
        <v/>
      </c>
      <c r="G80" s="10">
        <f>IFERROR(AVERAGEIFS(DataEntry!$HB:$HB,DataEntry!$A:$A,"Mangochi",DataEntry!$B:$B,"Monkey Bay",DataEntry!$G:$G,"Q4"),"")</f>
        <v/>
      </c>
      <c r="H80" s="23">
        <f>IFERROR(AVERAGE(D80:G80),"")</f>
        <v/>
      </c>
    </row>
    <row r="81">
      <c r="A81" s="19" t="inlineStr">
        <is>
          <t>Mangochi</t>
        </is>
      </c>
      <c r="B81" s="19" t="inlineStr">
        <is>
          <t>Namwera</t>
        </is>
      </c>
      <c r="C81" s="6" t="inlineStr">
        <is>
          <t>Volume Produced (m³)</t>
        </is>
      </c>
      <c r="D81" s="15">
        <f>IFERROR(SUMIFS(DataEntry!$H:$H,DataEntry!$A:$A,"Mangochi",DataEntry!$B:$B,"Namwera",DataEntry!$G:$G,"Q1"),"")</f>
        <v/>
      </c>
      <c r="E81" s="15">
        <f>IFERROR(SUMIFS(DataEntry!$H:$H,DataEntry!$A:$A,"Mangochi",DataEntry!$B:$B,"Namwera",DataEntry!$G:$G,"Q2"),"")</f>
        <v/>
      </c>
      <c r="F81" s="15">
        <f>IFERROR(SUMIFS(DataEntry!$H:$H,DataEntry!$A:$A,"Mangochi",DataEntry!$B:$B,"Namwera",DataEntry!$G:$G,"Q3"),"")</f>
        <v/>
      </c>
      <c r="G81" s="15">
        <f>IFERROR(SUMIFS(DataEntry!$H:$H,DataEntry!$A:$A,"Mangochi",DataEntry!$B:$B,"Namwera",DataEntry!$G:$G,"Q4"),"")</f>
        <v/>
      </c>
      <c r="H81" s="20">
        <f>IFERROR(SUM(D81:G81),"")</f>
        <v/>
      </c>
    </row>
    <row r="82">
      <c r="A82" s="21" t="inlineStr">
        <is>
          <t>Mangochi</t>
        </is>
      </c>
      <c r="B82" s="21" t="inlineStr">
        <is>
          <t>Namwera</t>
        </is>
      </c>
      <c r="C82" s="12" t="inlineStr">
        <is>
          <t>Total Revenue Water</t>
        </is>
      </c>
      <c r="D82" s="9">
        <f>IFERROR(SUMIFS(DataEntry!$S:$S,DataEntry!$A:$A,"Mangochi",DataEntry!$B:$B,"Namwera",DataEntry!$G:$G,"Q1"),"")</f>
        <v/>
      </c>
      <c r="E82" s="9">
        <f>IFERROR(SUMIFS(DataEntry!$S:$S,DataEntry!$A:$A,"Mangochi",DataEntry!$B:$B,"Namwera",DataEntry!$G:$G,"Q2"),"")</f>
        <v/>
      </c>
      <c r="F82" s="9">
        <f>IFERROR(SUMIFS(DataEntry!$S:$S,DataEntry!$A:$A,"Mangochi",DataEntry!$B:$B,"Namwera",DataEntry!$G:$G,"Q3"),"")</f>
        <v/>
      </c>
      <c r="G82" s="9">
        <f>IFERROR(SUMIFS(DataEntry!$S:$S,DataEntry!$A:$A,"Mangochi",DataEntry!$B:$B,"Namwera",DataEntry!$G:$G,"Q4"),"")</f>
        <v/>
      </c>
      <c r="H82" s="22">
        <f>IFERROR(SUM(D82:G82),"")</f>
        <v/>
      </c>
    </row>
    <row r="83">
      <c r="A83" s="19" t="inlineStr">
        <is>
          <t>Mangochi</t>
        </is>
      </c>
      <c r="B83" s="19" t="inlineStr">
        <is>
          <t>Namwera</t>
        </is>
      </c>
      <c r="C83" s="6" t="inlineStr">
        <is>
          <t>Non-Revenue Water</t>
        </is>
      </c>
      <c r="D83" s="15">
        <f>IFERROR(SUMIFS(DataEntry!$T:$T,DataEntry!$A:$A,"Mangochi",DataEntry!$B:$B,"Namwera",DataEntry!$G:$G,"Q1"),"")</f>
        <v/>
      </c>
      <c r="E83" s="15">
        <f>IFERROR(SUMIFS(DataEntry!$T:$T,DataEntry!$A:$A,"Mangochi",DataEntry!$B:$B,"Namwera",DataEntry!$G:$G,"Q2"),"")</f>
        <v/>
      </c>
      <c r="F83" s="15">
        <f>IFERROR(SUMIFS(DataEntry!$T:$T,DataEntry!$A:$A,"Mangochi",DataEntry!$B:$B,"Namwera",DataEntry!$G:$G,"Q3"),"")</f>
        <v/>
      </c>
      <c r="G83" s="15">
        <f>IFERROR(SUMIFS(DataEntry!$T:$T,DataEntry!$A:$A,"Mangochi",DataEntry!$B:$B,"Namwera",DataEntry!$G:$G,"Q4"),"")</f>
        <v/>
      </c>
      <c r="H83" s="20">
        <f>IFERROR(SUM(D83:G83),"")</f>
        <v/>
      </c>
    </row>
    <row r="84">
      <c r="A84" s="21" t="inlineStr">
        <is>
          <t>Mangochi</t>
        </is>
      </c>
      <c r="B84" s="21" t="inlineStr">
        <is>
          <t>Namwera</t>
        </is>
      </c>
      <c r="C84" s="12" t="inlineStr">
        <is>
          <t>% NRW</t>
        </is>
      </c>
      <c r="D84" s="10">
        <f>IFERROR(AVERAGEIFS(DataEntry!$U:$U,DataEntry!$A:$A,"Mangochi",DataEntry!$B:$B,"Namwera",DataEntry!$G:$G,"Q1"),"")</f>
        <v/>
      </c>
      <c r="E84" s="10">
        <f>IFERROR(AVERAGEIFS(DataEntry!$U:$U,DataEntry!$A:$A,"Mangochi",DataEntry!$B:$B,"Namwera",DataEntry!$G:$G,"Q2"),"")</f>
        <v/>
      </c>
      <c r="F84" s="10">
        <f>IFERROR(AVERAGEIFS(DataEntry!$U:$U,DataEntry!$A:$A,"Mangochi",DataEntry!$B:$B,"Namwera",DataEntry!$G:$G,"Q3"),"")</f>
        <v/>
      </c>
      <c r="G84" s="10">
        <f>IFERROR(AVERAGEIFS(DataEntry!$U:$U,DataEntry!$A:$A,"Mangochi",DataEntry!$B:$B,"Namwera",DataEntry!$G:$G,"Q4"),"")</f>
        <v/>
      </c>
      <c r="H84" s="23">
        <f>IFERROR(AVERAGE(D84:G84),"")</f>
        <v/>
      </c>
    </row>
    <row r="85">
      <c r="A85" s="19" t="inlineStr">
        <is>
          <t>Mangochi</t>
        </is>
      </c>
      <c r="B85" s="19" t="inlineStr">
        <is>
          <t>Namwera</t>
        </is>
      </c>
      <c r="C85" s="6" t="inlineStr">
        <is>
          <t>Total Operating Costs</t>
        </is>
      </c>
      <c r="D85" s="15">
        <f>IFERROR(SUMIFS(DataEntry!$AU:$AU,DataEntry!$A:$A,"Mangochi",DataEntry!$B:$B,"Namwera",DataEntry!$G:$G,"Q1"),"")</f>
        <v/>
      </c>
      <c r="E85" s="15">
        <f>IFERROR(SUMIFS(DataEntry!$AU:$AU,DataEntry!$A:$A,"Mangochi",DataEntry!$B:$B,"Namwera",DataEntry!$G:$G,"Q2"),"")</f>
        <v/>
      </c>
      <c r="F85" s="15">
        <f>IFERROR(SUMIFS(DataEntry!$AU:$AU,DataEntry!$A:$A,"Mangochi",DataEntry!$B:$B,"Namwera",DataEntry!$G:$G,"Q3"),"")</f>
        <v/>
      </c>
      <c r="G85" s="15">
        <f>IFERROR(SUMIFS(DataEntry!$AU:$AU,DataEntry!$A:$A,"Mangochi",DataEntry!$B:$B,"Namwera",DataEntry!$G:$G,"Q4"),"")</f>
        <v/>
      </c>
      <c r="H85" s="20">
        <f>IFERROR(SUM(D85:G85),"")</f>
        <v/>
      </c>
    </row>
    <row r="86">
      <c r="A86" s="21" t="inlineStr">
        <is>
          <t>Mangochi</t>
        </is>
      </c>
      <c r="B86" s="21" t="inlineStr">
        <is>
          <t>Namwera</t>
        </is>
      </c>
      <c r="C86" s="12" t="inlineStr">
        <is>
          <t>Total Cash Collected</t>
        </is>
      </c>
      <c r="D86" s="9">
        <f>IFERROR(SUMIFS(DataEntry!$GB:$GB,DataEntry!$A:$A,"Mangochi",DataEntry!$B:$B,"Namwera",DataEntry!$G:$G,"Q1"),"")</f>
        <v/>
      </c>
      <c r="E86" s="9">
        <f>IFERROR(SUMIFS(DataEntry!$GB:$GB,DataEntry!$A:$A,"Mangochi",DataEntry!$B:$B,"Namwera",DataEntry!$G:$G,"Q2"),"")</f>
        <v/>
      </c>
      <c r="F86" s="9">
        <f>IFERROR(SUMIFS(DataEntry!$GB:$GB,DataEntry!$A:$A,"Mangochi",DataEntry!$B:$B,"Namwera",DataEntry!$G:$G,"Q3"),"")</f>
        <v/>
      </c>
      <c r="G86" s="9">
        <f>IFERROR(SUMIFS(DataEntry!$GB:$GB,DataEntry!$A:$A,"Mangochi",DataEntry!$B:$B,"Namwera",DataEntry!$G:$G,"Q4"),"")</f>
        <v/>
      </c>
      <c r="H86" s="22">
        <f>IFERROR(SUM(D86:G86),"")</f>
        <v/>
      </c>
    </row>
    <row r="87">
      <c r="A87" s="19" t="inlineStr">
        <is>
          <t>Mangochi</t>
        </is>
      </c>
      <c r="B87" s="19" t="inlineStr">
        <is>
          <t>Namwera</t>
        </is>
      </c>
      <c r="C87" s="6" t="inlineStr">
        <is>
          <t>Total Amount Billed</t>
        </is>
      </c>
      <c r="D87" s="15">
        <f>IFERROR(SUMIFS(DataEntry!$GM:$GM,DataEntry!$A:$A,"Mangochi",DataEntry!$B:$B,"Namwera",DataEntry!$G:$G,"Q1"),"")</f>
        <v/>
      </c>
      <c r="E87" s="15">
        <f>IFERROR(SUMIFS(DataEntry!$GM:$GM,DataEntry!$A:$A,"Mangochi",DataEntry!$B:$B,"Namwera",DataEntry!$G:$G,"Q2"),"")</f>
        <v/>
      </c>
      <c r="F87" s="15">
        <f>IFERROR(SUMIFS(DataEntry!$GM:$GM,DataEntry!$A:$A,"Mangochi",DataEntry!$B:$B,"Namwera",DataEntry!$G:$G,"Q3"),"")</f>
        <v/>
      </c>
      <c r="G87" s="15">
        <f>IFERROR(SUMIFS(DataEntry!$GM:$GM,DataEntry!$A:$A,"Mangochi",DataEntry!$B:$B,"Namwera",DataEntry!$G:$G,"Q4"),"")</f>
        <v/>
      </c>
      <c r="H87" s="20">
        <f>IFERROR(SUM(D87:G87),"")</f>
        <v/>
      </c>
    </row>
    <row r="88">
      <c r="A88" s="21" t="inlineStr">
        <is>
          <t>Mangochi</t>
        </is>
      </c>
      <c r="B88" s="21" t="inlineStr">
        <is>
          <t>Namwera</t>
        </is>
      </c>
      <c r="C88" s="12" t="inlineStr">
        <is>
          <t>Total Sales</t>
        </is>
      </c>
      <c r="D88" s="9">
        <f>IFERROR(SUMIFS(DataEntry!$GX:$GX,DataEntry!$A:$A,"Mangochi",DataEntry!$B:$B,"Namwera",DataEntry!$G:$G,"Q1"),"")</f>
        <v/>
      </c>
      <c r="E88" s="9">
        <f>IFERROR(SUMIFS(DataEntry!$GX:$GX,DataEntry!$A:$A,"Mangochi",DataEntry!$B:$B,"Namwera",DataEntry!$G:$G,"Q2"),"")</f>
        <v/>
      </c>
      <c r="F88" s="9">
        <f>IFERROR(SUMIFS(DataEntry!$GX:$GX,DataEntry!$A:$A,"Mangochi",DataEntry!$B:$B,"Namwera",DataEntry!$G:$G,"Q3"),"")</f>
        <v/>
      </c>
      <c r="G88" s="9">
        <f>IFERROR(SUMIFS(DataEntry!$GX:$GX,DataEntry!$A:$A,"Mangochi",DataEntry!$B:$B,"Namwera",DataEntry!$G:$G,"Q4"),"")</f>
        <v/>
      </c>
      <c r="H88" s="22">
        <f>IFERROR(SUM(D88:G88),"")</f>
        <v/>
      </c>
    </row>
    <row r="89">
      <c r="A89" s="19" t="inlineStr">
        <is>
          <t>Mangochi</t>
        </is>
      </c>
      <c r="B89" s="19" t="inlineStr">
        <is>
          <t>Namwera</t>
        </is>
      </c>
      <c r="C89" s="6" t="inlineStr">
        <is>
          <t>Active Customers</t>
        </is>
      </c>
      <c r="D89" s="15">
        <f>IFERROR(SUMIFS(DataEntry!$CS:$CS,DataEntry!$A:$A,"Mangochi",DataEntry!$B:$B,"Namwera",DataEntry!$G:$G,"Q1"),"")</f>
        <v/>
      </c>
      <c r="E89" s="15">
        <f>IFERROR(SUMIFS(DataEntry!$CS:$CS,DataEntry!$A:$A,"Mangochi",DataEntry!$B:$B,"Namwera",DataEntry!$G:$G,"Q2"),"")</f>
        <v/>
      </c>
      <c r="F89" s="15">
        <f>IFERROR(SUMIFS(DataEntry!$CS:$CS,DataEntry!$A:$A,"Mangochi",DataEntry!$B:$B,"Namwera",DataEntry!$G:$G,"Q3"),"")</f>
        <v/>
      </c>
      <c r="G89" s="15">
        <f>IFERROR(SUMIFS(DataEntry!$CS:$CS,DataEntry!$A:$A,"Mangochi",DataEntry!$B:$B,"Namwera",DataEntry!$G:$G,"Q4"),"")</f>
        <v/>
      </c>
      <c r="H89" s="20">
        <f>IFERROR(SUM(D89:G89),"")</f>
        <v/>
      </c>
    </row>
    <row r="90">
      <c r="A90" s="21" t="inlineStr">
        <is>
          <t>Mangochi</t>
        </is>
      </c>
      <c r="B90" s="21" t="inlineStr">
        <is>
          <t>Namwera</t>
        </is>
      </c>
      <c r="C90" s="12" t="inlineStr">
        <is>
          <t>New Connections</t>
        </is>
      </c>
      <c r="D90" s="9">
        <f>IFERROR(SUMIFS(DataEntry!$CA:$CA,DataEntry!$A:$A,"Mangochi",DataEntry!$B:$B,"Namwera",DataEntry!$G:$G,"Q1"),"")</f>
        <v/>
      </c>
      <c r="E90" s="9">
        <f>IFERROR(SUMIFS(DataEntry!$CA:$CA,DataEntry!$A:$A,"Mangochi",DataEntry!$B:$B,"Namwera",DataEntry!$G:$G,"Q2"),"")</f>
        <v/>
      </c>
      <c r="F90" s="9">
        <f>IFERROR(SUMIFS(DataEntry!$CA:$CA,DataEntry!$A:$A,"Mangochi",DataEntry!$B:$B,"Namwera",DataEntry!$G:$G,"Q3"),"")</f>
        <v/>
      </c>
      <c r="G90" s="9">
        <f>IFERROR(SUMIFS(DataEntry!$CA:$CA,DataEntry!$A:$A,"Mangochi",DataEntry!$B:$B,"Namwera",DataEntry!$G:$G,"Q4"),"")</f>
        <v/>
      </c>
      <c r="H90" s="22">
        <f>IFERROR(SUM(D90:G90),"")</f>
        <v/>
      </c>
    </row>
    <row r="91">
      <c r="A91" s="19" t="inlineStr">
        <is>
          <t>Mangochi</t>
        </is>
      </c>
      <c r="B91" s="19" t="inlineStr">
        <is>
          <t>Namwera</t>
        </is>
      </c>
      <c r="C91" s="6" t="inlineStr">
        <is>
          <t>Stuck Meters C/Fwd</t>
        </is>
      </c>
      <c r="D91" s="15">
        <f>IFERROR(SUMIFS(DataEntry!$DV:$DV,DataEntry!$A:$A,"Mangochi",DataEntry!$B:$B,"Namwera",DataEntry!$G:$G,"Q1"),"")</f>
        <v/>
      </c>
      <c r="E91" s="15">
        <f>IFERROR(SUMIFS(DataEntry!$DV:$DV,DataEntry!$A:$A,"Mangochi",DataEntry!$B:$B,"Namwera",DataEntry!$G:$G,"Q2"),"")</f>
        <v/>
      </c>
      <c r="F91" s="15">
        <f>IFERROR(SUMIFS(DataEntry!$DV:$DV,DataEntry!$A:$A,"Mangochi",DataEntry!$B:$B,"Namwera",DataEntry!$G:$G,"Q3"),"")</f>
        <v/>
      </c>
      <c r="G91" s="15">
        <f>IFERROR(SUMIFS(DataEntry!$DV:$DV,DataEntry!$A:$A,"Mangochi",DataEntry!$B:$B,"Namwera",DataEntry!$G:$G,"Q4"),"")</f>
        <v/>
      </c>
      <c r="H91" s="20">
        <f>IFERROR(SUM(D91:G91),"")</f>
        <v/>
      </c>
    </row>
    <row r="92">
      <c r="A92" s="21" t="inlineStr">
        <is>
          <t>Mangochi</t>
        </is>
      </c>
      <c r="B92" s="21" t="inlineStr">
        <is>
          <t>Namwera</t>
        </is>
      </c>
      <c r="C92" s="12" t="inlineStr">
        <is>
          <t>Cash Collection Rate</t>
        </is>
      </c>
      <c r="D92" s="10">
        <f>IFERROR(AVERAGEIFS(DataEntry!$HC:$HC,DataEntry!$A:$A,"Mangochi",DataEntry!$B:$B,"Namwera",DataEntry!$G:$G,"Q1"),"")</f>
        <v/>
      </c>
      <c r="E92" s="10">
        <f>IFERROR(AVERAGEIFS(DataEntry!$HC:$HC,DataEntry!$A:$A,"Mangochi",DataEntry!$B:$B,"Namwera",DataEntry!$G:$G,"Q2"),"")</f>
        <v/>
      </c>
      <c r="F92" s="10">
        <f>IFERROR(AVERAGEIFS(DataEntry!$HC:$HC,DataEntry!$A:$A,"Mangochi",DataEntry!$B:$B,"Namwera",DataEntry!$G:$G,"Q3"),"")</f>
        <v/>
      </c>
      <c r="G92" s="10">
        <f>IFERROR(AVERAGEIFS(DataEntry!$HC:$HC,DataEntry!$A:$A,"Mangochi",DataEntry!$B:$B,"Namwera",DataEntry!$G:$G,"Q4"),"")</f>
        <v/>
      </c>
      <c r="H92" s="23">
        <f>IFERROR(AVERAGE(D92:G92),"")</f>
        <v/>
      </c>
    </row>
    <row r="93">
      <c r="A93" s="19" t="inlineStr">
        <is>
          <t>Mangochi</t>
        </is>
      </c>
      <c r="B93" s="19" t="inlineStr">
        <is>
          <t>Namwera</t>
        </is>
      </c>
      <c r="C93" s="6" t="inlineStr">
        <is>
          <t>OpCost per Sales</t>
        </is>
      </c>
      <c r="D93" s="16">
        <f>IFERROR(AVERAGEIFS(DataEntry!$HB:$HB,DataEntry!$A:$A,"Mangochi",DataEntry!$B:$B,"Namwera",DataEntry!$G:$G,"Q1"),"")</f>
        <v/>
      </c>
      <c r="E93" s="16">
        <f>IFERROR(AVERAGEIFS(DataEntry!$HB:$HB,DataEntry!$A:$A,"Mangochi",DataEntry!$B:$B,"Namwera",DataEntry!$G:$G,"Q2"),"")</f>
        <v/>
      </c>
      <c r="F93" s="16">
        <f>IFERROR(AVERAGEIFS(DataEntry!$HB:$HB,DataEntry!$A:$A,"Mangochi",DataEntry!$B:$B,"Namwera",DataEntry!$G:$G,"Q3"),"")</f>
        <v/>
      </c>
      <c r="G93" s="16">
        <f>IFERROR(AVERAGEIFS(DataEntry!$HB:$HB,DataEntry!$A:$A,"Mangochi",DataEntry!$B:$B,"Namwera",DataEntry!$G:$G,"Q4"),"")</f>
        <v/>
      </c>
      <c r="H93" s="24">
        <f>IFERROR(AVERAGE(D93:G93),"")</f>
        <v/>
      </c>
    </row>
    <row r="94">
      <c r="A94" s="21" t="inlineStr">
        <is>
          <t>Mangochi</t>
        </is>
      </c>
      <c r="B94" s="21" t="inlineStr">
        <is>
          <t>Nkhudzi</t>
        </is>
      </c>
      <c r="C94" s="12" t="inlineStr">
        <is>
          <t>Volume Produced (m³)</t>
        </is>
      </c>
      <c r="D94" s="9">
        <f>IFERROR(SUMIFS(DataEntry!$H:$H,DataEntry!$A:$A,"Mangochi",DataEntry!$B:$B,"Nkhudzi",DataEntry!$G:$G,"Q1"),"")</f>
        <v/>
      </c>
      <c r="E94" s="9">
        <f>IFERROR(SUMIFS(DataEntry!$H:$H,DataEntry!$A:$A,"Mangochi",DataEntry!$B:$B,"Nkhudzi",DataEntry!$G:$G,"Q2"),"")</f>
        <v/>
      </c>
      <c r="F94" s="9">
        <f>IFERROR(SUMIFS(DataEntry!$H:$H,DataEntry!$A:$A,"Mangochi",DataEntry!$B:$B,"Nkhudzi",DataEntry!$G:$G,"Q3"),"")</f>
        <v/>
      </c>
      <c r="G94" s="9">
        <f>IFERROR(SUMIFS(DataEntry!$H:$H,DataEntry!$A:$A,"Mangochi",DataEntry!$B:$B,"Nkhudzi",DataEntry!$G:$G,"Q4"),"")</f>
        <v/>
      </c>
      <c r="H94" s="22">
        <f>IFERROR(SUM(D94:G94),"")</f>
        <v/>
      </c>
    </row>
    <row r="95">
      <c r="A95" s="19" t="inlineStr">
        <is>
          <t>Mangochi</t>
        </is>
      </c>
      <c r="B95" s="19" t="inlineStr">
        <is>
          <t>Nkhudzi</t>
        </is>
      </c>
      <c r="C95" s="6" t="inlineStr">
        <is>
          <t>Total Revenue Water</t>
        </is>
      </c>
      <c r="D95" s="15">
        <f>IFERROR(SUMIFS(DataEntry!$S:$S,DataEntry!$A:$A,"Mangochi",DataEntry!$B:$B,"Nkhudzi",DataEntry!$G:$G,"Q1"),"")</f>
        <v/>
      </c>
      <c r="E95" s="15">
        <f>IFERROR(SUMIFS(DataEntry!$S:$S,DataEntry!$A:$A,"Mangochi",DataEntry!$B:$B,"Nkhudzi",DataEntry!$G:$G,"Q2"),"")</f>
        <v/>
      </c>
      <c r="F95" s="15">
        <f>IFERROR(SUMIFS(DataEntry!$S:$S,DataEntry!$A:$A,"Mangochi",DataEntry!$B:$B,"Nkhudzi",DataEntry!$G:$G,"Q3"),"")</f>
        <v/>
      </c>
      <c r="G95" s="15">
        <f>IFERROR(SUMIFS(DataEntry!$S:$S,DataEntry!$A:$A,"Mangochi",DataEntry!$B:$B,"Nkhudzi",DataEntry!$G:$G,"Q4"),"")</f>
        <v/>
      </c>
      <c r="H95" s="20">
        <f>IFERROR(SUM(D95:G95),"")</f>
        <v/>
      </c>
    </row>
    <row r="96">
      <c r="A96" s="21" t="inlineStr">
        <is>
          <t>Mangochi</t>
        </is>
      </c>
      <c r="B96" s="21" t="inlineStr">
        <is>
          <t>Nkhudzi</t>
        </is>
      </c>
      <c r="C96" s="12" t="inlineStr">
        <is>
          <t>Non-Revenue Water</t>
        </is>
      </c>
      <c r="D96" s="9">
        <f>IFERROR(SUMIFS(DataEntry!$T:$T,DataEntry!$A:$A,"Mangochi",DataEntry!$B:$B,"Nkhudzi",DataEntry!$G:$G,"Q1"),"")</f>
        <v/>
      </c>
      <c r="E96" s="9">
        <f>IFERROR(SUMIFS(DataEntry!$T:$T,DataEntry!$A:$A,"Mangochi",DataEntry!$B:$B,"Nkhudzi",DataEntry!$G:$G,"Q2"),"")</f>
        <v/>
      </c>
      <c r="F96" s="9">
        <f>IFERROR(SUMIFS(DataEntry!$T:$T,DataEntry!$A:$A,"Mangochi",DataEntry!$B:$B,"Nkhudzi",DataEntry!$G:$G,"Q3"),"")</f>
        <v/>
      </c>
      <c r="G96" s="9">
        <f>IFERROR(SUMIFS(DataEntry!$T:$T,DataEntry!$A:$A,"Mangochi",DataEntry!$B:$B,"Nkhudzi",DataEntry!$G:$G,"Q4"),"")</f>
        <v/>
      </c>
      <c r="H96" s="22">
        <f>IFERROR(SUM(D96:G96),"")</f>
        <v/>
      </c>
    </row>
    <row r="97">
      <c r="A97" s="19" t="inlineStr">
        <is>
          <t>Mangochi</t>
        </is>
      </c>
      <c r="B97" s="19" t="inlineStr">
        <is>
          <t>Nkhudzi</t>
        </is>
      </c>
      <c r="C97" s="6" t="inlineStr">
        <is>
          <t>% NRW</t>
        </is>
      </c>
      <c r="D97" s="16">
        <f>IFERROR(AVERAGEIFS(DataEntry!$U:$U,DataEntry!$A:$A,"Mangochi",DataEntry!$B:$B,"Nkhudzi",DataEntry!$G:$G,"Q1"),"")</f>
        <v/>
      </c>
      <c r="E97" s="16">
        <f>IFERROR(AVERAGEIFS(DataEntry!$U:$U,DataEntry!$A:$A,"Mangochi",DataEntry!$B:$B,"Nkhudzi",DataEntry!$G:$G,"Q2"),"")</f>
        <v/>
      </c>
      <c r="F97" s="16">
        <f>IFERROR(AVERAGEIFS(DataEntry!$U:$U,DataEntry!$A:$A,"Mangochi",DataEntry!$B:$B,"Nkhudzi",DataEntry!$G:$G,"Q3"),"")</f>
        <v/>
      </c>
      <c r="G97" s="16">
        <f>IFERROR(AVERAGEIFS(DataEntry!$U:$U,DataEntry!$A:$A,"Mangochi",DataEntry!$B:$B,"Nkhudzi",DataEntry!$G:$G,"Q4"),"")</f>
        <v/>
      </c>
      <c r="H97" s="24">
        <f>IFERROR(AVERAGE(D97:G97),"")</f>
        <v/>
      </c>
    </row>
    <row r="98">
      <c r="A98" s="21" t="inlineStr">
        <is>
          <t>Mangochi</t>
        </is>
      </c>
      <c r="B98" s="21" t="inlineStr">
        <is>
          <t>Nkhudzi</t>
        </is>
      </c>
      <c r="C98" s="12" t="inlineStr">
        <is>
          <t>Total Operating Costs</t>
        </is>
      </c>
      <c r="D98" s="9">
        <f>IFERROR(SUMIFS(DataEntry!$AU:$AU,DataEntry!$A:$A,"Mangochi",DataEntry!$B:$B,"Nkhudzi",DataEntry!$G:$G,"Q1"),"")</f>
        <v/>
      </c>
      <c r="E98" s="9">
        <f>IFERROR(SUMIFS(DataEntry!$AU:$AU,DataEntry!$A:$A,"Mangochi",DataEntry!$B:$B,"Nkhudzi",DataEntry!$G:$G,"Q2"),"")</f>
        <v/>
      </c>
      <c r="F98" s="9">
        <f>IFERROR(SUMIFS(DataEntry!$AU:$AU,DataEntry!$A:$A,"Mangochi",DataEntry!$B:$B,"Nkhudzi",DataEntry!$G:$G,"Q3"),"")</f>
        <v/>
      </c>
      <c r="G98" s="9">
        <f>IFERROR(SUMIFS(DataEntry!$AU:$AU,DataEntry!$A:$A,"Mangochi",DataEntry!$B:$B,"Nkhudzi",DataEntry!$G:$G,"Q4"),"")</f>
        <v/>
      </c>
      <c r="H98" s="22">
        <f>IFERROR(SUM(D98:G98),"")</f>
        <v/>
      </c>
    </row>
    <row r="99">
      <c r="A99" s="19" t="inlineStr">
        <is>
          <t>Mangochi</t>
        </is>
      </c>
      <c r="B99" s="19" t="inlineStr">
        <is>
          <t>Nkhudzi</t>
        </is>
      </c>
      <c r="C99" s="6" t="inlineStr">
        <is>
          <t>Total Cash Collected</t>
        </is>
      </c>
      <c r="D99" s="15">
        <f>IFERROR(SUMIFS(DataEntry!$GB:$GB,DataEntry!$A:$A,"Mangochi",DataEntry!$B:$B,"Nkhudzi",DataEntry!$G:$G,"Q1"),"")</f>
        <v/>
      </c>
      <c r="E99" s="15">
        <f>IFERROR(SUMIFS(DataEntry!$GB:$GB,DataEntry!$A:$A,"Mangochi",DataEntry!$B:$B,"Nkhudzi",DataEntry!$G:$G,"Q2"),"")</f>
        <v/>
      </c>
      <c r="F99" s="15">
        <f>IFERROR(SUMIFS(DataEntry!$GB:$GB,DataEntry!$A:$A,"Mangochi",DataEntry!$B:$B,"Nkhudzi",DataEntry!$G:$G,"Q3"),"")</f>
        <v/>
      </c>
      <c r="G99" s="15">
        <f>IFERROR(SUMIFS(DataEntry!$GB:$GB,DataEntry!$A:$A,"Mangochi",DataEntry!$B:$B,"Nkhudzi",DataEntry!$G:$G,"Q4"),"")</f>
        <v/>
      </c>
      <c r="H99" s="20">
        <f>IFERROR(SUM(D99:G99),"")</f>
        <v/>
      </c>
    </row>
    <row r="100">
      <c r="A100" s="21" t="inlineStr">
        <is>
          <t>Mangochi</t>
        </is>
      </c>
      <c r="B100" s="21" t="inlineStr">
        <is>
          <t>Nkhudzi</t>
        </is>
      </c>
      <c r="C100" s="12" t="inlineStr">
        <is>
          <t>Total Amount Billed</t>
        </is>
      </c>
      <c r="D100" s="9">
        <f>IFERROR(SUMIFS(DataEntry!$GM:$GM,DataEntry!$A:$A,"Mangochi",DataEntry!$B:$B,"Nkhudzi",DataEntry!$G:$G,"Q1"),"")</f>
        <v/>
      </c>
      <c r="E100" s="9">
        <f>IFERROR(SUMIFS(DataEntry!$GM:$GM,DataEntry!$A:$A,"Mangochi",DataEntry!$B:$B,"Nkhudzi",DataEntry!$G:$G,"Q2"),"")</f>
        <v/>
      </c>
      <c r="F100" s="9">
        <f>IFERROR(SUMIFS(DataEntry!$GM:$GM,DataEntry!$A:$A,"Mangochi",DataEntry!$B:$B,"Nkhudzi",DataEntry!$G:$G,"Q3"),"")</f>
        <v/>
      </c>
      <c r="G100" s="9">
        <f>IFERROR(SUMIFS(DataEntry!$GM:$GM,DataEntry!$A:$A,"Mangochi",DataEntry!$B:$B,"Nkhudzi",DataEntry!$G:$G,"Q4"),"")</f>
        <v/>
      </c>
      <c r="H100" s="22">
        <f>IFERROR(SUM(D100:G100),"")</f>
        <v/>
      </c>
    </row>
    <row r="101">
      <c r="A101" s="19" t="inlineStr">
        <is>
          <t>Mangochi</t>
        </is>
      </c>
      <c r="B101" s="19" t="inlineStr">
        <is>
          <t>Nkhudzi</t>
        </is>
      </c>
      <c r="C101" s="6" t="inlineStr">
        <is>
          <t>Total Sales</t>
        </is>
      </c>
      <c r="D101" s="15">
        <f>IFERROR(SUMIFS(DataEntry!$GX:$GX,DataEntry!$A:$A,"Mangochi",DataEntry!$B:$B,"Nkhudzi",DataEntry!$G:$G,"Q1"),"")</f>
        <v/>
      </c>
      <c r="E101" s="15">
        <f>IFERROR(SUMIFS(DataEntry!$GX:$GX,DataEntry!$A:$A,"Mangochi",DataEntry!$B:$B,"Nkhudzi",DataEntry!$G:$G,"Q2"),"")</f>
        <v/>
      </c>
      <c r="F101" s="15">
        <f>IFERROR(SUMIFS(DataEntry!$GX:$GX,DataEntry!$A:$A,"Mangochi",DataEntry!$B:$B,"Nkhudzi",DataEntry!$G:$G,"Q3"),"")</f>
        <v/>
      </c>
      <c r="G101" s="15">
        <f>IFERROR(SUMIFS(DataEntry!$GX:$GX,DataEntry!$A:$A,"Mangochi",DataEntry!$B:$B,"Nkhudzi",DataEntry!$G:$G,"Q4"),"")</f>
        <v/>
      </c>
      <c r="H101" s="20">
        <f>IFERROR(SUM(D101:G101),"")</f>
        <v/>
      </c>
    </row>
    <row r="102">
      <c r="A102" s="21" t="inlineStr">
        <is>
          <t>Mangochi</t>
        </is>
      </c>
      <c r="B102" s="21" t="inlineStr">
        <is>
          <t>Nkhudzi</t>
        </is>
      </c>
      <c r="C102" s="12" t="inlineStr">
        <is>
          <t>Active Customers</t>
        </is>
      </c>
      <c r="D102" s="9">
        <f>IFERROR(SUMIFS(DataEntry!$CS:$CS,DataEntry!$A:$A,"Mangochi",DataEntry!$B:$B,"Nkhudzi",DataEntry!$G:$G,"Q1"),"")</f>
        <v/>
      </c>
      <c r="E102" s="9">
        <f>IFERROR(SUMIFS(DataEntry!$CS:$CS,DataEntry!$A:$A,"Mangochi",DataEntry!$B:$B,"Nkhudzi",DataEntry!$G:$G,"Q2"),"")</f>
        <v/>
      </c>
      <c r="F102" s="9">
        <f>IFERROR(SUMIFS(DataEntry!$CS:$CS,DataEntry!$A:$A,"Mangochi",DataEntry!$B:$B,"Nkhudzi",DataEntry!$G:$G,"Q3"),"")</f>
        <v/>
      </c>
      <c r="G102" s="9">
        <f>IFERROR(SUMIFS(DataEntry!$CS:$CS,DataEntry!$A:$A,"Mangochi",DataEntry!$B:$B,"Nkhudzi",DataEntry!$G:$G,"Q4"),"")</f>
        <v/>
      </c>
      <c r="H102" s="22">
        <f>IFERROR(SUM(D102:G102),"")</f>
        <v/>
      </c>
    </row>
    <row r="103">
      <c r="A103" s="19" t="inlineStr">
        <is>
          <t>Mangochi</t>
        </is>
      </c>
      <c r="B103" s="19" t="inlineStr">
        <is>
          <t>Nkhudzi</t>
        </is>
      </c>
      <c r="C103" s="6" t="inlineStr">
        <is>
          <t>New Connections</t>
        </is>
      </c>
      <c r="D103" s="15">
        <f>IFERROR(SUMIFS(DataEntry!$CA:$CA,DataEntry!$A:$A,"Mangochi",DataEntry!$B:$B,"Nkhudzi",DataEntry!$G:$G,"Q1"),"")</f>
        <v/>
      </c>
      <c r="E103" s="15">
        <f>IFERROR(SUMIFS(DataEntry!$CA:$CA,DataEntry!$A:$A,"Mangochi",DataEntry!$B:$B,"Nkhudzi",DataEntry!$G:$G,"Q2"),"")</f>
        <v/>
      </c>
      <c r="F103" s="15">
        <f>IFERROR(SUMIFS(DataEntry!$CA:$CA,DataEntry!$A:$A,"Mangochi",DataEntry!$B:$B,"Nkhudzi",DataEntry!$G:$G,"Q3"),"")</f>
        <v/>
      </c>
      <c r="G103" s="15">
        <f>IFERROR(SUMIFS(DataEntry!$CA:$CA,DataEntry!$A:$A,"Mangochi",DataEntry!$B:$B,"Nkhudzi",DataEntry!$G:$G,"Q4"),"")</f>
        <v/>
      </c>
      <c r="H103" s="20">
        <f>IFERROR(SUM(D103:G103),"")</f>
        <v/>
      </c>
    </row>
    <row r="104">
      <c r="A104" s="21" t="inlineStr">
        <is>
          <t>Mangochi</t>
        </is>
      </c>
      <c r="B104" s="21" t="inlineStr">
        <is>
          <t>Nkhudzi</t>
        </is>
      </c>
      <c r="C104" s="12" t="inlineStr">
        <is>
          <t>Stuck Meters C/Fwd</t>
        </is>
      </c>
      <c r="D104" s="9">
        <f>IFERROR(SUMIFS(DataEntry!$DV:$DV,DataEntry!$A:$A,"Mangochi",DataEntry!$B:$B,"Nkhudzi",DataEntry!$G:$G,"Q1"),"")</f>
        <v/>
      </c>
      <c r="E104" s="9">
        <f>IFERROR(SUMIFS(DataEntry!$DV:$DV,DataEntry!$A:$A,"Mangochi",DataEntry!$B:$B,"Nkhudzi",DataEntry!$G:$G,"Q2"),"")</f>
        <v/>
      </c>
      <c r="F104" s="9">
        <f>IFERROR(SUMIFS(DataEntry!$DV:$DV,DataEntry!$A:$A,"Mangochi",DataEntry!$B:$B,"Nkhudzi",DataEntry!$G:$G,"Q3"),"")</f>
        <v/>
      </c>
      <c r="G104" s="9">
        <f>IFERROR(SUMIFS(DataEntry!$DV:$DV,DataEntry!$A:$A,"Mangochi",DataEntry!$B:$B,"Nkhudzi",DataEntry!$G:$G,"Q4"),"")</f>
        <v/>
      </c>
      <c r="H104" s="22">
        <f>IFERROR(SUM(D104:G104),"")</f>
        <v/>
      </c>
    </row>
    <row r="105">
      <c r="A105" s="19" t="inlineStr">
        <is>
          <t>Mangochi</t>
        </is>
      </c>
      <c r="B105" s="19" t="inlineStr">
        <is>
          <t>Nkhudzi</t>
        </is>
      </c>
      <c r="C105" s="6" t="inlineStr">
        <is>
          <t>Cash Collection Rate</t>
        </is>
      </c>
      <c r="D105" s="16">
        <f>IFERROR(AVERAGEIFS(DataEntry!$HC:$HC,DataEntry!$A:$A,"Mangochi",DataEntry!$B:$B,"Nkhudzi",DataEntry!$G:$G,"Q1"),"")</f>
        <v/>
      </c>
      <c r="E105" s="16">
        <f>IFERROR(AVERAGEIFS(DataEntry!$HC:$HC,DataEntry!$A:$A,"Mangochi",DataEntry!$B:$B,"Nkhudzi",DataEntry!$G:$G,"Q2"),"")</f>
        <v/>
      </c>
      <c r="F105" s="16">
        <f>IFERROR(AVERAGEIFS(DataEntry!$HC:$HC,DataEntry!$A:$A,"Mangochi",DataEntry!$B:$B,"Nkhudzi",DataEntry!$G:$G,"Q3"),"")</f>
        <v/>
      </c>
      <c r="G105" s="16">
        <f>IFERROR(AVERAGEIFS(DataEntry!$HC:$HC,DataEntry!$A:$A,"Mangochi",DataEntry!$B:$B,"Nkhudzi",DataEntry!$G:$G,"Q4"),"")</f>
        <v/>
      </c>
      <c r="H105" s="24">
        <f>IFERROR(AVERAGE(D105:G105),"")</f>
        <v/>
      </c>
    </row>
    <row r="106">
      <c r="A106" s="21" t="inlineStr">
        <is>
          <t>Mangochi</t>
        </is>
      </c>
      <c r="B106" s="21" t="inlineStr">
        <is>
          <t>Nkhudzi</t>
        </is>
      </c>
      <c r="C106" s="12" t="inlineStr">
        <is>
          <t>OpCost per Sales</t>
        </is>
      </c>
      <c r="D106" s="10">
        <f>IFERROR(AVERAGEIFS(DataEntry!$HB:$HB,DataEntry!$A:$A,"Mangochi",DataEntry!$B:$B,"Nkhudzi",DataEntry!$G:$G,"Q1"),"")</f>
        <v/>
      </c>
      <c r="E106" s="10">
        <f>IFERROR(AVERAGEIFS(DataEntry!$HB:$HB,DataEntry!$A:$A,"Mangochi",DataEntry!$B:$B,"Nkhudzi",DataEntry!$G:$G,"Q2"),"")</f>
        <v/>
      </c>
      <c r="F106" s="10">
        <f>IFERROR(AVERAGEIFS(DataEntry!$HB:$HB,DataEntry!$A:$A,"Mangochi",DataEntry!$B:$B,"Nkhudzi",DataEntry!$G:$G,"Q3"),"")</f>
        <v/>
      </c>
      <c r="G106" s="10">
        <f>IFERROR(AVERAGEIFS(DataEntry!$HB:$HB,DataEntry!$A:$A,"Mangochi",DataEntry!$B:$B,"Nkhudzi",DataEntry!$G:$G,"Q4"),"")</f>
        <v/>
      </c>
      <c r="H106" s="23">
        <f>IFERROR(AVERAGE(D106:G106),"")</f>
        <v/>
      </c>
    </row>
    <row r="107">
      <c r="A107" s="19" t="inlineStr">
        <is>
          <t>Mulanje</t>
        </is>
      </c>
      <c r="B107" s="19" t="inlineStr">
        <is>
          <t>Luchenza</t>
        </is>
      </c>
      <c r="C107" s="6" t="inlineStr">
        <is>
          <t>Volume Produced (m³)</t>
        </is>
      </c>
      <c r="D107" s="15">
        <f>IFERROR(SUMIFS(DataEntry!$H:$H,DataEntry!$A:$A,"Mulanje",DataEntry!$B:$B,"Luchenza",DataEntry!$G:$G,"Q1"),"")</f>
        <v/>
      </c>
      <c r="E107" s="15">
        <f>IFERROR(SUMIFS(DataEntry!$H:$H,DataEntry!$A:$A,"Mulanje",DataEntry!$B:$B,"Luchenza",DataEntry!$G:$G,"Q2"),"")</f>
        <v/>
      </c>
      <c r="F107" s="15">
        <f>IFERROR(SUMIFS(DataEntry!$H:$H,DataEntry!$A:$A,"Mulanje",DataEntry!$B:$B,"Luchenza",DataEntry!$G:$G,"Q3"),"")</f>
        <v/>
      </c>
      <c r="G107" s="15">
        <f>IFERROR(SUMIFS(DataEntry!$H:$H,DataEntry!$A:$A,"Mulanje",DataEntry!$B:$B,"Luchenza",DataEntry!$G:$G,"Q4"),"")</f>
        <v/>
      </c>
      <c r="H107" s="20">
        <f>IFERROR(SUM(D107:G107),"")</f>
        <v/>
      </c>
    </row>
    <row r="108">
      <c r="A108" s="21" t="inlineStr">
        <is>
          <t>Mulanje</t>
        </is>
      </c>
      <c r="B108" s="21" t="inlineStr">
        <is>
          <t>Luchenza</t>
        </is>
      </c>
      <c r="C108" s="12" t="inlineStr">
        <is>
          <t>Total Revenue Water</t>
        </is>
      </c>
      <c r="D108" s="9">
        <f>IFERROR(SUMIFS(DataEntry!$S:$S,DataEntry!$A:$A,"Mulanje",DataEntry!$B:$B,"Luchenza",DataEntry!$G:$G,"Q1"),"")</f>
        <v/>
      </c>
      <c r="E108" s="9">
        <f>IFERROR(SUMIFS(DataEntry!$S:$S,DataEntry!$A:$A,"Mulanje",DataEntry!$B:$B,"Luchenza",DataEntry!$G:$G,"Q2"),"")</f>
        <v/>
      </c>
      <c r="F108" s="9">
        <f>IFERROR(SUMIFS(DataEntry!$S:$S,DataEntry!$A:$A,"Mulanje",DataEntry!$B:$B,"Luchenza",DataEntry!$G:$G,"Q3"),"")</f>
        <v/>
      </c>
      <c r="G108" s="9">
        <f>IFERROR(SUMIFS(DataEntry!$S:$S,DataEntry!$A:$A,"Mulanje",DataEntry!$B:$B,"Luchenza",DataEntry!$G:$G,"Q4"),"")</f>
        <v/>
      </c>
      <c r="H108" s="22">
        <f>IFERROR(SUM(D108:G108),"")</f>
        <v/>
      </c>
    </row>
    <row r="109">
      <c r="A109" s="19" t="inlineStr">
        <is>
          <t>Mulanje</t>
        </is>
      </c>
      <c r="B109" s="19" t="inlineStr">
        <is>
          <t>Luchenza</t>
        </is>
      </c>
      <c r="C109" s="6" t="inlineStr">
        <is>
          <t>Non-Revenue Water</t>
        </is>
      </c>
      <c r="D109" s="15">
        <f>IFERROR(SUMIFS(DataEntry!$T:$T,DataEntry!$A:$A,"Mulanje",DataEntry!$B:$B,"Luchenza",DataEntry!$G:$G,"Q1"),"")</f>
        <v/>
      </c>
      <c r="E109" s="15">
        <f>IFERROR(SUMIFS(DataEntry!$T:$T,DataEntry!$A:$A,"Mulanje",DataEntry!$B:$B,"Luchenza",DataEntry!$G:$G,"Q2"),"")</f>
        <v/>
      </c>
      <c r="F109" s="15">
        <f>IFERROR(SUMIFS(DataEntry!$T:$T,DataEntry!$A:$A,"Mulanje",DataEntry!$B:$B,"Luchenza",DataEntry!$G:$G,"Q3"),"")</f>
        <v/>
      </c>
      <c r="G109" s="15">
        <f>IFERROR(SUMIFS(DataEntry!$T:$T,DataEntry!$A:$A,"Mulanje",DataEntry!$B:$B,"Luchenza",DataEntry!$G:$G,"Q4"),"")</f>
        <v/>
      </c>
      <c r="H109" s="20">
        <f>IFERROR(SUM(D109:G109),"")</f>
        <v/>
      </c>
    </row>
    <row r="110">
      <c r="A110" s="21" t="inlineStr">
        <is>
          <t>Mulanje</t>
        </is>
      </c>
      <c r="B110" s="21" t="inlineStr">
        <is>
          <t>Luchenza</t>
        </is>
      </c>
      <c r="C110" s="12" t="inlineStr">
        <is>
          <t>% NRW</t>
        </is>
      </c>
      <c r="D110" s="10">
        <f>IFERROR(AVERAGEIFS(DataEntry!$U:$U,DataEntry!$A:$A,"Mulanje",DataEntry!$B:$B,"Luchenza",DataEntry!$G:$G,"Q1"),"")</f>
        <v/>
      </c>
      <c r="E110" s="10">
        <f>IFERROR(AVERAGEIFS(DataEntry!$U:$U,DataEntry!$A:$A,"Mulanje",DataEntry!$B:$B,"Luchenza",DataEntry!$G:$G,"Q2"),"")</f>
        <v/>
      </c>
      <c r="F110" s="10">
        <f>IFERROR(AVERAGEIFS(DataEntry!$U:$U,DataEntry!$A:$A,"Mulanje",DataEntry!$B:$B,"Luchenza",DataEntry!$G:$G,"Q3"),"")</f>
        <v/>
      </c>
      <c r="G110" s="10">
        <f>IFERROR(AVERAGEIFS(DataEntry!$U:$U,DataEntry!$A:$A,"Mulanje",DataEntry!$B:$B,"Luchenza",DataEntry!$G:$G,"Q4"),"")</f>
        <v/>
      </c>
      <c r="H110" s="23">
        <f>IFERROR(AVERAGE(D110:G110),"")</f>
        <v/>
      </c>
    </row>
    <row r="111">
      <c r="A111" s="19" t="inlineStr">
        <is>
          <t>Mulanje</t>
        </is>
      </c>
      <c r="B111" s="19" t="inlineStr">
        <is>
          <t>Luchenza</t>
        </is>
      </c>
      <c r="C111" s="6" t="inlineStr">
        <is>
          <t>Total Operating Costs</t>
        </is>
      </c>
      <c r="D111" s="15">
        <f>IFERROR(SUMIFS(DataEntry!$AU:$AU,DataEntry!$A:$A,"Mulanje",DataEntry!$B:$B,"Luchenza",DataEntry!$G:$G,"Q1"),"")</f>
        <v/>
      </c>
      <c r="E111" s="15">
        <f>IFERROR(SUMIFS(DataEntry!$AU:$AU,DataEntry!$A:$A,"Mulanje",DataEntry!$B:$B,"Luchenza",DataEntry!$G:$G,"Q2"),"")</f>
        <v/>
      </c>
      <c r="F111" s="15">
        <f>IFERROR(SUMIFS(DataEntry!$AU:$AU,DataEntry!$A:$A,"Mulanje",DataEntry!$B:$B,"Luchenza",DataEntry!$G:$G,"Q3"),"")</f>
        <v/>
      </c>
      <c r="G111" s="15">
        <f>IFERROR(SUMIFS(DataEntry!$AU:$AU,DataEntry!$A:$A,"Mulanje",DataEntry!$B:$B,"Luchenza",DataEntry!$G:$G,"Q4"),"")</f>
        <v/>
      </c>
      <c r="H111" s="20">
        <f>IFERROR(SUM(D111:G111),"")</f>
        <v/>
      </c>
    </row>
    <row r="112">
      <c r="A112" s="21" t="inlineStr">
        <is>
          <t>Mulanje</t>
        </is>
      </c>
      <c r="B112" s="21" t="inlineStr">
        <is>
          <t>Luchenza</t>
        </is>
      </c>
      <c r="C112" s="12" t="inlineStr">
        <is>
          <t>Total Cash Collected</t>
        </is>
      </c>
      <c r="D112" s="9">
        <f>IFERROR(SUMIFS(DataEntry!$GB:$GB,DataEntry!$A:$A,"Mulanje",DataEntry!$B:$B,"Luchenza",DataEntry!$G:$G,"Q1"),"")</f>
        <v/>
      </c>
      <c r="E112" s="9">
        <f>IFERROR(SUMIFS(DataEntry!$GB:$GB,DataEntry!$A:$A,"Mulanje",DataEntry!$B:$B,"Luchenza",DataEntry!$G:$G,"Q2"),"")</f>
        <v/>
      </c>
      <c r="F112" s="9">
        <f>IFERROR(SUMIFS(DataEntry!$GB:$GB,DataEntry!$A:$A,"Mulanje",DataEntry!$B:$B,"Luchenza",DataEntry!$G:$G,"Q3"),"")</f>
        <v/>
      </c>
      <c r="G112" s="9">
        <f>IFERROR(SUMIFS(DataEntry!$GB:$GB,DataEntry!$A:$A,"Mulanje",DataEntry!$B:$B,"Luchenza",DataEntry!$G:$G,"Q4"),"")</f>
        <v/>
      </c>
      <c r="H112" s="22">
        <f>IFERROR(SUM(D112:G112),"")</f>
        <v/>
      </c>
    </row>
    <row r="113">
      <c r="A113" s="19" t="inlineStr">
        <is>
          <t>Mulanje</t>
        </is>
      </c>
      <c r="B113" s="19" t="inlineStr">
        <is>
          <t>Luchenza</t>
        </is>
      </c>
      <c r="C113" s="6" t="inlineStr">
        <is>
          <t>Total Amount Billed</t>
        </is>
      </c>
      <c r="D113" s="15">
        <f>IFERROR(SUMIFS(DataEntry!$GM:$GM,DataEntry!$A:$A,"Mulanje",DataEntry!$B:$B,"Luchenza",DataEntry!$G:$G,"Q1"),"")</f>
        <v/>
      </c>
      <c r="E113" s="15">
        <f>IFERROR(SUMIFS(DataEntry!$GM:$GM,DataEntry!$A:$A,"Mulanje",DataEntry!$B:$B,"Luchenza",DataEntry!$G:$G,"Q2"),"")</f>
        <v/>
      </c>
      <c r="F113" s="15">
        <f>IFERROR(SUMIFS(DataEntry!$GM:$GM,DataEntry!$A:$A,"Mulanje",DataEntry!$B:$B,"Luchenza",DataEntry!$G:$G,"Q3"),"")</f>
        <v/>
      </c>
      <c r="G113" s="15">
        <f>IFERROR(SUMIFS(DataEntry!$GM:$GM,DataEntry!$A:$A,"Mulanje",DataEntry!$B:$B,"Luchenza",DataEntry!$G:$G,"Q4"),"")</f>
        <v/>
      </c>
      <c r="H113" s="20">
        <f>IFERROR(SUM(D113:G113),"")</f>
        <v/>
      </c>
    </row>
    <row r="114">
      <c r="A114" s="21" t="inlineStr">
        <is>
          <t>Mulanje</t>
        </is>
      </c>
      <c r="B114" s="21" t="inlineStr">
        <is>
          <t>Luchenza</t>
        </is>
      </c>
      <c r="C114" s="12" t="inlineStr">
        <is>
          <t>Total Sales</t>
        </is>
      </c>
      <c r="D114" s="9">
        <f>IFERROR(SUMIFS(DataEntry!$GX:$GX,DataEntry!$A:$A,"Mulanje",DataEntry!$B:$B,"Luchenza",DataEntry!$G:$G,"Q1"),"")</f>
        <v/>
      </c>
      <c r="E114" s="9">
        <f>IFERROR(SUMIFS(DataEntry!$GX:$GX,DataEntry!$A:$A,"Mulanje",DataEntry!$B:$B,"Luchenza",DataEntry!$G:$G,"Q2"),"")</f>
        <v/>
      </c>
      <c r="F114" s="9">
        <f>IFERROR(SUMIFS(DataEntry!$GX:$GX,DataEntry!$A:$A,"Mulanje",DataEntry!$B:$B,"Luchenza",DataEntry!$G:$G,"Q3"),"")</f>
        <v/>
      </c>
      <c r="G114" s="9">
        <f>IFERROR(SUMIFS(DataEntry!$GX:$GX,DataEntry!$A:$A,"Mulanje",DataEntry!$B:$B,"Luchenza",DataEntry!$G:$G,"Q4"),"")</f>
        <v/>
      </c>
      <c r="H114" s="22">
        <f>IFERROR(SUM(D114:G114),"")</f>
        <v/>
      </c>
    </row>
    <row r="115">
      <c r="A115" s="19" t="inlineStr">
        <is>
          <t>Mulanje</t>
        </is>
      </c>
      <c r="B115" s="19" t="inlineStr">
        <is>
          <t>Luchenza</t>
        </is>
      </c>
      <c r="C115" s="6" t="inlineStr">
        <is>
          <t>Active Customers</t>
        </is>
      </c>
      <c r="D115" s="15">
        <f>IFERROR(SUMIFS(DataEntry!$CS:$CS,DataEntry!$A:$A,"Mulanje",DataEntry!$B:$B,"Luchenza",DataEntry!$G:$G,"Q1"),"")</f>
        <v/>
      </c>
      <c r="E115" s="15">
        <f>IFERROR(SUMIFS(DataEntry!$CS:$CS,DataEntry!$A:$A,"Mulanje",DataEntry!$B:$B,"Luchenza",DataEntry!$G:$G,"Q2"),"")</f>
        <v/>
      </c>
      <c r="F115" s="15">
        <f>IFERROR(SUMIFS(DataEntry!$CS:$CS,DataEntry!$A:$A,"Mulanje",DataEntry!$B:$B,"Luchenza",DataEntry!$G:$G,"Q3"),"")</f>
        <v/>
      </c>
      <c r="G115" s="15">
        <f>IFERROR(SUMIFS(DataEntry!$CS:$CS,DataEntry!$A:$A,"Mulanje",DataEntry!$B:$B,"Luchenza",DataEntry!$G:$G,"Q4"),"")</f>
        <v/>
      </c>
      <c r="H115" s="20">
        <f>IFERROR(SUM(D115:G115),"")</f>
        <v/>
      </c>
    </row>
    <row r="116">
      <c r="A116" s="21" t="inlineStr">
        <is>
          <t>Mulanje</t>
        </is>
      </c>
      <c r="B116" s="21" t="inlineStr">
        <is>
          <t>Luchenza</t>
        </is>
      </c>
      <c r="C116" s="12" t="inlineStr">
        <is>
          <t>New Connections</t>
        </is>
      </c>
      <c r="D116" s="9">
        <f>IFERROR(SUMIFS(DataEntry!$CA:$CA,DataEntry!$A:$A,"Mulanje",DataEntry!$B:$B,"Luchenza",DataEntry!$G:$G,"Q1"),"")</f>
        <v/>
      </c>
      <c r="E116" s="9">
        <f>IFERROR(SUMIFS(DataEntry!$CA:$CA,DataEntry!$A:$A,"Mulanje",DataEntry!$B:$B,"Luchenza",DataEntry!$G:$G,"Q2"),"")</f>
        <v/>
      </c>
      <c r="F116" s="9">
        <f>IFERROR(SUMIFS(DataEntry!$CA:$CA,DataEntry!$A:$A,"Mulanje",DataEntry!$B:$B,"Luchenza",DataEntry!$G:$G,"Q3"),"")</f>
        <v/>
      </c>
      <c r="G116" s="9">
        <f>IFERROR(SUMIFS(DataEntry!$CA:$CA,DataEntry!$A:$A,"Mulanje",DataEntry!$B:$B,"Luchenza",DataEntry!$G:$G,"Q4"),"")</f>
        <v/>
      </c>
      <c r="H116" s="22">
        <f>IFERROR(SUM(D116:G116),"")</f>
        <v/>
      </c>
    </row>
    <row r="117">
      <c r="A117" s="19" t="inlineStr">
        <is>
          <t>Mulanje</t>
        </is>
      </c>
      <c r="B117" s="19" t="inlineStr">
        <is>
          <t>Luchenza</t>
        </is>
      </c>
      <c r="C117" s="6" t="inlineStr">
        <is>
          <t>Stuck Meters C/Fwd</t>
        </is>
      </c>
      <c r="D117" s="15">
        <f>IFERROR(SUMIFS(DataEntry!$DV:$DV,DataEntry!$A:$A,"Mulanje",DataEntry!$B:$B,"Luchenza",DataEntry!$G:$G,"Q1"),"")</f>
        <v/>
      </c>
      <c r="E117" s="15">
        <f>IFERROR(SUMIFS(DataEntry!$DV:$DV,DataEntry!$A:$A,"Mulanje",DataEntry!$B:$B,"Luchenza",DataEntry!$G:$G,"Q2"),"")</f>
        <v/>
      </c>
      <c r="F117" s="15">
        <f>IFERROR(SUMIFS(DataEntry!$DV:$DV,DataEntry!$A:$A,"Mulanje",DataEntry!$B:$B,"Luchenza",DataEntry!$G:$G,"Q3"),"")</f>
        <v/>
      </c>
      <c r="G117" s="15">
        <f>IFERROR(SUMIFS(DataEntry!$DV:$DV,DataEntry!$A:$A,"Mulanje",DataEntry!$B:$B,"Luchenza",DataEntry!$G:$G,"Q4"),"")</f>
        <v/>
      </c>
      <c r="H117" s="20">
        <f>IFERROR(SUM(D117:G117),"")</f>
        <v/>
      </c>
    </row>
    <row r="118">
      <c r="A118" s="21" t="inlineStr">
        <is>
          <t>Mulanje</t>
        </is>
      </c>
      <c r="B118" s="21" t="inlineStr">
        <is>
          <t>Luchenza</t>
        </is>
      </c>
      <c r="C118" s="12" t="inlineStr">
        <is>
          <t>Cash Collection Rate</t>
        </is>
      </c>
      <c r="D118" s="10">
        <f>IFERROR(AVERAGEIFS(DataEntry!$HC:$HC,DataEntry!$A:$A,"Mulanje",DataEntry!$B:$B,"Luchenza",DataEntry!$G:$G,"Q1"),"")</f>
        <v/>
      </c>
      <c r="E118" s="10">
        <f>IFERROR(AVERAGEIFS(DataEntry!$HC:$HC,DataEntry!$A:$A,"Mulanje",DataEntry!$B:$B,"Luchenza",DataEntry!$G:$G,"Q2"),"")</f>
        <v/>
      </c>
      <c r="F118" s="10">
        <f>IFERROR(AVERAGEIFS(DataEntry!$HC:$HC,DataEntry!$A:$A,"Mulanje",DataEntry!$B:$B,"Luchenza",DataEntry!$G:$G,"Q3"),"")</f>
        <v/>
      </c>
      <c r="G118" s="10">
        <f>IFERROR(AVERAGEIFS(DataEntry!$HC:$HC,DataEntry!$A:$A,"Mulanje",DataEntry!$B:$B,"Luchenza",DataEntry!$G:$G,"Q4"),"")</f>
        <v/>
      </c>
      <c r="H118" s="23">
        <f>IFERROR(AVERAGE(D118:G118),"")</f>
        <v/>
      </c>
    </row>
    <row r="119">
      <c r="A119" s="19" t="inlineStr">
        <is>
          <t>Mulanje</t>
        </is>
      </c>
      <c r="B119" s="19" t="inlineStr">
        <is>
          <t>Luchenza</t>
        </is>
      </c>
      <c r="C119" s="6" t="inlineStr">
        <is>
          <t>OpCost per Sales</t>
        </is>
      </c>
      <c r="D119" s="16">
        <f>IFERROR(AVERAGEIFS(DataEntry!$HB:$HB,DataEntry!$A:$A,"Mulanje",DataEntry!$B:$B,"Luchenza",DataEntry!$G:$G,"Q1"),"")</f>
        <v/>
      </c>
      <c r="E119" s="16">
        <f>IFERROR(AVERAGEIFS(DataEntry!$HB:$HB,DataEntry!$A:$A,"Mulanje",DataEntry!$B:$B,"Luchenza",DataEntry!$G:$G,"Q2"),"")</f>
        <v/>
      </c>
      <c r="F119" s="16">
        <f>IFERROR(AVERAGEIFS(DataEntry!$HB:$HB,DataEntry!$A:$A,"Mulanje",DataEntry!$B:$B,"Luchenza",DataEntry!$G:$G,"Q3"),"")</f>
        <v/>
      </c>
      <c r="G119" s="16">
        <f>IFERROR(AVERAGEIFS(DataEntry!$HB:$HB,DataEntry!$A:$A,"Mulanje",DataEntry!$B:$B,"Luchenza",DataEntry!$G:$G,"Q4"),"")</f>
        <v/>
      </c>
      <c r="H119" s="24">
        <f>IFERROR(AVERAGE(D119:G119),"")</f>
        <v/>
      </c>
    </row>
    <row r="120">
      <c r="A120" s="21" t="inlineStr">
        <is>
          <t>Mulanje</t>
        </is>
      </c>
      <c r="B120" s="21" t="inlineStr">
        <is>
          <t>MUST</t>
        </is>
      </c>
      <c r="C120" s="12" t="inlineStr">
        <is>
          <t>Volume Produced (m³)</t>
        </is>
      </c>
      <c r="D120" s="9">
        <f>IFERROR(SUMIFS(DataEntry!$H:$H,DataEntry!$A:$A,"Mulanje",DataEntry!$B:$B,"MUST",DataEntry!$G:$G,"Q1"),"")</f>
        <v/>
      </c>
      <c r="E120" s="9">
        <f>IFERROR(SUMIFS(DataEntry!$H:$H,DataEntry!$A:$A,"Mulanje",DataEntry!$B:$B,"MUST",DataEntry!$G:$G,"Q2"),"")</f>
        <v/>
      </c>
      <c r="F120" s="9">
        <f>IFERROR(SUMIFS(DataEntry!$H:$H,DataEntry!$A:$A,"Mulanje",DataEntry!$B:$B,"MUST",DataEntry!$G:$G,"Q3"),"")</f>
        <v/>
      </c>
      <c r="G120" s="9">
        <f>IFERROR(SUMIFS(DataEntry!$H:$H,DataEntry!$A:$A,"Mulanje",DataEntry!$B:$B,"MUST",DataEntry!$G:$G,"Q4"),"")</f>
        <v/>
      </c>
      <c r="H120" s="22">
        <f>IFERROR(SUM(D120:G120),"")</f>
        <v/>
      </c>
    </row>
    <row r="121">
      <c r="A121" s="19" t="inlineStr">
        <is>
          <t>Mulanje</t>
        </is>
      </c>
      <c r="B121" s="19" t="inlineStr">
        <is>
          <t>MUST</t>
        </is>
      </c>
      <c r="C121" s="6" t="inlineStr">
        <is>
          <t>Total Revenue Water</t>
        </is>
      </c>
      <c r="D121" s="15">
        <f>IFERROR(SUMIFS(DataEntry!$S:$S,DataEntry!$A:$A,"Mulanje",DataEntry!$B:$B,"MUST",DataEntry!$G:$G,"Q1"),"")</f>
        <v/>
      </c>
      <c r="E121" s="15">
        <f>IFERROR(SUMIFS(DataEntry!$S:$S,DataEntry!$A:$A,"Mulanje",DataEntry!$B:$B,"MUST",DataEntry!$G:$G,"Q2"),"")</f>
        <v/>
      </c>
      <c r="F121" s="15">
        <f>IFERROR(SUMIFS(DataEntry!$S:$S,DataEntry!$A:$A,"Mulanje",DataEntry!$B:$B,"MUST",DataEntry!$G:$G,"Q3"),"")</f>
        <v/>
      </c>
      <c r="G121" s="15">
        <f>IFERROR(SUMIFS(DataEntry!$S:$S,DataEntry!$A:$A,"Mulanje",DataEntry!$B:$B,"MUST",DataEntry!$G:$G,"Q4"),"")</f>
        <v/>
      </c>
      <c r="H121" s="20">
        <f>IFERROR(SUM(D121:G121),"")</f>
        <v/>
      </c>
    </row>
    <row r="122">
      <c r="A122" s="21" t="inlineStr">
        <is>
          <t>Mulanje</t>
        </is>
      </c>
      <c r="B122" s="21" t="inlineStr">
        <is>
          <t>MUST</t>
        </is>
      </c>
      <c r="C122" s="12" t="inlineStr">
        <is>
          <t>Non-Revenue Water</t>
        </is>
      </c>
      <c r="D122" s="9">
        <f>IFERROR(SUMIFS(DataEntry!$T:$T,DataEntry!$A:$A,"Mulanje",DataEntry!$B:$B,"MUST",DataEntry!$G:$G,"Q1"),"")</f>
        <v/>
      </c>
      <c r="E122" s="9">
        <f>IFERROR(SUMIFS(DataEntry!$T:$T,DataEntry!$A:$A,"Mulanje",DataEntry!$B:$B,"MUST",DataEntry!$G:$G,"Q2"),"")</f>
        <v/>
      </c>
      <c r="F122" s="9">
        <f>IFERROR(SUMIFS(DataEntry!$T:$T,DataEntry!$A:$A,"Mulanje",DataEntry!$B:$B,"MUST",DataEntry!$G:$G,"Q3"),"")</f>
        <v/>
      </c>
      <c r="G122" s="9">
        <f>IFERROR(SUMIFS(DataEntry!$T:$T,DataEntry!$A:$A,"Mulanje",DataEntry!$B:$B,"MUST",DataEntry!$G:$G,"Q4"),"")</f>
        <v/>
      </c>
      <c r="H122" s="22">
        <f>IFERROR(SUM(D122:G122),"")</f>
        <v/>
      </c>
    </row>
    <row r="123">
      <c r="A123" s="19" t="inlineStr">
        <is>
          <t>Mulanje</t>
        </is>
      </c>
      <c r="B123" s="19" t="inlineStr">
        <is>
          <t>MUST</t>
        </is>
      </c>
      <c r="C123" s="6" t="inlineStr">
        <is>
          <t>% NRW</t>
        </is>
      </c>
      <c r="D123" s="16">
        <f>IFERROR(AVERAGEIFS(DataEntry!$U:$U,DataEntry!$A:$A,"Mulanje",DataEntry!$B:$B,"MUST",DataEntry!$G:$G,"Q1"),"")</f>
        <v/>
      </c>
      <c r="E123" s="16">
        <f>IFERROR(AVERAGEIFS(DataEntry!$U:$U,DataEntry!$A:$A,"Mulanje",DataEntry!$B:$B,"MUST",DataEntry!$G:$G,"Q2"),"")</f>
        <v/>
      </c>
      <c r="F123" s="16">
        <f>IFERROR(AVERAGEIFS(DataEntry!$U:$U,DataEntry!$A:$A,"Mulanje",DataEntry!$B:$B,"MUST",DataEntry!$G:$G,"Q3"),"")</f>
        <v/>
      </c>
      <c r="G123" s="16">
        <f>IFERROR(AVERAGEIFS(DataEntry!$U:$U,DataEntry!$A:$A,"Mulanje",DataEntry!$B:$B,"MUST",DataEntry!$G:$G,"Q4"),"")</f>
        <v/>
      </c>
      <c r="H123" s="24">
        <f>IFERROR(AVERAGE(D123:G123),"")</f>
        <v/>
      </c>
    </row>
    <row r="124">
      <c r="A124" s="21" t="inlineStr">
        <is>
          <t>Mulanje</t>
        </is>
      </c>
      <c r="B124" s="21" t="inlineStr">
        <is>
          <t>MUST</t>
        </is>
      </c>
      <c r="C124" s="12" t="inlineStr">
        <is>
          <t>Total Operating Costs</t>
        </is>
      </c>
      <c r="D124" s="9">
        <f>IFERROR(SUMIFS(DataEntry!$AU:$AU,DataEntry!$A:$A,"Mulanje",DataEntry!$B:$B,"MUST",DataEntry!$G:$G,"Q1"),"")</f>
        <v/>
      </c>
      <c r="E124" s="9">
        <f>IFERROR(SUMIFS(DataEntry!$AU:$AU,DataEntry!$A:$A,"Mulanje",DataEntry!$B:$B,"MUST",DataEntry!$G:$G,"Q2"),"")</f>
        <v/>
      </c>
      <c r="F124" s="9">
        <f>IFERROR(SUMIFS(DataEntry!$AU:$AU,DataEntry!$A:$A,"Mulanje",DataEntry!$B:$B,"MUST",DataEntry!$G:$G,"Q3"),"")</f>
        <v/>
      </c>
      <c r="G124" s="9">
        <f>IFERROR(SUMIFS(DataEntry!$AU:$AU,DataEntry!$A:$A,"Mulanje",DataEntry!$B:$B,"MUST",DataEntry!$G:$G,"Q4"),"")</f>
        <v/>
      </c>
      <c r="H124" s="22">
        <f>IFERROR(SUM(D124:G124),"")</f>
        <v/>
      </c>
    </row>
    <row r="125">
      <c r="A125" s="19" t="inlineStr">
        <is>
          <t>Mulanje</t>
        </is>
      </c>
      <c r="B125" s="19" t="inlineStr">
        <is>
          <t>MUST</t>
        </is>
      </c>
      <c r="C125" s="6" t="inlineStr">
        <is>
          <t>Total Cash Collected</t>
        </is>
      </c>
      <c r="D125" s="15">
        <f>IFERROR(SUMIFS(DataEntry!$GB:$GB,DataEntry!$A:$A,"Mulanje",DataEntry!$B:$B,"MUST",DataEntry!$G:$G,"Q1"),"")</f>
        <v/>
      </c>
      <c r="E125" s="15">
        <f>IFERROR(SUMIFS(DataEntry!$GB:$GB,DataEntry!$A:$A,"Mulanje",DataEntry!$B:$B,"MUST",DataEntry!$G:$G,"Q2"),"")</f>
        <v/>
      </c>
      <c r="F125" s="15">
        <f>IFERROR(SUMIFS(DataEntry!$GB:$GB,DataEntry!$A:$A,"Mulanje",DataEntry!$B:$B,"MUST",DataEntry!$G:$G,"Q3"),"")</f>
        <v/>
      </c>
      <c r="G125" s="15">
        <f>IFERROR(SUMIFS(DataEntry!$GB:$GB,DataEntry!$A:$A,"Mulanje",DataEntry!$B:$B,"MUST",DataEntry!$G:$G,"Q4"),"")</f>
        <v/>
      </c>
      <c r="H125" s="20">
        <f>IFERROR(SUM(D125:G125),"")</f>
        <v/>
      </c>
    </row>
    <row r="126">
      <c r="A126" s="21" t="inlineStr">
        <is>
          <t>Mulanje</t>
        </is>
      </c>
      <c r="B126" s="21" t="inlineStr">
        <is>
          <t>MUST</t>
        </is>
      </c>
      <c r="C126" s="12" t="inlineStr">
        <is>
          <t>Total Amount Billed</t>
        </is>
      </c>
      <c r="D126" s="9">
        <f>IFERROR(SUMIFS(DataEntry!$GM:$GM,DataEntry!$A:$A,"Mulanje",DataEntry!$B:$B,"MUST",DataEntry!$G:$G,"Q1"),"")</f>
        <v/>
      </c>
      <c r="E126" s="9">
        <f>IFERROR(SUMIFS(DataEntry!$GM:$GM,DataEntry!$A:$A,"Mulanje",DataEntry!$B:$B,"MUST",DataEntry!$G:$G,"Q2"),"")</f>
        <v/>
      </c>
      <c r="F126" s="9">
        <f>IFERROR(SUMIFS(DataEntry!$GM:$GM,DataEntry!$A:$A,"Mulanje",DataEntry!$B:$B,"MUST",DataEntry!$G:$G,"Q3"),"")</f>
        <v/>
      </c>
      <c r="G126" s="9">
        <f>IFERROR(SUMIFS(DataEntry!$GM:$GM,DataEntry!$A:$A,"Mulanje",DataEntry!$B:$B,"MUST",DataEntry!$G:$G,"Q4"),"")</f>
        <v/>
      </c>
      <c r="H126" s="22">
        <f>IFERROR(SUM(D126:G126),"")</f>
        <v/>
      </c>
    </row>
    <row r="127">
      <c r="A127" s="19" t="inlineStr">
        <is>
          <t>Mulanje</t>
        </is>
      </c>
      <c r="B127" s="19" t="inlineStr">
        <is>
          <t>MUST</t>
        </is>
      </c>
      <c r="C127" s="6" t="inlineStr">
        <is>
          <t>Total Sales</t>
        </is>
      </c>
      <c r="D127" s="15">
        <f>IFERROR(SUMIFS(DataEntry!$GX:$GX,DataEntry!$A:$A,"Mulanje",DataEntry!$B:$B,"MUST",DataEntry!$G:$G,"Q1"),"")</f>
        <v/>
      </c>
      <c r="E127" s="15">
        <f>IFERROR(SUMIFS(DataEntry!$GX:$GX,DataEntry!$A:$A,"Mulanje",DataEntry!$B:$B,"MUST",DataEntry!$G:$G,"Q2"),"")</f>
        <v/>
      </c>
      <c r="F127" s="15">
        <f>IFERROR(SUMIFS(DataEntry!$GX:$GX,DataEntry!$A:$A,"Mulanje",DataEntry!$B:$B,"MUST",DataEntry!$G:$G,"Q3"),"")</f>
        <v/>
      </c>
      <c r="G127" s="15">
        <f>IFERROR(SUMIFS(DataEntry!$GX:$GX,DataEntry!$A:$A,"Mulanje",DataEntry!$B:$B,"MUST",DataEntry!$G:$G,"Q4"),"")</f>
        <v/>
      </c>
      <c r="H127" s="20">
        <f>IFERROR(SUM(D127:G127),"")</f>
        <v/>
      </c>
    </row>
    <row r="128">
      <c r="A128" s="21" t="inlineStr">
        <is>
          <t>Mulanje</t>
        </is>
      </c>
      <c r="B128" s="21" t="inlineStr">
        <is>
          <t>MUST</t>
        </is>
      </c>
      <c r="C128" s="12" t="inlineStr">
        <is>
          <t>Active Customers</t>
        </is>
      </c>
      <c r="D128" s="9">
        <f>IFERROR(SUMIFS(DataEntry!$CS:$CS,DataEntry!$A:$A,"Mulanje",DataEntry!$B:$B,"MUST",DataEntry!$G:$G,"Q1"),"")</f>
        <v/>
      </c>
      <c r="E128" s="9">
        <f>IFERROR(SUMIFS(DataEntry!$CS:$CS,DataEntry!$A:$A,"Mulanje",DataEntry!$B:$B,"MUST",DataEntry!$G:$G,"Q2"),"")</f>
        <v/>
      </c>
      <c r="F128" s="9">
        <f>IFERROR(SUMIFS(DataEntry!$CS:$CS,DataEntry!$A:$A,"Mulanje",DataEntry!$B:$B,"MUST",DataEntry!$G:$G,"Q3"),"")</f>
        <v/>
      </c>
      <c r="G128" s="9">
        <f>IFERROR(SUMIFS(DataEntry!$CS:$CS,DataEntry!$A:$A,"Mulanje",DataEntry!$B:$B,"MUST",DataEntry!$G:$G,"Q4"),"")</f>
        <v/>
      </c>
      <c r="H128" s="22">
        <f>IFERROR(SUM(D128:G128),"")</f>
        <v/>
      </c>
    </row>
    <row r="129">
      <c r="A129" s="19" t="inlineStr">
        <is>
          <t>Mulanje</t>
        </is>
      </c>
      <c r="B129" s="19" t="inlineStr">
        <is>
          <t>MUST</t>
        </is>
      </c>
      <c r="C129" s="6" t="inlineStr">
        <is>
          <t>New Connections</t>
        </is>
      </c>
      <c r="D129" s="15">
        <f>IFERROR(SUMIFS(DataEntry!$CA:$CA,DataEntry!$A:$A,"Mulanje",DataEntry!$B:$B,"MUST",DataEntry!$G:$G,"Q1"),"")</f>
        <v/>
      </c>
      <c r="E129" s="15">
        <f>IFERROR(SUMIFS(DataEntry!$CA:$CA,DataEntry!$A:$A,"Mulanje",DataEntry!$B:$B,"MUST",DataEntry!$G:$G,"Q2"),"")</f>
        <v/>
      </c>
      <c r="F129" s="15">
        <f>IFERROR(SUMIFS(DataEntry!$CA:$CA,DataEntry!$A:$A,"Mulanje",DataEntry!$B:$B,"MUST",DataEntry!$G:$G,"Q3"),"")</f>
        <v/>
      </c>
      <c r="G129" s="15">
        <f>IFERROR(SUMIFS(DataEntry!$CA:$CA,DataEntry!$A:$A,"Mulanje",DataEntry!$B:$B,"MUST",DataEntry!$G:$G,"Q4"),"")</f>
        <v/>
      </c>
      <c r="H129" s="20">
        <f>IFERROR(SUM(D129:G129),"")</f>
        <v/>
      </c>
    </row>
    <row r="130">
      <c r="A130" s="21" t="inlineStr">
        <is>
          <t>Mulanje</t>
        </is>
      </c>
      <c r="B130" s="21" t="inlineStr">
        <is>
          <t>MUST</t>
        </is>
      </c>
      <c r="C130" s="12" t="inlineStr">
        <is>
          <t>Stuck Meters C/Fwd</t>
        </is>
      </c>
      <c r="D130" s="9">
        <f>IFERROR(SUMIFS(DataEntry!$DV:$DV,DataEntry!$A:$A,"Mulanje",DataEntry!$B:$B,"MUST",DataEntry!$G:$G,"Q1"),"")</f>
        <v/>
      </c>
      <c r="E130" s="9">
        <f>IFERROR(SUMIFS(DataEntry!$DV:$DV,DataEntry!$A:$A,"Mulanje",DataEntry!$B:$B,"MUST",DataEntry!$G:$G,"Q2"),"")</f>
        <v/>
      </c>
      <c r="F130" s="9">
        <f>IFERROR(SUMIFS(DataEntry!$DV:$DV,DataEntry!$A:$A,"Mulanje",DataEntry!$B:$B,"MUST",DataEntry!$G:$G,"Q3"),"")</f>
        <v/>
      </c>
      <c r="G130" s="9">
        <f>IFERROR(SUMIFS(DataEntry!$DV:$DV,DataEntry!$A:$A,"Mulanje",DataEntry!$B:$B,"MUST",DataEntry!$G:$G,"Q4"),"")</f>
        <v/>
      </c>
      <c r="H130" s="22">
        <f>IFERROR(SUM(D130:G130),"")</f>
        <v/>
      </c>
    </row>
    <row r="131">
      <c r="A131" s="19" t="inlineStr">
        <is>
          <t>Mulanje</t>
        </is>
      </c>
      <c r="B131" s="19" t="inlineStr">
        <is>
          <t>MUST</t>
        </is>
      </c>
      <c r="C131" s="6" t="inlineStr">
        <is>
          <t>Cash Collection Rate</t>
        </is>
      </c>
      <c r="D131" s="16">
        <f>IFERROR(AVERAGEIFS(DataEntry!$HC:$HC,DataEntry!$A:$A,"Mulanje",DataEntry!$B:$B,"MUST",DataEntry!$G:$G,"Q1"),"")</f>
        <v/>
      </c>
      <c r="E131" s="16">
        <f>IFERROR(AVERAGEIFS(DataEntry!$HC:$HC,DataEntry!$A:$A,"Mulanje",DataEntry!$B:$B,"MUST",DataEntry!$G:$G,"Q2"),"")</f>
        <v/>
      </c>
      <c r="F131" s="16">
        <f>IFERROR(AVERAGEIFS(DataEntry!$HC:$HC,DataEntry!$A:$A,"Mulanje",DataEntry!$B:$B,"MUST",DataEntry!$G:$G,"Q3"),"")</f>
        <v/>
      </c>
      <c r="G131" s="16">
        <f>IFERROR(AVERAGEIFS(DataEntry!$HC:$HC,DataEntry!$A:$A,"Mulanje",DataEntry!$B:$B,"MUST",DataEntry!$G:$G,"Q4"),"")</f>
        <v/>
      </c>
      <c r="H131" s="24">
        <f>IFERROR(AVERAGE(D131:G131),"")</f>
        <v/>
      </c>
    </row>
    <row r="132">
      <c r="A132" s="21" t="inlineStr">
        <is>
          <t>Mulanje</t>
        </is>
      </c>
      <c r="B132" s="21" t="inlineStr">
        <is>
          <t>MUST</t>
        </is>
      </c>
      <c r="C132" s="12" t="inlineStr">
        <is>
          <t>OpCost per Sales</t>
        </is>
      </c>
      <c r="D132" s="10">
        <f>IFERROR(AVERAGEIFS(DataEntry!$HB:$HB,DataEntry!$A:$A,"Mulanje",DataEntry!$B:$B,"MUST",DataEntry!$G:$G,"Q1"),"")</f>
        <v/>
      </c>
      <c r="E132" s="10">
        <f>IFERROR(AVERAGEIFS(DataEntry!$HB:$HB,DataEntry!$A:$A,"Mulanje",DataEntry!$B:$B,"MUST",DataEntry!$G:$G,"Q2"),"")</f>
        <v/>
      </c>
      <c r="F132" s="10">
        <f>IFERROR(AVERAGEIFS(DataEntry!$HB:$HB,DataEntry!$A:$A,"Mulanje",DataEntry!$B:$B,"MUST",DataEntry!$G:$G,"Q3"),"")</f>
        <v/>
      </c>
      <c r="G132" s="10">
        <f>IFERROR(AVERAGEIFS(DataEntry!$HB:$HB,DataEntry!$A:$A,"Mulanje",DataEntry!$B:$B,"MUST",DataEntry!$G:$G,"Q4"),"")</f>
        <v/>
      </c>
      <c r="H132" s="23">
        <f>IFERROR(AVERAGE(D132:G132),"")</f>
        <v/>
      </c>
    </row>
    <row r="133">
      <c r="A133" s="19" t="inlineStr">
        <is>
          <t>Mulanje</t>
        </is>
      </c>
      <c r="B133" s="19" t="inlineStr">
        <is>
          <t>Migowi</t>
        </is>
      </c>
      <c r="C133" s="6" t="inlineStr">
        <is>
          <t>Volume Produced (m³)</t>
        </is>
      </c>
      <c r="D133" s="15">
        <f>IFERROR(SUMIFS(DataEntry!$H:$H,DataEntry!$A:$A,"Mulanje",DataEntry!$B:$B,"Migowi",DataEntry!$G:$G,"Q1"),"")</f>
        <v/>
      </c>
      <c r="E133" s="15">
        <f>IFERROR(SUMIFS(DataEntry!$H:$H,DataEntry!$A:$A,"Mulanje",DataEntry!$B:$B,"Migowi",DataEntry!$G:$G,"Q2"),"")</f>
        <v/>
      </c>
      <c r="F133" s="15">
        <f>IFERROR(SUMIFS(DataEntry!$H:$H,DataEntry!$A:$A,"Mulanje",DataEntry!$B:$B,"Migowi",DataEntry!$G:$G,"Q3"),"")</f>
        <v/>
      </c>
      <c r="G133" s="15">
        <f>IFERROR(SUMIFS(DataEntry!$H:$H,DataEntry!$A:$A,"Mulanje",DataEntry!$B:$B,"Migowi",DataEntry!$G:$G,"Q4"),"")</f>
        <v/>
      </c>
      <c r="H133" s="20">
        <f>IFERROR(SUM(D133:G133),"")</f>
        <v/>
      </c>
    </row>
    <row r="134">
      <c r="A134" s="21" t="inlineStr">
        <is>
          <t>Mulanje</t>
        </is>
      </c>
      <c r="B134" s="21" t="inlineStr">
        <is>
          <t>Migowi</t>
        </is>
      </c>
      <c r="C134" s="12" t="inlineStr">
        <is>
          <t>Total Revenue Water</t>
        </is>
      </c>
      <c r="D134" s="9">
        <f>IFERROR(SUMIFS(DataEntry!$S:$S,DataEntry!$A:$A,"Mulanje",DataEntry!$B:$B,"Migowi",DataEntry!$G:$G,"Q1"),"")</f>
        <v/>
      </c>
      <c r="E134" s="9">
        <f>IFERROR(SUMIFS(DataEntry!$S:$S,DataEntry!$A:$A,"Mulanje",DataEntry!$B:$B,"Migowi",DataEntry!$G:$G,"Q2"),"")</f>
        <v/>
      </c>
      <c r="F134" s="9">
        <f>IFERROR(SUMIFS(DataEntry!$S:$S,DataEntry!$A:$A,"Mulanje",DataEntry!$B:$B,"Migowi",DataEntry!$G:$G,"Q3"),"")</f>
        <v/>
      </c>
      <c r="G134" s="9">
        <f>IFERROR(SUMIFS(DataEntry!$S:$S,DataEntry!$A:$A,"Mulanje",DataEntry!$B:$B,"Migowi",DataEntry!$G:$G,"Q4"),"")</f>
        <v/>
      </c>
      <c r="H134" s="22">
        <f>IFERROR(SUM(D134:G134),"")</f>
        <v/>
      </c>
    </row>
    <row r="135">
      <c r="A135" s="19" t="inlineStr">
        <is>
          <t>Mulanje</t>
        </is>
      </c>
      <c r="B135" s="19" t="inlineStr">
        <is>
          <t>Migowi</t>
        </is>
      </c>
      <c r="C135" s="6" t="inlineStr">
        <is>
          <t>Non-Revenue Water</t>
        </is>
      </c>
      <c r="D135" s="15">
        <f>IFERROR(SUMIFS(DataEntry!$T:$T,DataEntry!$A:$A,"Mulanje",DataEntry!$B:$B,"Migowi",DataEntry!$G:$G,"Q1"),"")</f>
        <v/>
      </c>
      <c r="E135" s="15">
        <f>IFERROR(SUMIFS(DataEntry!$T:$T,DataEntry!$A:$A,"Mulanje",DataEntry!$B:$B,"Migowi",DataEntry!$G:$G,"Q2"),"")</f>
        <v/>
      </c>
      <c r="F135" s="15">
        <f>IFERROR(SUMIFS(DataEntry!$T:$T,DataEntry!$A:$A,"Mulanje",DataEntry!$B:$B,"Migowi",DataEntry!$G:$G,"Q3"),"")</f>
        <v/>
      </c>
      <c r="G135" s="15">
        <f>IFERROR(SUMIFS(DataEntry!$T:$T,DataEntry!$A:$A,"Mulanje",DataEntry!$B:$B,"Migowi",DataEntry!$G:$G,"Q4"),"")</f>
        <v/>
      </c>
      <c r="H135" s="20">
        <f>IFERROR(SUM(D135:G135),"")</f>
        <v/>
      </c>
    </row>
    <row r="136">
      <c r="A136" s="21" t="inlineStr">
        <is>
          <t>Mulanje</t>
        </is>
      </c>
      <c r="B136" s="21" t="inlineStr">
        <is>
          <t>Migowi</t>
        </is>
      </c>
      <c r="C136" s="12" t="inlineStr">
        <is>
          <t>% NRW</t>
        </is>
      </c>
      <c r="D136" s="10">
        <f>IFERROR(AVERAGEIFS(DataEntry!$U:$U,DataEntry!$A:$A,"Mulanje",DataEntry!$B:$B,"Migowi",DataEntry!$G:$G,"Q1"),"")</f>
        <v/>
      </c>
      <c r="E136" s="10">
        <f>IFERROR(AVERAGEIFS(DataEntry!$U:$U,DataEntry!$A:$A,"Mulanje",DataEntry!$B:$B,"Migowi",DataEntry!$G:$G,"Q2"),"")</f>
        <v/>
      </c>
      <c r="F136" s="10">
        <f>IFERROR(AVERAGEIFS(DataEntry!$U:$U,DataEntry!$A:$A,"Mulanje",DataEntry!$B:$B,"Migowi",DataEntry!$G:$G,"Q3"),"")</f>
        <v/>
      </c>
      <c r="G136" s="10">
        <f>IFERROR(AVERAGEIFS(DataEntry!$U:$U,DataEntry!$A:$A,"Mulanje",DataEntry!$B:$B,"Migowi",DataEntry!$G:$G,"Q4"),"")</f>
        <v/>
      </c>
      <c r="H136" s="23">
        <f>IFERROR(AVERAGE(D136:G136),"")</f>
        <v/>
      </c>
    </row>
    <row r="137">
      <c r="A137" s="19" t="inlineStr">
        <is>
          <t>Mulanje</t>
        </is>
      </c>
      <c r="B137" s="19" t="inlineStr">
        <is>
          <t>Migowi</t>
        </is>
      </c>
      <c r="C137" s="6" t="inlineStr">
        <is>
          <t>Total Operating Costs</t>
        </is>
      </c>
      <c r="D137" s="15">
        <f>IFERROR(SUMIFS(DataEntry!$AU:$AU,DataEntry!$A:$A,"Mulanje",DataEntry!$B:$B,"Migowi",DataEntry!$G:$G,"Q1"),"")</f>
        <v/>
      </c>
      <c r="E137" s="15">
        <f>IFERROR(SUMIFS(DataEntry!$AU:$AU,DataEntry!$A:$A,"Mulanje",DataEntry!$B:$B,"Migowi",DataEntry!$G:$G,"Q2"),"")</f>
        <v/>
      </c>
      <c r="F137" s="15">
        <f>IFERROR(SUMIFS(DataEntry!$AU:$AU,DataEntry!$A:$A,"Mulanje",DataEntry!$B:$B,"Migowi",DataEntry!$G:$G,"Q3"),"")</f>
        <v/>
      </c>
      <c r="G137" s="15">
        <f>IFERROR(SUMIFS(DataEntry!$AU:$AU,DataEntry!$A:$A,"Mulanje",DataEntry!$B:$B,"Migowi",DataEntry!$G:$G,"Q4"),"")</f>
        <v/>
      </c>
      <c r="H137" s="20">
        <f>IFERROR(SUM(D137:G137),"")</f>
        <v/>
      </c>
    </row>
    <row r="138">
      <c r="A138" s="21" t="inlineStr">
        <is>
          <t>Mulanje</t>
        </is>
      </c>
      <c r="B138" s="21" t="inlineStr">
        <is>
          <t>Migowi</t>
        </is>
      </c>
      <c r="C138" s="12" t="inlineStr">
        <is>
          <t>Total Cash Collected</t>
        </is>
      </c>
      <c r="D138" s="9">
        <f>IFERROR(SUMIFS(DataEntry!$GB:$GB,DataEntry!$A:$A,"Mulanje",DataEntry!$B:$B,"Migowi",DataEntry!$G:$G,"Q1"),"")</f>
        <v/>
      </c>
      <c r="E138" s="9">
        <f>IFERROR(SUMIFS(DataEntry!$GB:$GB,DataEntry!$A:$A,"Mulanje",DataEntry!$B:$B,"Migowi",DataEntry!$G:$G,"Q2"),"")</f>
        <v/>
      </c>
      <c r="F138" s="9">
        <f>IFERROR(SUMIFS(DataEntry!$GB:$GB,DataEntry!$A:$A,"Mulanje",DataEntry!$B:$B,"Migowi",DataEntry!$G:$G,"Q3"),"")</f>
        <v/>
      </c>
      <c r="G138" s="9">
        <f>IFERROR(SUMIFS(DataEntry!$GB:$GB,DataEntry!$A:$A,"Mulanje",DataEntry!$B:$B,"Migowi",DataEntry!$G:$G,"Q4"),"")</f>
        <v/>
      </c>
      <c r="H138" s="22">
        <f>IFERROR(SUM(D138:G138),"")</f>
        <v/>
      </c>
    </row>
    <row r="139">
      <c r="A139" s="19" t="inlineStr">
        <is>
          <t>Mulanje</t>
        </is>
      </c>
      <c r="B139" s="19" t="inlineStr">
        <is>
          <t>Migowi</t>
        </is>
      </c>
      <c r="C139" s="6" t="inlineStr">
        <is>
          <t>Total Amount Billed</t>
        </is>
      </c>
      <c r="D139" s="15">
        <f>IFERROR(SUMIFS(DataEntry!$GM:$GM,DataEntry!$A:$A,"Mulanje",DataEntry!$B:$B,"Migowi",DataEntry!$G:$G,"Q1"),"")</f>
        <v/>
      </c>
      <c r="E139" s="15">
        <f>IFERROR(SUMIFS(DataEntry!$GM:$GM,DataEntry!$A:$A,"Mulanje",DataEntry!$B:$B,"Migowi",DataEntry!$G:$G,"Q2"),"")</f>
        <v/>
      </c>
      <c r="F139" s="15">
        <f>IFERROR(SUMIFS(DataEntry!$GM:$GM,DataEntry!$A:$A,"Mulanje",DataEntry!$B:$B,"Migowi",DataEntry!$G:$G,"Q3"),"")</f>
        <v/>
      </c>
      <c r="G139" s="15">
        <f>IFERROR(SUMIFS(DataEntry!$GM:$GM,DataEntry!$A:$A,"Mulanje",DataEntry!$B:$B,"Migowi",DataEntry!$G:$G,"Q4"),"")</f>
        <v/>
      </c>
      <c r="H139" s="20">
        <f>IFERROR(SUM(D139:G139),"")</f>
        <v/>
      </c>
    </row>
    <row r="140">
      <c r="A140" s="21" t="inlineStr">
        <is>
          <t>Mulanje</t>
        </is>
      </c>
      <c r="B140" s="21" t="inlineStr">
        <is>
          <t>Migowi</t>
        </is>
      </c>
      <c r="C140" s="12" t="inlineStr">
        <is>
          <t>Total Sales</t>
        </is>
      </c>
      <c r="D140" s="9">
        <f>IFERROR(SUMIFS(DataEntry!$GX:$GX,DataEntry!$A:$A,"Mulanje",DataEntry!$B:$B,"Migowi",DataEntry!$G:$G,"Q1"),"")</f>
        <v/>
      </c>
      <c r="E140" s="9">
        <f>IFERROR(SUMIFS(DataEntry!$GX:$GX,DataEntry!$A:$A,"Mulanje",DataEntry!$B:$B,"Migowi",DataEntry!$G:$G,"Q2"),"")</f>
        <v/>
      </c>
      <c r="F140" s="9">
        <f>IFERROR(SUMIFS(DataEntry!$GX:$GX,DataEntry!$A:$A,"Mulanje",DataEntry!$B:$B,"Migowi",DataEntry!$G:$G,"Q3"),"")</f>
        <v/>
      </c>
      <c r="G140" s="9">
        <f>IFERROR(SUMIFS(DataEntry!$GX:$GX,DataEntry!$A:$A,"Mulanje",DataEntry!$B:$B,"Migowi",DataEntry!$G:$G,"Q4"),"")</f>
        <v/>
      </c>
      <c r="H140" s="22">
        <f>IFERROR(SUM(D140:G140),"")</f>
        <v/>
      </c>
    </row>
    <row r="141">
      <c r="A141" s="19" t="inlineStr">
        <is>
          <t>Mulanje</t>
        </is>
      </c>
      <c r="B141" s="19" t="inlineStr">
        <is>
          <t>Migowi</t>
        </is>
      </c>
      <c r="C141" s="6" t="inlineStr">
        <is>
          <t>Active Customers</t>
        </is>
      </c>
      <c r="D141" s="15">
        <f>IFERROR(SUMIFS(DataEntry!$CS:$CS,DataEntry!$A:$A,"Mulanje",DataEntry!$B:$B,"Migowi",DataEntry!$G:$G,"Q1"),"")</f>
        <v/>
      </c>
      <c r="E141" s="15">
        <f>IFERROR(SUMIFS(DataEntry!$CS:$CS,DataEntry!$A:$A,"Mulanje",DataEntry!$B:$B,"Migowi",DataEntry!$G:$G,"Q2"),"")</f>
        <v/>
      </c>
      <c r="F141" s="15">
        <f>IFERROR(SUMIFS(DataEntry!$CS:$CS,DataEntry!$A:$A,"Mulanje",DataEntry!$B:$B,"Migowi",DataEntry!$G:$G,"Q3"),"")</f>
        <v/>
      </c>
      <c r="G141" s="15">
        <f>IFERROR(SUMIFS(DataEntry!$CS:$CS,DataEntry!$A:$A,"Mulanje",DataEntry!$B:$B,"Migowi",DataEntry!$G:$G,"Q4"),"")</f>
        <v/>
      </c>
      <c r="H141" s="20">
        <f>IFERROR(SUM(D141:G141),"")</f>
        <v/>
      </c>
    </row>
    <row r="142">
      <c r="A142" s="21" t="inlineStr">
        <is>
          <t>Mulanje</t>
        </is>
      </c>
      <c r="B142" s="21" t="inlineStr">
        <is>
          <t>Migowi</t>
        </is>
      </c>
      <c r="C142" s="12" t="inlineStr">
        <is>
          <t>New Connections</t>
        </is>
      </c>
      <c r="D142" s="9">
        <f>IFERROR(SUMIFS(DataEntry!$CA:$CA,DataEntry!$A:$A,"Mulanje",DataEntry!$B:$B,"Migowi",DataEntry!$G:$G,"Q1"),"")</f>
        <v/>
      </c>
      <c r="E142" s="9">
        <f>IFERROR(SUMIFS(DataEntry!$CA:$CA,DataEntry!$A:$A,"Mulanje",DataEntry!$B:$B,"Migowi",DataEntry!$G:$G,"Q2"),"")</f>
        <v/>
      </c>
      <c r="F142" s="9">
        <f>IFERROR(SUMIFS(DataEntry!$CA:$CA,DataEntry!$A:$A,"Mulanje",DataEntry!$B:$B,"Migowi",DataEntry!$G:$G,"Q3"),"")</f>
        <v/>
      </c>
      <c r="G142" s="9">
        <f>IFERROR(SUMIFS(DataEntry!$CA:$CA,DataEntry!$A:$A,"Mulanje",DataEntry!$B:$B,"Migowi",DataEntry!$G:$G,"Q4"),"")</f>
        <v/>
      </c>
      <c r="H142" s="22">
        <f>IFERROR(SUM(D142:G142),"")</f>
        <v/>
      </c>
    </row>
    <row r="143">
      <c r="A143" s="19" t="inlineStr">
        <is>
          <t>Mulanje</t>
        </is>
      </c>
      <c r="B143" s="19" t="inlineStr">
        <is>
          <t>Migowi</t>
        </is>
      </c>
      <c r="C143" s="6" t="inlineStr">
        <is>
          <t>Stuck Meters C/Fwd</t>
        </is>
      </c>
      <c r="D143" s="15">
        <f>IFERROR(SUMIFS(DataEntry!$DV:$DV,DataEntry!$A:$A,"Mulanje",DataEntry!$B:$B,"Migowi",DataEntry!$G:$G,"Q1"),"")</f>
        <v/>
      </c>
      <c r="E143" s="15">
        <f>IFERROR(SUMIFS(DataEntry!$DV:$DV,DataEntry!$A:$A,"Mulanje",DataEntry!$B:$B,"Migowi",DataEntry!$G:$G,"Q2"),"")</f>
        <v/>
      </c>
      <c r="F143" s="15">
        <f>IFERROR(SUMIFS(DataEntry!$DV:$DV,DataEntry!$A:$A,"Mulanje",DataEntry!$B:$B,"Migowi",DataEntry!$G:$G,"Q3"),"")</f>
        <v/>
      </c>
      <c r="G143" s="15">
        <f>IFERROR(SUMIFS(DataEntry!$DV:$DV,DataEntry!$A:$A,"Mulanje",DataEntry!$B:$B,"Migowi",DataEntry!$G:$G,"Q4"),"")</f>
        <v/>
      </c>
      <c r="H143" s="20">
        <f>IFERROR(SUM(D143:G143),"")</f>
        <v/>
      </c>
    </row>
    <row r="144">
      <c r="A144" s="21" t="inlineStr">
        <is>
          <t>Mulanje</t>
        </is>
      </c>
      <c r="B144" s="21" t="inlineStr">
        <is>
          <t>Migowi</t>
        </is>
      </c>
      <c r="C144" s="12" t="inlineStr">
        <is>
          <t>Cash Collection Rate</t>
        </is>
      </c>
      <c r="D144" s="10">
        <f>IFERROR(AVERAGEIFS(DataEntry!$HC:$HC,DataEntry!$A:$A,"Mulanje",DataEntry!$B:$B,"Migowi",DataEntry!$G:$G,"Q1"),"")</f>
        <v/>
      </c>
      <c r="E144" s="10">
        <f>IFERROR(AVERAGEIFS(DataEntry!$HC:$HC,DataEntry!$A:$A,"Mulanje",DataEntry!$B:$B,"Migowi",DataEntry!$G:$G,"Q2"),"")</f>
        <v/>
      </c>
      <c r="F144" s="10">
        <f>IFERROR(AVERAGEIFS(DataEntry!$HC:$HC,DataEntry!$A:$A,"Mulanje",DataEntry!$B:$B,"Migowi",DataEntry!$G:$G,"Q3"),"")</f>
        <v/>
      </c>
      <c r="G144" s="10">
        <f>IFERROR(AVERAGEIFS(DataEntry!$HC:$HC,DataEntry!$A:$A,"Mulanje",DataEntry!$B:$B,"Migowi",DataEntry!$G:$G,"Q4"),"")</f>
        <v/>
      </c>
      <c r="H144" s="23">
        <f>IFERROR(AVERAGE(D144:G144),"")</f>
        <v/>
      </c>
    </row>
    <row r="145">
      <c r="A145" s="19" t="inlineStr">
        <is>
          <t>Mulanje</t>
        </is>
      </c>
      <c r="B145" s="19" t="inlineStr">
        <is>
          <t>Migowi</t>
        </is>
      </c>
      <c r="C145" s="6" t="inlineStr">
        <is>
          <t>OpCost per Sales</t>
        </is>
      </c>
      <c r="D145" s="16">
        <f>IFERROR(AVERAGEIFS(DataEntry!$HB:$HB,DataEntry!$A:$A,"Mulanje",DataEntry!$B:$B,"Migowi",DataEntry!$G:$G,"Q1"),"")</f>
        <v/>
      </c>
      <c r="E145" s="16">
        <f>IFERROR(AVERAGEIFS(DataEntry!$HB:$HB,DataEntry!$A:$A,"Mulanje",DataEntry!$B:$B,"Migowi",DataEntry!$G:$G,"Q2"),"")</f>
        <v/>
      </c>
      <c r="F145" s="16">
        <f>IFERROR(AVERAGEIFS(DataEntry!$HB:$HB,DataEntry!$A:$A,"Mulanje",DataEntry!$B:$B,"Migowi",DataEntry!$G:$G,"Q3"),"")</f>
        <v/>
      </c>
      <c r="G145" s="16">
        <f>IFERROR(AVERAGEIFS(DataEntry!$HB:$HB,DataEntry!$A:$A,"Mulanje",DataEntry!$B:$B,"Migowi",DataEntry!$G:$G,"Q4"),"")</f>
        <v/>
      </c>
      <c r="H145" s="24">
        <f>IFERROR(AVERAGE(D145:G145),"")</f>
        <v/>
      </c>
    </row>
    <row r="146">
      <c r="A146" s="21" t="inlineStr">
        <is>
          <t>Mulanje</t>
        </is>
      </c>
      <c r="B146" s="21" t="inlineStr">
        <is>
          <t>Mikolongwe</t>
        </is>
      </c>
      <c r="C146" s="12" t="inlineStr">
        <is>
          <t>Volume Produced (m³)</t>
        </is>
      </c>
      <c r="D146" s="9">
        <f>IFERROR(SUMIFS(DataEntry!$H:$H,DataEntry!$A:$A,"Mulanje",DataEntry!$B:$B,"Mikolongwe",DataEntry!$G:$G,"Q1"),"")</f>
        <v/>
      </c>
      <c r="E146" s="9">
        <f>IFERROR(SUMIFS(DataEntry!$H:$H,DataEntry!$A:$A,"Mulanje",DataEntry!$B:$B,"Mikolongwe",DataEntry!$G:$G,"Q2"),"")</f>
        <v/>
      </c>
      <c r="F146" s="9">
        <f>IFERROR(SUMIFS(DataEntry!$H:$H,DataEntry!$A:$A,"Mulanje",DataEntry!$B:$B,"Mikolongwe",DataEntry!$G:$G,"Q3"),"")</f>
        <v/>
      </c>
      <c r="G146" s="9">
        <f>IFERROR(SUMIFS(DataEntry!$H:$H,DataEntry!$A:$A,"Mulanje",DataEntry!$B:$B,"Mikolongwe",DataEntry!$G:$G,"Q4"),"")</f>
        <v/>
      </c>
      <c r="H146" s="22">
        <f>IFERROR(SUM(D146:G146),"")</f>
        <v/>
      </c>
    </row>
    <row r="147">
      <c r="A147" s="19" t="inlineStr">
        <is>
          <t>Mulanje</t>
        </is>
      </c>
      <c r="B147" s="19" t="inlineStr">
        <is>
          <t>Mikolongwe</t>
        </is>
      </c>
      <c r="C147" s="6" t="inlineStr">
        <is>
          <t>Total Revenue Water</t>
        </is>
      </c>
      <c r="D147" s="15">
        <f>IFERROR(SUMIFS(DataEntry!$S:$S,DataEntry!$A:$A,"Mulanje",DataEntry!$B:$B,"Mikolongwe",DataEntry!$G:$G,"Q1"),"")</f>
        <v/>
      </c>
      <c r="E147" s="15">
        <f>IFERROR(SUMIFS(DataEntry!$S:$S,DataEntry!$A:$A,"Mulanje",DataEntry!$B:$B,"Mikolongwe",DataEntry!$G:$G,"Q2"),"")</f>
        <v/>
      </c>
      <c r="F147" s="15">
        <f>IFERROR(SUMIFS(DataEntry!$S:$S,DataEntry!$A:$A,"Mulanje",DataEntry!$B:$B,"Mikolongwe",DataEntry!$G:$G,"Q3"),"")</f>
        <v/>
      </c>
      <c r="G147" s="15">
        <f>IFERROR(SUMIFS(DataEntry!$S:$S,DataEntry!$A:$A,"Mulanje",DataEntry!$B:$B,"Mikolongwe",DataEntry!$G:$G,"Q4"),"")</f>
        <v/>
      </c>
      <c r="H147" s="20">
        <f>IFERROR(SUM(D147:G147),"")</f>
        <v/>
      </c>
    </row>
    <row r="148">
      <c r="A148" s="21" t="inlineStr">
        <is>
          <t>Mulanje</t>
        </is>
      </c>
      <c r="B148" s="21" t="inlineStr">
        <is>
          <t>Mikolongwe</t>
        </is>
      </c>
      <c r="C148" s="12" t="inlineStr">
        <is>
          <t>Non-Revenue Water</t>
        </is>
      </c>
      <c r="D148" s="9">
        <f>IFERROR(SUMIFS(DataEntry!$T:$T,DataEntry!$A:$A,"Mulanje",DataEntry!$B:$B,"Mikolongwe",DataEntry!$G:$G,"Q1"),"")</f>
        <v/>
      </c>
      <c r="E148" s="9">
        <f>IFERROR(SUMIFS(DataEntry!$T:$T,DataEntry!$A:$A,"Mulanje",DataEntry!$B:$B,"Mikolongwe",DataEntry!$G:$G,"Q2"),"")</f>
        <v/>
      </c>
      <c r="F148" s="9">
        <f>IFERROR(SUMIFS(DataEntry!$T:$T,DataEntry!$A:$A,"Mulanje",DataEntry!$B:$B,"Mikolongwe",DataEntry!$G:$G,"Q3"),"")</f>
        <v/>
      </c>
      <c r="G148" s="9">
        <f>IFERROR(SUMIFS(DataEntry!$T:$T,DataEntry!$A:$A,"Mulanje",DataEntry!$B:$B,"Mikolongwe",DataEntry!$G:$G,"Q4"),"")</f>
        <v/>
      </c>
      <c r="H148" s="22">
        <f>IFERROR(SUM(D148:G148),"")</f>
        <v/>
      </c>
    </row>
    <row r="149">
      <c r="A149" s="19" t="inlineStr">
        <is>
          <t>Mulanje</t>
        </is>
      </c>
      <c r="B149" s="19" t="inlineStr">
        <is>
          <t>Mikolongwe</t>
        </is>
      </c>
      <c r="C149" s="6" t="inlineStr">
        <is>
          <t>% NRW</t>
        </is>
      </c>
      <c r="D149" s="16">
        <f>IFERROR(AVERAGEIFS(DataEntry!$U:$U,DataEntry!$A:$A,"Mulanje",DataEntry!$B:$B,"Mikolongwe",DataEntry!$G:$G,"Q1"),"")</f>
        <v/>
      </c>
      <c r="E149" s="16">
        <f>IFERROR(AVERAGEIFS(DataEntry!$U:$U,DataEntry!$A:$A,"Mulanje",DataEntry!$B:$B,"Mikolongwe",DataEntry!$G:$G,"Q2"),"")</f>
        <v/>
      </c>
      <c r="F149" s="16">
        <f>IFERROR(AVERAGEIFS(DataEntry!$U:$U,DataEntry!$A:$A,"Mulanje",DataEntry!$B:$B,"Mikolongwe",DataEntry!$G:$G,"Q3"),"")</f>
        <v/>
      </c>
      <c r="G149" s="16">
        <f>IFERROR(AVERAGEIFS(DataEntry!$U:$U,DataEntry!$A:$A,"Mulanje",DataEntry!$B:$B,"Mikolongwe",DataEntry!$G:$G,"Q4"),"")</f>
        <v/>
      </c>
      <c r="H149" s="24">
        <f>IFERROR(AVERAGE(D149:G149),"")</f>
        <v/>
      </c>
    </row>
    <row r="150">
      <c r="A150" s="21" t="inlineStr">
        <is>
          <t>Mulanje</t>
        </is>
      </c>
      <c r="B150" s="21" t="inlineStr">
        <is>
          <t>Mikolongwe</t>
        </is>
      </c>
      <c r="C150" s="12" t="inlineStr">
        <is>
          <t>Total Operating Costs</t>
        </is>
      </c>
      <c r="D150" s="9">
        <f>IFERROR(SUMIFS(DataEntry!$AU:$AU,DataEntry!$A:$A,"Mulanje",DataEntry!$B:$B,"Mikolongwe",DataEntry!$G:$G,"Q1"),"")</f>
        <v/>
      </c>
      <c r="E150" s="9">
        <f>IFERROR(SUMIFS(DataEntry!$AU:$AU,DataEntry!$A:$A,"Mulanje",DataEntry!$B:$B,"Mikolongwe",DataEntry!$G:$G,"Q2"),"")</f>
        <v/>
      </c>
      <c r="F150" s="9">
        <f>IFERROR(SUMIFS(DataEntry!$AU:$AU,DataEntry!$A:$A,"Mulanje",DataEntry!$B:$B,"Mikolongwe",DataEntry!$G:$G,"Q3"),"")</f>
        <v/>
      </c>
      <c r="G150" s="9">
        <f>IFERROR(SUMIFS(DataEntry!$AU:$AU,DataEntry!$A:$A,"Mulanje",DataEntry!$B:$B,"Mikolongwe",DataEntry!$G:$G,"Q4"),"")</f>
        <v/>
      </c>
      <c r="H150" s="22">
        <f>IFERROR(SUM(D150:G150),"")</f>
        <v/>
      </c>
    </row>
    <row r="151">
      <c r="A151" s="19" t="inlineStr">
        <is>
          <t>Mulanje</t>
        </is>
      </c>
      <c r="B151" s="19" t="inlineStr">
        <is>
          <t>Mikolongwe</t>
        </is>
      </c>
      <c r="C151" s="6" t="inlineStr">
        <is>
          <t>Total Cash Collected</t>
        </is>
      </c>
      <c r="D151" s="15">
        <f>IFERROR(SUMIFS(DataEntry!$GB:$GB,DataEntry!$A:$A,"Mulanje",DataEntry!$B:$B,"Mikolongwe",DataEntry!$G:$G,"Q1"),"")</f>
        <v/>
      </c>
      <c r="E151" s="15">
        <f>IFERROR(SUMIFS(DataEntry!$GB:$GB,DataEntry!$A:$A,"Mulanje",DataEntry!$B:$B,"Mikolongwe",DataEntry!$G:$G,"Q2"),"")</f>
        <v/>
      </c>
      <c r="F151" s="15">
        <f>IFERROR(SUMIFS(DataEntry!$GB:$GB,DataEntry!$A:$A,"Mulanje",DataEntry!$B:$B,"Mikolongwe",DataEntry!$G:$G,"Q3"),"")</f>
        <v/>
      </c>
      <c r="G151" s="15">
        <f>IFERROR(SUMIFS(DataEntry!$GB:$GB,DataEntry!$A:$A,"Mulanje",DataEntry!$B:$B,"Mikolongwe",DataEntry!$G:$G,"Q4"),"")</f>
        <v/>
      </c>
      <c r="H151" s="20">
        <f>IFERROR(SUM(D151:G151),"")</f>
        <v/>
      </c>
    </row>
    <row r="152">
      <c r="A152" s="21" t="inlineStr">
        <is>
          <t>Mulanje</t>
        </is>
      </c>
      <c r="B152" s="21" t="inlineStr">
        <is>
          <t>Mikolongwe</t>
        </is>
      </c>
      <c r="C152" s="12" t="inlineStr">
        <is>
          <t>Total Amount Billed</t>
        </is>
      </c>
      <c r="D152" s="9">
        <f>IFERROR(SUMIFS(DataEntry!$GM:$GM,DataEntry!$A:$A,"Mulanje",DataEntry!$B:$B,"Mikolongwe",DataEntry!$G:$G,"Q1"),"")</f>
        <v/>
      </c>
      <c r="E152" s="9">
        <f>IFERROR(SUMIFS(DataEntry!$GM:$GM,DataEntry!$A:$A,"Mulanje",DataEntry!$B:$B,"Mikolongwe",DataEntry!$G:$G,"Q2"),"")</f>
        <v/>
      </c>
      <c r="F152" s="9">
        <f>IFERROR(SUMIFS(DataEntry!$GM:$GM,DataEntry!$A:$A,"Mulanje",DataEntry!$B:$B,"Mikolongwe",DataEntry!$G:$G,"Q3"),"")</f>
        <v/>
      </c>
      <c r="G152" s="9">
        <f>IFERROR(SUMIFS(DataEntry!$GM:$GM,DataEntry!$A:$A,"Mulanje",DataEntry!$B:$B,"Mikolongwe",DataEntry!$G:$G,"Q4"),"")</f>
        <v/>
      </c>
      <c r="H152" s="22">
        <f>IFERROR(SUM(D152:G152),"")</f>
        <v/>
      </c>
    </row>
    <row r="153">
      <c r="A153" s="19" t="inlineStr">
        <is>
          <t>Mulanje</t>
        </is>
      </c>
      <c r="B153" s="19" t="inlineStr">
        <is>
          <t>Mikolongwe</t>
        </is>
      </c>
      <c r="C153" s="6" t="inlineStr">
        <is>
          <t>Total Sales</t>
        </is>
      </c>
      <c r="D153" s="15">
        <f>IFERROR(SUMIFS(DataEntry!$GX:$GX,DataEntry!$A:$A,"Mulanje",DataEntry!$B:$B,"Mikolongwe",DataEntry!$G:$G,"Q1"),"")</f>
        <v/>
      </c>
      <c r="E153" s="15">
        <f>IFERROR(SUMIFS(DataEntry!$GX:$GX,DataEntry!$A:$A,"Mulanje",DataEntry!$B:$B,"Mikolongwe",DataEntry!$G:$G,"Q2"),"")</f>
        <v/>
      </c>
      <c r="F153" s="15">
        <f>IFERROR(SUMIFS(DataEntry!$GX:$GX,DataEntry!$A:$A,"Mulanje",DataEntry!$B:$B,"Mikolongwe",DataEntry!$G:$G,"Q3"),"")</f>
        <v/>
      </c>
      <c r="G153" s="15">
        <f>IFERROR(SUMIFS(DataEntry!$GX:$GX,DataEntry!$A:$A,"Mulanje",DataEntry!$B:$B,"Mikolongwe",DataEntry!$G:$G,"Q4"),"")</f>
        <v/>
      </c>
      <c r="H153" s="20">
        <f>IFERROR(SUM(D153:G153),"")</f>
        <v/>
      </c>
    </row>
    <row r="154">
      <c r="A154" s="21" t="inlineStr">
        <is>
          <t>Mulanje</t>
        </is>
      </c>
      <c r="B154" s="21" t="inlineStr">
        <is>
          <t>Mikolongwe</t>
        </is>
      </c>
      <c r="C154" s="12" t="inlineStr">
        <is>
          <t>Active Customers</t>
        </is>
      </c>
      <c r="D154" s="9">
        <f>IFERROR(SUMIFS(DataEntry!$CS:$CS,DataEntry!$A:$A,"Mulanje",DataEntry!$B:$B,"Mikolongwe",DataEntry!$G:$G,"Q1"),"")</f>
        <v/>
      </c>
      <c r="E154" s="9">
        <f>IFERROR(SUMIFS(DataEntry!$CS:$CS,DataEntry!$A:$A,"Mulanje",DataEntry!$B:$B,"Mikolongwe",DataEntry!$G:$G,"Q2"),"")</f>
        <v/>
      </c>
      <c r="F154" s="9">
        <f>IFERROR(SUMIFS(DataEntry!$CS:$CS,DataEntry!$A:$A,"Mulanje",DataEntry!$B:$B,"Mikolongwe",DataEntry!$G:$G,"Q3"),"")</f>
        <v/>
      </c>
      <c r="G154" s="9">
        <f>IFERROR(SUMIFS(DataEntry!$CS:$CS,DataEntry!$A:$A,"Mulanje",DataEntry!$B:$B,"Mikolongwe",DataEntry!$G:$G,"Q4"),"")</f>
        <v/>
      </c>
      <c r="H154" s="22">
        <f>IFERROR(SUM(D154:G154),"")</f>
        <v/>
      </c>
    </row>
    <row r="155">
      <c r="A155" s="19" t="inlineStr">
        <is>
          <t>Mulanje</t>
        </is>
      </c>
      <c r="B155" s="19" t="inlineStr">
        <is>
          <t>Mikolongwe</t>
        </is>
      </c>
      <c r="C155" s="6" t="inlineStr">
        <is>
          <t>New Connections</t>
        </is>
      </c>
      <c r="D155" s="15">
        <f>IFERROR(SUMIFS(DataEntry!$CA:$CA,DataEntry!$A:$A,"Mulanje",DataEntry!$B:$B,"Mikolongwe",DataEntry!$G:$G,"Q1"),"")</f>
        <v/>
      </c>
      <c r="E155" s="15">
        <f>IFERROR(SUMIFS(DataEntry!$CA:$CA,DataEntry!$A:$A,"Mulanje",DataEntry!$B:$B,"Mikolongwe",DataEntry!$G:$G,"Q2"),"")</f>
        <v/>
      </c>
      <c r="F155" s="15">
        <f>IFERROR(SUMIFS(DataEntry!$CA:$CA,DataEntry!$A:$A,"Mulanje",DataEntry!$B:$B,"Mikolongwe",DataEntry!$G:$G,"Q3"),"")</f>
        <v/>
      </c>
      <c r="G155" s="15">
        <f>IFERROR(SUMIFS(DataEntry!$CA:$CA,DataEntry!$A:$A,"Mulanje",DataEntry!$B:$B,"Mikolongwe",DataEntry!$G:$G,"Q4"),"")</f>
        <v/>
      </c>
      <c r="H155" s="20">
        <f>IFERROR(SUM(D155:G155),"")</f>
        <v/>
      </c>
    </row>
    <row r="156">
      <c r="A156" s="21" t="inlineStr">
        <is>
          <t>Mulanje</t>
        </is>
      </c>
      <c r="B156" s="21" t="inlineStr">
        <is>
          <t>Mikolongwe</t>
        </is>
      </c>
      <c r="C156" s="12" t="inlineStr">
        <is>
          <t>Stuck Meters C/Fwd</t>
        </is>
      </c>
      <c r="D156" s="9">
        <f>IFERROR(SUMIFS(DataEntry!$DV:$DV,DataEntry!$A:$A,"Mulanje",DataEntry!$B:$B,"Mikolongwe",DataEntry!$G:$G,"Q1"),"")</f>
        <v/>
      </c>
      <c r="E156" s="9">
        <f>IFERROR(SUMIFS(DataEntry!$DV:$DV,DataEntry!$A:$A,"Mulanje",DataEntry!$B:$B,"Mikolongwe",DataEntry!$G:$G,"Q2"),"")</f>
        <v/>
      </c>
      <c r="F156" s="9">
        <f>IFERROR(SUMIFS(DataEntry!$DV:$DV,DataEntry!$A:$A,"Mulanje",DataEntry!$B:$B,"Mikolongwe",DataEntry!$G:$G,"Q3"),"")</f>
        <v/>
      </c>
      <c r="G156" s="9">
        <f>IFERROR(SUMIFS(DataEntry!$DV:$DV,DataEntry!$A:$A,"Mulanje",DataEntry!$B:$B,"Mikolongwe",DataEntry!$G:$G,"Q4"),"")</f>
        <v/>
      </c>
      <c r="H156" s="22">
        <f>IFERROR(SUM(D156:G156),"")</f>
        <v/>
      </c>
    </row>
    <row r="157">
      <c r="A157" s="19" t="inlineStr">
        <is>
          <t>Mulanje</t>
        </is>
      </c>
      <c r="B157" s="19" t="inlineStr">
        <is>
          <t>Mikolongwe</t>
        </is>
      </c>
      <c r="C157" s="6" t="inlineStr">
        <is>
          <t>Cash Collection Rate</t>
        </is>
      </c>
      <c r="D157" s="16">
        <f>IFERROR(AVERAGEIFS(DataEntry!$HC:$HC,DataEntry!$A:$A,"Mulanje",DataEntry!$B:$B,"Mikolongwe",DataEntry!$G:$G,"Q1"),"")</f>
        <v/>
      </c>
      <c r="E157" s="16">
        <f>IFERROR(AVERAGEIFS(DataEntry!$HC:$HC,DataEntry!$A:$A,"Mulanje",DataEntry!$B:$B,"Mikolongwe",DataEntry!$G:$G,"Q2"),"")</f>
        <v/>
      </c>
      <c r="F157" s="16">
        <f>IFERROR(AVERAGEIFS(DataEntry!$HC:$HC,DataEntry!$A:$A,"Mulanje",DataEntry!$B:$B,"Mikolongwe",DataEntry!$G:$G,"Q3"),"")</f>
        <v/>
      </c>
      <c r="G157" s="16">
        <f>IFERROR(AVERAGEIFS(DataEntry!$HC:$HC,DataEntry!$A:$A,"Mulanje",DataEntry!$B:$B,"Mikolongwe",DataEntry!$G:$G,"Q4"),"")</f>
        <v/>
      </c>
      <c r="H157" s="24">
        <f>IFERROR(AVERAGE(D157:G157),"")</f>
        <v/>
      </c>
    </row>
    <row r="158">
      <c r="A158" s="21" t="inlineStr">
        <is>
          <t>Mulanje</t>
        </is>
      </c>
      <c r="B158" s="21" t="inlineStr">
        <is>
          <t>Mikolongwe</t>
        </is>
      </c>
      <c r="C158" s="12" t="inlineStr">
        <is>
          <t>OpCost per Sales</t>
        </is>
      </c>
      <c r="D158" s="10">
        <f>IFERROR(AVERAGEIFS(DataEntry!$HB:$HB,DataEntry!$A:$A,"Mulanje",DataEntry!$B:$B,"Mikolongwe",DataEntry!$G:$G,"Q1"),"")</f>
        <v/>
      </c>
      <c r="E158" s="10">
        <f>IFERROR(AVERAGEIFS(DataEntry!$HB:$HB,DataEntry!$A:$A,"Mulanje",DataEntry!$B:$B,"Mikolongwe",DataEntry!$G:$G,"Q2"),"")</f>
        <v/>
      </c>
      <c r="F158" s="10">
        <f>IFERROR(AVERAGEIFS(DataEntry!$HB:$HB,DataEntry!$A:$A,"Mulanje",DataEntry!$B:$B,"Mikolongwe",DataEntry!$G:$G,"Q3"),"")</f>
        <v/>
      </c>
      <c r="G158" s="10">
        <f>IFERROR(AVERAGEIFS(DataEntry!$HB:$HB,DataEntry!$A:$A,"Mulanje",DataEntry!$B:$B,"Mikolongwe",DataEntry!$G:$G,"Q4"),"")</f>
        <v/>
      </c>
      <c r="H158" s="23">
        <f>IFERROR(AVERAGE(D158:G158),"")</f>
        <v/>
      </c>
    </row>
    <row r="159">
      <c r="A159" s="19" t="inlineStr">
        <is>
          <t>Mulanje</t>
        </is>
      </c>
      <c r="B159" s="19" t="inlineStr">
        <is>
          <t>Mulanje</t>
        </is>
      </c>
      <c r="C159" s="6" t="inlineStr">
        <is>
          <t>Volume Produced (m³)</t>
        </is>
      </c>
      <c r="D159" s="15">
        <f>IFERROR(SUMIFS(DataEntry!$H:$H,DataEntry!$A:$A,"Mulanje",DataEntry!$B:$B,"Mulanje",DataEntry!$G:$G,"Q1"),"")</f>
        <v/>
      </c>
      <c r="E159" s="15">
        <f>IFERROR(SUMIFS(DataEntry!$H:$H,DataEntry!$A:$A,"Mulanje",DataEntry!$B:$B,"Mulanje",DataEntry!$G:$G,"Q2"),"")</f>
        <v/>
      </c>
      <c r="F159" s="15">
        <f>IFERROR(SUMIFS(DataEntry!$H:$H,DataEntry!$A:$A,"Mulanje",DataEntry!$B:$B,"Mulanje",DataEntry!$G:$G,"Q3"),"")</f>
        <v/>
      </c>
      <c r="G159" s="15">
        <f>IFERROR(SUMIFS(DataEntry!$H:$H,DataEntry!$A:$A,"Mulanje",DataEntry!$B:$B,"Mulanje",DataEntry!$G:$G,"Q4"),"")</f>
        <v/>
      </c>
      <c r="H159" s="20">
        <f>IFERROR(SUM(D159:G159),"")</f>
        <v/>
      </c>
    </row>
    <row r="160">
      <c r="A160" s="21" t="inlineStr">
        <is>
          <t>Mulanje</t>
        </is>
      </c>
      <c r="B160" s="21" t="inlineStr">
        <is>
          <t>Mulanje</t>
        </is>
      </c>
      <c r="C160" s="12" t="inlineStr">
        <is>
          <t>Total Revenue Water</t>
        </is>
      </c>
      <c r="D160" s="9">
        <f>IFERROR(SUMIFS(DataEntry!$S:$S,DataEntry!$A:$A,"Mulanje",DataEntry!$B:$B,"Mulanje",DataEntry!$G:$G,"Q1"),"")</f>
        <v/>
      </c>
      <c r="E160" s="9">
        <f>IFERROR(SUMIFS(DataEntry!$S:$S,DataEntry!$A:$A,"Mulanje",DataEntry!$B:$B,"Mulanje",DataEntry!$G:$G,"Q2"),"")</f>
        <v/>
      </c>
      <c r="F160" s="9">
        <f>IFERROR(SUMIFS(DataEntry!$S:$S,DataEntry!$A:$A,"Mulanje",DataEntry!$B:$B,"Mulanje",DataEntry!$G:$G,"Q3"),"")</f>
        <v/>
      </c>
      <c r="G160" s="9">
        <f>IFERROR(SUMIFS(DataEntry!$S:$S,DataEntry!$A:$A,"Mulanje",DataEntry!$B:$B,"Mulanje",DataEntry!$G:$G,"Q4"),"")</f>
        <v/>
      </c>
      <c r="H160" s="22">
        <f>IFERROR(SUM(D160:G160),"")</f>
        <v/>
      </c>
    </row>
    <row r="161">
      <c r="A161" s="19" t="inlineStr">
        <is>
          <t>Mulanje</t>
        </is>
      </c>
      <c r="B161" s="19" t="inlineStr">
        <is>
          <t>Mulanje</t>
        </is>
      </c>
      <c r="C161" s="6" t="inlineStr">
        <is>
          <t>Non-Revenue Water</t>
        </is>
      </c>
      <c r="D161" s="15">
        <f>IFERROR(SUMIFS(DataEntry!$T:$T,DataEntry!$A:$A,"Mulanje",DataEntry!$B:$B,"Mulanje",DataEntry!$G:$G,"Q1"),"")</f>
        <v/>
      </c>
      <c r="E161" s="15">
        <f>IFERROR(SUMIFS(DataEntry!$T:$T,DataEntry!$A:$A,"Mulanje",DataEntry!$B:$B,"Mulanje",DataEntry!$G:$G,"Q2"),"")</f>
        <v/>
      </c>
      <c r="F161" s="15">
        <f>IFERROR(SUMIFS(DataEntry!$T:$T,DataEntry!$A:$A,"Mulanje",DataEntry!$B:$B,"Mulanje",DataEntry!$G:$G,"Q3"),"")</f>
        <v/>
      </c>
      <c r="G161" s="15">
        <f>IFERROR(SUMIFS(DataEntry!$T:$T,DataEntry!$A:$A,"Mulanje",DataEntry!$B:$B,"Mulanje",DataEntry!$G:$G,"Q4"),"")</f>
        <v/>
      </c>
      <c r="H161" s="20">
        <f>IFERROR(SUM(D161:G161),"")</f>
        <v/>
      </c>
    </row>
    <row r="162">
      <c r="A162" s="21" t="inlineStr">
        <is>
          <t>Mulanje</t>
        </is>
      </c>
      <c r="B162" s="21" t="inlineStr">
        <is>
          <t>Mulanje</t>
        </is>
      </c>
      <c r="C162" s="12" t="inlineStr">
        <is>
          <t>% NRW</t>
        </is>
      </c>
      <c r="D162" s="10">
        <f>IFERROR(AVERAGEIFS(DataEntry!$U:$U,DataEntry!$A:$A,"Mulanje",DataEntry!$B:$B,"Mulanje",DataEntry!$G:$G,"Q1"),"")</f>
        <v/>
      </c>
      <c r="E162" s="10">
        <f>IFERROR(AVERAGEIFS(DataEntry!$U:$U,DataEntry!$A:$A,"Mulanje",DataEntry!$B:$B,"Mulanje",DataEntry!$G:$G,"Q2"),"")</f>
        <v/>
      </c>
      <c r="F162" s="10">
        <f>IFERROR(AVERAGEIFS(DataEntry!$U:$U,DataEntry!$A:$A,"Mulanje",DataEntry!$B:$B,"Mulanje",DataEntry!$G:$G,"Q3"),"")</f>
        <v/>
      </c>
      <c r="G162" s="10">
        <f>IFERROR(AVERAGEIFS(DataEntry!$U:$U,DataEntry!$A:$A,"Mulanje",DataEntry!$B:$B,"Mulanje",DataEntry!$G:$G,"Q4"),"")</f>
        <v/>
      </c>
      <c r="H162" s="23">
        <f>IFERROR(AVERAGE(D162:G162),"")</f>
        <v/>
      </c>
    </row>
    <row r="163">
      <c r="A163" s="19" t="inlineStr">
        <is>
          <t>Mulanje</t>
        </is>
      </c>
      <c r="B163" s="19" t="inlineStr">
        <is>
          <t>Mulanje</t>
        </is>
      </c>
      <c r="C163" s="6" t="inlineStr">
        <is>
          <t>Total Operating Costs</t>
        </is>
      </c>
      <c r="D163" s="15">
        <f>IFERROR(SUMIFS(DataEntry!$AU:$AU,DataEntry!$A:$A,"Mulanje",DataEntry!$B:$B,"Mulanje",DataEntry!$G:$G,"Q1"),"")</f>
        <v/>
      </c>
      <c r="E163" s="15">
        <f>IFERROR(SUMIFS(DataEntry!$AU:$AU,DataEntry!$A:$A,"Mulanje",DataEntry!$B:$B,"Mulanje",DataEntry!$G:$G,"Q2"),"")</f>
        <v/>
      </c>
      <c r="F163" s="15">
        <f>IFERROR(SUMIFS(DataEntry!$AU:$AU,DataEntry!$A:$A,"Mulanje",DataEntry!$B:$B,"Mulanje",DataEntry!$G:$G,"Q3"),"")</f>
        <v/>
      </c>
      <c r="G163" s="15">
        <f>IFERROR(SUMIFS(DataEntry!$AU:$AU,DataEntry!$A:$A,"Mulanje",DataEntry!$B:$B,"Mulanje",DataEntry!$G:$G,"Q4"),"")</f>
        <v/>
      </c>
      <c r="H163" s="20">
        <f>IFERROR(SUM(D163:G163),"")</f>
        <v/>
      </c>
    </row>
    <row r="164">
      <c r="A164" s="21" t="inlineStr">
        <is>
          <t>Mulanje</t>
        </is>
      </c>
      <c r="B164" s="21" t="inlineStr">
        <is>
          <t>Mulanje</t>
        </is>
      </c>
      <c r="C164" s="12" t="inlineStr">
        <is>
          <t>Total Cash Collected</t>
        </is>
      </c>
      <c r="D164" s="9">
        <f>IFERROR(SUMIFS(DataEntry!$GB:$GB,DataEntry!$A:$A,"Mulanje",DataEntry!$B:$B,"Mulanje",DataEntry!$G:$G,"Q1"),"")</f>
        <v/>
      </c>
      <c r="E164" s="9">
        <f>IFERROR(SUMIFS(DataEntry!$GB:$GB,DataEntry!$A:$A,"Mulanje",DataEntry!$B:$B,"Mulanje",DataEntry!$G:$G,"Q2"),"")</f>
        <v/>
      </c>
      <c r="F164" s="9">
        <f>IFERROR(SUMIFS(DataEntry!$GB:$GB,DataEntry!$A:$A,"Mulanje",DataEntry!$B:$B,"Mulanje",DataEntry!$G:$G,"Q3"),"")</f>
        <v/>
      </c>
      <c r="G164" s="9">
        <f>IFERROR(SUMIFS(DataEntry!$GB:$GB,DataEntry!$A:$A,"Mulanje",DataEntry!$B:$B,"Mulanje",DataEntry!$G:$G,"Q4"),"")</f>
        <v/>
      </c>
      <c r="H164" s="22">
        <f>IFERROR(SUM(D164:G164),"")</f>
        <v/>
      </c>
    </row>
    <row r="165">
      <c r="A165" s="19" t="inlineStr">
        <is>
          <t>Mulanje</t>
        </is>
      </c>
      <c r="B165" s="19" t="inlineStr">
        <is>
          <t>Mulanje</t>
        </is>
      </c>
      <c r="C165" s="6" t="inlineStr">
        <is>
          <t>Total Amount Billed</t>
        </is>
      </c>
      <c r="D165" s="15">
        <f>IFERROR(SUMIFS(DataEntry!$GM:$GM,DataEntry!$A:$A,"Mulanje",DataEntry!$B:$B,"Mulanje",DataEntry!$G:$G,"Q1"),"")</f>
        <v/>
      </c>
      <c r="E165" s="15">
        <f>IFERROR(SUMIFS(DataEntry!$GM:$GM,DataEntry!$A:$A,"Mulanje",DataEntry!$B:$B,"Mulanje",DataEntry!$G:$G,"Q2"),"")</f>
        <v/>
      </c>
      <c r="F165" s="15">
        <f>IFERROR(SUMIFS(DataEntry!$GM:$GM,DataEntry!$A:$A,"Mulanje",DataEntry!$B:$B,"Mulanje",DataEntry!$G:$G,"Q3"),"")</f>
        <v/>
      </c>
      <c r="G165" s="15">
        <f>IFERROR(SUMIFS(DataEntry!$GM:$GM,DataEntry!$A:$A,"Mulanje",DataEntry!$B:$B,"Mulanje",DataEntry!$G:$G,"Q4"),"")</f>
        <v/>
      </c>
      <c r="H165" s="20">
        <f>IFERROR(SUM(D165:G165),"")</f>
        <v/>
      </c>
    </row>
    <row r="166">
      <c r="A166" s="21" t="inlineStr">
        <is>
          <t>Mulanje</t>
        </is>
      </c>
      <c r="B166" s="21" t="inlineStr">
        <is>
          <t>Mulanje</t>
        </is>
      </c>
      <c r="C166" s="12" t="inlineStr">
        <is>
          <t>Total Sales</t>
        </is>
      </c>
      <c r="D166" s="9">
        <f>IFERROR(SUMIFS(DataEntry!$GX:$GX,DataEntry!$A:$A,"Mulanje",DataEntry!$B:$B,"Mulanje",DataEntry!$G:$G,"Q1"),"")</f>
        <v/>
      </c>
      <c r="E166" s="9">
        <f>IFERROR(SUMIFS(DataEntry!$GX:$GX,DataEntry!$A:$A,"Mulanje",DataEntry!$B:$B,"Mulanje",DataEntry!$G:$G,"Q2"),"")</f>
        <v/>
      </c>
      <c r="F166" s="9">
        <f>IFERROR(SUMIFS(DataEntry!$GX:$GX,DataEntry!$A:$A,"Mulanje",DataEntry!$B:$B,"Mulanje",DataEntry!$G:$G,"Q3"),"")</f>
        <v/>
      </c>
      <c r="G166" s="9">
        <f>IFERROR(SUMIFS(DataEntry!$GX:$GX,DataEntry!$A:$A,"Mulanje",DataEntry!$B:$B,"Mulanje",DataEntry!$G:$G,"Q4"),"")</f>
        <v/>
      </c>
      <c r="H166" s="22">
        <f>IFERROR(SUM(D166:G166),"")</f>
        <v/>
      </c>
    </row>
    <row r="167">
      <c r="A167" s="19" t="inlineStr">
        <is>
          <t>Mulanje</t>
        </is>
      </c>
      <c r="B167" s="19" t="inlineStr">
        <is>
          <t>Mulanje</t>
        </is>
      </c>
      <c r="C167" s="6" t="inlineStr">
        <is>
          <t>Active Customers</t>
        </is>
      </c>
      <c r="D167" s="15">
        <f>IFERROR(SUMIFS(DataEntry!$CS:$CS,DataEntry!$A:$A,"Mulanje",DataEntry!$B:$B,"Mulanje",DataEntry!$G:$G,"Q1"),"")</f>
        <v/>
      </c>
      <c r="E167" s="15">
        <f>IFERROR(SUMIFS(DataEntry!$CS:$CS,DataEntry!$A:$A,"Mulanje",DataEntry!$B:$B,"Mulanje",DataEntry!$G:$G,"Q2"),"")</f>
        <v/>
      </c>
      <c r="F167" s="15">
        <f>IFERROR(SUMIFS(DataEntry!$CS:$CS,DataEntry!$A:$A,"Mulanje",DataEntry!$B:$B,"Mulanje",DataEntry!$G:$G,"Q3"),"")</f>
        <v/>
      </c>
      <c r="G167" s="15">
        <f>IFERROR(SUMIFS(DataEntry!$CS:$CS,DataEntry!$A:$A,"Mulanje",DataEntry!$B:$B,"Mulanje",DataEntry!$G:$G,"Q4"),"")</f>
        <v/>
      </c>
      <c r="H167" s="20">
        <f>IFERROR(SUM(D167:G167),"")</f>
        <v/>
      </c>
    </row>
    <row r="168">
      <c r="A168" s="21" t="inlineStr">
        <is>
          <t>Mulanje</t>
        </is>
      </c>
      <c r="B168" s="21" t="inlineStr">
        <is>
          <t>Mulanje</t>
        </is>
      </c>
      <c r="C168" s="12" t="inlineStr">
        <is>
          <t>New Connections</t>
        </is>
      </c>
      <c r="D168" s="9">
        <f>IFERROR(SUMIFS(DataEntry!$CA:$CA,DataEntry!$A:$A,"Mulanje",DataEntry!$B:$B,"Mulanje",DataEntry!$G:$G,"Q1"),"")</f>
        <v/>
      </c>
      <c r="E168" s="9">
        <f>IFERROR(SUMIFS(DataEntry!$CA:$CA,DataEntry!$A:$A,"Mulanje",DataEntry!$B:$B,"Mulanje",DataEntry!$G:$G,"Q2"),"")</f>
        <v/>
      </c>
      <c r="F168" s="9">
        <f>IFERROR(SUMIFS(DataEntry!$CA:$CA,DataEntry!$A:$A,"Mulanje",DataEntry!$B:$B,"Mulanje",DataEntry!$G:$G,"Q3"),"")</f>
        <v/>
      </c>
      <c r="G168" s="9">
        <f>IFERROR(SUMIFS(DataEntry!$CA:$CA,DataEntry!$A:$A,"Mulanje",DataEntry!$B:$B,"Mulanje",DataEntry!$G:$G,"Q4"),"")</f>
        <v/>
      </c>
      <c r="H168" s="22">
        <f>IFERROR(SUM(D168:G168),"")</f>
        <v/>
      </c>
    </row>
    <row r="169">
      <c r="A169" s="19" t="inlineStr">
        <is>
          <t>Mulanje</t>
        </is>
      </c>
      <c r="B169" s="19" t="inlineStr">
        <is>
          <t>Mulanje</t>
        </is>
      </c>
      <c r="C169" s="6" t="inlineStr">
        <is>
          <t>Stuck Meters C/Fwd</t>
        </is>
      </c>
      <c r="D169" s="15">
        <f>IFERROR(SUMIFS(DataEntry!$DV:$DV,DataEntry!$A:$A,"Mulanje",DataEntry!$B:$B,"Mulanje",DataEntry!$G:$G,"Q1"),"")</f>
        <v/>
      </c>
      <c r="E169" s="15">
        <f>IFERROR(SUMIFS(DataEntry!$DV:$DV,DataEntry!$A:$A,"Mulanje",DataEntry!$B:$B,"Mulanje",DataEntry!$G:$G,"Q2"),"")</f>
        <v/>
      </c>
      <c r="F169" s="15">
        <f>IFERROR(SUMIFS(DataEntry!$DV:$DV,DataEntry!$A:$A,"Mulanje",DataEntry!$B:$B,"Mulanje",DataEntry!$G:$G,"Q3"),"")</f>
        <v/>
      </c>
      <c r="G169" s="15">
        <f>IFERROR(SUMIFS(DataEntry!$DV:$DV,DataEntry!$A:$A,"Mulanje",DataEntry!$B:$B,"Mulanje",DataEntry!$G:$G,"Q4"),"")</f>
        <v/>
      </c>
      <c r="H169" s="20">
        <f>IFERROR(SUM(D169:G169),"")</f>
        <v/>
      </c>
    </row>
    <row r="170">
      <c r="A170" s="21" t="inlineStr">
        <is>
          <t>Mulanje</t>
        </is>
      </c>
      <c r="B170" s="21" t="inlineStr">
        <is>
          <t>Mulanje</t>
        </is>
      </c>
      <c r="C170" s="12" t="inlineStr">
        <is>
          <t>Cash Collection Rate</t>
        </is>
      </c>
      <c r="D170" s="10">
        <f>IFERROR(AVERAGEIFS(DataEntry!$HC:$HC,DataEntry!$A:$A,"Mulanje",DataEntry!$B:$B,"Mulanje",DataEntry!$G:$G,"Q1"),"")</f>
        <v/>
      </c>
      <c r="E170" s="10">
        <f>IFERROR(AVERAGEIFS(DataEntry!$HC:$HC,DataEntry!$A:$A,"Mulanje",DataEntry!$B:$B,"Mulanje",DataEntry!$G:$G,"Q2"),"")</f>
        <v/>
      </c>
      <c r="F170" s="10">
        <f>IFERROR(AVERAGEIFS(DataEntry!$HC:$HC,DataEntry!$A:$A,"Mulanje",DataEntry!$B:$B,"Mulanje",DataEntry!$G:$G,"Q3"),"")</f>
        <v/>
      </c>
      <c r="G170" s="10">
        <f>IFERROR(AVERAGEIFS(DataEntry!$HC:$HC,DataEntry!$A:$A,"Mulanje",DataEntry!$B:$B,"Mulanje",DataEntry!$G:$G,"Q4"),"")</f>
        <v/>
      </c>
      <c r="H170" s="23">
        <f>IFERROR(AVERAGE(D170:G170),"")</f>
        <v/>
      </c>
    </row>
    <row r="171">
      <c r="A171" s="19" t="inlineStr">
        <is>
          <t>Mulanje</t>
        </is>
      </c>
      <c r="B171" s="19" t="inlineStr">
        <is>
          <t>Mulanje</t>
        </is>
      </c>
      <c r="C171" s="6" t="inlineStr">
        <is>
          <t>OpCost per Sales</t>
        </is>
      </c>
      <c r="D171" s="16">
        <f>IFERROR(AVERAGEIFS(DataEntry!$HB:$HB,DataEntry!$A:$A,"Mulanje",DataEntry!$B:$B,"Mulanje",DataEntry!$G:$G,"Q1"),"")</f>
        <v/>
      </c>
      <c r="E171" s="16">
        <f>IFERROR(AVERAGEIFS(DataEntry!$HB:$HB,DataEntry!$A:$A,"Mulanje",DataEntry!$B:$B,"Mulanje",DataEntry!$G:$G,"Q2"),"")</f>
        <v/>
      </c>
      <c r="F171" s="16">
        <f>IFERROR(AVERAGEIFS(DataEntry!$HB:$HB,DataEntry!$A:$A,"Mulanje",DataEntry!$B:$B,"Mulanje",DataEntry!$G:$G,"Q3"),"")</f>
        <v/>
      </c>
      <c r="G171" s="16">
        <f>IFERROR(AVERAGEIFS(DataEntry!$HB:$HB,DataEntry!$A:$A,"Mulanje",DataEntry!$B:$B,"Mulanje",DataEntry!$G:$G,"Q4"),"")</f>
        <v/>
      </c>
      <c r="H171" s="24">
        <f>IFERROR(AVERAGE(D171:G171),"")</f>
        <v/>
      </c>
    </row>
    <row r="172">
      <c r="A172" s="21" t="inlineStr">
        <is>
          <t>Mulanje</t>
        </is>
      </c>
      <c r="B172" s="21" t="inlineStr">
        <is>
          <t>Muloza</t>
        </is>
      </c>
      <c r="C172" s="12" t="inlineStr">
        <is>
          <t>Volume Produced (m³)</t>
        </is>
      </c>
      <c r="D172" s="9">
        <f>IFERROR(SUMIFS(DataEntry!$H:$H,DataEntry!$A:$A,"Mulanje",DataEntry!$B:$B,"Muloza",DataEntry!$G:$G,"Q1"),"")</f>
        <v/>
      </c>
      <c r="E172" s="9">
        <f>IFERROR(SUMIFS(DataEntry!$H:$H,DataEntry!$A:$A,"Mulanje",DataEntry!$B:$B,"Muloza",DataEntry!$G:$G,"Q2"),"")</f>
        <v/>
      </c>
      <c r="F172" s="9">
        <f>IFERROR(SUMIFS(DataEntry!$H:$H,DataEntry!$A:$A,"Mulanje",DataEntry!$B:$B,"Muloza",DataEntry!$G:$G,"Q3"),"")</f>
        <v/>
      </c>
      <c r="G172" s="9">
        <f>IFERROR(SUMIFS(DataEntry!$H:$H,DataEntry!$A:$A,"Mulanje",DataEntry!$B:$B,"Muloza",DataEntry!$G:$G,"Q4"),"")</f>
        <v/>
      </c>
      <c r="H172" s="22">
        <f>IFERROR(SUM(D172:G172),"")</f>
        <v/>
      </c>
    </row>
    <row r="173">
      <c r="A173" s="19" t="inlineStr">
        <is>
          <t>Mulanje</t>
        </is>
      </c>
      <c r="B173" s="19" t="inlineStr">
        <is>
          <t>Muloza</t>
        </is>
      </c>
      <c r="C173" s="6" t="inlineStr">
        <is>
          <t>Total Revenue Water</t>
        </is>
      </c>
      <c r="D173" s="15">
        <f>IFERROR(SUMIFS(DataEntry!$S:$S,DataEntry!$A:$A,"Mulanje",DataEntry!$B:$B,"Muloza",DataEntry!$G:$G,"Q1"),"")</f>
        <v/>
      </c>
      <c r="E173" s="15">
        <f>IFERROR(SUMIFS(DataEntry!$S:$S,DataEntry!$A:$A,"Mulanje",DataEntry!$B:$B,"Muloza",DataEntry!$G:$G,"Q2"),"")</f>
        <v/>
      </c>
      <c r="F173" s="15">
        <f>IFERROR(SUMIFS(DataEntry!$S:$S,DataEntry!$A:$A,"Mulanje",DataEntry!$B:$B,"Muloza",DataEntry!$G:$G,"Q3"),"")</f>
        <v/>
      </c>
      <c r="G173" s="15">
        <f>IFERROR(SUMIFS(DataEntry!$S:$S,DataEntry!$A:$A,"Mulanje",DataEntry!$B:$B,"Muloza",DataEntry!$G:$G,"Q4"),"")</f>
        <v/>
      </c>
      <c r="H173" s="20">
        <f>IFERROR(SUM(D173:G173),"")</f>
        <v/>
      </c>
    </row>
    <row r="174">
      <c r="A174" s="21" t="inlineStr">
        <is>
          <t>Mulanje</t>
        </is>
      </c>
      <c r="B174" s="21" t="inlineStr">
        <is>
          <t>Muloza</t>
        </is>
      </c>
      <c r="C174" s="12" t="inlineStr">
        <is>
          <t>Non-Revenue Water</t>
        </is>
      </c>
      <c r="D174" s="9">
        <f>IFERROR(SUMIFS(DataEntry!$T:$T,DataEntry!$A:$A,"Mulanje",DataEntry!$B:$B,"Muloza",DataEntry!$G:$G,"Q1"),"")</f>
        <v/>
      </c>
      <c r="E174" s="9">
        <f>IFERROR(SUMIFS(DataEntry!$T:$T,DataEntry!$A:$A,"Mulanje",DataEntry!$B:$B,"Muloza",DataEntry!$G:$G,"Q2"),"")</f>
        <v/>
      </c>
      <c r="F174" s="9">
        <f>IFERROR(SUMIFS(DataEntry!$T:$T,DataEntry!$A:$A,"Mulanje",DataEntry!$B:$B,"Muloza",DataEntry!$G:$G,"Q3"),"")</f>
        <v/>
      </c>
      <c r="G174" s="9">
        <f>IFERROR(SUMIFS(DataEntry!$T:$T,DataEntry!$A:$A,"Mulanje",DataEntry!$B:$B,"Muloza",DataEntry!$G:$G,"Q4"),"")</f>
        <v/>
      </c>
      <c r="H174" s="22">
        <f>IFERROR(SUM(D174:G174),"")</f>
        <v/>
      </c>
    </row>
    <row r="175">
      <c r="A175" s="19" t="inlineStr">
        <is>
          <t>Mulanje</t>
        </is>
      </c>
      <c r="B175" s="19" t="inlineStr">
        <is>
          <t>Muloza</t>
        </is>
      </c>
      <c r="C175" s="6" t="inlineStr">
        <is>
          <t>% NRW</t>
        </is>
      </c>
      <c r="D175" s="16">
        <f>IFERROR(AVERAGEIFS(DataEntry!$U:$U,DataEntry!$A:$A,"Mulanje",DataEntry!$B:$B,"Muloza",DataEntry!$G:$G,"Q1"),"")</f>
        <v/>
      </c>
      <c r="E175" s="16">
        <f>IFERROR(AVERAGEIFS(DataEntry!$U:$U,DataEntry!$A:$A,"Mulanje",DataEntry!$B:$B,"Muloza",DataEntry!$G:$G,"Q2"),"")</f>
        <v/>
      </c>
      <c r="F175" s="16">
        <f>IFERROR(AVERAGEIFS(DataEntry!$U:$U,DataEntry!$A:$A,"Mulanje",DataEntry!$B:$B,"Muloza",DataEntry!$G:$G,"Q3"),"")</f>
        <v/>
      </c>
      <c r="G175" s="16">
        <f>IFERROR(AVERAGEIFS(DataEntry!$U:$U,DataEntry!$A:$A,"Mulanje",DataEntry!$B:$B,"Muloza",DataEntry!$G:$G,"Q4"),"")</f>
        <v/>
      </c>
      <c r="H175" s="24">
        <f>IFERROR(AVERAGE(D175:G175),"")</f>
        <v/>
      </c>
    </row>
    <row r="176">
      <c r="A176" s="21" t="inlineStr">
        <is>
          <t>Mulanje</t>
        </is>
      </c>
      <c r="B176" s="21" t="inlineStr">
        <is>
          <t>Muloza</t>
        </is>
      </c>
      <c r="C176" s="12" t="inlineStr">
        <is>
          <t>Total Operating Costs</t>
        </is>
      </c>
      <c r="D176" s="9">
        <f>IFERROR(SUMIFS(DataEntry!$AU:$AU,DataEntry!$A:$A,"Mulanje",DataEntry!$B:$B,"Muloza",DataEntry!$G:$G,"Q1"),"")</f>
        <v/>
      </c>
      <c r="E176" s="9">
        <f>IFERROR(SUMIFS(DataEntry!$AU:$AU,DataEntry!$A:$A,"Mulanje",DataEntry!$B:$B,"Muloza",DataEntry!$G:$G,"Q2"),"")</f>
        <v/>
      </c>
      <c r="F176" s="9">
        <f>IFERROR(SUMIFS(DataEntry!$AU:$AU,DataEntry!$A:$A,"Mulanje",DataEntry!$B:$B,"Muloza",DataEntry!$G:$G,"Q3"),"")</f>
        <v/>
      </c>
      <c r="G176" s="9">
        <f>IFERROR(SUMIFS(DataEntry!$AU:$AU,DataEntry!$A:$A,"Mulanje",DataEntry!$B:$B,"Muloza",DataEntry!$G:$G,"Q4"),"")</f>
        <v/>
      </c>
      <c r="H176" s="22">
        <f>IFERROR(SUM(D176:G176),"")</f>
        <v/>
      </c>
    </row>
    <row r="177">
      <c r="A177" s="19" t="inlineStr">
        <is>
          <t>Mulanje</t>
        </is>
      </c>
      <c r="B177" s="19" t="inlineStr">
        <is>
          <t>Muloza</t>
        </is>
      </c>
      <c r="C177" s="6" t="inlineStr">
        <is>
          <t>Total Cash Collected</t>
        </is>
      </c>
      <c r="D177" s="15">
        <f>IFERROR(SUMIFS(DataEntry!$GB:$GB,DataEntry!$A:$A,"Mulanje",DataEntry!$B:$B,"Muloza",DataEntry!$G:$G,"Q1"),"")</f>
        <v/>
      </c>
      <c r="E177" s="15">
        <f>IFERROR(SUMIFS(DataEntry!$GB:$GB,DataEntry!$A:$A,"Mulanje",DataEntry!$B:$B,"Muloza",DataEntry!$G:$G,"Q2"),"")</f>
        <v/>
      </c>
      <c r="F177" s="15">
        <f>IFERROR(SUMIFS(DataEntry!$GB:$GB,DataEntry!$A:$A,"Mulanje",DataEntry!$B:$B,"Muloza",DataEntry!$G:$G,"Q3"),"")</f>
        <v/>
      </c>
      <c r="G177" s="15">
        <f>IFERROR(SUMIFS(DataEntry!$GB:$GB,DataEntry!$A:$A,"Mulanje",DataEntry!$B:$B,"Muloza",DataEntry!$G:$G,"Q4"),"")</f>
        <v/>
      </c>
      <c r="H177" s="20">
        <f>IFERROR(SUM(D177:G177),"")</f>
        <v/>
      </c>
    </row>
    <row r="178">
      <c r="A178" s="21" t="inlineStr">
        <is>
          <t>Mulanje</t>
        </is>
      </c>
      <c r="B178" s="21" t="inlineStr">
        <is>
          <t>Muloza</t>
        </is>
      </c>
      <c r="C178" s="12" t="inlineStr">
        <is>
          <t>Total Amount Billed</t>
        </is>
      </c>
      <c r="D178" s="9">
        <f>IFERROR(SUMIFS(DataEntry!$GM:$GM,DataEntry!$A:$A,"Mulanje",DataEntry!$B:$B,"Muloza",DataEntry!$G:$G,"Q1"),"")</f>
        <v/>
      </c>
      <c r="E178" s="9">
        <f>IFERROR(SUMIFS(DataEntry!$GM:$GM,DataEntry!$A:$A,"Mulanje",DataEntry!$B:$B,"Muloza",DataEntry!$G:$G,"Q2"),"")</f>
        <v/>
      </c>
      <c r="F178" s="9">
        <f>IFERROR(SUMIFS(DataEntry!$GM:$GM,DataEntry!$A:$A,"Mulanje",DataEntry!$B:$B,"Muloza",DataEntry!$G:$G,"Q3"),"")</f>
        <v/>
      </c>
      <c r="G178" s="9">
        <f>IFERROR(SUMIFS(DataEntry!$GM:$GM,DataEntry!$A:$A,"Mulanje",DataEntry!$B:$B,"Muloza",DataEntry!$G:$G,"Q4"),"")</f>
        <v/>
      </c>
      <c r="H178" s="22">
        <f>IFERROR(SUM(D178:G178),"")</f>
        <v/>
      </c>
    </row>
    <row r="179">
      <c r="A179" s="19" t="inlineStr">
        <is>
          <t>Mulanje</t>
        </is>
      </c>
      <c r="B179" s="19" t="inlineStr">
        <is>
          <t>Muloza</t>
        </is>
      </c>
      <c r="C179" s="6" t="inlineStr">
        <is>
          <t>Total Sales</t>
        </is>
      </c>
      <c r="D179" s="15">
        <f>IFERROR(SUMIFS(DataEntry!$GX:$GX,DataEntry!$A:$A,"Mulanje",DataEntry!$B:$B,"Muloza",DataEntry!$G:$G,"Q1"),"")</f>
        <v/>
      </c>
      <c r="E179" s="15">
        <f>IFERROR(SUMIFS(DataEntry!$GX:$GX,DataEntry!$A:$A,"Mulanje",DataEntry!$B:$B,"Muloza",DataEntry!$G:$G,"Q2"),"")</f>
        <v/>
      </c>
      <c r="F179" s="15">
        <f>IFERROR(SUMIFS(DataEntry!$GX:$GX,DataEntry!$A:$A,"Mulanje",DataEntry!$B:$B,"Muloza",DataEntry!$G:$G,"Q3"),"")</f>
        <v/>
      </c>
      <c r="G179" s="15">
        <f>IFERROR(SUMIFS(DataEntry!$GX:$GX,DataEntry!$A:$A,"Mulanje",DataEntry!$B:$B,"Muloza",DataEntry!$G:$G,"Q4"),"")</f>
        <v/>
      </c>
      <c r="H179" s="20">
        <f>IFERROR(SUM(D179:G179),"")</f>
        <v/>
      </c>
    </row>
    <row r="180">
      <c r="A180" s="21" t="inlineStr">
        <is>
          <t>Mulanje</t>
        </is>
      </c>
      <c r="B180" s="21" t="inlineStr">
        <is>
          <t>Muloza</t>
        </is>
      </c>
      <c r="C180" s="12" t="inlineStr">
        <is>
          <t>Active Customers</t>
        </is>
      </c>
      <c r="D180" s="9">
        <f>IFERROR(SUMIFS(DataEntry!$CS:$CS,DataEntry!$A:$A,"Mulanje",DataEntry!$B:$B,"Muloza",DataEntry!$G:$G,"Q1"),"")</f>
        <v/>
      </c>
      <c r="E180" s="9">
        <f>IFERROR(SUMIFS(DataEntry!$CS:$CS,DataEntry!$A:$A,"Mulanje",DataEntry!$B:$B,"Muloza",DataEntry!$G:$G,"Q2"),"")</f>
        <v/>
      </c>
      <c r="F180" s="9">
        <f>IFERROR(SUMIFS(DataEntry!$CS:$CS,DataEntry!$A:$A,"Mulanje",DataEntry!$B:$B,"Muloza",DataEntry!$G:$G,"Q3"),"")</f>
        <v/>
      </c>
      <c r="G180" s="9">
        <f>IFERROR(SUMIFS(DataEntry!$CS:$CS,DataEntry!$A:$A,"Mulanje",DataEntry!$B:$B,"Muloza",DataEntry!$G:$G,"Q4"),"")</f>
        <v/>
      </c>
      <c r="H180" s="22">
        <f>IFERROR(SUM(D180:G180),"")</f>
        <v/>
      </c>
    </row>
    <row r="181">
      <c r="A181" s="19" t="inlineStr">
        <is>
          <t>Mulanje</t>
        </is>
      </c>
      <c r="B181" s="19" t="inlineStr">
        <is>
          <t>Muloza</t>
        </is>
      </c>
      <c r="C181" s="6" t="inlineStr">
        <is>
          <t>New Connections</t>
        </is>
      </c>
      <c r="D181" s="15">
        <f>IFERROR(SUMIFS(DataEntry!$CA:$CA,DataEntry!$A:$A,"Mulanje",DataEntry!$B:$B,"Muloza",DataEntry!$G:$G,"Q1"),"")</f>
        <v/>
      </c>
      <c r="E181" s="15">
        <f>IFERROR(SUMIFS(DataEntry!$CA:$CA,DataEntry!$A:$A,"Mulanje",DataEntry!$B:$B,"Muloza",DataEntry!$G:$G,"Q2"),"")</f>
        <v/>
      </c>
      <c r="F181" s="15">
        <f>IFERROR(SUMIFS(DataEntry!$CA:$CA,DataEntry!$A:$A,"Mulanje",DataEntry!$B:$B,"Muloza",DataEntry!$G:$G,"Q3"),"")</f>
        <v/>
      </c>
      <c r="G181" s="15">
        <f>IFERROR(SUMIFS(DataEntry!$CA:$CA,DataEntry!$A:$A,"Mulanje",DataEntry!$B:$B,"Muloza",DataEntry!$G:$G,"Q4"),"")</f>
        <v/>
      </c>
      <c r="H181" s="20">
        <f>IFERROR(SUM(D181:G181),"")</f>
        <v/>
      </c>
    </row>
    <row r="182">
      <c r="A182" s="21" t="inlineStr">
        <is>
          <t>Mulanje</t>
        </is>
      </c>
      <c r="B182" s="21" t="inlineStr">
        <is>
          <t>Muloza</t>
        </is>
      </c>
      <c r="C182" s="12" t="inlineStr">
        <is>
          <t>Stuck Meters C/Fwd</t>
        </is>
      </c>
      <c r="D182" s="9">
        <f>IFERROR(SUMIFS(DataEntry!$DV:$DV,DataEntry!$A:$A,"Mulanje",DataEntry!$B:$B,"Muloza",DataEntry!$G:$G,"Q1"),"")</f>
        <v/>
      </c>
      <c r="E182" s="9">
        <f>IFERROR(SUMIFS(DataEntry!$DV:$DV,DataEntry!$A:$A,"Mulanje",DataEntry!$B:$B,"Muloza",DataEntry!$G:$G,"Q2"),"")</f>
        <v/>
      </c>
      <c r="F182" s="9">
        <f>IFERROR(SUMIFS(DataEntry!$DV:$DV,DataEntry!$A:$A,"Mulanje",DataEntry!$B:$B,"Muloza",DataEntry!$G:$G,"Q3"),"")</f>
        <v/>
      </c>
      <c r="G182" s="9">
        <f>IFERROR(SUMIFS(DataEntry!$DV:$DV,DataEntry!$A:$A,"Mulanje",DataEntry!$B:$B,"Muloza",DataEntry!$G:$G,"Q4"),"")</f>
        <v/>
      </c>
      <c r="H182" s="22">
        <f>IFERROR(SUM(D182:G182),"")</f>
        <v/>
      </c>
    </row>
    <row r="183">
      <c r="A183" s="19" t="inlineStr">
        <is>
          <t>Mulanje</t>
        </is>
      </c>
      <c r="B183" s="19" t="inlineStr">
        <is>
          <t>Muloza</t>
        </is>
      </c>
      <c r="C183" s="6" t="inlineStr">
        <is>
          <t>Cash Collection Rate</t>
        </is>
      </c>
      <c r="D183" s="16">
        <f>IFERROR(AVERAGEIFS(DataEntry!$HC:$HC,DataEntry!$A:$A,"Mulanje",DataEntry!$B:$B,"Muloza",DataEntry!$G:$G,"Q1"),"")</f>
        <v/>
      </c>
      <c r="E183" s="16">
        <f>IFERROR(AVERAGEIFS(DataEntry!$HC:$HC,DataEntry!$A:$A,"Mulanje",DataEntry!$B:$B,"Muloza",DataEntry!$G:$G,"Q2"),"")</f>
        <v/>
      </c>
      <c r="F183" s="16">
        <f>IFERROR(AVERAGEIFS(DataEntry!$HC:$HC,DataEntry!$A:$A,"Mulanje",DataEntry!$B:$B,"Muloza",DataEntry!$G:$G,"Q3"),"")</f>
        <v/>
      </c>
      <c r="G183" s="16">
        <f>IFERROR(AVERAGEIFS(DataEntry!$HC:$HC,DataEntry!$A:$A,"Mulanje",DataEntry!$B:$B,"Muloza",DataEntry!$G:$G,"Q4"),"")</f>
        <v/>
      </c>
      <c r="H183" s="24">
        <f>IFERROR(AVERAGE(D183:G183),"")</f>
        <v/>
      </c>
    </row>
    <row r="184">
      <c r="A184" s="21" t="inlineStr">
        <is>
          <t>Mulanje</t>
        </is>
      </c>
      <c r="B184" s="21" t="inlineStr">
        <is>
          <t>Muloza</t>
        </is>
      </c>
      <c r="C184" s="12" t="inlineStr">
        <is>
          <t>OpCost per Sales</t>
        </is>
      </c>
      <c r="D184" s="10">
        <f>IFERROR(AVERAGEIFS(DataEntry!$HB:$HB,DataEntry!$A:$A,"Mulanje",DataEntry!$B:$B,"Muloza",DataEntry!$G:$G,"Q1"),"")</f>
        <v/>
      </c>
      <c r="E184" s="10">
        <f>IFERROR(AVERAGEIFS(DataEntry!$HB:$HB,DataEntry!$A:$A,"Mulanje",DataEntry!$B:$B,"Muloza",DataEntry!$G:$G,"Q2"),"")</f>
        <v/>
      </c>
      <c r="F184" s="10">
        <f>IFERROR(AVERAGEIFS(DataEntry!$HB:$HB,DataEntry!$A:$A,"Mulanje",DataEntry!$B:$B,"Muloza",DataEntry!$G:$G,"Q3"),"")</f>
        <v/>
      </c>
      <c r="G184" s="10">
        <f>IFERROR(AVERAGEIFS(DataEntry!$HB:$HB,DataEntry!$A:$A,"Mulanje",DataEntry!$B:$B,"Muloza",DataEntry!$G:$G,"Q4"),"")</f>
        <v/>
      </c>
      <c r="H184" s="23">
        <f>IFERROR(AVERAGE(D184:G184),"")</f>
        <v/>
      </c>
    </row>
    <row r="185">
      <c r="A185" s="19" t="inlineStr">
        <is>
          <t>Mulanje</t>
        </is>
      </c>
      <c r="B185" s="19" t="inlineStr">
        <is>
          <t>Nkando</t>
        </is>
      </c>
      <c r="C185" s="6" t="inlineStr">
        <is>
          <t>Volume Produced (m³)</t>
        </is>
      </c>
      <c r="D185" s="15">
        <f>IFERROR(SUMIFS(DataEntry!$H:$H,DataEntry!$A:$A,"Mulanje",DataEntry!$B:$B,"Nkando",DataEntry!$G:$G,"Q1"),"")</f>
        <v/>
      </c>
      <c r="E185" s="15">
        <f>IFERROR(SUMIFS(DataEntry!$H:$H,DataEntry!$A:$A,"Mulanje",DataEntry!$B:$B,"Nkando",DataEntry!$G:$G,"Q2"),"")</f>
        <v/>
      </c>
      <c r="F185" s="15">
        <f>IFERROR(SUMIFS(DataEntry!$H:$H,DataEntry!$A:$A,"Mulanje",DataEntry!$B:$B,"Nkando",DataEntry!$G:$G,"Q3"),"")</f>
        <v/>
      </c>
      <c r="G185" s="15">
        <f>IFERROR(SUMIFS(DataEntry!$H:$H,DataEntry!$A:$A,"Mulanje",DataEntry!$B:$B,"Nkando",DataEntry!$G:$G,"Q4"),"")</f>
        <v/>
      </c>
      <c r="H185" s="20">
        <f>IFERROR(SUM(D185:G185),"")</f>
        <v/>
      </c>
    </row>
    <row r="186">
      <c r="A186" s="21" t="inlineStr">
        <is>
          <t>Mulanje</t>
        </is>
      </c>
      <c r="B186" s="21" t="inlineStr">
        <is>
          <t>Nkando</t>
        </is>
      </c>
      <c r="C186" s="12" t="inlineStr">
        <is>
          <t>Total Revenue Water</t>
        </is>
      </c>
      <c r="D186" s="9">
        <f>IFERROR(SUMIFS(DataEntry!$S:$S,DataEntry!$A:$A,"Mulanje",DataEntry!$B:$B,"Nkando",DataEntry!$G:$G,"Q1"),"")</f>
        <v/>
      </c>
      <c r="E186" s="9">
        <f>IFERROR(SUMIFS(DataEntry!$S:$S,DataEntry!$A:$A,"Mulanje",DataEntry!$B:$B,"Nkando",DataEntry!$G:$G,"Q2"),"")</f>
        <v/>
      </c>
      <c r="F186" s="9">
        <f>IFERROR(SUMIFS(DataEntry!$S:$S,DataEntry!$A:$A,"Mulanje",DataEntry!$B:$B,"Nkando",DataEntry!$G:$G,"Q3"),"")</f>
        <v/>
      </c>
      <c r="G186" s="9">
        <f>IFERROR(SUMIFS(DataEntry!$S:$S,DataEntry!$A:$A,"Mulanje",DataEntry!$B:$B,"Nkando",DataEntry!$G:$G,"Q4"),"")</f>
        <v/>
      </c>
      <c r="H186" s="22">
        <f>IFERROR(SUM(D186:G186),"")</f>
        <v/>
      </c>
    </row>
    <row r="187">
      <c r="A187" s="19" t="inlineStr">
        <is>
          <t>Mulanje</t>
        </is>
      </c>
      <c r="B187" s="19" t="inlineStr">
        <is>
          <t>Nkando</t>
        </is>
      </c>
      <c r="C187" s="6" t="inlineStr">
        <is>
          <t>Non-Revenue Water</t>
        </is>
      </c>
      <c r="D187" s="15">
        <f>IFERROR(SUMIFS(DataEntry!$T:$T,DataEntry!$A:$A,"Mulanje",DataEntry!$B:$B,"Nkando",DataEntry!$G:$G,"Q1"),"")</f>
        <v/>
      </c>
      <c r="E187" s="15">
        <f>IFERROR(SUMIFS(DataEntry!$T:$T,DataEntry!$A:$A,"Mulanje",DataEntry!$B:$B,"Nkando",DataEntry!$G:$G,"Q2"),"")</f>
        <v/>
      </c>
      <c r="F187" s="15">
        <f>IFERROR(SUMIFS(DataEntry!$T:$T,DataEntry!$A:$A,"Mulanje",DataEntry!$B:$B,"Nkando",DataEntry!$G:$G,"Q3"),"")</f>
        <v/>
      </c>
      <c r="G187" s="15">
        <f>IFERROR(SUMIFS(DataEntry!$T:$T,DataEntry!$A:$A,"Mulanje",DataEntry!$B:$B,"Nkando",DataEntry!$G:$G,"Q4"),"")</f>
        <v/>
      </c>
      <c r="H187" s="20">
        <f>IFERROR(SUM(D187:G187),"")</f>
        <v/>
      </c>
    </row>
    <row r="188">
      <c r="A188" s="21" t="inlineStr">
        <is>
          <t>Mulanje</t>
        </is>
      </c>
      <c r="B188" s="21" t="inlineStr">
        <is>
          <t>Nkando</t>
        </is>
      </c>
      <c r="C188" s="12" t="inlineStr">
        <is>
          <t>% NRW</t>
        </is>
      </c>
      <c r="D188" s="10">
        <f>IFERROR(AVERAGEIFS(DataEntry!$U:$U,DataEntry!$A:$A,"Mulanje",DataEntry!$B:$B,"Nkando",DataEntry!$G:$G,"Q1"),"")</f>
        <v/>
      </c>
      <c r="E188" s="10">
        <f>IFERROR(AVERAGEIFS(DataEntry!$U:$U,DataEntry!$A:$A,"Mulanje",DataEntry!$B:$B,"Nkando",DataEntry!$G:$G,"Q2"),"")</f>
        <v/>
      </c>
      <c r="F188" s="10">
        <f>IFERROR(AVERAGEIFS(DataEntry!$U:$U,DataEntry!$A:$A,"Mulanje",DataEntry!$B:$B,"Nkando",DataEntry!$G:$G,"Q3"),"")</f>
        <v/>
      </c>
      <c r="G188" s="10">
        <f>IFERROR(AVERAGEIFS(DataEntry!$U:$U,DataEntry!$A:$A,"Mulanje",DataEntry!$B:$B,"Nkando",DataEntry!$G:$G,"Q4"),"")</f>
        <v/>
      </c>
      <c r="H188" s="23">
        <f>IFERROR(AVERAGE(D188:G188),"")</f>
        <v/>
      </c>
    </row>
    <row r="189">
      <c r="A189" s="19" t="inlineStr">
        <is>
          <t>Mulanje</t>
        </is>
      </c>
      <c r="B189" s="19" t="inlineStr">
        <is>
          <t>Nkando</t>
        </is>
      </c>
      <c r="C189" s="6" t="inlineStr">
        <is>
          <t>Total Operating Costs</t>
        </is>
      </c>
      <c r="D189" s="15">
        <f>IFERROR(SUMIFS(DataEntry!$AU:$AU,DataEntry!$A:$A,"Mulanje",DataEntry!$B:$B,"Nkando",DataEntry!$G:$G,"Q1"),"")</f>
        <v/>
      </c>
      <c r="E189" s="15">
        <f>IFERROR(SUMIFS(DataEntry!$AU:$AU,DataEntry!$A:$A,"Mulanje",DataEntry!$B:$B,"Nkando",DataEntry!$G:$G,"Q2"),"")</f>
        <v/>
      </c>
      <c r="F189" s="15">
        <f>IFERROR(SUMIFS(DataEntry!$AU:$AU,DataEntry!$A:$A,"Mulanje",DataEntry!$B:$B,"Nkando",DataEntry!$G:$G,"Q3"),"")</f>
        <v/>
      </c>
      <c r="G189" s="15">
        <f>IFERROR(SUMIFS(DataEntry!$AU:$AU,DataEntry!$A:$A,"Mulanje",DataEntry!$B:$B,"Nkando",DataEntry!$G:$G,"Q4"),"")</f>
        <v/>
      </c>
      <c r="H189" s="20">
        <f>IFERROR(SUM(D189:G189),"")</f>
        <v/>
      </c>
    </row>
    <row r="190">
      <c r="A190" s="21" t="inlineStr">
        <is>
          <t>Mulanje</t>
        </is>
      </c>
      <c r="B190" s="21" t="inlineStr">
        <is>
          <t>Nkando</t>
        </is>
      </c>
      <c r="C190" s="12" t="inlineStr">
        <is>
          <t>Total Cash Collected</t>
        </is>
      </c>
      <c r="D190" s="9">
        <f>IFERROR(SUMIFS(DataEntry!$GB:$GB,DataEntry!$A:$A,"Mulanje",DataEntry!$B:$B,"Nkando",DataEntry!$G:$G,"Q1"),"")</f>
        <v/>
      </c>
      <c r="E190" s="9">
        <f>IFERROR(SUMIFS(DataEntry!$GB:$GB,DataEntry!$A:$A,"Mulanje",DataEntry!$B:$B,"Nkando",DataEntry!$G:$G,"Q2"),"")</f>
        <v/>
      </c>
      <c r="F190" s="9">
        <f>IFERROR(SUMIFS(DataEntry!$GB:$GB,DataEntry!$A:$A,"Mulanje",DataEntry!$B:$B,"Nkando",DataEntry!$G:$G,"Q3"),"")</f>
        <v/>
      </c>
      <c r="G190" s="9">
        <f>IFERROR(SUMIFS(DataEntry!$GB:$GB,DataEntry!$A:$A,"Mulanje",DataEntry!$B:$B,"Nkando",DataEntry!$G:$G,"Q4"),"")</f>
        <v/>
      </c>
      <c r="H190" s="22">
        <f>IFERROR(SUM(D190:G190),"")</f>
        <v/>
      </c>
    </row>
    <row r="191">
      <c r="A191" s="19" t="inlineStr">
        <is>
          <t>Mulanje</t>
        </is>
      </c>
      <c r="B191" s="19" t="inlineStr">
        <is>
          <t>Nkando</t>
        </is>
      </c>
      <c r="C191" s="6" t="inlineStr">
        <is>
          <t>Total Amount Billed</t>
        </is>
      </c>
      <c r="D191" s="15">
        <f>IFERROR(SUMIFS(DataEntry!$GM:$GM,DataEntry!$A:$A,"Mulanje",DataEntry!$B:$B,"Nkando",DataEntry!$G:$G,"Q1"),"")</f>
        <v/>
      </c>
      <c r="E191" s="15">
        <f>IFERROR(SUMIFS(DataEntry!$GM:$GM,DataEntry!$A:$A,"Mulanje",DataEntry!$B:$B,"Nkando",DataEntry!$G:$G,"Q2"),"")</f>
        <v/>
      </c>
      <c r="F191" s="15">
        <f>IFERROR(SUMIFS(DataEntry!$GM:$GM,DataEntry!$A:$A,"Mulanje",DataEntry!$B:$B,"Nkando",DataEntry!$G:$G,"Q3"),"")</f>
        <v/>
      </c>
      <c r="G191" s="15">
        <f>IFERROR(SUMIFS(DataEntry!$GM:$GM,DataEntry!$A:$A,"Mulanje",DataEntry!$B:$B,"Nkando",DataEntry!$G:$G,"Q4"),"")</f>
        <v/>
      </c>
      <c r="H191" s="20">
        <f>IFERROR(SUM(D191:G191),"")</f>
        <v/>
      </c>
    </row>
    <row r="192">
      <c r="A192" s="21" t="inlineStr">
        <is>
          <t>Mulanje</t>
        </is>
      </c>
      <c r="B192" s="21" t="inlineStr">
        <is>
          <t>Nkando</t>
        </is>
      </c>
      <c r="C192" s="12" t="inlineStr">
        <is>
          <t>Total Sales</t>
        </is>
      </c>
      <c r="D192" s="9">
        <f>IFERROR(SUMIFS(DataEntry!$GX:$GX,DataEntry!$A:$A,"Mulanje",DataEntry!$B:$B,"Nkando",DataEntry!$G:$G,"Q1"),"")</f>
        <v/>
      </c>
      <c r="E192" s="9">
        <f>IFERROR(SUMIFS(DataEntry!$GX:$GX,DataEntry!$A:$A,"Mulanje",DataEntry!$B:$B,"Nkando",DataEntry!$G:$G,"Q2"),"")</f>
        <v/>
      </c>
      <c r="F192" s="9">
        <f>IFERROR(SUMIFS(DataEntry!$GX:$GX,DataEntry!$A:$A,"Mulanje",DataEntry!$B:$B,"Nkando",DataEntry!$G:$G,"Q3"),"")</f>
        <v/>
      </c>
      <c r="G192" s="9">
        <f>IFERROR(SUMIFS(DataEntry!$GX:$GX,DataEntry!$A:$A,"Mulanje",DataEntry!$B:$B,"Nkando",DataEntry!$G:$G,"Q4"),"")</f>
        <v/>
      </c>
      <c r="H192" s="22">
        <f>IFERROR(SUM(D192:G192),"")</f>
        <v/>
      </c>
    </row>
    <row r="193">
      <c r="A193" s="19" t="inlineStr">
        <is>
          <t>Mulanje</t>
        </is>
      </c>
      <c r="B193" s="19" t="inlineStr">
        <is>
          <t>Nkando</t>
        </is>
      </c>
      <c r="C193" s="6" t="inlineStr">
        <is>
          <t>Active Customers</t>
        </is>
      </c>
      <c r="D193" s="15">
        <f>IFERROR(SUMIFS(DataEntry!$CS:$CS,DataEntry!$A:$A,"Mulanje",DataEntry!$B:$B,"Nkando",DataEntry!$G:$G,"Q1"),"")</f>
        <v/>
      </c>
      <c r="E193" s="15">
        <f>IFERROR(SUMIFS(DataEntry!$CS:$CS,DataEntry!$A:$A,"Mulanje",DataEntry!$B:$B,"Nkando",DataEntry!$G:$G,"Q2"),"")</f>
        <v/>
      </c>
      <c r="F193" s="15">
        <f>IFERROR(SUMIFS(DataEntry!$CS:$CS,DataEntry!$A:$A,"Mulanje",DataEntry!$B:$B,"Nkando",DataEntry!$G:$G,"Q3"),"")</f>
        <v/>
      </c>
      <c r="G193" s="15">
        <f>IFERROR(SUMIFS(DataEntry!$CS:$CS,DataEntry!$A:$A,"Mulanje",DataEntry!$B:$B,"Nkando",DataEntry!$G:$G,"Q4"),"")</f>
        <v/>
      </c>
      <c r="H193" s="20">
        <f>IFERROR(SUM(D193:G193),"")</f>
        <v/>
      </c>
    </row>
    <row r="194">
      <c r="A194" s="21" t="inlineStr">
        <is>
          <t>Mulanje</t>
        </is>
      </c>
      <c r="B194" s="21" t="inlineStr">
        <is>
          <t>Nkando</t>
        </is>
      </c>
      <c r="C194" s="12" t="inlineStr">
        <is>
          <t>New Connections</t>
        </is>
      </c>
      <c r="D194" s="9">
        <f>IFERROR(SUMIFS(DataEntry!$CA:$CA,DataEntry!$A:$A,"Mulanje",DataEntry!$B:$B,"Nkando",DataEntry!$G:$G,"Q1"),"")</f>
        <v/>
      </c>
      <c r="E194" s="9">
        <f>IFERROR(SUMIFS(DataEntry!$CA:$CA,DataEntry!$A:$A,"Mulanje",DataEntry!$B:$B,"Nkando",DataEntry!$G:$G,"Q2"),"")</f>
        <v/>
      </c>
      <c r="F194" s="9">
        <f>IFERROR(SUMIFS(DataEntry!$CA:$CA,DataEntry!$A:$A,"Mulanje",DataEntry!$B:$B,"Nkando",DataEntry!$G:$G,"Q3"),"")</f>
        <v/>
      </c>
      <c r="G194" s="9">
        <f>IFERROR(SUMIFS(DataEntry!$CA:$CA,DataEntry!$A:$A,"Mulanje",DataEntry!$B:$B,"Nkando",DataEntry!$G:$G,"Q4"),"")</f>
        <v/>
      </c>
      <c r="H194" s="22">
        <f>IFERROR(SUM(D194:G194),"")</f>
        <v/>
      </c>
    </row>
    <row r="195">
      <c r="A195" s="19" t="inlineStr">
        <is>
          <t>Mulanje</t>
        </is>
      </c>
      <c r="B195" s="19" t="inlineStr">
        <is>
          <t>Nkando</t>
        </is>
      </c>
      <c r="C195" s="6" t="inlineStr">
        <is>
          <t>Stuck Meters C/Fwd</t>
        </is>
      </c>
      <c r="D195" s="15">
        <f>IFERROR(SUMIFS(DataEntry!$DV:$DV,DataEntry!$A:$A,"Mulanje",DataEntry!$B:$B,"Nkando",DataEntry!$G:$G,"Q1"),"")</f>
        <v/>
      </c>
      <c r="E195" s="15">
        <f>IFERROR(SUMIFS(DataEntry!$DV:$DV,DataEntry!$A:$A,"Mulanje",DataEntry!$B:$B,"Nkando",DataEntry!$G:$G,"Q2"),"")</f>
        <v/>
      </c>
      <c r="F195" s="15">
        <f>IFERROR(SUMIFS(DataEntry!$DV:$DV,DataEntry!$A:$A,"Mulanje",DataEntry!$B:$B,"Nkando",DataEntry!$G:$G,"Q3"),"")</f>
        <v/>
      </c>
      <c r="G195" s="15">
        <f>IFERROR(SUMIFS(DataEntry!$DV:$DV,DataEntry!$A:$A,"Mulanje",DataEntry!$B:$B,"Nkando",DataEntry!$G:$G,"Q4"),"")</f>
        <v/>
      </c>
      <c r="H195" s="20">
        <f>IFERROR(SUM(D195:G195),"")</f>
        <v/>
      </c>
    </row>
    <row r="196">
      <c r="A196" s="21" t="inlineStr">
        <is>
          <t>Mulanje</t>
        </is>
      </c>
      <c r="B196" s="21" t="inlineStr">
        <is>
          <t>Nkando</t>
        </is>
      </c>
      <c r="C196" s="12" t="inlineStr">
        <is>
          <t>Cash Collection Rate</t>
        </is>
      </c>
      <c r="D196" s="10">
        <f>IFERROR(AVERAGEIFS(DataEntry!$HC:$HC,DataEntry!$A:$A,"Mulanje",DataEntry!$B:$B,"Nkando",DataEntry!$G:$G,"Q1"),"")</f>
        <v/>
      </c>
      <c r="E196" s="10">
        <f>IFERROR(AVERAGEIFS(DataEntry!$HC:$HC,DataEntry!$A:$A,"Mulanje",DataEntry!$B:$B,"Nkando",DataEntry!$G:$G,"Q2"),"")</f>
        <v/>
      </c>
      <c r="F196" s="10">
        <f>IFERROR(AVERAGEIFS(DataEntry!$HC:$HC,DataEntry!$A:$A,"Mulanje",DataEntry!$B:$B,"Nkando",DataEntry!$G:$G,"Q3"),"")</f>
        <v/>
      </c>
      <c r="G196" s="10">
        <f>IFERROR(AVERAGEIFS(DataEntry!$HC:$HC,DataEntry!$A:$A,"Mulanje",DataEntry!$B:$B,"Nkando",DataEntry!$G:$G,"Q4"),"")</f>
        <v/>
      </c>
      <c r="H196" s="23">
        <f>IFERROR(AVERAGE(D196:G196),"")</f>
        <v/>
      </c>
    </row>
    <row r="197">
      <c r="A197" s="19" t="inlineStr">
        <is>
          <t>Mulanje</t>
        </is>
      </c>
      <c r="B197" s="19" t="inlineStr">
        <is>
          <t>Nkando</t>
        </is>
      </c>
      <c r="C197" s="6" t="inlineStr">
        <is>
          <t>OpCost per Sales</t>
        </is>
      </c>
      <c r="D197" s="16">
        <f>IFERROR(AVERAGEIFS(DataEntry!$HB:$HB,DataEntry!$A:$A,"Mulanje",DataEntry!$B:$B,"Nkando",DataEntry!$G:$G,"Q1"),"")</f>
        <v/>
      </c>
      <c r="E197" s="16">
        <f>IFERROR(AVERAGEIFS(DataEntry!$HB:$HB,DataEntry!$A:$A,"Mulanje",DataEntry!$B:$B,"Nkando",DataEntry!$G:$G,"Q2"),"")</f>
        <v/>
      </c>
      <c r="F197" s="16">
        <f>IFERROR(AVERAGEIFS(DataEntry!$HB:$HB,DataEntry!$A:$A,"Mulanje",DataEntry!$B:$B,"Nkando",DataEntry!$G:$G,"Q3"),"")</f>
        <v/>
      </c>
      <c r="G197" s="16">
        <f>IFERROR(AVERAGEIFS(DataEntry!$HB:$HB,DataEntry!$A:$A,"Mulanje",DataEntry!$B:$B,"Nkando",DataEntry!$G:$G,"Q4"),"")</f>
        <v/>
      </c>
      <c r="H197" s="24">
        <f>IFERROR(AVERAGE(D197:G197),"")</f>
        <v/>
      </c>
    </row>
    <row r="198">
      <c r="A198" s="21" t="inlineStr">
        <is>
          <t>Mulanje</t>
        </is>
      </c>
      <c r="B198" s="21" t="inlineStr">
        <is>
          <t>Phalombe</t>
        </is>
      </c>
      <c r="C198" s="12" t="inlineStr">
        <is>
          <t>Volume Produced (m³)</t>
        </is>
      </c>
      <c r="D198" s="9">
        <f>IFERROR(SUMIFS(DataEntry!$H:$H,DataEntry!$A:$A,"Mulanje",DataEntry!$B:$B,"Phalombe",DataEntry!$G:$G,"Q1"),"")</f>
        <v/>
      </c>
      <c r="E198" s="9">
        <f>IFERROR(SUMIFS(DataEntry!$H:$H,DataEntry!$A:$A,"Mulanje",DataEntry!$B:$B,"Phalombe",DataEntry!$G:$G,"Q2"),"")</f>
        <v/>
      </c>
      <c r="F198" s="9">
        <f>IFERROR(SUMIFS(DataEntry!$H:$H,DataEntry!$A:$A,"Mulanje",DataEntry!$B:$B,"Phalombe",DataEntry!$G:$G,"Q3"),"")</f>
        <v/>
      </c>
      <c r="G198" s="9">
        <f>IFERROR(SUMIFS(DataEntry!$H:$H,DataEntry!$A:$A,"Mulanje",DataEntry!$B:$B,"Phalombe",DataEntry!$G:$G,"Q4"),"")</f>
        <v/>
      </c>
      <c r="H198" s="22">
        <f>IFERROR(SUM(D198:G198),"")</f>
        <v/>
      </c>
    </row>
    <row r="199">
      <c r="A199" s="19" t="inlineStr">
        <is>
          <t>Mulanje</t>
        </is>
      </c>
      <c r="B199" s="19" t="inlineStr">
        <is>
          <t>Phalombe</t>
        </is>
      </c>
      <c r="C199" s="6" t="inlineStr">
        <is>
          <t>Total Revenue Water</t>
        </is>
      </c>
      <c r="D199" s="15">
        <f>IFERROR(SUMIFS(DataEntry!$S:$S,DataEntry!$A:$A,"Mulanje",DataEntry!$B:$B,"Phalombe",DataEntry!$G:$G,"Q1"),"")</f>
        <v/>
      </c>
      <c r="E199" s="15">
        <f>IFERROR(SUMIFS(DataEntry!$S:$S,DataEntry!$A:$A,"Mulanje",DataEntry!$B:$B,"Phalombe",DataEntry!$G:$G,"Q2"),"")</f>
        <v/>
      </c>
      <c r="F199" s="15">
        <f>IFERROR(SUMIFS(DataEntry!$S:$S,DataEntry!$A:$A,"Mulanje",DataEntry!$B:$B,"Phalombe",DataEntry!$G:$G,"Q3"),"")</f>
        <v/>
      </c>
      <c r="G199" s="15">
        <f>IFERROR(SUMIFS(DataEntry!$S:$S,DataEntry!$A:$A,"Mulanje",DataEntry!$B:$B,"Phalombe",DataEntry!$G:$G,"Q4"),"")</f>
        <v/>
      </c>
      <c r="H199" s="20">
        <f>IFERROR(SUM(D199:G199),"")</f>
        <v/>
      </c>
    </row>
    <row r="200">
      <c r="A200" s="21" t="inlineStr">
        <is>
          <t>Mulanje</t>
        </is>
      </c>
      <c r="B200" s="21" t="inlineStr">
        <is>
          <t>Phalombe</t>
        </is>
      </c>
      <c r="C200" s="12" t="inlineStr">
        <is>
          <t>Non-Revenue Water</t>
        </is>
      </c>
      <c r="D200" s="9">
        <f>IFERROR(SUMIFS(DataEntry!$T:$T,DataEntry!$A:$A,"Mulanje",DataEntry!$B:$B,"Phalombe",DataEntry!$G:$G,"Q1"),"")</f>
        <v/>
      </c>
      <c r="E200" s="9">
        <f>IFERROR(SUMIFS(DataEntry!$T:$T,DataEntry!$A:$A,"Mulanje",DataEntry!$B:$B,"Phalombe",DataEntry!$G:$G,"Q2"),"")</f>
        <v/>
      </c>
      <c r="F200" s="9">
        <f>IFERROR(SUMIFS(DataEntry!$T:$T,DataEntry!$A:$A,"Mulanje",DataEntry!$B:$B,"Phalombe",DataEntry!$G:$G,"Q3"),"")</f>
        <v/>
      </c>
      <c r="G200" s="9">
        <f>IFERROR(SUMIFS(DataEntry!$T:$T,DataEntry!$A:$A,"Mulanje",DataEntry!$B:$B,"Phalombe",DataEntry!$G:$G,"Q4"),"")</f>
        <v/>
      </c>
      <c r="H200" s="22">
        <f>IFERROR(SUM(D200:G200),"")</f>
        <v/>
      </c>
    </row>
    <row r="201">
      <c r="A201" s="19" t="inlineStr">
        <is>
          <t>Mulanje</t>
        </is>
      </c>
      <c r="B201" s="19" t="inlineStr">
        <is>
          <t>Phalombe</t>
        </is>
      </c>
      <c r="C201" s="6" t="inlineStr">
        <is>
          <t>% NRW</t>
        </is>
      </c>
      <c r="D201" s="16">
        <f>IFERROR(AVERAGEIFS(DataEntry!$U:$U,DataEntry!$A:$A,"Mulanje",DataEntry!$B:$B,"Phalombe",DataEntry!$G:$G,"Q1"),"")</f>
        <v/>
      </c>
      <c r="E201" s="16">
        <f>IFERROR(AVERAGEIFS(DataEntry!$U:$U,DataEntry!$A:$A,"Mulanje",DataEntry!$B:$B,"Phalombe",DataEntry!$G:$G,"Q2"),"")</f>
        <v/>
      </c>
      <c r="F201" s="16">
        <f>IFERROR(AVERAGEIFS(DataEntry!$U:$U,DataEntry!$A:$A,"Mulanje",DataEntry!$B:$B,"Phalombe",DataEntry!$G:$G,"Q3"),"")</f>
        <v/>
      </c>
      <c r="G201" s="16">
        <f>IFERROR(AVERAGEIFS(DataEntry!$U:$U,DataEntry!$A:$A,"Mulanje",DataEntry!$B:$B,"Phalombe",DataEntry!$G:$G,"Q4"),"")</f>
        <v/>
      </c>
      <c r="H201" s="24">
        <f>IFERROR(AVERAGE(D201:G201),"")</f>
        <v/>
      </c>
    </row>
    <row r="202">
      <c r="A202" s="21" t="inlineStr">
        <is>
          <t>Mulanje</t>
        </is>
      </c>
      <c r="B202" s="21" t="inlineStr">
        <is>
          <t>Phalombe</t>
        </is>
      </c>
      <c r="C202" s="12" t="inlineStr">
        <is>
          <t>Total Operating Costs</t>
        </is>
      </c>
      <c r="D202" s="9">
        <f>IFERROR(SUMIFS(DataEntry!$AU:$AU,DataEntry!$A:$A,"Mulanje",DataEntry!$B:$B,"Phalombe",DataEntry!$G:$G,"Q1"),"")</f>
        <v/>
      </c>
      <c r="E202" s="9">
        <f>IFERROR(SUMIFS(DataEntry!$AU:$AU,DataEntry!$A:$A,"Mulanje",DataEntry!$B:$B,"Phalombe",DataEntry!$G:$G,"Q2"),"")</f>
        <v/>
      </c>
      <c r="F202" s="9">
        <f>IFERROR(SUMIFS(DataEntry!$AU:$AU,DataEntry!$A:$A,"Mulanje",DataEntry!$B:$B,"Phalombe",DataEntry!$G:$G,"Q3"),"")</f>
        <v/>
      </c>
      <c r="G202" s="9">
        <f>IFERROR(SUMIFS(DataEntry!$AU:$AU,DataEntry!$A:$A,"Mulanje",DataEntry!$B:$B,"Phalombe",DataEntry!$G:$G,"Q4"),"")</f>
        <v/>
      </c>
      <c r="H202" s="22">
        <f>IFERROR(SUM(D202:G202),"")</f>
        <v/>
      </c>
    </row>
    <row r="203">
      <c r="A203" s="19" t="inlineStr">
        <is>
          <t>Mulanje</t>
        </is>
      </c>
      <c r="B203" s="19" t="inlineStr">
        <is>
          <t>Phalombe</t>
        </is>
      </c>
      <c r="C203" s="6" t="inlineStr">
        <is>
          <t>Total Cash Collected</t>
        </is>
      </c>
      <c r="D203" s="15">
        <f>IFERROR(SUMIFS(DataEntry!$GB:$GB,DataEntry!$A:$A,"Mulanje",DataEntry!$B:$B,"Phalombe",DataEntry!$G:$G,"Q1"),"")</f>
        <v/>
      </c>
      <c r="E203" s="15">
        <f>IFERROR(SUMIFS(DataEntry!$GB:$GB,DataEntry!$A:$A,"Mulanje",DataEntry!$B:$B,"Phalombe",DataEntry!$G:$G,"Q2"),"")</f>
        <v/>
      </c>
      <c r="F203" s="15">
        <f>IFERROR(SUMIFS(DataEntry!$GB:$GB,DataEntry!$A:$A,"Mulanje",DataEntry!$B:$B,"Phalombe",DataEntry!$G:$G,"Q3"),"")</f>
        <v/>
      </c>
      <c r="G203" s="15">
        <f>IFERROR(SUMIFS(DataEntry!$GB:$GB,DataEntry!$A:$A,"Mulanje",DataEntry!$B:$B,"Phalombe",DataEntry!$G:$G,"Q4"),"")</f>
        <v/>
      </c>
      <c r="H203" s="20">
        <f>IFERROR(SUM(D203:G203),"")</f>
        <v/>
      </c>
    </row>
    <row r="204">
      <c r="A204" s="21" t="inlineStr">
        <is>
          <t>Mulanje</t>
        </is>
      </c>
      <c r="B204" s="21" t="inlineStr">
        <is>
          <t>Phalombe</t>
        </is>
      </c>
      <c r="C204" s="12" t="inlineStr">
        <is>
          <t>Total Amount Billed</t>
        </is>
      </c>
      <c r="D204" s="9">
        <f>IFERROR(SUMIFS(DataEntry!$GM:$GM,DataEntry!$A:$A,"Mulanje",DataEntry!$B:$B,"Phalombe",DataEntry!$G:$G,"Q1"),"")</f>
        <v/>
      </c>
      <c r="E204" s="9">
        <f>IFERROR(SUMIFS(DataEntry!$GM:$GM,DataEntry!$A:$A,"Mulanje",DataEntry!$B:$B,"Phalombe",DataEntry!$G:$G,"Q2"),"")</f>
        <v/>
      </c>
      <c r="F204" s="9">
        <f>IFERROR(SUMIFS(DataEntry!$GM:$GM,DataEntry!$A:$A,"Mulanje",DataEntry!$B:$B,"Phalombe",DataEntry!$G:$G,"Q3"),"")</f>
        <v/>
      </c>
      <c r="G204" s="9">
        <f>IFERROR(SUMIFS(DataEntry!$GM:$GM,DataEntry!$A:$A,"Mulanje",DataEntry!$B:$B,"Phalombe",DataEntry!$G:$G,"Q4"),"")</f>
        <v/>
      </c>
      <c r="H204" s="22">
        <f>IFERROR(SUM(D204:G204),"")</f>
        <v/>
      </c>
    </row>
    <row r="205">
      <c r="A205" s="19" t="inlineStr">
        <is>
          <t>Mulanje</t>
        </is>
      </c>
      <c r="B205" s="19" t="inlineStr">
        <is>
          <t>Phalombe</t>
        </is>
      </c>
      <c r="C205" s="6" t="inlineStr">
        <is>
          <t>Total Sales</t>
        </is>
      </c>
      <c r="D205" s="15">
        <f>IFERROR(SUMIFS(DataEntry!$GX:$GX,DataEntry!$A:$A,"Mulanje",DataEntry!$B:$B,"Phalombe",DataEntry!$G:$G,"Q1"),"")</f>
        <v/>
      </c>
      <c r="E205" s="15">
        <f>IFERROR(SUMIFS(DataEntry!$GX:$GX,DataEntry!$A:$A,"Mulanje",DataEntry!$B:$B,"Phalombe",DataEntry!$G:$G,"Q2"),"")</f>
        <v/>
      </c>
      <c r="F205" s="15">
        <f>IFERROR(SUMIFS(DataEntry!$GX:$GX,DataEntry!$A:$A,"Mulanje",DataEntry!$B:$B,"Phalombe",DataEntry!$G:$G,"Q3"),"")</f>
        <v/>
      </c>
      <c r="G205" s="15">
        <f>IFERROR(SUMIFS(DataEntry!$GX:$GX,DataEntry!$A:$A,"Mulanje",DataEntry!$B:$B,"Phalombe",DataEntry!$G:$G,"Q4"),"")</f>
        <v/>
      </c>
      <c r="H205" s="20">
        <f>IFERROR(SUM(D205:G205),"")</f>
        <v/>
      </c>
    </row>
    <row r="206">
      <c r="A206" s="21" t="inlineStr">
        <is>
          <t>Mulanje</t>
        </is>
      </c>
      <c r="B206" s="21" t="inlineStr">
        <is>
          <t>Phalombe</t>
        </is>
      </c>
      <c r="C206" s="12" t="inlineStr">
        <is>
          <t>Active Customers</t>
        </is>
      </c>
      <c r="D206" s="9">
        <f>IFERROR(SUMIFS(DataEntry!$CS:$CS,DataEntry!$A:$A,"Mulanje",DataEntry!$B:$B,"Phalombe",DataEntry!$G:$G,"Q1"),"")</f>
        <v/>
      </c>
      <c r="E206" s="9">
        <f>IFERROR(SUMIFS(DataEntry!$CS:$CS,DataEntry!$A:$A,"Mulanje",DataEntry!$B:$B,"Phalombe",DataEntry!$G:$G,"Q2"),"")</f>
        <v/>
      </c>
      <c r="F206" s="9">
        <f>IFERROR(SUMIFS(DataEntry!$CS:$CS,DataEntry!$A:$A,"Mulanje",DataEntry!$B:$B,"Phalombe",DataEntry!$G:$G,"Q3"),"")</f>
        <v/>
      </c>
      <c r="G206" s="9">
        <f>IFERROR(SUMIFS(DataEntry!$CS:$CS,DataEntry!$A:$A,"Mulanje",DataEntry!$B:$B,"Phalombe",DataEntry!$G:$G,"Q4"),"")</f>
        <v/>
      </c>
      <c r="H206" s="22">
        <f>IFERROR(SUM(D206:G206),"")</f>
        <v/>
      </c>
    </row>
    <row r="207">
      <c r="A207" s="19" t="inlineStr">
        <is>
          <t>Mulanje</t>
        </is>
      </c>
      <c r="B207" s="19" t="inlineStr">
        <is>
          <t>Phalombe</t>
        </is>
      </c>
      <c r="C207" s="6" t="inlineStr">
        <is>
          <t>New Connections</t>
        </is>
      </c>
      <c r="D207" s="15">
        <f>IFERROR(SUMIFS(DataEntry!$CA:$CA,DataEntry!$A:$A,"Mulanje",DataEntry!$B:$B,"Phalombe",DataEntry!$G:$G,"Q1"),"")</f>
        <v/>
      </c>
      <c r="E207" s="15">
        <f>IFERROR(SUMIFS(DataEntry!$CA:$CA,DataEntry!$A:$A,"Mulanje",DataEntry!$B:$B,"Phalombe",DataEntry!$G:$G,"Q2"),"")</f>
        <v/>
      </c>
      <c r="F207" s="15">
        <f>IFERROR(SUMIFS(DataEntry!$CA:$CA,DataEntry!$A:$A,"Mulanje",DataEntry!$B:$B,"Phalombe",DataEntry!$G:$G,"Q3"),"")</f>
        <v/>
      </c>
      <c r="G207" s="15">
        <f>IFERROR(SUMIFS(DataEntry!$CA:$CA,DataEntry!$A:$A,"Mulanje",DataEntry!$B:$B,"Phalombe",DataEntry!$G:$G,"Q4"),"")</f>
        <v/>
      </c>
      <c r="H207" s="20">
        <f>IFERROR(SUM(D207:G207),"")</f>
        <v/>
      </c>
    </row>
    <row r="208">
      <c r="A208" s="21" t="inlineStr">
        <is>
          <t>Mulanje</t>
        </is>
      </c>
      <c r="B208" s="21" t="inlineStr">
        <is>
          <t>Phalombe</t>
        </is>
      </c>
      <c r="C208" s="12" t="inlineStr">
        <is>
          <t>Stuck Meters C/Fwd</t>
        </is>
      </c>
      <c r="D208" s="9">
        <f>IFERROR(SUMIFS(DataEntry!$DV:$DV,DataEntry!$A:$A,"Mulanje",DataEntry!$B:$B,"Phalombe",DataEntry!$G:$G,"Q1"),"")</f>
        <v/>
      </c>
      <c r="E208" s="9">
        <f>IFERROR(SUMIFS(DataEntry!$DV:$DV,DataEntry!$A:$A,"Mulanje",DataEntry!$B:$B,"Phalombe",DataEntry!$G:$G,"Q2"),"")</f>
        <v/>
      </c>
      <c r="F208" s="9">
        <f>IFERROR(SUMIFS(DataEntry!$DV:$DV,DataEntry!$A:$A,"Mulanje",DataEntry!$B:$B,"Phalombe",DataEntry!$G:$G,"Q3"),"")</f>
        <v/>
      </c>
      <c r="G208" s="9">
        <f>IFERROR(SUMIFS(DataEntry!$DV:$DV,DataEntry!$A:$A,"Mulanje",DataEntry!$B:$B,"Phalombe",DataEntry!$G:$G,"Q4"),"")</f>
        <v/>
      </c>
      <c r="H208" s="22">
        <f>IFERROR(SUM(D208:G208),"")</f>
        <v/>
      </c>
    </row>
    <row r="209">
      <c r="A209" s="19" t="inlineStr">
        <is>
          <t>Mulanje</t>
        </is>
      </c>
      <c r="B209" s="19" t="inlineStr">
        <is>
          <t>Phalombe</t>
        </is>
      </c>
      <c r="C209" s="6" t="inlineStr">
        <is>
          <t>Cash Collection Rate</t>
        </is>
      </c>
      <c r="D209" s="16">
        <f>IFERROR(AVERAGEIFS(DataEntry!$HC:$HC,DataEntry!$A:$A,"Mulanje",DataEntry!$B:$B,"Phalombe",DataEntry!$G:$G,"Q1"),"")</f>
        <v/>
      </c>
      <c r="E209" s="16">
        <f>IFERROR(AVERAGEIFS(DataEntry!$HC:$HC,DataEntry!$A:$A,"Mulanje",DataEntry!$B:$B,"Phalombe",DataEntry!$G:$G,"Q2"),"")</f>
        <v/>
      </c>
      <c r="F209" s="16">
        <f>IFERROR(AVERAGEIFS(DataEntry!$HC:$HC,DataEntry!$A:$A,"Mulanje",DataEntry!$B:$B,"Phalombe",DataEntry!$G:$G,"Q3"),"")</f>
        <v/>
      </c>
      <c r="G209" s="16">
        <f>IFERROR(AVERAGEIFS(DataEntry!$HC:$HC,DataEntry!$A:$A,"Mulanje",DataEntry!$B:$B,"Phalombe",DataEntry!$G:$G,"Q4"),"")</f>
        <v/>
      </c>
      <c r="H209" s="24">
        <f>IFERROR(AVERAGE(D209:G209),"")</f>
        <v/>
      </c>
    </row>
    <row r="210">
      <c r="A210" s="21" t="inlineStr">
        <is>
          <t>Mulanje</t>
        </is>
      </c>
      <c r="B210" s="21" t="inlineStr">
        <is>
          <t>Phalombe</t>
        </is>
      </c>
      <c r="C210" s="12" t="inlineStr">
        <is>
          <t>OpCost per Sales</t>
        </is>
      </c>
      <c r="D210" s="10">
        <f>IFERROR(AVERAGEIFS(DataEntry!$HB:$HB,DataEntry!$A:$A,"Mulanje",DataEntry!$B:$B,"Phalombe",DataEntry!$G:$G,"Q1"),"")</f>
        <v/>
      </c>
      <c r="E210" s="10">
        <f>IFERROR(AVERAGEIFS(DataEntry!$HB:$HB,DataEntry!$A:$A,"Mulanje",DataEntry!$B:$B,"Phalombe",DataEntry!$G:$G,"Q2"),"")</f>
        <v/>
      </c>
      <c r="F210" s="10">
        <f>IFERROR(AVERAGEIFS(DataEntry!$HB:$HB,DataEntry!$A:$A,"Mulanje",DataEntry!$B:$B,"Phalombe",DataEntry!$G:$G,"Q3"),"")</f>
        <v/>
      </c>
      <c r="G210" s="10">
        <f>IFERROR(AVERAGEIFS(DataEntry!$HB:$HB,DataEntry!$A:$A,"Mulanje",DataEntry!$B:$B,"Phalombe",DataEntry!$G:$G,"Q4"),"")</f>
        <v/>
      </c>
      <c r="H210" s="23">
        <f>IFERROR(AVERAGE(D210:G210),"")</f>
        <v/>
      </c>
    </row>
    <row r="211">
      <c r="A211" s="19" t="inlineStr">
        <is>
          <t>Mulanje</t>
        </is>
      </c>
      <c r="B211" s="19" t="inlineStr">
        <is>
          <t>Thyolo</t>
        </is>
      </c>
      <c r="C211" s="6" t="inlineStr">
        <is>
          <t>Volume Produced (m³)</t>
        </is>
      </c>
      <c r="D211" s="15">
        <f>IFERROR(SUMIFS(DataEntry!$H:$H,DataEntry!$A:$A,"Mulanje",DataEntry!$B:$B,"Thyolo",DataEntry!$G:$G,"Q1"),"")</f>
        <v/>
      </c>
      <c r="E211" s="15">
        <f>IFERROR(SUMIFS(DataEntry!$H:$H,DataEntry!$A:$A,"Mulanje",DataEntry!$B:$B,"Thyolo",DataEntry!$G:$G,"Q2"),"")</f>
        <v/>
      </c>
      <c r="F211" s="15">
        <f>IFERROR(SUMIFS(DataEntry!$H:$H,DataEntry!$A:$A,"Mulanje",DataEntry!$B:$B,"Thyolo",DataEntry!$G:$G,"Q3"),"")</f>
        <v/>
      </c>
      <c r="G211" s="15">
        <f>IFERROR(SUMIFS(DataEntry!$H:$H,DataEntry!$A:$A,"Mulanje",DataEntry!$B:$B,"Thyolo",DataEntry!$G:$G,"Q4"),"")</f>
        <v/>
      </c>
      <c r="H211" s="20">
        <f>IFERROR(SUM(D211:G211),"")</f>
        <v/>
      </c>
    </row>
    <row r="212">
      <c r="A212" s="21" t="inlineStr">
        <is>
          <t>Mulanje</t>
        </is>
      </c>
      <c r="B212" s="21" t="inlineStr">
        <is>
          <t>Thyolo</t>
        </is>
      </c>
      <c r="C212" s="12" t="inlineStr">
        <is>
          <t>Total Revenue Water</t>
        </is>
      </c>
      <c r="D212" s="9">
        <f>IFERROR(SUMIFS(DataEntry!$S:$S,DataEntry!$A:$A,"Mulanje",DataEntry!$B:$B,"Thyolo",DataEntry!$G:$G,"Q1"),"")</f>
        <v/>
      </c>
      <c r="E212" s="9">
        <f>IFERROR(SUMIFS(DataEntry!$S:$S,DataEntry!$A:$A,"Mulanje",DataEntry!$B:$B,"Thyolo",DataEntry!$G:$G,"Q2"),"")</f>
        <v/>
      </c>
      <c r="F212" s="9">
        <f>IFERROR(SUMIFS(DataEntry!$S:$S,DataEntry!$A:$A,"Mulanje",DataEntry!$B:$B,"Thyolo",DataEntry!$G:$G,"Q3"),"")</f>
        <v/>
      </c>
      <c r="G212" s="9">
        <f>IFERROR(SUMIFS(DataEntry!$S:$S,DataEntry!$A:$A,"Mulanje",DataEntry!$B:$B,"Thyolo",DataEntry!$G:$G,"Q4"),"")</f>
        <v/>
      </c>
      <c r="H212" s="22">
        <f>IFERROR(SUM(D212:G212),"")</f>
        <v/>
      </c>
    </row>
    <row r="213">
      <c r="A213" s="19" t="inlineStr">
        <is>
          <t>Mulanje</t>
        </is>
      </c>
      <c r="B213" s="19" t="inlineStr">
        <is>
          <t>Thyolo</t>
        </is>
      </c>
      <c r="C213" s="6" t="inlineStr">
        <is>
          <t>Non-Revenue Water</t>
        </is>
      </c>
      <c r="D213" s="15">
        <f>IFERROR(SUMIFS(DataEntry!$T:$T,DataEntry!$A:$A,"Mulanje",DataEntry!$B:$B,"Thyolo",DataEntry!$G:$G,"Q1"),"")</f>
        <v/>
      </c>
      <c r="E213" s="15">
        <f>IFERROR(SUMIFS(DataEntry!$T:$T,DataEntry!$A:$A,"Mulanje",DataEntry!$B:$B,"Thyolo",DataEntry!$G:$G,"Q2"),"")</f>
        <v/>
      </c>
      <c r="F213" s="15">
        <f>IFERROR(SUMIFS(DataEntry!$T:$T,DataEntry!$A:$A,"Mulanje",DataEntry!$B:$B,"Thyolo",DataEntry!$G:$G,"Q3"),"")</f>
        <v/>
      </c>
      <c r="G213" s="15">
        <f>IFERROR(SUMIFS(DataEntry!$T:$T,DataEntry!$A:$A,"Mulanje",DataEntry!$B:$B,"Thyolo",DataEntry!$G:$G,"Q4"),"")</f>
        <v/>
      </c>
      <c r="H213" s="20">
        <f>IFERROR(SUM(D213:G213),"")</f>
        <v/>
      </c>
    </row>
    <row r="214">
      <c r="A214" s="21" t="inlineStr">
        <is>
          <t>Mulanje</t>
        </is>
      </c>
      <c r="B214" s="21" t="inlineStr">
        <is>
          <t>Thyolo</t>
        </is>
      </c>
      <c r="C214" s="12" t="inlineStr">
        <is>
          <t>% NRW</t>
        </is>
      </c>
      <c r="D214" s="10">
        <f>IFERROR(AVERAGEIFS(DataEntry!$U:$U,DataEntry!$A:$A,"Mulanje",DataEntry!$B:$B,"Thyolo",DataEntry!$G:$G,"Q1"),"")</f>
        <v/>
      </c>
      <c r="E214" s="10">
        <f>IFERROR(AVERAGEIFS(DataEntry!$U:$U,DataEntry!$A:$A,"Mulanje",DataEntry!$B:$B,"Thyolo",DataEntry!$G:$G,"Q2"),"")</f>
        <v/>
      </c>
      <c r="F214" s="10">
        <f>IFERROR(AVERAGEIFS(DataEntry!$U:$U,DataEntry!$A:$A,"Mulanje",DataEntry!$B:$B,"Thyolo",DataEntry!$G:$G,"Q3"),"")</f>
        <v/>
      </c>
      <c r="G214" s="10">
        <f>IFERROR(AVERAGEIFS(DataEntry!$U:$U,DataEntry!$A:$A,"Mulanje",DataEntry!$B:$B,"Thyolo",DataEntry!$G:$G,"Q4"),"")</f>
        <v/>
      </c>
      <c r="H214" s="23">
        <f>IFERROR(AVERAGE(D214:G214),"")</f>
        <v/>
      </c>
    </row>
    <row r="215">
      <c r="A215" s="19" t="inlineStr">
        <is>
          <t>Mulanje</t>
        </is>
      </c>
      <c r="B215" s="19" t="inlineStr">
        <is>
          <t>Thyolo</t>
        </is>
      </c>
      <c r="C215" s="6" t="inlineStr">
        <is>
          <t>Total Operating Costs</t>
        </is>
      </c>
      <c r="D215" s="15">
        <f>IFERROR(SUMIFS(DataEntry!$AU:$AU,DataEntry!$A:$A,"Mulanje",DataEntry!$B:$B,"Thyolo",DataEntry!$G:$G,"Q1"),"")</f>
        <v/>
      </c>
      <c r="E215" s="15">
        <f>IFERROR(SUMIFS(DataEntry!$AU:$AU,DataEntry!$A:$A,"Mulanje",DataEntry!$B:$B,"Thyolo",DataEntry!$G:$G,"Q2"),"")</f>
        <v/>
      </c>
      <c r="F215" s="15">
        <f>IFERROR(SUMIFS(DataEntry!$AU:$AU,DataEntry!$A:$A,"Mulanje",DataEntry!$B:$B,"Thyolo",DataEntry!$G:$G,"Q3"),"")</f>
        <v/>
      </c>
      <c r="G215" s="15">
        <f>IFERROR(SUMIFS(DataEntry!$AU:$AU,DataEntry!$A:$A,"Mulanje",DataEntry!$B:$B,"Thyolo",DataEntry!$G:$G,"Q4"),"")</f>
        <v/>
      </c>
      <c r="H215" s="20">
        <f>IFERROR(SUM(D215:G215),"")</f>
        <v/>
      </c>
    </row>
    <row r="216">
      <c r="A216" s="21" t="inlineStr">
        <is>
          <t>Mulanje</t>
        </is>
      </c>
      <c r="B216" s="21" t="inlineStr">
        <is>
          <t>Thyolo</t>
        </is>
      </c>
      <c r="C216" s="12" t="inlineStr">
        <is>
          <t>Total Cash Collected</t>
        </is>
      </c>
      <c r="D216" s="9">
        <f>IFERROR(SUMIFS(DataEntry!$GB:$GB,DataEntry!$A:$A,"Mulanje",DataEntry!$B:$B,"Thyolo",DataEntry!$G:$G,"Q1"),"")</f>
        <v/>
      </c>
      <c r="E216" s="9">
        <f>IFERROR(SUMIFS(DataEntry!$GB:$GB,DataEntry!$A:$A,"Mulanje",DataEntry!$B:$B,"Thyolo",DataEntry!$G:$G,"Q2"),"")</f>
        <v/>
      </c>
      <c r="F216" s="9">
        <f>IFERROR(SUMIFS(DataEntry!$GB:$GB,DataEntry!$A:$A,"Mulanje",DataEntry!$B:$B,"Thyolo",DataEntry!$G:$G,"Q3"),"")</f>
        <v/>
      </c>
      <c r="G216" s="9">
        <f>IFERROR(SUMIFS(DataEntry!$GB:$GB,DataEntry!$A:$A,"Mulanje",DataEntry!$B:$B,"Thyolo",DataEntry!$G:$G,"Q4"),"")</f>
        <v/>
      </c>
      <c r="H216" s="22">
        <f>IFERROR(SUM(D216:G216),"")</f>
        <v/>
      </c>
    </row>
    <row r="217">
      <c r="A217" s="19" t="inlineStr">
        <is>
          <t>Mulanje</t>
        </is>
      </c>
      <c r="B217" s="19" t="inlineStr">
        <is>
          <t>Thyolo</t>
        </is>
      </c>
      <c r="C217" s="6" t="inlineStr">
        <is>
          <t>Total Amount Billed</t>
        </is>
      </c>
      <c r="D217" s="15">
        <f>IFERROR(SUMIFS(DataEntry!$GM:$GM,DataEntry!$A:$A,"Mulanje",DataEntry!$B:$B,"Thyolo",DataEntry!$G:$G,"Q1"),"")</f>
        <v/>
      </c>
      <c r="E217" s="15">
        <f>IFERROR(SUMIFS(DataEntry!$GM:$GM,DataEntry!$A:$A,"Mulanje",DataEntry!$B:$B,"Thyolo",DataEntry!$G:$G,"Q2"),"")</f>
        <v/>
      </c>
      <c r="F217" s="15">
        <f>IFERROR(SUMIFS(DataEntry!$GM:$GM,DataEntry!$A:$A,"Mulanje",DataEntry!$B:$B,"Thyolo",DataEntry!$G:$G,"Q3"),"")</f>
        <v/>
      </c>
      <c r="G217" s="15">
        <f>IFERROR(SUMIFS(DataEntry!$GM:$GM,DataEntry!$A:$A,"Mulanje",DataEntry!$B:$B,"Thyolo",DataEntry!$G:$G,"Q4"),"")</f>
        <v/>
      </c>
      <c r="H217" s="20">
        <f>IFERROR(SUM(D217:G217),"")</f>
        <v/>
      </c>
    </row>
    <row r="218">
      <c r="A218" s="21" t="inlineStr">
        <is>
          <t>Mulanje</t>
        </is>
      </c>
      <c r="B218" s="21" t="inlineStr">
        <is>
          <t>Thyolo</t>
        </is>
      </c>
      <c r="C218" s="12" t="inlineStr">
        <is>
          <t>Total Sales</t>
        </is>
      </c>
      <c r="D218" s="9">
        <f>IFERROR(SUMIFS(DataEntry!$GX:$GX,DataEntry!$A:$A,"Mulanje",DataEntry!$B:$B,"Thyolo",DataEntry!$G:$G,"Q1"),"")</f>
        <v/>
      </c>
      <c r="E218" s="9">
        <f>IFERROR(SUMIFS(DataEntry!$GX:$GX,DataEntry!$A:$A,"Mulanje",DataEntry!$B:$B,"Thyolo",DataEntry!$G:$G,"Q2"),"")</f>
        <v/>
      </c>
      <c r="F218" s="9">
        <f>IFERROR(SUMIFS(DataEntry!$GX:$GX,DataEntry!$A:$A,"Mulanje",DataEntry!$B:$B,"Thyolo",DataEntry!$G:$G,"Q3"),"")</f>
        <v/>
      </c>
      <c r="G218" s="9">
        <f>IFERROR(SUMIFS(DataEntry!$GX:$GX,DataEntry!$A:$A,"Mulanje",DataEntry!$B:$B,"Thyolo",DataEntry!$G:$G,"Q4"),"")</f>
        <v/>
      </c>
      <c r="H218" s="22">
        <f>IFERROR(SUM(D218:G218),"")</f>
        <v/>
      </c>
    </row>
    <row r="219">
      <c r="A219" s="19" t="inlineStr">
        <is>
          <t>Mulanje</t>
        </is>
      </c>
      <c r="B219" s="19" t="inlineStr">
        <is>
          <t>Thyolo</t>
        </is>
      </c>
      <c r="C219" s="6" t="inlineStr">
        <is>
          <t>Active Customers</t>
        </is>
      </c>
      <c r="D219" s="15">
        <f>IFERROR(SUMIFS(DataEntry!$CS:$CS,DataEntry!$A:$A,"Mulanje",DataEntry!$B:$B,"Thyolo",DataEntry!$G:$G,"Q1"),"")</f>
        <v/>
      </c>
      <c r="E219" s="15">
        <f>IFERROR(SUMIFS(DataEntry!$CS:$CS,DataEntry!$A:$A,"Mulanje",DataEntry!$B:$B,"Thyolo",DataEntry!$G:$G,"Q2"),"")</f>
        <v/>
      </c>
      <c r="F219" s="15">
        <f>IFERROR(SUMIFS(DataEntry!$CS:$CS,DataEntry!$A:$A,"Mulanje",DataEntry!$B:$B,"Thyolo",DataEntry!$G:$G,"Q3"),"")</f>
        <v/>
      </c>
      <c r="G219" s="15">
        <f>IFERROR(SUMIFS(DataEntry!$CS:$CS,DataEntry!$A:$A,"Mulanje",DataEntry!$B:$B,"Thyolo",DataEntry!$G:$G,"Q4"),"")</f>
        <v/>
      </c>
      <c r="H219" s="20">
        <f>IFERROR(SUM(D219:G219),"")</f>
        <v/>
      </c>
    </row>
    <row r="220">
      <c r="A220" s="21" t="inlineStr">
        <is>
          <t>Mulanje</t>
        </is>
      </c>
      <c r="B220" s="21" t="inlineStr">
        <is>
          <t>Thyolo</t>
        </is>
      </c>
      <c r="C220" s="12" t="inlineStr">
        <is>
          <t>New Connections</t>
        </is>
      </c>
      <c r="D220" s="9">
        <f>IFERROR(SUMIFS(DataEntry!$CA:$CA,DataEntry!$A:$A,"Mulanje",DataEntry!$B:$B,"Thyolo",DataEntry!$G:$G,"Q1"),"")</f>
        <v/>
      </c>
      <c r="E220" s="9">
        <f>IFERROR(SUMIFS(DataEntry!$CA:$CA,DataEntry!$A:$A,"Mulanje",DataEntry!$B:$B,"Thyolo",DataEntry!$G:$G,"Q2"),"")</f>
        <v/>
      </c>
      <c r="F220" s="9">
        <f>IFERROR(SUMIFS(DataEntry!$CA:$CA,DataEntry!$A:$A,"Mulanje",DataEntry!$B:$B,"Thyolo",DataEntry!$G:$G,"Q3"),"")</f>
        <v/>
      </c>
      <c r="G220" s="9">
        <f>IFERROR(SUMIFS(DataEntry!$CA:$CA,DataEntry!$A:$A,"Mulanje",DataEntry!$B:$B,"Thyolo",DataEntry!$G:$G,"Q4"),"")</f>
        <v/>
      </c>
      <c r="H220" s="22">
        <f>IFERROR(SUM(D220:G220),"")</f>
        <v/>
      </c>
    </row>
    <row r="221">
      <c r="A221" s="19" t="inlineStr">
        <is>
          <t>Mulanje</t>
        </is>
      </c>
      <c r="B221" s="19" t="inlineStr">
        <is>
          <t>Thyolo</t>
        </is>
      </c>
      <c r="C221" s="6" t="inlineStr">
        <is>
          <t>Stuck Meters C/Fwd</t>
        </is>
      </c>
      <c r="D221" s="15">
        <f>IFERROR(SUMIFS(DataEntry!$DV:$DV,DataEntry!$A:$A,"Mulanje",DataEntry!$B:$B,"Thyolo",DataEntry!$G:$G,"Q1"),"")</f>
        <v/>
      </c>
      <c r="E221" s="15">
        <f>IFERROR(SUMIFS(DataEntry!$DV:$DV,DataEntry!$A:$A,"Mulanje",DataEntry!$B:$B,"Thyolo",DataEntry!$G:$G,"Q2"),"")</f>
        <v/>
      </c>
      <c r="F221" s="15">
        <f>IFERROR(SUMIFS(DataEntry!$DV:$DV,DataEntry!$A:$A,"Mulanje",DataEntry!$B:$B,"Thyolo",DataEntry!$G:$G,"Q3"),"")</f>
        <v/>
      </c>
      <c r="G221" s="15">
        <f>IFERROR(SUMIFS(DataEntry!$DV:$DV,DataEntry!$A:$A,"Mulanje",DataEntry!$B:$B,"Thyolo",DataEntry!$G:$G,"Q4"),"")</f>
        <v/>
      </c>
      <c r="H221" s="20">
        <f>IFERROR(SUM(D221:G221),"")</f>
        <v/>
      </c>
    </row>
    <row r="222">
      <c r="A222" s="21" t="inlineStr">
        <is>
          <t>Mulanje</t>
        </is>
      </c>
      <c r="B222" s="21" t="inlineStr">
        <is>
          <t>Thyolo</t>
        </is>
      </c>
      <c r="C222" s="12" t="inlineStr">
        <is>
          <t>Cash Collection Rate</t>
        </is>
      </c>
      <c r="D222" s="10">
        <f>IFERROR(AVERAGEIFS(DataEntry!$HC:$HC,DataEntry!$A:$A,"Mulanje",DataEntry!$B:$B,"Thyolo",DataEntry!$G:$G,"Q1"),"")</f>
        <v/>
      </c>
      <c r="E222" s="10">
        <f>IFERROR(AVERAGEIFS(DataEntry!$HC:$HC,DataEntry!$A:$A,"Mulanje",DataEntry!$B:$B,"Thyolo",DataEntry!$G:$G,"Q2"),"")</f>
        <v/>
      </c>
      <c r="F222" s="10">
        <f>IFERROR(AVERAGEIFS(DataEntry!$HC:$HC,DataEntry!$A:$A,"Mulanje",DataEntry!$B:$B,"Thyolo",DataEntry!$G:$G,"Q3"),"")</f>
        <v/>
      </c>
      <c r="G222" s="10">
        <f>IFERROR(AVERAGEIFS(DataEntry!$HC:$HC,DataEntry!$A:$A,"Mulanje",DataEntry!$B:$B,"Thyolo",DataEntry!$G:$G,"Q4"),"")</f>
        <v/>
      </c>
      <c r="H222" s="23">
        <f>IFERROR(AVERAGE(D222:G222),"")</f>
        <v/>
      </c>
    </row>
    <row r="223">
      <c r="A223" s="19" t="inlineStr">
        <is>
          <t>Mulanje</t>
        </is>
      </c>
      <c r="B223" s="19" t="inlineStr">
        <is>
          <t>Thyolo</t>
        </is>
      </c>
      <c r="C223" s="6" t="inlineStr">
        <is>
          <t>OpCost per Sales</t>
        </is>
      </c>
      <c r="D223" s="16">
        <f>IFERROR(AVERAGEIFS(DataEntry!$HB:$HB,DataEntry!$A:$A,"Mulanje",DataEntry!$B:$B,"Thyolo",DataEntry!$G:$G,"Q1"),"")</f>
        <v/>
      </c>
      <c r="E223" s="16">
        <f>IFERROR(AVERAGEIFS(DataEntry!$HB:$HB,DataEntry!$A:$A,"Mulanje",DataEntry!$B:$B,"Thyolo",DataEntry!$G:$G,"Q2"),"")</f>
        <v/>
      </c>
      <c r="F223" s="16">
        <f>IFERROR(AVERAGEIFS(DataEntry!$HB:$HB,DataEntry!$A:$A,"Mulanje",DataEntry!$B:$B,"Thyolo",DataEntry!$G:$G,"Q3"),"")</f>
        <v/>
      </c>
      <c r="G223" s="16">
        <f>IFERROR(AVERAGEIFS(DataEntry!$HB:$HB,DataEntry!$A:$A,"Mulanje",DataEntry!$B:$B,"Thyolo",DataEntry!$G:$G,"Q4"),"")</f>
        <v/>
      </c>
      <c r="H223" s="24">
        <f>IFERROR(AVERAGE(D223:G223),"")</f>
        <v/>
      </c>
    </row>
    <row r="224">
      <c r="A224" s="21" t="inlineStr">
        <is>
          <t>Ngabu</t>
        </is>
      </c>
      <c r="B224" s="21" t="inlineStr">
        <is>
          <t>Bangula</t>
        </is>
      </c>
      <c r="C224" s="12" t="inlineStr">
        <is>
          <t>Volume Produced (m³)</t>
        </is>
      </c>
      <c r="D224" s="9">
        <f>IFERROR(SUMIFS(DataEntry!$H:$H,DataEntry!$A:$A,"Ngabu",DataEntry!$B:$B,"Bangula",DataEntry!$G:$G,"Q1"),"")</f>
        <v/>
      </c>
      <c r="E224" s="9">
        <f>IFERROR(SUMIFS(DataEntry!$H:$H,DataEntry!$A:$A,"Ngabu",DataEntry!$B:$B,"Bangula",DataEntry!$G:$G,"Q2"),"")</f>
        <v/>
      </c>
      <c r="F224" s="9">
        <f>IFERROR(SUMIFS(DataEntry!$H:$H,DataEntry!$A:$A,"Ngabu",DataEntry!$B:$B,"Bangula",DataEntry!$G:$G,"Q3"),"")</f>
        <v/>
      </c>
      <c r="G224" s="9">
        <f>IFERROR(SUMIFS(DataEntry!$H:$H,DataEntry!$A:$A,"Ngabu",DataEntry!$B:$B,"Bangula",DataEntry!$G:$G,"Q4"),"")</f>
        <v/>
      </c>
      <c r="H224" s="22">
        <f>IFERROR(SUM(D224:G224),"")</f>
        <v/>
      </c>
    </row>
    <row r="225">
      <c r="A225" s="19" t="inlineStr">
        <is>
          <t>Ngabu</t>
        </is>
      </c>
      <c r="B225" s="19" t="inlineStr">
        <is>
          <t>Bangula</t>
        </is>
      </c>
      <c r="C225" s="6" t="inlineStr">
        <is>
          <t>Total Revenue Water</t>
        </is>
      </c>
      <c r="D225" s="15">
        <f>IFERROR(SUMIFS(DataEntry!$S:$S,DataEntry!$A:$A,"Ngabu",DataEntry!$B:$B,"Bangula",DataEntry!$G:$G,"Q1"),"")</f>
        <v/>
      </c>
      <c r="E225" s="15">
        <f>IFERROR(SUMIFS(DataEntry!$S:$S,DataEntry!$A:$A,"Ngabu",DataEntry!$B:$B,"Bangula",DataEntry!$G:$G,"Q2"),"")</f>
        <v/>
      </c>
      <c r="F225" s="15">
        <f>IFERROR(SUMIFS(DataEntry!$S:$S,DataEntry!$A:$A,"Ngabu",DataEntry!$B:$B,"Bangula",DataEntry!$G:$G,"Q3"),"")</f>
        <v/>
      </c>
      <c r="G225" s="15">
        <f>IFERROR(SUMIFS(DataEntry!$S:$S,DataEntry!$A:$A,"Ngabu",DataEntry!$B:$B,"Bangula",DataEntry!$G:$G,"Q4"),"")</f>
        <v/>
      </c>
      <c r="H225" s="20">
        <f>IFERROR(SUM(D225:G225),"")</f>
        <v/>
      </c>
    </row>
    <row r="226">
      <c r="A226" s="21" t="inlineStr">
        <is>
          <t>Ngabu</t>
        </is>
      </c>
      <c r="B226" s="21" t="inlineStr">
        <is>
          <t>Bangula</t>
        </is>
      </c>
      <c r="C226" s="12" t="inlineStr">
        <is>
          <t>Non-Revenue Water</t>
        </is>
      </c>
      <c r="D226" s="9">
        <f>IFERROR(SUMIFS(DataEntry!$T:$T,DataEntry!$A:$A,"Ngabu",DataEntry!$B:$B,"Bangula",DataEntry!$G:$G,"Q1"),"")</f>
        <v/>
      </c>
      <c r="E226" s="9">
        <f>IFERROR(SUMIFS(DataEntry!$T:$T,DataEntry!$A:$A,"Ngabu",DataEntry!$B:$B,"Bangula",DataEntry!$G:$G,"Q2"),"")</f>
        <v/>
      </c>
      <c r="F226" s="9">
        <f>IFERROR(SUMIFS(DataEntry!$T:$T,DataEntry!$A:$A,"Ngabu",DataEntry!$B:$B,"Bangula",DataEntry!$G:$G,"Q3"),"")</f>
        <v/>
      </c>
      <c r="G226" s="9">
        <f>IFERROR(SUMIFS(DataEntry!$T:$T,DataEntry!$A:$A,"Ngabu",DataEntry!$B:$B,"Bangula",DataEntry!$G:$G,"Q4"),"")</f>
        <v/>
      </c>
      <c r="H226" s="22">
        <f>IFERROR(SUM(D226:G226),"")</f>
        <v/>
      </c>
    </row>
    <row r="227">
      <c r="A227" s="19" t="inlineStr">
        <is>
          <t>Ngabu</t>
        </is>
      </c>
      <c r="B227" s="19" t="inlineStr">
        <is>
          <t>Bangula</t>
        </is>
      </c>
      <c r="C227" s="6" t="inlineStr">
        <is>
          <t>% NRW</t>
        </is>
      </c>
      <c r="D227" s="16">
        <f>IFERROR(AVERAGEIFS(DataEntry!$U:$U,DataEntry!$A:$A,"Ngabu",DataEntry!$B:$B,"Bangula",DataEntry!$G:$G,"Q1"),"")</f>
        <v/>
      </c>
      <c r="E227" s="16">
        <f>IFERROR(AVERAGEIFS(DataEntry!$U:$U,DataEntry!$A:$A,"Ngabu",DataEntry!$B:$B,"Bangula",DataEntry!$G:$G,"Q2"),"")</f>
        <v/>
      </c>
      <c r="F227" s="16">
        <f>IFERROR(AVERAGEIFS(DataEntry!$U:$U,DataEntry!$A:$A,"Ngabu",DataEntry!$B:$B,"Bangula",DataEntry!$G:$G,"Q3"),"")</f>
        <v/>
      </c>
      <c r="G227" s="16">
        <f>IFERROR(AVERAGEIFS(DataEntry!$U:$U,DataEntry!$A:$A,"Ngabu",DataEntry!$B:$B,"Bangula",DataEntry!$G:$G,"Q4"),"")</f>
        <v/>
      </c>
      <c r="H227" s="24">
        <f>IFERROR(AVERAGE(D227:G227),"")</f>
        <v/>
      </c>
    </row>
    <row r="228">
      <c r="A228" s="21" t="inlineStr">
        <is>
          <t>Ngabu</t>
        </is>
      </c>
      <c r="B228" s="21" t="inlineStr">
        <is>
          <t>Bangula</t>
        </is>
      </c>
      <c r="C228" s="12" t="inlineStr">
        <is>
          <t>Total Operating Costs</t>
        </is>
      </c>
      <c r="D228" s="9">
        <f>IFERROR(SUMIFS(DataEntry!$AU:$AU,DataEntry!$A:$A,"Ngabu",DataEntry!$B:$B,"Bangula",DataEntry!$G:$G,"Q1"),"")</f>
        <v/>
      </c>
      <c r="E228" s="9">
        <f>IFERROR(SUMIFS(DataEntry!$AU:$AU,DataEntry!$A:$A,"Ngabu",DataEntry!$B:$B,"Bangula",DataEntry!$G:$G,"Q2"),"")</f>
        <v/>
      </c>
      <c r="F228" s="9">
        <f>IFERROR(SUMIFS(DataEntry!$AU:$AU,DataEntry!$A:$A,"Ngabu",DataEntry!$B:$B,"Bangula",DataEntry!$G:$G,"Q3"),"")</f>
        <v/>
      </c>
      <c r="G228" s="9">
        <f>IFERROR(SUMIFS(DataEntry!$AU:$AU,DataEntry!$A:$A,"Ngabu",DataEntry!$B:$B,"Bangula",DataEntry!$G:$G,"Q4"),"")</f>
        <v/>
      </c>
      <c r="H228" s="22">
        <f>IFERROR(SUM(D228:G228),"")</f>
        <v/>
      </c>
    </row>
    <row r="229">
      <c r="A229" s="19" t="inlineStr">
        <is>
          <t>Ngabu</t>
        </is>
      </c>
      <c r="B229" s="19" t="inlineStr">
        <is>
          <t>Bangula</t>
        </is>
      </c>
      <c r="C229" s="6" t="inlineStr">
        <is>
          <t>Total Cash Collected</t>
        </is>
      </c>
      <c r="D229" s="15">
        <f>IFERROR(SUMIFS(DataEntry!$GB:$GB,DataEntry!$A:$A,"Ngabu",DataEntry!$B:$B,"Bangula",DataEntry!$G:$G,"Q1"),"")</f>
        <v/>
      </c>
      <c r="E229" s="15">
        <f>IFERROR(SUMIFS(DataEntry!$GB:$GB,DataEntry!$A:$A,"Ngabu",DataEntry!$B:$B,"Bangula",DataEntry!$G:$G,"Q2"),"")</f>
        <v/>
      </c>
      <c r="F229" s="15">
        <f>IFERROR(SUMIFS(DataEntry!$GB:$GB,DataEntry!$A:$A,"Ngabu",DataEntry!$B:$B,"Bangula",DataEntry!$G:$G,"Q3"),"")</f>
        <v/>
      </c>
      <c r="G229" s="15">
        <f>IFERROR(SUMIFS(DataEntry!$GB:$GB,DataEntry!$A:$A,"Ngabu",DataEntry!$B:$B,"Bangula",DataEntry!$G:$G,"Q4"),"")</f>
        <v/>
      </c>
      <c r="H229" s="20">
        <f>IFERROR(SUM(D229:G229),"")</f>
        <v/>
      </c>
    </row>
    <row r="230">
      <c r="A230" s="21" t="inlineStr">
        <is>
          <t>Ngabu</t>
        </is>
      </c>
      <c r="B230" s="21" t="inlineStr">
        <is>
          <t>Bangula</t>
        </is>
      </c>
      <c r="C230" s="12" t="inlineStr">
        <is>
          <t>Total Amount Billed</t>
        </is>
      </c>
      <c r="D230" s="9">
        <f>IFERROR(SUMIFS(DataEntry!$GM:$GM,DataEntry!$A:$A,"Ngabu",DataEntry!$B:$B,"Bangula",DataEntry!$G:$G,"Q1"),"")</f>
        <v/>
      </c>
      <c r="E230" s="9">
        <f>IFERROR(SUMIFS(DataEntry!$GM:$GM,DataEntry!$A:$A,"Ngabu",DataEntry!$B:$B,"Bangula",DataEntry!$G:$G,"Q2"),"")</f>
        <v/>
      </c>
      <c r="F230" s="9">
        <f>IFERROR(SUMIFS(DataEntry!$GM:$GM,DataEntry!$A:$A,"Ngabu",DataEntry!$B:$B,"Bangula",DataEntry!$G:$G,"Q3"),"")</f>
        <v/>
      </c>
      <c r="G230" s="9">
        <f>IFERROR(SUMIFS(DataEntry!$GM:$GM,DataEntry!$A:$A,"Ngabu",DataEntry!$B:$B,"Bangula",DataEntry!$G:$G,"Q4"),"")</f>
        <v/>
      </c>
      <c r="H230" s="22">
        <f>IFERROR(SUM(D230:G230),"")</f>
        <v/>
      </c>
    </row>
    <row r="231">
      <c r="A231" s="19" t="inlineStr">
        <is>
          <t>Ngabu</t>
        </is>
      </c>
      <c r="B231" s="19" t="inlineStr">
        <is>
          <t>Bangula</t>
        </is>
      </c>
      <c r="C231" s="6" t="inlineStr">
        <is>
          <t>Total Sales</t>
        </is>
      </c>
      <c r="D231" s="15">
        <f>IFERROR(SUMIFS(DataEntry!$GX:$GX,DataEntry!$A:$A,"Ngabu",DataEntry!$B:$B,"Bangula",DataEntry!$G:$G,"Q1"),"")</f>
        <v/>
      </c>
      <c r="E231" s="15">
        <f>IFERROR(SUMIFS(DataEntry!$GX:$GX,DataEntry!$A:$A,"Ngabu",DataEntry!$B:$B,"Bangula",DataEntry!$G:$G,"Q2"),"")</f>
        <v/>
      </c>
      <c r="F231" s="15">
        <f>IFERROR(SUMIFS(DataEntry!$GX:$GX,DataEntry!$A:$A,"Ngabu",DataEntry!$B:$B,"Bangula",DataEntry!$G:$G,"Q3"),"")</f>
        <v/>
      </c>
      <c r="G231" s="15">
        <f>IFERROR(SUMIFS(DataEntry!$GX:$GX,DataEntry!$A:$A,"Ngabu",DataEntry!$B:$B,"Bangula",DataEntry!$G:$G,"Q4"),"")</f>
        <v/>
      </c>
      <c r="H231" s="20">
        <f>IFERROR(SUM(D231:G231),"")</f>
        <v/>
      </c>
    </row>
    <row r="232">
      <c r="A232" s="21" t="inlineStr">
        <is>
          <t>Ngabu</t>
        </is>
      </c>
      <c r="B232" s="21" t="inlineStr">
        <is>
          <t>Bangula</t>
        </is>
      </c>
      <c r="C232" s="12" t="inlineStr">
        <is>
          <t>Active Customers</t>
        </is>
      </c>
      <c r="D232" s="9">
        <f>IFERROR(SUMIFS(DataEntry!$CS:$CS,DataEntry!$A:$A,"Ngabu",DataEntry!$B:$B,"Bangula",DataEntry!$G:$G,"Q1"),"")</f>
        <v/>
      </c>
      <c r="E232" s="9">
        <f>IFERROR(SUMIFS(DataEntry!$CS:$CS,DataEntry!$A:$A,"Ngabu",DataEntry!$B:$B,"Bangula",DataEntry!$G:$G,"Q2"),"")</f>
        <v/>
      </c>
      <c r="F232" s="9">
        <f>IFERROR(SUMIFS(DataEntry!$CS:$CS,DataEntry!$A:$A,"Ngabu",DataEntry!$B:$B,"Bangula",DataEntry!$G:$G,"Q3"),"")</f>
        <v/>
      </c>
      <c r="G232" s="9">
        <f>IFERROR(SUMIFS(DataEntry!$CS:$CS,DataEntry!$A:$A,"Ngabu",DataEntry!$B:$B,"Bangula",DataEntry!$G:$G,"Q4"),"")</f>
        <v/>
      </c>
      <c r="H232" s="22">
        <f>IFERROR(SUM(D232:G232),"")</f>
        <v/>
      </c>
    </row>
    <row r="233">
      <c r="A233" s="19" t="inlineStr">
        <is>
          <t>Ngabu</t>
        </is>
      </c>
      <c r="B233" s="19" t="inlineStr">
        <is>
          <t>Bangula</t>
        </is>
      </c>
      <c r="C233" s="6" t="inlineStr">
        <is>
          <t>New Connections</t>
        </is>
      </c>
      <c r="D233" s="15">
        <f>IFERROR(SUMIFS(DataEntry!$CA:$CA,DataEntry!$A:$A,"Ngabu",DataEntry!$B:$B,"Bangula",DataEntry!$G:$G,"Q1"),"")</f>
        <v/>
      </c>
      <c r="E233" s="15">
        <f>IFERROR(SUMIFS(DataEntry!$CA:$CA,DataEntry!$A:$A,"Ngabu",DataEntry!$B:$B,"Bangula",DataEntry!$G:$G,"Q2"),"")</f>
        <v/>
      </c>
      <c r="F233" s="15">
        <f>IFERROR(SUMIFS(DataEntry!$CA:$CA,DataEntry!$A:$A,"Ngabu",DataEntry!$B:$B,"Bangula",DataEntry!$G:$G,"Q3"),"")</f>
        <v/>
      </c>
      <c r="G233" s="15">
        <f>IFERROR(SUMIFS(DataEntry!$CA:$CA,DataEntry!$A:$A,"Ngabu",DataEntry!$B:$B,"Bangula",DataEntry!$G:$G,"Q4"),"")</f>
        <v/>
      </c>
      <c r="H233" s="20">
        <f>IFERROR(SUM(D233:G233),"")</f>
        <v/>
      </c>
    </row>
    <row r="234">
      <c r="A234" s="21" t="inlineStr">
        <is>
          <t>Ngabu</t>
        </is>
      </c>
      <c r="B234" s="21" t="inlineStr">
        <is>
          <t>Bangula</t>
        </is>
      </c>
      <c r="C234" s="12" t="inlineStr">
        <is>
          <t>Stuck Meters C/Fwd</t>
        </is>
      </c>
      <c r="D234" s="9">
        <f>IFERROR(SUMIFS(DataEntry!$DV:$DV,DataEntry!$A:$A,"Ngabu",DataEntry!$B:$B,"Bangula",DataEntry!$G:$G,"Q1"),"")</f>
        <v/>
      </c>
      <c r="E234" s="9">
        <f>IFERROR(SUMIFS(DataEntry!$DV:$DV,DataEntry!$A:$A,"Ngabu",DataEntry!$B:$B,"Bangula",DataEntry!$G:$G,"Q2"),"")</f>
        <v/>
      </c>
      <c r="F234" s="9">
        <f>IFERROR(SUMIFS(DataEntry!$DV:$DV,DataEntry!$A:$A,"Ngabu",DataEntry!$B:$B,"Bangula",DataEntry!$G:$G,"Q3"),"")</f>
        <v/>
      </c>
      <c r="G234" s="9">
        <f>IFERROR(SUMIFS(DataEntry!$DV:$DV,DataEntry!$A:$A,"Ngabu",DataEntry!$B:$B,"Bangula",DataEntry!$G:$G,"Q4"),"")</f>
        <v/>
      </c>
      <c r="H234" s="22">
        <f>IFERROR(SUM(D234:G234),"")</f>
        <v/>
      </c>
    </row>
    <row r="235">
      <c r="A235" s="19" t="inlineStr">
        <is>
          <t>Ngabu</t>
        </is>
      </c>
      <c r="B235" s="19" t="inlineStr">
        <is>
          <t>Bangula</t>
        </is>
      </c>
      <c r="C235" s="6" t="inlineStr">
        <is>
          <t>Cash Collection Rate</t>
        </is>
      </c>
      <c r="D235" s="16">
        <f>IFERROR(AVERAGEIFS(DataEntry!$HC:$HC,DataEntry!$A:$A,"Ngabu",DataEntry!$B:$B,"Bangula",DataEntry!$G:$G,"Q1"),"")</f>
        <v/>
      </c>
      <c r="E235" s="16">
        <f>IFERROR(AVERAGEIFS(DataEntry!$HC:$HC,DataEntry!$A:$A,"Ngabu",DataEntry!$B:$B,"Bangula",DataEntry!$G:$G,"Q2"),"")</f>
        <v/>
      </c>
      <c r="F235" s="16">
        <f>IFERROR(AVERAGEIFS(DataEntry!$HC:$HC,DataEntry!$A:$A,"Ngabu",DataEntry!$B:$B,"Bangula",DataEntry!$G:$G,"Q3"),"")</f>
        <v/>
      </c>
      <c r="G235" s="16">
        <f>IFERROR(AVERAGEIFS(DataEntry!$HC:$HC,DataEntry!$A:$A,"Ngabu",DataEntry!$B:$B,"Bangula",DataEntry!$G:$G,"Q4"),"")</f>
        <v/>
      </c>
      <c r="H235" s="24">
        <f>IFERROR(AVERAGE(D235:G235),"")</f>
        <v/>
      </c>
    </row>
    <row r="236">
      <c r="A236" s="21" t="inlineStr">
        <is>
          <t>Ngabu</t>
        </is>
      </c>
      <c r="B236" s="21" t="inlineStr">
        <is>
          <t>Bangula</t>
        </is>
      </c>
      <c r="C236" s="12" t="inlineStr">
        <is>
          <t>OpCost per Sales</t>
        </is>
      </c>
      <c r="D236" s="10">
        <f>IFERROR(AVERAGEIFS(DataEntry!$HB:$HB,DataEntry!$A:$A,"Ngabu",DataEntry!$B:$B,"Bangula",DataEntry!$G:$G,"Q1"),"")</f>
        <v/>
      </c>
      <c r="E236" s="10">
        <f>IFERROR(AVERAGEIFS(DataEntry!$HB:$HB,DataEntry!$A:$A,"Ngabu",DataEntry!$B:$B,"Bangula",DataEntry!$G:$G,"Q2"),"")</f>
        <v/>
      </c>
      <c r="F236" s="10">
        <f>IFERROR(AVERAGEIFS(DataEntry!$HB:$HB,DataEntry!$A:$A,"Ngabu",DataEntry!$B:$B,"Bangula",DataEntry!$G:$G,"Q3"),"")</f>
        <v/>
      </c>
      <c r="G236" s="10">
        <f>IFERROR(AVERAGEIFS(DataEntry!$HB:$HB,DataEntry!$A:$A,"Ngabu",DataEntry!$B:$B,"Bangula",DataEntry!$G:$G,"Q4"),"")</f>
        <v/>
      </c>
      <c r="H236" s="23">
        <f>IFERROR(AVERAGE(D236:G236),"")</f>
        <v/>
      </c>
    </row>
    <row r="237">
      <c r="A237" s="19" t="inlineStr">
        <is>
          <t>Ngabu</t>
        </is>
      </c>
      <c r="B237" s="19" t="inlineStr">
        <is>
          <t>Chikwawa</t>
        </is>
      </c>
      <c r="C237" s="6" t="inlineStr">
        <is>
          <t>Volume Produced (m³)</t>
        </is>
      </c>
      <c r="D237" s="15">
        <f>IFERROR(SUMIFS(DataEntry!$H:$H,DataEntry!$A:$A,"Ngabu",DataEntry!$B:$B,"Chikwawa",DataEntry!$G:$G,"Q1"),"")</f>
        <v/>
      </c>
      <c r="E237" s="15">
        <f>IFERROR(SUMIFS(DataEntry!$H:$H,DataEntry!$A:$A,"Ngabu",DataEntry!$B:$B,"Chikwawa",DataEntry!$G:$G,"Q2"),"")</f>
        <v/>
      </c>
      <c r="F237" s="15">
        <f>IFERROR(SUMIFS(DataEntry!$H:$H,DataEntry!$A:$A,"Ngabu",DataEntry!$B:$B,"Chikwawa",DataEntry!$G:$G,"Q3"),"")</f>
        <v/>
      </c>
      <c r="G237" s="15">
        <f>IFERROR(SUMIFS(DataEntry!$H:$H,DataEntry!$A:$A,"Ngabu",DataEntry!$B:$B,"Chikwawa",DataEntry!$G:$G,"Q4"),"")</f>
        <v/>
      </c>
      <c r="H237" s="20">
        <f>IFERROR(SUM(D237:G237),"")</f>
        <v/>
      </c>
    </row>
    <row r="238">
      <c r="A238" s="21" t="inlineStr">
        <is>
          <t>Ngabu</t>
        </is>
      </c>
      <c r="B238" s="21" t="inlineStr">
        <is>
          <t>Chikwawa</t>
        </is>
      </c>
      <c r="C238" s="12" t="inlineStr">
        <is>
          <t>Total Revenue Water</t>
        </is>
      </c>
      <c r="D238" s="9">
        <f>IFERROR(SUMIFS(DataEntry!$S:$S,DataEntry!$A:$A,"Ngabu",DataEntry!$B:$B,"Chikwawa",DataEntry!$G:$G,"Q1"),"")</f>
        <v/>
      </c>
      <c r="E238" s="9">
        <f>IFERROR(SUMIFS(DataEntry!$S:$S,DataEntry!$A:$A,"Ngabu",DataEntry!$B:$B,"Chikwawa",DataEntry!$G:$G,"Q2"),"")</f>
        <v/>
      </c>
      <c r="F238" s="9">
        <f>IFERROR(SUMIFS(DataEntry!$S:$S,DataEntry!$A:$A,"Ngabu",DataEntry!$B:$B,"Chikwawa",DataEntry!$G:$G,"Q3"),"")</f>
        <v/>
      </c>
      <c r="G238" s="9">
        <f>IFERROR(SUMIFS(DataEntry!$S:$S,DataEntry!$A:$A,"Ngabu",DataEntry!$B:$B,"Chikwawa",DataEntry!$G:$G,"Q4"),"")</f>
        <v/>
      </c>
      <c r="H238" s="22">
        <f>IFERROR(SUM(D238:G238),"")</f>
        <v/>
      </c>
    </row>
    <row r="239">
      <c r="A239" s="19" t="inlineStr">
        <is>
          <t>Ngabu</t>
        </is>
      </c>
      <c r="B239" s="19" t="inlineStr">
        <is>
          <t>Chikwawa</t>
        </is>
      </c>
      <c r="C239" s="6" t="inlineStr">
        <is>
          <t>Non-Revenue Water</t>
        </is>
      </c>
      <c r="D239" s="15">
        <f>IFERROR(SUMIFS(DataEntry!$T:$T,DataEntry!$A:$A,"Ngabu",DataEntry!$B:$B,"Chikwawa",DataEntry!$G:$G,"Q1"),"")</f>
        <v/>
      </c>
      <c r="E239" s="15">
        <f>IFERROR(SUMIFS(DataEntry!$T:$T,DataEntry!$A:$A,"Ngabu",DataEntry!$B:$B,"Chikwawa",DataEntry!$G:$G,"Q2"),"")</f>
        <v/>
      </c>
      <c r="F239" s="15">
        <f>IFERROR(SUMIFS(DataEntry!$T:$T,DataEntry!$A:$A,"Ngabu",DataEntry!$B:$B,"Chikwawa",DataEntry!$G:$G,"Q3"),"")</f>
        <v/>
      </c>
      <c r="G239" s="15">
        <f>IFERROR(SUMIFS(DataEntry!$T:$T,DataEntry!$A:$A,"Ngabu",DataEntry!$B:$B,"Chikwawa",DataEntry!$G:$G,"Q4"),"")</f>
        <v/>
      </c>
      <c r="H239" s="20">
        <f>IFERROR(SUM(D239:G239),"")</f>
        <v/>
      </c>
    </row>
    <row r="240">
      <c r="A240" s="21" t="inlineStr">
        <is>
          <t>Ngabu</t>
        </is>
      </c>
      <c r="B240" s="21" t="inlineStr">
        <is>
          <t>Chikwawa</t>
        </is>
      </c>
      <c r="C240" s="12" t="inlineStr">
        <is>
          <t>% NRW</t>
        </is>
      </c>
      <c r="D240" s="10">
        <f>IFERROR(AVERAGEIFS(DataEntry!$U:$U,DataEntry!$A:$A,"Ngabu",DataEntry!$B:$B,"Chikwawa",DataEntry!$G:$G,"Q1"),"")</f>
        <v/>
      </c>
      <c r="E240" s="10">
        <f>IFERROR(AVERAGEIFS(DataEntry!$U:$U,DataEntry!$A:$A,"Ngabu",DataEntry!$B:$B,"Chikwawa",DataEntry!$G:$G,"Q2"),"")</f>
        <v/>
      </c>
      <c r="F240" s="10">
        <f>IFERROR(AVERAGEIFS(DataEntry!$U:$U,DataEntry!$A:$A,"Ngabu",DataEntry!$B:$B,"Chikwawa",DataEntry!$G:$G,"Q3"),"")</f>
        <v/>
      </c>
      <c r="G240" s="10">
        <f>IFERROR(AVERAGEIFS(DataEntry!$U:$U,DataEntry!$A:$A,"Ngabu",DataEntry!$B:$B,"Chikwawa",DataEntry!$G:$G,"Q4"),"")</f>
        <v/>
      </c>
      <c r="H240" s="23">
        <f>IFERROR(AVERAGE(D240:G240),"")</f>
        <v/>
      </c>
    </row>
    <row r="241">
      <c r="A241" s="19" t="inlineStr">
        <is>
          <t>Ngabu</t>
        </is>
      </c>
      <c r="B241" s="19" t="inlineStr">
        <is>
          <t>Chikwawa</t>
        </is>
      </c>
      <c r="C241" s="6" t="inlineStr">
        <is>
          <t>Total Operating Costs</t>
        </is>
      </c>
      <c r="D241" s="15">
        <f>IFERROR(SUMIFS(DataEntry!$AU:$AU,DataEntry!$A:$A,"Ngabu",DataEntry!$B:$B,"Chikwawa",DataEntry!$G:$G,"Q1"),"")</f>
        <v/>
      </c>
      <c r="E241" s="15">
        <f>IFERROR(SUMIFS(DataEntry!$AU:$AU,DataEntry!$A:$A,"Ngabu",DataEntry!$B:$B,"Chikwawa",DataEntry!$G:$G,"Q2"),"")</f>
        <v/>
      </c>
      <c r="F241" s="15">
        <f>IFERROR(SUMIFS(DataEntry!$AU:$AU,DataEntry!$A:$A,"Ngabu",DataEntry!$B:$B,"Chikwawa",DataEntry!$G:$G,"Q3"),"")</f>
        <v/>
      </c>
      <c r="G241" s="15">
        <f>IFERROR(SUMIFS(DataEntry!$AU:$AU,DataEntry!$A:$A,"Ngabu",DataEntry!$B:$B,"Chikwawa",DataEntry!$G:$G,"Q4"),"")</f>
        <v/>
      </c>
      <c r="H241" s="20">
        <f>IFERROR(SUM(D241:G241),"")</f>
        <v/>
      </c>
    </row>
    <row r="242">
      <c r="A242" s="21" t="inlineStr">
        <is>
          <t>Ngabu</t>
        </is>
      </c>
      <c r="B242" s="21" t="inlineStr">
        <is>
          <t>Chikwawa</t>
        </is>
      </c>
      <c r="C242" s="12" t="inlineStr">
        <is>
          <t>Total Cash Collected</t>
        </is>
      </c>
      <c r="D242" s="9">
        <f>IFERROR(SUMIFS(DataEntry!$GB:$GB,DataEntry!$A:$A,"Ngabu",DataEntry!$B:$B,"Chikwawa",DataEntry!$G:$G,"Q1"),"")</f>
        <v/>
      </c>
      <c r="E242" s="9">
        <f>IFERROR(SUMIFS(DataEntry!$GB:$GB,DataEntry!$A:$A,"Ngabu",DataEntry!$B:$B,"Chikwawa",DataEntry!$G:$G,"Q2"),"")</f>
        <v/>
      </c>
      <c r="F242" s="9">
        <f>IFERROR(SUMIFS(DataEntry!$GB:$GB,DataEntry!$A:$A,"Ngabu",DataEntry!$B:$B,"Chikwawa",DataEntry!$G:$G,"Q3"),"")</f>
        <v/>
      </c>
      <c r="G242" s="9">
        <f>IFERROR(SUMIFS(DataEntry!$GB:$GB,DataEntry!$A:$A,"Ngabu",DataEntry!$B:$B,"Chikwawa",DataEntry!$G:$G,"Q4"),"")</f>
        <v/>
      </c>
      <c r="H242" s="22">
        <f>IFERROR(SUM(D242:G242),"")</f>
        <v/>
      </c>
    </row>
    <row r="243">
      <c r="A243" s="19" t="inlineStr">
        <is>
          <t>Ngabu</t>
        </is>
      </c>
      <c r="B243" s="19" t="inlineStr">
        <is>
          <t>Chikwawa</t>
        </is>
      </c>
      <c r="C243" s="6" t="inlineStr">
        <is>
          <t>Total Amount Billed</t>
        </is>
      </c>
      <c r="D243" s="15">
        <f>IFERROR(SUMIFS(DataEntry!$GM:$GM,DataEntry!$A:$A,"Ngabu",DataEntry!$B:$B,"Chikwawa",DataEntry!$G:$G,"Q1"),"")</f>
        <v/>
      </c>
      <c r="E243" s="15">
        <f>IFERROR(SUMIFS(DataEntry!$GM:$GM,DataEntry!$A:$A,"Ngabu",DataEntry!$B:$B,"Chikwawa",DataEntry!$G:$G,"Q2"),"")</f>
        <v/>
      </c>
      <c r="F243" s="15">
        <f>IFERROR(SUMIFS(DataEntry!$GM:$GM,DataEntry!$A:$A,"Ngabu",DataEntry!$B:$B,"Chikwawa",DataEntry!$G:$G,"Q3"),"")</f>
        <v/>
      </c>
      <c r="G243" s="15">
        <f>IFERROR(SUMIFS(DataEntry!$GM:$GM,DataEntry!$A:$A,"Ngabu",DataEntry!$B:$B,"Chikwawa",DataEntry!$G:$G,"Q4"),"")</f>
        <v/>
      </c>
      <c r="H243" s="20">
        <f>IFERROR(SUM(D243:G243),"")</f>
        <v/>
      </c>
    </row>
    <row r="244">
      <c r="A244" s="21" t="inlineStr">
        <is>
          <t>Ngabu</t>
        </is>
      </c>
      <c r="B244" s="21" t="inlineStr">
        <is>
          <t>Chikwawa</t>
        </is>
      </c>
      <c r="C244" s="12" t="inlineStr">
        <is>
          <t>Total Sales</t>
        </is>
      </c>
      <c r="D244" s="9">
        <f>IFERROR(SUMIFS(DataEntry!$GX:$GX,DataEntry!$A:$A,"Ngabu",DataEntry!$B:$B,"Chikwawa",DataEntry!$G:$G,"Q1"),"")</f>
        <v/>
      </c>
      <c r="E244" s="9">
        <f>IFERROR(SUMIFS(DataEntry!$GX:$GX,DataEntry!$A:$A,"Ngabu",DataEntry!$B:$B,"Chikwawa",DataEntry!$G:$G,"Q2"),"")</f>
        <v/>
      </c>
      <c r="F244" s="9">
        <f>IFERROR(SUMIFS(DataEntry!$GX:$GX,DataEntry!$A:$A,"Ngabu",DataEntry!$B:$B,"Chikwawa",DataEntry!$G:$G,"Q3"),"")</f>
        <v/>
      </c>
      <c r="G244" s="9">
        <f>IFERROR(SUMIFS(DataEntry!$GX:$GX,DataEntry!$A:$A,"Ngabu",DataEntry!$B:$B,"Chikwawa",DataEntry!$G:$G,"Q4"),"")</f>
        <v/>
      </c>
      <c r="H244" s="22">
        <f>IFERROR(SUM(D244:G244),"")</f>
        <v/>
      </c>
    </row>
    <row r="245">
      <c r="A245" s="19" t="inlineStr">
        <is>
          <t>Ngabu</t>
        </is>
      </c>
      <c r="B245" s="19" t="inlineStr">
        <is>
          <t>Chikwawa</t>
        </is>
      </c>
      <c r="C245" s="6" t="inlineStr">
        <is>
          <t>Active Customers</t>
        </is>
      </c>
      <c r="D245" s="15">
        <f>IFERROR(SUMIFS(DataEntry!$CS:$CS,DataEntry!$A:$A,"Ngabu",DataEntry!$B:$B,"Chikwawa",DataEntry!$G:$G,"Q1"),"")</f>
        <v/>
      </c>
      <c r="E245" s="15">
        <f>IFERROR(SUMIFS(DataEntry!$CS:$CS,DataEntry!$A:$A,"Ngabu",DataEntry!$B:$B,"Chikwawa",DataEntry!$G:$G,"Q2"),"")</f>
        <v/>
      </c>
      <c r="F245" s="15">
        <f>IFERROR(SUMIFS(DataEntry!$CS:$CS,DataEntry!$A:$A,"Ngabu",DataEntry!$B:$B,"Chikwawa",DataEntry!$G:$G,"Q3"),"")</f>
        <v/>
      </c>
      <c r="G245" s="15">
        <f>IFERROR(SUMIFS(DataEntry!$CS:$CS,DataEntry!$A:$A,"Ngabu",DataEntry!$B:$B,"Chikwawa",DataEntry!$G:$G,"Q4"),"")</f>
        <v/>
      </c>
      <c r="H245" s="20">
        <f>IFERROR(SUM(D245:G245),"")</f>
        <v/>
      </c>
    </row>
    <row r="246">
      <c r="A246" s="21" t="inlineStr">
        <is>
          <t>Ngabu</t>
        </is>
      </c>
      <c r="B246" s="21" t="inlineStr">
        <is>
          <t>Chikwawa</t>
        </is>
      </c>
      <c r="C246" s="12" t="inlineStr">
        <is>
          <t>New Connections</t>
        </is>
      </c>
      <c r="D246" s="9">
        <f>IFERROR(SUMIFS(DataEntry!$CA:$CA,DataEntry!$A:$A,"Ngabu",DataEntry!$B:$B,"Chikwawa",DataEntry!$G:$G,"Q1"),"")</f>
        <v/>
      </c>
      <c r="E246" s="9">
        <f>IFERROR(SUMIFS(DataEntry!$CA:$CA,DataEntry!$A:$A,"Ngabu",DataEntry!$B:$B,"Chikwawa",DataEntry!$G:$G,"Q2"),"")</f>
        <v/>
      </c>
      <c r="F246" s="9">
        <f>IFERROR(SUMIFS(DataEntry!$CA:$CA,DataEntry!$A:$A,"Ngabu",DataEntry!$B:$B,"Chikwawa",DataEntry!$G:$G,"Q3"),"")</f>
        <v/>
      </c>
      <c r="G246" s="9">
        <f>IFERROR(SUMIFS(DataEntry!$CA:$CA,DataEntry!$A:$A,"Ngabu",DataEntry!$B:$B,"Chikwawa",DataEntry!$G:$G,"Q4"),"")</f>
        <v/>
      </c>
      <c r="H246" s="22">
        <f>IFERROR(SUM(D246:G246),"")</f>
        <v/>
      </c>
    </row>
    <row r="247">
      <c r="A247" s="19" t="inlineStr">
        <is>
          <t>Ngabu</t>
        </is>
      </c>
      <c r="B247" s="19" t="inlineStr">
        <is>
          <t>Chikwawa</t>
        </is>
      </c>
      <c r="C247" s="6" t="inlineStr">
        <is>
          <t>Stuck Meters C/Fwd</t>
        </is>
      </c>
      <c r="D247" s="15">
        <f>IFERROR(SUMIFS(DataEntry!$DV:$DV,DataEntry!$A:$A,"Ngabu",DataEntry!$B:$B,"Chikwawa",DataEntry!$G:$G,"Q1"),"")</f>
        <v/>
      </c>
      <c r="E247" s="15">
        <f>IFERROR(SUMIFS(DataEntry!$DV:$DV,DataEntry!$A:$A,"Ngabu",DataEntry!$B:$B,"Chikwawa",DataEntry!$G:$G,"Q2"),"")</f>
        <v/>
      </c>
      <c r="F247" s="15">
        <f>IFERROR(SUMIFS(DataEntry!$DV:$DV,DataEntry!$A:$A,"Ngabu",DataEntry!$B:$B,"Chikwawa",DataEntry!$G:$G,"Q3"),"")</f>
        <v/>
      </c>
      <c r="G247" s="15">
        <f>IFERROR(SUMIFS(DataEntry!$DV:$DV,DataEntry!$A:$A,"Ngabu",DataEntry!$B:$B,"Chikwawa",DataEntry!$G:$G,"Q4"),"")</f>
        <v/>
      </c>
      <c r="H247" s="20">
        <f>IFERROR(SUM(D247:G247),"")</f>
        <v/>
      </c>
    </row>
    <row r="248">
      <c r="A248" s="21" t="inlineStr">
        <is>
          <t>Ngabu</t>
        </is>
      </c>
      <c r="B248" s="21" t="inlineStr">
        <is>
          <t>Chikwawa</t>
        </is>
      </c>
      <c r="C248" s="12" t="inlineStr">
        <is>
          <t>Cash Collection Rate</t>
        </is>
      </c>
      <c r="D248" s="10">
        <f>IFERROR(AVERAGEIFS(DataEntry!$HC:$HC,DataEntry!$A:$A,"Ngabu",DataEntry!$B:$B,"Chikwawa",DataEntry!$G:$G,"Q1"),"")</f>
        <v/>
      </c>
      <c r="E248" s="10">
        <f>IFERROR(AVERAGEIFS(DataEntry!$HC:$HC,DataEntry!$A:$A,"Ngabu",DataEntry!$B:$B,"Chikwawa",DataEntry!$G:$G,"Q2"),"")</f>
        <v/>
      </c>
      <c r="F248" s="10">
        <f>IFERROR(AVERAGEIFS(DataEntry!$HC:$HC,DataEntry!$A:$A,"Ngabu",DataEntry!$B:$B,"Chikwawa",DataEntry!$G:$G,"Q3"),"")</f>
        <v/>
      </c>
      <c r="G248" s="10">
        <f>IFERROR(AVERAGEIFS(DataEntry!$HC:$HC,DataEntry!$A:$A,"Ngabu",DataEntry!$B:$B,"Chikwawa",DataEntry!$G:$G,"Q4"),"")</f>
        <v/>
      </c>
      <c r="H248" s="23">
        <f>IFERROR(AVERAGE(D248:G248),"")</f>
        <v/>
      </c>
    </row>
    <row r="249">
      <c r="A249" s="19" t="inlineStr">
        <is>
          <t>Ngabu</t>
        </is>
      </c>
      <c r="B249" s="19" t="inlineStr">
        <is>
          <t>Chikwawa</t>
        </is>
      </c>
      <c r="C249" s="6" t="inlineStr">
        <is>
          <t>OpCost per Sales</t>
        </is>
      </c>
      <c r="D249" s="16">
        <f>IFERROR(AVERAGEIFS(DataEntry!$HB:$HB,DataEntry!$A:$A,"Ngabu",DataEntry!$B:$B,"Chikwawa",DataEntry!$G:$G,"Q1"),"")</f>
        <v/>
      </c>
      <c r="E249" s="16">
        <f>IFERROR(AVERAGEIFS(DataEntry!$HB:$HB,DataEntry!$A:$A,"Ngabu",DataEntry!$B:$B,"Chikwawa",DataEntry!$G:$G,"Q2"),"")</f>
        <v/>
      </c>
      <c r="F249" s="16">
        <f>IFERROR(AVERAGEIFS(DataEntry!$HB:$HB,DataEntry!$A:$A,"Ngabu",DataEntry!$B:$B,"Chikwawa",DataEntry!$G:$G,"Q3"),"")</f>
        <v/>
      </c>
      <c r="G249" s="16">
        <f>IFERROR(AVERAGEIFS(DataEntry!$HB:$HB,DataEntry!$A:$A,"Ngabu",DataEntry!$B:$B,"Chikwawa",DataEntry!$G:$G,"Q4"),"")</f>
        <v/>
      </c>
      <c r="H249" s="24">
        <f>IFERROR(AVERAGE(D249:G249),"")</f>
        <v/>
      </c>
    </row>
    <row r="250">
      <c r="A250" s="21" t="inlineStr">
        <is>
          <t>Ngabu</t>
        </is>
      </c>
      <c r="B250" s="21" t="inlineStr">
        <is>
          <t>Miseu Folo</t>
        </is>
      </c>
      <c r="C250" s="12" t="inlineStr">
        <is>
          <t>Volume Produced (m³)</t>
        </is>
      </c>
      <c r="D250" s="9">
        <f>IFERROR(SUMIFS(DataEntry!$H:$H,DataEntry!$A:$A,"Ngabu",DataEntry!$B:$B,"Miseu Folo",DataEntry!$G:$G,"Q1"),"")</f>
        <v/>
      </c>
      <c r="E250" s="9">
        <f>IFERROR(SUMIFS(DataEntry!$H:$H,DataEntry!$A:$A,"Ngabu",DataEntry!$B:$B,"Miseu Folo",DataEntry!$G:$G,"Q2"),"")</f>
        <v/>
      </c>
      <c r="F250" s="9">
        <f>IFERROR(SUMIFS(DataEntry!$H:$H,DataEntry!$A:$A,"Ngabu",DataEntry!$B:$B,"Miseu Folo",DataEntry!$G:$G,"Q3"),"")</f>
        <v/>
      </c>
      <c r="G250" s="9">
        <f>IFERROR(SUMIFS(DataEntry!$H:$H,DataEntry!$A:$A,"Ngabu",DataEntry!$B:$B,"Miseu Folo",DataEntry!$G:$G,"Q4"),"")</f>
        <v/>
      </c>
      <c r="H250" s="22">
        <f>IFERROR(SUM(D250:G250),"")</f>
        <v/>
      </c>
    </row>
    <row r="251">
      <c r="A251" s="19" t="inlineStr">
        <is>
          <t>Ngabu</t>
        </is>
      </c>
      <c r="B251" s="19" t="inlineStr">
        <is>
          <t>Miseu Folo</t>
        </is>
      </c>
      <c r="C251" s="6" t="inlineStr">
        <is>
          <t>Total Revenue Water</t>
        </is>
      </c>
      <c r="D251" s="15">
        <f>IFERROR(SUMIFS(DataEntry!$S:$S,DataEntry!$A:$A,"Ngabu",DataEntry!$B:$B,"Miseu Folo",DataEntry!$G:$G,"Q1"),"")</f>
        <v/>
      </c>
      <c r="E251" s="15">
        <f>IFERROR(SUMIFS(DataEntry!$S:$S,DataEntry!$A:$A,"Ngabu",DataEntry!$B:$B,"Miseu Folo",DataEntry!$G:$G,"Q2"),"")</f>
        <v/>
      </c>
      <c r="F251" s="15">
        <f>IFERROR(SUMIFS(DataEntry!$S:$S,DataEntry!$A:$A,"Ngabu",DataEntry!$B:$B,"Miseu Folo",DataEntry!$G:$G,"Q3"),"")</f>
        <v/>
      </c>
      <c r="G251" s="15">
        <f>IFERROR(SUMIFS(DataEntry!$S:$S,DataEntry!$A:$A,"Ngabu",DataEntry!$B:$B,"Miseu Folo",DataEntry!$G:$G,"Q4"),"")</f>
        <v/>
      </c>
      <c r="H251" s="20">
        <f>IFERROR(SUM(D251:G251),"")</f>
        <v/>
      </c>
    </row>
    <row r="252">
      <c r="A252" s="21" t="inlineStr">
        <is>
          <t>Ngabu</t>
        </is>
      </c>
      <c r="B252" s="21" t="inlineStr">
        <is>
          <t>Miseu Folo</t>
        </is>
      </c>
      <c r="C252" s="12" t="inlineStr">
        <is>
          <t>Non-Revenue Water</t>
        </is>
      </c>
      <c r="D252" s="9">
        <f>IFERROR(SUMIFS(DataEntry!$T:$T,DataEntry!$A:$A,"Ngabu",DataEntry!$B:$B,"Miseu Folo",DataEntry!$G:$G,"Q1"),"")</f>
        <v/>
      </c>
      <c r="E252" s="9">
        <f>IFERROR(SUMIFS(DataEntry!$T:$T,DataEntry!$A:$A,"Ngabu",DataEntry!$B:$B,"Miseu Folo",DataEntry!$G:$G,"Q2"),"")</f>
        <v/>
      </c>
      <c r="F252" s="9">
        <f>IFERROR(SUMIFS(DataEntry!$T:$T,DataEntry!$A:$A,"Ngabu",DataEntry!$B:$B,"Miseu Folo",DataEntry!$G:$G,"Q3"),"")</f>
        <v/>
      </c>
      <c r="G252" s="9">
        <f>IFERROR(SUMIFS(DataEntry!$T:$T,DataEntry!$A:$A,"Ngabu",DataEntry!$B:$B,"Miseu Folo",DataEntry!$G:$G,"Q4"),"")</f>
        <v/>
      </c>
      <c r="H252" s="22">
        <f>IFERROR(SUM(D252:G252),"")</f>
        <v/>
      </c>
    </row>
    <row r="253">
      <c r="A253" s="19" t="inlineStr">
        <is>
          <t>Ngabu</t>
        </is>
      </c>
      <c r="B253" s="19" t="inlineStr">
        <is>
          <t>Miseu Folo</t>
        </is>
      </c>
      <c r="C253" s="6" t="inlineStr">
        <is>
          <t>% NRW</t>
        </is>
      </c>
      <c r="D253" s="16">
        <f>IFERROR(AVERAGEIFS(DataEntry!$U:$U,DataEntry!$A:$A,"Ngabu",DataEntry!$B:$B,"Miseu Folo",DataEntry!$G:$G,"Q1"),"")</f>
        <v/>
      </c>
      <c r="E253" s="16">
        <f>IFERROR(AVERAGEIFS(DataEntry!$U:$U,DataEntry!$A:$A,"Ngabu",DataEntry!$B:$B,"Miseu Folo",DataEntry!$G:$G,"Q2"),"")</f>
        <v/>
      </c>
      <c r="F253" s="16">
        <f>IFERROR(AVERAGEIFS(DataEntry!$U:$U,DataEntry!$A:$A,"Ngabu",DataEntry!$B:$B,"Miseu Folo",DataEntry!$G:$G,"Q3"),"")</f>
        <v/>
      </c>
      <c r="G253" s="16">
        <f>IFERROR(AVERAGEIFS(DataEntry!$U:$U,DataEntry!$A:$A,"Ngabu",DataEntry!$B:$B,"Miseu Folo",DataEntry!$G:$G,"Q4"),"")</f>
        <v/>
      </c>
      <c r="H253" s="24">
        <f>IFERROR(AVERAGE(D253:G253),"")</f>
        <v/>
      </c>
    </row>
    <row r="254">
      <c r="A254" s="21" t="inlineStr">
        <is>
          <t>Ngabu</t>
        </is>
      </c>
      <c r="B254" s="21" t="inlineStr">
        <is>
          <t>Miseu Folo</t>
        </is>
      </c>
      <c r="C254" s="12" t="inlineStr">
        <is>
          <t>Total Operating Costs</t>
        </is>
      </c>
      <c r="D254" s="9">
        <f>IFERROR(SUMIFS(DataEntry!$AU:$AU,DataEntry!$A:$A,"Ngabu",DataEntry!$B:$B,"Miseu Folo",DataEntry!$G:$G,"Q1"),"")</f>
        <v/>
      </c>
      <c r="E254" s="9">
        <f>IFERROR(SUMIFS(DataEntry!$AU:$AU,DataEntry!$A:$A,"Ngabu",DataEntry!$B:$B,"Miseu Folo",DataEntry!$G:$G,"Q2"),"")</f>
        <v/>
      </c>
      <c r="F254" s="9">
        <f>IFERROR(SUMIFS(DataEntry!$AU:$AU,DataEntry!$A:$A,"Ngabu",DataEntry!$B:$B,"Miseu Folo",DataEntry!$G:$G,"Q3"),"")</f>
        <v/>
      </c>
      <c r="G254" s="9">
        <f>IFERROR(SUMIFS(DataEntry!$AU:$AU,DataEntry!$A:$A,"Ngabu",DataEntry!$B:$B,"Miseu Folo",DataEntry!$G:$G,"Q4"),"")</f>
        <v/>
      </c>
      <c r="H254" s="22">
        <f>IFERROR(SUM(D254:G254),"")</f>
        <v/>
      </c>
    </row>
    <row r="255">
      <c r="A255" s="19" t="inlineStr">
        <is>
          <t>Ngabu</t>
        </is>
      </c>
      <c r="B255" s="19" t="inlineStr">
        <is>
          <t>Miseu Folo</t>
        </is>
      </c>
      <c r="C255" s="6" t="inlineStr">
        <is>
          <t>Total Cash Collected</t>
        </is>
      </c>
      <c r="D255" s="15">
        <f>IFERROR(SUMIFS(DataEntry!$GB:$GB,DataEntry!$A:$A,"Ngabu",DataEntry!$B:$B,"Miseu Folo",DataEntry!$G:$G,"Q1"),"")</f>
        <v/>
      </c>
      <c r="E255" s="15">
        <f>IFERROR(SUMIFS(DataEntry!$GB:$GB,DataEntry!$A:$A,"Ngabu",DataEntry!$B:$B,"Miseu Folo",DataEntry!$G:$G,"Q2"),"")</f>
        <v/>
      </c>
      <c r="F255" s="15">
        <f>IFERROR(SUMIFS(DataEntry!$GB:$GB,DataEntry!$A:$A,"Ngabu",DataEntry!$B:$B,"Miseu Folo",DataEntry!$G:$G,"Q3"),"")</f>
        <v/>
      </c>
      <c r="G255" s="15">
        <f>IFERROR(SUMIFS(DataEntry!$GB:$GB,DataEntry!$A:$A,"Ngabu",DataEntry!$B:$B,"Miseu Folo",DataEntry!$G:$G,"Q4"),"")</f>
        <v/>
      </c>
      <c r="H255" s="20">
        <f>IFERROR(SUM(D255:G255),"")</f>
        <v/>
      </c>
    </row>
    <row r="256">
      <c r="A256" s="21" t="inlineStr">
        <is>
          <t>Ngabu</t>
        </is>
      </c>
      <c r="B256" s="21" t="inlineStr">
        <is>
          <t>Miseu Folo</t>
        </is>
      </c>
      <c r="C256" s="12" t="inlineStr">
        <is>
          <t>Total Amount Billed</t>
        </is>
      </c>
      <c r="D256" s="9">
        <f>IFERROR(SUMIFS(DataEntry!$GM:$GM,DataEntry!$A:$A,"Ngabu",DataEntry!$B:$B,"Miseu Folo",DataEntry!$G:$G,"Q1"),"")</f>
        <v/>
      </c>
      <c r="E256" s="9">
        <f>IFERROR(SUMIFS(DataEntry!$GM:$GM,DataEntry!$A:$A,"Ngabu",DataEntry!$B:$B,"Miseu Folo",DataEntry!$G:$G,"Q2"),"")</f>
        <v/>
      </c>
      <c r="F256" s="9">
        <f>IFERROR(SUMIFS(DataEntry!$GM:$GM,DataEntry!$A:$A,"Ngabu",DataEntry!$B:$B,"Miseu Folo",DataEntry!$G:$G,"Q3"),"")</f>
        <v/>
      </c>
      <c r="G256" s="9">
        <f>IFERROR(SUMIFS(DataEntry!$GM:$GM,DataEntry!$A:$A,"Ngabu",DataEntry!$B:$B,"Miseu Folo",DataEntry!$G:$G,"Q4"),"")</f>
        <v/>
      </c>
      <c r="H256" s="22">
        <f>IFERROR(SUM(D256:G256),"")</f>
        <v/>
      </c>
    </row>
    <row r="257">
      <c r="A257" s="19" t="inlineStr">
        <is>
          <t>Ngabu</t>
        </is>
      </c>
      <c r="B257" s="19" t="inlineStr">
        <is>
          <t>Miseu Folo</t>
        </is>
      </c>
      <c r="C257" s="6" t="inlineStr">
        <is>
          <t>Total Sales</t>
        </is>
      </c>
      <c r="D257" s="15">
        <f>IFERROR(SUMIFS(DataEntry!$GX:$GX,DataEntry!$A:$A,"Ngabu",DataEntry!$B:$B,"Miseu Folo",DataEntry!$G:$G,"Q1"),"")</f>
        <v/>
      </c>
      <c r="E257" s="15">
        <f>IFERROR(SUMIFS(DataEntry!$GX:$GX,DataEntry!$A:$A,"Ngabu",DataEntry!$B:$B,"Miseu Folo",DataEntry!$G:$G,"Q2"),"")</f>
        <v/>
      </c>
      <c r="F257" s="15">
        <f>IFERROR(SUMIFS(DataEntry!$GX:$GX,DataEntry!$A:$A,"Ngabu",DataEntry!$B:$B,"Miseu Folo",DataEntry!$G:$G,"Q3"),"")</f>
        <v/>
      </c>
      <c r="G257" s="15">
        <f>IFERROR(SUMIFS(DataEntry!$GX:$GX,DataEntry!$A:$A,"Ngabu",DataEntry!$B:$B,"Miseu Folo",DataEntry!$G:$G,"Q4"),"")</f>
        <v/>
      </c>
      <c r="H257" s="20">
        <f>IFERROR(SUM(D257:G257),"")</f>
        <v/>
      </c>
    </row>
    <row r="258">
      <c r="A258" s="21" t="inlineStr">
        <is>
          <t>Ngabu</t>
        </is>
      </c>
      <c r="B258" s="21" t="inlineStr">
        <is>
          <t>Miseu Folo</t>
        </is>
      </c>
      <c r="C258" s="12" t="inlineStr">
        <is>
          <t>Active Customers</t>
        </is>
      </c>
      <c r="D258" s="9">
        <f>IFERROR(SUMIFS(DataEntry!$CS:$CS,DataEntry!$A:$A,"Ngabu",DataEntry!$B:$B,"Miseu Folo",DataEntry!$G:$G,"Q1"),"")</f>
        <v/>
      </c>
      <c r="E258" s="9">
        <f>IFERROR(SUMIFS(DataEntry!$CS:$CS,DataEntry!$A:$A,"Ngabu",DataEntry!$B:$B,"Miseu Folo",DataEntry!$G:$G,"Q2"),"")</f>
        <v/>
      </c>
      <c r="F258" s="9">
        <f>IFERROR(SUMIFS(DataEntry!$CS:$CS,DataEntry!$A:$A,"Ngabu",DataEntry!$B:$B,"Miseu Folo",DataEntry!$G:$G,"Q3"),"")</f>
        <v/>
      </c>
      <c r="G258" s="9">
        <f>IFERROR(SUMIFS(DataEntry!$CS:$CS,DataEntry!$A:$A,"Ngabu",DataEntry!$B:$B,"Miseu Folo",DataEntry!$G:$G,"Q4"),"")</f>
        <v/>
      </c>
      <c r="H258" s="22">
        <f>IFERROR(SUM(D258:G258),"")</f>
        <v/>
      </c>
    </row>
    <row r="259">
      <c r="A259" s="19" t="inlineStr">
        <is>
          <t>Ngabu</t>
        </is>
      </c>
      <c r="B259" s="19" t="inlineStr">
        <is>
          <t>Miseu Folo</t>
        </is>
      </c>
      <c r="C259" s="6" t="inlineStr">
        <is>
          <t>New Connections</t>
        </is>
      </c>
      <c r="D259" s="15">
        <f>IFERROR(SUMIFS(DataEntry!$CA:$CA,DataEntry!$A:$A,"Ngabu",DataEntry!$B:$B,"Miseu Folo",DataEntry!$G:$G,"Q1"),"")</f>
        <v/>
      </c>
      <c r="E259" s="15">
        <f>IFERROR(SUMIFS(DataEntry!$CA:$CA,DataEntry!$A:$A,"Ngabu",DataEntry!$B:$B,"Miseu Folo",DataEntry!$G:$G,"Q2"),"")</f>
        <v/>
      </c>
      <c r="F259" s="15">
        <f>IFERROR(SUMIFS(DataEntry!$CA:$CA,DataEntry!$A:$A,"Ngabu",DataEntry!$B:$B,"Miseu Folo",DataEntry!$G:$G,"Q3"),"")</f>
        <v/>
      </c>
      <c r="G259" s="15">
        <f>IFERROR(SUMIFS(DataEntry!$CA:$CA,DataEntry!$A:$A,"Ngabu",DataEntry!$B:$B,"Miseu Folo",DataEntry!$G:$G,"Q4"),"")</f>
        <v/>
      </c>
      <c r="H259" s="20">
        <f>IFERROR(SUM(D259:G259),"")</f>
        <v/>
      </c>
    </row>
    <row r="260">
      <c r="A260" s="21" t="inlineStr">
        <is>
          <t>Ngabu</t>
        </is>
      </c>
      <c r="B260" s="21" t="inlineStr">
        <is>
          <t>Miseu Folo</t>
        </is>
      </c>
      <c r="C260" s="12" t="inlineStr">
        <is>
          <t>Stuck Meters C/Fwd</t>
        </is>
      </c>
      <c r="D260" s="9">
        <f>IFERROR(SUMIFS(DataEntry!$DV:$DV,DataEntry!$A:$A,"Ngabu",DataEntry!$B:$B,"Miseu Folo",DataEntry!$G:$G,"Q1"),"")</f>
        <v/>
      </c>
      <c r="E260" s="9">
        <f>IFERROR(SUMIFS(DataEntry!$DV:$DV,DataEntry!$A:$A,"Ngabu",DataEntry!$B:$B,"Miseu Folo",DataEntry!$G:$G,"Q2"),"")</f>
        <v/>
      </c>
      <c r="F260" s="9">
        <f>IFERROR(SUMIFS(DataEntry!$DV:$DV,DataEntry!$A:$A,"Ngabu",DataEntry!$B:$B,"Miseu Folo",DataEntry!$G:$G,"Q3"),"")</f>
        <v/>
      </c>
      <c r="G260" s="9">
        <f>IFERROR(SUMIFS(DataEntry!$DV:$DV,DataEntry!$A:$A,"Ngabu",DataEntry!$B:$B,"Miseu Folo",DataEntry!$G:$G,"Q4"),"")</f>
        <v/>
      </c>
      <c r="H260" s="22">
        <f>IFERROR(SUM(D260:G260),"")</f>
        <v/>
      </c>
    </row>
    <row r="261">
      <c r="A261" s="19" t="inlineStr">
        <is>
          <t>Ngabu</t>
        </is>
      </c>
      <c r="B261" s="19" t="inlineStr">
        <is>
          <t>Miseu Folo</t>
        </is>
      </c>
      <c r="C261" s="6" t="inlineStr">
        <is>
          <t>Cash Collection Rate</t>
        </is>
      </c>
      <c r="D261" s="16">
        <f>IFERROR(AVERAGEIFS(DataEntry!$HC:$HC,DataEntry!$A:$A,"Ngabu",DataEntry!$B:$B,"Miseu Folo",DataEntry!$G:$G,"Q1"),"")</f>
        <v/>
      </c>
      <c r="E261" s="16">
        <f>IFERROR(AVERAGEIFS(DataEntry!$HC:$HC,DataEntry!$A:$A,"Ngabu",DataEntry!$B:$B,"Miseu Folo",DataEntry!$G:$G,"Q2"),"")</f>
        <v/>
      </c>
      <c r="F261" s="16">
        <f>IFERROR(AVERAGEIFS(DataEntry!$HC:$HC,DataEntry!$A:$A,"Ngabu",DataEntry!$B:$B,"Miseu Folo",DataEntry!$G:$G,"Q3"),"")</f>
        <v/>
      </c>
      <c r="G261" s="16">
        <f>IFERROR(AVERAGEIFS(DataEntry!$HC:$HC,DataEntry!$A:$A,"Ngabu",DataEntry!$B:$B,"Miseu Folo",DataEntry!$G:$G,"Q4"),"")</f>
        <v/>
      </c>
      <c r="H261" s="24">
        <f>IFERROR(AVERAGE(D261:G261),"")</f>
        <v/>
      </c>
    </row>
    <row r="262">
      <c r="A262" s="21" t="inlineStr">
        <is>
          <t>Ngabu</t>
        </is>
      </c>
      <c r="B262" s="21" t="inlineStr">
        <is>
          <t>Miseu Folo</t>
        </is>
      </c>
      <c r="C262" s="12" t="inlineStr">
        <is>
          <t>OpCost per Sales</t>
        </is>
      </c>
      <c r="D262" s="10">
        <f>IFERROR(AVERAGEIFS(DataEntry!$HB:$HB,DataEntry!$A:$A,"Ngabu",DataEntry!$B:$B,"Miseu Folo",DataEntry!$G:$G,"Q1"),"")</f>
        <v/>
      </c>
      <c r="E262" s="10">
        <f>IFERROR(AVERAGEIFS(DataEntry!$HB:$HB,DataEntry!$A:$A,"Ngabu",DataEntry!$B:$B,"Miseu Folo",DataEntry!$G:$G,"Q2"),"")</f>
        <v/>
      </c>
      <c r="F262" s="10">
        <f>IFERROR(AVERAGEIFS(DataEntry!$HB:$HB,DataEntry!$A:$A,"Ngabu",DataEntry!$B:$B,"Miseu Folo",DataEntry!$G:$G,"Q3"),"")</f>
        <v/>
      </c>
      <c r="G262" s="10">
        <f>IFERROR(AVERAGEIFS(DataEntry!$HB:$HB,DataEntry!$A:$A,"Ngabu",DataEntry!$B:$B,"Miseu Folo",DataEntry!$G:$G,"Q4"),"")</f>
        <v/>
      </c>
      <c r="H262" s="23">
        <f>IFERROR(AVERAGE(D262:G262),"")</f>
        <v/>
      </c>
    </row>
    <row r="263">
      <c r="A263" s="19" t="inlineStr">
        <is>
          <t>Ngabu</t>
        </is>
      </c>
      <c r="B263" s="19" t="inlineStr">
        <is>
          <t>Nchalo</t>
        </is>
      </c>
      <c r="C263" s="6" t="inlineStr">
        <is>
          <t>Volume Produced (m³)</t>
        </is>
      </c>
      <c r="D263" s="15">
        <f>IFERROR(SUMIFS(DataEntry!$H:$H,DataEntry!$A:$A,"Ngabu",DataEntry!$B:$B,"Nchalo",DataEntry!$G:$G,"Q1"),"")</f>
        <v/>
      </c>
      <c r="E263" s="15">
        <f>IFERROR(SUMIFS(DataEntry!$H:$H,DataEntry!$A:$A,"Ngabu",DataEntry!$B:$B,"Nchalo",DataEntry!$G:$G,"Q2"),"")</f>
        <v/>
      </c>
      <c r="F263" s="15">
        <f>IFERROR(SUMIFS(DataEntry!$H:$H,DataEntry!$A:$A,"Ngabu",DataEntry!$B:$B,"Nchalo",DataEntry!$G:$G,"Q3"),"")</f>
        <v/>
      </c>
      <c r="G263" s="15">
        <f>IFERROR(SUMIFS(DataEntry!$H:$H,DataEntry!$A:$A,"Ngabu",DataEntry!$B:$B,"Nchalo",DataEntry!$G:$G,"Q4"),"")</f>
        <v/>
      </c>
      <c r="H263" s="20">
        <f>IFERROR(SUM(D263:G263),"")</f>
        <v/>
      </c>
    </row>
    <row r="264">
      <c r="A264" s="21" t="inlineStr">
        <is>
          <t>Ngabu</t>
        </is>
      </c>
      <c r="B264" s="21" t="inlineStr">
        <is>
          <t>Nchalo</t>
        </is>
      </c>
      <c r="C264" s="12" t="inlineStr">
        <is>
          <t>Total Revenue Water</t>
        </is>
      </c>
      <c r="D264" s="9">
        <f>IFERROR(SUMIFS(DataEntry!$S:$S,DataEntry!$A:$A,"Ngabu",DataEntry!$B:$B,"Nchalo",DataEntry!$G:$G,"Q1"),"")</f>
        <v/>
      </c>
      <c r="E264" s="9">
        <f>IFERROR(SUMIFS(DataEntry!$S:$S,DataEntry!$A:$A,"Ngabu",DataEntry!$B:$B,"Nchalo",DataEntry!$G:$G,"Q2"),"")</f>
        <v/>
      </c>
      <c r="F264" s="9">
        <f>IFERROR(SUMIFS(DataEntry!$S:$S,DataEntry!$A:$A,"Ngabu",DataEntry!$B:$B,"Nchalo",DataEntry!$G:$G,"Q3"),"")</f>
        <v/>
      </c>
      <c r="G264" s="9">
        <f>IFERROR(SUMIFS(DataEntry!$S:$S,DataEntry!$A:$A,"Ngabu",DataEntry!$B:$B,"Nchalo",DataEntry!$G:$G,"Q4"),"")</f>
        <v/>
      </c>
      <c r="H264" s="22">
        <f>IFERROR(SUM(D264:G264),"")</f>
        <v/>
      </c>
    </row>
    <row r="265">
      <c r="A265" s="19" t="inlineStr">
        <is>
          <t>Ngabu</t>
        </is>
      </c>
      <c r="B265" s="19" t="inlineStr">
        <is>
          <t>Nchalo</t>
        </is>
      </c>
      <c r="C265" s="6" t="inlineStr">
        <is>
          <t>Non-Revenue Water</t>
        </is>
      </c>
      <c r="D265" s="15">
        <f>IFERROR(SUMIFS(DataEntry!$T:$T,DataEntry!$A:$A,"Ngabu",DataEntry!$B:$B,"Nchalo",DataEntry!$G:$G,"Q1"),"")</f>
        <v/>
      </c>
      <c r="E265" s="15">
        <f>IFERROR(SUMIFS(DataEntry!$T:$T,DataEntry!$A:$A,"Ngabu",DataEntry!$B:$B,"Nchalo",DataEntry!$G:$G,"Q2"),"")</f>
        <v/>
      </c>
      <c r="F265" s="15">
        <f>IFERROR(SUMIFS(DataEntry!$T:$T,DataEntry!$A:$A,"Ngabu",DataEntry!$B:$B,"Nchalo",DataEntry!$G:$G,"Q3"),"")</f>
        <v/>
      </c>
      <c r="G265" s="15">
        <f>IFERROR(SUMIFS(DataEntry!$T:$T,DataEntry!$A:$A,"Ngabu",DataEntry!$B:$B,"Nchalo",DataEntry!$G:$G,"Q4"),"")</f>
        <v/>
      </c>
      <c r="H265" s="20">
        <f>IFERROR(SUM(D265:G265),"")</f>
        <v/>
      </c>
    </row>
    <row r="266">
      <c r="A266" s="21" t="inlineStr">
        <is>
          <t>Ngabu</t>
        </is>
      </c>
      <c r="B266" s="21" t="inlineStr">
        <is>
          <t>Nchalo</t>
        </is>
      </c>
      <c r="C266" s="12" t="inlineStr">
        <is>
          <t>% NRW</t>
        </is>
      </c>
      <c r="D266" s="10">
        <f>IFERROR(AVERAGEIFS(DataEntry!$U:$U,DataEntry!$A:$A,"Ngabu",DataEntry!$B:$B,"Nchalo",DataEntry!$G:$G,"Q1"),"")</f>
        <v/>
      </c>
      <c r="E266" s="10">
        <f>IFERROR(AVERAGEIFS(DataEntry!$U:$U,DataEntry!$A:$A,"Ngabu",DataEntry!$B:$B,"Nchalo",DataEntry!$G:$G,"Q2"),"")</f>
        <v/>
      </c>
      <c r="F266" s="10">
        <f>IFERROR(AVERAGEIFS(DataEntry!$U:$U,DataEntry!$A:$A,"Ngabu",DataEntry!$B:$B,"Nchalo",DataEntry!$G:$G,"Q3"),"")</f>
        <v/>
      </c>
      <c r="G266" s="10">
        <f>IFERROR(AVERAGEIFS(DataEntry!$U:$U,DataEntry!$A:$A,"Ngabu",DataEntry!$B:$B,"Nchalo",DataEntry!$G:$G,"Q4"),"")</f>
        <v/>
      </c>
      <c r="H266" s="23">
        <f>IFERROR(AVERAGE(D266:G266),"")</f>
        <v/>
      </c>
    </row>
    <row r="267">
      <c r="A267" s="19" t="inlineStr">
        <is>
          <t>Ngabu</t>
        </is>
      </c>
      <c r="B267" s="19" t="inlineStr">
        <is>
          <t>Nchalo</t>
        </is>
      </c>
      <c r="C267" s="6" t="inlineStr">
        <is>
          <t>Total Operating Costs</t>
        </is>
      </c>
      <c r="D267" s="15">
        <f>IFERROR(SUMIFS(DataEntry!$AU:$AU,DataEntry!$A:$A,"Ngabu",DataEntry!$B:$B,"Nchalo",DataEntry!$G:$G,"Q1"),"")</f>
        <v/>
      </c>
      <c r="E267" s="15">
        <f>IFERROR(SUMIFS(DataEntry!$AU:$AU,DataEntry!$A:$A,"Ngabu",DataEntry!$B:$B,"Nchalo",DataEntry!$G:$G,"Q2"),"")</f>
        <v/>
      </c>
      <c r="F267" s="15">
        <f>IFERROR(SUMIFS(DataEntry!$AU:$AU,DataEntry!$A:$A,"Ngabu",DataEntry!$B:$B,"Nchalo",DataEntry!$G:$G,"Q3"),"")</f>
        <v/>
      </c>
      <c r="G267" s="15">
        <f>IFERROR(SUMIFS(DataEntry!$AU:$AU,DataEntry!$A:$A,"Ngabu",DataEntry!$B:$B,"Nchalo",DataEntry!$G:$G,"Q4"),"")</f>
        <v/>
      </c>
      <c r="H267" s="20">
        <f>IFERROR(SUM(D267:G267),"")</f>
        <v/>
      </c>
    </row>
    <row r="268">
      <c r="A268" s="21" t="inlineStr">
        <is>
          <t>Ngabu</t>
        </is>
      </c>
      <c r="B268" s="21" t="inlineStr">
        <is>
          <t>Nchalo</t>
        </is>
      </c>
      <c r="C268" s="12" t="inlineStr">
        <is>
          <t>Total Cash Collected</t>
        </is>
      </c>
      <c r="D268" s="9">
        <f>IFERROR(SUMIFS(DataEntry!$GB:$GB,DataEntry!$A:$A,"Ngabu",DataEntry!$B:$B,"Nchalo",DataEntry!$G:$G,"Q1"),"")</f>
        <v/>
      </c>
      <c r="E268" s="9">
        <f>IFERROR(SUMIFS(DataEntry!$GB:$GB,DataEntry!$A:$A,"Ngabu",DataEntry!$B:$B,"Nchalo",DataEntry!$G:$G,"Q2"),"")</f>
        <v/>
      </c>
      <c r="F268" s="9">
        <f>IFERROR(SUMIFS(DataEntry!$GB:$GB,DataEntry!$A:$A,"Ngabu",DataEntry!$B:$B,"Nchalo",DataEntry!$G:$G,"Q3"),"")</f>
        <v/>
      </c>
      <c r="G268" s="9">
        <f>IFERROR(SUMIFS(DataEntry!$GB:$GB,DataEntry!$A:$A,"Ngabu",DataEntry!$B:$B,"Nchalo",DataEntry!$G:$G,"Q4"),"")</f>
        <v/>
      </c>
      <c r="H268" s="22">
        <f>IFERROR(SUM(D268:G268),"")</f>
        <v/>
      </c>
    </row>
    <row r="269">
      <c r="A269" s="19" t="inlineStr">
        <is>
          <t>Ngabu</t>
        </is>
      </c>
      <c r="B269" s="19" t="inlineStr">
        <is>
          <t>Nchalo</t>
        </is>
      </c>
      <c r="C269" s="6" t="inlineStr">
        <is>
          <t>Total Amount Billed</t>
        </is>
      </c>
      <c r="D269" s="15">
        <f>IFERROR(SUMIFS(DataEntry!$GM:$GM,DataEntry!$A:$A,"Ngabu",DataEntry!$B:$B,"Nchalo",DataEntry!$G:$G,"Q1"),"")</f>
        <v/>
      </c>
      <c r="E269" s="15">
        <f>IFERROR(SUMIFS(DataEntry!$GM:$GM,DataEntry!$A:$A,"Ngabu",DataEntry!$B:$B,"Nchalo",DataEntry!$G:$G,"Q2"),"")</f>
        <v/>
      </c>
      <c r="F269" s="15">
        <f>IFERROR(SUMIFS(DataEntry!$GM:$GM,DataEntry!$A:$A,"Ngabu",DataEntry!$B:$B,"Nchalo",DataEntry!$G:$G,"Q3"),"")</f>
        <v/>
      </c>
      <c r="G269" s="15">
        <f>IFERROR(SUMIFS(DataEntry!$GM:$GM,DataEntry!$A:$A,"Ngabu",DataEntry!$B:$B,"Nchalo",DataEntry!$G:$G,"Q4"),"")</f>
        <v/>
      </c>
      <c r="H269" s="20">
        <f>IFERROR(SUM(D269:G269),"")</f>
        <v/>
      </c>
    </row>
    <row r="270">
      <c r="A270" s="21" t="inlineStr">
        <is>
          <t>Ngabu</t>
        </is>
      </c>
      <c r="B270" s="21" t="inlineStr">
        <is>
          <t>Nchalo</t>
        </is>
      </c>
      <c r="C270" s="12" t="inlineStr">
        <is>
          <t>Total Sales</t>
        </is>
      </c>
      <c r="D270" s="9">
        <f>IFERROR(SUMIFS(DataEntry!$GX:$GX,DataEntry!$A:$A,"Ngabu",DataEntry!$B:$B,"Nchalo",DataEntry!$G:$G,"Q1"),"")</f>
        <v/>
      </c>
      <c r="E270" s="9">
        <f>IFERROR(SUMIFS(DataEntry!$GX:$GX,DataEntry!$A:$A,"Ngabu",DataEntry!$B:$B,"Nchalo",DataEntry!$G:$G,"Q2"),"")</f>
        <v/>
      </c>
      <c r="F270" s="9">
        <f>IFERROR(SUMIFS(DataEntry!$GX:$GX,DataEntry!$A:$A,"Ngabu",DataEntry!$B:$B,"Nchalo",DataEntry!$G:$G,"Q3"),"")</f>
        <v/>
      </c>
      <c r="G270" s="9">
        <f>IFERROR(SUMIFS(DataEntry!$GX:$GX,DataEntry!$A:$A,"Ngabu",DataEntry!$B:$B,"Nchalo",DataEntry!$G:$G,"Q4"),"")</f>
        <v/>
      </c>
      <c r="H270" s="22">
        <f>IFERROR(SUM(D270:G270),"")</f>
        <v/>
      </c>
    </row>
    <row r="271">
      <c r="A271" s="19" t="inlineStr">
        <is>
          <t>Ngabu</t>
        </is>
      </c>
      <c r="B271" s="19" t="inlineStr">
        <is>
          <t>Nchalo</t>
        </is>
      </c>
      <c r="C271" s="6" t="inlineStr">
        <is>
          <t>Active Customers</t>
        </is>
      </c>
      <c r="D271" s="15">
        <f>IFERROR(SUMIFS(DataEntry!$CS:$CS,DataEntry!$A:$A,"Ngabu",DataEntry!$B:$B,"Nchalo",DataEntry!$G:$G,"Q1"),"")</f>
        <v/>
      </c>
      <c r="E271" s="15">
        <f>IFERROR(SUMIFS(DataEntry!$CS:$CS,DataEntry!$A:$A,"Ngabu",DataEntry!$B:$B,"Nchalo",DataEntry!$G:$G,"Q2"),"")</f>
        <v/>
      </c>
      <c r="F271" s="15">
        <f>IFERROR(SUMIFS(DataEntry!$CS:$CS,DataEntry!$A:$A,"Ngabu",DataEntry!$B:$B,"Nchalo",DataEntry!$G:$G,"Q3"),"")</f>
        <v/>
      </c>
      <c r="G271" s="15">
        <f>IFERROR(SUMIFS(DataEntry!$CS:$CS,DataEntry!$A:$A,"Ngabu",DataEntry!$B:$B,"Nchalo",DataEntry!$G:$G,"Q4"),"")</f>
        <v/>
      </c>
      <c r="H271" s="20">
        <f>IFERROR(SUM(D271:G271),"")</f>
        <v/>
      </c>
    </row>
    <row r="272">
      <c r="A272" s="21" t="inlineStr">
        <is>
          <t>Ngabu</t>
        </is>
      </c>
      <c r="B272" s="21" t="inlineStr">
        <is>
          <t>Nchalo</t>
        </is>
      </c>
      <c r="C272" s="12" t="inlineStr">
        <is>
          <t>New Connections</t>
        </is>
      </c>
      <c r="D272" s="9">
        <f>IFERROR(SUMIFS(DataEntry!$CA:$CA,DataEntry!$A:$A,"Ngabu",DataEntry!$B:$B,"Nchalo",DataEntry!$G:$G,"Q1"),"")</f>
        <v/>
      </c>
      <c r="E272" s="9">
        <f>IFERROR(SUMIFS(DataEntry!$CA:$CA,DataEntry!$A:$A,"Ngabu",DataEntry!$B:$B,"Nchalo",DataEntry!$G:$G,"Q2"),"")</f>
        <v/>
      </c>
      <c r="F272" s="9">
        <f>IFERROR(SUMIFS(DataEntry!$CA:$CA,DataEntry!$A:$A,"Ngabu",DataEntry!$B:$B,"Nchalo",DataEntry!$G:$G,"Q3"),"")</f>
        <v/>
      </c>
      <c r="G272" s="9">
        <f>IFERROR(SUMIFS(DataEntry!$CA:$CA,DataEntry!$A:$A,"Ngabu",DataEntry!$B:$B,"Nchalo",DataEntry!$G:$G,"Q4"),"")</f>
        <v/>
      </c>
      <c r="H272" s="22">
        <f>IFERROR(SUM(D272:G272),"")</f>
        <v/>
      </c>
    </row>
    <row r="273">
      <c r="A273" s="19" t="inlineStr">
        <is>
          <t>Ngabu</t>
        </is>
      </c>
      <c r="B273" s="19" t="inlineStr">
        <is>
          <t>Nchalo</t>
        </is>
      </c>
      <c r="C273" s="6" t="inlineStr">
        <is>
          <t>Stuck Meters C/Fwd</t>
        </is>
      </c>
      <c r="D273" s="15">
        <f>IFERROR(SUMIFS(DataEntry!$DV:$DV,DataEntry!$A:$A,"Ngabu",DataEntry!$B:$B,"Nchalo",DataEntry!$G:$G,"Q1"),"")</f>
        <v/>
      </c>
      <c r="E273" s="15">
        <f>IFERROR(SUMIFS(DataEntry!$DV:$DV,DataEntry!$A:$A,"Ngabu",DataEntry!$B:$B,"Nchalo",DataEntry!$G:$G,"Q2"),"")</f>
        <v/>
      </c>
      <c r="F273" s="15">
        <f>IFERROR(SUMIFS(DataEntry!$DV:$DV,DataEntry!$A:$A,"Ngabu",DataEntry!$B:$B,"Nchalo",DataEntry!$G:$G,"Q3"),"")</f>
        <v/>
      </c>
      <c r="G273" s="15">
        <f>IFERROR(SUMIFS(DataEntry!$DV:$DV,DataEntry!$A:$A,"Ngabu",DataEntry!$B:$B,"Nchalo",DataEntry!$G:$G,"Q4"),"")</f>
        <v/>
      </c>
      <c r="H273" s="20">
        <f>IFERROR(SUM(D273:G273),"")</f>
        <v/>
      </c>
    </row>
    <row r="274">
      <c r="A274" s="21" t="inlineStr">
        <is>
          <t>Ngabu</t>
        </is>
      </c>
      <c r="B274" s="21" t="inlineStr">
        <is>
          <t>Nchalo</t>
        </is>
      </c>
      <c r="C274" s="12" t="inlineStr">
        <is>
          <t>Cash Collection Rate</t>
        </is>
      </c>
      <c r="D274" s="10">
        <f>IFERROR(AVERAGEIFS(DataEntry!$HC:$HC,DataEntry!$A:$A,"Ngabu",DataEntry!$B:$B,"Nchalo",DataEntry!$G:$G,"Q1"),"")</f>
        <v/>
      </c>
      <c r="E274" s="10">
        <f>IFERROR(AVERAGEIFS(DataEntry!$HC:$HC,DataEntry!$A:$A,"Ngabu",DataEntry!$B:$B,"Nchalo",DataEntry!$G:$G,"Q2"),"")</f>
        <v/>
      </c>
      <c r="F274" s="10">
        <f>IFERROR(AVERAGEIFS(DataEntry!$HC:$HC,DataEntry!$A:$A,"Ngabu",DataEntry!$B:$B,"Nchalo",DataEntry!$G:$G,"Q3"),"")</f>
        <v/>
      </c>
      <c r="G274" s="10">
        <f>IFERROR(AVERAGEIFS(DataEntry!$HC:$HC,DataEntry!$A:$A,"Ngabu",DataEntry!$B:$B,"Nchalo",DataEntry!$G:$G,"Q4"),"")</f>
        <v/>
      </c>
      <c r="H274" s="23">
        <f>IFERROR(AVERAGE(D274:G274),"")</f>
        <v/>
      </c>
    </row>
    <row r="275">
      <c r="A275" s="19" t="inlineStr">
        <is>
          <t>Ngabu</t>
        </is>
      </c>
      <c r="B275" s="19" t="inlineStr">
        <is>
          <t>Nchalo</t>
        </is>
      </c>
      <c r="C275" s="6" t="inlineStr">
        <is>
          <t>OpCost per Sales</t>
        </is>
      </c>
      <c r="D275" s="16">
        <f>IFERROR(AVERAGEIFS(DataEntry!$HB:$HB,DataEntry!$A:$A,"Ngabu",DataEntry!$B:$B,"Nchalo",DataEntry!$G:$G,"Q1"),"")</f>
        <v/>
      </c>
      <c r="E275" s="16">
        <f>IFERROR(AVERAGEIFS(DataEntry!$HB:$HB,DataEntry!$A:$A,"Ngabu",DataEntry!$B:$B,"Nchalo",DataEntry!$G:$G,"Q2"),"")</f>
        <v/>
      </c>
      <c r="F275" s="16">
        <f>IFERROR(AVERAGEIFS(DataEntry!$HB:$HB,DataEntry!$A:$A,"Ngabu",DataEntry!$B:$B,"Nchalo",DataEntry!$G:$G,"Q3"),"")</f>
        <v/>
      </c>
      <c r="G275" s="16">
        <f>IFERROR(AVERAGEIFS(DataEntry!$HB:$HB,DataEntry!$A:$A,"Ngabu",DataEntry!$B:$B,"Nchalo",DataEntry!$G:$G,"Q4"),"")</f>
        <v/>
      </c>
      <c r="H275" s="24">
        <f>IFERROR(AVERAGE(D275:G275),"")</f>
        <v/>
      </c>
    </row>
    <row r="276">
      <c r="A276" s="21" t="inlineStr">
        <is>
          <t>Ngabu</t>
        </is>
      </c>
      <c r="B276" s="21" t="inlineStr">
        <is>
          <t>Ngabu</t>
        </is>
      </c>
      <c r="C276" s="12" t="inlineStr">
        <is>
          <t>Volume Produced (m³)</t>
        </is>
      </c>
      <c r="D276" s="9">
        <f>IFERROR(SUMIFS(DataEntry!$H:$H,DataEntry!$A:$A,"Ngabu",DataEntry!$B:$B,"Ngabu",DataEntry!$G:$G,"Q1"),"")</f>
        <v/>
      </c>
      <c r="E276" s="9">
        <f>IFERROR(SUMIFS(DataEntry!$H:$H,DataEntry!$A:$A,"Ngabu",DataEntry!$B:$B,"Ngabu",DataEntry!$G:$G,"Q2"),"")</f>
        <v/>
      </c>
      <c r="F276" s="9">
        <f>IFERROR(SUMIFS(DataEntry!$H:$H,DataEntry!$A:$A,"Ngabu",DataEntry!$B:$B,"Ngabu",DataEntry!$G:$G,"Q3"),"")</f>
        <v/>
      </c>
      <c r="G276" s="9">
        <f>IFERROR(SUMIFS(DataEntry!$H:$H,DataEntry!$A:$A,"Ngabu",DataEntry!$B:$B,"Ngabu",DataEntry!$G:$G,"Q4"),"")</f>
        <v/>
      </c>
      <c r="H276" s="22">
        <f>IFERROR(SUM(D276:G276),"")</f>
        <v/>
      </c>
    </row>
    <row r="277">
      <c r="A277" s="19" t="inlineStr">
        <is>
          <t>Ngabu</t>
        </is>
      </c>
      <c r="B277" s="19" t="inlineStr">
        <is>
          <t>Ngabu</t>
        </is>
      </c>
      <c r="C277" s="6" t="inlineStr">
        <is>
          <t>Total Revenue Water</t>
        </is>
      </c>
      <c r="D277" s="15">
        <f>IFERROR(SUMIFS(DataEntry!$S:$S,DataEntry!$A:$A,"Ngabu",DataEntry!$B:$B,"Ngabu",DataEntry!$G:$G,"Q1"),"")</f>
        <v/>
      </c>
      <c r="E277" s="15">
        <f>IFERROR(SUMIFS(DataEntry!$S:$S,DataEntry!$A:$A,"Ngabu",DataEntry!$B:$B,"Ngabu",DataEntry!$G:$G,"Q2"),"")</f>
        <v/>
      </c>
      <c r="F277" s="15">
        <f>IFERROR(SUMIFS(DataEntry!$S:$S,DataEntry!$A:$A,"Ngabu",DataEntry!$B:$B,"Ngabu",DataEntry!$G:$G,"Q3"),"")</f>
        <v/>
      </c>
      <c r="G277" s="15">
        <f>IFERROR(SUMIFS(DataEntry!$S:$S,DataEntry!$A:$A,"Ngabu",DataEntry!$B:$B,"Ngabu",DataEntry!$G:$G,"Q4"),"")</f>
        <v/>
      </c>
      <c r="H277" s="20">
        <f>IFERROR(SUM(D277:G277),"")</f>
        <v/>
      </c>
    </row>
    <row r="278">
      <c r="A278" s="21" t="inlineStr">
        <is>
          <t>Ngabu</t>
        </is>
      </c>
      <c r="B278" s="21" t="inlineStr">
        <is>
          <t>Ngabu</t>
        </is>
      </c>
      <c r="C278" s="12" t="inlineStr">
        <is>
          <t>Non-Revenue Water</t>
        </is>
      </c>
      <c r="D278" s="9">
        <f>IFERROR(SUMIFS(DataEntry!$T:$T,DataEntry!$A:$A,"Ngabu",DataEntry!$B:$B,"Ngabu",DataEntry!$G:$G,"Q1"),"")</f>
        <v/>
      </c>
      <c r="E278" s="9">
        <f>IFERROR(SUMIFS(DataEntry!$T:$T,DataEntry!$A:$A,"Ngabu",DataEntry!$B:$B,"Ngabu",DataEntry!$G:$G,"Q2"),"")</f>
        <v/>
      </c>
      <c r="F278" s="9">
        <f>IFERROR(SUMIFS(DataEntry!$T:$T,DataEntry!$A:$A,"Ngabu",DataEntry!$B:$B,"Ngabu",DataEntry!$G:$G,"Q3"),"")</f>
        <v/>
      </c>
      <c r="G278" s="9">
        <f>IFERROR(SUMIFS(DataEntry!$T:$T,DataEntry!$A:$A,"Ngabu",DataEntry!$B:$B,"Ngabu",DataEntry!$G:$G,"Q4"),"")</f>
        <v/>
      </c>
      <c r="H278" s="22">
        <f>IFERROR(SUM(D278:G278),"")</f>
        <v/>
      </c>
    </row>
    <row r="279">
      <c r="A279" s="19" t="inlineStr">
        <is>
          <t>Ngabu</t>
        </is>
      </c>
      <c r="B279" s="19" t="inlineStr">
        <is>
          <t>Ngabu</t>
        </is>
      </c>
      <c r="C279" s="6" t="inlineStr">
        <is>
          <t>% NRW</t>
        </is>
      </c>
      <c r="D279" s="16">
        <f>IFERROR(AVERAGEIFS(DataEntry!$U:$U,DataEntry!$A:$A,"Ngabu",DataEntry!$B:$B,"Ngabu",DataEntry!$G:$G,"Q1"),"")</f>
        <v/>
      </c>
      <c r="E279" s="16">
        <f>IFERROR(AVERAGEIFS(DataEntry!$U:$U,DataEntry!$A:$A,"Ngabu",DataEntry!$B:$B,"Ngabu",DataEntry!$G:$G,"Q2"),"")</f>
        <v/>
      </c>
      <c r="F279" s="16">
        <f>IFERROR(AVERAGEIFS(DataEntry!$U:$U,DataEntry!$A:$A,"Ngabu",DataEntry!$B:$B,"Ngabu",DataEntry!$G:$G,"Q3"),"")</f>
        <v/>
      </c>
      <c r="G279" s="16">
        <f>IFERROR(AVERAGEIFS(DataEntry!$U:$U,DataEntry!$A:$A,"Ngabu",DataEntry!$B:$B,"Ngabu",DataEntry!$G:$G,"Q4"),"")</f>
        <v/>
      </c>
      <c r="H279" s="24">
        <f>IFERROR(AVERAGE(D279:G279),"")</f>
        <v/>
      </c>
    </row>
    <row r="280">
      <c r="A280" s="21" t="inlineStr">
        <is>
          <t>Ngabu</t>
        </is>
      </c>
      <c r="B280" s="21" t="inlineStr">
        <is>
          <t>Ngabu</t>
        </is>
      </c>
      <c r="C280" s="12" t="inlineStr">
        <is>
          <t>Total Operating Costs</t>
        </is>
      </c>
      <c r="D280" s="9">
        <f>IFERROR(SUMIFS(DataEntry!$AU:$AU,DataEntry!$A:$A,"Ngabu",DataEntry!$B:$B,"Ngabu",DataEntry!$G:$G,"Q1"),"")</f>
        <v/>
      </c>
      <c r="E280" s="9">
        <f>IFERROR(SUMIFS(DataEntry!$AU:$AU,DataEntry!$A:$A,"Ngabu",DataEntry!$B:$B,"Ngabu",DataEntry!$G:$G,"Q2"),"")</f>
        <v/>
      </c>
      <c r="F280" s="9">
        <f>IFERROR(SUMIFS(DataEntry!$AU:$AU,DataEntry!$A:$A,"Ngabu",DataEntry!$B:$B,"Ngabu",DataEntry!$G:$G,"Q3"),"")</f>
        <v/>
      </c>
      <c r="G280" s="9">
        <f>IFERROR(SUMIFS(DataEntry!$AU:$AU,DataEntry!$A:$A,"Ngabu",DataEntry!$B:$B,"Ngabu",DataEntry!$G:$G,"Q4"),"")</f>
        <v/>
      </c>
      <c r="H280" s="22">
        <f>IFERROR(SUM(D280:G280),"")</f>
        <v/>
      </c>
    </row>
    <row r="281">
      <c r="A281" s="19" t="inlineStr">
        <is>
          <t>Ngabu</t>
        </is>
      </c>
      <c r="B281" s="19" t="inlineStr">
        <is>
          <t>Ngabu</t>
        </is>
      </c>
      <c r="C281" s="6" t="inlineStr">
        <is>
          <t>Total Cash Collected</t>
        </is>
      </c>
      <c r="D281" s="15">
        <f>IFERROR(SUMIFS(DataEntry!$GB:$GB,DataEntry!$A:$A,"Ngabu",DataEntry!$B:$B,"Ngabu",DataEntry!$G:$G,"Q1"),"")</f>
        <v/>
      </c>
      <c r="E281" s="15">
        <f>IFERROR(SUMIFS(DataEntry!$GB:$GB,DataEntry!$A:$A,"Ngabu",DataEntry!$B:$B,"Ngabu",DataEntry!$G:$G,"Q2"),"")</f>
        <v/>
      </c>
      <c r="F281" s="15">
        <f>IFERROR(SUMIFS(DataEntry!$GB:$GB,DataEntry!$A:$A,"Ngabu",DataEntry!$B:$B,"Ngabu",DataEntry!$G:$G,"Q3"),"")</f>
        <v/>
      </c>
      <c r="G281" s="15">
        <f>IFERROR(SUMIFS(DataEntry!$GB:$GB,DataEntry!$A:$A,"Ngabu",DataEntry!$B:$B,"Ngabu",DataEntry!$G:$G,"Q4"),"")</f>
        <v/>
      </c>
      <c r="H281" s="20">
        <f>IFERROR(SUM(D281:G281),"")</f>
        <v/>
      </c>
    </row>
    <row r="282">
      <c r="A282" s="21" t="inlineStr">
        <is>
          <t>Ngabu</t>
        </is>
      </c>
      <c r="B282" s="21" t="inlineStr">
        <is>
          <t>Ngabu</t>
        </is>
      </c>
      <c r="C282" s="12" t="inlineStr">
        <is>
          <t>Total Amount Billed</t>
        </is>
      </c>
      <c r="D282" s="9">
        <f>IFERROR(SUMIFS(DataEntry!$GM:$GM,DataEntry!$A:$A,"Ngabu",DataEntry!$B:$B,"Ngabu",DataEntry!$G:$G,"Q1"),"")</f>
        <v/>
      </c>
      <c r="E282" s="9">
        <f>IFERROR(SUMIFS(DataEntry!$GM:$GM,DataEntry!$A:$A,"Ngabu",DataEntry!$B:$B,"Ngabu",DataEntry!$G:$G,"Q2"),"")</f>
        <v/>
      </c>
      <c r="F282" s="9">
        <f>IFERROR(SUMIFS(DataEntry!$GM:$GM,DataEntry!$A:$A,"Ngabu",DataEntry!$B:$B,"Ngabu",DataEntry!$G:$G,"Q3"),"")</f>
        <v/>
      </c>
      <c r="G282" s="9">
        <f>IFERROR(SUMIFS(DataEntry!$GM:$GM,DataEntry!$A:$A,"Ngabu",DataEntry!$B:$B,"Ngabu",DataEntry!$G:$G,"Q4"),"")</f>
        <v/>
      </c>
      <c r="H282" s="22">
        <f>IFERROR(SUM(D282:G282),"")</f>
        <v/>
      </c>
    </row>
    <row r="283">
      <c r="A283" s="19" t="inlineStr">
        <is>
          <t>Ngabu</t>
        </is>
      </c>
      <c r="B283" s="19" t="inlineStr">
        <is>
          <t>Ngabu</t>
        </is>
      </c>
      <c r="C283" s="6" t="inlineStr">
        <is>
          <t>Total Sales</t>
        </is>
      </c>
      <c r="D283" s="15">
        <f>IFERROR(SUMIFS(DataEntry!$GX:$GX,DataEntry!$A:$A,"Ngabu",DataEntry!$B:$B,"Ngabu",DataEntry!$G:$G,"Q1"),"")</f>
        <v/>
      </c>
      <c r="E283" s="15">
        <f>IFERROR(SUMIFS(DataEntry!$GX:$GX,DataEntry!$A:$A,"Ngabu",DataEntry!$B:$B,"Ngabu",DataEntry!$G:$G,"Q2"),"")</f>
        <v/>
      </c>
      <c r="F283" s="15">
        <f>IFERROR(SUMIFS(DataEntry!$GX:$GX,DataEntry!$A:$A,"Ngabu",DataEntry!$B:$B,"Ngabu",DataEntry!$G:$G,"Q3"),"")</f>
        <v/>
      </c>
      <c r="G283" s="15">
        <f>IFERROR(SUMIFS(DataEntry!$GX:$GX,DataEntry!$A:$A,"Ngabu",DataEntry!$B:$B,"Ngabu",DataEntry!$G:$G,"Q4"),"")</f>
        <v/>
      </c>
      <c r="H283" s="20">
        <f>IFERROR(SUM(D283:G283),"")</f>
        <v/>
      </c>
    </row>
    <row r="284">
      <c r="A284" s="21" t="inlineStr">
        <is>
          <t>Ngabu</t>
        </is>
      </c>
      <c r="B284" s="21" t="inlineStr">
        <is>
          <t>Ngabu</t>
        </is>
      </c>
      <c r="C284" s="12" t="inlineStr">
        <is>
          <t>Active Customers</t>
        </is>
      </c>
      <c r="D284" s="9">
        <f>IFERROR(SUMIFS(DataEntry!$CS:$CS,DataEntry!$A:$A,"Ngabu",DataEntry!$B:$B,"Ngabu",DataEntry!$G:$G,"Q1"),"")</f>
        <v/>
      </c>
      <c r="E284" s="9">
        <f>IFERROR(SUMIFS(DataEntry!$CS:$CS,DataEntry!$A:$A,"Ngabu",DataEntry!$B:$B,"Ngabu",DataEntry!$G:$G,"Q2"),"")</f>
        <v/>
      </c>
      <c r="F284" s="9">
        <f>IFERROR(SUMIFS(DataEntry!$CS:$CS,DataEntry!$A:$A,"Ngabu",DataEntry!$B:$B,"Ngabu",DataEntry!$G:$G,"Q3"),"")</f>
        <v/>
      </c>
      <c r="G284" s="9">
        <f>IFERROR(SUMIFS(DataEntry!$CS:$CS,DataEntry!$A:$A,"Ngabu",DataEntry!$B:$B,"Ngabu",DataEntry!$G:$G,"Q4"),"")</f>
        <v/>
      </c>
      <c r="H284" s="22">
        <f>IFERROR(SUM(D284:G284),"")</f>
        <v/>
      </c>
    </row>
    <row r="285">
      <c r="A285" s="19" t="inlineStr">
        <is>
          <t>Ngabu</t>
        </is>
      </c>
      <c r="B285" s="19" t="inlineStr">
        <is>
          <t>Ngabu</t>
        </is>
      </c>
      <c r="C285" s="6" t="inlineStr">
        <is>
          <t>New Connections</t>
        </is>
      </c>
      <c r="D285" s="15">
        <f>IFERROR(SUMIFS(DataEntry!$CA:$CA,DataEntry!$A:$A,"Ngabu",DataEntry!$B:$B,"Ngabu",DataEntry!$G:$G,"Q1"),"")</f>
        <v/>
      </c>
      <c r="E285" s="15">
        <f>IFERROR(SUMIFS(DataEntry!$CA:$CA,DataEntry!$A:$A,"Ngabu",DataEntry!$B:$B,"Ngabu",DataEntry!$G:$G,"Q2"),"")</f>
        <v/>
      </c>
      <c r="F285" s="15">
        <f>IFERROR(SUMIFS(DataEntry!$CA:$CA,DataEntry!$A:$A,"Ngabu",DataEntry!$B:$B,"Ngabu",DataEntry!$G:$G,"Q3"),"")</f>
        <v/>
      </c>
      <c r="G285" s="15">
        <f>IFERROR(SUMIFS(DataEntry!$CA:$CA,DataEntry!$A:$A,"Ngabu",DataEntry!$B:$B,"Ngabu",DataEntry!$G:$G,"Q4"),"")</f>
        <v/>
      </c>
      <c r="H285" s="20">
        <f>IFERROR(SUM(D285:G285),"")</f>
        <v/>
      </c>
    </row>
    <row r="286">
      <c r="A286" s="21" t="inlineStr">
        <is>
          <t>Ngabu</t>
        </is>
      </c>
      <c r="B286" s="21" t="inlineStr">
        <is>
          <t>Ngabu</t>
        </is>
      </c>
      <c r="C286" s="12" t="inlineStr">
        <is>
          <t>Stuck Meters C/Fwd</t>
        </is>
      </c>
      <c r="D286" s="9">
        <f>IFERROR(SUMIFS(DataEntry!$DV:$DV,DataEntry!$A:$A,"Ngabu",DataEntry!$B:$B,"Ngabu",DataEntry!$G:$G,"Q1"),"")</f>
        <v/>
      </c>
      <c r="E286" s="9">
        <f>IFERROR(SUMIFS(DataEntry!$DV:$DV,DataEntry!$A:$A,"Ngabu",DataEntry!$B:$B,"Ngabu",DataEntry!$G:$G,"Q2"),"")</f>
        <v/>
      </c>
      <c r="F286" s="9">
        <f>IFERROR(SUMIFS(DataEntry!$DV:$DV,DataEntry!$A:$A,"Ngabu",DataEntry!$B:$B,"Ngabu",DataEntry!$G:$G,"Q3"),"")</f>
        <v/>
      </c>
      <c r="G286" s="9">
        <f>IFERROR(SUMIFS(DataEntry!$DV:$DV,DataEntry!$A:$A,"Ngabu",DataEntry!$B:$B,"Ngabu",DataEntry!$G:$G,"Q4"),"")</f>
        <v/>
      </c>
      <c r="H286" s="22">
        <f>IFERROR(SUM(D286:G286),"")</f>
        <v/>
      </c>
    </row>
    <row r="287">
      <c r="A287" s="19" t="inlineStr">
        <is>
          <t>Ngabu</t>
        </is>
      </c>
      <c r="B287" s="19" t="inlineStr">
        <is>
          <t>Ngabu</t>
        </is>
      </c>
      <c r="C287" s="6" t="inlineStr">
        <is>
          <t>Cash Collection Rate</t>
        </is>
      </c>
      <c r="D287" s="16">
        <f>IFERROR(AVERAGEIFS(DataEntry!$HC:$HC,DataEntry!$A:$A,"Ngabu",DataEntry!$B:$B,"Ngabu",DataEntry!$G:$G,"Q1"),"")</f>
        <v/>
      </c>
      <c r="E287" s="16">
        <f>IFERROR(AVERAGEIFS(DataEntry!$HC:$HC,DataEntry!$A:$A,"Ngabu",DataEntry!$B:$B,"Ngabu",DataEntry!$G:$G,"Q2"),"")</f>
        <v/>
      </c>
      <c r="F287" s="16">
        <f>IFERROR(AVERAGEIFS(DataEntry!$HC:$HC,DataEntry!$A:$A,"Ngabu",DataEntry!$B:$B,"Ngabu",DataEntry!$G:$G,"Q3"),"")</f>
        <v/>
      </c>
      <c r="G287" s="16">
        <f>IFERROR(AVERAGEIFS(DataEntry!$HC:$HC,DataEntry!$A:$A,"Ngabu",DataEntry!$B:$B,"Ngabu",DataEntry!$G:$G,"Q4"),"")</f>
        <v/>
      </c>
      <c r="H287" s="24">
        <f>IFERROR(AVERAGE(D287:G287),"")</f>
        <v/>
      </c>
    </row>
    <row r="288">
      <c r="A288" s="21" t="inlineStr">
        <is>
          <t>Ngabu</t>
        </is>
      </c>
      <c r="B288" s="21" t="inlineStr">
        <is>
          <t>Ngabu</t>
        </is>
      </c>
      <c r="C288" s="12" t="inlineStr">
        <is>
          <t>OpCost per Sales</t>
        </is>
      </c>
      <c r="D288" s="10">
        <f>IFERROR(AVERAGEIFS(DataEntry!$HB:$HB,DataEntry!$A:$A,"Ngabu",DataEntry!$B:$B,"Ngabu",DataEntry!$G:$G,"Q1"),"")</f>
        <v/>
      </c>
      <c r="E288" s="10">
        <f>IFERROR(AVERAGEIFS(DataEntry!$HB:$HB,DataEntry!$A:$A,"Ngabu",DataEntry!$B:$B,"Ngabu",DataEntry!$G:$G,"Q2"),"")</f>
        <v/>
      </c>
      <c r="F288" s="10">
        <f>IFERROR(AVERAGEIFS(DataEntry!$HB:$HB,DataEntry!$A:$A,"Ngabu",DataEntry!$B:$B,"Ngabu",DataEntry!$G:$G,"Q3"),"")</f>
        <v/>
      </c>
      <c r="G288" s="10">
        <f>IFERROR(AVERAGEIFS(DataEntry!$HB:$HB,DataEntry!$A:$A,"Ngabu",DataEntry!$B:$B,"Ngabu",DataEntry!$G:$G,"Q4"),"")</f>
        <v/>
      </c>
      <c r="H288" s="23">
        <f>IFERROR(AVERAGE(D288:G288),"")</f>
        <v/>
      </c>
    </row>
    <row r="289">
      <c r="A289" s="19" t="inlineStr">
        <is>
          <t>Ngabu</t>
        </is>
      </c>
      <c r="B289" s="19" t="inlineStr">
        <is>
          <t>Nsanje</t>
        </is>
      </c>
      <c r="C289" s="6" t="inlineStr">
        <is>
          <t>Volume Produced (m³)</t>
        </is>
      </c>
      <c r="D289" s="15">
        <f>IFERROR(SUMIFS(DataEntry!$H:$H,DataEntry!$A:$A,"Ngabu",DataEntry!$B:$B,"Nsanje",DataEntry!$G:$G,"Q1"),"")</f>
        <v/>
      </c>
      <c r="E289" s="15">
        <f>IFERROR(SUMIFS(DataEntry!$H:$H,DataEntry!$A:$A,"Ngabu",DataEntry!$B:$B,"Nsanje",DataEntry!$G:$G,"Q2"),"")</f>
        <v/>
      </c>
      <c r="F289" s="15">
        <f>IFERROR(SUMIFS(DataEntry!$H:$H,DataEntry!$A:$A,"Ngabu",DataEntry!$B:$B,"Nsanje",DataEntry!$G:$G,"Q3"),"")</f>
        <v/>
      </c>
      <c r="G289" s="15">
        <f>IFERROR(SUMIFS(DataEntry!$H:$H,DataEntry!$A:$A,"Ngabu",DataEntry!$B:$B,"Nsanje",DataEntry!$G:$G,"Q4"),"")</f>
        <v/>
      </c>
      <c r="H289" s="20">
        <f>IFERROR(SUM(D289:G289),"")</f>
        <v/>
      </c>
    </row>
    <row r="290">
      <c r="A290" s="21" t="inlineStr">
        <is>
          <t>Ngabu</t>
        </is>
      </c>
      <c r="B290" s="21" t="inlineStr">
        <is>
          <t>Nsanje</t>
        </is>
      </c>
      <c r="C290" s="12" t="inlineStr">
        <is>
          <t>Total Revenue Water</t>
        </is>
      </c>
      <c r="D290" s="9">
        <f>IFERROR(SUMIFS(DataEntry!$S:$S,DataEntry!$A:$A,"Ngabu",DataEntry!$B:$B,"Nsanje",DataEntry!$G:$G,"Q1"),"")</f>
        <v/>
      </c>
      <c r="E290" s="9">
        <f>IFERROR(SUMIFS(DataEntry!$S:$S,DataEntry!$A:$A,"Ngabu",DataEntry!$B:$B,"Nsanje",DataEntry!$G:$G,"Q2"),"")</f>
        <v/>
      </c>
      <c r="F290" s="9">
        <f>IFERROR(SUMIFS(DataEntry!$S:$S,DataEntry!$A:$A,"Ngabu",DataEntry!$B:$B,"Nsanje",DataEntry!$G:$G,"Q3"),"")</f>
        <v/>
      </c>
      <c r="G290" s="9">
        <f>IFERROR(SUMIFS(DataEntry!$S:$S,DataEntry!$A:$A,"Ngabu",DataEntry!$B:$B,"Nsanje",DataEntry!$G:$G,"Q4"),"")</f>
        <v/>
      </c>
      <c r="H290" s="22">
        <f>IFERROR(SUM(D290:G290),"")</f>
        <v/>
      </c>
    </row>
    <row r="291">
      <c r="A291" s="19" t="inlineStr">
        <is>
          <t>Ngabu</t>
        </is>
      </c>
      <c r="B291" s="19" t="inlineStr">
        <is>
          <t>Nsanje</t>
        </is>
      </c>
      <c r="C291" s="6" t="inlineStr">
        <is>
          <t>Non-Revenue Water</t>
        </is>
      </c>
      <c r="D291" s="15">
        <f>IFERROR(SUMIFS(DataEntry!$T:$T,DataEntry!$A:$A,"Ngabu",DataEntry!$B:$B,"Nsanje",DataEntry!$G:$G,"Q1"),"")</f>
        <v/>
      </c>
      <c r="E291" s="15">
        <f>IFERROR(SUMIFS(DataEntry!$T:$T,DataEntry!$A:$A,"Ngabu",DataEntry!$B:$B,"Nsanje",DataEntry!$G:$G,"Q2"),"")</f>
        <v/>
      </c>
      <c r="F291" s="15">
        <f>IFERROR(SUMIFS(DataEntry!$T:$T,DataEntry!$A:$A,"Ngabu",DataEntry!$B:$B,"Nsanje",DataEntry!$G:$G,"Q3"),"")</f>
        <v/>
      </c>
      <c r="G291" s="15">
        <f>IFERROR(SUMIFS(DataEntry!$T:$T,DataEntry!$A:$A,"Ngabu",DataEntry!$B:$B,"Nsanje",DataEntry!$G:$G,"Q4"),"")</f>
        <v/>
      </c>
      <c r="H291" s="20">
        <f>IFERROR(SUM(D291:G291),"")</f>
        <v/>
      </c>
    </row>
    <row r="292">
      <c r="A292" s="21" t="inlineStr">
        <is>
          <t>Ngabu</t>
        </is>
      </c>
      <c r="B292" s="21" t="inlineStr">
        <is>
          <t>Nsanje</t>
        </is>
      </c>
      <c r="C292" s="12" t="inlineStr">
        <is>
          <t>% NRW</t>
        </is>
      </c>
      <c r="D292" s="10">
        <f>IFERROR(AVERAGEIFS(DataEntry!$U:$U,DataEntry!$A:$A,"Ngabu",DataEntry!$B:$B,"Nsanje",DataEntry!$G:$G,"Q1"),"")</f>
        <v/>
      </c>
      <c r="E292" s="10">
        <f>IFERROR(AVERAGEIFS(DataEntry!$U:$U,DataEntry!$A:$A,"Ngabu",DataEntry!$B:$B,"Nsanje",DataEntry!$G:$G,"Q2"),"")</f>
        <v/>
      </c>
      <c r="F292" s="10">
        <f>IFERROR(AVERAGEIFS(DataEntry!$U:$U,DataEntry!$A:$A,"Ngabu",DataEntry!$B:$B,"Nsanje",DataEntry!$G:$G,"Q3"),"")</f>
        <v/>
      </c>
      <c r="G292" s="10">
        <f>IFERROR(AVERAGEIFS(DataEntry!$U:$U,DataEntry!$A:$A,"Ngabu",DataEntry!$B:$B,"Nsanje",DataEntry!$G:$G,"Q4"),"")</f>
        <v/>
      </c>
      <c r="H292" s="23">
        <f>IFERROR(AVERAGE(D292:G292),"")</f>
        <v/>
      </c>
    </row>
    <row r="293">
      <c r="A293" s="19" t="inlineStr">
        <is>
          <t>Ngabu</t>
        </is>
      </c>
      <c r="B293" s="19" t="inlineStr">
        <is>
          <t>Nsanje</t>
        </is>
      </c>
      <c r="C293" s="6" t="inlineStr">
        <is>
          <t>Total Operating Costs</t>
        </is>
      </c>
      <c r="D293" s="15">
        <f>IFERROR(SUMIFS(DataEntry!$AU:$AU,DataEntry!$A:$A,"Ngabu",DataEntry!$B:$B,"Nsanje",DataEntry!$G:$G,"Q1"),"")</f>
        <v/>
      </c>
      <c r="E293" s="15">
        <f>IFERROR(SUMIFS(DataEntry!$AU:$AU,DataEntry!$A:$A,"Ngabu",DataEntry!$B:$B,"Nsanje",DataEntry!$G:$G,"Q2"),"")</f>
        <v/>
      </c>
      <c r="F293" s="15">
        <f>IFERROR(SUMIFS(DataEntry!$AU:$AU,DataEntry!$A:$A,"Ngabu",DataEntry!$B:$B,"Nsanje",DataEntry!$G:$G,"Q3"),"")</f>
        <v/>
      </c>
      <c r="G293" s="15">
        <f>IFERROR(SUMIFS(DataEntry!$AU:$AU,DataEntry!$A:$A,"Ngabu",DataEntry!$B:$B,"Nsanje",DataEntry!$G:$G,"Q4"),"")</f>
        <v/>
      </c>
      <c r="H293" s="20">
        <f>IFERROR(SUM(D293:G293),"")</f>
        <v/>
      </c>
    </row>
    <row r="294">
      <c r="A294" s="21" t="inlineStr">
        <is>
          <t>Ngabu</t>
        </is>
      </c>
      <c r="B294" s="21" t="inlineStr">
        <is>
          <t>Nsanje</t>
        </is>
      </c>
      <c r="C294" s="12" t="inlineStr">
        <is>
          <t>Total Cash Collected</t>
        </is>
      </c>
      <c r="D294" s="9">
        <f>IFERROR(SUMIFS(DataEntry!$GB:$GB,DataEntry!$A:$A,"Ngabu",DataEntry!$B:$B,"Nsanje",DataEntry!$G:$G,"Q1"),"")</f>
        <v/>
      </c>
      <c r="E294" s="9">
        <f>IFERROR(SUMIFS(DataEntry!$GB:$GB,DataEntry!$A:$A,"Ngabu",DataEntry!$B:$B,"Nsanje",DataEntry!$G:$G,"Q2"),"")</f>
        <v/>
      </c>
      <c r="F294" s="9">
        <f>IFERROR(SUMIFS(DataEntry!$GB:$GB,DataEntry!$A:$A,"Ngabu",DataEntry!$B:$B,"Nsanje",DataEntry!$G:$G,"Q3"),"")</f>
        <v/>
      </c>
      <c r="G294" s="9">
        <f>IFERROR(SUMIFS(DataEntry!$GB:$GB,DataEntry!$A:$A,"Ngabu",DataEntry!$B:$B,"Nsanje",DataEntry!$G:$G,"Q4"),"")</f>
        <v/>
      </c>
      <c r="H294" s="22">
        <f>IFERROR(SUM(D294:G294),"")</f>
        <v/>
      </c>
    </row>
    <row r="295">
      <c r="A295" s="19" t="inlineStr">
        <is>
          <t>Ngabu</t>
        </is>
      </c>
      <c r="B295" s="19" t="inlineStr">
        <is>
          <t>Nsanje</t>
        </is>
      </c>
      <c r="C295" s="6" t="inlineStr">
        <is>
          <t>Total Amount Billed</t>
        </is>
      </c>
      <c r="D295" s="15">
        <f>IFERROR(SUMIFS(DataEntry!$GM:$GM,DataEntry!$A:$A,"Ngabu",DataEntry!$B:$B,"Nsanje",DataEntry!$G:$G,"Q1"),"")</f>
        <v/>
      </c>
      <c r="E295" s="15">
        <f>IFERROR(SUMIFS(DataEntry!$GM:$GM,DataEntry!$A:$A,"Ngabu",DataEntry!$B:$B,"Nsanje",DataEntry!$G:$G,"Q2"),"")</f>
        <v/>
      </c>
      <c r="F295" s="15">
        <f>IFERROR(SUMIFS(DataEntry!$GM:$GM,DataEntry!$A:$A,"Ngabu",DataEntry!$B:$B,"Nsanje",DataEntry!$G:$G,"Q3"),"")</f>
        <v/>
      </c>
      <c r="G295" s="15">
        <f>IFERROR(SUMIFS(DataEntry!$GM:$GM,DataEntry!$A:$A,"Ngabu",DataEntry!$B:$B,"Nsanje",DataEntry!$G:$G,"Q4"),"")</f>
        <v/>
      </c>
      <c r="H295" s="20">
        <f>IFERROR(SUM(D295:G295),"")</f>
        <v/>
      </c>
    </row>
    <row r="296">
      <c r="A296" s="21" t="inlineStr">
        <is>
          <t>Ngabu</t>
        </is>
      </c>
      <c r="B296" s="21" t="inlineStr">
        <is>
          <t>Nsanje</t>
        </is>
      </c>
      <c r="C296" s="12" t="inlineStr">
        <is>
          <t>Total Sales</t>
        </is>
      </c>
      <c r="D296" s="9">
        <f>IFERROR(SUMIFS(DataEntry!$GX:$GX,DataEntry!$A:$A,"Ngabu",DataEntry!$B:$B,"Nsanje",DataEntry!$G:$G,"Q1"),"")</f>
        <v/>
      </c>
      <c r="E296" s="9">
        <f>IFERROR(SUMIFS(DataEntry!$GX:$GX,DataEntry!$A:$A,"Ngabu",DataEntry!$B:$B,"Nsanje",DataEntry!$G:$G,"Q2"),"")</f>
        <v/>
      </c>
      <c r="F296" s="9">
        <f>IFERROR(SUMIFS(DataEntry!$GX:$GX,DataEntry!$A:$A,"Ngabu",DataEntry!$B:$B,"Nsanje",DataEntry!$G:$G,"Q3"),"")</f>
        <v/>
      </c>
      <c r="G296" s="9">
        <f>IFERROR(SUMIFS(DataEntry!$GX:$GX,DataEntry!$A:$A,"Ngabu",DataEntry!$B:$B,"Nsanje",DataEntry!$G:$G,"Q4"),"")</f>
        <v/>
      </c>
      <c r="H296" s="22">
        <f>IFERROR(SUM(D296:G296),"")</f>
        <v/>
      </c>
    </row>
    <row r="297">
      <c r="A297" s="19" t="inlineStr">
        <is>
          <t>Ngabu</t>
        </is>
      </c>
      <c r="B297" s="19" t="inlineStr">
        <is>
          <t>Nsanje</t>
        </is>
      </c>
      <c r="C297" s="6" t="inlineStr">
        <is>
          <t>Active Customers</t>
        </is>
      </c>
      <c r="D297" s="15">
        <f>IFERROR(SUMIFS(DataEntry!$CS:$CS,DataEntry!$A:$A,"Ngabu",DataEntry!$B:$B,"Nsanje",DataEntry!$G:$G,"Q1"),"")</f>
        <v/>
      </c>
      <c r="E297" s="15">
        <f>IFERROR(SUMIFS(DataEntry!$CS:$CS,DataEntry!$A:$A,"Ngabu",DataEntry!$B:$B,"Nsanje",DataEntry!$G:$G,"Q2"),"")</f>
        <v/>
      </c>
      <c r="F297" s="15">
        <f>IFERROR(SUMIFS(DataEntry!$CS:$CS,DataEntry!$A:$A,"Ngabu",DataEntry!$B:$B,"Nsanje",DataEntry!$G:$G,"Q3"),"")</f>
        <v/>
      </c>
      <c r="G297" s="15">
        <f>IFERROR(SUMIFS(DataEntry!$CS:$CS,DataEntry!$A:$A,"Ngabu",DataEntry!$B:$B,"Nsanje",DataEntry!$G:$G,"Q4"),"")</f>
        <v/>
      </c>
      <c r="H297" s="20">
        <f>IFERROR(SUM(D297:G297),"")</f>
        <v/>
      </c>
    </row>
    <row r="298">
      <c r="A298" s="21" t="inlineStr">
        <is>
          <t>Ngabu</t>
        </is>
      </c>
      <c r="B298" s="21" t="inlineStr">
        <is>
          <t>Nsanje</t>
        </is>
      </c>
      <c r="C298" s="12" t="inlineStr">
        <is>
          <t>New Connections</t>
        </is>
      </c>
      <c r="D298" s="9">
        <f>IFERROR(SUMIFS(DataEntry!$CA:$CA,DataEntry!$A:$A,"Ngabu",DataEntry!$B:$B,"Nsanje",DataEntry!$G:$G,"Q1"),"")</f>
        <v/>
      </c>
      <c r="E298" s="9">
        <f>IFERROR(SUMIFS(DataEntry!$CA:$CA,DataEntry!$A:$A,"Ngabu",DataEntry!$B:$B,"Nsanje",DataEntry!$G:$G,"Q2"),"")</f>
        <v/>
      </c>
      <c r="F298" s="9">
        <f>IFERROR(SUMIFS(DataEntry!$CA:$CA,DataEntry!$A:$A,"Ngabu",DataEntry!$B:$B,"Nsanje",DataEntry!$G:$G,"Q3"),"")</f>
        <v/>
      </c>
      <c r="G298" s="9">
        <f>IFERROR(SUMIFS(DataEntry!$CA:$CA,DataEntry!$A:$A,"Ngabu",DataEntry!$B:$B,"Nsanje",DataEntry!$G:$G,"Q4"),"")</f>
        <v/>
      </c>
      <c r="H298" s="22">
        <f>IFERROR(SUM(D298:G298),"")</f>
        <v/>
      </c>
    </row>
    <row r="299">
      <c r="A299" s="19" t="inlineStr">
        <is>
          <t>Ngabu</t>
        </is>
      </c>
      <c r="B299" s="19" t="inlineStr">
        <is>
          <t>Nsanje</t>
        </is>
      </c>
      <c r="C299" s="6" t="inlineStr">
        <is>
          <t>Stuck Meters C/Fwd</t>
        </is>
      </c>
      <c r="D299" s="15">
        <f>IFERROR(SUMIFS(DataEntry!$DV:$DV,DataEntry!$A:$A,"Ngabu",DataEntry!$B:$B,"Nsanje",DataEntry!$G:$G,"Q1"),"")</f>
        <v/>
      </c>
      <c r="E299" s="15">
        <f>IFERROR(SUMIFS(DataEntry!$DV:$DV,DataEntry!$A:$A,"Ngabu",DataEntry!$B:$B,"Nsanje",DataEntry!$G:$G,"Q2"),"")</f>
        <v/>
      </c>
      <c r="F299" s="15">
        <f>IFERROR(SUMIFS(DataEntry!$DV:$DV,DataEntry!$A:$A,"Ngabu",DataEntry!$B:$B,"Nsanje",DataEntry!$G:$G,"Q3"),"")</f>
        <v/>
      </c>
      <c r="G299" s="15">
        <f>IFERROR(SUMIFS(DataEntry!$DV:$DV,DataEntry!$A:$A,"Ngabu",DataEntry!$B:$B,"Nsanje",DataEntry!$G:$G,"Q4"),"")</f>
        <v/>
      </c>
      <c r="H299" s="20">
        <f>IFERROR(SUM(D299:G299),"")</f>
        <v/>
      </c>
    </row>
    <row r="300">
      <c r="A300" s="21" t="inlineStr">
        <is>
          <t>Ngabu</t>
        </is>
      </c>
      <c r="B300" s="21" t="inlineStr">
        <is>
          <t>Nsanje</t>
        </is>
      </c>
      <c r="C300" s="12" t="inlineStr">
        <is>
          <t>Cash Collection Rate</t>
        </is>
      </c>
      <c r="D300" s="10">
        <f>IFERROR(AVERAGEIFS(DataEntry!$HC:$HC,DataEntry!$A:$A,"Ngabu",DataEntry!$B:$B,"Nsanje",DataEntry!$G:$G,"Q1"),"")</f>
        <v/>
      </c>
      <c r="E300" s="10">
        <f>IFERROR(AVERAGEIFS(DataEntry!$HC:$HC,DataEntry!$A:$A,"Ngabu",DataEntry!$B:$B,"Nsanje",DataEntry!$G:$G,"Q2"),"")</f>
        <v/>
      </c>
      <c r="F300" s="10">
        <f>IFERROR(AVERAGEIFS(DataEntry!$HC:$HC,DataEntry!$A:$A,"Ngabu",DataEntry!$B:$B,"Nsanje",DataEntry!$G:$G,"Q3"),"")</f>
        <v/>
      </c>
      <c r="G300" s="10">
        <f>IFERROR(AVERAGEIFS(DataEntry!$HC:$HC,DataEntry!$A:$A,"Ngabu",DataEntry!$B:$B,"Nsanje",DataEntry!$G:$G,"Q4"),"")</f>
        <v/>
      </c>
      <c r="H300" s="23">
        <f>IFERROR(AVERAGE(D300:G300),"")</f>
        <v/>
      </c>
    </row>
    <row r="301">
      <c r="A301" s="19" t="inlineStr">
        <is>
          <t>Ngabu</t>
        </is>
      </c>
      <c r="B301" s="19" t="inlineStr">
        <is>
          <t>Nsanje</t>
        </is>
      </c>
      <c r="C301" s="6" t="inlineStr">
        <is>
          <t>OpCost per Sales</t>
        </is>
      </c>
      <c r="D301" s="16">
        <f>IFERROR(AVERAGEIFS(DataEntry!$HB:$HB,DataEntry!$A:$A,"Ngabu",DataEntry!$B:$B,"Nsanje",DataEntry!$G:$G,"Q1"),"")</f>
        <v/>
      </c>
      <c r="E301" s="16">
        <f>IFERROR(AVERAGEIFS(DataEntry!$HB:$HB,DataEntry!$A:$A,"Ngabu",DataEntry!$B:$B,"Nsanje",DataEntry!$G:$G,"Q2"),"")</f>
        <v/>
      </c>
      <c r="F301" s="16">
        <f>IFERROR(AVERAGEIFS(DataEntry!$HB:$HB,DataEntry!$A:$A,"Ngabu",DataEntry!$B:$B,"Nsanje",DataEntry!$G:$G,"Q3"),"")</f>
        <v/>
      </c>
      <c r="G301" s="16">
        <f>IFERROR(AVERAGEIFS(DataEntry!$HB:$HB,DataEntry!$A:$A,"Ngabu",DataEntry!$B:$B,"Nsanje",DataEntry!$G:$G,"Q4"),"")</f>
        <v/>
      </c>
      <c r="H301" s="24">
        <f>IFERROR(AVERAGE(D301:G301),"")</f>
        <v/>
      </c>
    </row>
    <row r="302">
      <c r="A302" s="21" t="inlineStr">
        <is>
          <t>Zomba</t>
        </is>
      </c>
      <c r="B302" s="21" t="inlineStr">
        <is>
          <t>Chiradzulu</t>
        </is>
      </c>
      <c r="C302" s="12" t="inlineStr">
        <is>
          <t>Volume Produced (m³)</t>
        </is>
      </c>
      <c r="D302" s="9">
        <f>IFERROR(SUMIFS(DataEntry!$H:$H,DataEntry!$A:$A,"Zomba",DataEntry!$B:$B,"Chiradzulu",DataEntry!$G:$G,"Q1"),"")</f>
        <v/>
      </c>
      <c r="E302" s="9">
        <f>IFERROR(SUMIFS(DataEntry!$H:$H,DataEntry!$A:$A,"Zomba",DataEntry!$B:$B,"Chiradzulu",DataEntry!$G:$G,"Q2"),"")</f>
        <v/>
      </c>
      <c r="F302" s="9">
        <f>IFERROR(SUMIFS(DataEntry!$H:$H,DataEntry!$A:$A,"Zomba",DataEntry!$B:$B,"Chiradzulu",DataEntry!$G:$G,"Q3"),"")</f>
        <v/>
      </c>
      <c r="G302" s="9">
        <f>IFERROR(SUMIFS(DataEntry!$H:$H,DataEntry!$A:$A,"Zomba",DataEntry!$B:$B,"Chiradzulu",DataEntry!$G:$G,"Q4"),"")</f>
        <v/>
      </c>
      <c r="H302" s="22">
        <f>IFERROR(SUM(D302:G302),"")</f>
        <v/>
      </c>
    </row>
    <row r="303">
      <c r="A303" s="19" t="inlineStr">
        <is>
          <t>Zomba</t>
        </is>
      </c>
      <c r="B303" s="19" t="inlineStr">
        <is>
          <t>Chiradzulu</t>
        </is>
      </c>
      <c r="C303" s="6" t="inlineStr">
        <is>
          <t>Total Revenue Water</t>
        </is>
      </c>
      <c r="D303" s="15">
        <f>IFERROR(SUMIFS(DataEntry!$S:$S,DataEntry!$A:$A,"Zomba",DataEntry!$B:$B,"Chiradzulu",DataEntry!$G:$G,"Q1"),"")</f>
        <v/>
      </c>
      <c r="E303" s="15">
        <f>IFERROR(SUMIFS(DataEntry!$S:$S,DataEntry!$A:$A,"Zomba",DataEntry!$B:$B,"Chiradzulu",DataEntry!$G:$G,"Q2"),"")</f>
        <v/>
      </c>
      <c r="F303" s="15">
        <f>IFERROR(SUMIFS(DataEntry!$S:$S,DataEntry!$A:$A,"Zomba",DataEntry!$B:$B,"Chiradzulu",DataEntry!$G:$G,"Q3"),"")</f>
        <v/>
      </c>
      <c r="G303" s="15">
        <f>IFERROR(SUMIFS(DataEntry!$S:$S,DataEntry!$A:$A,"Zomba",DataEntry!$B:$B,"Chiradzulu",DataEntry!$G:$G,"Q4"),"")</f>
        <v/>
      </c>
      <c r="H303" s="20">
        <f>IFERROR(SUM(D303:G303),"")</f>
        <v/>
      </c>
    </row>
    <row r="304">
      <c r="A304" s="21" t="inlineStr">
        <is>
          <t>Zomba</t>
        </is>
      </c>
      <c r="B304" s="21" t="inlineStr">
        <is>
          <t>Chiradzulu</t>
        </is>
      </c>
      <c r="C304" s="12" t="inlineStr">
        <is>
          <t>Non-Revenue Water</t>
        </is>
      </c>
      <c r="D304" s="9">
        <f>IFERROR(SUMIFS(DataEntry!$T:$T,DataEntry!$A:$A,"Zomba",DataEntry!$B:$B,"Chiradzulu",DataEntry!$G:$G,"Q1"),"")</f>
        <v/>
      </c>
      <c r="E304" s="9">
        <f>IFERROR(SUMIFS(DataEntry!$T:$T,DataEntry!$A:$A,"Zomba",DataEntry!$B:$B,"Chiradzulu",DataEntry!$G:$G,"Q2"),"")</f>
        <v/>
      </c>
      <c r="F304" s="9">
        <f>IFERROR(SUMIFS(DataEntry!$T:$T,DataEntry!$A:$A,"Zomba",DataEntry!$B:$B,"Chiradzulu",DataEntry!$G:$G,"Q3"),"")</f>
        <v/>
      </c>
      <c r="G304" s="9">
        <f>IFERROR(SUMIFS(DataEntry!$T:$T,DataEntry!$A:$A,"Zomba",DataEntry!$B:$B,"Chiradzulu",DataEntry!$G:$G,"Q4"),"")</f>
        <v/>
      </c>
      <c r="H304" s="22">
        <f>IFERROR(SUM(D304:G304),"")</f>
        <v/>
      </c>
    </row>
    <row r="305">
      <c r="A305" s="19" t="inlineStr">
        <is>
          <t>Zomba</t>
        </is>
      </c>
      <c r="B305" s="19" t="inlineStr">
        <is>
          <t>Chiradzulu</t>
        </is>
      </c>
      <c r="C305" s="6" t="inlineStr">
        <is>
          <t>% NRW</t>
        </is>
      </c>
      <c r="D305" s="16">
        <f>IFERROR(AVERAGEIFS(DataEntry!$U:$U,DataEntry!$A:$A,"Zomba",DataEntry!$B:$B,"Chiradzulu",DataEntry!$G:$G,"Q1"),"")</f>
        <v/>
      </c>
      <c r="E305" s="16">
        <f>IFERROR(AVERAGEIFS(DataEntry!$U:$U,DataEntry!$A:$A,"Zomba",DataEntry!$B:$B,"Chiradzulu",DataEntry!$G:$G,"Q2"),"")</f>
        <v/>
      </c>
      <c r="F305" s="16">
        <f>IFERROR(AVERAGEIFS(DataEntry!$U:$U,DataEntry!$A:$A,"Zomba",DataEntry!$B:$B,"Chiradzulu",DataEntry!$G:$G,"Q3"),"")</f>
        <v/>
      </c>
      <c r="G305" s="16">
        <f>IFERROR(AVERAGEIFS(DataEntry!$U:$U,DataEntry!$A:$A,"Zomba",DataEntry!$B:$B,"Chiradzulu",DataEntry!$G:$G,"Q4"),"")</f>
        <v/>
      </c>
      <c r="H305" s="24">
        <f>IFERROR(AVERAGE(D305:G305),"")</f>
        <v/>
      </c>
    </row>
    <row r="306">
      <c r="A306" s="21" t="inlineStr">
        <is>
          <t>Zomba</t>
        </is>
      </c>
      <c r="B306" s="21" t="inlineStr">
        <is>
          <t>Chiradzulu</t>
        </is>
      </c>
      <c r="C306" s="12" t="inlineStr">
        <is>
          <t>Total Operating Costs</t>
        </is>
      </c>
      <c r="D306" s="9">
        <f>IFERROR(SUMIFS(DataEntry!$AU:$AU,DataEntry!$A:$A,"Zomba",DataEntry!$B:$B,"Chiradzulu",DataEntry!$G:$G,"Q1"),"")</f>
        <v/>
      </c>
      <c r="E306" s="9">
        <f>IFERROR(SUMIFS(DataEntry!$AU:$AU,DataEntry!$A:$A,"Zomba",DataEntry!$B:$B,"Chiradzulu",DataEntry!$G:$G,"Q2"),"")</f>
        <v/>
      </c>
      <c r="F306" s="9">
        <f>IFERROR(SUMIFS(DataEntry!$AU:$AU,DataEntry!$A:$A,"Zomba",DataEntry!$B:$B,"Chiradzulu",DataEntry!$G:$G,"Q3"),"")</f>
        <v/>
      </c>
      <c r="G306" s="9">
        <f>IFERROR(SUMIFS(DataEntry!$AU:$AU,DataEntry!$A:$A,"Zomba",DataEntry!$B:$B,"Chiradzulu",DataEntry!$G:$G,"Q4"),"")</f>
        <v/>
      </c>
      <c r="H306" s="22">
        <f>IFERROR(SUM(D306:G306),"")</f>
        <v/>
      </c>
    </row>
    <row r="307">
      <c r="A307" s="19" t="inlineStr">
        <is>
          <t>Zomba</t>
        </is>
      </c>
      <c r="B307" s="19" t="inlineStr">
        <is>
          <t>Chiradzulu</t>
        </is>
      </c>
      <c r="C307" s="6" t="inlineStr">
        <is>
          <t>Total Cash Collected</t>
        </is>
      </c>
      <c r="D307" s="15">
        <f>IFERROR(SUMIFS(DataEntry!$GB:$GB,DataEntry!$A:$A,"Zomba",DataEntry!$B:$B,"Chiradzulu",DataEntry!$G:$G,"Q1"),"")</f>
        <v/>
      </c>
      <c r="E307" s="15">
        <f>IFERROR(SUMIFS(DataEntry!$GB:$GB,DataEntry!$A:$A,"Zomba",DataEntry!$B:$B,"Chiradzulu",DataEntry!$G:$G,"Q2"),"")</f>
        <v/>
      </c>
      <c r="F307" s="15">
        <f>IFERROR(SUMIFS(DataEntry!$GB:$GB,DataEntry!$A:$A,"Zomba",DataEntry!$B:$B,"Chiradzulu",DataEntry!$G:$G,"Q3"),"")</f>
        <v/>
      </c>
      <c r="G307" s="15">
        <f>IFERROR(SUMIFS(DataEntry!$GB:$GB,DataEntry!$A:$A,"Zomba",DataEntry!$B:$B,"Chiradzulu",DataEntry!$G:$G,"Q4"),"")</f>
        <v/>
      </c>
      <c r="H307" s="20">
        <f>IFERROR(SUM(D307:G307),"")</f>
        <v/>
      </c>
    </row>
    <row r="308">
      <c r="A308" s="21" t="inlineStr">
        <is>
          <t>Zomba</t>
        </is>
      </c>
      <c r="B308" s="21" t="inlineStr">
        <is>
          <t>Chiradzulu</t>
        </is>
      </c>
      <c r="C308" s="12" t="inlineStr">
        <is>
          <t>Total Amount Billed</t>
        </is>
      </c>
      <c r="D308" s="9">
        <f>IFERROR(SUMIFS(DataEntry!$GM:$GM,DataEntry!$A:$A,"Zomba",DataEntry!$B:$B,"Chiradzulu",DataEntry!$G:$G,"Q1"),"")</f>
        <v/>
      </c>
      <c r="E308" s="9">
        <f>IFERROR(SUMIFS(DataEntry!$GM:$GM,DataEntry!$A:$A,"Zomba",DataEntry!$B:$B,"Chiradzulu",DataEntry!$G:$G,"Q2"),"")</f>
        <v/>
      </c>
      <c r="F308" s="9">
        <f>IFERROR(SUMIFS(DataEntry!$GM:$GM,DataEntry!$A:$A,"Zomba",DataEntry!$B:$B,"Chiradzulu",DataEntry!$G:$G,"Q3"),"")</f>
        <v/>
      </c>
      <c r="G308" s="9">
        <f>IFERROR(SUMIFS(DataEntry!$GM:$GM,DataEntry!$A:$A,"Zomba",DataEntry!$B:$B,"Chiradzulu",DataEntry!$G:$G,"Q4"),"")</f>
        <v/>
      </c>
      <c r="H308" s="22">
        <f>IFERROR(SUM(D308:G308),"")</f>
        <v/>
      </c>
    </row>
    <row r="309">
      <c r="A309" s="19" t="inlineStr">
        <is>
          <t>Zomba</t>
        </is>
      </c>
      <c r="B309" s="19" t="inlineStr">
        <is>
          <t>Chiradzulu</t>
        </is>
      </c>
      <c r="C309" s="6" t="inlineStr">
        <is>
          <t>Total Sales</t>
        </is>
      </c>
      <c r="D309" s="15">
        <f>IFERROR(SUMIFS(DataEntry!$GX:$GX,DataEntry!$A:$A,"Zomba",DataEntry!$B:$B,"Chiradzulu",DataEntry!$G:$G,"Q1"),"")</f>
        <v/>
      </c>
      <c r="E309" s="15">
        <f>IFERROR(SUMIFS(DataEntry!$GX:$GX,DataEntry!$A:$A,"Zomba",DataEntry!$B:$B,"Chiradzulu",DataEntry!$G:$G,"Q2"),"")</f>
        <v/>
      </c>
      <c r="F309" s="15">
        <f>IFERROR(SUMIFS(DataEntry!$GX:$GX,DataEntry!$A:$A,"Zomba",DataEntry!$B:$B,"Chiradzulu",DataEntry!$G:$G,"Q3"),"")</f>
        <v/>
      </c>
      <c r="G309" s="15">
        <f>IFERROR(SUMIFS(DataEntry!$GX:$GX,DataEntry!$A:$A,"Zomba",DataEntry!$B:$B,"Chiradzulu",DataEntry!$G:$G,"Q4"),"")</f>
        <v/>
      </c>
      <c r="H309" s="20">
        <f>IFERROR(SUM(D309:G309),"")</f>
        <v/>
      </c>
    </row>
    <row r="310">
      <c r="A310" s="21" t="inlineStr">
        <is>
          <t>Zomba</t>
        </is>
      </c>
      <c r="B310" s="21" t="inlineStr">
        <is>
          <t>Chiradzulu</t>
        </is>
      </c>
      <c r="C310" s="12" t="inlineStr">
        <is>
          <t>Active Customers</t>
        </is>
      </c>
      <c r="D310" s="9">
        <f>IFERROR(SUMIFS(DataEntry!$CS:$CS,DataEntry!$A:$A,"Zomba",DataEntry!$B:$B,"Chiradzulu",DataEntry!$G:$G,"Q1"),"")</f>
        <v/>
      </c>
      <c r="E310" s="9">
        <f>IFERROR(SUMIFS(DataEntry!$CS:$CS,DataEntry!$A:$A,"Zomba",DataEntry!$B:$B,"Chiradzulu",DataEntry!$G:$G,"Q2"),"")</f>
        <v/>
      </c>
      <c r="F310" s="9">
        <f>IFERROR(SUMIFS(DataEntry!$CS:$CS,DataEntry!$A:$A,"Zomba",DataEntry!$B:$B,"Chiradzulu",DataEntry!$G:$G,"Q3"),"")</f>
        <v/>
      </c>
      <c r="G310" s="9">
        <f>IFERROR(SUMIFS(DataEntry!$CS:$CS,DataEntry!$A:$A,"Zomba",DataEntry!$B:$B,"Chiradzulu",DataEntry!$G:$G,"Q4"),"")</f>
        <v/>
      </c>
      <c r="H310" s="22">
        <f>IFERROR(SUM(D310:G310),"")</f>
        <v/>
      </c>
    </row>
    <row r="311">
      <c r="A311" s="19" t="inlineStr">
        <is>
          <t>Zomba</t>
        </is>
      </c>
      <c r="B311" s="19" t="inlineStr">
        <is>
          <t>Chiradzulu</t>
        </is>
      </c>
      <c r="C311" s="6" t="inlineStr">
        <is>
          <t>New Connections</t>
        </is>
      </c>
      <c r="D311" s="15">
        <f>IFERROR(SUMIFS(DataEntry!$CA:$CA,DataEntry!$A:$A,"Zomba",DataEntry!$B:$B,"Chiradzulu",DataEntry!$G:$G,"Q1"),"")</f>
        <v/>
      </c>
      <c r="E311" s="15">
        <f>IFERROR(SUMIFS(DataEntry!$CA:$CA,DataEntry!$A:$A,"Zomba",DataEntry!$B:$B,"Chiradzulu",DataEntry!$G:$G,"Q2"),"")</f>
        <v/>
      </c>
      <c r="F311" s="15">
        <f>IFERROR(SUMIFS(DataEntry!$CA:$CA,DataEntry!$A:$A,"Zomba",DataEntry!$B:$B,"Chiradzulu",DataEntry!$G:$G,"Q3"),"")</f>
        <v/>
      </c>
      <c r="G311" s="15">
        <f>IFERROR(SUMIFS(DataEntry!$CA:$CA,DataEntry!$A:$A,"Zomba",DataEntry!$B:$B,"Chiradzulu",DataEntry!$G:$G,"Q4"),"")</f>
        <v/>
      </c>
      <c r="H311" s="20">
        <f>IFERROR(SUM(D311:G311),"")</f>
        <v/>
      </c>
    </row>
    <row r="312">
      <c r="A312" s="21" t="inlineStr">
        <is>
          <t>Zomba</t>
        </is>
      </c>
      <c r="B312" s="21" t="inlineStr">
        <is>
          <t>Chiradzulu</t>
        </is>
      </c>
      <c r="C312" s="12" t="inlineStr">
        <is>
          <t>Stuck Meters C/Fwd</t>
        </is>
      </c>
      <c r="D312" s="9">
        <f>IFERROR(SUMIFS(DataEntry!$DV:$DV,DataEntry!$A:$A,"Zomba",DataEntry!$B:$B,"Chiradzulu",DataEntry!$G:$G,"Q1"),"")</f>
        <v/>
      </c>
      <c r="E312" s="9">
        <f>IFERROR(SUMIFS(DataEntry!$DV:$DV,DataEntry!$A:$A,"Zomba",DataEntry!$B:$B,"Chiradzulu",DataEntry!$G:$G,"Q2"),"")</f>
        <v/>
      </c>
      <c r="F312" s="9">
        <f>IFERROR(SUMIFS(DataEntry!$DV:$DV,DataEntry!$A:$A,"Zomba",DataEntry!$B:$B,"Chiradzulu",DataEntry!$G:$G,"Q3"),"")</f>
        <v/>
      </c>
      <c r="G312" s="9">
        <f>IFERROR(SUMIFS(DataEntry!$DV:$DV,DataEntry!$A:$A,"Zomba",DataEntry!$B:$B,"Chiradzulu",DataEntry!$G:$G,"Q4"),"")</f>
        <v/>
      </c>
      <c r="H312" s="22">
        <f>IFERROR(SUM(D312:G312),"")</f>
        <v/>
      </c>
    </row>
    <row r="313">
      <c r="A313" s="19" t="inlineStr">
        <is>
          <t>Zomba</t>
        </is>
      </c>
      <c r="B313" s="19" t="inlineStr">
        <is>
          <t>Chiradzulu</t>
        </is>
      </c>
      <c r="C313" s="6" t="inlineStr">
        <is>
          <t>Cash Collection Rate</t>
        </is>
      </c>
      <c r="D313" s="16">
        <f>IFERROR(AVERAGEIFS(DataEntry!$HC:$HC,DataEntry!$A:$A,"Zomba",DataEntry!$B:$B,"Chiradzulu",DataEntry!$G:$G,"Q1"),"")</f>
        <v/>
      </c>
      <c r="E313" s="16">
        <f>IFERROR(AVERAGEIFS(DataEntry!$HC:$HC,DataEntry!$A:$A,"Zomba",DataEntry!$B:$B,"Chiradzulu",DataEntry!$G:$G,"Q2"),"")</f>
        <v/>
      </c>
      <c r="F313" s="16">
        <f>IFERROR(AVERAGEIFS(DataEntry!$HC:$HC,DataEntry!$A:$A,"Zomba",DataEntry!$B:$B,"Chiradzulu",DataEntry!$G:$G,"Q3"),"")</f>
        <v/>
      </c>
      <c r="G313" s="16">
        <f>IFERROR(AVERAGEIFS(DataEntry!$HC:$HC,DataEntry!$A:$A,"Zomba",DataEntry!$B:$B,"Chiradzulu",DataEntry!$G:$G,"Q4"),"")</f>
        <v/>
      </c>
      <c r="H313" s="24">
        <f>IFERROR(AVERAGE(D313:G313),"")</f>
        <v/>
      </c>
    </row>
    <row r="314">
      <c r="A314" s="21" t="inlineStr">
        <is>
          <t>Zomba</t>
        </is>
      </c>
      <c r="B314" s="21" t="inlineStr">
        <is>
          <t>Chiradzulu</t>
        </is>
      </c>
      <c r="C314" s="12" t="inlineStr">
        <is>
          <t>OpCost per Sales</t>
        </is>
      </c>
      <c r="D314" s="10">
        <f>IFERROR(AVERAGEIFS(DataEntry!$HB:$HB,DataEntry!$A:$A,"Zomba",DataEntry!$B:$B,"Chiradzulu",DataEntry!$G:$G,"Q1"),"")</f>
        <v/>
      </c>
      <c r="E314" s="10">
        <f>IFERROR(AVERAGEIFS(DataEntry!$HB:$HB,DataEntry!$A:$A,"Zomba",DataEntry!$B:$B,"Chiradzulu",DataEntry!$G:$G,"Q2"),"")</f>
        <v/>
      </c>
      <c r="F314" s="10">
        <f>IFERROR(AVERAGEIFS(DataEntry!$HB:$HB,DataEntry!$A:$A,"Zomba",DataEntry!$B:$B,"Chiradzulu",DataEntry!$G:$G,"Q3"),"")</f>
        <v/>
      </c>
      <c r="G314" s="10">
        <f>IFERROR(AVERAGEIFS(DataEntry!$HB:$HB,DataEntry!$A:$A,"Zomba",DataEntry!$B:$B,"Chiradzulu",DataEntry!$G:$G,"Q4"),"")</f>
        <v/>
      </c>
      <c r="H314" s="23">
        <f>IFERROR(AVERAGE(D314:G314),"")</f>
        <v/>
      </c>
    </row>
    <row r="315">
      <c r="A315" s="19" t="inlineStr">
        <is>
          <t>Zomba</t>
        </is>
      </c>
      <c r="B315" s="19" t="inlineStr">
        <is>
          <t>Domasi</t>
        </is>
      </c>
      <c r="C315" s="6" t="inlineStr">
        <is>
          <t>Volume Produced (m³)</t>
        </is>
      </c>
      <c r="D315" s="15">
        <f>IFERROR(SUMIFS(DataEntry!$H:$H,DataEntry!$A:$A,"Zomba",DataEntry!$B:$B,"Domasi",DataEntry!$G:$G,"Q1"),"")</f>
        <v/>
      </c>
      <c r="E315" s="15">
        <f>IFERROR(SUMIFS(DataEntry!$H:$H,DataEntry!$A:$A,"Zomba",DataEntry!$B:$B,"Domasi",DataEntry!$G:$G,"Q2"),"")</f>
        <v/>
      </c>
      <c r="F315" s="15">
        <f>IFERROR(SUMIFS(DataEntry!$H:$H,DataEntry!$A:$A,"Zomba",DataEntry!$B:$B,"Domasi",DataEntry!$G:$G,"Q3"),"")</f>
        <v/>
      </c>
      <c r="G315" s="15">
        <f>IFERROR(SUMIFS(DataEntry!$H:$H,DataEntry!$A:$A,"Zomba",DataEntry!$B:$B,"Domasi",DataEntry!$G:$G,"Q4"),"")</f>
        <v/>
      </c>
      <c r="H315" s="20">
        <f>IFERROR(SUM(D315:G315),"")</f>
        <v/>
      </c>
    </row>
    <row r="316">
      <c r="A316" s="21" t="inlineStr">
        <is>
          <t>Zomba</t>
        </is>
      </c>
      <c r="B316" s="21" t="inlineStr">
        <is>
          <t>Domasi</t>
        </is>
      </c>
      <c r="C316" s="12" t="inlineStr">
        <is>
          <t>Total Revenue Water</t>
        </is>
      </c>
      <c r="D316" s="9">
        <f>IFERROR(SUMIFS(DataEntry!$S:$S,DataEntry!$A:$A,"Zomba",DataEntry!$B:$B,"Domasi",DataEntry!$G:$G,"Q1"),"")</f>
        <v/>
      </c>
      <c r="E316" s="9">
        <f>IFERROR(SUMIFS(DataEntry!$S:$S,DataEntry!$A:$A,"Zomba",DataEntry!$B:$B,"Domasi",DataEntry!$G:$G,"Q2"),"")</f>
        <v/>
      </c>
      <c r="F316" s="9">
        <f>IFERROR(SUMIFS(DataEntry!$S:$S,DataEntry!$A:$A,"Zomba",DataEntry!$B:$B,"Domasi",DataEntry!$G:$G,"Q3"),"")</f>
        <v/>
      </c>
      <c r="G316" s="9">
        <f>IFERROR(SUMIFS(DataEntry!$S:$S,DataEntry!$A:$A,"Zomba",DataEntry!$B:$B,"Domasi",DataEntry!$G:$G,"Q4"),"")</f>
        <v/>
      </c>
      <c r="H316" s="22">
        <f>IFERROR(SUM(D316:G316),"")</f>
        <v/>
      </c>
    </row>
    <row r="317">
      <c r="A317" s="19" t="inlineStr">
        <is>
          <t>Zomba</t>
        </is>
      </c>
      <c r="B317" s="19" t="inlineStr">
        <is>
          <t>Domasi</t>
        </is>
      </c>
      <c r="C317" s="6" t="inlineStr">
        <is>
          <t>Non-Revenue Water</t>
        </is>
      </c>
      <c r="D317" s="15">
        <f>IFERROR(SUMIFS(DataEntry!$T:$T,DataEntry!$A:$A,"Zomba",DataEntry!$B:$B,"Domasi",DataEntry!$G:$G,"Q1"),"")</f>
        <v/>
      </c>
      <c r="E317" s="15">
        <f>IFERROR(SUMIFS(DataEntry!$T:$T,DataEntry!$A:$A,"Zomba",DataEntry!$B:$B,"Domasi",DataEntry!$G:$G,"Q2"),"")</f>
        <v/>
      </c>
      <c r="F317" s="15">
        <f>IFERROR(SUMIFS(DataEntry!$T:$T,DataEntry!$A:$A,"Zomba",DataEntry!$B:$B,"Domasi",DataEntry!$G:$G,"Q3"),"")</f>
        <v/>
      </c>
      <c r="G317" s="15">
        <f>IFERROR(SUMIFS(DataEntry!$T:$T,DataEntry!$A:$A,"Zomba",DataEntry!$B:$B,"Domasi",DataEntry!$G:$G,"Q4"),"")</f>
        <v/>
      </c>
      <c r="H317" s="20">
        <f>IFERROR(SUM(D317:G317),"")</f>
        <v/>
      </c>
    </row>
    <row r="318">
      <c r="A318" s="21" t="inlineStr">
        <is>
          <t>Zomba</t>
        </is>
      </c>
      <c r="B318" s="21" t="inlineStr">
        <is>
          <t>Domasi</t>
        </is>
      </c>
      <c r="C318" s="12" t="inlineStr">
        <is>
          <t>% NRW</t>
        </is>
      </c>
      <c r="D318" s="10">
        <f>IFERROR(AVERAGEIFS(DataEntry!$U:$U,DataEntry!$A:$A,"Zomba",DataEntry!$B:$B,"Domasi",DataEntry!$G:$G,"Q1"),"")</f>
        <v/>
      </c>
      <c r="E318" s="10">
        <f>IFERROR(AVERAGEIFS(DataEntry!$U:$U,DataEntry!$A:$A,"Zomba",DataEntry!$B:$B,"Domasi",DataEntry!$G:$G,"Q2"),"")</f>
        <v/>
      </c>
      <c r="F318" s="10">
        <f>IFERROR(AVERAGEIFS(DataEntry!$U:$U,DataEntry!$A:$A,"Zomba",DataEntry!$B:$B,"Domasi",DataEntry!$G:$G,"Q3"),"")</f>
        <v/>
      </c>
      <c r="G318" s="10">
        <f>IFERROR(AVERAGEIFS(DataEntry!$U:$U,DataEntry!$A:$A,"Zomba",DataEntry!$B:$B,"Domasi",DataEntry!$G:$G,"Q4"),"")</f>
        <v/>
      </c>
      <c r="H318" s="23">
        <f>IFERROR(AVERAGE(D318:G318),"")</f>
        <v/>
      </c>
    </row>
    <row r="319">
      <c r="A319" s="19" t="inlineStr">
        <is>
          <t>Zomba</t>
        </is>
      </c>
      <c r="B319" s="19" t="inlineStr">
        <is>
          <t>Domasi</t>
        </is>
      </c>
      <c r="C319" s="6" t="inlineStr">
        <is>
          <t>Total Operating Costs</t>
        </is>
      </c>
      <c r="D319" s="15">
        <f>IFERROR(SUMIFS(DataEntry!$AU:$AU,DataEntry!$A:$A,"Zomba",DataEntry!$B:$B,"Domasi",DataEntry!$G:$G,"Q1"),"")</f>
        <v/>
      </c>
      <c r="E319" s="15">
        <f>IFERROR(SUMIFS(DataEntry!$AU:$AU,DataEntry!$A:$A,"Zomba",DataEntry!$B:$B,"Domasi",DataEntry!$G:$G,"Q2"),"")</f>
        <v/>
      </c>
      <c r="F319" s="15">
        <f>IFERROR(SUMIFS(DataEntry!$AU:$AU,DataEntry!$A:$A,"Zomba",DataEntry!$B:$B,"Domasi",DataEntry!$G:$G,"Q3"),"")</f>
        <v/>
      </c>
      <c r="G319" s="15">
        <f>IFERROR(SUMIFS(DataEntry!$AU:$AU,DataEntry!$A:$A,"Zomba",DataEntry!$B:$B,"Domasi",DataEntry!$G:$G,"Q4"),"")</f>
        <v/>
      </c>
      <c r="H319" s="20">
        <f>IFERROR(SUM(D319:G319),"")</f>
        <v/>
      </c>
    </row>
    <row r="320">
      <c r="A320" s="21" t="inlineStr">
        <is>
          <t>Zomba</t>
        </is>
      </c>
      <c r="B320" s="21" t="inlineStr">
        <is>
          <t>Domasi</t>
        </is>
      </c>
      <c r="C320" s="12" t="inlineStr">
        <is>
          <t>Total Cash Collected</t>
        </is>
      </c>
      <c r="D320" s="9">
        <f>IFERROR(SUMIFS(DataEntry!$GB:$GB,DataEntry!$A:$A,"Zomba",DataEntry!$B:$B,"Domasi",DataEntry!$G:$G,"Q1"),"")</f>
        <v/>
      </c>
      <c r="E320" s="9">
        <f>IFERROR(SUMIFS(DataEntry!$GB:$GB,DataEntry!$A:$A,"Zomba",DataEntry!$B:$B,"Domasi",DataEntry!$G:$G,"Q2"),"")</f>
        <v/>
      </c>
      <c r="F320" s="9">
        <f>IFERROR(SUMIFS(DataEntry!$GB:$GB,DataEntry!$A:$A,"Zomba",DataEntry!$B:$B,"Domasi",DataEntry!$G:$G,"Q3"),"")</f>
        <v/>
      </c>
      <c r="G320" s="9">
        <f>IFERROR(SUMIFS(DataEntry!$GB:$GB,DataEntry!$A:$A,"Zomba",DataEntry!$B:$B,"Domasi",DataEntry!$G:$G,"Q4"),"")</f>
        <v/>
      </c>
      <c r="H320" s="22">
        <f>IFERROR(SUM(D320:G320),"")</f>
        <v/>
      </c>
    </row>
    <row r="321">
      <c r="A321" s="19" t="inlineStr">
        <is>
          <t>Zomba</t>
        </is>
      </c>
      <c r="B321" s="19" t="inlineStr">
        <is>
          <t>Domasi</t>
        </is>
      </c>
      <c r="C321" s="6" t="inlineStr">
        <is>
          <t>Total Amount Billed</t>
        </is>
      </c>
      <c r="D321" s="15">
        <f>IFERROR(SUMIFS(DataEntry!$GM:$GM,DataEntry!$A:$A,"Zomba",DataEntry!$B:$B,"Domasi",DataEntry!$G:$G,"Q1"),"")</f>
        <v/>
      </c>
      <c r="E321" s="15">
        <f>IFERROR(SUMIFS(DataEntry!$GM:$GM,DataEntry!$A:$A,"Zomba",DataEntry!$B:$B,"Domasi",DataEntry!$G:$G,"Q2"),"")</f>
        <v/>
      </c>
      <c r="F321" s="15">
        <f>IFERROR(SUMIFS(DataEntry!$GM:$GM,DataEntry!$A:$A,"Zomba",DataEntry!$B:$B,"Domasi",DataEntry!$G:$G,"Q3"),"")</f>
        <v/>
      </c>
      <c r="G321" s="15">
        <f>IFERROR(SUMIFS(DataEntry!$GM:$GM,DataEntry!$A:$A,"Zomba",DataEntry!$B:$B,"Domasi",DataEntry!$G:$G,"Q4"),"")</f>
        <v/>
      </c>
      <c r="H321" s="20">
        <f>IFERROR(SUM(D321:G321),"")</f>
        <v/>
      </c>
    </row>
    <row r="322">
      <c r="A322" s="21" t="inlineStr">
        <is>
          <t>Zomba</t>
        </is>
      </c>
      <c r="B322" s="21" t="inlineStr">
        <is>
          <t>Domasi</t>
        </is>
      </c>
      <c r="C322" s="12" t="inlineStr">
        <is>
          <t>Total Sales</t>
        </is>
      </c>
      <c r="D322" s="9">
        <f>IFERROR(SUMIFS(DataEntry!$GX:$GX,DataEntry!$A:$A,"Zomba",DataEntry!$B:$B,"Domasi",DataEntry!$G:$G,"Q1"),"")</f>
        <v/>
      </c>
      <c r="E322" s="9">
        <f>IFERROR(SUMIFS(DataEntry!$GX:$GX,DataEntry!$A:$A,"Zomba",DataEntry!$B:$B,"Domasi",DataEntry!$G:$G,"Q2"),"")</f>
        <v/>
      </c>
      <c r="F322" s="9">
        <f>IFERROR(SUMIFS(DataEntry!$GX:$GX,DataEntry!$A:$A,"Zomba",DataEntry!$B:$B,"Domasi",DataEntry!$G:$G,"Q3"),"")</f>
        <v/>
      </c>
      <c r="G322" s="9">
        <f>IFERROR(SUMIFS(DataEntry!$GX:$GX,DataEntry!$A:$A,"Zomba",DataEntry!$B:$B,"Domasi",DataEntry!$G:$G,"Q4"),"")</f>
        <v/>
      </c>
      <c r="H322" s="22">
        <f>IFERROR(SUM(D322:G322),"")</f>
        <v/>
      </c>
    </row>
    <row r="323">
      <c r="A323" s="19" t="inlineStr">
        <is>
          <t>Zomba</t>
        </is>
      </c>
      <c r="B323" s="19" t="inlineStr">
        <is>
          <t>Domasi</t>
        </is>
      </c>
      <c r="C323" s="6" t="inlineStr">
        <is>
          <t>Active Customers</t>
        </is>
      </c>
      <c r="D323" s="15">
        <f>IFERROR(SUMIFS(DataEntry!$CS:$CS,DataEntry!$A:$A,"Zomba",DataEntry!$B:$B,"Domasi",DataEntry!$G:$G,"Q1"),"")</f>
        <v/>
      </c>
      <c r="E323" s="15">
        <f>IFERROR(SUMIFS(DataEntry!$CS:$CS,DataEntry!$A:$A,"Zomba",DataEntry!$B:$B,"Domasi",DataEntry!$G:$G,"Q2"),"")</f>
        <v/>
      </c>
      <c r="F323" s="15">
        <f>IFERROR(SUMIFS(DataEntry!$CS:$CS,DataEntry!$A:$A,"Zomba",DataEntry!$B:$B,"Domasi",DataEntry!$G:$G,"Q3"),"")</f>
        <v/>
      </c>
      <c r="G323" s="15">
        <f>IFERROR(SUMIFS(DataEntry!$CS:$CS,DataEntry!$A:$A,"Zomba",DataEntry!$B:$B,"Domasi",DataEntry!$G:$G,"Q4"),"")</f>
        <v/>
      </c>
      <c r="H323" s="20">
        <f>IFERROR(SUM(D323:G323),"")</f>
        <v/>
      </c>
    </row>
    <row r="324">
      <c r="A324" s="21" t="inlineStr">
        <is>
          <t>Zomba</t>
        </is>
      </c>
      <c r="B324" s="21" t="inlineStr">
        <is>
          <t>Domasi</t>
        </is>
      </c>
      <c r="C324" s="12" t="inlineStr">
        <is>
          <t>New Connections</t>
        </is>
      </c>
      <c r="D324" s="9">
        <f>IFERROR(SUMIFS(DataEntry!$CA:$CA,DataEntry!$A:$A,"Zomba",DataEntry!$B:$B,"Domasi",DataEntry!$G:$G,"Q1"),"")</f>
        <v/>
      </c>
      <c r="E324" s="9">
        <f>IFERROR(SUMIFS(DataEntry!$CA:$CA,DataEntry!$A:$A,"Zomba",DataEntry!$B:$B,"Domasi",DataEntry!$G:$G,"Q2"),"")</f>
        <v/>
      </c>
      <c r="F324" s="9">
        <f>IFERROR(SUMIFS(DataEntry!$CA:$CA,DataEntry!$A:$A,"Zomba",DataEntry!$B:$B,"Domasi",DataEntry!$G:$G,"Q3"),"")</f>
        <v/>
      </c>
      <c r="G324" s="9">
        <f>IFERROR(SUMIFS(DataEntry!$CA:$CA,DataEntry!$A:$A,"Zomba",DataEntry!$B:$B,"Domasi",DataEntry!$G:$G,"Q4"),"")</f>
        <v/>
      </c>
      <c r="H324" s="22">
        <f>IFERROR(SUM(D324:G324),"")</f>
        <v/>
      </c>
    </row>
    <row r="325">
      <c r="A325" s="19" t="inlineStr">
        <is>
          <t>Zomba</t>
        </is>
      </c>
      <c r="B325" s="19" t="inlineStr">
        <is>
          <t>Domasi</t>
        </is>
      </c>
      <c r="C325" s="6" t="inlineStr">
        <is>
          <t>Stuck Meters C/Fwd</t>
        </is>
      </c>
      <c r="D325" s="15">
        <f>IFERROR(SUMIFS(DataEntry!$DV:$DV,DataEntry!$A:$A,"Zomba",DataEntry!$B:$B,"Domasi",DataEntry!$G:$G,"Q1"),"")</f>
        <v/>
      </c>
      <c r="E325" s="15">
        <f>IFERROR(SUMIFS(DataEntry!$DV:$DV,DataEntry!$A:$A,"Zomba",DataEntry!$B:$B,"Domasi",DataEntry!$G:$G,"Q2"),"")</f>
        <v/>
      </c>
      <c r="F325" s="15">
        <f>IFERROR(SUMIFS(DataEntry!$DV:$DV,DataEntry!$A:$A,"Zomba",DataEntry!$B:$B,"Domasi",DataEntry!$G:$G,"Q3"),"")</f>
        <v/>
      </c>
      <c r="G325" s="15">
        <f>IFERROR(SUMIFS(DataEntry!$DV:$DV,DataEntry!$A:$A,"Zomba",DataEntry!$B:$B,"Domasi",DataEntry!$G:$G,"Q4"),"")</f>
        <v/>
      </c>
      <c r="H325" s="20">
        <f>IFERROR(SUM(D325:G325),"")</f>
        <v/>
      </c>
    </row>
    <row r="326">
      <c r="A326" s="21" t="inlineStr">
        <is>
          <t>Zomba</t>
        </is>
      </c>
      <c r="B326" s="21" t="inlineStr">
        <is>
          <t>Domasi</t>
        </is>
      </c>
      <c r="C326" s="12" t="inlineStr">
        <is>
          <t>Cash Collection Rate</t>
        </is>
      </c>
      <c r="D326" s="10">
        <f>IFERROR(AVERAGEIFS(DataEntry!$HC:$HC,DataEntry!$A:$A,"Zomba",DataEntry!$B:$B,"Domasi",DataEntry!$G:$G,"Q1"),"")</f>
        <v/>
      </c>
      <c r="E326" s="10">
        <f>IFERROR(AVERAGEIFS(DataEntry!$HC:$HC,DataEntry!$A:$A,"Zomba",DataEntry!$B:$B,"Domasi",DataEntry!$G:$G,"Q2"),"")</f>
        <v/>
      </c>
      <c r="F326" s="10">
        <f>IFERROR(AVERAGEIFS(DataEntry!$HC:$HC,DataEntry!$A:$A,"Zomba",DataEntry!$B:$B,"Domasi",DataEntry!$G:$G,"Q3"),"")</f>
        <v/>
      </c>
      <c r="G326" s="10">
        <f>IFERROR(AVERAGEIFS(DataEntry!$HC:$HC,DataEntry!$A:$A,"Zomba",DataEntry!$B:$B,"Domasi",DataEntry!$G:$G,"Q4"),"")</f>
        <v/>
      </c>
      <c r="H326" s="23">
        <f>IFERROR(AVERAGE(D326:G326),"")</f>
        <v/>
      </c>
    </row>
    <row r="327">
      <c r="A327" s="19" t="inlineStr">
        <is>
          <t>Zomba</t>
        </is>
      </c>
      <c r="B327" s="19" t="inlineStr">
        <is>
          <t>Domasi</t>
        </is>
      </c>
      <c r="C327" s="6" t="inlineStr">
        <is>
          <t>OpCost per Sales</t>
        </is>
      </c>
      <c r="D327" s="16">
        <f>IFERROR(AVERAGEIFS(DataEntry!$HB:$HB,DataEntry!$A:$A,"Zomba",DataEntry!$B:$B,"Domasi",DataEntry!$G:$G,"Q1"),"")</f>
        <v/>
      </c>
      <c r="E327" s="16">
        <f>IFERROR(AVERAGEIFS(DataEntry!$HB:$HB,DataEntry!$A:$A,"Zomba",DataEntry!$B:$B,"Domasi",DataEntry!$G:$G,"Q2"),"")</f>
        <v/>
      </c>
      <c r="F327" s="16">
        <f>IFERROR(AVERAGEIFS(DataEntry!$HB:$HB,DataEntry!$A:$A,"Zomba",DataEntry!$B:$B,"Domasi",DataEntry!$G:$G,"Q3"),"")</f>
        <v/>
      </c>
      <c r="G327" s="16">
        <f>IFERROR(AVERAGEIFS(DataEntry!$HB:$HB,DataEntry!$A:$A,"Zomba",DataEntry!$B:$B,"Domasi",DataEntry!$G:$G,"Q4"),"")</f>
        <v/>
      </c>
      <c r="H327" s="24">
        <f>IFERROR(AVERAGE(D327:G327),"")</f>
        <v/>
      </c>
    </row>
    <row r="328">
      <c r="A328" s="21" t="inlineStr">
        <is>
          <t>Zomba</t>
        </is>
      </c>
      <c r="B328" s="21" t="inlineStr">
        <is>
          <t>Jali</t>
        </is>
      </c>
      <c r="C328" s="12" t="inlineStr">
        <is>
          <t>Volume Produced (m³)</t>
        </is>
      </c>
      <c r="D328" s="9">
        <f>IFERROR(SUMIFS(DataEntry!$H:$H,DataEntry!$A:$A,"Zomba",DataEntry!$B:$B,"Jali",DataEntry!$G:$G,"Q1"),"")</f>
        <v/>
      </c>
      <c r="E328" s="9">
        <f>IFERROR(SUMIFS(DataEntry!$H:$H,DataEntry!$A:$A,"Zomba",DataEntry!$B:$B,"Jali",DataEntry!$G:$G,"Q2"),"")</f>
        <v/>
      </c>
      <c r="F328" s="9">
        <f>IFERROR(SUMIFS(DataEntry!$H:$H,DataEntry!$A:$A,"Zomba",DataEntry!$B:$B,"Jali",DataEntry!$G:$G,"Q3"),"")</f>
        <v/>
      </c>
      <c r="G328" s="9">
        <f>IFERROR(SUMIFS(DataEntry!$H:$H,DataEntry!$A:$A,"Zomba",DataEntry!$B:$B,"Jali",DataEntry!$G:$G,"Q4"),"")</f>
        <v/>
      </c>
      <c r="H328" s="22">
        <f>IFERROR(SUM(D328:G328),"")</f>
        <v/>
      </c>
    </row>
    <row r="329">
      <c r="A329" s="19" t="inlineStr">
        <is>
          <t>Zomba</t>
        </is>
      </c>
      <c r="B329" s="19" t="inlineStr">
        <is>
          <t>Jali</t>
        </is>
      </c>
      <c r="C329" s="6" t="inlineStr">
        <is>
          <t>Total Revenue Water</t>
        </is>
      </c>
      <c r="D329" s="15">
        <f>IFERROR(SUMIFS(DataEntry!$S:$S,DataEntry!$A:$A,"Zomba",DataEntry!$B:$B,"Jali",DataEntry!$G:$G,"Q1"),"")</f>
        <v/>
      </c>
      <c r="E329" s="15">
        <f>IFERROR(SUMIFS(DataEntry!$S:$S,DataEntry!$A:$A,"Zomba",DataEntry!$B:$B,"Jali",DataEntry!$G:$G,"Q2"),"")</f>
        <v/>
      </c>
      <c r="F329" s="15">
        <f>IFERROR(SUMIFS(DataEntry!$S:$S,DataEntry!$A:$A,"Zomba",DataEntry!$B:$B,"Jali",DataEntry!$G:$G,"Q3"),"")</f>
        <v/>
      </c>
      <c r="G329" s="15">
        <f>IFERROR(SUMIFS(DataEntry!$S:$S,DataEntry!$A:$A,"Zomba",DataEntry!$B:$B,"Jali",DataEntry!$G:$G,"Q4"),"")</f>
        <v/>
      </c>
      <c r="H329" s="20">
        <f>IFERROR(SUM(D329:G329),"")</f>
        <v/>
      </c>
    </row>
    <row r="330">
      <c r="A330" s="21" t="inlineStr">
        <is>
          <t>Zomba</t>
        </is>
      </c>
      <c r="B330" s="21" t="inlineStr">
        <is>
          <t>Jali</t>
        </is>
      </c>
      <c r="C330" s="12" t="inlineStr">
        <is>
          <t>Non-Revenue Water</t>
        </is>
      </c>
      <c r="D330" s="9">
        <f>IFERROR(SUMIFS(DataEntry!$T:$T,DataEntry!$A:$A,"Zomba",DataEntry!$B:$B,"Jali",DataEntry!$G:$G,"Q1"),"")</f>
        <v/>
      </c>
      <c r="E330" s="9">
        <f>IFERROR(SUMIFS(DataEntry!$T:$T,DataEntry!$A:$A,"Zomba",DataEntry!$B:$B,"Jali",DataEntry!$G:$G,"Q2"),"")</f>
        <v/>
      </c>
      <c r="F330" s="9">
        <f>IFERROR(SUMIFS(DataEntry!$T:$T,DataEntry!$A:$A,"Zomba",DataEntry!$B:$B,"Jali",DataEntry!$G:$G,"Q3"),"")</f>
        <v/>
      </c>
      <c r="G330" s="9">
        <f>IFERROR(SUMIFS(DataEntry!$T:$T,DataEntry!$A:$A,"Zomba",DataEntry!$B:$B,"Jali",DataEntry!$G:$G,"Q4"),"")</f>
        <v/>
      </c>
      <c r="H330" s="22">
        <f>IFERROR(SUM(D330:G330),"")</f>
        <v/>
      </c>
    </row>
    <row r="331">
      <c r="A331" s="19" t="inlineStr">
        <is>
          <t>Zomba</t>
        </is>
      </c>
      <c r="B331" s="19" t="inlineStr">
        <is>
          <t>Jali</t>
        </is>
      </c>
      <c r="C331" s="6" t="inlineStr">
        <is>
          <t>% NRW</t>
        </is>
      </c>
      <c r="D331" s="16">
        <f>IFERROR(AVERAGEIFS(DataEntry!$U:$U,DataEntry!$A:$A,"Zomba",DataEntry!$B:$B,"Jali",DataEntry!$G:$G,"Q1"),"")</f>
        <v/>
      </c>
      <c r="E331" s="16">
        <f>IFERROR(AVERAGEIFS(DataEntry!$U:$U,DataEntry!$A:$A,"Zomba",DataEntry!$B:$B,"Jali",DataEntry!$G:$G,"Q2"),"")</f>
        <v/>
      </c>
      <c r="F331" s="16">
        <f>IFERROR(AVERAGEIFS(DataEntry!$U:$U,DataEntry!$A:$A,"Zomba",DataEntry!$B:$B,"Jali",DataEntry!$G:$G,"Q3"),"")</f>
        <v/>
      </c>
      <c r="G331" s="16">
        <f>IFERROR(AVERAGEIFS(DataEntry!$U:$U,DataEntry!$A:$A,"Zomba",DataEntry!$B:$B,"Jali",DataEntry!$G:$G,"Q4"),"")</f>
        <v/>
      </c>
      <c r="H331" s="24">
        <f>IFERROR(AVERAGE(D331:G331),"")</f>
        <v/>
      </c>
    </row>
    <row r="332">
      <c r="A332" s="21" t="inlineStr">
        <is>
          <t>Zomba</t>
        </is>
      </c>
      <c r="B332" s="21" t="inlineStr">
        <is>
          <t>Jali</t>
        </is>
      </c>
      <c r="C332" s="12" t="inlineStr">
        <is>
          <t>Total Operating Costs</t>
        </is>
      </c>
      <c r="D332" s="9">
        <f>IFERROR(SUMIFS(DataEntry!$AU:$AU,DataEntry!$A:$A,"Zomba",DataEntry!$B:$B,"Jali",DataEntry!$G:$G,"Q1"),"")</f>
        <v/>
      </c>
      <c r="E332" s="9">
        <f>IFERROR(SUMIFS(DataEntry!$AU:$AU,DataEntry!$A:$A,"Zomba",DataEntry!$B:$B,"Jali",DataEntry!$G:$G,"Q2"),"")</f>
        <v/>
      </c>
      <c r="F332" s="9">
        <f>IFERROR(SUMIFS(DataEntry!$AU:$AU,DataEntry!$A:$A,"Zomba",DataEntry!$B:$B,"Jali",DataEntry!$G:$G,"Q3"),"")</f>
        <v/>
      </c>
      <c r="G332" s="9">
        <f>IFERROR(SUMIFS(DataEntry!$AU:$AU,DataEntry!$A:$A,"Zomba",DataEntry!$B:$B,"Jali",DataEntry!$G:$G,"Q4"),"")</f>
        <v/>
      </c>
      <c r="H332" s="22">
        <f>IFERROR(SUM(D332:G332),"")</f>
        <v/>
      </c>
    </row>
    <row r="333">
      <c r="A333" s="19" t="inlineStr">
        <is>
          <t>Zomba</t>
        </is>
      </c>
      <c r="B333" s="19" t="inlineStr">
        <is>
          <t>Jali</t>
        </is>
      </c>
      <c r="C333" s="6" t="inlineStr">
        <is>
          <t>Total Cash Collected</t>
        </is>
      </c>
      <c r="D333" s="15">
        <f>IFERROR(SUMIFS(DataEntry!$GB:$GB,DataEntry!$A:$A,"Zomba",DataEntry!$B:$B,"Jali",DataEntry!$G:$G,"Q1"),"")</f>
        <v/>
      </c>
      <c r="E333" s="15">
        <f>IFERROR(SUMIFS(DataEntry!$GB:$GB,DataEntry!$A:$A,"Zomba",DataEntry!$B:$B,"Jali",DataEntry!$G:$G,"Q2"),"")</f>
        <v/>
      </c>
      <c r="F333" s="15">
        <f>IFERROR(SUMIFS(DataEntry!$GB:$GB,DataEntry!$A:$A,"Zomba",DataEntry!$B:$B,"Jali",DataEntry!$G:$G,"Q3"),"")</f>
        <v/>
      </c>
      <c r="G333" s="15">
        <f>IFERROR(SUMIFS(DataEntry!$GB:$GB,DataEntry!$A:$A,"Zomba",DataEntry!$B:$B,"Jali",DataEntry!$G:$G,"Q4"),"")</f>
        <v/>
      </c>
      <c r="H333" s="20">
        <f>IFERROR(SUM(D333:G333),"")</f>
        <v/>
      </c>
    </row>
    <row r="334">
      <c r="A334" s="21" t="inlineStr">
        <is>
          <t>Zomba</t>
        </is>
      </c>
      <c r="B334" s="21" t="inlineStr">
        <is>
          <t>Jali</t>
        </is>
      </c>
      <c r="C334" s="12" t="inlineStr">
        <is>
          <t>Total Amount Billed</t>
        </is>
      </c>
      <c r="D334" s="9">
        <f>IFERROR(SUMIFS(DataEntry!$GM:$GM,DataEntry!$A:$A,"Zomba",DataEntry!$B:$B,"Jali",DataEntry!$G:$G,"Q1"),"")</f>
        <v/>
      </c>
      <c r="E334" s="9">
        <f>IFERROR(SUMIFS(DataEntry!$GM:$GM,DataEntry!$A:$A,"Zomba",DataEntry!$B:$B,"Jali",DataEntry!$G:$G,"Q2"),"")</f>
        <v/>
      </c>
      <c r="F334" s="9">
        <f>IFERROR(SUMIFS(DataEntry!$GM:$GM,DataEntry!$A:$A,"Zomba",DataEntry!$B:$B,"Jali",DataEntry!$G:$G,"Q3"),"")</f>
        <v/>
      </c>
      <c r="G334" s="9">
        <f>IFERROR(SUMIFS(DataEntry!$GM:$GM,DataEntry!$A:$A,"Zomba",DataEntry!$B:$B,"Jali",DataEntry!$G:$G,"Q4"),"")</f>
        <v/>
      </c>
      <c r="H334" s="22">
        <f>IFERROR(SUM(D334:G334),"")</f>
        <v/>
      </c>
    </row>
    <row r="335">
      <c r="A335" s="19" t="inlineStr">
        <is>
          <t>Zomba</t>
        </is>
      </c>
      <c r="B335" s="19" t="inlineStr">
        <is>
          <t>Jali</t>
        </is>
      </c>
      <c r="C335" s="6" t="inlineStr">
        <is>
          <t>Total Sales</t>
        </is>
      </c>
      <c r="D335" s="15">
        <f>IFERROR(SUMIFS(DataEntry!$GX:$GX,DataEntry!$A:$A,"Zomba",DataEntry!$B:$B,"Jali",DataEntry!$G:$G,"Q1"),"")</f>
        <v/>
      </c>
      <c r="E335" s="15">
        <f>IFERROR(SUMIFS(DataEntry!$GX:$GX,DataEntry!$A:$A,"Zomba",DataEntry!$B:$B,"Jali",DataEntry!$G:$G,"Q2"),"")</f>
        <v/>
      </c>
      <c r="F335" s="15">
        <f>IFERROR(SUMIFS(DataEntry!$GX:$GX,DataEntry!$A:$A,"Zomba",DataEntry!$B:$B,"Jali",DataEntry!$G:$G,"Q3"),"")</f>
        <v/>
      </c>
      <c r="G335" s="15">
        <f>IFERROR(SUMIFS(DataEntry!$GX:$GX,DataEntry!$A:$A,"Zomba",DataEntry!$B:$B,"Jali",DataEntry!$G:$G,"Q4"),"")</f>
        <v/>
      </c>
      <c r="H335" s="20">
        <f>IFERROR(SUM(D335:G335),"")</f>
        <v/>
      </c>
    </row>
    <row r="336">
      <c r="A336" s="21" t="inlineStr">
        <is>
          <t>Zomba</t>
        </is>
      </c>
      <c r="B336" s="21" t="inlineStr">
        <is>
          <t>Jali</t>
        </is>
      </c>
      <c r="C336" s="12" t="inlineStr">
        <is>
          <t>Active Customers</t>
        </is>
      </c>
      <c r="D336" s="9">
        <f>IFERROR(SUMIFS(DataEntry!$CS:$CS,DataEntry!$A:$A,"Zomba",DataEntry!$B:$B,"Jali",DataEntry!$G:$G,"Q1"),"")</f>
        <v/>
      </c>
      <c r="E336" s="9">
        <f>IFERROR(SUMIFS(DataEntry!$CS:$CS,DataEntry!$A:$A,"Zomba",DataEntry!$B:$B,"Jali",DataEntry!$G:$G,"Q2"),"")</f>
        <v/>
      </c>
      <c r="F336" s="9">
        <f>IFERROR(SUMIFS(DataEntry!$CS:$CS,DataEntry!$A:$A,"Zomba",DataEntry!$B:$B,"Jali",DataEntry!$G:$G,"Q3"),"")</f>
        <v/>
      </c>
      <c r="G336" s="9">
        <f>IFERROR(SUMIFS(DataEntry!$CS:$CS,DataEntry!$A:$A,"Zomba",DataEntry!$B:$B,"Jali",DataEntry!$G:$G,"Q4"),"")</f>
        <v/>
      </c>
      <c r="H336" s="22">
        <f>IFERROR(SUM(D336:G336),"")</f>
        <v/>
      </c>
    </row>
    <row r="337">
      <c r="A337" s="19" t="inlineStr">
        <is>
          <t>Zomba</t>
        </is>
      </c>
      <c r="B337" s="19" t="inlineStr">
        <is>
          <t>Jali</t>
        </is>
      </c>
      <c r="C337" s="6" t="inlineStr">
        <is>
          <t>New Connections</t>
        </is>
      </c>
      <c r="D337" s="15">
        <f>IFERROR(SUMIFS(DataEntry!$CA:$CA,DataEntry!$A:$A,"Zomba",DataEntry!$B:$B,"Jali",DataEntry!$G:$G,"Q1"),"")</f>
        <v/>
      </c>
      <c r="E337" s="15">
        <f>IFERROR(SUMIFS(DataEntry!$CA:$CA,DataEntry!$A:$A,"Zomba",DataEntry!$B:$B,"Jali",DataEntry!$G:$G,"Q2"),"")</f>
        <v/>
      </c>
      <c r="F337" s="15">
        <f>IFERROR(SUMIFS(DataEntry!$CA:$CA,DataEntry!$A:$A,"Zomba",DataEntry!$B:$B,"Jali",DataEntry!$G:$G,"Q3"),"")</f>
        <v/>
      </c>
      <c r="G337" s="15">
        <f>IFERROR(SUMIFS(DataEntry!$CA:$CA,DataEntry!$A:$A,"Zomba",DataEntry!$B:$B,"Jali",DataEntry!$G:$G,"Q4"),"")</f>
        <v/>
      </c>
      <c r="H337" s="20">
        <f>IFERROR(SUM(D337:G337),"")</f>
        <v/>
      </c>
    </row>
    <row r="338">
      <c r="A338" s="21" t="inlineStr">
        <is>
          <t>Zomba</t>
        </is>
      </c>
      <c r="B338" s="21" t="inlineStr">
        <is>
          <t>Jali</t>
        </is>
      </c>
      <c r="C338" s="12" t="inlineStr">
        <is>
          <t>Stuck Meters C/Fwd</t>
        </is>
      </c>
      <c r="D338" s="9">
        <f>IFERROR(SUMIFS(DataEntry!$DV:$DV,DataEntry!$A:$A,"Zomba",DataEntry!$B:$B,"Jali",DataEntry!$G:$G,"Q1"),"")</f>
        <v/>
      </c>
      <c r="E338" s="9">
        <f>IFERROR(SUMIFS(DataEntry!$DV:$DV,DataEntry!$A:$A,"Zomba",DataEntry!$B:$B,"Jali",DataEntry!$G:$G,"Q2"),"")</f>
        <v/>
      </c>
      <c r="F338" s="9">
        <f>IFERROR(SUMIFS(DataEntry!$DV:$DV,DataEntry!$A:$A,"Zomba",DataEntry!$B:$B,"Jali",DataEntry!$G:$G,"Q3"),"")</f>
        <v/>
      </c>
      <c r="G338" s="9">
        <f>IFERROR(SUMIFS(DataEntry!$DV:$DV,DataEntry!$A:$A,"Zomba",DataEntry!$B:$B,"Jali",DataEntry!$G:$G,"Q4"),"")</f>
        <v/>
      </c>
      <c r="H338" s="22">
        <f>IFERROR(SUM(D338:G338),"")</f>
        <v/>
      </c>
    </row>
    <row r="339">
      <c r="A339" s="19" t="inlineStr">
        <is>
          <t>Zomba</t>
        </is>
      </c>
      <c r="B339" s="19" t="inlineStr">
        <is>
          <t>Jali</t>
        </is>
      </c>
      <c r="C339" s="6" t="inlineStr">
        <is>
          <t>Cash Collection Rate</t>
        </is>
      </c>
      <c r="D339" s="16">
        <f>IFERROR(AVERAGEIFS(DataEntry!$HC:$HC,DataEntry!$A:$A,"Zomba",DataEntry!$B:$B,"Jali",DataEntry!$G:$G,"Q1"),"")</f>
        <v/>
      </c>
      <c r="E339" s="16">
        <f>IFERROR(AVERAGEIFS(DataEntry!$HC:$HC,DataEntry!$A:$A,"Zomba",DataEntry!$B:$B,"Jali",DataEntry!$G:$G,"Q2"),"")</f>
        <v/>
      </c>
      <c r="F339" s="16">
        <f>IFERROR(AVERAGEIFS(DataEntry!$HC:$HC,DataEntry!$A:$A,"Zomba",DataEntry!$B:$B,"Jali",DataEntry!$G:$G,"Q3"),"")</f>
        <v/>
      </c>
      <c r="G339" s="16">
        <f>IFERROR(AVERAGEIFS(DataEntry!$HC:$HC,DataEntry!$A:$A,"Zomba",DataEntry!$B:$B,"Jali",DataEntry!$G:$G,"Q4"),"")</f>
        <v/>
      </c>
      <c r="H339" s="24">
        <f>IFERROR(AVERAGE(D339:G339),"")</f>
        <v/>
      </c>
    </row>
    <row r="340">
      <c r="A340" s="21" t="inlineStr">
        <is>
          <t>Zomba</t>
        </is>
      </c>
      <c r="B340" s="21" t="inlineStr">
        <is>
          <t>Jali</t>
        </is>
      </c>
      <c r="C340" s="12" t="inlineStr">
        <is>
          <t>OpCost per Sales</t>
        </is>
      </c>
      <c r="D340" s="10">
        <f>IFERROR(AVERAGEIFS(DataEntry!$HB:$HB,DataEntry!$A:$A,"Zomba",DataEntry!$B:$B,"Jali",DataEntry!$G:$G,"Q1"),"")</f>
        <v/>
      </c>
      <c r="E340" s="10">
        <f>IFERROR(AVERAGEIFS(DataEntry!$HB:$HB,DataEntry!$A:$A,"Zomba",DataEntry!$B:$B,"Jali",DataEntry!$G:$G,"Q2"),"")</f>
        <v/>
      </c>
      <c r="F340" s="10">
        <f>IFERROR(AVERAGEIFS(DataEntry!$HB:$HB,DataEntry!$A:$A,"Zomba",DataEntry!$B:$B,"Jali",DataEntry!$G:$G,"Q3"),"")</f>
        <v/>
      </c>
      <c r="G340" s="10">
        <f>IFERROR(AVERAGEIFS(DataEntry!$HB:$HB,DataEntry!$A:$A,"Zomba",DataEntry!$B:$B,"Jali",DataEntry!$G:$G,"Q4"),"")</f>
        <v/>
      </c>
      <c r="H340" s="23">
        <f>IFERROR(AVERAGE(D340:G340),"")</f>
        <v/>
      </c>
    </row>
    <row r="341">
      <c r="A341" s="19" t="inlineStr">
        <is>
          <t>Zomba</t>
        </is>
      </c>
      <c r="B341" s="19" t="inlineStr">
        <is>
          <t>Kuchawe</t>
        </is>
      </c>
      <c r="C341" s="6" t="inlineStr">
        <is>
          <t>Volume Produced (m³)</t>
        </is>
      </c>
      <c r="D341" s="15">
        <f>IFERROR(SUMIFS(DataEntry!$H:$H,DataEntry!$A:$A,"Zomba",DataEntry!$B:$B,"Kuchawe",DataEntry!$G:$G,"Q1"),"")</f>
        <v/>
      </c>
      <c r="E341" s="15">
        <f>IFERROR(SUMIFS(DataEntry!$H:$H,DataEntry!$A:$A,"Zomba",DataEntry!$B:$B,"Kuchawe",DataEntry!$G:$G,"Q2"),"")</f>
        <v/>
      </c>
      <c r="F341" s="15">
        <f>IFERROR(SUMIFS(DataEntry!$H:$H,DataEntry!$A:$A,"Zomba",DataEntry!$B:$B,"Kuchawe",DataEntry!$G:$G,"Q3"),"")</f>
        <v/>
      </c>
      <c r="G341" s="15">
        <f>IFERROR(SUMIFS(DataEntry!$H:$H,DataEntry!$A:$A,"Zomba",DataEntry!$B:$B,"Kuchawe",DataEntry!$G:$G,"Q4"),"")</f>
        <v/>
      </c>
      <c r="H341" s="20">
        <f>IFERROR(SUM(D341:G341),"")</f>
        <v/>
      </c>
    </row>
    <row r="342">
      <c r="A342" s="21" t="inlineStr">
        <is>
          <t>Zomba</t>
        </is>
      </c>
      <c r="B342" s="21" t="inlineStr">
        <is>
          <t>Kuchawe</t>
        </is>
      </c>
      <c r="C342" s="12" t="inlineStr">
        <is>
          <t>Total Revenue Water</t>
        </is>
      </c>
      <c r="D342" s="9">
        <f>IFERROR(SUMIFS(DataEntry!$S:$S,DataEntry!$A:$A,"Zomba",DataEntry!$B:$B,"Kuchawe",DataEntry!$G:$G,"Q1"),"")</f>
        <v/>
      </c>
      <c r="E342" s="9">
        <f>IFERROR(SUMIFS(DataEntry!$S:$S,DataEntry!$A:$A,"Zomba",DataEntry!$B:$B,"Kuchawe",DataEntry!$G:$G,"Q2"),"")</f>
        <v/>
      </c>
      <c r="F342" s="9">
        <f>IFERROR(SUMIFS(DataEntry!$S:$S,DataEntry!$A:$A,"Zomba",DataEntry!$B:$B,"Kuchawe",DataEntry!$G:$G,"Q3"),"")</f>
        <v/>
      </c>
      <c r="G342" s="9">
        <f>IFERROR(SUMIFS(DataEntry!$S:$S,DataEntry!$A:$A,"Zomba",DataEntry!$B:$B,"Kuchawe",DataEntry!$G:$G,"Q4"),"")</f>
        <v/>
      </c>
      <c r="H342" s="22">
        <f>IFERROR(SUM(D342:G342),"")</f>
        <v/>
      </c>
    </row>
    <row r="343">
      <c r="A343" s="19" t="inlineStr">
        <is>
          <t>Zomba</t>
        </is>
      </c>
      <c r="B343" s="19" t="inlineStr">
        <is>
          <t>Kuchawe</t>
        </is>
      </c>
      <c r="C343" s="6" t="inlineStr">
        <is>
          <t>Non-Revenue Water</t>
        </is>
      </c>
      <c r="D343" s="15">
        <f>IFERROR(SUMIFS(DataEntry!$T:$T,DataEntry!$A:$A,"Zomba",DataEntry!$B:$B,"Kuchawe",DataEntry!$G:$G,"Q1"),"")</f>
        <v/>
      </c>
      <c r="E343" s="15">
        <f>IFERROR(SUMIFS(DataEntry!$T:$T,DataEntry!$A:$A,"Zomba",DataEntry!$B:$B,"Kuchawe",DataEntry!$G:$G,"Q2"),"")</f>
        <v/>
      </c>
      <c r="F343" s="15">
        <f>IFERROR(SUMIFS(DataEntry!$T:$T,DataEntry!$A:$A,"Zomba",DataEntry!$B:$B,"Kuchawe",DataEntry!$G:$G,"Q3"),"")</f>
        <v/>
      </c>
      <c r="G343" s="15">
        <f>IFERROR(SUMIFS(DataEntry!$T:$T,DataEntry!$A:$A,"Zomba",DataEntry!$B:$B,"Kuchawe",DataEntry!$G:$G,"Q4"),"")</f>
        <v/>
      </c>
      <c r="H343" s="20">
        <f>IFERROR(SUM(D343:G343),"")</f>
        <v/>
      </c>
    </row>
    <row r="344">
      <c r="A344" s="21" t="inlineStr">
        <is>
          <t>Zomba</t>
        </is>
      </c>
      <c r="B344" s="21" t="inlineStr">
        <is>
          <t>Kuchawe</t>
        </is>
      </c>
      <c r="C344" s="12" t="inlineStr">
        <is>
          <t>% NRW</t>
        </is>
      </c>
      <c r="D344" s="10">
        <f>IFERROR(AVERAGEIFS(DataEntry!$U:$U,DataEntry!$A:$A,"Zomba",DataEntry!$B:$B,"Kuchawe",DataEntry!$G:$G,"Q1"),"")</f>
        <v/>
      </c>
      <c r="E344" s="10">
        <f>IFERROR(AVERAGEIFS(DataEntry!$U:$U,DataEntry!$A:$A,"Zomba",DataEntry!$B:$B,"Kuchawe",DataEntry!$G:$G,"Q2"),"")</f>
        <v/>
      </c>
      <c r="F344" s="10">
        <f>IFERROR(AVERAGEIFS(DataEntry!$U:$U,DataEntry!$A:$A,"Zomba",DataEntry!$B:$B,"Kuchawe",DataEntry!$G:$G,"Q3"),"")</f>
        <v/>
      </c>
      <c r="G344" s="10">
        <f>IFERROR(AVERAGEIFS(DataEntry!$U:$U,DataEntry!$A:$A,"Zomba",DataEntry!$B:$B,"Kuchawe",DataEntry!$G:$G,"Q4"),"")</f>
        <v/>
      </c>
      <c r="H344" s="23">
        <f>IFERROR(AVERAGE(D344:G344),"")</f>
        <v/>
      </c>
    </row>
    <row r="345">
      <c r="A345" s="19" t="inlineStr">
        <is>
          <t>Zomba</t>
        </is>
      </c>
      <c r="B345" s="19" t="inlineStr">
        <is>
          <t>Kuchawe</t>
        </is>
      </c>
      <c r="C345" s="6" t="inlineStr">
        <is>
          <t>Total Operating Costs</t>
        </is>
      </c>
      <c r="D345" s="15">
        <f>IFERROR(SUMIFS(DataEntry!$AU:$AU,DataEntry!$A:$A,"Zomba",DataEntry!$B:$B,"Kuchawe",DataEntry!$G:$G,"Q1"),"")</f>
        <v/>
      </c>
      <c r="E345" s="15">
        <f>IFERROR(SUMIFS(DataEntry!$AU:$AU,DataEntry!$A:$A,"Zomba",DataEntry!$B:$B,"Kuchawe",DataEntry!$G:$G,"Q2"),"")</f>
        <v/>
      </c>
      <c r="F345" s="15">
        <f>IFERROR(SUMIFS(DataEntry!$AU:$AU,DataEntry!$A:$A,"Zomba",DataEntry!$B:$B,"Kuchawe",DataEntry!$G:$G,"Q3"),"")</f>
        <v/>
      </c>
      <c r="G345" s="15">
        <f>IFERROR(SUMIFS(DataEntry!$AU:$AU,DataEntry!$A:$A,"Zomba",DataEntry!$B:$B,"Kuchawe",DataEntry!$G:$G,"Q4"),"")</f>
        <v/>
      </c>
      <c r="H345" s="20">
        <f>IFERROR(SUM(D345:G345),"")</f>
        <v/>
      </c>
    </row>
    <row r="346">
      <c r="A346" s="21" t="inlineStr">
        <is>
          <t>Zomba</t>
        </is>
      </c>
      <c r="B346" s="21" t="inlineStr">
        <is>
          <t>Kuchawe</t>
        </is>
      </c>
      <c r="C346" s="12" t="inlineStr">
        <is>
          <t>Total Cash Collected</t>
        </is>
      </c>
      <c r="D346" s="9">
        <f>IFERROR(SUMIFS(DataEntry!$GB:$GB,DataEntry!$A:$A,"Zomba",DataEntry!$B:$B,"Kuchawe",DataEntry!$G:$G,"Q1"),"")</f>
        <v/>
      </c>
      <c r="E346" s="9">
        <f>IFERROR(SUMIFS(DataEntry!$GB:$GB,DataEntry!$A:$A,"Zomba",DataEntry!$B:$B,"Kuchawe",DataEntry!$G:$G,"Q2"),"")</f>
        <v/>
      </c>
      <c r="F346" s="9">
        <f>IFERROR(SUMIFS(DataEntry!$GB:$GB,DataEntry!$A:$A,"Zomba",DataEntry!$B:$B,"Kuchawe",DataEntry!$G:$G,"Q3"),"")</f>
        <v/>
      </c>
      <c r="G346" s="9">
        <f>IFERROR(SUMIFS(DataEntry!$GB:$GB,DataEntry!$A:$A,"Zomba",DataEntry!$B:$B,"Kuchawe",DataEntry!$G:$G,"Q4"),"")</f>
        <v/>
      </c>
      <c r="H346" s="22">
        <f>IFERROR(SUM(D346:G346),"")</f>
        <v/>
      </c>
    </row>
    <row r="347">
      <c r="A347" s="19" t="inlineStr">
        <is>
          <t>Zomba</t>
        </is>
      </c>
      <c r="B347" s="19" t="inlineStr">
        <is>
          <t>Kuchawe</t>
        </is>
      </c>
      <c r="C347" s="6" t="inlineStr">
        <is>
          <t>Total Amount Billed</t>
        </is>
      </c>
      <c r="D347" s="15">
        <f>IFERROR(SUMIFS(DataEntry!$GM:$GM,DataEntry!$A:$A,"Zomba",DataEntry!$B:$B,"Kuchawe",DataEntry!$G:$G,"Q1"),"")</f>
        <v/>
      </c>
      <c r="E347" s="15">
        <f>IFERROR(SUMIFS(DataEntry!$GM:$GM,DataEntry!$A:$A,"Zomba",DataEntry!$B:$B,"Kuchawe",DataEntry!$G:$G,"Q2"),"")</f>
        <v/>
      </c>
      <c r="F347" s="15">
        <f>IFERROR(SUMIFS(DataEntry!$GM:$GM,DataEntry!$A:$A,"Zomba",DataEntry!$B:$B,"Kuchawe",DataEntry!$G:$G,"Q3"),"")</f>
        <v/>
      </c>
      <c r="G347" s="15">
        <f>IFERROR(SUMIFS(DataEntry!$GM:$GM,DataEntry!$A:$A,"Zomba",DataEntry!$B:$B,"Kuchawe",DataEntry!$G:$G,"Q4"),"")</f>
        <v/>
      </c>
      <c r="H347" s="20">
        <f>IFERROR(SUM(D347:G347),"")</f>
        <v/>
      </c>
    </row>
    <row r="348">
      <c r="A348" s="21" t="inlineStr">
        <is>
          <t>Zomba</t>
        </is>
      </c>
      <c r="B348" s="21" t="inlineStr">
        <is>
          <t>Kuchawe</t>
        </is>
      </c>
      <c r="C348" s="12" t="inlineStr">
        <is>
          <t>Total Sales</t>
        </is>
      </c>
      <c r="D348" s="9">
        <f>IFERROR(SUMIFS(DataEntry!$GX:$GX,DataEntry!$A:$A,"Zomba",DataEntry!$B:$B,"Kuchawe",DataEntry!$G:$G,"Q1"),"")</f>
        <v/>
      </c>
      <c r="E348" s="9">
        <f>IFERROR(SUMIFS(DataEntry!$GX:$GX,DataEntry!$A:$A,"Zomba",DataEntry!$B:$B,"Kuchawe",DataEntry!$G:$G,"Q2"),"")</f>
        <v/>
      </c>
      <c r="F348" s="9">
        <f>IFERROR(SUMIFS(DataEntry!$GX:$GX,DataEntry!$A:$A,"Zomba",DataEntry!$B:$B,"Kuchawe",DataEntry!$G:$G,"Q3"),"")</f>
        <v/>
      </c>
      <c r="G348" s="9">
        <f>IFERROR(SUMIFS(DataEntry!$GX:$GX,DataEntry!$A:$A,"Zomba",DataEntry!$B:$B,"Kuchawe",DataEntry!$G:$G,"Q4"),"")</f>
        <v/>
      </c>
      <c r="H348" s="22">
        <f>IFERROR(SUM(D348:G348),"")</f>
        <v/>
      </c>
    </row>
    <row r="349">
      <c r="A349" s="19" t="inlineStr">
        <is>
          <t>Zomba</t>
        </is>
      </c>
      <c r="B349" s="19" t="inlineStr">
        <is>
          <t>Kuchawe</t>
        </is>
      </c>
      <c r="C349" s="6" t="inlineStr">
        <is>
          <t>Active Customers</t>
        </is>
      </c>
      <c r="D349" s="15">
        <f>IFERROR(SUMIFS(DataEntry!$CS:$CS,DataEntry!$A:$A,"Zomba",DataEntry!$B:$B,"Kuchawe",DataEntry!$G:$G,"Q1"),"")</f>
        <v/>
      </c>
      <c r="E349" s="15">
        <f>IFERROR(SUMIFS(DataEntry!$CS:$CS,DataEntry!$A:$A,"Zomba",DataEntry!$B:$B,"Kuchawe",DataEntry!$G:$G,"Q2"),"")</f>
        <v/>
      </c>
      <c r="F349" s="15">
        <f>IFERROR(SUMIFS(DataEntry!$CS:$CS,DataEntry!$A:$A,"Zomba",DataEntry!$B:$B,"Kuchawe",DataEntry!$G:$G,"Q3"),"")</f>
        <v/>
      </c>
      <c r="G349" s="15">
        <f>IFERROR(SUMIFS(DataEntry!$CS:$CS,DataEntry!$A:$A,"Zomba",DataEntry!$B:$B,"Kuchawe",DataEntry!$G:$G,"Q4"),"")</f>
        <v/>
      </c>
      <c r="H349" s="20">
        <f>IFERROR(SUM(D349:G349),"")</f>
        <v/>
      </c>
    </row>
    <row r="350">
      <c r="A350" s="21" t="inlineStr">
        <is>
          <t>Zomba</t>
        </is>
      </c>
      <c r="B350" s="21" t="inlineStr">
        <is>
          <t>Kuchawe</t>
        </is>
      </c>
      <c r="C350" s="12" t="inlineStr">
        <is>
          <t>New Connections</t>
        </is>
      </c>
      <c r="D350" s="9">
        <f>IFERROR(SUMIFS(DataEntry!$CA:$CA,DataEntry!$A:$A,"Zomba",DataEntry!$B:$B,"Kuchawe",DataEntry!$G:$G,"Q1"),"")</f>
        <v/>
      </c>
      <c r="E350" s="9">
        <f>IFERROR(SUMIFS(DataEntry!$CA:$CA,DataEntry!$A:$A,"Zomba",DataEntry!$B:$B,"Kuchawe",DataEntry!$G:$G,"Q2"),"")</f>
        <v/>
      </c>
      <c r="F350" s="9">
        <f>IFERROR(SUMIFS(DataEntry!$CA:$CA,DataEntry!$A:$A,"Zomba",DataEntry!$B:$B,"Kuchawe",DataEntry!$G:$G,"Q3"),"")</f>
        <v/>
      </c>
      <c r="G350" s="9">
        <f>IFERROR(SUMIFS(DataEntry!$CA:$CA,DataEntry!$A:$A,"Zomba",DataEntry!$B:$B,"Kuchawe",DataEntry!$G:$G,"Q4"),"")</f>
        <v/>
      </c>
      <c r="H350" s="22">
        <f>IFERROR(SUM(D350:G350),"")</f>
        <v/>
      </c>
    </row>
    <row r="351">
      <c r="A351" s="19" t="inlineStr">
        <is>
          <t>Zomba</t>
        </is>
      </c>
      <c r="B351" s="19" t="inlineStr">
        <is>
          <t>Kuchawe</t>
        </is>
      </c>
      <c r="C351" s="6" t="inlineStr">
        <is>
          <t>Stuck Meters C/Fwd</t>
        </is>
      </c>
      <c r="D351" s="15">
        <f>IFERROR(SUMIFS(DataEntry!$DV:$DV,DataEntry!$A:$A,"Zomba",DataEntry!$B:$B,"Kuchawe",DataEntry!$G:$G,"Q1"),"")</f>
        <v/>
      </c>
      <c r="E351" s="15">
        <f>IFERROR(SUMIFS(DataEntry!$DV:$DV,DataEntry!$A:$A,"Zomba",DataEntry!$B:$B,"Kuchawe",DataEntry!$G:$G,"Q2"),"")</f>
        <v/>
      </c>
      <c r="F351" s="15">
        <f>IFERROR(SUMIFS(DataEntry!$DV:$DV,DataEntry!$A:$A,"Zomba",DataEntry!$B:$B,"Kuchawe",DataEntry!$G:$G,"Q3"),"")</f>
        <v/>
      </c>
      <c r="G351" s="15">
        <f>IFERROR(SUMIFS(DataEntry!$DV:$DV,DataEntry!$A:$A,"Zomba",DataEntry!$B:$B,"Kuchawe",DataEntry!$G:$G,"Q4"),"")</f>
        <v/>
      </c>
      <c r="H351" s="20">
        <f>IFERROR(SUM(D351:G351),"")</f>
        <v/>
      </c>
    </row>
    <row r="352">
      <c r="A352" s="21" t="inlineStr">
        <is>
          <t>Zomba</t>
        </is>
      </c>
      <c r="B352" s="21" t="inlineStr">
        <is>
          <t>Kuchawe</t>
        </is>
      </c>
      <c r="C352" s="12" t="inlineStr">
        <is>
          <t>Cash Collection Rate</t>
        </is>
      </c>
      <c r="D352" s="10">
        <f>IFERROR(AVERAGEIFS(DataEntry!$HC:$HC,DataEntry!$A:$A,"Zomba",DataEntry!$B:$B,"Kuchawe",DataEntry!$G:$G,"Q1"),"")</f>
        <v/>
      </c>
      <c r="E352" s="10">
        <f>IFERROR(AVERAGEIFS(DataEntry!$HC:$HC,DataEntry!$A:$A,"Zomba",DataEntry!$B:$B,"Kuchawe",DataEntry!$G:$G,"Q2"),"")</f>
        <v/>
      </c>
      <c r="F352" s="10">
        <f>IFERROR(AVERAGEIFS(DataEntry!$HC:$HC,DataEntry!$A:$A,"Zomba",DataEntry!$B:$B,"Kuchawe",DataEntry!$G:$G,"Q3"),"")</f>
        <v/>
      </c>
      <c r="G352" s="10">
        <f>IFERROR(AVERAGEIFS(DataEntry!$HC:$HC,DataEntry!$A:$A,"Zomba",DataEntry!$B:$B,"Kuchawe",DataEntry!$G:$G,"Q4"),"")</f>
        <v/>
      </c>
      <c r="H352" s="23">
        <f>IFERROR(AVERAGE(D352:G352),"")</f>
        <v/>
      </c>
    </row>
    <row r="353">
      <c r="A353" s="19" t="inlineStr">
        <is>
          <t>Zomba</t>
        </is>
      </c>
      <c r="B353" s="19" t="inlineStr">
        <is>
          <t>Kuchawe</t>
        </is>
      </c>
      <c r="C353" s="6" t="inlineStr">
        <is>
          <t>OpCost per Sales</t>
        </is>
      </c>
      <c r="D353" s="16">
        <f>IFERROR(AVERAGEIFS(DataEntry!$HB:$HB,DataEntry!$A:$A,"Zomba",DataEntry!$B:$B,"Kuchawe",DataEntry!$G:$G,"Q1"),"")</f>
        <v/>
      </c>
      <c r="E353" s="16">
        <f>IFERROR(AVERAGEIFS(DataEntry!$HB:$HB,DataEntry!$A:$A,"Zomba",DataEntry!$B:$B,"Kuchawe",DataEntry!$G:$G,"Q2"),"")</f>
        <v/>
      </c>
      <c r="F353" s="16">
        <f>IFERROR(AVERAGEIFS(DataEntry!$HB:$HB,DataEntry!$A:$A,"Zomba",DataEntry!$B:$B,"Kuchawe",DataEntry!$G:$G,"Q3"),"")</f>
        <v/>
      </c>
      <c r="G353" s="16">
        <f>IFERROR(AVERAGEIFS(DataEntry!$HB:$HB,DataEntry!$A:$A,"Zomba",DataEntry!$B:$B,"Kuchawe",DataEntry!$G:$G,"Q4"),"")</f>
        <v/>
      </c>
      <c r="H353" s="24">
        <f>IFERROR(AVERAGE(D353:G353),"")</f>
        <v/>
      </c>
    </row>
    <row r="354">
      <c r="A354" s="21" t="inlineStr">
        <is>
          <t>Zomba</t>
        </is>
      </c>
      <c r="B354" s="21" t="inlineStr">
        <is>
          <t>Lirangwe</t>
        </is>
      </c>
      <c r="C354" s="12" t="inlineStr">
        <is>
          <t>Volume Produced (m³)</t>
        </is>
      </c>
      <c r="D354" s="9">
        <f>IFERROR(SUMIFS(DataEntry!$H:$H,DataEntry!$A:$A,"Zomba",DataEntry!$B:$B,"Lirangwe",DataEntry!$G:$G,"Q1"),"")</f>
        <v/>
      </c>
      <c r="E354" s="9">
        <f>IFERROR(SUMIFS(DataEntry!$H:$H,DataEntry!$A:$A,"Zomba",DataEntry!$B:$B,"Lirangwe",DataEntry!$G:$G,"Q2"),"")</f>
        <v/>
      </c>
      <c r="F354" s="9">
        <f>IFERROR(SUMIFS(DataEntry!$H:$H,DataEntry!$A:$A,"Zomba",DataEntry!$B:$B,"Lirangwe",DataEntry!$G:$G,"Q3"),"")</f>
        <v/>
      </c>
      <c r="G354" s="9">
        <f>IFERROR(SUMIFS(DataEntry!$H:$H,DataEntry!$A:$A,"Zomba",DataEntry!$B:$B,"Lirangwe",DataEntry!$G:$G,"Q4"),"")</f>
        <v/>
      </c>
      <c r="H354" s="22">
        <f>IFERROR(SUM(D354:G354),"")</f>
        <v/>
      </c>
    </row>
    <row r="355">
      <c r="A355" s="19" t="inlineStr">
        <is>
          <t>Zomba</t>
        </is>
      </c>
      <c r="B355" s="19" t="inlineStr">
        <is>
          <t>Lirangwe</t>
        </is>
      </c>
      <c r="C355" s="6" t="inlineStr">
        <is>
          <t>Total Revenue Water</t>
        </is>
      </c>
      <c r="D355" s="15">
        <f>IFERROR(SUMIFS(DataEntry!$S:$S,DataEntry!$A:$A,"Zomba",DataEntry!$B:$B,"Lirangwe",DataEntry!$G:$G,"Q1"),"")</f>
        <v/>
      </c>
      <c r="E355" s="15">
        <f>IFERROR(SUMIFS(DataEntry!$S:$S,DataEntry!$A:$A,"Zomba",DataEntry!$B:$B,"Lirangwe",DataEntry!$G:$G,"Q2"),"")</f>
        <v/>
      </c>
      <c r="F355" s="15">
        <f>IFERROR(SUMIFS(DataEntry!$S:$S,DataEntry!$A:$A,"Zomba",DataEntry!$B:$B,"Lirangwe",DataEntry!$G:$G,"Q3"),"")</f>
        <v/>
      </c>
      <c r="G355" s="15">
        <f>IFERROR(SUMIFS(DataEntry!$S:$S,DataEntry!$A:$A,"Zomba",DataEntry!$B:$B,"Lirangwe",DataEntry!$G:$G,"Q4"),"")</f>
        <v/>
      </c>
      <c r="H355" s="20">
        <f>IFERROR(SUM(D355:G355),"")</f>
        <v/>
      </c>
    </row>
    <row r="356">
      <c r="A356" s="21" t="inlineStr">
        <is>
          <t>Zomba</t>
        </is>
      </c>
      <c r="B356" s="21" t="inlineStr">
        <is>
          <t>Lirangwe</t>
        </is>
      </c>
      <c r="C356" s="12" t="inlineStr">
        <is>
          <t>Non-Revenue Water</t>
        </is>
      </c>
      <c r="D356" s="9">
        <f>IFERROR(SUMIFS(DataEntry!$T:$T,DataEntry!$A:$A,"Zomba",DataEntry!$B:$B,"Lirangwe",DataEntry!$G:$G,"Q1"),"")</f>
        <v/>
      </c>
      <c r="E356" s="9">
        <f>IFERROR(SUMIFS(DataEntry!$T:$T,DataEntry!$A:$A,"Zomba",DataEntry!$B:$B,"Lirangwe",DataEntry!$G:$G,"Q2"),"")</f>
        <v/>
      </c>
      <c r="F356" s="9">
        <f>IFERROR(SUMIFS(DataEntry!$T:$T,DataEntry!$A:$A,"Zomba",DataEntry!$B:$B,"Lirangwe",DataEntry!$G:$G,"Q3"),"")</f>
        <v/>
      </c>
      <c r="G356" s="9">
        <f>IFERROR(SUMIFS(DataEntry!$T:$T,DataEntry!$A:$A,"Zomba",DataEntry!$B:$B,"Lirangwe",DataEntry!$G:$G,"Q4"),"")</f>
        <v/>
      </c>
      <c r="H356" s="22">
        <f>IFERROR(SUM(D356:G356),"")</f>
        <v/>
      </c>
    </row>
    <row r="357">
      <c r="A357" s="19" t="inlineStr">
        <is>
          <t>Zomba</t>
        </is>
      </c>
      <c r="B357" s="19" t="inlineStr">
        <is>
          <t>Lirangwe</t>
        </is>
      </c>
      <c r="C357" s="6" t="inlineStr">
        <is>
          <t>% NRW</t>
        </is>
      </c>
      <c r="D357" s="16">
        <f>IFERROR(AVERAGEIFS(DataEntry!$U:$U,DataEntry!$A:$A,"Zomba",DataEntry!$B:$B,"Lirangwe",DataEntry!$G:$G,"Q1"),"")</f>
        <v/>
      </c>
      <c r="E357" s="16">
        <f>IFERROR(AVERAGEIFS(DataEntry!$U:$U,DataEntry!$A:$A,"Zomba",DataEntry!$B:$B,"Lirangwe",DataEntry!$G:$G,"Q2"),"")</f>
        <v/>
      </c>
      <c r="F357" s="16">
        <f>IFERROR(AVERAGEIFS(DataEntry!$U:$U,DataEntry!$A:$A,"Zomba",DataEntry!$B:$B,"Lirangwe",DataEntry!$G:$G,"Q3"),"")</f>
        <v/>
      </c>
      <c r="G357" s="16">
        <f>IFERROR(AVERAGEIFS(DataEntry!$U:$U,DataEntry!$A:$A,"Zomba",DataEntry!$B:$B,"Lirangwe",DataEntry!$G:$G,"Q4"),"")</f>
        <v/>
      </c>
      <c r="H357" s="24">
        <f>IFERROR(AVERAGE(D357:G357),"")</f>
        <v/>
      </c>
    </row>
    <row r="358">
      <c r="A358" s="21" t="inlineStr">
        <is>
          <t>Zomba</t>
        </is>
      </c>
      <c r="B358" s="21" t="inlineStr">
        <is>
          <t>Lirangwe</t>
        </is>
      </c>
      <c r="C358" s="12" t="inlineStr">
        <is>
          <t>Total Operating Costs</t>
        </is>
      </c>
      <c r="D358" s="9">
        <f>IFERROR(SUMIFS(DataEntry!$AU:$AU,DataEntry!$A:$A,"Zomba",DataEntry!$B:$B,"Lirangwe",DataEntry!$G:$G,"Q1"),"")</f>
        <v/>
      </c>
      <c r="E358" s="9">
        <f>IFERROR(SUMIFS(DataEntry!$AU:$AU,DataEntry!$A:$A,"Zomba",DataEntry!$B:$B,"Lirangwe",DataEntry!$G:$G,"Q2"),"")</f>
        <v/>
      </c>
      <c r="F358" s="9">
        <f>IFERROR(SUMIFS(DataEntry!$AU:$AU,DataEntry!$A:$A,"Zomba",DataEntry!$B:$B,"Lirangwe",DataEntry!$G:$G,"Q3"),"")</f>
        <v/>
      </c>
      <c r="G358" s="9">
        <f>IFERROR(SUMIFS(DataEntry!$AU:$AU,DataEntry!$A:$A,"Zomba",DataEntry!$B:$B,"Lirangwe",DataEntry!$G:$G,"Q4"),"")</f>
        <v/>
      </c>
      <c r="H358" s="22">
        <f>IFERROR(SUM(D358:G358),"")</f>
        <v/>
      </c>
    </row>
    <row r="359">
      <c r="A359" s="19" t="inlineStr">
        <is>
          <t>Zomba</t>
        </is>
      </c>
      <c r="B359" s="19" t="inlineStr">
        <is>
          <t>Lirangwe</t>
        </is>
      </c>
      <c r="C359" s="6" t="inlineStr">
        <is>
          <t>Total Cash Collected</t>
        </is>
      </c>
      <c r="D359" s="15">
        <f>IFERROR(SUMIFS(DataEntry!$GB:$GB,DataEntry!$A:$A,"Zomba",DataEntry!$B:$B,"Lirangwe",DataEntry!$G:$G,"Q1"),"")</f>
        <v/>
      </c>
      <c r="E359" s="15">
        <f>IFERROR(SUMIFS(DataEntry!$GB:$GB,DataEntry!$A:$A,"Zomba",DataEntry!$B:$B,"Lirangwe",DataEntry!$G:$G,"Q2"),"")</f>
        <v/>
      </c>
      <c r="F359" s="15">
        <f>IFERROR(SUMIFS(DataEntry!$GB:$GB,DataEntry!$A:$A,"Zomba",DataEntry!$B:$B,"Lirangwe",DataEntry!$G:$G,"Q3"),"")</f>
        <v/>
      </c>
      <c r="G359" s="15">
        <f>IFERROR(SUMIFS(DataEntry!$GB:$GB,DataEntry!$A:$A,"Zomba",DataEntry!$B:$B,"Lirangwe",DataEntry!$G:$G,"Q4"),"")</f>
        <v/>
      </c>
      <c r="H359" s="20">
        <f>IFERROR(SUM(D359:G359),"")</f>
        <v/>
      </c>
    </row>
    <row r="360">
      <c r="A360" s="21" t="inlineStr">
        <is>
          <t>Zomba</t>
        </is>
      </c>
      <c r="B360" s="21" t="inlineStr">
        <is>
          <t>Lirangwe</t>
        </is>
      </c>
      <c r="C360" s="12" t="inlineStr">
        <is>
          <t>Total Amount Billed</t>
        </is>
      </c>
      <c r="D360" s="9">
        <f>IFERROR(SUMIFS(DataEntry!$GM:$GM,DataEntry!$A:$A,"Zomba",DataEntry!$B:$B,"Lirangwe",DataEntry!$G:$G,"Q1"),"")</f>
        <v/>
      </c>
      <c r="E360" s="9">
        <f>IFERROR(SUMIFS(DataEntry!$GM:$GM,DataEntry!$A:$A,"Zomba",DataEntry!$B:$B,"Lirangwe",DataEntry!$G:$G,"Q2"),"")</f>
        <v/>
      </c>
      <c r="F360" s="9">
        <f>IFERROR(SUMIFS(DataEntry!$GM:$GM,DataEntry!$A:$A,"Zomba",DataEntry!$B:$B,"Lirangwe",DataEntry!$G:$G,"Q3"),"")</f>
        <v/>
      </c>
      <c r="G360" s="9">
        <f>IFERROR(SUMIFS(DataEntry!$GM:$GM,DataEntry!$A:$A,"Zomba",DataEntry!$B:$B,"Lirangwe",DataEntry!$G:$G,"Q4"),"")</f>
        <v/>
      </c>
      <c r="H360" s="22">
        <f>IFERROR(SUM(D360:G360),"")</f>
        <v/>
      </c>
    </row>
    <row r="361">
      <c r="A361" s="19" t="inlineStr">
        <is>
          <t>Zomba</t>
        </is>
      </c>
      <c r="B361" s="19" t="inlineStr">
        <is>
          <t>Lirangwe</t>
        </is>
      </c>
      <c r="C361" s="6" t="inlineStr">
        <is>
          <t>Total Sales</t>
        </is>
      </c>
      <c r="D361" s="15">
        <f>IFERROR(SUMIFS(DataEntry!$GX:$GX,DataEntry!$A:$A,"Zomba",DataEntry!$B:$B,"Lirangwe",DataEntry!$G:$G,"Q1"),"")</f>
        <v/>
      </c>
      <c r="E361" s="15">
        <f>IFERROR(SUMIFS(DataEntry!$GX:$GX,DataEntry!$A:$A,"Zomba",DataEntry!$B:$B,"Lirangwe",DataEntry!$G:$G,"Q2"),"")</f>
        <v/>
      </c>
      <c r="F361" s="15">
        <f>IFERROR(SUMIFS(DataEntry!$GX:$GX,DataEntry!$A:$A,"Zomba",DataEntry!$B:$B,"Lirangwe",DataEntry!$G:$G,"Q3"),"")</f>
        <v/>
      </c>
      <c r="G361" s="15">
        <f>IFERROR(SUMIFS(DataEntry!$GX:$GX,DataEntry!$A:$A,"Zomba",DataEntry!$B:$B,"Lirangwe",DataEntry!$G:$G,"Q4"),"")</f>
        <v/>
      </c>
      <c r="H361" s="20">
        <f>IFERROR(SUM(D361:G361),"")</f>
        <v/>
      </c>
    </row>
    <row r="362">
      <c r="A362" s="21" t="inlineStr">
        <is>
          <t>Zomba</t>
        </is>
      </c>
      <c r="B362" s="21" t="inlineStr">
        <is>
          <t>Lirangwe</t>
        </is>
      </c>
      <c r="C362" s="12" t="inlineStr">
        <is>
          <t>Active Customers</t>
        </is>
      </c>
      <c r="D362" s="9">
        <f>IFERROR(SUMIFS(DataEntry!$CS:$CS,DataEntry!$A:$A,"Zomba",DataEntry!$B:$B,"Lirangwe",DataEntry!$G:$G,"Q1"),"")</f>
        <v/>
      </c>
      <c r="E362" s="9">
        <f>IFERROR(SUMIFS(DataEntry!$CS:$CS,DataEntry!$A:$A,"Zomba",DataEntry!$B:$B,"Lirangwe",DataEntry!$G:$G,"Q2"),"")</f>
        <v/>
      </c>
      <c r="F362" s="9">
        <f>IFERROR(SUMIFS(DataEntry!$CS:$CS,DataEntry!$A:$A,"Zomba",DataEntry!$B:$B,"Lirangwe",DataEntry!$G:$G,"Q3"),"")</f>
        <v/>
      </c>
      <c r="G362" s="9">
        <f>IFERROR(SUMIFS(DataEntry!$CS:$CS,DataEntry!$A:$A,"Zomba",DataEntry!$B:$B,"Lirangwe",DataEntry!$G:$G,"Q4"),"")</f>
        <v/>
      </c>
      <c r="H362" s="22">
        <f>IFERROR(SUM(D362:G362),"")</f>
        <v/>
      </c>
    </row>
    <row r="363">
      <c r="A363" s="19" t="inlineStr">
        <is>
          <t>Zomba</t>
        </is>
      </c>
      <c r="B363" s="19" t="inlineStr">
        <is>
          <t>Lirangwe</t>
        </is>
      </c>
      <c r="C363" s="6" t="inlineStr">
        <is>
          <t>New Connections</t>
        </is>
      </c>
      <c r="D363" s="15">
        <f>IFERROR(SUMIFS(DataEntry!$CA:$CA,DataEntry!$A:$A,"Zomba",DataEntry!$B:$B,"Lirangwe",DataEntry!$G:$G,"Q1"),"")</f>
        <v/>
      </c>
      <c r="E363" s="15">
        <f>IFERROR(SUMIFS(DataEntry!$CA:$CA,DataEntry!$A:$A,"Zomba",DataEntry!$B:$B,"Lirangwe",DataEntry!$G:$G,"Q2"),"")</f>
        <v/>
      </c>
      <c r="F363" s="15">
        <f>IFERROR(SUMIFS(DataEntry!$CA:$CA,DataEntry!$A:$A,"Zomba",DataEntry!$B:$B,"Lirangwe",DataEntry!$G:$G,"Q3"),"")</f>
        <v/>
      </c>
      <c r="G363" s="15">
        <f>IFERROR(SUMIFS(DataEntry!$CA:$CA,DataEntry!$A:$A,"Zomba",DataEntry!$B:$B,"Lirangwe",DataEntry!$G:$G,"Q4"),"")</f>
        <v/>
      </c>
      <c r="H363" s="20">
        <f>IFERROR(SUM(D363:G363),"")</f>
        <v/>
      </c>
    </row>
    <row r="364">
      <c r="A364" s="21" t="inlineStr">
        <is>
          <t>Zomba</t>
        </is>
      </c>
      <c r="B364" s="21" t="inlineStr">
        <is>
          <t>Lirangwe</t>
        </is>
      </c>
      <c r="C364" s="12" t="inlineStr">
        <is>
          <t>Stuck Meters C/Fwd</t>
        </is>
      </c>
      <c r="D364" s="9">
        <f>IFERROR(SUMIFS(DataEntry!$DV:$DV,DataEntry!$A:$A,"Zomba",DataEntry!$B:$B,"Lirangwe",DataEntry!$G:$G,"Q1"),"")</f>
        <v/>
      </c>
      <c r="E364" s="9">
        <f>IFERROR(SUMIFS(DataEntry!$DV:$DV,DataEntry!$A:$A,"Zomba",DataEntry!$B:$B,"Lirangwe",DataEntry!$G:$G,"Q2"),"")</f>
        <v/>
      </c>
      <c r="F364" s="9">
        <f>IFERROR(SUMIFS(DataEntry!$DV:$DV,DataEntry!$A:$A,"Zomba",DataEntry!$B:$B,"Lirangwe",DataEntry!$G:$G,"Q3"),"")</f>
        <v/>
      </c>
      <c r="G364" s="9">
        <f>IFERROR(SUMIFS(DataEntry!$DV:$DV,DataEntry!$A:$A,"Zomba",DataEntry!$B:$B,"Lirangwe",DataEntry!$G:$G,"Q4"),"")</f>
        <v/>
      </c>
      <c r="H364" s="22">
        <f>IFERROR(SUM(D364:G364),"")</f>
        <v/>
      </c>
    </row>
    <row r="365">
      <c r="A365" s="19" t="inlineStr">
        <is>
          <t>Zomba</t>
        </is>
      </c>
      <c r="B365" s="19" t="inlineStr">
        <is>
          <t>Lirangwe</t>
        </is>
      </c>
      <c r="C365" s="6" t="inlineStr">
        <is>
          <t>Cash Collection Rate</t>
        </is>
      </c>
      <c r="D365" s="16">
        <f>IFERROR(AVERAGEIFS(DataEntry!$HC:$HC,DataEntry!$A:$A,"Zomba",DataEntry!$B:$B,"Lirangwe",DataEntry!$G:$G,"Q1"),"")</f>
        <v/>
      </c>
      <c r="E365" s="16">
        <f>IFERROR(AVERAGEIFS(DataEntry!$HC:$HC,DataEntry!$A:$A,"Zomba",DataEntry!$B:$B,"Lirangwe",DataEntry!$G:$G,"Q2"),"")</f>
        <v/>
      </c>
      <c r="F365" s="16">
        <f>IFERROR(AVERAGEIFS(DataEntry!$HC:$HC,DataEntry!$A:$A,"Zomba",DataEntry!$B:$B,"Lirangwe",DataEntry!$G:$G,"Q3"),"")</f>
        <v/>
      </c>
      <c r="G365" s="16">
        <f>IFERROR(AVERAGEIFS(DataEntry!$HC:$HC,DataEntry!$A:$A,"Zomba",DataEntry!$B:$B,"Lirangwe",DataEntry!$G:$G,"Q4"),"")</f>
        <v/>
      </c>
      <c r="H365" s="24">
        <f>IFERROR(AVERAGE(D365:G365),"")</f>
        <v/>
      </c>
    </row>
    <row r="366">
      <c r="A366" s="21" t="inlineStr">
        <is>
          <t>Zomba</t>
        </is>
      </c>
      <c r="B366" s="21" t="inlineStr">
        <is>
          <t>Lirangwe</t>
        </is>
      </c>
      <c r="C366" s="12" t="inlineStr">
        <is>
          <t>OpCost per Sales</t>
        </is>
      </c>
      <c r="D366" s="10">
        <f>IFERROR(AVERAGEIFS(DataEntry!$HB:$HB,DataEntry!$A:$A,"Zomba",DataEntry!$B:$B,"Lirangwe",DataEntry!$G:$G,"Q1"),"")</f>
        <v/>
      </c>
      <c r="E366" s="10">
        <f>IFERROR(AVERAGEIFS(DataEntry!$HB:$HB,DataEntry!$A:$A,"Zomba",DataEntry!$B:$B,"Lirangwe",DataEntry!$G:$G,"Q2"),"")</f>
        <v/>
      </c>
      <c r="F366" s="10">
        <f>IFERROR(AVERAGEIFS(DataEntry!$HB:$HB,DataEntry!$A:$A,"Zomba",DataEntry!$B:$B,"Lirangwe",DataEntry!$G:$G,"Q3"),"")</f>
        <v/>
      </c>
      <c r="G366" s="10">
        <f>IFERROR(AVERAGEIFS(DataEntry!$HB:$HB,DataEntry!$A:$A,"Zomba",DataEntry!$B:$B,"Lirangwe",DataEntry!$G:$G,"Q4"),"")</f>
        <v/>
      </c>
      <c r="H366" s="23">
        <f>IFERROR(AVERAGE(D366:G366),"")</f>
        <v/>
      </c>
    </row>
    <row r="367">
      <c r="A367" s="19" t="inlineStr">
        <is>
          <t>Zomba</t>
        </is>
      </c>
      <c r="B367" s="19" t="inlineStr">
        <is>
          <t>Mwanza</t>
        </is>
      </c>
      <c r="C367" s="6" t="inlineStr">
        <is>
          <t>Volume Produced (m³)</t>
        </is>
      </c>
      <c r="D367" s="15">
        <f>IFERROR(SUMIFS(DataEntry!$H:$H,DataEntry!$A:$A,"Zomba",DataEntry!$B:$B,"Mwanza",DataEntry!$G:$G,"Q1"),"")</f>
        <v/>
      </c>
      <c r="E367" s="15">
        <f>IFERROR(SUMIFS(DataEntry!$H:$H,DataEntry!$A:$A,"Zomba",DataEntry!$B:$B,"Mwanza",DataEntry!$G:$G,"Q2"),"")</f>
        <v/>
      </c>
      <c r="F367" s="15">
        <f>IFERROR(SUMIFS(DataEntry!$H:$H,DataEntry!$A:$A,"Zomba",DataEntry!$B:$B,"Mwanza",DataEntry!$G:$G,"Q3"),"")</f>
        <v/>
      </c>
      <c r="G367" s="15">
        <f>IFERROR(SUMIFS(DataEntry!$H:$H,DataEntry!$A:$A,"Zomba",DataEntry!$B:$B,"Mwanza",DataEntry!$G:$G,"Q4"),"")</f>
        <v/>
      </c>
      <c r="H367" s="20">
        <f>IFERROR(SUM(D367:G367),"")</f>
        <v/>
      </c>
    </row>
    <row r="368">
      <c r="A368" s="21" t="inlineStr">
        <is>
          <t>Zomba</t>
        </is>
      </c>
      <c r="B368" s="21" t="inlineStr">
        <is>
          <t>Mwanza</t>
        </is>
      </c>
      <c r="C368" s="12" t="inlineStr">
        <is>
          <t>Total Revenue Water</t>
        </is>
      </c>
      <c r="D368" s="9">
        <f>IFERROR(SUMIFS(DataEntry!$S:$S,DataEntry!$A:$A,"Zomba",DataEntry!$B:$B,"Mwanza",DataEntry!$G:$G,"Q1"),"")</f>
        <v/>
      </c>
      <c r="E368" s="9">
        <f>IFERROR(SUMIFS(DataEntry!$S:$S,DataEntry!$A:$A,"Zomba",DataEntry!$B:$B,"Mwanza",DataEntry!$G:$G,"Q2"),"")</f>
        <v/>
      </c>
      <c r="F368" s="9">
        <f>IFERROR(SUMIFS(DataEntry!$S:$S,DataEntry!$A:$A,"Zomba",DataEntry!$B:$B,"Mwanza",DataEntry!$G:$G,"Q3"),"")</f>
        <v/>
      </c>
      <c r="G368" s="9">
        <f>IFERROR(SUMIFS(DataEntry!$S:$S,DataEntry!$A:$A,"Zomba",DataEntry!$B:$B,"Mwanza",DataEntry!$G:$G,"Q4"),"")</f>
        <v/>
      </c>
      <c r="H368" s="22">
        <f>IFERROR(SUM(D368:G368),"")</f>
        <v/>
      </c>
    </row>
    <row r="369">
      <c r="A369" s="19" t="inlineStr">
        <is>
          <t>Zomba</t>
        </is>
      </c>
      <c r="B369" s="19" t="inlineStr">
        <is>
          <t>Mwanza</t>
        </is>
      </c>
      <c r="C369" s="6" t="inlineStr">
        <is>
          <t>Non-Revenue Water</t>
        </is>
      </c>
      <c r="D369" s="15">
        <f>IFERROR(SUMIFS(DataEntry!$T:$T,DataEntry!$A:$A,"Zomba",DataEntry!$B:$B,"Mwanza",DataEntry!$G:$G,"Q1"),"")</f>
        <v/>
      </c>
      <c r="E369" s="15">
        <f>IFERROR(SUMIFS(DataEntry!$T:$T,DataEntry!$A:$A,"Zomba",DataEntry!$B:$B,"Mwanza",DataEntry!$G:$G,"Q2"),"")</f>
        <v/>
      </c>
      <c r="F369" s="15">
        <f>IFERROR(SUMIFS(DataEntry!$T:$T,DataEntry!$A:$A,"Zomba",DataEntry!$B:$B,"Mwanza",DataEntry!$G:$G,"Q3"),"")</f>
        <v/>
      </c>
      <c r="G369" s="15">
        <f>IFERROR(SUMIFS(DataEntry!$T:$T,DataEntry!$A:$A,"Zomba",DataEntry!$B:$B,"Mwanza",DataEntry!$G:$G,"Q4"),"")</f>
        <v/>
      </c>
      <c r="H369" s="20">
        <f>IFERROR(SUM(D369:G369),"")</f>
        <v/>
      </c>
    </row>
    <row r="370">
      <c r="A370" s="21" t="inlineStr">
        <is>
          <t>Zomba</t>
        </is>
      </c>
      <c r="B370" s="21" t="inlineStr">
        <is>
          <t>Mwanza</t>
        </is>
      </c>
      <c r="C370" s="12" t="inlineStr">
        <is>
          <t>% NRW</t>
        </is>
      </c>
      <c r="D370" s="10">
        <f>IFERROR(AVERAGEIFS(DataEntry!$U:$U,DataEntry!$A:$A,"Zomba",DataEntry!$B:$B,"Mwanza",DataEntry!$G:$G,"Q1"),"")</f>
        <v/>
      </c>
      <c r="E370" s="10">
        <f>IFERROR(AVERAGEIFS(DataEntry!$U:$U,DataEntry!$A:$A,"Zomba",DataEntry!$B:$B,"Mwanza",DataEntry!$G:$G,"Q2"),"")</f>
        <v/>
      </c>
      <c r="F370" s="10">
        <f>IFERROR(AVERAGEIFS(DataEntry!$U:$U,DataEntry!$A:$A,"Zomba",DataEntry!$B:$B,"Mwanza",DataEntry!$G:$G,"Q3"),"")</f>
        <v/>
      </c>
      <c r="G370" s="10">
        <f>IFERROR(AVERAGEIFS(DataEntry!$U:$U,DataEntry!$A:$A,"Zomba",DataEntry!$B:$B,"Mwanza",DataEntry!$G:$G,"Q4"),"")</f>
        <v/>
      </c>
      <c r="H370" s="23">
        <f>IFERROR(AVERAGE(D370:G370),"")</f>
        <v/>
      </c>
    </row>
    <row r="371">
      <c r="A371" s="19" t="inlineStr">
        <is>
          <t>Zomba</t>
        </is>
      </c>
      <c r="B371" s="19" t="inlineStr">
        <is>
          <t>Mwanza</t>
        </is>
      </c>
      <c r="C371" s="6" t="inlineStr">
        <is>
          <t>Total Operating Costs</t>
        </is>
      </c>
      <c r="D371" s="15">
        <f>IFERROR(SUMIFS(DataEntry!$AU:$AU,DataEntry!$A:$A,"Zomba",DataEntry!$B:$B,"Mwanza",DataEntry!$G:$G,"Q1"),"")</f>
        <v/>
      </c>
      <c r="E371" s="15">
        <f>IFERROR(SUMIFS(DataEntry!$AU:$AU,DataEntry!$A:$A,"Zomba",DataEntry!$B:$B,"Mwanza",DataEntry!$G:$G,"Q2"),"")</f>
        <v/>
      </c>
      <c r="F371" s="15">
        <f>IFERROR(SUMIFS(DataEntry!$AU:$AU,DataEntry!$A:$A,"Zomba",DataEntry!$B:$B,"Mwanza",DataEntry!$G:$G,"Q3"),"")</f>
        <v/>
      </c>
      <c r="G371" s="15">
        <f>IFERROR(SUMIFS(DataEntry!$AU:$AU,DataEntry!$A:$A,"Zomba",DataEntry!$B:$B,"Mwanza",DataEntry!$G:$G,"Q4"),"")</f>
        <v/>
      </c>
      <c r="H371" s="20">
        <f>IFERROR(SUM(D371:G371),"")</f>
        <v/>
      </c>
    </row>
    <row r="372">
      <c r="A372" s="21" t="inlineStr">
        <is>
          <t>Zomba</t>
        </is>
      </c>
      <c r="B372" s="21" t="inlineStr">
        <is>
          <t>Mwanza</t>
        </is>
      </c>
      <c r="C372" s="12" t="inlineStr">
        <is>
          <t>Total Cash Collected</t>
        </is>
      </c>
      <c r="D372" s="9">
        <f>IFERROR(SUMIFS(DataEntry!$GB:$GB,DataEntry!$A:$A,"Zomba",DataEntry!$B:$B,"Mwanza",DataEntry!$G:$G,"Q1"),"")</f>
        <v/>
      </c>
      <c r="E372" s="9">
        <f>IFERROR(SUMIFS(DataEntry!$GB:$GB,DataEntry!$A:$A,"Zomba",DataEntry!$B:$B,"Mwanza",DataEntry!$G:$G,"Q2"),"")</f>
        <v/>
      </c>
      <c r="F372" s="9">
        <f>IFERROR(SUMIFS(DataEntry!$GB:$GB,DataEntry!$A:$A,"Zomba",DataEntry!$B:$B,"Mwanza",DataEntry!$G:$G,"Q3"),"")</f>
        <v/>
      </c>
      <c r="G372" s="9">
        <f>IFERROR(SUMIFS(DataEntry!$GB:$GB,DataEntry!$A:$A,"Zomba",DataEntry!$B:$B,"Mwanza",DataEntry!$G:$G,"Q4"),"")</f>
        <v/>
      </c>
      <c r="H372" s="22">
        <f>IFERROR(SUM(D372:G372),"")</f>
        <v/>
      </c>
    </row>
    <row r="373">
      <c r="A373" s="19" t="inlineStr">
        <is>
          <t>Zomba</t>
        </is>
      </c>
      <c r="B373" s="19" t="inlineStr">
        <is>
          <t>Mwanza</t>
        </is>
      </c>
      <c r="C373" s="6" t="inlineStr">
        <is>
          <t>Total Amount Billed</t>
        </is>
      </c>
      <c r="D373" s="15">
        <f>IFERROR(SUMIFS(DataEntry!$GM:$GM,DataEntry!$A:$A,"Zomba",DataEntry!$B:$B,"Mwanza",DataEntry!$G:$G,"Q1"),"")</f>
        <v/>
      </c>
      <c r="E373" s="15">
        <f>IFERROR(SUMIFS(DataEntry!$GM:$GM,DataEntry!$A:$A,"Zomba",DataEntry!$B:$B,"Mwanza",DataEntry!$G:$G,"Q2"),"")</f>
        <v/>
      </c>
      <c r="F373" s="15">
        <f>IFERROR(SUMIFS(DataEntry!$GM:$GM,DataEntry!$A:$A,"Zomba",DataEntry!$B:$B,"Mwanza",DataEntry!$G:$G,"Q3"),"")</f>
        <v/>
      </c>
      <c r="G373" s="15">
        <f>IFERROR(SUMIFS(DataEntry!$GM:$GM,DataEntry!$A:$A,"Zomba",DataEntry!$B:$B,"Mwanza",DataEntry!$G:$G,"Q4"),"")</f>
        <v/>
      </c>
      <c r="H373" s="20">
        <f>IFERROR(SUM(D373:G373),"")</f>
        <v/>
      </c>
    </row>
    <row r="374">
      <c r="A374" s="21" t="inlineStr">
        <is>
          <t>Zomba</t>
        </is>
      </c>
      <c r="B374" s="21" t="inlineStr">
        <is>
          <t>Mwanza</t>
        </is>
      </c>
      <c r="C374" s="12" t="inlineStr">
        <is>
          <t>Total Sales</t>
        </is>
      </c>
      <c r="D374" s="9">
        <f>IFERROR(SUMIFS(DataEntry!$GX:$GX,DataEntry!$A:$A,"Zomba",DataEntry!$B:$B,"Mwanza",DataEntry!$G:$G,"Q1"),"")</f>
        <v/>
      </c>
      <c r="E374" s="9">
        <f>IFERROR(SUMIFS(DataEntry!$GX:$GX,DataEntry!$A:$A,"Zomba",DataEntry!$B:$B,"Mwanza",DataEntry!$G:$G,"Q2"),"")</f>
        <v/>
      </c>
      <c r="F374" s="9">
        <f>IFERROR(SUMIFS(DataEntry!$GX:$GX,DataEntry!$A:$A,"Zomba",DataEntry!$B:$B,"Mwanza",DataEntry!$G:$G,"Q3"),"")</f>
        <v/>
      </c>
      <c r="G374" s="9">
        <f>IFERROR(SUMIFS(DataEntry!$GX:$GX,DataEntry!$A:$A,"Zomba",DataEntry!$B:$B,"Mwanza",DataEntry!$G:$G,"Q4"),"")</f>
        <v/>
      </c>
      <c r="H374" s="22">
        <f>IFERROR(SUM(D374:G374),"")</f>
        <v/>
      </c>
    </row>
    <row r="375">
      <c r="A375" s="19" t="inlineStr">
        <is>
          <t>Zomba</t>
        </is>
      </c>
      <c r="B375" s="19" t="inlineStr">
        <is>
          <t>Mwanza</t>
        </is>
      </c>
      <c r="C375" s="6" t="inlineStr">
        <is>
          <t>Active Customers</t>
        </is>
      </c>
      <c r="D375" s="15">
        <f>IFERROR(SUMIFS(DataEntry!$CS:$CS,DataEntry!$A:$A,"Zomba",DataEntry!$B:$B,"Mwanza",DataEntry!$G:$G,"Q1"),"")</f>
        <v/>
      </c>
      <c r="E375" s="15">
        <f>IFERROR(SUMIFS(DataEntry!$CS:$CS,DataEntry!$A:$A,"Zomba",DataEntry!$B:$B,"Mwanza",DataEntry!$G:$G,"Q2"),"")</f>
        <v/>
      </c>
      <c r="F375" s="15">
        <f>IFERROR(SUMIFS(DataEntry!$CS:$CS,DataEntry!$A:$A,"Zomba",DataEntry!$B:$B,"Mwanza",DataEntry!$G:$G,"Q3"),"")</f>
        <v/>
      </c>
      <c r="G375" s="15">
        <f>IFERROR(SUMIFS(DataEntry!$CS:$CS,DataEntry!$A:$A,"Zomba",DataEntry!$B:$B,"Mwanza",DataEntry!$G:$G,"Q4"),"")</f>
        <v/>
      </c>
      <c r="H375" s="20">
        <f>IFERROR(SUM(D375:G375),"")</f>
        <v/>
      </c>
    </row>
    <row r="376">
      <c r="A376" s="21" t="inlineStr">
        <is>
          <t>Zomba</t>
        </is>
      </c>
      <c r="B376" s="21" t="inlineStr">
        <is>
          <t>Mwanza</t>
        </is>
      </c>
      <c r="C376" s="12" t="inlineStr">
        <is>
          <t>New Connections</t>
        </is>
      </c>
      <c r="D376" s="9">
        <f>IFERROR(SUMIFS(DataEntry!$CA:$CA,DataEntry!$A:$A,"Zomba",DataEntry!$B:$B,"Mwanza",DataEntry!$G:$G,"Q1"),"")</f>
        <v/>
      </c>
      <c r="E376" s="9">
        <f>IFERROR(SUMIFS(DataEntry!$CA:$CA,DataEntry!$A:$A,"Zomba",DataEntry!$B:$B,"Mwanza",DataEntry!$G:$G,"Q2"),"")</f>
        <v/>
      </c>
      <c r="F376" s="9">
        <f>IFERROR(SUMIFS(DataEntry!$CA:$CA,DataEntry!$A:$A,"Zomba",DataEntry!$B:$B,"Mwanza",DataEntry!$G:$G,"Q3"),"")</f>
        <v/>
      </c>
      <c r="G376" s="9">
        <f>IFERROR(SUMIFS(DataEntry!$CA:$CA,DataEntry!$A:$A,"Zomba",DataEntry!$B:$B,"Mwanza",DataEntry!$G:$G,"Q4"),"")</f>
        <v/>
      </c>
      <c r="H376" s="22">
        <f>IFERROR(SUM(D376:G376),"")</f>
        <v/>
      </c>
    </row>
    <row r="377">
      <c r="A377" s="19" t="inlineStr">
        <is>
          <t>Zomba</t>
        </is>
      </c>
      <c r="B377" s="19" t="inlineStr">
        <is>
          <t>Mwanza</t>
        </is>
      </c>
      <c r="C377" s="6" t="inlineStr">
        <is>
          <t>Stuck Meters C/Fwd</t>
        </is>
      </c>
      <c r="D377" s="15">
        <f>IFERROR(SUMIFS(DataEntry!$DV:$DV,DataEntry!$A:$A,"Zomba",DataEntry!$B:$B,"Mwanza",DataEntry!$G:$G,"Q1"),"")</f>
        <v/>
      </c>
      <c r="E377" s="15">
        <f>IFERROR(SUMIFS(DataEntry!$DV:$DV,DataEntry!$A:$A,"Zomba",DataEntry!$B:$B,"Mwanza",DataEntry!$G:$G,"Q2"),"")</f>
        <v/>
      </c>
      <c r="F377" s="15">
        <f>IFERROR(SUMIFS(DataEntry!$DV:$DV,DataEntry!$A:$A,"Zomba",DataEntry!$B:$B,"Mwanza",DataEntry!$G:$G,"Q3"),"")</f>
        <v/>
      </c>
      <c r="G377" s="15">
        <f>IFERROR(SUMIFS(DataEntry!$DV:$DV,DataEntry!$A:$A,"Zomba",DataEntry!$B:$B,"Mwanza",DataEntry!$G:$G,"Q4"),"")</f>
        <v/>
      </c>
      <c r="H377" s="20">
        <f>IFERROR(SUM(D377:G377),"")</f>
        <v/>
      </c>
    </row>
    <row r="378">
      <c r="A378" s="21" t="inlineStr">
        <is>
          <t>Zomba</t>
        </is>
      </c>
      <c r="B378" s="21" t="inlineStr">
        <is>
          <t>Mwanza</t>
        </is>
      </c>
      <c r="C378" s="12" t="inlineStr">
        <is>
          <t>Cash Collection Rate</t>
        </is>
      </c>
      <c r="D378" s="10">
        <f>IFERROR(AVERAGEIFS(DataEntry!$HC:$HC,DataEntry!$A:$A,"Zomba",DataEntry!$B:$B,"Mwanza",DataEntry!$G:$G,"Q1"),"")</f>
        <v/>
      </c>
      <c r="E378" s="10">
        <f>IFERROR(AVERAGEIFS(DataEntry!$HC:$HC,DataEntry!$A:$A,"Zomba",DataEntry!$B:$B,"Mwanza",DataEntry!$G:$G,"Q2"),"")</f>
        <v/>
      </c>
      <c r="F378" s="10">
        <f>IFERROR(AVERAGEIFS(DataEntry!$HC:$HC,DataEntry!$A:$A,"Zomba",DataEntry!$B:$B,"Mwanza",DataEntry!$G:$G,"Q3"),"")</f>
        <v/>
      </c>
      <c r="G378" s="10">
        <f>IFERROR(AVERAGEIFS(DataEntry!$HC:$HC,DataEntry!$A:$A,"Zomba",DataEntry!$B:$B,"Mwanza",DataEntry!$G:$G,"Q4"),"")</f>
        <v/>
      </c>
      <c r="H378" s="23">
        <f>IFERROR(AVERAGE(D378:G378),"")</f>
        <v/>
      </c>
    </row>
    <row r="379">
      <c r="A379" s="19" t="inlineStr">
        <is>
          <t>Zomba</t>
        </is>
      </c>
      <c r="B379" s="19" t="inlineStr">
        <is>
          <t>Mwanza</t>
        </is>
      </c>
      <c r="C379" s="6" t="inlineStr">
        <is>
          <t>OpCost per Sales</t>
        </is>
      </c>
      <c r="D379" s="16">
        <f>IFERROR(AVERAGEIFS(DataEntry!$HB:$HB,DataEntry!$A:$A,"Zomba",DataEntry!$B:$B,"Mwanza",DataEntry!$G:$G,"Q1"),"")</f>
        <v/>
      </c>
      <c r="E379" s="16">
        <f>IFERROR(AVERAGEIFS(DataEntry!$HB:$HB,DataEntry!$A:$A,"Zomba",DataEntry!$B:$B,"Mwanza",DataEntry!$G:$G,"Q2"),"")</f>
        <v/>
      </c>
      <c r="F379" s="16">
        <f>IFERROR(AVERAGEIFS(DataEntry!$HB:$HB,DataEntry!$A:$A,"Zomba",DataEntry!$B:$B,"Mwanza",DataEntry!$G:$G,"Q3"),"")</f>
        <v/>
      </c>
      <c r="G379" s="16">
        <f>IFERROR(AVERAGEIFS(DataEntry!$HB:$HB,DataEntry!$A:$A,"Zomba",DataEntry!$B:$B,"Mwanza",DataEntry!$G:$G,"Q4"),"")</f>
        <v/>
      </c>
      <c r="H379" s="24">
        <f>IFERROR(AVERAGE(D379:G379),"")</f>
        <v/>
      </c>
    </row>
    <row r="380">
      <c r="A380" s="21" t="inlineStr">
        <is>
          <t>Zomba</t>
        </is>
      </c>
      <c r="B380" s="21" t="inlineStr">
        <is>
          <t>Namadzi</t>
        </is>
      </c>
      <c r="C380" s="12" t="inlineStr">
        <is>
          <t>Volume Produced (m³)</t>
        </is>
      </c>
      <c r="D380" s="9">
        <f>IFERROR(SUMIFS(DataEntry!$H:$H,DataEntry!$A:$A,"Zomba",DataEntry!$B:$B,"Namadzi",DataEntry!$G:$G,"Q1"),"")</f>
        <v/>
      </c>
      <c r="E380" s="9">
        <f>IFERROR(SUMIFS(DataEntry!$H:$H,DataEntry!$A:$A,"Zomba",DataEntry!$B:$B,"Namadzi",DataEntry!$G:$G,"Q2"),"")</f>
        <v/>
      </c>
      <c r="F380" s="9">
        <f>IFERROR(SUMIFS(DataEntry!$H:$H,DataEntry!$A:$A,"Zomba",DataEntry!$B:$B,"Namadzi",DataEntry!$G:$G,"Q3"),"")</f>
        <v/>
      </c>
      <c r="G380" s="9">
        <f>IFERROR(SUMIFS(DataEntry!$H:$H,DataEntry!$A:$A,"Zomba",DataEntry!$B:$B,"Namadzi",DataEntry!$G:$G,"Q4"),"")</f>
        <v/>
      </c>
      <c r="H380" s="22">
        <f>IFERROR(SUM(D380:G380),"")</f>
        <v/>
      </c>
    </row>
    <row r="381">
      <c r="A381" s="19" t="inlineStr">
        <is>
          <t>Zomba</t>
        </is>
      </c>
      <c r="B381" s="19" t="inlineStr">
        <is>
          <t>Namadzi</t>
        </is>
      </c>
      <c r="C381" s="6" t="inlineStr">
        <is>
          <t>Total Revenue Water</t>
        </is>
      </c>
      <c r="D381" s="15">
        <f>IFERROR(SUMIFS(DataEntry!$S:$S,DataEntry!$A:$A,"Zomba",DataEntry!$B:$B,"Namadzi",DataEntry!$G:$G,"Q1"),"")</f>
        <v/>
      </c>
      <c r="E381" s="15">
        <f>IFERROR(SUMIFS(DataEntry!$S:$S,DataEntry!$A:$A,"Zomba",DataEntry!$B:$B,"Namadzi",DataEntry!$G:$G,"Q2"),"")</f>
        <v/>
      </c>
      <c r="F381" s="15">
        <f>IFERROR(SUMIFS(DataEntry!$S:$S,DataEntry!$A:$A,"Zomba",DataEntry!$B:$B,"Namadzi",DataEntry!$G:$G,"Q3"),"")</f>
        <v/>
      </c>
      <c r="G381" s="15">
        <f>IFERROR(SUMIFS(DataEntry!$S:$S,DataEntry!$A:$A,"Zomba",DataEntry!$B:$B,"Namadzi",DataEntry!$G:$G,"Q4"),"")</f>
        <v/>
      </c>
      <c r="H381" s="20">
        <f>IFERROR(SUM(D381:G381),"")</f>
        <v/>
      </c>
    </row>
    <row r="382">
      <c r="A382" s="21" t="inlineStr">
        <is>
          <t>Zomba</t>
        </is>
      </c>
      <c r="B382" s="21" t="inlineStr">
        <is>
          <t>Namadzi</t>
        </is>
      </c>
      <c r="C382" s="12" t="inlineStr">
        <is>
          <t>Non-Revenue Water</t>
        </is>
      </c>
      <c r="D382" s="9">
        <f>IFERROR(SUMIFS(DataEntry!$T:$T,DataEntry!$A:$A,"Zomba",DataEntry!$B:$B,"Namadzi",DataEntry!$G:$G,"Q1"),"")</f>
        <v/>
      </c>
      <c r="E382" s="9">
        <f>IFERROR(SUMIFS(DataEntry!$T:$T,DataEntry!$A:$A,"Zomba",DataEntry!$B:$B,"Namadzi",DataEntry!$G:$G,"Q2"),"")</f>
        <v/>
      </c>
      <c r="F382" s="9">
        <f>IFERROR(SUMIFS(DataEntry!$T:$T,DataEntry!$A:$A,"Zomba",DataEntry!$B:$B,"Namadzi",DataEntry!$G:$G,"Q3"),"")</f>
        <v/>
      </c>
      <c r="G382" s="9">
        <f>IFERROR(SUMIFS(DataEntry!$T:$T,DataEntry!$A:$A,"Zomba",DataEntry!$B:$B,"Namadzi",DataEntry!$G:$G,"Q4"),"")</f>
        <v/>
      </c>
      <c r="H382" s="22">
        <f>IFERROR(SUM(D382:G382),"")</f>
        <v/>
      </c>
    </row>
    <row r="383">
      <c r="A383" s="19" t="inlineStr">
        <is>
          <t>Zomba</t>
        </is>
      </c>
      <c r="B383" s="19" t="inlineStr">
        <is>
          <t>Namadzi</t>
        </is>
      </c>
      <c r="C383" s="6" t="inlineStr">
        <is>
          <t>% NRW</t>
        </is>
      </c>
      <c r="D383" s="16">
        <f>IFERROR(AVERAGEIFS(DataEntry!$U:$U,DataEntry!$A:$A,"Zomba",DataEntry!$B:$B,"Namadzi",DataEntry!$G:$G,"Q1"),"")</f>
        <v/>
      </c>
      <c r="E383" s="16">
        <f>IFERROR(AVERAGEIFS(DataEntry!$U:$U,DataEntry!$A:$A,"Zomba",DataEntry!$B:$B,"Namadzi",DataEntry!$G:$G,"Q2"),"")</f>
        <v/>
      </c>
      <c r="F383" s="16">
        <f>IFERROR(AVERAGEIFS(DataEntry!$U:$U,DataEntry!$A:$A,"Zomba",DataEntry!$B:$B,"Namadzi",DataEntry!$G:$G,"Q3"),"")</f>
        <v/>
      </c>
      <c r="G383" s="16">
        <f>IFERROR(AVERAGEIFS(DataEntry!$U:$U,DataEntry!$A:$A,"Zomba",DataEntry!$B:$B,"Namadzi",DataEntry!$G:$G,"Q4"),"")</f>
        <v/>
      </c>
      <c r="H383" s="24">
        <f>IFERROR(AVERAGE(D383:G383),"")</f>
        <v/>
      </c>
    </row>
    <row r="384">
      <c r="A384" s="21" t="inlineStr">
        <is>
          <t>Zomba</t>
        </is>
      </c>
      <c r="B384" s="21" t="inlineStr">
        <is>
          <t>Namadzi</t>
        </is>
      </c>
      <c r="C384" s="12" t="inlineStr">
        <is>
          <t>Total Operating Costs</t>
        </is>
      </c>
      <c r="D384" s="9">
        <f>IFERROR(SUMIFS(DataEntry!$AU:$AU,DataEntry!$A:$A,"Zomba",DataEntry!$B:$B,"Namadzi",DataEntry!$G:$G,"Q1"),"")</f>
        <v/>
      </c>
      <c r="E384" s="9">
        <f>IFERROR(SUMIFS(DataEntry!$AU:$AU,DataEntry!$A:$A,"Zomba",DataEntry!$B:$B,"Namadzi",DataEntry!$G:$G,"Q2"),"")</f>
        <v/>
      </c>
      <c r="F384" s="9">
        <f>IFERROR(SUMIFS(DataEntry!$AU:$AU,DataEntry!$A:$A,"Zomba",DataEntry!$B:$B,"Namadzi",DataEntry!$G:$G,"Q3"),"")</f>
        <v/>
      </c>
      <c r="G384" s="9">
        <f>IFERROR(SUMIFS(DataEntry!$AU:$AU,DataEntry!$A:$A,"Zomba",DataEntry!$B:$B,"Namadzi",DataEntry!$G:$G,"Q4"),"")</f>
        <v/>
      </c>
      <c r="H384" s="22">
        <f>IFERROR(SUM(D384:G384),"")</f>
        <v/>
      </c>
    </row>
    <row r="385">
      <c r="A385" s="19" t="inlineStr">
        <is>
          <t>Zomba</t>
        </is>
      </c>
      <c r="B385" s="19" t="inlineStr">
        <is>
          <t>Namadzi</t>
        </is>
      </c>
      <c r="C385" s="6" t="inlineStr">
        <is>
          <t>Total Cash Collected</t>
        </is>
      </c>
      <c r="D385" s="15">
        <f>IFERROR(SUMIFS(DataEntry!$GB:$GB,DataEntry!$A:$A,"Zomba",DataEntry!$B:$B,"Namadzi",DataEntry!$G:$G,"Q1"),"")</f>
        <v/>
      </c>
      <c r="E385" s="15">
        <f>IFERROR(SUMIFS(DataEntry!$GB:$GB,DataEntry!$A:$A,"Zomba",DataEntry!$B:$B,"Namadzi",DataEntry!$G:$G,"Q2"),"")</f>
        <v/>
      </c>
      <c r="F385" s="15">
        <f>IFERROR(SUMIFS(DataEntry!$GB:$GB,DataEntry!$A:$A,"Zomba",DataEntry!$B:$B,"Namadzi",DataEntry!$G:$G,"Q3"),"")</f>
        <v/>
      </c>
      <c r="G385" s="15">
        <f>IFERROR(SUMIFS(DataEntry!$GB:$GB,DataEntry!$A:$A,"Zomba",DataEntry!$B:$B,"Namadzi",DataEntry!$G:$G,"Q4"),"")</f>
        <v/>
      </c>
      <c r="H385" s="20">
        <f>IFERROR(SUM(D385:G385),"")</f>
        <v/>
      </c>
    </row>
    <row r="386">
      <c r="A386" s="21" t="inlineStr">
        <is>
          <t>Zomba</t>
        </is>
      </c>
      <c r="B386" s="21" t="inlineStr">
        <is>
          <t>Namadzi</t>
        </is>
      </c>
      <c r="C386" s="12" t="inlineStr">
        <is>
          <t>Total Amount Billed</t>
        </is>
      </c>
      <c r="D386" s="9">
        <f>IFERROR(SUMIFS(DataEntry!$GM:$GM,DataEntry!$A:$A,"Zomba",DataEntry!$B:$B,"Namadzi",DataEntry!$G:$G,"Q1"),"")</f>
        <v/>
      </c>
      <c r="E386" s="9">
        <f>IFERROR(SUMIFS(DataEntry!$GM:$GM,DataEntry!$A:$A,"Zomba",DataEntry!$B:$B,"Namadzi",DataEntry!$G:$G,"Q2"),"")</f>
        <v/>
      </c>
      <c r="F386" s="9">
        <f>IFERROR(SUMIFS(DataEntry!$GM:$GM,DataEntry!$A:$A,"Zomba",DataEntry!$B:$B,"Namadzi",DataEntry!$G:$G,"Q3"),"")</f>
        <v/>
      </c>
      <c r="G386" s="9">
        <f>IFERROR(SUMIFS(DataEntry!$GM:$GM,DataEntry!$A:$A,"Zomba",DataEntry!$B:$B,"Namadzi",DataEntry!$G:$G,"Q4"),"")</f>
        <v/>
      </c>
      <c r="H386" s="22">
        <f>IFERROR(SUM(D386:G386),"")</f>
        <v/>
      </c>
    </row>
    <row r="387">
      <c r="A387" s="19" t="inlineStr">
        <is>
          <t>Zomba</t>
        </is>
      </c>
      <c r="B387" s="19" t="inlineStr">
        <is>
          <t>Namadzi</t>
        </is>
      </c>
      <c r="C387" s="6" t="inlineStr">
        <is>
          <t>Total Sales</t>
        </is>
      </c>
      <c r="D387" s="15">
        <f>IFERROR(SUMIFS(DataEntry!$GX:$GX,DataEntry!$A:$A,"Zomba",DataEntry!$B:$B,"Namadzi",DataEntry!$G:$G,"Q1"),"")</f>
        <v/>
      </c>
      <c r="E387" s="15">
        <f>IFERROR(SUMIFS(DataEntry!$GX:$GX,DataEntry!$A:$A,"Zomba",DataEntry!$B:$B,"Namadzi",DataEntry!$G:$G,"Q2"),"")</f>
        <v/>
      </c>
      <c r="F387" s="15">
        <f>IFERROR(SUMIFS(DataEntry!$GX:$GX,DataEntry!$A:$A,"Zomba",DataEntry!$B:$B,"Namadzi",DataEntry!$G:$G,"Q3"),"")</f>
        <v/>
      </c>
      <c r="G387" s="15">
        <f>IFERROR(SUMIFS(DataEntry!$GX:$GX,DataEntry!$A:$A,"Zomba",DataEntry!$B:$B,"Namadzi",DataEntry!$G:$G,"Q4"),"")</f>
        <v/>
      </c>
      <c r="H387" s="20">
        <f>IFERROR(SUM(D387:G387),"")</f>
        <v/>
      </c>
    </row>
    <row r="388">
      <c r="A388" s="21" t="inlineStr">
        <is>
          <t>Zomba</t>
        </is>
      </c>
      <c r="B388" s="21" t="inlineStr">
        <is>
          <t>Namadzi</t>
        </is>
      </c>
      <c r="C388" s="12" t="inlineStr">
        <is>
          <t>Active Customers</t>
        </is>
      </c>
      <c r="D388" s="9">
        <f>IFERROR(SUMIFS(DataEntry!$CS:$CS,DataEntry!$A:$A,"Zomba",DataEntry!$B:$B,"Namadzi",DataEntry!$G:$G,"Q1"),"")</f>
        <v/>
      </c>
      <c r="E388" s="9">
        <f>IFERROR(SUMIFS(DataEntry!$CS:$CS,DataEntry!$A:$A,"Zomba",DataEntry!$B:$B,"Namadzi",DataEntry!$G:$G,"Q2"),"")</f>
        <v/>
      </c>
      <c r="F388" s="9">
        <f>IFERROR(SUMIFS(DataEntry!$CS:$CS,DataEntry!$A:$A,"Zomba",DataEntry!$B:$B,"Namadzi",DataEntry!$G:$G,"Q3"),"")</f>
        <v/>
      </c>
      <c r="G388" s="9">
        <f>IFERROR(SUMIFS(DataEntry!$CS:$CS,DataEntry!$A:$A,"Zomba",DataEntry!$B:$B,"Namadzi",DataEntry!$G:$G,"Q4"),"")</f>
        <v/>
      </c>
      <c r="H388" s="22">
        <f>IFERROR(SUM(D388:G388),"")</f>
        <v/>
      </c>
    </row>
    <row r="389">
      <c r="A389" s="19" t="inlineStr">
        <is>
          <t>Zomba</t>
        </is>
      </c>
      <c r="B389" s="19" t="inlineStr">
        <is>
          <t>Namadzi</t>
        </is>
      </c>
      <c r="C389" s="6" t="inlineStr">
        <is>
          <t>New Connections</t>
        </is>
      </c>
      <c r="D389" s="15">
        <f>IFERROR(SUMIFS(DataEntry!$CA:$CA,DataEntry!$A:$A,"Zomba",DataEntry!$B:$B,"Namadzi",DataEntry!$G:$G,"Q1"),"")</f>
        <v/>
      </c>
      <c r="E389" s="15">
        <f>IFERROR(SUMIFS(DataEntry!$CA:$CA,DataEntry!$A:$A,"Zomba",DataEntry!$B:$B,"Namadzi",DataEntry!$G:$G,"Q2"),"")</f>
        <v/>
      </c>
      <c r="F389" s="15">
        <f>IFERROR(SUMIFS(DataEntry!$CA:$CA,DataEntry!$A:$A,"Zomba",DataEntry!$B:$B,"Namadzi",DataEntry!$G:$G,"Q3"),"")</f>
        <v/>
      </c>
      <c r="G389" s="15">
        <f>IFERROR(SUMIFS(DataEntry!$CA:$CA,DataEntry!$A:$A,"Zomba",DataEntry!$B:$B,"Namadzi",DataEntry!$G:$G,"Q4"),"")</f>
        <v/>
      </c>
      <c r="H389" s="20">
        <f>IFERROR(SUM(D389:G389),"")</f>
        <v/>
      </c>
    </row>
    <row r="390">
      <c r="A390" s="21" t="inlineStr">
        <is>
          <t>Zomba</t>
        </is>
      </c>
      <c r="B390" s="21" t="inlineStr">
        <is>
          <t>Namadzi</t>
        </is>
      </c>
      <c r="C390" s="12" t="inlineStr">
        <is>
          <t>Stuck Meters C/Fwd</t>
        </is>
      </c>
      <c r="D390" s="9">
        <f>IFERROR(SUMIFS(DataEntry!$DV:$DV,DataEntry!$A:$A,"Zomba",DataEntry!$B:$B,"Namadzi",DataEntry!$G:$G,"Q1"),"")</f>
        <v/>
      </c>
      <c r="E390" s="9">
        <f>IFERROR(SUMIFS(DataEntry!$DV:$DV,DataEntry!$A:$A,"Zomba",DataEntry!$B:$B,"Namadzi",DataEntry!$G:$G,"Q2"),"")</f>
        <v/>
      </c>
      <c r="F390" s="9">
        <f>IFERROR(SUMIFS(DataEntry!$DV:$DV,DataEntry!$A:$A,"Zomba",DataEntry!$B:$B,"Namadzi",DataEntry!$G:$G,"Q3"),"")</f>
        <v/>
      </c>
      <c r="G390" s="9">
        <f>IFERROR(SUMIFS(DataEntry!$DV:$DV,DataEntry!$A:$A,"Zomba",DataEntry!$B:$B,"Namadzi",DataEntry!$G:$G,"Q4"),"")</f>
        <v/>
      </c>
      <c r="H390" s="22">
        <f>IFERROR(SUM(D390:G390),"")</f>
        <v/>
      </c>
    </row>
    <row r="391">
      <c r="A391" s="19" t="inlineStr">
        <is>
          <t>Zomba</t>
        </is>
      </c>
      <c r="B391" s="19" t="inlineStr">
        <is>
          <t>Namadzi</t>
        </is>
      </c>
      <c r="C391" s="6" t="inlineStr">
        <is>
          <t>Cash Collection Rate</t>
        </is>
      </c>
      <c r="D391" s="16">
        <f>IFERROR(AVERAGEIFS(DataEntry!$HC:$HC,DataEntry!$A:$A,"Zomba",DataEntry!$B:$B,"Namadzi",DataEntry!$G:$G,"Q1"),"")</f>
        <v/>
      </c>
      <c r="E391" s="16">
        <f>IFERROR(AVERAGEIFS(DataEntry!$HC:$HC,DataEntry!$A:$A,"Zomba",DataEntry!$B:$B,"Namadzi",DataEntry!$G:$G,"Q2"),"")</f>
        <v/>
      </c>
      <c r="F391" s="16">
        <f>IFERROR(AVERAGEIFS(DataEntry!$HC:$HC,DataEntry!$A:$A,"Zomba",DataEntry!$B:$B,"Namadzi",DataEntry!$G:$G,"Q3"),"")</f>
        <v/>
      </c>
      <c r="G391" s="16">
        <f>IFERROR(AVERAGEIFS(DataEntry!$HC:$HC,DataEntry!$A:$A,"Zomba",DataEntry!$B:$B,"Namadzi",DataEntry!$G:$G,"Q4"),"")</f>
        <v/>
      </c>
      <c r="H391" s="24">
        <f>IFERROR(AVERAGE(D391:G391),"")</f>
        <v/>
      </c>
    </row>
    <row r="392">
      <c r="A392" s="21" t="inlineStr">
        <is>
          <t>Zomba</t>
        </is>
      </c>
      <c r="B392" s="21" t="inlineStr">
        <is>
          <t>Namadzi</t>
        </is>
      </c>
      <c r="C392" s="12" t="inlineStr">
        <is>
          <t>OpCost per Sales</t>
        </is>
      </c>
      <c r="D392" s="10">
        <f>IFERROR(AVERAGEIFS(DataEntry!$HB:$HB,DataEntry!$A:$A,"Zomba",DataEntry!$B:$B,"Namadzi",DataEntry!$G:$G,"Q1"),"")</f>
        <v/>
      </c>
      <c r="E392" s="10">
        <f>IFERROR(AVERAGEIFS(DataEntry!$HB:$HB,DataEntry!$A:$A,"Zomba",DataEntry!$B:$B,"Namadzi",DataEntry!$G:$G,"Q2"),"")</f>
        <v/>
      </c>
      <c r="F392" s="10">
        <f>IFERROR(AVERAGEIFS(DataEntry!$HB:$HB,DataEntry!$A:$A,"Zomba",DataEntry!$B:$B,"Namadzi",DataEntry!$G:$G,"Q3"),"")</f>
        <v/>
      </c>
      <c r="G392" s="10">
        <f>IFERROR(AVERAGEIFS(DataEntry!$HB:$HB,DataEntry!$A:$A,"Zomba",DataEntry!$B:$B,"Namadzi",DataEntry!$G:$G,"Q4"),"")</f>
        <v/>
      </c>
      <c r="H392" s="23">
        <f>IFERROR(AVERAGE(D392:G392),"")</f>
        <v/>
      </c>
    </row>
    <row r="393">
      <c r="A393" s="19" t="inlineStr">
        <is>
          <t>Zomba</t>
        </is>
      </c>
      <c r="B393" s="19" t="inlineStr">
        <is>
          <t>Neno</t>
        </is>
      </c>
      <c r="C393" s="6" t="inlineStr">
        <is>
          <t>Volume Produced (m³)</t>
        </is>
      </c>
      <c r="D393" s="15">
        <f>IFERROR(SUMIFS(DataEntry!$H:$H,DataEntry!$A:$A,"Zomba",DataEntry!$B:$B,"Neno",DataEntry!$G:$G,"Q1"),"")</f>
        <v/>
      </c>
      <c r="E393" s="15">
        <f>IFERROR(SUMIFS(DataEntry!$H:$H,DataEntry!$A:$A,"Zomba",DataEntry!$B:$B,"Neno",DataEntry!$G:$G,"Q2"),"")</f>
        <v/>
      </c>
      <c r="F393" s="15">
        <f>IFERROR(SUMIFS(DataEntry!$H:$H,DataEntry!$A:$A,"Zomba",DataEntry!$B:$B,"Neno",DataEntry!$G:$G,"Q3"),"")</f>
        <v/>
      </c>
      <c r="G393" s="15">
        <f>IFERROR(SUMIFS(DataEntry!$H:$H,DataEntry!$A:$A,"Zomba",DataEntry!$B:$B,"Neno",DataEntry!$G:$G,"Q4"),"")</f>
        <v/>
      </c>
      <c r="H393" s="20">
        <f>IFERROR(SUM(D393:G393),"")</f>
        <v/>
      </c>
    </row>
    <row r="394">
      <c r="A394" s="21" t="inlineStr">
        <is>
          <t>Zomba</t>
        </is>
      </c>
      <c r="B394" s="21" t="inlineStr">
        <is>
          <t>Neno</t>
        </is>
      </c>
      <c r="C394" s="12" t="inlineStr">
        <is>
          <t>Total Revenue Water</t>
        </is>
      </c>
      <c r="D394" s="9">
        <f>IFERROR(SUMIFS(DataEntry!$S:$S,DataEntry!$A:$A,"Zomba",DataEntry!$B:$B,"Neno",DataEntry!$G:$G,"Q1"),"")</f>
        <v/>
      </c>
      <c r="E394" s="9">
        <f>IFERROR(SUMIFS(DataEntry!$S:$S,DataEntry!$A:$A,"Zomba",DataEntry!$B:$B,"Neno",DataEntry!$G:$G,"Q2"),"")</f>
        <v/>
      </c>
      <c r="F394" s="9">
        <f>IFERROR(SUMIFS(DataEntry!$S:$S,DataEntry!$A:$A,"Zomba",DataEntry!$B:$B,"Neno",DataEntry!$G:$G,"Q3"),"")</f>
        <v/>
      </c>
      <c r="G394" s="9">
        <f>IFERROR(SUMIFS(DataEntry!$S:$S,DataEntry!$A:$A,"Zomba",DataEntry!$B:$B,"Neno",DataEntry!$G:$G,"Q4"),"")</f>
        <v/>
      </c>
      <c r="H394" s="22">
        <f>IFERROR(SUM(D394:G394),"")</f>
        <v/>
      </c>
    </row>
    <row r="395">
      <c r="A395" s="19" t="inlineStr">
        <is>
          <t>Zomba</t>
        </is>
      </c>
      <c r="B395" s="19" t="inlineStr">
        <is>
          <t>Neno</t>
        </is>
      </c>
      <c r="C395" s="6" t="inlineStr">
        <is>
          <t>Non-Revenue Water</t>
        </is>
      </c>
      <c r="D395" s="15">
        <f>IFERROR(SUMIFS(DataEntry!$T:$T,DataEntry!$A:$A,"Zomba",DataEntry!$B:$B,"Neno",DataEntry!$G:$G,"Q1"),"")</f>
        <v/>
      </c>
      <c r="E395" s="15">
        <f>IFERROR(SUMIFS(DataEntry!$T:$T,DataEntry!$A:$A,"Zomba",DataEntry!$B:$B,"Neno",DataEntry!$G:$G,"Q2"),"")</f>
        <v/>
      </c>
      <c r="F395" s="15">
        <f>IFERROR(SUMIFS(DataEntry!$T:$T,DataEntry!$A:$A,"Zomba",DataEntry!$B:$B,"Neno",DataEntry!$G:$G,"Q3"),"")</f>
        <v/>
      </c>
      <c r="G395" s="15">
        <f>IFERROR(SUMIFS(DataEntry!$T:$T,DataEntry!$A:$A,"Zomba",DataEntry!$B:$B,"Neno",DataEntry!$G:$G,"Q4"),"")</f>
        <v/>
      </c>
      <c r="H395" s="20">
        <f>IFERROR(SUM(D395:G395),"")</f>
        <v/>
      </c>
    </row>
    <row r="396">
      <c r="A396" s="21" t="inlineStr">
        <is>
          <t>Zomba</t>
        </is>
      </c>
      <c r="B396" s="21" t="inlineStr">
        <is>
          <t>Neno</t>
        </is>
      </c>
      <c r="C396" s="12" t="inlineStr">
        <is>
          <t>% NRW</t>
        </is>
      </c>
      <c r="D396" s="10">
        <f>IFERROR(AVERAGEIFS(DataEntry!$U:$U,DataEntry!$A:$A,"Zomba",DataEntry!$B:$B,"Neno",DataEntry!$G:$G,"Q1"),"")</f>
        <v/>
      </c>
      <c r="E396" s="10">
        <f>IFERROR(AVERAGEIFS(DataEntry!$U:$U,DataEntry!$A:$A,"Zomba",DataEntry!$B:$B,"Neno",DataEntry!$G:$G,"Q2"),"")</f>
        <v/>
      </c>
      <c r="F396" s="10">
        <f>IFERROR(AVERAGEIFS(DataEntry!$U:$U,DataEntry!$A:$A,"Zomba",DataEntry!$B:$B,"Neno",DataEntry!$G:$G,"Q3"),"")</f>
        <v/>
      </c>
      <c r="G396" s="10">
        <f>IFERROR(AVERAGEIFS(DataEntry!$U:$U,DataEntry!$A:$A,"Zomba",DataEntry!$B:$B,"Neno",DataEntry!$G:$G,"Q4"),"")</f>
        <v/>
      </c>
      <c r="H396" s="23">
        <f>IFERROR(AVERAGE(D396:G396),"")</f>
        <v/>
      </c>
    </row>
    <row r="397">
      <c r="A397" s="19" t="inlineStr">
        <is>
          <t>Zomba</t>
        </is>
      </c>
      <c r="B397" s="19" t="inlineStr">
        <is>
          <t>Neno</t>
        </is>
      </c>
      <c r="C397" s="6" t="inlineStr">
        <is>
          <t>Total Operating Costs</t>
        </is>
      </c>
      <c r="D397" s="15">
        <f>IFERROR(SUMIFS(DataEntry!$AU:$AU,DataEntry!$A:$A,"Zomba",DataEntry!$B:$B,"Neno",DataEntry!$G:$G,"Q1"),"")</f>
        <v/>
      </c>
      <c r="E397" s="15">
        <f>IFERROR(SUMIFS(DataEntry!$AU:$AU,DataEntry!$A:$A,"Zomba",DataEntry!$B:$B,"Neno",DataEntry!$G:$G,"Q2"),"")</f>
        <v/>
      </c>
      <c r="F397" s="15">
        <f>IFERROR(SUMIFS(DataEntry!$AU:$AU,DataEntry!$A:$A,"Zomba",DataEntry!$B:$B,"Neno",DataEntry!$G:$G,"Q3"),"")</f>
        <v/>
      </c>
      <c r="G397" s="15">
        <f>IFERROR(SUMIFS(DataEntry!$AU:$AU,DataEntry!$A:$A,"Zomba",DataEntry!$B:$B,"Neno",DataEntry!$G:$G,"Q4"),"")</f>
        <v/>
      </c>
      <c r="H397" s="20">
        <f>IFERROR(SUM(D397:G397),"")</f>
        <v/>
      </c>
    </row>
    <row r="398">
      <c r="A398" s="21" t="inlineStr">
        <is>
          <t>Zomba</t>
        </is>
      </c>
      <c r="B398" s="21" t="inlineStr">
        <is>
          <t>Neno</t>
        </is>
      </c>
      <c r="C398" s="12" t="inlineStr">
        <is>
          <t>Total Cash Collected</t>
        </is>
      </c>
      <c r="D398" s="9">
        <f>IFERROR(SUMIFS(DataEntry!$GB:$GB,DataEntry!$A:$A,"Zomba",DataEntry!$B:$B,"Neno",DataEntry!$G:$G,"Q1"),"")</f>
        <v/>
      </c>
      <c r="E398" s="9">
        <f>IFERROR(SUMIFS(DataEntry!$GB:$GB,DataEntry!$A:$A,"Zomba",DataEntry!$B:$B,"Neno",DataEntry!$G:$G,"Q2"),"")</f>
        <v/>
      </c>
      <c r="F398" s="9">
        <f>IFERROR(SUMIFS(DataEntry!$GB:$GB,DataEntry!$A:$A,"Zomba",DataEntry!$B:$B,"Neno",DataEntry!$G:$G,"Q3"),"")</f>
        <v/>
      </c>
      <c r="G398" s="9">
        <f>IFERROR(SUMIFS(DataEntry!$GB:$GB,DataEntry!$A:$A,"Zomba",DataEntry!$B:$B,"Neno",DataEntry!$G:$G,"Q4"),"")</f>
        <v/>
      </c>
      <c r="H398" s="22">
        <f>IFERROR(SUM(D398:G398),"")</f>
        <v/>
      </c>
    </row>
    <row r="399">
      <c r="A399" s="19" t="inlineStr">
        <is>
          <t>Zomba</t>
        </is>
      </c>
      <c r="B399" s="19" t="inlineStr">
        <is>
          <t>Neno</t>
        </is>
      </c>
      <c r="C399" s="6" t="inlineStr">
        <is>
          <t>Total Amount Billed</t>
        </is>
      </c>
      <c r="D399" s="15">
        <f>IFERROR(SUMIFS(DataEntry!$GM:$GM,DataEntry!$A:$A,"Zomba",DataEntry!$B:$B,"Neno",DataEntry!$G:$G,"Q1"),"")</f>
        <v/>
      </c>
      <c r="E399" s="15">
        <f>IFERROR(SUMIFS(DataEntry!$GM:$GM,DataEntry!$A:$A,"Zomba",DataEntry!$B:$B,"Neno",DataEntry!$G:$G,"Q2"),"")</f>
        <v/>
      </c>
      <c r="F399" s="15">
        <f>IFERROR(SUMIFS(DataEntry!$GM:$GM,DataEntry!$A:$A,"Zomba",DataEntry!$B:$B,"Neno",DataEntry!$G:$G,"Q3"),"")</f>
        <v/>
      </c>
      <c r="G399" s="15">
        <f>IFERROR(SUMIFS(DataEntry!$GM:$GM,DataEntry!$A:$A,"Zomba",DataEntry!$B:$B,"Neno",DataEntry!$G:$G,"Q4"),"")</f>
        <v/>
      </c>
      <c r="H399" s="20">
        <f>IFERROR(SUM(D399:G399),"")</f>
        <v/>
      </c>
    </row>
    <row r="400">
      <c r="A400" s="21" t="inlineStr">
        <is>
          <t>Zomba</t>
        </is>
      </c>
      <c r="B400" s="21" t="inlineStr">
        <is>
          <t>Neno</t>
        </is>
      </c>
      <c r="C400" s="12" t="inlineStr">
        <is>
          <t>Total Sales</t>
        </is>
      </c>
      <c r="D400" s="9">
        <f>IFERROR(SUMIFS(DataEntry!$GX:$GX,DataEntry!$A:$A,"Zomba",DataEntry!$B:$B,"Neno",DataEntry!$G:$G,"Q1"),"")</f>
        <v/>
      </c>
      <c r="E400" s="9">
        <f>IFERROR(SUMIFS(DataEntry!$GX:$GX,DataEntry!$A:$A,"Zomba",DataEntry!$B:$B,"Neno",DataEntry!$G:$G,"Q2"),"")</f>
        <v/>
      </c>
      <c r="F400" s="9">
        <f>IFERROR(SUMIFS(DataEntry!$GX:$GX,DataEntry!$A:$A,"Zomba",DataEntry!$B:$B,"Neno",DataEntry!$G:$G,"Q3"),"")</f>
        <v/>
      </c>
      <c r="G400" s="9">
        <f>IFERROR(SUMIFS(DataEntry!$GX:$GX,DataEntry!$A:$A,"Zomba",DataEntry!$B:$B,"Neno",DataEntry!$G:$G,"Q4"),"")</f>
        <v/>
      </c>
      <c r="H400" s="22">
        <f>IFERROR(SUM(D400:G400),"")</f>
        <v/>
      </c>
    </row>
    <row r="401">
      <c r="A401" s="19" t="inlineStr">
        <is>
          <t>Zomba</t>
        </is>
      </c>
      <c r="B401" s="19" t="inlineStr">
        <is>
          <t>Neno</t>
        </is>
      </c>
      <c r="C401" s="6" t="inlineStr">
        <is>
          <t>Active Customers</t>
        </is>
      </c>
      <c r="D401" s="15">
        <f>IFERROR(SUMIFS(DataEntry!$CS:$CS,DataEntry!$A:$A,"Zomba",DataEntry!$B:$B,"Neno",DataEntry!$G:$G,"Q1"),"")</f>
        <v/>
      </c>
      <c r="E401" s="15">
        <f>IFERROR(SUMIFS(DataEntry!$CS:$CS,DataEntry!$A:$A,"Zomba",DataEntry!$B:$B,"Neno",DataEntry!$G:$G,"Q2"),"")</f>
        <v/>
      </c>
      <c r="F401" s="15">
        <f>IFERROR(SUMIFS(DataEntry!$CS:$CS,DataEntry!$A:$A,"Zomba",DataEntry!$B:$B,"Neno",DataEntry!$G:$G,"Q3"),"")</f>
        <v/>
      </c>
      <c r="G401" s="15">
        <f>IFERROR(SUMIFS(DataEntry!$CS:$CS,DataEntry!$A:$A,"Zomba",DataEntry!$B:$B,"Neno",DataEntry!$G:$G,"Q4"),"")</f>
        <v/>
      </c>
      <c r="H401" s="20">
        <f>IFERROR(SUM(D401:G401),"")</f>
        <v/>
      </c>
    </row>
    <row r="402">
      <c r="A402" s="21" t="inlineStr">
        <is>
          <t>Zomba</t>
        </is>
      </c>
      <c r="B402" s="21" t="inlineStr">
        <is>
          <t>Neno</t>
        </is>
      </c>
      <c r="C402" s="12" t="inlineStr">
        <is>
          <t>New Connections</t>
        </is>
      </c>
      <c r="D402" s="9">
        <f>IFERROR(SUMIFS(DataEntry!$CA:$CA,DataEntry!$A:$A,"Zomba",DataEntry!$B:$B,"Neno",DataEntry!$G:$G,"Q1"),"")</f>
        <v/>
      </c>
      <c r="E402" s="9">
        <f>IFERROR(SUMIFS(DataEntry!$CA:$CA,DataEntry!$A:$A,"Zomba",DataEntry!$B:$B,"Neno",DataEntry!$G:$G,"Q2"),"")</f>
        <v/>
      </c>
      <c r="F402" s="9">
        <f>IFERROR(SUMIFS(DataEntry!$CA:$CA,DataEntry!$A:$A,"Zomba",DataEntry!$B:$B,"Neno",DataEntry!$G:$G,"Q3"),"")</f>
        <v/>
      </c>
      <c r="G402" s="9">
        <f>IFERROR(SUMIFS(DataEntry!$CA:$CA,DataEntry!$A:$A,"Zomba",DataEntry!$B:$B,"Neno",DataEntry!$G:$G,"Q4"),"")</f>
        <v/>
      </c>
      <c r="H402" s="22">
        <f>IFERROR(SUM(D402:G402),"")</f>
        <v/>
      </c>
    </row>
    <row r="403">
      <c r="A403" s="19" t="inlineStr">
        <is>
          <t>Zomba</t>
        </is>
      </c>
      <c r="B403" s="19" t="inlineStr">
        <is>
          <t>Neno</t>
        </is>
      </c>
      <c r="C403" s="6" t="inlineStr">
        <is>
          <t>Stuck Meters C/Fwd</t>
        </is>
      </c>
      <c r="D403" s="15">
        <f>IFERROR(SUMIFS(DataEntry!$DV:$DV,DataEntry!$A:$A,"Zomba",DataEntry!$B:$B,"Neno",DataEntry!$G:$G,"Q1"),"")</f>
        <v/>
      </c>
      <c r="E403" s="15">
        <f>IFERROR(SUMIFS(DataEntry!$DV:$DV,DataEntry!$A:$A,"Zomba",DataEntry!$B:$B,"Neno",DataEntry!$G:$G,"Q2"),"")</f>
        <v/>
      </c>
      <c r="F403" s="15">
        <f>IFERROR(SUMIFS(DataEntry!$DV:$DV,DataEntry!$A:$A,"Zomba",DataEntry!$B:$B,"Neno",DataEntry!$G:$G,"Q3"),"")</f>
        <v/>
      </c>
      <c r="G403" s="15">
        <f>IFERROR(SUMIFS(DataEntry!$DV:$DV,DataEntry!$A:$A,"Zomba",DataEntry!$B:$B,"Neno",DataEntry!$G:$G,"Q4"),"")</f>
        <v/>
      </c>
      <c r="H403" s="20">
        <f>IFERROR(SUM(D403:G403),"")</f>
        <v/>
      </c>
    </row>
    <row r="404">
      <c r="A404" s="21" t="inlineStr">
        <is>
          <t>Zomba</t>
        </is>
      </c>
      <c r="B404" s="21" t="inlineStr">
        <is>
          <t>Neno</t>
        </is>
      </c>
      <c r="C404" s="12" t="inlineStr">
        <is>
          <t>Cash Collection Rate</t>
        </is>
      </c>
      <c r="D404" s="10">
        <f>IFERROR(AVERAGEIFS(DataEntry!$HC:$HC,DataEntry!$A:$A,"Zomba",DataEntry!$B:$B,"Neno",DataEntry!$G:$G,"Q1"),"")</f>
        <v/>
      </c>
      <c r="E404" s="10">
        <f>IFERROR(AVERAGEIFS(DataEntry!$HC:$HC,DataEntry!$A:$A,"Zomba",DataEntry!$B:$B,"Neno",DataEntry!$G:$G,"Q2"),"")</f>
        <v/>
      </c>
      <c r="F404" s="10">
        <f>IFERROR(AVERAGEIFS(DataEntry!$HC:$HC,DataEntry!$A:$A,"Zomba",DataEntry!$B:$B,"Neno",DataEntry!$G:$G,"Q3"),"")</f>
        <v/>
      </c>
      <c r="G404" s="10">
        <f>IFERROR(AVERAGEIFS(DataEntry!$HC:$HC,DataEntry!$A:$A,"Zomba",DataEntry!$B:$B,"Neno",DataEntry!$G:$G,"Q4"),"")</f>
        <v/>
      </c>
      <c r="H404" s="23">
        <f>IFERROR(AVERAGE(D404:G404),"")</f>
        <v/>
      </c>
    </row>
    <row r="405">
      <c r="A405" s="19" t="inlineStr">
        <is>
          <t>Zomba</t>
        </is>
      </c>
      <c r="B405" s="19" t="inlineStr">
        <is>
          <t>Neno</t>
        </is>
      </c>
      <c r="C405" s="6" t="inlineStr">
        <is>
          <t>OpCost per Sales</t>
        </is>
      </c>
      <c r="D405" s="16">
        <f>IFERROR(AVERAGEIFS(DataEntry!$HB:$HB,DataEntry!$A:$A,"Zomba",DataEntry!$B:$B,"Neno",DataEntry!$G:$G,"Q1"),"")</f>
        <v/>
      </c>
      <c r="E405" s="16">
        <f>IFERROR(AVERAGEIFS(DataEntry!$HB:$HB,DataEntry!$A:$A,"Zomba",DataEntry!$B:$B,"Neno",DataEntry!$G:$G,"Q2"),"")</f>
        <v/>
      </c>
      <c r="F405" s="16">
        <f>IFERROR(AVERAGEIFS(DataEntry!$HB:$HB,DataEntry!$A:$A,"Zomba",DataEntry!$B:$B,"Neno",DataEntry!$G:$G,"Q3"),"")</f>
        <v/>
      </c>
      <c r="G405" s="16">
        <f>IFERROR(AVERAGEIFS(DataEntry!$HB:$HB,DataEntry!$A:$A,"Zomba",DataEntry!$B:$B,"Neno",DataEntry!$G:$G,"Q4"),"")</f>
        <v/>
      </c>
      <c r="H405" s="24">
        <f>IFERROR(AVERAGE(D405:G405),"")</f>
        <v/>
      </c>
    </row>
    <row r="406">
      <c r="A406" s="21" t="inlineStr">
        <is>
          <t>Zomba</t>
        </is>
      </c>
      <c r="B406" s="21" t="inlineStr">
        <is>
          <t>Thondwe</t>
        </is>
      </c>
      <c r="C406" s="12" t="inlineStr">
        <is>
          <t>Volume Produced (m³)</t>
        </is>
      </c>
      <c r="D406" s="9">
        <f>IFERROR(SUMIFS(DataEntry!$H:$H,DataEntry!$A:$A,"Zomba",DataEntry!$B:$B,"Thondwe",DataEntry!$G:$G,"Q1"),"")</f>
        <v/>
      </c>
      <c r="E406" s="9">
        <f>IFERROR(SUMIFS(DataEntry!$H:$H,DataEntry!$A:$A,"Zomba",DataEntry!$B:$B,"Thondwe",DataEntry!$G:$G,"Q2"),"")</f>
        <v/>
      </c>
      <c r="F406" s="9">
        <f>IFERROR(SUMIFS(DataEntry!$H:$H,DataEntry!$A:$A,"Zomba",DataEntry!$B:$B,"Thondwe",DataEntry!$G:$G,"Q3"),"")</f>
        <v/>
      </c>
      <c r="G406" s="9">
        <f>IFERROR(SUMIFS(DataEntry!$H:$H,DataEntry!$A:$A,"Zomba",DataEntry!$B:$B,"Thondwe",DataEntry!$G:$G,"Q4"),"")</f>
        <v/>
      </c>
      <c r="H406" s="22">
        <f>IFERROR(SUM(D406:G406),"")</f>
        <v/>
      </c>
    </row>
    <row r="407">
      <c r="A407" s="19" t="inlineStr">
        <is>
          <t>Zomba</t>
        </is>
      </c>
      <c r="B407" s="19" t="inlineStr">
        <is>
          <t>Thondwe</t>
        </is>
      </c>
      <c r="C407" s="6" t="inlineStr">
        <is>
          <t>Total Revenue Water</t>
        </is>
      </c>
      <c r="D407" s="15">
        <f>IFERROR(SUMIFS(DataEntry!$S:$S,DataEntry!$A:$A,"Zomba",DataEntry!$B:$B,"Thondwe",DataEntry!$G:$G,"Q1"),"")</f>
        <v/>
      </c>
      <c r="E407" s="15">
        <f>IFERROR(SUMIFS(DataEntry!$S:$S,DataEntry!$A:$A,"Zomba",DataEntry!$B:$B,"Thondwe",DataEntry!$G:$G,"Q2"),"")</f>
        <v/>
      </c>
      <c r="F407" s="15">
        <f>IFERROR(SUMIFS(DataEntry!$S:$S,DataEntry!$A:$A,"Zomba",DataEntry!$B:$B,"Thondwe",DataEntry!$G:$G,"Q3"),"")</f>
        <v/>
      </c>
      <c r="G407" s="15">
        <f>IFERROR(SUMIFS(DataEntry!$S:$S,DataEntry!$A:$A,"Zomba",DataEntry!$B:$B,"Thondwe",DataEntry!$G:$G,"Q4"),"")</f>
        <v/>
      </c>
      <c r="H407" s="20">
        <f>IFERROR(SUM(D407:G407),"")</f>
        <v/>
      </c>
    </row>
    <row r="408">
      <c r="A408" s="21" t="inlineStr">
        <is>
          <t>Zomba</t>
        </is>
      </c>
      <c r="B408" s="21" t="inlineStr">
        <is>
          <t>Thondwe</t>
        </is>
      </c>
      <c r="C408" s="12" t="inlineStr">
        <is>
          <t>Non-Revenue Water</t>
        </is>
      </c>
      <c r="D408" s="9">
        <f>IFERROR(SUMIFS(DataEntry!$T:$T,DataEntry!$A:$A,"Zomba",DataEntry!$B:$B,"Thondwe",DataEntry!$G:$G,"Q1"),"")</f>
        <v/>
      </c>
      <c r="E408" s="9">
        <f>IFERROR(SUMIFS(DataEntry!$T:$T,DataEntry!$A:$A,"Zomba",DataEntry!$B:$B,"Thondwe",DataEntry!$G:$G,"Q2"),"")</f>
        <v/>
      </c>
      <c r="F408" s="9">
        <f>IFERROR(SUMIFS(DataEntry!$T:$T,DataEntry!$A:$A,"Zomba",DataEntry!$B:$B,"Thondwe",DataEntry!$G:$G,"Q3"),"")</f>
        <v/>
      </c>
      <c r="G408" s="9">
        <f>IFERROR(SUMIFS(DataEntry!$T:$T,DataEntry!$A:$A,"Zomba",DataEntry!$B:$B,"Thondwe",DataEntry!$G:$G,"Q4"),"")</f>
        <v/>
      </c>
      <c r="H408" s="22">
        <f>IFERROR(SUM(D408:G408),"")</f>
        <v/>
      </c>
    </row>
    <row r="409">
      <c r="A409" s="19" t="inlineStr">
        <is>
          <t>Zomba</t>
        </is>
      </c>
      <c r="B409" s="19" t="inlineStr">
        <is>
          <t>Thondwe</t>
        </is>
      </c>
      <c r="C409" s="6" t="inlineStr">
        <is>
          <t>% NRW</t>
        </is>
      </c>
      <c r="D409" s="16">
        <f>IFERROR(AVERAGEIFS(DataEntry!$U:$U,DataEntry!$A:$A,"Zomba",DataEntry!$B:$B,"Thondwe",DataEntry!$G:$G,"Q1"),"")</f>
        <v/>
      </c>
      <c r="E409" s="16">
        <f>IFERROR(AVERAGEIFS(DataEntry!$U:$U,DataEntry!$A:$A,"Zomba",DataEntry!$B:$B,"Thondwe",DataEntry!$G:$G,"Q2"),"")</f>
        <v/>
      </c>
      <c r="F409" s="16">
        <f>IFERROR(AVERAGEIFS(DataEntry!$U:$U,DataEntry!$A:$A,"Zomba",DataEntry!$B:$B,"Thondwe",DataEntry!$G:$G,"Q3"),"")</f>
        <v/>
      </c>
      <c r="G409" s="16">
        <f>IFERROR(AVERAGEIFS(DataEntry!$U:$U,DataEntry!$A:$A,"Zomba",DataEntry!$B:$B,"Thondwe",DataEntry!$G:$G,"Q4"),"")</f>
        <v/>
      </c>
      <c r="H409" s="24">
        <f>IFERROR(AVERAGE(D409:G409),"")</f>
        <v/>
      </c>
    </row>
    <row r="410">
      <c r="A410" s="21" t="inlineStr">
        <is>
          <t>Zomba</t>
        </is>
      </c>
      <c r="B410" s="21" t="inlineStr">
        <is>
          <t>Thondwe</t>
        </is>
      </c>
      <c r="C410" s="12" t="inlineStr">
        <is>
          <t>Total Operating Costs</t>
        </is>
      </c>
      <c r="D410" s="9">
        <f>IFERROR(SUMIFS(DataEntry!$AU:$AU,DataEntry!$A:$A,"Zomba",DataEntry!$B:$B,"Thondwe",DataEntry!$G:$G,"Q1"),"")</f>
        <v/>
      </c>
      <c r="E410" s="9">
        <f>IFERROR(SUMIFS(DataEntry!$AU:$AU,DataEntry!$A:$A,"Zomba",DataEntry!$B:$B,"Thondwe",DataEntry!$G:$G,"Q2"),"")</f>
        <v/>
      </c>
      <c r="F410" s="9">
        <f>IFERROR(SUMIFS(DataEntry!$AU:$AU,DataEntry!$A:$A,"Zomba",DataEntry!$B:$B,"Thondwe",DataEntry!$G:$G,"Q3"),"")</f>
        <v/>
      </c>
      <c r="G410" s="9">
        <f>IFERROR(SUMIFS(DataEntry!$AU:$AU,DataEntry!$A:$A,"Zomba",DataEntry!$B:$B,"Thondwe",DataEntry!$G:$G,"Q4"),"")</f>
        <v/>
      </c>
      <c r="H410" s="22">
        <f>IFERROR(SUM(D410:G410),"")</f>
        <v/>
      </c>
    </row>
    <row r="411">
      <c r="A411" s="19" t="inlineStr">
        <is>
          <t>Zomba</t>
        </is>
      </c>
      <c r="B411" s="19" t="inlineStr">
        <is>
          <t>Thondwe</t>
        </is>
      </c>
      <c r="C411" s="6" t="inlineStr">
        <is>
          <t>Total Cash Collected</t>
        </is>
      </c>
      <c r="D411" s="15">
        <f>IFERROR(SUMIFS(DataEntry!$GB:$GB,DataEntry!$A:$A,"Zomba",DataEntry!$B:$B,"Thondwe",DataEntry!$G:$G,"Q1"),"")</f>
        <v/>
      </c>
      <c r="E411" s="15">
        <f>IFERROR(SUMIFS(DataEntry!$GB:$GB,DataEntry!$A:$A,"Zomba",DataEntry!$B:$B,"Thondwe",DataEntry!$G:$G,"Q2"),"")</f>
        <v/>
      </c>
      <c r="F411" s="15">
        <f>IFERROR(SUMIFS(DataEntry!$GB:$GB,DataEntry!$A:$A,"Zomba",DataEntry!$B:$B,"Thondwe",DataEntry!$G:$G,"Q3"),"")</f>
        <v/>
      </c>
      <c r="G411" s="15">
        <f>IFERROR(SUMIFS(DataEntry!$GB:$GB,DataEntry!$A:$A,"Zomba",DataEntry!$B:$B,"Thondwe",DataEntry!$G:$G,"Q4"),"")</f>
        <v/>
      </c>
      <c r="H411" s="20">
        <f>IFERROR(SUM(D411:G411),"")</f>
        <v/>
      </c>
    </row>
    <row r="412">
      <c r="A412" s="21" t="inlineStr">
        <is>
          <t>Zomba</t>
        </is>
      </c>
      <c r="B412" s="21" t="inlineStr">
        <is>
          <t>Thondwe</t>
        </is>
      </c>
      <c r="C412" s="12" t="inlineStr">
        <is>
          <t>Total Amount Billed</t>
        </is>
      </c>
      <c r="D412" s="9">
        <f>IFERROR(SUMIFS(DataEntry!$GM:$GM,DataEntry!$A:$A,"Zomba",DataEntry!$B:$B,"Thondwe",DataEntry!$G:$G,"Q1"),"")</f>
        <v/>
      </c>
      <c r="E412" s="9">
        <f>IFERROR(SUMIFS(DataEntry!$GM:$GM,DataEntry!$A:$A,"Zomba",DataEntry!$B:$B,"Thondwe",DataEntry!$G:$G,"Q2"),"")</f>
        <v/>
      </c>
      <c r="F412" s="9">
        <f>IFERROR(SUMIFS(DataEntry!$GM:$GM,DataEntry!$A:$A,"Zomba",DataEntry!$B:$B,"Thondwe",DataEntry!$G:$G,"Q3"),"")</f>
        <v/>
      </c>
      <c r="G412" s="9">
        <f>IFERROR(SUMIFS(DataEntry!$GM:$GM,DataEntry!$A:$A,"Zomba",DataEntry!$B:$B,"Thondwe",DataEntry!$G:$G,"Q4"),"")</f>
        <v/>
      </c>
      <c r="H412" s="22">
        <f>IFERROR(SUM(D412:G412),"")</f>
        <v/>
      </c>
    </row>
    <row r="413">
      <c r="A413" s="19" t="inlineStr">
        <is>
          <t>Zomba</t>
        </is>
      </c>
      <c r="B413" s="19" t="inlineStr">
        <is>
          <t>Thondwe</t>
        </is>
      </c>
      <c r="C413" s="6" t="inlineStr">
        <is>
          <t>Total Sales</t>
        </is>
      </c>
      <c r="D413" s="15">
        <f>IFERROR(SUMIFS(DataEntry!$GX:$GX,DataEntry!$A:$A,"Zomba",DataEntry!$B:$B,"Thondwe",DataEntry!$G:$G,"Q1"),"")</f>
        <v/>
      </c>
      <c r="E413" s="15">
        <f>IFERROR(SUMIFS(DataEntry!$GX:$GX,DataEntry!$A:$A,"Zomba",DataEntry!$B:$B,"Thondwe",DataEntry!$G:$G,"Q2"),"")</f>
        <v/>
      </c>
      <c r="F413" s="15">
        <f>IFERROR(SUMIFS(DataEntry!$GX:$GX,DataEntry!$A:$A,"Zomba",DataEntry!$B:$B,"Thondwe",DataEntry!$G:$G,"Q3"),"")</f>
        <v/>
      </c>
      <c r="G413" s="15">
        <f>IFERROR(SUMIFS(DataEntry!$GX:$GX,DataEntry!$A:$A,"Zomba",DataEntry!$B:$B,"Thondwe",DataEntry!$G:$G,"Q4"),"")</f>
        <v/>
      </c>
      <c r="H413" s="20">
        <f>IFERROR(SUM(D413:G413),"")</f>
        <v/>
      </c>
    </row>
    <row r="414">
      <c r="A414" s="21" t="inlineStr">
        <is>
          <t>Zomba</t>
        </is>
      </c>
      <c r="B414" s="21" t="inlineStr">
        <is>
          <t>Thondwe</t>
        </is>
      </c>
      <c r="C414" s="12" t="inlineStr">
        <is>
          <t>Active Customers</t>
        </is>
      </c>
      <c r="D414" s="9">
        <f>IFERROR(SUMIFS(DataEntry!$CS:$CS,DataEntry!$A:$A,"Zomba",DataEntry!$B:$B,"Thondwe",DataEntry!$G:$G,"Q1"),"")</f>
        <v/>
      </c>
      <c r="E414" s="9">
        <f>IFERROR(SUMIFS(DataEntry!$CS:$CS,DataEntry!$A:$A,"Zomba",DataEntry!$B:$B,"Thondwe",DataEntry!$G:$G,"Q2"),"")</f>
        <v/>
      </c>
      <c r="F414" s="9">
        <f>IFERROR(SUMIFS(DataEntry!$CS:$CS,DataEntry!$A:$A,"Zomba",DataEntry!$B:$B,"Thondwe",DataEntry!$G:$G,"Q3"),"")</f>
        <v/>
      </c>
      <c r="G414" s="9">
        <f>IFERROR(SUMIFS(DataEntry!$CS:$CS,DataEntry!$A:$A,"Zomba",DataEntry!$B:$B,"Thondwe",DataEntry!$G:$G,"Q4"),"")</f>
        <v/>
      </c>
      <c r="H414" s="22">
        <f>IFERROR(SUM(D414:G414),"")</f>
        <v/>
      </c>
    </row>
    <row r="415">
      <c r="A415" s="19" t="inlineStr">
        <is>
          <t>Zomba</t>
        </is>
      </c>
      <c r="B415" s="19" t="inlineStr">
        <is>
          <t>Thondwe</t>
        </is>
      </c>
      <c r="C415" s="6" t="inlineStr">
        <is>
          <t>New Connections</t>
        </is>
      </c>
      <c r="D415" s="15">
        <f>IFERROR(SUMIFS(DataEntry!$CA:$CA,DataEntry!$A:$A,"Zomba",DataEntry!$B:$B,"Thondwe",DataEntry!$G:$G,"Q1"),"")</f>
        <v/>
      </c>
      <c r="E415" s="15">
        <f>IFERROR(SUMIFS(DataEntry!$CA:$CA,DataEntry!$A:$A,"Zomba",DataEntry!$B:$B,"Thondwe",DataEntry!$G:$G,"Q2"),"")</f>
        <v/>
      </c>
      <c r="F415" s="15">
        <f>IFERROR(SUMIFS(DataEntry!$CA:$CA,DataEntry!$A:$A,"Zomba",DataEntry!$B:$B,"Thondwe",DataEntry!$G:$G,"Q3"),"")</f>
        <v/>
      </c>
      <c r="G415" s="15">
        <f>IFERROR(SUMIFS(DataEntry!$CA:$CA,DataEntry!$A:$A,"Zomba",DataEntry!$B:$B,"Thondwe",DataEntry!$G:$G,"Q4"),"")</f>
        <v/>
      </c>
      <c r="H415" s="20">
        <f>IFERROR(SUM(D415:G415),"")</f>
        <v/>
      </c>
    </row>
    <row r="416">
      <c r="A416" s="21" t="inlineStr">
        <is>
          <t>Zomba</t>
        </is>
      </c>
      <c r="B416" s="21" t="inlineStr">
        <is>
          <t>Thondwe</t>
        </is>
      </c>
      <c r="C416" s="12" t="inlineStr">
        <is>
          <t>Stuck Meters C/Fwd</t>
        </is>
      </c>
      <c r="D416" s="9">
        <f>IFERROR(SUMIFS(DataEntry!$DV:$DV,DataEntry!$A:$A,"Zomba",DataEntry!$B:$B,"Thondwe",DataEntry!$G:$G,"Q1"),"")</f>
        <v/>
      </c>
      <c r="E416" s="9">
        <f>IFERROR(SUMIFS(DataEntry!$DV:$DV,DataEntry!$A:$A,"Zomba",DataEntry!$B:$B,"Thondwe",DataEntry!$G:$G,"Q2"),"")</f>
        <v/>
      </c>
      <c r="F416" s="9">
        <f>IFERROR(SUMIFS(DataEntry!$DV:$DV,DataEntry!$A:$A,"Zomba",DataEntry!$B:$B,"Thondwe",DataEntry!$G:$G,"Q3"),"")</f>
        <v/>
      </c>
      <c r="G416" s="9">
        <f>IFERROR(SUMIFS(DataEntry!$DV:$DV,DataEntry!$A:$A,"Zomba",DataEntry!$B:$B,"Thondwe",DataEntry!$G:$G,"Q4"),"")</f>
        <v/>
      </c>
      <c r="H416" s="22">
        <f>IFERROR(SUM(D416:G416),"")</f>
        <v/>
      </c>
    </row>
    <row r="417">
      <c r="A417" s="19" t="inlineStr">
        <is>
          <t>Zomba</t>
        </is>
      </c>
      <c r="B417" s="19" t="inlineStr">
        <is>
          <t>Thondwe</t>
        </is>
      </c>
      <c r="C417" s="6" t="inlineStr">
        <is>
          <t>Cash Collection Rate</t>
        </is>
      </c>
      <c r="D417" s="16">
        <f>IFERROR(AVERAGEIFS(DataEntry!$HC:$HC,DataEntry!$A:$A,"Zomba",DataEntry!$B:$B,"Thondwe",DataEntry!$G:$G,"Q1"),"")</f>
        <v/>
      </c>
      <c r="E417" s="16">
        <f>IFERROR(AVERAGEIFS(DataEntry!$HC:$HC,DataEntry!$A:$A,"Zomba",DataEntry!$B:$B,"Thondwe",DataEntry!$G:$G,"Q2"),"")</f>
        <v/>
      </c>
      <c r="F417" s="16">
        <f>IFERROR(AVERAGEIFS(DataEntry!$HC:$HC,DataEntry!$A:$A,"Zomba",DataEntry!$B:$B,"Thondwe",DataEntry!$G:$G,"Q3"),"")</f>
        <v/>
      </c>
      <c r="G417" s="16">
        <f>IFERROR(AVERAGEIFS(DataEntry!$HC:$HC,DataEntry!$A:$A,"Zomba",DataEntry!$B:$B,"Thondwe",DataEntry!$G:$G,"Q4"),"")</f>
        <v/>
      </c>
      <c r="H417" s="24">
        <f>IFERROR(AVERAGE(D417:G417),"")</f>
        <v/>
      </c>
    </row>
    <row r="418">
      <c r="A418" s="21" t="inlineStr">
        <is>
          <t>Zomba</t>
        </is>
      </c>
      <c r="B418" s="21" t="inlineStr">
        <is>
          <t>Thondwe</t>
        </is>
      </c>
      <c r="C418" s="12" t="inlineStr">
        <is>
          <t>OpCost per Sales</t>
        </is>
      </c>
      <c r="D418" s="10">
        <f>IFERROR(AVERAGEIFS(DataEntry!$HB:$HB,DataEntry!$A:$A,"Zomba",DataEntry!$B:$B,"Thondwe",DataEntry!$G:$G,"Q1"),"")</f>
        <v/>
      </c>
      <c r="E418" s="10">
        <f>IFERROR(AVERAGEIFS(DataEntry!$HB:$HB,DataEntry!$A:$A,"Zomba",DataEntry!$B:$B,"Thondwe",DataEntry!$G:$G,"Q2"),"")</f>
        <v/>
      </c>
      <c r="F418" s="10">
        <f>IFERROR(AVERAGEIFS(DataEntry!$HB:$HB,DataEntry!$A:$A,"Zomba",DataEntry!$B:$B,"Thondwe",DataEntry!$G:$G,"Q3"),"")</f>
        <v/>
      </c>
      <c r="G418" s="10">
        <f>IFERROR(AVERAGEIFS(DataEntry!$HB:$HB,DataEntry!$A:$A,"Zomba",DataEntry!$B:$B,"Thondwe",DataEntry!$G:$G,"Q4"),"")</f>
        <v/>
      </c>
      <c r="H418" s="23">
        <f>IFERROR(AVERAGE(D418:G418),"")</f>
        <v/>
      </c>
    </row>
    <row r="419">
      <c r="A419" s="19" t="inlineStr">
        <is>
          <t>Zomba</t>
        </is>
      </c>
      <c r="B419" s="19" t="inlineStr">
        <is>
          <t>Zomba</t>
        </is>
      </c>
      <c r="C419" s="6" t="inlineStr">
        <is>
          <t>Volume Produced (m³)</t>
        </is>
      </c>
      <c r="D419" s="15">
        <f>IFERROR(SUMIFS(DataEntry!$H:$H,DataEntry!$A:$A,"Zomba",DataEntry!$B:$B,"Zomba",DataEntry!$G:$G,"Q1"),"")</f>
        <v/>
      </c>
      <c r="E419" s="15">
        <f>IFERROR(SUMIFS(DataEntry!$H:$H,DataEntry!$A:$A,"Zomba",DataEntry!$B:$B,"Zomba",DataEntry!$G:$G,"Q2"),"")</f>
        <v/>
      </c>
      <c r="F419" s="15">
        <f>IFERROR(SUMIFS(DataEntry!$H:$H,DataEntry!$A:$A,"Zomba",DataEntry!$B:$B,"Zomba",DataEntry!$G:$G,"Q3"),"")</f>
        <v/>
      </c>
      <c r="G419" s="15">
        <f>IFERROR(SUMIFS(DataEntry!$H:$H,DataEntry!$A:$A,"Zomba",DataEntry!$B:$B,"Zomba",DataEntry!$G:$G,"Q4"),"")</f>
        <v/>
      </c>
      <c r="H419" s="20">
        <f>IFERROR(SUM(D419:G419),"")</f>
        <v/>
      </c>
    </row>
    <row r="420">
      <c r="A420" s="21" t="inlineStr">
        <is>
          <t>Zomba</t>
        </is>
      </c>
      <c r="B420" s="21" t="inlineStr">
        <is>
          <t>Zomba</t>
        </is>
      </c>
      <c r="C420" s="12" t="inlineStr">
        <is>
          <t>Total Revenue Water</t>
        </is>
      </c>
      <c r="D420" s="9">
        <f>IFERROR(SUMIFS(DataEntry!$S:$S,DataEntry!$A:$A,"Zomba",DataEntry!$B:$B,"Zomba",DataEntry!$G:$G,"Q1"),"")</f>
        <v/>
      </c>
      <c r="E420" s="9">
        <f>IFERROR(SUMIFS(DataEntry!$S:$S,DataEntry!$A:$A,"Zomba",DataEntry!$B:$B,"Zomba",DataEntry!$G:$G,"Q2"),"")</f>
        <v/>
      </c>
      <c r="F420" s="9">
        <f>IFERROR(SUMIFS(DataEntry!$S:$S,DataEntry!$A:$A,"Zomba",DataEntry!$B:$B,"Zomba",DataEntry!$G:$G,"Q3"),"")</f>
        <v/>
      </c>
      <c r="G420" s="9">
        <f>IFERROR(SUMIFS(DataEntry!$S:$S,DataEntry!$A:$A,"Zomba",DataEntry!$B:$B,"Zomba",DataEntry!$G:$G,"Q4"),"")</f>
        <v/>
      </c>
      <c r="H420" s="22">
        <f>IFERROR(SUM(D420:G420),"")</f>
        <v/>
      </c>
    </row>
    <row r="421">
      <c r="A421" s="19" t="inlineStr">
        <is>
          <t>Zomba</t>
        </is>
      </c>
      <c r="B421" s="19" t="inlineStr">
        <is>
          <t>Zomba</t>
        </is>
      </c>
      <c r="C421" s="6" t="inlineStr">
        <is>
          <t>Non-Revenue Water</t>
        </is>
      </c>
      <c r="D421" s="15">
        <f>IFERROR(SUMIFS(DataEntry!$T:$T,DataEntry!$A:$A,"Zomba",DataEntry!$B:$B,"Zomba",DataEntry!$G:$G,"Q1"),"")</f>
        <v/>
      </c>
      <c r="E421" s="15">
        <f>IFERROR(SUMIFS(DataEntry!$T:$T,DataEntry!$A:$A,"Zomba",DataEntry!$B:$B,"Zomba",DataEntry!$G:$G,"Q2"),"")</f>
        <v/>
      </c>
      <c r="F421" s="15">
        <f>IFERROR(SUMIFS(DataEntry!$T:$T,DataEntry!$A:$A,"Zomba",DataEntry!$B:$B,"Zomba",DataEntry!$G:$G,"Q3"),"")</f>
        <v/>
      </c>
      <c r="G421" s="15">
        <f>IFERROR(SUMIFS(DataEntry!$T:$T,DataEntry!$A:$A,"Zomba",DataEntry!$B:$B,"Zomba",DataEntry!$G:$G,"Q4"),"")</f>
        <v/>
      </c>
      <c r="H421" s="20">
        <f>IFERROR(SUM(D421:G421),"")</f>
        <v/>
      </c>
    </row>
    <row r="422">
      <c r="A422" s="21" t="inlineStr">
        <is>
          <t>Zomba</t>
        </is>
      </c>
      <c r="B422" s="21" t="inlineStr">
        <is>
          <t>Zomba</t>
        </is>
      </c>
      <c r="C422" s="12" t="inlineStr">
        <is>
          <t>% NRW</t>
        </is>
      </c>
      <c r="D422" s="10">
        <f>IFERROR(AVERAGEIFS(DataEntry!$U:$U,DataEntry!$A:$A,"Zomba",DataEntry!$B:$B,"Zomba",DataEntry!$G:$G,"Q1"),"")</f>
        <v/>
      </c>
      <c r="E422" s="10">
        <f>IFERROR(AVERAGEIFS(DataEntry!$U:$U,DataEntry!$A:$A,"Zomba",DataEntry!$B:$B,"Zomba",DataEntry!$G:$G,"Q2"),"")</f>
        <v/>
      </c>
      <c r="F422" s="10">
        <f>IFERROR(AVERAGEIFS(DataEntry!$U:$U,DataEntry!$A:$A,"Zomba",DataEntry!$B:$B,"Zomba",DataEntry!$G:$G,"Q3"),"")</f>
        <v/>
      </c>
      <c r="G422" s="10">
        <f>IFERROR(AVERAGEIFS(DataEntry!$U:$U,DataEntry!$A:$A,"Zomba",DataEntry!$B:$B,"Zomba",DataEntry!$G:$G,"Q4"),"")</f>
        <v/>
      </c>
      <c r="H422" s="23">
        <f>IFERROR(AVERAGE(D422:G422),"")</f>
        <v/>
      </c>
    </row>
    <row r="423">
      <c r="A423" s="19" t="inlineStr">
        <is>
          <t>Zomba</t>
        </is>
      </c>
      <c r="B423" s="19" t="inlineStr">
        <is>
          <t>Zomba</t>
        </is>
      </c>
      <c r="C423" s="6" t="inlineStr">
        <is>
          <t>Total Operating Costs</t>
        </is>
      </c>
      <c r="D423" s="15">
        <f>IFERROR(SUMIFS(DataEntry!$AU:$AU,DataEntry!$A:$A,"Zomba",DataEntry!$B:$B,"Zomba",DataEntry!$G:$G,"Q1"),"")</f>
        <v/>
      </c>
      <c r="E423" s="15">
        <f>IFERROR(SUMIFS(DataEntry!$AU:$AU,DataEntry!$A:$A,"Zomba",DataEntry!$B:$B,"Zomba",DataEntry!$G:$G,"Q2"),"")</f>
        <v/>
      </c>
      <c r="F423" s="15">
        <f>IFERROR(SUMIFS(DataEntry!$AU:$AU,DataEntry!$A:$A,"Zomba",DataEntry!$B:$B,"Zomba",DataEntry!$G:$G,"Q3"),"")</f>
        <v/>
      </c>
      <c r="G423" s="15">
        <f>IFERROR(SUMIFS(DataEntry!$AU:$AU,DataEntry!$A:$A,"Zomba",DataEntry!$B:$B,"Zomba",DataEntry!$G:$G,"Q4"),"")</f>
        <v/>
      </c>
      <c r="H423" s="20">
        <f>IFERROR(SUM(D423:G423),"")</f>
        <v/>
      </c>
    </row>
    <row r="424">
      <c r="A424" s="21" t="inlineStr">
        <is>
          <t>Zomba</t>
        </is>
      </c>
      <c r="B424" s="21" t="inlineStr">
        <is>
          <t>Zomba</t>
        </is>
      </c>
      <c r="C424" s="12" t="inlineStr">
        <is>
          <t>Total Cash Collected</t>
        </is>
      </c>
      <c r="D424" s="9">
        <f>IFERROR(SUMIFS(DataEntry!$GB:$GB,DataEntry!$A:$A,"Zomba",DataEntry!$B:$B,"Zomba",DataEntry!$G:$G,"Q1"),"")</f>
        <v/>
      </c>
      <c r="E424" s="9">
        <f>IFERROR(SUMIFS(DataEntry!$GB:$GB,DataEntry!$A:$A,"Zomba",DataEntry!$B:$B,"Zomba",DataEntry!$G:$G,"Q2"),"")</f>
        <v/>
      </c>
      <c r="F424" s="9">
        <f>IFERROR(SUMIFS(DataEntry!$GB:$GB,DataEntry!$A:$A,"Zomba",DataEntry!$B:$B,"Zomba",DataEntry!$G:$G,"Q3"),"")</f>
        <v/>
      </c>
      <c r="G424" s="9">
        <f>IFERROR(SUMIFS(DataEntry!$GB:$GB,DataEntry!$A:$A,"Zomba",DataEntry!$B:$B,"Zomba",DataEntry!$G:$G,"Q4"),"")</f>
        <v/>
      </c>
      <c r="H424" s="22">
        <f>IFERROR(SUM(D424:G424),"")</f>
        <v/>
      </c>
    </row>
    <row r="425">
      <c r="A425" s="19" t="inlineStr">
        <is>
          <t>Zomba</t>
        </is>
      </c>
      <c r="B425" s="19" t="inlineStr">
        <is>
          <t>Zomba</t>
        </is>
      </c>
      <c r="C425" s="6" t="inlineStr">
        <is>
          <t>Total Amount Billed</t>
        </is>
      </c>
      <c r="D425" s="15">
        <f>IFERROR(SUMIFS(DataEntry!$GM:$GM,DataEntry!$A:$A,"Zomba",DataEntry!$B:$B,"Zomba",DataEntry!$G:$G,"Q1"),"")</f>
        <v/>
      </c>
      <c r="E425" s="15">
        <f>IFERROR(SUMIFS(DataEntry!$GM:$GM,DataEntry!$A:$A,"Zomba",DataEntry!$B:$B,"Zomba",DataEntry!$G:$G,"Q2"),"")</f>
        <v/>
      </c>
      <c r="F425" s="15">
        <f>IFERROR(SUMIFS(DataEntry!$GM:$GM,DataEntry!$A:$A,"Zomba",DataEntry!$B:$B,"Zomba",DataEntry!$G:$G,"Q3"),"")</f>
        <v/>
      </c>
      <c r="G425" s="15">
        <f>IFERROR(SUMIFS(DataEntry!$GM:$GM,DataEntry!$A:$A,"Zomba",DataEntry!$B:$B,"Zomba",DataEntry!$G:$G,"Q4"),"")</f>
        <v/>
      </c>
      <c r="H425" s="20">
        <f>IFERROR(SUM(D425:G425),"")</f>
        <v/>
      </c>
    </row>
    <row r="426">
      <c r="A426" s="21" t="inlineStr">
        <is>
          <t>Zomba</t>
        </is>
      </c>
      <c r="B426" s="21" t="inlineStr">
        <is>
          <t>Zomba</t>
        </is>
      </c>
      <c r="C426" s="12" t="inlineStr">
        <is>
          <t>Total Sales</t>
        </is>
      </c>
      <c r="D426" s="9">
        <f>IFERROR(SUMIFS(DataEntry!$GX:$GX,DataEntry!$A:$A,"Zomba",DataEntry!$B:$B,"Zomba",DataEntry!$G:$G,"Q1"),"")</f>
        <v/>
      </c>
      <c r="E426" s="9">
        <f>IFERROR(SUMIFS(DataEntry!$GX:$GX,DataEntry!$A:$A,"Zomba",DataEntry!$B:$B,"Zomba",DataEntry!$G:$G,"Q2"),"")</f>
        <v/>
      </c>
      <c r="F426" s="9">
        <f>IFERROR(SUMIFS(DataEntry!$GX:$GX,DataEntry!$A:$A,"Zomba",DataEntry!$B:$B,"Zomba",DataEntry!$G:$G,"Q3"),"")</f>
        <v/>
      </c>
      <c r="G426" s="9">
        <f>IFERROR(SUMIFS(DataEntry!$GX:$GX,DataEntry!$A:$A,"Zomba",DataEntry!$B:$B,"Zomba",DataEntry!$G:$G,"Q4"),"")</f>
        <v/>
      </c>
      <c r="H426" s="22">
        <f>IFERROR(SUM(D426:G426),"")</f>
        <v/>
      </c>
    </row>
    <row r="427">
      <c r="A427" s="19" t="inlineStr">
        <is>
          <t>Zomba</t>
        </is>
      </c>
      <c r="B427" s="19" t="inlineStr">
        <is>
          <t>Zomba</t>
        </is>
      </c>
      <c r="C427" s="6" t="inlineStr">
        <is>
          <t>Active Customers</t>
        </is>
      </c>
      <c r="D427" s="15">
        <f>IFERROR(SUMIFS(DataEntry!$CS:$CS,DataEntry!$A:$A,"Zomba",DataEntry!$B:$B,"Zomba",DataEntry!$G:$G,"Q1"),"")</f>
        <v/>
      </c>
      <c r="E427" s="15">
        <f>IFERROR(SUMIFS(DataEntry!$CS:$CS,DataEntry!$A:$A,"Zomba",DataEntry!$B:$B,"Zomba",DataEntry!$G:$G,"Q2"),"")</f>
        <v/>
      </c>
      <c r="F427" s="15">
        <f>IFERROR(SUMIFS(DataEntry!$CS:$CS,DataEntry!$A:$A,"Zomba",DataEntry!$B:$B,"Zomba",DataEntry!$G:$G,"Q3"),"")</f>
        <v/>
      </c>
      <c r="G427" s="15">
        <f>IFERROR(SUMIFS(DataEntry!$CS:$CS,DataEntry!$A:$A,"Zomba",DataEntry!$B:$B,"Zomba",DataEntry!$G:$G,"Q4"),"")</f>
        <v/>
      </c>
      <c r="H427" s="20">
        <f>IFERROR(SUM(D427:G427),"")</f>
        <v/>
      </c>
    </row>
    <row r="428">
      <c r="A428" s="21" t="inlineStr">
        <is>
          <t>Zomba</t>
        </is>
      </c>
      <c r="B428" s="21" t="inlineStr">
        <is>
          <t>Zomba</t>
        </is>
      </c>
      <c r="C428" s="12" t="inlineStr">
        <is>
          <t>New Connections</t>
        </is>
      </c>
      <c r="D428" s="9">
        <f>IFERROR(SUMIFS(DataEntry!$CA:$CA,DataEntry!$A:$A,"Zomba",DataEntry!$B:$B,"Zomba",DataEntry!$G:$G,"Q1"),"")</f>
        <v/>
      </c>
      <c r="E428" s="9">
        <f>IFERROR(SUMIFS(DataEntry!$CA:$CA,DataEntry!$A:$A,"Zomba",DataEntry!$B:$B,"Zomba",DataEntry!$G:$G,"Q2"),"")</f>
        <v/>
      </c>
      <c r="F428" s="9">
        <f>IFERROR(SUMIFS(DataEntry!$CA:$CA,DataEntry!$A:$A,"Zomba",DataEntry!$B:$B,"Zomba",DataEntry!$G:$G,"Q3"),"")</f>
        <v/>
      </c>
      <c r="G428" s="9">
        <f>IFERROR(SUMIFS(DataEntry!$CA:$CA,DataEntry!$A:$A,"Zomba",DataEntry!$B:$B,"Zomba",DataEntry!$G:$G,"Q4"),"")</f>
        <v/>
      </c>
      <c r="H428" s="22">
        <f>IFERROR(SUM(D428:G428),"")</f>
        <v/>
      </c>
    </row>
    <row r="429">
      <c r="A429" s="19" t="inlineStr">
        <is>
          <t>Zomba</t>
        </is>
      </c>
      <c r="B429" s="19" t="inlineStr">
        <is>
          <t>Zomba</t>
        </is>
      </c>
      <c r="C429" s="6" t="inlineStr">
        <is>
          <t>Stuck Meters C/Fwd</t>
        </is>
      </c>
      <c r="D429" s="15">
        <f>IFERROR(SUMIFS(DataEntry!$DV:$DV,DataEntry!$A:$A,"Zomba",DataEntry!$B:$B,"Zomba",DataEntry!$G:$G,"Q1"),"")</f>
        <v/>
      </c>
      <c r="E429" s="15">
        <f>IFERROR(SUMIFS(DataEntry!$DV:$DV,DataEntry!$A:$A,"Zomba",DataEntry!$B:$B,"Zomba",DataEntry!$G:$G,"Q2"),"")</f>
        <v/>
      </c>
      <c r="F429" s="15">
        <f>IFERROR(SUMIFS(DataEntry!$DV:$DV,DataEntry!$A:$A,"Zomba",DataEntry!$B:$B,"Zomba",DataEntry!$G:$G,"Q3"),"")</f>
        <v/>
      </c>
      <c r="G429" s="15">
        <f>IFERROR(SUMIFS(DataEntry!$DV:$DV,DataEntry!$A:$A,"Zomba",DataEntry!$B:$B,"Zomba",DataEntry!$G:$G,"Q4"),"")</f>
        <v/>
      </c>
      <c r="H429" s="20">
        <f>IFERROR(SUM(D429:G429),"")</f>
        <v/>
      </c>
    </row>
    <row r="430">
      <c r="A430" s="21" t="inlineStr">
        <is>
          <t>Zomba</t>
        </is>
      </c>
      <c r="B430" s="21" t="inlineStr">
        <is>
          <t>Zomba</t>
        </is>
      </c>
      <c r="C430" s="12" t="inlineStr">
        <is>
          <t>Cash Collection Rate</t>
        </is>
      </c>
      <c r="D430" s="10">
        <f>IFERROR(AVERAGEIFS(DataEntry!$HC:$HC,DataEntry!$A:$A,"Zomba",DataEntry!$B:$B,"Zomba",DataEntry!$G:$G,"Q1"),"")</f>
        <v/>
      </c>
      <c r="E430" s="10">
        <f>IFERROR(AVERAGEIFS(DataEntry!$HC:$HC,DataEntry!$A:$A,"Zomba",DataEntry!$B:$B,"Zomba",DataEntry!$G:$G,"Q2"),"")</f>
        <v/>
      </c>
      <c r="F430" s="10">
        <f>IFERROR(AVERAGEIFS(DataEntry!$HC:$HC,DataEntry!$A:$A,"Zomba",DataEntry!$B:$B,"Zomba",DataEntry!$G:$G,"Q3"),"")</f>
        <v/>
      </c>
      <c r="G430" s="10">
        <f>IFERROR(AVERAGEIFS(DataEntry!$HC:$HC,DataEntry!$A:$A,"Zomba",DataEntry!$B:$B,"Zomba",DataEntry!$G:$G,"Q4"),"")</f>
        <v/>
      </c>
      <c r="H430" s="23">
        <f>IFERROR(AVERAGE(D430:G430),"")</f>
        <v/>
      </c>
    </row>
    <row r="431">
      <c r="A431" s="19" t="inlineStr">
        <is>
          <t>Zomba</t>
        </is>
      </c>
      <c r="B431" s="19" t="inlineStr">
        <is>
          <t>Zomba</t>
        </is>
      </c>
      <c r="C431" s="6" t="inlineStr">
        <is>
          <t>OpCost per Sales</t>
        </is>
      </c>
      <c r="D431" s="16">
        <f>IFERROR(AVERAGEIFS(DataEntry!$HB:$HB,DataEntry!$A:$A,"Zomba",DataEntry!$B:$B,"Zomba",DataEntry!$G:$G,"Q1"),"")</f>
        <v/>
      </c>
      <c r="E431" s="16">
        <f>IFERROR(AVERAGEIFS(DataEntry!$HB:$HB,DataEntry!$A:$A,"Zomba",DataEntry!$B:$B,"Zomba",DataEntry!$G:$G,"Q2"),"")</f>
        <v/>
      </c>
      <c r="F431" s="16">
        <f>IFERROR(AVERAGEIFS(DataEntry!$HB:$HB,DataEntry!$A:$A,"Zomba",DataEntry!$B:$B,"Zomba",DataEntry!$G:$G,"Q3"),"")</f>
        <v/>
      </c>
      <c r="G431" s="16">
        <f>IFERROR(AVERAGEIFS(DataEntry!$HB:$HB,DataEntry!$A:$A,"Zomba",DataEntry!$B:$B,"Zomba",DataEntry!$G:$G,"Q4"),"")</f>
        <v/>
      </c>
      <c r="H431" s="24">
        <f>IFERROR(AVERAGE(D431:G431),"")</f>
        <v/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3"/>
  <sheetViews>
    <sheetView showGridLines="0" workbookViewId="0">
      <selection activeCell="A1" sqref="A1"/>
    </sheetView>
  </sheetViews>
  <sheetFormatPr baseColWidth="8" defaultColWidth="8.6640625" defaultRowHeight="14.4"/>
  <cols>
    <col width="8.88671875" customWidth="1" style="47" min="1" max="1"/>
    <col width="11.109375" customWidth="1" style="47" min="2" max="2"/>
    <col width="41" customWidth="1" style="47" min="3" max="3"/>
    <col width="17.21875" customWidth="1" style="47" min="4" max="4"/>
    <col width="19.33203125" customWidth="1" style="47" min="5" max="5"/>
  </cols>
  <sheetData>
    <row r="1" ht="25.5" customHeight="1" s="47">
      <c r="A1" s="44" t="inlineStr">
        <is>
          <t>ANNUAL SUMMARY — FY 2025/26  (Auto-calculated from DataEntry)</t>
        </is>
      </c>
      <c r="B1" s="45" t="n"/>
      <c r="C1" s="45" t="n"/>
      <c r="D1" s="45" t="n"/>
    </row>
    <row r="2" ht="21.75" customHeight="1" s="47">
      <c r="A2" s="25" t="inlineStr">
        <is>
          <t>Zone</t>
        </is>
      </c>
      <c r="B2" s="25" t="inlineStr">
        <is>
          <t>Scheme</t>
        </is>
      </c>
      <c r="C2" s="25" t="inlineStr">
        <is>
          <t>KPI</t>
        </is>
      </c>
      <c r="D2" s="25" t="inlineStr">
        <is>
          <t>Annual Total / Avg</t>
        </is>
      </c>
    </row>
    <row r="3">
      <c r="A3" s="19" t="inlineStr">
        <is>
          <t>Liwonde</t>
        </is>
      </c>
      <c r="B3" s="19" t="inlineStr">
        <is>
          <t>Balaka</t>
        </is>
      </c>
      <c r="C3" s="6" t="inlineStr">
        <is>
          <t>Volume Produced (m³)</t>
        </is>
      </c>
      <c r="D3" s="20">
        <f>IFERROR(SUMIFS(DataEntry!$H:$H,DataEntry!$A:$A,"Liwonde",DataEntry!$B:$B,"Balaka"),"")</f>
        <v/>
      </c>
    </row>
    <row r="4">
      <c r="A4" s="21" t="inlineStr">
        <is>
          <t>Liwonde</t>
        </is>
      </c>
      <c r="B4" s="21" t="inlineStr">
        <is>
          <t>Balaka</t>
        </is>
      </c>
      <c r="C4" s="12" t="inlineStr">
        <is>
          <t>Total Revenue Water (m³)</t>
        </is>
      </c>
      <c r="D4" s="22">
        <f>IFERROR(SUMIFS(DataEntry!$S:$S,DataEntry!$A:$A,"Liwonde",DataEntry!$B:$B,"Balaka"),"")</f>
        <v/>
      </c>
    </row>
    <row r="5">
      <c r="A5" s="19" t="inlineStr">
        <is>
          <t>Liwonde</t>
        </is>
      </c>
      <c r="B5" s="19" t="inlineStr">
        <is>
          <t>Balaka</t>
        </is>
      </c>
      <c r="C5" s="6" t="inlineStr">
        <is>
          <t>Non-Revenue Water (m³)</t>
        </is>
      </c>
      <c r="D5" s="20">
        <f>IFERROR(SUMIFS(DataEntry!$T:$T,DataEntry!$A:$A,"Liwonde",DataEntry!$B:$B,"Balaka"),"")</f>
        <v/>
      </c>
    </row>
    <row r="6">
      <c r="A6" s="21" t="inlineStr">
        <is>
          <t>Liwonde</t>
        </is>
      </c>
      <c r="B6" s="21" t="inlineStr">
        <is>
          <t>Balaka</t>
        </is>
      </c>
      <c r="C6" s="12" t="inlineStr">
        <is>
          <t>% NRW (avg)</t>
        </is>
      </c>
      <c r="D6" s="23">
        <f>IFERROR(AVERAGEIFS(DataEntry!$U:$U,DataEntry!$A:$A,"Liwonde",DataEntry!$B:$B,"Balaka"),"")</f>
        <v/>
      </c>
    </row>
    <row r="7">
      <c r="A7" s="19" t="inlineStr">
        <is>
          <t>Liwonde</t>
        </is>
      </c>
      <c r="B7" s="19" t="inlineStr">
        <is>
          <t>Balaka</t>
        </is>
      </c>
      <c r="C7" s="6" t="inlineStr">
        <is>
          <t>Chlorine Used (kg)</t>
        </is>
      </c>
      <c r="D7" s="20">
        <f>IFERROR(SUMIFS(DataEntry!$V:$V,DataEntry!$A:$A,"Liwonde",DataEntry!$B:$B,"Balaka"),"")</f>
        <v/>
      </c>
    </row>
    <row r="8">
      <c r="A8" s="21" t="inlineStr">
        <is>
          <t>Liwonde</t>
        </is>
      </c>
      <c r="B8" s="21" t="inlineStr">
        <is>
          <t>Balaka</t>
        </is>
      </c>
      <c r="C8" s="12" t="inlineStr">
        <is>
          <t>Cost of Chemicals (MWK)</t>
        </is>
      </c>
      <c r="D8" s="22">
        <f>IFERROR(SUMIFS(DataEntry!$AH:$AH,DataEntry!$A:$A,"Liwonde",DataEntry!$B:$B,"Balaka"),"")</f>
        <v/>
      </c>
    </row>
    <row r="9">
      <c r="A9" s="19" t="inlineStr">
        <is>
          <t>Liwonde</t>
        </is>
      </c>
      <c r="B9" s="19" t="inlineStr">
        <is>
          <t>Balaka</t>
        </is>
      </c>
      <c r="C9" s="6" t="inlineStr">
        <is>
          <t>Cost of Power (MWK)</t>
        </is>
      </c>
      <c r="D9" s="20">
        <f>IFERROR(SUMIFS(DataEntry!$AL:$AL,DataEntry!$A:$A,"Liwonde",DataEntry!$B:$B,"Balaka"),"")</f>
        <v/>
      </c>
    </row>
    <row r="10">
      <c r="A10" s="21" t="inlineStr">
        <is>
          <t>Liwonde</t>
        </is>
      </c>
      <c r="B10" s="21" t="inlineStr">
        <is>
          <t>Balaka</t>
        </is>
      </c>
      <c r="C10" s="12" t="inlineStr">
        <is>
          <t>Cost of Fuel (MWK)</t>
        </is>
      </c>
      <c r="D10" s="22">
        <f>IFERROR(SUMIFS(DataEntry!$AP:$AP,DataEntry!$A:$A,"Liwonde",DataEntry!$B:$B,"Balaka"),"")</f>
        <v/>
      </c>
    </row>
    <row r="11">
      <c r="A11" s="19" t="inlineStr">
        <is>
          <t>Liwonde</t>
        </is>
      </c>
      <c r="B11" s="19" t="inlineStr">
        <is>
          <t>Balaka</t>
        </is>
      </c>
      <c r="C11" s="6" t="inlineStr">
        <is>
          <t>Total Operating Costs (MWK)</t>
        </is>
      </c>
      <c r="D11" s="20">
        <f>IFERROR(SUMIFS(DataEntry!$AU:$AU,DataEntry!$A:$A,"Liwonde",DataEntry!$B:$B,"Balaka"),"")</f>
        <v/>
      </c>
    </row>
    <row r="12">
      <c r="A12" s="21" t="inlineStr">
        <is>
          <t>Liwonde</t>
        </is>
      </c>
      <c r="B12" s="21" t="inlineStr">
        <is>
          <t>Balaka</t>
        </is>
      </c>
      <c r="C12" s="12" t="inlineStr">
        <is>
          <t>OpCost per m³ Produced (avg)</t>
        </is>
      </c>
      <c r="D12" s="23">
        <f>IFERROR(AVERAGEIFS(DataEntry!$AV:$AV,DataEntry!$A:$A,"Liwonde",DataEntry!$B:$B,"Balaka"),"")</f>
        <v/>
      </c>
    </row>
    <row r="13">
      <c r="A13" s="19" t="inlineStr">
        <is>
          <t>Liwonde</t>
        </is>
      </c>
      <c r="B13" s="19" t="inlineStr">
        <is>
          <t>Balaka</t>
        </is>
      </c>
      <c r="C13" s="6" t="inlineStr">
        <is>
          <t>Total Cash Collected (MWK)</t>
        </is>
      </c>
      <c r="D13" s="20">
        <f>IFERROR(SUMIFS(DataEntry!$GB:$GB,DataEntry!$A:$A,"Liwonde",DataEntry!$B:$B,"Balaka"),"")</f>
        <v/>
      </c>
    </row>
    <row r="14">
      <c r="A14" s="21" t="inlineStr">
        <is>
          <t>Liwonde</t>
        </is>
      </c>
      <c r="B14" s="21" t="inlineStr">
        <is>
          <t>Balaka</t>
        </is>
      </c>
      <c r="C14" s="12" t="inlineStr">
        <is>
          <t>Total Amount Billed (MWK)</t>
        </is>
      </c>
      <c r="D14" s="22">
        <f>IFERROR(SUMIFS(DataEntry!$GM:$GM,DataEntry!$A:$A,"Liwonde",DataEntry!$B:$B,"Balaka"),"")</f>
        <v/>
      </c>
    </row>
    <row r="15">
      <c r="A15" s="19" t="inlineStr">
        <is>
          <t>Liwonde</t>
        </is>
      </c>
      <c r="B15" s="19" t="inlineStr">
        <is>
          <t>Balaka</t>
        </is>
      </c>
      <c r="C15" s="6" t="inlineStr">
        <is>
          <t>Total Sales (MWK)</t>
        </is>
      </c>
      <c r="D15" s="20">
        <f>IFERROR(SUMIFS(DataEntry!$GX:$GX,DataEntry!$A:$A,"Liwonde",DataEntry!$B:$B,"Balaka"),"")</f>
        <v/>
      </c>
    </row>
    <row r="16">
      <c r="A16" s="21" t="inlineStr">
        <is>
          <t>Liwonde</t>
        </is>
      </c>
      <c r="B16" s="21" t="inlineStr">
        <is>
          <t>Balaka</t>
        </is>
      </c>
      <c r="C16" s="12" t="inlineStr">
        <is>
          <t>Private Debtors (MWK)</t>
        </is>
      </c>
      <c r="D16" s="22">
        <f>IFERROR(SUMIFS(DataEntry!$GY:$GY,DataEntry!$A:$A,"Liwonde",DataEntry!$B:$B,"Balaka"),"")</f>
        <v/>
      </c>
    </row>
    <row r="17">
      <c r="A17" s="19" t="inlineStr">
        <is>
          <t>Liwonde</t>
        </is>
      </c>
      <c r="B17" s="19" t="inlineStr">
        <is>
          <t>Balaka</t>
        </is>
      </c>
      <c r="C17" s="6" t="inlineStr">
        <is>
          <t>Public Debtors (MWK)</t>
        </is>
      </c>
      <c r="D17" s="20">
        <f>IFERROR(SUMIFS(DataEntry!$GZ:$GZ,DataEntry!$A:$A,"Liwonde",DataEntry!$B:$B,"Balaka"),"")</f>
        <v/>
      </c>
    </row>
    <row r="18">
      <c r="A18" s="21" t="inlineStr">
        <is>
          <t>Liwonde</t>
        </is>
      </c>
      <c r="B18" s="21" t="inlineStr">
        <is>
          <t>Balaka</t>
        </is>
      </c>
      <c r="C18" s="12" t="inlineStr">
        <is>
          <t>Total Debtors (MWK)</t>
        </is>
      </c>
      <c r="D18" s="22">
        <f>IFERROR(SUMIFS(DataEntry!$HA:$HA,DataEntry!$A:$A,"Liwonde",DataEntry!$B:$B,"Balaka"),"")</f>
        <v/>
      </c>
    </row>
    <row r="19">
      <c r="A19" s="19" t="inlineStr">
        <is>
          <t>Liwonde</t>
        </is>
      </c>
      <c r="B19" s="19" t="inlineStr">
        <is>
          <t>Balaka</t>
        </is>
      </c>
      <c r="C19" s="6" t="inlineStr">
        <is>
          <t>Cash Collection Rate (avg)</t>
        </is>
      </c>
      <c r="D19" s="24">
        <f>IFERROR(AVERAGEIFS(DataEntry!$HC:$HC,DataEntry!$A:$A,"Liwonde",DataEntry!$B:$B,"Balaka"),"")</f>
        <v/>
      </c>
    </row>
    <row r="20">
      <c r="A20" s="21" t="inlineStr">
        <is>
          <t>Liwonde</t>
        </is>
      </c>
      <c r="B20" s="21" t="inlineStr">
        <is>
          <t>Balaka</t>
        </is>
      </c>
      <c r="C20" s="12" t="inlineStr">
        <is>
          <t>OpCost / Sales (avg)</t>
        </is>
      </c>
      <c r="D20" s="23">
        <f>IFERROR(AVERAGEIFS(DataEntry!$HB:$HB,DataEntry!$A:$A,"Liwonde",DataEntry!$B:$B,"Balaka"),"")</f>
        <v/>
      </c>
    </row>
    <row r="21">
      <c r="A21" s="19" t="inlineStr">
        <is>
          <t>Liwonde</t>
        </is>
      </c>
      <c r="B21" s="19" t="inlineStr">
        <is>
          <t>Balaka</t>
        </is>
      </c>
      <c r="C21" s="6" t="inlineStr">
        <is>
          <t>Total Active Customers (end)</t>
        </is>
      </c>
      <c r="D21" s="20">
        <f>IFERROR(SUMIFS(DataEntry!$CS:$CS,DataEntry!$A:$A,"Liwonde",DataEntry!$B:$B,"Balaka"),"")</f>
        <v/>
      </c>
    </row>
    <row r="22">
      <c r="A22" s="21" t="inlineStr">
        <is>
          <t>Liwonde</t>
        </is>
      </c>
      <c r="B22" s="21" t="inlineStr">
        <is>
          <t>Balaka</t>
        </is>
      </c>
      <c r="C22" s="12" t="inlineStr">
        <is>
          <t>Total Metered Consumers (end)</t>
        </is>
      </c>
      <c r="D22" s="22">
        <f>IFERROR(SUMIFS(DataEntry!$CT:$CT,DataEntry!$A:$A,"Liwonde",DataEntry!$B:$B,"Balaka"),"")</f>
        <v/>
      </c>
    </row>
    <row r="23">
      <c r="A23" s="19" t="inlineStr">
        <is>
          <t>Liwonde</t>
        </is>
      </c>
      <c r="B23" s="19" t="inlineStr">
        <is>
          <t>Balaka</t>
        </is>
      </c>
      <c r="C23" s="6" t="inlineStr">
        <is>
          <t>Population Supplied (end)</t>
        </is>
      </c>
      <c r="D23" s="20">
        <f>IFERROR(SUMIFS(DataEntry!$CV:$CV,DataEntry!$A:$A,"Liwonde",DataEntry!$B:$B,"Balaka"),"")</f>
        <v/>
      </c>
    </row>
    <row r="24">
      <c r="A24" s="21" t="inlineStr">
        <is>
          <t>Liwonde</t>
        </is>
      </c>
      <c r="B24" s="21" t="inlineStr">
        <is>
          <t>Balaka</t>
        </is>
      </c>
      <c r="C24" s="12" t="inlineStr">
        <is>
          <t>% Population Supplied (avg)</t>
        </is>
      </c>
      <c r="D24" s="23">
        <f>IFERROR(AVERAGEIFS(DataEntry!$CW:$CW,DataEntry!$A:$A,"Liwonde",DataEntry!$B:$B,"Balaka"),"")</f>
        <v/>
      </c>
    </row>
    <row r="25">
      <c r="A25" s="19" t="inlineStr">
        <is>
          <t>Liwonde</t>
        </is>
      </c>
      <c r="B25" s="19" t="inlineStr">
        <is>
          <t>Balaka</t>
        </is>
      </c>
      <c r="C25" s="6" t="inlineStr">
        <is>
          <t>New Connections Total Done</t>
        </is>
      </c>
      <c r="D25" s="20">
        <f>IFERROR(SUMIFS(DataEntry!$CA:$CA,DataEntry!$A:$A,"Liwonde",DataEntry!$B:$B,"Balaka"),"")</f>
        <v/>
      </c>
    </row>
    <row r="26">
      <c r="A26" s="21" t="inlineStr">
        <is>
          <t>Liwonde</t>
        </is>
      </c>
      <c r="B26" s="21" t="inlineStr">
        <is>
          <t>Balaka</t>
        </is>
      </c>
      <c r="C26" s="12" t="inlineStr">
        <is>
          <t>Stuck Meters Carried Fwd</t>
        </is>
      </c>
      <c r="D26" s="22">
        <f>IFERROR(SUMIFS(DataEntry!$DV:$DV,DataEntry!$A:$A,"Liwonde",DataEntry!$B:$B,"Balaka"),"")</f>
        <v/>
      </c>
    </row>
    <row r="27">
      <c r="A27" s="19" t="inlineStr">
        <is>
          <t>Liwonde</t>
        </is>
      </c>
      <c r="B27" s="19" t="inlineStr">
        <is>
          <t>Balaka</t>
        </is>
      </c>
      <c r="C27" s="6" t="inlineStr">
        <is>
          <t>Total Pipe Breakdowns</t>
        </is>
      </c>
      <c r="D27" s="20">
        <f>IFERROR(SUMIFS(DataEntry!$FG:$FG,DataEntry!$A:$A,"Liwonde",DataEntry!$B:$B,"Balaka"),"")</f>
        <v/>
      </c>
    </row>
    <row r="28">
      <c r="A28" s="21" t="inlineStr">
        <is>
          <t>Liwonde</t>
        </is>
      </c>
      <c r="B28" s="21" t="inlineStr">
        <is>
          <t>Balaka</t>
        </is>
      </c>
      <c r="C28" s="12" t="inlineStr">
        <is>
          <t>Connectivity Rate (avg)</t>
        </is>
      </c>
      <c r="D28" s="23">
        <f>IFERROR(AVERAGEIFS(DataEntry!$HK:$HK,DataEntry!$A:$A,"Liwonde",DataEntry!$B:$B,"Balaka"),"")</f>
        <v/>
      </c>
    </row>
    <row r="29">
      <c r="A29" s="19" t="inlineStr">
        <is>
          <t>Liwonde</t>
        </is>
      </c>
      <c r="B29" s="19" t="inlineStr">
        <is>
          <t>Balaka</t>
        </is>
      </c>
      <c r="C29" s="6" t="inlineStr">
        <is>
          <t>Response Time avg (days)</t>
        </is>
      </c>
      <c r="D29" s="24">
        <f>IFERROR(AVERAGEIFS(DataEntry!$HN:$HN,DataEntry!$A:$A,"Liwonde",DataEntry!$B:$B,"Balaka"),"")</f>
        <v/>
      </c>
    </row>
    <row r="30">
      <c r="A30" s="21" t="inlineStr">
        <is>
          <t>Liwonde</t>
        </is>
      </c>
      <c r="B30" s="21" t="inlineStr">
        <is>
          <t>Liwonde</t>
        </is>
      </c>
      <c r="C30" s="12" t="inlineStr">
        <is>
          <t>Volume Produced (m³)</t>
        </is>
      </c>
      <c r="D30" s="22">
        <f>IFERROR(SUMIFS(DataEntry!$H:$H,DataEntry!$A:$A,"Liwonde",DataEntry!$B:$B,"Liwonde"),"")</f>
        <v/>
      </c>
    </row>
    <row r="31">
      <c r="A31" s="19" t="inlineStr">
        <is>
          <t>Liwonde</t>
        </is>
      </c>
      <c r="B31" s="19" t="inlineStr">
        <is>
          <t>Liwonde</t>
        </is>
      </c>
      <c r="C31" s="6" t="inlineStr">
        <is>
          <t>Total Revenue Water (m³)</t>
        </is>
      </c>
      <c r="D31" s="20">
        <f>IFERROR(SUMIFS(DataEntry!$S:$S,DataEntry!$A:$A,"Liwonde",DataEntry!$B:$B,"Liwonde"),"")</f>
        <v/>
      </c>
    </row>
    <row r="32">
      <c r="A32" s="21" t="inlineStr">
        <is>
          <t>Liwonde</t>
        </is>
      </c>
      <c r="B32" s="21" t="inlineStr">
        <is>
          <t>Liwonde</t>
        </is>
      </c>
      <c r="C32" s="12" t="inlineStr">
        <is>
          <t>Non-Revenue Water (m³)</t>
        </is>
      </c>
      <c r="D32" s="22">
        <f>IFERROR(SUMIFS(DataEntry!$T:$T,DataEntry!$A:$A,"Liwonde",DataEntry!$B:$B,"Liwonde"),"")</f>
        <v/>
      </c>
    </row>
    <row r="33">
      <c r="A33" s="19" t="inlineStr">
        <is>
          <t>Liwonde</t>
        </is>
      </c>
      <c r="B33" s="19" t="inlineStr">
        <is>
          <t>Liwonde</t>
        </is>
      </c>
      <c r="C33" s="6" t="inlineStr">
        <is>
          <t>% NRW (avg)</t>
        </is>
      </c>
      <c r="D33" s="24">
        <f>IFERROR(AVERAGEIFS(DataEntry!$U:$U,DataEntry!$A:$A,"Liwonde",DataEntry!$B:$B,"Liwonde"),"")</f>
        <v/>
      </c>
    </row>
    <row r="34">
      <c r="A34" s="21" t="inlineStr">
        <is>
          <t>Liwonde</t>
        </is>
      </c>
      <c r="B34" s="21" t="inlineStr">
        <is>
          <t>Liwonde</t>
        </is>
      </c>
      <c r="C34" s="12" t="inlineStr">
        <is>
          <t>Chlorine Used (kg)</t>
        </is>
      </c>
      <c r="D34" s="22">
        <f>IFERROR(SUMIFS(DataEntry!$V:$V,DataEntry!$A:$A,"Liwonde",DataEntry!$B:$B,"Liwonde"),"")</f>
        <v/>
      </c>
    </row>
    <row r="35">
      <c r="A35" s="19" t="inlineStr">
        <is>
          <t>Liwonde</t>
        </is>
      </c>
      <c r="B35" s="19" t="inlineStr">
        <is>
          <t>Liwonde</t>
        </is>
      </c>
      <c r="C35" s="6" t="inlineStr">
        <is>
          <t>Cost of Chemicals (MWK)</t>
        </is>
      </c>
      <c r="D35" s="20">
        <f>IFERROR(SUMIFS(DataEntry!$AH:$AH,DataEntry!$A:$A,"Liwonde",DataEntry!$B:$B,"Liwonde"),"")</f>
        <v/>
      </c>
    </row>
    <row r="36">
      <c r="A36" s="21" t="inlineStr">
        <is>
          <t>Liwonde</t>
        </is>
      </c>
      <c r="B36" s="21" t="inlineStr">
        <is>
          <t>Liwonde</t>
        </is>
      </c>
      <c r="C36" s="12" t="inlineStr">
        <is>
          <t>Cost of Power (MWK)</t>
        </is>
      </c>
      <c r="D36" s="22">
        <f>IFERROR(SUMIFS(DataEntry!$AL:$AL,DataEntry!$A:$A,"Liwonde",DataEntry!$B:$B,"Liwonde"),"")</f>
        <v/>
      </c>
    </row>
    <row r="37">
      <c r="A37" s="19" t="inlineStr">
        <is>
          <t>Liwonde</t>
        </is>
      </c>
      <c r="B37" s="19" t="inlineStr">
        <is>
          <t>Liwonde</t>
        </is>
      </c>
      <c r="C37" s="6" t="inlineStr">
        <is>
          <t>Cost of Fuel (MWK)</t>
        </is>
      </c>
      <c r="D37" s="20">
        <f>IFERROR(SUMIFS(DataEntry!$AP:$AP,DataEntry!$A:$A,"Liwonde",DataEntry!$B:$B,"Liwonde"),"")</f>
        <v/>
      </c>
    </row>
    <row r="38">
      <c r="A38" s="21" t="inlineStr">
        <is>
          <t>Liwonde</t>
        </is>
      </c>
      <c r="B38" s="21" t="inlineStr">
        <is>
          <t>Liwonde</t>
        </is>
      </c>
      <c r="C38" s="12" t="inlineStr">
        <is>
          <t>Total Operating Costs (MWK)</t>
        </is>
      </c>
      <c r="D38" s="22">
        <f>IFERROR(SUMIFS(DataEntry!$AU:$AU,DataEntry!$A:$A,"Liwonde",DataEntry!$B:$B,"Liwonde"),"")</f>
        <v/>
      </c>
    </row>
    <row r="39">
      <c r="A39" s="19" t="inlineStr">
        <is>
          <t>Liwonde</t>
        </is>
      </c>
      <c r="B39" s="19" t="inlineStr">
        <is>
          <t>Liwonde</t>
        </is>
      </c>
      <c r="C39" s="6" t="inlineStr">
        <is>
          <t>OpCost per m³ Produced (avg)</t>
        </is>
      </c>
      <c r="D39" s="24">
        <f>IFERROR(AVERAGEIFS(DataEntry!$AV:$AV,DataEntry!$A:$A,"Liwonde",DataEntry!$B:$B,"Liwonde"),"")</f>
        <v/>
      </c>
    </row>
    <row r="40">
      <c r="A40" s="21" t="inlineStr">
        <is>
          <t>Liwonde</t>
        </is>
      </c>
      <c r="B40" s="21" t="inlineStr">
        <is>
          <t>Liwonde</t>
        </is>
      </c>
      <c r="C40" s="12" t="inlineStr">
        <is>
          <t>Total Cash Collected (MWK)</t>
        </is>
      </c>
      <c r="D40" s="22">
        <f>IFERROR(SUMIFS(DataEntry!$GB:$GB,DataEntry!$A:$A,"Liwonde",DataEntry!$B:$B,"Liwonde"),"")</f>
        <v/>
      </c>
    </row>
    <row r="41">
      <c r="A41" s="19" t="inlineStr">
        <is>
          <t>Liwonde</t>
        </is>
      </c>
      <c r="B41" s="19" t="inlineStr">
        <is>
          <t>Liwonde</t>
        </is>
      </c>
      <c r="C41" s="6" t="inlineStr">
        <is>
          <t>Total Amount Billed (MWK)</t>
        </is>
      </c>
      <c r="D41" s="20">
        <f>IFERROR(SUMIFS(DataEntry!$GM:$GM,DataEntry!$A:$A,"Liwonde",DataEntry!$B:$B,"Liwonde"),"")</f>
        <v/>
      </c>
    </row>
    <row r="42">
      <c r="A42" s="21" t="inlineStr">
        <is>
          <t>Liwonde</t>
        </is>
      </c>
      <c r="B42" s="21" t="inlineStr">
        <is>
          <t>Liwonde</t>
        </is>
      </c>
      <c r="C42" s="12" t="inlineStr">
        <is>
          <t>Total Sales (MWK)</t>
        </is>
      </c>
      <c r="D42" s="22">
        <f>IFERROR(SUMIFS(DataEntry!$GX:$GX,DataEntry!$A:$A,"Liwonde",DataEntry!$B:$B,"Liwonde"),"")</f>
        <v/>
      </c>
    </row>
    <row r="43">
      <c r="A43" s="19" t="inlineStr">
        <is>
          <t>Liwonde</t>
        </is>
      </c>
      <c r="B43" s="19" t="inlineStr">
        <is>
          <t>Liwonde</t>
        </is>
      </c>
      <c r="C43" s="6" t="inlineStr">
        <is>
          <t>Private Debtors (MWK)</t>
        </is>
      </c>
      <c r="D43" s="20">
        <f>IFERROR(SUMIFS(DataEntry!$GY:$GY,DataEntry!$A:$A,"Liwonde",DataEntry!$B:$B,"Liwonde"),"")</f>
        <v/>
      </c>
    </row>
    <row r="44">
      <c r="A44" s="21" t="inlineStr">
        <is>
          <t>Liwonde</t>
        </is>
      </c>
      <c r="B44" s="21" t="inlineStr">
        <is>
          <t>Liwonde</t>
        </is>
      </c>
      <c r="C44" s="12" t="inlineStr">
        <is>
          <t>Public Debtors (MWK)</t>
        </is>
      </c>
      <c r="D44" s="22">
        <f>IFERROR(SUMIFS(DataEntry!$GZ:$GZ,DataEntry!$A:$A,"Liwonde",DataEntry!$B:$B,"Liwonde"),"")</f>
        <v/>
      </c>
    </row>
    <row r="45">
      <c r="A45" s="19" t="inlineStr">
        <is>
          <t>Liwonde</t>
        </is>
      </c>
      <c r="B45" s="19" t="inlineStr">
        <is>
          <t>Liwonde</t>
        </is>
      </c>
      <c r="C45" s="6" t="inlineStr">
        <is>
          <t>Total Debtors (MWK)</t>
        </is>
      </c>
      <c r="D45" s="20">
        <f>IFERROR(SUMIFS(DataEntry!$HA:$HA,DataEntry!$A:$A,"Liwonde",DataEntry!$B:$B,"Liwonde"),"")</f>
        <v/>
      </c>
    </row>
    <row r="46">
      <c r="A46" s="21" t="inlineStr">
        <is>
          <t>Liwonde</t>
        </is>
      </c>
      <c r="B46" s="21" t="inlineStr">
        <is>
          <t>Liwonde</t>
        </is>
      </c>
      <c r="C46" s="12" t="inlineStr">
        <is>
          <t>Cash Collection Rate (avg)</t>
        </is>
      </c>
      <c r="D46" s="23">
        <f>IFERROR(AVERAGEIFS(DataEntry!$HC:$HC,DataEntry!$A:$A,"Liwonde",DataEntry!$B:$B,"Liwonde"),"")</f>
        <v/>
      </c>
    </row>
    <row r="47">
      <c r="A47" s="19" t="inlineStr">
        <is>
          <t>Liwonde</t>
        </is>
      </c>
      <c r="B47" s="19" t="inlineStr">
        <is>
          <t>Liwonde</t>
        </is>
      </c>
      <c r="C47" s="6" t="inlineStr">
        <is>
          <t>OpCost / Sales (avg)</t>
        </is>
      </c>
      <c r="D47" s="24">
        <f>IFERROR(AVERAGEIFS(DataEntry!$HB:$HB,DataEntry!$A:$A,"Liwonde",DataEntry!$B:$B,"Liwonde"),"")</f>
        <v/>
      </c>
    </row>
    <row r="48">
      <c r="A48" s="21" t="inlineStr">
        <is>
          <t>Liwonde</t>
        </is>
      </c>
      <c r="B48" s="21" t="inlineStr">
        <is>
          <t>Liwonde</t>
        </is>
      </c>
      <c r="C48" s="12" t="inlineStr">
        <is>
          <t>Total Active Customers (end)</t>
        </is>
      </c>
      <c r="D48" s="22">
        <f>IFERROR(SUMIFS(DataEntry!$CS:$CS,DataEntry!$A:$A,"Liwonde",DataEntry!$B:$B,"Liwonde"),"")</f>
        <v/>
      </c>
    </row>
    <row r="49">
      <c r="A49" s="19" t="inlineStr">
        <is>
          <t>Liwonde</t>
        </is>
      </c>
      <c r="B49" s="19" t="inlineStr">
        <is>
          <t>Liwonde</t>
        </is>
      </c>
      <c r="C49" s="6" t="inlineStr">
        <is>
          <t>Total Metered Consumers (end)</t>
        </is>
      </c>
      <c r="D49" s="20">
        <f>IFERROR(SUMIFS(DataEntry!$CT:$CT,DataEntry!$A:$A,"Liwonde",DataEntry!$B:$B,"Liwonde"),"")</f>
        <v/>
      </c>
    </row>
    <row r="50">
      <c r="A50" s="21" t="inlineStr">
        <is>
          <t>Liwonde</t>
        </is>
      </c>
      <c r="B50" s="21" t="inlineStr">
        <is>
          <t>Liwonde</t>
        </is>
      </c>
      <c r="C50" s="12" t="inlineStr">
        <is>
          <t>Population Supplied (end)</t>
        </is>
      </c>
      <c r="D50" s="22">
        <f>IFERROR(SUMIFS(DataEntry!$CV:$CV,DataEntry!$A:$A,"Liwonde",DataEntry!$B:$B,"Liwonde"),"")</f>
        <v/>
      </c>
    </row>
    <row r="51">
      <c r="A51" s="19" t="inlineStr">
        <is>
          <t>Liwonde</t>
        </is>
      </c>
      <c r="B51" s="19" t="inlineStr">
        <is>
          <t>Liwonde</t>
        </is>
      </c>
      <c r="C51" s="6" t="inlineStr">
        <is>
          <t>% Population Supplied (avg)</t>
        </is>
      </c>
      <c r="D51" s="24">
        <f>IFERROR(AVERAGEIFS(DataEntry!$CW:$CW,DataEntry!$A:$A,"Liwonde",DataEntry!$B:$B,"Liwonde"),"")</f>
        <v/>
      </c>
    </row>
    <row r="52">
      <c r="A52" s="21" t="inlineStr">
        <is>
          <t>Liwonde</t>
        </is>
      </c>
      <c r="B52" s="21" t="inlineStr">
        <is>
          <t>Liwonde</t>
        </is>
      </c>
      <c r="C52" s="12" t="inlineStr">
        <is>
          <t>New Connections Total Done</t>
        </is>
      </c>
      <c r="D52" s="22">
        <f>IFERROR(SUMIFS(DataEntry!$CA:$CA,DataEntry!$A:$A,"Liwonde",DataEntry!$B:$B,"Liwonde"),"")</f>
        <v/>
      </c>
    </row>
    <row r="53">
      <c r="A53" s="19" t="inlineStr">
        <is>
          <t>Liwonde</t>
        </is>
      </c>
      <c r="B53" s="19" t="inlineStr">
        <is>
          <t>Liwonde</t>
        </is>
      </c>
      <c r="C53" s="6" t="inlineStr">
        <is>
          <t>Stuck Meters Carried Fwd</t>
        </is>
      </c>
      <c r="D53" s="20">
        <f>IFERROR(SUMIFS(DataEntry!$DV:$DV,DataEntry!$A:$A,"Liwonde",DataEntry!$B:$B,"Liwonde"),"")</f>
        <v/>
      </c>
    </row>
    <row r="54">
      <c r="A54" s="21" t="inlineStr">
        <is>
          <t>Liwonde</t>
        </is>
      </c>
      <c r="B54" s="21" t="inlineStr">
        <is>
          <t>Liwonde</t>
        </is>
      </c>
      <c r="C54" s="12" t="inlineStr">
        <is>
          <t>Total Pipe Breakdowns</t>
        </is>
      </c>
      <c r="D54" s="22">
        <f>IFERROR(SUMIFS(DataEntry!$FG:$FG,DataEntry!$A:$A,"Liwonde",DataEntry!$B:$B,"Liwonde"),"")</f>
        <v/>
      </c>
    </row>
    <row r="55">
      <c r="A55" s="19" t="inlineStr">
        <is>
          <t>Liwonde</t>
        </is>
      </c>
      <c r="B55" s="19" t="inlineStr">
        <is>
          <t>Liwonde</t>
        </is>
      </c>
      <c r="C55" s="6" t="inlineStr">
        <is>
          <t>Connectivity Rate (avg)</t>
        </is>
      </c>
      <c r="D55" s="24">
        <f>IFERROR(AVERAGEIFS(DataEntry!$HK:$HK,DataEntry!$A:$A,"Liwonde",DataEntry!$B:$B,"Liwonde"),"")</f>
        <v/>
      </c>
    </row>
    <row r="56">
      <c r="A56" s="21" t="inlineStr">
        <is>
          <t>Liwonde</t>
        </is>
      </c>
      <c r="B56" s="21" t="inlineStr">
        <is>
          <t>Liwonde</t>
        </is>
      </c>
      <c r="C56" s="12" t="inlineStr">
        <is>
          <t>Response Time avg (days)</t>
        </is>
      </c>
      <c r="D56" s="23">
        <f>IFERROR(AVERAGEIFS(DataEntry!$HN:$HN,DataEntry!$A:$A,"Liwonde",DataEntry!$B:$B,"Liwonde"),"")</f>
        <v/>
      </c>
    </row>
    <row r="57">
      <c r="A57" s="19" t="inlineStr">
        <is>
          <t>Liwonde</t>
        </is>
      </c>
      <c r="B57" s="19" t="inlineStr">
        <is>
          <t>Machinga</t>
        </is>
      </c>
      <c r="C57" s="6" t="inlineStr">
        <is>
          <t>Volume Produced (m³)</t>
        </is>
      </c>
      <c r="D57" s="20">
        <f>IFERROR(SUMIFS(DataEntry!$H:$H,DataEntry!$A:$A,"Liwonde",DataEntry!$B:$B,"Machinga"),"")</f>
        <v/>
      </c>
    </row>
    <row r="58">
      <c r="A58" s="21" t="inlineStr">
        <is>
          <t>Liwonde</t>
        </is>
      </c>
      <c r="B58" s="21" t="inlineStr">
        <is>
          <t>Machinga</t>
        </is>
      </c>
      <c r="C58" s="12" t="inlineStr">
        <is>
          <t>Total Revenue Water (m³)</t>
        </is>
      </c>
      <c r="D58" s="22">
        <f>IFERROR(SUMIFS(DataEntry!$S:$S,DataEntry!$A:$A,"Liwonde",DataEntry!$B:$B,"Machinga"),"")</f>
        <v/>
      </c>
    </row>
    <row r="59">
      <c r="A59" s="19" t="inlineStr">
        <is>
          <t>Liwonde</t>
        </is>
      </c>
      <c r="B59" s="19" t="inlineStr">
        <is>
          <t>Machinga</t>
        </is>
      </c>
      <c r="C59" s="6" t="inlineStr">
        <is>
          <t>Non-Revenue Water (m³)</t>
        </is>
      </c>
      <c r="D59" s="20">
        <f>IFERROR(SUMIFS(DataEntry!$T:$T,DataEntry!$A:$A,"Liwonde",DataEntry!$B:$B,"Machinga"),"")</f>
        <v/>
      </c>
    </row>
    <row r="60">
      <c r="A60" s="21" t="inlineStr">
        <is>
          <t>Liwonde</t>
        </is>
      </c>
      <c r="B60" s="21" t="inlineStr">
        <is>
          <t>Machinga</t>
        </is>
      </c>
      <c r="C60" s="12" t="inlineStr">
        <is>
          <t>% NRW (avg)</t>
        </is>
      </c>
      <c r="D60" s="23">
        <f>IFERROR(AVERAGEIFS(DataEntry!$U:$U,DataEntry!$A:$A,"Liwonde",DataEntry!$B:$B,"Machinga"),"")</f>
        <v/>
      </c>
    </row>
    <row r="61">
      <c r="A61" s="19" t="inlineStr">
        <is>
          <t>Liwonde</t>
        </is>
      </c>
      <c r="B61" s="19" t="inlineStr">
        <is>
          <t>Machinga</t>
        </is>
      </c>
      <c r="C61" s="6" t="inlineStr">
        <is>
          <t>Chlorine Used (kg)</t>
        </is>
      </c>
      <c r="D61" s="20">
        <f>IFERROR(SUMIFS(DataEntry!$V:$V,DataEntry!$A:$A,"Liwonde",DataEntry!$B:$B,"Machinga"),"")</f>
        <v/>
      </c>
    </row>
    <row r="62">
      <c r="A62" s="21" t="inlineStr">
        <is>
          <t>Liwonde</t>
        </is>
      </c>
      <c r="B62" s="21" t="inlineStr">
        <is>
          <t>Machinga</t>
        </is>
      </c>
      <c r="C62" s="12" t="inlineStr">
        <is>
          <t>Cost of Chemicals (MWK)</t>
        </is>
      </c>
      <c r="D62" s="22">
        <f>IFERROR(SUMIFS(DataEntry!$AH:$AH,DataEntry!$A:$A,"Liwonde",DataEntry!$B:$B,"Machinga"),"")</f>
        <v/>
      </c>
    </row>
    <row r="63">
      <c r="A63" s="19" t="inlineStr">
        <is>
          <t>Liwonde</t>
        </is>
      </c>
      <c r="B63" s="19" t="inlineStr">
        <is>
          <t>Machinga</t>
        </is>
      </c>
      <c r="C63" s="6" t="inlineStr">
        <is>
          <t>Cost of Power (MWK)</t>
        </is>
      </c>
      <c r="D63" s="20">
        <f>IFERROR(SUMIFS(DataEntry!$AL:$AL,DataEntry!$A:$A,"Liwonde",DataEntry!$B:$B,"Machinga"),"")</f>
        <v/>
      </c>
    </row>
    <row r="64">
      <c r="A64" s="21" t="inlineStr">
        <is>
          <t>Liwonde</t>
        </is>
      </c>
      <c r="B64" s="21" t="inlineStr">
        <is>
          <t>Machinga</t>
        </is>
      </c>
      <c r="C64" s="12" t="inlineStr">
        <is>
          <t>Cost of Fuel (MWK)</t>
        </is>
      </c>
      <c r="D64" s="22">
        <f>IFERROR(SUMIFS(DataEntry!$AP:$AP,DataEntry!$A:$A,"Liwonde",DataEntry!$B:$B,"Machinga"),"")</f>
        <v/>
      </c>
    </row>
    <row r="65">
      <c r="A65" s="19" t="inlineStr">
        <is>
          <t>Liwonde</t>
        </is>
      </c>
      <c r="B65" s="19" t="inlineStr">
        <is>
          <t>Machinga</t>
        </is>
      </c>
      <c r="C65" s="6" t="inlineStr">
        <is>
          <t>Total Operating Costs (MWK)</t>
        </is>
      </c>
      <c r="D65" s="20">
        <f>IFERROR(SUMIFS(DataEntry!$AU:$AU,DataEntry!$A:$A,"Liwonde",DataEntry!$B:$B,"Machinga"),"")</f>
        <v/>
      </c>
    </row>
    <row r="66">
      <c r="A66" s="21" t="inlineStr">
        <is>
          <t>Liwonde</t>
        </is>
      </c>
      <c r="B66" s="21" t="inlineStr">
        <is>
          <t>Machinga</t>
        </is>
      </c>
      <c r="C66" s="12" t="inlineStr">
        <is>
          <t>OpCost per m³ Produced (avg)</t>
        </is>
      </c>
      <c r="D66" s="23">
        <f>IFERROR(AVERAGEIFS(DataEntry!$AV:$AV,DataEntry!$A:$A,"Liwonde",DataEntry!$B:$B,"Machinga"),"")</f>
        <v/>
      </c>
    </row>
    <row r="67">
      <c r="A67" s="19" t="inlineStr">
        <is>
          <t>Liwonde</t>
        </is>
      </c>
      <c r="B67" s="19" t="inlineStr">
        <is>
          <t>Machinga</t>
        </is>
      </c>
      <c r="C67" s="6" t="inlineStr">
        <is>
          <t>Total Cash Collected (MWK)</t>
        </is>
      </c>
      <c r="D67" s="20">
        <f>IFERROR(SUMIFS(DataEntry!$GB:$GB,DataEntry!$A:$A,"Liwonde",DataEntry!$B:$B,"Machinga"),"")</f>
        <v/>
      </c>
    </row>
    <row r="68">
      <c r="A68" s="21" t="inlineStr">
        <is>
          <t>Liwonde</t>
        </is>
      </c>
      <c r="B68" s="21" t="inlineStr">
        <is>
          <t>Machinga</t>
        </is>
      </c>
      <c r="C68" s="12" t="inlineStr">
        <is>
          <t>Total Amount Billed (MWK)</t>
        </is>
      </c>
      <c r="D68" s="22">
        <f>IFERROR(SUMIFS(DataEntry!$GM:$GM,DataEntry!$A:$A,"Liwonde",DataEntry!$B:$B,"Machinga"),"")</f>
        <v/>
      </c>
    </row>
    <row r="69">
      <c r="A69" s="19" t="inlineStr">
        <is>
          <t>Liwonde</t>
        </is>
      </c>
      <c r="B69" s="19" t="inlineStr">
        <is>
          <t>Machinga</t>
        </is>
      </c>
      <c r="C69" s="6" t="inlineStr">
        <is>
          <t>Total Sales (MWK)</t>
        </is>
      </c>
      <c r="D69" s="20">
        <f>IFERROR(SUMIFS(DataEntry!$GX:$GX,DataEntry!$A:$A,"Liwonde",DataEntry!$B:$B,"Machinga"),"")</f>
        <v/>
      </c>
    </row>
    <row r="70">
      <c r="A70" s="21" t="inlineStr">
        <is>
          <t>Liwonde</t>
        </is>
      </c>
      <c r="B70" s="21" t="inlineStr">
        <is>
          <t>Machinga</t>
        </is>
      </c>
      <c r="C70" s="12" t="inlineStr">
        <is>
          <t>Private Debtors (MWK)</t>
        </is>
      </c>
      <c r="D70" s="22">
        <f>IFERROR(SUMIFS(DataEntry!$GY:$GY,DataEntry!$A:$A,"Liwonde",DataEntry!$B:$B,"Machinga"),"")</f>
        <v/>
      </c>
    </row>
    <row r="71">
      <c r="A71" s="19" t="inlineStr">
        <is>
          <t>Liwonde</t>
        </is>
      </c>
      <c r="B71" s="19" t="inlineStr">
        <is>
          <t>Machinga</t>
        </is>
      </c>
      <c r="C71" s="6" t="inlineStr">
        <is>
          <t>Public Debtors (MWK)</t>
        </is>
      </c>
      <c r="D71" s="20">
        <f>IFERROR(SUMIFS(DataEntry!$GZ:$GZ,DataEntry!$A:$A,"Liwonde",DataEntry!$B:$B,"Machinga"),"")</f>
        <v/>
      </c>
    </row>
    <row r="72">
      <c r="A72" s="21" t="inlineStr">
        <is>
          <t>Liwonde</t>
        </is>
      </c>
      <c r="B72" s="21" t="inlineStr">
        <is>
          <t>Machinga</t>
        </is>
      </c>
      <c r="C72" s="12" t="inlineStr">
        <is>
          <t>Total Debtors (MWK)</t>
        </is>
      </c>
      <c r="D72" s="22">
        <f>IFERROR(SUMIFS(DataEntry!$HA:$HA,DataEntry!$A:$A,"Liwonde",DataEntry!$B:$B,"Machinga"),"")</f>
        <v/>
      </c>
    </row>
    <row r="73">
      <c r="A73" s="19" t="inlineStr">
        <is>
          <t>Liwonde</t>
        </is>
      </c>
      <c r="B73" s="19" t="inlineStr">
        <is>
          <t>Machinga</t>
        </is>
      </c>
      <c r="C73" s="6" t="inlineStr">
        <is>
          <t>Cash Collection Rate (avg)</t>
        </is>
      </c>
      <c r="D73" s="24">
        <f>IFERROR(AVERAGEIFS(DataEntry!$HC:$HC,DataEntry!$A:$A,"Liwonde",DataEntry!$B:$B,"Machinga"),"")</f>
        <v/>
      </c>
    </row>
    <row r="74">
      <c r="A74" s="21" t="inlineStr">
        <is>
          <t>Liwonde</t>
        </is>
      </c>
      <c r="B74" s="21" t="inlineStr">
        <is>
          <t>Machinga</t>
        </is>
      </c>
      <c r="C74" s="12" t="inlineStr">
        <is>
          <t>OpCost / Sales (avg)</t>
        </is>
      </c>
      <c r="D74" s="23">
        <f>IFERROR(AVERAGEIFS(DataEntry!$HB:$HB,DataEntry!$A:$A,"Liwonde",DataEntry!$B:$B,"Machinga"),"")</f>
        <v/>
      </c>
    </row>
    <row r="75">
      <c r="A75" s="19" t="inlineStr">
        <is>
          <t>Liwonde</t>
        </is>
      </c>
      <c r="B75" s="19" t="inlineStr">
        <is>
          <t>Machinga</t>
        </is>
      </c>
      <c r="C75" s="6" t="inlineStr">
        <is>
          <t>Total Active Customers (end)</t>
        </is>
      </c>
      <c r="D75" s="20">
        <f>IFERROR(SUMIFS(DataEntry!$CS:$CS,DataEntry!$A:$A,"Liwonde",DataEntry!$B:$B,"Machinga"),"")</f>
        <v/>
      </c>
    </row>
    <row r="76">
      <c r="A76" s="21" t="inlineStr">
        <is>
          <t>Liwonde</t>
        </is>
      </c>
      <c r="B76" s="21" t="inlineStr">
        <is>
          <t>Machinga</t>
        </is>
      </c>
      <c r="C76" s="12" t="inlineStr">
        <is>
          <t>Total Metered Consumers (end)</t>
        </is>
      </c>
      <c r="D76" s="22">
        <f>IFERROR(SUMIFS(DataEntry!$CT:$CT,DataEntry!$A:$A,"Liwonde",DataEntry!$B:$B,"Machinga"),"")</f>
        <v/>
      </c>
    </row>
    <row r="77">
      <c r="A77" s="19" t="inlineStr">
        <is>
          <t>Liwonde</t>
        </is>
      </c>
      <c r="B77" s="19" t="inlineStr">
        <is>
          <t>Machinga</t>
        </is>
      </c>
      <c r="C77" s="6" t="inlineStr">
        <is>
          <t>Population Supplied (end)</t>
        </is>
      </c>
      <c r="D77" s="20">
        <f>IFERROR(SUMIFS(DataEntry!$CV:$CV,DataEntry!$A:$A,"Liwonde",DataEntry!$B:$B,"Machinga"),"")</f>
        <v/>
      </c>
    </row>
    <row r="78">
      <c r="A78" s="21" t="inlineStr">
        <is>
          <t>Liwonde</t>
        </is>
      </c>
      <c r="B78" s="21" t="inlineStr">
        <is>
          <t>Machinga</t>
        </is>
      </c>
      <c r="C78" s="12" t="inlineStr">
        <is>
          <t>% Population Supplied (avg)</t>
        </is>
      </c>
      <c r="D78" s="23">
        <f>IFERROR(AVERAGEIFS(DataEntry!$CW:$CW,DataEntry!$A:$A,"Liwonde",DataEntry!$B:$B,"Machinga"),"")</f>
        <v/>
      </c>
    </row>
    <row r="79">
      <c r="A79" s="19" t="inlineStr">
        <is>
          <t>Liwonde</t>
        </is>
      </c>
      <c r="B79" s="19" t="inlineStr">
        <is>
          <t>Machinga</t>
        </is>
      </c>
      <c r="C79" s="6" t="inlineStr">
        <is>
          <t>New Connections Total Done</t>
        </is>
      </c>
      <c r="D79" s="20">
        <f>IFERROR(SUMIFS(DataEntry!$CA:$CA,DataEntry!$A:$A,"Liwonde",DataEntry!$B:$B,"Machinga"),"")</f>
        <v/>
      </c>
    </row>
    <row r="80">
      <c r="A80" s="21" t="inlineStr">
        <is>
          <t>Liwonde</t>
        </is>
      </c>
      <c r="B80" s="21" t="inlineStr">
        <is>
          <t>Machinga</t>
        </is>
      </c>
      <c r="C80" s="12" t="inlineStr">
        <is>
          <t>Stuck Meters Carried Fwd</t>
        </is>
      </c>
      <c r="D80" s="22">
        <f>IFERROR(SUMIFS(DataEntry!$DV:$DV,DataEntry!$A:$A,"Liwonde",DataEntry!$B:$B,"Machinga"),"")</f>
        <v/>
      </c>
    </row>
    <row r="81">
      <c r="A81" s="19" t="inlineStr">
        <is>
          <t>Liwonde</t>
        </is>
      </c>
      <c r="B81" s="19" t="inlineStr">
        <is>
          <t>Machinga</t>
        </is>
      </c>
      <c r="C81" s="6" t="inlineStr">
        <is>
          <t>Total Pipe Breakdowns</t>
        </is>
      </c>
      <c r="D81" s="20">
        <f>IFERROR(SUMIFS(DataEntry!$FG:$FG,DataEntry!$A:$A,"Liwonde",DataEntry!$B:$B,"Machinga"),"")</f>
        <v/>
      </c>
    </row>
    <row r="82">
      <c r="A82" s="21" t="inlineStr">
        <is>
          <t>Liwonde</t>
        </is>
      </c>
      <c r="B82" s="21" t="inlineStr">
        <is>
          <t>Machinga</t>
        </is>
      </c>
      <c r="C82" s="12" t="inlineStr">
        <is>
          <t>Connectivity Rate (avg)</t>
        </is>
      </c>
      <c r="D82" s="23">
        <f>IFERROR(AVERAGEIFS(DataEntry!$HK:$HK,DataEntry!$A:$A,"Liwonde",DataEntry!$B:$B,"Machinga"),"")</f>
        <v/>
      </c>
    </row>
    <row r="83">
      <c r="A83" s="19" t="inlineStr">
        <is>
          <t>Liwonde</t>
        </is>
      </c>
      <c r="B83" s="19" t="inlineStr">
        <is>
          <t>Machinga</t>
        </is>
      </c>
      <c r="C83" s="6" t="inlineStr">
        <is>
          <t>Response Time avg (days)</t>
        </is>
      </c>
      <c r="D83" s="24">
        <f>IFERROR(AVERAGEIFS(DataEntry!$HN:$HN,DataEntry!$A:$A,"Liwonde",DataEntry!$B:$B,"Machinga"),"")</f>
        <v/>
      </c>
    </row>
    <row r="84">
      <c r="A84" s="21" t="inlineStr">
        <is>
          <t>Liwonde</t>
        </is>
      </c>
      <c r="B84" s="21" t="inlineStr">
        <is>
          <t>Ntaja</t>
        </is>
      </c>
      <c r="C84" s="12" t="inlineStr">
        <is>
          <t>Volume Produced (m³)</t>
        </is>
      </c>
      <c r="D84" s="22">
        <f>IFERROR(SUMIFS(DataEntry!$H:$H,DataEntry!$A:$A,"Liwonde",DataEntry!$B:$B,"Ntaja"),"")</f>
        <v/>
      </c>
    </row>
    <row r="85">
      <c r="A85" s="19" t="inlineStr">
        <is>
          <t>Liwonde</t>
        </is>
      </c>
      <c r="B85" s="19" t="inlineStr">
        <is>
          <t>Ntaja</t>
        </is>
      </c>
      <c r="C85" s="6" t="inlineStr">
        <is>
          <t>Total Revenue Water (m³)</t>
        </is>
      </c>
      <c r="D85" s="20">
        <f>IFERROR(SUMIFS(DataEntry!$S:$S,DataEntry!$A:$A,"Liwonde",DataEntry!$B:$B,"Ntaja"),"")</f>
        <v/>
      </c>
    </row>
    <row r="86">
      <c r="A86" s="21" t="inlineStr">
        <is>
          <t>Liwonde</t>
        </is>
      </c>
      <c r="B86" s="21" t="inlineStr">
        <is>
          <t>Ntaja</t>
        </is>
      </c>
      <c r="C86" s="12" t="inlineStr">
        <is>
          <t>Non-Revenue Water (m³)</t>
        </is>
      </c>
      <c r="D86" s="22">
        <f>IFERROR(SUMIFS(DataEntry!$T:$T,DataEntry!$A:$A,"Liwonde",DataEntry!$B:$B,"Ntaja"),"")</f>
        <v/>
      </c>
    </row>
    <row r="87">
      <c r="A87" s="19" t="inlineStr">
        <is>
          <t>Liwonde</t>
        </is>
      </c>
      <c r="B87" s="19" t="inlineStr">
        <is>
          <t>Ntaja</t>
        </is>
      </c>
      <c r="C87" s="6" t="inlineStr">
        <is>
          <t>% NRW (avg)</t>
        </is>
      </c>
      <c r="D87" s="24">
        <f>IFERROR(AVERAGEIFS(DataEntry!$U:$U,DataEntry!$A:$A,"Liwonde",DataEntry!$B:$B,"Ntaja"),"")</f>
        <v/>
      </c>
    </row>
    <row r="88">
      <c r="A88" s="21" t="inlineStr">
        <is>
          <t>Liwonde</t>
        </is>
      </c>
      <c r="B88" s="21" t="inlineStr">
        <is>
          <t>Ntaja</t>
        </is>
      </c>
      <c r="C88" s="12" t="inlineStr">
        <is>
          <t>Chlorine Used (kg)</t>
        </is>
      </c>
      <c r="D88" s="22">
        <f>IFERROR(SUMIFS(DataEntry!$V:$V,DataEntry!$A:$A,"Liwonde",DataEntry!$B:$B,"Ntaja"),"")</f>
        <v/>
      </c>
    </row>
    <row r="89">
      <c r="A89" s="19" t="inlineStr">
        <is>
          <t>Liwonde</t>
        </is>
      </c>
      <c r="B89" s="19" t="inlineStr">
        <is>
          <t>Ntaja</t>
        </is>
      </c>
      <c r="C89" s="6" t="inlineStr">
        <is>
          <t>Cost of Chemicals (MWK)</t>
        </is>
      </c>
      <c r="D89" s="20">
        <f>IFERROR(SUMIFS(DataEntry!$AH:$AH,DataEntry!$A:$A,"Liwonde",DataEntry!$B:$B,"Ntaja"),"")</f>
        <v/>
      </c>
    </row>
    <row r="90">
      <c r="A90" s="21" t="inlineStr">
        <is>
          <t>Liwonde</t>
        </is>
      </c>
      <c r="B90" s="21" t="inlineStr">
        <is>
          <t>Ntaja</t>
        </is>
      </c>
      <c r="C90" s="12" t="inlineStr">
        <is>
          <t>Cost of Power (MWK)</t>
        </is>
      </c>
      <c r="D90" s="22">
        <f>IFERROR(SUMIFS(DataEntry!$AL:$AL,DataEntry!$A:$A,"Liwonde",DataEntry!$B:$B,"Ntaja"),"")</f>
        <v/>
      </c>
    </row>
    <row r="91">
      <c r="A91" s="19" t="inlineStr">
        <is>
          <t>Liwonde</t>
        </is>
      </c>
      <c r="B91" s="19" t="inlineStr">
        <is>
          <t>Ntaja</t>
        </is>
      </c>
      <c r="C91" s="6" t="inlineStr">
        <is>
          <t>Cost of Fuel (MWK)</t>
        </is>
      </c>
      <c r="D91" s="20">
        <f>IFERROR(SUMIFS(DataEntry!$AP:$AP,DataEntry!$A:$A,"Liwonde",DataEntry!$B:$B,"Ntaja"),"")</f>
        <v/>
      </c>
    </row>
    <row r="92">
      <c r="A92" s="21" t="inlineStr">
        <is>
          <t>Liwonde</t>
        </is>
      </c>
      <c r="B92" s="21" t="inlineStr">
        <is>
          <t>Ntaja</t>
        </is>
      </c>
      <c r="C92" s="12" t="inlineStr">
        <is>
          <t>Total Operating Costs (MWK)</t>
        </is>
      </c>
      <c r="D92" s="22">
        <f>IFERROR(SUMIFS(DataEntry!$AU:$AU,DataEntry!$A:$A,"Liwonde",DataEntry!$B:$B,"Ntaja"),"")</f>
        <v/>
      </c>
    </row>
    <row r="93">
      <c r="A93" s="19" t="inlineStr">
        <is>
          <t>Liwonde</t>
        </is>
      </c>
      <c r="B93" s="19" t="inlineStr">
        <is>
          <t>Ntaja</t>
        </is>
      </c>
      <c r="C93" s="6" t="inlineStr">
        <is>
          <t>OpCost per m³ Produced (avg)</t>
        </is>
      </c>
      <c r="D93" s="24">
        <f>IFERROR(AVERAGEIFS(DataEntry!$AV:$AV,DataEntry!$A:$A,"Liwonde",DataEntry!$B:$B,"Ntaja"),"")</f>
        <v/>
      </c>
    </row>
    <row r="94">
      <c r="A94" s="21" t="inlineStr">
        <is>
          <t>Liwonde</t>
        </is>
      </c>
      <c r="B94" s="21" t="inlineStr">
        <is>
          <t>Ntaja</t>
        </is>
      </c>
      <c r="C94" s="12" t="inlineStr">
        <is>
          <t>Total Cash Collected (MWK)</t>
        </is>
      </c>
      <c r="D94" s="22">
        <f>IFERROR(SUMIFS(DataEntry!$GB:$GB,DataEntry!$A:$A,"Liwonde",DataEntry!$B:$B,"Ntaja"),"")</f>
        <v/>
      </c>
    </row>
    <row r="95">
      <c r="A95" s="19" t="inlineStr">
        <is>
          <t>Liwonde</t>
        </is>
      </c>
      <c r="B95" s="19" t="inlineStr">
        <is>
          <t>Ntaja</t>
        </is>
      </c>
      <c r="C95" s="6" t="inlineStr">
        <is>
          <t>Total Amount Billed (MWK)</t>
        </is>
      </c>
      <c r="D95" s="20">
        <f>IFERROR(SUMIFS(DataEntry!$GM:$GM,DataEntry!$A:$A,"Liwonde",DataEntry!$B:$B,"Ntaja"),"")</f>
        <v/>
      </c>
    </row>
    <row r="96">
      <c r="A96" s="21" t="inlineStr">
        <is>
          <t>Liwonde</t>
        </is>
      </c>
      <c r="B96" s="21" t="inlineStr">
        <is>
          <t>Ntaja</t>
        </is>
      </c>
      <c r="C96" s="12" t="inlineStr">
        <is>
          <t>Total Sales (MWK)</t>
        </is>
      </c>
      <c r="D96" s="22">
        <f>IFERROR(SUMIFS(DataEntry!$GX:$GX,DataEntry!$A:$A,"Liwonde",DataEntry!$B:$B,"Ntaja"),"")</f>
        <v/>
      </c>
    </row>
    <row r="97">
      <c r="A97" s="19" t="inlineStr">
        <is>
          <t>Liwonde</t>
        </is>
      </c>
      <c r="B97" s="19" t="inlineStr">
        <is>
          <t>Ntaja</t>
        </is>
      </c>
      <c r="C97" s="6" t="inlineStr">
        <is>
          <t>Private Debtors (MWK)</t>
        </is>
      </c>
      <c r="D97" s="20">
        <f>IFERROR(SUMIFS(DataEntry!$GY:$GY,DataEntry!$A:$A,"Liwonde",DataEntry!$B:$B,"Ntaja"),"")</f>
        <v/>
      </c>
    </row>
    <row r="98">
      <c r="A98" s="21" t="inlineStr">
        <is>
          <t>Liwonde</t>
        </is>
      </c>
      <c r="B98" s="21" t="inlineStr">
        <is>
          <t>Ntaja</t>
        </is>
      </c>
      <c r="C98" s="12" t="inlineStr">
        <is>
          <t>Public Debtors (MWK)</t>
        </is>
      </c>
      <c r="D98" s="22">
        <f>IFERROR(SUMIFS(DataEntry!$GZ:$GZ,DataEntry!$A:$A,"Liwonde",DataEntry!$B:$B,"Ntaja"),"")</f>
        <v/>
      </c>
    </row>
    <row r="99">
      <c r="A99" s="19" t="inlineStr">
        <is>
          <t>Liwonde</t>
        </is>
      </c>
      <c r="B99" s="19" t="inlineStr">
        <is>
          <t>Ntaja</t>
        </is>
      </c>
      <c r="C99" s="6" t="inlineStr">
        <is>
          <t>Total Debtors (MWK)</t>
        </is>
      </c>
      <c r="D99" s="20">
        <f>IFERROR(SUMIFS(DataEntry!$HA:$HA,DataEntry!$A:$A,"Liwonde",DataEntry!$B:$B,"Ntaja"),"")</f>
        <v/>
      </c>
    </row>
    <row r="100">
      <c r="A100" s="21" t="inlineStr">
        <is>
          <t>Liwonde</t>
        </is>
      </c>
      <c r="B100" s="21" t="inlineStr">
        <is>
          <t>Ntaja</t>
        </is>
      </c>
      <c r="C100" s="12" t="inlineStr">
        <is>
          <t>Cash Collection Rate (avg)</t>
        </is>
      </c>
      <c r="D100" s="23">
        <f>IFERROR(AVERAGEIFS(DataEntry!$HC:$HC,DataEntry!$A:$A,"Liwonde",DataEntry!$B:$B,"Ntaja"),"")</f>
        <v/>
      </c>
    </row>
    <row r="101">
      <c r="A101" s="19" t="inlineStr">
        <is>
          <t>Liwonde</t>
        </is>
      </c>
      <c r="B101" s="19" t="inlineStr">
        <is>
          <t>Ntaja</t>
        </is>
      </c>
      <c r="C101" s="6" t="inlineStr">
        <is>
          <t>OpCost / Sales (avg)</t>
        </is>
      </c>
      <c r="D101" s="24">
        <f>IFERROR(AVERAGEIFS(DataEntry!$HB:$HB,DataEntry!$A:$A,"Liwonde",DataEntry!$B:$B,"Ntaja"),"")</f>
        <v/>
      </c>
    </row>
    <row r="102">
      <c r="A102" s="21" t="inlineStr">
        <is>
          <t>Liwonde</t>
        </is>
      </c>
      <c r="B102" s="21" t="inlineStr">
        <is>
          <t>Ntaja</t>
        </is>
      </c>
      <c r="C102" s="12" t="inlineStr">
        <is>
          <t>Total Active Customers (end)</t>
        </is>
      </c>
      <c r="D102" s="22">
        <f>IFERROR(SUMIFS(DataEntry!$CS:$CS,DataEntry!$A:$A,"Liwonde",DataEntry!$B:$B,"Ntaja"),"")</f>
        <v/>
      </c>
    </row>
    <row r="103">
      <c r="A103" s="19" t="inlineStr">
        <is>
          <t>Liwonde</t>
        </is>
      </c>
      <c r="B103" s="19" t="inlineStr">
        <is>
          <t>Ntaja</t>
        </is>
      </c>
      <c r="C103" s="6" t="inlineStr">
        <is>
          <t>Total Metered Consumers (end)</t>
        </is>
      </c>
      <c r="D103" s="20">
        <f>IFERROR(SUMIFS(DataEntry!$CT:$CT,DataEntry!$A:$A,"Liwonde",DataEntry!$B:$B,"Ntaja"),"")</f>
        <v/>
      </c>
    </row>
    <row r="104">
      <c r="A104" s="21" t="inlineStr">
        <is>
          <t>Liwonde</t>
        </is>
      </c>
      <c r="B104" s="21" t="inlineStr">
        <is>
          <t>Ntaja</t>
        </is>
      </c>
      <c r="C104" s="12" t="inlineStr">
        <is>
          <t>Population Supplied (end)</t>
        </is>
      </c>
      <c r="D104" s="22">
        <f>IFERROR(SUMIFS(DataEntry!$CV:$CV,DataEntry!$A:$A,"Liwonde",DataEntry!$B:$B,"Ntaja"),"")</f>
        <v/>
      </c>
    </row>
    <row r="105">
      <c r="A105" s="19" t="inlineStr">
        <is>
          <t>Liwonde</t>
        </is>
      </c>
      <c r="B105" s="19" t="inlineStr">
        <is>
          <t>Ntaja</t>
        </is>
      </c>
      <c r="C105" s="6" t="inlineStr">
        <is>
          <t>% Population Supplied (avg)</t>
        </is>
      </c>
      <c r="D105" s="24">
        <f>IFERROR(AVERAGEIFS(DataEntry!$CW:$CW,DataEntry!$A:$A,"Liwonde",DataEntry!$B:$B,"Ntaja"),"")</f>
        <v/>
      </c>
    </row>
    <row r="106">
      <c r="A106" s="21" t="inlineStr">
        <is>
          <t>Liwonde</t>
        </is>
      </c>
      <c r="B106" s="21" t="inlineStr">
        <is>
          <t>Ntaja</t>
        </is>
      </c>
      <c r="C106" s="12" t="inlineStr">
        <is>
          <t>New Connections Total Done</t>
        </is>
      </c>
      <c r="D106" s="22">
        <f>IFERROR(SUMIFS(DataEntry!$CA:$CA,DataEntry!$A:$A,"Liwonde",DataEntry!$B:$B,"Ntaja"),"")</f>
        <v/>
      </c>
    </row>
    <row r="107">
      <c r="A107" s="19" t="inlineStr">
        <is>
          <t>Liwonde</t>
        </is>
      </c>
      <c r="B107" s="19" t="inlineStr">
        <is>
          <t>Ntaja</t>
        </is>
      </c>
      <c r="C107" s="6" t="inlineStr">
        <is>
          <t>Stuck Meters Carried Fwd</t>
        </is>
      </c>
      <c r="D107" s="20">
        <f>IFERROR(SUMIFS(DataEntry!$DV:$DV,DataEntry!$A:$A,"Liwonde",DataEntry!$B:$B,"Ntaja"),"")</f>
        <v/>
      </c>
    </row>
    <row r="108">
      <c r="A108" s="21" t="inlineStr">
        <is>
          <t>Liwonde</t>
        </is>
      </c>
      <c r="B108" s="21" t="inlineStr">
        <is>
          <t>Ntaja</t>
        </is>
      </c>
      <c r="C108" s="12" t="inlineStr">
        <is>
          <t>Total Pipe Breakdowns</t>
        </is>
      </c>
      <c r="D108" s="22">
        <f>IFERROR(SUMIFS(DataEntry!$FG:$FG,DataEntry!$A:$A,"Liwonde",DataEntry!$B:$B,"Ntaja"),"")</f>
        <v/>
      </c>
    </row>
    <row r="109">
      <c r="A109" s="19" t="inlineStr">
        <is>
          <t>Liwonde</t>
        </is>
      </c>
      <c r="B109" s="19" t="inlineStr">
        <is>
          <t>Ntaja</t>
        </is>
      </c>
      <c r="C109" s="6" t="inlineStr">
        <is>
          <t>Connectivity Rate (avg)</t>
        </is>
      </c>
      <c r="D109" s="24">
        <f>IFERROR(AVERAGEIFS(DataEntry!$HK:$HK,DataEntry!$A:$A,"Liwonde",DataEntry!$B:$B,"Ntaja"),"")</f>
        <v/>
      </c>
    </row>
    <row r="110">
      <c r="A110" s="21" t="inlineStr">
        <is>
          <t>Liwonde</t>
        </is>
      </c>
      <c r="B110" s="21" t="inlineStr">
        <is>
          <t>Ntaja</t>
        </is>
      </c>
      <c r="C110" s="12" t="inlineStr">
        <is>
          <t>Response Time avg (days)</t>
        </is>
      </c>
      <c r="D110" s="23">
        <f>IFERROR(AVERAGEIFS(DataEntry!$HN:$HN,DataEntry!$A:$A,"Liwonde",DataEntry!$B:$B,"Ntaja"),"")</f>
        <v/>
      </c>
    </row>
    <row r="111">
      <c r="A111" s="19" t="inlineStr">
        <is>
          <t>Mangochi</t>
        </is>
      </c>
      <c r="B111" s="19" t="inlineStr">
        <is>
          <t>Mangochi</t>
        </is>
      </c>
      <c r="C111" s="6" t="inlineStr">
        <is>
          <t>Volume Produced (m³)</t>
        </is>
      </c>
      <c r="D111" s="20">
        <f>IFERROR(SUMIFS(DataEntry!$H:$H,DataEntry!$A:$A,"Mangochi",DataEntry!$B:$B,"Mangochi"),"")</f>
        <v/>
      </c>
    </row>
    <row r="112">
      <c r="A112" s="21" t="inlineStr">
        <is>
          <t>Mangochi</t>
        </is>
      </c>
      <c r="B112" s="21" t="inlineStr">
        <is>
          <t>Mangochi</t>
        </is>
      </c>
      <c r="C112" s="12" t="inlineStr">
        <is>
          <t>Total Revenue Water (m³)</t>
        </is>
      </c>
      <c r="D112" s="22">
        <f>IFERROR(SUMIFS(DataEntry!$S:$S,DataEntry!$A:$A,"Mangochi",DataEntry!$B:$B,"Mangochi"),"")</f>
        <v/>
      </c>
    </row>
    <row r="113">
      <c r="A113" s="19" t="inlineStr">
        <is>
          <t>Mangochi</t>
        </is>
      </c>
      <c r="B113" s="19" t="inlineStr">
        <is>
          <t>Mangochi</t>
        </is>
      </c>
      <c r="C113" s="6" t="inlineStr">
        <is>
          <t>Non-Revenue Water (m³)</t>
        </is>
      </c>
      <c r="D113" s="20">
        <f>IFERROR(SUMIFS(DataEntry!$T:$T,DataEntry!$A:$A,"Mangochi",DataEntry!$B:$B,"Mangochi"),"")</f>
        <v/>
      </c>
    </row>
    <row r="114">
      <c r="A114" s="21" t="inlineStr">
        <is>
          <t>Mangochi</t>
        </is>
      </c>
      <c r="B114" s="21" t="inlineStr">
        <is>
          <t>Mangochi</t>
        </is>
      </c>
      <c r="C114" s="12" t="inlineStr">
        <is>
          <t>% NRW (avg)</t>
        </is>
      </c>
      <c r="D114" s="23">
        <f>IFERROR(AVERAGEIFS(DataEntry!$U:$U,DataEntry!$A:$A,"Mangochi",DataEntry!$B:$B,"Mangochi"),"")</f>
        <v/>
      </c>
    </row>
    <row r="115">
      <c r="A115" s="19" t="inlineStr">
        <is>
          <t>Mangochi</t>
        </is>
      </c>
      <c r="B115" s="19" t="inlineStr">
        <is>
          <t>Mangochi</t>
        </is>
      </c>
      <c r="C115" s="6" t="inlineStr">
        <is>
          <t>Chlorine Used (kg)</t>
        </is>
      </c>
      <c r="D115" s="20">
        <f>IFERROR(SUMIFS(DataEntry!$V:$V,DataEntry!$A:$A,"Mangochi",DataEntry!$B:$B,"Mangochi"),"")</f>
        <v/>
      </c>
    </row>
    <row r="116">
      <c r="A116" s="21" t="inlineStr">
        <is>
          <t>Mangochi</t>
        </is>
      </c>
      <c r="B116" s="21" t="inlineStr">
        <is>
          <t>Mangochi</t>
        </is>
      </c>
      <c r="C116" s="12" t="inlineStr">
        <is>
          <t>Cost of Chemicals (MWK)</t>
        </is>
      </c>
      <c r="D116" s="22">
        <f>IFERROR(SUMIFS(DataEntry!$AH:$AH,DataEntry!$A:$A,"Mangochi",DataEntry!$B:$B,"Mangochi"),"")</f>
        <v/>
      </c>
    </row>
    <row r="117">
      <c r="A117" s="19" t="inlineStr">
        <is>
          <t>Mangochi</t>
        </is>
      </c>
      <c r="B117" s="19" t="inlineStr">
        <is>
          <t>Mangochi</t>
        </is>
      </c>
      <c r="C117" s="6" t="inlineStr">
        <is>
          <t>Cost of Power (MWK)</t>
        </is>
      </c>
      <c r="D117" s="20">
        <f>IFERROR(SUMIFS(DataEntry!$AL:$AL,DataEntry!$A:$A,"Mangochi",DataEntry!$B:$B,"Mangochi"),"")</f>
        <v/>
      </c>
    </row>
    <row r="118">
      <c r="A118" s="21" t="inlineStr">
        <is>
          <t>Mangochi</t>
        </is>
      </c>
      <c r="B118" s="21" t="inlineStr">
        <is>
          <t>Mangochi</t>
        </is>
      </c>
      <c r="C118" s="12" t="inlineStr">
        <is>
          <t>Cost of Fuel (MWK)</t>
        </is>
      </c>
      <c r="D118" s="22">
        <f>IFERROR(SUMIFS(DataEntry!$AP:$AP,DataEntry!$A:$A,"Mangochi",DataEntry!$B:$B,"Mangochi"),"")</f>
        <v/>
      </c>
    </row>
    <row r="119">
      <c r="A119" s="19" t="inlineStr">
        <is>
          <t>Mangochi</t>
        </is>
      </c>
      <c r="B119" s="19" t="inlineStr">
        <is>
          <t>Mangochi</t>
        </is>
      </c>
      <c r="C119" s="6" t="inlineStr">
        <is>
          <t>Total Operating Costs (MWK)</t>
        </is>
      </c>
      <c r="D119" s="20">
        <f>IFERROR(SUMIFS(DataEntry!$AU:$AU,DataEntry!$A:$A,"Mangochi",DataEntry!$B:$B,"Mangochi"),"")</f>
        <v/>
      </c>
    </row>
    <row r="120">
      <c r="A120" s="21" t="inlineStr">
        <is>
          <t>Mangochi</t>
        </is>
      </c>
      <c r="B120" s="21" t="inlineStr">
        <is>
          <t>Mangochi</t>
        </is>
      </c>
      <c r="C120" s="12" t="inlineStr">
        <is>
          <t>OpCost per m³ Produced (avg)</t>
        </is>
      </c>
      <c r="D120" s="23">
        <f>IFERROR(AVERAGEIFS(DataEntry!$AV:$AV,DataEntry!$A:$A,"Mangochi",DataEntry!$B:$B,"Mangochi"),"")</f>
        <v/>
      </c>
    </row>
    <row r="121">
      <c r="A121" s="19" t="inlineStr">
        <is>
          <t>Mangochi</t>
        </is>
      </c>
      <c r="B121" s="19" t="inlineStr">
        <is>
          <t>Mangochi</t>
        </is>
      </c>
      <c r="C121" s="6" t="inlineStr">
        <is>
          <t>Total Cash Collected (MWK)</t>
        </is>
      </c>
      <c r="D121" s="20">
        <f>IFERROR(SUMIFS(DataEntry!$GB:$GB,DataEntry!$A:$A,"Mangochi",DataEntry!$B:$B,"Mangochi"),"")</f>
        <v/>
      </c>
    </row>
    <row r="122">
      <c r="A122" s="21" t="inlineStr">
        <is>
          <t>Mangochi</t>
        </is>
      </c>
      <c r="B122" s="21" t="inlineStr">
        <is>
          <t>Mangochi</t>
        </is>
      </c>
      <c r="C122" s="12" t="inlineStr">
        <is>
          <t>Total Amount Billed (MWK)</t>
        </is>
      </c>
      <c r="D122" s="22">
        <f>IFERROR(SUMIFS(DataEntry!$GM:$GM,DataEntry!$A:$A,"Mangochi",DataEntry!$B:$B,"Mangochi"),"")</f>
        <v/>
      </c>
    </row>
    <row r="123">
      <c r="A123" s="19" t="inlineStr">
        <is>
          <t>Mangochi</t>
        </is>
      </c>
      <c r="B123" s="19" t="inlineStr">
        <is>
          <t>Mangochi</t>
        </is>
      </c>
      <c r="C123" s="6" t="inlineStr">
        <is>
          <t>Total Sales (MWK)</t>
        </is>
      </c>
      <c r="D123" s="20">
        <f>IFERROR(SUMIFS(DataEntry!$GX:$GX,DataEntry!$A:$A,"Mangochi",DataEntry!$B:$B,"Mangochi"),"")</f>
        <v/>
      </c>
    </row>
    <row r="124">
      <c r="A124" s="21" t="inlineStr">
        <is>
          <t>Mangochi</t>
        </is>
      </c>
      <c r="B124" s="21" t="inlineStr">
        <is>
          <t>Mangochi</t>
        </is>
      </c>
      <c r="C124" s="12" t="inlineStr">
        <is>
          <t>Private Debtors (MWK)</t>
        </is>
      </c>
      <c r="D124" s="22">
        <f>IFERROR(SUMIFS(DataEntry!$GY:$GY,DataEntry!$A:$A,"Mangochi",DataEntry!$B:$B,"Mangochi"),"")</f>
        <v/>
      </c>
    </row>
    <row r="125">
      <c r="A125" s="19" t="inlineStr">
        <is>
          <t>Mangochi</t>
        </is>
      </c>
      <c r="B125" s="19" t="inlineStr">
        <is>
          <t>Mangochi</t>
        </is>
      </c>
      <c r="C125" s="6" t="inlineStr">
        <is>
          <t>Public Debtors (MWK)</t>
        </is>
      </c>
      <c r="D125" s="20">
        <f>IFERROR(SUMIFS(DataEntry!$GZ:$GZ,DataEntry!$A:$A,"Mangochi",DataEntry!$B:$B,"Mangochi"),"")</f>
        <v/>
      </c>
    </row>
    <row r="126">
      <c r="A126" s="21" t="inlineStr">
        <is>
          <t>Mangochi</t>
        </is>
      </c>
      <c r="B126" s="21" t="inlineStr">
        <is>
          <t>Mangochi</t>
        </is>
      </c>
      <c r="C126" s="12" t="inlineStr">
        <is>
          <t>Total Debtors (MWK)</t>
        </is>
      </c>
      <c r="D126" s="22">
        <f>IFERROR(SUMIFS(DataEntry!$HA:$HA,DataEntry!$A:$A,"Mangochi",DataEntry!$B:$B,"Mangochi"),"")</f>
        <v/>
      </c>
    </row>
    <row r="127">
      <c r="A127" s="19" t="inlineStr">
        <is>
          <t>Mangochi</t>
        </is>
      </c>
      <c r="B127" s="19" t="inlineStr">
        <is>
          <t>Mangochi</t>
        </is>
      </c>
      <c r="C127" s="6" t="inlineStr">
        <is>
          <t>Cash Collection Rate (avg)</t>
        </is>
      </c>
      <c r="D127" s="24">
        <f>IFERROR(AVERAGEIFS(DataEntry!$HC:$HC,DataEntry!$A:$A,"Mangochi",DataEntry!$B:$B,"Mangochi"),"")</f>
        <v/>
      </c>
    </row>
    <row r="128">
      <c r="A128" s="21" t="inlineStr">
        <is>
          <t>Mangochi</t>
        </is>
      </c>
      <c r="B128" s="21" t="inlineStr">
        <is>
          <t>Mangochi</t>
        </is>
      </c>
      <c r="C128" s="12" t="inlineStr">
        <is>
          <t>OpCost / Sales (avg)</t>
        </is>
      </c>
      <c r="D128" s="23">
        <f>IFERROR(AVERAGEIFS(DataEntry!$HB:$HB,DataEntry!$A:$A,"Mangochi",DataEntry!$B:$B,"Mangochi"),"")</f>
        <v/>
      </c>
    </row>
    <row r="129">
      <c r="A129" s="19" t="inlineStr">
        <is>
          <t>Mangochi</t>
        </is>
      </c>
      <c r="B129" s="19" t="inlineStr">
        <is>
          <t>Mangochi</t>
        </is>
      </c>
      <c r="C129" s="6" t="inlineStr">
        <is>
          <t>Total Active Customers (end)</t>
        </is>
      </c>
      <c r="D129" s="20">
        <f>IFERROR(SUMIFS(DataEntry!$CS:$CS,DataEntry!$A:$A,"Mangochi",DataEntry!$B:$B,"Mangochi"),"")</f>
        <v/>
      </c>
    </row>
    <row r="130">
      <c r="A130" s="21" t="inlineStr">
        <is>
          <t>Mangochi</t>
        </is>
      </c>
      <c r="B130" s="21" t="inlineStr">
        <is>
          <t>Mangochi</t>
        </is>
      </c>
      <c r="C130" s="12" t="inlineStr">
        <is>
          <t>Total Metered Consumers (end)</t>
        </is>
      </c>
      <c r="D130" s="22">
        <f>IFERROR(SUMIFS(DataEntry!$CT:$CT,DataEntry!$A:$A,"Mangochi",DataEntry!$B:$B,"Mangochi"),"")</f>
        <v/>
      </c>
    </row>
    <row r="131">
      <c r="A131" s="19" t="inlineStr">
        <is>
          <t>Mangochi</t>
        </is>
      </c>
      <c r="B131" s="19" t="inlineStr">
        <is>
          <t>Mangochi</t>
        </is>
      </c>
      <c r="C131" s="6" t="inlineStr">
        <is>
          <t>Population Supplied (end)</t>
        </is>
      </c>
      <c r="D131" s="20">
        <f>IFERROR(SUMIFS(DataEntry!$CV:$CV,DataEntry!$A:$A,"Mangochi",DataEntry!$B:$B,"Mangochi"),"")</f>
        <v/>
      </c>
    </row>
    <row r="132">
      <c r="A132" s="21" t="inlineStr">
        <is>
          <t>Mangochi</t>
        </is>
      </c>
      <c r="B132" s="21" t="inlineStr">
        <is>
          <t>Mangochi</t>
        </is>
      </c>
      <c r="C132" s="12" t="inlineStr">
        <is>
          <t>% Population Supplied (avg)</t>
        </is>
      </c>
      <c r="D132" s="23">
        <f>IFERROR(AVERAGEIFS(DataEntry!$CW:$CW,DataEntry!$A:$A,"Mangochi",DataEntry!$B:$B,"Mangochi"),"")</f>
        <v/>
      </c>
    </row>
    <row r="133">
      <c r="A133" s="19" t="inlineStr">
        <is>
          <t>Mangochi</t>
        </is>
      </c>
      <c r="B133" s="19" t="inlineStr">
        <is>
          <t>Mangochi</t>
        </is>
      </c>
      <c r="C133" s="6" t="inlineStr">
        <is>
          <t>New Connections Total Done</t>
        </is>
      </c>
      <c r="D133" s="20">
        <f>IFERROR(SUMIFS(DataEntry!$CA:$CA,DataEntry!$A:$A,"Mangochi",DataEntry!$B:$B,"Mangochi"),"")</f>
        <v/>
      </c>
    </row>
    <row r="134">
      <c r="A134" s="21" t="inlineStr">
        <is>
          <t>Mangochi</t>
        </is>
      </c>
      <c r="B134" s="21" t="inlineStr">
        <is>
          <t>Mangochi</t>
        </is>
      </c>
      <c r="C134" s="12" t="inlineStr">
        <is>
          <t>Stuck Meters Carried Fwd</t>
        </is>
      </c>
      <c r="D134" s="22">
        <f>IFERROR(SUMIFS(DataEntry!$DV:$DV,DataEntry!$A:$A,"Mangochi",DataEntry!$B:$B,"Mangochi"),"")</f>
        <v/>
      </c>
    </row>
    <row r="135">
      <c r="A135" s="19" t="inlineStr">
        <is>
          <t>Mangochi</t>
        </is>
      </c>
      <c r="B135" s="19" t="inlineStr">
        <is>
          <t>Mangochi</t>
        </is>
      </c>
      <c r="C135" s="6" t="inlineStr">
        <is>
          <t>Total Pipe Breakdowns</t>
        </is>
      </c>
      <c r="D135" s="20">
        <f>IFERROR(SUMIFS(DataEntry!$FG:$FG,DataEntry!$A:$A,"Mangochi",DataEntry!$B:$B,"Mangochi"),"")</f>
        <v/>
      </c>
    </row>
    <row r="136">
      <c r="A136" s="21" t="inlineStr">
        <is>
          <t>Mangochi</t>
        </is>
      </c>
      <c r="B136" s="21" t="inlineStr">
        <is>
          <t>Mangochi</t>
        </is>
      </c>
      <c r="C136" s="12" t="inlineStr">
        <is>
          <t>Connectivity Rate (avg)</t>
        </is>
      </c>
      <c r="D136" s="23">
        <f>IFERROR(AVERAGEIFS(DataEntry!$HK:$HK,DataEntry!$A:$A,"Mangochi",DataEntry!$B:$B,"Mangochi"),"")</f>
        <v/>
      </c>
    </row>
    <row r="137">
      <c r="A137" s="19" t="inlineStr">
        <is>
          <t>Mangochi</t>
        </is>
      </c>
      <c r="B137" s="19" t="inlineStr">
        <is>
          <t>Mangochi</t>
        </is>
      </c>
      <c r="C137" s="6" t="inlineStr">
        <is>
          <t>Response Time avg (days)</t>
        </is>
      </c>
      <c r="D137" s="24">
        <f>IFERROR(AVERAGEIFS(DataEntry!$HN:$HN,DataEntry!$A:$A,"Mangochi",DataEntry!$B:$B,"Mangochi"),"")</f>
        <v/>
      </c>
    </row>
    <row r="138">
      <c r="A138" s="21" t="inlineStr">
        <is>
          <t>Mangochi</t>
        </is>
      </c>
      <c r="B138" s="21" t="inlineStr">
        <is>
          <t>Monkey Bay</t>
        </is>
      </c>
      <c r="C138" s="12" t="inlineStr">
        <is>
          <t>Volume Produced (m³)</t>
        </is>
      </c>
      <c r="D138" s="22">
        <f>IFERROR(SUMIFS(DataEntry!$H:$H,DataEntry!$A:$A,"Mangochi",DataEntry!$B:$B,"Monkey Bay"),"")</f>
        <v/>
      </c>
    </row>
    <row r="139">
      <c r="A139" s="19" t="inlineStr">
        <is>
          <t>Mangochi</t>
        </is>
      </c>
      <c r="B139" s="19" t="inlineStr">
        <is>
          <t>Monkey Bay</t>
        </is>
      </c>
      <c r="C139" s="6" t="inlineStr">
        <is>
          <t>Total Revenue Water (m³)</t>
        </is>
      </c>
      <c r="D139" s="20">
        <f>IFERROR(SUMIFS(DataEntry!$S:$S,DataEntry!$A:$A,"Mangochi",DataEntry!$B:$B,"Monkey Bay"),"")</f>
        <v/>
      </c>
    </row>
    <row r="140">
      <c r="A140" s="21" t="inlineStr">
        <is>
          <t>Mangochi</t>
        </is>
      </c>
      <c r="B140" s="21" t="inlineStr">
        <is>
          <t>Monkey Bay</t>
        </is>
      </c>
      <c r="C140" s="12" t="inlineStr">
        <is>
          <t>Non-Revenue Water (m³)</t>
        </is>
      </c>
      <c r="D140" s="22">
        <f>IFERROR(SUMIFS(DataEntry!$T:$T,DataEntry!$A:$A,"Mangochi",DataEntry!$B:$B,"Monkey Bay"),"")</f>
        <v/>
      </c>
    </row>
    <row r="141">
      <c r="A141" s="19" t="inlineStr">
        <is>
          <t>Mangochi</t>
        </is>
      </c>
      <c r="B141" s="19" t="inlineStr">
        <is>
          <t>Monkey Bay</t>
        </is>
      </c>
      <c r="C141" s="6" t="inlineStr">
        <is>
          <t>% NRW (avg)</t>
        </is>
      </c>
      <c r="D141" s="24">
        <f>IFERROR(AVERAGEIFS(DataEntry!$U:$U,DataEntry!$A:$A,"Mangochi",DataEntry!$B:$B,"Monkey Bay"),"")</f>
        <v/>
      </c>
    </row>
    <row r="142">
      <c r="A142" s="21" t="inlineStr">
        <is>
          <t>Mangochi</t>
        </is>
      </c>
      <c r="B142" s="21" t="inlineStr">
        <is>
          <t>Monkey Bay</t>
        </is>
      </c>
      <c r="C142" s="12" t="inlineStr">
        <is>
          <t>Chlorine Used (kg)</t>
        </is>
      </c>
      <c r="D142" s="22">
        <f>IFERROR(SUMIFS(DataEntry!$V:$V,DataEntry!$A:$A,"Mangochi",DataEntry!$B:$B,"Monkey Bay"),"")</f>
        <v/>
      </c>
    </row>
    <row r="143">
      <c r="A143" s="19" t="inlineStr">
        <is>
          <t>Mangochi</t>
        </is>
      </c>
      <c r="B143" s="19" t="inlineStr">
        <is>
          <t>Monkey Bay</t>
        </is>
      </c>
      <c r="C143" s="6" t="inlineStr">
        <is>
          <t>Cost of Chemicals (MWK)</t>
        </is>
      </c>
      <c r="D143" s="20">
        <f>IFERROR(SUMIFS(DataEntry!$AH:$AH,DataEntry!$A:$A,"Mangochi",DataEntry!$B:$B,"Monkey Bay"),"")</f>
        <v/>
      </c>
    </row>
    <row r="144">
      <c r="A144" s="21" t="inlineStr">
        <is>
          <t>Mangochi</t>
        </is>
      </c>
      <c r="B144" s="21" t="inlineStr">
        <is>
          <t>Monkey Bay</t>
        </is>
      </c>
      <c r="C144" s="12" t="inlineStr">
        <is>
          <t>Cost of Power (MWK)</t>
        </is>
      </c>
      <c r="D144" s="22">
        <f>IFERROR(SUMIFS(DataEntry!$AL:$AL,DataEntry!$A:$A,"Mangochi",DataEntry!$B:$B,"Monkey Bay"),"")</f>
        <v/>
      </c>
    </row>
    <row r="145">
      <c r="A145" s="19" t="inlineStr">
        <is>
          <t>Mangochi</t>
        </is>
      </c>
      <c r="B145" s="19" t="inlineStr">
        <is>
          <t>Monkey Bay</t>
        </is>
      </c>
      <c r="C145" s="6" t="inlineStr">
        <is>
          <t>Cost of Fuel (MWK)</t>
        </is>
      </c>
      <c r="D145" s="20">
        <f>IFERROR(SUMIFS(DataEntry!$AP:$AP,DataEntry!$A:$A,"Mangochi",DataEntry!$B:$B,"Monkey Bay"),"")</f>
        <v/>
      </c>
    </row>
    <row r="146">
      <c r="A146" s="21" t="inlineStr">
        <is>
          <t>Mangochi</t>
        </is>
      </c>
      <c r="B146" s="21" t="inlineStr">
        <is>
          <t>Monkey Bay</t>
        </is>
      </c>
      <c r="C146" s="12" t="inlineStr">
        <is>
          <t>Total Operating Costs (MWK)</t>
        </is>
      </c>
      <c r="D146" s="22">
        <f>IFERROR(SUMIFS(DataEntry!$AU:$AU,DataEntry!$A:$A,"Mangochi",DataEntry!$B:$B,"Monkey Bay"),"")</f>
        <v/>
      </c>
    </row>
    <row r="147">
      <c r="A147" s="19" t="inlineStr">
        <is>
          <t>Mangochi</t>
        </is>
      </c>
      <c r="B147" s="19" t="inlineStr">
        <is>
          <t>Monkey Bay</t>
        </is>
      </c>
      <c r="C147" s="6" t="inlineStr">
        <is>
          <t>OpCost per m³ Produced (avg)</t>
        </is>
      </c>
      <c r="D147" s="24">
        <f>IFERROR(AVERAGEIFS(DataEntry!$AV:$AV,DataEntry!$A:$A,"Mangochi",DataEntry!$B:$B,"Monkey Bay"),"")</f>
        <v/>
      </c>
    </row>
    <row r="148">
      <c r="A148" s="21" t="inlineStr">
        <is>
          <t>Mangochi</t>
        </is>
      </c>
      <c r="B148" s="21" t="inlineStr">
        <is>
          <t>Monkey Bay</t>
        </is>
      </c>
      <c r="C148" s="12" t="inlineStr">
        <is>
          <t>Total Cash Collected (MWK)</t>
        </is>
      </c>
      <c r="D148" s="22">
        <f>IFERROR(SUMIFS(DataEntry!$GB:$GB,DataEntry!$A:$A,"Mangochi",DataEntry!$B:$B,"Monkey Bay"),"")</f>
        <v/>
      </c>
    </row>
    <row r="149">
      <c r="A149" s="19" t="inlineStr">
        <is>
          <t>Mangochi</t>
        </is>
      </c>
      <c r="B149" s="19" t="inlineStr">
        <is>
          <t>Monkey Bay</t>
        </is>
      </c>
      <c r="C149" s="6" t="inlineStr">
        <is>
          <t>Total Amount Billed (MWK)</t>
        </is>
      </c>
      <c r="D149" s="20">
        <f>IFERROR(SUMIFS(DataEntry!$GM:$GM,DataEntry!$A:$A,"Mangochi",DataEntry!$B:$B,"Monkey Bay"),"")</f>
        <v/>
      </c>
    </row>
    <row r="150">
      <c r="A150" s="21" t="inlineStr">
        <is>
          <t>Mangochi</t>
        </is>
      </c>
      <c r="B150" s="21" t="inlineStr">
        <is>
          <t>Monkey Bay</t>
        </is>
      </c>
      <c r="C150" s="12" t="inlineStr">
        <is>
          <t>Total Sales (MWK)</t>
        </is>
      </c>
      <c r="D150" s="22">
        <f>IFERROR(SUMIFS(DataEntry!$GX:$GX,DataEntry!$A:$A,"Mangochi",DataEntry!$B:$B,"Monkey Bay"),"")</f>
        <v/>
      </c>
    </row>
    <row r="151">
      <c r="A151" s="19" t="inlineStr">
        <is>
          <t>Mangochi</t>
        </is>
      </c>
      <c r="B151" s="19" t="inlineStr">
        <is>
          <t>Monkey Bay</t>
        </is>
      </c>
      <c r="C151" s="6" t="inlineStr">
        <is>
          <t>Private Debtors (MWK)</t>
        </is>
      </c>
      <c r="D151" s="20">
        <f>IFERROR(SUMIFS(DataEntry!$GY:$GY,DataEntry!$A:$A,"Mangochi",DataEntry!$B:$B,"Monkey Bay"),"")</f>
        <v/>
      </c>
    </row>
    <row r="152">
      <c r="A152" s="21" t="inlineStr">
        <is>
          <t>Mangochi</t>
        </is>
      </c>
      <c r="B152" s="21" t="inlineStr">
        <is>
          <t>Monkey Bay</t>
        </is>
      </c>
      <c r="C152" s="12" t="inlineStr">
        <is>
          <t>Public Debtors (MWK)</t>
        </is>
      </c>
      <c r="D152" s="22">
        <f>IFERROR(SUMIFS(DataEntry!$GZ:$GZ,DataEntry!$A:$A,"Mangochi",DataEntry!$B:$B,"Monkey Bay"),"")</f>
        <v/>
      </c>
    </row>
    <row r="153">
      <c r="A153" s="19" t="inlineStr">
        <is>
          <t>Mangochi</t>
        </is>
      </c>
      <c r="B153" s="19" t="inlineStr">
        <is>
          <t>Monkey Bay</t>
        </is>
      </c>
      <c r="C153" s="6" t="inlineStr">
        <is>
          <t>Total Debtors (MWK)</t>
        </is>
      </c>
      <c r="D153" s="20">
        <f>IFERROR(SUMIFS(DataEntry!$HA:$HA,DataEntry!$A:$A,"Mangochi",DataEntry!$B:$B,"Monkey Bay"),"")</f>
        <v/>
      </c>
    </row>
    <row r="154">
      <c r="A154" s="21" t="inlineStr">
        <is>
          <t>Mangochi</t>
        </is>
      </c>
      <c r="B154" s="21" t="inlineStr">
        <is>
          <t>Monkey Bay</t>
        </is>
      </c>
      <c r="C154" s="12" t="inlineStr">
        <is>
          <t>Cash Collection Rate (avg)</t>
        </is>
      </c>
      <c r="D154" s="23">
        <f>IFERROR(AVERAGEIFS(DataEntry!$HC:$HC,DataEntry!$A:$A,"Mangochi",DataEntry!$B:$B,"Monkey Bay"),"")</f>
        <v/>
      </c>
    </row>
    <row r="155">
      <c r="A155" s="19" t="inlineStr">
        <is>
          <t>Mangochi</t>
        </is>
      </c>
      <c r="B155" s="19" t="inlineStr">
        <is>
          <t>Monkey Bay</t>
        </is>
      </c>
      <c r="C155" s="6" t="inlineStr">
        <is>
          <t>OpCost / Sales (avg)</t>
        </is>
      </c>
      <c r="D155" s="24">
        <f>IFERROR(AVERAGEIFS(DataEntry!$HB:$HB,DataEntry!$A:$A,"Mangochi",DataEntry!$B:$B,"Monkey Bay"),"")</f>
        <v/>
      </c>
    </row>
    <row r="156">
      <c r="A156" s="21" t="inlineStr">
        <is>
          <t>Mangochi</t>
        </is>
      </c>
      <c r="B156" s="21" t="inlineStr">
        <is>
          <t>Monkey Bay</t>
        </is>
      </c>
      <c r="C156" s="12" t="inlineStr">
        <is>
          <t>Total Active Customers (end)</t>
        </is>
      </c>
      <c r="D156" s="22">
        <f>IFERROR(SUMIFS(DataEntry!$CS:$CS,DataEntry!$A:$A,"Mangochi",DataEntry!$B:$B,"Monkey Bay"),"")</f>
        <v/>
      </c>
    </row>
    <row r="157">
      <c r="A157" s="19" t="inlineStr">
        <is>
          <t>Mangochi</t>
        </is>
      </c>
      <c r="B157" s="19" t="inlineStr">
        <is>
          <t>Monkey Bay</t>
        </is>
      </c>
      <c r="C157" s="6" t="inlineStr">
        <is>
          <t>Total Metered Consumers (end)</t>
        </is>
      </c>
      <c r="D157" s="20">
        <f>IFERROR(SUMIFS(DataEntry!$CT:$CT,DataEntry!$A:$A,"Mangochi",DataEntry!$B:$B,"Monkey Bay"),"")</f>
        <v/>
      </c>
    </row>
    <row r="158">
      <c r="A158" s="21" t="inlineStr">
        <is>
          <t>Mangochi</t>
        </is>
      </c>
      <c r="B158" s="21" t="inlineStr">
        <is>
          <t>Monkey Bay</t>
        </is>
      </c>
      <c r="C158" s="12" t="inlineStr">
        <is>
          <t>Population Supplied (end)</t>
        </is>
      </c>
      <c r="D158" s="22">
        <f>IFERROR(SUMIFS(DataEntry!$CV:$CV,DataEntry!$A:$A,"Mangochi",DataEntry!$B:$B,"Monkey Bay"),"")</f>
        <v/>
      </c>
    </row>
    <row r="159">
      <c r="A159" s="19" t="inlineStr">
        <is>
          <t>Mangochi</t>
        </is>
      </c>
      <c r="B159" s="19" t="inlineStr">
        <is>
          <t>Monkey Bay</t>
        </is>
      </c>
      <c r="C159" s="6" t="inlineStr">
        <is>
          <t>% Population Supplied (avg)</t>
        </is>
      </c>
      <c r="D159" s="24">
        <f>IFERROR(AVERAGEIFS(DataEntry!$CW:$CW,DataEntry!$A:$A,"Mangochi",DataEntry!$B:$B,"Monkey Bay"),"")</f>
        <v/>
      </c>
    </row>
    <row r="160">
      <c r="A160" s="21" t="inlineStr">
        <is>
          <t>Mangochi</t>
        </is>
      </c>
      <c r="B160" s="21" t="inlineStr">
        <is>
          <t>Monkey Bay</t>
        </is>
      </c>
      <c r="C160" s="12" t="inlineStr">
        <is>
          <t>New Connections Total Done</t>
        </is>
      </c>
      <c r="D160" s="22">
        <f>IFERROR(SUMIFS(DataEntry!$CA:$CA,DataEntry!$A:$A,"Mangochi",DataEntry!$B:$B,"Monkey Bay"),"")</f>
        <v/>
      </c>
    </row>
    <row r="161">
      <c r="A161" s="19" t="inlineStr">
        <is>
          <t>Mangochi</t>
        </is>
      </c>
      <c r="B161" s="19" t="inlineStr">
        <is>
          <t>Monkey Bay</t>
        </is>
      </c>
      <c r="C161" s="6" t="inlineStr">
        <is>
          <t>Stuck Meters Carried Fwd</t>
        </is>
      </c>
      <c r="D161" s="20">
        <f>IFERROR(SUMIFS(DataEntry!$DV:$DV,DataEntry!$A:$A,"Mangochi",DataEntry!$B:$B,"Monkey Bay"),"")</f>
        <v/>
      </c>
    </row>
    <row r="162">
      <c r="A162" s="21" t="inlineStr">
        <is>
          <t>Mangochi</t>
        </is>
      </c>
      <c r="B162" s="21" t="inlineStr">
        <is>
          <t>Monkey Bay</t>
        </is>
      </c>
      <c r="C162" s="12" t="inlineStr">
        <is>
          <t>Total Pipe Breakdowns</t>
        </is>
      </c>
      <c r="D162" s="22">
        <f>IFERROR(SUMIFS(DataEntry!$FG:$FG,DataEntry!$A:$A,"Mangochi",DataEntry!$B:$B,"Monkey Bay"),"")</f>
        <v/>
      </c>
    </row>
    <row r="163">
      <c r="A163" s="19" t="inlineStr">
        <is>
          <t>Mangochi</t>
        </is>
      </c>
      <c r="B163" s="19" t="inlineStr">
        <is>
          <t>Monkey Bay</t>
        </is>
      </c>
      <c r="C163" s="6" t="inlineStr">
        <is>
          <t>Connectivity Rate (avg)</t>
        </is>
      </c>
      <c r="D163" s="24">
        <f>IFERROR(AVERAGEIFS(DataEntry!$HK:$HK,DataEntry!$A:$A,"Mangochi",DataEntry!$B:$B,"Monkey Bay"),"")</f>
        <v/>
      </c>
    </row>
    <row r="164">
      <c r="A164" s="21" t="inlineStr">
        <is>
          <t>Mangochi</t>
        </is>
      </c>
      <c r="B164" s="21" t="inlineStr">
        <is>
          <t>Monkey Bay</t>
        </is>
      </c>
      <c r="C164" s="12" t="inlineStr">
        <is>
          <t>Response Time avg (days)</t>
        </is>
      </c>
      <c r="D164" s="23">
        <f>IFERROR(AVERAGEIFS(DataEntry!$HN:$HN,DataEntry!$A:$A,"Mangochi",DataEntry!$B:$B,"Monkey Bay"),"")</f>
        <v/>
      </c>
    </row>
    <row r="165">
      <c r="A165" s="19" t="inlineStr">
        <is>
          <t>Mangochi</t>
        </is>
      </c>
      <c r="B165" s="19" t="inlineStr">
        <is>
          <t>Namwera</t>
        </is>
      </c>
      <c r="C165" s="6" t="inlineStr">
        <is>
          <t>Volume Produced (m³)</t>
        </is>
      </c>
      <c r="D165" s="20">
        <f>IFERROR(SUMIFS(DataEntry!$H:$H,DataEntry!$A:$A,"Mangochi",DataEntry!$B:$B,"Namwera"),"")</f>
        <v/>
      </c>
    </row>
    <row r="166">
      <c r="A166" s="21" t="inlineStr">
        <is>
          <t>Mangochi</t>
        </is>
      </c>
      <c r="B166" s="21" t="inlineStr">
        <is>
          <t>Namwera</t>
        </is>
      </c>
      <c r="C166" s="12" t="inlineStr">
        <is>
          <t>Total Revenue Water (m³)</t>
        </is>
      </c>
      <c r="D166" s="22">
        <f>IFERROR(SUMIFS(DataEntry!$S:$S,DataEntry!$A:$A,"Mangochi",DataEntry!$B:$B,"Namwera"),"")</f>
        <v/>
      </c>
    </row>
    <row r="167">
      <c r="A167" s="19" t="inlineStr">
        <is>
          <t>Mangochi</t>
        </is>
      </c>
      <c r="B167" s="19" t="inlineStr">
        <is>
          <t>Namwera</t>
        </is>
      </c>
      <c r="C167" s="6" t="inlineStr">
        <is>
          <t>Non-Revenue Water (m³)</t>
        </is>
      </c>
      <c r="D167" s="20">
        <f>IFERROR(SUMIFS(DataEntry!$T:$T,DataEntry!$A:$A,"Mangochi",DataEntry!$B:$B,"Namwera"),"")</f>
        <v/>
      </c>
    </row>
    <row r="168">
      <c r="A168" s="21" t="inlineStr">
        <is>
          <t>Mangochi</t>
        </is>
      </c>
      <c r="B168" s="21" t="inlineStr">
        <is>
          <t>Namwera</t>
        </is>
      </c>
      <c r="C168" s="12" t="inlineStr">
        <is>
          <t>% NRW (avg)</t>
        </is>
      </c>
      <c r="D168" s="23">
        <f>IFERROR(AVERAGEIFS(DataEntry!$U:$U,DataEntry!$A:$A,"Mangochi",DataEntry!$B:$B,"Namwera"),"")</f>
        <v/>
      </c>
    </row>
    <row r="169">
      <c r="A169" s="19" t="inlineStr">
        <is>
          <t>Mangochi</t>
        </is>
      </c>
      <c r="B169" s="19" t="inlineStr">
        <is>
          <t>Namwera</t>
        </is>
      </c>
      <c r="C169" s="6" t="inlineStr">
        <is>
          <t>Chlorine Used (kg)</t>
        </is>
      </c>
      <c r="D169" s="20">
        <f>IFERROR(SUMIFS(DataEntry!$V:$V,DataEntry!$A:$A,"Mangochi",DataEntry!$B:$B,"Namwera"),"")</f>
        <v/>
      </c>
    </row>
    <row r="170">
      <c r="A170" s="21" t="inlineStr">
        <is>
          <t>Mangochi</t>
        </is>
      </c>
      <c r="B170" s="21" t="inlineStr">
        <is>
          <t>Namwera</t>
        </is>
      </c>
      <c r="C170" s="12" t="inlineStr">
        <is>
          <t>Cost of Chemicals (MWK)</t>
        </is>
      </c>
      <c r="D170" s="22">
        <f>IFERROR(SUMIFS(DataEntry!$AH:$AH,DataEntry!$A:$A,"Mangochi",DataEntry!$B:$B,"Namwera"),"")</f>
        <v/>
      </c>
    </row>
    <row r="171">
      <c r="A171" s="19" t="inlineStr">
        <is>
          <t>Mangochi</t>
        </is>
      </c>
      <c r="B171" s="19" t="inlineStr">
        <is>
          <t>Namwera</t>
        </is>
      </c>
      <c r="C171" s="6" t="inlineStr">
        <is>
          <t>Cost of Power (MWK)</t>
        </is>
      </c>
      <c r="D171" s="20">
        <f>IFERROR(SUMIFS(DataEntry!$AL:$AL,DataEntry!$A:$A,"Mangochi",DataEntry!$B:$B,"Namwera"),"")</f>
        <v/>
      </c>
    </row>
    <row r="172">
      <c r="A172" s="21" t="inlineStr">
        <is>
          <t>Mangochi</t>
        </is>
      </c>
      <c r="B172" s="21" t="inlineStr">
        <is>
          <t>Namwera</t>
        </is>
      </c>
      <c r="C172" s="12" t="inlineStr">
        <is>
          <t>Cost of Fuel (MWK)</t>
        </is>
      </c>
      <c r="D172" s="22">
        <f>IFERROR(SUMIFS(DataEntry!$AP:$AP,DataEntry!$A:$A,"Mangochi",DataEntry!$B:$B,"Namwera"),"")</f>
        <v/>
      </c>
    </row>
    <row r="173">
      <c r="A173" s="19" t="inlineStr">
        <is>
          <t>Mangochi</t>
        </is>
      </c>
      <c r="B173" s="19" t="inlineStr">
        <is>
          <t>Namwera</t>
        </is>
      </c>
      <c r="C173" s="6" t="inlineStr">
        <is>
          <t>Total Operating Costs (MWK)</t>
        </is>
      </c>
      <c r="D173" s="20">
        <f>IFERROR(SUMIFS(DataEntry!$AU:$AU,DataEntry!$A:$A,"Mangochi",DataEntry!$B:$B,"Namwera"),"")</f>
        <v/>
      </c>
    </row>
    <row r="174">
      <c r="A174" s="21" t="inlineStr">
        <is>
          <t>Mangochi</t>
        </is>
      </c>
      <c r="B174" s="21" t="inlineStr">
        <is>
          <t>Namwera</t>
        </is>
      </c>
      <c r="C174" s="12" t="inlineStr">
        <is>
          <t>OpCost per m³ Produced (avg)</t>
        </is>
      </c>
      <c r="D174" s="23">
        <f>IFERROR(AVERAGEIFS(DataEntry!$AV:$AV,DataEntry!$A:$A,"Mangochi",DataEntry!$B:$B,"Namwera"),"")</f>
        <v/>
      </c>
    </row>
    <row r="175">
      <c r="A175" s="19" t="inlineStr">
        <is>
          <t>Mangochi</t>
        </is>
      </c>
      <c r="B175" s="19" t="inlineStr">
        <is>
          <t>Namwera</t>
        </is>
      </c>
      <c r="C175" s="6" t="inlineStr">
        <is>
          <t>Total Cash Collected (MWK)</t>
        </is>
      </c>
      <c r="D175" s="20">
        <f>IFERROR(SUMIFS(DataEntry!$GB:$GB,DataEntry!$A:$A,"Mangochi",DataEntry!$B:$B,"Namwera"),"")</f>
        <v/>
      </c>
    </row>
    <row r="176">
      <c r="A176" s="21" t="inlineStr">
        <is>
          <t>Mangochi</t>
        </is>
      </c>
      <c r="B176" s="21" t="inlineStr">
        <is>
          <t>Namwera</t>
        </is>
      </c>
      <c r="C176" s="12" t="inlineStr">
        <is>
          <t>Total Amount Billed (MWK)</t>
        </is>
      </c>
      <c r="D176" s="22">
        <f>IFERROR(SUMIFS(DataEntry!$GM:$GM,DataEntry!$A:$A,"Mangochi",DataEntry!$B:$B,"Namwera"),"")</f>
        <v/>
      </c>
    </row>
    <row r="177">
      <c r="A177" s="19" t="inlineStr">
        <is>
          <t>Mangochi</t>
        </is>
      </c>
      <c r="B177" s="19" t="inlineStr">
        <is>
          <t>Namwera</t>
        </is>
      </c>
      <c r="C177" s="6" t="inlineStr">
        <is>
          <t>Total Sales (MWK)</t>
        </is>
      </c>
      <c r="D177" s="20">
        <f>IFERROR(SUMIFS(DataEntry!$GX:$GX,DataEntry!$A:$A,"Mangochi",DataEntry!$B:$B,"Namwera"),"")</f>
        <v/>
      </c>
    </row>
    <row r="178">
      <c r="A178" s="21" t="inlineStr">
        <is>
          <t>Mangochi</t>
        </is>
      </c>
      <c r="B178" s="21" t="inlineStr">
        <is>
          <t>Namwera</t>
        </is>
      </c>
      <c r="C178" s="12" t="inlineStr">
        <is>
          <t>Private Debtors (MWK)</t>
        </is>
      </c>
      <c r="D178" s="22">
        <f>IFERROR(SUMIFS(DataEntry!$GY:$GY,DataEntry!$A:$A,"Mangochi",DataEntry!$B:$B,"Namwera"),"")</f>
        <v/>
      </c>
    </row>
    <row r="179">
      <c r="A179" s="19" t="inlineStr">
        <is>
          <t>Mangochi</t>
        </is>
      </c>
      <c r="B179" s="19" t="inlineStr">
        <is>
          <t>Namwera</t>
        </is>
      </c>
      <c r="C179" s="6" t="inlineStr">
        <is>
          <t>Public Debtors (MWK)</t>
        </is>
      </c>
      <c r="D179" s="20">
        <f>IFERROR(SUMIFS(DataEntry!$GZ:$GZ,DataEntry!$A:$A,"Mangochi",DataEntry!$B:$B,"Namwera"),"")</f>
        <v/>
      </c>
    </row>
    <row r="180">
      <c r="A180" s="21" t="inlineStr">
        <is>
          <t>Mangochi</t>
        </is>
      </c>
      <c r="B180" s="21" t="inlineStr">
        <is>
          <t>Namwera</t>
        </is>
      </c>
      <c r="C180" s="12" t="inlineStr">
        <is>
          <t>Total Debtors (MWK)</t>
        </is>
      </c>
      <c r="D180" s="22">
        <f>IFERROR(SUMIFS(DataEntry!$HA:$HA,DataEntry!$A:$A,"Mangochi",DataEntry!$B:$B,"Namwera"),"")</f>
        <v/>
      </c>
    </row>
    <row r="181">
      <c r="A181" s="19" t="inlineStr">
        <is>
          <t>Mangochi</t>
        </is>
      </c>
      <c r="B181" s="19" t="inlineStr">
        <is>
          <t>Namwera</t>
        </is>
      </c>
      <c r="C181" s="6" t="inlineStr">
        <is>
          <t>Cash Collection Rate (avg)</t>
        </is>
      </c>
      <c r="D181" s="24">
        <f>IFERROR(AVERAGEIFS(DataEntry!$HC:$HC,DataEntry!$A:$A,"Mangochi",DataEntry!$B:$B,"Namwera"),"")</f>
        <v/>
      </c>
    </row>
    <row r="182">
      <c r="A182" s="21" t="inlineStr">
        <is>
          <t>Mangochi</t>
        </is>
      </c>
      <c r="B182" s="21" t="inlineStr">
        <is>
          <t>Namwera</t>
        </is>
      </c>
      <c r="C182" s="12" t="inlineStr">
        <is>
          <t>OpCost / Sales (avg)</t>
        </is>
      </c>
      <c r="D182" s="23">
        <f>IFERROR(AVERAGEIFS(DataEntry!$HB:$HB,DataEntry!$A:$A,"Mangochi",DataEntry!$B:$B,"Namwera"),"")</f>
        <v/>
      </c>
    </row>
    <row r="183">
      <c r="A183" s="19" t="inlineStr">
        <is>
          <t>Mangochi</t>
        </is>
      </c>
      <c r="B183" s="19" t="inlineStr">
        <is>
          <t>Namwera</t>
        </is>
      </c>
      <c r="C183" s="6" t="inlineStr">
        <is>
          <t>Total Active Customers (end)</t>
        </is>
      </c>
      <c r="D183" s="20">
        <f>IFERROR(SUMIFS(DataEntry!$CS:$CS,DataEntry!$A:$A,"Mangochi",DataEntry!$B:$B,"Namwera"),"")</f>
        <v/>
      </c>
    </row>
    <row r="184">
      <c r="A184" s="21" t="inlineStr">
        <is>
          <t>Mangochi</t>
        </is>
      </c>
      <c r="B184" s="21" t="inlineStr">
        <is>
          <t>Namwera</t>
        </is>
      </c>
      <c r="C184" s="12" t="inlineStr">
        <is>
          <t>Total Metered Consumers (end)</t>
        </is>
      </c>
      <c r="D184" s="22">
        <f>IFERROR(SUMIFS(DataEntry!$CT:$CT,DataEntry!$A:$A,"Mangochi",DataEntry!$B:$B,"Namwera"),"")</f>
        <v/>
      </c>
    </row>
    <row r="185">
      <c r="A185" s="19" t="inlineStr">
        <is>
          <t>Mangochi</t>
        </is>
      </c>
      <c r="B185" s="19" t="inlineStr">
        <is>
          <t>Namwera</t>
        </is>
      </c>
      <c r="C185" s="6" t="inlineStr">
        <is>
          <t>Population Supplied (end)</t>
        </is>
      </c>
      <c r="D185" s="20">
        <f>IFERROR(SUMIFS(DataEntry!$CV:$CV,DataEntry!$A:$A,"Mangochi",DataEntry!$B:$B,"Namwera"),"")</f>
        <v/>
      </c>
    </row>
    <row r="186">
      <c r="A186" s="21" t="inlineStr">
        <is>
          <t>Mangochi</t>
        </is>
      </c>
      <c r="B186" s="21" t="inlineStr">
        <is>
          <t>Namwera</t>
        </is>
      </c>
      <c r="C186" s="12" t="inlineStr">
        <is>
          <t>% Population Supplied (avg)</t>
        </is>
      </c>
      <c r="D186" s="23">
        <f>IFERROR(AVERAGEIFS(DataEntry!$CW:$CW,DataEntry!$A:$A,"Mangochi",DataEntry!$B:$B,"Namwera"),"")</f>
        <v/>
      </c>
    </row>
    <row r="187">
      <c r="A187" s="19" t="inlineStr">
        <is>
          <t>Mangochi</t>
        </is>
      </c>
      <c r="B187" s="19" t="inlineStr">
        <is>
          <t>Namwera</t>
        </is>
      </c>
      <c r="C187" s="6" t="inlineStr">
        <is>
          <t>New Connections Total Done</t>
        </is>
      </c>
      <c r="D187" s="20">
        <f>IFERROR(SUMIFS(DataEntry!$CA:$CA,DataEntry!$A:$A,"Mangochi",DataEntry!$B:$B,"Namwera"),"")</f>
        <v/>
      </c>
    </row>
    <row r="188">
      <c r="A188" s="21" t="inlineStr">
        <is>
          <t>Mangochi</t>
        </is>
      </c>
      <c r="B188" s="21" t="inlineStr">
        <is>
          <t>Namwera</t>
        </is>
      </c>
      <c r="C188" s="12" t="inlineStr">
        <is>
          <t>Stuck Meters Carried Fwd</t>
        </is>
      </c>
      <c r="D188" s="22">
        <f>IFERROR(SUMIFS(DataEntry!$DV:$DV,DataEntry!$A:$A,"Mangochi",DataEntry!$B:$B,"Namwera"),"")</f>
        <v/>
      </c>
    </row>
    <row r="189">
      <c r="A189" s="19" t="inlineStr">
        <is>
          <t>Mangochi</t>
        </is>
      </c>
      <c r="B189" s="19" t="inlineStr">
        <is>
          <t>Namwera</t>
        </is>
      </c>
      <c r="C189" s="6" t="inlineStr">
        <is>
          <t>Total Pipe Breakdowns</t>
        </is>
      </c>
      <c r="D189" s="20">
        <f>IFERROR(SUMIFS(DataEntry!$FG:$FG,DataEntry!$A:$A,"Mangochi",DataEntry!$B:$B,"Namwera"),"")</f>
        <v/>
      </c>
    </row>
    <row r="190">
      <c r="A190" s="21" t="inlineStr">
        <is>
          <t>Mangochi</t>
        </is>
      </c>
      <c r="B190" s="21" t="inlineStr">
        <is>
          <t>Namwera</t>
        </is>
      </c>
      <c r="C190" s="12" t="inlineStr">
        <is>
          <t>Connectivity Rate (avg)</t>
        </is>
      </c>
      <c r="D190" s="23">
        <f>IFERROR(AVERAGEIFS(DataEntry!$HK:$HK,DataEntry!$A:$A,"Mangochi",DataEntry!$B:$B,"Namwera"),"")</f>
        <v/>
      </c>
    </row>
    <row r="191">
      <c r="A191" s="19" t="inlineStr">
        <is>
          <t>Mangochi</t>
        </is>
      </c>
      <c r="B191" s="19" t="inlineStr">
        <is>
          <t>Namwera</t>
        </is>
      </c>
      <c r="C191" s="6" t="inlineStr">
        <is>
          <t>Response Time avg (days)</t>
        </is>
      </c>
      <c r="D191" s="24">
        <f>IFERROR(AVERAGEIFS(DataEntry!$HN:$HN,DataEntry!$A:$A,"Mangochi",DataEntry!$B:$B,"Namwera"),"")</f>
        <v/>
      </c>
    </row>
    <row r="192">
      <c r="A192" s="21" t="inlineStr">
        <is>
          <t>Mangochi</t>
        </is>
      </c>
      <c r="B192" s="21" t="inlineStr">
        <is>
          <t>Nkhudzi</t>
        </is>
      </c>
      <c r="C192" s="12" t="inlineStr">
        <is>
          <t>Volume Produced (m³)</t>
        </is>
      </c>
      <c r="D192" s="22">
        <f>IFERROR(SUMIFS(DataEntry!$H:$H,DataEntry!$A:$A,"Mangochi",DataEntry!$B:$B,"Nkhudzi"),"")</f>
        <v/>
      </c>
    </row>
    <row r="193">
      <c r="A193" s="19" t="inlineStr">
        <is>
          <t>Mangochi</t>
        </is>
      </c>
      <c r="B193" s="19" t="inlineStr">
        <is>
          <t>Nkhudzi</t>
        </is>
      </c>
      <c r="C193" s="6" t="inlineStr">
        <is>
          <t>Total Revenue Water (m³)</t>
        </is>
      </c>
      <c r="D193" s="20">
        <f>IFERROR(SUMIFS(DataEntry!$S:$S,DataEntry!$A:$A,"Mangochi",DataEntry!$B:$B,"Nkhudzi"),"")</f>
        <v/>
      </c>
    </row>
    <row r="194">
      <c r="A194" s="21" t="inlineStr">
        <is>
          <t>Mangochi</t>
        </is>
      </c>
      <c r="B194" s="21" t="inlineStr">
        <is>
          <t>Nkhudzi</t>
        </is>
      </c>
      <c r="C194" s="12" t="inlineStr">
        <is>
          <t>Non-Revenue Water (m³)</t>
        </is>
      </c>
      <c r="D194" s="22">
        <f>IFERROR(SUMIFS(DataEntry!$T:$T,DataEntry!$A:$A,"Mangochi",DataEntry!$B:$B,"Nkhudzi"),"")</f>
        <v/>
      </c>
    </row>
    <row r="195">
      <c r="A195" s="19" t="inlineStr">
        <is>
          <t>Mangochi</t>
        </is>
      </c>
      <c r="B195" s="19" t="inlineStr">
        <is>
          <t>Nkhudzi</t>
        </is>
      </c>
      <c r="C195" s="6" t="inlineStr">
        <is>
          <t>% NRW (avg)</t>
        </is>
      </c>
      <c r="D195" s="24">
        <f>IFERROR(AVERAGEIFS(DataEntry!$U:$U,DataEntry!$A:$A,"Mangochi",DataEntry!$B:$B,"Nkhudzi"),"")</f>
        <v/>
      </c>
    </row>
    <row r="196">
      <c r="A196" s="21" t="inlineStr">
        <is>
          <t>Mangochi</t>
        </is>
      </c>
      <c r="B196" s="21" t="inlineStr">
        <is>
          <t>Nkhudzi</t>
        </is>
      </c>
      <c r="C196" s="12" t="inlineStr">
        <is>
          <t>Chlorine Used (kg)</t>
        </is>
      </c>
      <c r="D196" s="22">
        <f>IFERROR(SUMIFS(DataEntry!$V:$V,DataEntry!$A:$A,"Mangochi",DataEntry!$B:$B,"Nkhudzi"),"")</f>
        <v/>
      </c>
    </row>
    <row r="197">
      <c r="A197" s="19" t="inlineStr">
        <is>
          <t>Mangochi</t>
        </is>
      </c>
      <c r="B197" s="19" t="inlineStr">
        <is>
          <t>Nkhudzi</t>
        </is>
      </c>
      <c r="C197" s="6" t="inlineStr">
        <is>
          <t>Cost of Chemicals (MWK)</t>
        </is>
      </c>
      <c r="D197" s="20">
        <f>IFERROR(SUMIFS(DataEntry!$AH:$AH,DataEntry!$A:$A,"Mangochi",DataEntry!$B:$B,"Nkhudzi"),"")</f>
        <v/>
      </c>
    </row>
    <row r="198">
      <c r="A198" s="21" t="inlineStr">
        <is>
          <t>Mangochi</t>
        </is>
      </c>
      <c r="B198" s="21" t="inlineStr">
        <is>
          <t>Nkhudzi</t>
        </is>
      </c>
      <c r="C198" s="12" t="inlineStr">
        <is>
          <t>Cost of Power (MWK)</t>
        </is>
      </c>
      <c r="D198" s="22">
        <f>IFERROR(SUMIFS(DataEntry!$AL:$AL,DataEntry!$A:$A,"Mangochi",DataEntry!$B:$B,"Nkhudzi"),"")</f>
        <v/>
      </c>
    </row>
    <row r="199">
      <c r="A199" s="19" t="inlineStr">
        <is>
          <t>Mangochi</t>
        </is>
      </c>
      <c r="B199" s="19" t="inlineStr">
        <is>
          <t>Nkhudzi</t>
        </is>
      </c>
      <c r="C199" s="6" t="inlineStr">
        <is>
          <t>Cost of Fuel (MWK)</t>
        </is>
      </c>
      <c r="D199" s="20">
        <f>IFERROR(SUMIFS(DataEntry!$AP:$AP,DataEntry!$A:$A,"Mangochi",DataEntry!$B:$B,"Nkhudzi"),"")</f>
        <v/>
      </c>
    </row>
    <row r="200">
      <c r="A200" s="21" t="inlineStr">
        <is>
          <t>Mangochi</t>
        </is>
      </c>
      <c r="B200" s="21" t="inlineStr">
        <is>
          <t>Nkhudzi</t>
        </is>
      </c>
      <c r="C200" s="12" t="inlineStr">
        <is>
          <t>Total Operating Costs (MWK)</t>
        </is>
      </c>
      <c r="D200" s="22">
        <f>IFERROR(SUMIFS(DataEntry!$AU:$AU,DataEntry!$A:$A,"Mangochi",DataEntry!$B:$B,"Nkhudzi"),"")</f>
        <v/>
      </c>
    </row>
    <row r="201">
      <c r="A201" s="19" t="inlineStr">
        <is>
          <t>Mangochi</t>
        </is>
      </c>
      <c r="B201" s="19" t="inlineStr">
        <is>
          <t>Nkhudzi</t>
        </is>
      </c>
      <c r="C201" s="6" t="inlineStr">
        <is>
          <t>OpCost per m³ Produced (avg)</t>
        </is>
      </c>
      <c r="D201" s="24">
        <f>IFERROR(AVERAGEIFS(DataEntry!$AV:$AV,DataEntry!$A:$A,"Mangochi",DataEntry!$B:$B,"Nkhudzi"),"")</f>
        <v/>
      </c>
    </row>
    <row r="202">
      <c r="A202" s="21" t="inlineStr">
        <is>
          <t>Mangochi</t>
        </is>
      </c>
      <c r="B202" s="21" t="inlineStr">
        <is>
          <t>Nkhudzi</t>
        </is>
      </c>
      <c r="C202" s="12" t="inlineStr">
        <is>
          <t>Total Cash Collected (MWK)</t>
        </is>
      </c>
      <c r="D202" s="22">
        <f>IFERROR(SUMIFS(DataEntry!$GB:$GB,DataEntry!$A:$A,"Mangochi",DataEntry!$B:$B,"Nkhudzi"),"")</f>
        <v/>
      </c>
    </row>
    <row r="203">
      <c r="A203" s="19" t="inlineStr">
        <is>
          <t>Mangochi</t>
        </is>
      </c>
      <c r="B203" s="19" t="inlineStr">
        <is>
          <t>Nkhudzi</t>
        </is>
      </c>
      <c r="C203" s="6" t="inlineStr">
        <is>
          <t>Total Amount Billed (MWK)</t>
        </is>
      </c>
      <c r="D203" s="20">
        <f>IFERROR(SUMIFS(DataEntry!$GM:$GM,DataEntry!$A:$A,"Mangochi",DataEntry!$B:$B,"Nkhudzi"),"")</f>
        <v/>
      </c>
    </row>
    <row r="204">
      <c r="A204" s="21" t="inlineStr">
        <is>
          <t>Mangochi</t>
        </is>
      </c>
      <c r="B204" s="21" t="inlineStr">
        <is>
          <t>Nkhudzi</t>
        </is>
      </c>
      <c r="C204" s="12" t="inlineStr">
        <is>
          <t>Total Sales (MWK)</t>
        </is>
      </c>
      <c r="D204" s="22">
        <f>IFERROR(SUMIFS(DataEntry!$GX:$GX,DataEntry!$A:$A,"Mangochi",DataEntry!$B:$B,"Nkhudzi"),"")</f>
        <v/>
      </c>
    </row>
    <row r="205">
      <c r="A205" s="19" t="inlineStr">
        <is>
          <t>Mangochi</t>
        </is>
      </c>
      <c r="B205" s="19" t="inlineStr">
        <is>
          <t>Nkhudzi</t>
        </is>
      </c>
      <c r="C205" s="6" t="inlineStr">
        <is>
          <t>Private Debtors (MWK)</t>
        </is>
      </c>
      <c r="D205" s="20">
        <f>IFERROR(SUMIFS(DataEntry!$GY:$GY,DataEntry!$A:$A,"Mangochi",DataEntry!$B:$B,"Nkhudzi"),"")</f>
        <v/>
      </c>
    </row>
    <row r="206">
      <c r="A206" s="21" t="inlineStr">
        <is>
          <t>Mangochi</t>
        </is>
      </c>
      <c r="B206" s="21" t="inlineStr">
        <is>
          <t>Nkhudzi</t>
        </is>
      </c>
      <c r="C206" s="12" t="inlineStr">
        <is>
          <t>Public Debtors (MWK)</t>
        </is>
      </c>
      <c r="D206" s="22">
        <f>IFERROR(SUMIFS(DataEntry!$GZ:$GZ,DataEntry!$A:$A,"Mangochi",DataEntry!$B:$B,"Nkhudzi"),"")</f>
        <v/>
      </c>
    </row>
    <row r="207">
      <c r="A207" s="19" t="inlineStr">
        <is>
          <t>Mangochi</t>
        </is>
      </c>
      <c r="B207" s="19" t="inlineStr">
        <is>
          <t>Nkhudzi</t>
        </is>
      </c>
      <c r="C207" s="6" t="inlineStr">
        <is>
          <t>Total Debtors (MWK)</t>
        </is>
      </c>
      <c r="D207" s="20">
        <f>IFERROR(SUMIFS(DataEntry!$HA:$HA,DataEntry!$A:$A,"Mangochi",DataEntry!$B:$B,"Nkhudzi"),"")</f>
        <v/>
      </c>
    </row>
    <row r="208">
      <c r="A208" s="21" t="inlineStr">
        <is>
          <t>Mangochi</t>
        </is>
      </c>
      <c r="B208" s="21" t="inlineStr">
        <is>
          <t>Nkhudzi</t>
        </is>
      </c>
      <c r="C208" s="12" t="inlineStr">
        <is>
          <t>Cash Collection Rate (avg)</t>
        </is>
      </c>
      <c r="D208" s="23">
        <f>IFERROR(AVERAGEIFS(DataEntry!$HC:$HC,DataEntry!$A:$A,"Mangochi",DataEntry!$B:$B,"Nkhudzi"),"")</f>
        <v/>
      </c>
    </row>
    <row r="209">
      <c r="A209" s="19" t="inlineStr">
        <is>
          <t>Mangochi</t>
        </is>
      </c>
      <c r="B209" s="19" t="inlineStr">
        <is>
          <t>Nkhudzi</t>
        </is>
      </c>
      <c r="C209" s="6" t="inlineStr">
        <is>
          <t>OpCost / Sales (avg)</t>
        </is>
      </c>
      <c r="D209" s="24">
        <f>IFERROR(AVERAGEIFS(DataEntry!$HB:$HB,DataEntry!$A:$A,"Mangochi",DataEntry!$B:$B,"Nkhudzi"),"")</f>
        <v/>
      </c>
    </row>
    <row r="210">
      <c r="A210" s="21" t="inlineStr">
        <is>
          <t>Mangochi</t>
        </is>
      </c>
      <c r="B210" s="21" t="inlineStr">
        <is>
          <t>Nkhudzi</t>
        </is>
      </c>
      <c r="C210" s="12" t="inlineStr">
        <is>
          <t>Total Active Customers (end)</t>
        </is>
      </c>
      <c r="D210" s="22">
        <f>IFERROR(SUMIFS(DataEntry!$CS:$CS,DataEntry!$A:$A,"Mangochi",DataEntry!$B:$B,"Nkhudzi"),"")</f>
        <v/>
      </c>
    </row>
    <row r="211">
      <c r="A211" s="19" t="inlineStr">
        <is>
          <t>Mangochi</t>
        </is>
      </c>
      <c r="B211" s="19" t="inlineStr">
        <is>
          <t>Nkhudzi</t>
        </is>
      </c>
      <c r="C211" s="6" t="inlineStr">
        <is>
          <t>Total Metered Consumers (end)</t>
        </is>
      </c>
      <c r="D211" s="20">
        <f>IFERROR(SUMIFS(DataEntry!$CT:$CT,DataEntry!$A:$A,"Mangochi",DataEntry!$B:$B,"Nkhudzi"),"")</f>
        <v/>
      </c>
    </row>
    <row r="212">
      <c r="A212" s="21" t="inlineStr">
        <is>
          <t>Mangochi</t>
        </is>
      </c>
      <c r="B212" s="21" t="inlineStr">
        <is>
          <t>Nkhudzi</t>
        </is>
      </c>
      <c r="C212" s="12" t="inlineStr">
        <is>
          <t>Population Supplied (end)</t>
        </is>
      </c>
      <c r="D212" s="22">
        <f>IFERROR(SUMIFS(DataEntry!$CV:$CV,DataEntry!$A:$A,"Mangochi",DataEntry!$B:$B,"Nkhudzi"),"")</f>
        <v/>
      </c>
    </row>
    <row r="213">
      <c r="A213" s="19" t="inlineStr">
        <is>
          <t>Mangochi</t>
        </is>
      </c>
      <c r="B213" s="19" t="inlineStr">
        <is>
          <t>Nkhudzi</t>
        </is>
      </c>
      <c r="C213" s="6" t="inlineStr">
        <is>
          <t>% Population Supplied (avg)</t>
        </is>
      </c>
      <c r="D213" s="24">
        <f>IFERROR(AVERAGEIFS(DataEntry!$CW:$CW,DataEntry!$A:$A,"Mangochi",DataEntry!$B:$B,"Nkhudzi"),"")</f>
        <v/>
      </c>
    </row>
    <row r="214">
      <c r="A214" s="21" t="inlineStr">
        <is>
          <t>Mangochi</t>
        </is>
      </c>
      <c r="B214" s="21" t="inlineStr">
        <is>
          <t>Nkhudzi</t>
        </is>
      </c>
      <c r="C214" s="12" t="inlineStr">
        <is>
          <t>New Connections Total Done</t>
        </is>
      </c>
      <c r="D214" s="22">
        <f>IFERROR(SUMIFS(DataEntry!$CA:$CA,DataEntry!$A:$A,"Mangochi",DataEntry!$B:$B,"Nkhudzi"),"")</f>
        <v/>
      </c>
    </row>
    <row r="215">
      <c r="A215" s="19" t="inlineStr">
        <is>
          <t>Mangochi</t>
        </is>
      </c>
      <c r="B215" s="19" t="inlineStr">
        <is>
          <t>Nkhudzi</t>
        </is>
      </c>
      <c r="C215" s="6" t="inlineStr">
        <is>
          <t>Stuck Meters Carried Fwd</t>
        </is>
      </c>
      <c r="D215" s="20">
        <f>IFERROR(SUMIFS(DataEntry!$DV:$DV,DataEntry!$A:$A,"Mangochi",DataEntry!$B:$B,"Nkhudzi"),"")</f>
        <v/>
      </c>
    </row>
    <row r="216">
      <c r="A216" s="21" t="inlineStr">
        <is>
          <t>Mangochi</t>
        </is>
      </c>
      <c r="B216" s="21" t="inlineStr">
        <is>
          <t>Nkhudzi</t>
        </is>
      </c>
      <c r="C216" s="12" t="inlineStr">
        <is>
          <t>Total Pipe Breakdowns</t>
        </is>
      </c>
      <c r="D216" s="22">
        <f>IFERROR(SUMIFS(DataEntry!$FG:$FG,DataEntry!$A:$A,"Mangochi",DataEntry!$B:$B,"Nkhudzi"),"")</f>
        <v/>
      </c>
    </row>
    <row r="217">
      <c r="A217" s="19" t="inlineStr">
        <is>
          <t>Mangochi</t>
        </is>
      </c>
      <c r="B217" s="19" t="inlineStr">
        <is>
          <t>Nkhudzi</t>
        </is>
      </c>
      <c r="C217" s="6" t="inlineStr">
        <is>
          <t>Connectivity Rate (avg)</t>
        </is>
      </c>
      <c r="D217" s="24">
        <f>IFERROR(AVERAGEIFS(DataEntry!$HK:$HK,DataEntry!$A:$A,"Mangochi",DataEntry!$B:$B,"Nkhudzi"),"")</f>
        <v/>
      </c>
    </row>
    <row r="218">
      <c r="A218" s="21" t="inlineStr">
        <is>
          <t>Mangochi</t>
        </is>
      </c>
      <c r="B218" s="21" t="inlineStr">
        <is>
          <t>Nkhudzi</t>
        </is>
      </c>
      <c r="C218" s="12" t="inlineStr">
        <is>
          <t>Response Time avg (days)</t>
        </is>
      </c>
      <c r="D218" s="23">
        <f>IFERROR(AVERAGEIFS(DataEntry!$HN:$HN,DataEntry!$A:$A,"Mangochi",DataEntry!$B:$B,"Nkhudzi"),"")</f>
        <v/>
      </c>
    </row>
    <row r="219">
      <c r="A219" s="19" t="inlineStr">
        <is>
          <t>Mulanje</t>
        </is>
      </c>
      <c r="B219" s="19" t="inlineStr">
        <is>
          <t>Luchenza</t>
        </is>
      </c>
      <c r="C219" s="6" t="inlineStr">
        <is>
          <t>Volume Produced (m³)</t>
        </is>
      </c>
      <c r="D219" s="20">
        <f>IFERROR(SUMIFS(DataEntry!$H:$H,DataEntry!$A:$A,"Mulanje",DataEntry!$B:$B,"Luchenza"),"")</f>
        <v/>
      </c>
    </row>
    <row r="220">
      <c r="A220" s="21" t="inlineStr">
        <is>
          <t>Mulanje</t>
        </is>
      </c>
      <c r="B220" s="21" t="inlineStr">
        <is>
          <t>Luchenza</t>
        </is>
      </c>
      <c r="C220" s="12" t="inlineStr">
        <is>
          <t>Total Revenue Water (m³)</t>
        </is>
      </c>
      <c r="D220" s="22">
        <f>IFERROR(SUMIFS(DataEntry!$S:$S,DataEntry!$A:$A,"Mulanje",DataEntry!$B:$B,"Luchenza"),"")</f>
        <v/>
      </c>
    </row>
    <row r="221">
      <c r="A221" s="19" t="inlineStr">
        <is>
          <t>Mulanje</t>
        </is>
      </c>
      <c r="B221" s="19" t="inlineStr">
        <is>
          <t>Luchenza</t>
        </is>
      </c>
      <c r="C221" s="6" t="inlineStr">
        <is>
          <t>Non-Revenue Water (m³)</t>
        </is>
      </c>
      <c r="D221" s="20">
        <f>IFERROR(SUMIFS(DataEntry!$T:$T,DataEntry!$A:$A,"Mulanje",DataEntry!$B:$B,"Luchenza"),"")</f>
        <v/>
      </c>
    </row>
    <row r="222">
      <c r="A222" s="21" t="inlineStr">
        <is>
          <t>Mulanje</t>
        </is>
      </c>
      <c r="B222" s="21" t="inlineStr">
        <is>
          <t>Luchenza</t>
        </is>
      </c>
      <c r="C222" s="12" t="inlineStr">
        <is>
          <t>% NRW (avg)</t>
        </is>
      </c>
      <c r="D222" s="23">
        <f>IFERROR(AVERAGEIFS(DataEntry!$U:$U,DataEntry!$A:$A,"Mulanje",DataEntry!$B:$B,"Luchenza"),"")</f>
        <v/>
      </c>
    </row>
    <row r="223">
      <c r="A223" s="19" t="inlineStr">
        <is>
          <t>Mulanje</t>
        </is>
      </c>
      <c r="B223" s="19" t="inlineStr">
        <is>
          <t>Luchenza</t>
        </is>
      </c>
      <c r="C223" s="6" t="inlineStr">
        <is>
          <t>Chlorine Used (kg)</t>
        </is>
      </c>
      <c r="D223" s="20">
        <f>IFERROR(SUMIFS(DataEntry!$V:$V,DataEntry!$A:$A,"Mulanje",DataEntry!$B:$B,"Luchenza"),"")</f>
        <v/>
      </c>
    </row>
    <row r="224">
      <c r="A224" s="21" t="inlineStr">
        <is>
          <t>Mulanje</t>
        </is>
      </c>
      <c r="B224" s="21" t="inlineStr">
        <is>
          <t>Luchenza</t>
        </is>
      </c>
      <c r="C224" s="12" t="inlineStr">
        <is>
          <t>Cost of Chemicals (MWK)</t>
        </is>
      </c>
      <c r="D224" s="22">
        <f>IFERROR(SUMIFS(DataEntry!$AH:$AH,DataEntry!$A:$A,"Mulanje",DataEntry!$B:$B,"Luchenza"),"")</f>
        <v/>
      </c>
    </row>
    <row r="225">
      <c r="A225" s="19" t="inlineStr">
        <is>
          <t>Mulanje</t>
        </is>
      </c>
      <c r="B225" s="19" t="inlineStr">
        <is>
          <t>Luchenza</t>
        </is>
      </c>
      <c r="C225" s="6" t="inlineStr">
        <is>
          <t>Cost of Power (MWK)</t>
        </is>
      </c>
      <c r="D225" s="20">
        <f>IFERROR(SUMIFS(DataEntry!$AL:$AL,DataEntry!$A:$A,"Mulanje",DataEntry!$B:$B,"Luchenza"),"")</f>
        <v/>
      </c>
    </row>
    <row r="226">
      <c r="A226" s="21" t="inlineStr">
        <is>
          <t>Mulanje</t>
        </is>
      </c>
      <c r="B226" s="21" t="inlineStr">
        <is>
          <t>Luchenza</t>
        </is>
      </c>
      <c r="C226" s="12" t="inlineStr">
        <is>
          <t>Cost of Fuel (MWK)</t>
        </is>
      </c>
      <c r="D226" s="22">
        <f>IFERROR(SUMIFS(DataEntry!$AP:$AP,DataEntry!$A:$A,"Mulanje",DataEntry!$B:$B,"Luchenza"),"")</f>
        <v/>
      </c>
    </row>
    <row r="227">
      <c r="A227" s="19" t="inlineStr">
        <is>
          <t>Mulanje</t>
        </is>
      </c>
      <c r="B227" s="19" t="inlineStr">
        <is>
          <t>Luchenza</t>
        </is>
      </c>
      <c r="C227" s="6" t="inlineStr">
        <is>
          <t>Total Operating Costs (MWK)</t>
        </is>
      </c>
      <c r="D227" s="20">
        <f>IFERROR(SUMIFS(DataEntry!$AU:$AU,DataEntry!$A:$A,"Mulanje",DataEntry!$B:$B,"Luchenza"),"")</f>
        <v/>
      </c>
    </row>
    <row r="228">
      <c r="A228" s="21" t="inlineStr">
        <is>
          <t>Mulanje</t>
        </is>
      </c>
      <c r="B228" s="21" t="inlineStr">
        <is>
          <t>Luchenza</t>
        </is>
      </c>
      <c r="C228" s="12" t="inlineStr">
        <is>
          <t>OpCost per m³ Produced (avg)</t>
        </is>
      </c>
      <c r="D228" s="23">
        <f>IFERROR(AVERAGEIFS(DataEntry!$AV:$AV,DataEntry!$A:$A,"Mulanje",DataEntry!$B:$B,"Luchenza"),"")</f>
        <v/>
      </c>
    </row>
    <row r="229">
      <c r="A229" s="19" t="inlineStr">
        <is>
          <t>Mulanje</t>
        </is>
      </c>
      <c r="B229" s="19" t="inlineStr">
        <is>
          <t>Luchenza</t>
        </is>
      </c>
      <c r="C229" s="6" t="inlineStr">
        <is>
          <t>Total Cash Collected (MWK)</t>
        </is>
      </c>
      <c r="D229" s="20">
        <f>IFERROR(SUMIFS(DataEntry!$GB:$GB,DataEntry!$A:$A,"Mulanje",DataEntry!$B:$B,"Luchenza"),"")</f>
        <v/>
      </c>
    </row>
    <row r="230">
      <c r="A230" s="21" t="inlineStr">
        <is>
          <t>Mulanje</t>
        </is>
      </c>
      <c r="B230" s="21" t="inlineStr">
        <is>
          <t>Luchenza</t>
        </is>
      </c>
      <c r="C230" s="12" t="inlineStr">
        <is>
          <t>Total Amount Billed (MWK)</t>
        </is>
      </c>
      <c r="D230" s="22">
        <f>IFERROR(SUMIFS(DataEntry!$GM:$GM,DataEntry!$A:$A,"Mulanje",DataEntry!$B:$B,"Luchenza"),"")</f>
        <v/>
      </c>
    </row>
    <row r="231">
      <c r="A231" s="19" t="inlineStr">
        <is>
          <t>Mulanje</t>
        </is>
      </c>
      <c r="B231" s="19" t="inlineStr">
        <is>
          <t>Luchenza</t>
        </is>
      </c>
      <c r="C231" s="6" t="inlineStr">
        <is>
          <t>Total Sales (MWK)</t>
        </is>
      </c>
      <c r="D231" s="20">
        <f>IFERROR(SUMIFS(DataEntry!$GX:$GX,DataEntry!$A:$A,"Mulanje",DataEntry!$B:$B,"Luchenza"),"")</f>
        <v/>
      </c>
    </row>
    <row r="232">
      <c r="A232" s="21" t="inlineStr">
        <is>
          <t>Mulanje</t>
        </is>
      </c>
      <c r="B232" s="21" t="inlineStr">
        <is>
          <t>Luchenza</t>
        </is>
      </c>
      <c r="C232" s="12" t="inlineStr">
        <is>
          <t>Private Debtors (MWK)</t>
        </is>
      </c>
      <c r="D232" s="22">
        <f>IFERROR(SUMIFS(DataEntry!$GY:$GY,DataEntry!$A:$A,"Mulanje",DataEntry!$B:$B,"Luchenza"),"")</f>
        <v/>
      </c>
    </row>
    <row r="233">
      <c r="A233" s="19" t="inlineStr">
        <is>
          <t>Mulanje</t>
        </is>
      </c>
      <c r="B233" s="19" t="inlineStr">
        <is>
          <t>Luchenza</t>
        </is>
      </c>
      <c r="C233" s="6" t="inlineStr">
        <is>
          <t>Public Debtors (MWK)</t>
        </is>
      </c>
      <c r="D233" s="20">
        <f>IFERROR(SUMIFS(DataEntry!$GZ:$GZ,DataEntry!$A:$A,"Mulanje",DataEntry!$B:$B,"Luchenza"),"")</f>
        <v/>
      </c>
    </row>
    <row r="234">
      <c r="A234" s="21" t="inlineStr">
        <is>
          <t>Mulanje</t>
        </is>
      </c>
      <c r="B234" s="21" t="inlineStr">
        <is>
          <t>Luchenza</t>
        </is>
      </c>
      <c r="C234" s="12" t="inlineStr">
        <is>
          <t>Total Debtors (MWK)</t>
        </is>
      </c>
      <c r="D234" s="22">
        <f>IFERROR(SUMIFS(DataEntry!$HA:$HA,DataEntry!$A:$A,"Mulanje",DataEntry!$B:$B,"Luchenza"),"")</f>
        <v/>
      </c>
    </row>
    <row r="235">
      <c r="A235" s="19" t="inlineStr">
        <is>
          <t>Mulanje</t>
        </is>
      </c>
      <c r="B235" s="19" t="inlineStr">
        <is>
          <t>Luchenza</t>
        </is>
      </c>
      <c r="C235" s="6" t="inlineStr">
        <is>
          <t>Cash Collection Rate (avg)</t>
        </is>
      </c>
      <c r="D235" s="24">
        <f>IFERROR(AVERAGEIFS(DataEntry!$HC:$HC,DataEntry!$A:$A,"Mulanje",DataEntry!$B:$B,"Luchenza"),"")</f>
        <v/>
      </c>
    </row>
    <row r="236">
      <c r="A236" s="21" t="inlineStr">
        <is>
          <t>Mulanje</t>
        </is>
      </c>
      <c r="B236" s="21" t="inlineStr">
        <is>
          <t>Luchenza</t>
        </is>
      </c>
      <c r="C236" s="12" t="inlineStr">
        <is>
          <t>OpCost / Sales (avg)</t>
        </is>
      </c>
      <c r="D236" s="23">
        <f>IFERROR(AVERAGEIFS(DataEntry!$HB:$HB,DataEntry!$A:$A,"Mulanje",DataEntry!$B:$B,"Luchenza"),"")</f>
        <v/>
      </c>
    </row>
    <row r="237">
      <c r="A237" s="19" t="inlineStr">
        <is>
          <t>Mulanje</t>
        </is>
      </c>
      <c r="B237" s="19" t="inlineStr">
        <is>
          <t>Luchenza</t>
        </is>
      </c>
      <c r="C237" s="6" t="inlineStr">
        <is>
          <t>Total Active Customers (end)</t>
        </is>
      </c>
      <c r="D237" s="20">
        <f>IFERROR(SUMIFS(DataEntry!$CS:$CS,DataEntry!$A:$A,"Mulanje",DataEntry!$B:$B,"Luchenza"),"")</f>
        <v/>
      </c>
    </row>
    <row r="238">
      <c r="A238" s="21" t="inlineStr">
        <is>
          <t>Mulanje</t>
        </is>
      </c>
      <c r="B238" s="21" t="inlineStr">
        <is>
          <t>Luchenza</t>
        </is>
      </c>
      <c r="C238" s="12" t="inlineStr">
        <is>
          <t>Total Metered Consumers (end)</t>
        </is>
      </c>
      <c r="D238" s="22">
        <f>IFERROR(SUMIFS(DataEntry!$CT:$CT,DataEntry!$A:$A,"Mulanje",DataEntry!$B:$B,"Luchenza"),"")</f>
        <v/>
      </c>
    </row>
    <row r="239">
      <c r="A239" s="19" t="inlineStr">
        <is>
          <t>Mulanje</t>
        </is>
      </c>
      <c r="B239" s="19" t="inlineStr">
        <is>
          <t>Luchenza</t>
        </is>
      </c>
      <c r="C239" s="6" t="inlineStr">
        <is>
          <t>Population Supplied (end)</t>
        </is>
      </c>
      <c r="D239" s="20">
        <f>IFERROR(SUMIFS(DataEntry!$CV:$CV,DataEntry!$A:$A,"Mulanje",DataEntry!$B:$B,"Luchenza"),"")</f>
        <v/>
      </c>
    </row>
    <row r="240">
      <c r="A240" s="21" t="inlineStr">
        <is>
          <t>Mulanje</t>
        </is>
      </c>
      <c r="B240" s="21" t="inlineStr">
        <is>
          <t>Luchenza</t>
        </is>
      </c>
      <c r="C240" s="12" t="inlineStr">
        <is>
          <t>% Population Supplied (avg)</t>
        </is>
      </c>
      <c r="D240" s="23">
        <f>IFERROR(AVERAGEIFS(DataEntry!$CW:$CW,DataEntry!$A:$A,"Mulanje",DataEntry!$B:$B,"Luchenza"),"")</f>
        <v/>
      </c>
    </row>
    <row r="241">
      <c r="A241" s="19" t="inlineStr">
        <is>
          <t>Mulanje</t>
        </is>
      </c>
      <c r="B241" s="19" t="inlineStr">
        <is>
          <t>Luchenza</t>
        </is>
      </c>
      <c r="C241" s="6" t="inlineStr">
        <is>
          <t>New Connections Total Done</t>
        </is>
      </c>
      <c r="D241" s="20">
        <f>IFERROR(SUMIFS(DataEntry!$CA:$CA,DataEntry!$A:$A,"Mulanje",DataEntry!$B:$B,"Luchenza"),"")</f>
        <v/>
      </c>
    </row>
    <row r="242">
      <c r="A242" s="21" t="inlineStr">
        <is>
          <t>Mulanje</t>
        </is>
      </c>
      <c r="B242" s="21" t="inlineStr">
        <is>
          <t>Luchenza</t>
        </is>
      </c>
      <c r="C242" s="12" t="inlineStr">
        <is>
          <t>Stuck Meters Carried Fwd</t>
        </is>
      </c>
      <c r="D242" s="22">
        <f>IFERROR(SUMIFS(DataEntry!$DV:$DV,DataEntry!$A:$A,"Mulanje",DataEntry!$B:$B,"Luchenza"),"")</f>
        <v/>
      </c>
    </row>
    <row r="243">
      <c r="A243" s="19" t="inlineStr">
        <is>
          <t>Mulanje</t>
        </is>
      </c>
      <c r="B243" s="19" t="inlineStr">
        <is>
          <t>Luchenza</t>
        </is>
      </c>
      <c r="C243" s="6" t="inlineStr">
        <is>
          <t>Total Pipe Breakdowns</t>
        </is>
      </c>
      <c r="D243" s="20">
        <f>IFERROR(SUMIFS(DataEntry!$FG:$FG,DataEntry!$A:$A,"Mulanje",DataEntry!$B:$B,"Luchenza"),"")</f>
        <v/>
      </c>
    </row>
    <row r="244">
      <c r="A244" s="21" t="inlineStr">
        <is>
          <t>Mulanje</t>
        </is>
      </c>
      <c r="B244" s="21" t="inlineStr">
        <is>
          <t>Luchenza</t>
        </is>
      </c>
      <c r="C244" s="12" t="inlineStr">
        <is>
          <t>Connectivity Rate (avg)</t>
        </is>
      </c>
      <c r="D244" s="23">
        <f>IFERROR(AVERAGEIFS(DataEntry!$HK:$HK,DataEntry!$A:$A,"Mulanje",DataEntry!$B:$B,"Luchenza"),"")</f>
        <v/>
      </c>
    </row>
    <row r="245">
      <c r="A245" s="19" t="inlineStr">
        <is>
          <t>Mulanje</t>
        </is>
      </c>
      <c r="B245" s="19" t="inlineStr">
        <is>
          <t>Luchenza</t>
        </is>
      </c>
      <c r="C245" s="6" t="inlineStr">
        <is>
          <t>Response Time avg (days)</t>
        </is>
      </c>
      <c r="D245" s="24">
        <f>IFERROR(AVERAGEIFS(DataEntry!$HN:$HN,DataEntry!$A:$A,"Mulanje",DataEntry!$B:$B,"Luchenza"),"")</f>
        <v/>
      </c>
    </row>
    <row r="246">
      <c r="A246" s="21" t="inlineStr">
        <is>
          <t>Mulanje</t>
        </is>
      </c>
      <c r="B246" s="21" t="inlineStr">
        <is>
          <t>MUST</t>
        </is>
      </c>
      <c r="C246" s="12" t="inlineStr">
        <is>
          <t>Volume Produced (m³)</t>
        </is>
      </c>
      <c r="D246" s="22">
        <f>IFERROR(SUMIFS(DataEntry!$H:$H,DataEntry!$A:$A,"Mulanje",DataEntry!$B:$B,"MUST"),"")</f>
        <v/>
      </c>
    </row>
    <row r="247">
      <c r="A247" s="19" t="inlineStr">
        <is>
          <t>Mulanje</t>
        </is>
      </c>
      <c r="B247" s="19" t="inlineStr">
        <is>
          <t>MUST</t>
        </is>
      </c>
      <c r="C247" s="6" t="inlineStr">
        <is>
          <t>Total Revenue Water (m³)</t>
        </is>
      </c>
      <c r="D247" s="20">
        <f>IFERROR(SUMIFS(DataEntry!$S:$S,DataEntry!$A:$A,"Mulanje",DataEntry!$B:$B,"MUST"),"")</f>
        <v/>
      </c>
    </row>
    <row r="248">
      <c r="A248" s="21" t="inlineStr">
        <is>
          <t>Mulanje</t>
        </is>
      </c>
      <c r="B248" s="21" t="inlineStr">
        <is>
          <t>MUST</t>
        </is>
      </c>
      <c r="C248" s="12" t="inlineStr">
        <is>
          <t>Non-Revenue Water (m³)</t>
        </is>
      </c>
      <c r="D248" s="22">
        <f>IFERROR(SUMIFS(DataEntry!$T:$T,DataEntry!$A:$A,"Mulanje",DataEntry!$B:$B,"MUST"),"")</f>
        <v/>
      </c>
    </row>
    <row r="249">
      <c r="A249" s="19" t="inlineStr">
        <is>
          <t>Mulanje</t>
        </is>
      </c>
      <c r="B249" s="19" t="inlineStr">
        <is>
          <t>MUST</t>
        </is>
      </c>
      <c r="C249" s="6" t="inlineStr">
        <is>
          <t>% NRW (avg)</t>
        </is>
      </c>
      <c r="D249" s="24">
        <f>IFERROR(AVERAGEIFS(DataEntry!$U:$U,DataEntry!$A:$A,"Mulanje",DataEntry!$B:$B,"MUST"),"")</f>
        <v/>
      </c>
    </row>
    <row r="250">
      <c r="A250" s="21" t="inlineStr">
        <is>
          <t>Mulanje</t>
        </is>
      </c>
      <c r="B250" s="21" t="inlineStr">
        <is>
          <t>MUST</t>
        </is>
      </c>
      <c r="C250" s="12" t="inlineStr">
        <is>
          <t>Chlorine Used (kg)</t>
        </is>
      </c>
      <c r="D250" s="22">
        <f>IFERROR(SUMIFS(DataEntry!$V:$V,DataEntry!$A:$A,"Mulanje",DataEntry!$B:$B,"MUST"),"")</f>
        <v/>
      </c>
    </row>
    <row r="251">
      <c r="A251" s="19" t="inlineStr">
        <is>
          <t>Mulanje</t>
        </is>
      </c>
      <c r="B251" s="19" t="inlineStr">
        <is>
          <t>MUST</t>
        </is>
      </c>
      <c r="C251" s="6" t="inlineStr">
        <is>
          <t>Cost of Chemicals (MWK)</t>
        </is>
      </c>
      <c r="D251" s="20">
        <f>IFERROR(SUMIFS(DataEntry!$AH:$AH,DataEntry!$A:$A,"Mulanje",DataEntry!$B:$B,"MUST"),"")</f>
        <v/>
      </c>
    </row>
    <row r="252">
      <c r="A252" s="21" t="inlineStr">
        <is>
          <t>Mulanje</t>
        </is>
      </c>
      <c r="B252" s="21" t="inlineStr">
        <is>
          <t>MUST</t>
        </is>
      </c>
      <c r="C252" s="12" t="inlineStr">
        <is>
          <t>Cost of Power (MWK)</t>
        </is>
      </c>
      <c r="D252" s="22">
        <f>IFERROR(SUMIFS(DataEntry!$AL:$AL,DataEntry!$A:$A,"Mulanje",DataEntry!$B:$B,"MUST"),"")</f>
        <v/>
      </c>
    </row>
    <row r="253">
      <c r="A253" s="19" t="inlineStr">
        <is>
          <t>Mulanje</t>
        </is>
      </c>
      <c r="B253" s="19" t="inlineStr">
        <is>
          <t>MUST</t>
        </is>
      </c>
      <c r="C253" s="6" t="inlineStr">
        <is>
          <t>Cost of Fuel (MWK)</t>
        </is>
      </c>
      <c r="D253" s="20">
        <f>IFERROR(SUMIFS(DataEntry!$AP:$AP,DataEntry!$A:$A,"Mulanje",DataEntry!$B:$B,"MUST"),"")</f>
        <v/>
      </c>
    </row>
    <row r="254">
      <c r="A254" s="21" t="inlineStr">
        <is>
          <t>Mulanje</t>
        </is>
      </c>
      <c r="B254" s="21" t="inlineStr">
        <is>
          <t>MUST</t>
        </is>
      </c>
      <c r="C254" s="12" t="inlineStr">
        <is>
          <t>Total Operating Costs (MWK)</t>
        </is>
      </c>
      <c r="D254" s="22">
        <f>IFERROR(SUMIFS(DataEntry!$AU:$AU,DataEntry!$A:$A,"Mulanje",DataEntry!$B:$B,"MUST"),"")</f>
        <v/>
      </c>
    </row>
    <row r="255">
      <c r="A255" s="19" t="inlineStr">
        <is>
          <t>Mulanje</t>
        </is>
      </c>
      <c r="B255" s="19" t="inlineStr">
        <is>
          <t>MUST</t>
        </is>
      </c>
      <c r="C255" s="6" t="inlineStr">
        <is>
          <t>OpCost per m³ Produced (avg)</t>
        </is>
      </c>
      <c r="D255" s="24">
        <f>IFERROR(AVERAGEIFS(DataEntry!$AV:$AV,DataEntry!$A:$A,"Mulanje",DataEntry!$B:$B,"MUST"),"")</f>
        <v/>
      </c>
    </row>
    <row r="256">
      <c r="A256" s="21" t="inlineStr">
        <is>
          <t>Mulanje</t>
        </is>
      </c>
      <c r="B256" s="21" t="inlineStr">
        <is>
          <t>MUST</t>
        </is>
      </c>
      <c r="C256" s="12" t="inlineStr">
        <is>
          <t>Total Cash Collected (MWK)</t>
        </is>
      </c>
      <c r="D256" s="22">
        <f>IFERROR(SUMIFS(DataEntry!$GB:$GB,DataEntry!$A:$A,"Mulanje",DataEntry!$B:$B,"MUST"),"")</f>
        <v/>
      </c>
    </row>
    <row r="257">
      <c r="A257" s="19" t="inlineStr">
        <is>
          <t>Mulanje</t>
        </is>
      </c>
      <c r="B257" s="19" t="inlineStr">
        <is>
          <t>MUST</t>
        </is>
      </c>
      <c r="C257" s="6" t="inlineStr">
        <is>
          <t>Total Amount Billed (MWK)</t>
        </is>
      </c>
      <c r="D257" s="20">
        <f>IFERROR(SUMIFS(DataEntry!$GM:$GM,DataEntry!$A:$A,"Mulanje",DataEntry!$B:$B,"MUST"),"")</f>
        <v/>
      </c>
    </row>
    <row r="258">
      <c r="A258" s="21" t="inlineStr">
        <is>
          <t>Mulanje</t>
        </is>
      </c>
      <c r="B258" s="21" t="inlineStr">
        <is>
          <t>MUST</t>
        </is>
      </c>
      <c r="C258" s="12" t="inlineStr">
        <is>
          <t>Total Sales (MWK)</t>
        </is>
      </c>
      <c r="D258" s="22">
        <f>IFERROR(SUMIFS(DataEntry!$GX:$GX,DataEntry!$A:$A,"Mulanje",DataEntry!$B:$B,"MUST"),"")</f>
        <v/>
      </c>
    </row>
    <row r="259">
      <c r="A259" s="19" t="inlineStr">
        <is>
          <t>Mulanje</t>
        </is>
      </c>
      <c r="B259" s="19" t="inlineStr">
        <is>
          <t>MUST</t>
        </is>
      </c>
      <c r="C259" s="6" t="inlineStr">
        <is>
          <t>Private Debtors (MWK)</t>
        </is>
      </c>
      <c r="D259" s="20">
        <f>IFERROR(SUMIFS(DataEntry!$GY:$GY,DataEntry!$A:$A,"Mulanje",DataEntry!$B:$B,"MUST"),"")</f>
        <v/>
      </c>
    </row>
    <row r="260">
      <c r="A260" s="21" t="inlineStr">
        <is>
          <t>Mulanje</t>
        </is>
      </c>
      <c r="B260" s="21" t="inlineStr">
        <is>
          <t>MUST</t>
        </is>
      </c>
      <c r="C260" s="12" t="inlineStr">
        <is>
          <t>Public Debtors (MWK)</t>
        </is>
      </c>
      <c r="D260" s="22">
        <f>IFERROR(SUMIFS(DataEntry!$GZ:$GZ,DataEntry!$A:$A,"Mulanje",DataEntry!$B:$B,"MUST"),"")</f>
        <v/>
      </c>
    </row>
    <row r="261">
      <c r="A261" s="19" t="inlineStr">
        <is>
          <t>Mulanje</t>
        </is>
      </c>
      <c r="B261" s="19" t="inlineStr">
        <is>
          <t>MUST</t>
        </is>
      </c>
      <c r="C261" s="6" t="inlineStr">
        <is>
          <t>Total Debtors (MWK)</t>
        </is>
      </c>
      <c r="D261" s="20">
        <f>IFERROR(SUMIFS(DataEntry!$HA:$HA,DataEntry!$A:$A,"Mulanje",DataEntry!$B:$B,"MUST"),"")</f>
        <v/>
      </c>
    </row>
    <row r="262">
      <c r="A262" s="21" t="inlineStr">
        <is>
          <t>Mulanje</t>
        </is>
      </c>
      <c r="B262" s="21" t="inlineStr">
        <is>
          <t>MUST</t>
        </is>
      </c>
      <c r="C262" s="12" t="inlineStr">
        <is>
          <t>Cash Collection Rate (avg)</t>
        </is>
      </c>
      <c r="D262" s="23">
        <f>IFERROR(AVERAGEIFS(DataEntry!$HC:$HC,DataEntry!$A:$A,"Mulanje",DataEntry!$B:$B,"MUST"),"")</f>
        <v/>
      </c>
    </row>
    <row r="263">
      <c r="A263" s="19" t="inlineStr">
        <is>
          <t>Mulanje</t>
        </is>
      </c>
      <c r="B263" s="19" t="inlineStr">
        <is>
          <t>MUST</t>
        </is>
      </c>
      <c r="C263" s="6" t="inlineStr">
        <is>
          <t>OpCost / Sales (avg)</t>
        </is>
      </c>
      <c r="D263" s="24">
        <f>IFERROR(AVERAGEIFS(DataEntry!$HB:$HB,DataEntry!$A:$A,"Mulanje",DataEntry!$B:$B,"MUST"),"")</f>
        <v/>
      </c>
    </row>
    <row r="264">
      <c r="A264" s="21" t="inlineStr">
        <is>
          <t>Mulanje</t>
        </is>
      </c>
      <c r="B264" s="21" t="inlineStr">
        <is>
          <t>MUST</t>
        </is>
      </c>
      <c r="C264" s="12" t="inlineStr">
        <is>
          <t>Total Active Customers (end)</t>
        </is>
      </c>
      <c r="D264" s="22">
        <f>IFERROR(SUMIFS(DataEntry!$CS:$CS,DataEntry!$A:$A,"Mulanje",DataEntry!$B:$B,"MUST"),"")</f>
        <v/>
      </c>
    </row>
    <row r="265">
      <c r="A265" s="19" t="inlineStr">
        <is>
          <t>Mulanje</t>
        </is>
      </c>
      <c r="B265" s="19" t="inlineStr">
        <is>
          <t>MUST</t>
        </is>
      </c>
      <c r="C265" s="6" t="inlineStr">
        <is>
          <t>Total Metered Consumers (end)</t>
        </is>
      </c>
      <c r="D265" s="20">
        <f>IFERROR(SUMIFS(DataEntry!$CT:$CT,DataEntry!$A:$A,"Mulanje",DataEntry!$B:$B,"MUST"),"")</f>
        <v/>
      </c>
    </row>
    <row r="266">
      <c r="A266" s="21" t="inlineStr">
        <is>
          <t>Mulanje</t>
        </is>
      </c>
      <c r="B266" s="21" t="inlineStr">
        <is>
          <t>MUST</t>
        </is>
      </c>
      <c r="C266" s="12" t="inlineStr">
        <is>
          <t>Population Supplied (end)</t>
        </is>
      </c>
      <c r="D266" s="22">
        <f>IFERROR(SUMIFS(DataEntry!$CV:$CV,DataEntry!$A:$A,"Mulanje",DataEntry!$B:$B,"MUST"),"")</f>
        <v/>
      </c>
    </row>
    <row r="267">
      <c r="A267" s="19" t="inlineStr">
        <is>
          <t>Mulanje</t>
        </is>
      </c>
      <c r="B267" s="19" t="inlineStr">
        <is>
          <t>MUST</t>
        </is>
      </c>
      <c r="C267" s="6" t="inlineStr">
        <is>
          <t>% Population Supplied (avg)</t>
        </is>
      </c>
      <c r="D267" s="24">
        <f>IFERROR(AVERAGEIFS(DataEntry!$CW:$CW,DataEntry!$A:$A,"Mulanje",DataEntry!$B:$B,"MUST"),"")</f>
        <v/>
      </c>
    </row>
    <row r="268">
      <c r="A268" s="21" t="inlineStr">
        <is>
          <t>Mulanje</t>
        </is>
      </c>
      <c r="B268" s="21" t="inlineStr">
        <is>
          <t>MUST</t>
        </is>
      </c>
      <c r="C268" s="12" t="inlineStr">
        <is>
          <t>New Connections Total Done</t>
        </is>
      </c>
      <c r="D268" s="22">
        <f>IFERROR(SUMIFS(DataEntry!$CA:$CA,DataEntry!$A:$A,"Mulanje",DataEntry!$B:$B,"MUST"),"")</f>
        <v/>
      </c>
    </row>
    <row r="269">
      <c r="A269" s="19" t="inlineStr">
        <is>
          <t>Mulanje</t>
        </is>
      </c>
      <c r="B269" s="19" t="inlineStr">
        <is>
          <t>MUST</t>
        </is>
      </c>
      <c r="C269" s="6" t="inlineStr">
        <is>
          <t>Stuck Meters Carried Fwd</t>
        </is>
      </c>
      <c r="D269" s="20">
        <f>IFERROR(SUMIFS(DataEntry!$DV:$DV,DataEntry!$A:$A,"Mulanje",DataEntry!$B:$B,"MUST"),"")</f>
        <v/>
      </c>
    </row>
    <row r="270">
      <c r="A270" s="21" t="inlineStr">
        <is>
          <t>Mulanje</t>
        </is>
      </c>
      <c r="B270" s="21" t="inlineStr">
        <is>
          <t>MUST</t>
        </is>
      </c>
      <c r="C270" s="12" t="inlineStr">
        <is>
          <t>Total Pipe Breakdowns</t>
        </is>
      </c>
      <c r="D270" s="22">
        <f>IFERROR(SUMIFS(DataEntry!$FG:$FG,DataEntry!$A:$A,"Mulanje",DataEntry!$B:$B,"MUST"),"")</f>
        <v/>
      </c>
    </row>
    <row r="271">
      <c r="A271" s="19" t="inlineStr">
        <is>
          <t>Mulanje</t>
        </is>
      </c>
      <c r="B271" s="19" t="inlineStr">
        <is>
          <t>MUST</t>
        </is>
      </c>
      <c r="C271" s="6" t="inlineStr">
        <is>
          <t>Connectivity Rate (avg)</t>
        </is>
      </c>
      <c r="D271" s="24">
        <f>IFERROR(AVERAGEIFS(DataEntry!$HK:$HK,DataEntry!$A:$A,"Mulanje",DataEntry!$B:$B,"MUST"),"")</f>
        <v/>
      </c>
    </row>
    <row r="272">
      <c r="A272" s="21" t="inlineStr">
        <is>
          <t>Mulanje</t>
        </is>
      </c>
      <c r="B272" s="21" t="inlineStr">
        <is>
          <t>MUST</t>
        </is>
      </c>
      <c r="C272" s="12" t="inlineStr">
        <is>
          <t>Response Time avg (days)</t>
        </is>
      </c>
      <c r="D272" s="23">
        <f>IFERROR(AVERAGEIFS(DataEntry!$HN:$HN,DataEntry!$A:$A,"Mulanje",DataEntry!$B:$B,"MUST"),"")</f>
        <v/>
      </c>
    </row>
    <row r="273">
      <c r="A273" s="19" t="inlineStr">
        <is>
          <t>Mulanje</t>
        </is>
      </c>
      <c r="B273" s="19" t="inlineStr">
        <is>
          <t>Migowi</t>
        </is>
      </c>
      <c r="C273" s="6" t="inlineStr">
        <is>
          <t>Volume Produced (m³)</t>
        </is>
      </c>
      <c r="D273" s="20">
        <f>IFERROR(SUMIFS(DataEntry!$H:$H,DataEntry!$A:$A,"Mulanje",DataEntry!$B:$B,"Migowi"),"")</f>
        <v/>
      </c>
    </row>
    <row r="274">
      <c r="A274" s="21" t="inlineStr">
        <is>
          <t>Mulanje</t>
        </is>
      </c>
      <c r="B274" s="21" t="inlineStr">
        <is>
          <t>Migowi</t>
        </is>
      </c>
      <c r="C274" s="12" t="inlineStr">
        <is>
          <t>Total Revenue Water (m³)</t>
        </is>
      </c>
      <c r="D274" s="22">
        <f>IFERROR(SUMIFS(DataEntry!$S:$S,DataEntry!$A:$A,"Mulanje",DataEntry!$B:$B,"Migowi"),"")</f>
        <v/>
      </c>
    </row>
    <row r="275">
      <c r="A275" s="19" t="inlineStr">
        <is>
          <t>Mulanje</t>
        </is>
      </c>
      <c r="B275" s="19" t="inlineStr">
        <is>
          <t>Migowi</t>
        </is>
      </c>
      <c r="C275" s="6" t="inlineStr">
        <is>
          <t>Non-Revenue Water (m³)</t>
        </is>
      </c>
      <c r="D275" s="20">
        <f>IFERROR(SUMIFS(DataEntry!$T:$T,DataEntry!$A:$A,"Mulanje",DataEntry!$B:$B,"Migowi"),"")</f>
        <v/>
      </c>
    </row>
    <row r="276">
      <c r="A276" s="21" t="inlineStr">
        <is>
          <t>Mulanje</t>
        </is>
      </c>
      <c r="B276" s="21" t="inlineStr">
        <is>
          <t>Migowi</t>
        </is>
      </c>
      <c r="C276" s="12" t="inlineStr">
        <is>
          <t>% NRW (avg)</t>
        </is>
      </c>
      <c r="D276" s="23">
        <f>IFERROR(AVERAGEIFS(DataEntry!$U:$U,DataEntry!$A:$A,"Mulanje",DataEntry!$B:$B,"Migowi"),"")</f>
        <v/>
      </c>
    </row>
    <row r="277">
      <c r="A277" s="19" t="inlineStr">
        <is>
          <t>Mulanje</t>
        </is>
      </c>
      <c r="B277" s="19" t="inlineStr">
        <is>
          <t>Migowi</t>
        </is>
      </c>
      <c r="C277" s="6" t="inlineStr">
        <is>
          <t>Chlorine Used (kg)</t>
        </is>
      </c>
      <c r="D277" s="20">
        <f>IFERROR(SUMIFS(DataEntry!$V:$V,DataEntry!$A:$A,"Mulanje",DataEntry!$B:$B,"Migowi"),"")</f>
        <v/>
      </c>
    </row>
    <row r="278">
      <c r="A278" s="21" t="inlineStr">
        <is>
          <t>Mulanje</t>
        </is>
      </c>
      <c r="B278" s="21" t="inlineStr">
        <is>
          <t>Migowi</t>
        </is>
      </c>
      <c r="C278" s="12" t="inlineStr">
        <is>
          <t>Cost of Chemicals (MWK)</t>
        </is>
      </c>
      <c r="D278" s="22">
        <f>IFERROR(SUMIFS(DataEntry!$AH:$AH,DataEntry!$A:$A,"Mulanje",DataEntry!$B:$B,"Migowi"),"")</f>
        <v/>
      </c>
    </row>
    <row r="279">
      <c r="A279" s="19" t="inlineStr">
        <is>
          <t>Mulanje</t>
        </is>
      </c>
      <c r="B279" s="19" t="inlineStr">
        <is>
          <t>Migowi</t>
        </is>
      </c>
      <c r="C279" s="6" t="inlineStr">
        <is>
          <t>Cost of Power (MWK)</t>
        </is>
      </c>
      <c r="D279" s="20">
        <f>IFERROR(SUMIFS(DataEntry!$AL:$AL,DataEntry!$A:$A,"Mulanje",DataEntry!$B:$B,"Migowi"),"")</f>
        <v/>
      </c>
    </row>
    <row r="280">
      <c r="A280" s="21" t="inlineStr">
        <is>
          <t>Mulanje</t>
        </is>
      </c>
      <c r="B280" s="21" t="inlineStr">
        <is>
          <t>Migowi</t>
        </is>
      </c>
      <c r="C280" s="12" t="inlineStr">
        <is>
          <t>Cost of Fuel (MWK)</t>
        </is>
      </c>
      <c r="D280" s="22">
        <f>IFERROR(SUMIFS(DataEntry!$AP:$AP,DataEntry!$A:$A,"Mulanje",DataEntry!$B:$B,"Migowi"),"")</f>
        <v/>
      </c>
    </row>
    <row r="281">
      <c r="A281" s="19" t="inlineStr">
        <is>
          <t>Mulanje</t>
        </is>
      </c>
      <c r="B281" s="19" t="inlineStr">
        <is>
          <t>Migowi</t>
        </is>
      </c>
      <c r="C281" s="6" t="inlineStr">
        <is>
          <t>Total Operating Costs (MWK)</t>
        </is>
      </c>
      <c r="D281" s="20">
        <f>IFERROR(SUMIFS(DataEntry!$AU:$AU,DataEntry!$A:$A,"Mulanje",DataEntry!$B:$B,"Migowi"),"")</f>
        <v/>
      </c>
    </row>
    <row r="282">
      <c r="A282" s="21" t="inlineStr">
        <is>
          <t>Mulanje</t>
        </is>
      </c>
      <c r="B282" s="21" t="inlineStr">
        <is>
          <t>Migowi</t>
        </is>
      </c>
      <c r="C282" s="12" t="inlineStr">
        <is>
          <t>OpCost per m³ Produced (avg)</t>
        </is>
      </c>
      <c r="D282" s="23">
        <f>IFERROR(AVERAGEIFS(DataEntry!$AV:$AV,DataEntry!$A:$A,"Mulanje",DataEntry!$B:$B,"Migowi"),"")</f>
        <v/>
      </c>
    </row>
    <row r="283">
      <c r="A283" s="19" t="inlineStr">
        <is>
          <t>Mulanje</t>
        </is>
      </c>
      <c r="B283" s="19" t="inlineStr">
        <is>
          <t>Migowi</t>
        </is>
      </c>
      <c r="C283" s="6" t="inlineStr">
        <is>
          <t>Total Cash Collected (MWK)</t>
        </is>
      </c>
      <c r="D283" s="20">
        <f>IFERROR(SUMIFS(DataEntry!$GB:$GB,DataEntry!$A:$A,"Mulanje",DataEntry!$B:$B,"Migowi"),"")</f>
        <v/>
      </c>
    </row>
    <row r="284">
      <c r="A284" s="21" t="inlineStr">
        <is>
          <t>Mulanje</t>
        </is>
      </c>
      <c r="B284" s="21" t="inlineStr">
        <is>
          <t>Migowi</t>
        </is>
      </c>
      <c r="C284" s="12" t="inlineStr">
        <is>
          <t>Total Amount Billed (MWK)</t>
        </is>
      </c>
      <c r="D284" s="22">
        <f>IFERROR(SUMIFS(DataEntry!$GM:$GM,DataEntry!$A:$A,"Mulanje",DataEntry!$B:$B,"Migowi"),"")</f>
        <v/>
      </c>
    </row>
    <row r="285">
      <c r="A285" s="19" t="inlineStr">
        <is>
          <t>Mulanje</t>
        </is>
      </c>
      <c r="B285" s="19" t="inlineStr">
        <is>
          <t>Migowi</t>
        </is>
      </c>
      <c r="C285" s="6" t="inlineStr">
        <is>
          <t>Total Sales (MWK)</t>
        </is>
      </c>
      <c r="D285" s="20">
        <f>IFERROR(SUMIFS(DataEntry!$GX:$GX,DataEntry!$A:$A,"Mulanje",DataEntry!$B:$B,"Migowi"),"")</f>
        <v/>
      </c>
    </row>
    <row r="286">
      <c r="A286" s="21" t="inlineStr">
        <is>
          <t>Mulanje</t>
        </is>
      </c>
      <c r="B286" s="21" t="inlineStr">
        <is>
          <t>Migowi</t>
        </is>
      </c>
      <c r="C286" s="12" t="inlineStr">
        <is>
          <t>Private Debtors (MWK)</t>
        </is>
      </c>
      <c r="D286" s="22">
        <f>IFERROR(SUMIFS(DataEntry!$GY:$GY,DataEntry!$A:$A,"Mulanje",DataEntry!$B:$B,"Migowi"),"")</f>
        <v/>
      </c>
    </row>
    <row r="287">
      <c r="A287" s="19" t="inlineStr">
        <is>
          <t>Mulanje</t>
        </is>
      </c>
      <c r="B287" s="19" t="inlineStr">
        <is>
          <t>Migowi</t>
        </is>
      </c>
      <c r="C287" s="6" t="inlineStr">
        <is>
          <t>Public Debtors (MWK)</t>
        </is>
      </c>
      <c r="D287" s="20">
        <f>IFERROR(SUMIFS(DataEntry!$GZ:$GZ,DataEntry!$A:$A,"Mulanje",DataEntry!$B:$B,"Migowi"),"")</f>
        <v/>
      </c>
    </row>
    <row r="288">
      <c r="A288" s="21" t="inlineStr">
        <is>
          <t>Mulanje</t>
        </is>
      </c>
      <c r="B288" s="21" t="inlineStr">
        <is>
          <t>Migowi</t>
        </is>
      </c>
      <c r="C288" s="12" t="inlineStr">
        <is>
          <t>Total Debtors (MWK)</t>
        </is>
      </c>
      <c r="D288" s="22">
        <f>IFERROR(SUMIFS(DataEntry!$HA:$HA,DataEntry!$A:$A,"Mulanje",DataEntry!$B:$B,"Migowi"),"")</f>
        <v/>
      </c>
    </row>
    <row r="289">
      <c r="A289" s="19" t="inlineStr">
        <is>
          <t>Mulanje</t>
        </is>
      </c>
      <c r="B289" s="19" t="inlineStr">
        <is>
          <t>Migowi</t>
        </is>
      </c>
      <c r="C289" s="6" t="inlineStr">
        <is>
          <t>Cash Collection Rate (avg)</t>
        </is>
      </c>
      <c r="D289" s="24">
        <f>IFERROR(AVERAGEIFS(DataEntry!$HC:$HC,DataEntry!$A:$A,"Mulanje",DataEntry!$B:$B,"Migowi"),"")</f>
        <v/>
      </c>
    </row>
    <row r="290">
      <c r="A290" s="21" t="inlineStr">
        <is>
          <t>Mulanje</t>
        </is>
      </c>
      <c r="B290" s="21" t="inlineStr">
        <is>
          <t>Migowi</t>
        </is>
      </c>
      <c r="C290" s="12" t="inlineStr">
        <is>
          <t>OpCost / Sales (avg)</t>
        </is>
      </c>
      <c r="D290" s="23">
        <f>IFERROR(AVERAGEIFS(DataEntry!$HB:$HB,DataEntry!$A:$A,"Mulanje",DataEntry!$B:$B,"Migowi"),"")</f>
        <v/>
      </c>
    </row>
    <row r="291">
      <c r="A291" s="19" t="inlineStr">
        <is>
          <t>Mulanje</t>
        </is>
      </c>
      <c r="B291" s="19" t="inlineStr">
        <is>
          <t>Migowi</t>
        </is>
      </c>
      <c r="C291" s="6" t="inlineStr">
        <is>
          <t>Total Active Customers (end)</t>
        </is>
      </c>
      <c r="D291" s="20">
        <f>IFERROR(SUMIFS(DataEntry!$CS:$CS,DataEntry!$A:$A,"Mulanje",DataEntry!$B:$B,"Migowi"),"")</f>
        <v/>
      </c>
    </row>
    <row r="292">
      <c r="A292" s="21" t="inlineStr">
        <is>
          <t>Mulanje</t>
        </is>
      </c>
      <c r="B292" s="21" t="inlineStr">
        <is>
          <t>Migowi</t>
        </is>
      </c>
      <c r="C292" s="12" t="inlineStr">
        <is>
          <t>Total Metered Consumers (end)</t>
        </is>
      </c>
      <c r="D292" s="22">
        <f>IFERROR(SUMIFS(DataEntry!$CT:$CT,DataEntry!$A:$A,"Mulanje",DataEntry!$B:$B,"Migowi"),"")</f>
        <v/>
      </c>
    </row>
    <row r="293">
      <c r="A293" s="19" t="inlineStr">
        <is>
          <t>Mulanje</t>
        </is>
      </c>
      <c r="B293" s="19" t="inlineStr">
        <is>
          <t>Migowi</t>
        </is>
      </c>
      <c r="C293" s="6" t="inlineStr">
        <is>
          <t>Population Supplied (end)</t>
        </is>
      </c>
      <c r="D293" s="20">
        <f>IFERROR(SUMIFS(DataEntry!$CV:$CV,DataEntry!$A:$A,"Mulanje",DataEntry!$B:$B,"Migowi"),"")</f>
        <v/>
      </c>
    </row>
    <row r="294">
      <c r="A294" s="21" t="inlineStr">
        <is>
          <t>Mulanje</t>
        </is>
      </c>
      <c r="B294" s="21" t="inlineStr">
        <is>
          <t>Migowi</t>
        </is>
      </c>
      <c r="C294" s="12" t="inlineStr">
        <is>
          <t>% Population Supplied (avg)</t>
        </is>
      </c>
      <c r="D294" s="23">
        <f>IFERROR(AVERAGEIFS(DataEntry!$CW:$CW,DataEntry!$A:$A,"Mulanje",DataEntry!$B:$B,"Migowi"),"")</f>
        <v/>
      </c>
    </row>
    <row r="295">
      <c r="A295" s="19" t="inlineStr">
        <is>
          <t>Mulanje</t>
        </is>
      </c>
      <c r="B295" s="19" t="inlineStr">
        <is>
          <t>Migowi</t>
        </is>
      </c>
      <c r="C295" s="6" t="inlineStr">
        <is>
          <t>New Connections Total Done</t>
        </is>
      </c>
      <c r="D295" s="20">
        <f>IFERROR(SUMIFS(DataEntry!$CA:$CA,DataEntry!$A:$A,"Mulanje",DataEntry!$B:$B,"Migowi"),"")</f>
        <v/>
      </c>
    </row>
    <row r="296">
      <c r="A296" s="21" t="inlineStr">
        <is>
          <t>Mulanje</t>
        </is>
      </c>
      <c r="B296" s="21" t="inlineStr">
        <is>
          <t>Migowi</t>
        </is>
      </c>
      <c r="C296" s="12" t="inlineStr">
        <is>
          <t>Stuck Meters Carried Fwd</t>
        </is>
      </c>
      <c r="D296" s="22">
        <f>IFERROR(SUMIFS(DataEntry!$DV:$DV,DataEntry!$A:$A,"Mulanje",DataEntry!$B:$B,"Migowi"),"")</f>
        <v/>
      </c>
    </row>
    <row r="297">
      <c r="A297" s="19" t="inlineStr">
        <is>
          <t>Mulanje</t>
        </is>
      </c>
      <c r="B297" s="19" t="inlineStr">
        <is>
          <t>Migowi</t>
        </is>
      </c>
      <c r="C297" s="6" t="inlineStr">
        <is>
          <t>Total Pipe Breakdowns</t>
        </is>
      </c>
      <c r="D297" s="20">
        <f>IFERROR(SUMIFS(DataEntry!$FG:$FG,DataEntry!$A:$A,"Mulanje",DataEntry!$B:$B,"Migowi"),"")</f>
        <v/>
      </c>
    </row>
    <row r="298">
      <c r="A298" s="21" t="inlineStr">
        <is>
          <t>Mulanje</t>
        </is>
      </c>
      <c r="B298" s="21" t="inlineStr">
        <is>
          <t>Migowi</t>
        </is>
      </c>
      <c r="C298" s="12" t="inlineStr">
        <is>
          <t>Connectivity Rate (avg)</t>
        </is>
      </c>
      <c r="D298" s="23">
        <f>IFERROR(AVERAGEIFS(DataEntry!$HK:$HK,DataEntry!$A:$A,"Mulanje",DataEntry!$B:$B,"Migowi"),"")</f>
        <v/>
      </c>
    </row>
    <row r="299">
      <c r="A299" s="19" t="inlineStr">
        <is>
          <t>Mulanje</t>
        </is>
      </c>
      <c r="B299" s="19" t="inlineStr">
        <is>
          <t>Migowi</t>
        </is>
      </c>
      <c r="C299" s="6" t="inlineStr">
        <is>
          <t>Response Time avg (days)</t>
        </is>
      </c>
      <c r="D299" s="24">
        <f>IFERROR(AVERAGEIFS(DataEntry!$HN:$HN,DataEntry!$A:$A,"Mulanje",DataEntry!$B:$B,"Migowi"),"")</f>
        <v/>
      </c>
    </row>
    <row r="300">
      <c r="A300" s="21" t="inlineStr">
        <is>
          <t>Mulanje</t>
        </is>
      </c>
      <c r="B300" s="21" t="inlineStr">
        <is>
          <t>Mikolongwe</t>
        </is>
      </c>
      <c r="C300" s="12" t="inlineStr">
        <is>
          <t>Volume Produced (m³)</t>
        </is>
      </c>
      <c r="D300" s="22">
        <f>IFERROR(SUMIFS(DataEntry!$H:$H,DataEntry!$A:$A,"Mulanje",DataEntry!$B:$B,"Mikolongwe"),"")</f>
        <v/>
      </c>
    </row>
    <row r="301">
      <c r="A301" s="19" t="inlineStr">
        <is>
          <t>Mulanje</t>
        </is>
      </c>
      <c r="B301" s="19" t="inlineStr">
        <is>
          <t>Mikolongwe</t>
        </is>
      </c>
      <c r="C301" s="6" t="inlineStr">
        <is>
          <t>Total Revenue Water (m³)</t>
        </is>
      </c>
      <c r="D301" s="20">
        <f>IFERROR(SUMIFS(DataEntry!$S:$S,DataEntry!$A:$A,"Mulanje",DataEntry!$B:$B,"Mikolongwe"),"")</f>
        <v/>
      </c>
    </row>
    <row r="302">
      <c r="A302" s="21" t="inlineStr">
        <is>
          <t>Mulanje</t>
        </is>
      </c>
      <c r="B302" s="21" t="inlineStr">
        <is>
          <t>Mikolongwe</t>
        </is>
      </c>
      <c r="C302" s="12" t="inlineStr">
        <is>
          <t>Non-Revenue Water (m³)</t>
        </is>
      </c>
      <c r="D302" s="22">
        <f>IFERROR(SUMIFS(DataEntry!$T:$T,DataEntry!$A:$A,"Mulanje",DataEntry!$B:$B,"Mikolongwe"),"")</f>
        <v/>
      </c>
    </row>
    <row r="303">
      <c r="A303" s="19" t="inlineStr">
        <is>
          <t>Mulanje</t>
        </is>
      </c>
      <c r="B303" s="19" t="inlineStr">
        <is>
          <t>Mikolongwe</t>
        </is>
      </c>
      <c r="C303" s="6" t="inlineStr">
        <is>
          <t>% NRW (avg)</t>
        </is>
      </c>
      <c r="D303" s="24">
        <f>IFERROR(AVERAGEIFS(DataEntry!$U:$U,DataEntry!$A:$A,"Mulanje",DataEntry!$B:$B,"Mikolongwe"),"")</f>
        <v/>
      </c>
    </row>
    <row r="304">
      <c r="A304" s="21" t="inlineStr">
        <is>
          <t>Mulanje</t>
        </is>
      </c>
      <c r="B304" s="21" t="inlineStr">
        <is>
          <t>Mikolongwe</t>
        </is>
      </c>
      <c r="C304" s="12" t="inlineStr">
        <is>
          <t>Chlorine Used (kg)</t>
        </is>
      </c>
      <c r="D304" s="22">
        <f>IFERROR(SUMIFS(DataEntry!$V:$V,DataEntry!$A:$A,"Mulanje",DataEntry!$B:$B,"Mikolongwe"),"")</f>
        <v/>
      </c>
    </row>
    <row r="305">
      <c r="A305" s="19" t="inlineStr">
        <is>
          <t>Mulanje</t>
        </is>
      </c>
      <c r="B305" s="19" t="inlineStr">
        <is>
          <t>Mikolongwe</t>
        </is>
      </c>
      <c r="C305" s="6" t="inlineStr">
        <is>
          <t>Cost of Chemicals (MWK)</t>
        </is>
      </c>
      <c r="D305" s="20">
        <f>IFERROR(SUMIFS(DataEntry!$AH:$AH,DataEntry!$A:$A,"Mulanje",DataEntry!$B:$B,"Mikolongwe"),"")</f>
        <v/>
      </c>
    </row>
    <row r="306">
      <c r="A306" s="21" t="inlineStr">
        <is>
          <t>Mulanje</t>
        </is>
      </c>
      <c r="B306" s="21" t="inlineStr">
        <is>
          <t>Mikolongwe</t>
        </is>
      </c>
      <c r="C306" s="12" t="inlineStr">
        <is>
          <t>Cost of Power (MWK)</t>
        </is>
      </c>
      <c r="D306" s="22">
        <f>IFERROR(SUMIFS(DataEntry!$AL:$AL,DataEntry!$A:$A,"Mulanje",DataEntry!$B:$B,"Mikolongwe"),"")</f>
        <v/>
      </c>
    </row>
    <row r="307">
      <c r="A307" s="19" t="inlineStr">
        <is>
          <t>Mulanje</t>
        </is>
      </c>
      <c r="B307" s="19" t="inlineStr">
        <is>
          <t>Mikolongwe</t>
        </is>
      </c>
      <c r="C307" s="6" t="inlineStr">
        <is>
          <t>Cost of Fuel (MWK)</t>
        </is>
      </c>
      <c r="D307" s="20">
        <f>IFERROR(SUMIFS(DataEntry!$AP:$AP,DataEntry!$A:$A,"Mulanje",DataEntry!$B:$B,"Mikolongwe"),"")</f>
        <v/>
      </c>
    </row>
    <row r="308">
      <c r="A308" s="21" t="inlineStr">
        <is>
          <t>Mulanje</t>
        </is>
      </c>
      <c r="B308" s="21" t="inlineStr">
        <is>
          <t>Mikolongwe</t>
        </is>
      </c>
      <c r="C308" s="12" t="inlineStr">
        <is>
          <t>Total Operating Costs (MWK)</t>
        </is>
      </c>
      <c r="D308" s="22">
        <f>IFERROR(SUMIFS(DataEntry!$AU:$AU,DataEntry!$A:$A,"Mulanje",DataEntry!$B:$B,"Mikolongwe"),"")</f>
        <v/>
      </c>
    </row>
    <row r="309">
      <c r="A309" s="19" t="inlineStr">
        <is>
          <t>Mulanje</t>
        </is>
      </c>
      <c r="B309" s="19" t="inlineStr">
        <is>
          <t>Mikolongwe</t>
        </is>
      </c>
      <c r="C309" s="6" t="inlineStr">
        <is>
          <t>OpCost per m³ Produced (avg)</t>
        </is>
      </c>
      <c r="D309" s="24">
        <f>IFERROR(AVERAGEIFS(DataEntry!$AV:$AV,DataEntry!$A:$A,"Mulanje",DataEntry!$B:$B,"Mikolongwe"),"")</f>
        <v/>
      </c>
    </row>
    <row r="310">
      <c r="A310" s="21" t="inlineStr">
        <is>
          <t>Mulanje</t>
        </is>
      </c>
      <c r="B310" s="21" t="inlineStr">
        <is>
          <t>Mikolongwe</t>
        </is>
      </c>
      <c r="C310" s="12" t="inlineStr">
        <is>
          <t>Total Cash Collected (MWK)</t>
        </is>
      </c>
      <c r="D310" s="22">
        <f>IFERROR(SUMIFS(DataEntry!$GB:$GB,DataEntry!$A:$A,"Mulanje",DataEntry!$B:$B,"Mikolongwe"),"")</f>
        <v/>
      </c>
    </row>
    <row r="311">
      <c r="A311" s="19" t="inlineStr">
        <is>
          <t>Mulanje</t>
        </is>
      </c>
      <c r="B311" s="19" t="inlineStr">
        <is>
          <t>Mikolongwe</t>
        </is>
      </c>
      <c r="C311" s="6" t="inlineStr">
        <is>
          <t>Total Amount Billed (MWK)</t>
        </is>
      </c>
      <c r="D311" s="20">
        <f>IFERROR(SUMIFS(DataEntry!$GM:$GM,DataEntry!$A:$A,"Mulanje",DataEntry!$B:$B,"Mikolongwe"),"")</f>
        <v/>
      </c>
    </row>
    <row r="312">
      <c r="A312" s="21" t="inlineStr">
        <is>
          <t>Mulanje</t>
        </is>
      </c>
      <c r="B312" s="21" t="inlineStr">
        <is>
          <t>Mikolongwe</t>
        </is>
      </c>
      <c r="C312" s="12" t="inlineStr">
        <is>
          <t>Total Sales (MWK)</t>
        </is>
      </c>
      <c r="D312" s="22">
        <f>IFERROR(SUMIFS(DataEntry!$GX:$GX,DataEntry!$A:$A,"Mulanje",DataEntry!$B:$B,"Mikolongwe"),"")</f>
        <v/>
      </c>
    </row>
    <row r="313">
      <c r="A313" s="19" t="inlineStr">
        <is>
          <t>Mulanje</t>
        </is>
      </c>
      <c r="B313" s="19" t="inlineStr">
        <is>
          <t>Mikolongwe</t>
        </is>
      </c>
      <c r="C313" s="6" t="inlineStr">
        <is>
          <t>Private Debtors (MWK)</t>
        </is>
      </c>
      <c r="D313" s="20">
        <f>IFERROR(SUMIFS(DataEntry!$GY:$GY,DataEntry!$A:$A,"Mulanje",DataEntry!$B:$B,"Mikolongwe"),"")</f>
        <v/>
      </c>
    </row>
    <row r="314">
      <c r="A314" s="21" t="inlineStr">
        <is>
          <t>Mulanje</t>
        </is>
      </c>
      <c r="B314" s="21" t="inlineStr">
        <is>
          <t>Mikolongwe</t>
        </is>
      </c>
      <c r="C314" s="12" t="inlineStr">
        <is>
          <t>Public Debtors (MWK)</t>
        </is>
      </c>
      <c r="D314" s="22">
        <f>IFERROR(SUMIFS(DataEntry!$GZ:$GZ,DataEntry!$A:$A,"Mulanje",DataEntry!$B:$B,"Mikolongwe"),"")</f>
        <v/>
      </c>
    </row>
    <row r="315">
      <c r="A315" s="19" t="inlineStr">
        <is>
          <t>Mulanje</t>
        </is>
      </c>
      <c r="B315" s="19" t="inlineStr">
        <is>
          <t>Mikolongwe</t>
        </is>
      </c>
      <c r="C315" s="6" t="inlineStr">
        <is>
          <t>Total Debtors (MWK)</t>
        </is>
      </c>
      <c r="D315" s="20">
        <f>IFERROR(SUMIFS(DataEntry!$HA:$HA,DataEntry!$A:$A,"Mulanje",DataEntry!$B:$B,"Mikolongwe"),"")</f>
        <v/>
      </c>
    </row>
    <row r="316">
      <c r="A316" s="21" t="inlineStr">
        <is>
          <t>Mulanje</t>
        </is>
      </c>
      <c r="B316" s="21" t="inlineStr">
        <is>
          <t>Mikolongwe</t>
        </is>
      </c>
      <c r="C316" s="12" t="inlineStr">
        <is>
          <t>Cash Collection Rate (avg)</t>
        </is>
      </c>
      <c r="D316" s="23">
        <f>IFERROR(AVERAGEIFS(DataEntry!$HC:$HC,DataEntry!$A:$A,"Mulanje",DataEntry!$B:$B,"Mikolongwe"),"")</f>
        <v/>
      </c>
    </row>
    <row r="317">
      <c r="A317" s="19" t="inlineStr">
        <is>
          <t>Mulanje</t>
        </is>
      </c>
      <c r="B317" s="19" t="inlineStr">
        <is>
          <t>Mikolongwe</t>
        </is>
      </c>
      <c r="C317" s="6" t="inlineStr">
        <is>
          <t>OpCost / Sales (avg)</t>
        </is>
      </c>
      <c r="D317" s="24">
        <f>IFERROR(AVERAGEIFS(DataEntry!$HB:$HB,DataEntry!$A:$A,"Mulanje",DataEntry!$B:$B,"Mikolongwe"),"")</f>
        <v/>
      </c>
    </row>
    <row r="318">
      <c r="A318" s="21" t="inlineStr">
        <is>
          <t>Mulanje</t>
        </is>
      </c>
      <c r="B318" s="21" t="inlineStr">
        <is>
          <t>Mikolongwe</t>
        </is>
      </c>
      <c r="C318" s="12" t="inlineStr">
        <is>
          <t>Total Active Customers (end)</t>
        </is>
      </c>
      <c r="D318" s="22">
        <f>IFERROR(SUMIFS(DataEntry!$CS:$CS,DataEntry!$A:$A,"Mulanje",DataEntry!$B:$B,"Mikolongwe"),"")</f>
        <v/>
      </c>
    </row>
    <row r="319">
      <c r="A319" s="19" t="inlineStr">
        <is>
          <t>Mulanje</t>
        </is>
      </c>
      <c r="B319" s="19" t="inlineStr">
        <is>
          <t>Mikolongwe</t>
        </is>
      </c>
      <c r="C319" s="6" t="inlineStr">
        <is>
          <t>Total Metered Consumers (end)</t>
        </is>
      </c>
      <c r="D319" s="20">
        <f>IFERROR(SUMIFS(DataEntry!$CT:$CT,DataEntry!$A:$A,"Mulanje",DataEntry!$B:$B,"Mikolongwe"),"")</f>
        <v/>
      </c>
    </row>
    <row r="320">
      <c r="A320" s="21" t="inlineStr">
        <is>
          <t>Mulanje</t>
        </is>
      </c>
      <c r="B320" s="21" t="inlineStr">
        <is>
          <t>Mikolongwe</t>
        </is>
      </c>
      <c r="C320" s="12" t="inlineStr">
        <is>
          <t>Population Supplied (end)</t>
        </is>
      </c>
      <c r="D320" s="22">
        <f>IFERROR(SUMIFS(DataEntry!$CV:$CV,DataEntry!$A:$A,"Mulanje",DataEntry!$B:$B,"Mikolongwe"),"")</f>
        <v/>
      </c>
    </row>
    <row r="321">
      <c r="A321" s="19" t="inlineStr">
        <is>
          <t>Mulanje</t>
        </is>
      </c>
      <c r="B321" s="19" t="inlineStr">
        <is>
          <t>Mikolongwe</t>
        </is>
      </c>
      <c r="C321" s="6" t="inlineStr">
        <is>
          <t>% Population Supplied (avg)</t>
        </is>
      </c>
      <c r="D321" s="24">
        <f>IFERROR(AVERAGEIFS(DataEntry!$CW:$CW,DataEntry!$A:$A,"Mulanje",DataEntry!$B:$B,"Mikolongwe"),"")</f>
        <v/>
      </c>
    </row>
    <row r="322">
      <c r="A322" s="21" t="inlineStr">
        <is>
          <t>Mulanje</t>
        </is>
      </c>
      <c r="B322" s="21" t="inlineStr">
        <is>
          <t>Mikolongwe</t>
        </is>
      </c>
      <c r="C322" s="12" t="inlineStr">
        <is>
          <t>New Connections Total Done</t>
        </is>
      </c>
      <c r="D322" s="22">
        <f>IFERROR(SUMIFS(DataEntry!$CA:$CA,DataEntry!$A:$A,"Mulanje",DataEntry!$B:$B,"Mikolongwe"),"")</f>
        <v/>
      </c>
    </row>
    <row r="323">
      <c r="A323" s="19" t="inlineStr">
        <is>
          <t>Mulanje</t>
        </is>
      </c>
      <c r="B323" s="19" t="inlineStr">
        <is>
          <t>Mikolongwe</t>
        </is>
      </c>
      <c r="C323" s="6" t="inlineStr">
        <is>
          <t>Stuck Meters Carried Fwd</t>
        </is>
      </c>
      <c r="D323" s="20">
        <f>IFERROR(SUMIFS(DataEntry!$DV:$DV,DataEntry!$A:$A,"Mulanje",DataEntry!$B:$B,"Mikolongwe"),"")</f>
        <v/>
      </c>
    </row>
    <row r="324">
      <c r="A324" s="21" t="inlineStr">
        <is>
          <t>Mulanje</t>
        </is>
      </c>
      <c r="B324" s="21" t="inlineStr">
        <is>
          <t>Mikolongwe</t>
        </is>
      </c>
      <c r="C324" s="12" t="inlineStr">
        <is>
          <t>Total Pipe Breakdowns</t>
        </is>
      </c>
      <c r="D324" s="22">
        <f>IFERROR(SUMIFS(DataEntry!$FG:$FG,DataEntry!$A:$A,"Mulanje",DataEntry!$B:$B,"Mikolongwe"),"")</f>
        <v/>
      </c>
    </row>
    <row r="325">
      <c r="A325" s="19" t="inlineStr">
        <is>
          <t>Mulanje</t>
        </is>
      </c>
      <c r="B325" s="19" t="inlineStr">
        <is>
          <t>Mikolongwe</t>
        </is>
      </c>
      <c r="C325" s="6" t="inlineStr">
        <is>
          <t>Connectivity Rate (avg)</t>
        </is>
      </c>
      <c r="D325" s="24">
        <f>IFERROR(AVERAGEIFS(DataEntry!$HK:$HK,DataEntry!$A:$A,"Mulanje",DataEntry!$B:$B,"Mikolongwe"),"")</f>
        <v/>
      </c>
    </row>
    <row r="326">
      <c r="A326" s="21" t="inlineStr">
        <is>
          <t>Mulanje</t>
        </is>
      </c>
      <c r="B326" s="21" t="inlineStr">
        <is>
          <t>Mikolongwe</t>
        </is>
      </c>
      <c r="C326" s="12" t="inlineStr">
        <is>
          <t>Response Time avg (days)</t>
        </is>
      </c>
      <c r="D326" s="23">
        <f>IFERROR(AVERAGEIFS(DataEntry!$HN:$HN,DataEntry!$A:$A,"Mulanje",DataEntry!$B:$B,"Mikolongwe"),"")</f>
        <v/>
      </c>
    </row>
    <row r="327">
      <c r="A327" s="19" t="inlineStr">
        <is>
          <t>Mulanje</t>
        </is>
      </c>
      <c r="B327" s="19" t="inlineStr">
        <is>
          <t>Mulanje</t>
        </is>
      </c>
      <c r="C327" s="6" t="inlineStr">
        <is>
          <t>Volume Produced (m³)</t>
        </is>
      </c>
      <c r="D327" s="20">
        <f>IFERROR(SUMIFS(DataEntry!$H:$H,DataEntry!$A:$A,"Mulanje",DataEntry!$B:$B,"Mulanje"),"")</f>
        <v/>
      </c>
    </row>
    <row r="328">
      <c r="A328" s="21" t="inlineStr">
        <is>
          <t>Mulanje</t>
        </is>
      </c>
      <c r="B328" s="21" t="inlineStr">
        <is>
          <t>Mulanje</t>
        </is>
      </c>
      <c r="C328" s="12" t="inlineStr">
        <is>
          <t>Total Revenue Water (m³)</t>
        </is>
      </c>
      <c r="D328" s="22">
        <f>IFERROR(SUMIFS(DataEntry!$S:$S,DataEntry!$A:$A,"Mulanje",DataEntry!$B:$B,"Mulanje"),"")</f>
        <v/>
      </c>
    </row>
    <row r="329">
      <c r="A329" s="19" t="inlineStr">
        <is>
          <t>Mulanje</t>
        </is>
      </c>
      <c r="B329" s="19" t="inlineStr">
        <is>
          <t>Mulanje</t>
        </is>
      </c>
      <c r="C329" s="6" t="inlineStr">
        <is>
          <t>Non-Revenue Water (m³)</t>
        </is>
      </c>
      <c r="D329" s="20">
        <f>IFERROR(SUMIFS(DataEntry!$T:$T,DataEntry!$A:$A,"Mulanje",DataEntry!$B:$B,"Mulanje"),"")</f>
        <v/>
      </c>
    </row>
    <row r="330">
      <c r="A330" s="21" t="inlineStr">
        <is>
          <t>Mulanje</t>
        </is>
      </c>
      <c r="B330" s="21" t="inlineStr">
        <is>
          <t>Mulanje</t>
        </is>
      </c>
      <c r="C330" s="12" t="inlineStr">
        <is>
          <t>% NRW (avg)</t>
        </is>
      </c>
      <c r="D330" s="23">
        <f>IFERROR(AVERAGEIFS(DataEntry!$U:$U,DataEntry!$A:$A,"Mulanje",DataEntry!$B:$B,"Mulanje"),"")</f>
        <v/>
      </c>
    </row>
    <row r="331">
      <c r="A331" s="19" t="inlineStr">
        <is>
          <t>Mulanje</t>
        </is>
      </c>
      <c r="B331" s="19" t="inlineStr">
        <is>
          <t>Mulanje</t>
        </is>
      </c>
      <c r="C331" s="6" t="inlineStr">
        <is>
          <t>Chlorine Used (kg)</t>
        </is>
      </c>
      <c r="D331" s="20">
        <f>IFERROR(SUMIFS(DataEntry!$V:$V,DataEntry!$A:$A,"Mulanje",DataEntry!$B:$B,"Mulanje"),"")</f>
        <v/>
      </c>
    </row>
    <row r="332">
      <c r="A332" s="21" t="inlineStr">
        <is>
          <t>Mulanje</t>
        </is>
      </c>
      <c r="B332" s="21" t="inlineStr">
        <is>
          <t>Mulanje</t>
        </is>
      </c>
      <c r="C332" s="12" t="inlineStr">
        <is>
          <t>Cost of Chemicals (MWK)</t>
        </is>
      </c>
      <c r="D332" s="22">
        <f>IFERROR(SUMIFS(DataEntry!$AH:$AH,DataEntry!$A:$A,"Mulanje",DataEntry!$B:$B,"Mulanje"),"")</f>
        <v/>
      </c>
    </row>
    <row r="333">
      <c r="A333" s="19" t="inlineStr">
        <is>
          <t>Mulanje</t>
        </is>
      </c>
      <c r="B333" s="19" t="inlineStr">
        <is>
          <t>Mulanje</t>
        </is>
      </c>
      <c r="C333" s="6" t="inlineStr">
        <is>
          <t>Cost of Power (MWK)</t>
        </is>
      </c>
      <c r="D333" s="20">
        <f>IFERROR(SUMIFS(DataEntry!$AL:$AL,DataEntry!$A:$A,"Mulanje",DataEntry!$B:$B,"Mulanje"),"")</f>
        <v/>
      </c>
    </row>
    <row r="334">
      <c r="A334" s="21" t="inlineStr">
        <is>
          <t>Mulanje</t>
        </is>
      </c>
      <c r="B334" s="21" t="inlineStr">
        <is>
          <t>Mulanje</t>
        </is>
      </c>
      <c r="C334" s="12" t="inlineStr">
        <is>
          <t>Cost of Fuel (MWK)</t>
        </is>
      </c>
      <c r="D334" s="22">
        <f>IFERROR(SUMIFS(DataEntry!$AP:$AP,DataEntry!$A:$A,"Mulanje",DataEntry!$B:$B,"Mulanje"),"")</f>
        <v/>
      </c>
    </row>
    <row r="335">
      <c r="A335" s="19" t="inlineStr">
        <is>
          <t>Mulanje</t>
        </is>
      </c>
      <c r="B335" s="19" t="inlineStr">
        <is>
          <t>Mulanje</t>
        </is>
      </c>
      <c r="C335" s="6" t="inlineStr">
        <is>
          <t>Total Operating Costs (MWK)</t>
        </is>
      </c>
      <c r="D335" s="20">
        <f>IFERROR(SUMIFS(DataEntry!$AU:$AU,DataEntry!$A:$A,"Mulanje",DataEntry!$B:$B,"Mulanje"),"")</f>
        <v/>
      </c>
    </row>
    <row r="336">
      <c r="A336" s="21" t="inlineStr">
        <is>
          <t>Mulanje</t>
        </is>
      </c>
      <c r="B336" s="21" t="inlineStr">
        <is>
          <t>Mulanje</t>
        </is>
      </c>
      <c r="C336" s="12" t="inlineStr">
        <is>
          <t>OpCost per m³ Produced (avg)</t>
        </is>
      </c>
      <c r="D336" s="23">
        <f>IFERROR(AVERAGEIFS(DataEntry!$AV:$AV,DataEntry!$A:$A,"Mulanje",DataEntry!$B:$B,"Mulanje"),"")</f>
        <v/>
      </c>
    </row>
    <row r="337">
      <c r="A337" s="19" t="inlineStr">
        <is>
          <t>Mulanje</t>
        </is>
      </c>
      <c r="B337" s="19" t="inlineStr">
        <is>
          <t>Mulanje</t>
        </is>
      </c>
      <c r="C337" s="6" t="inlineStr">
        <is>
          <t>Total Cash Collected (MWK)</t>
        </is>
      </c>
      <c r="D337" s="20">
        <f>IFERROR(SUMIFS(DataEntry!$GB:$GB,DataEntry!$A:$A,"Mulanje",DataEntry!$B:$B,"Mulanje"),"")</f>
        <v/>
      </c>
    </row>
    <row r="338">
      <c r="A338" s="21" t="inlineStr">
        <is>
          <t>Mulanje</t>
        </is>
      </c>
      <c r="B338" s="21" t="inlineStr">
        <is>
          <t>Mulanje</t>
        </is>
      </c>
      <c r="C338" s="12" t="inlineStr">
        <is>
          <t>Total Amount Billed (MWK)</t>
        </is>
      </c>
      <c r="D338" s="22">
        <f>IFERROR(SUMIFS(DataEntry!$GM:$GM,DataEntry!$A:$A,"Mulanje",DataEntry!$B:$B,"Mulanje"),"")</f>
        <v/>
      </c>
    </row>
    <row r="339">
      <c r="A339" s="19" t="inlineStr">
        <is>
          <t>Mulanje</t>
        </is>
      </c>
      <c r="B339" s="19" t="inlineStr">
        <is>
          <t>Mulanje</t>
        </is>
      </c>
      <c r="C339" s="6" t="inlineStr">
        <is>
          <t>Total Sales (MWK)</t>
        </is>
      </c>
      <c r="D339" s="20">
        <f>IFERROR(SUMIFS(DataEntry!$GX:$GX,DataEntry!$A:$A,"Mulanje",DataEntry!$B:$B,"Mulanje"),"")</f>
        <v/>
      </c>
    </row>
    <row r="340">
      <c r="A340" s="21" t="inlineStr">
        <is>
          <t>Mulanje</t>
        </is>
      </c>
      <c r="B340" s="21" t="inlineStr">
        <is>
          <t>Mulanje</t>
        </is>
      </c>
      <c r="C340" s="12" t="inlineStr">
        <is>
          <t>Private Debtors (MWK)</t>
        </is>
      </c>
      <c r="D340" s="22">
        <f>IFERROR(SUMIFS(DataEntry!$GY:$GY,DataEntry!$A:$A,"Mulanje",DataEntry!$B:$B,"Mulanje"),"")</f>
        <v/>
      </c>
    </row>
    <row r="341">
      <c r="A341" s="19" t="inlineStr">
        <is>
          <t>Mulanje</t>
        </is>
      </c>
      <c r="B341" s="19" t="inlineStr">
        <is>
          <t>Mulanje</t>
        </is>
      </c>
      <c r="C341" s="6" t="inlineStr">
        <is>
          <t>Public Debtors (MWK)</t>
        </is>
      </c>
      <c r="D341" s="20">
        <f>IFERROR(SUMIFS(DataEntry!$GZ:$GZ,DataEntry!$A:$A,"Mulanje",DataEntry!$B:$B,"Mulanje"),"")</f>
        <v/>
      </c>
    </row>
    <row r="342">
      <c r="A342" s="21" t="inlineStr">
        <is>
          <t>Mulanje</t>
        </is>
      </c>
      <c r="B342" s="21" t="inlineStr">
        <is>
          <t>Mulanje</t>
        </is>
      </c>
      <c r="C342" s="12" t="inlineStr">
        <is>
          <t>Total Debtors (MWK)</t>
        </is>
      </c>
      <c r="D342" s="22">
        <f>IFERROR(SUMIFS(DataEntry!$HA:$HA,DataEntry!$A:$A,"Mulanje",DataEntry!$B:$B,"Mulanje"),"")</f>
        <v/>
      </c>
    </row>
    <row r="343">
      <c r="A343" s="19" t="inlineStr">
        <is>
          <t>Mulanje</t>
        </is>
      </c>
      <c r="B343" s="19" t="inlineStr">
        <is>
          <t>Mulanje</t>
        </is>
      </c>
      <c r="C343" s="6" t="inlineStr">
        <is>
          <t>Cash Collection Rate (avg)</t>
        </is>
      </c>
      <c r="D343" s="24">
        <f>IFERROR(AVERAGEIFS(DataEntry!$HC:$HC,DataEntry!$A:$A,"Mulanje",DataEntry!$B:$B,"Mulanje"),"")</f>
        <v/>
      </c>
    </row>
    <row r="344">
      <c r="A344" s="21" t="inlineStr">
        <is>
          <t>Mulanje</t>
        </is>
      </c>
      <c r="B344" s="21" t="inlineStr">
        <is>
          <t>Mulanje</t>
        </is>
      </c>
      <c r="C344" s="12" t="inlineStr">
        <is>
          <t>OpCost / Sales (avg)</t>
        </is>
      </c>
      <c r="D344" s="23">
        <f>IFERROR(AVERAGEIFS(DataEntry!$HB:$HB,DataEntry!$A:$A,"Mulanje",DataEntry!$B:$B,"Mulanje"),"")</f>
        <v/>
      </c>
    </row>
    <row r="345">
      <c r="A345" s="19" t="inlineStr">
        <is>
          <t>Mulanje</t>
        </is>
      </c>
      <c r="B345" s="19" t="inlineStr">
        <is>
          <t>Mulanje</t>
        </is>
      </c>
      <c r="C345" s="6" t="inlineStr">
        <is>
          <t>Total Active Customers (end)</t>
        </is>
      </c>
      <c r="D345" s="20">
        <f>IFERROR(SUMIFS(DataEntry!$CS:$CS,DataEntry!$A:$A,"Mulanje",DataEntry!$B:$B,"Mulanje"),"")</f>
        <v/>
      </c>
    </row>
    <row r="346">
      <c r="A346" s="21" t="inlineStr">
        <is>
          <t>Mulanje</t>
        </is>
      </c>
      <c r="B346" s="21" t="inlineStr">
        <is>
          <t>Mulanje</t>
        </is>
      </c>
      <c r="C346" s="12" t="inlineStr">
        <is>
          <t>Total Metered Consumers (end)</t>
        </is>
      </c>
      <c r="D346" s="22">
        <f>IFERROR(SUMIFS(DataEntry!$CT:$CT,DataEntry!$A:$A,"Mulanje",DataEntry!$B:$B,"Mulanje"),"")</f>
        <v/>
      </c>
    </row>
    <row r="347">
      <c r="A347" s="19" t="inlineStr">
        <is>
          <t>Mulanje</t>
        </is>
      </c>
      <c r="B347" s="19" t="inlineStr">
        <is>
          <t>Mulanje</t>
        </is>
      </c>
      <c r="C347" s="6" t="inlineStr">
        <is>
          <t>Population Supplied (end)</t>
        </is>
      </c>
      <c r="D347" s="20">
        <f>IFERROR(SUMIFS(DataEntry!$CV:$CV,DataEntry!$A:$A,"Mulanje",DataEntry!$B:$B,"Mulanje"),"")</f>
        <v/>
      </c>
    </row>
    <row r="348">
      <c r="A348" s="21" t="inlineStr">
        <is>
          <t>Mulanje</t>
        </is>
      </c>
      <c r="B348" s="21" t="inlineStr">
        <is>
          <t>Mulanje</t>
        </is>
      </c>
      <c r="C348" s="12" t="inlineStr">
        <is>
          <t>% Population Supplied (avg)</t>
        </is>
      </c>
      <c r="D348" s="23">
        <f>IFERROR(AVERAGEIFS(DataEntry!$CW:$CW,DataEntry!$A:$A,"Mulanje",DataEntry!$B:$B,"Mulanje"),"")</f>
        <v/>
      </c>
    </row>
    <row r="349">
      <c r="A349" s="19" t="inlineStr">
        <is>
          <t>Mulanje</t>
        </is>
      </c>
      <c r="B349" s="19" t="inlineStr">
        <is>
          <t>Mulanje</t>
        </is>
      </c>
      <c r="C349" s="6" t="inlineStr">
        <is>
          <t>New Connections Total Done</t>
        </is>
      </c>
      <c r="D349" s="20">
        <f>IFERROR(SUMIFS(DataEntry!$CA:$CA,DataEntry!$A:$A,"Mulanje",DataEntry!$B:$B,"Mulanje"),"")</f>
        <v/>
      </c>
    </row>
    <row r="350">
      <c r="A350" s="21" t="inlineStr">
        <is>
          <t>Mulanje</t>
        </is>
      </c>
      <c r="B350" s="21" t="inlineStr">
        <is>
          <t>Mulanje</t>
        </is>
      </c>
      <c r="C350" s="12" t="inlineStr">
        <is>
          <t>Stuck Meters Carried Fwd</t>
        </is>
      </c>
      <c r="D350" s="22">
        <f>IFERROR(SUMIFS(DataEntry!$DV:$DV,DataEntry!$A:$A,"Mulanje",DataEntry!$B:$B,"Mulanje"),"")</f>
        <v/>
      </c>
    </row>
    <row r="351">
      <c r="A351" s="19" t="inlineStr">
        <is>
          <t>Mulanje</t>
        </is>
      </c>
      <c r="B351" s="19" t="inlineStr">
        <is>
          <t>Mulanje</t>
        </is>
      </c>
      <c r="C351" s="6" t="inlineStr">
        <is>
          <t>Total Pipe Breakdowns</t>
        </is>
      </c>
      <c r="D351" s="20">
        <f>IFERROR(SUMIFS(DataEntry!$FG:$FG,DataEntry!$A:$A,"Mulanje",DataEntry!$B:$B,"Mulanje"),"")</f>
        <v/>
      </c>
    </row>
    <row r="352">
      <c r="A352" s="21" t="inlineStr">
        <is>
          <t>Mulanje</t>
        </is>
      </c>
      <c r="B352" s="21" t="inlineStr">
        <is>
          <t>Mulanje</t>
        </is>
      </c>
      <c r="C352" s="12" t="inlineStr">
        <is>
          <t>Connectivity Rate (avg)</t>
        </is>
      </c>
      <c r="D352" s="23">
        <f>IFERROR(AVERAGEIFS(DataEntry!$HK:$HK,DataEntry!$A:$A,"Mulanje",DataEntry!$B:$B,"Mulanje"),"")</f>
        <v/>
      </c>
    </row>
    <row r="353">
      <c r="A353" s="19" t="inlineStr">
        <is>
          <t>Mulanje</t>
        </is>
      </c>
      <c r="B353" s="19" t="inlineStr">
        <is>
          <t>Mulanje</t>
        </is>
      </c>
      <c r="C353" s="6" t="inlineStr">
        <is>
          <t>Response Time avg (days)</t>
        </is>
      </c>
      <c r="D353" s="24">
        <f>IFERROR(AVERAGEIFS(DataEntry!$HN:$HN,DataEntry!$A:$A,"Mulanje",DataEntry!$B:$B,"Mulanje"),"")</f>
        <v/>
      </c>
    </row>
    <row r="354">
      <c r="A354" s="21" t="inlineStr">
        <is>
          <t>Mulanje</t>
        </is>
      </c>
      <c r="B354" s="21" t="inlineStr">
        <is>
          <t>Muloza</t>
        </is>
      </c>
      <c r="C354" s="12" t="inlineStr">
        <is>
          <t>Volume Produced (m³)</t>
        </is>
      </c>
      <c r="D354" s="22">
        <f>IFERROR(SUMIFS(DataEntry!$H:$H,DataEntry!$A:$A,"Mulanje",DataEntry!$B:$B,"Muloza"),"")</f>
        <v/>
      </c>
    </row>
    <row r="355">
      <c r="A355" s="19" t="inlineStr">
        <is>
          <t>Mulanje</t>
        </is>
      </c>
      <c r="B355" s="19" t="inlineStr">
        <is>
          <t>Muloza</t>
        </is>
      </c>
      <c r="C355" s="6" t="inlineStr">
        <is>
          <t>Total Revenue Water (m³)</t>
        </is>
      </c>
      <c r="D355" s="20">
        <f>IFERROR(SUMIFS(DataEntry!$S:$S,DataEntry!$A:$A,"Mulanje",DataEntry!$B:$B,"Muloza"),"")</f>
        <v/>
      </c>
    </row>
    <row r="356">
      <c r="A356" s="21" t="inlineStr">
        <is>
          <t>Mulanje</t>
        </is>
      </c>
      <c r="B356" s="21" t="inlineStr">
        <is>
          <t>Muloza</t>
        </is>
      </c>
      <c r="C356" s="12" t="inlineStr">
        <is>
          <t>Non-Revenue Water (m³)</t>
        </is>
      </c>
      <c r="D356" s="22">
        <f>IFERROR(SUMIFS(DataEntry!$T:$T,DataEntry!$A:$A,"Mulanje",DataEntry!$B:$B,"Muloza"),"")</f>
        <v/>
      </c>
    </row>
    <row r="357">
      <c r="A357" s="19" t="inlineStr">
        <is>
          <t>Mulanje</t>
        </is>
      </c>
      <c r="B357" s="19" t="inlineStr">
        <is>
          <t>Muloza</t>
        </is>
      </c>
      <c r="C357" s="6" t="inlineStr">
        <is>
          <t>% NRW (avg)</t>
        </is>
      </c>
      <c r="D357" s="24">
        <f>IFERROR(AVERAGEIFS(DataEntry!$U:$U,DataEntry!$A:$A,"Mulanje",DataEntry!$B:$B,"Muloza"),"")</f>
        <v/>
      </c>
    </row>
    <row r="358">
      <c r="A358" s="21" t="inlineStr">
        <is>
          <t>Mulanje</t>
        </is>
      </c>
      <c r="B358" s="21" t="inlineStr">
        <is>
          <t>Muloza</t>
        </is>
      </c>
      <c r="C358" s="12" t="inlineStr">
        <is>
          <t>Chlorine Used (kg)</t>
        </is>
      </c>
      <c r="D358" s="22">
        <f>IFERROR(SUMIFS(DataEntry!$V:$V,DataEntry!$A:$A,"Mulanje",DataEntry!$B:$B,"Muloza"),"")</f>
        <v/>
      </c>
    </row>
    <row r="359">
      <c r="A359" s="19" t="inlineStr">
        <is>
          <t>Mulanje</t>
        </is>
      </c>
      <c r="B359" s="19" t="inlineStr">
        <is>
          <t>Muloza</t>
        </is>
      </c>
      <c r="C359" s="6" t="inlineStr">
        <is>
          <t>Cost of Chemicals (MWK)</t>
        </is>
      </c>
      <c r="D359" s="20">
        <f>IFERROR(SUMIFS(DataEntry!$AH:$AH,DataEntry!$A:$A,"Mulanje",DataEntry!$B:$B,"Muloza"),"")</f>
        <v/>
      </c>
    </row>
    <row r="360">
      <c r="A360" s="21" t="inlineStr">
        <is>
          <t>Mulanje</t>
        </is>
      </c>
      <c r="B360" s="21" t="inlineStr">
        <is>
          <t>Muloza</t>
        </is>
      </c>
      <c r="C360" s="12" t="inlineStr">
        <is>
          <t>Cost of Power (MWK)</t>
        </is>
      </c>
      <c r="D360" s="22">
        <f>IFERROR(SUMIFS(DataEntry!$AL:$AL,DataEntry!$A:$A,"Mulanje",DataEntry!$B:$B,"Muloza"),"")</f>
        <v/>
      </c>
    </row>
    <row r="361">
      <c r="A361" s="19" t="inlineStr">
        <is>
          <t>Mulanje</t>
        </is>
      </c>
      <c r="B361" s="19" t="inlineStr">
        <is>
          <t>Muloza</t>
        </is>
      </c>
      <c r="C361" s="6" t="inlineStr">
        <is>
          <t>Cost of Fuel (MWK)</t>
        </is>
      </c>
      <c r="D361" s="20">
        <f>IFERROR(SUMIFS(DataEntry!$AP:$AP,DataEntry!$A:$A,"Mulanje",DataEntry!$B:$B,"Muloza"),"")</f>
        <v/>
      </c>
    </row>
    <row r="362">
      <c r="A362" s="21" t="inlineStr">
        <is>
          <t>Mulanje</t>
        </is>
      </c>
      <c r="B362" s="21" t="inlineStr">
        <is>
          <t>Muloza</t>
        </is>
      </c>
      <c r="C362" s="12" t="inlineStr">
        <is>
          <t>Total Operating Costs (MWK)</t>
        </is>
      </c>
      <c r="D362" s="22">
        <f>IFERROR(SUMIFS(DataEntry!$AU:$AU,DataEntry!$A:$A,"Mulanje",DataEntry!$B:$B,"Muloza"),"")</f>
        <v/>
      </c>
    </row>
    <row r="363">
      <c r="A363" s="19" t="inlineStr">
        <is>
          <t>Mulanje</t>
        </is>
      </c>
      <c r="B363" s="19" t="inlineStr">
        <is>
          <t>Muloza</t>
        </is>
      </c>
      <c r="C363" s="6" t="inlineStr">
        <is>
          <t>OpCost per m³ Produced (avg)</t>
        </is>
      </c>
      <c r="D363" s="24">
        <f>IFERROR(AVERAGEIFS(DataEntry!$AV:$AV,DataEntry!$A:$A,"Mulanje",DataEntry!$B:$B,"Muloza"),"")</f>
        <v/>
      </c>
    </row>
    <row r="364">
      <c r="A364" s="21" t="inlineStr">
        <is>
          <t>Mulanje</t>
        </is>
      </c>
      <c r="B364" s="21" t="inlineStr">
        <is>
          <t>Muloza</t>
        </is>
      </c>
      <c r="C364" s="12" t="inlineStr">
        <is>
          <t>Total Cash Collected (MWK)</t>
        </is>
      </c>
      <c r="D364" s="22">
        <f>IFERROR(SUMIFS(DataEntry!$GB:$GB,DataEntry!$A:$A,"Mulanje",DataEntry!$B:$B,"Muloza"),"")</f>
        <v/>
      </c>
    </row>
    <row r="365">
      <c r="A365" s="19" t="inlineStr">
        <is>
          <t>Mulanje</t>
        </is>
      </c>
      <c r="B365" s="19" t="inlineStr">
        <is>
          <t>Muloza</t>
        </is>
      </c>
      <c r="C365" s="6" t="inlineStr">
        <is>
          <t>Total Amount Billed (MWK)</t>
        </is>
      </c>
      <c r="D365" s="20">
        <f>IFERROR(SUMIFS(DataEntry!$GM:$GM,DataEntry!$A:$A,"Mulanje",DataEntry!$B:$B,"Muloza"),"")</f>
        <v/>
      </c>
    </row>
    <row r="366">
      <c r="A366" s="21" t="inlineStr">
        <is>
          <t>Mulanje</t>
        </is>
      </c>
      <c r="B366" s="21" t="inlineStr">
        <is>
          <t>Muloza</t>
        </is>
      </c>
      <c r="C366" s="12" t="inlineStr">
        <is>
          <t>Total Sales (MWK)</t>
        </is>
      </c>
      <c r="D366" s="22">
        <f>IFERROR(SUMIFS(DataEntry!$GX:$GX,DataEntry!$A:$A,"Mulanje",DataEntry!$B:$B,"Muloza"),"")</f>
        <v/>
      </c>
    </row>
    <row r="367">
      <c r="A367" s="19" t="inlineStr">
        <is>
          <t>Mulanje</t>
        </is>
      </c>
      <c r="B367" s="19" t="inlineStr">
        <is>
          <t>Muloza</t>
        </is>
      </c>
      <c r="C367" s="6" t="inlineStr">
        <is>
          <t>Private Debtors (MWK)</t>
        </is>
      </c>
      <c r="D367" s="20">
        <f>IFERROR(SUMIFS(DataEntry!$GY:$GY,DataEntry!$A:$A,"Mulanje",DataEntry!$B:$B,"Muloza"),"")</f>
        <v/>
      </c>
    </row>
    <row r="368">
      <c r="A368" s="21" t="inlineStr">
        <is>
          <t>Mulanje</t>
        </is>
      </c>
      <c r="B368" s="21" t="inlineStr">
        <is>
          <t>Muloza</t>
        </is>
      </c>
      <c r="C368" s="12" t="inlineStr">
        <is>
          <t>Public Debtors (MWK)</t>
        </is>
      </c>
      <c r="D368" s="22">
        <f>IFERROR(SUMIFS(DataEntry!$GZ:$GZ,DataEntry!$A:$A,"Mulanje",DataEntry!$B:$B,"Muloza"),"")</f>
        <v/>
      </c>
    </row>
    <row r="369">
      <c r="A369" s="19" t="inlineStr">
        <is>
          <t>Mulanje</t>
        </is>
      </c>
      <c r="B369" s="19" t="inlineStr">
        <is>
          <t>Muloza</t>
        </is>
      </c>
      <c r="C369" s="6" t="inlineStr">
        <is>
          <t>Total Debtors (MWK)</t>
        </is>
      </c>
      <c r="D369" s="20">
        <f>IFERROR(SUMIFS(DataEntry!$HA:$HA,DataEntry!$A:$A,"Mulanje",DataEntry!$B:$B,"Muloza"),"")</f>
        <v/>
      </c>
    </row>
    <row r="370">
      <c r="A370" s="21" t="inlineStr">
        <is>
          <t>Mulanje</t>
        </is>
      </c>
      <c r="B370" s="21" t="inlineStr">
        <is>
          <t>Muloza</t>
        </is>
      </c>
      <c r="C370" s="12" t="inlineStr">
        <is>
          <t>Cash Collection Rate (avg)</t>
        </is>
      </c>
      <c r="D370" s="23">
        <f>IFERROR(AVERAGEIFS(DataEntry!$HC:$HC,DataEntry!$A:$A,"Mulanje",DataEntry!$B:$B,"Muloza"),"")</f>
        <v/>
      </c>
    </row>
    <row r="371">
      <c r="A371" s="19" t="inlineStr">
        <is>
          <t>Mulanje</t>
        </is>
      </c>
      <c r="B371" s="19" t="inlineStr">
        <is>
          <t>Muloza</t>
        </is>
      </c>
      <c r="C371" s="6" t="inlineStr">
        <is>
          <t>OpCost / Sales (avg)</t>
        </is>
      </c>
      <c r="D371" s="24">
        <f>IFERROR(AVERAGEIFS(DataEntry!$HB:$HB,DataEntry!$A:$A,"Mulanje",DataEntry!$B:$B,"Muloza"),"")</f>
        <v/>
      </c>
    </row>
    <row r="372">
      <c r="A372" s="21" t="inlineStr">
        <is>
          <t>Mulanje</t>
        </is>
      </c>
      <c r="B372" s="21" t="inlineStr">
        <is>
          <t>Muloza</t>
        </is>
      </c>
      <c r="C372" s="12" t="inlineStr">
        <is>
          <t>Total Active Customers (end)</t>
        </is>
      </c>
      <c r="D372" s="22">
        <f>IFERROR(SUMIFS(DataEntry!$CS:$CS,DataEntry!$A:$A,"Mulanje",DataEntry!$B:$B,"Muloza"),"")</f>
        <v/>
      </c>
    </row>
    <row r="373">
      <c r="A373" s="19" t="inlineStr">
        <is>
          <t>Mulanje</t>
        </is>
      </c>
      <c r="B373" s="19" t="inlineStr">
        <is>
          <t>Muloza</t>
        </is>
      </c>
      <c r="C373" s="6" t="inlineStr">
        <is>
          <t>Total Metered Consumers (end)</t>
        </is>
      </c>
      <c r="D373" s="20">
        <f>IFERROR(SUMIFS(DataEntry!$CT:$CT,DataEntry!$A:$A,"Mulanje",DataEntry!$B:$B,"Muloza"),"")</f>
        <v/>
      </c>
    </row>
    <row r="374">
      <c r="A374" s="21" t="inlineStr">
        <is>
          <t>Mulanje</t>
        </is>
      </c>
      <c r="B374" s="21" t="inlineStr">
        <is>
          <t>Muloza</t>
        </is>
      </c>
      <c r="C374" s="12" t="inlineStr">
        <is>
          <t>Population Supplied (end)</t>
        </is>
      </c>
      <c r="D374" s="22">
        <f>IFERROR(SUMIFS(DataEntry!$CV:$CV,DataEntry!$A:$A,"Mulanje",DataEntry!$B:$B,"Muloza"),"")</f>
        <v/>
      </c>
    </row>
    <row r="375">
      <c r="A375" s="19" t="inlineStr">
        <is>
          <t>Mulanje</t>
        </is>
      </c>
      <c r="B375" s="19" t="inlineStr">
        <is>
          <t>Muloza</t>
        </is>
      </c>
      <c r="C375" s="6" t="inlineStr">
        <is>
          <t>% Population Supplied (avg)</t>
        </is>
      </c>
      <c r="D375" s="24">
        <f>IFERROR(AVERAGEIFS(DataEntry!$CW:$CW,DataEntry!$A:$A,"Mulanje",DataEntry!$B:$B,"Muloza"),"")</f>
        <v/>
      </c>
    </row>
    <row r="376">
      <c r="A376" s="21" t="inlineStr">
        <is>
          <t>Mulanje</t>
        </is>
      </c>
      <c r="B376" s="21" t="inlineStr">
        <is>
          <t>Muloza</t>
        </is>
      </c>
      <c r="C376" s="12" t="inlineStr">
        <is>
          <t>New Connections Total Done</t>
        </is>
      </c>
      <c r="D376" s="22">
        <f>IFERROR(SUMIFS(DataEntry!$CA:$CA,DataEntry!$A:$A,"Mulanje",DataEntry!$B:$B,"Muloza"),"")</f>
        <v/>
      </c>
    </row>
    <row r="377">
      <c r="A377" s="19" t="inlineStr">
        <is>
          <t>Mulanje</t>
        </is>
      </c>
      <c r="B377" s="19" t="inlineStr">
        <is>
          <t>Muloza</t>
        </is>
      </c>
      <c r="C377" s="6" t="inlineStr">
        <is>
          <t>Stuck Meters Carried Fwd</t>
        </is>
      </c>
      <c r="D377" s="20">
        <f>IFERROR(SUMIFS(DataEntry!$DV:$DV,DataEntry!$A:$A,"Mulanje",DataEntry!$B:$B,"Muloza"),"")</f>
        <v/>
      </c>
    </row>
    <row r="378">
      <c r="A378" s="21" t="inlineStr">
        <is>
          <t>Mulanje</t>
        </is>
      </c>
      <c r="B378" s="21" t="inlineStr">
        <is>
          <t>Muloza</t>
        </is>
      </c>
      <c r="C378" s="12" t="inlineStr">
        <is>
          <t>Total Pipe Breakdowns</t>
        </is>
      </c>
      <c r="D378" s="22">
        <f>IFERROR(SUMIFS(DataEntry!$FG:$FG,DataEntry!$A:$A,"Mulanje",DataEntry!$B:$B,"Muloza"),"")</f>
        <v/>
      </c>
    </row>
    <row r="379">
      <c r="A379" s="19" t="inlineStr">
        <is>
          <t>Mulanje</t>
        </is>
      </c>
      <c r="B379" s="19" t="inlineStr">
        <is>
          <t>Muloza</t>
        </is>
      </c>
      <c r="C379" s="6" t="inlineStr">
        <is>
          <t>Connectivity Rate (avg)</t>
        </is>
      </c>
      <c r="D379" s="24">
        <f>IFERROR(AVERAGEIFS(DataEntry!$HK:$HK,DataEntry!$A:$A,"Mulanje",DataEntry!$B:$B,"Muloza"),"")</f>
        <v/>
      </c>
    </row>
    <row r="380">
      <c r="A380" s="21" t="inlineStr">
        <is>
          <t>Mulanje</t>
        </is>
      </c>
      <c r="B380" s="21" t="inlineStr">
        <is>
          <t>Muloza</t>
        </is>
      </c>
      <c r="C380" s="12" t="inlineStr">
        <is>
          <t>Response Time avg (days)</t>
        </is>
      </c>
      <c r="D380" s="23">
        <f>IFERROR(AVERAGEIFS(DataEntry!$HN:$HN,DataEntry!$A:$A,"Mulanje",DataEntry!$B:$B,"Muloza"),"")</f>
        <v/>
      </c>
    </row>
    <row r="381">
      <c r="A381" s="19" t="inlineStr">
        <is>
          <t>Mulanje</t>
        </is>
      </c>
      <c r="B381" s="19" t="inlineStr">
        <is>
          <t>Nkando</t>
        </is>
      </c>
      <c r="C381" s="6" t="inlineStr">
        <is>
          <t>Volume Produced (m³)</t>
        </is>
      </c>
      <c r="D381" s="20">
        <f>IFERROR(SUMIFS(DataEntry!$H:$H,DataEntry!$A:$A,"Mulanje",DataEntry!$B:$B,"Nkando"),"")</f>
        <v/>
      </c>
    </row>
    <row r="382">
      <c r="A382" s="21" t="inlineStr">
        <is>
          <t>Mulanje</t>
        </is>
      </c>
      <c r="B382" s="21" t="inlineStr">
        <is>
          <t>Nkando</t>
        </is>
      </c>
      <c r="C382" s="12" t="inlineStr">
        <is>
          <t>Total Revenue Water (m³)</t>
        </is>
      </c>
      <c r="D382" s="22">
        <f>IFERROR(SUMIFS(DataEntry!$S:$S,DataEntry!$A:$A,"Mulanje",DataEntry!$B:$B,"Nkando"),"")</f>
        <v/>
      </c>
    </row>
    <row r="383">
      <c r="A383" s="19" t="inlineStr">
        <is>
          <t>Mulanje</t>
        </is>
      </c>
      <c r="B383" s="19" t="inlineStr">
        <is>
          <t>Nkando</t>
        </is>
      </c>
      <c r="C383" s="6" t="inlineStr">
        <is>
          <t>Non-Revenue Water (m³)</t>
        </is>
      </c>
      <c r="D383" s="20">
        <f>IFERROR(SUMIFS(DataEntry!$T:$T,DataEntry!$A:$A,"Mulanje",DataEntry!$B:$B,"Nkando"),"")</f>
        <v/>
      </c>
    </row>
    <row r="384">
      <c r="A384" s="21" t="inlineStr">
        <is>
          <t>Mulanje</t>
        </is>
      </c>
      <c r="B384" s="21" t="inlineStr">
        <is>
          <t>Nkando</t>
        </is>
      </c>
      <c r="C384" s="12" t="inlineStr">
        <is>
          <t>% NRW (avg)</t>
        </is>
      </c>
      <c r="D384" s="23">
        <f>IFERROR(AVERAGEIFS(DataEntry!$U:$U,DataEntry!$A:$A,"Mulanje",DataEntry!$B:$B,"Nkando"),"")</f>
        <v/>
      </c>
    </row>
    <row r="385">
      <c r="A385" s="19" t="inlineStr">
        <is>
          <t>Mulanje</t>
        </is>
      </c>
      <c r="B385" s="19" t="inlineStr">
        <is>
          <t>Nkando</t>
        </is>
      </c>
      <c r="C385" s="6" t="inlineStr">
        <is>
          <t>Chlorine Used (kg)</t>
        </is>
      </c>
      <c r="D385" s="20">
        <f>IFERROR(SUMIFS(DataEntry!$V:$V,DataEntry!$A:$A,"Mulanje",DataEntry!$B:$B,"Nkando"),"")</f>
        <v/>
      </c>
    </row>
    <row r="386">
      <c r="A386" s="21" t="inlineStr">
        <is>
          <t>Mulanje</t>
        </is>
      </c>
      <c r="B386" s="21" t="inlineStr">
        <is>
          <t>Nkando</t>
        </is>
      </c>
      <c r="C386" s="12" t="inlineStr">
        <is>
          <t>Cost of Chemicals (MWK)</t>
        </is>
      </c>
      <c r="D386" s="22">
        <f>IFERROR(SUMIFS(DataEntry!$AH:$AH,DataEntry!$A:$A,"Mulanje",DataEntry!$B:$B,"Nkando"),"")</f>
        <v/>
      </c>
    </row>
    <row r="387">
      <c r="A387" s="19" t="inlineStr">
        <is>
          <t>Mulanje</t>
        </is>
      </c>
      <c r="B387" s="19" t="inlineStr">
        <is>
          <t>Nkando</t>
        </is>
      </c>
      <c r="C387" s="6" t="inlineStr">
        <is>
          <t>Cost of Power (MWK)</t>
        </is>
      </c>
      <c r="D387" s="20">
        <f>IFERROR(SUMIFS(DataEntry!$AL:$AL,DataEntry!$A:$A,"Mulanje",DataEntry!$B:$B,"Nkando"),"")</f>
        <v/>
      </c>
    </row>
    <row r="388">
      <c r="A388" s="21" t="inlineStr">
        <is>
          <t>Mulanje</t>
        </is>
      </c>
      <c r="B388" s="21" t="inlineStr">
        <is>
          <t>Nkando</t>
        </is>
      </c>
      <c r="C388" s="12" t="inlineStr">
        <is>
          <t>Cost of Fuel (MWK)</t>
        </is>
      </c>
      <c r="D388" s="22">
        <f>IFERROR(SUMIFS(DataEntry!$AP:$AP,DataEntry!$A:$A,"Mulanje",DataEntry!$B:$B,"Nkando"),"")</f>
        <v/>
      </c>
    </row>
    <row r="389">
      <c r="A389" s="19" t="inlineStr">
        <is>
          <t>Mulanje</t>
        </is>
      </c>
      <c r="B389" s="19" t="inlineStr">
        <is>
          <t>Nkando</t>
        </is>
      </c>
      <c r="C389" s="6" t="inlineStr">
        <is>
          <t>Total Operating Costs (MWK)</t>
        </is>
      </c>
      <c r="D389" s="20">
        <f>IFERROR(SUMIFS(DataEntry!$AU:$AU,DataEntry!$A:$A,"Mulanje",DataEntry!$B:$B,"Nkando"),"")</f>
        <v/>
      </c>
    </row>
    <row r="390">
      <c r="A390" s="21" t="inlineStr">
        <is>
          <t>Mulanje</t>
        </is>
      </c>
      <c r="B390" s="21" t="inlineStr">
        <is>
          <t>Nkando</t>
        </is>
      </c>
      <c r="C390" s="12" t="inlineStr">
        <is>
          <t>OpCost per m³ Produced (avg)</t>
        </is>
      </c>
      <c r="D390" s="23">
        <f>IFERROR(AVERAGEIFS(DataEntry!$AV:$AV,DataEntry!$A:$A,"Mulanje",DataEntry!$B:$B,"Nkando"),"")</f>
        <v/>
      </c>
    </row>
    <row r="391">
      <c r="A391" s="19" t="inlineStr">
        <is>
          <t>Mulanje</t>
        </is>
      </c>
      <c r="B391" s="19" t="inlineStr">
        <is>
          <t>Nkando</t>
        </is>
      </c>
      <c r="C391" s="6" t="inlineStr">
        <is>
          <t>Total Cash Collected (MWK)</t>
        </is>
      </c>
      <c r="D391" s="20">
        <f>IFERROR(SUMIFS(DataEntry!$GB:$GB,DataEntry!$A:$A,"Mulanje",DataEntry!$B:$B,"Nkando"),"")</f>
        <v/>
      </c>
    </row>
    <row r="392">
      <c r="A392" s="21" t="inlineStr">
        <is>
          <t>Mulanje</t>
        </is>
      </c>
      <c r="B392" s="21" t="inlineStr">
        <is>
          <t>Nkando</t>
        </is>
      </c>
      <c r="C392" s="12" t="inlineStr">
        <is>
          <t>Total Amount Billed (MWK)</t>
        </is>
      </c>
      <c r="D392" s="22">
        <f>IFERROR(SUMIFS(DataEntry!$GM:$GM,DataEntry!$A:$A,"Mulanje",DataEntry!$B:$B,"Nkando"),"")</f>
        <v/>
      </c>
    </row>
    <row r="393">
      <c r="A393" s="19" t="inlineStr">
        <is>
          <t>Mulanje</t>
        </is>
      </c>
      <c r="B393" s="19" t="inlineStr">
        <is>
          <t>Nkando</t>
        </is>
      </c>
      <c r="C393" s="6" t="inlineStr">
        <is>
          <t>Total Sales (MWK)</t>
        </is>
      </c>
      <c r="D393" s="20">
        <f>IFERROR(SUMIFS(DataEntry!$GX:$GX,DataEntry!$A:$A,"Mulanje",DataEntry!$B:$B,"Nkando"),"")</f>
        <v/>
      </c>
    </row>
    <row r="394">
      <c r="A394" s="21" t="inlineStr">
        <is>
          <t>Mulanje</t>
        </is>
      </c>
      <c r="B394" s="21" t="inlineStr">
        <is>
          <t>Nkando</t>
        </is>
      </c>
      <c r="C394" s="12" t="inlineStr">
        <is>
          <t>Private Debtors (MWK)</t>
        </is>
      </c>
      <c r="D394" s="22">
        <f>IFERROR(SUMIFS(DataEntry!$GY:$GY,DataEntry!$A:$A,"Mulanje",DataEntry!$B:$B,"Nkando"),"")</f>
        <v/>
      </c>
    </row>
    <row r="395">
      <c r="A395" s="19" t="inlineStr">
        <is>
          <t>Mulanje</t>
        </is>
      </c>
      <c r="B395" s="19" t="inlineStr">
        <is>
          <t>Nkando</t>
        </is>
      </c>
      <c r="C395" s="6" t="inlineStr">
        <is>
          <t>Public Debtors (MWK)</t>
        </is>
      </c>
      <c r="D395" s="20">
        <f>IFERROR(SUMIFS(DataEntry!$GZ:$GZ,DataEntry!$A:$A,"Mulanje",DataEntry!$B:$B,"Nkando"),"")</f>
        <v/>
      </c>
    </row>
    <row r="396">
      <c r="A396" s="21" t="inlineStr">
        <is>
          <t>Mulanje</t>
        </is>
      </c>
      <c r="B396" s="21" t="inlineStr">
        <is>
          <t>Nkando</t>
        </is>
      </c>
      <c r="C396" s="12" t="inlineStr">
        <is>
          <t>Total Debtors (MWK)</t>
        </is>
      </c>
      <c r="D396" s="22">
        <f>IFERROR(SUMIFS(DataEntry!$HA:$HA,DataEntry!$A:$A,"Mulanje",DataEntry!$B:$B,"Nkando"),"")</f>
        <v/>
      </c>
    </row>
    <row r="397">
      <c r="A397" s="19" t="inlineStr">
        <is>
          <t>Mulanje</t>
        </is>
      </c>
      <c r="B397" s="19" t="inlineStr">
        <is>
          <t>Nkando</t>
        </is>
      </c>
      <c r="C397" s="6" t="inlineStr">
        <is>
          <t>Cash Collection Rate (avg)</t>
        </is>
      </c>
      <c r="D397" s="24">
        <f>IFERROR(AVERAGEIFS(DataEntry!$HC:$HC,DataEntry!$A:$A,"Mulanje",DataEntry!$B:$B,"Nkando"),"")</f>
        <v/>
      </c>
    </row>
    <row r="398">
      <c r="A398" s="21" t="inlineStr">
        <is>
          <t>Mulanje</t>
        </is>
      </c>
      <c r="B398" s="21" t="inlineStr">
        <is>
          <t>Nkando</t>
        </is>
      </c>
      <c r="C398" s="12" t="inlineStr">
        <is>
          <t>OpCost / Sales (avg)</t>
        </is>
      </c>
      <c r="D398" s="23">
        <f>IFERROR(AVERAGEIFS(DataEntry!$HB:$HB,DataEntry!$A:$A,"Mulanje",DataEntry!$B:$B,"Nkando"),"")</f>
        <v/>
      </c>
    </row>
    <row r="399">
      <c r="A399" s="19" t="inlineStr">
        <is>
          <t>Mulanje</t>
        </is>
      </c>
      <c r="B399" s="19" t="inlineStr">
        <is>
          <t>Nkando</t>
        </is>
      </c>
      <c r="C399" s="6" t="inlineStr">
        <is>
          <t>Total Active Customers (end)</t>
        </is>
      </c>
      <c r="D399" s="20">
        <f>IFERROR(SUMIFS(DataEntry!$CS:$CS,DataEntry!$A:$A,"Mulanje",DataEntry!$B:$B,"Nkando"),"")</f>
        <v/>
      </c>
    </row>
    <row r="400">
      <c r="A400" s="21" t="inlineStr">
        <is>
          <t>Mulanje</t>
        </is>
      </c>
      <c r="B400" s="21" t="inlineStr">
        <is>
          <t>Nkando</t>
        </is>
      </c>
      <c r="C400" s="12" t="inlineStr">
        <is>
          <t>Total Metered Consumers (end)</t>
        </is>
      </c>
      <c r="D400" s="22">
        <f>IFERROR(SUMIFS(DataEntry!$CT:$CT,DataEntry!$A:$A,"Mulanje",DataEntry!$B:$B,"Nkando"),"")</f>
        <v/>
      </c>
    </row>
    <row r="401">
      <c r="A401" s="19" t="inlineStr">
        <is>
          <t>Mulanje</t>
        </is>
      </c>
      <c r="B401" s="19" t="inlineStr">
        <is>
          <t>Nkando</t>
        </is>
      </c>
      <c r="C401" s="6" t="inlineStr">
        <is>
          <t>Population Supplied (end)</t>
        </is>
      </c>
      <c r="D401" s="20">
        <f>IFERROR(SUMIFS(DataEntry!$CV:$CV,DataEntry!$A:$A,"Mulanje",DataEntry!$B:$B,"Nkando"),"")</f>
        <v/>
      </c>
    </row>
    <row r="402">
      <c r="A402" s="21" t="inlineStr">
        <is>
          <t>Mulanje</t>
        </is>
      </c>
      <c r="B402" s="21" t="inlineStr">
        <is>
          <t>Nkando</t>
        </is>
      </c>
      <c r="C402" s="12" t="inlineStr">
        <is>
          <t>% Population Supplied (avg)</t>
        </is>
      </c>
      <c r="D402" s="23">
        <f>IFERROR(AVERAGEIFS(DataEntry!$CW:$CW,DataEntry!$A:$A,"Mulanje",DataEntry!$B:$B,"Nkando"),"")</f>
        <v/>
      </c>
    </row>
    <row r="403">
      <c r="A403" s="19" t="inlineStr">
        <is>
          <t>Mulanje</t>
        </is>
      </c>
      <c r="B403" s="19" t="inlineStr">
        <is>
          <t>Nkando</t>
        </is>
      </c>
      <c r="C403" s="6" t="inlineStr">
        <is>
          <t>New Connections Total Done</t>
        </is>
      </c>
      <c r="D403" s="20">
        <f>IFERROR(SUMIFS(DataEntry!$CA:$CA,DataEntry!$A:$A,"Mulanje",DataEntry!$B:$B,"Nkando"),"")</f>
        <v/>
      </c>
    </row>
    <row r="404">
      <c r="A404" s="21" t="inlineStr">
        <is>
          <t>Mulanje</t>
        </is>
      </c>
      <c r="B404" s="21" t="inlineStr">
        <is>
          <t>Nkando</t>
        </is>
      </c>
      <c r="C404" s="12" t="inlineStr">
        <is>
          <t>Stuck Meters Carried Fwd</t>
        </is>
      </c>
      <c r="D404" s="22">
        <f>IFERROR(SUMIFS(DataEntry!$DV:$DV,DataEntry!$A:$A,"Mulanje",DataEntry!$B:$B,"Nkando"),"")</f>
        <v/>
      </c>
    </row>
    <row r="405">
      <c r="A405" s="19" t="inlineStr">
        <is>
          <t>Mulanje</t>
        </is>
      </c>
      <c r="B405" s="19" t="inlineStr">
        <is>
          <t>Nkando</t>
        </is>
      </c>
      <c r="C405" s="6" t="inlineStr">
        <is>
          <t>Total Pipe Breakdowns</t>
        </is>
      </c>
      <c r="D405" s="20">
        <f>IFERROR(SUMIFS(DataEntry!$FG:$FG,DataEntry!$A:$A,"Mulanje",DataEntry!$B:$B,"Nkando"),"")</f>
        <v/>
      </c>
    </row>
    <row r="406">
      <c r="A406" s="21" t="inlineStr">
        <is>
          <t>Mulanje</t>
        </is>
      </c>
      <c r="B406" s="21" t="inlineStr">
        <is>
          <t>Nkando</t>
        </is>
      </c>
      <c r="C406" s="12" t="inlineStr">
        <is>
          <t>Connectivity Rate (avg)</t>
        </is>
      </c>
      <c r="D406" s="23">
        <f>IFERROR(AVERAGEIFS(DataEntry!$HK:$HK,DataEntry!$A:$A,"Mulanje",DataEntry!$B:$B,"Nkando"),"")</f>
        <v/>
      </c>
    </row>
    <row r="407">
      <c r="A407" s="19" t="inlineStr">
        <is>
          <t>Mulanje</t>
        </is>
      </c>
      <c r="B407" s="19" t="inlineStr">
        <is>
          <t>Nkando</t>
        </is>
      </c>
      <c r="C407" s="6" t="inlineStr">
        <is>
          <t>Response Time avg (days)</t>
        </is>
      </c>
      <c r="D407" s="24">
        <f>IFERROR(AVERAGEIFS(DataEntry!$HN:$HN,DataEntry!$A:$A,"Mulanje",DataEntry!$B:$B,"Nkando"),"")</f>
        <v/>
      </c>
    </row>
    <row r="408">
      <c r="A408" s="21" t="inlineStr">
        <is>
          <t>Mulanje</t>
        </is>
      </c>
      <c r="B408" s="21" t="inlineStr">
        <is>
          <t>Phalombe</t>
        </is>
      </c>
      <c r="C408" s="12" t="inlineStr">
        <is>
          <t>Volume Produced (m³)</t>
        </is>
      </c>
      <c r="D408" s="22">
        <f>IFERROR(SUMIFS(DataEntry!$H:$H,DataEntry!$A:$A,"Mulanje",DataEntry!$B:$B,"Phalombe"),"")</f>
        <v/>
      </c>
    </row>
    <row r="409">
      <c r="A409" s="19" t="inlineStr">
        <is>
          <t>Mulanje</t>
        </is>
      </c>
      <c r="B409" s="19" t="inlineStr">
        <is>
          <t>Phalombe</t>
        </is>
      </c>
      <c r="C409" s="6" t="inlineStr">
        <is>
          <t>Total Revenue Water (m³)</t>
        </is>
      </c>
      <c r="D409" s="20">
        <f>IFERROR(SUMIFS(DataEntry!$S:$S,DataEntry!$A:$A,"Mulanje",DataEntry!$B:$B,"Phalombe"),"")</f>
        <v/>
      </c>
    </row>
    <row r="410">
      <c r="A410" s="21" t="inlineStr">
        <is>
          <t>Mulanje</t>
        </is>
      </c>
      <c r="B410" s="21" t="inlineStr">
        <is>
          <t>Phalombe</t>
        </is>
      </c>
      <c r="C410" s="12" t="inlineStr">
        <is>
          <t>Non-Revenue Water (m³)</t>
        </is>
      </c>
      <c r="D410" s="22">
        <f>IFERROR(SUMIFS(DataEntry!$T:$T,DataEntry!$A:$A,"Mulanje",DataEntry!$B:$B,"Phalombe"),"")</f>
        <v/>
      </c>
    </row>
    <row r="411">
      <c r="A411" s="19" t="inlineStr">
        <is>
          <t>Mulanje</t>
        </is>
      </c>
      <c r="B411" s="19" t="inlineStr">
        <is>
          <t>Phalombe</t>
        </is>
      </c>
      <c r="C411" s="6" t="inlineStr">
        <is>
          <t>% NRW (avg)</t>
        </is>
      </c>
      <c r="D411" s="24">
        <f>IFERROR(AVERAGEIFS(DataEntry!$U:$U,DataEntry!$A:$A,"Mulanje",DataEntry!$B:$B,"Phalombe"),"")</f>
        <v/>
      </c>
    </row>
    <row r="412">
      <c r="A412" s="21" t="inlineStr">
        <is>
          <t>Mulanje</t>
        </is>
      </c>
      <c r="B412" s="21" t="inlineStr">
        <is>
          <t>Phalombe</t>
        </is>
      </c>
      <c r="C412" s="12" t="inlineStr">
        <is>
          <t>Chlorine Used (kg)</t>
        </is>
      </c>
      <c r="D412" s="22">
        <f>IFERROR(SUMIFS(DataEntry!$V:$V,DataEntry!$A:$A,"Mulanje",DataEntry!$B:$B,"Phalombe"),"")</f>
        <v/>
      </c>
    </row>
    <row r="413">
      <c r="A413" s="19" t="inlineStr">
        <is>
          <t>Mulanje</t>
        </is>
      </c>
      <c r="B413" s="19" t="inlineStr">
        <is>
          <t>Phalombe</t>
        </is>
      </c>
      <c r="C413" s="6" t="inlineStr">
        <is>
          <t>Cost of Chemicals (MWK)</t>
        </is>
      </c>
      <c r="D413" s="20">
        <f>IFERROR(SUMIFS(DataEntry!$AH:$AH,DataEntry!$A:$A,"Mulanje",DataEntry!$B:$B,"Phalombe"),"")</f>
        <v/>
      </c>
    </row>
    <row r="414">
      <c r="A414" s="21" t="inlineStr">
        <is>
          <t>Mulanje</t>
        </is>
      </c>
      <c r="B414" s="21" t="inlineStr">
        <is>
          <t>Phalombe</t>
        </is>
      </c>
      <c r="C414" s="12" t="inlineStr">
        <is>
          <t>Cost of Power (MWK)</t>
        </is>
      </c>
      <c r="D414" s="22">
        <f>IFERROR(SUMIFS(DataEntry!$AL:$AL,DataEntry!$A:$A,"Mulanje",DataEntry!$B:$B,"Phalombe"),"")</f>
        <v/>
      </c>
    </row>
    <row r="415">
      <c r="A415" s="19" t="inlineStr">
        <is>
          <t>Mulanje</t>
        </is>
      </c>
      <c r="B415" s="19" t="inlineStr">
        <is>
          <t>Phalombe</t>
        </is>
      </c>
      <c r="C415" s="6" t="inlineStr">
        <is>
          <t>Cost of Fuel (MWK)</t>
        </is>
      </c>
      <c r="D415" s="20">
        <f>IFERROR(SUMIFS(DataEntry!$AP:$AP,DataEntry!$A:$A,"Mulanje",DataEntry!$B:$B,"Phalombe"),"")</f>
        <v/>
      </c>
    </row>
    <row r="416">
      <c r="A416" s="21" t="inlineStr">
        <is>
          <t>Mulanje</t>
        </is>
      </c>
      <c r="B416" s="21" t="inlineStr">
        <is>
          <t>Phalombe</t>
        </is>
      </c>
      <c r="C416" s="12" t="inlineStr">
        <is>
          <t>Total Operating Costs (MWK)</t>
        </is>
      </c>
      <c r="D416" s="22">
        <f>IFERROR(SUMIFS(DataEntry!$AU:$AU,DataEntry!$A:$A,"Mulanje",DataEntry!$B:$B,"Phalombe"),"")</f>
        <v/>
      </c>
    </row>
    <row r="417">
      <c r="A417" s="19" t="inlineStr">
        <is>
          <t>Mulanje</t>
        </is>
      </c>
      <c r="B417" s="19" t="inlineStr">
        <is>
          <t>Phalombe</t>
        </is>
      </c>
      <c r="C417" s="6" t="inlineStr">
        <is>
          <t>OpCost per m³ Produced (avg)</t>
        </is>
      </c>
      <c r="D417" s="24">
        <f>IFERROR(AVERAGEIFS(DataEntry!$AV:$AV,DataEntry!$A:$A,"Mulanje",DataEntry!$B:$B,"Phalombe"),"")</f>
        <v/>
      </c>
    </row>
    <row r="418">
      <c r="A418" s="21" t="inlineStr">
        <is>
          <t>Mulanje</t>
        </is>
      </c>
      <c r="B418" s="21" t="inlineStr">
        <is>
          <t>Phalombe</t>
        </is>
      </c>
      <c r="C418" s="12" t="inlineStr">
        <is>
          <t>Total Cash Collected (MWK)</t>
        </is>
      </c>
      <c r="D418" s="22">
        <f>IFERROR(SUMIFS(DataEntry!$GB:$GB,DataEntry!$A:$A,"Mulanje",DataEntry!$B:$B,"Phalombe"),"")</f>
        <v/>
      </c>
    </row>
    <row r="419">
      <c r="A419" s="19" t="inlineStr">
        <is>
          <t>Mulanje</t>
        </is>
      </c>
      <c r="B419" s="19" t="inlineStr">
        <is>
          <t>Phalombe</t>
        </is>
      </c>
      <c r="C419" s="6" t="inlineStr">
        <is>
          <t>Total Amount Billed (MWK)</t>
        </is>
      </c>
      <c r="D419" s="20">
        <f>IFERROR(SUMIFS(DataEntry!$GM:$GM,DataEntry!$A:$A,"Mulanje",DataEntry!$B:$B,"Phalombe"),"")</f>
        <v/>
      </c>
    </row>
    <row r="420">
      <c r="A420" s="21" t="inlineStr">
        <is>
          <t>Mulanje</t>
        </is>
      </c>
      <c r="B420" s="21" t="inlineStr">
        <is>
          <t>Phalombe</t>
        </is>
      </c>
      <c r="C420" s="12" t="inlineStr">
        <is>
          <t>Total Sales (MWK)</t>
        </is>
      </c>
      <c r="D420" s="22">
        <f>IFERROR(SUMIFS(DataEntry!$GX:$GX,DataEntry!$A:$A,"Mulanje",DataEntry!$B:$B,"Phalombe"),"")</f>
        <v/>
      </c>
    </row>
    <row r="421">
      <c r="A421" s="19" t="inlineStr">
        <is>
          <t>Mulanje</t>
        </is>
      </c>
      <c r="B421" s="19" t="inlineStr">
        <is>
          <t>Phalombe</t>
        </is>
      </c>
      <c r="C421" s="6" t="inlineStr">
        <is>
          <t>Private Debtors (MWK)</t>
        </is>
      </c>
      <c r="D421" s="20">
        <f>IFERROR(SUMIFS(DataEntry!$GY:$GY,DataEntry!$A:$A,"Mulanje",DataEntry!$B:$B,"Phalombe"),"")</f>
        <v/>
      </c>
    </row>
    <row r="422">
      <c r="A422" s="21" t="inlineStr">
        <is>
          <t>Mulanje</t>
        </is>
      </c>
      <c r="B422" s="21" t="inlineStr">
        <is>
          <t>Phalombe</t>
        </is>
      </c>
      <c r="C422" s="12" t="inlineStr">
        <is>
          <t>Public Debtors (MWK)</t>
        </is>
      </c>
      <c r="D422" s="22">
        <f>IFERROR(SUMIFS(DataEntry!$GZ:$GZ,DataEntry!$A:$A,"Mulanje",DataEntry!$B:$B,"Phalombe"),"")</f>
        <v/>
      </c>
    </row>
    <row r="423">
      <c r="A423" s="19" t="inlineStr">
        <is>
          <t>Mulanje</t>
        </is>
      </c>
      <c r="B423" s="19" t="inlineStr">
        <is>
          <t>Phalombe</t>
        </is>
      </c>
      <c r="C423" s="6" t="inlineStr">
        <is>
          <t>Total Debtors (MWK)</t>
        </is>
      </c>
      <c r="D423" s="20">
        <f>IFERROR(SUMIFS(DataEntry!$HA:$HA,DataEntry!$A:$A,"Mulanje",DataEntry!$B:$B,"Phalombe"),"")</f>
        <v/>
      </c>
    </row>
    <row r="424">
      <c r="A424" s="21" t="inlineStr">
        <is>
          <t>Mulanje</t>
        </is>
      </c>
      <c r="B424" s="21" t="inlineStr">
        <is>
          <t>Phalombe</t>
        </is>
      </c>
      <c r="C424" s="12" t="inlineStr">
        <is>
          <t>Cash Collection Rate (avg)</t>
        </is>
      </c>
      <c r="D424" s="23">
        <f>IFERROR(AVERAGEIFS(DataEntry!$HC:$HC,DataEntry!$A:$A,"Mulanje",DataEntry!$B:$B,"Phalombe"),"")</f>
        <v/>
      </c>
    </row>
    <row r="425">
      <c r="A425" s="19" t="inlineStr">
        <is>
          <t>Mulanje</t>
        </is>
      </c>
      <c r="B425" s="19" t="inlineStr">
        <is>
          <t>Phalombe</t>
        </is>
      </c>
      <c r="C425" s="6" t="inlineStr">
        <is>
          <t>OpCost / Sales (avg)</t>
        </is>
      </c>
      <c r="D425" s="24">
        <f>IFERROR(AVERAGEIFS(DataEntry!$HB:$HB,DataEntry!$A:$A,"Mulanje",DataEntry!$B:$B,"Phalombe"),"")</f>
        <v/>
      </c>
    </row>
    <row r="426">
      <c r="A426" s="21" t="inlineStr">
        <is>
          <t>Mulanje</t>
        </is>
      </c>
      <c r="B426" s="21" t="inlineStr">
        <is>
          <t>Phalombe</t>
        </is>
      </c>
      <c r="C426" s="12" t="inlineStr">
        <is>
          <t>Total Active Customers (end)</t>
        </is>
      </c>
      <c r="D426" s="22">
        <f>IFERROR(SUMIFS(DataEntry!$CS:$CS,DataEntry!$A:$A,"Mulanje",DataEntry!$B:$B,"Phalombe"),"")</f>
        <v/>
      </c>
    </row>
    <row r="427">
      <c r="A427" s="19" t="inlineStr">
        <is>
          <t>Mulanje</t>
        </is>
      </c>
      <c r="B427" s="19" t="inlineStr">
        <is>
          <t>Phalombe</t>
        </is>
      </c>
      <c r="C427" s="6" t="inlineStr">
        <is>
          <t>Total Metered Consumers (end)</t>
        </is>
      </c>
      <c r="D427" s="20">
        <f>IFERROR(SUMIFS(DataEntry!$CT:$CT,DataEntry!$A:$A,"Mulanje",DataEntry!$B:$B,"Phalombe"),"")</f>
        <v/>
      </c>
    </row>
    <row r="428">
      <c r="A428" s="21" t="inlineStr">
        <is>
          <t>Mulanje</t>
        </is>
      </c>
      <c r="B428" s="21" t="inlineStr">
        <is>
          <t>Phalombe</t>
        </is>
      </c>
      <c r="C428" s="12" t="inlineStr">
        <is>
          <t>Population Supplied (end)</t>
        </is>
      </c>
      <c r="D428" s="22">
        <f>IFERROR(SUMIFS(DataEntry!$CV:$CV,DataEntry!$A:$A,"Mulanje",DataEntry!$B:$B,"Phalombe"),"")</f>
        <v/>
      </c>
    </row>
    <row r="429">
      <c r="A429" s="19" t="inlineStr">
        <is>
          <t>Mulanje</t>
        </is>
      </c>
      <c r="B429" s="19" t="inlineStr">
        <is>
          <t>Phalombe</t>
        </is>
      </c>
      <c r="C429" s="6" t="inlineStr">
        <is>
          <t>% Population Supplied (avg)</t>
        </is>
      </c>
      <c r="D429" s="24">
        <f>IFERROR(AVERAGEIFS(DataEntry!$CW:$CW,DataEntry!$A:$A,"Mulanje",DataEntry!$B:$B,"Phalombe"),"")</f>
        <v/>
      </c>
    </row>
    <row r="430">
      <c r="A430" s="21" t="inlineStr">
        <is>
          <t>Mulanje</t>
        </is>
      </c>
      <c r="B430" s="21" t="inlineStr">
        <is>
          <t>Phalombe</t>
        </is>
      </c>
      <c r="C430" s="12" t="inlineStr">
        <is>
          <t>New Connections Total Done</t>
        </is>
      </c>
      <c r="D430" s="22">
        <f>IFERROR(SUMIFS(DataEntry!$CA:$CA,DataEntry!$A:$A,"Mulanje",DataEntry!$B:$B,"Phalombe"),"")</f>
        <v/>
      </c>
    </row>
    <row r="431">
      <c r="A431" s="19" t="inlineStr">
        <is>
          <t>Mulanje</t>
        </is>
      </c>
      <c r="B431" s="19" t="inlineStr">
        <is>
          <t>Phalombe</t>
        </is>
      </c>
      <c r="C431" s="6" t="inlineStr">
        <is>
          <t>Stuck Meters Carried Fwd</t>
        </is>
      </c>
      <c r="D431" s="20">
        <f>IFERROR(SUMIFS(DataEntry!$DV:$DV,DataEntry!$A:$A,"Mulanje",DataEntry!$B:$B,"Phalombe"),"")</f>
        <v/>
      </c>
    </row>
    <row r="432">
      <c r="A432" s="21" t="inlineStr">
        <is>
          <t>Mulanje</t>
        </is>
      </c>
      <c r="B432" s="21" t="inlineStr">
        <is>
          <t>Phalombe</t>
        </is>
      </c>
      <c r="C432" s="12" t="inlineStr">
        <is>
          <t>Total Pipe Breakdowns</t>
        </is>
      </c>
      <c r="D432" s="22">
        <f>IFERROR(SUMIFS(DataEntry!$FG:$FG,DataEntry!$A:$A,"Mulanje",DataEntry!$B:$B,"Phalombe"),"")</f>
        <v/>
      </c>
    </row>
    <row r="433">
      <c r="A433" s="19" t="inlineStr">
        <is>
          <t>Mulanje</t>
        </is>
      </c>
      <c r="B433" s="19" t="inlineStr">
        <is>
          <t>Phalombe</t>
        </is>
      </c>
      <c r="C433" s="6" t="inlineStr">
        <is>
          <t>Connectivity Rate (avg)</t>
        </is>
      </c>
      <c r="D433" s="24">
        <f>IFERROR(AVERAGEIFS(DataEntry!$HK:$HK,DataEntry!$A:$A,"Mulanje",DataEntry!$B:$B,"Phalombe"),"")</f>
        <v/>
      </c>
    </row>
    <row r="434">
      <c r="A434" s="21" t="inlineStr">
        <is>
          <t>Mulanje</t>
        </is>
      </c>
      <c r="B434" s="21" t="inlineStr">
        <is>
          <t>Phalombe</t>
        </is>
      </c>
      <c r="C434" s="12" t="inlineStr">
        <is>
          <t>Response Time avg (days)</t>
        </is>
      </c>
      <c r="D434" s="23">
        <f>IFERROR(AVERAGEIFS(DataEntry!$HN:$HN,DataEntry!$A:$A,"Mulanje",DataEntry!$B:$B,"Phalombe"),"")</f>
        <v/>
      </c>
    </row>
    <row r="435">
      <c r="A435" s="19" t="inlineStr">
        <is>
          <t>Mulanje</t>
        </is>
      </c>
      <c r="B435" s="19" t="inlineStr">
        <is>
          <t>Thyolo</t>
        </is>
      </c>
      <c r="C435" s="6" t="inlineStr">
        <is>
          <t>Volume Produced (m³)</t>
        </is>
      </c>
      <c r="D435" s="20">
        <f>IFERROR(SUMIFS(DataEntry!$H:$H,DataEntry!$A:$A,"Mulanje",DataEntry!$B:$B,"Thyolo"),"")</f>
        <v/>
      </c>
    </row>
    <row r="436">
      <c r="A436" s="21" t="inlineStr">
        <is>
          <t>Mulanje</t>
        </is>
      </c>
      <c r="B436" s="21" t="inlineStr">
        <is>
          <t>Thyolo</t>
        </is>
      </c>
      <c r="C436" s="12" t="inlineStr">
        <is>
          <t>Total Revenue Water (m³)</t>
        </is>
      </c>
      <c r="D436" s="22">
        <f>IFERROR(SUMIFS(DataEntry!$S:$S,DataEntry!$A:$A,"Mulanje",DataEntry!$B:$B,"Thyolo"),"")</f>
        <v/>
      </c>
    </row>
    <row r="437">
      <c r="A437" s="19" t="inlineStr">
        <is>
          <t>Mulanje</t>
        </is>
      </c>
      <c r="B437" s="19" t="inlineStr">
        <is>
          <t>Thyolo</t>
        </is>
      </c>
      <c r="C437" s="6" t="inlineStr">
        <is>
          <t>Non-Revenue Water (m³)</t>
        </is>
      </c>
      <c r="D437" s="20">
        <f>IFERROR(SUMIFS(DataEntry!$T:$T,DataEntry!$A:$A,"Mulanje",DataEntry!$B:$B,"Thyolo"),"")</f>
        <v/>
      </c>
    </row>
    <row r="438">
      <c r="A438" s="21" t="inlineStr">
        <is>
          <t>Mulanje</t>
        </is>
      </c>
      <c r="B438" s="21" t="inlineStr">
        <is>
          <t>Thyolo</t>
        </is>
      </c>
      <c r="C438" s="12" t="inlineStr">
        <is>
          <t>% NRW (avg)</t>
        </is>
      </c>
      <c r="D438" s="23">
        <f>IFERROR(AVERAGEIFS(DataEntry!$U:$U,DataEntry!$A:$A,"Mulanje",DataEntry!$B:$B,"Thyolo"),"")</f>
        <v/>
      </c>
    </row>
    <row r="439">
      <c r="A439" s="19" t="inlineStr">
        <is>
          <t>Mulanje</t>
        </is>
      </c>
      <c r="B439" s="19" t="inlineStr">
        <is>
          <t>Thyolo</t>
        </is>
      </c>
      <c r="C439" s="6" t="inlineStr">
        <is>
          <t>Chlorine Used (kg)</t>
        </is>
      </c>
      <c r="D439" s="20">
        <f>IFERROR(SUMIFS(DataEntry!$V:$V,DataEntry!$A:$A,"Mulanje",DataEntry!$B:$B,"Thyolo"),"")</f>
        <v/>
      </c>
    </row>
    <row r="440">
      <c r="A440" s="21" t="inlineStr">
        <is>
          <t>Mulanje</t>
        </is>
      </c>
      <c r="B440" s="21" t="inlineStr">
        <is>
          <t>Thyolo</t>
        </is>
      </c>
      <c r="C440" s="12" t="inlineStr">
        <is>
          <t>Cost of Chemicals (MWK)</t>
        </is>
      </c>
      <c r="D440" s="22">
        <f>IFERROR(SUMIFS(DataEntry!$AH:$AH,DataEntry!$A:$A,"Mulanje",DataEntry!$B:$B,"Thyolo"),"")</f>
        <v/>
      </c>
    </row>
    <row r="441">
      <c r="A441" s="19" t="inlineStr">
        <is>
          <t>Mulanje</t>
        </is>
      </c>
      <c r="B441" s="19" t="inlineStr">
        <is>
          <t>Thyolo</t>
        </is>
      </c>
      <c r="C441" s="6" t="inlineStr">
        <is>
          <t>Cost of Power (MWK)</t>
        </is>
      </c>
      <c r="D441" s="20">
        <f>IFERROR(SUMIFS(DataEntry!$AL:$AL,DataEntry!$A:$A,"Mulanje",DataEntry!$B:$B,"Thyolo"),"")</f>
        <v/>
      </c>
    </row>
    <row r="442">
      <c r="A442" s="21" t="inlineStr">
        <is>
          <t>Mulanje</t>
        </is>
      </c>
      <c r="B442" s="21" t="inlineStr">
        <is>
          <t>Thyolo</t>
        </is>
      </c>
      <c r="C442" s="12" t="inlineStr">
        <is>
          <t>Cost of Fuel (MWK)</t>
        </is>
      </c>
      <c r="D442" s="22">
        <f>IFERROR(SUMIFS(DataEntry!$AP:$AP,DataEntry!$A:$A,"Mulanje",DataEntry!$B:$B,"Thyolo"),"")</f>
        <v/>
      </c>
    </row>
    <row r="443">
      <c r="A443" s="19" t="inlineStr">
        <is>
          <t>Mulanje</t>
        </is>
      </c>
      <c r="B443" s="19" t="inlineStr">
        <is>
          <t>Thyolo</t>
        </is>
      </c>
      <c r="C443" s="6" t="inlineStr">
        <is>
          <t>Total Operating Costs (MWK)</t>
        </is>
      </c>
      <c r="D443" s="20">
        <f>IFERROR(SUMIFS(DataEntry!$AU:$AU,DataEntry!$A:$A,"Mulanje",DataEntry!$B:$B,"Thyolo"),"")</f>
        <v/>
      </c>
    </row>
    <row r="444">
      <c r="A444" s="21" t="inlineStr">
        <is>
          <t>Mulanje</t>
        </is>
      </c>
      <c r="B444" s="21" t="inlineStr">
        <is>
          <t>Thyolo</t>
        </is>
      </c>
      <c r="C444" s="12" t="inlineStr">
        <is>
          <t>OpCost per m³ Produced (avg)</t>
        </is>
      </c>
      <c r="D444" s="23">
        <f>IFERROR(AVERAGEIFS(DataEntry!$AV:$AV,DataEntry!$A:$A,"Mulanje",DataEntry!$B:$B,"Thyolo"),"")</f>
        <v/>
      </c>
    </row>
    <row r="445">
      <c r="A445" s="19" t="inlineStr">
        <is>
          <t>Mulanje</t>
        </is>
      </c>
      <c r="B445" s="19" t="inlineStr">
        <is>
          <t>Thyolo</t>
        </is>
      </c>
      <c r="C445" s="6" t="inlineStr">
        <is>
          <t>Total Cash Collected (MWK)</t>
        </is>
      </c>
      <c r="D445" s="20">
        <f>IFERROR(SUMIFS(DataEntry!$GB:$GB,DataEntry!$A:$A,"Mulanje",DataEntry!$B:$B,"Thyolo"),"")</f>
        <v/>
      </c>
    </row>
    <row r="446">
      <c r="A446" s="21" t="inlineStr">
        <is>
          <t>Mulanje</t>
        </is>
      </c>
      <c r="B446" s="21" t="inlineStr">
        <is>
          <t>Thyolo</t>
        </is>
      </c>
      <c r="C446" s="12" t="inlineStr">
        <is>
          <t>Total Amount Billed (MWK)</t>
        </is>
      </c>
      <c r="D446" s="22">
        <f>IFERROR(SUMIFS(DataEntry!$GM:$GM,DataEntry!$A:$A,"Mulanje",DataEntry!$B:$B,"Thyolo"),"")</f>
        <v/>
      </c>
    </row>
    <row r="447">
      <c r="A447" s="19" t="inlineStr">
        <is>
          <t>Mulanje</t>
        </is>
      </c>
      <c r="B447" s="19" t="inlineStr">
        <is>
          <t>Thyolo</t>
        </is>
      </c>
      <c r="C447" s="6" t="inlineStr">
        <is>
          <t>Total Sales (MWK)</t>
        </is>
      </c>
      <c r="D447" s="20">
        <f>IFERROR(SUMIFS(DataEntry!$GX:$GX,DataEntry!$A:$A,"Mulanje",DataEntry!$B:$B,"Thyolo"),"")</f>
        <v/>
      </c>
    </row>
    <row r="448">
      <c r="A448" s="21" t="inlineStr">
        <is>
          <t>Mulanje</t>
        </is>
      </c>
      <c r="B448" s="21" t="inlineStr">
        <is>
          <t>Thyolo</t>
        </is>
      </c>
      <c r="C448" s="12" t="inlineStr">
        <is>
          <t>Private Debtors (MWK)</t>
        </is>
      </c>
      <c r="D448" s="22">
        <f>IFERROR(SUMIFS(DataEntry!$GY:$GY,DataEntry!$A:$A,"Mulanje",DataEntry!$B:$B,"Thyolo"),"")</f>
        <v/>
      </c>
    </row>
    <row r="449">
      <c r="A449" s="19" t="inlineStr">
        <is>
          <t>Mulanje</t>
        </is>
      </c>
      <c r="B449" s="19" t="inlineStr">
        <is>
          <t>Thyolo</t>
        </is>
      </c>
      <c r="C449" s="6" t="inlineStr">
        <is>
          <t>Public Debtors (MWK)</t>
        </is>
      </c>
      <c r="D449" s="20">
        <f>IFERROR(SUMIFS(DataEntry!$GZ:$GZ,DataEntry!$A:$A,"Mulanje",DataEntry!$B:$B,"Thyolo"),"")</f>
        <v/>
      </c>
    </row>
    <row r="450">
      <c r="A450" s="21" t="inlineStr">
        <is>
          <t>Mulanje</t>
        </is>
      </c>
      <c r="B450" s="21" t="inlineStr">
        <is>
          <t>Thyolo</t>
        </is>
      </c>
      <c r="C450" s="12" t="inlineStr">
        <is>
          <t>Total Debtors (MWK)</t>
        </is>
      </c>
      <c r="D450" s="22">
        <f>IFERROR(SUMIFS(DataEntry!$HA:$HA,DataEntry!$A:$A,"Mulanje",DataEntry!$B:$B,"Thyolo"),"")</f>
        <v/>
      </c>
    </row>
    <row r="451">
      <c r="A451" s="19" t="inlineStr">
        <is>
          <t>Mulanje</t>
        </is>
      </c>
      <c r="B451" s="19" t="inlineStr">
        <is>
          <t>Thyolo</t>
        </is>
      </c>
      <c r="C451" s="6" t="inlineStr">
        <is>
          <t>Cash Collection Rate (avg)</t>
        </is>
      </c>
      <c r="D451" s="24">
        <f>IFERROR(AVERAGEIFS(DataEntry!$HC:$HC,DataEntry!$A:$A,"Mulanje",DataEntry!$B:$B,"Thyolo"),"")</f>
        <v/>
      </c>
    </row>
    <row r="452">
      <c r="A452" s="21" t="inlineStr">
        <is>
          <t>Mulanje</t>
        </is>
      </c>
      <c r="B452" s="21" t="inlineStr">
        <is>
          <t>Thyolo</t>
        </is>
      </c>
      <c r="C452" s="12" t="inlineStr">
        <is>
          <t>OpCost / Sales (avg)</t>
        </is>
      </c>
      <c r="D452" s="23">
        <f>IFERROR(AVERAGEIFS(DataEntry!$HB:$HB,DataEntry!$A:$A,"Mulanje",DataEntry!$B:$B,"Thyolo"),"")</f>
        <v/>
      </c>
    </row>
    <row r="453">
      <c r="A453" s="19" t="inlineStr">
        <is>
          <t>Mulanje</t>
        </is>
      </c>
      <c r="B453" s="19" t="inlineStr">
        <is>
          <t>Thyolo</t>
        </is>
      </c>
      <c r="C453" s="6" t="inlineStr">
        <is>
          <t>Total Active Customers (end)</t>
        </is>
      </c>
      <c r="D453" s="20">
        <f>IFERROR(SUMIFS(DataEntry!$CS:$CS,DataEntry!$A:$A,"Mulanje",DataEntry!$B:$B,"Thyolo"),"")</f>
        <v/>
      </c>
    </row>
    <row r="454">
      <c r="A454" s="21" t="inlineStr">
        <is>
          <t>Mulanje</t>
        </is>
      </c>
      <c r="B454" s="21" t="inlineStr">
        <is>
          <t>Thyolo</t>
        </is>
      </c>
      <c r="C454" s="12" t="inlineStr">
        <is>
          <t>Total Metered Consumers (end)</t>
        </is>
      </c>
      <c r="D454" s="22">
        <f>IFERROR(SUMIFS(DataEntry!$CT:$CT,DataEntry!$A:$A,"Mulanje",DataEntry!$B:$B,"Thyolo"),"")</f>
        <v/>
      </c>
    </row>
    <row r="455">
      <c r="A455" s="19" t="inlineStr">
        <is>
          <t>Mulanje</t>
        </is>
      </c>
      <c r="B455" s="19" t="inlineStr">
        <is>
          <t>Thyolo</t>
        </is>
      </c>
      <c r="C455" s="6" t="inlineStr">
        <is>
          <t>Population Supplied (end)</t>
        </is>
      </c>
      <c r="D455" s="20">
        <f>IFERROR(SUMIFS(DataEntry!$CV:$CV,DataEntry!$A:$A,"Mulanje",DataEntry!$B:$B,"Thyolo"),"")</f>
        <v/>
      </c>
    </row>
    <row r="456">
      <c r="A456" s="21" t="inlineStr">
        <is>
          <t>Mulanje</t>
        </is>
      </c>
      <c r="B456" s="21" t="inlineStr">
        <is>
          <t>Thyolo</t>
        </is>
      </c>
      <c r="C456" s="12" t="inlineStr">
        <is>
          <t>% Population Supplied (avg)</t>
        </is>
      </c>
      <c r="D456" s="23">
        <f>IFERROR(AVERAGEIFS(DataEntry!$CW:$CW,DataEntry!$A:$A,"Mulanje",DataEntry!$B:$B,"Thyolo"),"")</f>
        <v/>
      </c>
    </row>
    <row r="457">
      <c r="A457" s="19" t="inlineStr">
        <is>
          <t>Mulanje</t>
        </is>
      </c>
      <c r="B457" s="19" t="inlineStr">
        <is>
          <t>Thyolo</t>
        </is>
      </c>
      <c r="C457" s="6" t="inlineStr">
        <is>
          <t>New Connections Total Done</t>
        </is>
      </c>
      <c r="D457" s="20">
        <f>IFERROR(SUMIFS(DataEntry!$CA:$CA,DataEntry!$A:$A,"Mulanje",DataEntry!$B:$B,"Thyolo"),"")</f>
        <v/>
      </c>
    </row>
    <row r="458">
      <c r="A458" s="21" t="inlineStr">
        <is>
          <t>Mulanje</t>
        </is>
      </c>
      <c r="B458" s="21" t="inlineStr">
        <is>
          <t>Thyolo</t>
        </is>
      </c>
      <c r="C458" s="12" t="inlineStr">
        <is>
          <t>Stuck Meters Carried Fwd</t>
        </is>
      </c>
      <c r="D458" s="22">
        <f>IFERROR(SUMIFS(DataEntry!$DV:$DV,DataEntry!$A:$A,"Mulanje",DataEntry!$B:$B,"Thyolo"),"")</f>
        <v/>
      </c>
    </row>
    <row r="459">
      <c r="A459" s="19" t="inlineStr">
        <is>
          <t>Mulanje</t>
        </is>
      </c>
      <c r="B459" s="19" t="inlineStr">
        <is>
          <t>Thyolo</t>
        </is>
      </c>
      <c r="C459" s="6" t="inlineStr">
        <is>
          <t>Total Pipe Breakdowns</t>
        </is>
      </c>
      <c r="D459" s="20">
        <f>IFERROR(SUMIFS(DataEntry!$FG:$FG,DataEntry!$A:$A,"Mulanje",DataEntry!$B:$B,"Thyolo"),"")</f>
        <v/>
      </c>
    </row>
    <row r="460">
      <c r="A460" s="21" t="inlineStr">
        <is>
          <t>Mulanje</t>
        </is>
      </c>
      <c r="B460" s="21" t="inlineStr">
        <is>
          <t>Thyolo</t>
        </is>
      </c>
      <c r="C460" s="12" t="inlineStr">
        <is>
          <t>Connectivity Rate (avg)</t>
        </is>
      </c>
      <c r="D460" s="23">
        <f>IFERROR(AVERAGEIFS(DataEntry!$HK:$HK,DataEntry!$A:$A,"Mulanje",DataEntry!$B:$B,"Thyolo"),"")</f>
        <v/>
      </c>
    </row>
    <row r="461">
      <c r="A461" s="19" t="inlineStr">
        <is>
          <t>Mulanje</t>
        </is>
      </c>
      <c r="B461" s="19" t="inlineStr">
        <is>
          <t>Thyolo</t>
        </is>
      </c>
      <c r="C461" s="6" t="inlineStr">
        <is>
          <t>Response Time avg (days)</t>
        </is>
      </c>
      <c r="D461" s="24">
        <f>IFERROR(AVERAGEIFS(DataEntry!$HN:$HN,DataEntry!$A:$A,"Mulanje",DataEntry!$B:$B,"Thyolo"),"")</f>
        <v/>
      </c>
    </row>
    <row r="462">
      <c r="A462" s="21" t="inlineStr">
        <is>
          <t>Ngabu</t>
        </is>
      </c>
      <c r="B462" s="21" t="inlineStr">
        <is>
          <t>Bangula</t>
        </is>
      </c>
      <c r="C462" s="12" t="inlineStr">
        <is>
          <t>Volume Produced (m³)</t>
        </is>
      </c>
      <c r="D462" s="22">
        <f>IFERROR(SUMIFS(DataEntry!$H:$H,DataEntry!$A:$A,"Ngabu",DataEntry!$B:$B,"Bangula"),"")</f>
        <v/>
      </c>
    </row>
    <row r="463">
      <c r="A463" s="19" t="inlineStr">
        <is>
          <t>Ngabu</t>
        </is>
      </c>
      <c r="B463" s="19" t="inlineStr">
        <is>
          <t>Bangula</t>
        </is>
      </c>
      <c r="C463" s="6" t="inlineStr">
        <is>
          <t>Total Revenue Water (m³)</t>
        </is>
      </c>
      <c r="D463" s="20">
        <f>IFERROR(SUMIFS(DataEntry!$S:$S,DataEntry!$A:$A,"Ngabu",DataEntry!$B:$B,"Bangula"),"")</f>
        <v/>
      </c>
    </row>
    <row r="464">
      <c r="A464" s="21" t="inlineStr">
        <is>
          <t>Ngabu</t>
        </is>
      </c>
      <c r="B464" s="21" t="inlineStr">
        <is>
          <t>Bangula</t>
        </is>
      </c>
      <c r="C464" s="12" t="inlineStr">
        <is>
          <t>Non-Revenue Water (m³)</t>
        </is>
      </c>
      <c r="D464" s="22">
        <f>IFERROR(SUMIFS(DataEntry!$T:$T,DataEntry!$A:$A,"Ngabu",DataEntry!$B:$B,"Bangula"),"")</f>
        <v/>
      </c>
    </row>
    <row r="465">
      <c r="A465" s="19" t="inlineStr">
        <is>
          <t>Ngabu</t>
        </is>
      </c>
      <c r="B465" s="19" t="inlineStr">
        <is>
          <t>Bangula</t>
        </is>
      </c>
      <c r="C465" s="6" t="inlineStr">
        <is>
          <t>% NRW (avg)</t>
        </is>
      </c>
      <c r="D465" s="24">
        <f>IFERROR(AVERAGEIFS(DataEntry!$U:$U,DataEntry!$A:$A,"Ngabu",DataEntry!$B:$B,"Bangula"),"")</f>
        <v/>
      </c>
    </row>
    <row r="466">
      <c r="A466" s="21" t="inlineStr">
        <is>
          <t>Ngabu</t>
        </is>
      </c>
      <c r="B466" s="21" t="inlineStr">
        <is>
          <t>Bangula</t>
        </is>
      </c>
      <c r="C466" s="12" t="inlineStr">
        <is>
          <t>Chlorine Used (kg)</t>
        </is>
      </c>
      <c r="D466" s="22">
        <f>IFERROR(SUMIFS(DataEntry!$V:$V,DataEntry!$A:$A,"Ngabu",DataEntry!$B:$B,"Bangula"),"")</f>
        <v/>
      </c>
    </row>
    <row r="467">
      <c r="A467" s="19" t="inlineStr">
        <is>
          <t>Ngabu</t>
        </is>
      </c>
      <c r="B467" s="19" t="inlineStr">
        <is>
          <t>Bangula</t>
        </is>
      </c>
      <c r="C467" s="6" t="inlineStr">
        <is>
          <t>Cost of Chemicals (MWK)</t>
        </is>
      </c>
      <c r="D467" s="20">
        <f>IFERROR(SUMIFS(DataEntry!$AH:$AH,DataEntry!$A:$A,"Ngabu",DataEntry!$B:$B,"Bangula"),"")</f>
        <v/>
      </c>
    </row>
    <row r="468">
      <c r="A468" s="21" t="inlineStr">
        <is>
          <t>Ngabu</t>
        </is>
      </c>
      <c r="B468" s="21" t="inlineStr">
        <is>
          <t>Bangula</t>
        </is>
      </c>
      <c r="C468" s="12" t="inlineStr">
        <is>
          <t>Cost of Power (MWK)</t>
        </is>
      </c>
      <c r="D468" s="22">
        <f>IFERROR(SUMIFS(DataEntry!$AL:$AL,DataEntry!$A:$A,"Ngabu",DataEntry!$B:$B,"Bangula"),"")</f>
        <v/>
      </c>
    </row>
    <row r="469">
      <c r="A469" s="19" t="inlineStr">
        <is>
          <t>Ngabu</t>
        </is>
      </c>
      <c r="B469" s="19" t="inlineStr">
        <is>
          <t>Bangula</t>
        </is>
      </c>
      <c r="C469" s="6" t="inlineStr">
        <is>
          <t>Cost of Fuel (MWK)</t>
        </is>
      </c>
      <c r="D469" s="20">
        <f>IFERROR(SUMIFS(DataEntry!$AP:$AP,DataEntry!$A:$A,"Ngabu",DataEntry!$B:$B,"Bangula"),"")</f>
        <v/>
      </c>
    </row>
    <row r="470">
      <c r="A470" s="21" t="inlineStr">
        <is>
          <t>Ngabu</t>
        </is>
      </c>
      <c r="B470" s="21" t="inlineStr">
        <is>
          <t>Bangula</t>
        </is>
      </c>
      <c r="C470" s="12" t="inlineStr">
        <is>
          <t>Total Operating Costs (MWK)</t>
        </is>
      </c>
      <c r="D470" s="22">
        <f>IFERROR(SUMIFS(DataEntry!$AU:$AU,DataEntry!$A:$A,"Ngabu",DataEntry!$B:$B,"Bangula"),"")</f>
        <v/>
      </c>
    </row>
    <row r="471">
      <c r="A471" s="19" t="inlineStr">
        <is>
          <t>Ngabu</t>
        </is>
      </c>
      <c r="B471" s="19" t="inlineStr">
        <is>
          <t>Bangula</t>
        </is>
      </c>
      <c r="C471" s="6" t="inlineStr">
        <is>
          <t>OpCost per m³ Produced (avg)</t>
        </is>
      </c>
      <c r="D471" s="24">
        <f>IFERROR(AVERAGEIFS(DataEntry!$AV:$AV,DataEntry!$A:$A,"Ngabu",DataEntry!$B:$B,"Bangula"),"")</f>
        <v/>
      </c>
    </row>
    <row r="472">
      <c r="A472" s="21" t="inlineStr">
        <is>
          <t>Ngabu</t>
        </is>
      </c>
      <c r="B472" s="21" t="inlineStr">
        <is>
          <t>Bangula</t>
        </is>
      </c>
      <c r="C472" s="12" t="inlineStr">
        <is>
          <t>Total Cash Collected (MWK)</t>
        </is>
      </c>
      <c r="D472" s="22">
        <f>IFERROR(SUMIFS(DataEntry!$GB:$GB,DataEntry!$A:$A,"Ngabu",DataEntry!$B:$B,"Bangula"),"")</f>
        <v/>
      </c>
    </row>
    <row r="473">
      <c r="A473" s="19" t="inlineStr">
        <is>
          <t>Ngabu</t>
        </is>
      </c>
      <c r="B473" s="19" t="inlineStr">
        <is>
          <t>Bangula</t>
        </is>
      </c>
      <c r="C473" s="6" t="inlineStr">
        <is>
          <t>Total Amount Billed (MWK)</t>
        </is>
      </c>
      <c r="D473" s="20">
        <f>IFERROR(SUMIFS(DataEntry!$GM:$GM,DataEntry!$A:$A,"Ngabu",DataEntry!$B:$B,"Bangula"),"")</f>
        <v/>
      </c>
    </row>
    <row r="474">
      <c r="A474" s="21" t="inlineStr">
        <is>
          <t>Ngabu</t>
        </is>
      </c>
      <c r="B474" s="21" t="inlineStr">
        <is>
          <t>Bangula</t>
        </is>
      </c>
      <c r="C474" s="12" t="inlineStr">
        <is>
          <t>Total Sales (MWK)</t>
        </is>
      </c>
      <c r="D474" s="22">
        <f>IFERROR(SUMIFS(DataEntry!$GX:$GX,DataEntry!$A:$A,"Ngabu",DataEntry!$B:$B,"Bangula"),"")</f>
        <v/>
      </c>
    </row>
    <row r="475">
      <c r="A475" s="19" t="inlineStr">
        <is>
          <t>Ngabu</t>
        </is>
      </c>
      <c r="B475" s="19" t="inlineStr">
        <is>
          <t>Bangula</t>
        </is>
      </c>
      <c r="C475" s="6" t="inlineStr">
        <is>
          <t>Private Debtors (MWK)</t>
        </is>
      </c>
      <c r="D475" s="20">
        <f>IFERROR(SUMIFS(DataEntry!$GY:$GY,DataEntry!$A:$A,"Ngabu",DataEntry!$B:$B,"Bangula"),"")</f>
        <v/>
      </c>
    </row>
    <row r="476">
      <c r="A476" s="21" t="inlineStr">
        <is>
          <t>Ngabu</t>
        </is>
      </c>
      <c r="B476" s="21" t="inlineStr">
        <is>
          <t>Bangula</t>
        </is>
      </c>
      <c r="C476" s="12" t="inlineStr">
        <is>
          <t>Public Debtors (MWK)</t>
        </is>
      </c>
      <c r="D476" s="22">
        <f>IFERROR(SUMIFS(DataEntry!$GZ:$GZ,DataEntry!$A:$A,"Ngabu",DataEntry!$B:$B,"Bangula"),"")</f>
        <v/>
      </c>
    </row>
    <row r="477">
      <c r="A477" s="19" t="inlineStr">
        <is>
          <t>Ngabu</t>
        </is>
      </c>
      <c r="B477" s="19" t="inlineStr">
        <is>
          <t>Bangula</t>
        </is>
      </c>
      <c r="C477" s="6" t="inlineStr">
        <is>
          <t>Total Debtors (MWK)</t>
        </is>
      </c>
      <c r="D477" s="20">
        <f>IFERROR(SUMIFS(DataEntry!$HA:$HA,DataEntry!$A:$A,"Ngabu",DataEntry!$B:$B,"Bangula"),"")</f>
        <v/>
      </c>
    </row>
    <row r="478">
      <c r="A478" s="21" t="inlineStr">
        <is>
          <t>Ngabu</t>
        </is>
      </c>
      <c r="B478" s="21" t="inlineStr">
        <is>
          <t>Bangula</t>
        </is>
      </c>
      <c r="C478" s="12" t="inlineStr">
        <is>
          <t>Cash Collection Rate (avg)</t>
        </is>
      </c>
      <c r="D478" s="23">
        <f>IFERROR(AVERAGEIFS(DataEntry!$HC:$HC,DataEntry!$A:$A,"Ngabu",DataEntry!$B:$B,"Bangula"),"")</f>
        <v/>
      </c>
    </row>
    <row r="479">
      <c r="A479" s="19" t="inlineStr">
        <is>
          <t>Ngabu</t>
        </is>
      </c>
      <c r="B479" s="19" t="inlineStr">
        <is>
          <t>Bangula</t>
        </is>
      </c>
      <c r="C479" s="6" t="inlineStr">
        <is>
          <t>OpCost / Sales (avg)</t>
        </is>
      </c>
      <c r="D479" s="24">
        <f>IFERROR(AVERAGEIFS(DataEntry!$HB:$HB,DataEntry!$A:$A,"Ngabu",DataEntry!$B:$B,"Bangula"),"")</f>
        <v/>
      </c>
    </row>
    <row r="480">
      <c r="A480" s="21" t="inlineStr">
        <is>
          <t>Ngabu</t>
        </is>
      </c>
      <c r="B480" s="21" t="inlineStr">
        <is>
          <t>Bangula</t>
        </is>
      </c>
      <c r="C480" s="12" t="inlineStr">
        <is>
          <t>Total Active Customers (end)</t>
        </is>
      </c>
      <c r="D480" s="22">
        <f>IFERROR(SUMIFS(DataEntry!$CS:$CS,DataEntry!$A:$A,"Ngabu",DataEntry!$B:$B,"Bangula"),"")</f>
        <v/>
      </c>
    </row>
    <row r="481">
      <c r="A481" s="19" t="inlineStr">
        <is>
          <t>Ngabu</t>
        </is>
      </c>
      <c r="B481" s="19" t="inlineStr">
        <is>
          <t>Bangula</t>
        </is>
      </c>
      <c r="C481" s="6" t="inlineStr">
        <is>
          <t>Total Metered Consumers (end)</t>
        </is>
      </c>
      <c r="D481" s="20">
        <f>IFERROR(SUMIFS(DataEntry!$CT:$CT,DataEntry!$A:$A,"Ngabu",DataEntry!$B:$B,"Bangula"),"")</f>
        <v/>
      </c>
    </row>
    <row r="482">
      <c r="A482" s="21" t="inlineStr">
        <is>
          <t>Ngabu</t>
        </is>
      </c>
      <c r="B482" s="21" t="inlineStr">
        <is>
          <t>Bangula</t>
        </is>
      </c>
      <c r="C482" s="12" t="inlineStr">
        <is>
          <t>Population Supplied (end)</t>
        </is>
      </c>
      <c r="D482" s="22">
        <f>IFERROR(SUMIFS(DataEntry!$CV:$CV,DataEntry!$A:$A,"Ngabu",DataEntry!$B:$B,"Bangula"),"")</f>
        <v/>
      </c>
    </row>
    <row r="483">
      <c r="A483" s="19" t="inlineStr">
        <is>
          <t>Ngabu</t>
        </is>
      </c>
      <c r="B483" s="19" t="inlineStr">
        <is>
          <t>Bangula</t>
        </is>
      </c>
      <c r="C483" s="6" t="inlineStr">
        <is>
          <t>% Population Supplied (avg)</t>
        </is>
      </c>
      <c r="D483" s="24">
        <f>IFERROR(AVERAGEIFS(DataEntry!$CW:$CW,DataEntry!$A:$A,"Ngabu",DataEntry!$B:$B,"Bangula"),"")</f>
        <v/>
      </c>
    </row>
    <row r="484">
      <c r="A484" s="21" t="inlineStr">
        <is>
          <t>Ngabu</t>
        </is>
      </c>
      <c r="B484" s="21" t="inlineStr">
        <is>
          <t>Bangula</t>
        </is>
      </c>
      <c r="C484" s="12" t="inlineStr">
        <is>
          <t>New Connections Total Done</t>
        </is>
      </c>
      <c r="D484" s="22">
        <f>IFERROR(SUMIFS(DataEntry!$CA:$CA,DataEntry!$A:$A,"Ngabu",DataEntry!$B:$B,"Bangula"),"")</f>
        <v/>
      </c>
    </row>
    <row r="485">
      <c r="A485" s="19" t="inlineStr">
        <is>
          <t>Ngabu</t>
        </is>
      </c>
      <c r="B485" s="19" t="inlineStr">
        <is>
          <t>Bangula</t>
        </is>
      </c>
      <c r="C485" s="6" t="inlineStr">
        <is>
          <t>Stuck Meters Carried Fwd</t>
        </is>
      </c>
      <c r="D485" s="20">
        <f>IFERROR(SUMIFS(DataEntry!$DV:$DV,DataEntry!$A:$A,"Ngabu",DataEntry!$B:$B,"Bangula"),"")</f>
        <v/>
      </c>
    </row>
    <row r="486">
      <c r="A486" s="21" t="inlineStr">
        <is>
          <t>Ngabu</t>
        </is>
      </c>
      <c r="B486" s="21" t="inlineStr">
        <is>
          <t>Bangula</t>
        </is>
      </c>
      <c r="C486" s="12" t="inlineStr">
        <is>
          <t>Total Pipe Breakdowns</t>
        </is>
      </c>
      <c r="D486" s="22">
        <f>IFERROR(SUMIFS(DataEntry!$FG:$FG,DataEntry!$A:$A,"Ngabu",DataEntry!$B:$B,"Bangula"),"")</f>
        <v/>
      </c>
    </row>
    <row r="487">
      <c r="A487" s="19" t="inlineStr">
        <is>
          <t>Ngabu</t>
        </is>
      </c>
      <c r="B487" s="19" t="inlineStr">
        <is>
          <t>Bangula</t>
        </is>
      </c>
      <c r="C487" s="6" t="inlineStr">
        <is>
          <t>Connectivity Rate (avg)</t>
        </is>
      </c>
      <c r="D487" s="24">
        <f>IFERROR(AVERAGEIFS(DataEntry!$HK:$HK,DataEntry!$A:$A,"Ngabu",DataEntry!$B:$B,"Bangula"),"")</f>
        <v/>
      </c>
    </row>
    <row r="488">
      <c r="A488" s="21" t="inlineStr">
        <is>
          <t>Ngabu</t>
        </is>
      </c>
      <c r="B488" s="21" t="inlineStr">
        <is>
          <t>Bangula</t>
        </is>
      </c>
      <c r="C488" s="12" t="inlineStr">
        <is>
          <t>Response Time avg (days)</t>
        </is>
      </c>
      <c r="D488" s="23">
        <f>IFERROR(AVERAGEIFS(DataEntry!$HN:$HN,DataEntry!$A:$A,"Ngabu",DataEntry!$B:$B,"Bangula"),"")</f>
        <v/>
      </c>
    </row>
    <row r="489">
      <c r="A489" s="19" t="inlineStr">
        <is>
          <t>Ngabu</t>
        </is>
      </c>
      <c r="B489" s="19" t="inlineStr">
        <is>
          <t>Chikwawa</t>
        </is>
      </c>
      <c r="C489" s="6" t="inlineStr">
        <is>
          <t>Volume Produced (m³)</t>
        </is>
      </c>
      <c r="D489" s="20">
        <f>IFERROR(SUMIFS(DataEntry!$H:$H,DataEntry!$A:$A,"Ngabu",DataEntry!$B:$B,"Chikwawa"),"")</f>
        <v/>
      </c>
    </row>
    <row r="490">
      <c r="A490" s="21" t="inlineStr">
        <is>
          <t>Ngabu</t>
        </is>
      </c>
      <c r="B490" s="21" t="inlineStr">
        <is>
          <t>Chikwawa</t>
        </is>
      </c>
      <c r="C490" s="12" t="inlineStr">
        <is>
          <t>Total Revenue Water (m³)</t>
        </is>
      </c>
      <c r="D490" s="22">
        <f>IFERROR(SUMIFS(DataEntry!$S:$S,DataEntry!$A:$A,"Ngabu",DataEntry!$B:$B,"Chikwawa"),"")</f>
        <v/>
      </c>
    </row>
    <row r="491">
      <c r="A491" s="19" t="inlineStr">
        <is>
          <t>Ngabu</t>
        </is>
      </c>
      <c r="B491" s="19" t="inlineStr">
        <is>
          <t>Chikwawa</t>
        </is>
      </c>
      <c r="C491" s="6" t="inlineStr">
        <is>
          <t>Non-Revenue Water (m³)</t>
        </is>
      </c>
      <c r="D491" s="20">
        <f>IFERROR(SUMIFS(DataEntry!$T:$T,DataEntry!$A:$A,"Ngabu",DataEntry!$B:$B,"Chikwawa"),"")</f>
        <v/>
      </c>
    </row>
    <row r="492">
      <c r="A492" s="21" t="inlineStr">
        <is>
          <t>Ngabu</t>
        </is>
      </c>
      <c r="B492" s="21" t="inlineStr">
        <is>
          <t>Chikwawa</t>
        </is>
      </c>
      <c r="C492" s="12" t="inlineStr">
        <is>
          <t>% NRW (avg)</t>
        </is>
      </c>
      <c r="D492" s="23">
        <f>IFERROR(AVERAGEIFS(DataEntry!$U:$U,DataEntry!$A:$A,"Ngabu",DataEntry!$B:$B,"Chikwawa"),"")</f>
        <v/>
      </c>
    </row>
    <row r="493">
      <c r="A493" s="19" t="inlineStr">
        <is>
          <t>Ngabu</t>
        </is>
      </c>
      <c r="B493" s="19" t="inlineStr">
        <is>
          <t>Chikwawa</t>
        </is>
      </c>
      <c r="C493" s="6" t="inlineStr">
        <is>
          <t>Chlorine Used (kg)</t>
        </is>
      </c>
      <c r="D493" s="20">
        <f>IFERROR(SUMIFS(DataEntry!$V:$V,DataEntry!$A:$A,"Ngabu",DataEntry!$B:$B,"Chikwawa"),"")</f>
        <v/>
      </c>
    </row>
    <row r="494">
      <c r="A494" s="21" t="inlineStr">
        <is>
          <t>Ngabu</t>
        </is>
      </c>
      <c r="B494" s="21" t="inlineStr">
        <is>
          <t>Chikwawa</t>
        </is>
      </c>
      <c r="C494" s="12" t="inlineStr">
        <is>
          <t>Cost of Chemicals (MWK)</t>
        </is>
      </c>
      <c r="D494" s="22">
        <f>IFERROR(SUMIFS(DataEntry!$AH:$AH,DataEntry!$A:$A,"Ngabu",DataEntry!$B:$B,"Chikwawa"),"")</f>
        <v/>
      </c>
    </row>
    <row r="495">
      <c r="A495" s="19" t="inlineStr">
        <is>
          <t>Ngabu</t>
        </is>
      </c>
      <c r="B495" s="19" t="inlineStr">
        <is>
          <t>Chikwawa</t>
        </is>
      </c>
      <c r="C495" s="6" t="inlineStr">
        <is>
          <t>Cost of Power (MWK)</t>
        </is>
      </c>
      <c r="D495" s="20">
        <f>IFERROR(SUMIFS(DataEntry!$AL:$AL,DataEntry!$A:$A,"Ngabu",DataEntry!$B:$B,"Chikwawa"),"")</f>
        <v/>
      </c>
    </row>
    <row r="496">
      <c r="A496" s="21" t="inlineStr">
        <is>
          <t>Ngabu</t>
        </is>
      </c>
      <c r="B496" s="21" t="inlineStr">
        <is>
          <t>Chikwawa</t>
        </is>
      </c>
      <c r="C496" s="12" t="inlineStr">
        <is>
          <t>Cost of Fuel (MWK)</t>
        </is>
      </c>
      <c r="D496" s="22">
        <f>IFERROR(SUMIFS(DataEntry!$AP:$AP,DataEntry!$A:$A,"Ngabu",DataEntry!$B:$B,"Chikwawa"),"")</f>
        <v/>
      </c>
    </row>
    <row r="497">
      <c r="A497" s="19" t="inlineStr">
        <is>
          <t>Ngabu</t>
        </is>
      </c>
      <c r="B497" s="19" t="inlineStr">
        <is>
          <t>Chikwawa</t>
        </is>
      </c>
      <c r="C497" s="6" t="inlineStr">
        <is>
          <t>Total Operating Costs (MWK)</t>
        </is>
      </c>
      <c r="D497" s="20">
        <f>IFERROR(SUMIFS(DataEntry!$AU:$AU,DataEntry!$A:$A,"Ngabu",DataEntry!$B:$B,"Chikwawa"),"")</f>
        <v/>
      </c>
    </row>
    <row r="498">
      <c r="A498" s="21" t="inlineStr">
        <is>
          <t>Ngabu</t>
        </is>
      </c>
      <c r="B498" s="21" t="inlineStr">
        <is>
          <t>Chikwawa</t>
        </is>
      </c>
      <c r="C498" s="12" t="inlineStr">
        <is>
          <t>OpCost per m³ Produced (avg)</t>
        </is>
      </c>
      <c r="D498" s="23">
        <f>IFERROR(AVERAGEIFS(DataEntry!$AV:$AV,DataEntry!$A:$A,"Ngabu",DataEntry!$B:$B,"Chikwawa"),"")</f>
        <v/>
      </c>
    </row>
    <row r="499">
      <c r="A499" s="19" t="inlineStr">
        <is>
          <t>Ngabu</t>
        </is>
      </c>
      <c r="B499" s="19" t="inlineStr">
        <is>
          <t>Chikwawa</t>
        </is>
      </c>
      <c r="C499" s="6" t="inlineStr">
        <is>
          <t>Total Cash Collected (MWK)</t>
        </is>
      </c>
      <c r="D499" s="20">
        <f>IFERROR(SUMIFS(DataEntry!$GB:$GB,DataEntry!$A:$A,"Ngabu",DataEntry!$B:$B,"Chikwawa"),"")</f>
        <v/>
      </c>
    </row>
    <row r="500">
      <c r="A500" s="21" t="inlineStr">
        <is>
          <t>Ngabu</t>
        </is>
      </c>
      <c r="B500" s="21" t="inlineStr">
        <is>
          <t>Chikwawa</t>
        </is>
      </c>
      <c r="C500" s="12" t="inlineStr">
        <is>
          <t>Total Amount Billed (MWK)</t>
        </is>
      </c>
      <c r="D500" s="22">
        <f>IFERROR(SUMIFS(DataEntry!$GM:$GM,DataEntry!$A:$A,"Ngabu",DataEntry!$B:$B,"Chikwawa"),"")</f>
        <v/>
      </c>
    </row>
    <row r="501">
      <c r="A501" s="19" t="inlineStr">
        <is>
          <t>Ngabu</t>
        </is>
      </c>
      <c r="B501" s="19" t="inlineStr">
        <is>
          <t>Chikwawa</t>
        </is>
      </c>
      <c r="C501" s="6" t="inlineStr">
        <is>
          <t>Total Sales (MWK)</t>
        </is>
      </c>
      <c r="D501" s="20">
        <f>IFERROR(SUMIFS(DataEntry!$GX:$GX,DataEntry!$A:$A,"Ngabu",DataEntry!$B:$B,"Chikwawa"),"")</f>
        <v/>
      </c>
    </row>
    <row r="502">
      <c r="A502" s="21" t="inlineStr">
        <is>
          <t>Ngabu</t>
        </is>
      </c>
      <c r="B502" s="21" t="inlineStr">
        <is>
          <t>Chikwawa</t>
        </is>
      </c>
      <c r="C502" s="12" t="inlineStr">
        <is>
          <t>Private Debtors (MWK)</t>
        </is>
      </c>
      <c r="D502" s="22">
        <f>IFERROR(SUMIFS(DataEntry!$GY:$GY,DataEntry!$A:$A,"Ngabu",DataEntry!$B:$B,"Chikwawa"),"")</f>
        <v/>
      </c>
    </row>
    <row r="503">
      <c r="A503" s="19" t="inlineStr">
        <is>
          <t>Ngabu</t>
        </is>
      </c>
      <c r="B503" s="19" t="inlineStr">
        <is>
          <t>Chikwawa</t>
        </is>
      </c>
      <c r="C503" s="6" t="inlineStr">
        <is>
          <t>Public Debtors (MWK)</t>
        </is>
      </c>
      <c r="D503" s="20">
        <f>IFERROR(SUMIFS(DataEntry!$GZ:$GZ,DataEntry!$A:$A,"Ngabu",DataEntry!$B:$B,"Chikwawa"),"")</f>
        <v/>
      </c>
    </row>
    <row r="504">
      <c r="A504" s="21" t="inlineStr">
        <is>
          <t>Ngabu</t>
        </is>
      </c>
      <c r="B504" s="21" t="inlineStr">
        <is>
          <t>Chikwawa</t>
        </is>
      </c>
      <c r="C504" s="12" t="inlineStr">
        <is>
          <t>Total Debtors (MWK)</t>
        </is>
      </c>
      <c r="D504" s="22">
        <f>IFERROR(SUMIFS(DataEntry!$HA:$HA,DataEntry!$A:$A,"Ngabu",DataEntry!$B:$B,"Chikwawa"),"")</f>
        <v/>
      </c>
    </row>
    <row r="505">
      <c r="A505" s="19" t="inlineStr">
        <is>
          <t>Ngabu</t>
        </is>
      </c>
      <c r="B505" s="19" t="inlineStr">
        <is>
          <t>Chikwawa</t>
        </is>
      </c>
      <c r="C505" s="6" t="inlineStr">
        <is>
          <t>Cash Collection Rate (avg)</t>
        </is>
      </c>
      <c r="D505" s="24">
        <f>IFERROR(AVERAGEIFS(DataEntry!$HC:$HC,DataEntry!$A:$A,"Ngabu",DataEntry!$B:$B,"Chikwawa"),"")</f>
        <v/>
      </c>
    </row>
    <row r="506">
      <c r="A506" s="21" t="inlineStr">
        <is>
          <t>Ngabu</t>
        </is>
      </c>
      <c r="B506" s="21" t="inlineStr">
        <is>
          <t>Chikwawa</t>
        </is>
      </c>
      <c r="C506" s="12" t="inlineStr">
        <is>
          <t>OpCost / Sales (avg)</t>
        </is>
      </c>
      <c r="D506" s="23">
        <f>IFERROR(AVERAGEIFS(DataEntry!$HB:$HB,DataEntry!$A:$A,"Ngabu",DataEntry!$B:$B,"Chikwawa"),"")</f>
        <v/>
      </c>
    </row>
    <row r="507">
      <c r="A507" s="19" t="inlineStr">
        <is>
          <t>Ngabu</t>
        </is>
      </c>
      <c r="B507" s="19" t="inlineStr">
        <is>
          <t>Chikwawa</t>
        </is>
      </c>
      <c r="C507" s="6" t="inlineStr">
        <is>
          <t>Total Active Customers (end)</t>
        </is>
      </c>
      <c r="D507" s="20">
        <f>IFERROR(SUMIFS(DataEntry!$CS:$CS,DataEntry!$A:$A,"Ngabu",DataEntry!$B:$B,"Chikwawa"),"")</f>
        <v/>
      </c>
    </row>
    <row r="508">
      <c r="A508" s="21" t="inlineStr">
        <is>
          <t>Ngabu</t>
        </is>
      </c>
      <c r="B508" s="21" t="inlineStr">
        <is>
          <t>Chikwawa</t>
        </is>
      </c>
      <c r="C508" s="12" t="inlineStr">
        <is>
          <t>Total Metered Consumers (end)</t>
        </is>
      </c>
      <c r="D508" s="22">
        <f>IFERROR(SUMIFS(DataEntry!$CT:$CT,DataEntry!$A:$A,"Ngabu",DataEntry!$B:$B,"Chikwawa"),"")</f>
        <v/>
      </c>
    </row>
    <row r="509">
      <c r="A509" s="19" t="inlineStr">
        <is>
          <t>Ngabu</t>
        </is>
      </c>
      <c r="B509" s="19" t="inlineStr">
        <is>
          <t>Chikwawa</t>
        </is>
      </c>
      <c r="C509" s="6" t="inlineStr">
        <is>
          <t>Population Supplied (end)</t>
        </is>
      </c>
      <c r="D509" s="20">
        <f>IFERROR(SUMIFS(DataEntry!$CV:$CV,DataEntry!$A:$A,"Ngabu",DataEntry!$B:$B,"Chikwawa"),"")</f>
        <v/>
      </c>
    </row>
    <row r="510">
      <c r="A510" s="21" t="inlineStr">
        <is>
          <t>Ngabu</t>
        </is>
      </c>
      <c r="B510" s="21" t="inlineStr">
        <is>
          <t>Chikwawa</t>
        </is>
      </c>
      <c r="C510" s="12" t="inlineStr">
        <is>
          <t>% Population Supplied (avg)</t>
        </is>
      </c>
      <c r="D510" s="23">
        <f>IFERROR(AVERAGEIFS(DataEntry!$CW:$CW,DataEntry!$A:$A,"Ngabu",DataEntry!$B:$B,"Chikwawa"),"")</f>
        <v/>
      </c>
    </row>
    <row r="511">
      <c r="A511" s="19" t="inlineStr">
        <is>
          <t>Ngabu</t>
        </is>
      </c>
      <c r="B511" s="19" t="inlineStr">
        <is>
          <t>Chikwawa</t>
        </is>
      </c>
      <c r="C511" s="6" t="inlineStr">
        <is>
          <t>New Connections Total Done</t>
        </is>
      </c>
      <c r="D511" s="20">
        <f>IFERROR(SUMIFS(DataEntry!$CA:$CA,DataEntry!$A:$A,"Ngabu",DataEntry!$B:$B,"Chikwawa"),"")</f>
        <v/>
      </c>
    </row>
    <row r="512">
      <c r="A512" s="21" t="inlineStr">
        <is>
          <t>Ngabu</t>
        </is>
      </c>
      <c r="B512" s="21" t="inlineStr">
        <is>
          <t>Chikwawa</t>
        </is>
      </c>
      <c r="C512" s="12" t="inlineStr">
        <is>
          <t>Stuck Meters Carried Fwd</t>
        </is>
      </c>
      <c r="D512" s="22">
        <f>IFERROR(SUMIFS(DataEntry!$DV:$DV,DataEntry!$A:$A,"Ngabu",DataEntry!$B:$B,"Chikwawa"),"")</f>
        <v/>
      </c>
    </row>
    <row r="513">
      <c r="A513" s="19" t="inlineStr">
        <is>
          <t>Ngabu</t>
        </is>
      </c>
      <c r="B513" s="19" t="inlineStr">
        <is>
          <t>Chikwawa</t>
        </is>
      </c>
      <c r="C513" s="6" t="inlineStr">
        <is>
          <t>Total Pipe Breakdowns</t>
        </is>
      </c>
      <c r="D513" s="20">
        <f>IFERROR(SUMIFS(DataEntry!$FG:$FG,DataEntry!$A:$A,"Ngabu",DataEntry!$B:$B,"Chikwawa"),"")</f>
        <v/>
      </c>
    </row>
    <row r="514">
      <c r="A514" s="21" t="inlineStr">
        <is>
          <t>Ngabu</t>
        </is>
      </c>
      <c r="B514" s="21" t="inlineStr">
        <is>
          <t>Chikwawa</t>
        </is>
      </c>
      <c r="C514" s="12" t="inlineStr">
        <is>
          <t>Connectivity Rate (avg)</t>
        </is>
      </c>
      <c r="D514" s="23">
        <f>IFERROR(AVERAGEIFS(DataEntry!$HK:$HK,DataEntry!$A:$A,"Ngabu",DataEntry!$B:$B,"Chikwawa"),"")</f>
        <v/>
      </c>
    </row>
    <row r="515">
      <c r="A515" s="19" t="inlineStr">
        <is>
          <t>Ngabu</t>
        </is>
      </c>
      <c r="B515" s="19" t="inlineStr">
        <is>
          <t>Chikwawa</t>
        </is>
      </c>
      <c r="C515" s="6" t="inlineStr">
        <is>
          <t>Response Time avg (days)</t>
        </is>
      </c>
      <c r="D515" s="24">
        <f>IFERROR(AVERAGEIFS(DataEntry!$HN:$HN,DataEntry!$A:$A,"Ngabu",DataEntry!$B:$B,"Chikwawa"),"")</f>
        <v/>
      </c>
    </row>
    <row r="516">
      <c r="A516" s="21" t="inlineStr">
        <is>
          <t>Ngabu</t>
        </is>
      </c>
      <c r="B516" s="21" t="inlineStr">
        <is>
          <t>Miseu Folo</t>
        </is>
      </c>
      <c r="C516" s="12" t="inlineStr">
        <is>
          <t>Volume Produced (m³)</t>
        </is>
      </c>
      <c r="D516" s="22">
        <f>IFERROR(SUMIFS(DataEntry!$H:$H,DataEntry!$A:$A,"Ngabu",DataEntry!$B:$B,"Miseu Folo"),"")</f>
        <v/>
      </c>
    </row>
    <row r="517">
      <c r="A517" s="19" t="inlineStr">
        <is>
          <t>Ngabu</t>
        </is>
      </c>
      <c r="B517" s="19" t="inlineStr">
        <is>
          <t>Miseu Folo</t>
        </is>
      </c>
      <c r="C517" s="6" t="inlineStr">
        <is>
          <t>Total Revenue Water (m³)</t>
        </is>
      </c>
      <c r="D517" s="20">
        <f>IFERROR(SUMIFS(DataEntry!$S:$S,DataEntry!$A:$A,"Ngabu",DataEntry!$B:$B,"Miseu Folo"),"")</f>
        <v/>
      </c>
    </row>
    <row r="518">
      <c r="A518" s="21" t="inlineStr">
        <is>
          <t>Ngabu</t>
        </is>
      </c>
      <c r="B518" s="21" t="inlineStr">
        <is>
          <t>Miseu Folo</t>
        </is>
      </c>
      <c r="C518" s="12" t="inlineStr">
        <is>
          <t>Non-Revenue Water (m³)</t>
        </is>
      </c>
      <c r="D518" s="22">
        <f>IFERROR(SUMIFS(DataEntry!$T:$T,DataEntry!$A:$A,"Ngabu",DataEntry!$B:$B,"Miseu Folo"),"")</f>
        <v/>
      </c>
    </row>
    <row r="519">
      <c r="A519" s="19" t="inlineStr">
        <is>
          <t>Ngabu</t>
        </is>
      </c>
      <c r="B519" s="19" t="inlineStr">
        <is>
          <t>Miseu Folo</t>
        </is>
      </c>
      <c r="C519" s="6" t="inlineStr">
        <is>
          <t>% NRW (avg)</t>
        </is>
      </c>
      <c r="D519" s="24">
        <f>IFERROR(AVERAGEIFS(DataEntry!$U:$U,DataEntry!$A:$A,"Ngabu",DataEntry!$B:$B,"Miseu Folo"),"")</f>
        <v/>
      </c>
    </row>
    <row r="520">
      <c r="A520" s="21" t="inlineStr">
        <is>
          <t>Ngabu</t>
        </is>
      </c>
      <c r="B520" s="21" t="inlineStr">
        <is>
          <t>Miseu Folo</t>
        </is>
      </c>
      <c r="C520" s="12" t="inlineStr">
        <is>
          <t>Chlorine Used (kg)</t>
        </is>
      </c>
      <c r="D520" s="22">
        <f>IFERROR(SUMIFS(DataEntry!$V:$V,DataEntry!$A:$A,"Ngabu",DataEntry!$B:$B,"Miseu Folo"),"")</f>
        <v/>
      </c>
    </row>
    <row r="521">
      <c r="A521" s="19" t="inlineStr">
        <is>
          <t>Ngabu</t>
        </is>
      </c>
      <c r="B521" s="19" t="inlineStr">
        <is>
          <t>Miseu Folo</t>
        </is>
      </c>
      <c r="C521" s="6" t="inlineStr">
        <is>
          <t>Cost of Chemicals (MWK)</t>
        </is>
      </c>
      <c r="D521" s="20">
        <f>IFERROR(SUMIFS(DataEntry!$AH:$AH,DataEntry!$A:$A,"Ngabu",DataEntry!$B:$B,"Miseu Folo"),"")</f>
        <v/>
      </c>
    </row>
    <row r="522">
      <c r="A522" s="21" t="inlineStr">
        <is>
          <t>Ngabu</t>
        </is>
      </c>
      <c r="B522" s="21" t="inlineStr">
        <is>
          <t>Miseu Folo</t>
        </is>
      </c>
      <c r="C522" s="12" t="inlineStr">
        <is>
          <t>Cost of Power (MWK)</t>
        </is>
      </c>
      <c r="D522" s="22">
        <f>IFERROR(SUMIFS(DataEntry!$AL:$AL,DataEntry!$A:$A,"Ngabu",DataEntry!$B:$B,"Miseu Folo"),"")</f>
        <v/>
      </c>
    </row>
    <row r="523">
      <c r="A523" s="19" t="inlineStr">
        <is>
          <t>Ngabu</t>
        </is>
      </c>
      <c r="B523" s="19" t="inlineStr">
        <is>
          <t>Miseu Folo</t>
        </is>
      </c>
      <c r="C523" s="6" t="inlineStr">
        <is>
          <t>Cost of Fuel (MWK)</t>
        </is>
      </c>
      <c r="D523" s="20">
        <f>IFERROR(SUMIFS(DataEntry!$AP:$AP,DataEntry!$A:$A,"Ngabu",DataEntry!$B:$B,"Miseu Folo"),"")</f>
        <v/>
      </c>
    </row>
    <row r="524">
      <c r="A524" s="21" t="inlineStr">
        <is>
          <t>Ngabu</t>
        </is>
      </c>
      <c r="B524" s="21" t="inlineStr">
        <is>
          <t>Miseu Folo</t>
        </is>
      </c>
      <c r="C524" s="12" t="inlineStr">
        <is>
          <t>Total Operating Costs (MWK)</t>
        </is>
      </c>
      <c r="D524" s="22">
        <f>IFERROR(SUMIFS(DataEntry!$AU:$AU,DataEntry!$A:$A,"Ngabu",DataEntry!$B:$B,"Miseu Folo"),"")</f>
        <v/>
      </c>
    </row>
    <row r="525">
      <c r="A525" s="19" t="inlineStr">
        <is>
          <t>Ngabu</t>
        </is>
      </c>
      <c r="B525" s="19" t="inlineStr">
        <is>
          <t>Miseu Folo</t>
        </is>
      </c>
      <c r="C525" s="6" t="inlineStr">
        <is>
          <t>OpCost per m³ Produced (avg)</t>
        </is>
      </c>
      <c r="D525" s="24">
        <f>IFERROR(AVERAGEIFS(DataEntry!$AV:$AV,DataEntry!$A:$A,"Ngabu",DataEntry!$B:$B,"Miseu Folo"),"")</f>
        <v/>
      </c>
    </row>
    <row r="526">
      <c r="A526" s="21" t="inlineStr">
        <is>
          <t>Ngabu</t>
        </is>
      </c>
      <c r="B526" s="21" t="inlineStr">
        <is>
          <t>Miseu Folo</t>
        </is>
      </c>
      <c r="C526" s="12" t="inlineStr">
        <is>
          <t>Total Cash Collected (MWK)</t>
        </is>
      </c>
      <c r="D526" s="22">
        <f>IFERROR(SUMIFS(DataEntry!$GB:$GB,DataEntry!$A:$A,"Ngabu",DataEntry!$B:$B,"Miseu Folo"),"")</f>
        <v/>
      </c>
    </row>
    <row r="527">
      <c r="A527" s="19" t="inlineStr">
        <is>
          <t>Ngabu</t>
        </is>
      </c>
      <c r="B527" s="19" t="inlineStr">
        <is>
          <t>Miseu Folo</t>
        </is>
      </c>
      <c r="C527" s="6" t="inlineStr">
        <is>
          <t>Total Amount Billed (MWK)</t>
        </is>
      </c>
      <c r="D527" s="20">
        <f>IFERROR(SUMIFS(DataEntry!$GM:$GM,DataEntry!$A:$A,"Ngabu",DataEntry!$B:$B,"Miseu Folo"),"")</f>
        <v/>
      </c>
    </row>
    <row r="528">
      <c r="A528" s="21" t="inlineStr">
        <is>
          <t>Ngabu</t>
        </is>
      </c>
      <c r="B528" s="21" t="inlineStr">
        <is>
          <t>Miseu Folo</t>
        </is>
      </c>
      <c r="C528" s="12" t="inlineStr">
        <is>
          <t>Total Sales (MWK)</t>
        </is>
      </c>
      <c r="D528" s="22">
        <f>IFERROR(SUMIFS(DataEntry!$GX:$GX,DataEntry!$A:$A,"Ngabu",DataEntry!$B:$B,"Miseu Folo"),"")</f>
        <v/>
      </c>
    </row>
    <row r="529">
      <c r="A529" s="19" t="inlineStr">
        <is>
          <t>Ngabu</t>
        </is>
      </c>
      <c r="B529" s="19" t="inlineStr">
        <is>
          <t>Miseu Folo</t>
        </is>
      </c>
      <c r="C529" s="6" t="inlineStr">
        <is>
          <t>Private Debtors (MWK)</t>
        </is>
      </c>
      <c r="D529" s="20">
        <f>IFERROR(SUMIFS(DataEntry!$GY:$GY,DataEntry!$A:$A,"Ngabu",DataEntry!$B:$B,"Miseu Folo"),"")</f>
        <v/>
      </c>
    </row>
    <row r="530">
      <c r="A530" s="21" t="inlineStr">
        <is>
          <t>Ngabu</t>
        </is>
      </c>
      <c r="B530" s="21" t="inlineStr">
        <is>
          <t>Miseu Folo</t>
        </is>
      </c>
      <c r="C530" s="12" t="inlineStr">
        <is>
          <t>Public Debtors (MWK)</t>
        </is>
      </c>
      <c r="D530" s="22">
        <f>IFERROR(SUMIFS(DataEntry!$GZ:$GZ,DataEntry!$A:$A,"Ngabu",DataEntry!$B:$B,"Miseu Folo"),"")</f>
        <v/>
      </c>
    </row>
    <row r="531">
      <c r="A531" s="19" t="inlineStr">
        <is>
          <t>Ngabu</t>
        </is>
      </c>
      <c r="B531" s="19" t="inlineStr">
        <is>
          <t>Miseu Folo</t>
        </is>
      </c>
      <c r="C531" s="6" t="inlineStr">
        <is>
          <t>Total Debtors (MWK)</t>
        </is>
      </c>
      <c r="D531" s="20">
        <f>IFERROR(SUMIFS(DataEntry!$HA:$HA,DataEntry!$A:$A,"Ngabu",DataEntry!$B:$B,"Miseu Folo"),"")</f>
        <v/>
      </c>
    </row>
    <row r="532">
      <c r="A532" s="21" t="inlineStr">
        <is>
          <t>Ngabu</t>
        </is>
      </c>
      <c r="B532" s="21" t="inlineStr">
        <is>
          <t>Miseu Folo</t>
        </is>
      </c>
      <c r="C532" s="12" t="inlineStr">
        <is>
          <t>Cash Collection Rate (avg)</t>
        </is>
      </c>
      <c r="D532" s="23">
        <f>IFERROR(AVERAGEIFS(DataEntry!$HC:$HC,DataEntry!$A:$A,"Ngabu",DataEntry!$B:$B,"Miseu Folo"),"")</f>
        <v/>
      </c>
    </row>
    <row r="533">
      <c r="A533" s="19" t="inlineStr">
        <is>
          <t>Ngabu</t>
        </is>
      </c>
      <c r="B533" s="19" t="inlineStr">
        <is>
          <t>Miseu Folo</t>
        </is>
      </c>
      <c r="C533" s="6" t="inlineStr">
        <is>
          <t>OpCost / Sales (avg)</t>
        </is>
      </c>
      <c r="D533" s="24">
        <f>IFERROR(AVERAGEIFS(DataEntry!$HB:$HB,DataEntry!$A:$A,"Ngabu",DataEntry!$B:$B,"Miseu Folo"),"")</f>
        <v/>
      </c>
    </row>
    <row r="534">
      <c r="A534" s="21" t="inlineStr">
        <is>
          <t>Ngabu</t>
        </is>
      </c>
      <c r="B534" s="21" t="inlineStr">
        <is>
          <t>Miseu Folo</t>
        </is>
      </c>
      <c r="C534" s="12" t="inlineStr">
        <is>
          <t>Total Active Customers (end)</t>
        </is>
      </c>
      <c r="D534" s="22">
        <f>IFERROR(SUMIFS(DataEntry!$CS:$CS,DataEntry!$A:$A,"Ngabu",DataEntry!$B:$B,"Miseu Folo"),"")</f>
        <v/>
      </c>
    </row>
    <row r="535">
      <c r="A535" s="19" t="inlineStr">
        <is>
          <t>Ngabu</t>
        </is>
      </c>
      <c r="B535" s="19" t="inlineStr">
        <is>
          <t>Miseu Folo</t>
        </is>
      </c>
      <c r="C535" s="6" t="inlineStr">
        <is>
          <t>Total Metered Consumers (end)</t>
        </is>
      </c>
      <c r="D535" s="20">
        <f>IFERROR(SUMIFS(DataEntry!$CT:$CT,DataEntry!$A:$A,"Ngabu",DataEntry!$B:$B,"Miseu Folo"),"")</f>
        <v/>
      </c>
    </row>
    <row r="536">
      <c r="A536" s="21" t="inlineStr">
        <is>
          <t>Ngabu</t>
        </is>
      </c>
      <c r="B536" s="21" t="inlineStr">
        <is>
          <t>Miseu Folo</t>
        </is>
      </c>
      <c r="C536" s="12" t="inlineStr">
        <is>
          <t>Population Supplied (end)</t>
        </is>
      </c>
      <c r="D536" s="22">
        <f>IFERROR(SUMIFS(DataEntry!$CV:$CV,DataEntry!$A:$A,"Ngabu",DataEntry!$B:$B,"Miseu Folo"),"")</f>
        <v/>
      </c>
    </row>
    <row r="537">
      <c r="A537" s="19" t="inlineStr">
        <is>
          <t>Ngabu</t>
        </is>
      </c>
      <c r="B537" s="19" t="inlineStr">
        <is>
          <t>Miseu Folo</t>
        </is>
      </c>
      <c r="C537" s="6" t="inlineStr">
        <is>
          <t>% Population Supplied (avg)</t>
        </is>
      </c>
      <c r="D537" s="24">
        <f>IFERROR(AVERAGEIFS(DataEntry!$CW:$CW,DataEntry!$A:$A,"Ngabu",DataEntry!$B:$B,"Miseu Folo"),"")</f>
        <v/>
      </c>
    </row>
    <row r="538">
      <c r="A538" s="21" t="inlineStr">
        <is>
          <t>Ngabu</t>
        </is>
      </c>
      <c r="B538" s="21" t="inlineStr">
        <is>
          <t>Miseu Folo</t>
        </is>
      </c>
      <c r="C538" s="12" t="inlineStr">
        <is>
          <t>New Connections Total Done</t>
        </is>
      </c>
      <c r="D538" s="22">
        <f>IFERROR(SUMIFS(DataEntry!$CA:$CA,DataEntry!$A:$A,"Ngabu",DataEntry!$B:$B,"Miseu Folo"),"")</f>
        <v/>
      </c>
    </row>
    <row r="539">
      <c r="A539" s="19" t="inlineStr">
        <is>
          <t>Ngabu</t>
        </is>
      </c>
      <c r="B539" s="19" t="inlineStr">
        <is>
          <t>Miseu Folo</t>
        </is>
      </c>
      <c r="C539" s="6" t="inlineStr">
        <is>
          <t>Stuck Meters Carried Fwd</t>
        </is>
      </c>
      <c r="D539" s="20">
        <f>IFERROR(SUMIFS(DataEntry!$DV:$DV,DataEntry!$A:$A,"Ngabu",DataEntry!$B:$B,"Miseu Folo"),"")</f>
        <v/>
      </c>
    </row>
    <row r="540">
      <c r="A540" s="21" t="inlineStr">
        <is>
          <t>Ngabu</t>
        </is>
      </c>
      <c r="B540" s="21" t="inlineStr">
        <is>
          <t>Miseu Folo</t>
        </is>
      </c>
      <c r="C540" s="12" t="inlineStr">
        <is>
          <t>Total Pipe Breakdowns</t>
        </is>
      </c>
      <c r="D540" s="22">
        <f>IFERROR(SUMIFS(DataEntry!$FG:$FG,DataEntry!$A:$A,"Ngabu",DataEntry!$B:$B,"Miseu Folo"),"")</f>
        <v/>
      </c>
    </row>
    <row r="541">
      <c r="A541" s="19" t="inlineStr">
        <is>
          <t>Ngabu</t>
        </is>
      </c>
      <c r="B541" s="19" t="inlineStr">
        <is>
          <t>Miseu Folo</t>
        </is>
      </c>
      <c r="C541" s="6" t="inlineStr">
        <is>
          <t>Connectivity Rate (avg)</t>
        </is>
      </c>
      <c r="D541" s="24">
        <f>IFERROR(AVERAGEIFS(DataEntry!$HK:$HK,DataEntry!$A:$A,"Ngabu",DataEntry!$B:$B,"Miseu Folo"),"")</f>
        <v/>
      </c>
    </row>
    <row r="542">
      <c r="A542" s="21" t="inlineStr">
        <is>
          <t>Ngabu</t>
        </is>
      </c>
      <c r="B542" s="21" t="inlineStr">
        <is>
          <t>Miseu Folo</t>
        </is>
      </c>
      <c r="C542" s="12" t="inlineStr">
        <is>
          <t>Response Time avg (days)</t>
        </is>
      </c>
      <c r="D542" s="23">
        <f>IFERROR(AVERAGEIFS(DataEntry!$HN:$HN,DataEntry!$A:$A,"Ngabu",DataEntry!$B:$B,"Miseu Folo"),"")</f>
        <v/>
      </c>
    </row>
    <row r="543">
      <c r="A543" s="19" t="inlineStr">
        <is>
          <t>Ngabu</t>
        </is>
      </c>
      <c r="B543" s="19" t="inlineStr">
        <is>
          <t>Nchalo</t>
        </is>
      </c>
      <c r="C543" s="6" t="inlineStr">
        <is>
          <t>Volume Produced (m³)</t>
        </is>
      </c>
      <c r="D543" s="20">
        <f>IFERROR(SUMIFS(DataEntry!$H:$H,DataEntry!$A:$A,"Ngabu",DataEntry!$B:$B,"Nchalo"),"")</f>
        <v/>
      </c>
    </row>
    <row r="544">
      <c r="A544" s="21" t="inlineStr">
        <is>
          <t>Ngabu</t>
        </is>
      </c>
      <c r="B544" s="21" t="inlineStr">
        <is>
          <t>Nchalo</t>
        </is>
      </c>
      <c r="C544" s="12" t="inlineStr">
        <is>
          <t>Total Revenue Water (m³)</t>
        </is>
      </c>
      <c r="D544" s="22">
        <f>IFERROR(SUMIFS(DataEntry!$S:$S,DataEntry!$A:$A,"Ngabu",DataEntry!$B:$B,"Nchalo"),"")</f>
        <v/>
      </c>
    </row>
    <row r="545">
      <c r="A545" s="19" t="inlineStr">
        <is>
          <t>Ngabu</t>
        </is>
      </c>
      <c r="B545" s="19" t="inlineStr">
        <is>
          <t>Nchalo</t>
        </is>
      </c>
      <c r="C545" s="6" t="inlineStr">
        <is>
          <t>Non-Revenue Water (m³)</t>
        </is>
      </c>
      <c r="D545" s="20">
        <f>IFERROR(SUMIFS(DataEntry!$T:$T,DataEntry!$A:$A,"Ngabu",DataEntry!$B:$B,"Nchalo"),"")</f>
        <v/>
      </c>
    </row>
    <row r="546">
      <c r="A546" s="21" t="inlineStr">
        <is>
          <t>Ngabu</t>
        </is>
      </c>
      <c r="B546" s="21" t="inlineStr">
        <is>
          <t>Nchalo</t>
        </is>
      </c>
      <c r="C546" s="12" t="inlineStr">
        <is>
          <t>% NRW (avg)</t>
        </is>
      </c>
      <c r="D546" s="23">
        <f>IFERROR(AVERAGEIFS(DataEntry!$U:$U,DataEntry!$A:$A,"Ngabu",DataEntry!$B:$B,"Nchalo"),"")</f>
        <v/>
      </c>
    </row>
    <row r="547">
      <c r="A547" s="19" t="inlineStr">
        <is>
          <t>Ngabu</t>
        </is>
      </c>
      <c r="B547" s="19" t="inlineStr">
        <is>
          <t>Nchalo</t>
        </is>
      </c>
      <c r="C547" s="6" t="inlineStr">
        <is>
          <t>Chlorine Used (kg)</t>
        </is>
      </c>
      <c r="D547" s="20">
        <f>IFERROR(SUMIFS(DataEntry!$V:$V,DataEntry!$A:$A,"Ngabu",DataEntry!$B:$B,"Nchalo"),"")</f>
        <v/>
      </c>
    </row>
    <row r="548">
      <c r="A548" s="21" t="inlineStr">
        <is>
          <t>Ngabu</t>
        </is>
      </c>
      <c r="B548" s="21" t="inlineStr">
        <is>
          <t>Nchalo</t>
        </is>
      </c>
      <c r="C548" s="12" t="inlineStr">
        <is>
          <t>Cost of Chemicals (MWK)</t>
        </is>
      </c>
      <c r="D548" s="22">
        <f>IFERROR(SUMIFS(DataEntry!$AH:$AH,DataEntry!$A:$A,"Ngabu",DataEntry!$B:$B,"Nchalo"),"")</f>
        <v/>
      </c>
    </row>
    <row r="549">
      <c r="A549" s="19" t="inlineStr">
        <is>
          <t>Ngabu</t>
        </is>
      </c>
      <c r="B549" s="19" t="inlineStr">
        <is>
          <t>Nchalo</t>
        </is>
      </c>
      <c r="C549" s="6" t="inlineStr">
        <is>
          <t>Cost of Power (MWK)</t>
        </is>
      </c>
      <c r="D549" s="20">
        <f>IFERROR(SUMIFS(DataEntry!$AL:$AL,DataEntry!$A:$A,"Ngabu",DataEntry!$B:$B,"Nchalo"),"")</f>
        <v/>
      </c>
    </row>
    <row r="550">
      <c r="A550" s="21" t="inlineStr">
        <is>
          <t>Ngabu</t>
        </is>
      </c>
      <c r="B550" s="21" t="inlineStr">
        <is>
          <t>Nchalo</t>
        </is>
      </c>
      <c r="C550" s="12" t="inlineStr">
        <is>
          <t>Cost of Fuel (MWK)</t>
        </is>
      </c>
      <c r="D550" s="22">
        <f>IFERROR(SUMIFS(DataEntry!$AP:$AP,DataEntry!$A:$A,"Ngabu",DataEntry!$B:$B,"Nchalo"),"")</f>
        <v/>
      </c>
    </row>
    <row r="551">
      <c r="A551" s="19" t="inlineStr">
        <is>
          <t>Ngabu</t>
        </is>
      </c>
      <c r="B551" s="19" t="inlineStr">
        <is>
          <t>Nchalo</t>
        </is>
      </c>
      <c r="C551" s="6" t="inlineStr">
        <is>
          <t>Total Operating Costs (MWK)</t>
        </is>
      </c>
      <c r="D551" s="20">
        <f>IFERROR(SUMIFS(DataEntry!$AU:$AU,DataEntry!$A:$A,"Ngabu",DataEntry!$B:$B,"Nchalo"),"")</f>
        <v/>
      </c>
    </row>
    <row r="552">
      <c r="A552" s="21" t="inlineStr">
        <is>
          <t>Ngabu</t>
        </is>
      </c>
      <c r="B552" s="21" t="inlineStr">
        <is>
          <t>Nchalo</t>
        </is>
      </c>
      <c r="C552" s="12" t="inlineStr">
        <is>
          <t>OpCost per m³ Produced (avg)</t>
        </is>
      </c>
      <c r="D552" s="23">
        <f>IFERROR(AVERAGEIFS(DataEntry!$AV:$AV,DataEntry!$A:$A,"Ngabu",DataEntry!$B:$B,"Nchalo"),"")</f>
        <v/>
      </c>
    </row>
    <row r="553">
      <c r="A553" s="19" t="inlineStr">
        <is>
          <t>Ngabu</t>
        </is>
      </c>
      <c r="B553" s="19" t="inlineStr">
        <is>
          <t>Nchalo</t>
        </is>
      </c>
      <c r="C553" s="6" t="inlineStr">
        <is>
          <t>Total Cash Collected (MWK)</t>
        </is>
      </c>
      <c r="D553" s="20">
        <f>IFERROR(SUMIFS(DataEntry!$GB:$GB,DataEntry!$A:$A,"Ngabu",DataEntry!$B:$B,"Nchalo"),"")</f>
        <v/>
      </c>
    </row>
    <row r="554">
      <c r="A554" s="21" t="inlineStr">
        <is>
          <t>Ngabu</t>
        </is>
      </c>
      <c r="B554" s="21" t="inlineStr">
        <is>
          <t>Nchalo</t>
        </is>
      </c>
      <c r="C554" s="12" t="inlineStr">
        <is>
          <t>Total Amount Billed (MWK)</t>
        </is>
      </c>
      <c r="D554" s="22">
        <f>IFERROR(SUMIFS(DataEntry!$GM:$GM,DataEntry!$A:$A,"Ngabu",DataEntry!$B:$B,"Nchalo"),"")</f>
        <v/>
      </c>
    </row>
    <row r="555">
      <c r="A555" s="19" t="inlineStr">
        <is>
          <t>Ngabu</t>
        </is>
      </c>
      <c r="B555" s="19" t="inlineStr">
        <is>
          <t>Nchalo</t>
        </is>
      </c>
      <c r="C555" s="6" t="inlineStr">
        <is>
          <t>Total Sales (MWK)</t>
        </is>
      </c>
      <c r="D555" s="20">
        <f>IFERROR(SUMIFS(DataEntry!$GX:$GX,DataEntry!$A:$A,"Ngabu",DataEntry!$B:$B,"Nchalo"),"")</f>
        <v/>
      </c>
    </row>
    <row r="556">
      <c r="A556" s="21" t="inlineStr">
        <is>
          <t>Ngabu</t>
        </is>
      </c>
      <c r="B556" s="21" t="inlineStr">
        <is>
          <t>Nchalo</t>
        </is>
      </c>
      <c r="C556" s="12" t="inlineStr">
        <is>
          <t>Private Debtors (MWK)</t>
        </is>
      </c>
      <c r="D556" s="22">
        <f>IFERROR(SUMIFS(DataEntry!$GY:$GY,DataEntry!$A:$A,"Ngabu",DataEntry!$B:$B,"Nchalo"),"")</f>
        <v/>
      </c>
    </row>
    <row r="557">
      <c r="A557" s="19" t="inlineStr">
        <is>
          <t>Ngabu</t>
        </is>
      </c>
      <c r="B557" s="19" t="inlineStr">
        <is>
          <t>Nchalo</t>
        </is>
      </c>
      <c r="C557" s="6" t="inlineStr">
        <is>
          <t>Public Debtors (MWK)</t>
        </is>
      </c>
      <c r="D557" s="20">
        <f>IFERROR(SUMIFS(DataEntry!$GZ:$GZ,DataEntry!$A:$A,"Ngabu",DataEntry!$B:$B,"Nchalo"),"")</f>
        <v/>
      </c>
    </row>
    <row r="558">
      <c r="A558" s="21" t="inlineStr">
        <is>
          <t>Ngabu</t>
        </is>
      </c>
      <c r="B558" s="21" t="inlineStr">
        <is>
          <t>Nchalo</t>
        </is>
      </c>
      <c r="C558" s="12" t="inlineStr">
        <is>
          <t>Total Debtors (MWK)</t>
        </is>
      </c>
      <c r="D558" s="22">
        <f>IFERROR(SUMIFS(DataEntry!$HA:$HA,DataEntry!$A:$A,"Ngabu",DataEntry!$B:$B,"Nchalo"),"")</f>
        <v/>
      </c>
    </row>
    <row r="559">
      <c r="A559" s="19" t="inlineStr">
        <is>
          <t>Ngabu</t>
        </is>
      </c>
      <c r="B559" s="19" t="inlineStr">
        <is>
          <t>Nchalo</t>
        </is>
      </c>
      <c r="C559" s="6" t="inlineStr">
        <is>
          <t>Cash Collection Rate (avg)</t>
        </is>
      </c>
      <c r="D559" s="24">
        <f>IFERROR(AVERAGEIFS(DataEntry!$HC:$HC,DataEntry!$A:$A,"Ngabu",DataEntry!$B:$B,"Nchalo"),"")</f>
        <v/>
      </c>
    </row>
    <row r="560">
      <c r="A560" s="21" t="inlineStr">
        <is>
          <t>Ngabu</t>
        </is>
      </c>
      <c r="B560" s="21" t="inlineStr">
        <is>
          <t>Nchalo</t>
        </is>
      </c>
      <c r="C560" s="12" t="inlineStr">
        <is>
          <t>OpCost / Sales (avg)</t>
        </is>
      </c>
      <c r="D560" s="23">
        <f>IFERROR(AVERAGEIFS(DataEntry!$HB:$HB,DataEntry!$A:$A,"Ngabu",DataEntry!$B:$B,"Nchalo"),"")</f>
        <v/>
      </c>
    </row>
    <row r="561">
      <c r="A561" s="19" t="inlineStr">
        <is>
          <t>Ngabu</t>
        </is>
      </c>
      <c r="B561" s="19" t="inlineStr">
        <is>
          <t>Nchalo</t>
        </is>
      </c>
      <c r="C561" s="6" t="inlineStr">
        <is>
          <t>Total Active Customers (end)</t>
        </is>
      </c>
      <c r="D561" s="20">
        <f>IFERROR(SUMIFS(DataEntry!$CS:$CS,DataEntry!$A:$A,"Ngabu",DataEntry!$B:$B,"Nchalo"),"")</f>
        <v/>
      </c>
    </row>
    <row r="562">
      <c r="A562" s="21" t="inlineStr">
        <is>
          <t>Ngabu</t>
        </is>
      </c>
      <c r="B562" s="21" t="inlineStr">
        <is>
          <t>Nchalo</t>
        </is>
      </c>
      <c r="C562" s="12" t="inlineStr">
        <is>
          <t>Total Metered Consumers (end)</t>
        </is>
      </c>
      <c r="D562" s="22">
        <f>IFERROR(SUMIFS(DataEntry!$CT:$CT,DataEntry!$A:$A,"Ngabu",DataEntry!$B:$B,"Nchalo"),"")</f>
        <v/>
      </c>
    </row>
    <row r="563">
      <c r="A563" s="19" t="inlineStr">
        <is>
          <t>Ngabu</t>
        </is>
      </c>
      <c r="B563" s="19" t="inlineStr">
        <is>
          <t>Nchalo</t>
        </is>
      </c>
      <c r="C563" s="6" t="inlineStr">
        <is>
          <t>Population Supplied (end)</t>
        </is>
      </c>
      <c r="D563" s="20">
        <f>IFERROR(SUMIFS(DataEntry!$CV:$CV,DataEntry!$A:$A,"Ngabu",DataEntry!$B:$B,"Nchalo"),"")</f>
        <v/>
      </c>
    </row>
    <row r="564">
      <c r="A564" s="21" t="inlineStr">
        <is>
          <t>Ngabu</t>
        </is>
      </c>
      <c r="B564" s="21" t="inlineStr">
        <is>
          <t>Nchalo</t>
        </is>
      </c>
      <c r="C564" s="12" t="inlineStr">
        <is>
          <t>% Population Supplied (avg)</t>
        </is>
      </c>
      <c r="D564" s="23">
        <f>IFERROR(AVERAGEIFS(DataEntry!$CW:$CW,DataEntry!$A:$A,"Ngabu",DataEntry!$B:$B,"Nchalo"),"")</f>
        <v/>
      </c>
    </row>
    <row r="565">
      <c r="A565" s="19" t="inlineStr">
        <is>
          <t>Ngabu</t>
        </is>
      </c>
      <c r="B565" s="19" t="inlineStr">
        <is>
          <t>Nchalo</t>
        </is>
      </c>
      <c r="C565" s="6" t="inlineStr">
        <is>
          <t>New Connections Total Done</t>
        </is>
      </c>
      <c r="D565" s="20">
        <f>IFERROR(SUMIFS(DataEntry!$CA:$CA,DataEntry!$A:$A,"Ngabu",DataEntry!$B:$B,"Nchalo"),"")</f>
        <v/>
      </c>
    </row>
    <row r="566">
      <c r="A566" s="21" t="inlineStr">
        <is>
          <t>Ngabu</t>
        </is>
      </c>
      <c r="B566" s="21" t="inlineStr">
        <is>
          <t>Nchalo</t>
        </is>
      </c>
      <c r="C566" s="12" t="inlineStr">
        <is>
          <t>Stuck Meters Carried Fwd</t>
        </is>
      </c>
      <c r="D566" s="22">
        <f>IFERROR(SUMIFS(DataEntry!$DV:$DV,DataEntry!$A:$A,"Ngabu",DataEntry!$B:$B,"Nchalo"),"")</f>
        <v/>
      </c>
    </row>
    <row r="567">
      <c r="A567" s="19" t="inlineStr">
        <is>
          <t>Ngabu</t>
        </is>
      </c>
      <c r="B567" s="19" t="inlineStr">
        <is>
          <t>Nchalo</t>
        </is>
      </c>
      <c r="C567" s="6" t="inlineStr">
        <is>
          <t>Total Pipe Breakdowns</t>
        </is>
      </c>
      <c r="D567" s="20">
        <f>IFERROR(SUMIFS(DataEntry!$FG:$FG,DataEntry!$A:$A,"Ngabu",DataEntry!$B:$B,"Nchalo"),"")</f>
        <v/>
      </c>
    </row>
    <row r="568">
      <c r="A568" s="21" t="inlineStr">
        <is>
          <t>Ngabu</t>
        </is>
      </c>
      <c r="B568" s="21" t="inlineStr">
        <is>
          <t>Nchalo</t>
        </is>
      </c>
      <c r="C568" s="12" t="inlineStr">
        <is>
          <t>Connectivity Rate (avg)</t>
        </is>
      </c>
      <c r="D568" s="23">
        <f>IFERROR(AVERAGEIFS(DataEntry!$HK:$HK,DataEntry!$A:$A,"Ngabu",DataEntry!$B:$B,"Nchalo"),"")</f>
        <v/>
      </c>
    </row>
    <row r="569">
      <c r="A569" s="19" t="inlineStr">
        <is>
          <t>Ngabu</t>
        </is>
      </c>
      <c r="B569" s="19" t="inlineStr">
        <is>
          <t>Nchalo</t>
        </is>
      </c>
      <c r="C569" s="6" t="inlineStr">
        <is>
          <t>Response Time avg (days)</t>
        </is>
      </c>
      <c r="D569" s="24">
        <f>IFERROR(AVERAGEIFS(DataEntry!$HN:$HN,DataEntry!$A:$A,"Ngabu",DataEntry!$B:$B,"Nchalo"),"")</f>
        <v/>
      </c>
    </row>
    <row r="570">
      <c r="A570" s="21" t="inlineStr">
        <is>
          <t>Ngabu</t>
        </is>
      </c>
      <c r="B570" s="21" t="inlineStr">
        <is>
          <t>Ngabu</t>
        </is>
      </c>
      <c r="C570" s="12" t="inlineStr">
        <is>
          <t>Volume Produced (m³)</t>
        </is>
      </c>
      <c r="D570" s="22">
        <f>IFERROR(SUMIFS(DataEntry!$H:$H,DataEntry!$A:$A,"Ngabu",DataEntry!$B:$B,"Ngabu"),"")</f>
        <v/>
      </c>
    </row>
    <row r="571">
      <c r="A571" s="19" t="inlineStr">
        <is>
          <t>Ngabu</t>
        </is>
      </c>
      <c r="B571" s="19" t="inlineStr">
        <is>
          <t>Ngabu</t>
        </is>
      </c>
      <c r="C571" s="6" t="inlineStr">
        <is>
          <t>Total Revenue Water (m³)</t>
        </is>
      </c>
      <c r="D571" s="20">
        <f>IFERROR(SUMIFS(DataEntry!$S:$S,DataEntry!$A:$A,"Ngabu",DataEntry!$B:$B,"Ngabu"),"")</f>
        <v/>
      </c>
    </row>
    <row r="572">
      <c r="A572" s="21" t="inlineStr">
        <is>
          <t>Ngabu</t>
        </is>
      </c>
      <c r="B572" s="21" t="inlineStr">
        <is>
          <t>Ngabu</t>
        </is>
      </c>
      <c r="C572" s="12" t="inlineStr">
        <is>
          <t>Non-Revenue Water (m³)</t>
        </is>
      </c>
      <c r="D572" s="22">
        <f>IFERROR(SUMIFS(DataEntry!$T:$T,DataEntry!$A:$A,"Ngabu",DataEntry!$B:$B,"Ngabu"),"")</f>
        <v/>
      </c>
    </row>
    <row r="573">
      <c r="A573" s="19" t="inlineStr">
        <is>
          <t>Ngabu</t>
        </is>
      </c>
      <c r="B573" s="19" t="inlineStr">
        <is>
          <t>Ngabu</t>
        </is>
      </c>
      <c r="C573" s="6" t="inlineStr">
        <is>
          <t>% NRW (avg)</t>
        </is>
      </c>
      <c r="D573" s="24">
        <f>IFERROR(AVERAGEIFS(DataEntry!$U:$U,DataEntry!$A:$A,"Ngabu",DataEntry!$B:$B,"Ngabu"),"")</f>
        <v/>
      </c>
    </row>
    <row r="574">
      <c r="A574" s="21" t="inlineStr">
        <is>
          <t>Ngabu</t>
        </is>
      </c>
      <c r="B574" s="21" t="inlineStr">
        <is>
          <t>Ngabu</t>
        </is>
      </c>
      <c r="C574" s="12" t="inlineStr">
        <is>
          <t>Chlorine Used (kg)</t>
        </is>
      </c>
      <c r="D574" s="22">
        <f>IFERROR(SUMIFS(DataEntry!$V:$V,DataEntry!$A:$A,"Ngabu",DataEntry!$B:$B,"Ngabu"),"")</f>
        <v/>
      </c>
    </row>
    <row r="575">
      <c r="A575" s="19" t="inlineStr">
        <is>
          <t>Ngabu</t>
        </is>
      </c>
      <c r="B575" s="19" t="inlineStr">
        <is>
          <t>Ngabu</t>
        </is>
      </c>
      <c r="C575" s="6" t="inlineStr">
        <is>
          <t>Cost of Chemicals (MWK)</t>
        </is>
      </c>
      <c r="D575" s="20">
        <f>IFERROR(SUMIFS(DataEntry!$AH:$AH,DataEntry!$A:$A,"Ngabu",DataEntry!$B:$B,"Ngabu"),"")</f>
        <v/>
      </c>
    </row>
    <row r="576">
      <c r="A576" s="21" t="inlineStr">
        <is>
          <t>Ngabu</t>
        </is>
      </c>
      <c r="B576" s="21" t="inlineStr">
        <is>
          <t>Ngabu</t>
        </is>
      </c>
      <c r="C576" s="12" t="inlineStr">
        <is>
          <t>Cost of Power (MWK)</t>
        </is>
      </c>
      <c r="D576" s="22">
        <f>IFERROR(SUMIFS(DataEntry!$AL:$AL,DataEntry!$A:$A,"Ngabu",DataEntry!$B:$B,"Ngabu"),"")</f>
        <v/>
      </c>
    </row>
    <row r="577">
      <c r="A577" s="19" t="inlineStr">
        <is>
          <t>Ngabu</t>
        </is>
      </c>
      <c r="B577" s="19" t="inlineStr">
        <is>
          <t>Ngabu</t>
        </is>
      </c>
      <c r="C577" s="6" t="inlineStr">
        <is>
          <t>Cost of Fuel (MWK)</t>
        </is>
      </c>
      <c r="D577" s="20">
        <f>IFERROR(SUMIFS(DataEntry!$AP:$AP,DataEntry!$A:$A,"Ngabu",DataEntry!$B:$B,"Ngabu"),"")</f>
        <v/>
      </c>
    </row>
    <row r="578">
      <c r="A578" s="21" t="inlineStr">
        <is>
          <t>Ngabu</t>
        </is>
      </c>
      <c r="B578" s="21" t="inlineStr">
        <is>
          <t>Ngabu</t>
        </is>
      </c>
      <c r="C578" s="12" t="inlineStr">
        <is>
          <t>Total Operating Costs (MWK)</t>
        </is>
      </c>
      <c r="D578" s="22">
        <f>IFERROR(SUMIFS(DataEntry!$AU:$AU,DataEntry!$A:$A,"Ngabu",DataEntry!$B:$B,"Ngabu"),"")</f>
        <v/>
      </c>
    </row>
    <row r="579">
      <c r="A579" s="19" t="inlineStr">
        <is>
          <t>Ngabu</t>
        </is>
      </c>
      <c r="B579" s="19" t="inlineStr">
        <is>
          <t>Ngabu</t>
        </is>
      </c>
      <c r="C579" s="6" t="inlineStr">
        <is>
          <t>OpCost per m³ Produced (avg)</t>
        </is>
      </c>
      <c r="D579" s="24">
        <f>IFERROR(AVERAGEIFS(DataEntry!$AV:$AV,DataEntry!$A:$A,"Ngabu",DataEntry!$B:$B,"Ngabu"),"")</f>
        <v/>
      </c>
    </row>
    <row r="580">
      <c r="A580" s="21" t="inlineStr">
        <is>
          <t>Ngabu</t>
        </is>
      </c>
      <c r="B580" s="21" t="inlineStr">
        <is>
          <t>Ngabu</t>
        </is>
      </c>
      <c r="C580" s="12" t="inlineStr">
        <is>
          <t>Total Cash Collected (MWK)</t>
        </is>
      </c>
      <c r="D580" s="22">
        <f>IFERROR(SUMIFS(DataEntry!$GB:$GB,DataEntry!$A:$A,"Ngabu",DataEntry!$B:$B,"Ngabu"),"")</f>
        <v/>
      </c>
    </row>
    <row r="581">
      <c r="A581" s="19" t="inlineStr">
        <is>
          <t>Ngabu</t>
        </is>
      </c>
      <c r="B581" s="19" t="inlineStr">
        <is>
          <t>Ngabu</t>
        </is>
      </c>
      <c r="C581" s="6" t="inlineStr">
        <is>
          <t>Total Amount Billed (MWK)</t>
        </is>
      </c>
      <c r="D581" s="20">
        <f>IFERROR(SUMIFS(DataEntry!$GM:$GM,DataEntry!$A:$A,"Ngabu",DataEntry!$B:$B,"Ngabu"),"")</f>
        <v/>
      </c>
    </row>
    <row r="582">
      <c r="A582" s="21" t="inlineStr">
        <is>
          <t>Ngabu</t>
        </is>
      </c>
      <c r="B582" s="21" t="inlineStr">
        <is>
          <t>Ngabu</t>
        </is>
      </c>
      <c r="C582" s="12" t="inlineStr">
        <is>
          <t>Total Sales (MWK)</t>
        </is>
      </c>
      <c r="D582" s="22">
        <f>IFERROR(SUMIFS(DataEntry!$GX:$GX,DataEntry!$A:$A,"Ngabu",DataEntry!$B:$B,"Ngabu"),"")</f>
        <v/>
      </c>
    </row>
    <row r="583">
      <c r="A583" s="19" t="inlineStr">
        <is>
          <t>Ngabu</t>
        </is>
      </c>
      <c r="B583" s="19" t="inlineStr">
        <is>
          <t>Ngabu</t>
        </is>
      </c>
      <c r="C583" s="6" t="inlineStr">
        <is>
          <t>Private Debtors (MWK)</t>
        </is>
      </c>
      <c r="D583" s="20">
        <f>IFERROR(SUMIFS(DataEntry!$GY:$GY,DataEntry!$A:$A,"Ngabu",DataEntry!$B:$B,"Ngabu"),"")</f>
        <v/>
      </c>
    </row>
    <row r="584">
      <c r="A584" s="21" t="inlineStr">
        <is>
          <t>Ngabu</t>
        </is>
      </c>
      <c r="B584" s="21" t="inlineStr">
        <is>
          <t>Ngabu</t>
        </is>
      </c>
      <c r="C584" s="12" t="inlineStr">
        <is>
          <t>Public Debtors (MWK)</t>
        </is>
      </c>
      <c r="D584" s="22">
        <f>IFERROR(SUMIFS(DataEntry!$GZ:$GZ,DataEntry!$A:$A,"Ngabu",DataEntry!$B:$B,"Ngabu"),"")</f>
        <v/>
      </c>
    </row>
    <row r="585">
      <c r="A585" s="19" t="inlineStr">
        <is>
          <t>Ngabu</t>
        </is>
      </c>
      <c r="B585" s="19" t="inlineStr">
        <is>
          <t>Ngabu</t>
        </is>
      </c>
      <c r="C585" s="6" t="inlineStr">
        <is>
          <t>Total Debtors (MWK)</t>
        </is>
      </c>
      <c r="D585" s="20">
        <f>IFERROR(SUMIFS(DataEntry!$HA:$HA,DataEntry!$A:$A,"Ngabu",DataEntry!$B:$B,"Ngabu"),"")</f>
        <v/>
      </c>
    </row>
    <row r="586">
      <c r="A586" s="21" t="inlineStr">
        <is>
          <t>Ngabu</t>
        </is>
      </c>
      <c r="B586" s="21" t="inlineStr">
        <is>
          <t>Ngabu</t>
        </is>
      </c>
      <c r="C586" s="12" t="inlineStr">
        <is>
          <t>Cash Collection Rate (avg)</t>
        </is>
      </c>
      <c r="D586" s="23">
        <f>IFERROR(AVERAGEIFS(DataEntry!$HC:$HC,DataEntry!$A:$A,"Ngabu",DataEntry!$B:$B,"Ngabu"),"")</f>
        <v/>
      </c>
    </row>
    <row r="587">
      <c r="A587" s="19" t="inlineStr">
        <is>
          <t>Ngabu</t>
        </is>
      </c>
      <c r="B587" s="19" t="inlineStr">
        <is>
          <t>Ngabu</t>
        </is>
      </c>
      <c r="C587" s="6" t="inlineStr">
        <is>
          <t>OpCost / Sales (avg)</t>
        </is>
      </c>
      <c r="D587" s="24">
        <f>IFERROR(AVERAGEIFS(DataEntry!$HB:$HB,DataEntry!$A:$A,"Ngabu",DataEntry!$B:$B,"Ngabu"),"")</f>
        <v/>
      </c>
    </row>
    <row r="588">
      <c r="A588" s="21" t="inlineStr">
        <is>
          <t>Ngabu</t>
        </is>
      </c>
      <c r="B588" s="21" t="inlineStr">
        <is>
          <t>Ngabu</t>
        </is>
      </c>
      <c r="C588" s="12" t="inlineStr">
        <is>
          <t>Total Active Customers (end)</t>
        </is>
      </c>
      <c r="D588" s="22">
        <f>IFERROR(SUMIFS(DataEntry!$CS:$CS,DataEntry!$A:$A,"Ngabu",DataEntry!$B:$B,"Ngabu"),"")</f>
        <v/>
      </c>
    </row>
    <row r="589">
      <c r="A589" s="19" t="inlineStr">
        <is>
          <t>Ngabu</t>
        </is>
      </c>
      <c r="B589" s="19" t="inlineStr">
        <is>
          <t>Ngabu</t>
        </is>
      </c>
      <c r="C589" s="6" t="inlineStr">
        <is>
          <t>Total Metered Consumers (end)</t>
        </is>
      </c>
      <c r="D589" s="20">
        <f>IFERROR(SUMIFS(DataEntry!$CT:$CT,DataEntry!$A:$A,"Ngabu",DataEntry!$B:$B,"Ngabu"),"")</f>
        <v/>
      </c>
    </row>
    <row r="590">
      <c r="A590" s="21" t="inlineStr">
        <is>
          <t>Ngabu</t>
        </is>
      </c>
      <c r="B590" s="21" t="inlineStr">
        <is>
          <t>Ngabu</t>
        </is>
      </c>
      <c r="C590" s="12" t="inlineStr">
        <is>
          <t>Population Supplied (end)</t>
        </is>
      </c>
      <c r="D590" s="22">
        <f>IFERROR(SUMIFS(DataEntry!$CV:$CV,DataEntry!$A:$A,"Ngabu",DataEntry!$B:$B,"Ngabu"),"")</f>
        <v/>
      </c>
    </row>
    <row r="591">
      <c r="A591" s="19" t="inlineStr">
        <is>
          <t>Ngabu</t>
        </is>
      </c>
      <c r="B591" s="19" t="inlineStr">
        <is>
          <t>Ngabu</t>
        </is>
      </c>
      <c r="C591" s="6" t="inlineStr">
        <is>
          <t>% Population Supplied (avg)</t>
        </is>
      </c>
      <c r="D591" s="24">
        <f>IFERROR(AVERAGEIFS(DataEntry!$CW:$CW,DataEntry!$A:$A,"Ngabu",DataEntry!$B:$B,"Ngabu"),"")</f>
        <v/>
      </c>
    </row>
    <row r="592">
      <c r="A592" s="21" t="inlineStr">
        <is>
          <t>Ngabu</t>
        </is>
      </c>
      <c r="B592" s="21" t="inlineStr">
        <is>
          <t>Ngabu</t>
        </is>
      </c>
      <c r="C592" s="12" t="inlineStr">
        <is>
          <t>New Connections Total Done</t>
        </is>
      </c>
      <c r="D592" s="22">
        <f>IFERROR(SUMIFS(DataEntry!$CA:$CA,DataEntry!$A:$A,"Ngabu",DataEntry!$B:$B,"Ngabu"),"")</f>
        <v/>
      </c>
    </row>
    <row r="593">
      <c r="A593" s="19" t="inlineStr">
        <is>
          <t>Ngabu</t>
        </is>
      </c>
      <c r="B593" s="19" t="inlineStr">
        <is>
          <t>Ngabu</t>
        </is>
      </c>
      <c r="C593" s="6" t="inlineStr">
        <is>
          <t>Stuck Meters Carried Fwd</t>
        </is>
      </c>
      <c r="D593" s="20">
        <f>IFERROR(SUMIFS(DataEntry!$DV:$DV,DataEntry!$A:$A,"Ngabu",DataEntry!$B:$B,"Ngabu"),"")</f>
        <v/>
      </c>
    </row>
    <row r="594">
      <c r="A594" s="21" t="inlineStr">
        <is>
          <t>Ngabu</t>
        </is>
      </c>
      <c r="B594" s="21" t="inlineStr">
        <is>
          <t>Ngabu</t>
        </is>
      </c>
      <c r="C594" s="12" t="inlineStr">
        <is>
          <t>Total Pipe Breakdowns</t>
        </is>
      </c>
      <c r="D594" s="22">
        <f>IFERROR(SUMIFS(DataEntry!$FG:$FG,DataEntry!$A:$A,"Ngabu",DataEntry!$B:$B,"Ngabu"),"")</f>
        <v/>
      </c>
    </row>
    <row r="595">
      <c r="A595" s="19" t="inlineStr">
        <is>
          <t>Ngabu</t>
        </is>
      </c>
      <c r="B595" s="19" t="inlineStr">
        <is>
          <t>Ngabu</t>
        </is>
      </c>
      <c r="C595" s="6" t="inlineStr">
        <is>
          <t>Connectivity Rate (avg)</t>
        </is>
      </c>
      <c r="D595" s="24">
        <f>IFERROR(AVERAGEIFS(DataEntry!$HK:$HK,DataEntry!$A:$A,"Ngabu",DataEntry!$B:$B,"Ngabu"),"")</f>
        <v/>
      </c>
    </row>
    <row r="596">
      <c r="A596" s="21" t="inlineStr">
        <is>
          <t>Ngabu</t>
        </is>
      </c>
      <c r="B596" s="21" t="inlineStr">
        <is>
          <t>Ngabu</t>
        </is>
      </c>
      <c r="C596" s="12" t="inlineStr">
        <is>
          <t>Response Time avg (days)</t>
        </is>
      </c>
      <c r="D596" s="23">
        <f>IFERROR(AVERAGEIFS(DataEntry!$HN:$HN,DataEntry!$A:$A,"Ngabu",DataEntry!$B:$B,"Ngabu"),"")</f>
        <v/>
      </c>
    </row>
    <row r="597">
      <c r="A597" s="19" t="inlineStr">
        <is>
          <t>Ngabu</t>
        </is>
      </c>
      <c r="B597" s="19" t="inlineStr">
        <is>
          <t>Nsanje</t>
        </is>
      </c>
      <c r="C597" s="6" t="inlineStr">
        <is>
          <t>Volume Produced (m³)</t>
        </is>
      </c>
      <c r="D597" s="20">
        <f>IFERROR(SUMIFS(DataEntry!$H:$H,DataEntry!$A:$A,"Ngabu",DataEntry!$B:$B,"Nsanje"),"")</f>
        <v/>
      </c>
    </row>
    <row r="598">
      <c r="A598" s="21" t="inlineStr">
        <is>
          <t>Ngabu</t>
        </is>
      </c>
      <c r="B598" s="21" t="inlineStr">
        <is>
          <t>Nsanje</t>
        </is>
      </c>
      <c r="C598" s="12" t="inlineStr">
        <is>
          <t>Total Revenue Water (m³)</t>
        </is>
      </c>
      <c r="D598" s="22">
        <f>IFERROR(SUMIFS(DataEntry!$S:$S,DataEntry!$A:$A,"Ngabu",DataEntry!$B:$B,"Nsanje"),"")</f>
        <v/>
      </c>
    </row>
    <row r="599">
      <c r="A599" s="19" t="inlineStr">
        <is>
          <t>Ngabu</t>
        </is>
      </c>
      <c r="B599" s="19" t="inlineStr">
        <is>
          <t>Nsanje</t>
        </is>
      </c>
      <c r="C599" s="6" t="inlineStr">
        <is>
          <t>Non-Revenue Water (m³)</t>
        </is>
      </c>
      <c r="D599" s="20">
        <f>IFERROR(SUMIFS(DataEntry!$T:$T,DataEntry!$A:$A,"Ngabu",DataEntry!$B:$B,"Nsanje"),"")</f>
        <v/>
      </c>
    </row>
    <row r="600">
      <c r="A600" s="21" t="inlineStr">
        <is>
          <t>Ngabu</t>
        </is>
      </c>
      <c r="B600" s="21" t="inlineStr">
        <is>
          <t>Nsanje</t>
        </is>
      </c>
      <c r="C600" s="12" t="inlineStr">
        <is>
          <t>% NRW (avg)</t>
        </is>
      </c>
      <c r="D600" s="23">
        <f>IFERROR(AVERAGEIFS(DataEntry!$U:$U,DataEntry!$A:$A,"Ngabu",DataEntry!$B:$B,"Nsanje"),"")</f>
        <v/>
      </c>
    </row>
    <row r="601">
      <c r="A601" s="19" t="inlineStr">
        <is>
          <t>Ngabu</t>
        </is>
      </c>
      <c r="B601" s="19" t="inlineStr">
        <is>
          <t>Nsanje</t>
        </is>
      </c>
      <c r="C601" s="6" t="inlineStr">
        <is>
          <t>Chlorine Used (kg)</t>
        </is>
      </c>
      <c r="D601" s="20">
        <f>IFERROR(SUMIFS(DataEntry!$V:$V,DataEntry!$A:$A,"Ngabu",DataEntry!$B:$B,"Nsanje"),"")</f>
        <v/>
      </c>
    </row>
    <row r="602">
      <c r="A602" s="21" t="inlineStr">
        <is>
          <t>Ngabu</t>
        </is>
      </c>
      <c r="B602" s="21" t="inlineStr">
        <is>
          <t>Nsanje</t>
        </is>
      </c>
      <c r="C602" s="12" t="inlineStr">
        <is>
          <t>Cost of Chemicals (MWK)</t>
        </is>
      </c>
      <c r="D602" s="22">
        <f>IFERROR(SUMIFS(DataEntry!$AH:$AH,DataEntry!$A:$A,"Ngabu",DataEntry!$B:$B,"Nsanje"),"")</f>
        <v/>
      </c>
    </row>
    <row r="603">
      <c r="A603" s="19" t="inlineStr">
        <is>
          <t>Ngabu</t>
        </is>
      </c>
      <c r="B603" s="19" t="inlineStr">
        <is>
          <t>Nsanje</t>
        </is>
      </c>
      <c r="C603" s="6" t="inlineStr">
        <is>
          <t>Cost of Power (MWK)</t>
        </is>
      </c>
      <c r="D603" s="20">
        <f>IFERROR(SUMIFS(DataEntry!$AL:$AL,DataEntry!$A:$A,"Ngabu",DataEntry!$B:$B,"Nsanje"),"")</f>
        <v/>
      </c>
    </row>
    <row r="604">
      <c r="A604" s="21" t="inlineStr">
        <is>
          <t>Ngabu</t>
        </is>
      </c>
      <c r="B604" s="21" t="inlineStr">
        <is>
          <t>Nsanje</t>
        </is>
      </c>
      <c r="C604" s="12" t="inlineStr">
        <is>
          <t>Cost of Fuel (MWK)</t>
        </is>
      </c>
      <c r="D604" s="22">
        <f>IFERROR(SUMIFS(DataEntry!$AP:$AP,DataEntry!$A:$A,"Ngabu",DataEntry!$B:$B,"Nsanje"),"")</f>
        <v/>
      </c>
    </row>
    <row r="605">
      <c r="A605" s="19" t="inlineStr">
        <is>
          <t>Ngabu</t>
        </is>
      </c>
      <c r="B605" s="19" t="inlineStr">
        <is>
          <t>Nsanje</t>
        </is>
      </c>
      <c r="C605" s="6" t="inlineStr">
        <is>
          <t>Total Operating Costs (MWK)</t>
        </is>
      </c>
      <c r="D605" s="20">
        <f>IFERROR(SUMIFS(DataEntry!$AU:$AU,DataEntry!$A:$A,"Ngabu",DataEntry!$B:$B,"Nsanje"),"")</f>
        <v/>
      </c>
    </row>
    <row r="606">
      <c r="A606" s="21" t="inlineStr">
        <is>
          <t>Ngabu</t>
        </is>
      </c>
      <c r="B606" s="21" t="inlineStr">
        <is>
          <t>Nsanje</t>
        </is>
      </c>
      <c r="C606" s="12" t="inlineStr">
        <is>
          <t>OpCost per m³ Produced (avg)</t>
        </is>
      </c>
      <c r="D606" s="23">
        <f>IFERROR(AVERAGEIFS(DataEntry!$AV:$AV,DataEntry!$A:$A,"Ngabu",DataEntry!$B:$B,"Nsanje"),"")</f>
        <v/>
      </c>
    </row>
    <row r="607">
      <c r="A607" s="19" t="inlineStr">
        <is>
          <t>Ngabu</t>
        </is>
      </c>
      <c r="B607" s="19" t="inlineStr">
        <is>
          <t>Nsanje</t>
        </is>
      </c>
      <c r="C607" s="6" t="inlineStr">
        <is>
          <t>Total Cash Collected (MWK)</t>
        </is>
      </c>
      <c r="D607" s="20">
        <f>IFERROR(SUMIFS(DataEntry!$GB:$GB,DataEntry!$A:$A,"Ngabu",DataEntry!$B:$B,"Nsanje"),"")</f>
        <v/>
      </c>
    </row>
    <row r="608">
      <c r="A608" s="21" t="inlineStr">
        <is>
          <t>Ngabu</t>
        </is>
      </c>
      <c r="B608" s="21" t="inlineStr">
        <is>
          <t>Nsanje</t>
        </is>
      </c>
      <c r="C608" s="12" t="inlineStr">
        <is>
          <t>Total Amount Billed (MWK)</t>
        </is>
      </c>
      <c r="D608" s="22">
        <f>IFERROR(SUMIFS(DataEntry!$GM:$GM,DataEntry!$A:$A,"Ngabu",DataEntry!$B:$B,"Nsanje"),"")</f>
        <v/>
      </c>
    </row>
    <row r="609">
      <c r="A609" s="19" t="inlineStr">
        <is>
          <t>Ngabu</t>
        </is>
      </c>
      <c r="B609" s="19" t="inlineStr">
        <is>
          <t>Nsanje</t>
        </is>
      </c>
      <c r="C609" s="6" t="inlineStr">
        <is>
          <t>Total Sales (MWK)</t>
        </is>
      </c>
      <c r="D609" s="20">
        <f>IFERROR(SUMIFS(DataEntry!$GX:$GX,DataEntry!$A:$A,"Ngabu",DataEntry!$B:$B,"Nsanje"),"")</f>
        <v/>
      </c>
    </row>
    <row r="610">
      <c r="A610" s="21" t="inlineStr">
        <is>
          <t>Ngabu</t>
        </is>
      </c>
      <c r="B610" s="21" t="inlineStr">
        <is>
          <t>Nsanje</t>
        </is>
      </c>
      <c r="C610" s="12" t="inlineStr">
        <is>
          <t>Private Debtors (MWK)</t>
        </is>
      </c>
      <c r="D610" s="22">
        <f>IFERROR(SUMIFS(DataEntry!$GY:$GY,DataEntry!$A:$A,"Ngabu",DataEntry!$B:$B,"Nsanje"),"")</f>
        <v/>
      </c>
    </row>
    <row r="611">
      <c r="A611" s="19" t="inlineStr">
        <is>
          <t>Ngabu</t>
        </is>
      </c>
      <c r="B611" s="19" t="inlineStr">
        <is>
          <t>Nsanje</t>
        </is>
      </c>
      <c r="C611" s="6" t="inlineStr">
        <is>
          <t>Public Debtors (MWK)</t>
        </is>
      </c>
      <c r="D611" s="20">
        <f>IFERROR(SUMIFS(DataEntry!$GZ:$GZ,DataEntry!$A:$A,"Ngabu",DataEntry!$B:$B,"Nsanje"),"")</f>
        <v/>
      </c>
    </row>
    <row r="612">
      <c r="A612" s="21" t="inlineStr">
        <is>
          <t>Ngabu</t>
        </is>
      </c>
      <c r="B612" s="21" t="inlineStr">
        <is>
          <t>Nsanje</t>
        </is>
      </c>
      <c r="C612" s="12" t="inlineStr">
        <is>
          <t>Total Debtors (MWK)</t>
        </is>
      </c>
      <c r="D612" s="22">
        <f>IFERROR(SUMIFS(DataEntry!$HA:$HA,DataEntry!$A:$A,"Ngabu",DataEntry!$B:$B,"Nsanje"),"")</f>
        <v/>
      </c>
    </row>
    <row r="613">
      <c r="A613" s="19" t="inlineStr">
        <is>
          <t>Ngabu</t>
        </is>
      </c>
      <c r="B613" s="19" t="inlineStr">
        <is>
          <t>Nsanje</t>
        </is>
      </c>
      <c r="C613" s="6" t="inlineStr">
        <is>
          <t>Cash Collection Rate (avg)</t>
        </is>
      </c>
      <c r="D613" s="24">
        <f>IFERROR(AVERAGEIFS(DataEntry!$HC:$HC,DataEntry!$A:$A,"Ngabu",DataEntry!$B:$B,"Nsanje"),"")</f>
        <v/>
      </c>
    </row>
    <row r="614">
      <c r="A614" s="21" t="inlineStr">
        <is>
          <t>Ngabu</t>
        </is>
      </c>
      <c r="B614" s="21" t="inlineStr">
        <is>
          <t>Nsanje</t>
        </is>
      </c>
      <c r="C614" s="12" t="inlineStr">
        <is>
          <t>OpCost / Sales (avg)</t>
        </is>
      </c>
      <c r="D614" s="23">
        <f>IFERROR(AVERAGEIFS(DataEntry!$HB:$HB,DataEntry!$A:$A,"Ngabu",DataEntry!$B:$B,"Nsanje"),"")</f>
        <v/>
      </c>
    </row>
    <row r="615">
      <c r="A615" s="19" t="inlineStr">
        <is>
          <t>Ngabu</t>
        </is>
      </c>
      <c r="B615" s="19" t="inlineStr">
        <is>
          <t>Nsanje</t>
        </is>
      </c>
      <c r="C615" s="6" t="inlineStr">
        <is>
          <t>Total Active Customers (end)</t>
        </is>
      </c>
      <c r="D615" s="20">
        <f>IFERROR(SUMIFS(DataEntry!$CS:$CS,DataEntry!$A:$A,"Ngabu",DataEntry!$B:$B,"Nsanje"),"")</f>
        <v/>
      </c>
    </row>
    <row r="616">
      <c r="A616" s="21" t="inlineStr">
        <is>
          <t>Ngabu</t>
        </is>
      </c>
      <c r="B616" s="21" t="inlineStr">
        <is>
          <t>Nsanje</t>
        </is>
      </c>
      <c r="C616" s="12" t="inlineStr">
        <is>
          <t>Total Metered Consumers (end)</t>
        </is>
      </c>
      <c r="D616" s="22">
        <f>IFERROR(SUMIFS(DataEntry!$CT:$CT,DataEntry!$A:$A,"Ngabu",DataEntry!$B:$B,"Nsanje"),"")</f>
        <v/>
      </c>
    </row>
    <row r="617">
      <c r="A617" s="19" t="inlineStr">
        <is>
          <t>Ngabu</t>
        </is>
      </c>
      <c r="B617" s="19" t="inlineStr">
        <is>
          <t>Nsanje</t>
        </is>
      </c>
      <c r="C617" s="6" t="inlineStr">
        <is>
          <t>Population Supplied (end)</t>
        </is>
      </c>
      <c r="D617" s="20">
        <f>IFERROR(SUMIFS(DataEntry!$CV:$CV,DataEntry!$A:$A,"Ngabu",DataEntry!$B:$B,"Nsanje"),"")</f>
        <v/>
      </c>
    </row>
    <row r="618">
      <c r="A618" s="21" t="inlineStr">
        <is>
          <t>Ngabu</t>
        </is>
      </c>
      <c r="B618" s="21" t="inlineStr">
        <is>
          <t>Nsanje</t>
        </is>
      </c>
      <c r="C618" s="12" t="inlineStr">
        <is>
          <t>% Population Supplied (avg)</t>
        </is>
      </c>
      <c r="D618" s="23">
        <f>IFERROR(AVERAGEIFS(DataEntry!$CW:$CW,DataEntry!$A:$A,"Ngabu",DataEntry!$B:$B,"Nsanje"),"")</f>
        <v/>
      </c>
    </row>
    <row r="619">
      <c r="A619" s="19" t="inlineStr">
        <is>
          <t>Ngabu</t>
        </is>
      </c>
      <c r="B619" s="19" t="inlineStr">
        <is>
          <t>Nsanje</t>
        </is>
      </c>
      <c r="C619" s="6" t="inlineStr">
        <is>
          <t>New Connections Total Done</t>
        </is>
      </c>
      <c r="D619" s="20">
        <f>IFERROR(SUMIFS(DataEntry!$CA:$CA,DataEntry!$A:$A,"Ngabu",DataEntry!$B:$B,"Nsanje"),"")</f>
        <v/>
      </c>
    </row>
    <row r="620">
      <c r="A620" s="21" t="inlineStr">
        <is>
          <t>Ngabu</t>
        </is>
      </c>
      <c r="B620" s="21" t="inlineStr">
        <is>
          <t>Nsanje</t>
        </is>
      </c>
      <c r="C620" s="12" t="inlineStr">
        <is>
          <t>Stuck Meters Carried Fwd</t>
        </is>
      </c>
      <c r="D620" s="22">
        <f>IFERROR(SUMIFS(DataEntry!$DV:$DV,DataEntry!$A:$A,"Ngabu",DataEntry!$B:$B,"Nsanje"),"")</f>
        <v/>
      </c>
    </row>
    <row r="621">
      <c r="A621" s="19" t="inlineStr">
        <is>
          <t>Ngabu</t>
        </is>
      </c>
      <c r="B621" s="19" t="inlineStr">
        <is>
          <t>Nsanje</t>
        </is>
      </c>
      <c r="C621" s="6" t="inlineStr">
        <is>
          <t>Total Pipe Breakdowns</t>
        </is>
      </c>
      <c r="D621" s="20">
        <f>IFERROR(SUMIFS(DataEntry!$FG:$FG,DataEntry!$A:$A,"Ngabu",DataEntry!$B:$B,"Nsanje"),"")</f>
        <v/>
      </c>
    </row>
    <row r="622">
      <c r="A622" s="21" t="inlineStr">
        <is>
          <t>Ngabu</t>
        </is>
      </c>
      <c r="B622" s="21" t="inlineStr">
        <is>
          <t>Nsanje</t>
        </is>
      </c>
      <c r="C622" s="12" t="inlineStr">
        <is>
          <t>Connectivity Rate (avg)</t>
        </is>
      </c>
      <c r="D622" s="23">
        <f>IFERROR(AVERAGEIFS(DataEntry!$HK:$HK,DataEntry!$A:$A,"Ngabu",DataEntry!$B:$B,"Nsanje"),"")</f>
        <v/>
      </c>
    </row>
    <row r="623">
      <c r="A623" s="19" t="inlineStr">
        <is>
          <t>Ngabu</t>
        </is>
      </c>
      <c r="B623" s="19" t="inlineStr">
        <is>
          <t>Nsanje</t>
        </is>
      </c>
      <c r="C623" s="6" t="inlineStr">
        <is>
          <t>Response Time avg (days)</t>
        </is>
      </c>
      <c r="D623" s="24">
        <f>IFERROR(AVERAGEIFS(DataEntry!$HN:$HN,DataEntry!$A:$A,"Ngabu",DataEntry!$B:$B,"Nsanje"),"")</f>
        <v/>
      </c>
    </row>
    <row r="624">
      <c r="A624" s="21" t="inlineStr">
        <is>
          <t>Zomba</t>
        </is>
      </c>
      <c r="B624" s="21" t="inlineStr">
        <is>
          <t>Chiradzulu</t>
        </is>
      </c>
      <c r="C624" s="12" t="inlineStr">
        <is>
          <t>Volume Produced (m³)</t>
        </is>
      </c>
      <c r="D624" s="22">
        <f>IFERROR(SUMIFS(DataEntry!$H:$H,DataEntry!$A:$A,"Zomba",DataEntry!$B:$B,"Chiradzulu"),"")</f>
        <v/>
      </c>
    </row>
    <row r="625">
      <c r="A625" s="19" t="inlineStr">
        <is>
          <t>Zomba</t>
        </is>
      </c>
      <c r="B625" s="19" t="inlineStr">
        <is>
          <t>Chiradzulu</t>
        </is>
      </c>
      <c r="C625" s="6" t="inlineStr">
        <is>
          <t>Total Revenue Water (m³)</t>
        </is>
      </c>
      <c r="D625" s="20">
        <f>IFERROR(SUMIFS(DataEntry!$S:$S,DataEntry!$A:$A,"Zomba",DataEntry!$B:$B,"Chiradzulu"),"")</f>
        <v/>
      </c>
    </row>
    <row r="626">
      <c r="A626" s="21" t="inlineStr">
        <is>
          <t>Zomba</t>
        </is>
      </c>
      <c r="B626" s="21" t="inlineStr">
        <is>
          <t>Chiradzulu</t>
        </is>
      </c>
      <c r="C626" s="12" t="inlineStr">
        <is>
          <t>Non-Revenue Water (m³)</t>
        </is>
      </c>
      <c r="D626" s="22">
        <f>IFERROR(SUMIFS(DataEntry!$T:$T,DataEntry!$A:$A,"Zomba",DataEntry!$B:$B,"Chiradzulu"),"")</f>
        <v/>
      </c>
    </row>
    <row r="627">
      <c r="A627" s="19" t="inlineStr">
        <is>
          <t>Zomba</t>
        </is>
      </c>
      <c r="B627" s="19" t="inlineStr">
        <is>
          <t>Chiradzulu</t>
        </is>
      </c>
      <c r="C627" s="6" t="inlineStr">
        <is>
          <t>% NRW (avg)</t>
        </is>
      </c>
      <c r="D627" s="24">
        <f>IFERROR(AVERAGEIFS(DataEntry!$U:$U,DataEntry!$A:$A,"Zomba",DataEntry!$B:$B,"Chiradzulu"),"")</f>
        <v/>
      </c>
    </row>
    <row r="628">
      <c r="A628" s="21" t="inlineStr">
        <is>
          <t>Zomba</t>
        </is>
      </c>
      <c r="B628" s="21" t="inlineStr">
        <is>
          <t>Chiradzulu</t>
        </is>
      </c>
      <c r="C628" s="12" t="inlineStr">
        <is>
          <t>Chlorine Used (kg)</t>
        </is>
      </c>
      <c r="D628" s="22">
        <f>IFERROR(SUMIFS(DataEntry!$V:$V,DataEntry!$A:$A,"Zomba",DataEntry!$B:$B,"Chiradzulu"),"")</f>
        <v/>
      </c>
    </row>
    <row r="629">
      <c r="A629" s="19" t="inlineStr">
        <is>
          <t>Zomba</t>
        </is>
      </c>
      <c r="B629" s="19" t="inlineStr">
        <is>
          <t>Chiradzulu</t>
        </is>
      </c>
      <c r="C629" s="6" t="inlineStr">
        <is>
          <t>Cost of Chemicals (MWK)</t>
        </is>
      </c>
      <c r="D629" s="20">
        <f>IFERROR(SUMIFS(DataEntry!$AH:$AH,DataEntry!$A:$A,"Zomba",DataEntry!$B:$B,"Chiradzulu"),"")</f>
        <v/>
      </c>
    </row>
    <row r="630">
      <c r="A630" s="21" t="inlineStr">
        <is>
          <t>Zomba</t>
        </is>
      </c>
      <c r="B630" s="21" t="inlineStr">
        <is>
          <t>Chiradzulu</t>
        </is>
      </c>
      <c r="C630" s="12" t="inlineStr">
        <is>
          <t>Cost of Power (MWK)</t>
        </is>
      </c>
      <c r="D630" s="22">
        <f>IFERROR(SUMIFS(DataEntry!$AL:$AL,DataEntry!$A:$A,"Zomba",DataEntry!$B:$B,"Chiradzulu"),"")</f>
        <v/>
      </c>
    </row>
    <row r="631">
      <c r="A631" s="19" t="inlineStr">
        <is>
          <t>Zomba</t>
        </is>
      </c>
      <c r="B631" s="19" t="inlineStr">
        <is>
          <t>Chiradzulu</t>
        </is>
      </c>
      <c r="C631" s="6" t="inlineStr">
        <is>
          <t>Cost of Fuel (MWK)</t>
        </is>
      </c>
      <c r="D631" s="20">
        <f>IFERROR(SUMIFS(DataEntry!$AP:$AP,DataEntry!$A:$A,"Zomba",DataEntry!$B:$B,"Chiradzulu"),"")</f>
        <v/>
      </c>
    </row>
    <row r="632">
      <c r="A632" s="21" t="inlineStr">
        <is>
          <t>Zomba</t>
        </is>
      </c>
      <c r="B632" s="21" t="inlineStr">
        <is>
          <t>Chiradzulu</t>
        </is>
      </c>
      <c r="C632" s="12" t="inlineStr">
        <is>
          <t>Total Operating Costs (MWK)</t>
        </is>
      </c>
      <c r="D632" s="22">
        <f>IFERROR(SUMIFS(DataEntry!$AU:$AU,DataEntry!$A:$A,"Zomba",DataEntry!$B:$B,"Chiradzulu"),"")</f>
        <v/>
      </c>
    </row>
    <row r="633">
      <c r="A633" s="19" t="inlineStr">
        <is>
          <t>Zomba</t>
        </is>
      </c>
      <c r="B633" s="19" t="inlineStr">
        <is>
          <t>Chiradzulu</t>
        </is>
      </c>
      <c r="C633" s="6" t="inlineStr">
        <is>
          <t>OpCost per m³ Produced (avg)</t>
        </is>
      </c>
      <c r="D633" s="24">
        <f>IFERROR(AVERAGEIFS(DataEntry!$AV:$AV,DataEntry!$A:$A,"Zomba",DataEntry!$B:$B,"Chiradzulu"),"")</f>
        <v/>
      </c>
    </row>
    <row r="634">
      <c r="A634" s="21" t="inlineStr">
        <is>
          <t>Zomba</t>
        </is>
      </c>
      <c r="B634" s="21" t="inlineStr">
        <is>
          <t>Chiradzulu</t>
        </is>
      </c>
      <c r="C634" s="12" t="inlineStr">
        <is>
          <t>Total Cash Collected (MWK)</t>
        </is>
      </c>
      <c r="D634" s="22">
        <f>IFERROR(SUMIFS(DataEntry!$GB:$GB,DataEntry!$A:$A,"Zomba",DataEntry!$B:$B,"Chiradzulu"),"")</f>
        <v/>
      </c>
    </row>
    <row r="635">
      <c r="A635" s="19" t="inlineStr">
        <is>
          <t>Zomba</t>
        </is>
      </c>
      <c r="B635" s="19" t="inlineStr">
        <is>
          <t>Chiradzulu</t>
        </is>
      </c>
      <c r="C635" s="6" t="inlineStr">
        <is>
          <t>Total Amount Billed (MWK)</t>
        </is>
      </c>
      <c r="D635" s="20">
        <f>IFERROR(SUMIFS(DataEntry!$GM:$GM,DataEntry!$A:$A,"Zomba",DataEntry!$B:$B,"Chiradzulu"),"")</f>
        <v/>
      </c>
    </row>
    <row r="636">
      <c r="A636" s="21" t="inlineStr">
        <is>
          <t>Zomba</t>
        </is>
      </c>
      <c r="B636" s="21" t="inlineStr">
        <is>
          <t>Chiradzulu</t>
        </is>
      </c>
      <c r="C636" s="12" t="inlineStr">
        <is>
          <t>Total Sales (MWK)</t>
        </is>
      </c>
      <c r="D636" s="22">
        <f>IFERROR(SUMIFS(DataEntry!$GX:$GX,DataEntry!$A:$A,"Zomba",DataEntry!$B:$B,"Chiradzulu"),"")</f>
        <v/>
      </c>
    </row>
    <row r="637">
      <c r="A637" s="19" t="inlineStr">
        <is>
          <t>Zomba</t>
        </is>
      </c>
      <c r="B637" s="19" t="inlineStr">
        <is>
          <t>Chiradzulu</t>
        </is>
      </c>
      <c r="C637" s="6" t="inlineStr">
        <is>
          <t>Private Debtors (MWK)</t>
        </is>
      </c>
      <c r="D637" s="20">
        <f>IFERROR(SUMIFS(DataEntry!$GY:$GY,DataEntry!$A:$A,"Zomba",DataEntry!$B:$B,"Chiradzulu"),"")</f>
        <v/>
      </c>
    </row>
    <row r="638">
      <c r="A638" s="21" t="inlineStr">
        <is>
          <t>Zomba</t>
        </is>
      </c>
      <c r="B638" s="21" t="inlineStr">
        <is>
          <t>Chiradzulu</t>
        </is>
      </c>
      <c r="C638" s="12" t="inlineStr">
        <is>
          <t>Public Debtors (MWK)</t>
        </is>
      </c>
      <c r="D638" s="22">
        <f>IFERROR(SUMIFS(DataEntry!$GZ:$GZ,DataEntry!$A:$A,"Zomba",DataEntry!$B:$B,"Chiradzulu"),"")</f>
        <v/>
      </c>
    </row>
    <row r="639">
      <c r="A639" s="19" t="inlineStr">
        <is>
          <t>Zomba</t>
        </is>
      </c>
      <c r="B639" s="19" t="inlineStr">
        <is>
          <t>Chiradzulu</t>
        </is>
      </c>
      <c r="C639" s="6" t="inlineStr">
        <is>
          <t>Total Debtors (MWK)</t>
        </is>
      </c>
      <c r="D639" s="20">
        <f>IFERROR(SUMIFS(DataEntry!$HA:$HA,DataEntry!$A:$A,"Zomba",DataEntry!$B:$B,"Chiradzulu"),"")</f>
        <v/>
      </c>
    </row>
    <row r="640">
      <c r="A640" s="21" t="inlineStr">
        <is>
          <t>Zomba</t>
        </is>
      </c>
      <c r="B640" s="21" t="inlineStr">
        <is>
          <t>Chiradzulu</t>
        </is>
      </c>
      <c r="C640" s="12" t="inlineStr">
        <is>
          <t>Cash Collection Rate (avg)</t>
        </is>
      </c>
      <c r="D640" s="23">
        <f>IFERROR(AVERAGEIFS(DataEntry!$HC:$HC,DataEntry!$A:$A,"Zomba",DataEntry!$B:$B,"Chiradzulu"),"")</f>
        <v/>
      </c>
    </row>
    <row r="641">
      <c r="A641" s="19" t="inlineStr">
        <is>
          <t>Zomba</t>
        </is>
      </c>
      <c r="B641" s="19" t="inlineStr">
        <is>
          <t>Chiradzulu</t>
        </is>
      </c>
      <c r="C641" s="6" t="inlineStr">
        <is>
          <t>OpCost / Sales (avg)</t>
        </is>
      </c>
      <c r="D641" s="24">
        <f>IFERROR(AVERAGEIFS(DataEntry!$HB:$HB,DataEntry!$A:$A,"Zomba",DataEntry!$B:$B,"Chiradzulu"),"")</f>
        <v/>
      </c>
    </row>
    <row r="642">
      <c r="A642" s="21" t="inlineStr">
        <is>
          <t>Zomba</t>
        </is>
      </c>
      <c r="B642" s="21" t="inlineStr">
        <is>
          <t>Chiradzulu</t>
        </is>
      </c>
      <c r="C642" s="12" t="inlineStr">
        <is>
          <t>Total Active Customers (end)</t>
        </is>
      </c>
      <c r="D642" s="22">
        <f>IFERROR(SUMIFS(DataEntry!$CS:$CS,DataEntry!$A:$A,"Zomba",DataEntry!$B:$B,"Chiradzulu"),"")</f>
        <v/>
      </c>
    </row>
    <row r="643">
      <c r="A643" s="19" t="inlineStr">
        <is>
          <t>Zomba</t>
        </is>
      </c>
      <c r="B643" s="19" t="inlineStr">
        <is>
          <t>Chiradzulu</t>
        </is>
      </c>
      <c r="C643" s="6" t="inlineStr">
        <is>
          <t>Total Metered Consumers (end)</t>
        </is>
      </c>
      <c r="D643" s="20">
        <f>IFERROR(SUMIFS(DataEntry!$CT:$CT,DataEntry!$A:$A,"Zomba",DataEntry!$B:$B,"Chiradzulu"),"")</f>
        <v/>
      </c>
    </row>
    <row r="644">
      <c r="A644" s="21" t="inlineStr">
        <is>
          <t>Zomba</t>
        </is>
      </c>
      <c r="B644" s="21" t="inlineStr">
        <is>
          <t>Chiradzulu</t>
        </is>
      </c>
      <c r="C644" s="12" t="inlineStr">
        <is>
          <t>Population Supplied (end)</t>
        </is>
      </c>
      <c r="D644" s="22">
        <f>IFERROR(SUMIFS(DataEntry!$CV:$CV,DataEntry!$A:$A,"Zomba",DataEntry!$B:$B,"Chiradzulu"),"")</f>
        <v/>
      </c>
    </row>
    <row r="645">
      <c r="A645" s="19" t="inlineStr">
        <is>
          <t>Zomba</t>
        </is>
      </c>
      <c r="B645" s="19" t="inlineStr">
        <is>
          <t>Chiradzulu</t>
        </is>
      </c>
      <c r="C645" s="6" t="inlineStr">
        <is>
          <t>% Population Supplied (avg)</t>
        </is>
      </c>
      <c r="D645" s="24">
        <f>IFERROR(AVERAGEIFS(DataEntry!$CW:$CW,DataEntry!$A:$A,"Zomba",DataEntry!$B:$B,"Chiradzulu"),"")</f>
        <v/>
      </c>
    </row>
    <row r="646">
      <c r="A646" s="21" t="inlineStr">
        <is>
          <t>Zomba</t>
        </is>
      </c>
      <c r="B646" s="21" t="inlineStr">
        <is>
          <t>Chiradzulu</t>
        </is>
      </c>
      <c r="C646" s="12" t="inlineStr">
        <is>
          <t>New Connections Total Done</t>
        </is>
      </c>
      <c r="D646" s="22">
        <f>IFERROR(SUMIFS(DataEntry!$CA:$CA,DataEntry!$A:$A,"Zomba",DataEntry!$B:$B,"Chiradzulu"),"")</f>
        <v/>
      </c>
    </row>
    <row r="647">
      <c r="A647" s="19" t="inlineStr">
        <is>
          <t>Zomba</t>
        </is>
      </c>
      <c r="B647" s="19" t="inlineStr">
        <is>
          <t>Chiradzulu</t>
        </is>
      </c>
      <c r="C647" s="6" t="inlineStr">
        <is>
          <t>Stuck Meters Carried Fwd</t>
        </is>
      </c>
      <c r="D647" s="20">
        <f>IFERROR(SUMIFS(DataEntry!$DV:$DV,DataEntry!$A:$A,"Zomba",DataEntry!$B:$B,"Chiradzulu"),"")</f>
        <v/>
      </c>
    </row>
    <row r="648">
      <c r="A648" s="21" t="inlineStr">
        <is>
          <t>Zomba</t>
        </is>
      </c>
      <c r="B648" s="21" t="inlineStr">
        <is>
          <t>Chiradzulu</t>
        </is>
      </c>
      <c r="C648" s="12" t="inlineStr">
        <is>
          <t>Total Pipe Breakdowns</t>
        </is>
      </c>
      <c r="D648" s="22">
        <f>IFERROR(SUMIFS(DataEntry!$FG:$FG,DataEntry!$A:$A,"Zomba",DataEntry!$B:$B,"Chiradzulu"),"")</f>
        <v/>
      </c>
    </row>
    <row r="649">
      <c r="A649" s="19" t="inlineStr">
        <is>
          <t>Zomba</t>
        </is>
      </c>
      <c r="B649" s="19" t="inlineStr">
        <is>
          <t>Chiradzulu</t>
        </is>
      </c>
      <c r="C649" s="6" t="inlineStr">
        <is>
          <t>Connectivity Rate (avg)</t>
        </is>
      </c>
      <c r="D649" s="24">
        <f>IFERROR(AVERAGEIFS(DataEntry!$HK:$HK,DataEntry!$A:$A,"Zomba",DataEntry!$B:$B,"Chiradzulu"),"")</f>
        <v/>
      </c>
    </row>
    <row r="650">
      <c r="A650" s="21" t="inlineStr">
        <is>
          <t>Zomba</t>
        </is>
      </c>
      <c r="B650" s="21" t="inlineStr">
        <is>
          <t>Chiradzulu</t>
        </is>
      </c>
      <c r="C650" s="12" t="inlineStr">
        <is>
          <t>Response Time avg (days)</t>
        </is>
      </c>
      <c r="D650" s="23">
        <f>IFERROR(AVERAGEIFS(DataEntry!$HN:$HN,DataEntry!$A:$A,"Zomba",DataEntry!$B:$B,"Chiradzulu"),"")</f>
        <v/>
      </c>
    </row>
    <row r="651">
      <c r="A651" s="19" t="inlineStr">
        <is>
          <t>Zomba</t>
        </is>
      </c>
      <c r="B651" s="19" t="inlineStr">
        <is>
          <t>Domasi</t>
        </is>
      </c>
      <c r="C651" s="6" t="inlineStr">
        <is>
          <t>Volume Produced (m³)</t>
        </is>
      </c>
      <c r="D651" s="20">
        <f>IFERROR(SUMIFS(DataEntry!$H:$H,DataEntry!$A:$A,"Zomba",DataEntry!$B:$B,"Domasi"),"")</f>
        <v/>
      </c>
    </row>
    <row r="652">
      <c r="A652" s="21" t="inlineStr">
        <is>
          <t>Zomba</t>
        </is>
      </c>
      <c r="B652" s="21" t="inlineStr">
        <is>
          <t>Domasi</t>
        </is>
      </c>
      <c r="C652" s="12" t="inlineStr">
        <is>
          <t>Total Revenue Water (m³)</t>
        </is>
      </c>
      <c r="D652" s="22">
        <f>IFERROR(SUMIFS(DataEntry!$S:$S,DataEntry!$A:$A,"Zomba",DataEntry!$B:$B,"Domasi"),"")</f>
        <v/>
      </c>
    </row>
    <row r="653">
      <c r="A653" s="19" t="inlineStr">
        <is>
          <t>Zomba</t>
        </is>
      </c>
      <c r="B653" s="19" t="inlineStr">
        <is>
          <t>Domasi</t>
        </is>
      </c>
      <c r="C653" s="6" t="inlineStr">
        <is>
          <t>Non-Revenue Water (m³)</t>
        </is>
      </c>
      <c r="D653" s="20">
        <f>IFERROR(SUMIFS(DataEntry!$T:$T,DataEntry!$A:$A,"Zomba",DataEntry!$B:$B,"Domasi"),"")</f>
        <v/>
      </c>
    </row>
    <row r="654">
      <c r="A654" s="21" t="inlineStr">
        <is>
          <t>Zomba</t>
        </is>
      </c>
      <c r="B654" s="21" t="inlineStr">
        <is>
          <t>Domasi</t>
        </is>
      </c>
      <c r="C654" s="12" t="inlineStr">
        <is>
          <t>% NRW (avg)</t>
        </is>
      </c>
      <c r="D654" s="23">
        <f>IFERROR(AVERAGEIFS(DataEntry!$U:$U,DataEntry!$A:$A,"Zomba",DataEntry!$B:$B,"Domasi"),"")</f>
        <v/>
      </c>
    </row>
    <row r="655">
      <c r="A655" s="19" t="inlineStr">
        <is>
          <t>Zomba</t>
        </is>
      </c>
      <c r="B655" s="19" t="inlineStr">
        <is>
          <t>Domasi</t>
        </is>
      </c>
      <c r="C655" s="6" t="inlineStr">
        <is>
          <t>Chlorine Used (kg)</t>
        </is>
      </c>
      <c r="D655" s="20">
        <f>IFERROR(SUMIFS(DataEntry!$V:$V,DataEntry!$A:$A,"Zomba",DataEntry!$B:$B,"Domasi"),"")</f>
        <v/>
      </c>
    </row>
    <row r="656">
      <c r="A656" s="21" t="inlineStr">
        <is>
          <t>Zomba</t>
        </is>
      </c>
      <c r="B656" s="21" t="inlineStr">
        <is>
          <t>Domasi</t>
        </is>
      </c>
      <c r="C656" s="12" t="inlineStr">
        <is>
          <t>Cost of Chemicals (MWK)</t>
        </is>
      </c>
      <c r="D656" s="22">
        <f>IFERROR(SUMIFS(DataEntry!$AH:$AH,DataEntry!$A:$A,"Zomba",DataEntry!$B:$B,"Domasi"),"")</f>
        <v/>
      </c>
    </row>
    <row r="657">
      <c r="A657" s="19" t="inlineStr">
        <is>
          <t>Zomba</t>
        </is>
      </c>
      <c r="B657" s="19" t="inlineStr">
        <is>
          <t>Domasi</t>
        </is>
      </c>
      <c r="C657" s="6" t="inlineStr">
        <is>
          <t>Cost of Power (MWK)</t>
        </is>
      </c>
      <c r="D657" s="20">
        <f>IFERROR(SUMIFS(DataEntry!$AL:$AL,DataEntry!$A:$A,"Zomba",DataEntry!$B:$B,"Domasi"),"")</f>
        <v/>
      </c>
    </row>
    <row r="658">
      <c r="A658" s="21" t="inlineStr">
        <is>
          <t>Zomba</t>
        </is>
      </c>
      <c r="B658" s="21" t="inlineStr">
        <is>
          <t>Domasi</t>
        </is>
      </c>
      <c r="C658" s="12" t="inlineStr">
        <is>
          <t>Cost of Fuel (MWK)</t>
        </is>
      </c>
      <c r="D658" s="22">
        <f>IFERROR(SUMIFS(DataEntry!$AP:$AP,DataEntry!$A:$A,"Zomba",DataEntry!$B:$B,"Domasi"),"")</f>
        <v/>
      </c>
    </row>
    <row r="659">
      <c r="A659" s="19" t="inlineStr">
        <is>
          <t>Zomba</t>
        </is>
      </c>
      <c r="B659" s="19" t="inlineStr">
        <is>
          <t>Domasi</t>
        </is>
      </c>
      <c r="C659" s="6" t="inlineStr">
        <is>
          <t>Total Operating Costs (MWK)</t>
        </is>
      </c>
      <c r="D659" s="20">
        <f>IFERROR(SUMIFS(DataEntry!$AU:$AU,DataEntry!$A:$A,"Zomba",DataEntry!$B:$B,"Domasi"),"")</f>
        <v/>
      </c>
    </row>
    <row r="660">
      <c r="A660" s="21" t="inlineStr">
        <is>
          <t>Zomba</t>
        </is>
      </c>
      <c r="B660" s="21" t="inlineStr">
        <is>
          <t>Domasi</t>
        </is>
      </c>
      <c r="C660" s="12" t="inlineStr">
        <is>
          <t>OpCost per m³ Produced (avg)</t>
        </is>
      </c>
      <c r="D660" s="23">
        <f>IFERROR(AVERAGEIFS(DataEntry!$AV:$AV,DataEntry!$A:$A,"Zomba",DataEntry!$B:$B,"Domasi"),"")</f>
        <v/>
      </c>
    </row>
    <row r="661">
      <c r="A661" s="19" t="inlineStr">
        <is>
          <t>Zomba</t>
        </is>
      </c>
      <c r="B661" s="19" t="inlineStr">
        <is>
          <t>Domasi</t>
        </is>
      </c>
      <c r="C661" s="6" t="inlineStr">
        <is>
          <t>Total Cash Collected (MWK)</t>
        </is>
      </c>
      <c r="D661" s="20">
        <f>IFERROR(SUMIFS(DataEntry!$GB:$GB,DataEntry!$A:$A,"Zomba",DataEntry!$B:$B,"Domasi"),"")</f>
        <v/>
      </c>
    </row>
    <row r="662">
      <c r="A662" s="21" t="inlineStr">
        <is>
          <t>Zomba</t>
        </is>
      </c>
      <c r="B662" s="21" t="inlineStr">
        <is>
          <t>Domasi</t>
        </is>
      </c>
      <c r="C662" s="12" t="inlineStr">
        <is>
          <t>Total Amount Billed (MWK)</t>
        </is>
      </c>
      <c r="D662" s="22">
        <f>IFERROR(SUMIFS(DataEntry!$GM:$GM,DataEntry!$A:$A,"Zomba",DataEntry!$B:$B,"Domasi"),"")</f>
        <v/>
      </c>
    </row>
    <row r="663">
      <c r="A663" s="19" t="inlineStr">
        <is>
          <t>Zomba</t>
        </is>
      </c>
      <c r="B663" s="19" t="inlineStr">
        <is>
          <t>Domasi</t>
        </is>
      </c>
      <c r="C663" s="6" t="inlineStr">
        <is>
          <t>Total Sales (MWK)</t>
        </is>
      </c>
      <c r="D663" s="20">
        <f>IFERROR(SUMIFS(DataEntry!$GX:$GX,DataEntry!$A:$A,"Zomba",DataEntry!$B:$B,"Domasi"),"")</f>
        <v/>
      </c>
    </row>
    <row r="664">
      <c r="A664" s="21" t="inlineStr">
        <is>
          <t>Zomba</t>
        </is>
      </c>
      <c r="B664" s="21" t="inlineStr">
        <is>
          <t>Domasi</t>
        </is>
      </c>
      <c r="C664" s="12" t="inlineStr">
        <is>
          <t>Private Debtors (MWK)</t>
        </is>
      </c>
      <c r="D664" s="22">
        <f>IFERROR(SUMIFS(DataEntry!$GY:$GY,DataEntry!$A:$A,"Zomba",DataEntry!$B:$B,"Domasi"),"")</f>
        <v/>
      </c>
    </row>
    <row r="665">
      <c r="A665" s="19" t="inlineStr">
        <is>
          <t>Zomba</t>
        </is>
      </c>
      <c r="B665" s="19" t="inlineStr">
        <is>
          <t>Domasi</t>
        </is>
      </c>
      <c r="C665" s="6" t="inlineStr">
        <is>
          <t>Public Debtors (MWK)</t>
        </is>
      </c>
      <c r="D665" s="20">
        <f>IFERROR(SUMIFS(DataEntry!$GZ:$GZ,DataEntry!$A:$A,"Zomba",DataEntry!$B:$B,"Domasi"),"")</f>
        <v/>
      </c>
    </row>
    <row r="666">
      <c r="A666" s="21" t="inlineStr">
        <is>
          <t>Zomba</t>
        </is>
      </c>
      <c r="B666" s="21" t="inlineStr">
        <is>
          <t>Domasi</t>
        </is>
      </c>
      <c r="C666" s="12" t="inlineStr">
        <is>
          <t>Total Debtors (MWK)</t>
        </is>
      </c>
      <c r="D666" s="22">
        <f>IFERROR(SUMIFS(DataEntry!$HA:$HA,DataEntry!$A:$A,"Zomba",DataEntry!$B:$B,"Domasi"),"")</f>
        <v/>
      </c>
    </row>
    <row r="667">
      <c r="A667" s="19" t="inlineStr">
        <is>
          <t>Zomba</t>
        </is>
      </c>
      <c r="B667" s="19" t="inlineStr">
        <is>
          <t>Domasi</t>
        </is>
      </c>
      <c r="C667" s="6" t="inlineStr">
        <is>
          <t>Cash Collection Rate (avg)</t>
        </is>
      </c>
      <c r="D667" s="24">
        <f>IFERROR(AVERAGEIFS(DataEntry!$HC:$HC,DataEntry!$A:$A,"Zomba",DataEntry!$B:$B,"Domasi"),"")</f>
        <v/>
      </c>
    </row>
    <row r="668">
      <c r="A668" s="21" t="inlineStr">
        <is>
          <t>Zomba</t>
        </is>
      </c>
      <c r="B668" s="21" t="inlineStr">
        <is>
          <t>Domasi</t>
        </is>
      </c>
      <c r="C668" s="12" t="inlineStr">
        <is>
          <t>OpCost / Sales (avg)</t>
        </is>
      </c>
      <c r="D668" s="23">
        <f>IFERROR(AVERAGEIFS(DataEntry!$HB:$HB,DataEntry!$A:$A,"Zomba",DataEntry!$B:$B,"Domasi"),"")</f>
        <v/>
      </c>
    </row>
    <row r="669">
      <c r="A669" s="19" t="inlineStr">
        <is>
          <t>Zomba</t>
        </is>
      </c>
      <c r="B669" s="19" t="inlineStr">
        <is>
          <t>Domasi</t>
        </is>
      </c>
      <c r="C669" s="6" t="inlineStr">
        <is>
          <t>Total Active Customers (end)</t>
        </is>
      </c>
      <c r="D669" s="20">
        <f>IFERROR(SUMIFS(DataEntry!$CS:$CS,DataEntry!$A:$A,"Zomba",DataEntry!$B:$B,"Domasi"),"")</f>
        <v/>
      </c>
    </row>
    <row r="670">
      <c r="A670" s="21" t="inlineStr">
        <is>
          <t>Zomba</t>
        </is>
      </c>
      <c r="B670" s="21" t="inlineStr">
        <is>
          <t>Domasi</t>
        </is>
      </c>
      <c r="C670" s="12" t="inlineStr">
        <is>
          <t>Total Metered Consumers (end)</t>
        </is>
      </c>
      <c r="D670" s="22">
        <f>IFERROR(SUMIFS(DataEntry!$CT:$CT,DataEntry!$A:$A,"Zomba",DataEntry!$B:$B,"Domasi"),"")</f>
        <v/>
      </c>
    </row>
    <row r="671">
      <c r="A671" s="19" t="inlineStr">
        <is>
          <t>Zomba</t>
        </is>
      </c>
      <c r="B671" s="19" t="inlineStr">
        <is>
          <t>Domasi</t>
        </is>
      </c>
      <c r="C671" s="6" t="inlineStr">
        <is>
          <t>Population Supplied (end)</t>
        </is>
      </c>
      <c r="D671" s="20">
        <f>IFERROR(SUMIFS(DataEntry!$CV:$CV,DataEntry!$A:$A,"Zomba",DataEntry!$B:$B,"Domasi"),"")</f>
        <v/>
      </c>
    </row>
    <row r="672">
      <c r="A672" s="21" t="inlineStr">
        <is>
          <t>Zomba</t>
        </is>
      </c>
      <c r="B672" s="21" t="inlineStr">
        <is>
          <t>Domasi</t>
        </is>
      </c>
      <c r="C672" s="12" t="inlineStr">
        <is>
          <t>% Population Supplied (avg)</t>
        </is>
      </c>
      <c r="D672" s="23">
        <f>IFERROR(AVERAGEIFS(DataEntry!$CW:$CW,DataEntry!$A:$A,"Zomba",DataEntry!$B:$B,"Domasi"),"")</f>
        <v/>
      </c>
    </row>
    <row r="673">
      <c r="A673" s="19" t="inlineStr">
        <is>
          <t>Zomba</t>
        </is>
      </c>
      <c r="B673" s="19" t="inlineStr">
        <is>
          <t>Domasi</t>
        </is>
      </c>
      <c r="C673" s="6" t="inlineStr">
        <is>
          <t>New Connections Total Done</t>
        </is>
      </c>
      <c r="D673" s="20">
        <f>IFERROR(SUMIFS(DataEntry!$CA:$CA,DataEntry!$A:$A,"Zomba",DataEntry!$B:$B,"Domasi"),"")</f>
        <v/>
      </c>
    </row>
    <row r="674">
      <c r="A674" s="21" t="inlineStr">
        <is>
          <t>Zomba</t>
        </is>
      </c>
      <c r="B674" s="21" t="inlineStr">
        <is>
          <t>Domasi</t>
        </is>
      </c>
      <c r="C674" s="12" t="inlineStr">
        <is>
          <t>Stuck Meters Carried Fwd</t>
        </is>
      </c>
      <c r="D674" s="22">
        <f>IFERROR(SUMIFS(DataEntry!$DV:$DV,DataEntry!$A:$A,"Zomba",DataEntry!$B:$B,"Domasi"),"")</f>
        <v/>
      </c>
    </row>
    <row r="675">
      <c r="A675" s="19" t="inlineStr">
        <is>
          <t>Zomba</t>
        </is>
      </c>
      <c r="B675" s="19" t="inlineStr">
        <is>
          <t>Domasi</t>
        </is>
      </c>
      <c r="C675" s="6" t="inlineStr">
        <is>
          <t>Total Pipe Breakdowns</t>
        </is>
      </c>
      <c r="D675" s="20">
        <f>IFERROR(SUMIFS(DataEntry!$FG:$FG,DataEntry!$A:$A,"Zomba",DataEntry!$B:$B,"Domasi"),"")</f>
        <v/>
      </c>
    </row>
    <row r="676">
      <c r="A676" s="21" t="inlineStr">
        <is>
          <t>Zomba</t>
        </is>
      </c>
      <c r="B676" s="21" t="inlineStr">
        <is>
          <t>Domasi</t>
        </is>
      </c>
      <c r="C676" s="12" t="inlineStr">
        <is>
          <t>Connectivity Rate (avg)</t>
        </is>
      </c>
      <c r="D676" s="23">
        <f>IFERROR(AVERAGEIFS(DataEntry!$HK:$HK,DataEntry!$A:$A,"Zomba",DataEntry!$B:$B,"Domasi"),"")</f>
        <v/>
      </c>
    </row>
    <row r="677">
      <c r="A677" s="19" t="inlineStr">
        <is>
          <t>Zomba</t>
        </is>
      </c>
      <c r="B677" s="19" t="inlineStr">
        <is>
          <t>Domasi</t>
        </is>
      </c>
      <c r="C677" s="6" t="inlineStr">
        <is>
          <t>Response Time avg (days)</t>
        </is>
      </c>
      <c r="D677" s="24">
        <f>IFERROR(AVERAGEIFS(DataEntry!$HN:$HN,DataEntry!$A:$A,"Zomba",DataEntry!$B:$B,"Domasi"),"")</f>
        <v/>
      </c>
    </row>
    <row r="678">
      <c r="A678" s="21" t="inlineStr">
        <is>
          <t>Zomba</t>
        </is>
      </c>
      <c r="B678" s="21" t="inlineStr">
        <is>
          <t>Jali</t>
        </is>
      </c>
      <c r="C678" s="12" t="inlineStr">
        <is>
          <t>Volume Produced (m³)</t>
        </is>
      </c>
      <c r="D678" s="22">
        <f>IFERROR(SUMIFS(DataEntry!$H:$H,DataEntry!$A:$A,"Zomba",DataEntry!$B:$B,"Jali"),"")</f>
        <v/>
      </c>
    </row>
    <row r="679">
      <c r="A679" s="19" t="inlineStr">
        <is>
          <t>Zomba</t>
        </is>
      </c>
      <c r="B679" s="19" t="inlineStr">
        <is>
          <t>Jali</t>
        </is>
      </c>
      <c r="C679" s="6" t="inlineStr">
        <is>
          <t>Total Revenue Water (m³)</t>
        </is>
      </c>
      <c r="D679" s="20">
        <f>IFERROR(SUMIFS(DataEntry!$S:$S,DataEntry!$A:$A,"Zomba",DataEntry!$B:$B,"Jali"),"")</f>
        <v/>
      </c>
    </row>
    <row r="680">
      <c r="A680" s="21" t="inlineStr">
        <is>
          <t>Zomba</t>
        </is>
      </c>
      <c r="B680" s="21" t="inlineStr">
        <is>
          <t>Jali</t>
        </is>
      </c>
      <c r="C680" s="12" t="inlineStr">
        <is>
          <t>Non-Revenue Water (m³)</t>
        </is>
      </c>
      <c r="D680" s="22">
        <f>IFERROR(SUMIFS(DataEntry!$T:$T,DataEntry!$A:$A,"Zomba",DataEntry!$B:$B,"Jali"),"")</f>
        <v/>
      </c>
    </row>
    <row r="681">
      <c r="A681" s="19" t="inlineStr">
        <is>
          <t>Zomba</t>
        </is>
      </c>
      <c r="B681" s="19" t="inlineStr">
        <is>
          <t>Jali</t>
        </is>
      </c>
      <c r="C681" s="6" t="inlineStr">
        <is>
          <t>% NRW (avg)</t>
        </is>
      </c>
      <c r="D681" s="24">
        <f>IFERROR(AVERAGEIFS(DataEntry!$U:$U,DataEntry!$A:$A,"Zomba",DataEntry!$B:$B,"Jali"),"")</f>
        <v/>
      </c>
    </row>
    <row r="682">
      <c r="A682" s="21" t="inlineStr">
        <is>
          <t>Zomba</t>
        </is>
      </c>
      <c r="B682" s="21" t="inlineStr">
        <is>
          <t>Jali</t>
        </is>
      </c>
      <c r="C682" s="12" t="inlineStr">
        <is>
          <t>Chlorine Used (kg)</t>
        </is>
      </c>
      <c r="D682" s="22">
        <f>IFERROR(SUMIFS(DataEntry!$V:$V,DataEntry!$A:$A,"Zomba",DataEntry!$B:$B,"Jali"),"")</f>
        <v/>
      </c>
    </row>
    <row r="683">
      <c r="A683" s="19" t="inlineStr">
        <is>
          <t>Zomba</t>
        </is>
      </c>
      <c r="B683" s="19" t="inlineStr">
        <is>
          <t>Jali</t>
        </is>
      </c>
      <c r="C683" s="6" t="inlineStr">
        <is>
          <t>Cost of Chemicals (MWK)</t>
        </is>
      </c>
      <c r="D683" s="20">
        <f>IFERROR(SUMIFS(DataEntry!$AH:$AH,DataEntry!$A:$A,"Zomba",DataEntry!$B:$B,"Jali"),"")</f>
        <v/>
      </c>
    </row>
    <row r="684">
      <c r="A684" s="21" t="inlineStr">
        <is>
          <t>Zomba</t>
        </is>
      </c>
      <c r="B684" s="21" t="inlineStr">
        <is>
          <t>Jali</t>
        </is>
      </c>
      <c r="C684" s="12" t="inlineStr">
        <is>
          <t>Cost of Power (MWK)</t>
        </is>
      </c>
      <c r="D684" s="22">
        <f>IFERROR(SUMIFS(DataEntry!$AL:$AL,DataEntry!$A:$A,"Zomba",DataEntry!$B:$B,"Jali"),"")</f>
        <v/>
      </c>
    </row>
    <row r="685">
      <c r="A685" s="19" t="inlineStr">
        <is>
          <t>Zomba</t>
        </is>
      </c>
      <c r="B685" s="19" t="inlineStr">
        <is>
          <t>Jali</t>
        </is>
      </c>
      <c r="C685" s="6" t="inlineStr">
        <is>
          <t>Cost of Fuel (MWK)</t>
        </is>
      </c>
      <c r="D685" s="20">
        <f>IFERROR(SUMIFS(DataEntry!$AP:$AP,DataEntry!$A:$A,"Zomba",DataEntry!$B:$B,"Jali"),"")</f>
        <v/>
      </c>
    </row>
    <row r="686">
      <c r="A686" s="21" t="inlineStr">
        <is>
          <t>Zomba</t>
        </is>
      </c>
      <c r="B686" s="21" t="inlineStr">
        <is>
          <t>Jali</t>
        </is>
      </c>
      <c r="C686" s="12" t="inlineStr">
        <is>
          <t>Total Operating Costs (MWK)</t>
        </is>
      </c>
      <c r="D686" s="22">
        <f>IFERROR(SUMIFS(DataEntry!$AU:$AU,DataEntry!$A:$A,"Zomba",DataEntry!$B:$B,"Jali"),"")</f>
        <v/>
      </c>
    </row>
    <row r="687">
      <c r="A687" s="19" t="inlineStr">
        <is>
          <t>Zomba</t>
        </is>
      </c>
      <c r="B687" s="19" t="inlineStr">
        <is>
          <t>Jali</t>
        </is>
      </c>
      <c r="C687" s="6" t="inlineStr">
        <is>
          <t>OpCost per m³ Produced (avg)</t>
        </is>
      </c>
      <c r="D687" s="24">
        <f>IFERROR(AVERAGEIFS(DataEntry!$AV:$AV,DataEntry!$A:$A,"Zomba",DataEntry!$B:$B,"Jali"),"")</f>
        <v/>
      </c>
    </row>
    <row r="688">
      <c r="A688" s="21" t="inlineStr">
        <is>
          <t>Zomba</t>
        </is>
      </c>
      <c r="B688" s="21" t="inlineStr">
        <is>
          <t>Jali</t>
        </is>
      </c>
      <c r="C688" s="12" t="inlineStr">
        <is>
          <t>Total Cash Collected (MWK)</t>
        </is>
      </c>
      <c r="D688" s="22">
        <f>IFERROR(SUMIFS(DataEntry!$GB:$GB,DataEntry!$A:$A,"Zomba",DataEntry!$B:$B,"Jali"),"")</f>
        <v/>
      </c>
    </row>
    <row r="689">
      <c r="A689" s="19" t="inlineStr">
        <is>
          <t>Zomba</t>
        </is>
      </c>
      <c r="B689" s="19" t="inlineStr">
        <is>
          <t>Jali</t>
        </is>
      </c>
      <c r="C689" s="6" t="inlineStr">
        <is>
          <t>Total Amount Billed (MWK)</t>
        </is>
      </c>
      <c r="D689" s="20">
        <f>IFERROR(SUMIFS(DataEntry!$GM:$GM,DataEntry!$A:$A,"Zomba",DataEntry!$B:$B,"Jali"),"")</f>
        <v/>
      </c>
    </row>
    <row r="690">
      <c r="A690" s="21" t="inlineStr">
        <is>
          <t>Zomba</t>
        </is>
      </c>
      <c r="B690" s="21" t="inlineStr">
        <is>
          <t>Jali</t>
        </is>
      </c>
      <c r="C690" s="12" t="inlineStr">
        <is>
          <t>Total Sales (MWK)</t>
        </is>
      </c>
      <c r="D690" s="22">
        <f>IFERROR(SUMIFS(DataEntry!$GX:$GX,DataEntry!$A:$A,"Zomba",DataEntry!$B:$B,"Jali"),"")</f>
        <v/>
      </c>
    </row>
    <row r="691">
      <c r="A691" s="19" t="inlineStr">
        <is>
          <t>Zomba</t>
        </is>
      </c>
      <c r="B691" s="19" t="inlineStr">
        <is>
          <t>Jali</t>
        </is>
      </c>
      <c r="C691" s="6" t="inlineStr">
        <is>
          <t>Private Debtors (MWK)</t>
        </is>
      </c>
      <c r="D691" s="20">
        <f>IFERROR(SUMIFS(DataEntry!$GY:$GY,DataEntry!$A:$A,"Zomba",DataEntry!$B:$B,"Jali"),"")</f>
        <v/>
      </c>
    </row>
    <row r="692">
      <c r="A692" s="21" t="inlineStr">
        <is>
          <t>Zomba</t>
        </is>
      </c>
      <c r="B692" s="21" t="inlineStr">
        <is>
          <t>Jali</t>
        </is>
      </c>
      <c r="C692" s="12" t="inlineStr">
        <is>
          <t>Public Debtors (MWK)</t>
        </is>
      </c>
      <c r="D692" s="22">
        <f>IFERROR(SUMIFS(DataEntry!$GZ:$GZ,DataEntry!$A:$A,"Zomba",DataEntry!$B:$B,"Jali"),"")</f>
        <v/>
      </c>
    </row>
    <row r="693">
      <c r="A693" s="19" t="inlineStr">
        <is>
          <t>Zomba</t>
        </is>
      </c>
      <c r="B693" s="19" t="inlineStr">
        <is>
          <t>Jali</t>
        </is>
      </c>
      <c r="C693" s="6" t="inlineStr">
        <is>
          <t>Total Debtors (MWK)</t>
        </is>
      </c>
      <c r="D693" s="20">
        <f>IFERROR(SUMIFS(DataEntry!$HA:$HA,DataEntry!$A:$A,"Zomba",DataEntry!$B:$B,"Jali"),"")</f>
        <v/>
      </c>
    </row>
    <row r="694">
      <c r="A694" s="21" t="inlineStr">
        <is>
          <t>Zomba</t>
        </is>
      </c>
      <c r="B694" s="21" t="inlineStr">
        <is>
          <t>Jali</t>
        </is>
      </c>
      <c r="C694" s="12" t="inlineStr">
        <is>
          <t>Cash Collection Rate (avg)</t>
        </is>
      </c>
      <c r="D694" s="23">
        <f>IFERROR(AVERAGEIFS(DataEntry!$HC:$HC,DataEntry!$A:$A,"Zomba",DataEntry!$B:$B,"Jali"),"")</f>
        <v/>
      </c>
    </row>
    <row r="695">
      <c r="A695" s="19" t="inlineStr">
        <is>
          <t>Zomba</t>
        </is>
      </c>
      <c r="B695" s="19" t="inlineStr">
        <is>
          <t>Jali</t>
        </is>
      </c>
      <c r="C695" s="6" t="inlineStr">
        <is>
          <t>OpCost / Sales (avg)</t>
        </is>
      </c>
      <c r="D695" s="24">
        <f>IFERROR(AVERAGEIFS(DataEntry!$HB:$HB,DataEntry!$A:$A,"Zomba",DataEntry!$B:$B,"Jali"),"")</f>
        <v/>
      </c>
    </row>
    <row r="696">
      <c r="A696" s="21" t="inlineStr">
        <is>
          <t>Zomba</t>
        </is>
      </c>
      <c r="B696" s="21" t="inlineStr">
        <is>
          <t>Jali</t>
        </is>
      </c>
      <c r="C696" s="12" t="inlineStr">
        <is>
          <t>Total Active Customers (end)</t>
        </is>
      </c>
      <c r="D696" s="22">
        <f>IFERROR(SUMIFS(DataEntry!$CS:$CS,DataEntry!$A:$A,"Zomba",DataEntry!$B:$B,"Jali"),"")</f>
        <v/>
      </c>
    </row>
    <row r="697">
      <c r="A697" s="19" t="inlineStr">
        <is>
          <t>Zomba</t>
        </is>
      </c>
      <c r="B697" s="19" t="inlineStr">
        <is>
          <t>Jali</t>
        </is>
      </c>
      <c r="C697" s="6" t="inlineStr">
        <is>
          <t>Total Metered Consumers (end)</t>
        </is>
      </c>
      <c r="D697" s="20">
        <f>IFERROR(SUMIFS(DataEntry!$CT:$CT,DataEntry!$A:$A,"Zomba",DataEntry!$B:$B,"Jali"),"")</f>
        <v/>
      </c>
    </row>
    <row r="698">
      <c r="A698" s="21" t="inlineStr">
        <is>
          <t>Zomba</t>
        </is>
      </c>
      <c r="B698" s="21" t="inlineStr">
        <is>
          <t>Jali</t>
        </is>
      </c>
      <c r="C698" s="12" t="inlineStr">
        <is>
          <t>Population Supplied (end)</t>
        </is>
      </c>
      <c r="D698" s="22">
        <f>IFERROR(SUMIFS(DataEntry!$CV:$CV,DataEntry!$A:$A,"Zomba",DataEntry!$B:$B,"Jali"),"")</f>
        <v/>
      </c>
    </row>
    <row r="699">
      <c r="A699" s="19" t="inlineStr">
        <is>
          <t>Zomba</t>
        </is>
      </c>
      <c r="B699" s="19" t="inlineStr">
        <is>
          <t>Jali</t>
        </is>
      </c>
      <c r="C699" s="6" t="inlineStr">
        <is>
          <t>% Population Supplied (avg)</t>
        </is>
      </c>
      <c r="D699" s="24">
        <f>IFERROR(AVERAGEIFS(DataEntry!$CW:$CW,DataEntry!$A:$A,"Zomba",DataEntry!$B:$B,"Jali"),"")</f>
        <v/>
      </c>
    </row>
    <row r="700">
      <c r="A700" s="21" t="inlineStr">
        <is>
          <t>Zomba</t>
        </is>
      </c>
      <c r="B700" s="21" t="inlineStr">
        <is>
          <t>Jali</t>
        </is>
      </c>
      <c r="C700" s="12" t="inlineStr">
        <is>
          <t>New Connections Total Done</t>
        </is>
      </c>
      <c r="D700" s="22">
        <f>IFERROR(SUMIFS(DataEntry!$CA:$CA,DataEntry!$A:$A,"Zomba",DataEntry!$B:$B,"Jali"),"")</f>
        <v/>
      </c>
    </row>
    <row r="701">
      <c r="A701" s="19" t="inlineStr">
        <is>
          <t>Zomba</t>
        </is>
      </c>
      <c r="B701" s="19" t="inlineStr">
        <is>
          <t>Jali</t>
        </is>
      </c>
      <c r="C701" s="6" t="inlineStr">
        <is>
          <t>Stuck Meters Carried Fwd</t>
        </is>
      </c>
      <c r="D701" s="20">
        <f>IFERROR(SUMIFS(DataEntry!$DV:$DV,DataEntry!$A:$A,"Zomba",DataEntry!$B:$B,"Jali"),"")</f>
        <v/>
      </c>
    </row>
    <row r="702">
      <c r="A702" s="21" t="inlineStr">
        <is>
          <t>Zomba</t>
        </is>
      </c>
      <c r="B702" s="21" t="inlineStr">
        <is>
          <t>Jali</t>
        </is>
      </c>
      <c r="C702" s="12" t="inlineStr">
        <is>
          <t>Total Pipe Breakdowns</t>
        </is>
      </c>
      <c r="D702" s="22">
        <f>IFERROR(SUMIFS(DataEntry!$FG:$FG,DataEntry!$A:$A,"Zomba",DataEntry!$B:$B,"Jali"),"")</f>
        <v/>
      </c>
    </row>
    <row r="703">
      <c r="A703" s="19" t="inlineStr">
        <is>
          <t>Zomba</t>
        </is>
      </c>
      <c r="B703" s="19" t="inlineStr">
        <is>
          <t>Jali</t>
        </is>
      </c>
      <c r="C703" s="6" t="inlineStr">
        <is>
          <t>Connectivity Rate (avg)</t>
        </is>
      </c>
      <c r="D703" s="24">
        <f>IFERROR(AVERAGEIFS(DataEntry!$HK:$HK,DataEntry!$A:$A,"Zomba",DataEntry!$B:$B,"Jali"),"")</f>
        <v/>
      </c>
    </row>
    <row r="704">
      <c r="A704" s="21" t="inlineStr">
        <is>
          <t>Zomba</t>
        </is>
      </c>
      <c r="B704" s="21" t="inlineStr">
        <is>
          <t>Jali</t>
        </is>
      </c>
      <c r="C704" s="12" t="inlineStr">
        <is>
          <t>Response Time avg (days)</t>
        </is>
      </c>
      <c r="D704" s="23">
        <f>IFERROR(AVERAGEIFS(DataEntry!$HN:$HN,DataEntry!$A:$A,"Zomba",DataEntry!$B:$B,"Jali"),"")</f>
        <v/>
      </c>
    </row>
    <row r="705">
      <c r="A705" s="19" t="inlineStr">
        <is>
          <t>Zomba</t>
        </is>
      </c>
      <c r="B705" s="19" t="inlineStr">
        <is>
          <t>Kuchawe</t>
        </is>
      </c>
      <c r="C705" s="6" t="inlineStr">
        <is>
          <t>Volume Produced (m³)</t>
        </is>
      </c>
      <c r="D705" s="20">
        <f>IFERROR(SUMIFS(DataEntry!$H:$H,DataEntry!$A:$A,"Zomba",DataEntry!$B:$B,"Kuchawe"),"")</f>
        <v/>
      </c>
    </row>
    <row r="706">
      <c r="A706" s="21" t="inlineStr">
        <is>
          <t>Zomba</t>
        </is>
      </c>
      <c r="B706" s="21" t="inlineStr">
        <is>
          <t>Kuchawe</t>
        </is>
      </c>
      <c r="C706" s="12" t="inlineStr">
        <is>
          <t>Total Revenue Water (m³)</t>
        </is>
      </c>
      <c r="D706" s="22">
        <f>IFERROR(SUMIFS(DataEntry!$S:$S,DataEntry!$A:$A,"Zomba",DataEntry!$B:$B,"Kuchawe"),"")</f>
        <v/>
      </c>
    </row>
    <row r="707">
      <c r="A707" s="19" t="inlineStr">
        <is>
          <t>Zomba</t>
        </is>
      </c>
      <c r="B707" s="19" t="inlineStr">
        <is>
          <t>Kuchawe</t>
        </is>
      </c>
      <c r="C707" s="6" t="inlineStr">
        <is>
          <t>Non-Revenue Water (m³)</t>
        </is>
      </c>
      <c r="D707" s="20">
        <f>IFERROR(SUMIFS(DataEntry!$T:$T,DataEntry!$A:$A,"Zomba",DataEntry!$B:$B,"Kuchawe"),"")</f>
        <v/>
      </c>
    </row>
    <row r="708">
      <c r="A708" s="21" t="inlineStr">
        <is>
          <t>Zomba</t>
        </is>
      </c>
      <c r="B708" s="21" t="inlineStr">
        <is>
          <t>Kuchawe</t>
        </is>
      </c>
      <c r="C708" s="12" t="inlineStr">
        <is>
          <t>% NRW (avg)</t>
        </is>
      </c>
      <c r="D708" s="23">
        <f>IFERROR(AVERAGEIFS(DataEntry!$U:$U,DataEntry!$A:$A,"Zomba",DataEntry!$B:$B,"Kuchawe"),"")</f>
        <v/>
      </c>
    </row>
    <row r="709">
      <c r="A709" s="19" t="inlineStr">
        <is>
          <t>Zomba</t>
        </is>
      </c>
      <c r="B709" s="19" t="inlineStr">
        <is>
          <t>Kuchawe</t>
        </is>
      </c>
      <c r="C709" s="6" t="inlineStr">
        <is>
          <t>Chlorine Used (kg)</t>
        </is>
      </c>
      <c r="D709" s="20">
        <f>IFERROR(SUMIFS(DataEntry!$V:$V,DataEntry!$A:$A,"Zomba",DataEntry!$B:$B,"Kuchawe"),"")</f>
        <v/>
      </c>
    </row>
    <row r="710">
      <c r="A710" s="21" t="inlineStr">
        <is>
          <t>Zomba</t>
        </is>
      </c>
      <c r="B710" s="21" t="inlineStr">
        <is>
          <t>Kuchawe</t>
        </is>
      </c>
      <c r="C710" s="12" t="inlineStr">
        <is>
          <t>Cost of Chemicals (MWK)</t>
        </is>
      </c>
      <c r="D710" s="22">
        <f>IFERROR(SUMIFS(DataEntry!$AH:$AH,DataEntry!$A:$A,"Zomba",DataEntry!$B:$B,"Kuchawe"),"")</f>
        <v/>
      </c>
    </row>
    <row r="711">
      <c r="A711" s="19" t="inlineStr">
        <is>
          <t>Zomba</t>
        </is>
      </c>
      <c r="B711" s="19" t="inlineStr">
        <is>
          <t>Kuchawe</t>
        </is>
      </c>
      <c r="C711" s="6" t="inlineStr">
        <is>
          <t>Cost of Power (MWK)</t>
        </is>
      </c>
      <c r="D711" s="20">
        <f>IFERROR(SUMIFS(DataEntry!$AL:$AL,DataEntry!$A:$A,"Zomba",DataEntry!$B:$B,"Kuchawe"),"")</f>
        <v/>
      </c>
    </row>
    <row r="712">
      <c r="A712" s="21" t="inlineStr">
        <is>
          <t>Zomba</t>
        </is>
      </c>
      <c r="B712" s="21" t="inlineStr">
        <is>
          <t>Kuchawe</t>
        </is>
      </c>
      <c r="C712" s="12" t="inlineStr">
        <is>
          <t>Cost of Fuel (MWK)</t>
        </is>
      </c>
      <c r="D712" s="22">
        <f>IFERROR(SUMIFS(DataEntry!$AP:$AP,DataEntry!$A:$A,"Zomba",DataEntry!$B:$B,"Kuchawe"),"")</f>
        <v/>
      </c>
    </row>
    <row r="713">
      <c r="A713" s="19" t="inlineStr">
        <is>
          <t>Zomba</t>
        </is>
      </c>
      <c r="B713" s="19" t="inlineStr">
        <is>
          <t>Kuchawe</t>
        </is>
      </c>
      <c r="C713" s="6" t="inlineStr">
        <is>
          <t>Total Operating Costs (MWK)</t>
        </is>
      </c>
      <c r="D713" s="20">
        <f>IFERROR(SUMIFS(DataEntry!$AU:$AU,DataEntry!$A:$A,"Zomba",DataEntry!$B:$B,"Kuchawe"),"")</f>
        <v/>
      </c>
    </row>
    <row r="714">
      <c r="A714" s="21" t="inlineStr">
        <is>
          <t>Zomba</t>
        </is>
      </c>
      <c r="B714" s="21" t="inlineStr">
        <is>
          <t>Kuchawe</t>
        </is>
      </c>
      <c r="C714" s="12" t="inlineStr">
        <is>
          <t>OpCost per m³ Produced (avg)</t>
        </is>
      </c>
      <c r="D714" s="23">
        <f>IFERROR(AVERAGEIFS(DataEntry!$AV:$AV,DataEntry!$A:$A,"Zomba",DataEntry!$B:$B,"Kuchawe"),"")</f>
        <v/>
      </c>
    </row>
    <row r="715">
      <c r="A715" s="19" t="inlineStr">
        <is>
          <t>Zomba</t>
        </is>
      </c>
      <c r="B715" s="19" t="inlineStr">
        <is>
          <t>Kuchawe</t>
        </is>
      </c>
      <c r="C715" s="6" t="inlineStr">
        <is>
          <t>Total Cash Collected (MWK)</t>
        </is>
      </c>
      <c r="D715" s="20">
        <f>IFERROR(SUMIFS(DataEntry!$GB:$GB,DataEntry!$A:$A,"Zomba",DataEntry!$B:$B,"Kuchawe"),"")</f>
        <v/>
      </c>
    </row>
    <row r="716">
      <c r="A716" s="21" t="inlineStr">
        <is>
          <t>Zomba</t>
        </is>
      </c>
      <c r="B716" s="21" t="inlineStr">
        <is>
          <t>Kuchawe</t>
        </is>
      </c>
      <c r="C716" s="12" t="inlineStr">
        <is>
          <t>Total Amount Billed (MWK)</t>
        </is>
      </c>
      <c r="D716" s="22">
        <f>IFERROR(SUMIFS(DataEntry!$GM:$GM,DataEntry!$A:$A,"Zomba",DataEntry!$B:$B,"Kuchawe"),"")</f>
        <v/>
      </c>
    </row>
    <row r="717">
      <c r="A717" s="19" t="inlineStr">
        <is>
          <t>Zomba</t>
        </is>
      </c>
      <c r="B717" s="19" t="inlineStr">
        <is>
          <t>Kuchawe</t>
        </is>
      </c>
      <c r="C717" s="6" t="inlineStr">
        <is>
          <t>Total Sales (MWK)</t>
        </is>
      </c>
      <c r="D717" s="20">
        <f>IFERROR(SUMIFS(DataEntry!$GX:$GX,DataEntry!$A:$A,"Zomba",DataEntry!$B:$B,"Kuchawe"),"")</f>
        <v/>
      </c>
    </row>
    <row r="718">
      <c r="A718" s="21" t="inlineStr">
        <is>
          <t>Zomba</t>
        </is>
      </c>
      <c r="B718" s="21" t="inlineStr">
        <is>
          <t>Kuchawe</t>
        </is>
      </c>
      <c r="C718" s="12" t="inlineStr">
        <is>
          <t>Private Debtors (MWK)</t>
        </is>
      </c>
      <c r="D718" s="22">
        <f>IFERROR(SUMIFS(DataEntry!$GY:$GY,DataEntry!$A:$A,"Zomba",DataEntry!$B:$B,"Kuchawe"),"")</f>
        <v/>
      </c>
    </row>
    <row r="719">
      <c r="A719" s="19" t="inlineStr">
        <is>
          <t>Zomba</t>
        </is>
      </c>
      <c r="B719" s="19" t="inlineStr">
        <is>
          <t>Kuchawe</t>
        </is>
      </c>
      <c r="C719" s="6" t="inlineStr">
        <is>
          <t>Public Debtors (MWK)</t>
        </is>
      </c>
      <c r="D719" s="20">
        <f>IFERROR(SUMIFS(DataEntry!$GZ:$GZ,DataEntry!$A:$A,"Zomba",DataEntry!$B:$B,"Kuchawe"),"")</f>
        <v/>
      </c>
    </row>
    <row r="720">
      <c r="A720" s="21" t="inlineStr">
        <is>
          <t>Zomba</t>
        </is>
      </c>
      <c r="B720" s="21" t="inlineStr">
        <is>
          <t>Kuchawe</t>
        </is>
      </c>
      <c r="C720" s="12" t="inlineStr">
        <is>
          <t>Total Debtors (MWK)</t>
        </is>
      </c>
      <c r="D720" s="22">
        <f>IFERROR(SUMIFS(DataEntry!$HA:$HA,DataEntry!$A:$A,"Zomba",DataEntry!$B:$B,"Kuchawe"),"")</f>
        <v/>
      </c>
    </row>
    <row r="721">
      <c r="A721" s="19" t="inlineStr">
        <is>
          <t>Zomba</t>
        </is>
      </c>
      <c r="B721" s="19" t="inlineStr">
        <is>
          <t>Kuchawe</t>
        </is>
      </c>
      <c r="C721" s="6" t="inlineStr">
        <is>
          <t>Cash Collection Rate (avg)</t>
        </is>
      </c>
      <c r="D721" s="24">
        <f>IFERROR(AVERAGEIFS(DataEntry!$HC:$HC,DataEntry!$A:$A,"Zomba",DataEntry!$B:$B,"Kuchawe"),"")</f>
        <v/>
      </c>
    </row>
    <row r="722">
      <c r="A722" s="21" t="inlineStr">
        <is>
          <t>Zomba</t>
        </is>
      </c>
      <c r="B722" s="21" t="inlineStr">
        <is>
          <t>Kuchawe</t>
        </is>
      </c>
      <c r="C722" s="12" t="inlineStr">
        <is>
          <t>OpCost / Sales (avg)</t>
        </is>
      </c>
      <c r="D722" s="23">
        <f>IFERROR(AVERAGEIFS(DataEntry!$HB:$HB,DataEntry!$A:$A,"Zomba",DataEntry!$B:$B,"Kuchawe"),"")</f>
        <v/>
      </c>
    </row>
    <row r="723">
      <c r="A723" s="19" t="inlineStr">
        <is>
          <t>Zomba</t>
        </is>
      </c>
      <c r="B723" s="19" t="inlineStr">
        <is>
          <t>Kuchawe</t>
        </is>
      </c>
      <c r="C723" s="6" t="inlineStr">
        <is>
          <t>Total Active Customers (end)</t>
        </is>
      </c>
      <c r="D723" s="20">
        <f>IFERROR(SUMIFS(DataEntry!$CS:$CS,DataEntry!$A:$A,"Zomba",DataEntry!$B:$B,"Kuchawe"),"")</f>
        <v/>
      </c>
    </row>
    <row r="724">
      <c r="A724" s="21" t="inlineStr">
        <is>
          <t>Zomba</t>
        </is>
      </c>
      <c r="B724" s="21" t="inlineStr">
        <is>
          <t>Kuchawe</t>
        </is>
      </c>
      <c r="C724" s="12" t="inlineStr">
        <is>
          <t>Total Metered Consumers (end)</t>
        </is>
      </c>
      <c r="D724" s="22">
        <f>IFERROR(SUMIFS(DataEntry!$CT:$CT,DataEntry!$A:$A,"Zomba",DataEntry!$B:$B,"Kuchawe"),"")</f>
        <v/>
      </c>
    </row>
    <row r="725">
      <c r="A725" s="19" t="inlineStr">
        <is>
          <t>Zomba</t>
        </is>
      </c>
      <c r="B725" s="19" t="inlineStr">
        <is>
          <t>Kuchawe</t>
        </is>
      </c>
      <c r="C725" s="6" t="inlineStr">
        <is>
          <t>Population Supplied (end)</t>
        </is>
      </c>
      <c r="D725" s="20">
        <f>IFERROR(SUMIFS(DataEntry!$CV:$CV,DataEntry!$A:$A,"Zomba",DataEntry!$B:$B,"Kuchawe"),"")</f>
        <v/>
      </c>
    </row>
    <row r="726">
      <c r="A726" s="21" t="inlineStr">
        <is>
          <t>Zomba</t>
        </is>
      </c>
      <c r="B726" s="21" t="inlineStr">
        <is>
          <t>Kuchawe</t>
        </is>
      </c>
      <c r="C726" s="12" t="inlineStr">
        <is>
          <t>% Population Supplied (avg)</t>
        </is>
      </c>
      <c r="D726" s="23">
        <f>IFERROR(AVERAGEIFS(DataEntry!$CW:$CW,DataEntry!$A:$A,"Zomba",DataEntry!$B:$B,"Kuchawe"),"")</f>
        <v/>
      </c>
    </row>
    <row r="727">
      <c r="A727" s="19" t="inlineStr">
        <is>
          <t>Zomba</t>
        </is>
      </c>
      <c r="B727" s="19" t="inlineStr">
        <is>
          <t>Kuchawe</t>
        </is>
      </c>
      <c r="C727" s="6" t="inlineStr">
        <is>
          <t>New Connections Total Done</t>
        </is>
      </c>
      <c r="D727" s="20">
        <f>IFERROR(SUMIFS(DataEntry!$CA:$CA,DataEntry!$A:$A,"Zomba",DataEntry!$B:$B,"Kuchawe"),"")</f>
        <v/>
      </c>
    </row>
    <row r="728">
      <c r="A728" s="21" t="inlineStr">
        <is>
          <t>Zomba</t>
        </is>
      </c>
      <c r="B728" s="21" t="inlineStr">
        <is>
          <t>Kuchawe</t>
        </is>
      </c>
      <c r="C728" s="12" t="inlineStr">
        <is>
          <t>Stuck Meters Carried Fwd</t>
        </is>
      </c>
      <c r="D728" s="22">
        <f>IFERROR(SUMIFS(DataEntry!$DV:$DV,DataEntry!$A:$A,"Zomba",DataEntry!$B:$B,"Kuchawe"),"")</f>
        <v/>
      </c>
    </row>
    <row r="729">
      <c r="A729" s="19" t="inlineStr">
        <is>
          <t>Zomba</t>
        </is>
      </c>
      <c r="B729" s="19" t="inlineStr">
        <is>
          <t>Kuchawe</t>
        </is>
      </c>
      <c r="C729" s="6" t="inlineStr">
        <is>
          <t>Total Pipe Breakdowns</t>
        </is>
      </c>
      <c r="D729" s="20">
        <f>IFERROR(SUMIFS(DataEntry!$FG:$FG,DataEntry!$A:$A,"Zomba",DataEntry!$B:$B,"Kuchawe"),"")</f>
        <v/>
      </c>
    </row>
    <row r="730">
      <c r="A730" s="21" t="inlineStr">
        <is>
          <t>Zomba</t>
        </is>
      </c>
      <c r="B730" s="21" t="inlineStr">
        <is>
          <t>Kuchawe</t>
        </is>
      </c>
      <c r="C730" s="12" t="inlineStr">
        <is>
          <t>Connectivity Rate (avg)</t>
        </is>
      </c>
      <c r="D730" s="23">
        <f>IFERROR(AVERAGEIFS(DataEntry!$HK:$HK,DataEntry!$A:$A,"Zomba",DataEntry!$B:$B,"Kuchawe"),"")</f>
        <v/>
      </c>
    </row>
    <row r="731">
      <c r="A731" s="19" t="inlineStr">
        <is>
          <t>Zomba</t>
        </is>
      </c>
      <c r="B731" s="19" t="inlineStr">
        <is>
          <t>Kuchawe</t>
        </is>
      </c>
      <c r="C731" s="6" t="inlineStr">
        <is>
          <t>Response Time avg (days)</t>
        </is>
      </c>
      <c r="D731" s="24">
        <f>IFERROR(AVERAGEIFS(DataEntry!$HN:$HN,DataEntry!$A:$A,"Zomba",DataEntry!$B:$B,"Kuchawe"),"")</f>
        <v/>
      </c>
    </row>
    <row r="732">
      <c r="A732" s="21" t="inlineStr">
        <is>
          <t>Zomba</t>
        </is>
      </c>
      <c r="B732" s="21" t="inlineStr">
        <is>
          <t>Lirangwe</t>
        </is>
      </c>
      <c r="C732" s="12" t="inlineStr">
        <is>
          <t>Volume Produced (m³)</t>
        </is>
      </c>
      <c r="D732" s="22">
        <f>IFERROR(SUMIFS(DataEntry!$H:$H,DataEntry!$A:$A,"Zomba",DataEntry!$B:$B,"Lirangwe"),"")</f>
        <v/>
      </c>
    </row>
    <row r="733">
      <c r="A733" s="19" t="inlineStr">
        <is>
          <t>Zomba</t>
        </is>
      </c>
      <c r="B733" s="19" t="inlineStr">
        <is>
          <t>Lirangwe</t>
        </is>
      </c>
      <c r="C733" s="6" t="inlineStr">
        <is>
          <t>Total Revenue Water (m³)</t>
        </is>
      </c>
      <c r="D733" s="20">
        <f>IFERROR(SUMIFS(DataEntry!$S:$S,DataEntry!$A:$A,"Zomba",DataEntry!$B:$B,"Lirangwe"),"")</f>
        <v/>
      </c>
    </row>
    <row r="734">
      <c r="A734" s="21" t="inlineStr">
        <is>
          <t>Zomba</t>
        </is>
      </c>
      <c r="B734" s="21" t="inlineStr">
        <is>
          <t>Lirangwe</t>
        </is>
      </c>
      <c r="C734" s="12" t="inlineStr">
        <is>
          <t>Non-Revenue Water (m³)</t>
        </is>
      </c>
      <c r="D734" s="22">
        <f>IFERROR(SUMIFS(DataEntry!$T:$T,DataEntry!$A:$A,"Zomba",DataEntry!$B:$B,"Lirangwe"),"")</f>
        <v/>
      </c>
    </row>
    <row r="735">
      <c r="A735" s="19" t="inlineStr">
        <is>
          <t>Zomba</t>
        </is>
      </c>
      <c r="B735" s="19" t="inlineStr">
        <is>
          <t>Lirangwe</t>
        </is>
      </c>
      <c r="C735" s="6" t="inlineStr">
        <is>
          <t>% NRW (avg)</t>
        </is>
      </c>
      <c r="D735" s="24">
        <f>IFERROR(AVERAGEIFS(DataEntry!$U:$U,DataEntry!$A:$A,"Zomba",DataEntry!$B:$B,"Lirangwe"),"")</f>
        <v/>
      </c>
    </row>
    <row r="736">
      <c r="A736" s="21" t="inlineStr">
        <is>
          <t>Zomba</t>
        </is>
      </c>
      <c r="B736" s="21" t="inlineStr">
        <is>
          <t>Lirangwe</t>
        </is>
      </c>
      <c r="C736" s="12" t="inlineStr">
        <is>
          <t>Chlorine Used (kg)</t>
        </is>
      </c>
      <c r="D736" s="22">
        <f>IFERROR(SUMIFS(DataEntry!$V:$V,DataEntry!$A:$A,"Zomba",DataEntry!$B:$B,"Lirangwe"),"")</f>
        <v/>
      </c>
    </row>
    <row r="737">
      <c r="A737" s="19" t="inlineStr">
        <is>
          <t>Zomba</t>
        </is>
      </c>
      <c r="B737" s="19" t="inlineStr">
        <is>
          <t>Lirangwe</t>
        </is>
      </c>
      <c r="C737" s="6" t="inlineStr">
        <is>
          <t>Cost of Chemicals (MWK)</t>
        </is>
      </c>
      <c r="D737" s="20">
        <f>IFERROR(SUMIFS(DataEntry!$AH:$AH,DataEntry!$A:$A,"Zomba",DataEntry!$B:$B,"Lirangwe"),"")</f>
        <v/>
      </c>
    </row>
    <row r="738">
      <c r="A738" s="21" t="inlineStr">
        <is>
          <t>Zomba</t>
        </is>
      </c>
      <c r="B738" s="21" t="inlineStr">
        <is>
          <t>Lirangwe</t>
        </is>
      </c>
      <c r="C738" s="12" t="inlineStr">
        <is>
          <t>Cost of Power (MWK)</t>
        </is>
      </c>
      <c r="D738" s="22">
        <f>IFERROR(SUMIFS(DataEntry!$AL:$AL,DataEntry!$A:$A,"Zomba",DataEntry!$B:$B,"Lirangwe"),"")</f>
        <v/>
      </c>
    </row>
    <row r="739">
      <c r="A739" s="19" t="inlineStr">
        <is>
          <t>Zomba</t>
        </is>
      </c>
      <c r="B739" s="19" t="inlineStr">
        <is>
          <t>Lirangwe</t>
        </is>
      </c>
      <c r="C739" s="6" t="inlineStr">
        <is>
          <t>Cost of Fuel (MWK)</t>
        </is>
      </c>
      <c r="D739" s="20">
        <f>IFERROR(SUMIFS(DataEntry!$AP:$AP,DataEntry!$A:$A,"Zomba",DataEntry!$B:$B,"Lirangwe"),"")</f>
        <v/>
      </c>
    </row>
    <row r="740">
      <c r="A740" s="21" t="inlineStr">
        <is>
          <t>Zomba</t>
        </is>
      </c>
      <c r="B740" s="21" t="inlineStr">
        <is>
          <t>Lirangwe</t>
        </is>
      </c>
      <c r="C740" s="12" t="inlineStr">
        <is>
          <t>Total Operating Costs (MWK)</t>
        </is>
      </c>
      <c r="D740" s="22">
        <f>IFERROR(SUMIFS(DataEntry!$AU:$AU,DataEntry!$A:$A,"Zomba",DataEntry!$B:$B,"Lirangwe"),"")</f>
        <v/>
      </c>
    </row>
    <row r="741">
      <c r="A741" s="19" t="inlineStr">
        <is>
          <t>Zomba</t>
        </is>
      </c>
      <c r="B741" s="19" t="inlineStr">
        <is>
          <t>Lirangwe</t>
        </is>
      </c>
      <c r="C741" s="6" t="inlineStr">
        <is>
          <t>OpCost per m³ Produced (avg)</t>
        </is>
      </c>
      <c r="D741" s="24">
        <f>IFERROR(AVERAGEIFS(DataEntry!$AV:$AV,DataEntry!$A:$A,"Zomba",DataEntry!$B:$B,"Lirangwe"),"")</f>
        <v/>
      </c>
    </row>
    <row r="742">
      <c r="A742" s="21" t="inlineStr">
        <is>
          <t>Zomba</t>
        </is>
      </c>
      <c r="B742" s="21" t="inlineStr">
        <is>
          <t>Lirangwe</t>
        </is>
      </c>
      <c r="C742" s="12" t="inlineStr">
        <is>
          <t>Total Cash Collected (MWK)</t>
        </is>
      </c>
      <c r="D742" s="22">
        <f>IFERROR(SUMIFS(DataEntry!$GB:$GB,DataEntry!$A:$A,"Zomba",DataEntry!$B:$B,"Lirangwe"),"")</f>
        <v/>
      </c>
    </row>
    <row r="743">
      <c r="A743" s="19" t="inlineStr">
        <is>
          <t>Zomba</t>
        </is>
      </c>
      <c r="B743" s="19" t="inlineStr">
        <is>
          <t>Lirangwe</t>
        </is>
      </c>
      <c r="C743" s="6" t="inlineStr">
        <is>
          <t>Total Amount Billed (MWK)</t>
        </is>
      </c>
      <c r="D743" s="20">
        <f>IFERROR(SUMIFS(DataEntry!$GM:$GM,DataEntry!$A:$A,"Zomba",DataEntry!$B:$B,"Lirangwe"),"")</f>
        <v/>
      </c>
    </row>
    <row r="744">
      <c r="A744" s="21" t="inlineStr">
        <is>
          <t>Zomba</t>
        </is>
      </c>
      <c r="B744" s="21" t="inlineStr">
        <is>
          <t>Lirangwe</t>
        </is>
      </c>
      <c r="C744" s="12" t="inlineStr">
        <is>
          <t>Total Sales (MWK)</t>
        </is>
      </c>
      <c r="D744" s="22">
        <f>IFERROR(SUMIFS(DataEntry!$GX:$GX,DataEntry!$A:$A,"Zomba",DataEntry!$B:$B,"Lirangwe"),"")</f>
        <v/>
      </c>
    </row>
    <row r="745">
      <c r="A745" s="19" t="inlineStr">
        <is>
          <t>Zomba</t>
        </is>
      </c>
      <c r="B745" s="19" t="inlineStr">
        <is>
          <t>Lirangwe</t>
        </is>
      </c>
      <c r="C745" s="6" t="inlineStr">
        <is>
          <t>Private Debtors (MWK)</t>
        </is>
      </c>
      <c r="D745" s="20">
        <f>IFERROR(SUMIFS(DataEntry!$GY:$GY,DataEntry!$A:$A,"Zomba",DataEntry!$B:$B,"Lirangwe"),"")</f>
        <v/>
      </c>
    </row>
    <row r="746">
      <c r="A746" s="21" t="inlineStr">
        <is>
          <t>Zomba</t>
        </is>
      </c>
      <c r="B746" s="21" t="inlineStr">
        <is>
          <t>Lirangwe</t>
        </is>
      </c>
      <c r="C746" s="12" t="inlineStr">
        <is>
          <t>Public Debtors (MWK)</t>
        </is>
      </c>
      <c r="D746" s="22">
        <f>IFERROR(SUMIFS(DataEntry!$GZ:$GZ,DataEntry!$A:$A,"Zomba",DataEntry!$B:$B,"Lirangwe"),"")</f>
        <v/>
      </c>
    </row>
    <row r="747">
      <c r="A747" s="19" t="inlineStr">
        <is>
          <t>Zomba</t>
        </is>
      </c>
      <c r="B747" s="19" t="inlineStr">
        <is>
          <t>Lirangwe</t>
        </is>
      </c>
      <c r="C747" s="6" t="inlineStr">
        <is>
          <t>Total Debtors (MWK)</t>
        </is>
      </c>
      <c r="D747" s="20">
        <f>IFERROR(SUMIFS(DataEntry!$HA:$HA,DataEntry!$A:$A,"Zomba",DataEntry!$B:$B,"Lirangwe"),"")</f>
        <v/>
      </c>
    </row>
    <row r="748">
      <c r="A748" s="21" t="inlineStr">
        <is>
          <t>Zomba</t>
        </is>
      </c>
      <c r="B748" s="21" t="inlineStr">
        <is>
          <t>Lirangwe</t>
        </is>
      </c>
      <c r="C748" s="12" t="inlineStr">
        <is>
          <t>Cash Collection Rate (avg)</t>
        </is>
      </c>
      <c r="D748" s="23">
        <f>IFERROR(AVERAGEIFS(DataEntry!$HC:$HC,DataEntry!$A:$A,"Zomba",DataEntry!$B:$B,"Lirangwe"),"")</f>
        <v/>
      </c>
    </row>
    <row r="749">
      <c r="A749" s="19" t="inlineStr">
        <is>
          <t>Zomba</t>
        </is>
      </c>
      <c r="B749" s="19" t="inlineStr">
        <is>
          <t>Lirangwe</t>
        </is>
      </c>
      <c r="C749" s="6" t="inlineStr">
        <is>
          <t>OpCost / Sales (avg)</t>
        </is>
      </c>
      <c r="D749" s="24">
        <f>IFERROR(AVERAGEIFS(DataEntry!$HB:$HB,DataEntry!$A:$A,"Zomba",DataEntry!$B:$B,"Lirangwe"),"")</f>
        <v/>
      </c>
    </row>
    <row r="750">
      <c r="A750" s="21" t="inlineStr">
        <is>
          <t>Zomba</t>
        </is>
      </c>
      <c r="B750" s="21" t="inlineStr">
        <is>
          <t>Lirangwe</t>
        </is>
      </c>
      <c r="C750" s="12" t="inlineStr">
        <is>
          <t>Total Active Customers (end)</t>
        </is>
      </c>
      <c r="D750" s="22">
        <f>IFERROR(SUMIFS(DataEntry!$CS:$CS,DataEntry!$A:$A,"Zomba",DataEntry!$B:$B,"Lirangwe"),"")</f>
        <v/>
      </c>
    </row>
    <row r="751">
      <c r="A751" s="19" t="inlineStr">
        <is>
          <t>Zomba</t>
        </is>
      </c>
      <c r="B751" s="19" t="inlineStr">
        <is>
          <t>Lirangwe</t>
        </is>
      </c>
      <c r="C751" s="6" t="inlineStr">
        <is>
          <t>Total Metered Consumers (end)</t>
        </is>
      </c>
      <c r="D751" s="20">
        <f>IFERROR(SUMIFS(DataEntry!$CT:$CT,DataEntry!$A:$A,"Zomba",DataEntry!$B:$B,"Lirangwe"),"")</f>
        <v/>
      </c>
    </row>
    <row r="752">
      <c r="A752" s="21" t="inlineStr">
        <is>
          <t>Zomba</t>
        </is>
      </c>
      <c r="B752" s="21" t="inlineStr">
        <is>
          <t>Lirangwe</t>
        </is>
      </c>
      <c r="C752" s="12" t="inlineStr">
        <is>
          <t>Population Supplied (end)</t>
        </is>
      </c>
      <c r="D752" s="22">
        <f>IFERROR(SUMIFS(DataEntry!$CV:$CV,DataEntry!$A:$A,"Zomba",DataEntry!$B:$B,"Lirangwe"),"")</f>
        <v/>
      </c>
    </row>
    <row r="753">
      <c r="A753" s="19" t="inlineStr">
        <is>
          <t>Zomba</t>
        </is>
      </c>
      <c r="B753" s="19" t="inlineStr">
        <is>
          <t>Lirangwe</t>
        </is>
      </c>
      <c r="C753" s="6" t="inlineStr">
        <is>
          <t>% Population Supplied (avg)</t>
        </is>
      </c>
      <c r="D753" s="24">
        <f>IFERROR(AVERAGEIFS(DataEntry!$CW:$CW,DataEntry!$A:$A,"Zomba",DataEntry!$B:$B,"Lirangwe"),"")</f>
        <v/>
      </c>
    </row>
    <row r="754">
      <c r="A754" s="21" t="inlineStr">
        <is>
          <t>Zomba</t>
        </is>
      </c>
      <c r="B754" s="21" t="inlineStr">
        <is>
          <t>Lirangwe</t>
        </is>
      </c>
      <c r="C754" s="12" t="inlineStr">
        <is>
          <t>New Connections Total Done</t>
        </is>
      </c>
      <c r="D754" s="22">
        <f>IFERROR(SUMIFS(DataEntry!$CA:$CA,DataEntry!$A:$A,"Zomba",DataEntry!$B:$B,"Lirangwe"),"")</f>
        <v/>
      </c>
    </row>
    <row r="755">
      <c r="A755" s="19" t="inlineStr">
        <is>
          <t>Zomba</t>
        </is>
      </c>
      <c r="B755" s="19" t="inlineStr">
        <is>
          <t>Lirangwe</t>
        </is>
      </c>
      <c r="C755" s="6" t="inlineStr">
        <is>
          <t>Stuck Meters Carried Fwd</t>
        </is>
      </c>
      <c r="D755" s="20">
        <f>IFERROR(SUMIFS(DataEntry!$DV:$DV,DataEntry!$A:$A,"Zomba",DataEntry!$B:$B,"Lirangwe"),"")</f>
        <v/>
      </c>
    </row>
    <row r="756">
      <c r="A756" s="21" t="inlineStr">
        <is>
          <t>Zomba</t>
        </is>
      </c>
      <c r="B756" s="21" t="inlineStr">
        <is>
          <t>Lirangwe</t>
        </is>
      </c>
      <c r="C756" s="12" t="inlineStr">
        <is>
          <t>Total Pipe Breakdowns</t>
        </is>
      </c>
      <c r="D756" s="22">
        <f>IFERROR(SUMIFS(DataEntry!$FG:$FG,DataEntry!$A:$A,"Zomba",DataEntry!$B:$B,"Lirangwe"),"")</f>
        <v/>
      </c>
    </row>
    <row r="757">
      <c r="A757" s="19" t="inlineStr">
        <is>
          <t>Zomba</t>
        </is>
      </c>
      <c r="B757" s="19" t="inlineStr">
        <is>
          <t>Lirangwe</t>
        </is>
      </c>
      <c r="C757" s="6" t="inlineStr">
        <is>
          <t>Connectivity Rate (avg)</t>
        </is>
      </c>
      <c r="D757" s="24">
        <f>IFERROR(AVERAGEIFS(DataEntry!$HK:$HK,DataEntry!$A:$A,"Zomba",DataEntry!$B:$B,"Lirangwe"),"")</f>
        <v/>
      </c>
    </row>
    <row r="758">
      <c r="A758" s="21" t="inlineStr">
        <is>
          <t>Zomba</t>
        </is>
      </c>
      <c r="B758" s="21" t="inlineStr">
        <is>
          <t>Lirangwe</t>
        </is>
      </c>
      <c r="C758" s="12" t="inlineStr">
        <is>
          <t>Response Time avg (days)</t>
        </is>
      </c>
      <c r="D758" s="23">
        <f>IFERROR(AVERAGEIFS(DataEntry!$HN:$HN,DataEntry!$A:$A,"Zomba",DataEntry!$B:$B,"Lirangwe"),"")</f>
        <v/>
      </c>
    </row>
    <row r="759">
      <c r="A759" s="19" t="inlineStr">
        <is>
          <t>Zomba</t>
        </is>
      </c>
      <c r="B759" s="19" t="inlineStr">
        <is>
          <t>Mwanza</t>
        </is>
      </c>
      <c r="C759" s="6" t="inlineStr">
        <is>
          <t>Volume Produced (m³)</t>
        </is>
      </c>
      <c r="D759" s="20">
        <f>IFERROR(SUMIFS(DataEntry!$H:$H,DataEntry!$A:$A,"Zomba",DataEntry!$B:$B,"Mwanza"),"")</f>
        <v/>
      </c>
    </row>
    <row r="760">
      <c r="A760" s="21" t="inlineStr">
        <is>
          <t>Zomba</t>
        </is>
      </c>
      <c r="B760" s="21" t="inlineStr">
        <is>
          <t>Mwanza</t>
        </is>
      </c>
      <c r="C760" s="12" t="inlineStr">
        <is>
          <t>Total Revenue Water (m³)</t>
        </is>
      </c>
      <c r="D760" s="22">
        <f>IFERROR(SUMIFS(DataEntry!$S:$S,DataEntry!$A:$A,"Zomba",DataEntry!$B:$B,"Mwanza"),"")</f>
        <v/>
      </c>
    </row>
    <row r="761">
      <c r="A761" s="19" t="inlineStr">
        <is>
          <t>Zomba</t>
        </is>
      </c>
      <c r="B761" s="19" t="inlineStr">
        <is>
          <t>Mwanza</t>
        </is>
      </c>
      <c r="C761" s="6" t="inlineStr">
        <is>
          <t>Non-Revenue Water (m³)</t>
        </is>
      </c>
      <c r="D761" s="20">
        <f>IFERROR(SUMIFS(DataEntry!$T:$T,DataEntry!$A:$A,"Zomba",DataEntry!$B:$B,"Mwanza"),"")</f>
        <v/>
      </c>
    </row>
    <row r="762">
      <c r="A762" s="21" t="inlineStr">
        <is>
          <t>Zomba</t>
        </is>
      </c>
      <c r="B762" s="21" t="inlineStr">
        <is>
          <t>Mwanza</t>
        </is>
      </c>
      <c r="C762" s="12" t="inlineStr">
        <is>
          <t>% NRW (avg)</t>
        </is>
      </c>
      <c r="D762" s="23">
        <f>IFERROR(AVERAGEIFS(DataEntry!$U:$U,DataEntry!$A:$A,"Zomba",DataEntry!$B:$B,"Mwanza"),"")</f>
        <v/>
      </c>
    </row>
    <row r="763">
      <c r="A763" s="19" t="inlineStr">
        <is>
          <t>Zomba</t>
        </is>
      </c>
      <c r="B763" s="19" t="inlineStr">
        <is>
          <t>Mwanza</t>
        </is>
      </c>
      <c r="C763" s="6" t="inlineStr">
        <is>
          <t>Chlorine Used (kg)</t>
        </is>
      </c>
      <c r="D763" s="20">
        <f>IFERROR(SUMIFS(DataEntry!$V:$V,DataEntry!$A:$A,"Zomba",DataEntry!$B:$B,"Mwanza"),"")</f>
        <v/>
      </c>
    </row>
    <row r="764">
      <c r="A764" s="21" t="inlineStr">
        <is>
          <t>Zomba</t>
        </is>
      </c>
      <c r="B764" s="21" t="inlineStr">
        <is>
          <t>Mwanza</t>
        </is>
      </c>
      <c r="C764" s="12" t="inlineStr">
        <is>
          <t>Cost of Chemicals (MWK)</t>
        </is>
      </c>
      <c r="D764" s="22">
        <f>IFERROR(SUMIFS(DataEntry!$AH:$AH,DataEntry!$A:$A,"Zomba",DataEntry!$B:$B,"Mwanza"),"")</f>
        <v/>
      </c>
    </row>
    <row r="765">
      <c r="A765" s="19" t="inlineStr">
        <is>
          <t>Zomba</t>
        </is>
      </c>
      <c r="B765" s="19" t="inlineStr">
        <is>
          <t>Mwanza</t>
        </is>
      </c>
      <c r="C765" s="6" t="inlineStr">
        <is>
          <t>Cost of Power (MWK)</t>
        </is>
      </c>
      <c r="D765" s="20">
        <f>IFERROR(SUMIFS(DataEntry!$AL:$AL,DataEntry!$A:$A,"Zomba",DataEntry!$B:$B,"Mwanza"),"")</f>
        <v/>
      </c>
    </row>
    <row r="766">
      <c r="A766" s="21" t="inlineStr">
        <is>
          <t>Zomba</t>
        </is>
      </c>
      <c r="B766" s="21" t="inlineStr">
        <is>
          <t>Mwanza</t>
        </is>
      </c>
      <c r="C766" s="12" t="inlineStr">
        <is>
          <t>Cost of Fuel (MWK)</t>
        </is>
      </c>
      <c r="D766" s="22">
        <f>IFERROR(SUMIFS(DataEntry!$AP:$AP,DataEntry!$A:$A,"Zomba",DataEntry!$B:$B,"Mwanza"),"")</f>
        <v/>
      </c>
    </row>
    <row r="767">
      <c r="A767" s="19" t="inlineStr">
        <is>
          <t>Zomba</t>
        </is>
      </c>
      <c r="B767" s="19" t="inlineStr">
        <is>
          <t>Mwanza</t>
        </is>
      </c>
      <c r="C767" s="6" t="inlineStr">
        <is>
          <t>Total Operating Costs (MWK)</t>
        </is>
      </c>
      <c r="D767" s="20">
        <f>IFERROR(SUMIFS(DataEntry!$AU:$AU,DataEntry!$A:$A,"Zomba",DataEntry!$B:$B,"Mwanza"),"")</f>
        <v/>
      </c>
    </row>
    <row r="768">
      <c r="A768" s="21" t="inlineStr">
        <is>
          <t>Zomba</t>
        </is>
      </c>
      <c r="B768" s="21" t="inlineStr">
        <is>
          <t>Mwanza</t>
        </is>
      </c>
      <c r="C768" s="12" t="inlineStr">
        <is>
          <t>OpCost per m³ Produced (avg)</t>
        </is>
      </c>
      <c r="D768" s="23">
        <f>IFERROR(AVERAGEIFS(DataEntry!$AV:$AV,DataEntry!$A:$A,"Zomba",DataEntry!$B:$B,"Mwanza"),"")</f>
        <v/>
      </c>
    </row>
    <row r="769">
      <c r="A769" s="19" t="inlineStr">
        <is>
          <t>Zomba</t>
        </is>
      </c>
      <c r="B769" s="19" t="inlineStr">
        <is>
          <t>Mwanza</t>
        </is>
      </c>
      <c r="C769" s="6" t="inlineStr">
        <is>
          <t>Total Cash Collected (MWK)</t>
        </is>
      </c>
      <c r="D769" s="20">
        <f>IFERROR(SUMIFS(DataEntry!$GB:$GB,DataEntry!$A:$A,"Zomba",DataEntry!$B:$B,"Mwanza"),"")</f>
        <v/>
      </c>
    </row>
    <row r="770">
      <c r="A770" s="21" t="inlineStr">
        <is>
          <t>Zomba</t>
        </is>
      </c>
      <c r="B770" s="21" t="inlineStr">
        <is>
          <t>Mwanza</t>
        </is>
      </c>
      <c r="C770" s="12" t="inlineStr">
        <is>
          <t>Total Amount Billed (MWK)</t>
        </is>
      </c>
      <c r="D770" s="22">
        <f>IFERROR(SUMIFS(DataEntry!$GM:$GM,DataEntry!$A:$A,"Zomba",DataEntry!$B:$B,"Mwanza"),"")</f>
        <v/>
      </c>
    </row>
    <row r="771">
      <c r="A771" s="19" t="inlineStr">
        <is>
          <t>Zomba</t>
        </is>
      </c>
      <c r="B771" s="19" t="inlineStr">
        <is>
          <t>Mwanza</t>
        </is>
      </c>
      <c r="C771" s="6" t="inlineStr">
        <is>
          <t>Total Sales (MWK)</t>
        </is>
      </c>
      <c r="D771" s="20">
        <f>IFERROR(SUMIFS(DataEntry!$GX:$GX,DataEntry!$A:$A,"Zomba",DataEntry!$B:$B,"Mwanza"),"")</f>
        <v/>
      </c>
    </row>
    <row r="772">
      <c r="A772" s="21" t="inlineStr">
        <is>
          <t>Zomba</t>
        </is>
      </c>
      <c r="B772" s="21" t="inlineStr">
        <is>
          <t>Mwanza</t>
        </is>
      </c>
      <c r="C772" s="12" t="inlineStr">
        <is>
          <t>Private Debtors (MWK)</t>
        </is>
      </c>
      <c r="D772" s="22">
        <f>IFERROR(SUMIFS(DataEntry!$GY:$GY,DataEntry!$A:$A,"Zomba",DataEntry!$B:$B,"Mwanza"),"")</f>
        <v/>
      </c>
    </row>
    <row r="773">
      <c r="A773" s="19" t="inlineStr">
        <is>
          <t>Zomba</t>
        </is>
      </c>
      <c r="B773" s="19" t="inlineStr">
        <is>
          <t>Mwanza</t>
        </is>
      </c>
      <c r="C773" s="6" t="inlineStr">
        <is>
          <t>Public Debtors (MWK)</t>
        </is>
      </c>
      <c r="D773" s="20">
        <f>IFERROR(SUMIFS(DataEntry!$GZ:$GZ,DataEntry!$A:$A,"Zomba",DataEntry!$B:$B,"Mwanza"),"")</f>
        <v/>
      </c>
    </row>
    <row r="774">
      <c r="A774" s="21" t="inlineStr">
        <is>
          <t>Zomba</t>
        </is>
      </c>
      <c r="B774" s="21" t="inlineStr">
        <is>
          <t>Mwanza</t>
        </is>
      </c>
      <c r="C774" s="12" t="inlineStr">
        <is>
          <t>Total Debtors (MWK)</t>
        </is>
      </c>
      <c r="D774" s="22">
        <f>IFERROR(SUMIFS(DataEntry!$HA:$HA,DataEntry!$A:$A,"Zomba",DataEntry!$B:$B,"Mwanza"),"")</f>
        <v/>
      </c>
    </row>
    <row r="775">
      <c r="A775" s="19" t="inlineStr">
        <is>
          <t>Zomba</t>
        </is>
      </c>
      <c r="B775" s="19" t="inlineStr">
        <is>
          <t>Mwanza</t>
        </is>
      </c>
      <c r="C775" s="6" t="inlineStr">
        <is>
          <t>Cash Collection Rate (avg)</t>
        </is>
      </c>
      <c r="D775" s="24">
        <f>IFERROR(AVERAGEIFS(DataEntry!$HC:$HC,DataEntry!$A:$A,"Zomba",DataEntry!$B:$B,"Mwanza"),"")</f>
        <v/>
      </c>
    </row>
    <row r="776">
      <c r="A776" s="21" t="inlineStr">
        <is>
          <t>Zomba</t>
        </is>
      </c>
      <c r="B776" s="21" t="inlineStr">
        <is>
          <t>Mwanza</t>
        </is>
      </c>
      <c r="C776" s="12" t="inlineStr">
        <is>
          <t>OpCost / Sales (avg)</t>
        </is>
      </c>
      <c r="D776" s="23">
        <f>IFERROR(AVERAGEIFS(DataEntry!$HB:$HB,DataEntry!$A:$A,"Zomba",DataEntry!$B:$B,"Mwanza"),"")</f>
        <v/>
      </c>
    </row>
    <row r="777">
      <c r="A777" s="19" t="inlineStr">
        <is>
          <t>Zomba</t>
        </is>
      </c>
      <c r="B777" s="19" t="inlineStr">
        <is>
          <t>Mwanza</t>
        </is>
      </c>
      <c r="C777" s="6" t="inlineStr">
        <is>
          <t>Total Active Customers (end)</t>
        </is>
      </c>
      <c r="D777" s="20">
        <f>IFERROR(SUMIFS(DataEntry!$CS:$CS,DataEntry!$A:$A,"Zomba",DataEntry!$B:$B,"Mwanza"),"")</f>
        <v/>
      </c>
    </row>
    <row r="778">
      <c r="A778" s="21" t="inlineStr">
        <is>
          <t>Zomba</t>
        </is>
      </c>
      <c r="B778" s="21" t="inlineStr">
        <is>
          <t>Mwanza</t>
        </is>
      </c>
      <c r="C778" s="12" t="inlineStr">
        <is>
          <t>Total Metered Consumers (end)</t>
        </is>
      </c>
      <c r="D778" s="22">
        <f>IFERROR(SUMIFS(DataEntry!$CT:$CT,DataEntry!$A:$A,"Zomba",DataEntry!$B:$B,"Mwanza"),"")</f>
        <v/>
      </c>
    </row>
    <row r="779">
      <c r="A779" s="19" t="inlineStr">
        <is>
          <t>Zomba</t>
        </is>
      </c>
      <c r="B779" s="19" t="inlineStr">
        <is>
          <t>Mwanza</t>
        </is>
      </c>
      <c r="C779" s="6" t="inlineStr">
        <is>
          <t>Population Supplied (end)</t>
        </is>
      </c>
      <c r="D779" s="20">
        <f>IFERROR(SUMIFS(DataEntry!$CV:$CV,DataEntry!$A:$A,"Zomba",DataEntry!$B:$B,"Mwanza"),"")</f>
        <v/>
      </c>
    </row>
    <row r="780">
      <c r="A780" s="21" t="inlineStr">
        <is>
          <t>Zomba</t>
        </is>
      </c>
      <c r="B780" s="21" t="inlineStr">
        <is>
          <t>Mwanza</t>
        </is>
      </c>
      <c r="C780" s="12" t="inlineStr">
        <is>
          <t>% Population Supplied (avg)</t>
        </is>
      </c>
      <c r="D780" s="23">
        <f>IFERROR(AVERAGEIFS(DataEntry!$CW:$CW,DataEntry!$A:$A,"Zomba",DataEntry!$B:$B,"Mwanza"),"")</f>
        <v/>
      </c>
    </row>
    <row r="781">
      <c r="A781" s="19" t="inlineStr">
        <is>
          <t>Zomba</t>
        </is>
      </c>
      <c r="B781" s="19" t="inlineStr">
        <is>
          <t>Mwanza</t>
        </is>
      </c>
      <c r="C781" s="6" t="inlineStr">
        <is>
          <t>New Connections Total Done</t>
        </is>
      </c>
      <c r="D781" s="20">
        <f>IFERROR(SUMIFS(DataEntry!$CA:$CA,DataEntry!$A:$A,"Zomba",DataEntry!$B:$B,"Mwanza"),"")</f>
        <v/>
      </c>
    </row>
    <row r="782">
      <c r="A782" s="21" t="inlineStr">
        <is>
          <t>Zomba</t>
        </is>
      </c>
      <c r="B782" s="21" t="inlineStr">
        <is>
          <t>Mwanza</t>
        </is>
      </c>
      <c r="C782" s="12" t="inlineStr">
        <is>
          <t>Stuck Meters Carried Fwd</t>
        </is>
      </c>
      <c r="D782" s="22">
        <f>IFERROR(SUMIFS(DataEntry!$DV:$DV,DataEntry!$A:$A,"Zomba",DataEntry!$B:$B,"Mwanza"),"")</f>
        <v/>
      </c>
    </row>
    <row r="783">
      <c r="A783" s="19" t="inlineStr">
        <is>
          <t>Zomba</t>
        </is>
      </c>
      <c r="B783" s="19" t="inlineStr">
        <is>
          <t>Mwanza</t>
        </is>
      </c>
      <c r="C783" s="6" t="inlineStr">
        <is>
          <t>Total Pipe Breakdowns</t>
        </is>
      </c>
      <c r="D783" s="20">
        <f>IFERROR(SUMIFS(DataEntry!$FG:$FG,DataEntry!$A:$A,"Zomba",DataEntry!$B:$B,"Mwanza"),"")</f>
        <v/>
      </c>
    </row>
    <row r="784">
      <c r="A784" s="21" t="inlineStr">
        <is>
          <t>Zomba</t>
        </is>
      </c>
      <c r="B784" s="21" t="inlineStr">
        <is>
          <t>Mwanza</t>
        </is>
      </c>
      <c r="C784" s="12" t="inlineStr">
        <is>
          <t>Connectivity Rate (avg)</t>
        </is>
      </c>
      <c r="D784" s="23">
        <f>IFERROR(AVERAGEIFS(DataEntry!$HK:$HK,DataEntry!$A:$A,"Zomba",DataEntry!$B:$B,"Mwanza"),"")</f>
        <v/>
      </c>
    </row>
    <row r="785">
      <c r="A785" s="19" t="inlineStr">
        <is>
          <t>Zomba</t>
        </is>
      </c>
      <c r="B785" s="19" t="inlineStr">
        <is>
          <t>Mwanza</t>
        </is>
      </c>
      <c r="C785" s="6" t="inlineStr">
        <is>
          <t>Response Time avg (days)</t>
        </is>
      </c>
      <c r="D785" s="24">
        <f>IFERROR(AVERAGEIFS(DataEntry!$HN:$HN,DataEntry!$A:$A,"Zomba",DataEntry!$B:$B,"Mwanza"),"")</f>
        <v/>
      </c>
    </row>
    <row r="786">
      <c r="A786" s="21" t="inlineStr">
        <is>
          <t>Zomba</t>
        </is>
      </c>
      <c r="B786" s="21" t="inlineStr">
        <is>
          <t>Namadzi</t>
        </is>
      </c>
      <c r="C786" s="12" t="inlineStr">
        <is>
          <t>Volume Produced (m³)</t>
        </is>
      </c>
      <c r="D786" s="22">
        <f>IFERROR(SUMIFS(DataEntry!$H:$H,DataEntry!$A:$A,"Zomba",DataEntry!$B:$B,"Namadzi"),"")</f>
        <v/>
      </c>
    </row>
    <row r="787">
      <c r="A787" s="19" t="inlineStr">
        <is>
          <t>Zomba</t>
        </is>
      </c>
      <c r="B787" s="19" t="inlineStr">
        <is>
          <t>Namadzi</t>
        </is>
      </c>
      <c r="C787" s="6" t="inlineStr">
        <is>
          <t>Total Revenue Water (m³)</t>
        </is>
      </c>
      <c r="D787" s="20">
        <f>IFERROR(SUMIFS(DataEntry!$S:$S,DataEntry!$A:$A,"Zomba",DataEntry!$B:$B,"Namadzi"),"")</f>
        <v/>
      </c>
    </row>
    <row r="788">
      <c r="A788" s="21" t="inlineStr">
        <is>
          <t>Zomba</t>
        </is>
      </c>
      <c r="B788" s="21" t="inlineStr">
        <is>
          <t>Namadzi</t>
        </is>
      </c>
      <c r="C788" s="12" t="inlineStr">
        <is>
          <t>Non-Revenue Water (m³)</t>
        </is>
      </c>
      <c r="D788" s="22">
        <f>IFERROR(SUMIFS(DataEntry!$T:$T,DataEntry!$A:$A,"Zomba",DataEntry!$B:$B,"Namadzi"),"")</f>
        <v/>
      </c>
    </row>
    <row r="789">
      <c r="A789" s="19" t="inlineStr">
        <is>
          <t>Zomba</t>
        </is>
      </c>
      <c r="B789" s="19" t="inlineStr">
        <is>
          <t>Namadzi</t>
        </is>
      </c>
      <c r="C789" s="6" t="inlineStr">
        <is>
          <t>% NRW (avg)</t>
        </is>
      </c>
      <c r="D789" s="24">
        <f>IFERROR(AVERAGEIFS(DataEntry!$U:$U,DataEntry!$A:$A,"Zomba",DataEntry!$B:$B,"Namadzi"),"")</f>
        <v/>
      </c>
    </row>
    <row r="790">
      <c r="A790" s="21" t="inlineStr">
        <is>
          <t>Zomba</t>
        </is>
      </c>
      <c r="B790" s="21" t="inlineStr">
        <is>
          <t>Namadzi</t>
        </is>
      </c>
      <c r="C790" s="12" t="inlineStr">
        <is>
          <t>Chlorine Used (kg)</t>
        </is>
      </c>
      <c r="D790" s="22">
        <f>IFERROR(SUMIFS(DataEntry!$V:$V,DataEntry!$A:$A,"Zomba",DataEntry!$B:$B,"Namadzi"),"")</f>
        <v/>
      </c>
    </row>
    <row r="791">
      <c r="A791" s="19" t="inlineStr">
        <is>
          <t>Zomba</t>
        </is>
      </c>
      <c r="B791" s="19" t="inlineStr">
        <is>
          <t>Namadzi</t>
        </is>
      </c>
      <c r="C791" s="6" t="inlineStr">
        <is>
          <t>Cost of Chemicals (MWK)</t>
        </is>
      </c>
      <c r="D791" s="20">
        <f>IFERROR(SUMIFS(DataEntry!$AH:$AH,DataEntry!$A:$A,"Zomba",DataEntry!$B:$B,"Namadzi"),"")</f>
        <v/>
      </c>
    </row>
    <row r="792">
      <c r="A792" s="21" t="inlineStr">
        <is>
          <t>Zomba</t>
        </is>
      </c>
      <c r="B792" s="21" t="inlineStr">
        <is>
          <t>Namadzi</t>
        </is>
      </c>
      <c r="C792" s="12" t="inlineStr">
        <is>
          <t>Cost of Power (MWK)</t>
        </is>
      </c>
      <c r="D792" s="22">
        <f>IFERROR(SUMIFS(DataEntry!$AL:$AL,DataEntry!$A:$A,"Zomba",DataEntry!$B:$B,"Namadzi"),"")</f>
        <v/>
      </c>
    </row>
    <row r="793">
      <c r="A793" s="19" t="inlineStr">
        <is>
          <t>Zomba</t>
        </is>
      </c>
      <c r="B793" s="19" t="inlineStr">
        <is>
          <t>Namadzi</t>
        </is>
      </c>
      <c r="C793" s="6" t="inlineStr">
        <is>
          <t>Cost of Fuel (MWK)</t>
        </is>
      </c>
      <c r="D793" s="20">
        <f>IFERROR(SUMIFS(DataEntry!$AP:$AP,DataEntry!$A:$A,"Zomba",DataEntry!$B:$B,"Namadzi"),"")</f>
        <v/>
      </c>
    </row>
    <row r="794">
      <c r="A794" s="21" t="inlineStr">
        <is>
          <t>Zomba</t>
        </is>
      </c>
      <c r="B794" s="21" t="inlineStr">
        <is>
          <t>Namadzi</t>
        </is>
      </c>
      <c r="C794" s="12" t="inlineStr">
        <is>
          <t>Total Operating Costs (MWK)</t>
        </is>
      </c>
      <c r="D794" s="22">
        <f>IFERROR(SUMIFS(DataEntry!$AU:$AU,DataEntry!$A:$A,"Zomba",DataEntry!$B:$B,"Namadzi"),"")</f>
        <v/>
      </c>
    </row>
    <row r="795">
      <c r="A795" s="19" t="inlineStr">
        <is>
          <t>Zomba</t>
        </is>
      </c>
      <c r="B795" s="19" t="inlineStr">
        <is>
          <t>Namadzi</t>
        </is>
      </c>
      <c r="C795" s="6" t="inlineStr">
        <is>
          <t>OpCost per m³ Produced (avg)</t>
        </is>
      </c>
      <c r="D795" s="24">
        <f>IFERROR(AVERAGEIFS(DataEntry!$AV:$AV,DataEntry!$A:$A,"Zomba",DataEntry!$B:$B,"Namadzi"),"")</f>
        <v/>
      </c>
    </row>
    <row r="796">
      <c r="A796" s="21" t="inlineStr">
        <is>
          <t>Zomba</t>
        </is>
      </c>
      <c r="B796" s="21" t="inlineStr">
        <is>
          <t>Namadzi</t>
        </is>
      </c>
      <c r="C796" s="12" t="inlineStr">
        <is>
          <t>Total Cash Collected (MWK)</t>
        </is>
      </c>
      <c r="D796" s="22">
        <f>IFERROR(SUMIFS(DataEntry!$GB:$GB,DataEntry!$A:$A,"Zomba",DataEntry!$B:$B,"Namadzi"),"")</f>
        <v/>
      </c>
    </row>
    <row r="797">
      <c r="A797" s="19" t="inlineStr">
        <is>
          <t>Zomba</t>
        </is>
      </c>
      <c r="B797" s="19" t="inlineStr">
        <is>
          <t>Namadzi</t>
        </is>
      </c>
      <c r="C797" s="6" t="inlineStr">
        <is>
          <t>Total Amount Billed (MWK)</t>
        </is>
      </c>
      <c r="D797" s="20">
        <f>IFERROR(SUMIFS(DataEntry!$GM:$GM,DataEntry!$A:$A,"Zomba",DataEntry!$B:$B,"Namadzi"),"")</f>
        <v/>
      </c>
    </row>
    <row r="798">
      <c r="A798" s="21" t="inlineStr">
        <is>
          <t>Zomba</t>
        </is>
      </c>
      <c r="B798" s="21" t="inlineStr">
        <is>
          <t>Namadzi</t>
        </is>
      </c>
      <c r="C798" s="12" t="inlineStr">
        <is>
          <t>Total Sales (MWK)</t>
        </is>
      </c>
      <c r="D798" s="22">
        <f>IFERROR(SUMIFS(DataEntry!$GX:$GX,DataEntry!$A:$A,"Zomba",DataEntry!$B:$B,"Namadzi"),"")</f>
        <v/>
      </c>
    </row>
    <row r="799">
      <c r="A799" s="19" t="inlineStr">
        <is>
          <t>Zomba</t>
        </is>
      </c>
      <c r="B799" s="19" t="inlineStr">
        <is>
          <t>Namadzi</t>
        </is>
      </c>
      <c r="C799" s="6" t="inlineStr">
        <is>
          <t>Private Debtors (MWK)</t>
        </is>
      </c>
      <c r="D799" s="20">
        <f>IFERROR(SUMIFS(DataEntry!$GY:$GY,DataEntry!$A:$A,"Zomba",DataEntry!$B:$B,"Namadzi"),"")</f>
        <v/>
      </c>
    </row>
    <row r="800">
      <c r="A800" s="21" t="inlineStr">
        <is>
          <t>Zomba</t>
        </is>
      </c>
      <c r="B800" s="21" t="inlineStr">
        <is>
          <t>Namadzi</t>
        </is>
      </c>
      <c r="C800" s="12" t="inlineStr">
        <is>
          <t>Public Debtors (MWK)</t>
        </is>
      </c>
      <c r="D800" s="22">
        <f>IFERROR(SUMIFS(DataEntry!$GZ:$GZ,DataEntry!$A:$A,"Zomba",DataEntry!$B:$B,"Namadzi"),"")</f>
        <v/>
      </c>
    </row>
    <row r="801">
      <c r="A801" s="19" t="inlineStr">
        <is>
          <t>Zomba</t>
        </is>
      </c>
      <c r="B801" s="19" t="inlineStr">
        <is>
          <t>Namadzi</t>
        </is>
      </c>
      <c r="C801" s="6" t="inlineStr">
        <is>
          <t>Total Debtors (MWK)</t>
        </is>
      </c>
      <c r="D801" s="20">
        <f>IFERROR(SUMIFS(DataEntry!$HA:$HA,DataEntry!$A:$A,"Zomba",DataEntry!$B:$B,"Namadzi"),"")</f>
        <v/>
      </c>
    </row>
    <row r="802">
      <c r="A802" s="21" t="inlineStr">
        <is>
          <t>Zomba</t>
        </is>
      </c>
      <c r="B802" s="21" t="inlineStr">
        <is>
          <t>Namadzi</t>
        </is>
      </c>
      <c r="C802" s="12" t="inlineStr">
        <is>
          <t>Cash Collection Rate (avg)</t>
        </is>
      </c>
      <c r="D802" s="23">
        <f>IFERROR(AVERAGEIFS(DataEntry!$HC:$HC,DataEntry!$A:$A,"Zomba",DataEntry!$B:$B,"Namadzi"),"")</f>
        <v/>
      </c>
    </row>
    <row r="803">
      <c r="A803" s="19" t="inlineStr">
        <is>
          <t>Zomba</t>
        </is>
      </c>
      <c r="B803" s="19" t="inlineStr">
        <is>
          <t>Namadzi</t>
        </is>
      </c>
      <c r="C803" s="6" t="inlineStr">
        <is>
          <t>OpCost / Sales (avg)</t>
        </is>
      </c>
      <c r="D803" s="24">
        <f>IFERROR(AVERAGEIFS(DataEntry!$HB:$HB,DataEntry!$A:$A,"Zomba",DataEntry!$B:$B,"Namadzi"),"")</f>
        <v/>
      </c>
    </row>
    <row r="804">
      <c r="A804" s="21" t="inlineStr">
        <is>
          <t>Zomba</t>
        </is>
      </c>
      <c r="B804" s="21" t="inlineStr">
        <is>
          <t>Namadzi</t>
        </is>
      </c>
      <c r="C804" s="12" t="inlineStr">
        <is>
          <t>Total Active Customers (end)</t>
        </is>
      </c>
      <c r="D804" s="22">
        <f>IFERROR(SUMIFS(DataEntry!$CS:$CS,DataEntry!$A:$A,"Zomba",DataEntry!$B:$B,"Namadzi"),"")</f>
        <v/>
      </c>
    </row>
    <row r="805">
      <c r="A805" s="19" t="inlineStr">
        <is>
          <t>Zomba</t>
        </is>
      </c>
      <c r="B805" s="19" t="inlineStr">
        <is>
          <t>Namadzi</t>
        </is>
      </c>
      <c r="C805" s="6" t="inlineStr">
        <is>
          <t>Total Metered Consumers (end)</t>
        </is>
      </c>
      <c r="D805" s="20">
        <f>IFERROR(SUMIFS(DataEntry!$CT:$CT,DataEntry!$A:$A,"Zomba",DataEntry!$B:$B,"Namadzi"),"")</f>
        <v/>
      </c>
    </row>
    <row r="806">
      <c r="A806" s="21" t="inlineStr">
        <is>
          <t>Zomba</t>
        </is>
      </c>
      <c r="B806" s="21" t="inlineStr">
        <is>
          <t>Namadzi</t>
        </is>
      </c>
      <c r="C806" s="12" t="inlineStr">
        <is>
          <t>Population Supplied (end)</t>
        </is>
      </c>
      <c r="D806" s="22">
        <f>IFERROR(SUMIFS(DataEntry!$CV:$CV,DataEntry!$A:$A,"Zomba",DataEntry!$B:$B,"Namadzi"),"")</f>
        <v/>
      </c>
    </row>
    <row r="807">
      <c r="A807" s="19" t="inlineStr">
        <is>
          <t>Zomba</t>
        </is>
      </c>
      <c r="B807" s="19" t="inlineStr">
        <is>
          <t>Namadzi</t>
        </is>
      </c>
      <c r="C807" s="6" t="inlineStr">
        <is>
          <t>% Population Supplied (avg)</t>
        </is>
      </c>
      <c r="D807" s="24">
        <f>IFERROR(AVERAGEIFS(DataEntry!$CW:$CW,DataEntry!$A:$A,"Zomba",DataEntry!$B:$B,"Namadzi"),"")</f>
        <v/>
      </c>
    </row>
    <row r="808">
      <c r="A808" s="21" t="inlineStr">
        <is>
          <t>Zomba</t>
        </is>
      </c>
      <c r="B808" s="21" t="inlineStr">
        <is>
          <t>Namadzi</t>
        </is>
      </c>
      <c r="C808" s="12" t="inlineStr">
        <is>
          <t>New Connections Total Done</t>
        </is>
      </c>
      <c r="D808" s="22">
        <f>IFERROR(SUMIFS(DataEntry!$CA:$CA,DataEntry!$A:$A,"Zomba",DataEntry!$B:$B,"Namadzi"),"")</f>
        <v/>
      </c>
    </row>
    <row r="809">
      <c r="A809" s="19" t="inlineStr">
        <is>
          <t>Zomba</t>
        </is>
      </c>
      <c r="B809" s="19" t="inlineStr">
        <is>
          <t>Namadzi</t>
        </is>
      </c>
      <c r="C809" s="6" t="inlineStr">
        <is>
          <t>Stuck Meters Carried Fwd</t>
        </is>
      </c>
      <c r="D809" s="20">
        <f>IFERROR(SUMIFS(DataEntry!$DV:$DV,DataEntry!$A:$A,"Zomba",DataEntry!$B:$B,"Namadzi"),"")</f>
        <v/>
      </c>
    </row>
    <row r="810">
      <c r="A810" s="21" t="inlineStr">
        <is>
          <t>Zomba</t>
        </is>
      </c>
      <c r="B810" s="21" t="inlineStr">
        <is>
          <t>Namadzi</t>
        </is>
      </c>
      <c r="C810" s="12" t="inlineStr">
        <is>
          <t>Total Pipe Breakdowns</t>
        </is>
      </c>
      <c r="D810" s="22">
        <f>IFERROR(SUMIFS(DataEntry!$FG:$FG,DataEntry!$A:$A,"Zomba",DataEntry!$B:$B,"Namadzi"),"")</f>
        <v/>
      </c>
    </row>
    <row r="811">
      <c r="A811" s="19" t="inlineStr">
        <is>
          <t>Zomba</t>
        </is>
      </c>
      <c r="B811" s="19" t="inlineStr">
        <is>
          <t>Namadzi</t>
        </is>
      </c>
      <c r="C811" s="6" t="inlineStr">
        <is>
          <t>Connectivity Rate (avg)</t>
        </is>
      </c>
      <c r="D811" s="24">
        <f>IFERROR(AVERAGEIFS(DataEntry!$HK:$HK,DataEntry!$A:$A,"Zomba",DataEntry!$B:$B,"Namadzi"),"")</f>
        <v/>
      </c>
    </row>
    <row r="812">
      <c r="A812" s="21" t="inlineStr">
        <is>
          <t>Zomba</t>
        </is>
      </c>
      <c r="B812" s="21" t="inlineStr">
        <is>
          <t>Namadzi</t>
        </is>
      </c>
      <c r="C812" s="12" t="inlineStr">
        <is>
          <t>Response Time avg (days)</t>
        </is>
      </c>
      <c r="D812" s="23">
        <f>IFERROR(AVERAGEIFS(DataEntry!$HN:$HN,DataEntry!$A:$A,"Zomba",DataEntry!$B:$B,"Namadzi"),"")</f>
        <v/>
      </c>
    </row>
    <row r="813">
      <c r="A813" s="19" t="inlineStr">
        <is>
          <t>Zomba</t>
        </is>
      </c>
      <c r="B813" s="19" t="inlineStr">
        <is>
          <t>Neno</t>
        </is>
      </c>
      <c r="C813" s="6" t="inlineStr">
        <is>
          <t>Volume Produced (m³)</t>
        </is>
      </c>
      <c r="D813" s="20">
        <f>IFERROR(SUMIFS(DataEntry!$H:$H,DataEntry!$A:$A,"Zomba",DataEntry!$B:$B,"Neno"),"")</f>
        <v/>
      </c>
    </row>
    <row r="814">
      <c r="A814" s="21" t="inlineStr">
        <is>
          <t>Zomba</t>
        </is>
      </c>
      <c r="B814" s="21" t="inlineStr">
        <is>
          <t>Neno</t>
        </is>
      </c>
      <c r="C814" s="12" t="inlineStr">
        <is>
          <t>Total Revenue Water (m³)</t>
        </is>
      </c>
      <c r="D814" s="22">
        <f>IFERROR(SUMIFS(DataEntry!$S:$S,DataEntry!$A:$A,"Zomba",DataEntry!$B:$B,"Neno"),"")</f>
        <v/>
      </c>
    </row>
    <row r="815">
      <c r="A815" s="19" t="inlineStr">
        <is>
          <t>Zomba</t>
        </is>
      </c>
      <c r="B815" s="19" t="inlineStr">
        <is>
          <t>Neno</t>
        </is>
      </c>
      <c r="C815" s="6" t="inlineStr">
        <is>
          <t>Non-Revenue Water (m³)</t>
        </is>
      </c>
      <c r="D815" s="20">
        <f>IFERROR(SUMIFS(DataEntry!$T:$T,DataEntry!$A:$A,"Zomba",DataEntry!$B:$B,"Neno"),"")</f>
        <v/>
      </c>
    </row>
    <row r="816">
      <c r="A816" s="21" t="inlineStr">
        <is>
          <t>Zomba</t>
        </is>
      </c>
      <c r="B816" s="21" t="inlineStr">
        <is>
          <t>Neno</t>
        </is>
      </c>
      <c r="C816" s="12" t="inlineStr">
        <is>
          <t>% NRW (avg)</t>
        </is>
      </c>
      <c r="D816" s="23">
        <f>IFERROR(AVERAGEIFS(DataEntry!$U:$U,DataEntry!$A:$A,"Zomba",DataEntry!$B:$B,"Neno"),"")</f>
        <v/>
      </c>
    </row>
    <row r="817">
      <c r="A817" s="19" t="inlineStr">
        <is>
          <t>Zomba</t>
        </is>
      </c>
      <c r="B817" s="19" t="inlineStr">
        <is>
          <t>Neno</t>
        </is>
      </c>
      <c r="C817" s="6" t="inlineStr">
        <is>
          <t>Chlorine Used (kg)</t>
        </is>
      </c>
      <c r="D817" s="20">
        <f>IFERROR(SUMIFS(DataEntry!$V:$V,DataEntry!$A:$A,"Zomba",DataEntry!$B:$B,"Neno"),"")</f>
        <v/>
      </c>
    </row>
    <row r="818">
      <c r="A818" s="21" t="inlineStr">
        <is>
          <t>Zomba</t>
        </is>
      </c>
      <c r="B818" s="21" t="inlineStr">
        <is>
          <t>Neno</t>
        </is>
      </c>
      <c r="C818" s="12" t="inlineStr">
        <is>
          <t>Cost of Chemicals (MWK)</t>
        </is>
      </c>
      <c r="D818" s="22">
        <f>IFERROR(SUMIFS(DataEntry!$AH:$AH,DataEntry!$A:$A,"Zomba",DataEntry!$B:$B,"Neno"),"")</f>
        <v/>
      </c>
    </row>
    <row r="819">
      <c r="A819" s="19" t="inlineStr">
        <is>
          <t>Zomba</t>
        </is>
      </c>
      <c r="B819" s="19" t="inlineStr">
        <is>
          <t>Neno</t>
        </is>
      </c>
      <c r="C819" s="6" t="inlineStr">
        <is>
          <t>Cost of Power (MWK)</t>
        </is>
      </c>
      <c r="D819" s="20">
        <f>IFERROR(SUMIFS(DataEntry!$AL:$AL,DataEntry!$A:$A,"Zomba",DataEntry!$B:$B,"Neno"),"")</f>
        <v/>
      </c>
    </row>
    <row r="820">
      <c r="A820" s="21" t="inlineStr">
        <is>
          <t>Zomba</t>
        </is>
      </c>
      <c r="B820" s="21" t="inlineStr">
        <is>
          <t>Neno</t>
        </is>
      </c>
      <c r="C820" s="12" t="inlineStr">
        <is>
          <t>Cost of Fuel (MWK)</t>
        </is>
      </c>
      <c r="D820" s="22">
        <f>IFERROR(SUMIFS(DataEntry!$AP:$AP,DataEntry!$A:$A,"Zomba",DataEntry!$B:$B,"Neno"),"")</f>
        <v/>
      </c>
    </row>
    <row r="821">
      <c r="A821" s="19" t="inlineStr">
        <is>
          <t>Zomba</t>
        </is>
      </c>
      <c r="B821" s="19" t="inlineStr">
        <is>
          <t>Neno</t>
        </is>
      </c>
      <c r="C821" s="6" t="inlineStr">
        <is>
          <t>Total Operating Costs (MWK)</t>
        </is>
      </c>
      <c r="D821" s="20">
        <f>IFERROR(SUMIFS(DataEntry!$AU:$AU,DataEntry!$A:$A,"Zomba",DataEntry!$B:$B,"Neno"),"")</f>
        <v/>
      </c>
    </row>
    <row r="822">
      <c r="A822" s="21" t="inlineStr">
        <is>
          <t>Zomba</t>
        </is>
      </c>
      <c r="B822" s="21" t="inlineStr">
        <is>
          <t>Neno</t>
        </is>
      </c>
      <c r="C822" s="12" t="inlineStr">
        <is>
          <t>OpCost per m³ Produced (avg)</t>
        </is>
      </c>
      <c r="D822" s="23">
        <f>IFERROR(AVERAGEIFS(DataEntry!$AV:$AV,DataEntry!$A:$A,"Zomba",DataEntry!$B:$B,"Neno"),"")</f>
        <v/>
      </c>
    </row>
    <row r="823">
      <c r="A823" s="19" t="inlineStr">
        <is>
          <t>Zomba</t>
        </is>
      </c>
      <c r="B823" s="19" t="inlineStr">
        <is>
          <t>Neno</t>
        </is>
      </c>
      <c r="C823" s="6" t="inlineStr">
        <is>
          <t>Total Cash Collected (MWK)</t>
        </is>
      </c>
      <c r="D823" s="20">
        <f>IFERROR(SUMIFS(DataEntry!$GB:$GB,DataEntry!$A:$A,"Zomba",DataEntry!$B:$B,"Neno"),"")</f>
        <v/>
      </c>
    </row>
    <row r="824">
      <c r="A824" s="21" t="inlineStr">
        <is>
          <t>Zomba</t>
        </is>
      </c>
      <c r="B824" s="21" t="inlineStr">
        <is>
          <t>Neno</t>
        </is>
      </c>
      <c r="C824" s="12" t="inlineStr">
        <is>
          <t>Total Amount Billed (MWK)</t>
        </is>
      </c>
      <c r="D824" s="22">
        <f>IFERROR(SUMIFS(DataEntry!$GM:$GM,DataEntry!$A:$A,"Zomba",DataEntry!$B:$B,"Neno"),"")</f>
        <v/>
      </c>
    </row>
    <row r="825">
      <c r="A825" s="19" t="inlineStr">
        <is>
          <t>Zomba</t>
        </is>
      </c>
      <c r="B825" s="19" t="inlineStr">
        <is>
          <t>Neno</t>
        </is>
      </c>
      <c r="C825" s="6" t="inlineStr">
        <is>
          <t>Total Sales (MWK)</t>
        </is>
      </c>
      <c r="D825" s="20">
        <f>IFERROR(SUMIFS(DataEntry!$GX:$GX,DataEntry!$A:$A,"Zomba",DataEntry!$B:$B,"Neno"),"")</f>
        <v/>
      </c>
    </row>
    <row r="826">
      <c r="A826" s="21" t="inlineStr">
        <is>
          <t>Zomba</t>
        </is>
      </c>
      <c r="B826" s="21" t="inlineStr">
        <is>
          <t>Neno</t>
        </is>
      </c>
      <c r="C826" s="12" t="inlineStr">
        <is>
          <t>Private Debtors (MWK)</t>
        </is>
      </c>
      <c r="D826" s="22">
        <f>IFERROR(SUMIFS(DataEntry!$GY:$GY,DataEntry!$A:$A,"Zomba",DataEntry!$B:$B,"Neno"),"")</f>
        <v/>
      </c>
    </row>
    <row r="827">
      <c r="A827" s="19" t="inlineStr">
        <is>
          <t>Zomba</t>
        </is>
      </c>
      <c r="B827" s="19" t="inlineStr">
        <is>
          <t>Neno</t>
        </is>
      </c>
      <c r="C827" s="6" t="inlineStr">
        <is>
          <t>Public Debtors (MWK)</t>
        </is>
      </c>
      <c r="D827" s="20">
        <f>IFERROR(SUMIFS(DataEntry!$GZ:$GZ,DataEntry!$A:$A,"Zomba",DataEntry!$B:$B,"Neno"),"")</f>
        <v/>
      </c>
    </row>
    <row r="828">
      <c r="A828" s="21" t="inlineStr">
        <is>
          <t>Zomba</t>
        </is>
      </c>
      <c r="B828" s="21" t="inlineStr">
        <is>
          <t>Neno</t>
        </is>
      </c>
      <c r="C828" s="12" t="inlineStr">
        <is>
          <t>Total Debtors (MWK)</t>
        </is>
      </c>
      <c r="D828" s="22">
        <f>IFERROR(SUMIFS(DataEntry!$HA:$HA,DataEntry!$A:$A,"Zomba",DataEntry!$B:$B,"Neno"),"")</f>
        <v/>
      </c>
    </row>
    <row r="829">
      <c r="A829" s="19" t="inlineStr">
        <is>
          <t>Zomba</t>
        </is>
      </c>
      <c r="B829" s="19" t="inlineStr">
        <is>
          <t>Neno</t>
        </is>
      </c>
      <c r="C829" s="6" t="inlineStr">
        <is>
          <t>Cash Collection Rate (avg)</t>
        </is>
      </c>
      <c r="D829" s="24">
        <f>IFERROR(AVERAGEIFS(DataEntry!$HC:$HC,DataEntry!$A:$A,"Zomba",DataEntry!$B:$B,"Neno"),"")</f>
        <v/>
      </c>
    </row>
    <row r="830">
      <c r="A830" s="21" t="inlineStr">
        <is>
          <t>Zomba</t>
        </is>
      </c>
      <c r="B830" s="21" t="inlineStr">
        <is>
          <t>Neno</t>
        </is>
      </c>
      <c r="C830" s="12" t="inlineStr">
        <is>
          <t>OpCost / Sales (avg)</t>
        </is>
      </c>
      <c r="D830" s="23">
        <f>IFERROR(AVERAGEIFS(DataEntry!$HB:$HB,DataEntry!$A:$A,"Zomba",DataEntry!$B:$B,"Neno"),"")</f>
        <v/>
      </c>
    </row>
    <row r="831">
      <c r="A831" s="19" t="inlineStr">
        <is>
          <t>Zomba</t>
        </is>
      </c>
      <c r="B831" s="19" t="inlineStr">
        <is>
          <t>Neno</t>
        </is>
      </c>
      <c r="C831" s="6" t="inlineStr">
        <is>
          <t>Total Active Customers (end)</t>
        </is>
      </c>
      <c r="D831" s="20">
        <f>IFERROR(SUMIFS(DataEntry!$CS:$CS,DataEntry!$A:$A,"Zomba",DataEntry!$B:$B,"Neno"),"")</f>
        <v/>
      </c>
    </row>
    <row r="832">
      <c r="A832" s="21" t="inlineStr">
        <is>
          <t>Zomba</t>
        </is>
      </c>
      <c r="B832" s="21" t="inlineStr">
        <is>
          <t>Neno</t>
        </is>
      </c>
      <c r="C832" s="12" t="inlineStr">
        <is>
          <t>Total Metered Consumers (end)</t>
        </is>
      </c>
      <c r="D832" s="22">
        <f>IFERROR(SUMIFS(DataEntry!$CT:$CT,DataEntry!$A:$A,"Zomba",DataEntry!$B:$B,"Neno"),"")</f>
        <v/>
      </c>
    </row>
    <row r="833">
      <c r="A833" s="19" t="inlineStr">
        <is>
          <t>Zomba</t>
        </is>
      </c>
      <c r="B833" s="19" t="inlineStr">
        <is>
          <t>Neno</t>
        </is>
      </c>
      <c r="C833" s="6" t="inlineStr">
        <is>
          <t>Population Supplied (end)</t>
        </is>
      </c>
      <c r="D833" s="20">
        <f>IFERROR(SUMIFS(DataEntry!$CV:$CV,DataEntry!$A:$A,"Zomba",DataEntry!$B:$B,"Neno"),"")</f>
        <v/>
      </c>
    </row>
    <row r="834">
      <c r="A834" s="21" t="inlineStr">
        <is>
          <t>Zomba</t>
        </is>
      </c>
      <c r="B834" s="21" t="inlineStr">
        <is>
          <t>Neno</t>
        </is>
      </c>
      <c r="C834" s="12" t="inlineStr">
        <is>
          <t>% Population Supplied (avg)</t>
        </is>
      </c>
      <c r="D834" s="23">
        <f>IFERROR(AVERAGEIFS(DataEntry!$CW:$CW,DataEntry!$A:$A,"Zomba",DataEntry!$B:$B,"Neno"),"")</f>
        <v/>
      </c>
    </row>
    <row r="835">
      <c r="A835" s="19" t="inlineStr">
        <is>
          <t>Zomba</t>
        </is>
      </c>
      <c r="B835" s="19" t="inlineStr">
        <is>
          <t>Neno</t>
        </is>
      </c>
      <c r="C835" s="6" t="inlineStr">
        <is>
          <t>New Connections Total Done</t>
        </is>
      </c>
      <c r="D835" s="20">
        <f>IFERROR(SUMIFS(DataEntry!$CA:$CA,DataEntry!$A:$A,"Zomba",DataEntry!$B:$B,"Neno"),"")</f>
        <v/>
      </c>
    </row>
    <row r="836">
      <c r="A836" s="21" t="inlineStr">
        <is>
          <t>Zomba</t>
        </is>
      </c>
      <c r="B836" s="21" t="inlineStr">
        <is>
          <t>Neno</t>
        </is>
      </c>
      <c r="C836" s="12" t="inlineStr">
        <is>
          <t>Stuck Meters Carried Fwd</t>
        </is>
      </c>
      <c r="D836" s="22">
        <f>IFERROR(SUMIFS(DataEntry!$DV:$DV,DataEntry!$A:$A,"Zomba",DataEntry!$B:$B,"Neno"),"")</f>
        <v/>
      </c>
    </row>
    <row r="837">
      <c r="A837" s="19" t="inlineStr">
        <is>
          <t>Zomba</t>
        </is>
      </c>
      <c r="B837" s="19" t="inlineStr">
        <is>
          <t>Neno</t>
        </is>
      </c>
      <c r="C837" s="6" t="inlineStr">
        <is>
          <t>Total Pipe Breakdowns</t>
        </is>
      </c>
      <c r="D837" s="20">
        <f>IFERROR(SUMIFS(DataEntry!$FG:$FG,DataEntry!$A:$A,"Zomba",DataEntry!$B:$B,"Neno"),"")</f>
        <v/>
      </c>
    </row>
    <row r="838">
      <c r="A838" s="21" t="inlineStr">
        <is>
          <t>Zomba</t>
        </is>
      </c>
      <c r="B838" s="21" t="inlineStr">
        <is>
          <t>Neno</t>
        </is>
      </c>
      <c r="C838" s="12" t="inlineStr">
        <is>
          <t>Connectivity Rate (avg)</t>
        </is>
      </c>
      <c r="D838" s="23">
        <f>IFERROR(AVERAGEIFS(DataEntry!$HK:$HK,DataEntry!$A:$A,"Zomba",DataEntry!$B:$B,"Neno"),"")</f>
        <v/>
      </c>
    </row>
    <row r="839">
      <c r="A839" s="19" t="inlineStr">
        <is>
          <t>Zomba</t>
        </is>
      </c>
      <c r="B839" s="19" t="inlineStr">
        <is>
          <t>Neno</t>
        </is>
      </c>
      <c r="C839" s="6" t="inlineStr">
        <is>
          <t>Response Time avg (days)</t>
        </is>
      </c>
      <c r="D839" s="24">
        <f>IFERROR(AVERAGEIFS(DataEntry!$HN:$HN,DataEntry!$A:$A,"Zomba",DataEntry!$B:$B,"Neno"),"")</f>
        <v/>
      </c>
    </row>
    <row r="840">
      <c r="A840" s="21" t="inlineStr">
        <is>
          <t>Zomba</t>
        </is>
      </c>
      <c r="B840" s="21" t="inlineStr">
        <is>
          <t>Thondwe</t>
        </is>
      </c>
      <c r="C840" s="12" t="inlineStr">
        <is>
          <t>Volume Produced (m³)</t>
        </is>
      </c>
      <c r="D840" s="22">
        <f>IFERROR(SUMIFS(DataEntry!$H:$H,DataEntry!$A:$A,"Zomba",DataEntry!$B:$B,"Thondwe"),"")</f>
        <v/>
      </c>
    </row>
    <row r="841">
      <c r="A841" s="19" t="inlineStr">
        <is>
          <t>Zomba</t>
        </is>
      </c>
      <c r="B841" s="19" t="inlineStr">
        <is>
          <t>Thondwe</t>
        </is>
      </c>
      <c r="C841" s="6" t="inlineStr">
        <is>
          <t>Total Revenue Water (m³)</t>
        </is>
      </c>
      <c r="D841" s="20">
        <f>IFERROR(SUMIFS(DataEntry!$S:$S,DataEntry!$A:$A,"Zomba",DataEntry!$B:$B,"Thondwe"),"")</f>
        <v/>
      </c>
    </row>
    <row r="842">
      <c r="A842" s="21" t="inlineStr">
        <is>
          <t>Zomba</t>
        </is>
      </c>
      <c r="B842" s="21" t="inlineStr">
        <is>
          <t>Thondwe</t>
        </is>
      </c>
      <c r="C842" s="12" t="inlineStr">
        <is>
          <t>Non-Revenue Water (m³)</t>
        </is>
      </c>
      <c r="D842" s="22">
        <f>IFERROR(SUMIFS(DataEntry!$T:$T,DataEntry!$A:$A,"Zomba",DataEntry!$B:$B,"Thondwe"),"")</f>
        <v/>
      </c>
    </row>
    <row r="843">
      <c r="A843" s="19" t="inlineStr">
        <is>
          <t>Zomba</t>
        </is>
      </c>
      <c r="B843" s="19" t="inlineStr">
        <is>
          <t>Thondwe</t>
        </is>
      </c>
      <c r="C843" s="6" t="inlineStr">
        <is>
          <t>% NRW (avg)</t>
        </is>
      </c>
      <c r="D843" s="24">
        <f>IFERROR(AVERAGEIFS(DataEntry!$U:$U,DataEntry!$A:$A,"Zomba",DataEntry!$B:$B,"Thondwe"),"")</f>
        <v/>
      </c>
    </row>
    <row r="844">
      <c r="A844" s="21" t="inlineStr">
        <is>
          <t>Zomba</t>
        </is>
      </c>
      <c r="B844" s="21" t="inlineStr">
        <is>
          <t>Thondwe</t>
        </is>
      </c>
      <c r="C844" s="12" t="inlineStr">
        <is>
          <t>Chlorine Used (kg)</t>
        </is>
      </c>
      <c r="D844" s="22">
        <f>IFERROR(SUMIFS(DataEntry!$V:$V,DataEntry!$A:$A,"Zomba",DataEntry!$B:$B,"Thondwe"),"")</f>
        <v/>
      </c>
    </row>
    <row r="845">
      <c r="A845" s="19" t="inlineStr">
        <is>
          <t>Zomba</t>
        </is>
      </c>
      <c r="B845" s="19" t="inlineStr">
        <is>
          <t>Thondwe</t>
        </is>
      </c>
      <c r="C845" s="6" t="inlineStr">
        <is>
          <t>Cost of Chemicals (MWK)</t>
        </is>
      </c>
      <c r="D845" s="20">
        <f>IFERROR(SUMIFS(DataEntry!$AH:$AH,DataEntry!$A:$A,"Zomba",DataEntry!$B:$B,"Thondwe"),"")</f>
        <v/>
      </c>
    </row>
    <row r="846">
      <c r="A846" s="21" t="inlineStr">
        <is>
          <t>Zomba</t>
        </is>
      </c>
      <c r="B846" s="21" t="inlineStr">
        <is>
          <t>Thondwe</t>
        </is>
      </c>
      <c r="C846" s="12" t="inlineStr">
        <is>
          <t>Cost of Power (MWK)</t>
        </is>
      </c>
      <c r="D846" s="22">
        <f>IFERROR(SUMIFS(DataEntry!$AL:$AL,DataEntry!$A:$A,"Zomba",DataEntry!$B:$B,"Thondwe"),"")</f>
        <v/>
      </c>
    </row>
    <row r="847">
      <c r="A847" s="19" t="inlineStr">
        <is>
          <t>Zomba</t>
        </is>
      </c>
      <c r="B847" s="19" t="inlineStr">
        <is>
          <t>Thondwe</t>
        </is>
      </c>
      <c r="C847" s="6" t="inlineStr">
        <is>
          <t>Cost of Fuel (MWK)</t>
        </is>
      </c>
      <c r="D847" s="20">
        <f>IFERROR(SUMIFS(DataEntry!$AP:$AP,DataEntry!$A:$A,"Zomba",DataEntry!$B:$B,"Thondwe"),"")</f>
        <v/>
      </c>
    </row>
    <row r="848">
      <c r="A848" s="21" t="inlineStr">
        <is>
          <t>Zomba</t>
        </is>
      </c>
      <c r="B848" s="21" t="inlineStr">
        <is>
          <t>Thondwe</t>
        </is>
      </c>
      <c r="C848" s="12" t="inlineStr">
        <is>
          <t>Total Operating Costs (MWK)</t>
        </is>
      </c>
      <c r="D848" s="22">
        <f>IFERROR(SUMIFS(DataEntry!$AU:$AU,DataEntry!$A:$A,"Zomba",DataEntry!$B:$B,"Thondwe"),"")</f>
        <v/>
      </c>
    </row>
    <row r="849">
      <c r="A849" s="19" t="inlineStr">
        <is>
          <t>Zomba</t>
        </is>
      </c>
      <c r="B849" s="19" t="inlineStr">
        <is>
          <t>Thondwe</t>
        </is>
      </c>
      <c r="C849" s="6" t="inlineStr">
        <is>
          <t>OpCost per m³ Produced (avg)</t>
        </is>
      </c>
      <c r="D849" s="24">
        <f>IFERROR(AVERAGEIFS(DataEntry!$AV:$AV,DataEntry!$A:$A,"Zomba",DataEntry!$B:$B,"Thondwe"),"")</f>
        <v/>
      </c>
    </row>
    <row r="850">
      <c r="A850" s="21" t="inlineStr">
        <is>
          <t>Zomba</t>
        </is>
      </c>
      <c r="B850" s="21" t="inlineStr">
        <is>
          <t>Thondwe</t>
        </is>
      </c>
      <c r="C850" s="12" t="inlineStr">
        <is>
          <t>Total Cash Collected (MWK)</t>
        </is>
      </c>
      <c r="D850" s="22">
        <f>IFERROR(SUMIFS(DataEntry!$GB:$GB,DataEntry!$A:$A,"Zomba",DataEntry!$B:$B,"Thondwe"),"")</f>
        <v/>
      </c>
    </row>
    <row r="851">
      <c r="A851" s="19" t="inlineStr">
        <is>
          <t>Zomba</t>
        </is>
      </c>
      <c r="B851" s="19" t="inlineStr">
        <is>
          <t>Thondwe</t>
        </is>
      </c>
      <c r="C851" s="6" t="inlineStr">
        <is>
          <t>Total Amount Billed (MWK)</t>
        </is>
      </c>
      <c r="D851" s="20">
        <f>IFERROR(SUMIFS(DataEntry!$GM:$GM,DataEntry!$A:$A,"Zomba",DataEntry!$B:$B,"Thondwe"),"")</f>
        <v/>
      </c>
    </row>
    <row r="852">
      <c r="A852" s="21" t="inlineStr">
        <is>
          <t>Zomba</t>
        </is>
      </c>
      <c r="B852" s="21" t="inlineStr">
        <is>
          <t>Thondwe</t>
        </is>
      </c>
      <c r="C852" s="12" t="inlineStr">
        <is>
          <t>Total Sales (MWK)</t>
        </is>
      </c>
      <c r="D852" s="22">
        <f>IFERROR(SUMIFS(DataEntry!$GX:$GX,DataEntry!$A:$A,"Zomba",DataEntry!$B:$B,"Thondwe"),"")</f>
        <v/>
      </c>
    </row>
    <row r="853">
      <c r="A853" s="19" t="inlineStr">
        <is>
          <t>Zomba</t>
        </is>
      </c>
      <c r="B853" s="19" t="inlineStr">
        <is>
          <t>Thondwe</t>
        </is>
      </c>
      <c r="C853" s="6" t="inlineStr">
        <is>
          <t>Private Debtors (MWK)</t>
        </is>
      </c>
      <c r="D853" s="20">
        <f>IFERROR(SUMIFS(DataEntry!$GY:$GY,DataEntry!$A:$A,"Zomba",DataEntry!$B:$B,"Thondwe"),"")</f>
        <v/>
      </c>
    </row>
    <row r="854">
      <c r="A854" s="21" t="inlineStr">
        <is>
          <t>Zomba</t>
        </is>
      </c>
      <c r="B854" s="21" t="inlineStr">
        <is>
          <t>Thondwe</t>
        </is>
      </c>
      <c r="C854" s="12" t="inlineStr">
        <is>
          <t>Public Debtors (MWK)</t>
        </is>
      </c>
      <c r="D854" s="22">
        <f>IFERROR(SUMIFS(DataEntry!$GZ:$GZ,DataEntry!$A:$A,"Zomba",DataEntry!$B:$B,"Thondwe"),"")</f>
        <v/>
      </c>
    </row>
    <row r="855">
      <c r="A855" s="19" t="inlineStr">
        <is>
          <t>Zomba</t>
        </is>
      </c>
      <c r="B855" s="19" t="inlineStr">
        <is>
          <t>Thondwe</t>
        </is>
      </c>
      <c r="C855" s="6" t="inlineStr">
        <is>
          <t>Total Debtors (MWK)</t>
        </is>
      </c>
      <c r="D855" s="20">
        <f>IFERROR(SUMIFS(DataEntry!$HA:$HA,DataEntry!$A:$A,"Zomba",DataEntry!$B:$B,"Thondwe"),"")</f>
        <v/>
      </c>
    </row>
    <row r="856">
      <c r="A856" s="21" t="inlineStr">
        <is>
          <t>Zomba</t>
        </is>
      </c>
      <c r="B856" s="21" t="inlineStr">
        <is>
          <t>Thondwe</t>
        </is>
      </c>
      <c r="C856" s="12" t="inlineStr">
        <is>
          <t>Cash Collection Rate (avg)</t>
        </is>
      </c>
      <c r="D856" s="23">
        <f>IFERROR(AVERAGEIFS(DataEntry!$HC:$HC,DataEntry!$A:$A,"Zomba",DataEntry!$B:$B,"Thondwe"),"")</f>
        <v/>
      </c>
    </row>
    <row r="857">
      <c r="A857" s="19" t="inlineStr">
        <is>
          <t>Zomba</t>
        </is>
      </c>
      <c r="B857" s="19" t="inlineStr">
        <is>
          <t>Thondwe</t>
        </is>
      </c>
      <c r="C857" s="6" t="inlineStr">
        <is>
          <t>OpCost / Sales (avg)</t>
        </is>
      </c>
      <c r="D857" s="24">
        <f>IFERROR(AVERAGEIFS(DataEntry!$HB:$HB,DataEntry!$A:$A,"Zomba",DataEntry!$B:$B,"Thondwe"),"")</f>
        <v/>
      </c>
    </row>
    <row r="858">
      <c r="A858" s="21" t="inlineStr">
        <is>
          <t>Zomba</t>
        </is>
      </c>
      <c r="B858" s="21" t="inlineStr">
        <is>
          <t>Thondwe</t>
        </is>
      </c>
      <c r="C858" s="12" t="inlineStr">
        <is>
          <t>Total Active Customers (end)</t>
        </is>
      </c>
      <c r="D858" s="22">
        <f>IFERROR(SUMIFS(DataEntry!$CS:$CS,DataEntry!$A:$A,"Zomba",DataEntry!$B:$B,"Thondwe"),"")</f>
        <v/>
      </c>
    </row>
    <row r="859">
      <c r="A859" s="19" t="inlineStr">
        <is>
          <t>Zomba</t>
        </is>
      </c>
      <c r="B859" s="19" t="inlineStr">
        <is>
          <t>Thondwe</t>
        </is>
      </c>
      <c r="C859" s="6" t="inlineStr">
        <is>
          <t>Total Metered Consumers (end)</t>
        </is>
      </c>
      <c r="D859" s="20">
        <f>IFERROR(SUMIFS(DataEntry!$CT:$CT,DataEntry!$A:$A,"Zomba",DataEntry!$B:$B,"Thondwe"),"")</f>
        <v/>
      </c>
    </row>
    <row r="860">
      <c r="A860" s="21" t="inlineStr">
        <is>
          <t>Zomba</t>
        </is>
      </c>
      <c r="B860" s="21" t="inlineStr">
        <is>
          <t>Thondwe</t>
        </is>
      </c>
      <c r="C860" s="12" t="inlineStr">
        <is>
          <t>Population Supplied (end)</t>
        </is>
      </c>
      <c r="D860" s="22">
        <f>IFERROR(SUMIFS(DataEntry!$CV:$CV,DataEntry!$A:$A,"Zomba",DataEntry!$B:$B,"Thondwe"),"")</f>
        <v/>
      </c>
    </row>
    <row r="861">
      <c r="A861" s="19" t="inlineStr">
        <is>
          <t>Zomba</t>
        </is>
      </c>
      <c r="B861" s="19" t="inlineStr">
        <is>
          <t>Thondwe</t>
        </is>
      </c>
      <c r="C861" s="6" t="inlineStr">
        <is>
          <t>% Population Supplied (avg)</t>
        </is>
      </c>
      <c r="D861" s="24">
        <f>IFERROR(AVERAGEIFS(DataEntry!$CW:$CW,DataEntry!$A:$A,"Zomba",DataEntry!$B:$B,"Thondwe"),"")</f>
        <v/>
      </c>
    </row>
    <row r="862">
      <c r="A862" s="21" t="inlineStr">
        <is>
          <t>Zomba</t>
        </is>
      </c>
      <c r="B862" s="21" t="inlineStr">
        <is>
          <t>Thondwe</t>
        </is>
      </c>
      <c r="C862" s="12" t="inlineStr">
        <is>
          <t>New Connections Total Done</t>
        </is>
      </c>
      <c r="D862" s="22">
        <f>IFERROR(SUMIFS(DataEntry!$CA:$CA,DataEntry!$A:$A,"Zomba",DataEntry!$B:$B,"Thondwe"),"")</f>
        <v/>
      </c>
    </row>
    <row r="863">
      <c r="A863" s="19" t="inlineStr">
        <is>
          <t>Zomba</t>
        </is>
      </c>
      <c r="B863" s="19" t="inlineStr">
        <is>
          <t>Thondwe</t>
        </is>
      </c>
      <c r="C863" s="6" t="inlineStr">
        <is>
          <t>Stuck Meters Carried Fwd</t>
        </is>
      </c>
      <c r="D863" s="20">
        <f>IFERROR(SUMIFS(DataEntry!$DV:$DV,DataEntry!$A:$A,"Zomba",DataEntry!$B:$B,"Thondwe"),"")</f>
        <v/>
      </c>
    </row>
    <row r="864">
      <c r="A864" s="21" t="inlineStr">
        <is>
          <t>Zomba</t>
        </is>
      </c>
      <c r="B864" s="21" t="inlineStr">
        <is>
          <t>Thondwe</t>
        </is>
      </c>
      <c r="C864" s="12" t="inlineStr">
        <is>
          <t>Total Pipe Breakdowns</t>
        </is>
      </c>
      <c r="D864" s="22">
        <f>IFERROR(SUMIFS(DataEntry!$FG:$FG,DataEntry!$A:$A,"Zomba",DataEntry!$B:$B,"Thondwe"),"")</f>
        <v/>
      </c>
    </row>
    <row r="865">
      <c r="A865" s="19" t="inlineStr">
        <is>
          <t>Zomba</t>
        </is>
      </c>
      <c r="B865" s="19" t="inlineStr">
        <is>
          <t>Thondwe</t>
        </is>
      </c>
      <c r="C865" s="6" t="inlineStr">
        <is>
          <t>Connectivity Rate (avg)</t>
        </is>
      </c>
      <c r="D865" s="24">
        <f>IFERROR(AVERAGEIFS(DataEntry!$HK:$HK,DataEntry!$A:$A,"Zomba",DataEntry!$B:$B,"Thondwe"),"")</f>
        <v/>
      </c>
    </row>
    <row r="866">
      <c r="A866" s="21" t="inlineStr">
        <is>
          <t>Zomba</t>
        </is>
      </c>
      <c r="B866" s="21" t="inlineStr">
        <is>
          <t>Thondwe</t>
        </is>
      </c>
      <c r="C866" s="12" t="inlineStr">
        <is>
          <t>Response Time avg (days)</t>
        </is>
      </c>
      <c r="D866" s="23">
        <f>IFERROR(AVERAGEIFS(DataEntry!$HN:$HN,DataEntry!$A:$A,"Zomba",DataEntry!$B:$B,"Thondwe"),"")</f>
        <v/>
      </c>
    </row>
    <row r="867">
      <c r="A867" s="19" t="inlineStr">
        <is>
          <t>Zomba</t>
        </is>
      </c>
      <c r="B867" s="19" t="inlineStr">
        <is>
          <t>Zomba</t>
        </is>
      </c>
      <c r="C867" s="6" t="inlineStr">
        <is>
          <t>Volume Produced (m³)</t>
        </is>
      </c>
      <c r="D867" s="20">
        <f>IFERROR(SUMIFS(DataEntry!$H:$H,DataEntry!$A:$A,"Zomba",DataEntry!$B:$B,"Zomba"),"")</f>
        <v/>
      </c>
    </row>
    <row r="868">
      <c r="A868" s="21" t="inlineStr">
        <is>
          <t>Zomba</t>
        </is>
      </c>
      <c r="B868" s="21" t="inlineStr">
        <is>
          <t>Zomba</t>
        </is>
      </c>
      <c r="C868" s="12" t="inlineStr">
        <is>
          <t>Total Revenue Water (m³)</t>
        </is>
      </c>
      <c r="D868" s="22">
        <f>IFERROR(SUMIFS(DataEntry!$S:$S,DataEntry!$A:$A,"Zomba",DataEntry!$B:$B,"Zomba"),"")</f>
        <v/>
      </c>
    </row>
    <row r="869">
      <c r="A869" s="19" t="inlineStr">
        <is>
          <t>Zomba</t>
        </is>
      </c>
      <c r="B869" s="19" t="inlineStr">
        <is>
          <t>Zomba</t>
        </is>
      </c>
      <c r="C869" s="6" t="inlineStr">
        <is>
          <t>Non-Revenue Water (m³)</t>
        </is>
      </c>
      <c r="D869" s="20">
        <f>IFERROR(SUMIFS(DataEntry!$T:$T,DataEntry!$A:$A,"Zomba",DataEntry!$B:$B,"Zomba"),"")</f>
        <v/>
      </c>
    </row>
    <row r="870">
      <c r="A870" s="21" t="inlineStr">
        <is>
          <t>Zomba</t>
        </is>
      </c>
      <c r="B870" s="21" t="inlineStr">
        <is>
          <t>Zomba</t>
        </is>
      </c>
      <c r="C870" s="12" t="inlineStr">
        <is>
          <t>% NRW (avg)</t>
        </is>
      </c>
      <c r="D870" s="23">
        <f>IFERROR(AVERAGEIFS(DataEntry!$U:$U,DataEntry!$A:$A,"Zomba",DataEntry!$B:$B,"Zomba"),"")</f>
        <v/>
      </c>
    </row>
    <row r="871">
      <c r="A871" s="19" t="inlineStr">
        <is>
          <t>Zomba</t>
        </is>
      </c>
      <c r="B871" s="19" t="inlineStr">
        <is>
          <t>Zomba</t>
        </is>
      </c>
      <c r="C871" s="6" t="inlineStr">
        <is>
          <t>Chlorine Used (kg)</t>
        </is>
      </c>
      <c r="D871" s="20">
        <f>IFERROR(SUMIFS(DataEntry!$V:$V,DataEntry!$A:$A,"Zomba",DataEntry!$B:$B,"Zomba"),"")</f>
        <v/>
      </c>
    </row>
    <row r="872">
      <c r="A872" s="21" t="inlineStr">
        <is>
          <t>Zomba</t>
        </is>
      </c>
      <c r="B872" s="21" t="inlineStr">
        <is>
          <t>Zomba</t>
        </is>
      </c>
      <c r="C872" s="12" t="inlineStr">
        <is>
          <t>Cost of Chemicals (MWK)</t>
        </is>
      </c>
      <c r="D872" s="22">
        <f>IFERROR(SUMIFS(DataEntry!$AH:$AH,DataEntry!$A:$A,"Zomba",DataEntry!$B:$B,"Zomba"),"")</f>
        <v/>
      </c>
    </row>
    <row r="873">
      <c r="A873" s="19" t="inlineStr">
        <is>
          <t>Zomba</t>
        </is>
      </c>
      <c r="B873" s="19" t="inlineStr">
        <is>
          <t>Zomba</t>
        </is>
      </c>
      <c r="C873" s="6" t="inlineStr">
        <is>
          <t>Cost of Power (MWK)</t>
        </is>
      </c>
      <c r="D873" s="20">
        <f>IFERROR(SUMIFS(DataEntry!$AL:$AL,DataEntry!$A:$A,"Zomba",DataEntry!$B:$B,"Zomba"),"")</f>
        <v/>
      </c>
    </row>
    <row r="874">
      <c r="A874" s="21" t="inlineStr">
        <is>
          <t>Zomba</t>
        </is>
      </c>
      <c r="B874" s="21" t="inlineStr">
        <is>
          <t>Zomba</t>
        </is>
      </c>
      <c r="C874" s="12" t="inlineStr">
        <is>
          <t>Cost of Fuel (MWK)</t>
        </is>
      </c>
      <c r="D874" s="22">
        <f>IFERROR(SUMIFS(DataEntry!$AP:$AP,DataEntry!$A:$A,"Zomba",DataEntry!$B:$B,"Zomba"),"")</f>
        <v/>
      </c>
    </row>
    <row r="875">
      <c r="A875" s="19" t="inlineStr">
        <is>
          <t>Zomba</t>
        </is>
      </c>
      <c r="B875" s="19" t="inlineStr">
        <is>
          <t>Zomba</t>
        </is>
      </c>
      <c r="C875" s="6" t="inlineStr">
        <is>
          <t>Total Operating Costs (MWK)</t>
        </is>
      </c>
      <c r="D875" s="20">
        <f>IFERROR(SUMIFS(DataEntry!$AU:$AU,DataEntry!$A:$A,"Zomba",DataEntry!$B:$B,"Zomba"),"")</f>
        <v/>
      </c>
    </row>
    <row r="876">
      <c r="A876" s="21" t="inlineStr">
        <is>
          <t>Zomba</t>
        </is>
      </c>
      <c r="B876" s="21" t="inlineStr">
        <is>
          <t>Zomba</t>
        </is>
      </c>
      <c r="C876" s="12" t="inlineStr">
        <is>
          <t>OpCost per m³ Produced (avg)</t>
        </is>
      </c>
      <c r="D876" s="23">
        <f>IFERROR(AVERAGEIFS(DataEntry!$AV:$AV,DataEntry!$A:$A,"Zomba",DataEntry!$B:$B,"Zomba"),"")</f>
        <v/>
      </c>
    </row>
    <row r="877">
      <c r="A877" s="19" t="inlineStr">
        <is>
          <t>Zomba</t>
        </is>
      </c>
      <c r="B877" s="19" t="inlineStr">
        <is>
          <t>Zomba</t>
        </is>
      </c>
      <c r="C877" s="6" t="inlineStr">
        <is>
          <t>Total Cash Collected (MWK)</t>
        </is>
      </c>
      <c r="D877" s="20">
        <f>IFERROR(SUMIFS(DataEntry!$GB:$GB,DataEntry!$A:$A,"Zomba",DataEntry!$B:$B,"Zomba"),"")</f>
        <v/>
      </c>
    </row>
    <row r="878">
      <c r="A878" s="21" t="inlineStr">
        <is>
          <t>Zomba</t>
        </is>
      </c>
      <c r="B878" s="21" t="inlineStr">
        <is>
          <t>Zomba</t>
        </is>
      </c>
      <c r="C878" s="12" t="inlineStr">
        <is>
          <t>Total Amount Billed (MWK)</t>
        </is>
      </c>
      <c r="D878" s="22">
        <f>IFERROR(SUMIFS(DataEntry!$GM:$GM,DataEntry!$A:$A,"Zomba",DataEntry!$B:$B,"Zomba"),"")</f>
        <v/>
      </c>
    </row>
    <row r="879">
      <c r="A879" s="19" t="inlineStr">
        <is>
          <t>Zomba</t>
        </is>
      </c>
      <c r="B879" s="19" t="inlineStr">
        <is>
          <t>Zomba</t>
        </is>
      </c>
      <c r="C879" s="6" t="inlineStr">
        <is>
          <t>Total Sales (MWK)</t>
        </is>
      </c>
      <c r="D879" s="20">
        <f>IFERROR(SUMIFS(DataEntry!$GX:$GX,DataEntry!$A:$A,"Zomba",DataEntry!$B:$B,"Zomba"),"")</f>
        <v/>
      </c>
    </row>
    <row r="880">
      <c r="A880" s="21" t="inlineStr">
        <is>
          <t>Zomba</t>
        </is>
      </c>
      <c r="B880" s="21" t="inlineStr">
        <is>
          <t>Zomba</t>
        </is>
      </c>
      <c r="C880" s="12" t="inlineStr">
        <is>
          <t>Private Debtors (MWK)</t>
        </is>
      </c>
      <c r="D880" s="22">
        <f>IFERROR(SUMIFS(DataEntry!$GY:$GY,DataEntry!$A:$A,"Zomba",DataEntry!$B:$B,"Zomba"),"")</f>
        <v/>
      </c>
    </row>
    <row r="881">
      <c r="A881" s="19" t="inlineStr">
        <is>
          <t>Zomba</t>
        </is>
      </c>
      <c r="B881" s="19" t="inlineStr">
        <is>
          <t>Zomba</t>
        </is>
      </c>
      <c r="C881" s="6" t="inlineStr">
        <is>
          <t>Public Debtors (MWK)</t>
        </is>
      </c>
      <c r="D881" s="20">
        <f>IFERROR(SUMIFS(DataEntry!$GZ:$GZ,DataEntry!$A:$A,"Zomba",DataEntry!$B:$B,"Zomba"),"")</f>
        <v/>
      </c>
    </row>
    <row r="882">
      <c r="A882" s="21" t="inlineStr">
        <is>
          <t>Zomba</t>
        </is>
      </c>
      <c r="B882" s="21" t="inlineStr">
        <is>
          <t>Zomba</t>
        </is>
      </c>
      <c r="C882" s="12" t="inlineStr">
        <is>
          <t>Total Debtors (MWK)</t>
        </is>
      </c>
      <c r="D882" s="22">
        <f>IFERROR(SUMIFS(DataEntry!$HA:$HA,DataEntry!$A:$A,"Zomba",DataEntry!$B:$B,"Zomba"),"")</f>
        <v/>
      </c>
    </row>
    <row r="883">
      <c r="A883" s="19" t="inlineStr">
        <is>
          <t>Zomba</t>
        </is>
      </c>
      <c r="B883" s="19" t="inlineStr">
        <is>
          <t>Zomba</t>
        </is>
      </c>
      <c r="C883" s="6" t="inlineStr">
        <is>
          <t>Cash Collection Rate (avg)</t>
        </is>
      </c>
      <c r="D883" s="24">
        <f>IFERROR(AVERAGEIFS(DataEntry!$HC:$HC,DataEntry!$A:$A,"Zomba",DataEntry!$B:$B,"Zomba"),"")</f>
        <v/>
      </c>
    </row>
    <row r="884">
      <c r="A884" s="21" t="inlineStr">
        <is>
          <t>Zomba</t>
        </is>
      </c>
      <c r="B884" s="21" t="inlineStr">
        <is>
          <t>Zomba</t>
        </is>
      </c>
      <c r="C884" s="12" t="inlineStr">
        <is>
          <t>OpCost / Sales (avg)</t>
        </is>
      </c>
      <c r="D884" s="23">
        <f>IFERROR(AVERAGEIFS(DataEntry!$HB:$HB,DataEntry!$A:$A,"Zomba",DataEntry!$B:$B,"Zomba"),"")</f>
        <v/>
      </c>
    </row>
    <row r="885">
      <c r="A885" s="19" t="inlineStr">
        <is>
          <t>Zomba</t>
        </is>
      </c>
      <c r="B885" s="19" t="inlineStr">
        <is>
          <t>Zomba</t>
        </is>
      </c>
      <c r="C885" s="6" t="inlineStr">
        <is>
          <t>Total Active Customers (end)</t>
        </is>
      </c>
      <c r="D885" s="20">
        <f>IFERROR(SUMIFS(DataEntry!$CS:$CS,DataEntry!$A:$A,"Zomba",DataEntry!$B:$B,"Zomba"),"")</f>
        <v/>
      </c>
    </row>
    <row r="886">
      <c r="A886" s="21" t="inlineStr">
        <is>
          <t>Zomba</t>
        </is>
      </c>
      <c r="B886" s="21" t="inlineStr">
        <is>
          <t>Zomba</t>
        </is>
      </c>
      <c r="C886" s="12" t="inlineStr">
        <is>
          <t>Total Metered Consumers (end)</t>
        </is>
      </c>
      <c r="D886" s="22">
        <f>IFERROR(SUMIFS(DataEntry!$CT:$CT,DataEntry!$A:$A,"Zomba",DataEntry!$B:$B,"Zomba"),"")</f>
        <v/>
      </c>
    </row>
    <row r="887">
      <c r="A887" s="19" t="inlineStr">
        <is>
          <t>Zomba</t>
        </is>
      </c>
      <c r="B887" s="19" t="inlineStr">
        <is>
          <t>Zomba</t>
        </is>
      </c>
      <c r="C887" s="6" t="inlineStr">
        <is>
          <t>Population Supplied (end)</t>
        </is>
      </c>
      <c r="D887" s="20">
        <f>IFERROR(SUMIFS(DataEntry!$CV:$CV,DataEntry!$A:$A,"Zomba",DataEntry!$B:$B,"Zomba"),"")</f>
        <v/>
      </c>
    </row>
    <row r="888">
      <c r="A888" s="21" t="inlineStr">
        <is>
          <t>Zomba</t>
        </is>
      </c>
      <c r="B888" s="21" t="inlineStr">
        <is>
          <t>Zomba</t>
        </is>
      </c>
      <c r="C888" s="12" t="inlineStr">
        <is>
          <t>% Population Supplied (avg)</t>
        </is>
      </c>
      <c r="D888" s="23">
        <f>IFERROR(AVERAGEIFS(DataEntry!$CW:$CW,DataEntry!$A:$A,"Zomba",DataEntry!$B:$B,"Zomba"),"")</f>
        <v/>
      </c>
    </row>
    <row r="889">
      <c r="A889" s="19" t="inlineStr">
        <is>
          <t>Zomba</t>
        </is>
      </c>
      <c r="B889" s="19" t="inlineStr">
        <is>
          <t>Zomba</t>
        </is>
      </c>
      <c r="C889" s="6" t="inlineStr">
        <is>
          <t>New Connections Total Done</t>
        </is>
      </c>
      <c r="D889" s="20">
        <f>IFERROR(SUMIFS(DataEntry!$CA:$CA,DataEntry!$A:$A,"Zomba",DataEntry!$B:$B,"Zomba"),"")</f>
        <v/>
      </c>
    </row>
    <row r="890">
      <c r="A890" s="21" t="inlineStr">
        <is>
          <t>Zomba</t>
        </is>
      </c>
      <c r="B890" s="21" t="inlineStr">
        <is>
          <t>Zomba</t>
        </is>
      </c>
      <c r="C890" s="12" t="inlineStr">
        <is>
          <t>Stuck Meters Carried Fwd</t>
        </is>
      </c>
      <c r="D890" s="22">
        <f>IFERROR(SUMIFS(DataEntry!$DV:$DV,DataEntry!$A:$A,"Zomba",DataEntry!$B:$B,"Zomba"),"")</f>
        <v/>
      </c>
    </row>
    <row r="891">
      <c r="A891" s="19" t="inlineStr">
        <is>
          <t>Zomba</t>
        </is>
      </c>
      <c r="B891" s="19" t="inlineStr">
        <is>
          <t>Zomba</t>
        </is>
      </c>
      <c r="C891" s="6" t="inlineStr">
        <is>
          <t>Total Pipe Breakdowns</t>
        </is>
      </c>
      <c r="D891" s="20">
        <f>IFERROR(SUMIFS(DataEntry!$FG:$FG,DataEntry!$A:$A,"Zomba",DataEntry!$B:$B,"Zomba"),"")</f>
        <v/>
      </c>
    </row>
    <row r="892">
      <c r="A892" s="21" t="inlineStr">
        <is>
          <t>Zomba</t>
        </is>
      </c>
      <c r="B892" s="21" t="inlineStr">
        <is>
          <t>Zomba</t>
        </is>
      </c>
      <c r="C892" s="12" t="inlineStr">
        <is>
          <t>Connectivity Rate (avg)</t>
        </is>
      </c>
      <c r="D892" s="23">
        <f>IFERROR(AVERAGEIFS(DataEntry!$HK:$HK,DataEntry!$A:$A,"Zomba",DataEntry!$B:$B,"Zomba"),"")</f>
        <v/>
      </c>
    </row>
    <row r="893">
      <c r="A893" s="19" t="inlineStr">
        <is>
          <t>Zomba</t>
        </is>
      </c>
      <c r="B893" s="19" t="inlineStr">
        <is>
          <t>Zomba</t>
        </is>
      </c>
      <c r="C893" s="6" t="inlineStr">
        <is>
          <t>Response Time avg (days)</t>
        </is>
      </c>
      <c r="D893" s="24">
        <f>IFERROR(AVERAGEIFS(DataEntry!$HN:$HN,DataEntry!$A:$A,"Zomba",DataEntry!$B:$B,"Zomba"),"")</f>
        <v/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ColWidth="8.6640625" defaultRowHeight="14.4"/>
  <cols>
    <col width="8.88671875" customWidth="1" style="47" min="1" max="1"/>
    <col width="8.88671875" customWidth="1" style="47" min="3" max="3"/>
    <col width="11.109375" customWidth="1" style="47" min="4" max="4"/>
    <col width="5.21875" customWidth="1" style="47" min="6" max="6"/>
    <col width="26.6640625" customWidth="1" style="47" min="7" max="7"/>
  </cols>
  <sheetData>
    <row r="1" ht="25.5" customHeight="1" s="47">
      <c r="A1" s="46" t="inlineStr">
        <is>
          <t>REFERENCE TABLES — Zones, Schemes &amp; Quarter Definitions</t>
        </is>
      </c>
    </row>
    <row r="3">
      <c r="A3" s="26" t="inlineStr">
        <is>
          <t>ZONES</t>
        </is>
      </c>
      <c r="C3" s="26" t="inlineStr">
        <is>
          <t>ZONE</t>
        </is>
      </c>
      <c r="D3" s="26" t="inlineStr">
        <is>
          <t>SCHEME</t>
        </is>
      </c>
      <c r="F3" s="26" t="inlineStr">
        <is>
          <t>QTR</t>
        </is>
      </c>
      <c r="G3" s="26" t="inlineStr">
        <is>
          <t>MONTHS</t>
        </is>
      </c>
    </row>
    <row r="4">
      <c r="A4" s="1" t="inlineStr">
        <is>
          <t>Liwonde</t>
        </is>
      </c>
      <c r="C4" s="1" t="inlineStr">
        <is>
          <t>Liwonde</t>
        </is>
      </c>
      <c r="D4" s="1" t="inlineStr">
        <is>
          <t>Balaka</t>
        </is>
      </c>
      <c r="F4" s="1" t="inlineStr">
        <is>
          <t>Q1</t>
        </is>
      </c>
      <c r="G4" s="1" t="inlineStr">
        <is>
          <t>April, May, June</t>
        </is>
      </c>
    </row>
    <row r="5">
      <c r="A5" s="27" t="inlineStr">
        <is>
          <t>Mangochi</t>
        </is>
      </c>
      <c r="C5" s="27" t="inlineStr">
        <is>
          <t>Liwonde</t>
        </is>
      </c>
      <c r="D5" s="27" t="inlineStr">
        <is>
          <t>Liwonde</t>
        </is>
      </c>
      <c r="F5" s="27" t="inlineStr">
        <is>
          <t>Q2</t>
        </is>
      </c>
      <c r="G5" s="27" t="inlineStr">
        <is>
          <t>July, August, September</t>
        </is>
      </c>
    </row>
    <row r="6">
      <c r="A6" s="1" t="inlineStr">
        <is>
          <t>Mulanje</t>
        </is>
      </c>
      <c r="C6" s="1" t="inlineStr">
        <is>
          <t>Liwonde</t>
        </is>
      </c>
      <c r="D6" s="1" t="inlineStr">
        <is>
          <t>Machinga</t>
        </is>
      </c>
      <c r="F6" s="1" t="inlineStr">
        <is>
          <t>Q3</t>
        </is>
      </c>
      <c r="G6" s="1" t="inlineStr">
        <is>
          <t>October, November, December</t>
        </is>
      </c>
    </row>
    <row r="7">
      <c r="A7" s="27" t="inlineStr">
        <is>
          <t>Ngabu</t>
        </is>
      </c>
      <c r="C7" s="27" t="inlineStr">
        <is>
          <t>Liwonde</t>
        </is>
      </c>
      <c r="D7" s="27" t="inlineStr">
        <is>
          <t>Ntaja</t>
        </is>
      </c>
      <c r="F7" s="27" t="inlineStr">
        <is>
          <t>Q4</t>
        </is>
      </c>
      <c r="G7" s="27" t="inlineStr">
        <is>
          <t>January, February, March</t>
        </is>
      </c>
    </row>
    <row r="8">
      <c r="A8" s="1" t="inlineStr">
        <is>
          <t>Zomba</t>
        </is>
      </c>
      <c r="C8" s="1" t="inlineStr">
        <is>
          <t>Mangochi</t>
        </is>
      </c>
      <c r="D8" s="1" t="inlineStr">
        <is>
          <t>Mangochi</t>
        </is>
      </c>
    </row>
    <row r="9">
      <c r="C9" s="27" t="inlineStr">
        <is>
          <t>Mangochi</t>
        </is>
      </c>
      <c r="D9" s="27" t="inlineStr">
        <is>
          <t>Monkey Bay</t>
        </is>
      </c>
    </row>
    <row r="10">
      <c r="C10" s="1" t="inlineStr">
        <is>
          <t>Mangochi</t>
        </is>
      </c>
      <c r="D10" s="1" t="inlineStr">
        <is>
          <t>Namwera</t>
        </is>
      </c>
    </row>
    <row r="11">
      <c r="C11" s="27" t="inlineStr">
        <is>
          <t>Mangochi</t>
        </is>
      </c>
      <c r="D11" s="27" t="inlineStr">
        <is>
          <t>Nkhudzi</t>
        </is>
      </c>
    </row>
    <row r="12">
      <c r="C12" s="1" t="inlineStr">
        <is>
          <t>Mulanje</t>
        </is>
      </c>
      <c r="D12" s="1" t="inlineStr">
        <is>
          <t>Luchenza</t>
        </is>
      </c>
    </row>
    <row r="13">
      <c r="C13" s="27" t="inlineStr">
        <is>
          <t>Mulanje</t>
        </is>
      </c>
      <c r="D13" s="27" t="inlineStr">
        <is>
          <t>MUST</t>
        </is>
      </c>
    </row>
    <row r="14">
      <c r="C14" s="1" t="inlineStr">
        <is>
          <t>Mulanje</t>
        </is>
      </c>
      <c r="D14" s="1" t="inlineStr">
        <is>
          <t>Migowi</t>
        </is>
      </c>
    </row>
    <row r="15">
      <c r="C15" s="27" t="inlineStr">
        <is>
          <t>Mulanje</t>
        </is>
      </c>
      <c r="D15" s="27" t="inlineStr">
        <is>
          <t>Mikolongwe</t>
        </is>
      </c>
    </row>
    <row r="16">
      <c r="C16" s="1" t="inlineStr">
        <is>
          <t>Mulanje</t>
        </is>
      </c>
      <c r="D16" s="1" t="inlineStr">
        <is>
          <t>Mulanje</t>
        </is>
      </c>
    </row>
    <row r="17">
      <c r="C17" s="27" t="inlineStr">
        <is>
          <t>Mulanje</t>
        </is>
      </c>
      <c r="D17" s="27" t="inlineStr">
        <is>
          <t>Muloza</t>
        </is>
      </c>
    </row>
    <row r="18">
      <c r="C18" s="1" t="inlineStr">
        <is>
          <t>Mulanje</t>
        </is>
      </c>
      <c r="D18" s="1" t="inlineStr">
        <is>
          <t>Nkando</t>
        </is>
      </c>
    </row>
    <row r="19">
      <c r="C19" s="27" t="inlineStr">
        <is>
          <t>Mulanje</t>
        </is>
      </c>
      <c r="D19" s="27" t="inlineStr">
        <is>
          <t>Phalombe</t>
        </is>
      </c>
    </row>
    <row r="20">
      <c r="C20" s="1" t="inlineStr">
        <is>
          <t>Mulanje</t>
        </is>
      </c>
      <c r="D20" s="1" t="inlineStr">
        <is>
          <t>Thyolo</t>
        </is>
      </c>
    </row>
    <row r="21">
      <c r="C21" s="27" t="inlineStr">
        <is>
          <t>Ngabu</t>
        </is>
      </c>
      <c r="D21" s="27" t="inlineStr">
        <is>
          <t>Bangula</t>
        </is>
      </c>
    </row>
    <row r="22">
      <c r="C22" s="1" t="inlineStr">
        <is>
          <t>Ngabu</t>
        </is>
      </c>
      <c r="D22" s="1" t="inlineStr">
        <is>
          <t>Chikwawa</t>
        </is>
      </c>
    </row>
    <row r="23">
      <c r="C23" s="27" t="inlineStr">
        <is>
          <t>Ngabu</t>
        </is>
      </c>
      <c r="D23" s="27" t="inlineStr">
        <is>
          <t>Miseu Folo</t>
        </is>
      </c>
    </row>
    <row r="24">
      <c r="C24" s="1" t="inlineStr">
        <is>
          <t>Ngabu</t>
        </is>
      </c>
      <c r="D24" s="1" t="inlineStr">
        <is>
          <t>Nchalo</t>
        </is>
      </c>
    </row>
    <row r="25">
      <c r="C25" s="27" t="inlineStr">
        <is>
          <t>Ngabu</t>
        </is>
      </c>
      <c r="D25" s="27" t="inlineStr">
        <is>
          <t>Ngabu</t>
        </is>
      </c>
    </row>
    <row r="26">
      <c r="C26" s="1" t="inlineStr">
        <is>
          <t>Ngabu</t>
        </is>
      </c>
      <c r="D26" s="1" t="inlineStr">
        <is>
          <t>Nsanje</t>
        </is>
      </c>
    </row>
    <row r="27">
      <c r="C27" s="27" t="inlineStr">
        <is>
          <t>Zomba</t>
        </is>
      </c>
      <c r="D27" s="27" t="inlineStr">
        <is>
          <t>Chiradzulu</t>
        </is>
      </c>
    </row>
    <row r="28">
      <c r="C28" s="1" t="inlineStr">
        <is>
          <t>Zomba</t>
        </is>
      </c>
      <c r="D28" s="1" t="inlineStr">
        <is>
          <t>Domasi</t>
        </is>
      </c>
    </row>
    <row r="29">
      <c r="C29" s="27" t="inlineStr">
        <is>
          <t>Zomba</t>
        </is>
      </c>
      <c r="D29" s="27" t="inlineStr">
        <is>
          <t>Jali</t>
        </is>
      </c>
    </row>
    <row r="30">
      <c r="C30" s="1" t="inlineStr">
        <is>
          <t>Zomba</t>
        </is>
      </c>
      <c r="D30" s="1" t="inlineStr">
        <is>
          <t>Kuchawe</t>
        </is>
      </c>
    </row>
    <row r="31">
      <c r="C31" s="27" t="inlineStr">
        <is>
          <t>Zomba</t>
        </is>
      </c>
      <c r="D31" s="27" t="inlineStr">
        <is>
          <t>Lirangwe</t>
        </is>
      </c>
    </row>
    <row r="32">
      <c r="C32" s="1" t="inlineStr">
        <is>
          <t>Zomba</t>
        </is>
      </c>
      <c r="D32" s="1" t="inlineStr">
        <is>
          <t>Mwanza</t>
        </is>
      </c>
    </row>
    <row r="33">
      <c r="C33" s="27" t="inlineStr">
        <is>
          <t>Zomba</t>
        </is>
      </c>
      <c r="D33" s="27" t="inlineStr">
        <is>
          <t>Namadzi</t>
        </is>
      </c>
    </row>
    <row r="34">
      <c r="C34" s="1" t="inlineStr">
        <is>
          <t>Zomba</t>
        </is>
      </c>
      <c r="D34" s="1" t="inlineStr">
        <is>
          <t>Neno</t>
        </is>
      </c>
    </row>
    <row r="35">
      <c r="C35" s="27" t="inlineStr">
        <is>
          <t>Zomba</t>
        </is>
      </c>
      <c r="D35" s="27" t="inlineStr">
        <is>
          <t>Thondwe</t>
        </is>
      </c>
    </row>
    <row r="36">
      <c r="C36" s="1" t="inlineStr">
        <is>
          <t>Zomba</t>
        </is>
      </c>
      <c r="D36" s="1" t="inlineStr">
        <is>
          <t>Zomba</t>
        </is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2026-06-07T22:09:45Z</dcterms:created>
  <dcterms:modified xmlns:dcterms="http://purl.org/dc/terms/" xmlns:xsi="http://www.w3.org/2001/XMLSchema-instance" xsi:type="dcterms:W3CDTF">2026-06-07T22:09:50Z</dcterms:modified>
  <cp:lastModifiedBy>Cromwell Mhango</cp:lastModifiedBy>
</cp:coreProperties>
</file>