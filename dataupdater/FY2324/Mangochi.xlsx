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324\"/>
    </mc:Choice>
  </mc:AlternateContent>
  <xr:revisionPtr revIDLastSave="0" documentId="13_ncr:1_{1FD02CB8-A8B4-4381-A6DC-AB29FE513C9E}" xr6:coauthVersionLast="47" xr6:coauthVersionMax="47" xr10:uidLastSave="{00000000-0000-0000-0000-000000000000}"/>
  <bookViews>
    <workbookView xWindow="-108" yWindow="-108" windowWidth="23256" windowHeight="12456" tabRatio="868" activeTab="10" xr2:uid="{7E52ECBB-1F29-469D-989C-EDBB1F7D7E94}"/>
  </bookViews>
  <sheets>
    <sheet name="Mangochi" sheetId="1" r:id="rId1"/>
    <sheet name="Monkey Bay" sheetId="2" r:id="rId2"/>
    <sheet name="Namwera" sheetId="3" r:id="rId3"/>
    <sheet name="Nkhudzi" sheetId="18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2" i="17" l="1"/>
  <c r="H261" i="17"/>
  <c r="H263" i="17" s="1"/>
  <c r="H257" i="17"/>
  <c r="H256" i="17"/>
  <c r="H258" i="17" s="1"/>
  <c r="H255" i="17"/>
  <c r="H254" i="17"/>
  <c r="H253" i="17"/>
  <c r="H241" i="17"/>
  <c r="H240" i="17"/>
  <c r="H239" i="17"/>
  <c r="H238" i="17"/>
  <c r="H242" i="17" s="1"/>
  <c r="H235" i="17"/>
  <c r="H236" i="17" s="1"/>
  <c r="H234" i="17"/>
  <c r="H233" i="17"/>
  <c r="H232" i="17"/>
  <c r="H230" i="17"/>
  <c r="H229" i="17"/>
  <c r="H228" i="17"/>
  <c r="H227" i="17"/>
  <c r="H226" i="17"/>
  <c r="H225" i="17"/>
  <c r="H223" i="17"/>
  <c r="H222" i="17"/>
  <c r="H221" i="17"/>
  <c r="H220" i="17"/>
  <c r="H219" i="17"/>
  <c r="H216" i="17"/>
  <c r="H243" i="17" s="1"/>
  <c r="H215" i="17"/>
  <c r="H214" i="17"/>
  <c r="H213" i="17"/>
  <c r="H212" i="17"/>
  <c r="H210" i="17"/>
  <c r="H251" i="17" s="1"/>
  <c r="H209" i="17"/>
  <c r="H208" i="17"/>
  <c r="H207" i="17"/>
  <c r="H206" i="17"/>
  <c r="H204" i="17"/>
  <c r="H203" i="17"/>
  <c r="H202" i="17"/>
  <c r="H201" i="17"/>
  <c r="H200" i="17"/>
  <c r="H199" i="17"/>
  <c r="H197" i="17"/>
  <c r="H196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93" i="17" s="1"/>
  <c r="H143" i="17"/>
  <c r="H142" i="17"/>
  <c r="H144" i="17" s="1"/>
  <c r="H141" i="17"/>
  <c r="H140" i="17"/>
  <c r="H138" i="17"/>
  <c r="H137" i="17"/>
  <c r="H136" i="17"/>
  <c r="H135" i="17"/>
  <c r="H139" i="17" s="1"/>
  <c r="H134" i="17"/>
  <c r="H133" i="17"/>
  <c r="H132" i="17"/>
  <c r="H131" i="17"/>
  <c r="H130" i="17"/>
  <c r="H128" i="17"/>
  <c r="H148" i="17" s="1"/>
  <c r="H127" i="17"/>
  <c r="H147" i="17" s="1"/>
  <c r="H126" i="17"/>
  <c r="H146" i="17" s="1"/>
  <c r="H125" i="17"/>
  <c r="H122" i="17"/>
  <c r="H121" i="17"/>
  <c r="H123" i="17" s="1"/>
  <c r="H119" i="17"/>
  <c r="H118" i="17"/>
  <c r="H117" i="17"/>
  <c r="H116" i="17"/>
  <c r="H115" i="17"/>
  <c r="H114" i="17"/>
  <c r="H113" i="17"/>
  <c r="H111" i="17"/>
  <c r="H110" i="17"/>
  <c r="H109" i="17"/>
  <c r="H108" i="17"/>
  <c r="H107" i="17"/>
  <c r="H105" i="17"/>
  <c r="H104" i="17"/>
  <c r="H103" i="17"/>
  <c r="H102" i="17"/>
  <c r="H101" i="17"/>
  <c r="H98" i="17"/>
  <c r="H94" i="17"/>
  <c r="H95" i="17" s="1"/>
  <c r="H93" i="17"/>
  <c r="H92" i="17"/>
  <c r="H259" i="17" s="1"/>
  <c r="H91" i="17"/>
  <c r="H90" i="17"/>
  <c r="H87" i="17"/>
  <c r="H86" i="17"/>
  <c r="H85" i="17"/>
  <c r="H89" i="17" s="1"/>
  <c r="H84" i="17"/>
  <c r="H81" i="17"/>
  <c r="H82" i="17" s="1"/>
  <c r="H80" i="17"/>
  <c r="H79" i="17"/>
  <c r="H78" i="17"/>
  <c r="H83" i="17" s="1"/>
  <c r="H75" i="17"/>
  <c r="H74" i="17"/>
  <c r="H76" i="17" s="1"/>
  <c r="H77" i="17" s="1"/>
  <c r="H73" i="17"/>
  <c r="H72" i="17"/>
  <c r="H69" i="17"/>
  <c r="H70" i="17" s="1"/>
  <c r="H71" i="17" s="1"/>
  <c r="H68" i="17"/>
  <c r="H67" i="17"/>
  <c r="H66" i="17"/>
  <c r="H63" i="17"/>
  <c r="H61" i="17"/>
  <c r="H59" i="17"/>
  <c r="H58" i="17"/>
  <c r="H249" i="17" s="1"/>
  <c r="H56" i="17"/>
  <c r="H55" i="17"/>
  <c r="H54" i="17"/>
  <c r="H52" i="17"/>
  <c r="H51" i="17"/>
  <c r="H50" i="17"/>
  <c r="H49" i="17"/>
  <c r="H46" i="17"/>
  <c r="H47" i="17" s="1"/>
  <c r="H44" i="17"/>
  <c r="H45" i="17" s="1"/>
  <c r="H42" i="17"/>
  <c r="H41" i="17"/>
  <c r="H39" i="17"/>
  <c r="H40" i="17" s="1"/>
  <c r="H37" i="17"/>
  <c r="H38" i="17" s="1"/>
  <c r="H33" i="17"/>
  <c r="H34" i="17" s="1"/>
  <c r="H32" i="17"/>
  <c r="H31" i="17"/>
  <c r="H29" i="17"/>
  <c r="H30" i="17" s="1"/>
  <c r="H20" i="17"/>
  <c r="H19" i="17"/>
  <c r="H18" i="17"/>
  <c r="H17" i="17"/>
  <c r="H21" i="17" s="1"/>
  <c r="H22" i="17" s="1"/>
  <c r="H60" i="17" s="1"/>
  <c r="H14" i="17"/>
  <c r="H13" i="17"/>
  <c r="H12" i="17"/>
  <c r="H11" i="17"/>
  <c r="H15" i="17" s="1"/>
  <c r="H9" i="17"/>
  <c r="H24" i="17" s="1"/>
  <c r="H25" i="17" s="1"/>
  <c r="H9" i="13"/>
  <c r="H11" i="13"/>
  <c r="H12" i="13"/>
  <c r="H13" i="13"/>
  <c r="H15" i="13" s="1"/>
  <c r="H14" i="13"/>
  <c r="H17" i="13"/>
  <c r="H21" i="13" s="1"/>
  <c r="H22" i="13" s="1"/>
  <c r="H18" i="13"/>
  <c r="H19" i="13"/>
  <c r="H20" i="13"/>
  <c r="H29" i="13"/>
  <c r="H30" i="13"/>
  <c r="H31" i="13"/>
  <c r="H32" i="13"/>
  <c r="H33" i="13"/>
  <c r="H34" i="13"/>
  <c r="H37" i="13"/>
  <c r="H38" i="13"/>
  <c r="H39" i="13"/>
  <c r="H40" i="13"/>
  <c r="H41" i="13"/>
  <c r="H42" i="13"/>
  <c r="H44" i="13"/>
  <c r="H45" i="13"/>
  <c r="H46" i="13"/>
  <c r="H47" i="13"/>
  <c r="H49" i="13"/>
  <c r="H50" i="13"/>
  <c r="H51" i="13"/>
  <c r="H52" i="13"/>
  <c r="H54" i="13"/>
  <c r="H55" i="13"/>
  <c r="H56" i="13"/>
  <c r="H58" i="13"/>
  <c r="H59" i="13"/>
  <c r="H61" i="13"/>
  <c r="H62" i="13" s="1"/>
  <c r="H63" i="13"/>
  <c r="H66" i="13"/>
  <c r="H71" i="13" s="1"/>
  <c r="H67" i="13"/>
  <c r="H68" i="13"/>
  <c r="H69" i="13"/>
  <c r="H70" i="13"/>
  <c r="H72" i="13"/>
  <c r="H73" i="13"/>
  <c r="H74" i="13"/>
  <c r="H75" i="13"/>
  <c r="H76" i="13"/>
  <c r="H77" i="13"/>
  <c r="H78" i="13"/>
  <c r="H83" i="13" s="1"/>
  <c r="H79" i="13"/>
  <c r="H80" i="13"/>
  <c r="H81" i="13"/>
  <c r="H82" i="13"/>
  <c r="H84" i="13"/>
  <c r="H89" i="13" s="1"/>
  <c r="H85" i="13"/>
  <c r="H86" i="13"/>
  <c r="H87" i="13"/>
  <c r="H90" i="13"/>
  <c r="H91" i="13"/>
  <c r="H92" i="13"/>
  <c r="H93" i="13"/>
  <c r="H94" i="13"/>
  <c r="H95" i="13"/>
  <c r="H98" i="13"/>
  <c r="H101" i="13"/>
  <c r="H102" i="13"/>
  <c r="H103" i="13"/>
  <c r="H104" i="13"/>
  <c r="H105" i="13"/>
  <c r="H107" i="13"/>
  <c r="H108" i="13"/>
  <c r="H109" i="13"/>
  <c r="H110" i="13"/>
  <c r="H111" i="13"/>
  <c r="H113" i="13"/>
  <c r="H114" i="13"/>
  <c r="H115" i="13"/>
  <c r="H116" i="13"/>
  <c r="H117" i="13"/>
  <c r="H118" i="13"/>
  <c r="H119" i="13"/>
  <c r="H121" i="13"/>
  <c r="H122" i="13"/>
  <c r="H123" i="13" s="1"/>
  <c r="H125" i="13"/>
  <c r="H129" i="13" s="1"/>
  <c r="H126" i="13"/>
  <c r="H146" i="13" s="1"/>
  <c r="H127" i="13"/>
  <c r="H147" i="13" s="1"/>
  <c r="H128" i="13"/>
  <c r="H130" i="13"/>
  <c r="H131" i="13"/>
  <c r="H132" i="13"/>
  <c r="H133" i="13"/>
  <c r="H148" i="13" s="1"/>
  <c r="H134" i="13"/>
  <c r="H135" i="13"/>
  <c r="H139" i="13" s="1"/>
  <c r="H136" i="13"/>
  <c r="H137" i="13"/>
  <c r="H138" i="13"/>
  <c r="H140" i="13"/>
  <c r="H144" i="13" s="1"/>
  <c r="H141" i="13"/>
  <c r="H142" i="13"/>
  <c r="H143" i="13"/>
  <c r="H153" i="13"/>
  <c r="H193" i="13" s="1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7" i="13"/>
  <c r="H168" i="13"/>
  <c r="H169" i="13"/>
  <c r="H170" i="13"/>
  <c r="H171" i="13"/>
  <c r="H172" i="13"/>
  <c r="H173" i="13"/>
  <c r="H174" i="13"/>
  <c r="H175" i="13"/>
  <c r="H177" i="13"/>
  <c r="H178" i="13"/>
  <c r="H179" i="13"/>
  <c r="H180" i="13"/>
  <c r="H181" i="13"/>
  <c r="H182" i="13"/>
  <c r="H184" i="13"/>
  <c r="H185" i="13"/>
  <c r="H186" i="13"/>
  <c r="H187" i="13"/>
  <c r="H189" i="13"/>
  <c r="H190" i="13"/>
  <c r="H191" i="13"/>
  <c r="H192" i="13"/>
  <c r="H194" i="13"/>
  <c r="H195" i="13"/>
  <c r="H196" i="13"/>
  <c r="H197" i="13"/>
  <c r="H199" i="13"/>
  <c r="H200" i="13"/>
  <c r="H201" i="13"/>
  <c r="H202" i="13"/>
  <c r="H203" i="13"/>
  <c r="H204" i="13"/>
  <c r="H206" i="13"/>
  <c r="H207" i="13"/>
  <c r="H208" i="13"/>
  <c r="H209" i="13"/>
  <c r="H210" i="13"/>
  <c r="H212" i="13"/>
  <c r="H213" i="13"/>
  <c r="H214" i="13"/>
  <c r="H215" i="13"/>
  <c r="H216" i="13"/>
  <c r="H217" i="13"/>
  <c r="H219" i="13"/>
  <c r="H220" i="13"/>
  <c r="H221" i="13"/>
  <c r="H222" i="13"/>
  <c r="H223" i="13"/>
  <c r="H225" i="13"/>
  <c r="H226" i="13"/>
  <c r="H227" i="13"/>
  <c r="H228" i="13"/>
  <c r="H229" i="13"/>
  <c r="H230" i="13"/>
  <c r="H232" i="13"/>
  <c r="H233" i="13"/>
  <c r="H234" i="13"/>
  <c r="H235" i="13"/>
  <c r="H236" i="13"/>
  <c r="H238" i="13"/>
  <c r="H242" i="13" s="1"/>
  <c r="H239" i="13"/>
  <c r="H240" i="13"/>
  <c r="H241" i="13"/>
  <c r="H251" i="13"/>
  <c r="H253" i="13"/>
  <c r="H254" i="13"/>
  <c r="H255" i="13"/>
  <c r="H259" i="13" s="1"/>
  <c r="H256" i="13"/>
  <c r="H257" i="13"/>
  <c r="H258" i="13" s="1"/>
  <c r="H261" i="13"/>
  <c r="H262" i="13"/>
  <c r="H263" i="13"/>
  <c r="H262" i="16"/>
  <c r="H261" i="16"/>
  <c r="H263" i="16" s="1"/>
  <c r="H257" i="16"/>
  <c r="H256" i="16"/>
  <c r="H258" i="16" s="1"/>
  <c r="H255" i="16"/>
  <c r="H254" i="16"/>
  <c r="H253" i="16"/>
  <c r="H241" i="16"/>
  <c r="H240" i="16"/>
  <c r="H239" i="16"/>
  <c r="H238" i="16"/>
  <c r="H242" i="16" s="1"/>
  <c r="H235" i="16"/>
  <c r="H236" i="16" s="1"/>
  <c r="H234" i="16"/>
  <c r="H233" i="16"/>
  <c r="H232" i="16"/>
  <c r="H230" i="16"/>
  <c r="H229" i="16"/>
  <c r="H228" i="16"/>
  <c r="H227" i="16"/>
  <c r="H226" i="16"/>
  <c r="H225" i="16"/>
  <c r="H223" i="16"/>
  <c r="H222" i="16"/>
  <c r="H221" i="16"/>
  <c r="H220" i="16"/>
  <c r="H219" i="16"/>
  <c r="H216" i="16"/>
  <c r="H215" i="16"/>
  <c r="H214" i="16"/>
  <c r="H213" i="16"/>
  <c r="H212" i="16"/>
  <c r="H210" i="16"/>
  <c r="H251" i="16" s="1"/>
  <c r="H209" i="16"/>
  <c r="H208" i="16"/>
  <c r="H207" i="16"/>
  <c r="H206" i="16"/>
  <c r="H204" i="16"/>
  <c r="H203" i="16"/>
  <c r="H202" i="16"/>
  <c r="H201" i="16"/>
  <c r="H200" i="16"/>
  <c r="H199" i="16"/>
  <c r="H197" i="16"/>
  <c r="H196" i="16"/>
  <c r="H195" i="16"/>
  <c r="H194" i="16"/>
  <c r="H192" i="16"/>
  <c r="H191" i="16"/>
  <c r="H190" i="16"/>
  <c r="H189" i="16"/>
  <c r="H187" i="16"/>
  <c r="H186" i="16"/>
  <c r="H185" i="16"/>
  <c r="H184" i="16"/>
  <c r="H182" i="16"/>
  <c r="H181" i="16"/>
  <c r="H180" i="16"/>
  <c r="H179" i="16"/>
  <c r="H178" i="16"/>
  <c r="H177" i="16"/>
  <c r="H175" i="16"/>
  <c r="H174" i="16"/>
  <c r="H173" i="16"/>
  <c r="H172" i="16"/>
  <c r="H171" i="16"/>
  <c r="H170" i="16"/>
  <c r="H169" i="16"/>
  <c r="H168" i="16"/>
  <c r="H167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93" i="16" s="1"/>
  <c r="H143" i="16"/>
  <c r="H142" i="16"/>
  <c r="H144" i="16" s="1"/>
  <c r="H141" i="16"/>
  <c r="H140" i="16"/>
  <c r="H138" i="16"/>
  <c r="H137" i="16"/>
  <c r="H136" i="16"/>
  <c r="H135" i="16"/>
  <c r="H139" i="16" s="1"/>
  <c r="H134" i="16"/>
  <c r="H133" i="16"/>
  <c r="H132" i="16"/>
  <c r="H131" i="16"/>
  <c r="H130" i="16"/>
  <c r="H128" i="16"/>
  <c r="H148" i="16" s="1"/>
  <c r="H127" i="16"/>
  <c r="H147" i="16" s="1"/>
  <c r="H126" i="16"/>
  <c r="H146" i="16" s="1"/>
  <c r="H125" i="16"/>
  <c r="H122" i="16"/>
  <c r="H123" i="16" s="1"/>
  <c r="H121" i="16"/>
  <c r="H119" i="16"/>
  <c r="H118" i="16"/>
  <c r="H117" i="16"/>
  <c r="H116" i="16"/>
  <c r="H115" i="16"/>
  <c r="H114" i="16"/>
  <c r="H113" i="16"/>
  <c r="H111" i="16"/>
  <c r="H110" i="16"/>
  <c r="H109" i="16"/>
  <c r="H108" i="16"/>
  <c r="H107" i="16"/>
  <c r="H105" i="16"/>
  <c r="H104" i="16"/>
  <c r="H103" i="16"/>
  <c r="H102" i="16"/>
  <c r="H101" i="16"/>
  <c r="H98" i="16"/>
  <c r="H94" i="16"/>
  <c r="H95" i="16" s="1"/>
  <c r="H93" i="16"/>
  <c r="H92" i="16"/>
  <c r="H259" i="16" s="1"/>
  <c r="H91" i="16"/>
  <c r="H90" i="16"/>
  <c r="H87" i="16"/>
  <c r="H86" i="16"/>
  <c r="H85" i="16"/>
  <c r="H89" i="16" s="1"/>
  <c r="H84" i="16"/>
  <c r="H81" i="16"/>
  <c r="H82" i="16" s="1"/>
  <c r="H80" i="16"/>
  <c r="H79" i="16"/>
  <c r="H78" i="16"/>
  <c r="H83" i="16" s="1"/>
  <c r="H75" i="16"/>
  <c r="H74" i="16"/>
  <c r="H76" i="16" s="1"/>
  <c r="H77" i="16" s="1"/>
  <c r="H73" i="16"/>
  <c r="H72" i="16"/>
  <c r="H69" i="16"/>
  <c r="H70" i="16" s="1"/>
  <c r="H71" i="16" s="1"/>
  <c r="H68" i="16"/>
  <c r="H67" i="16"/>
  <c r="H66" i="16"/>
  <c r="H63" i="16"/>
  <c r="H61" i="16"/>
  <c r="H59" i="16"/>
  <c r="H58" i="16"/>
  <c r="H56" i="16"/>
  <c r="H55" i="16"/>
  <c r="H54" i="16"/>
  <c r="H52" i="16"/>
  <c r="H51" i="16"/>
  <c r="H50" i="16"/>
  <c r="H49" i="16"/>
  <c r="H46" i="16"/>
  <c r="H47" i="16" s="1"/>
  <c r="H44" i="16"/>
  <c r="H45" i="16" s="1"/>
  <c r="H42" i="16"/>
  <c r="H41" i="16"/>
  <c r="H39" i="16"/>
  <c r="H40" i="16" s="1"/>
  <c r="H37" i="16"/>
  <c r="H38" i="16" s="1"/>
  <c r="H33" i="16"/>
  <c r="H34" i="16" s="1"/>
  <c r="H32" i="16"/>
  <c r="H31" i="16"/>
  <c r="H29" i="16"/>
  <c r="H30" i="16" s="1"/>
  <c r="H20" i="16"/>
  <c r="H19" i="16"/>
  <c r="H18" i="16"/>
  <c r="H17" i="16"/>
  <c r="H21" i="16" s="1"/>
  <c r="H22" i="16" s="1"/>
  <c r="H60" i="16" s="1"/>
  <c r="H14" i="16"/>
  <c r="H13" i="16"/>
  <c r="H12" i="16"/>
  <c r="H11" i="16"/>
  <c r="H15" i="16" s="1"/>
  <c r="H9" i="16"/>
  <c r="H262" i="15"/>
  <c r="H261" i="15"/>
  <c r="H263" i="15" s="1"/>
  <c r="H257" i="15"/>
  <c r="H258" i="15" s="1"/>
  <c r="H256" i="15"/>
  <c r="H255" i="15"/>
  <c r="H254" i="15"/>
  <c r="H253" i="15"/>
  <c r="H241" i="15"/>
  <c r="H240" i="15"/>
  <c r="H239" i="15"/>
  <c r="H238" i="15"/>
  <c r="H242" i="15" s="1"/>
  <c r="H235" i="15"/>
  <c r="H236" i="15" s="1"/>
  <c r="H234" i="15"/>
  <c r="H233" i="15"/>
  <c r="H232" i="15"/>
  <c r="H230" i="15"/>
  <c r="H229" i="15"/>
  <c r="H228" i="15"/>
  <c r="H227" i="15"/>
  <c r="H226" i="15"/>
  <c r="H225" i="15"/>
  <c r="H223" i="15"/>
  <c r="H222" i="15"/>
  <c r="H221" i="15"/>
  <c r="H220" i="15"/>
  <c r="H219" i="15"/>
  <c r="H216" i="15"/>
  <c r="H215" i="15"/>
  <c r="H214" i="15"/>
  <c r="H213" i="15"/>
  <c r="H212" i="15"/>
  <c r="H210" i="15"/>
  <c r="H251" i="15" s="1"/>
  <c r="H209" i="15"/>
  <c r="H208" i="15"/>
  <c r="H207" i="15"/>
  <c r="H206" i="15"/>
  <c r="H204" i="15"/>
  <c r="H203" i="15"/>
  <c r="H202" i="15"/>
  <c r="H201" i="15"/>
  <c r="H200" i="15"/>
  <c r="H199" i="15"/>
  <c r="H197" i="15"/>
  <c r="H196" i="15"/>
  <c r="H195" i="15"/>
  <c r="H194" i="15"/>
  <c r="H192" i="15"/>
  <c r="H191" i="15"/>
  <c r="H190" i="15"/>
  <c r="H189" i="15"/>
  <c r="H187" i="15"/>
  <c r="H186" i="15"/>
  <c r="H185" i="15"/>
  <c r="H184" i="15"/>
  <c r="H182" i="15"/>
  <c r="H181" i="15"/>
  <c r="H180" i="15"/>
  <c r="H179" i="15"/>
  <c r="H178" i="15"/>
  <c r="H177" i="15"/>
  <c r="H175" i="15"/>
  <c r="H174" i="15"/>
  <c r="H173" i="15"/>
  <c r="H172" i="15"/>
  <c r="H171" i="15"/>
  <c r="H170" i="15"/>
  <c r="H169" i="15"/>
  <c r="H168" i="15"/>
  <c r="H167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93" i="15" s="1"/>
  <c r="H145" i="15"/>
  <c r="H143" i="15"/>
  <c r="H142" i="15"/>
  <c r="H144" i="15" s="1"/>
  <c r="H141" i="15"/>
  <c r="H140" i="15"/>
  <c r="H138" i="15"/>
  <c r="H137" i="15"/>
  <c r="H136" i="15"/>
  <c r="H135" i="15"/>
  <c r="H139" i="15" s="1"/>
  <c r="H134" i="15"/>
  <c r="H133" i="15"/>
  <c r="H132" i="15"/>
  <c r="H131" i="15"/>
  <c r="H130" i="15"/>
  <c r="H128" i="15"/>
  <c r="H148" i="15" s="1"/>
  <c r="H127" i="15"/>
  <c r="H147" i="15" s="1"/>
  <c r="H126" i="15"/>
  <c r="H146" i="15" s="1"/>
  <c r="H125" i="15"/>
  <c r="H122" i="15"/>
  <c r="H121" i="15"/>
  <c r="H123" i="15" s="1"/>
  <c r="H119" i="15"/>
  <c r="H118" i="15"/>
  <c r="H117" i="15"/>
  <c r="H116" i="15"/>
  <c r="H115" i="15"/>
  <c r="H114" i="15"/>
  <c r="H113" i="15"/>
  <c r="H111" i="15"/>
  <c r="H110" i="15"/>
  <c r="H109" i="15"/>
  <c r="H108" i="15"/>
  <c r="H107" i="15"/>
  <c r="H105" i="15"/>
  <c r="H104" i="15"/>
  <c r="H103" i="15"/>
  <c r="H102" i="15"/>
  <c r="H101" i="15"/>
  <c r="H98" i="15"/>
  <c r="H94" i="15"/>
  <c r="H95" i="15" s="1"/>
  <c r="H93" i="15"/>
  <c r="H92" i="15"/>
  <c r="H259" i="15" s="1"/>
  <c r="H91" i="15"/>
  <c r="H90" i="15"/>
  <c r="H87" i="15"/>
  <c r="H86" i="15"/>
  <c r="H85" i="15"/>
  <c r="H89" i="15" s="1"/>
  <c r="H84" i="15"/>
  <c r="H81" i="15"/>
  <c r="H82" i="15" s="1"/>
  <c r="H80" i="15"/>
  <c r="H79" i="15"/>
  <c r="H78" i="15"/>
  <c r="H83" i="15" s="1"/>
  <c r="H75" i="15"/>
  <c r="H74" i="15"/>
  <c r="H76" i="15" s="1"/>
  <c r="H77" i="15" s="1"/>
  <c r="H73" i="15"/>
  <c r="H72" i="15"/>
  <c r="H69" i="15"/>
  <c r="H70" i="15" s="1"/>
  <c r="H71" i="15" s="1"/>
  <c r="H68" i="15"/>
  <c r="H67" i="15"/>
  <c r="H66" i="15"/>
  <c r="H63" i="15"/>
  <c r="H62" i="15"/>
  <c r="H61" i="15"/>
  <c r="H59" i="15"/>
  <c r="H58" i="15"/>
  <c r="H56" i="15"/>
  <c r="H55" i="15"/>
  <c r="H54" i="15"/>
  <c r="H52" i="15"/>
  <c r="H51" i="15"/>
  <c r="H50" i="15"/>
  <c r="H49" i="15"/>
  <c r="H46" i="15"/>
  <c r="H47" i="15" s="1"/>
  <c r="H44" i="15"/>
  <c r="H45" i="15" s="1"/>
  <c r="H42" i="15"/>
  <c r="H41" i="15"/>
  <c r="H39" i="15"/>
  <c r="H40" i="15" s="1"/>
  <c r="H37" i="15"/>
  <c r="H38" i="15" s="1"/>
  <c r="H33" i="15"/>
  <c r="H34" i="15" s="1"/>
  <c r="H32" i="15"/>
  <c r="H31" i="15"/>
  <c r="H29" i="15"/>
  <c r="H30" i="15" s="1"/>
  <c r="H20" i="15"/>
  <c r="H19" i="15"/>
  <c r="H18" i="15"/>
  <c r="H17" i="15"/>
  <c r="H21" i="15" s="1"/>
  <c r="H22" i="15" s="1"/>
  <c r="H60" i="15" s="1"/>
  <c r="H14" i="15"/>
  <c r="H13" i="15"/>
  <c r="H12" i="15"/>
  <c r="H11" i="15"/>
  <c r="H15" i="15" s="1"/>
  <c r="H9" i="15"/>
  <c r="H9" i="14"/>
  <c r="H11" i="14"/>
  <c r="H12" i="14"/>
  <c r="H13" i="14"/>
  <c r="H14" i="14"/>
  <c r="H15" i="14" s="1"/>
  <c r="H17" i="14"/>
  <c r="H21" i="14" s="1"/>
  <c r="H18" i="14"/>
  <c r="H19" i="14"/>
  <c r="H20" i="14"/>
  <c r="H24" i="14"/>
  <c r="H25" i="14" s="1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4" i="14"/>
  <c r="H45" i="14" s="1"/>
  <c r="H46" i="14"/>
  <c r="H47" i="14"/>
  <c r="H49" i="14"/>
  <c r="H50" i="14"/>
  <c r="H51" i="14"/>
  <c r="H52" i="14"/>
  <c r="H54" i="14"/>
  <c r="H55" i="14"/>
  <c r="H56" i="14"/>
  <c r="H58" i="14"/>
  <c r="H59" i="14" s="1"/>
  <c r="H61" i="14"/>
  <c r="H62" i="14"/>
  <c r="H63" i="14"/>
  <c r="H66" i="14"/>
  <c r="H71" i="14" s="1"/>
  <c r="H67" i="14"/>
  <c r="H68" i="14"/>
  <c r="H70" i="14" s="1"/>
  <c r="H69" i="14"/>
  <c r="H72" i="14"/>
  <c r="H73" i="14"/>
  <c r="H74" i="14"/>
  <c r="H76" i="14"/>
  <c r="H77" i="14"/>
  <c r="H78" i="14"/>
  <c r="H79" i="14"/>
  <c r="H81" i="14"/>
  <c r="H82" i="14"/>
  <c r="H83" i="14" s="1"/>
  <c r="H84" i="14"/>
  <c r="H89" i="14" s="1"/>
  <c r="H85" i="14"/>
  <c r="H87" i="14"/>
  <c r="H90" i="14"/>
  <c r="H91" i="14"/>
  <c r="H92" i="14"/>
  <c r="H93" i="14"/>
  <c r="H94" i="14" s="1"/>
  <c r="H95" i="14" s="1"/>
  <c r="H98" i="14"/>
  <c r="H101" i="14"/>
  <c r="H102" i="14"/>
  <c r="H103" i="14"/>
  <c r="H104" i="14"/>
  <c r="H105" i="14"/>
  <c r="H107" i="14"/>
  <c r="H111" i="14" s="1"/>
  <c r="H118" i="14" s="1"/>
  <c r="H119" i="14" s="1"/>
  <c r="H108" i="14"/>
  <c r="H109" i="14"/>
  <c r="H110" i="14"/>
  <c r="H113" i="14"/>
  <c r="H114" i="14"/>
  <c r="H115" i="14"/>
  <c r="H116" i="14"/>
  <c r="H117" i="14"/>
  <c r="H121" i="14"/>
  <c r="H122" i="14"/>
  <c r="H123" i="14"/>
  <c r="H125" i="14"/>
  <c r="H129" i="14" s="1"/>
  <c r="H149" i="14" s="1"/>
  <c r="H126" i="14"/>
  <c r="H127" i="14"/>
  <c r="H147" i="14" s="1"/>
  <c r="H128" i="14"/>
  <c r="H148" i="14" s="1"/>
  <c r="H130" i="14"/>
  <c r="H131" i="14"/>
  <c r="H132" i="14"/>
  <c r="H134" i="14" s="1"/>
  <c r="H133" i="14"/>
  <c r="H135" i="14"/>
  <c r="H139" i="14" s="1"/>
  <c r="H136" i="14"/>
  <c r="H146" i="14" s="1"/>
  <c r="H137" i="14"/>
  <c r="H138" i="14"/>
  <c r="H140" i="14"/>
  <c r="H141" i="14"/>
  <c r="H142" i="14"/>
  <c r="H143" i="14"/>
  <c r="H144" i="14"/>
  <c r="H153" i="14"/>
  <c r="H154" i="14"/>
  <c r="H193" i="14" s="1"/>
  <c r="H155" i="14"/>
  <c r="H156" i="14"/>
  <c r="H157" i="14"/>
  <c r="H158" i="14"/>
  <c r="H159" i="14"/>
  <c r="H160" i="14"/>
  <c r="H161" i="14"/>
  <c r="H162" i="14"/>
  <c r="H163" i="14"/>
  <c r="H164" i="14"/>
  <c r="H165" i="14"/>
  <c r="H167" i="14"/>
  <c r="H168" i="14"/>
  <c r="H169" i="14"/>
  <c r="H170" i="14"/>
  <c r="H171" i="14"/>
  <c r="H172" i="14"/>
  <c r="H173" i="14"/>
  <c r="H174" i="14"/>
  <c r="H175" i="14"/>
  <c r="H177" i="14"/>
  <c r="H178" i="14"/>
  <c r="H179" i="14"/>
  <c r="H180" i="14"/>
  <c r="H181" i="14"/>
  <c r="H182" i="14"/>
  <c r="H184" i="14"/>
  <c r="H185" i="14"/>
  <c r="H186" i="14"/>
  <c r="H187" i="14"/>
  <c r="H189" i="14"/>
  <c r="H190" i="14"/>
  <c r="H191" i="14"/>
  <c r="H192" i="14"/>
  <c r="H194" i="14"/>
  <c r="H195" i="14"/>
  <c r="H196" i="14"/>
  <c r="H197" i="14"/>
  <c r="H199" i="14"/>
  <c r="H200" i="14"/>
  <c r="H201" i="14"/>
  <c r="H202" i="14"/>
  <c r="H203" i="14"/>
  <c r="H204" i="14"/>
  <c r="H206" i="14"/>
  <c r="H207" i="14"/>
  <c r="H208" i="14"/>
  <c r="H209" i="14"/>
  <c r="H210" i="14"/>
  <c r="H212" i="14"/>
  <c r="H213" i="14"/>
  <c r="H214" i="14"/>
  <c r="H215" i="14"/>
  <c r="H216" i="14"/>
  <c r="H217" i="14"/>
  <c r="H219" i="14"/>
  <c r="H220" i="14"/>
  <c r="H221" i="14"/>
  <c r="H222" i="14"/>
  <c r="H223" i="14"/>
  <c r="H250" i="14" s="1"/>
  <c r="H225" i="14"/>
  <c r="H226" i="14"/>
  <c r="H227" i="14"/>
  <c r="H228" i="14"/>
  <c r="H229" i="14"/>
  <c r="H230" i="14"/>
  <c r="H232" i="14"/>
  <c r="H233" i="14"/>
  <c r="H234" i="14"/>
  <c r="H235" i="14"/>
  <c r="H236" i="14"/>
  <c r="H238" i="14"/>
  <c r="H242" i="14" s="1"/>
  <c r="H239" i="14"/>
  <c r="H240" i="14"/>
  <c r="H241" i="14"/>
  <c r="H245" i="14"/>
  <c r="H246" i="14"/>
  <c r="H247" i="14"/>
  <c r="H253" i="14"/>
  <c r="H254" i="14"/>
  <c r="H255" i="14"/>
  <c r="H256" i="14"/>
  <c r="H257" i="14"/>
  <c r="H258" i="14" s="1"/>
  <c r="H259" i="14"/>
  <c r="H261" i="14"/>
  <c r="H262" i="14"/>
  <c r="H263" i="14" s="1"/>
  <c r="G176" i="17"/>
  <c r="G166" i="17"/>
  <c r="G40" i="17"/>
  <c r="G39" i="17"/>
  <c r="G38" i="17"/>
  <c r="G37" i="17"/>
  <c r="G36" i="17"/>
  <c r="G35" i="17"/>
  <c r="G34" i="17"/>
  <c r="G33" i="17"/>
  <c r="G32" i="17"/>
  <c r="G31" i="17"/>
  <c r="O262" i="11"/>
  <c r="O261" i="11"/>
  <c r="O257" i="11"/>
  <c r="O254" i="11"/>
  <c r="O253" i="11"/>
  <c r="O246" i="11"/>
  <c r="O245" i="11"/>
  <c r="O241" i="11"/>
  <c r="O240" i="11"/>
  <c r="O239" i="11"/>
  <c r="O238" i="11"/>
  <c r="O235" i="11"/>
  <c r="O234" i="11"/>
  <c r="O233" i="11"/>
  <c r="O232" i="11"/>
  <c r="O228" i="11"/>
  <c r="O227" i="11"/>
  <c r="O226" i="11"/>
  <c r="O225" i="11"/>
  <c r="O222" i="11"/>
  <c r="O221" i="11"/>
  <c r="O220" i="11"/>
  <c r="O219" i="11"/>
  <c r="O215" i="11"/>
  <c r="O214" i="11"/>
  <c r="O213" i="11"/>
  <c r="O212" i="11"/>
  <c r="O209" i="11"/>
  <c r="O208" i="11"/>
  <c r="O207" i="11"/>
  <c r="O206" i="11"/>
  <c r="O203" i="11"/>
  <c r="O202" i="11"/>
  <c r="O201" i="11"/>
  <c r="O200" i="11"/>
  <c r="O199" i="11"/>
  <c r="O197" i="11"/>
  <c r="O196" i="11"/>
  <c r="O195" i="11"/>
  <c r="O194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43" i="11"/>
  <c r="O142" i="11"/>
  <c r="O141" i="11"/>
  <c r="O140" i="11"/>
  <c r="O138" i="11"/>
  <c r="O137" i="11"/>
  <c r="O136" i="11"/>
  <c r="O135" i="11"/>
  <c r="O133" i="11"/>
  <c r="O132" i="11"/>
  <c r="O131" i="11"/>
  <c r="O130" i="11"/>
  <c r="O134" i="11" s="1"/>
  <c r="O128" i="11"/>
  <c r="O127" i="11"/>
  <c r="O126" i="11"/>
  <c r="O129" i="11" s="1"/>
  <c r="O125" i="11"/>
  <c r="O122" i="11"/>
  <c r="O121" i="11"/>
  <c r="O116" i="11"/>
  <c r="O115" i="11"/>
  <c r="O114" i="11"/>
  <c r="O113" i="11"/>
  <c r="O110" i="11"/>
  <c r="O109" i="11"/>
  <c r="O108" i="11"/>
  <c r="O107" i="11"/>
  <c r="O104" i="11"/>
  <c r="O103" i="11"/>
  <c r="O102" i="11"/>
  <c r="O101" i="11"/>
  <c r="O98" i="11"/>
  <c r="O96" i="11"/>
  <c r="O87" i="11"/>
  <c r="O86" i="11"/>
  <c r="O85" i="11"/>
  <c r="O84" i="11"/>
  <c r="O81" i="11"/>
  <c r="O80" i="11"/>
  <c r="O79" i="11"/>
  <c r="O78" i="11"/>
  <c r="O75" i="11"/>
  <c r="O74" i="11"/>
  <c r="O73" i="11"/>
  <c r="O72" i="11"/>
  <c r="O69" i="11"/>
  <c r="O68" i="11"/>
  <c r="O67" i="11"/>
  <c r="O66" i="11"/>
  <c r="O63" i="11"/>
  <c r="O61" i="11"/>
  <c r="O56" i="11"/>
  <c r="O55" i="11"/>
  <c r="O54" i="11"/>
  <c r="O52" i="11"/>
  <c r="O51" i="11"/>
  <c r="O50" i="11"/>
  <c r="O49" i="11"/>
  <c r="O44" i="11"/>
  <c r="O39" i="11"/>
  <c r="O37" i="11"/>
  <c r="O35" i="11"/>
  <c r="O33" i="11"/>
  <c r="O31" i="11"/>
  <c r="O29" i="11"/>
  <c r="O20" i="11"/>
  <c r="O19" i="11"/>
  <c r="O18" i="11"/>
  <c r="O17" i="11"/>
  <c r="O14" i="11"/>
  <c r="O13" i="11"/>
  <c r="O12" i="11"/>
  <c r="O11" i="11"/>
  <c r="O9" i="11"/>
  <c r="O46" i="3"/>
  <c r="O46" i="2"/>
  <c r="H245" i="17" l="1"/>
  <c r="H247" i="17" s="1"/>
  <c r="H246" i="17"/>
  <c r="H62" i="17"/>
  <c r="H129" i="17"/>
  <c r="H149" i="17" s="1"/>
  <c r="H145" i="17"/>
  <c r="H250" i="17"/>
  <c r="H217" i="17"/>
  <c r="H60" i="13"/>
  <c r="H24" i="13"/>
  <c r="H25" i="13" s="1"/>
  <c r="H243" i="13"/>
  <c r="H149" i="13"/>
  <c r="H145" i="13"/>
  <c r="H243" i="16"/>
  <c r="H245" i="16" s="1"/>
  <c r="H24" i="16"/>
  <c r="H25" i="16" s="1"/>
  <c r="H62" i="16"/>
  <c r="H129" i="16"/>
  <c r="H149" i="16" s="1"/>
  <c r="H145" i="16"/>
  <c r="H217" i="16"/>
  <c r="H24" i="15"/>
  <c r="H25" i="15" s="1"/>
  <c r="H243" i="15"/>
  <c r="H245" i="15"/>
  <c r="H246" i="15"/>
  <c r="H217" i="15"/>
  <c r="H129" i="15"/>
  <c r="H149" i="15" s="1"/>
  <c r="H250" i="15"/>
  <c r="H243" i="14"/>
  <c r="H22" i="14"/>
  <c r="H251" i="14"/>
  <c r="H60" i="14"/>
  <c r="H249" i="14"/>
  <c r="H145" i="14"/>
  <c r="O147" i="11"/>
  <c r="O144" i="11"/>
  <c r="O216" i="11"/>
  <c r="O229" i="11"/>
  <c r="O230" i="11" s="1"/>
  <c r="O15" i="11"/>
  <c r="O123" i="11"/>
  <c r="O263" i="11"/>
  <c r="O117" i="11"/>
  <c r="O223" i="11"/>
  <c r="O21" i="11"/>
  <c r="O111" i="11"/>
  <c r="O145" i="11"/>
  <c r="O204" i="11"/>
  <c r="O242" i="11"/>
  <c r="O105" i="11"/>
  <c r="O148" i="11"/>
  <c r="O210" i="11"/>
  <c r="O236" i="11"/>
  <c r="O247" i="11"/>
  <c r="O250" i="11"/>
  <c r="O251" i="11"/>
  <c r="O217" i="11"/>
  <c r="O139" i="11"/>
  <c r="O146" i="11"/>
  <c r="H249" i="13" l="1"/>
  <c r="H245" i="13"/>
  <c r="H250" i="13" s="1"/>
  <c r="H246" i="16"/>
  <c r="H247" i="16" s="1"/>
  <c r="H250" i="16"/>
  <c r="H249" i="16"/>
  <c r="H249" i="15"/>
  <c r="H247" i="15"/>
  <c r="O149" i="11"/>
  <c r="O22" i="11"/>
  <c r="O24" i="11" s="1"/>
  <c r="O25" i="11" s="1"/>
  <c r="O118" i="11"/>
  <c r="O119" i="11" s="1"/>
  <c r="O243" i="11"/>
  <c r="H246" i="13" l="1"/>
  <c r="H247" i="13"/>
  <c r="O46" i="1"/>
  <c r="O46" i="11" s="1"/>
  <c r="N262" i="11" l="1"/>
  <c r="N261" i="11"/>
  <c r="N263" i="11" s="1"/>
  <c r="N257" i="11"/>
  <c r="N254" i="11"/>
  <c r="N253" i="11"/>
  <c r="N245" i="11"/>
  <c r="N241" i="11"/>
  <c r="N240" i="11"/>
  <c r="N239" i="11"/>
  <c r="N238" i="11"/>
  <c r="N235" i="11"/>
  <c r="N234" i="11"/>
  <c r="N233" i="11"/>
  <c r="N232" i="11"/>
  <c r="N228" i="11"/>
  <c r="N227" i="11"/>
  <c r="N226" i="11"/>
  <c r="N225" i="11"/>
  <c r="N222" i="11"/>
  <c r="N221" i="11"/>
  <c r="N220" i="11"/>
  <c r="N219" i="11"/>
  <c r="N215" i="11"/>
  <c r="N214" i="11"/>
  <c r="N213" i="11"/>
  <c r="N212" i="11"/>
  <c r="N216" i="11" s="1"/>
  <c r="N209" i="11"/>
  <c r="N208" i="11"/>
  <c r="N207" i="11"/>
  <c r="N206" i="11"/>
  <c r="N203" i="11"/>
  <c r="N202" i="11"/>
  <c r="N201" i="11"/>
  <c r="N200" i="11"/>
  <c r="N199" i="11"/>
  <c r="N197" i="11"/>
  <c r="N196" i="11"/>
  <c r="N195" i="11"/>
  <c r="N194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43" i="11"/>
  <c r="N142" i="11"/>
  <c r="N141" i="11"/>
  <c r="N140" i="11"/>
  <c r="N138" i="11"/>
  <c r="N137" i="11"/>
  <c r="N136" i="11"/>
  <c r="N135" i="11"/>
  <c r="N133" i="11"/>
  <c r="N132" i="11"/>
  <c r="N131" i="11"/>
  <c r="N130" i="11"/>
  <c r="N128" i="11"/>
  <c r="N127" i="11"/>
  <c r="N147" i="11" s="1"/>
  <c r="N126" i="11"/>
  <c r="N125" i="11"/>
  <c r="N122" i="11"/>
  <c r="N121" i="11"/>
  <c r="N116" i="11"/>
  <c r="N115" i="11"/>
  <c r="N114" i="11"/>
  <c r="N113" i="11"/>
  <c r="N110" i="11"/>
  <c r="N109" i="11"/>
  <c r="N108" i="11"/>
  <c r="N107" i="11"/>
  <c r="N111" i="11" s="1"/>
  <c r="N104" i="11"/>
  <c r="N103" i="11"/>
  <c r="N102" i="11"/>
  <c r="N101" i="11"/>
  <c r="N98" i="11"/>
  <c r="N96" i="11"/>
  <c r="N87" i="11"/>
  <c r="N86" i="11"/>
  <c r="N85" i="11"/>
  <c r="N84" i="11"/>
  <c r="N81" i="11"/>
  <c r="N80" i="11"/>
  <c r="N79" i="11"/>
  <c r="N78" i="11"/>
  <c r="N75" i="11"/>
  <c r="N74" i="11"/>
  <c r="N73" i="11"/>
  <c r="N72" i="11"/>
  <c r="N69" i="11"/>
  <c r="N68" i="11"/>
  <c r="N67" i="11"/>
  <c r="N66" i="11"/>
  <c r="N63" i="11"/>
  <c r="N61" i="11"/>
  <c r="N56" i="11"/>
  <c r="N55" i="11"/>
  <c r="N54" i="11"/>
  <c r="N52" i="11"/>
  <c r="N51" i="11"/>
  <c r="N50" i="11"/>
  <c r="N49" i="11"/>
  <c r="N44" i="11"/>
  <c r="N39" i="11"/>
  <c r="N37" i="11"/>
  <c r="N35" i="11"/>
  <c r="N33" i="11"/>
  <c r="N31" i="11"/>
  <c r="N29" i="11"/>
  <c r="N20" i="11"/>
  <c r="N19" i="11"/>
  <c r="N18" i="11"/>
  <c r="N17" i="11"/>
  <c r="N14" i="11"/>
  <c r="N13" i="11"/>
  <c r="N12" i="11"/>
  <c r="N11" i="11"/>
  <c r="N9" i="11"/>
  <c r="N46" i="3"/>
  <c r="N246" i="11"/>
  <c r="N46" i="2"/>
  <c r="N46" i="1"/>
  <c r="N134" i="11" l="1"/>
  <c r="N144" i="11"/>
  <c r="N123" i="11"/>
  <c r="N46" i="11"/>
  <c r="N21" i="11"/>
  <c r="N22" i="11" s="1"/>
  <c r="N24" i="11" s="1"/>
  <c r="N25" i="11" s="1"/>
  <c r="N105" i="11"/>
  <c r="N139" i="11"/>
  <c r="N15" i="11"/>
  <c r="N204" i="11"/>
  <c r="N145" i="11"/>
  <c r="N146" i="11"/>
  <c r="N117" i="11"/>
  <c r="N118" i="11" s="1"/>
  <c r="N210" i="11"/>
  <c r="N217" i="11" s="1"/>
  <c r="N223" i="11"/>
  <c r="N247" i="11"/>
  <c r="N236" i="11"/>
  <c r="N242" i="11"/>
  <c r="N229" i="11"/>
  <c r="N148" i="11"/>
  <c r="N129" i="11"/>
  <c r="N119" i="11" l="1"/>
  <c r="N149" i="11"/>
  <c r="N230" i="11"/>
  <c r="N243" i="11" s="1"/>
  <c r="N251" i="11"/>
  <c r="N250" i="11"/>
  <c r="G262" i="16"/>
  <c r="G261" i="16"/>
  <c r="G263" i="16" s="1"/>
  <c r="G257" i="16"/>
  <c r="G256" i="16"/>
  <c r="G255" i="16"/>
  <c r="G254" i="16"/>
  <c r="G253" i="16"/>
  <c r="G246" i="16"/>
  <c r="G245" i="16"/>
  <c r="G247" i="16" s="1"/>
  <c r="G241" i="16"/>
  <c r="G240" i="16"/>
  <c r="G242" i="16" s="1"/>
  <c r="G239" i="16"/>
  <c r="G238" i="16"/>
  <c r="G235" i="16"/>
  <c r="G234" i="16"/>
  <c r="G233" i="16"/>
  <c r="G232" i="16"/>
  <c r="G228" i="16"/>
  <c r="G227" i="16"/>
  <c r="G226" i="16"/>
  <c r="G225" i="16"/>
  <c r="G222" i="16"/>
  <c r="G221" i="16"/>
  <c r="G220" i="16"/>
  <c r="G219" i="16"/>
  <c r="G215" i="16"/>
  <c r="G214" i="16"/>
  <c r="G216" i="16" s="1"/>
  <c r="G213" i="16"/>
  <c r="G212" i="16"/>
  <c r="G209" i="16"/>
  <c r="G208" i="16"/>
  <c r="G207" i="16"/>
  <c r="G206" i="16"/>
  <c r="G203" i="16"/>
  <c r="G202" i="16"/>
  <c r="G201" i="16"/>
  <c r="G200" i="16"/>
  <c r="G199" i="16"/>
  <c r="G197" i="16"/>
  <c r="G196" i="16"/>
  <c r="G195" i="16"/>
  <c r="G194" i="16"/>
  <c r="G192" i="16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43" i="16"/>
  <c r="G142" i="16"/>
  <c r="G141" i="16"/>
  <c r="G140" i="16"/>
  <c r="G138" i="16"/>
  <c r="G137" i="16"/>
  <c r="G136" i="16"/>
  <c r="G135" i="16"/>
  <c r="G130" i="16"/>
  <c r="G133" i="16"/>
  <c r="G132" i="16"/>
  <c r="G131" i="16"/>
  <c r="G128" i="16"/>
  <c r="G127" i="16"/>
  <c r="G126" i="16"/>
  <c r="G125" i="16"/>
  <c r="G122" i="16"/>
  <c r="G123" i="16" s="1"/>
  <c r="G121" i="16"/>
  <c r="G116" i="16"/>
  <c r="G115" i="16"/>
  <c r="G114" i="16"/>
  <c r="G113" i="16"/>
  <c r="G110" i="16"/>
  <c r="G109" i="16"/>
  <c r="G108" i="16"/>
  <c r="G111" i="16" s="1"/>
  <c r="G107" i="16"/>
  <c r="G104" i="16"/>
  <c r="G103" i="16"/>
  <c r="G102" i="16"/>
  <c r="G101" i="16"/>
  <c r="G98" i="16"/>
  <c r="G87" i="16"/>
  <c r="G86" i="16"/>
  <c r="G85" i="16"/>
  <c r="G84" i="16"/>
  <c r="G81" i="16"/>
  <c r="G80" i="16"/>
  <c r="G79" i="16"/>
  <c r="G78" i="16"/>
  <c r="G75" i="16"/>
  <c r="G74" i="16"/>
  <c r="G73" i="16"/>
  <c r="G72" i="16"/>
  <c r="G69" i="16"/>
  <c r="G68" i="16"/>
  <c r="G67" i="16"/>
  <c r="G66" i="16"/>
  <c r="G63" i="16"/>
  <c r="G61" i="16"/>
  <c r="G56" i="16"/>
  <c r="G55" i="16"/>
  <c r="G54" i="16"/>
  <c r="G52" i="16"/>
  <c r="G51" i="16"/>
  <c r="G50" i="16"/>
  <c r="G49" i="16"/>
  <c r="G46" i="16"/>
  <c r="G44" i="16"/>
  <c r="G29" i="16"/>
  <c r="G20" i="16"/>
  <c r="G19" i="16"/>
  <c r="G18" i="16"/>
  <c r="G17" i="16"/>
  <c r="G14" i="16"/>
  <c r="G13" i="16"/>
  <c r="G12" i="16"/>
  <c r="G11" i="16"/>
  <c r="G9" i="16"/>
  <c r="G146" i="16"/>
  <c r="G39" i="16"/>
  <c r="G37" i="16"/>
  <c r="G36" i="16"/>
  <c r="G35" i="16"/>
  <c r="G33" i="16"/>
  <c r="G31" i="16"/>
  <c r="M262" i="11"/>
  <c r="M261" i="11"/>
  <c r="M257" i="11"/>
  <c r="M254" i="11"/>
  <c r="M253" i="11"/>
  <c r="M246" i="11"/>
  <c r="M245" i="11"/>
  <c r="M241" i="11"/>
  <c r="M240" i="11"/>
  <c r="M239" i="11"/>
  <c r="M238" i="11"/>
  <c r="M235" i="11"/>
  <c r="M234" i="11"/>
  <c r="M233" i="11"/>
  <c r="M232" i="11"/>
  <c r="M228" i="11"/>
  <c r="M227" i="11"/>
  <c r="M226" i="11"/>
  <c r="M225" i="11"/>
  <c r="M222" i="11"/>
  <c r="M221" i="11"/>
  <c r="M220" i="11"/>
  <c r="M219" i="11"/>
  <c r="M215" i="11"/>
  <c r="M214" i="11"/>
  <c r="M213" i="11"/>
  <c r="M212" i="11"/>
  <c r="M209" i="11"/>
  <c r="M208" i="11"/>
  <c r="M207" i="11"/>
  <c r="M206" i="11"/>
  <c r="M203" i="11"/>
  <c r="M202" i="11"/>
  <c r="M201" i="11"/>
  <c r="M200" i="11"/>
  <c r="M199" i="11"/>
  <c r="M197" i="11"/>
  <c r="M196" i="11"/>
  <c r="M195" i="11"/>
  <c r="M194" i="11"/>
  <c r="M192" i="11"/>
  <c r="M191" i="11"/>
  <c r="M190" i="11"/>
  <c r="M189" i="11"/>
  <c r="M188" i="11"/>
  <c r="M187" i="11"/>
  <c r="M186" i="11"/>
  <c r="M185" i="11"/>
  <c r="M184" i="11"/>
  <c r="M183" i="11"/>
  <c r="M18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43" i="11"/>
  <c r="M142" i="11"/>
  <c r="M141" i="11"/>
  <c r="M140" i="11"/>
  <c r="M138" i="11"/>
  <c r="M137" i="11"/>
  <c r="M136" i="11"/>
  <c r="M135" i="11"/>
  <c r="M133" i="11"/>
  <c r="M132" i="11"/>
  <c r="M131" i="11"/>
  <c r="M130" i="11"/>
  <c r="M128" i="11"/>
  <c r="M127" i="11"/>
  <c r="M126" i="11"/>
  <c r="M125" i="11"/>
  <c r="M145" i="11" s="1"/>
  <c r="M122" i="11"/>
  <c r="M121" i="11"/>
  <c r="M116" i="11"/>
  <c r="M115" i="11"/>
  <c r="M114" i="11"/>
  <c r="M113" i="11"/>
  <c r="M110" i="11"/>
  <c r="M109" i="11"/>
  <c r="M108" i="11"/>
  <c r="M107" i="11"/>
  <c r="M104" i="11"/>
  <c r="M103" i="11"/>
  <c r="M102" i="11"/>
  <c r="M101" i="11"/>
  <c r="M98" i="11"/>
  <c r="M96" i="11"/>
  <c r="M87" i="11"/>
  <c r="M86" i="11"/>
  <c r="M85" i="11"/>
  <c r="M84" i="11"/>
  <c r="M81" i="11"/>
  <c r="M80" i="11"/>
  <c r="M79" i="11"/>
  <c r="M78" i="11"/>
  <c r="M75" i="11"/>
  <c r="M74" i="11"/>
  <c r="M73" i="11"/>
  <c r="M72" i="11"/>
  <c r="M69" i="11"/>
  <c r="M68" i="11"/>
  <c r="M67" i="11"/>
  <c r="M66" i="11"/>
  <c r="M63" i="11"/>
  <c r="M61" i="11"/>
  <c r="M56" i="11"/>
  <c r="M55" i="11"/>
  <c r="M54" i="11"/>
  <c r="M52" i="11"/>
  <c r="M51" i="11"/>
  <c r="M50" i="11"/>
  <c r="M49" i="11"/>
  <c r="M44" i="11"/>
  <c r="M39" i="11"/>
  <c r="M37" i="11"/>
  <c r="M35" i="11"/>
  <c r="M33" i="11"/>
  <c r="M31" i="11"/>
  <c r="M29" i="11"/>
  <c r="M20" i="11"/>
  <c r="M19" i="11"/>
  <c r="M18" i="11"/>
  <c r="M17" i="11"/>
  <c r="M14" i="11"/>
  <c r="M13" i="11"/>
  <c r="M12" i="11"/>
  <c r="M11" i="11"/>
  <c r="M9" i="11"/>
  <c r="M46" i="3"/>
  <c r="M46" i="2"/>
  <c r="L88" i="1"/>
  <c r="M46" i="1"/>
  <c r="M15" i="1"/>
  <c r="M247" i="11" l="1"/>
  <c r="G93" i="16"/>
  <c r="M148" i="11"/>
  <c r="G15" i="16"/>
  <c r="M146" i="11"/>
  <c r="M223" i="11"/>
  <c r="M263" i="11"/>
  <c r="M236" i="11"/>
  <c r="G139" i="16"/>
  <c r="G210" i="16"/>
  <c r="G21" i="16"/>
  <c r="G223" i="16"/>
  <c r="G251" i="16" s="1"/>
  <c r="G117" i="16"/>
  <c r="M46" i="11"/>
  <c r="M139" i="11"/>
  <c r="M111" i="11"/>
  <c r="M216" i="11"/>
  <c r="M229" i="11"/>
  <c r="M105" i="11"/>
  <c r="M147" i="11"/>
  <c r="M149" i="11" s="1"/>
  <c r="M21" i="11"/>
  <c r="M134" i="11"/>
  <c r="M144" i="11"/>
  <c r="M210" i="11"/>
  <c r="M123" i="11"/>
  <c r="M204" i="11"/>
  <c r="M242" i="11"/>
  <c r="M117" i="11"/>
  <c r="G229" i="16"/>
  <c r="G230" i="16" s="1"/>
  <c r="G243" i="16" s="1"/>
  <c r="G204" i="16"/>
  <c r="G193" i="16"/>
  <c r="G91" i="16"/>
  <c r="G92" i="16"/>
  <c r="G94" i="16" s="1"/>
  <c r="M15" i="11"/>
  <c r="G144" i="16"/>
  <c r="G147" i="16"/>
  <c r="G134" i="16"/>
  <c r="G148" i="16"/>
  <c r="G129" i="16"/>
  <c r="G145" i="16"/>
  <c r="G105" i="16"/>
  <c r="G62" i="16"/>
  <c r="G30" i="16"/>
  <c r="G45" i="16"/>
  <c r="G47" i="16"/>
  <c r="G22" i="16"/>
  <c r="G24" i="16" s="1"/>
  <c r="G25" i="16" s="1"/>
  <c r="G118" i="16"/>
  <c r="G217" i="16"/>
  <c r="G90" i="16"/>
  <c r="M129" i="11"/>
  <c r="M230" i="11" l="1"/>
  <c r="G250" i="16"/>
  <c r="M217" i="11"/>
  <c r="M250" i="11"/>
  <c r="M251" i="11"/>
  <c r="M118" i="11"/>
  <c r="M119" i="11" s="1"/>
  <c r="G149" i="16"/>
  <c r="M22" i="11"/>
  <c r="M24" i="11" s="1"/>
  <c r="M25" i="11" s="1"/>
  <c r="M243" i="11"/>
  <c r="G95" i="16"/>
  <c r="G119" i="16"/>
  <c r="F221" i="15"/>
  <c r="G63" i="15"/>
  <c r="F63" i="15"/>
  <c r="E63" i="15"/>
  <c r="D63" i="15"/>
  <c r="G61" i="15"/>
  <c r="F61" i="15"/>
  <c r="E61" i="15"/>
  <c r="D61" i="15"/>
  <c r="G117" i="18" l="1"/>
  <c r="E82" i="18"/>
  <c r="E83" i="18" s="1"/>
  <c r="F82" i="18"/>
  <c r="G82" i="18"/>
  <c r="G83" i="18" s="1"/>
  <c r="H82" i="18"/>
  <c r="H83" i="18" s="1"/>
  <c r="I82" i="18"/>
  <c r="I83" i="18" s="1"/>
  <c r="F83" i="18"/>
  <c r="E88" i="18"/>
  <c r="E89" i="18" s="1"/>
  <c r="F88" i="18"/>
  <c r="F89" i="18" s="1"/>
  <c r="G88" i="18"/>
  <c r="G89" i="18" s="1"/>
  <c r="H88" i="18"/>
  <c r="H89" i="18" s="1"/>
  <c r="I88" i="18"/>
  <c r="I89" i="18" s="1"/>
  <c r="E90" i="18"/>
  <c r="F90" i="18"/>
  <c r="G90" i="18"/>
  <c r="H90" i="18"/>
  <c r="I90" i="18"/>
  <c r="E91" i="18"/>
  <c r="F91" i="18"/>
  <c r="G91" i="18"/>
  <c r="H91" i="18"/>
  <c r="I91" i="18"/>
  <c r="E92" i="18"/>
  <c r="F92" i="18"/>
  <c r="G92" i="18"/>
  <c r="H92" i="18"/>
  <c r="I92" i="18"/>
  <c r="E93" i="18"/>
  <c r="E94" i="18" s="1"/>
  <c r="E95" i="18" s="1"/>
  <c r="F93" i="18"/>
  <c r="G93" i="18"/>
  <c r="G94" i="18" s="1"/>
  <c r="G95" i="18" s="1"/>
  <c r="H93" i="18"/>
  <c r="H94" i="18" s="1"/>
  <c r="I93" i="18"/>
  <c r="I94" i="18" s="1"/>
  <c r="E71" i="18"/>
  <c r="F71" i="18"/>
  <c r="G71" i="18"/>
  <c r="H71" i="18"/>
  <c r="I71" i="18"/>
  <c r="E76" i="18"/>
  <c r="E77" i="18" s="1"/>
  <c r="F76" i="18"/>
  <c r="F77" i="18" s="1"/>
  <c r="G76" i="18"/>
  <c r="G77" i="18" s="1"/>
  <c r="H76" i="18"/>
  <c r="H77" i="18" s="1"/>
  <c r="I76" i="18"/>
  <c r="I77" i="18" s="1"/>
  <c r="D46" i="18"/>
  <c r="I263" i="18"/>
  <c r="H263" i="18"/>
  <c r="G263" i="18"/>
  <c r="F263" i="18"/>
  <c r="E263" i="18"/>
  <c r="D263" i="18"/>
  <c r="F258" i="18"/>
  <c r="E258" i="18"/>
  <c r="D258" i="18"/>
  <c r="I247" i="18"/>
  <c r="H247" i="18"/>
  <c r="G247" i="18"/>
  <c r="F247" i="18"/>
  <c r="E247" i="18"/>
  <c r="D247" i="18"/>
  <c r="I242" i="18"/>
  <c r="H242" i="18"/>
  <c r="G242" i="18"/>
  <c r="F242" i="18"/>
  <c r="E242" i="18"/>
  <c r="D242" i="18"/>
  <c r="I236" i="18"/>
  <c r="H236" i="18"/>
  <c r="G236" i="18"/>
  <c r="F236" i="18"/>
  <c r="E236" i="18"/>
  <c r="D236" i="18"/>
  <c r="I229" i="18"/>
  <c r="I230" i="18" s="1"/>
  <c r="I243" i="18" s="1"/>
  <c r="H229" i="18"/>
  <c r="G229" i="18"/>
  <c r="F229" i="18"/>
  <c r="E229" i="18"/>
  <c r="D229" i="18"/>
  <c r="I223" i="18"/>
  <c r="H223" i="18"/>
  <c r="G223" i="18"/>
  <c r="G250" i="18" s="1"/>
  <c r="F223" i="18"/>
  <c r="E223" i="18"/>
  <c r="D223" i="18"/>
  <c r="I216" i="18"/>
  <c r="H216" i="18"/>
  <c r="G216" i="18"/>
  <c r="F216" i="18"/>
  <c r="E216" i="18"/>
  <c r="D216" i="18"/>
  <c r="I210" i="18"/>
  <c r="H210" i="18"/>
  <c r="H251" i="18" s="1"/>
  <c r="G210" i="18"/>
  <c r="F210" i="18"/>
  <c r="E210" i="18"/>
  <c r="D210" i="18"/>
  <c r="I204" i="18"/>
  <c r="H204" i="18"/>
  <c r="G204" i="18"/>
  <c r="F204" i="18"/>
  <c r="E204" i="18"/>
  <c r="D204" i="18"/>
  <c r="I193" i="18"/>
  <c r="H193" i="18"/>
  <c r="G193" i="18"/>
  <c r="F193" i="18"/>
  <c r="E193" i="18"/>
  <c r="D193" i="18"/>
  <c r="I148" i="18"/>
  <c r="H148" i="18"/>
  <c r="G148" i="18"/>
  <c r="F148" i="18"/>
  <c r="E148" i="18"/>
  <c r="D148" i="18"/>
  <c r="I147" i="18"/>
  <c r="H147" i="18"/>
  <c r="G147" i="18"/>
  <c r="F147" i="18"/>
  <c r="E147" i="18"/>
  <c r="D147" i="18"/>
  <c r="I146" i="18"/>
  <c r="H146" i="18"/>
  <c r="G146" i="18"/>
  <c r="F146" i="18"/>
  <c r="E146" i="18"/>
  <c r="D146" i="18"/>
  <c r="I145" i="18"/>
  <c r="H145" i="18"/>
  <c r="G145" i="18"/>
  <c r="F145" i="18"/>
  <c r="E145" i="18"/>
  <c r="D145" i="18"/>
  <c r="D149" i="18" s="1"/>
  <c r="I139" i="18"/>
  <c r="H139" i="18"/>
  <c r="G139" i="18"/>
  <c r="F139" i="18"/>
  <c r="E139" i="18"/>
  <c r="D139" i="18"/>
  <c r="I134" i="18"/>
  <c r="H134" i="18"/>
  <c r="G134" i="18"/>
  <c r="F134" i="18"/>
  <c r="E134" i="18"/>
  <c r="D134" i="18"/>
  <c r="I129" i="18"/>
  <c r="H129" i="18"/>
  <c r="G129" i="18"/>
  <c r="F129" i="18"/>
  <c r="E129" i="18"/>
  <c r="D129" i="18"/>
  <c r="I123" i="18"/>
  <c r="H123" i="18"/>
  <c r="G123" i="18"/>
  <c r="F123" i="18"/>
  <c r="E123" i="18"/>
  <c r="D123" i="18"/>
  <c r="I117" i="18"/>
  <c r="H117" i="18"/>
  <c r="F117" i="18"/>
  <c r="E117" i="18"/>
  <c r="D117" i="18"/>
  <c r="I111" i="18"/>
  <c r="H111" i="18"/>
  <c r="G111" i="18"/>
  <c r="F111" i="18"/>
  <c r="E111" i="18"/>
  <c r="D111" i="18"/>
  <c r="I105" i="18"/>
  <c r="H105" i="18"/>
  <c r="G105" i="18"/>
  <c r="F105" i="18"/>
  <c r="E105" i="18"/>
  <c r="D105" i="18"/>
  <c r="D93" i="18"/>
  <c r="E259" i="18"/>
  <c r="D92" i="18"/>
  <c r="D259" i="18" s="1"/>
  <c r="H258" i="18"/>
  <c r="G258" i="18"/>
  <c r="D91" i="18"/>
  <c r="D90" i="18"/>
  <c r="D88" i="18"/>
  <c r="D89" i="18" s="1"/>
  <c r="D82" i="18"/>
  <c r="D83" i="18" s="1"/>
  <c r="D76" i="18"/>
  <c r="D77" i="18" s="1"/>
  <c r="D71" i="18"/>
  <c r="I62" i="18"/>
  <c r="H62" i="18"/>
  <c r="G62" i="18"/>
  <c r="F62" i="18"/>
  <c r="E62" i="18"/>
  <c r="D62" i="18"/>
  <c r="D47" i="18"/>
  <c r="I46" i="18"/>
  <c r="I47" i="18" s="1"/>
  <c r="H46" i="18"/>
  <c r="H47" i="18" s="1"/>
  <c r="G46" i="18"/>
  <c r="G47" i="18" s="1"/>
  <c r="F46" i="18"/>
  <c r="F47" i="18" s="1"/>
  <c r="E46" i="18"/>
  <c r="E47" i="18" s="1"/>
  <c r="I45" i="18"/>
  <c r="H45" i="18"/>
  <c r="G45" i="18"/>
  <c r="F45" i="18"/>
  <c r="E45" i="18"/>
  <c r="D45" i="18"/>
  <c r="I40" i="18"/>
  <c r="H40" i="18"/>
  <c r="G40" i="18"/>
  <c r="F40" i="18"/>
  <c r="E40" i="18"/>
  <c r="D40" i="18"/>
  <c r="I38" i="18"/>
  <c r="H38" i="18"/>
  <c r="G38" i="18"/>
  <c r="F38" i="18"/>
  <c r="E38" i="18"/>
  <c r="D38" i="18"/>
  <c r="I34" i="18"/>
  <c r="H34" i="18"/>
  <c r="G34" i="18"/>
  <c r="F34" i="18"/>
  <c r="E34" i="18"/>
  <c r="D34" i="18"/>
  <c r="I32" i="18"/>
  <c r="H32" i="18"/>
  <c r="G32" i="18"/>
  <c r="F32" i="18"/>
  <c r="E32" i="18"/>
  <c r="D32" i="18"/>
  <c r="I30" i="18"/>
  <c r="H30" i="18"/>
  <c r="G30" i="18"/>
  <c r="F30" i="18"/>
  <c r="E30" i="18"/>
  <c r="D30" i="18"/>
  <c r="I21" i="18"/>
  <c r="H21" i="18"/>
  <c r="G21" i="18"/>
  <c r="F21" i="18"/>
  <c r="E21" i="18"/>
  <c r="D21" i="18"/>
  <c r="I15" i="18"/>
  <c r="H15" i="18"/>
  <c r="G15" i="18"/>
  <c r="F15" i="18"/>
  <c r="E15" i="18"/>
  <c r="D15" i="18"/>
  <c r="H149" i="18" l="1"/>
  <c r="E118" i="18"/>
  <c r="F217" i="18"/>
  <c r="E149" i="18"/>
  <c r="I251" i="18"/>
  <c r="E230" i="18"/>
  <c r="E243" i="18" s="1"/>
  <c r="H118" i="18"/>
  <c r="H119" i="18" s="1"/>
  <c r="I95" i="18"/>
  <c r="F94" i="18"/>
  <c r="F95" i="18" s="1"/>
  <c r="H95" i="18"/>
  <c r="F230" i="18"/>
  <c r="F243" i="18" s="1"/>
  <c r="H230" i="18"/>
  <c r="H243" i="18" s="1"/>
  <c r="F250" i="18"/>
  <c r="G251" i="18"/>
  <c r="E217" i="18"/>
  <c r="G149" i="18"/>
  <c r="I149" i="18"/>
  <c r="G118" i="18"/>
  <c r="G119" i="18"/>
  <c r="I118" i="18"/>
  <c r="I119" i="18" s="1"/>
  <c r="F118" i="18"/>
  <c r="F119" i="18" s="1"/>
  <c r="E119" i="18"/>
  <c r="F259" i="18"/>
  <c r="H259" i="18"/>
  <c r="G22" i="18"/>
  <c r="G24" i="18" s="1"/>
  <c r="G25" i="18" s="1"/>
  <c r="E22" i="18"/>
  <c r="E24" i="18" s="1"/>
  <c r="E25" i="18" s="1"/>
  <c r="F22" i="18"/>
  <c r="F24" i="18" s="1"/>
  <c r="F25" i="18" s="1"/>
  <c r="I22" i="18"/>
  <c r="I24" i="18" s="1"/>
  <c r="I25" i="18" s="1"/>
  <c r="D230" i="18"/>
  <c r="D243" i="18" s="1"/>
  <c r="D118" i="18"/>
  <c r="D119" i="18" s="1"/>
  <c r="D22" i="18"/>
  <c r="D24" i="18" s="1"/>
  <c r="D25" i="18" s="1"/>
  <c r="F149" i="18"/>
  <c r="H250" i="18"/>
  <c r="D94" i="18"/>
  <c r="D95" i="18" s="1"/>
  <c r="H22" i="18"/>
  <c r="H24" i="18" s="1"/>
  <c r="H25" i="18" s="1"/>
  <c r="G259" i="18"/>
  <c r="I259" i="18"/>
  <c r="D217" i="18"/>
  <c r="G217" i="18"/>
  <c r="I250" i="18"/>
  <c r="H217" i="18"/>
  <c r="D251" i="18"/>
  <c r="I217" i="18"/>
  <c r="G230" i="18"/>
  <c r="G243" i="18" s="1"/>
  <c r="E251" i="18"/>
  <c r="D250" i="18"/>
  <c r="F251" i="18"/>
  <c r="E250" i="18"/>
  <c r="I258" i="18"/>
  <c r="L262" i="11" l="1"/>
  <c r="L261" i="11"/>
  <c r="L257" i="11"/>
  <c r="L254" i="11"/>
  <c r="L253" i="11"/>
  <c r="L246" i="11"/>
  <c r="L245" i="11"/>
  <c r="L241" i="11"/>
  <c r="L240" i="11"/>
  <c r="L239" i="11"/>
  <c r="L238" i="11"/>
  <c r="L235" i="11"/>
  <c r="L234" i="11"/>
  <c r="L233" i="11"/>
  <c r="L232" i="11"/>
  <c r="L228" i="11"/>
  <c r="L227" i="11"/>
  <c r="L226" i="11"/>
  <c r="L225" i="11"/>
  <c r="L222" i="11"/>
  <c r="L221" i="11"/>
  <c r="L220" i="11"/>
  <c r="L219" i="11"/>
  <c r="L215" i="11"/>
  <c r="L214" i="11"/>
  <c r="L213" i="11"/>
  <c r="L212" i="11"/>
  <c r="L209" i="11"/>
  <c r="L208" i="11"/>
  <c r="L207" i="11"/>
  <c r="L206" i="11"/>
  <c r="L203" i="11"/>
  <c r="L202" i="11"/>
  <c r="L201" i="11"/>
  <c r="L200" i="11"/>
  <c r="L199" i="11"/>
  <c r="L197" i="11"/>
  <c r="L196" i="11"/>
  <c r="L195" i="11"/>
  <c r="L194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43" i="11"/>
  <c r="L142" i="11"/>
  <c r="L141" i="11"/>
  <c r="L140" i="11"/>
  <c r="L138" i="11"/>
  <c r="L137" i="11"/>
  <c r="L136" i="11"/>
  <c r="L135" i="11"/>
  <c r="L133" i="11"/>
  <c r="L132" i="11"/>
  <c r="L131" i="11"/>
  <c r="L130" i="11"/>
  <c r="L128" i="11"/>
  <c r="L127" i="11"/>
  <c r="L126" i="11"/>
  <c r="L125" i="11"/>
  <c r="L122" i="11"/>
  <c r="L121" i="11"/>
  <c r="L116" i="11"/>
  <c r="L115" i="11"/>
  <c r="L114" i="11"/>
  <c r="L113" i="11"/>
  <c r="L110" i="11"/>
  <c r="L109" i="11"/>
  <c r="L108" i="11"/>
  <c r="L107" i="11"/>
  <c r="L104" i="11"/>
  <c r="L103" i="11"/>
  <c r="L102" i="11"/>
  <c r="L101" i="11"/>
  <c r="L98" i="11"/>
  <c r="L96" i="11"/>
  <c r="L87" i="11"/>
  <c r="L86" i="11"/>
  <c r="L85" i="11"/>
  <c r="L84" i="11"/>
  <c r="L81" i="11"/>
  <c r="L80" i="11"/>
  <c r="L79" i="11"/>
  <c r="L78" i="11"/>
  <c r="L75" i="11"/>
  <c r="L74" i="11"/>
  <c r="L73" i="11"/>
  <c r="L72" i="11"/>
  <c r="L69" i="11"/>
  <c r="L68" i="11"/>
  <c r="L67" i="11"/>
  <c r="L66" i="11"/>
  <c r="L63" i="11"/>
  <c r="L61" i="11"/>
  <c r="L56" i="11"/>
  <c r="L55" i="11"/>
  <c r="L54" i="11"/>
  <c r="L51" i="11"/>
  <c r="L50" i="11"/>
  <c r="L49" i="11"/>
  <c r="L44" i="11"/>
  <c r="L29" i="11"/>
  <c r="L20" i="11"/>
  <c r="L19" i="11"/>
  <c r="L18" i="11"/>
  <c r="L17" i="11"/>
  <c r="L14" i="11"/>
  <c r="L13" i="11"/>
  <c r="L12" i="11"/>
  <c r="L11" i="11"/>
  <c r="L9" i="11"/>
  <c r="L263" i="11" l="1"/>
  <c r="L204" i="11"/>
  <c r="L129" i="11"/>
  <c r="L146" i="11"/>
  <c r="L139" i="11"/>
  <c r="L147" i="11"/>
  <c r="L148" i="11"/>
  <c r="L144" i="11"/>
  <c r="L134" i="11"/>
  <c r="L145" i="11"/>
  <c r="L149" i="11" l="1"/>
  <c r="L46" i="3"/>
  <c r="L46" i="2"/>
  <c r="L46" i="1"/>
  <c r="L46" i="11" l="1"/>
  <c r="K262" i="11" l="1"/>
  <c r="K261" i="11"/>
  <c r="K257" i="11"/>
  <c r="K254" i="11"/>
  <c r="K253" i="11"/>
  <c r="K246" i="11"/>
  <c r="K245" i="11"/>
  <c r="K241" i="11"/>
  <c r="K240" i="11"/>
  <c r="K239" i="11"/>
  <c r="K238" i="11"/>
  <c r="K235" i="11"/>
  <c r="K234" i="11"/>
  <c r="K233" i="11"/>
  <c r="K232" i="11"/>
  <c r="K228" i="11"/>
  <c r="K227" i="11"/>
  <c r="K226" i="11"/>
  <c r="K225" i="11"/>
  <c r="K222" i="11"/>
  <c r="K221" i="11"/>
  <c r="K220" i="11"/>
  <c r="K219" i="11"/>
  <c r="K215" i="11"/>
  <c r="K214" i="11"/>
  <c r="K213" i="11"/>
  <c r="K212" i="11"/>
  <c r="K209" i="11"/>
  <c r="K208" i="11"/>
  <c r="K207" i="11"/>
  <c r="K206" i="11"/>
  <c r="K203" i="11"/>
  <c r="K202" i="11"/>
  <c r="K201" i="11"/>
  <c r="K200" i="11"/>
  <c r="K199" i="11"/>
  <c r="K197" i="11"/>
  <c r="K196" i="11"/>
  <c r="K195" i="11"/>
  <c r="K194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43" i="11"/>
  <c r="K142" i="11"/>
  <c r="K141" i="11"/>
  <c r="K140" i="11"/>
  <c r="K138" i="11"/>
  <c r="K137" i="11"/>
  <c r="K136" i="11"/>
  <c r="K135" i="11"/>
  <c r="K133" i="11"/>
  <c r="K132" i="11"/>
  <c r="K131" i="11"/>
  <c r="K130" i="11"/>
  <c r="K128" i="11"/>
  <c r="K127" i="11"/>
  <c r="K126" i="11"/>
  <c r="K125" i="11"/>
  <c r="K122" i="11"/>
  <c r="K121" i="11"/>
  <c r="K116" i="11"/>
  <c r="K115" i="11"/>
  <c r="K114" i="11"/>
  <c r="K113" i="11"/>
  <c r="K110" i="11"/>
  <c r="K109" i="11"/>
  <c r="K108" i="11"/>
  <c r="K107" i="11"/>
  <c r="K104" i="11"/>
  <c r="K103" i="11"/>
  <c r="K102" i="11"/>
  <c r="K101" i="11"/>
  <c r="K98" i="11"/>
  <c r="K97" i="11"/>
  <c r="K96" i="11"/>
  <c r="K87" i="11"/>
  <c r="K86" i="11"/>
  <c r="K85" i="11"/>
  <c r="K84" i="11"/>
  <c r="K81" i="11"/>
  <c r="K80" i="11"/>
  <c r="K79" i="11"/>
  <c r="K78" i="11"/>
  <c r="K75" i="11"/>
  <c r="K74" i="11"/>
  <c r="K73" i="11"/>
  <c r="K72" i="11"/>
  <c r="K69" i="11"/>
  <c r="K68" i="11"/>
  <c r="K67" i="11"/>
  <c r="K66" i="11"/>
  <c r="K63" i="11"/>
  <c r="K61" i="11"/>
  <c r="K56" i="11"/>
  <c r="K55" i="11"/>
  <c r="K54" i="11"/>
  <c r="K52" i="11"/>
  <c r="K51" i="11"/>
  <c r="K50" i="11"/>
  <c r="K49" i="11"/>
  <c r="K44" i="11"/>
  <c r="K39" i="11"/>
  <c r="K37" i="11"/>
  <c r="K35" i="11"/>
  <c r="K33" i="11"/>
  <c r="K31" i="11"/>
  <c r="K29" i="11"/>
  <c r="K20" i="11"/>
  <c r="K19" i="11"/>
  <c r="K18" i="11"/>
  <c r="K17" i="11"/>
  <c r="K14" i="11"/>
  <c r="K13" i="11"/>
  <c r="K12" i="11"/>
  <c r="K11" i="11"/>
  <c r="K9" i="11"/>
  <c r="K223" i="11" l="1"/>
  <c r="K111" i="11"/>
  <c r="K216" i="11"/>
  <c r="K147" i="11"/>
  <c r="K21" i="11"/>
  <c r="K148" i="11"/>
  <c r="K242" i="11"/>
  <c r="K146" i="11"/>
  <c r="K204" i="11"/>
  <c r="K210" i="11"/>
  <c r="K144" i="11"/>
  <c r="K145" i="11"/>
  <c r="K139" i="11"/>
  <c r="K15" i="11"/>
  <c r="K134" i="11"/>
  <c r="K229" i="11"/>
  <c r="K123" i="11"/>
  <c r="K247" i="11"/>
  <c r="K263" i="11"/>
  <c r="K105" i="11"/>
  <c r="K117" i="11"/>
  <c r="K236" i="11"/>
  <c r="K251" i="11"/>
  <c r="K250" i="11"/>
  <c r="K129" i="11"/>
  <c r="K217" i="11" l="1"/>
  <c r="K230" i="11"/>
  <c r="K118" i="11"/>
  <c r="K149" i="11"/>
  <c r="K22" i="11"/>
  <c r="K46" i="3"/>
  <c r="K46" i="2"/>
  <c r="K46" i="1"/>
  <c r="K46" i="11" l="1"/>
  <c r="K24" i="11"/>
  <c r="K119" i="11"/>
  <c r="K243" i="11"/>
  <c r="G262" i="15"/>
  <c r="G261" i="15"/>
  <c r="G257" i="15"/>
  <c r="G254" i="15"/>
  <c r="G253" i="15"/>
  <c r="G246" i="15"/>
  <c r="G245" i="15"/>
  <c r="G241" i="15"/>
  <c r="G240" i="15"/>
  <c r="G239" i="15"/>
  <c r="G238" i="15"/>
  <c r="G235" i="15"/>
  <c r="G234" i="15"/>
  <c r="G233" i="15"/>
  <c r="G232" i="15"/>
  <c r="G228" i="15"/>
  <c r="G227" i="15"/>
  <c r="G226" i="15"/>
  <c r="G225" i="15"/>
  <c r="G222" i="15"/>
  <c r="G221" i="15"/>
  <c r="G220" i="15"/>
  <c r="G219" i="15"/>
  <c r="G215" i="15"/>
  <c r="G214" i="15"/>
  <c r="G213" i="15"/>
  <c r="G212" i="15"/>
  <c r="G209" i="15"/>
  <c r="G208" i="15"/>
  <c r="G207" i="15"/>
  <c r="G206" i="15"/>
  <c r="G203" i="15"/>
  <c r="G202" i="15"/>
  <c r="G201" i="15"/>
  <c r="G200" i="15"/>
  <c r="G199" i="15"/>
  <c r="G197" i="15"/>
  <c r="G196" i="15"/>
  <c r="G195" i="15"/>
  <c r="G194" i="15"/>
  <c r="G192" i="15"/>
  <c r="G191" i="15"/>
  <c r="G190" i="15"/>
  <c r="G189" i="15"/>
  <c r="G188" i="15"/>
  <c r="G187" i="15"/>
  <c r="G186" i="15"/>
  <c r="G185" i="15"/>
  <c r="G184" i="15"/>
  <c r="G183" i="15"/>
  <c r="G182" i="15"/>
  <c r="G181" i="15"/>
  <c r="G180" i="15"/>
  <c r="G179" i="15"/>
  <c r="G178" i="15"/>
  <c r="G177" i="15"/>
  <c r="G176" i="15"/>
  <c r="G175" i="15"/>
  <c r="G174" i="15"/>
  <c r="G173" i="15"/>
  <c r="G172" i="15"/>
  <c r="G171" i="15"/>
  <c r="G170" i="15"/>
  <c r="G169" i="15"/>
  <c r="G168" i="15"/>
  <c r="G167" i="15"/>
  <c r="G166" i="15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43" i="15"/>
  <c r="G142" i="15"/>
  <c r="G141" i="15"/>
  <c r="G138" i="15"/>
  <c r="G137" i="15"/>
  <c r="G136" i="15"/>
  <c r="G133" i="15"/>
  <c r="G132" i="15"/>
  <c r="G131" i="15"/>
  <c r="G128" i="15"/>
  <c r="G127" i="15"/>
  <c r="G126" i="15"/>
  <c r="G140" i="15"/>
  <c r="G135" i="15"/>
  <c r="G130" i="15"/>
  <c r="G125" i="15"/>
  <c r="G122" i="15"/>
  <c r="G121" i="15"/>
  <c r="G116" i="15"/>
  <c r="G115" i="15"/>
  <c r="G114" i="15"/>
  <c r="G113" i="15"/>
  <c r="G110" i="15"/>
  <c r="G109" i="15"/>
  <c r="G108" i="15"/>
  <c r="G107" i="15"/>
  <c r="G104" i="15"/>
  <c r="G103" i="15"/>
  <c r="G102" i="15"/>
  <c r="G101" i="15"/>
  <c r="G98" i="15"/>
  <c r="G87" i="15"/>
  <c r="G86" i="15"/>
  <c r="G85" i="15"/>
  <c r="G84" i="15"/>
  <c r="G81" i="15"/>
  <c r="G80" i="15"/>
  <c r="G79" i="15"/>
  <c r="G78" i="15"/>
  <c r="G75" i="15"/>
  <c r="G74" i="15"/>
  <c r="G73" i="15"/>
  <c r="G72" i="15"/>
  <c r="G69" i="15"/>
  <c r="G68" i="15"/>
  <c r="G67" i="15"/>
  <c r="G66" i="15"/>
  <c r="G56" i="15"/>
  <c r="G55" i="15"/>
  <c r="G54" i="15"/>
  <c r="G52" i="15"/>
  <c r="G51" i="15"/>
  <c r="G50" i="15"/>
  <c r="G49" i="15"/>
  <c r="G46" i="15"/>
  <c r="G44" i="15"/>
  <c r="G39" i="15"/>
  <c r="G37" i="15"/>
  <c r="G36" i="15"/>
  <c r="G35" i="15"/>
  <c r="G33" i="15"/>
  <c r="G31" i="15"/>
  <c r="G29" i="15"/>
  <c r="G20" i="15"/>
  <c r="G19" i="15"/>
  <c r="G18" i="15"/>
  <c r="G17" i="15"/>
  <c r="G14" i="15"/>
  <c r="G13" i="15"/>
  <c r="G12" i="15"/>
  <c r="G11" i="15"/>
  <c r="G9" i="15"/>
  <c r="P140" i="18"/>
  <c r="G140" i="17" s="1"/>
  <c r="P135" i="18"/>
  <c r="G135" i="17" s="1"/>
  <c r="P130" i="18"/>
  <c r="G130" i="17" s="1"/>
  <c r="P125" i="18"/>
  <c r="G125" i="17" s="1"/>
  <c r="P84" i="18"/>
  <c r="G84" i="17" s="1"/>
  <c r="P78" i="18"/>
  <c r="G78" i="17" s="1"/>
  <c r="P72" i="18"/>
  <c r="G72" i="17" s="1"/>
  <c r="P66" i="18"/>
  <c r="G93" i="15" l="1"/>
  <c r="G15" i="15"/>
  <c r="G146" i="15"/>
  <c r="G210" i="15"/>
  <c r="G250" i="15" s="1"/>
  <c r="G90" i="17"/>
  <c r="G144" i="15"/>
  <c r="G229" i="15"/>
  <c r="G263" i="15"/>
  <c r="G247" i="15"/>
  <c r="K25" i="11"/>
  <c r="G111" i="15"/>
  <c r="G123" i="15"/>
  <c r="G242" i="15"/>
  <c r="G21" i="15"/>
  <c r="G134" i="15"/>
  <c r="G204" i="15"/>
  <c r="G105" i="15"/>
  <c r="G145" i="17"/>
  <c r="G216" i="15"/>
  <c r="G223" i="15"/>
  <c r="G147" i="15"/>
  <c r="G230" i="15"/>
  <c r="G117" i="15"/>
  <c r="G118" i="15" s="1"/>
  <c r="G62" i="15"/>
  <c r="G193" i="15"/>
  <c r="G45" i="15"/>
  <c r="G47" i="15"/>
  <c r="G148" i="15"/>
  <c r="G145" i="15"/>
  <c r="G139" i="15"/>
  <c r="G90" i="15"/>
  <c r="G251" i="15"/>
  <c r="G30" i="15"/>
  <c r="G92" i="15"/>
  <c r="G91" i="15"/>
  <c r="G129" i="15"/>
  <c r="J262" i="11"/>
  <c r="J261" i="11"/>
  <c r="J257" i="11"/>
  <c r="J254" i="11"/>
  <c r="J253" i="11"/>
  <c r="J246" i="11"/>
  <c r="J245" i="11"/>
  <c r="J241" i="11"/>
  <c r="J240" i="11"/>
  <c r="J239" i="11"/>
  <c r="J238" i="11"/>
  <c r="J235" i="11"/>
  <c r="J234" i="11"/>
  <c r="J233" i="11"/>
  <c r="J232" i="11"/>
  <c r="J228" i="11"/>
  <c r="J227" i="11"/>
  <c r="J226" i="11"/>
  <c r="J225" i="11"/>
  <c r="J222" i="11"/>
  <c r="J221" i="11"/>
  <c r="J220" i="11"/>
  <c r="J219" i="11"/>
  <c r="J215" i="11"/>
  <c r="J214" i="11"/>
  <c r="J213" i="11"/>
  <c r="J212" i="11"/>
  <c r="J209" i="11"/>
  <c r="J208" i="11"/>
  <c r="J207" i="11"/>
  <c r="J206" i="11"/>
  <c r="J203" i="11"/>
  <c r="J202" i="11"/>
  <c r="J201" i="11"/>
  <c r="J200" i="11"/>
  <c r="J199" i="11"/>
  <c r="J197" i="11"/>
  <c r="J196" i="11"/>
  <c r="J195" i="11"/>
  <c r="J194" i="11"/>
  <c r="J192" i="11"/>
  <c r="J191" i="11"/>
  <c r="J190" i="11"/>
  <c r="J189" i="11"/>
  <c r="J188" i="11"/>
  <c r="J187" i="11"/>
  <c r="J186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43" i="11"/>
  <c r="J142" i="11"/>
  <c r="J141" i="11"/>
  <c r="J140" i="11"/>
  <c r="J138" i="11"/>
  <c r="J137" i="11"/>
  <c r="J136" i="11"/>
  <c r="J135" i="11"/>
  <c r="J133" i="11"/>
  <c r="J132" i="11"/>
  <c r="J131" i="11"/>
  <c r="J130" i="11"/>
  <c r="J128" i="11"/>
  <c r="J127" i="11"/>
  <c r="J126" i="11"/>
  <c r="J125" i="11"/>
  <c r="J122" i="11"/>
  <c r="J121" i="11"/>
  <c r="J116" i="11"/>
  <c r="J115" i="11"/>
  <c r="J114" i="11"/>
  <c r="J113" i="11"/>
  <c r="J110" i="11"/>
  <c r="J109" i="11"/>
  <c r="J108" i="11"/>
  <c r="J107" i="11"/>
  <c r="J104" i="11"/>
  <c r="J103" i="11"/>
  <c r="J102" i="11"/>
  <c r="J101" i="11"/>
  <c r="J98" i="11"/>
  <c r="J97" i="11"/>
  <c r="J96" i="11"/>
  <c r="J87" i="11"/>
  <c r="J86" i="11"/>
  <c r="J85" i="11"/>
  <c r="J84" i="11"/>
  <c r="J81" i="11"/>
  <c r="J80" i="11"/>
  <c r="J79" i="11"/>
  <c r="J78" i="11"/>
  <c r="J75" i="11"/>
  <c r="J74" i="11"/>
  <c r="J73" i="11"/>
  <c r="J72" i="11"/>
  <c r="J69" i="11"/>
  <c r="J68" i="11"/>
  <c r="J67" i="11"/>
  <c r="J66" i="11"/>
  <c r="J63" i="11"/>
  <c r="J61" i="11"/>
  <c r="J56" i="11"/>
  <c r="J55" i="11"/>
  <c r="J54" i="11"/>
  <c r="J52" i="11"/>
  <c r="J51" i="11"/>
  <c r="J50" i="11"/>
  <c r="J49" i="11"/>
  <c r="J44" i="11"/>
  <c r="J29" i="11"/>
  <c r="J20" i="11"/>
  <c r="J19" i="11"/>
  <c r="J18" i="11"/>
  <c r="J17" i="11"/>
  <c r="J14" i="11"/>
  <c r="J13" i="11"/>
  <c r="J12" i="11"/>
  <c r="J11" i="11"/>
  <c r="J9" i="11"/>
  <c r="O263" i="18"/>
  <c r="N263" i="18"/>
  <c r="M263" i="18"/>
  <c r="L263" i="18"/>
  <c r="K263" i="18"/>
  <c r="J263" i="18"/>
  <c r="P262" i="18"/>
  <c r="G262" i="17" s="1"/>
  <c r="P261" i="18"/>
  <c r="G261" i="17" s="1"/>
  <c r="P257" i="18"/>
  <c r="G257" i="17" s="1"/>
  <c r="P254" i="18"/>
  <c r="G254" i="17" s="1"/>
  <c r="P253" i="18"/>
  <c r="G253" i="17" s="1"/>
  <c r="O247" i="18"/>
  <c r="N247" i="18"/>
  <c r="M247" i="18"/>
  <c r="L247" i="18"/>
  <c r="K247" i="18"/>
  <c r="J247" i="18"/>
  <c r="P246" i="18"/>
  <c r="G246" i="17" s="1"/>
  <c r="P245" i="18"/>
  <c r="O242" i="18"/>
  <c r="N242" i="18"/>
  <c r="M242" i="18"/>
  <c r="L242" i="18"/>
  <c r="K242" i="18"/>
  <c r="J242" i="18"/>
  <c r="P241" i="18"/>
  <c r="G241" i="17" s="1"/>
  <c r="P240" i="18"/>
  <c r="G240" i="17" s="1"/>
  <c r="P239" i="18"/>
  <c r="G239" i="17" s="1"/>
  <c r="P238" i="18"/>
  <c r="G238" i="17" s="1"/>
  <c r="O236" i="18"/>
  <c r="N236" i="18"/>
  <c r="M236" i="18"/>
  <c r="L236" i="18"/>
  <c r="K236" i="18"/>
  <c r="J236" i="18"/>
  <c r="P235" i="18"/>
  <c r="G235" i="17" s="1"/>
  <c r="P234" i="18"/>
  <c r="G234" i="17" s="1"/>
  <c r="P233" i="18"/>
  <c r="G233" i="17" s="1"/>
  <c r="P232" i="18"/>
  <c r="G232" i="17" s="1"/>
  <c r="O229" i="18"/>
  <c r="N229" i="18"/>
  <c r="M229" i="18"/>
  <c r="L229" i="18"/>
  <c r="K229" i="18"/>
  <c r="J229" i="18"/>
  <c r="P228" i="18"/>
  <c r="G228" i="17" s="1"/>
  <c r="P227" i="18"/>
  <c r="G227" i="17" s="1"/>
  <c r="P226" i="18"/>
  <c r="G226" i="17" s="1"/>
  <c r="P225" i="18"/>
  <c r="G225" i="17" s="1"/>
  <c r="O223" i="18"/>
  <c r="N223" i="18"/>
  <c r="M223" i="18"/>
  <c r="L223" i="18"/>
  <c r="K223" i="18"/>
  <c r="J223" i="18"/>
  <c r="P222" i="18"/>
  <c r="G222" i="17" s="1"/>
  <c r="P221" i="18"/>
  <c r="G221" i="17" s="1"/>
  <c r="P220" i="18"/>
  <c r="G220" i="17" s="1"/>
  <c r="P219" i="18"/>
  <c r="G219" i="17" s="1"/>
  <c r="O216" i="18"/>
  <c r="N216" i="18"/>
  <c r="M216" i="18"/>
  <c r="L216" i="18"/>
  <c r="K216" i="18"/>
  <c r="P215" i="18"/>
  <c r="G215" i="17" s="1"/>
  <c r="P214" i="18"/>
  <c r="G214" i="17" s="1"/>
  <c r="P213" i="18"/>
  <c r="G213" i="17" s="1"/>
  <c r="P212" i="18"/>
  <c r="G212" i="17" s="1"/>
  <c r="O210" i="18"/>
  <c r="N210" i="18"/>
  <c r="M210" i="18"/>
  <c r="L210" i="18"/>
  <c r="K210" i="18"/>
  <c r="J210" i="18"/>
  <c r="P209" i="18"/>
  <c r="G209" i="17" s="1"/>
  <c r="P208" i="18"/>
  <c r="G208" i="17" s="1"/>
  <c r="P207" i="18"/>
  <c r="G207" i="17" s="1"/>
  <c r="P206" i="18"/>
  <c r="G206" i="17" s="1"/>
  <c r="O204" i="18"/>
  <c r="N204" i="18"/>
  <c r="M204" i="18"/>
  <c r="K204" i="18"/>
  <c r="P203" i="18"/>
  <c r="G203" i="17" s="1"/>
  <c r="P202" i="18"/>
  <c r="G202" i="17" s="1"/>
  <c r="P201" i="18"/>
  <c r="G201" i="17" s="1"/>
  <c r="P200" i="18"/>
  <c r="G200" i="17" s="1"/>
  <c r="P199" i="18"/>
  <c r="G199" i="17" s="1"/>
  <c r="P197" i="18"/>
  <c r="G197" i="17" s="1"/>
  <c r="P196" i="18"/>
  <c r="G196" i="17" s="1"/>
  <c r="P195" i="18"/>
  <c r="G195" i="17" s="1"/>
  <c r="P194" i="18"/>
  <c r="G194" i="17" s="1"/>
  <c r="O193" i="18"/>
  <c r="N193" i="18"/>
  <c r="M193" i="18"/>
  <c r="L193" i="18"/>
  <c r="K193" i="18"/>
  <c r="J193" i="18"/>
  <c r="P192" i="18"/>
  <c r="G192" i="17" s="1"/>
  <c r="P191" i="18"/>
  <c r="G191" i="17" s="1"/>
  <c r="P190" i="18"/>
  <c r="G190" i="17" s="1"/>
  <c r="P189" i="18"/>
  <c r="G189" i="17" s="1"/>
  <c r="P187" i="18"/>
  <c r="G187" i="17" s="1"/>
  <c r="P186" i="18"/>
  <c r="G186" i="17" s="1"/>
  <c r="P185" i="18"/>
  <c r="G185" i="17" s="1"/>
  <c r="P184" i="18"/>
  <c r="G184" i="17" s="1"/>
  <c r="P182" i="18"/>
  <c r="G182" i="17" s="1"/>
  <c r="P181" i="18"/>
  <c r="G181" i="17" s="1"/>
  <c r="P180" i="18"/>
  <c r="G180" i="17" s="1"/>
  <c r="P179" i="18"/>
  <c r="G179" i="17" s="1"/>
  <c r="P178" i="18"/>
  <c r="G178" i="17" s="1"/>
  <c r="P177" i="18"/>
  <c r="G177" i="17" s="1"/>
  <c r="P175" i="18"/>
  <c r="G175" i="17" s="1"/>
  <c r="P174" i="18"/>
  <c r="G174" i="17" s="1"/>
  <c r="P173" i="18"/>
  <c r="G173" i="17" s="1"/>
  <c r="P172" i="18"/>
  <c r="G172" i="17" s="1"/>
  <c r="P171" i="18"/>
  <c r="G171" i="17" s="1"/>
  <c r="P170" i="18"/>
  <c r="G170" i="17" s="1"/>
  <c r="P169" i="18"/>
  <c r="G169" i="17" s="1"/>
  <c r="P168" i="18"/>
  <c r="G168" i="17" s="1"/>
  <c r="P167" i="18"/>
  <c r="G167" i="17" s="1"/>
  <c r="P165" i="18"/>
  <c r="G165" i="17" s="1"/>
  <c r="P164" i="18"/>
  <c r="G164" i="17" s="1"/>
  <c r="P163" i="18"/>
  <c r="G163" i="17" s="1"/>
  <c r="P162" i="18"/>
  <c r="G162" i="17" s="1"/>
  <c r="P161" i="18"/>
  <c r="G161" i="17" s="1"/>
  <c r="P160" i="18"/>
  <c r="G160" i="17" s="1"/>
  <c r="P159" i="18"/>
  <c r="G159" i="17" s="1"/>
  <c r="P158" i="18"/>
  <c r="G158" i="17" s="1"/>
  <c r="P157" i="18"/>
  <c r="G157" i="17" s="1"/>
  <c r="P156" i="18"/>
  <c r="G156" i="17" s="1"/>
  <c r="P155" i="18"/>
  <c r="G155" i="17" s="1"/>
  <c r="P154" i="18"/>
  <c r="G154" i="17" s="1"/>
  <c r="P153" i="18"/>
  <c r="G153" i="17" s="1"/>
  <c r="O148" i="18"/>
  <c r="N148" i="18"/>
  <c r="M148" i="18"/>
  <c r="L148" i="18"/>
  <c r="K148" i="18"/>
  <c r="J148" i="18"/>
  <c r="O147" i="18"/>
  <c r="N147" i="18"/>
  <c r="M147" i="18"/>
  <c r="L147" i="18"/>
  <c r="K147" i="18"/>
  <c r="J147" i="18"/>
  <c r="O146" i="18"/>
  <c r="N146" i="18"/>
  <c r="M146" i="18"/>
  <c r="L146" i="18"/>
  <c r="K146" i="18"/>
  <c r="J146" i="18"/>
  <c r="O145" i="18"/>
  <c r="N145" i="18"/>
  <c r="M145" i="18"/>
  <c r="L145" i="18"/>
  <c r="K145" i="18"/>
  <c r="J145" i="18"/>
  <c r="O144" i="18"/>
  <c r="N144" i="18"/>
  <c r="M144" i="18"/>
  <c r="L144" i="18"/>
  <c r="K144" i="18"/>
  <c r="P143" i="18"/>
  <c r="G143" i="17" s="1"/>
  <c r="P142" i="18"/>
  <c r="G142" i="17" s="1"/>
  <c r="P141" i="18"/>
  <c r="G141" i="17" s="1"/>
  <c r="O139" i="18"/>
  <c r="N139" i="18"/>
  <c r="M139" i="18"/>
  <c r="L139" i="18"/>
  <c r="K139" i="18"/>
  <c r="J139" i="18"/>
  <c r="P138" i="18"/>
  <c r="G138" i="17" s="1"/>
  <c r="P137" i="18"/>
  <c r="G137" i="17" s="1"/>
  <c r="P136" i="18"/>
  <c r="G136" i="17" s="1"/>
  <c r="O134" i="18"/>
  <c r="N134" i="18"/>
  <c r="M134" i="18"/>
  <c r="L134" i="18"/>
  <c r="K134" i="18"/>
  <c r="J134" i="18"/>
  <c r="P133" i="18"/>
  <c r="G133" i="17" s="1"/>
  <c r="P132" i="18"/>
  <c r="G132" i="17" s="1"/>
  <c r="P131" i="18"/>
  <c r="G131" i="17" s="1"/>
  <c r="O129" i="18"/>
  <c r="N129" i="18"/>
  <c r="M129" i="18"/>
  <c r="L129" i="18"/>
  <c r="K129" i="18"/>
  <c r="J129" i="18"/>
  <c r="P128" i="18"/>
  <c r="P127" i="18"/>
  <c r="G127" i="17" s="1"/>
  <c r="P126" i="18"/>
  <c r="O123" i="18"/>
  <c r="N123" i="18"/>
  <c r="M123" i="18"/>
  <c r="L123" i="18"/>
  <c r="K123" i="18"/>
  <c r="J123" i="18"/>
  <c r="P122" i="18"/>
  <c r="G122" i="17" s="1"/>
  <c r="P121" i="18"/>
  <c r="G121" i="17" s="1"/>
  <c r="O117" i="18"/>
  <c r="N117" i="18"/>
  <c r="M117" i="18"/>
  <c r="L117" i="18"/>
  <c r="K117" i="18"/>
  <c r="J117" i="18"/>
  <c r="P116" i="18"/>
  <c r="G116" i="17" s="1"/>
  <c r="P115" i="18"/>
  <c r="G115" i="17" s="1"/>
  <c r="P114" i="18"/>
  <c r="G114" i="17" s="1"/>
  <c r="P113" i="18"/>
  <c r="O111" i="18"/>
  <c r="P111" i="18" s="1"/>
  <c r="N111" i="18"/>
  <c r="M111" i="18"/>
  <c r="L111" i="18"/>
  <c r="K111" i="18"/>
  <c r="J111" i="18"/>
  <c r="P110" i="18"/>
  <c r="G110" i="17" s="1"/>
  <c r="P109" i="18"/>
  <c r="G109" i="17" s="1"/>
  <c r="P108" i="18"/>
  <c r="G108" i="17" s="1"/>
  <c r="P107" i="18"/>
  <c r="G107" i="17" s="1"/>
  <c r="O105" i="18"/>
  <c r="P105" i="18" s="1"/>
  <c r="N105" i="18"/>
  <c r="M105" i="18"/>
  <c r="L105" i="18"/>
  <c r="K105" i="18"/>
  <c r="J105" i="18"/>
  <c r="P104" i="18"/>
  <c r="G104" i="17" s="1"/>
  <c r="P103" i="18"/>
  <c r="G103" i="17" s="1"/>
  <c r="P102" i="18"/>
  <c r="G102" i="17" s="1"/>
  <c r="P101" i="18"/>
  <c r="G101" i="17" s="1"/>
  <c r="P98" i="18"/>
  <c r="G98" i="17" s="1"/>
  <c r="O93" i="18"/>
  <c r="N93" i="18"/>
  <c r="M93" i="18"/>
  <c r="L93" i="18"/>
  <c r="K93" i="18"/>
  <c r="J93" i="18"/>
  <c r="O92" i="18"/>
  <c r="N92" i="18"/>
  <c r="M92" i="18"/>
  <c r="L92" i="18"/>
  <c r="K92" i="18"/>
  <c r="J92" i="18"/>
  <c r="O91" i="18"/>
  <c r="O258" i="18" s="1"/>
  <c r="N91" i="18"/>
  <c r="N258" i="18" s="1"/>
  <c r="M91" i="18"/>
  <c r="M258" i="18" s="1"/>
  <c r="L91" i="18"/>
  <c r="K91" i="18"/>
  <c r="K256" i="18" s="1"/>
  <c r="J91" i="18"/>
  <c r="J256" i="18" s="1"/>
  <c r="J258" i="18" s="1"/>
  <c r="O90" i="18"/>
  <c r="N90" i="18"/>
  <c r="M90" i="18"/>
  <c r="L90" i="18"/>
  <c r="K90" i="18"/>
  <c r="J90" i="18"/>
  <c r="P90" i="18" s="1"/>
  <c r="N89" i="18"/>
  <c r="O88" i="18"/>
  <c r="O89" i="18" s="1"/>
  <c r="N88" i="18"/>
  <c r="M88" i="18"/>
  <c r="L88" i="18"/>
  <c r="L89" i="18" s="1"/>
  <c r="K88" i="18"/>
  <c r="K89" i="18" s="1"/>
  <c r="J88" i="18"/>
  <c r="P87" i="18"/>
  <c r="G87" i="17" s="1"/>
  <c r="P86" i="18"/>
  <c r="G86" i="17" s="1"/>
  <c r="P85" i="18"/>
  <c r="G85" i="17" s="1"/>
  <c r="O82" i="18"/>
  <c r="O83" i="18" s="1"/>
  <c r="N82" i="18"/>
  <c r="N83" i="18" s="1"/>
  <c r="M82" i="18"/>
  <c r="L82" i="18"/>
  <c r="L83" i="18" s="1"/>
  <c r="K82" i="18"/>
  <c r="K83" i="18" s="1"/>
  <c r="J82" i="18"/>
  <c r="P81" i="18"/>
  <c r="G81" i="17" s="1"/>
  <c r="P80" i="18"/>
  <c r="P79" i="18"/>
  <c r="G79" i="17" s="1"/>
  <c r="O76" i="18"/>
  <c r="O77" i="18" s="1"/>
  <c r="N76" i="18"/>
  <c r="N77" i="18" s="1"/>
  <c r="M76" i="18"/>
  <c r="L76" i="18"/>
  <c r="K76" i="18"/>
  <c r="K77" i="18" s="1"/>
  <c r="J76" i="18"/>
  <c r="J77" i="18" s="1"/>
  <c r="P75" i="18"/>
  <c r="G75" i="17" s="1"/>
  <c r="P74" i="18"/>
  <c r="G74" i="17" s="1"/>
  <c r="P73" i="18"/>
  <c r="O70" i="18"/>
  <c r="O71" i="18" s="1"/>
  <c r="N70" i="18"/>
  <c r="M70" i="18"/>
  <c r="M71" i="18" s="1"/>
  <c r="L70" i="18"/>
  <c r="K71" i="18"/>
  <c r="J70" i="18"/>
  <c r="P69" i="18"/>
  <c r="G69" i="17" s="1"/>
  <c r="P68" i="18"/>
  <c r="G68" i="17" s="1"/>
  <c r="P67" i="18"/>
  <c r="G67" i="17" s="1"/>
  <c r="P63" i="18"/>
  <c r="G63" i="17" s="1"/>
  <c r="O62" i="18"/>
  <c r="N62" i="18"/>
  <c r="M62" i="18"/>
  <c r="L62" i="18"/>
  <c r="K62" i="18"/>
  <c r="J62" i="18"/>
  <c r="P61" i="18"/>
  <c r="G61" i="17" s="1"/>
  <c r="P56" i="18"/>
  <c r="G56" i="17" s="1"/>
  <c r="P55" i="18"/>
  <c r="G55" i="17" s="1"/>
  <c r="P54" i="18"/>
  <c r="G54" i="17" s="1"/>
  <c r="P52" i="18"/>
  <c r="G52" i="17" s="1"/>
  <c r="P51" i="18"/>
  <c r="G51" i="17" s="1"/>
  <c r="P50" i="18"/>
  <c r="G50" i="17" s="1"/>
  <c r="P49" i="18"/>
  <c r="G49" i="17" s="1"/>
  <c r="O47" i="18"/>
  <c r="N47" i="18"/>
  <c r="M47" i="18"/>
  <c r="L47" i="18"/>
  <c r="K47" i="18"/>
  <c r="J47" i="18"/>
  <c r="O45" i="18"/>
  <c r="N45" i="18"/>
  <c r="M45" i="18"/>
  <c r="L45" i="18"/>
  <c r="K45" i="18"/>
  <c r="J45" i="18"/>
  <c r="P44" i="18"/>
  <c r="G44" i="17" s="1"/>
  <c r="O40" i="18"/>
  <c r="N40" i="18"/>
  <c r="M40" i="18"/>
  <c r="L40" i="18"/>
  <c r="K40" i="18"/>
  <c r="J40" i="18"/>
  <c r="P39" i="18"/>
  <c r="O38" i="18"/>
  <c r="N38" i="18"/>
  <c r="M38" i="18"/>
  <c r="L38" i="18"/>
  <c r="K38" i="18"/>
  <c r="J38" i="18"/>
  <c r="P37" i="18"/>
  <c r="B37" i="18"/>
  <c r="B35" i="18"/>
  <c r="O34" i="18"/>
  <c r="N34" i="18"/>
  <c r="M34" i="18"/>
  <c r="L34" i="18"/>
  <c r="K34" i="18"/>
  <c r="J34" i="18"/>
  <c r="P33" i="18"/>
  <c r="B33" i="18"/>
  <c r="O32" i="18"/>
  <c r="N32" i="18"/>
  <c r="M32" i="18"/>
  <c r="L32" i="18"/>
  <c r="K32" i="18"/>
  <c r="J32" i="18"/>
  <c r="P31" i="18"/>
  <c r="B31" i="18"/>
  <c r="O30" i="18"/>
  <c r="N30" i="18"/>
  <c r="M30" i="18"/>
  <c r="L30" i="18"/>
  <c r="K30" i="18"/>
  <c r="J30" i="18"/>
  <c r="P29" i="18"/>
  <c r="G29" i="17" s="1"/>
  <c r="B29" i="18"/>
  <c r="J41" i="18" s="1"/>
  <c r="O21" i="18"/>
  <c r="N21" i="18"/>
  <c r="M21" i="18"/>
  <c r="L21" i="18"/>
  <c r="K21" i="18"/>
  <c r="J21" i="18"/>
  <c r="P20" i="18"/>
  <c r="G20" i="17" s="1"/>
  <c r="P19" i="18"/>
  <c r="G19" i="17" s="1"/>
  <c r="P18" i="18"/>
  <c r="G18" i="17" s="1"/>
  <c r="P17" i="18"/>
  <c r="G17" i="17" s="1"/>
  <c r="O15" i="18"/>
  <c r="N15" i="18"/>
  <c r="M15" i="18"/>
  <c r="L15" i="18"/>
  <c r="K15" i="18"/>
  <c r="J15" i="18"/>
  <c r="P14" i="18"/>
  <c r="G14" i="17" s="1"/>
  <c r="P13" i="18"/>
  <c r="G13" i="17" s="1"/>
  <c r="P12" i="18"/>
  <c r="G12" i="17" s="1"/>
  <c r="P11" i="18"/>
  <c r="P9" i="18"/>
  <c r="J46" i="3"/>
  <c r="J46" i="2"/>
  <c r="G38" i="16" l="1"/>
  <c r="G217" i="15"/>
  <c r="M83" i="18"/>
  <c r="G83" i="16" s="1"/>
  <c r="G82" i="16"/>
  <c r="G258" i="16"/>
  <c r="M89" i="18"/>
  <c r="G89" i="16" s="1"/>
  <c r="G88" i="16"/>
  <c r="P129" i="18"/>
  <c r="G32" i="16"/>
  <c r="G34" i="16"/>
  <c r="G40" i="16"/>
  <c r="P139" i="18"/>
  <c r="M77" i="18"/>
  <c r="G76" i="16"/>
  <c r="G77" i="16" s="1"/>
  <c r="M217" i="18"/>
  <c r="O230" i="18"/>
  <c r="O243" i="18" s="1"/>
  <c r="N71" i="18"/>
  <c r="G70" i="16"/>
  <c r="G71" i="16" s="1"/>
  <c r="M118" i="18"/>
  <c r="N118" i="18"/>
  <c r="O94" i="18"/>
  <c r="M41" i="18"/>
  <c r="M42" i="18" s="1"/>
  <c r="I41" i="18"/>
  <c r="H41" i="18"/>
  <c r="G41" i="18"/>
  <c r="F41" i="18"/>
  <c r="E41" i="18"/>
  <c r="D41" i="18"/>
  <c r="G111" i="17"/>
  <c r="G134" i="17"/>
  <c r="G22" i="15"/>
  <c r="G119" i="15"/>
  <c r="G243" i="15"/>
  <c r="L149" i="18"/>
  <c r="G216" i="17"/>
  <c r="G193" i="17"/>
  <c r="G242" i="17"/>
  <c r="P88" i="18"/>
  <c r="P89" i="18" s="1"/>
  <c r="G223" i="17"/>
  <c r="N230" i="18"/>
  <c r="N243" i="18" s="1"/>
  <c r="G139" i="17"/>
  <c r="G263" i="17"/>
  <c r="J22" i="18"/>
  <c r="G105" i="17"/>
  <c r="P134" i="18"/>
  <c r="N149" i="18"/>
  <c r="G123" i="17"/>
  <c r="J89" i="18"/>
  <c r="G88" i="15"/>
  <c r="P146" i="18"/>
  <c r="G126" i="17"/>
  <c r="P82" i="18"/>
  <c r="P83" i="18" s="1"/>
  <c r="G80" i="17"/>
  <c r="G92" i="17" s="1"/>
  <c r="P247" i="18"/>
  <c r="G245" i="17"/>
  <c r="P15" i="18"/>
  <c r="G11" i="17"/>
  <c r="L251" i="18"/>
  <c r="J83" i="18"/>
  <c r="G82" i="15"/>
  <c r="G21" i="17"/>
  <c r="G93" i="17"/>
  <c r="G88" i="17"/>
  <c r="K94" i="18"/>
  <c r="K95" i="18" s="1"/>
  <c r="K255" i="18" s="1"/>
  <c r="K259" i="18" s="1"/>
  <c r="M94" i="18"/>
  <c r="M95" i="18" s="1"/>
  <c r="M259" i="18" s="1"/>
  <c r="P117" i="18"/>
  <c r="P118" i="18" s="1"/>
  <c r="P119" i="18" s="1"/>
  <c r="G113" i="17"/>
  <c r="G144" i="17"/>
  <c r="G210" i="17"/>
  <c r="N217" i="18"/>
  <c r="P216" i="18"/>
  <c r="P148" i="18"/>
  <c r="G128" i="17"/>
  <c r="G91" i="17"/>
  <c r="G204" i="17"/>
  <c r="G229" i="17"/>
  <c r="G147" i="17"/>
  <c r="K149" i="18"/>
  <c r="O250" i="18"/>
  <c r="G236" i="17"/>
  <c r="G149" i="15"/>
  <c r="P229" i="18"/>
  <c r="L118" i="18"/>
  <c r="L119" i="18" s="1"/>
  <c r="P76" i="18"/>
  <c r="P77" i="18" s="1"/>
  <c r="G76" i="17"/>
  <c r="L77" i="18"/>
  <c r="G76" i="15"/>
  <c r="G70" i="17"/>
  <c r="L71" i="18"/>
  <c r="G70" i="15"/>
  <c r="P32" i="18"/>
  <c r="G9" i="17"/>
  <c r="P204" i="18"/>
  <c r="K258" i="18"/>
  <c r="K22" i="18"/>
  <c r="K24" i="18" s="1"/>
  <c r="K25" i="18" s="1"/>
  <c r="G32" i="15"/>
  <c r="G34" i="15"/>
  <c r="G40" i="15"/>
  <c r="G38" i="15"/>
  <c r="G94" i="15"/>
  <c r="P193" i="18"/>
  <c r="P70" i="18"/>
  <c r="P71" i="18" s="1"/>
  <c r="P93" i="18"/>
  <c r="M22" i="18"/>
  <c r="M24" i="18" s="1"/>
  <c r="M25" i="18" s="1"/>
  <c r="P21" i="18"/>
  <c r="J149" i="18"/>
  <c r="O22" i="18"/>
  <c r="O24" i="18" s="1"/>
  <c r="O25" i="18" s="1"/>
  <c r="P62" i="18"/>
  <c r="J94" i="18"/>
  <c r="M119" i="18"/>
  <c r="J118" i="18"/>
  <c r="J119" i="18" s="1"/>
  <c r="P144" i="18"/>
  <c r="J217" i="18"/>
  <c r="O217" i="18"/>
  <c r="K230" i="18"/>
  <c r="K243" i="18" s="1"/>
  <c r="P263" i="18"/>
  <c r="P45" i="18"/>
  <c r="L22" i="18"/>
  <c r="L24" i="18" s="1"/>
  <c r="L25" i="18" s="1"/>
  <c r="O149" i="18"/>
  <c r="N22" i="18"/>
  <c r="N24" i="18" s="1"/>
  <c r="N25" i="18" s="1"/>
  <c r="J230" i="18"/>
  <c r="J243" i="18" s="1"/>
  <c r="O251" i="18"/>
  <c r="O95" i="18"/>
  <c r="O259" i="18" s="1"/>
  <c r="N119" i="18"/>
  <c r="K118" i="18"/>
  <c r="K119" i="18" s="1"/>
  <c r="O118" i="18"/>
  <c r="O119" i="18" s="1"/>
  <c r="K217" i="18"/>
  <c r="L217" i="18"/>
  <c r="L250" i="18"/>
  <c r="P236" i="18"/>
  <c r="L94" i="18"/>
  <c r="L95" i="18" s="1"/>
  <c r="L255" i="18" s="1"/>
  <c r="L259" i="18" s="1"/>
  <c r="P123" i="18"/>
  <c r="M250" i="18"/>
  <c r="N251" i="18"/>
  <c r="P242" i="18"/>
  <c r="N94" i="18"/>
  <c r="N95" i="18" s="1"/>
  <c r="N259" i="18" s="1"/>
  <c r="P147" i="18"/>
  <c r="M149" i="18"/>
  <c r="M230" i="18"/>
  <c r="M243" i="18" s="1"/>
  <c r="N250" i="18"/>
  <c r="P40" i="18"/>
  <c r="P38" i="18"/>
  <c r="P34" i="18"/>
  <c r="P92" i="18"/>
  <c r="P145" i="18"/>
  <c r="J251" i="18"/>
  <c r="L256" i="18"/>
  <c r="L258" i="18" s="1"/>
  <c r="P30" i="18"/>
  <c r="K41" i="18"/>
  <c r="K251" i="18"/>
  <c r="P46" i="18"/>
  <c r="L41" i="18"/>
  <c r="P91" i="18"/>
  <c r="P223" i="18"/>
  <c r="J250" i="18"/>
  <c r="M251" i="18"/>
  <c r="N41" i="18"/>
  <c r="P210" i="18"/>
  <c r="K250" i="18"/>
  <c r="O41" i="18"/>
  <c r="L230" i="18"/>
  <c r="L243" i="18" s="1"/>
  <c r="P149" i="18" l="1"/>
  <c r="G259" i="16"/>
  <c r="P22" i="18"/>
  <c r="P24" i="18" s="1"/>
  <c r="P25" i="18" s="1"/>
  <c r="M58" i="18"/>
  <c r="M59" i="18" s="1"/>
  <c r="J24" i="18"/>
  <c r="G256" i="17"/>
  <c r="G258" i="17" s="1"/>
  <c r="G95" i="15"/>
  <c r="E58" i="18"/>
  <c r="E42" i="18"/>
  <c r="G94" i="17"/>
  <c r="G95" i="17" s="1"/>
  <c r="F42" i="18"/>
  <c r="F58" i="18"/>
  <c r="G71" i="17"/>
  <c r="G82" i="17"/>
  <c r="G58" i="18"/>
  <c r="G42" i="18"/>
  <c r="G247" i="17"/>
  <c r="G77" i="15"/>
  <c r="G117" i="17"/>
  <c r="G83" i="15"/>
  <c r="H58" i="18"/>
  <c r="H42" i="18"/>
  <c r="I58" i="18"/>
  <c r="I42" i="18"/>
  <c r="G148" i="17"/>
  <c r="G89" i="15"/>
  <c r="G15" i="17"/>
  <c r="G22" i="17" s="1"/>
  <c r="G71" i="15"/>
  <c r="G230" i="17"/>
  <c r="G24" i="15"/>
  <c r="D58" i="18"/>
  <c r="D42" i="18"/>
  <c r="G251" i="17"/>
  <c r="G250" i="17"/>
  <c r="G146" i="17"/>
  <c r="G129" i="17"/>
  <c r="G217" i="17"/>
  <c r="G77" i="17"/>
  <c r="G256" i="15"/>
  <c r="P47" i="18"/>
  <c r="G46" i="17"/>
  <c r="G47" i="17" s="1"/>
  <c r="G62" i="17"/>
  <c r="G30" i="17"/>
  <c r="G45" i="17"/>
  <c r="P243" i="18"/>
  <c r="P256" i="18"/>
  <c r="P258" i="18" s="1"/>
  <c r="P230" i="18"/>
  <c r="O42" i="18"/>
  <c r="O58" i="18"/>
  <c r="L58" i="18"/>
  <c r="L42" i="18"/>
  <c r="J42" i="18"/>
  <c r="J58" i="18"/>
  <c r="P251" i="18"/>
  <c r="P217" i="18"/>
  <c r="P250" i="18"/>
  <c r="P41" i="18"/>
  <c r="P42" i="18" s="1"/>
  <c r="K42" i="18"/>
  <c r="K58" i="18"/>
  <c r="N42" i="18"/>
  <c r="N58" i="18"/>
  <c r="P94" i="18"/>
  <c r="P95" i="18" s="1"/>
  <c r="M249" i="18" l="1"/>
  <c r="M60" i="18"/>
  <c r="J25" i="18"/>
  <c r="D249" i="18"/>
  <c r="D59" i="18"/>
  <c r="D60" i="18"/>
  <c r="G24" i="17"/>
  <c r="G25" i="15"/>
  <c r="G83" i="17"/>
  <c r="G99" i="17"/>
  <c r="I60" i="18"/>
  <c r="I249" i="18"/>
  <c r="I59" i="18"/>
  <c r="G243" i="17"/>
  <c r="E249" i="18"/>
  <c r="E59" i="18"/>
  <c r="E60" i="18"/>
  <c r="H60" i="18"/>
  <c r="H249" i="18"/>
  <c r="H59" i="18"/>
  <c r="G118" i="17"/>
  <c r="F59" i="18"/>
  <c r="F60" i="18"/>
  <c r="F249" i="18"/>
  <c r="G255" i="17"/>
  <c r="G149" i="17"/>
  <c r="G59" i="18"/>
  <c r="G60" i="18"/>
  <c r="G249" i="18"/>
  <c r="G258" i="15"/>
  <c r="J255" i="18"/>
  <c r="N59" i="18"/>
  <c r="N249" i="18"/>
  <c r="N60" i="18"/>
  <c r="P58" i="18"/>
  <c r="O59" i="18"/>
  <c r="O249" i="18"/>
  <c r="O60" i="18"/>
  <c r="J249" i="18"/>
  <c r="J60" i="18"/>
  <c r="J59" i="18"/>
  <c r="K59" i="18"/>
  <c r="K60" i="18"/>
  <c r="K249" i="18"/>
  <c r="L59" i="18"/>
  <c r="L249" i="18"/>
  <c r="L60" i="18"/>
  <c r="G119" i="17" l="1"/>
  <c r="G259" i="17"/>
  <c r="G25" i="17"/>
  <c r="G255" i="15"/>
  <c r="J259" i="18"/>
  <c r="P255" i="18"/>
  <c r="P259" i="18" s="1"/>
  <c r="P249" i="18"/>
  <c r="P60" i="18"/>
  <c r="P59" i="18"/>
  <c r="G259" i="15" l="1"/>
  <c r="J46" i="1"/>
  <c r="J46" i="11" s="1"/>
  <c r="F187" i="14" l="1"/>
  <c r="E187" i="14"/>
  <c r="D187" i="14"/>
  <c r="F186" i="14"/>
  <c r="E186" i="14"/>
  <c r="D186" i="14"/>
  <c r="F185" i="14"/>
  <c r="E185" i="14"/>
  <c r="D185" i="14"/>
  <c r="F184" i="14"/>
  <c r="E184" i="14"/>
  <c r="D184" i="14"/>
  <c r="F52" i="14"/>
  <c r="E52" i="14"/>
  <c r="D52" i="14"/>
  <c r="I46" i="3" l="1"/>
  <c r="I46" i="2"/>
  <c r="I46" i="1"/>
  <c r="H46" i="3" l="1"/>
  <c r="H46" i="2"/>
  <c r="H46" i="1"/>
  <c r="H204" i="2" l="1"/>
  <c r="H45" i="1"/>
  <c r="F192" i="16" l="1"/>
  <c r="E192" i="16"/>
  <c r="D192" i="16"/>
  <c r="F191" i="16"/>
  <c r="E191" i="16"/>
  <c r="D191" i="16"/>
  <c r="F190" i="16"/>
  <c r="E190" i="16"/>
  <c r="D190" i="16"/>
  <c r="F189" i="16"/>
  <c r="E189" i="16"/>
  <c r="D189" i="16"/>
  <c r="F187" i="16"/>
  <c r="E187" i="16"/>
  <c r="D187" i="16"/>
  <c r="F186" i="16"/>
  <c r="E186" i="16"/>
  <c r="D186" i="16"/>
  <c r="F185" i="16"/>
  <c r="E185" i="16"/>
  <c r="D185" i="16"/>
  <c r="F184" i="16"/>
  <c r="E184" i="16"/>
  <c r="D184" i="16"/>
  <c r="F187" i="15"/>
  <c r="E187" i="15"/>
  <c r="D187" i="15"/>
  <c r="F186" i="15"/>
  <c r="E186" i="15"/>
  <c r="D186" i="15"/>
  <c r="F185" i="15"/>
  <c r="E185" i="15"/>
  <c r="D185" i="15"/>
  <c r="F184" i="15"/>
  <c r="E184" i="15"/>
  <c r="D184" i="15"/>
  <c r="F187" i="12"/>
  <c r="E187" i="12"/>
  <c r="D187" i="12"/>
  <c r="F186" i="12"/>
  <c r="E186" i="12"/>
  <c r="D186" i="12"/>
  <c r="F185" i="12"/>
  <c r="E185" i="12"/>
  <c r="D185" i="12"/>
  <c r="F184" i="12"/>
  <c r="E184" i="12"/>
  <c r="D184" i="12"/>
  <c r="F187" i="13"/>
  <c r="E187" i="13"/>
  <c r="D187" i="13"/>
  <c r="F186" i="13"/>
  <c r="E186" i="13"/>
  <c r="D186" i="13"/>
  <c r="F185" i="13"/>
  <c r="E185" i="13"/>
  <c r="D185" i="13"/>
  <c r="F184" i="13"/>
  <c r="E184" i="13"/>
  <c r="D184" i="13"/>
  <c r="G46" i="3"/>
  <c r="F46" i="3"/>
  <c r="E46" i="3"/>
  <c r="D46" i="3"/>
  <c r="G46" i="2"/>
  <c r="F46" i="2"/>
  <c r="E46" i="2"/>
  <c r="D46" i="2"/>
  <c r="G46" i="1"/>
  <c r="F46" i="1"/>
  <c r="E46" i="1"/>
  <c r="D46" i="1"/>
  <c r="I262" i="11" l="1"/>
  <c r="H262" i="11"/>
  <c r="G262" i="11"/>
  <c r="F262" i="11"/>
  <c r="E262" i="11"/>
  <c r="I261" i="11"/>
  <c r="H261" i="11"/>
  <c r="G261" i="11"/>
  <c r="F261" i="11"/>
  <c r="E261" i="11"/>
  <c r="D262" i="11"/>
  <c r="D261" i="11"/>
  <c r="I257" i="11"/>
  <c r="H257" i="11"/>
  <c r="G257" i="11"/>
  <c r="F257" i="11"/>
  <c r="E257" i="11"/>
  <c r="I254" i="11"/>
  <c r="H254" i="11"/>
  <c r="G254" i="11"/>
  <c r="F254" i="11"/>
  <c r="E254" i="11"/>
  <c r="I253" i="11"/>
  <c r="H253" i="11"/>
  <c r="G253" i="11"/>
  <c r="F253" i="11"/>
  <c r="E253" i="11"/>
  <c r="D257" i="11"/>
  <c r="D254" i="11"/>
  <c r="D253" i="11"/>
  <c r="I246" i="11"/>
  <c r="H246" i="11"/>
  <c r="I245" i="11"/>
  <c r="H245" i="11"/>
  <c r="I241" i="11"/>
  <c r="H241" i="11"/>
  <c r="G241" i="11"/>
  <c r="F241" i="11"/>
  <c r="E241" i="11"/>
  <c r="I240" i="11"/>
  <c r="H240" i="11"/>
  <c r="G240" i="11"/>
  <c r="F240" i="11"/>
  <c r="E240" i="11"/>
  <c r="I239" i="11"/>
  <c r="H239" i="11"/>
  <c r="G239" i="11"/>
  <c r="F239" i="11"/>
  <c r="E239" i="11"/>
  <c r="I238" i="11"/>
  <c r="H238" i="11"/>
  <c r="G238" i="11"/>
  <c r="F238" i="11"/>
  <c r="E238" i="11"/>
  <c r="D241" i="11"/>
  <c r="D240" i="11"/>
  <c r="D239" i="11"/>
  <c r="D238" i="11"/>
  <c r="I235" i="11"/>
  <c r="H235" i="11"/>
  <c r="G235" i="11"/>
  <c r="F235" i="11"/>
  <c r="E235" i="11"/>
  <c r="I234" i="11"/>
  <c r="H234" i="11"/>
  <c r="G234" i="11"/>
  <c r="F234" i="11"/>
  <c r="E234" i="11"/>
  <c r="I233" i="11"/>
  <c r="H233" i="11"/>
  <c r="G233" i="11"/>
  <c r="F233" i="11"/>
  <c r="E233" i="11"/>
  <c r="I232" i="11"/>
  <c r="H232" i="11"/>
  <c r="G232" i="11"/>
  <c r="F232" i="11"/>
  <c r="E232" i="11"/>
  <c r="D235" i="11"/>
  <c r="D234" i="11"/>
  <c r="D233" i="11"/>
  <c r="D232" i="11"/>
  <c r="I228" i="11"/>
  <c r="H228" i="11"/>
  <c r="G228" i="11"/>
  <c r="F228" i="11"/>
  <c r="E228" i="11"/>
  <c r="I227" i="11"/>
  <c r="H227" i="11"/>
  <c r="G227" i="11"/>
  <c r="F227" i="11"/>
  <c r="E227" i="11"/>
  <c r="I226" i="11"/>
  <c r="H226" i="11"/>
  <c r="G226" i="11"/>
  <c r="F226" i="11"/>
  <c r="E226" i="11"/>
  <c r="I225" i="11"/>
  <c r="H225" i="11"/>
  <c r="G225" i="11"/>
  <c r="F225" i="11"/>
  <c r="E225" i="11"/>
  <c r="D228" i="11"/>
  <c r="D227" i="11"/>
  <c r="D226" i="11"/>
  <c r="D225" i="11"/>
  <c r="I222" i="11"/>
  <c r="H222" i="11"/>
  <c r="G222" i="11"/>
  <c r="F222" i="11"/>
  <c r="E222" i="11"/>
  <c r="I221" i="11"/>
  <c r="H221" i="11"/>
  <c r="G221" i="11"/>
  <c r="F221" i="11"/>
  <c r="E221" i="11"/>
  <c r="I220" i="11"/>
  <c r="H220" i="11"/>
  <c r="G220" i="11"/>
  <c r="F220" i="11"/>
  <c r="E220" i="11"/>
  <c r="I219" i="11"/>
  <c r="H219" i="11"/>
  <c r="G219" i="11"/>
  <c r="F219" i="11"/>
  <c r="E219" i="11"/>
  <c r="D222" i="11"/>
  <c r="D221" i="11"/>
  <c r="D220" i="11"/>
  <c r="D219" i="11"/>
  <c r="I215" i="11"/>
  <c r="H215" i="11"/>
  <c r="G215" i="11"/>
  <c r="F215" i="11"/>
  <c r="E215" i="11"/>
  <c r="I214" i="11"/>
  <c r="H214" i="11"/>
  <c r="G214" i="11"/>
  <c r="F214" i="11"/>
  <c r="E214" i="11"/>
  <c r="I213" i="11"/>
  <c r="H213" i="11"/>
  <c r="G213" i="11"/>
  <c r="F213" i="11"/>
  <c r="E213" i="11"/>
  <c r="I212" i="11"/>
  <c r="H212" i="11"/>
  <c r="G212" i="11"/>
  <c r="F212" i="11"/>
  <c r="E212" i="11"/>
  <c r="D215" i="11"/>
  <c r="D214" i="11"/>
  <c r="D213" i="11"/>
  <c r="D212" i="11"/>
  <c r="I209" i="11"/>
  <c r="H209" i="11"/>
  <c r="G209" i="11"/>
  <c r="F209" i="11"/>
  <c r="E209" i="11"/>
  <c r="I208" i="11"/>
  <c r="H208" i="11"/>
  <c r="G208" i="11"/>
  <c r="F208" i="11"/>
  <c r="E208" i="11"/>
  <c r="I207" i="11"/>
  <c r="H207" i="11"/>
  <c r="G207" i="11"/>
  <c r="F207" i="11"/>
  <c r="E207" i="11"/>
  <c r="I206" i="11"/>
  <c r="H206" i="11"/>
  <c r="G206" i="11"/>
  <c r="F206" i="11"/>
  <c r="E206" i="11"/>
  <c r="D209" i="11"/>
  <c r="D208" i="11"/>
  <c r="D207" i="11"/>
  <c r="D206" i="11"/>
  <c r="I203" i="11"/>
  <c r="H203" i="11"/>
  <c r="G203" i="11"/>
  <c r="F203" i="11"/>
  <c r="E203" i="11"/>
  <c r="I202" i="11"/>
  <c r="H202" i="11"/>
  <c r="G202" i="11"/>
  <c r="F202" i="11"/>
  <c r="E202" i="11"/>
  <c r="I201" i="11"/>
  <c r="H201" i="11"/>
  <c r="G201" i="11"/>
  <c r="F201" i="11"/>
  <c r="E201" i="11"/>
  <c r="I200" i="11"/>
  <c r="H200" i="11"/>
  <c r="G200" i="11"/>
  <c r="F200" i="11"/>
  <c r="E200" i="11"/>
  <c r="I199" i="11"/>
  <c r="H199" i="11"/>
  <c r="G199" i="11"/>
  <c r="F199" i="11"/>
  <c r="E199" i="11"/>
  <c r="D203" i="11"/>
  <c r="D202" i="11"/>
  <c r="D201" i="11"/>
  <c r="D200" i="11"/>
  <c r="D199" i="11"/>
  <c r="I197" i="11"/>
  <c r="H197" i="11"/>
  <c r="G197" i="11"/>
  <c r="F197" i="11"/>
  <c r="E197" i="11"/>
  <c r="I196" i="11"/>
  <c r="H196" i="11"/>
  <c r="G196" i="11"/>
  <c r="F196" i="11"/>
  <c r="E196" i="11"/>
  <c r="D197" i="11"/>
  <c r="D196" i="11"/>
  <c r="D193" i="11"/>
  <c r="I192" i="11"/>
  <c r="H192" i="11"/>
  <c r="G192" i="11"/>
  <c r="F192" i="11"/>
  <c r="E192" i="11"/>
  <c r="D192" i="11"/>
  <c r="I191" i="11"/>
  <c r="H191" i="11"/>
  <c r="G191" i="11"/>
  <c r="F191" i="11"/>
  <c r="E191" i="11"/>
  <c r="D191" i="11"/>
  <c r="I190" i="11"/>
  <c r="H190" i="11"/>
  <c r="G190" i="11"/>
  <c r="F190" i="11"/>
  <c r="E190" i="11"/>
  <c r="D190" i="11"/>
  <c r="I189" i="11"/>
  <c r="H189" i="11"/>
  <c r="G189" i="11"/>
  <c r="F189" i="11"/>
  <c r="E189" i="11"/>
  <c r="D189" i="11"/>
  <c r="I188" i="11"/>
  <c r="H188" i="11"/>
  <c r="G188" i="11"/>
  <c r="F188" i="11"/>
  <c r="E188" i="11"/>
  <c r="D188" i="11"/>
  <c r="I187" i="11"/>
  <c r="H187" i="11"/>
  <c r="G187" i="11"/>
  <c r="F187" i="11"/>
  <c r="E187" i="11"/>
  <c r="D187" i="11"/>
  <c r="I186" i="11"/>
  <c r="H186" i="11"/>
  <c r="G186" i="11"/>
  <c r="F186" i="11"/>
  <c r="E186" i="11"/>
  <c r="D186" i="11"/>
  <c r="I185" i="11"/>
  <c r="H185" i="11"/>
  <c r="G185" i="11"/>
  <c r="F185" i="11"/>
  <c r="E185" i="11"/>
  <c r="D185" i="11"/>
  <c r="I184" i="11"/>
  <c r="H184" i="11"/>
  <c r="G184" i="11"/>
  <c r="F184" i="11"/>
  <c r="E184" i="11"/>
  <c r="D184" i="11"/>
  <c r="P187" i="3" l="1"/>
  <c r="F187" i="17" s="1"/>
  <c r="P186" i="3"/>
  <c r="F186" i="17" s="1"/>
  <c r="P185" i="3"/>
  <c r="F185" i="17" s="1"/>
  <c r="P184" i="3"/>
  <c r="F184" i="17" s="1"/>
  <c r="P187" i="1"/>
  <c r="D187" i="17" s="1"/>
  <c r="P186" i="1"/>
  <c r="D186" i="17" s="1"/>
  <c r="P185" i="1"/>
  <c r="D185" i="17" s="1"/>
  <c r="P184" i="1"/>
  <c r="D184" i="17" s="1"/>
  <c r="P187" i="2"/>
  <c r="E187" i="17" s="1"/>
  <c r="P186" i="2"/>
  <c r="E186" i="17" s="1"/>
  <c r="P185" i="2"/>
  <c r="E185" i="17" s="1"/>
  <c r="P184" i="2"/>
  <c r="E184" i="17" s="1"/>
  <c r="G82" i="2" l="1"/>
  <c r="G245" i="11" l="1"/>
  <c r="G246" i="11"/>
  <c r="P57" i="1"/>
  <c r="P188" i="1"/>
  <c r="P176" i="1"/>
  <c r="P166" i="1"/>
  <c r="E164" i="11" l="1"/>
  <c r="I182" i="11"/>
  <c r="H182" i="11"/>
  <c r="G182" i="11"/>
  <c r="F182" i="11"/>
  <c r="E182" i="11"/>
  <c r="D182" i="11"/>
  <c r="I181" i="11"/>
  <c r="H181" i="11"/>
  <c r="G181" i="11"/>
  <c r="F181" i="11"/>
  <c r="E181" i="11"/>
  <c r="D181" i="11"/>
  <c r="I180" i="11"/>
  <c r="H180" i="11"/>
  <c r="G180" i="11"/>
  <c r="F180" i="11"/>
  <c r="E180" i="11"/>
  <c r="D180" i="11"/>
  <c r="I179" i="11"/>
  <c r="H179" i="11"/>
  <c r="G179" i="11"/>
  <c r="F179" i="11"/>
  <c r="E179" i="11"/>
  <c r="D179" i="11"/>
  <c r="I178" i="11"/>
  <c r="H178" i="11"/>
  <c r="G178" i="11"/>
  <c r="F178" i="11"/>
  <c r="E178" i="11"/>
  <c r="D178" i="11"/>
  <c r="I177" i="11"/>
  <c r="H177" i="11"/>
  <c r="G177" i="11"/>
  <c r="F177" i="11"/>
  <c r="E177" i="11"/>
  <c r="D177" i="11"/>
  <c r="I175" i="11"/>
  <c r="H175" i="11"/>
  <c r="G175" i="11"/>
  <c r="F175" i="11"/>
  <c r="E175" i="11"/>
  <c r="D175" i="11"/>
  <c r="I174" i="11"/>
  <c r="H174" i="11"/>
  <c r="G174" i="11"/>
  <c r="F174" i="11"/>
  <c r="E174" i="11"/>
  <c r="D174" i="11"/>
  <c r="I173" i="11"/>
  <c r="H173" i="11"/>
  <c r="G173" i="11"/>
  <c r="F173" i="11"/>
  <c r="E173" i="11"/>
  <c r="D173" i="11"/>
  <c r="I172" i="11"/>
  <c r="H172" i="11"/>
  <c r="G172" i="11"/>
  <c r="F172" i="11"/>
  <c r="E172" i="11"/>
  <c r="D172" i="11"/>
  <c r="I171" i="11"/>
  <c r="H171" i="11"/>
  <c r="G171" i="11"/>
  <c r="F171" i="11"/>
  <c r="E171" i="11"/>
  <c r="D171" i="11"/>
  <c r="I170" i="11"/>
  <c r="H170" i="11"/>
  <c r="G170" i="11"/>
  <c r="F170" i="11"/>
  <c r="E170" i="11"/>
  <c r="D170" i="11"/>
  <c r="I169" i="11"/>
  <c r="H169" i="11"/>
  <c r="G169" i="11"/>
  <c r="F169" i="11"/>
  <c r="E169" i="11"/>
  <c r="D169" i="11"/>
  <c r="I168" i="11"/>
  <c r="H168" i="11"/>
  <c r="G168" i="11"/>
  <c r="F168" i="11"/>
  <c r="E168" i="11"/>
  <c r="D168" i="11"/>
  <c r="I167" i="11"/>
  <c r="H167" i="11"/>
  <c r="G167" i="11"/>
  <c r="F167" i="11"/>
  <c r="E167" i="11"/>
  <c r="D167" i="11"/>
  <c r="I165" i="11"/>
  <c r="H165" i="11"/>
  <c r="G165" i="11"/>
  <c r="F165" i="11"/>
  <c r="E165" i="11"/>
  <c r="D165" i="11"/>
  <c r="I164" i="11"/>
  <c r="H164" i="11"/>
  <c r="G164" i="11"/>
  <c r="F164" i="11"/>
  <c r="D164" i="11"/>
  <c r="I163" i="11"/>
  <c r="H163" i="11"/>
  <c r="G163" i="11"/>
  <c r="F163" i="11"/>
  <c r="E163" i="11"/>
  <c r="D163" i="11"/>
  <c r="I162" i="11"/>
  <c r="H162" i="11"/>
  <c r="G162" i="11"/>
  <c r="F162" i="11"/>
  <c r="E162" i="11"/>
  <c r="D162" i="11"/>
  <c r="I161" i="11"/>
  <c r="H161" i="11"/>
  <c r="G161" i="11"/>
  <c r="F161" i="11"/>
  <c r="E161" i="11"/>
  <c r="D161" i="11"/>
  <c r="I160" i="11"/>
  <c r="H160" i="11"/>
  <c r="G160" i="11"/>
  <c r="F160" i="11"/>
  <c r="E160" i="11"/>
  <c r="D160" i="11"/>
  <c r="I159" i="11"/>
  <c r="H159" i="11"/>
  <c r="G159" i="11"/>
  <c r="F159" i="11"/>
  <c r="E159" i="11"/>
  <c r="D159" i="11"/>
  <c r="I158" i="11"/>
  <c r="H158" i="11"/>
  <c r="G158" i="11"/>
  <c r="F158" i="11"/>
  <c r="E158" i="11"/>
  <c r="D158" i="11"/>
  <c r="I157" i="11"/>
  <c r="H157" i="11"/>
  <c r="G157" i="11"/>
  <c r="F157" i="11"/>
  <c r="E157" i="11"/>
  <c r="D157" i="11"/>
  <c r="I156" i="11"/>
  <c r="H156" i="11"/>
  <c r="G156" i="11"/>
  <c r="F156" i="11"/>
  <c r="E156" i="11"/>
  <c r="D156" i="11"/>
  <c r="I155" i="11"/>
  <c r="H155" i="11"/>
  <c r="G155" i="11"/>
  <c r="F155" i="11"/>
  <c r="E155" i="11"/>
  <c r="D155" i="11"/>
  <c r="I154" i="11"/>
  <c r="H154" i="11"/>
  <c r="G154" i="11"/>
  <c r="F154" i="11"/>
  <c r="E154" i="11"/>
  <c r="D154" i="11"/>
  <c r="I153" i="11"/>
  <c r="H153" i="11"/>
  <c r="G153" i="11"/>
  <c r="F153" i="11"/>
  <c r="E153" i="11"/>
  <c r="D153" i="11"/>
  <c r="I143" i="11"/>
  <c r="H143" i="11"/>
  <c r="G143" i="11"/>
  <c r="F143" i="11"/>
  <c r="E143" i="11"/>
  <c r="D143" i="11"/>
  <c r="I142" i="11"/>
  <c r="H142" i="11"/>
  <c r="G142" i="11"/>
  <c r="F142" i="11"/>
  <c r="E142" i="11"/>
  <c r="D142" i="11"/>
  <c r="I141" i="11"/>
  <c r="H141" i="11"/>
  <c r="G141" i="11"/>
  <c r="F141" i="11"/>
  <c r="E141" i="11"/>
  <c r="D141" i="11"/>
  <c r="I140" i="11"/>
  <c r="H140" i="11"/>
  <c r="G140" i="11"/>
  <c r="F140" i="11"/>
  <c r="E140" i="11"/>
  <c r="D140" i="11"/>
  <c r="I138" i="11"/>
  <c r="H138" i="11"/>
  <c r="G138" i="11"/>
  <c r="F138" i="11"/>
  <c r="E138" i="11"/>
  <c r="D138" i="11"/>
  <c r="I137" i="11"/>
  <c r="H137" i="11"/>
  <c r="G137" i="11"/>
  <c r="F137" i="11"/>
  <c r="E137" i="11"/>
  <c r="D137" i="11"/>
  <c r="I136" i="11"/>
  <c r="H136" i="11"/>
  <c r="G136" i="11"/>
  <c r="F136" i="11"/>
  <c r="E136" i="11"/>
  <c r="D136" i="11"/>
  <c r="I135" i="11"/>
  <c r="H135" i="11"/>
  <c r="G135" i="11"/>
  <c r="F135" i="11"/>
  <c r="E135" i="11"/>
  <c r="D135" i="11"/>
  <c r="I133" i="11"/>
  <c r="H133" i="11"/>
  <c r="G133" i="11"/>
  <c r="F133" i="11"/>
  <c r="E133" i="11"/>
  <c r="D133" i="11"/>
  <c r="I132" i="11"/>
  <c r="H132" i="11"/>
  <c r="G132" i="11"/>
  <c r="F132" i="11"/>
  <c r="E132" i="11"/>
  <c r="D132" i="11"/>
  <c r="I131" i="11"/>
  <c r="H131" i="11"/>
  <c r="G131" i="11"/>
  <c r="F131" i="11"/>
  <c r="E131" i="11"/>
  <c r="D131" i="11"/>
  <c r="I130" i="11"/>
  <c r="H130" i="11"/>
  <c r="G130" i="11"/>
  <c r="F130" i="11"/>
  <c r="E130" i="11"/>
  <c r="D130" i="11"/>
  <c r="I128" i="11"/>
  <c r="H128" i="11"/>
  <c r="G128" i="11"/>
  <c r="F128" i="11"/>
  <c r="E128" i="11"/>
  <c r="D128" i="11"/>
  <c r="I127" i="11"/>
  <c r="H127" i="11"/>
  <c r="G127" i="11"/>
  <c r="F127" i="11"/>
  <c r="E127" i="11"/>
  <c r="D127" i="11"/>
  <c r="I126" i="11"/>
  <c r="H126" i="11"/>
  <c r="G126" i="11"/>
  <c r="F126" i="11"/>
  <c r="E126" i="11"/>
  <c r="D126" i="11"/>
  <c r="I125" i="11"/>
  <c r="H125" i="11"/>
  <c r="G125" i="11"/>
  <c r="F125" i="11"/>
  <c r="E125" i="11"/>
  <c r="D125" i="11"/>
  <c r="I122" i="11"/>
  <c r="H122" i="11"/>
  <c r="G122" i="11"/>
  <c r="F122" i="11"/>
  <c r="E122" i="11"/>
  <c r="D122" i="11"/>
  <c r="I121" i="11"/>
  <c r="H121" i="11"/>
  <c r="G121" i="11"/>
  <c r="F121" i="11"/>
  <c r="E121" i="11"/>
  <c r="D121" i="11"/>
  <c r="I116" i="11"/>
  <c r="H116" i="11"/>
  <c r="G116" i="11"/>
  <c r="F116" i="11"/>
  <c r="E116" i="11"/>
  <c r="D116" i="11"/>
  <c r="I115" i="11"/>
  <c r="H115" i="11"/>
  <c r="G115" i="11"/>
  <c r="F115" i="11"/>
  <c r="E115" i="11"/>
  <c r="D115" i="11"/>
  <c r="I114" i="11"/>
  <c r="H114" i="11"/>
  <c r="G114" i="11"/>
  <c r="F114" i="11"/>
  <c r="E114" i="11"/>
  <c r="D114" i="11"/>
  <c r="I113" i="11"/>
  <c r="H113" i="11"/>
  <c r="G113" i="11"/>
  <c r="F113" i="11"/>
  <c r="E113" i="11"/>
  <c r="D113" i="11"/>
  <c r="I110" i="11"/>
  <c r="H110" i="11"/>
  <c r="G110" i="11"/>
  <c r="F110" i="11"/>
  <c r="E110" i="11"/>
  <c r="D110" i="11"/>
  <c r="I109" i="11"/>
  <c r="H109" i="11"/>
  <c r="G109" i="11"/>
  <c r="F109" i="11"/>
  <c r="E109" i="11"/>
  <c r="D109" i="11"/>
  <c r="I108" i="11"/>
  <c r="H108" i="11"/>
  <c r="G108" i="11"/>
  <c r="F108" i="11"/>
  <c r="E108" i="11"/>
  <c r="D108" i="11"/>
  <c r="I107" i="11"/>
  <c r="H107" i="11"/>
  <c r="G107" i="11"/>
  <c r="F107" i="11"/>
  <c r="E107" i="11"/>
  <c r="D107" i="11"/>
  <c r="I104" i="11"/>
  <c r="H104" i="11"/>
  <c r="G104" i="11"/>
  <c r="F104" i="11"/>
  <c r="E104" i="11"/>
  <c r="D104" i="11"/>
  <c r="I103" i="11"/>
  <c r="H103" i="11"/>
  <c r="G103" i="11"/>
  <c r="F103" i="11"/>
  <c r="E103" i="11"/>
  <c r="D103" i="11"/>
  <c r="I102" i="11"/>
  <c r="H102" i="11"/>
  <c r="G102" i="11"/>
  <c r="F102" i="11"/>
  <c r="E102" i="11"/>
  <c r="D102" i="11"/>
  <c r="I101" i="11"/>
  <c r="H101" i="11"/>
  <c r="G101" i="11"/>
  <c r="F101" i="11"/>
  <c r="E101" i="11"/>
  <c r="D101" i="11"/>
  <c r="I98" i="11"/>
  <c r="H98" i="11"/>
  <c r="G98" i="11"/>
  <c r="F98" i="11"/>
  <c r="E98" i="11"/>
  <c r="D98" i="11"/>
  <c r="I87" i="11"/>
  <c r="H87" i="11"/>
  <c r="G87" i="11"/>
  <c r="F87" i="11"/>
  <c r="E87" i="11"/>
  <c r="D87" i="11"/>
  <c r="I86" i="11"/>
  <c r="H86" i="11"/>
  <c r="G86" i="11"/>
  <c r="F86" i="11"/>
  <c r="E86" i="11"/>
  <c r="D86" i="11"/>
  <c r="I85" i="11"/>
  <c r="H85" i="11"/>
  <c r="G85" i="11"/>
  <c r="F85" i="11"/>
  <c r="E85" i="11"/>
  <c r="D85" i="11"/>
  <c r="I84" i="11"/>
  <c r="H84" i="11"/>
  <c r="G84" i="11"/>
  <c r="F84" i="11"/>
  <c r="E84" i="11"/>
  <c r="D84" i="11"/>
  <c r="I81" i="11"/>
  <c r="H81" i="11"/>
  <c r="G81" i="11"/>
  <c r="F81" i="11"/>
  <c r="E81" i="11"/>
  <c r="D81" i="11"/>
  <c r="I80" i="11"/>
  <c r="H80" i="11"/>
  <c r="G80" i="11"/>
  <c r="F80" i="11"/>
  <c r="E80" i="11"/>
  <c r="D80" i="11"/>
  <c r="I79" i="11"/>
  <c r="H79" i="11"/>
  <c r="G79" i="11"/>
  <c r="F79" i="11"/>
  <c r="E79" i="11"/>
  <c r="D79" i="11"/>
  <c r="I78" i="11"/>
  <c r="H78" i="11"/>
  <c r="G78" i="11"/>
  <c r="F78" i="11"/>
  <c r="E78" i="11"/>
  <c r="D78" i="11"/>
  <c r="I75" i="11"/>
  <c r="H75" i="11"/>
  <c r="G75" i="11"/>
  <c r="F75" i="11"/>
  <c r="E75" i="11"/>
  <c r="D75" i="11"/>
  <c r="I74" i="11"/>
  <c r="H74" i="11"/>
  <c r="G74" i="11"/>
  <c r="F74" i="11"/>
  <c r="E74" i="11"/>
  <c r="D74" i="11"/>
  <c r="I73" i="11"/>
  <c r="H73" i="11"/>
  <c r="G73" i="11"/>
  <c r="F73" i="11"/>
  <c r="E73" i="11"/>
  <c r="D73" i="11"/>
  <c r="I72" i="11"/>
  <c r="H72" i="11"/>
  <c r="G72" i="11"/>
  <c r="F72" i="11"/>
  <c r="E72" i="11"/>
  <c r="D72" i="11"/>
  <c r="I69" i="11"/>
  <c r="H69" i="11"/>
  <c r="G69" i="11"/>
  <c r="F69" i="11"/>
  <c r="E69" i="11"/>
  <c r="D69" i="11"/>
  <c r="I68" i="11"/>
  <c r="H68" i="11"/>
  <c r="G68" i="11"/>
  <c r="F68" i="11"/>
  <c r="E68" i="11"/>
  <c r="D68" i="11"/>
  <c r="I67" i="11"/>
  <c r="H67" i="11"/>
  <c r="G67" i="11"/>
  <c r="F67" i="11"/>
  <c r="E67" i="11"/>
  <c r="D67" i="11"/>
  <c r="I66" i="11"/>
  <c r="H66" i="11"/>
  <c r="G66" i="11"/>
  <c r="F66" i="11"/>
  <c r="E66" i="11"/>
  <c r="D66" i="11"/>
  <c r="E70" i="3"/>
  <c r="F70" i="3"/>
  <c r="D70" i="3"/>
  <c r="B37" i="3"/>
  <c r="B35" i="3"/>
  <c r="B33" i="3"/>
  <c r="B31" i="3"/>
  <c r="B29" i="3"/>
  <c r="E263" i="1"/>
  <c r="F263" i="1"/>
  <c r="D263" i="1"/>
  <c r="E144" i="11" l="1"/>
  <c r="J144" i="11"/>
  <c r="F144" i="11"/>
  <c r="H144" i="11"/>
  <c r="I144" i="11"/>
  <c r="G144" i="11"/>
  <c r="F245" i="11"/>
  <c r="E245" i="11"/>
  <c r="D245" i="11"/>
  <c r="E82" i="2"/>
  <c r="E83" i="2" s="1"/>
  <c r="F82" i="2"/>
  <c r="D82" i="2"/>
  <c r="D83" i="2" s="1"/>
  <c r="E70" i="2"/>
  <c r="E71" i="2" s="1"/>
  <c r="F70" i="2"/>
  <c r="D70" i="2"/>
  <c r="D71" i="2" s="1"/>
  <c r="D77" i="2"/>
  <c r="E77" i="2"/>
  <c r="F77" i="2"/>
  <c r="D88" i="2"/>
  <c r="D89" i="2" s="1"/>
  <c r="E88" i="2"/>
  <c r="E89" i="2" s="1"/>
  <c r="F88" i="2"/>
  <c r="F89" i="2" s="1"/>
  <c r="B37" i="2"/>
  <c r="B35" i="2"/>
  <c r="B33" i="2"/>
  <c r="B31" i="2"/>
  <c r="B29" i="2"/>
  <c r="G193" i="2"/>
  <c r="H193" i="2"/>
  <c r="I193" i="2"/>
  <c r="J193" i="2"/>
  <c r="K193" i="2"/>
  <c r="L193" i="2"/>
  <c r="M193" i="2"/>
  <c r="N193" i="2"/>
  <c r="O193" i="2"/>
  <c r="E193" i="2"/>
  <c r="F193" i="2"/>
  <c r="D193" i="2"/>
  <c r="F246" i="11"/>
  <c r="D246" i="11"/>
  <c r="D229" i="1"/>
  <c r="E229" i="1"/>
  <c r="F229" i="1"/>
  <c r="D134" i="1"/>
  <c r="E134" i="1"/>
  <c r="F134" i="1"/>
  <c r="D82" i="1"/>
  <c r="E82" i="1"/>
  <c r="F82" i="1"/>
  <c r="E246" i="11" l="1"/>
  <c r="F71" i="2"/>
  <c r="F83" i="2"/>
  <c r="I63" i="11"/>
  <c r="H63" i="11"/>
  <c r="G63" i="11"/>
  <c r="F63" i="11"/>
  <c r="E63" i="11"/>
  <c r="D63" i="11"/>
  <c r="I61" i="11"/>
  <c r="H61" i="11"/>
  <c r="G61" i="11"/>
  <c r="F61" i="11"/>
  <c r="E61" i="11"/>
  <c r="D61" i="11"/>
  <c r="I56" i="11"/>
  <c r="H56" i="11"/>
  <c r="G56" i="11"/>
  <c r="F56" i="11"/>
  <c r="E56" i="11"/>
  <c r="D56" i="11"/>
  <c r="I55" i="11"/>
  <c r="H55" i="11"/>
  <c r="G55" i="11"/>
  <c r="F55" i="11"/>
  <c r="E55" i="11"/>
  <c r="D55" i="11"/>
  <c r="I54" i="11"/>
  <c r="H54" i="11"/>
  <c r="G54" i="11"/>
  <c r="F54" i="11"/>
  <c r="E54" i="11"/>
  <c r="D54" i="11"/>
  <c r="H52" i="11"/>
  <c r="G52" i="11"/>
  <c r="F52" i="11"/>
  <c r="E52" i="11"/>
  <c r="D52" i="11"/>
  <c r="H51" i="11"/>
  <c r="G51" i="11"/>
  <c r="F51" i="11"/>
  <c r="E51" i="11"/>
  <c r="D51" i="11"/>
  <c r="H50" i="11"/>
  <c r="G50" i="11"/>
  <c r="F50" i="11"/>
  <c r="E50" i="11"/>
  <c r="D50" i="11"/>
  <c r="H49" i="11"/>
  <c r="G49" i="11"/>
  <c r="F49" i="11"/>
  <c r="E49" i="11"/>
  <c r="D49" i="11"/>
  <c r="L52" i="11"/>
  <c r="I52" i="11"/>
  <c r="I51" i="11"/>
  <c r="I50" i="11"/>
  <c r="I49" i="11"/>
  <c r="I44" i="11"/>
  <c r="H44" i="11"/>
  <c r="G44" i="11"/>
  <c r="F44" i="11"/>
  <c r="E44" i="11"/>
  <c r="D44" i="11"/>
  <c r="L39" i="11"/>
  <c r="J39" i="11"/>
  <c r="I39" i="11"/>
  <c r="H39" i="11"/>
  <c r="G39" i="11"/>
  <c r="F39" i="11"/>
  <c r="E39" i="11"/>
  <c r="D39" i="11"/>
  <c r="L37" i="11"/>
  <c r="J37" i="11"/>
  <c r="I37" i="11"/>
  <c r="H37" i="11"/>
  <c r="G37" i="11"/>
  <c r="F37" i="11"/>
  <c r="E37" i="11"/>
  <c r="D37" i="11"/>
  <c r="I35" i="11"/>
  <c r="H35" i="11"/>
  <c r="G35" i="11"/>
  <c r="F35" i="11"/>
  <c r="E35" i="11"/>
  <c r="D35" i="11"/>
  <c r="L35" i="11"/>
  <c r="J35" i="11"/>
  <c r="L33" i="11"/>
  <c r="J33" i="11"/>
  <c r="I33" i="11"/>
  <c r="H33" i="11"/>
  <c r="G33" i="11"/>
  <c r="F33" i="11"/>
  <c r="E33" i="11"/>
  <c r="D33" i="11"/>
  <c r="L31" i="11"/>
  <c r="J31" i="11"/>
  <c r="I31" i="11"/>
  <c r="H31" i="11"/>
  <c r="G31" i="11"/>
  <c r="F31" i="11"/>
  <c r="E31" i="11"/>
  <c r="D31" i="11"/>
  <c r="I29" i="11"/>
  <c r="H29" i="11"/>
  <c r="G29" i="11"/>
  <c r="F29" i="11"/>
  <c r="E29" i="11"/>
  <c r="D29" i="11"/>
  <c r="I20" i="11"/>
  <c r="H20" i="11"/>
  <c r="G20" i="11"/>
  <c r="F20" i="11"/>
  <c r="E20" i="11"/>
  <c r="D20" i="11"/>
  <c r="I19" i="11"/>
  <c r="H19" i="11"/>
  <c r="G19" i="11"/>
  <c r="F19" i="11"/>
  <c r="E19" i="11"/>
  <c r="D19" i="11"/>
  <c r="I18" i="11"/>
  <c r="H18" i="11"/>
  <c r="G18" i="11"/>
  <c r="F18" i="11"/>
  <c r="E18" i="11"/>
  <c r="D18" i="11"/>
  <c r="I17" i="11"/>
  <c r="H17" i="11"/>
  <c r="G17" i="11"/>
  <c r="F17" i="11"/>
  <c r="E17" i="11"/>
  <c r="D17" i="11"/>
  <c r="I14" i="11"/>
  <c r="H14" i="11"/>
  <c r="G14" i="11"/>
  <c r="F14" i="11"/>
  <c r="E14" i="11"/>
  <c r="I13" i="11"/>
  <c r="H13" i="11"/>
  <c r="G13" i="11"/>
  <c r="F13" i="11"/>
  <c r="E13" i="11"/>
  <c r="I12" i="11"/>
  <c r="H12" i="11"/>
  <c r="G12" i="11"/>
  <c r="F12" i="11"/>
  <c r="E12" i="11"/>
  <c r="I11" i="11"/>
  <c r="H11" i="11"/>
  <c r="G11" i="11"/>
  <c r="F11" i="11"/>
  <c r="E11" i="11"/>
  <c r="D14" i="11"/>
  <c r="D13" i="11"/>
  <c r="D12" i="11"/>
  <c r="D11" i="11"/>
  <c r="I9" i="11"/>
  <c r="H9" i="11"/>
  <c r="G9" i="11"/>
  <c r="F9" i="11"/>
  <c r="E9" i="11"/>
  <c r="D9" i="11"/>
  <c r="D70" i="1" l="1"/>
  <c r="D76" i="1"/>
  <c r="D89" i="1"/>
  <c r="D90" i="1"/>
  <c r="D77" i="1" l="1"/>
  <c r="D71" i="1"/>
  <c r="D70" i="11"/>
  <c r="D246" i="16"/>
  <c r="E246" i="16"/>
  <c r="F246" i="16"/>
  <c r="F245" i="16"/>
  <c r="E245" i="16"/>
  <c r="D245" i="16"/>
  <c r="P246" i="3" l="1"/>
  <c r="P245" i="3"/>
  <c r="P246" i="2"/>
  <c r="P245" i="2"/>
  <c r="P246" i="1"/>
  <c r="P245" i="1"/>
  <c r="F143" i="16" l="1"/>
  <c r="E143" i="16"/>
  <c r="D143" i="16"/>
  <c r="F142" i="16"/>
  <c r="E142" i="16"/>
  <c r="D142" i="16"/>
  <c r="F141" i="16"/>
  <c r="E141" i="16"/>
  <c r="D141" i="16"/>
  <c r="F140" i="16"/>
  <c r="E140" i="16"/>
  <c r="D140" i="16"/>
  <c r="F138" i="16"/>
  <c r="E138" i="16"/>
  <c r="D138" i="16"/>
  <c r="F137" i="16"/>
  <c r="E137" i="16"/>
  <c r="D137" i="16"/>
  <c r="F136" i="16"/>
  <c r="E136" i="16"/>
  <c r="D136" i="16"/>
  <c r="F135" i="16"/>
  <c r="E135" i="16"/>
  <c r="D135" i="16"/>
  <c r="F133" i="16"/>
  <c r="E133" i="16"/>
  <c r="D133" i="16"/>
  <c r="F132" i="16"/>
  <c r="E132" i="16"/>
  <c r="D132" i="16"/>
  <c r="F131" i="16"/>
  <c r="E131" i="16"/>
  <c r="D131" i="16"/>
  <c r="F130" i="16"/>
  <c r="E130" i="16"/>
  <c r="D130" i="16"/>
  <c r="F128" i="16"/>
  <c r="E128" i="16"/>
  <c r="D128" i="16"/>
  <c r="F127" i="16"/>
  <c r="E127" i="16"/>
  <c r="D127" i="16"/>
  <c r="F126" i="16"/>
  <c r="E126" i="16"/>
  <c r="D126" i="16"/>
  <c r="F125" i="16"/>
  <c r="E125" i="16"/>
  <c r="D125" i="16"/>
  <c r="D50" i="12"/>
  <c r="E50" i="12"/>
  <c r="F50" i="12"/>
  <c r="D51" i="12"/>
  <c r="E51" i="12"/>
  <c r="F51" i="12"/>
  <c r="E76" i="1"/>
  <c r="F76" i="1"/>
  <c r="G77" i="1"/>
  <c r="H76" i="1"/>
  <c r="I76" i="1"/>
  <c r="J76" i="1"/>
  <c r="K76" i="1"/>
  <c r="L76" i="1"/>
  <c r="M76" i="1"/>
  <c r="N76" i="1"/>
  <c r="O76" i="1"/>
  <c r="P75" i="1"/>
  <c r="P74" i="1"/>
  <c r="P73" i="1"/>
  <c r="P72" i="1"/>
  <c r="F87" i="16"/>
  <c r="E87" i="16"/>
  <c r="D87" i="16"/>
  <c r="F86" i="16"/>
  <c r="E86" i="16"/>
  <c r="D86" i="16"/>
  <c r="F85" i="16"/>
  <c r="E85" i="16"/>
  <c r="D85" i="16"/>
  <c r="F84" i="16"/>
  <c r="E84" i="16"/>
  <c r="D84" i="16"/>
  <c r="F81" i="16"/>
  <c r="E81" i="16"/>
  <c r="D81" i="16"/>
  <c r="F80" i="16"/>
  <c r="E80" i="16"/>
  <c r="D80" i="16"/>
  <c r="F79" i="16"/>
  <c r="E79" i="16"/>
  <c r="D79" i="16"/>
  <c r="F78" i="16"/>
  <c r="E78" i="16"/>
  <c r="D78" i="16"/>
  <c r="F75" i="16"/>
  <c r="E75" i="16"/>
  <c r="D75" i="16"/>
  <c r="F74" i="16"/>
  <c r="E74" i="16"/>
  <c r="D74" i="16"/>
  <c r="F73" i="16"/>
  <c r="E73" i="16"/>
  <c r="D73" i="16"/>
  <c r="F72" i="16"/>
  <c r="E72" i="16"/>
  <c r="D72" i="16"/>
  <c r="F66" i="16"/>
  <c r="E66" i="16"/>
  <c r="D66" i="16"/>
  <c r="P86" i="1"/>
  <c r="P87" i="1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O117" i="1"/>
  <c r="N92" i="1"/>
  <c r="O92" i="1"/>
  <c r="O93" i="1"/>
  <c r="P80" i="1"/>
  <c r="P196" i="1"/>
  <c r="M77" i="1" l="1"/>
  <c r="E77" i="1"/>
  <c r="L77" i="1"/>
  <c r="N77" i="1"/>
  <c r="K77" i="1"/>
  <c r="J77" i="1"/>
  <c r="I77" i="1"/>
  <c r="F77" i="1"/>
  <c r="H77" i="1"/>
  <c r="O77" i="1"/>
  <c r="D87" i="17"/>
  <c r="E88" i="16"/>
  <c r="E89" i="16" s="1"/>
  <c r="F76" i="16"/>
  <c r="F77" i="16" s="1"/>
  <c r="F88" i="16"/>
  <c r="F89" i="16" s="1"/>
  <c r="E90" i="16"/>
  <c r="F144" i="16"/>
  <c r="D76" i="16"/>
  <c r="D82" i="16"/>
  <c r="E144" i="16"/>
  <c r="E76" i="16"/>
  <c r="E77" i="16" s="1"/>
  <c r="E82" i="16"/>
  <c r="E83" i="16" s="1"/>
  <c r="D88" i="16"/>
  <c r="P76" i="1"/>
  <c r="F82" i="16"/>
  <c r="F83" i="16" s="1"/>
  <c r="F90" i="16"/>
  <c r="P263" i="1"/>
  <c r="D90" i="16"/>
  <c r="D89" i="16" l="1"/>
  <c r="D77" i="16"/>
  <c r="D83" i="16"/>
  <c r="P77" i="1"/>
  <c r="F122" i="16"/>
  <c r="E122" i="16"/>
  <c r="D122" i="16"/>
  <c r="F121" i="16"/>
  <c r="E121" i="16"/>
  <c r="D121" i="16"/>
  <c r="F116" i="16"/>
  <c r="E116" i="16"/>
  <c r="D116" i="16"/>
  <c r="F115" i="16"/>
  <c r="E115" i="16"/>
  <c r="D115" i="16"/>
  <c r="F114" i="16"/>
  <c r="E114" i="16"/>
  <c r="D114" i="16"/>
  <c r="F113" i="16"/>
  <c r="E113" i="16"/>
  <c r="D113" i="16"/>
  <c r="F110" i="16"/>
  <c r="E110" i="16"/>
  <c r="D110" i="16"/>
  <c r="F109" i="16"/>
  <c r="E109" i="16"/>
  <c r="D109" i="16"/>
  <c r="F108" i="16"/>
  <c r="E108" i="16"/>
  <c r="D108" i="16"/>
  <c r="F107" i="16"/>
  <c r="E107" i="16"/>
  <c r="D107" i="16"/>
  <c r="F102" i="16"/>
  <c r="F103" i="16"/>
  <c r="F104" i="16"/>
  <c r="E102" i="16"/>
  <c r="E103" i="16"/>
  <c r="E104" i="16"/>
  <c r="D102" i="16"/>
  <c r="D103" i="16"/>
  <c r="D104" i="16"/>
  <c r="F101" i="16"/>
  <c r="E101" i="16"/>
  <c r="D101" i="16"/>
  <c r="F98" i="16"/>
  <c r="E98" i="16"/>
  <c r="D98" i="16"/>
  <c r="D144" i="16"/>
  <c r="F139" i="16"/>
  <c r="E139" i="16"/>
  <c r="D139" i="16"/>
  <c r="F134" i="16"/>
  <c r="E134" i="16"/>
  <c r="D134" i="16"/>
  <c r="F148" i="16"/>
  <c r="E148" i="16"/>
  <c r="D148" i="16"/>
  <c r="F147" i="16"/>
  <c r="E147" i="16"/>
  <c r="D147" i="16"/>
  <c r="F146" i="16"/>
  <c r="E146" i="16"/>
  <c r="D146" i="16"/>
  <c r="F145" i="16"/>
  <c r="E145" i="16"/>
  <c r="D145" i="16"/>
  <c r="F257" i="16"/>
  <c r="E257" i="16"/>
  <c r="D257" i="16"/>
  <c r="F254" i="16"/>
  <c r="E254" i="16"/>
  <c r="D254" i="16"/>
  <c r="F253" i="16"/>
  <c r="E253" i="16"/>
  <c r="D253" i="16"/>
  <c r="F262" i="16"/>
  <c r="E262" i="16"/>
  <c r="D262" i="16"/>
  <c r="F261" i="16"/>
  <c r="E261" i="16"/>
  <c r="D261" i="16"/>
  <c r="F241" i="16"/>
  <c r="E241" i="16"/>
  <c r="D241" i="16"/>
  <c r="F240" i="16"/>
  <c r="E240" i="16"/>
  <c r="D240" i="16"/>
  <c r="F239" i="16"/>
  <c r="E239" i="16"/>
  <c r="D239" i="16"/>
  <c r="F238" i="16"/>
  <c r="E238" i="16"/>
  <c r="D238" i="16"/>
  <c r="F235" i="16"/>
  <c r="E235" i="16"/>
  <c r="D235" i="16"/>
  <c r="F234" i="16"/>
  <c r="E234" i="16"/>
  <c r="D234" i="16"/>
  <c r="F233" i="16"/>
  <c r="E233" i="16"/>
  <c r="D233" i="16"/>
  <c r="F232" i="16"/>
  <c r="E232" i="16"/>
  <c r="D232" i="16"/>
  <c r="F228" i="16"/>
  <c r="E228" i="16"/>
  <c r="D228" i="16"/>
  <c r="F227" i="16"/>
  <c r="E227" i="16"/>
  <c r="D227" i="16"/>
  <c r="F226" i="16"/>
  <c r="E226" i="16"/>
  <c r="D226" i="16"/>
  <c r="F225" i="16"/>
  <c r="E225" i="16"/>
  <c r="D225" i="16"/>
  <c r="F222" i="16"/>
  <c r="E222" i="16"/>
  <c r="D222" i="16"/>
  <c r="F221" i="16"/>
  <c r="E221" i="16"/>
  <c r="D221" i="16"/>
  <c r="F220" i="16"/>
  <c r="E220" i="16"/>
  <c r="D220" i="16"/>
  <c r="F219" i="16"/>
  <c r="E219" i="16"/>
  <c r="D219" i="16"/>
  <c r="F215" i="16"/>
  <c r="E215" i="16"/>
  <c r="D215" i="16"/>
  <c r="F214" i="16"/>
  <c r="E214" i="16"/>
  <c r="D214" i="16"/>
  <c r="F213" i="16"/>
  <c r="E213" i="16"/>
  <c r="D213" i="16"/>
  <c r="F212" i="16"/>
  <c r="E212" i="16"/>
  <c r="D212" i="16"/>
  <c r="F209" i="16"/>
  <c r="E209" i="16"/>
  <c r="D209" i="16"/>
  <c r="F208" i="16"/>
  <c r="E208" i="16"/>
  <c r="D208" i="16"/>
  <c r="F207" i="16"/>
  <c r="E207" i="16"/>
  <c r="D207" i="16"/>
  <c r="F206" i="16"/>
  <c r="E206" i="16"/>
  <c r="D206" i="16"/>
  <c r="F203" i="16"/>
  <c r="E203" i="16"/>
  <c r="D203" i="16"/>
  <c r="F202" i="16"/>
  <c r="E202" i="16"/>
  <c r="D202" i="16"/>
  <c r="F201" i="16"/>
  <c r="E201" i="16"/>
  <c r="D201" i="16"/>
  <c r="F200" i="16"/>
  <c r="E200" i="16"/>
  <c r="D200" i="16"/>
  <c r="F199" i="16"/>
  <c r="E199" i="16"/>
  <c r="D199" i="16"/>
  <c r="F197" i="16"/>
  <c r="E197" i="16"/>
  <c r="D197" i="16"/>
  <c r="F196" i="16"/>
  <c r="E196" i="16"/>
  <c r="D196" i="16"/>
  <c r="F195" i="16"/>
  <c r="E195" i="16"/>
  <c r="D195" i="16"/>
  <c r="F194" i="16"/>
  <c r="E194" i="16"/>
  <c r="D194" i="16"/>
  <c r="F182" i="16"/>
  <c r="E182" i="16"/>
  <c r="D182" i="16"/>
  <c r="F181" i="16"/>
  <c r="E181" i="16"/>
  <c r="D181" i="16"/>
  <c r="F180" i="16"/>
  <c r="E180" i="16"/>
  <c r="D180" i="16"/>
  <c r="F179" i="16"/>
  <c r="E179" i="16"/>
  <c r="D179" i="16"/>
  <c r="F178" i="16"/>
  <c r="E178" i="16"/>
  <c r="D178" i="16"/>
  <c r="F177" i="16"/>
  <c r="E177" i="16"/>
  <c r="D177" i="16"/>
  <c r="F175" i="16"/>
  <c r="E175" i="16"/>
  <c r="D175" i="16"/>
  <c r="F174" i="16"/>
  <c r="E174" i="16"/>
  <c r="D174" i="16"/>
  <c r="F173" i="16"/>
  <c r="E173" i="16"/>
  <c r="D173" i="16"/>
  <c r="F172" i="16"/>
  <c r="E172" i="16"/>
  <c r="D172" i="16"/>
  <c r="F171" i="16"/>
  <c r="E171" i="16"/>
  <c r="D171" i="16"/>
  <c r="F170" i="16"/>
  <c r="E170" i="16"/>
  <c r="D170" i="16"/>
  <c r="F169" i="16"/>
  <c r="E169" i="16"/>
  <c r="D169" i="16"/>
  <c r="F168" i="16"/>
  <c r="E168" i="16"/>
  <c r="D168" i="16"/>
  <c r="F167" i="16"/>
  <c r="E167" i="16"/>
  <c r="D167" i="16"/>
  <c r="F165" i="16"/>
  <c r="E165" i="16"/>
  <c r="D165" i="16"/>
  <c r="F164" i="16"/>
  <c r="E164" i="16"/>
  <c r="D164" i="16"/>
  <c r="F163" i="16"/>
  <c r="E163" i="16"/>
  <c r="D163" i="16"/>
  <c r="F162" i="16"/>
  <c r="E162" i="16"/>
  <c r="D162" i="16"/>
  <c r="F161" i="16"/>
  <c r="E161" i="16"/>
  <c r="D161" i="16"/>
  <c r="F160" i="16"/>
  <c r="E160" i="16"/>
  <c r="D160" i="16"/>
  <c r="F159" i="16"/>
  <c r="E159" i="16"/>
  <c r="D159" i="16"/>
  <c r="F158" i="16"/>
  <c r="E158" i="16"/>
  <c r="D158" i="16"/>
  <c r="F157" i="16"/>
  <c r="E157" i="16"/>
  <c r="D157" i="16"/>
  <c r="F156" i="16"/>
  <c r="E156" i="16"/>
  <c r="D156" i="16"/>
  <c r="F155" i="16"/>
  <c r="E155" i="16"/>
  <c r="D155" i="16"/>
  <c r="F154" i="16"/>
  <c r="E154" i="16"/>
  <c r="D154" i="16"/>
  <c r="F153" i="16"/>
  <c r="E153" i="16"/>
  <c r="D153" i="16"/>
  <c r="F69" i="16"/>
  <c r="F93" i="16" s="1"/>
  <c r="E69" i="16"/>
  <c r="E93" i="16" s="1"/>
  <c r="D69" i="16"/>
  <c r="F68" i="16"/>
  <c r="F92" i="16" s="1"/>
  <c r="E68" i="16"/>
  <c r="E92" i="16" s="1"/>
  <c r="D68" i="16"/>
  <c r="F67" i="16"/>
  <c r="F91" i="16" s="1"/>
  <c r="E67" i="16"/>
  <c r="E91" i="16" s="1"/>
  <c r="D67" i="16"/>
  <c r="F56" i="16"/>
  <c r="E56" i="16"/>
  <c r="D56" i="16"/>
  <c r="F55" i="16"/>
  <c r="E55" i="16"/>
  <c r="D55" i="16"/>
  <c r="F54" i="16"/>
  <c r="E54" i="16"/>
  <c r="D54" i="16"/>
  <c r="F51" i="16"/>
  <c r="E51" i="16"/>
  <c r="D51" i="16"/>
  <c r="F50" i="16"/>
  <c r="E50" i="16"/>
  <c r="D50" i="16"/>
  <c r="F49" i="16"/>
  <c r="E49" i="16"/>
  <c r="D49" i="16"/>
  <c r="F44" i="16"/>
  <c r="E44" i="16"/>
  <c r="D44" i="16"/>
  <c r="F35" i="16"/>
  <c r="E35" i="16"/>
  <c r="D35" i="16"/>
  <c r="F33" i="16"/>
  <c r="E33" i="16"/>
  <c r="D33" i="16"/>
  <c r="F31" i="16"/>
  <c r="E31" i="16"/>
  <c r="D31" i="16"/>
  <c r="F29" i="16"/>
  <c r="E29" i="16"/>
  <c r="D29" i="16"/>
  <c r="F20" i="16"/>
  <c r="E20" i="16"/>
  <c r="F19" i="16"/>
  <c r="E19" i="16"/>
  <c r="F18" i="16"/>
  <c r="E18" i="16"/>
  <c r="F17" i="16"/>
  <c r="E17" i="16"/>
  <c r="F14" i="16"/>
  <c r="E14" i="16"/>
  <c r="F13" i="16"/>
  <c r="E13" i="16"/>
  <c r="F12" i="16"/>
  <c r="E12" i="16"/>
  <c r="F11" i="16"/>
  <c r="E11" i="16"/>
  <c r="F9" i="16"/>
  <c r="E9" i="16"/>
  <c r="O263" i="2"/>
  <c r="P196" i="2"/>
  <c r="O129" i="2"/>
  <c r="O134" i="2"/>
  <c r="O139" i="2"/>
  <c r="O144" i="2"/>
  <c r="O145" i="2"/>
  <c r="O146" i="2"/>
  <c r="O147" i="2"/>
  <c r="O148" i="2"/>
  <c r="P116" i="2"/>
  <c r="P115" i="2"/>
  <c r="P114" i="2"/>
  <c r="P113" i="2"/>
  <c r="P86" i="2"/>
  <c r="P75" i="2"/>
  <c r="P80" i="2"/>
  <c r="N88" i="2"/>
  <c r="O88" i="2"/>
  <c r="O70" i="2"/>
  <c r="O71" i="2" s="1"/>
  <c r="O91" i="2"/>
  <c r="O256" i="2" s="1"/>
  <c r="O76" i="2"/>
  <c r="O90" i="2"/>
  <c r="O82" i="2"/>
  <c r="O92" i="2"/>
  <c r="O93" i="2"/>
  <c r="O77" i="2" l="1"/>
  <c r="O89" i="2"/>
  <c r="D92" i="16"/>
  <c r="D91" i="16"/>
  <c r="D93" i="16"/>
  <c r="E263" i="16"/>
  <c r="D236" i="16"/>
  <c r="F263" i="16"/>
  <c r="F236" i="16"/>
  <c r="F94" i="16"/>
  <c r="F95" i="16" s="1"/>
  <c r="E236" i="16"/>
  <c r="E94" i="16"/>
  <c r="E95" i="16" s="1"/>
  <c r="D263" i="16"/>
  <c r="D149" i="16"/>
  <c r="E149" i="16"/>
  <c r="F149" i="16"/>
  <c r="F129" i="16"/>
  <c r="D129" i="16"/>
  <c r="E129" i="16"/>
  <c r="O149" i="2"/>
  <c r="O94" i="2"/>
  <c r="O95" i="2" s="1"/>
  <c r="O255" i="2" s="1"/>
  <c r="O83" i="2"/>
  <c r="D94" i="16" l="1"/>
  <c r="D95" i="16"/>
  <c r="P262" i="3"/>
  <c r="P261" i="3"/>
  <c r="O263" i="3"/>
  <c r="P196" i="3"/>
  <c r="O129" i="3"/>
  <c r="O134" i="3"/>
  <c r="O139" i="3"/>
  <c r="O144" i="3"/>
  <c r="O145" i="3"/>
  <c r="O146" i="3"/>
  <c r="O147" i="3"/>
  <c r="O148" i="3"/>
  <c r="P116" i="3"/>
  <c r="P115" i="3"/>
  <c r="P114" i="3"/>
  <c r="P113" i="3"/>
  <c r="P80" i="3"/>
  <c r="P80" i="11" s="1"/>
  <c r="P75" i="3"/>
  <c r="P75" i="11" s="1"/>
  <c r="P86" i="3"/>
  <c r="P86" i="11" s="1"/>
  <c r="O70" i="3"/>
  <c r="O71" i="3" s="1"/>
  <c r="O76" i="3"/>
  <c r="O76" i="11" s="1"/>
  <c r="O82" i="3"/>
  <c r="O83" i="3" s="1"/>
  <c r="O88" i="3"/>
  <c r="O88" i="11" s="1"/>
  <c r="O90" i="3"/>
  <c r="O91" i="3"/>
  <c r="O256" i="3" s="1"/>
  <c r="O92" i="3"/>
  <c r="O92" i="11" s="1"/>
  <c r="O93" i="3"/>
  <c r="O93" i="11" s="1"/>
  <c r="O77" i="3" l="1"/>
  <c r="O77" i="11" s="1"/>
  <c r="O89" i="3"/>
  <c r="P263" i="3"/>
  <c r="O94" i="3"/>
  <c r="O95" i="3" s="1"/>
  <c r="O255" i="3" s="1"/>
  <c r="O149" i="3"/>
  <c r="P262" i="2" l="1"/>
  <c r="P261" i="2"/>
  <c r="P263" i="2" l="1"/>
  <c r="O117" i="3" l="1"/>
  <c r="N93" i="1" l="1"/>
  <c r="N263" i="3" l="1"/>
  <c r="N129" i="3"/>
  <c r="N134" i="3"/>
  <c r="N139" i="3"/>
  <c r="N144" i="3"/>
  <c r="N145" i="3"/>
  <c r="N146" i="3"/>
  <c r="N147" i="3"/>
  <c r="N148" i="3"/>
  <c r="N117" i="3"/>
  <c r="N70" i="3"/>
  <c r="N71" i="3" s="1"/>
  <c r="N76" i="3"/>
  <c r="N82" i="3"/>
  <c r="N83" i="3" s="1"/>
  <c r="N88" i="3"/>
  <c r="N88" i="11" s="1"/>
  <c r="N90" i="3"/>
  <c r="N91" i="3"/>
  <c r="N256" i="3" s="1"/>
  <c r="N92" i="3"/>
  <c r="N93" i="3"/>
  <c r="N77" i="3" l="1"/>
  <c r="N89" i="3"/>
  <c r="N94" i="3"/>
  <c r="N95" i="3" s="1"/>
  <c r="N255" i="3" s="1"/>
  <c r="N149" i="3"/>
  <c r="N263" i="2" l="1"/>
  <c r="N129" i="2"/>
  <c r="N134" i="2"/>
  <c r="N139" i="2"/>
  <c r="N144" i="2"/>
  <c r="N145" i="2"/>
  <c r="N146" i="2"/>
  <c r="N147" i="2"/>
  <c r="N148" i="2"/>
  <c r="N149" i="2" l="1"/>
  <c r="N117" i="1" l="1"/>
  <c r="M263" i="3" l="1"/>
  <c r="M129" i="3"/>
  <c r="M134" i="3"/>
  <c r="M139" i="3"/>
  <c r="M144" i="3"/>
  <c r="M145" i="3"/>
  <c r="M146" i="3"/>
  <c r="M147" i="3"/>
  <c r="M148" i="3"/>
  <c r="M117" i="3"/>
  <c r="M70" i="3"/>
  <c r="M71" i="3" s="1"/>
  <c r="M76" i="3"/>
  <c r="M82" i="3"/>
  <c r="M83" i="3" s="1"/>
  <c r="M88" i="3"/>
  <c r="M89" i="3" s="1"/>
  <c r="M90" i="3"/>
  <c r="M91" i="3"/>
  <c r="M256" i="3" s="1"/>
  <c r="F256" i="16" s="1"/>
  <c r="M92" i="3"/>
  <c r="M93" i="3"/>
  <c r="F46" i="16"/>
  <c r="M263" i="2"/>
  <c r="M129" i="2"/>
  <c r="M134" i="2"/>
  <c r="M139" i="2"/>
  <c r="M144" i="2"/>
  <c r="M145" i="2"/>
  <c r="M146" i="2"/>
  <c r="M147" i="2"/>
  <c r="M148" i="2"/>
  <c r="M117" i="2"/>
  <c r="M88" i="2"/>
  <c r="M77" i="3" l="1"/>
  <c r="M94" i="3"/>
  <c r="M95" i="3" s="1"/>
  <c r="M255" i="3" s="1"/>
  <c r="F255" i="16" s="1"/>
  <c r="M149" i="3"/>
  <c r="M149" i="2"/>
  <c r="L90" i="2"/>
  <c r="M90" i="2"/>
  <c r="N90" i="2"/>
  <c r="L91" i="2"/>
  <c r="M91" i="2"/>
  <c r="M256" i="2" s="1"/>
  <c r="N91" i="2"/>
  <c r="N256" i="2" s="1"/>
  <c r="L92" i="2"/>
  <c r="M92" i="2"/>
  <c r="N92" i="2"/>
  <c r="N92" i="11" s="1"/>
  <c r="L93" i="2"/>
  <c r="M93" i="2"/>
  <c r="N93" i="2"/>
  <c r="N93" i="11" s="1"/>
  <c r="M89" i="2"/>
  <c r="N89" i="2"/>
  <c r="E46" i="16"/>
  <c r="E256" i="16" l="1"/>
  <c r="L94" i="2"/>
  <c r="L95" i="2" s="1"/>
  <c r="N94" i="2"/>
  <c r="N95" i="2" s="1"/>
  <c r="N255" i="2" s="1"/>
  <c r="M94" i="2"/>
  <c r="M95" i="2" s="1"/>
  <c r="M255" i="2" s="1"/>
  <c r="E255" i="16" l="1"/>
  <c r="M144" i="1"/>
  <c r="N144" i="1"/>
  <c r="O144" i="1" s="1"/>
  <c r="M145" i="1"/>
  <c r="N145" i="1"/>
  <c r="O145" i="1"/>
  <c r="M146" i="1"/>
  <c r="N146" i="1"/>
  <c r="O146" i="1"/>
  <c r="M147" i="1"/>
  <c r="N147" i="1"/>
  <c r="M148" i="1"/>
  <c r="N148" i="1"/>
  <c r="O148" i="1"/>
  <c r="M139" i="1"/>
  <c r="N139" i="1"/>
  <c r="O139" i="1"/>
  <c r="M134" i="1"/>
  <c r="N134" i="1"/>
  <c r="O134" i="1"/>
  <c r="M129" i="1"/>
  <c r="N129" i="1"/>
  <c r="O129" i="1"/>
  <c r="M117" i="1"/>
  <c r="M90" i="1"/>
  <c r="M90" i="11" s="1"/>
  <c r="M91" i="1"/>
  <c r="M91" i="11" s="1"/>
  <c r="M256" i="11" s="1"/>
  <c r="M92" i="1"/>
  <c r="M92" i="11" s="1"/>
  <c r="M93" i="1"/>
  <c r="M93" i="11" s="1"/>
  <c r="M88" i="1"/>
  <c r="M88" i="11" s="1"/>
  <c r="M89" i="1" l="1"/>
  <c r="M89" i="11" s="1"/>
  <c r="M256" i="1"/>
  <c r="M94" i="1"/>
  <c r="M94" i="11" s="1"/>
  <c r="O147" i="1"/>
  <c r="O149" i="1" s="1"/>
  <c r="N149" i="1"/>
  <c r="M149" i="1"/>
  <c r="M95" i="1" l="1"/>
  <c r="M95" i="11" s="1"/>
  <c r="M255" i="11" s="1"/>
  <c r="M259" i="11" s="1"/>
  <c r="D46" i="16"/>
  <c r="M255" i="1" l="1"/>
  <c r="L263" i="3"/>
  <c r="L129" i="3"/>
  <c r="L134" i="3"/>
  <c r="L139" i="3"/>
  <c r="L144" i="3"/>
  <c r="L145" i="3"/>
  <c r="L146" i="3"/>
  <c r="L147" i="3"/>
  <c r="L148" i="3"/>
  <c r="L117" i="3"/>
  <c r="L71" i="3"/>
  <c r="L76" i="3"/>
  <c r="L82" i="3"/>
  <c r="L88" i="3"/>
  <c r="L89" i="3" s="1"/>
  <c r="L90" i="3"/>
  <c r="L91" i="3"/>
  <c r="L256" i="3" s="1"/>
  <c r="L92" i="3"/>
  <c r="L93" i="3"/>
  <c r="L94" i="3" l="1"/>
  <c r="L95" i="3" s="1"/>
  <c r="L255" i="3" s="1"/>
  <c r="L149" i="3"/>
  <c r="L263" i="2" l="1"/>
  <c r="L255" i="2"/>
  <c r="L256" i="2"/>
  <c r="L129" i="2"/>
  <c r="L134" i="2"/>
  <c r="L139" i="2"/>
  <c r="L144" i="2"/>
  <c r="L145" i="2"/>
  <c r="L146" i="2"/>
  <c r="L147" i="2"/>
  <c r="L148" i="2"/>
  <c r="L149" i="2" l="1"/>
  <c r="G46" i="11" l="1"/>
  <c r="H46" i="11"/>
  <c r="I46" i="11"/>
  <c r="E46" i="11"/>
  <c r="D46" i="11"/>
  <c r="L70" i="2"/>
  <c r="L71" i="2" s="1"/>
  <c r="L76" i="2"/>
  <c r="L82" i="2"/>
  <c r="L83" i="2" s="1"/>
  <c r="L83" i="11" s="1"/>
  <c r="L88" i="2"/>
  <c r="L89" i="2" s="1"/>
  <c r="L77" i="2" l="1"/>
  <c r="L77" i="11" s="1"/>
  <c r="L76" i="11"/>
  <c r="F46" i="11"/>
  <c r="L129" i="1"/>
  <c r="L134" i="1"/>
  <c r="L139" i="1"/>
  <c r="L144" i="1"/>
  <c r="L145" i="1"/>
  <c r="L146" i="1"/>
  <c r="L147" i="1"/>
  <c r="L148" i="1"/>
  <c r="L149" i="1" l="1"/>
  <c r="L70" i="1" l="1"/>
  <c r="L70" i="11" s="1"/>
  <c r="L82" i="1"/>
  <c r="L82" i="11" s="1"/>
  <c r="L88" i="11"/>
  <c r="L90" i="1"/>
  <c r="L90" i="11" s="1"/>
  <c r="L91" i="1"/>
  <c r="L91" i="11" s="1"/>
  <c r="L92" i="1"/>
  <c r="L92" i="11" s="1"/>
  <c r="L93" i="1"/>
  <c r="L93" i="11" s="1"/>
  <c r="L256" i="11" l="1"/>
  <c r="L256" i="1"/>
  <c r="L89" i="1"/>
  <c r="L89" i="11" s="1"/>
  <c r="L71" i="1"/>
  <c r="L71" i="11" s="1"/>
  <c r="L94" i="1"/>
  <c r="L94" i="11" s="1"/>
  <c r="L95" i="1" l="1"/>
  <c r="L95" i="11" s="1"/>
  <c r="K263" i="2"/>
  <c r="L255" i="11" l="1"/>
  <c r="L255" i="1"/>
  <c r="K263" i="3"/>
  <c r="K129" i="3"/>
  <c r="K134" i="3"/>
  <c r="K139" i="3"/>
  <c r="K144" i="3"/>
  <c r="K145" i="3"/>
  <c r="K146" i="3"/>
  <c r="K147" i="3"/>
  <c r="K148" i="3"/>
  <c r="K117" i="3"/>
  <c r="K71" i="3"/>
  <c r="K76" i="3"/>
  <c r="K82" i="3"/>
  <c r="K83" i="3"/>
  <c r="K88" i="3"/>
  <c r="K89" i="3" s="1"/>
  <c r="K90" i="3"/>
  <c r="K91" i="3"/>
  <c r="K256" i="3" s="1"/>
  <c r="K92" i="3"/>
  <c r="K93" i="3"/>
  <c r="L259" i="11" l="1"/>
  <c r="K149" i="3"/>
  <c r="K94" i="3"/>
  <c r="K95" i="3" s="1"/>
  <c r="K255" i="3" s="1"/>
  <c r="K129" i="2" l="1"/>
  <c r="K134" i="2"/>
  <c r="K139" i="2"/>
  <c r="K144" i="2"/>
  <c r="K145" i="2"/>
  <c r="K146" i="2"/>
  <c r="K147" i="2"/>
  <c r="K148" i="2"/>
  <c r="K117" i="2"/>
  <c r="K149" i="2" l="1"/>
  <c r="K70" i="2"/>
  <c r="K71" i="2" s="1"/>
  <c r="K76" i="2"/>
  <c r="K82" i="2"/>
  <c r="K83" i="2" s="1"/>
  <c r="K88" i="2"/>
  <c r="K89" i="2" s="1"/>
  <c r="K90" i="2"/>
  <c r="K91" i="2"/>
  <c r="K256" i="2" s="1"/>
  <c r="K92" i="2"/>
  <c r="K93" i="2"/>
  <c r="K77" i="2" l="1"/>
  <c r="K77" i="11" s="1"/>
  <c r="K76" i="11"/>
  <c r="K94" i="2"/>
  <c r="K95" i="2" s="1"/>
  <c r="K255" i="2" s="1"/>
  <c r="K229" i="1" l="1"/>
  <c r="K144" i="1"/>
  <c r="K145" i="1"/>
  <c r="K146" i="1"/>
  <c r="K147" i="1"/>
  <c r="K149" i="1" l="1"/>
  <c r="K117" i="1" l="1"/>
  <c r="K90" i="1"/>
  <c r="K90" i="11" s="1"/>
  <c r="K91" i="1"/>
  <c r="K91" i="11" s="1"/>
  <c r="K92" i="1"/>
  <c r="K93" i="1"/>
  <c r="K93" i="11" s="1"/>
  <c r="K88" i="1"/>
  <c r="K88" i="11" s="1"/>
  <c r="K82" i="1"/>
  <c r="K82" i="11" s="1"/>
  <c r="K256" i="11" l="1"/>
  <c r="K92" i="11"/>
  <c r="K83" i="1"/>
  <c r="K83" i="11" s="1"/>
  <c r="K89" i="1"/>
  <c r="K89" i="11" s="1"/>
  <c r="K256" i="1"/>
  <c r="K94" i="1"/>
  <c r="K94" i="11" s="1"/>
  <c r="K95" i="1" l="1"/>
  <c r="K95" i="11" s="1"/>
  <c r="F122" i="15"/>
  <c r="E122" i="15"/>
  <c r="D122" i="15"/>
  <c r="F121" i="15"/>
  <c r="E121" i="15"/>
  <c r="D121" i="15"/>
  <c r="F116" i="15"/>
  <c r="E116" i="15"/>
  <c r="D116" i="15"/>
  <c r="F115" i="15"/>
  <c r="E115" i="15"/>
  <c r="D115" i="15"/>
  <c r="F114" i="15"/>
  <c r="E114" i="15"/>
  <c r="D114" i="15"/>
  <c r="F113" i="15"/>
  <c r="E113" i="15"/>
  <c r="D113" i="15"/>
  <c r="F110" i="15"/>
  <c r="E110" i="15"/>
  <c r="D110" i="15"/>
  <c r="F109" i="15"/>
  <c r="E109" i="15"/>
  <c r="D109" i="15"/>
  <c r="F108" i="15"/>
  <c r="E108" i="15"/>
  <c r="D108" i="15"/>
  <c r="F107" i="15"/>
  <c r="E107" i="15"/>
  <c r="D107" i="15"/>
  <c r="F104" i="15"/>
  <c r="E104" i="15"/>
  <c r="D104" i="15"/>
  <c r="F103" i="15"/>
  <c r="E103" i="15"/>
  <c r="D103" i="15"/>
  <c r="F102" i="15"/>
  <c r="E102" i="15"/>
  <c r="D102" i="15"/>
  <c r="F101" i="15"/>
  <c r="E101" i="15"/>
  <c r="D101" i="15"/>
  <c r="F140" i="15"/>
  <c r="E140" i="15"/>
  <c r="D140" i="15"/>
  <c r="F135" i="15"/>
  <c r="E135" i="15"/>
  <c r="D135" i="15"/>
  <c r="F130" i="15"/>
  <c r="E130" i="15"/>
  <c r="D130" i="15"/>
  <c r="F125" i="15"/>
  <c r="E125" i="15"/>
  <c r="D125" i="15"/>
  <c r="F84" i="15"/>
  <c r="E84" i="15"/>
  <c r="D84" i="15"/>
  <c r="F78" i="15"/>
  <c r="E78" i="15"/>
  <c r="D78" i="15"/>
  <c r="F72" i="15"/>
  <c r="E72" i="15"/>
  <c r="D72" i="15"/>
  <c r="F66" i="15"/>
  <c r="E66" i="15"/>
  <c r="D66" i="15"/>
  <c r="F262" i="15"/>
  <c r="E262" i="15"/>
  <c r="D262" i="15"/>
  <c r="F261" i="15"/>
  <c r="E261" i="15"/>
  <c r="D261" i="15"/>
  <c r="F257" i="15"/>
  <c r="E257" i="15"/>
  <c r="D257" i="15"/>
  <c r="F254" i="15"/>
  <c r="E254" i="15"/>
  <c r="D254" i="15"/>
  <c r="F253" i="15"/>
  <c r="E253" i="15"/>
  <c r="D253" i="15"/>
  <c r="F246" i="15"/>
  <c r="E246" i="15"/>
  <c r="D246" i="15"/>
  <c r="F245" i="15"/>
  <c r="E245" i="15"/>
  <c r="D245" i="15"/>
  <c r="F241" i="15"/>
  <c r="E241" i="15"/>
  <c r="D241" i="15"/>
  <c r="F240" i="15"/>
  <c r="E240" i="15"/>
  <c r="D240" i="15"/>
  <c r="F239" i="15"/>
  <c r="E239" i="15"/>
  <c r="D239" i="15"/>
  <c r="F238" i="15"/>
  <c r="E238" i="15"/>
  <c r="D238" i="15"/>
  <c r="F235" i="15"/>
  <c r="E235" i="15"/>
  <c r="D235" i="15"/>
  <c r="F234" i="15"/>
  <c r="E234" i="15"/>
  <c r="D234" i="15"/>
  <c r="F233" i="15"/>
  <c r="E233" i="15"/>
  <c r="D233" i="15"/>
  <c r="F232" i="15"/>
  <c r="E232" i="15"/>
  <c r="D232" i="15"/>
  <c r="F228" i="15"/>
  <c r="E228" i="15"/>
  <c r="D228" i="15"/>
  <c r="F227" i="15"/>
  <c r="E227" i="15"/>
  <c r="D227" i="15"/>
  <c r="F226" i="15"/>
  <c r="E226" i="15"/>
  <c r="D226" i="15"/>
  <c r="F225" i="15"/>
  <c r="E225" i="15"/>
  <c r="D225" i="15"/>
  <c r="F222" i="15"/>
  <c r="E222" i="15"/>
  <c r="D222" i="15"/>
  <c r="E221" i="15"/>
  <c r="D221" i="15"/>
  <c r="F220" i="15"/>
  <c r="E220" i="15"/>
  <c r="D220" i="15"/>
  <c r="F219" i="15"/>
  <c r="E219" i="15"/>
  <c r="D219" i="15"/>
  <c r="F215" i="15"/>
  <c r="E215" i="15"/>
  <c r="D215" i="15"/>
  <c r="F214" i="15"/>
  <c r="E214" i="15"/>
  <c r="D214" i="15"/>
  <c r="F213" i="15"/>
  <c r="E213" i="15"/>
  <c r="D213" i="15"/>
  <c r="F212" i="15"/>
  <c r="E212" i="15"/>
  <c r="D212" i="15"/>
  <c r="F209" i="15"/>
  <c r="E209" i="15"/>
  <c r="D209" i="15"/>
  <c r="F208" i="15"/>
  <c r="E208" i="15"/>
  <c r="D208" i="15"/>
  <c r="F207" i="15"/>
  <c r="E207" i="15"/>
  <c r="D207" i="15"/>
  <c r="F206" i="15"/>
  <c r="E206" i="15"/>
  <c r="D206" i="15"/>
  <c r="F203" i="15"/>
  <c r="E203" i="15"/>
  <c r="D203" i="15"/>
  <c r="F202" i="15"/>
  <c r="E202" i="15"/>
  <c r="D202" i="15"/>
  <c r="F201" i="15"/>
  <c r="E201" i="15"/>
  <c r="D201" i="15"/>
  <c r="F200" i="15"/>
  <c r="E200" i="15"/>
  <c r="D200" i="15"/>
  <c r="F199" i="15"/>
  <c r="E199" i="15"/>
  <c r="D199" i="15"/>
  <c r="F197" i="15"/>
  <c r="E197" i="15"/>
  <c r="D197" i="15"/>
  <c r="F196" i="15"/>
  <c r="E196" i="15"/>
  <c r="D196" i="15"/>
  <c r="F195" i="15"/>
  <c r="E195" i="15"/>
  <c r="D195" i="15"/>
  <c r="F194" i="15"/>
  <c r="E194" i="15"/>
  <c r="D194" i="15"/>
  <c r="F192" i="15"/>
  <c r="E192" i="15"/>
  <c r="D192" i="15"/>
  <c r="F191" i="15"/>
  <c r="E191" i="15"/>
  <c r="D191" i="15"/>
  <c r="F190" i="15"/>
  <c r="E190" i="15"/>
  <c r="D190" i="15"/>
  <c r="F189" i="15"/>
  <c r="E189" i="15"/>
  <c r="D189" i="15"/>
  <c r="F182" i="15"/>
  <c r="E182" i="15"/>
  <c r="D182" i="15"/>
  <c r="F181" i="15"/>
  <c r="E181" i="15"/>
  <c r="D181" i="15"/>
  <c r="F180" i="15"/>
  <c r="E180" i="15"/>
  <c r="D180" i="15"/>
  <c r="F179" i="15"/>
  <c r="E179" i="15"/>
  <c r="D179" i="15"/>
  <c r="F178" i="15"/>
  <c r="E178" i="15"/>
  <c r="D178" i="15"/>
  <c r="F177" i="15"/>
  <c r="E177" i="15"/>
  <c r="D177" i="15"/>
  <c r="F175" i="15"/>
  <c r="E175" i="15"/>
  <c r="D175" i="15"/>
  <c r="F174" i="15"/>
  <c r="E174" i="15"/>
  <c r="D174" i="15"/>
  <c r="F173" i="15"/>
  <c r="E173" i="15"/>
  <c r="D173" i="15"/>
  <c r="F172" i="15"/>
  <c r="E172" i="15"/>
  <c r="D172" i="15"/>
  <c r="F171" i="15"/>
  <c r="E171" i="15"/>
  <c r="D171" i="15"/>
  <c r="F170" i="15"/>
  <c r="E170" i="15"/>
  <c r="D170" i="15"/>
  <c r="F169" i="15"/>
  <c r="E169" i="15"/>
  <c r="D169" i="15"/>
  <c r="F168" i="15"/>
  <c r="E168" i="15"/>
  <c r="D168" i="15"/>
  <c r="F167" i="15"/>
  <c r="E167" i="15"/>
  <c r="D167" i="15"/>
  <c r="F165" i="15"/>
  <c r="E165" i="15"/>
  <c r="D165" i="15"/>
  <c r="F164" i="15"/>
  <c r="E164" i="15"/>
  <c r="D164" i="15"/>
  <c r="F163" i="15"/>
  <c r="E163" i="15"/>
  <c r="D163" i="15"/>
  <c r="F162" i="15"/>
  <c r="E162" i="15"/>
  <c r="D162" i="15"/>
  <c r="F161" i="15"/>
  <c r="E161" i="15"/>
  <c r="D161" i="15"/>
  <c r="F160" i="15"/>
  <c r="E160" i="15"/>
  <c r="D160" i="15"/>
  <c r="F159" i="15"/>
  <c r="E159" i="15"/>
  <c r="D159" i="15"/>
  <c r="F158" i="15"/>
  <c r="E158" i="15"/>
  <c r="D158" i="15"/>
  <c r="F157" i="15"/>
  <c r="E157" i="15"/>
  <c r="D157" i="15"/>
  <c r="F156" i="15"/>
  <c r="E156" i="15"/>
  <c r="D156" i="15"/>
  <c r="F155" i="15"/>
  <c r="E155" i="15"/>
  <c r="D155" i="15"/>
  <c r="F154" i="15"/>
  <c r="E154" i="15"/>
  <c r="D154" i="15"/>
  <c r="F153" i="15"/>
  <c r="E153" i="15"/>
  <c r="D153" i="15"/>
  <c r="F143" i="15"/>
  <c r="E143" i="15"/>
  <c r="D143" i="15"/>
  <c r="F142" i="15"/>
  <c r="E142" i="15"/>
  <c r="D142" i="15"/>
  <c r="F141" i="15"/>
  <c r="E141" i="15"/>
  <c r="D141" i="15"/>
  <c r="F138" i="15"/>
  <c r="E138" i="15"/>
  <c r="D138" i="15"/>
  <c r="F137" i="15"/>
  <c r="E137" i="15"/>
  <c r="D137" i="15"/>
  <c r="F136" i="15"/>
  <c r="E136" i="15"/>
  <c r="D136" i="15"/>
  <c r="F133" i="15"/>
  <c r="E133" i="15"/>
  <c r="D133" i="15"/>
  <c r="F132" i="15"/>
  <c r="E132" i="15"/>
  <c r="D132" i="15"/>
  <c r="F131" i="15"/>
  <c r="E131" i="15"/>
  <c r="D131" i="15"/>
  <c r="F128" i="15"/>
  <c r="E128" i="15"/>
  <c r="D128" i="15"/>
  <c r="F127" i="15"/>
  <c r="E127" i="15"/>
  <c r="D127" i="15"/>
  <c r="F126" i="15"/>
  <c r="E126" i="15"/>
  <c r="D126" i="15"/>
  <c r="F98" i="15"/>
  <c r="E98" i="15"/>
  <c r="D98" i="15"/>
  <c r="F87" i="15"/>
  <c r="E87" i="15"/>
  <c r="D87" i="15"/>
  <c r="F86" i="15"/>
  <c r="E86" i="15"/>
  <c r="D86" i="15"/>
  <c r="F85" i="15"/>
  <c r="E85" i="15"/>
  <c r="D85" i="15"/>
  <c r="F81" i="15"/>
  <c r="E81" i="15"/>
  <c r="D81" i="15"/>
  <c r="F80" i="15"/>
  <c r="E80" i="15"/>
  <c r="D80" i="15"/>
  <c r="F79" i="15"/>
  <c r="E79" i="15"/>
  <c r="D79" i="15"/>
  <c r="F75" i="15"/>
  <c r="E75" i="15"/>
  <c r="D75" i="15"/>
  <c r="F74" i="15"/>
  <c r="E74" i="15"/>
  <c r="D74" i="15"/>
  <c r="F73" i="15"/>
  <c r="E73" i="15"/>
  <c r="D73" i="15"/>
  <c r="F69" i="15"/>
  <c r="E69" i="15"/>
  <c r="D69" i="15"/>
  <c r="F68" i="15"/>
  <c r="E68" i="15"/>
  <c r="D68" i="15"/>
  <c r="F67" i="15"/>
  <c r="E67" i="15"/>
  <c r="D67" i="15"/>
  <c r="F56" i="15"/>
  <c r="E56" i="15"/>
  <c r="D56" i="15"/>
  <c r="F55" i="15"/>
  <c r="E55" i="15"/>
  <c r="D55" i="15"/>
  <c r="F54" i="15"/>
  <c r="E54" i="15"/>
  <c r="D54" i="15"/>
  <c r="F51" i="15"/>
  <c r="E51" i="15"/>
  <c r="D51" i="15"/>
  <c r="F50" i="15"/>
  <c r="E50" i="15"/>
  <c r="D50" i="15"/>
  <c r="F49" i="15"/>
  <c r="E49" i="15"/>
  <c r="D49" i="15"/>
  <c r="K255" i="11" l="1"/>
  <c r="F263" i="15"/>
  <c r="K255" i="1"/>
  <c r="K259" i="1" s="1"/>
  <c r="E145" i="15"/>
  <c r="E247" i="15"/>
  <c r="E134" i="15"/>
  <c r="F247" i="15"/>
  <c r="D247" i="15"/>
  <c r="D90" i="15"/>
  <c r="D145" i="15"/>
  <c r="E90" i="15"/>
  <c r="F145" i="15"/>
  <c r="F92" i="15"/>
  <c r="D111" i="15"/>
  <c r="D117" i="15"/>
  <c r="F90" i="15"/>
  <c r="E148" i="15"/>
  <c r="E139" i="15"/>
  <c r="E263" i="15"/>
  <c r="F139" i="15"/>
  <c r="F147" i="15"/>
  <c r="F134" i="15"/>
  <c r="F129" i="15"/>
  <c r="F93" i="15"/>
  <c r="F91" i="15"/>
  <c r="E147" i="15"/>
  <c r="E91" i="15"/>
  <c r="F111" i="15"/>
  <c r="E111" i="15"/>
  <c r="F148" i="15"/>
  <c r="F144" i="15"/>
  <c r="F146" i="15"/>
  <c r="F117" i="15"/>
  <c r="E144" i="15"/>
  <c r="E129" i="15"/>
  <c r="E146" i="15"/>
  <c r="E117" i="15"/>
  <c r="E93" i="15"/>
  <c r="E92" i="15"/>
  <c r="D263" i="15"/>
  <c r="D129" i="15"/>
  <c r="D144" i="15"/>
  <c r="D139" i="15"/>
  <c r="D148" i="15"/>
  <c r="D147" i="15"/>
  <c r="D134" i="15"/>
  <c r="D146" i="15"/>
  <c r="D93" i="15"/>
  <c r="D91" i="15"/>
  <c r="D92" i="15"/>
  <c r="F33" i="15"/>
  <c r="F31" i="15"/>
  <c r="E3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D88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K259" i="11" l="1"/>
  <c r="E118" i="15"/>
  <c r="F94" i="15"/>
  <c r="F95" i="15" s="1"/>
  <c r="D118" i="15"/>
  <c r="F118" i="15"/>
  <c r="E21" i="15"/>
  <c r="F149" i="15"/>
  <c r="E149" i="15"/>
  <c r="E94" i="15"/>
  <c r="E95" i="15" s="1"/>
  <c r="D149" i="15"/>
  <c r="D89" i="15"/>
  <c r="D94" i="15"/>
  <c r="D95" i="15" l="1"/>
  <c r="J263" i="3" l="1"/>
  <c r="J129" i="3"/>
  <c r="J134" i="3"/>
  <c r="J139" i="3"/>
  <c r="J145" i="3"/>
  <c r="J146" i="3"/>
  <c r="J147" i="3"/>
  <c r="J148" i="3"/>
  <c r="J117" i="3"/>
  <c r="J70" i="3"/>
  <c r="J76" i="3"/>
  <c r="J82" i="3"/>
  <c r="J88" i="3"/>
  <c r="J89" i="3"/>
  <c r="J90" i="3"/>
  <c r="J91" i="3"/>
  <c r="J92" i="3"/>
  <c r="J93" i="3"/>
  <c r="J256" i="3" l="1"/>
  <c r="F256" i="15" s="1"/>
  <c r="J83" i="3"/>
  <c r="J77" i="3"/>
  <c r="J71" i="3"/>
  <c r="J94" i="3"/>
  <c r="J149" i="3"/>
  <c r="J95" i="3"/>
  <c r="J263" i="2"/>
  <c r="J129" i="2"/>
  <c r="J134" i="2"/>
  <c r="J139" i="2"/>
  <c r="J144" i="2"/>
  <c r="J145" i="2"/>
  <c r="J146" i="2"/>
  <c r="J147" i="2"/>
  <c r="J148" i="2"/>
  <c r="J117" i="2"/>
  <c r="J70" i="2"/>
  <c r="J71" i="2" s="1"/>
  <c r="J76" i="2"/>
  <c r="J77" i="2" s="1"/>
  <c r="J82" i="2"/>
  <c r="J83" i="2" s="1"/>
  <c r="E83" i="15" s="1"/>
  <c r="J88" i="2"/>
  <c r="J89" i="2" s="1"/>
  <c r="J90" i="2"/>
  <c r="J91" i="2"/>
  <c r="J256" i="2" s="1"/>
  <c r="E256" i="15" s="1"/>
  <c r="J92" i="2"/>
  <c r="J93" i="2"/>
  <c r="J76" i="11" l="1"/>
  <c r="J77" i="11"/>
  <c r="J255" i="3"/>
  <c r="F255" i="15" s="1"/>
  <c r="J149" i="2"/>
  <c r="J94" i="2"/>
  <c r="J95" i="2" s="1"/>
  <c r="J255" i="2" s="1"/>
  <c r="E255" i="15" s="1"/>
  <c r="J259" i="2" l="1"/>
  <c r="J129" i="1"/>
  <c r="J134" i="1"/>
  <c r="J139" i="1"/>
  <c r="J144" i="1"/>
  <c r="J145" i="1"/>
  <c r="J146" i="1"/>
  <c r="J147" i="1"/>
  <c r="J148" i="1"/>
  <c r="J90" i="1"/>
  <c r="J90" i="11" s="1"/>
  <c r="J91" i="1"/>
  <c r="J91" i="11" s="1"/>
  <c r="J92" i="1"/>
  <c r="J93" i="1"/>
  <c r="J93" i="11" s="1"/>
  <c r="J88" i="1"/>
  <c r="J88" i="11" s="1"/>
  <c r="I88" i="1"/>
  <c r="H88" i="1"/>
  <c r="J82" i="1"/>
  <c r="J82" i="11" s="1"/>
  <c r="I82" i="1"/>
  <c r="H82" i="1"/>
  <c r="J70" i="1"/>
  <c r="J70" i="11" s="1"/>
  <c r="I70" i="1"/>
  <c r="H70" i="11"/>
  <c r="G70" i="1"/>
  <c r="F70" i="1"/>
  <c r="F70" i="11" s="1"/>
  <c r="E70" i="1"/>
  <c r="E70" i="11" s="1"/>
  <c r="J45" i="1"/>
  <c r="J92" i="11" l="1"/>
  <c r="J89" i="1"/>
  <c r="J89" i="11" s="1"/>
  <c r="J256" i="1"/>
  <c r="D256" i="15" s="1"/>
  <c r="P88" i="1"/>
  <c r="J94" i="1"/>
  <c r="J94" i="11" s="1"/>
  <c r="J149" i="1"/>
  <c r="J95" i="1" l="1"/>
  <c r="J95" i="11" s="1"/>
  <c r="J236" i="3"/>
  <c r="K236" i="3"/>
  <c r="L236" i="3"/>
  <c r="M236" i="3"/>
  <c r="N236" i="3"/>
  <c r="O236" i="3"/>
  <c r="J236" i="2"/>
  <c r="K236" i="2"/>
  <c r="L236" i="2"/>
  <c r="M236" i="2"/>
  <c r="N236" i="2"/>
  <c r="O236" i="2"/>
  <c r="J236" i="1"/>
  <c r="K236" i="1"/>
  <c r="L236" i="1"/>
  <c r="M236" i="1"/>
  <c r="N236" i="1"/>
  <c r="O236" i="1"/>
  <c r="J255" i="1" l="1"/>
  <c r="F61" i="13"/>
  <c r="E61" i="13"/>
  <c r="D61" i="13"/>
  <c r="F122" i="14"/>
  <c r="E122" i="14"/>
  <c r="D122" i="14"/>
  <c r="F121" i="14"/>
  <c r="E121" i="14"/>
  <c r="D121" i="14"/>
  <c r="I129" i="1"/>
  <c r="I134" i="1"/>
  <c r="I139" i="1"/>
  <c r="I144" i="1"/>
  <c r="I145" i="1"/>
  <c r="I146" i="1"/>
  <c r="I147" i="1"/>
  <c r="I148" i="1"/>
  <c r="D255" i="15" l="1"/>
  <c r="J259" i="1"/>
  <c r="I149" i="1"/>
  <c r="I71" i="1"/>
  <c r="I83" i="1"/>
  <c r="I89" i="1"/>
  <c r="I90" i="1"/>
  <c r="I91" i="1"/>
  <c r="I92" i="1"/>
  <c r="I93" i="1"/>
  <c r="I256" i="1" l="1"/>
  <c r="I94" i="1"/>
  <c r="I95" i="1" l="1"/>
  <c r="I255" i="1" s="1"/>
  <c r="I259" i="1" s="1"/>
  <c r="I263" i="2" l="1"/>
  <c r="I129" i="2"/>
  <c r="I134" i="2"/>
  <c r="I139" i="2"/>
  <c r="I144" i="2"/>
  <c r="I145" i="2"/>
  <c r="I146" i="2"/>
  <c r="I147" i="2"/>
  <c r="I148" i="2"/>
  <c r="I117" i="2"/>
  <c r="I149" i="2" l="1"/>
  <c r="I70" i="2" l="1"/>
  <c r="I76" i="2"/>
  <c r="I77" i="2"/>
  <c r="I82" i="2"/>
  <c r="I88" i="2"/>
  <c r="I89" i="2" s="1"/>
  <c r="I90" i="2"/>
  <c r="I91" i="2"/>
  <c r="I92" i="2"/>
  <c r="I93" i="2"/>
  <c r="I83" i="2" l="1"/>
  <c r="I256" i="2"/>
  <c r="I71" i="2"/>
  <c r="I94" i="2"/>
  <c r="I95" i="2" l="1"/>
  <c r="I129" i="3"/>
  <c r="I134" i="3"/>
  <c r="I139" i="3"/>
  <c r="I144" i="3"/>
  <c r="I145" i="3"/>
  <c r="I146" i="3"/>
  <c r="I147" i="3"/>
  <c r="I148" i="3"/>
  <c r="I255" i="2" l="1"/>
  <c r="I259" i="2" s="1"/>
  <c r="I149" i="3"/>
  <c r="I263" i="3" l="1"/>
  <c r="I117" i="3"/>
  <c r="I88" i="3"/>
  <c r="I88" i="11" s="1"/>
  <c r="H88" i="3"/>
  <c r="G88" i="3"/>
  <c r="F88" i="3"/>
  <c r="F88" i="11" s="1"/>
  <c r="E88" i="3"/>
  <c r="E88" i="11" s="1"/>
  <c r="D88" i="3"/>
  <c r="D88" i="11" s="1"/>
  <c r="P88" i="3" l="1"/>
  <c r="I82" i="3"/>
  <c r="I76" i="3"/>
  <c r="I91" i="3"/>
  <c r="I92" i="3"/>
  <c r="I92" i="11" s="1"/>
  <c r="I93" i="3"/>
  <c r="I93" i="11" s="1"/>
  <c r="I89" i="3"/>
  <c r="I89" i="11" s="1"/>
  <c r="I90" i="3"/>
  <c r="I90" i="11" s="1"/>
  <c r="I70" i="3"/>
  <c r="I77" i="3" l="1"/>
  <c r="I77" i="11" s="1"/>
  <c r="I76" i="11"/>
  <c r="I83" i="3"/>
  <c r="I83" i="11" s="1"/>
  <c r="I82" i="11"/>
  <c r="I71" i="3"/>
  <c r="I71" i="11" s="1"/>
  <c r="I70" i="11"/>
  <c r="I256" i="3"/>
  <c r="I91" i="11"/>
  <c r="I94" i="3"/>
  <c r="I95" i="3" l="1"/>
  <c r="I94" i="11"/>
  <c r="I255" i="3"/>
  <c r="I95" i="11"/>
  <c r="P245" i="11"/>
  <c r="P246" i="11"/>
  <c r="P113" i="11"/>
  <c r="P114" i="11"/>
  <c r="P115" i="11"/>
  <c r="P116" i="11"/>
  <c r="I111" i="2"/>
  <c r="I118" i="2" s="1"/>
  <c r="I236" i="1"/>
  <c r="L247" i="11" l="1"/>
  <c r="J147" i="11"/>
  <c r="J145" i="11"/>
  <c r="J247" i="11"/>
  <c r="I216" i="11"/>
  <c r="I229" i="11"/>
  <c r="I148" i="11"/>
  <c r="J146" i="11"/>
  <c r="I145" i="11"/>
  <c r="I146" i="11"/>
  <c r="J148" i="11"/>
  <c r="I147" i="11"/>
  <c r="I236" i="11"/>
  <c r="I204" i="11"/>
  <c r="L229" i="11"/>
  <c r="L236" i="11"/>
  <c r="L216" i="11"/>
  <c r="L117" i="11"/>
  <c r="J263" i="11"/>
  <c r="J204" i="11"/>
  <c r="J134" i="11"/>
  <c r="J129" i="11"/>
  <c r="J256" i="11"/>
  <c r="J139" i="11"/>
  <c r="J236" i="11"/>
  <c r="J216" i="11"/>
  <c r="J229" i="11"/>
  <c r="I247" i="11"/>
  <c r="J117" i="11"/>
  <c r="I129" i="11"/>
  <c r="I134" i="11"/>
  <c r="I263" i="11"/>
  <c r="I139" i="11"/>
  <c r="I117" i="11"/>
  <c r="I256" i="11"/>
  <c r="F262" i="13"/>
  <c r="E262" i="13"/>
  <c r="D262" i="13"/>
  <c r="F261" i="13"/>
  <c r="E261" i="13"/>
  <c r="D261" i="13"/>
  <c r="F257" i="13"/>
  <c r="E257" i="13"/>
  <c r="D257" i="13"/>
  <c r="F254" i="13"/>
  <c r="E254" i="13"/>
  <c r="D254" i="13"/>
  <c r="F253" i="13"/>
  <c r="E253" i="13"/>
  <c r="D253" i="13"/>
  <c r="F246" i="13"/>
  <c r="E246" i="13"/>
  <c r="D246" i="13"/>
  <c r="F245" i="13"/>
  <c r="E245" i="13"/>
  <c r="D245" i="13"/>
  <c r="F241" i="13"/>
  <c r="E241" i="13"/>
  <c r="D241" i="13"/>
  <c r="F240" i="13"/>
  <c r="E240" i="13"/>
  <c r="D240" i="13"/>
  <c r="F239" i="13"/>
  <c r="E239" i="13"/>
  <c r="D239" i="13"/>
  <c r="F238" i="13"/>
  <c r="E238" i="13"/>
  <c r="D238" i="13"/>
  <c r="F235" i="13"/>
  <c r="E235" i="13"/>
  <c r="D235" i="13"/>
  <c r="F234" i="13"/>
  <c r="E234" i="13"/>
  <c r="D234" i="13"/>
  <c r="F233" i="13"/>
  <c r="E233" i="13"/>
  <c r="D233" i="13"/>
  <c r="F232" i="13"/>
  <c r="E232" i="13"/>
  <c r="D232" i="13"/>
  <c r="F228" i="13"/>
  <c r="E228" i="13"/>
  <c r="D228" i="13"/>
  <c r="F227" i="13"/>
  <c r="E227" i="13"/>
  <c r="D227" i="13"/>
  <c r="F226" i="13"/>
  <c r="E226" i="13"/>
  <c r="D226" i="13"/>
  <c r="F225" i="13"/>
  <c r="E225" i="13"/>
  <c r="D225" i="13"/>
  <c r="F222" i="13"/>
  <c r="E222" i="13"/>
  <c r="D222" i="13"/>
  <c r="F221" i="13"/>
  <c r="E221" i="13"/>
  <c r="D221" i="13"/>
  <c r="F220" i="13"/>
  <c r="E220" i="13"/>
  <c r="D220" i="13"/>
  <c r="F219" i="13"/>
  <c r="E219" i="13"/>
  <c r="D219" i="13"/>
  <c r="F215" i="13"/>
  <c r="E215" i="13"/>
  <c r="D215" i="13"/>
  <c r="F214" i="13"/>
  <c r="E214" i="13"/>
  <c r="D214" i="13"/>
  <c r="F213" i="13"/>
  <c r="E213" i="13"/>
  <c r="D213" i="13"/>
  <c r="F212" i="13"/>
  <c r="E212" i="13"/>
  <c r="D212" i="13"/>
  <c r="F209" i="13"/>
  <c r="E209" i="13"/>
  <c r="D209" i="13"/>
  <c r="F208" i="13"/>
  <c r="E208" i="13"/>
  <c r="D208" i="13"/>
  <c r="F207" i="13"/>
  <c r="E207" i="13"/>
  <c r="D207" i="13"/>
  <c r="F206" i="13"/>
  <c r="E206" i="13"/>
  <c r="D206" i="13"/>
  <c r="F203" i="13"/>
  <c r="E203" i="13"/>
  <c r="D203" i="13"/>
  <c r="F202" i="13"/>
  <c r="E202" i="13"/>
  <c r="D202" i="13"/>
  <c r="F201" i="13"/>
  <c r="E201" i="13"/>
  <c r="D201" i="13"/>
  <c r="F200" i="13"/>
  <c r="E200" i="13"/>
  <c r="D200" i="13"/>
  <c r="F199" i="13"/>
  <c r="E199" i="13"/>
  <c r="D199" i="13"/>
  <c r="F197" i="13"/>
  <c r="E197" i="13"/>
  <c r="D197" i="13"/>
  <c r="F196" i="13"/>
  <c r="E196" i="13"/>
  <c r="D196" i="13"/>
  <c r="F195" i="13"/>
  <c r="E195" i="13"/>
  <c r="D195" i="13"/>
  <c r="F194" i="13"/>
  <c r="E194" i="13"/>
  <c r="D194" i="13"/>
  <c r="F192" i="13"/>
  <c r="E192" i="13"/>
  <c r="D192" i="13"/>
  <c r="F191" i="13"/>
  <c r="E191" i="13"/>
  <c r="D191" i="13"/>
  <c r="F190" i="13"/>
  <c r="E190" i="13"/>
  <c r="D190" i="13"/>
  <c r="F189" i="13"/>
  <c r="E189" i="13"/>
  <c r="D189" i="13"/>
  <c r="F182" i="13"/>
  <c r="E182" i="13"/>
  <c r="D182" i="13"/>
  <c r="F181" i="13"/>
  <c r="E181" i="13"/>
  <c r="D181" i="13"/>
  <c r="F180" i="13"/>
  <c r="E180" i="13"/>
  <c r="D180" i="13"/>
  <c r="F179" i="13"/>
  <c r="E179" i="13"/>
  <c r="D179" i="13"/>
  <c r="F178" i="13"/>
  <c r="E178" i="13"/>
  <c r="D178" i="13"/>
  <c r="F177" i="13"/>
  <c r="E177" i="13"/>
  <c r="D177" i="13"/>
  <c r="F175" i="13"/>
  <c r="E175" i="13"/>
  <c r="D175" i="13"/>
  <c r="F174" i="13"/>
  <c r="E174" i="13"/>
  <c r="D174" i="13"/>
  <c r="F173" i="13"/>
  <c r="E173" i="13"/>
  <c r="D173" i="13"/>
  <c r="F172" i="13"/>
  <c r="E172" i="13"/>
  <c r="D172" i="13"/>
  <c r="F171" i="13"/>
  <c r="E171" i="13"/>
  <c r="D171" i="13"/>
  <c r="F170" i="13"/>
  <c r="E170" i="13"/>
  <c r="D170" i="13"/>
  <c r="F169" i="13"/>
  <c r="E169" i="13"/>
  <c r="D169" i="13"/>
  <c r="F168" i="13"/>
  <c r="E168" i="13"/>
  <c r="D168" i="13"/>
  <c r="F167" i="13"/>
  <c r="E167" i="13"/>
  <c r="D167" i="13"/>
  <c r="F165" i="13"/>
  <c r="E165" i="13"/>
  <c r="D165" i="13"/>
  <c r="F164" i="13"/>
  <c r="E164" i="13"/>
  <c r="D164" i="13"/>
  <c r="F163" i="13"/>
  <c r="E163" i="13"/>
  <c r="D163" i="13"/>
  <c r="F162" i="13"/>
  <c r="E162" i="13"/>
  <c r="D162" i="13"/>
  <c r="F161" i="13"/>
  <c r="E161" i="13"/>
  <c r="D161" i="13"/>
  <c r="F160" i="13"/>
  <c r="E160" i="13"/>
  <c r="D160" i="13"/>
  <c r="F159" i="13"/>
  <c r="E159" i="13"/>
  <c r="D159" i="13"/>
  <c r="F158" i="13"/>
  <c r="E158" i="13"/>
  <c r="D158" i="13"/>
  <c r="F157" i="13"/>
  <c r="E157" i="13"/>
  <c r="D157" i="13"/>
  <c r="F156" i="13"/>
  <c r="E156" i="13"/>
  <c r="D156" i="13"/>
  <c r="F155" i="13"/>
  <c r="E155" i="13"/>
  <c r="D155" i="13"/>
  <c r="F154" i="13"/>
  <c r="E154" i="13"/>
  <c r="D154" i="13"/>
  <c r="F153" i="13"/>
  <c r="E153" i="13"/>
  <c r="D153" i="13"/>
  <c r="F143" i="13"/>
  <c r="E143" i="13"/>
  <c r="D143" i="13"/>
  <c r="F142" i="13"/>
  <c r="E142" i="13"/>
  <c r="F141" i="13"/>
  <c r="E141" i="13"/>
  <c r="D141" i="13"/>
  <c r="F138" i="13"/>
  <c r="E138" i="13"/>
  <c r="D138" i="13"/>
  <c r="F137" i="13"/>
  <c r="E137" i="13"/>
  <c r="D137" i="13"/>
  <c r="F136" i="13"/>
  <c r="E136" i="13"/>
  <c r="D136" i="13"/>
  <c r="F133" i="13"/>
  <c r="E133" i="13"/>
  <c r="D133" i="13"/>
  <c r="F132" i="13"/>
  <c r="E132" i="13"/>
  <c r="D132" i="13"/>
  <c r="F131" i="13"/>
  <c r="E131" i="13"/>
  <c r="D131" i="13"/>
  <c r="F128" i="13"/>
  <c r="E128" i="13"/>
  <c r="D128" i="13"/>
  <c r="F127" i="13"/>
  <c r="E127" i="13"/>
  <c r="D127" i="13"/>
  <c r="F126" i="13"/>
  <c r="E126" i="13"/>
  <c r="D126" i="13"/>
  <c r="F140" i="13"/>
  <c r="E140" i="13"/>
  <c r="D140" i="13"/>
  <c r="F135" i="13"/>
  <c r="E135" i="13"/>
  <c r="D135" i="13"/>
  <c r="F130" i="13"/>
  <c r="E130" i="13"/>
  <c r="D130" i="13"/>
  <c r="F125" i="13"/>
  <c r="E125" i="13"/>
  <c r="D125" i="13"/>
  <c r="F122" i="13"/>
  <c r="E122" i="13"/>
  <c r="D122" i="13"/>
  <c r="F121" i="13"/>
  <c r="E121" i="13"/>
  <c r="D121" i="13"/>
  <c r="F116" i="13"/>
  <c r="E116" i="13"/>
  <c r="D116" i="13"/>
  <c r="F115" i="13"/>
  <c r="E115" i="13"/>
  <c r="D115" i="13"/>
  <c r="F114" i="13"/>
  <c r="E114" i="13"/>
  <c r="D114" i="13"/>
  <c r="F113" i="13"/>
  <c r="E113" i="13"/>
  <c r="D113" i="13"/>
  <c r="F110" i="13"/>
  <c r="E110" i="13"/>
  <c r="D110" i="13"/>
  <c r="F109" i="13"/>
  <c r="E109" i="13"/>
  <c r="D109" i="13"/>
  <c r="F108" i="13"/>
  <c r="E108" i="13"/>
  <c r="D108" i="13"/>
  <c r="F107" i="13"/>
  <c r="E107" i="13"/>
  <c r="D107" i="13"/>
  <c r="F104" i="13"/>
  <c r="E104" i="13"/>
  <c r="D104" i="13"/>
  <c r="F103" i="13"/>
  <c r="E103" i="13"/>
  <c r="D103" i="13"/>
  <c r="F102" i="13"/>
  <c r="E102" i="13"/>
  <c r="D102" i="13"/>
  <c r="F101" i="13"/>
  <c r="E101" i="13"/>
  <c r="D101" i="13"/>
  <c r="F98" i="13"/>
  <c r="E98" i="13"/>
  <c r="D98" i="13"/>
  <c r="F87" i="13"/>
  <c r="E87" i="13"/>
  <c r="D87" i="13"/>
  <c r="F86" i="13"/>
  <c r="E86" i="13"/>
  <c r="D86" i="13"/>
  <c r="F85" i="13"/>
  <c r="E85" i="13"/>
  <c r="D85" i="13"/>
  <c r="F84" i="13"/>
  <c r="E84" i="13"/>
  <c r="D84" i="13"/>
  <c r="F81" i="13"/>
  <c r="E81" i="13"/>
  <c r="D81" i="13"/>
  <c r="F80" i="13"/>
  <c r="E80" i="13"/>
  <c r="D80" i="13"/>
  <c r="F79" i="13"/>
  <c r="E79" i="13"/>
  <c r="D79" i="13"/>
  <c r="F78" i="13"/>
  <c r="E78" i="13"/>
  <c r="D78" i="13"/>
  <c r="F75" i="13"/>
  <c r="E75" i="13"/>
  <c r="D75" i="13"/>
  <c r="F74" i="13"/>
  <c r="E74" i="13"/>
  <c r="D74" i="13"/>
  <c r="F73" i="13"/>
  <c r="E73" i="13"/>
  <c r="D73" i="13"/>
  <c r="F72" i="13"/>
  <c r="E72" i="13"/>
  <c r="D72" i="13"/>
  <c r="E144" i="13" l="1"/>
  <c r="D236" i="13"/>
  <c r="E88" i="13"/>
  <c r="E263" i="13"/>
  <c r="D88" i="13"/>
  <c r="D89" i="13" s="1"/>
  <c r="F111" i="13"/>
  <c r="F263" i="13"/>
  <c r="F88" i="13"/>
  <c r="F89" i="13" s="1"/>
  <c r="E236" i="13"/>
  <c r="J149" i="11"/>
  <c r="E89" i="13"/>
  <c r="I149" i="11"/>
  <c r="J255" i="11"/>
  <c r="D263" i="13"/>
  <c r="D117" i="13"/>
  <c r="F146" i="13"/>
  <c r="F134" i="13"/>
  <c r="I255" i="11"/>
  <c r="F236" i="13"/>
  <c r="E117" i="13"/>
  <c r="E129" i="13"/>
  <c r="D148" i="13"/>
  <c r="E111" i="13"/>
  <c r="D146" i="13"/>
  <c r="E147" i="13"/>
  <c r="F139" i="13"/>
  <c r="F148" i="13"/>
  <c r="D139" i="13"/>
  <c r="F129" i="13"/>
  <c r="E146" i="13"/>
  <c r="D145" i="13"/>
  <c r="E139" i="13"/>
  <c r="E134" i="13"/>
  <c r="E145" i="13"/>
  <c r="D134" i="13"/>
  <c r="F144" i="13"/>
  <c r="D129" i="13"/>
  <c r="F147" i="13"/>
  <c r="F145" i="13"/>
  <c r="E148" i="13"/>
  <c r="F117" i="13"/>
  <c r="D111" i="13"/>
  <c r="F118" i="13" l="1"/>
  <c r="D118" i="13"/>
  <c r="E118" i="13"/>
  <c r="E149" i="13"/>
  <c r="F149" i="13"/>
  <c r="F66" i="13" l="1"/>
  <c r="F90" i="13" s="1"/>
  <c r="E66" i="13"/>
  <c r="E90" i="13" s="1"/>
  <c r="D66" i="13"/>
  <c r="F69" i="13"/>
  <c r="F93" i="13" s="1"/>
  <c r="E69" i="13"/>
  <c r="E93" i="13" s="1"/>
  <c r="D69" i="13"/>
  <c r="D93" i="13" s="1"/>
  <c r="F68" i="13"/>
  <c r="F92" i="13" s="1"/>
  <c r="E68" i="13"/>
  <c r="E92" i="13" s="1"/>
  <c r="D68" i="13"/>
  <c r="D92" i="13" s="1"/>
  <c r="F67" i="13"/>
  <c r="F91" i="13" s="1"/>
  <c r="E67" i="13"/>
  <c r="E91" i="13" s="1"/>
  <c r="D67" i="13"/>
  <c r="D91" i="13" s="1"/>
  <c r="F63" i="13"/>
  <c r="E63" i="13"/>
  <c r="D63" i="13"/>
  <c r="F56" i="13"/>
  <c r="E56" i="13"/>
  <c r="D56" i="13"/>
  <c r="F55" i="13"/>
  <c r="E55" i="13"/>
  <c r="D55" i="13"/>
  <c r="F54" i="13"/>
  <c r="E54" i="13"/>
  <c r="D54" i="13"/>
  <c r="F51" i="13"/>
  <c r="E51" i="13"/>
  <c r="D51" i="13"/>
  <c r="F50" i="13"/>
  <c r="E50" i="13"/>
  <c r="D50" i="13"/>
  <c r="F49" i="13"/>
  <c r="E49" i="13"/>
  <c r="D49" i="13"/>
  <c r="F46" i="13"/>
  <c r="E46" i="13"/>
  <c r="D46" i="13"/>
  <c r="F44" i="13"/>
  <c r="E44" i="13"/>
  <c r="D44" i="13"/>
  <c r="F39" i="13"/>
  <c r="E39" i="13"/>
  <c r="D39" i="13"/>
  <c r="F37" i="13"/>
  <c r="E37" i="13"/>
  <c r="D37" i="13"/>
  <c r="F35" i="13"/>
  <c r="E35" i="13"/>
  <c r="D35" i="13"/>
  <c r="F33" i="13"/>
  <c r="E33" i="13"/>
  <c r="D33" i="13"/>
  <c r="F31" i="13"/>
  <c r="E31" i="13"/>
  <c r="D31" i="13"/>
  <c r="F29" i="13"/>
  <c r="E29" i="13"/>
  <c r="D2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134" i="11" l="1"/>
  <c r="H236" i="11"/>
  <c r="H148" i="11"/>
  <c r="H117" i="11"/>
  <c r="H147" i="11"/>
  <c r="H229" i="11"/>
  <c r="H242" i="11"/>
  <c r="H139" i="11"/>
  <c r="H146" i="11"/>
  <c r="H129" i="11"/>
  <c r="H145" i="11"/>
  <c r="H263" i="11"/>
  <c r="D94" i="13"/>
  <c r="E94" i="13"/>
  <c r="E95" i="13" s="1"/>
  <c r="F94" i="13"/>
  <c r="F95" i="13" s="1"/>
  <c r="D90" i="13"/>
  <c r="H149" i="11" l="1"/>
  <c r="D95" i="13"/>
  <c r="H263" i="3" l="1"/>
  <c r="H129" i="3"/>
  <c r="H134" i="3"/>
  <c r="H139" i="3"/>
  <c r="H144" i="3"/>
  <c r="H145" i="3"/>
  <c r="H146" i="3"/>
  <c r="H147" i="3"/>
  <c r="H148" i="3"/>
  <c r="H117" i="3"/>
  <c r="H149" i="3" l="1"/>
  <c r="H71" i="3" l="1"/>
  <c r="H76" i="3"/>
  <c r="H82" i="3"/>
  <c r="H89" i="3"/>
  <c r="H90" i="3"/>
  <c r="H91" i="3"/>
  <c r="H256" i="3" s="1"/>
  <c r="H92" i="3"/>
  <c r="H93" i="3"/>
  <c r="H263" i="2"/>
  <c r="H129" i="2"/>
  <c r="H134" i="2"/>
  <c r="H139" i="2"/>
  <c r="H144" i="2"/>
  <c r="H145" i="2"/>
  <c r="H146" i="2"/>
  <c r="H147" i="2"/>
  <c r="H148" i="2"/>
  <c r="H83" i="3" l="1"/>
  <c r="H77" i="3"/>
  <c r="H94" i="3"/>
  <c r="H95" i="3" s="1"/>
  <c r="H255" i="3" s="1"/>
  <c r="H149" i="2"/>
  <c r="H117" i="2" l="1"/>
  <c r="H71" i="2" l="1"/>
  <c r="H76" i="2"/>
  <c r="H76" i="11" s="1"/>
  <c r="H82" i="2"/>
  <c r="H88" i="2"/>
  <c r="H90" i="2"/>
  <c r="H91" i="2"/>
  <c r="H256" i="2" s="1"/>
  <c r="H92" i="2"/>
  <c r="H93" i="2"/>
  <c r="H89" i="2" l="1"/>
  <c r="H88" i="11"/>
  <c r="H83" i="2"/>
  <c r="H82" i="11"/>
  <c r="H77" i="2"/>
  <c r="H77" i="11" s="1"/>
  <c r="H94" i="2"/>
  <c r="H95" i="2" s="1"/>
  <c r="H255" i="2" s="1"/>
  <c r="H259" i="2" s="1"/>
  <c r="H242" i="1" l="1"/>
  <c r="H236" i="1"/>
  <c r="H145" i="1"/>
  <c r="H146" i="1"/>
  <c r="H147" i="1"/>
  <c r="H148" i="1"/>
  <c r="H144" i="1"/>
  <c r="H139" i="1"/>
  <c r="H134" i="1"/>
  <c r="H129" i="1"/>
  <c r="H149" i="1" l="1"/>
  <c r="H90" i="1" l="1"/>
  <c r="H90" i="11" s="1"/>
  <c r="H91" i="1"/>
  <c r="H92" i="1"/>
  <c r="H93" i="1"/>
  <c r="H93" i="11" s="1"/>
  <c r="H89" i="1"/>
  <c r="H89" i="11" s="1"/>
  <c r="G89" i="1"/>
  <c r="F89" i="1"/>
  <c r="E89" i="1"/>
  <c r="H83" i="1"/>
  <c r="H83" i="11" s="1"/>
  <c r="G83" i="1"/>
  <c r="F83" i="1"/>
  <c r="E83" i="1"/>
  <c r="H92" i="11" l="1"/>
  <c r="H256" i="1"/>
  <c r="H91" i="11"/>
  <c r="H256" i="11" s="1"/>
  <c r="G111" i="11"/>
  <c r="G139" i="11"/>
  <c r="G105" i="11"/>
  <c r="G146" i="11"/>
  <c r="G129" i="11"/>
  <c r="G145" i="11"/>
  <c r="G236" i="11"/>
  <c r="G117" i="11"/>
  <c r="G134" i="11"/>
  <c r="G148" i="11"/>
  <c r="G263" i="11"/>
  <c r="G118" i="11" l="1"/>
  <c r="G119" i="11" s="1"/>
  <c r="G263" i="3" l="1"/>
  <c r="G129" i="3"/>
  <c r="G134" i="3"/>
  <c r="G139" i="3"/>
  <c r="G144" i="3"/>
  <c r="G145" i="3"/>
  <c r="G146" i="3"/>
  <c r="G147" i="3"/>
  <c r="G148" i="3"/>
  <c r="G149" i="3" l="1"/>
  <c r="G90" i="3" l="1"/>
  <c r="G91" i="3"/>
  <c r="G256" i="3" s="1"/>
  <c r="F256" i="13" s="1"/>
  <c r="G92" i="3"/>
  <c r="G93" i="3"/>
  <c r="G89" i="3"/>
  <c r="G82" i="3"/>
  <c r="G77" i="3"/>
  <c r="G83" i="3" l="1"/>
  <c r="G82" i="11"/>
  <c r="G94" i="3"/>
  <c r="G95" i="3" s="1"/>
  <c r="G255" i="3" s="1"/>
  <c r="F255" i="13" s="1"/>
  <c r="G263" i="2" l="1"/>
  <c r="G144" i="2"/>
  <c r="G139" i="2"/>
  <c r="G134" i="2"/>
  <c r="G129" i="2"/>
  <c r="G145" i="2"/>
  <c r="G146" i="2"/>
  <c r="G147" i="2"/>
  <c r="G148" i="2"/>
  <c r="G149" i="2" l="1"/>
  <c r="G90" i="2"/>
  <c r="G91" i="2"/>
  <c r="G256" i="2" s="1"/>
  <c r="E256" i="13" s="1"/>
  <c r="G92" i="2"/>
  <c r="G93" i="2"/>
  <c r="G88" i="2"/>
  <c r="G89" i="2" l="1"/>
  <c r="G89" i="11" s="1"/>
  <c r="G88" i="11"/>
  <c r="P88" i="2"/>
  <c r="P88" i="11" s="1"/>
  <c r="G94" i="2"/>
  <c r="G95" i="2" s="1"/>
  <c r="G255" i="2" s="1"/>
  <c r="E255" i="13" s="1"/>
  <c r="G145" i="1"/>
  <c r="G146" i="1"/>
  <c r="G148" i="1"/>
  <c r="G139" i="1"/>
  <c r="G129" i="1"/>
  <c r="G134" i="1"/>
  <c r="G90" i="1" l="1"/>
  <c r="G90" i="11" s="1"/>
  <c r="G91" i="1"/>
  <c r="G256" i="1" s="1"/>
  <c r="G92" i="1"/>
  <c r="G92" i="11" s="1"/>
  <c r="G93" i="1"/>
  <c r="G93" i="11" s="1"/>
  <c r="E71" i="1"/>
  <c r="F71" i="1"/>
  <c r="G71" i="1"/>
  <c r="D256" i="13" l="1"/>
  <c r="G91" i="11"/>
  <c r="G256" i="11" s="1"/>
  <c r="G236" i="1"/>
  <c r="D246" i="12" l="1"/>
  <c r="E246" i="12"/>
  <c r="F246" i="12"/>
  <c r="F245" i="12"/>
  <c r="E245" i="12"/>
  <c r="D245" i="12"/>
  <c r="H245" i="12" l="1"/>
  <c r="H246" i="12"/>
  <c r="F147" i="11" l="1"/>
  <c r="F146" i="11"/>
  <c r="F145" i="11"/>
  <c r="F148" i="11"/>
  <c r="F236" i="11"/>
  <c r="F263" i="11"/>
  <c r="F117" i="11"/>
  <c r="F129" i="11"/>
  <c r="F134" i="11"/>
  <c r="F139" i="11"/>
  <c r="F149" i="11" l="1"/>
  <c r="F263" i="3" l="1"/>
  <c r="F145" i="3"/>
  <c r="F146" i="3"/>
  <c r="F147" i="3"/>
  <c r="F148" i="3"/>
  <c r="F139" i="3"/>
  <c r="F134" i="3"/>
  <c r="F129" i="3"/>
  <c r="F149" i="3" l="1"/>
  <c r="F90" i="3" l="1"/>
  <c r="F91" i="3"/>
  <c r="F92" i="3"/>
  <c r="F93" i="3"/>
  <c r="E89" i="3"/>
  <c r="E89" i="11" s="1"/>
  <c r="F89" i="3"/>
  <c r="F89" i="11" s="1"/>
  <c r="F263" i="2" l="1"/>
  <c r="F129" i="2"/>
  <c r="F134" i="2"/>
  <c r="F139" i="2"/>
  <c r="F144" i="2"/>
  <c r="F145" i="2"/>
  <c r="F146" i="2"/>
  <c r="F147" i="2"/>
  <c r="F148" i="2"/>
  <c r="F149" i="2" l="1"/>
  <c r="F90" i="2"/>
  <c r="F91" i="2"/>
  <c r="F92" i="2"/>
  <c r="F93" i="2"/>
  <c r="F144" i="1" l="1"/>
  <c r="F145" i="1"/>
  <c r="F146" i="1"/>
  <c r="F147" i="1"/>
  <c r="F129" i="1"/>
  <c r="F149" i="1" l="1"/>
  <c r="D142" i="13" l="1"/>
  <c r="G147" i="11"/>
  <c r="G149" i="11" s="1"/>
  <c r="G144" i="1"/>
  <c r="G147" i="1"/>
  <c r="G149" i="1" s="1"/>
  <c r="F90" i="1"/>
  <c r="F90" i="11" s="1"/>
  <c r="F91" i="1"/>
  <c r="F92" i="1"/>
  <c r="F92" i="11" s="1"/>
  <c r="F93" i="1"/>
  <c r="F93" i="11" s="1"/>
  <c r="F256" i="1" l="1"/>
  <c r="F91" i="11"/>
  <c r="F256" i="11" s="1"/>
  <c r="D147" i="13"/>
  <c r="D149" i="13" s="1"/>
  <c r="D144" i="13"/>
  <c r="F236" i="1"/>
  <c r="E263" i="3" l="1"/>
  <c r="E145" i="3" l="1"/>
  <c r="E146" i="3"/>
  <c r="E147" i="3"/>
  <c r="E148" i="3"/>
  <c r="E139" i="3"/>
  <c r="E134" i="3"/>
  <c r="E129" i="3"/>
  <c r="E149" i="3" l="1"/>
  <c r="E90" i="3"/>
  <c r="E91" i="3"/>
  <c r="E92" i="3"/>
  <c r="E93" i="3"/>
  <c r="E263" i="2" l="1"/>
  <c r="E247" i="3" l="1"/>
  <c r="E247" i="2"/>
  <c r="F247" i="2"/>
  <c r="G247" i="2"/>
  <c r="E145" i="2" l="1"/>
  <c r="E146" i="2"/>
  <c r="E147" i="2"/>
  <c r="E148" i="2"/>
  <c r="E144" i="2"/>
  <c r="E139" i="2"/>
  <c r="E134" i="2"/>
  <c r="E129" i="2"/>
  <c r="E149" i="2" l="1"/>
  <c r="E90" i="2" l="1"/>
  <c r="E91" i="2"/>
  <c r="E92" i="2"/>
  <c r="E93" i="2"/>
  <c r="E145" i="1" l="1"/>
  <c r="E148" i="1"/>
  <c r="E129" i="1"/>
  <c r="E90" i="1"/>
  <c r="E90" i="11" s="1"/>
  <c r="E91" i="1"/>
  <c r="E91" i="11" s="1"/>
  <c r="E92" i="1"/>
  <c r="E93" i="1"/>
  <c r="E93" i="11" s="1"/>
  <c r="E256" i="1" l="1"/>
  <c r="E258" i="1" s="1"/>
  <c r="E92" i="11"/>
  <c r="E236" i="3"/>
  <c r="F236" i="3"/>
  <c r="G236" i="3"/>
  <c r="H236" i="3"/>
  <c r="I236" i="3"/>
  <c r="E145" i="11" l="1"/>
  <c r="E146" i="11"/>
  <c r="E148" i="11"/>
  <c r="E117" i="11"/>
  <c r="E256" i="11"/>
  <c r="E236" i="11"/>
  <c r="E263" i="11"/>
  <c r="E139" i="11"/>
  <c r="E134" i="11"/>
  <c r="E129" i="11"/>
  <c r="E236" i="2" l="1"/>
  <c r="F236" i="2"/>
  <c r="G236" i="2"/>
  <c r="H236" i="2"/>
  <c r="I236" i="2"/>
  <c r="E236" i="1"/>
  <c r="F262" i="17" l="1"/>
  <c r="E262" i="17"/>
  <c r="D262" i="17"/>
  <c r="F261" i="17"/>
  <c r="E261" i="17"/>
  <c r="E263" i="17" s="1"/>
  <c r="D261" i="17"/>
  <c r="F246" i="17"/>
  <c r="E246" i="17"/>
  <c r="D246" i="17"/>
  <c r="F245" i="17"/>
  <c r="E245" i="17"/>
  <c r="D245" i="17"/>
  <c r="F196" i="17"/>
  <c r="E196" i="17"/>
  <c r="D196" i="17"/>
  <c r="F116" i="17"/>
  <c r="E116" i="17"/>
  <c r="D116" i="17"/>
  <c r="F115" i="17"/>
  <c r="E115" i="17"/>
  <c r="D115" i="17"/>
  <c r="F114" i="17"/>
  <c r="E114" i="17"/>
  <c r="D114" i="17"/>
  <c r="F113" i="17"/>
  <c r="E113" i="17"/>
  <c r="D113" i="17"/>
  <c r="D90" i="17"/>
  <c r="F86" i="17"/>
  <c r="E86" i="17"/>
  <c r="D86" i="17"/>
  <c r="F80" i="17"/>
  <c r="E80" i="17"/>
  <c r="D80" i="17"/>
  <c r="F75" i="17"/>
  <c r="E75" i="17"/>
  <c r="D75" i="17"/>
  <c r="F35" i="17"/>
  <c r="E35" i="17"/>
  <c r="D35" i="17"/>
  <c r="F262" i="14"/>
  <c r="E262" i="14"/>
  <c r="D262" i="14"/>
  <c r="F261" i="14"/>
  <c r="E261" i="14"/>
  <c r="D261" i="14"/>
  <c r="F257" i="14"/>
  <c r="E257" i="14"/>
  <c r="D257" i="14"/>
  <c r="F254" i="14"/>
  <c r="E254" i="14"/>
  <c r="D254" i="14"/>
  <c r="F253" i="14"/>
  <c r="E253" i="14"/>
  <c r="D253" i="14"/>
  <c r="F196" i="14"/>
  <c r="E196" i="14"/>
  <c r="D196" i="14"/>
  <c r="F246" i="14"/>
  <c r="E246" i="14"/>
  <c r="D246" i="14"/>
  <c r="F245" i="14"/>
  <c r="E245" i="14"/>
  <c r="D245" i="14"/>
  <c r="F241" i="14"/>
  <c r="E241" i="14"/>
  <c r="D241" i="14"/>
  <c r="F240" i="14"/>
  <c r="E240" i="14"/>
  <c r="D240" i="14"/>
  <c r="F239" i="14"/>
  <c r="E239" i="14"/>
  <c r="D239" i="14"/>
  <c r="F238" i="14"/>
  <c r="E238" i="14"/>
  <c r="D238" i="14"/>
  <c r="F235" i="14"/>
  <c r="E235" i="14"/>
  <c r="D235" i="14"/>
  <c r="F234" i="14"/>
  <c r="E234" i="14"/>
  <c r="D234" i="14"/>
  <c r="F233" i="14"/>
  <c r="E233" i="14"/>
  <c r="D233" i="14"/>
  <c r="F232" i="14"/>
  <c r="E232" i="14"/>
  <c r="D232" i="14"/>
  <c r="F228" i="14"/>
  <c r="E228" i="14"/>
  <c r="D228" i="14"/>
  <c r="F227" i="14"/>
  <c r="E227" i="14"/>
  <c r="D227" i="14"/>
  <c r="F226" i="14"/>
  <c r="E226" i="14"/>
  <c r="D226" i="14"/>
  <c r="F225" i="14"/>
  <c r="E225" i="14"/>
  <c r="D225" i="14"/>
  <c r="F222" i="14"/>
  <c r="E222" i="14"/>
  <c r="D222" i="14"/>
  <c r="F221" i="14"/>
  <c r="E221" i="14"/>
  <c r="D221" i="14"/>
  <c r="F220" i="14"/>
  <c r="E220" i="14"/>
  <c r="D220" i="14"/>
  <c r="F219" i="14"/>
  <c r="E219" i="14"/>
  <c r="D219" i="14"/>
  <c r="F215" i="14"/>
  <c r="E215" i="14"/>
  <c r="D215" i="14"/>
  <c r="F214" i="14"/>
  <c r="E214" i="14"/>
  <c r="D214" i="14"/>
  <c r="F213" i="14"/>
  <c r="E213" i="14"/>
  <c r="D213" i="14"/>
  <c r="F212" i="14"/>
  <c r="E212" i="14"/>
  <c r="D212" i="14"/>
  <c r="F209" i="14"/>
  <c r="E209" i="14"/>
  <c r="D209" i="14"/>
  <c r="F208" i="14"/>
  <c r="E208" i="14"/>
  <c r="D208" i="14"/>
  <c r="F207" i="14"/>
  <c r="E207" i="14"/>
  <c r="D207" i="14"/>
  <c r="F206" i="14"/>
  <c r="E206" i="14"/>
  <c r="D206" i="14"/>
  <c r="F203" i="14"/>
  <c r="E203" i="14"/>
  <c r="D203" i="14"/>
  <c r="F202" i="14"/>
  <c r="E202" i="14"/>
  <c r="D202" i="14"/>
  <c r="F201" i="14"/>
  <c r="E201" i="14"/>
  <c r="D201" i="14"/>
  <c r="F200" i="14"/>
  <c r="E200" i="14"/>
  <c r="D200" i="14"/>
  <c r="F199" i="14"/>
  <c r="E199" i="14"/>
  <c r="D199" i="14"/>
  <c r="F197" i="14"/>
  <c r="E197" i="14"/>
  <c r="D197" i="14"/>
  <c r="F195" i="14"/>
  <c r="E195" i="14"/>
  <c r="D195" i="14"/>
  <c r="F194" i="14"/>
  <c r="E194" i="14"/>
  <c r="D194" i="14"/>
  <c r="F192" i="14"/>
  <c r="E192" i="14"/>
  <c r="D192" i="14"/>
  <c r="F191" i="14"/>
  <c r="E191" i="14"/>
  <c r="D191" i="14"/>
  <c r="F190" i="14"/>
  <c r="E190" i="14"/>
  <c r="D190" i="14"/>
  <c r="F189" i="14"/>
  <c r="E189" i="14"/>
  <c r="D189" i="14"/>
  <c r="F182" i="14"/>
  <c r="E182" i="14"/>
  <c r="D182" i="14"/>
  <c r="F181" i="14"/>
  <c r="E181" i="14"/>
  <c r="D181" i="14"/>
  <c r="F180" i="14"/>
  <c r="E180" i="14"/>
  <c r="D180" i="14"/>
  <c r="F179" i="14"/>
  <c r="E179" i="14"/>
  <c r="D179" i="14"/>
  <c r="F178" i="14"/>
  <c r="E178" i="14"/>
  <c r="D178" i="14"/>
  <c r="F177" i="14"/>
  <c r="E177" i="14"/>
  <c r="D177" i="14"/>
  <c r="F175" i="14"/>
  <c r="E175" i="14"/>
  <c r="D175" i="14"/>
  <c r="F174" i="14"/>
  <c r="E174" i="14"/>
  <c r="D174" i="14"/>
  <c r="F173" i="14"/>
  <c r="E173" i="14"/>
  <c r="D173" i="14"/>
  <c r="F172" i="14"/>
  <c r="E172" i="14"/>
  <c r="D172" i="14"/>
  <c r="F171" i="14"/>
  <c r="E171" i="14"/>
  <c r="D171" i="14"/>
  <c r="F170" i="14"/>
  <c r="E170" i="14"/>
  <c r="D170" i="14"/>
  <c r="F169" i="14"/>
  <c r="E169" i="14"/>
  <c r="D169" i="14"/>
  <c r="F168" i="14"/>
  <c r="E168" i="14"/>
  <c r="D168" i="14"/>
  <c r="F167" i="14"/>
  <c r="E167" i="14"/>
  <c r="D167" i="14"/>
  <c r="F165" i="14"/>
  <c r="E165" i="14"/>
  <c r="D165" i="14"/>
  <c r="F164" i="14"/>
  <c r="E164" i="14"/>
  <c r="D164" i="14"/>
  <c r="F163" i="14"/>
  <c r="E163" i="14"/>
  <c r="D163" i="14"/>
  <c r="F162" i="14"/>
  <c r="E162" i="14"/>
  <c r="D162" i="14"/>
  <c r="F161" i="14"/>
  <c r="E161" i="14"/>
  <c r="D161" i="14"/>
  <c r="F160" i="14"/>
  <c r="E160" i="14"/>
  <c r="D160" i="14"/>
  <c r="F159" i="14"/>
  <c r="E159" i="14"/>
  <c r="D159" i="14"/>
  <c r="F158" i="14"/>
  <c r="E158" i="14"/>
  <c r="D158" i="14"/>
  <c r="F157" i="14"/>
  <c r="E157" i="14"/>
  <c r="D157" i="14"/>
  <c r="F156" i="14"/>
  <c r="E156" i="14"/>
  <c r="D156" i="14"/>
  <c r="F155" i="14"/>
  <c r="E155" i="14"/>
  <c r="D155" i="14"/>
  <c r="F154" i="14"/>
  <c r="E154" i="14"/>
  <c r="D154" i="14"/>
  <c r="F153" i="14"/>
  <c r="E153" i="14"/>
  <c r="D153" i="14"/>
  <c r="F143" i="14"/>
  <c r="E143" i="14"/>
  <c r="D143" i="14"/>
  <c r="F142" i="14"/>
  <c r="E142" i="14"/>
  <c r="F141" i="14"/>
  <c r="E141" i="14"/>
  <c r="D141" i="14"/>
  <c r="F138" i="14"/>
  <c r="E138" i="14"/>
  <c r="D138" i="14"/>
  <c r="F137" i="14"/>
  <c r="E137" i="14"/>
  <c r="D137" i="14"/>
  <c r="F136" i="14"/>
  <c r="E136" i="14"/>
  <c r="D136" i="14"/>
  <c r="F133" i="14"/>
  <c r="E133" i="14"/>
  <c r="D133" i="14"/>
  <c r="F132" i="14"/>
  <c r="E132" i="14"/>
  <c r="D132" i="14"/>
  <c r="F131" i="14"/>
  <c r="E131" i="14"/>
  <c r="D131" i="14"/>
  <c r="F128" i="14"/>
  <c r="E128" i="14"/>
  <c r="D128" i="14"/>
  <c r="F127" i="14"/>
  <c r="E127" i="14"/>
  <c r="D127" i="14"/>
  <c r="F126" i="14"/>
  <c r="E126" i="14"/>
  <c r="D126" i="14"/>
  <c r="F135" i="14"/>
  <c r="E135" i="14"/>
  <c r="D135" i="14"/>
  <c r="F140" i="14"/>
  <c r="E140" i="14"/>
  <c r="D140" i="14"/>
  <c r="F130" i="14"/>
  <c r="E130" i="14"/>
  <c r="D130" i="14"/>
  <c r="F125" i="14"/>
  <c r="E125" i="14"/>
  <c r="D125" i="14"/>
  <c r="F116" i="14"/>
  <c r="E116" i="14"/>
  <c r="D116" i="14"/>
  <c r="F115" i="14"/>
  <c r="E115" i="14"/>
  <c r="D115" i="14"/>
  <c r="F114" i="14"/>
  <c r="E114" i="14"/>
  <c r="D114" i="14"/>
  <c r="F113" i="14"/>
  <c r="E113" i="14"/>
  <c r="D113" i="14"/>
  <c r="F110" i="14"/>
  <c r="E110" i="14"/>
  <c r="D110" i="14"/>
  <c r="F109" i="14"/>
  <c r="E109" i="14"/>
  <c r="D109" i="14"/>
  <c r="F108" i="14"/>
  <c r="E108" i="14"/>
  <c r="D108" i="14"/>
  <c r="F107" i="14"/>
  <c r="E107" i="14"/>
  <c r="D107" i="14"/>
  <c r="F104" i="14"/>
  <c r="E104" i="14"/>
  <c r="D104" i="14"/>
  <c r="F103" i="14"/>
  <c r="E103" i="14"/>
  <c r="D103" i="14"/>
  <c r="F102" i="14"/>
  <c r="E102" i="14"/>
  <c r="D102" i="14"/>
  <c r="F101" i="14"/>
  <c r="E101" i="14"/>
  <c r="D101" i="14"/>
  <c r="F98" i="14"/>
  <c r="E98" i="14"/>
  <c r="D98" i="14"/>
  <c r="F84" i="14"/>
  <c r="E84" i="14"/>
  <c r="D84" i="14"/>
  <c r="F78" i="14"/>
  <c r="E78" i="14"/>
  <c r="D78" i="14"/>
  <c r="F72" i="14"/>
  <c r="E72" i="14"/>
  <c r="D72" i="14"/>
  <c r="F87" i="14"/>
  <c r="E87" i="14"/>
  <c r="D87" i="14"/>
  <c r="F86" i="14"/>
  <c r="E86" i="14"/>
  <c r="D86" i="14"/>
  <c r="F85" i="14"/>
  <c r="E85" i="14"/>
  <c r="D85" i="14"/>
  <c r="F81" i="14"/>
  <c r="E81" i="14"/>
  <c r="D81" i="14"/>
  <c r="F80" i="14"/>
  <c r="E80" i="14"/>
  <c r="D80" i="14"/>
  <c r="F79" i="14"/>
  <c r="E79" i="14"/>
  <c r="D79" i="14"/>
  <c r="F75" i="14"/>
  <c r="E75" i="14"/>
  <c r="D75" i="14"/>
  <c r="F74" i="14"/>
  <c r="E74" i="14"/>
  <c r="D74" i="14"/>
  <c r="F73" i="14"/>
  <c r="E73" i="14"/>
  <c r="D73" i="14"/>
  <c r="F69" i="14"/>
  <c r="E69" i="14"/>
  <c r="D69" i="14"/>
  <c r="F68" i="14"/>
  <c r="E68" i="14"/>
  <c r="D68" i="14"/>
  <c r="F67" i="14"/>
  <c r="E67" i="14"/>
  <c r="D67" i="14"/>
  <c r="F66" i="14"/>
  <c r="E66" i="14"/>
  <c r="D66" i="14"/>
  <c r="F63" i="14"/>
  <c r="E63" i="14"/>
  <c r="D63" i="14"/>
  <c r="F61" i="14"/>
  <c r="E61" i="14"/>
  <c r="D61" i="14"/>
  <c r="F56" i="14"/>
  <c r="E56" i="14"/>
  <c r="D56" i="14"/>
  <c r="F55" i="14"/>
  <c r="E55" i="14"/>
  <c r="D55" i="14"/>
  <c r="F54" i="14"/>
  <c r="E54" i="14"/>
  <c r="D54" i="14"/>
  <c r="F51" i="14"/>
  <c r="E51" i="14"/>
  <c r="D51" i="14"/>
  <c r="F50" i="14"/>
  <c r="E50" i="14"/>
  <c r="D50" i="14"/>
  <c r="F49" i="14"/>
  <c r="E49" i="14"/>
  <c r="D49" i="14"/>
  <c r="F46" i="14"/>
  <c r="E46" i="14"/>
  <c r="D46" i="14"/>
  <c r="F44" i="14"/>
  <c r="E44" i="14"/>
  <c r="D44" i="14"/>
  <c r="F39" i="14"/>
  <c r="E39" i="14"/>
  <c r="D39" i="14"/>
  <c r="F37" i="14"/>
  <c r="E37" i="14"/>
  <c r="D37" i="14"/>
  <c r="F35" i="14"/>
  <c r="E35" i="14"/>
  <c r="D35" i="14"/>
  <c r="F33" i="14"/>
  <c r="E33" i="14"/>
  <c r="D33" i="14"/>
  <c r="F31" i="14"/>
  <c r="E31" i="14"/>
  <c r="D31" i="14"/>
  <c r="F29" i="14"/>
  <c r="E29" i="14"/>
  <c r="D29" i="14"/>
  <c r="F20" i="14"/>
  <c r="F19" i="14"/>
  <c r="F18" i="14"/>
  <c r="F17" i="14"/>
  <c r="F14" i="14"/>
  <c r="F13" i="14"/>
  <c r="F12" i="14"/>
  <c r="F11" i="14"/>
  <c r="F9" i="14"/>
  <c r="F262" i="12"/>
  <c r="E262" i="12"/>
  <c r="D262" i="12"/>
  <c r="F261" i="12"/>
  <c r="E261" i="12"/>
  <c r="D261" i="12"/>
  <c r="F257" i="12"/>
  <c r="E257" i="12"/>
  <c r="D257" i="12"/>
  <c r="F254" i="12"/>
  <c r="E254" i="12"/>
  <c r="D254" i="12"/>
  <c r="F253" i="12"/>
  <c r="E253" i="12"/>
  <c r="D253" i="12"/>
  <c r="F241" i="12"/>
  <c r="E241" i="12"/>
  <c r="D241" i="12"/>
  <c r="F240" i="12"/>
  <c r="E240" i="12"/>
  <c r="D240" i="12"/>
  <c r="F239" i="12"/>
  <c r="E239" i="12"/>
  <c r="D239" i="12"/>
  <c r="F238" i="12"/>
  <c r="E238" i="12"/>
  <c r="D238" i="12"/>
  <c r="F235" i="12"/>
  <c r="E235" i="12"/>
  <c r="D235" i="12"/>
  <c r="F234" i="12"/>
  <c r="E234" i="12"/>
  <c r="D234" i="12"/>
  <c r="F233" i="12"/>
  <c r="E233" i="12"/>
  <c r="D233" i="12"/>
  <c r="F232" i="12"/>
  <c r="E232" i="12"/>
  <c r="D232" i="12"/>
  <c r="F228" i="12"/>
  <c r="E228" i="12"/>
  <c r="D228" i="12"/>
  <c r="F227" i="12"/>
  <c r="E227" i="12"/>
  <c r="D227" i="12"/>
  <c r="F226" i="12"/>
  <c r="E226" i="12"/>
  <c r="D226" i="12"/>
  <c r="F225" i="12"/>
  <c r="E225" i="12"/>
  <c r="D225" i="12"/>
  <c r="F222" i="12"/>
  <c r="E222" i="12"/>
  <c r="D222" i="12"/>
  <c r="F221" i="12"/>
  <c r="E221" i="12"/>
  <c r="D221" i="12"/>
  <c r="F220" i="12"/>
  <c r="E220" i="12"/>
  <c r="D220" i="12"/>
  <c r="F219" i="12"/>
  <c r="E219" i="12"/>
  <c r="D219" i="12"/>
  <c r="F215" i="12"/>
  <c r="E215" i="12"/>
  <c r="D215" i="12"/>
  <c r="F214" i="12"/>
  <c r="E214" i="12"/>
  <c r="D214" i="12"/>
  <c r="F213" i="12"/>
  <c r="E213" i="12"/>
  <c r="D213" i="12"/>
  <c r="F212" i="12"/>
  <c r="E212" i="12"/>
  <c r="D212" i="12"/>
  <c r="F209" i="12"/>
  <c r="E209" i="12"/>
  <c r="D209" i="12"/>
  <c r="F208" i="12"/>
  <c r="E208" i="12"/>
  <c r="D208" i="12"/>
  <c r="F207" i="12"/>
  <c r="E207" i="12"/>
  <c r="D207" i="12"/>
  <c r="F206" i="12"/>
  <c r="E206" i="12"/>
  <c r="D206" i="12"/>
  <c r="F203" i="12"/>
  <c r="E203" i="12"/>
  <c r="D203" i="12"/>
  <c r="F202" i="12"/>
  <c r="E202" i="12"/>
  <c r="D202" i="12"/>
  <c r="F201" i="12"/>
  <c r="E201" i="12"/>
  <c r="D201" i="12"/>
  <c r="F200" i="12"/>
  <c r="E200" i="12"/>
  <c r="D200" i="12"/>
  <c r="F199" i="12"/>
  <c r="E199" i="12"/>
  <c r="D199" i="12"/>
  <c r="F196" i="12"/>
  <c r="E196" i="12"/>
  <c r="D196" i="12"/>
  <c r="F197" i="12"/>
  <c r="E197" i="12"/>
  <c r="D197" i="12"/>
  <c r="F195" i="12"/>
  <c r="E195" i="12"/>
  <c r="D195" i="12"/>
  <c r="F194" i="12"/>
  <c r="E194" i="12"/>
  <c r="D194" i="12"/>
  <c r="F192" i="12"/>
  <c r="E192" i="12"/>
  <c r="D192" i="12"/>
  <c r="F191" i="12"/>
  <c r="E191" i="12"/>
  <c r="D191" i="12"/>
  <c r="F190" i="12"/>
  <c r="E190" i="12"/>
  <c r="D190" i="12"/>
  <c r="F189" i="12"/>
  <c r="E189" i="12"/>
  <c r="D189" i="12"/>
  <c r="F182" i="12"/>
  <c r="E182" i="12"/>
  <c r="D182" i="12"/>
  <c r="F181" i="12"/>
  <c r="E181" i="12"/>
  <c r="D181" i="12"/>
  <c r="F180" i="12"/>
  <c r="E180" i="12"/>
  <c r="D180" i="12"/>
  <c r="F179" i="12"/>
  <c r="E179" i="12"/>
  <c r="D179" i="12"/>
  <c r="F178" i="12"/>
  <c r="E178" i="12"/>
  <c r="D178" i="12"/>
  <c r="F177" i="12"/>
  <c r="E177" i="12"/>
  <c r="D177" i="12"/>
  <c r="F175" i="12"/>
  <c r="E175" i="12"/>
  <c r="D175" i="12"/>
  <c r="F174" i="12"/>
  <c r="E174" i="12"/>
  <c r="D174" i="12"/>
  <c r="F173" i="12"/>
  <c r="E173" i="12"/>
  <c r="D173" i="12"/>
  <c r="F172" i="12"/>
  <c r="E172" i="12"/>
  <c r="D172" i="12"/>
  <c r="F171" i="12"/>
  <c r="E171" i="12"/>
  <c r="D171" i="12"/>
  <c r="F170" i="12"/>
  <c r="E170" i="12"/>
  <c r="D170" i="12"/>
  <c r="F169" i="12"/>
  <c r="E169" i="12"/>
  <c r="D169" i="12"/>
  <c r="F168" i="12"/>
  <c r="E168" i="12"/>
  <c r="D168" i="12"/>
  <c r="F167" i="12"/>
  <c r="E167" i="12"/>
  <c r="D167" i="12"/>
  <c r="F165" i="12"/>
  <c r="E165" i="12"/>
  <c r="D165" i="12"/>
  <c r="F164" i="12"/>
  <c r="E164" i="12"/>
  <c r="D164" i="12"/>
  <c r="F163" i="12"/>
  <c r="E163" i="12"/>
  <c r="D163" i="12"/>
  <c r="F162" i="12"/>
  <c r="E162" i="12"/>
  <c r="D162" i="12"/>
  <c r="F161" i="12"/>
  <c r="E161" i="12"/>
  <c r="D161" i="12"/>
  <c r="F160" i="12"/>
  <c r="E160" i="12"/>
  <c r="D160" i="12"/>
  <c r="F159" i="12"/>
  <c r="E159" i="12"/>
  <c r="D159" i="12"/>
  <c r="F158" i="12"/>
  <c r="E158" i="12"/>
  <c r="D158" i="12"/>
  <c r="F157" i="12"/>
  <c r="E157" i="12"/>
  <c r="D157" i="12"/>
  <c r="F156" i="12"/>
  <c r="E156" i="12"/>
  <c r="D156" i="12"/>
  <c r="F155" i="12"/>
  <c r="E155" i="12"/>
  <c r="D155" i="12"/>
  <c r="F154" i="12"/>
  <c r="E154" i="12"/>
  <c r="D154" i="12"/>
  <c r="F153" i="12"/>
  <c r="E153" i="12"/>
  <c r="D153" i="12"/>
  <c r="F143" i="12"/>
  <c r="E143" i="12"/>
  <c r="D143" i="12"/>
  <c r="F142" i="12"/>
  <c r="E142" i="12"/>
  <c r="F141" i="12"/>
  <c r="E141" i="12"/>
  <c r="D141" i="12"/>
  <c r="F138" i="12"/>
  <c r="E138" i="12"/>
  <c r="D138" i="12"/>
  <c r="F137" i="12"/>
  <c r="E137" i="12"/>
  <c r="D137" i="12"/>
  <c r="F136" i="12"/>
  <c r="E136" i="12"/>
  <c r="D136" i="12"/>
  <c r="F133" i="12"/>
  <c r="E133" i="12"/>
  <c r="D133" i="12"/>
  <c r="F132" i="12"/>
  <c r="E132" i="12"/>
  <c r="D132" i="12"/>
  <c r="F131" i="12"/>
  <c r="E131" i="12"/>
  <c r="D131" i="12"/>
  <c r="F128" i="12"/>
  <c r="E128" i="12"/>
  <c r="D128" i="12"/>
  <c r="F127" i="12"/>
  <c r="E127" i="12"/>
  <c r="D127" i="12"/>
  <c r="F126" i="12"/>
  <c r="E126" i="12"/>
  <c r="D126" i="12"/>
  <c r="F140" i="12"/>
  <c r="E140" i="12"/>
  <c r="D140" i="12"/>
  <c r="F135" i="12"/>
  <c r="E135" i="12"/>
  <c r="D135" i="12"/>
  <c r="F130" i="12"/>
  <c r="E130" i="12"/>
  <c r="D130" i="12"/>
  <c r="F125" i="12"/>
  <c r="E125" i="12"/>
  <c r="D125" i="12"/>
  <c r="F122" i="12"/>
  <c r="E122" i="12"/>
  <c r="D122" i="12"/>
  <c r="F121" i="12"/>
  <c r="E121" i="12"/>
  <c r="D121" i="12"/>
  <c r="F116" i="12"/>
  <c r="E116" i="12"/>
  <c r="D116" i="12"/>
  <c r="F115" i="12"/>
  <c r="E115" i="12"/>
  <c r="D115" i="12"/>
  <c r="F114" i="12"/>
  <c r="E114" i="12"/>
  <c r="D114" i="12"/>
  <c r="F113" i="12"/>
  <c r="E113" i="12"/>
  <c r="D113" i="12"/>
  <c r="F110" i="12"/>
  <c r="E110" i="12"/>
  <c r="D110" i="12"/>
  <c r="F109" i="12"/>
  <c r="E109" i="12"/>
  <c r="D109" i="12"/>
  <c r="F108" i="12"/>
  <c r="E108" i="12"/>
  <c r="D108" i="12"/>
  <c r="F107" i="12"/>
  <c r="E107" i="12"/>
  <c r="D107" i="12"/>
  <c r="F104" i="12"/>
  <c r="E104" i="12"/>
  <c r="D104" i="12"/>
  <c r="F103" i="12"/>
  <c r="E103" i="12"/>
  <c r="D103" i="12"/>
  <c r="F102" i="12"/>
  <c r="E102" i="12"/>
  <c r="D102" i="12"/>
  <c r="F101" i="12"/>
  <c r="E101" i="12"/>
  <c r="D101" i="12"/>
  <c r="F84" i="12"/>
  <c r="E84" i="12"/>
  <c r="D84" i="12"/>
  <c r="F78" i="12"/>
  <c r="E78" i="12"/>
  <c r="D78" i="12"/>
  <c r="F72" i="12"/>
  <c r="E72" i="12"/>
  <c r="D72" i="12"/>
  <c r="F66" i="12"/>
  <c r="E66" i="12"/>
  <c r="D66" i="12"/>
  <c r="F63" i="12"/>
  <c r="E63" i="12"/>
  <c r="D63" i="12"/>
  <c r="F61" i="12"/>
  <c r="E61" i="12"/>
  <c r="D61" i="12"/>
  <c r="F98" i="12"/>
  <c r="E98" i="12"/>
  <c r="D98" i="12"/>
  <c r="F87" i="12"/>
  <c r="E87" i="12"/>
  <c r="D87" i="12"/>
  <c r="F86" i="12"/>
  <c r="E86" i="12"/>
  <c r="D86" i="12"/>
  <c r="F85" i="12"/>
  <c r="E85" i="12"/>
  <c r="D85" i="12"/>
  <c r="F81" i="12"/>
  <c r="E81" i="12"/>
  <c r="D81" i="12"/>
  <c r="F80" i="12"/>
  <c r="E80" i="12"/>
  <c r="D80" i="12"/>
  <c r="F79" i="12"/>
  <c r="E79" i="12"/>
  <c r="D79" i="12"/>
  <c r="F75" i="12"/>
  <c r="E75" i="12"/>
  <c r="D75" i="12"/>
  <c r="F74" i="12"/>
  <c r="E74" i="12"/>
  <c r="D74" i="12"/>
  <c r="F73" i="12"/>
  <c r="E73" i="12"/>
  <c r="D73" i="12"/>
  <c r="F69" i="12"/>
  <c r="E69" i="12"/>
  <c r="D69" i="12"/>
  <c r="F68" i="12"/>
  <c r="E68" i="12"/>
  <c r="D68" i="12"/>
  <c r="F67" i="12"/>
  <c r="E67" i="12"/>
  <c r="D67" i="12"/>
  <c r="F56" i="12"/>
  <c r="E56" i="12"/>
  <c r="D56" i="12"/>
  <c r="F55" i="12"/>
  <c r="E55" i="12"/>
  <c r="D55" i="12"/>
  <c r="F54" i="12"/>
  <c r="E54" i="12"/>
  <c r="D54" i="12"/>
  <c r="F49" i="12"/>
  <c r="E49" i="12"/>
  <c r="D49" i="12"/>
  <c r="F46" i="12"/>
  <c r="E46" i="12"/>
  <c r="D46" i="12"/>
  <c r="F44" i="12"/>
  <c r="E44" i="12"/>
  <c r="D44" i="12"/>
  <c r="F39" i="12"/>
  <c r="E39" i="12"/>
  <c r="D39" i="12"/>
  <c r="F37" i="12"/>
  <c r="E37" i="12"/>
  <c r="D37" i="12"/>
  <c r="F35" i="12"/>
  <c r="E35" i="12"/>
  <c r="D35" i="12"/>
  <c r="F33" i="12"/>
  <c r="E33" i="12"/>
  <c r="D33" i="12"/>
  <c r="F31" i="12"/>
  <c r="E31" i="12"/>
  <c r="D31" i="12"/>
  <c r="F29" i="12"/>
  <c r="E29" i="12"/>
  <c r="D29" i="12"/>
  <c r="P262" i="11"/>
  <c r="P261" i="11"/>
  <c r="H61" i="12" l="1"/>
  <c r="H63" i="12"/>
  <c r="H29" i="12"/>
  <c r="H121" i="12"/>
  <c r="F90" i="14"/>
  <c r="F236" i="14"/>
  <c r="E236" i="12"/>
  <c r="F263" i="17"/>
  <c r="F88" i="14"/>
  <c r="F89" i="14" s="1"/>
  <c r="E145" i="14"/>
  <c r="P263" i="11"/>
  <c r="H126" i="12"/>
  <c r="H84" i="12"/>
  <c r="H66" i="12"/>
  <c r="F236" i="12"/>
  <c r="F145" i="14"/>
  <c r="F145" i="12"/>
  <c r="F93" i="12"/>
  <c r="E145" i="12"/>
  <c r="H114" i="12"/>
  <c r="H108" i="12"/>
  <c r="H102" i="12"/>
  <c r="E90" i="14"/>
  <c r="D236" i="12"/>
  <c r="H196" i="12"/>
  <c r="D145" i="14"/>
  <c r="D145" i="12"/>
  <c r="H125" i="12"/>
  <c r="H115" i="12"/>
  <c r="H116" i="12"/>
  <c r="H109" i="12"/>
  <c r="H110" i="12"/>
  <c r="H104" i="12"/>
  <c r="H103" i="12"/>
  <c r="D90" i="14"/>
  <c r="H78" i="12"/>
  <c r="H72" i="12"/>
  <c r="D263" i="17"/>
  <c r="H113" i="12"/>
  <c r="H101" i="12"/>
  <c r="H107" i="12"/>
  <c r="D148" i="11"/>
  <c r="F263" i="14"/>
  <c r="D263" i="11"/>
  <c r="D146" i="11"/>
  <c r="H35" i="12"/>
  <c r="F134" i="14"/>
  <c r="E236" i="14"/>
  <c r="D236" i="14"/>
  <c r="F263" i="12"/>
  <c r="F88" i="12"/>
  <c r="F134" i="12"/>
  <c r="E263" i="12"/>
  <c r="D129" i="11"/>
  <c r="D147" i="11"/>
  <c r="D134" i="11"/>
  <c r="D144" i="11"/>
  <c r="D236" i="11"/>
  <c r="D145" i="11"/>
  <c r="D139" i="11"/>
  <c r="F92" i="12"/>
  <c r="F91" i="14"/>
  <c r="F256" i="14" s="1"/>
  <c r="F92" i="14"/>
  <c r="F93" i="14"/>
  <c r="F91" i="12"/>
  <c r="E134" i="12"/>
  <c r="D263" i="14"/>
  <c r="D148" i="12"/>
  <c r="D139" i="12"/>
  <c r="D129" i="12"/>
  <c r="D88" i="14"/>
  <c r="D89" i="14" s="1"/>
  <c r="D93" i="12"/>
  <c r="D91" i="14"/>
  <c r="D256" i="14" s="1"/>
  <c r="H80" i="12"/>
  <c r="H86" i="12"/>
  <c r="H75" i="12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H261" i="12"/>
  <c r="E263" i="14"/>
  <c r="H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E91" i="14"/>
  <c r="E256" i="14" s="1"/>
  <c r="E92" i="14"/>
  <c r="E88" i="14"/>
  <c r="E89" i="14" s="1"/>
  <c r="E93" i="14"/>
  <c r="E88" i="12"/>
  <c r="E91" i="12"/>
  <c r="E92" i="12"/>
  <c r="D263" i="12"/>
  <c r="D148" i="14"/>
  <c r="D134" i="12"/>
  <c r="D134" i="14"/>
  <c r="D129" i="14"/>
  <c r="D146" i="12"/>
  <c r="D146" i="14"/>
  <c r="D139" i="14"/>
  <c r="D88" i="12"/>
  <c r="H85" i="12"/>
  <c r="D92" i="14"/>
  <c r="D93" i="14"/>
  <c r="D92" i="12"/>
  <c r="D91" i="12"/>
  <c r="E90" i="12"/>
  <c r="F90" i="12"/>
  <c r="D90" i="12"/>
  <c r="D256" i="12" l="1"/>
  <c r="E256" i="12"/>
  <c r="E89" i="12"/>
  <c r="D89" i="12"/>
  <c r="F89" i="12"/>
  <c r="F256" i="12"/>
  <c r="F94" i="12"/>
  <c r="D94" i="12"/>
  <c r="H90" i="12"/>
  <c r="H122" i="12"/>
  <c r="F94" i="14"/>
  <c r="F95" i="14" s="1"/>
  <c r="F255" i="14" s="1"/>
  <c r="D149" i="11"/>
  <c r="H93" i="12"/>
  <c r="H263" i="12"/>
  <c r="F149" i="14"/>
  <c r="F149" i="12"/>
  <c r="E149" i="14"/>
  <c r="E149" i="12"/>
  <c r="E94" i="12"/>
  <c r="H92" i="12"/>
  <c r="E94" i="14"/>
  <c r="E95" i="14" s="1"/>
  <c r="E255" i="14" s="1"/>
  <c r="H88" i="12"/>
  <c r="D94" i="14"/>
  <c r="D95" i="14" s="1"/>
  <c r="D255" i="14" s="1"/>
  <c r="D95" i="12" l="1"/>
  <c r="F95" i="12"/>
  <c r="E95" i="12"/>
  <c r="E255" i="12" l="1"/>
  <c r="F255" i="12"/>
  <c r="D255" i="12"/>
  <c r="D263" i="3"/>
  <c r="D263" i="2"/>
  <c r="D236" i="3"/>
  <c r="D139" i="3"/>
  <c r="D134" i="3"/>
  <c r="D129" i="3"/>
  <c r="D148" i="3"/>
  <c r="D147" i="3"/>
  <c r="D146" i="3"/>
  <c r="D145" i="3"/>
  <c r="D89" i="3"/>
  <c r="D89" i="11" s="1"/>
  <c r="D236" i="2"/>
  <c r="D148" i="2"/>
  <c r="D147" i="2"/>
  <c r="D146" i="2"/>
  <c r="D145" i="2"/>
  <c r="D129" i="2"/>
  <c r="D134" i="2"/>
  <c r="D139" i="2"/>
  <c r="D144" i="2"/>
  <c r="D149" i="3" l="1"/>
  <c r="D149" i="2"/>
  <c r="G263" i="1" l="1"/>
  <c r="H263" i="1"/>
  <c r="I263" i="1"/>
  <c r="J263" i="1"/>
  <c r="K263" i="1"/>
  <c r="L263" i="1"/>
  <c r="M263" i="1"/>
  <c r="N263" i="1"/>
  <c r="O263" i="1"/>
  <c r="D146" i="1" l="1"/>
  <c r="D147" i="1"/>
  <c r="D148" i="1"/>
  <c r="D145" i="1"/>
  <c r="D144" i="1"/>
  <c r="D129" i="1"/>
  <c r="D93" i="1"/>
  <c r="P93" i="1" s="1"/>
  <c r="D92" i="1"/>
  <c r="D91" i="1"/>
  <c r="D256" i="1" s="1"/>
  <c r="D93" i="3"/>
  <c r="P93" i="3" s="1"/>
  <c r="D92" i="3"/>
  <c r="D91" i="3"/>
  <c r="D90" i="3"/>
  <c r="D90" i="11" s="1"/>
  <c r="D93" i="2"/>
  <c r="D92" i="2"/>
  <c r="D91" i="2"/>
  <c r="D91" i="11" s="1"/>
  <c r="D256" i="11" s="1"/>
  <c r="D90" i="2"/>
  <c r="D92" i="11" l="1"/>
  <c r="P93" i="2"/>
  <c r="P93" i="11" s="1"/>
  <c r="D93" i="11"/>
  <c r="E144" i="1"/>
  <c r="E147" i="1"/>
  <c r="E149" i="1" s="1"/>
  <c r="E147" i="11"/>
  <c r="E149" i="11" s="1"/>
  <c r="D142" i="12"/>
  <c r="D142" i="14"/>
  <c r="D149" i="1"/>
  <c r="D144" i="14" l="1"/>
  <c r="D147" i="14"/>
  <c r="D149" i="14" s="1"/>
  <c r="D144" i="12"/>
  <c r="D147" i="12"/>
  <c r="D236" i="1"/>
  <c r="D149" i="12" l="1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D20" i="13" l="1"/>
  <c r="D19" i="13"/>
  <c r="D18" i="13"/>
  <c r="D17" i="13"/>
  <c r="D12" i="13"/>
  <c r="D13" i="13"/>
  <c r="D14" i="13"/>
  <c r="D11" i="13"/>
  <c r="D9" i="13"/>
  <c r="F20" i="12"/>
  <c r="F19" i="12"/>
  <c r="F18" i="12"/>
  <c r="F17" i="12"/>
  <c r="F12" i="12"/>
  <c r="F13" i="12"/>
  <c r="F14" i="12"/>
  <c r="F11" i="12"/>
  <c r="F9" i="12"/>
  <c r="E18" i="12"/>
  <c r="E19" i="12"/>
  <c r="E20" i="12"/>
  <c r="E17" i="12"/>
  <c r="E12" i="12"/>
  <c r="E13" i="12"/>
  <c r="E14" i="12"/>
  <c r="E11" i="12"/>
  <c r="E9" i="12"/>
  <c r="E38" i="12" l="1"/>
  <c r="E40" i="12"/>
  <c r="F38" i="12"/>
  <c r="E36" i="12"/>
  <c r="F40" i="12"/>
  <c r="F36" i="12"/>
  <c r="F247" i="17"/>
  <c r="E247" i="17"/>
  <c r="D247" i="17"/>
  <c r="F117" i="17"/>
  <c r="E117" i="17"/>
  <c r="D117" i="17"/>
  <c r="B37" i="17"/>
  <c r="B35" i="17"/>
  <c r="G41" i="17" s="1"/>
  <c r="F259" i="16"/>
  <c r="E259" i="16"/>
  <c r="F258" i="16"/>
  <c r="E258" i="16"/>
  <c r="F247" i="16"/>
  <c r="E247" i="16"/>
  <c r="D247" i="16"/>
  <c r="F242" i="16"/>
  <c r="E242" i="16"/>
  <c r="D242" i="16"/>
  <c r="F229" i="16"/>
  <c r="E229" i="16"/>
  <c r="D229" i="16"/>
  <c r="F223" i="16"/>
  <c r="E223" i="16"/>
  <c r="D223" i="16"/>
  <c r="F216" i="16"/>
  <c r="E216" i="16"/>
  <c r="D216" i="16"/>
  <c r="F210" i="16"/>
  <c r="E210" i="16"/>
  <c r="D210" i="16"/>
  <c r="F204" i="16"/>
  <c r="E204" i="16"/>
  <c r="D204" i="16"/>
  <c r="F193" i="16"/>
  <c r="E193" i="16"/>
  <c r="D193" i="16"/>
  <c r="F123" i="16"/>
  <c r="E123" i="16"/>
  <c r="D123" i="16"/>
  <c r="F117" i="16"/>
  <c r="E117" i="16"/>
  <c r="D117" i="16"/>
  <c r="F111" i="16"/>
  <c r="E111" i="16"/>
  <c r="D111" i="16"/>
  <c r="F105" i="16"/>
  <c r="E105" i="16"/>
  <c r="D105" i="16"/>
  <c r="F70" i="16"/>
  <c r="F71" i="16" s="1"/>
  <c r="E70" i="16"/>
  <c r="E71" i="16" s="1"/>
  <c r="D70" i="16"/>
  <c r="F62" i="16"/>
  <c r="E62" i="16"/>
  <c r="F47" i="16"/>
  <c r="E47" i="16"/>
  <c r="F45" i="16"/>
  <c r="E45" i="16"/>
  <c r="F40" i="16"/>
  <c r="E40" i="16"/>
  <c r="F38" i="16"/>
  <c r="E38" i="16"/>
  <c r="B37" i="16"/>
  <c r="B35" i="16"/>
  <c r="G41" i="16" s="1"/>
  <c r="F34" i="16"/>
  <c r="E34" i="16"/>
  <c r="F32" i="16"/>
  <c r="E32" i="16"/>
  <c r="F30" i="16"/>
  <c r="E30" i="16"/>
  <c r="F21" i="16"/>
  <c r="E21" i="16"/>
  <c r="F15" i="16"/>
  <c r="E15" i="16"/>
  <c r="D47" i="16"/>
  <c r="F259" i="15"/>
  <c r="E259" i="15"/>
  <c r="D259" i="15"/>
  <c r="F258" i="15"/>
  <c r="E258" i="15"/>
  <c r="D258" i="15"/>
  <c r="F242" i="15"/>
  <c r="E242" i="15"/>
  <c r="D242" i="15"/>
  <c r="F229" i="15"/>
  <c r="E229" i="15"/>
  <c r="D229" i="15"/>
  <c r="F223" i="15"/>
  <c r="E223" i="15"/>
  <c r="D223" i="15"/>
  <c r="F216" i="15"/>
  <c r="E216" i="15"/>
  <c r="D216" i="15"/>
  <c r="F210" i="15"/>
  <c r="E210" i="15"/>
  <c r="D210" i="15"/>
  <c r="F204" i="15"/>
  <c r="E204" i="15"/>
  <c r="D204" i="15"/>
  <c r="F193" i="15"/>
  <c r="E193" i="15"/>
  <c r="D193" i="15"/>
  <c r="F123" i="15"/>
  <c r="E123" i="15"/>
  <c r="D123" i="15"/>
  <c r="F105" i="15"/>
  <c r="F119" i="15" s="1"/>
  <c r="E105" i="15"/>
  <c r="E119" i="15" s="1"/>
  <c r="D105" i="15"/>
  <c r="D119" i="15" s="1"/>
  <c r="F82" i="15"/>
  <c r="F83" i="15" s="1"/>
  <c r="E82" i="15"/>
  <c r="D82" i="15"/>
  <c r="F76" i="15"/>
  <c r="F77" i="15" s="1"/>
  <c r="E76" i="15"/>
  <c r="E77" i="15" s="1"/>
  <c r="D76" i="15"/>
  <c r="F70" i="15"/>
  <c r="F71" i="15" s="1"/>
  <c r="E70" i="15"/>
  <c r="E71" i="15" s="1"/>
  <c r="D70" i="15"/>
  <c r="F62" i="15"/>
  <c r="E62" i="15"/>
  <c r="F47" i="15"/>
  <c r="E47" i="15"/>
  <c r="F45" i="15"/>
  <c r="E45" i="15"/>
  <c r="F40" i="15"/>
  <c r="E40" i="15"/>
  <c r="F38" i="15"/>
  <c r="E38" i="15"/>
  <c r="B37" i="15"/>
  <c r="B35" i="15"/>
  <c r="G41" i="15" s="1"/>
  <c r="F34" i="15"/>
  <c r="E34" i="15"/>
  <c r="F32" i="15"/>
  <c r="E32" i="15"/>
  <c r="F30" i="15"/>
  <c r="E30" i="15"/>
  <c r="F21" i="15"/>
  <c r="F15" i="15"/>
  <c r="E15" i="15"/>
  <c r="D15" i="15"/>
  <c r="D47" i="15"/>
  <c r="F259" i="14"/>
  <c r="E259" i="14"/>
  <c r="D259" i="14"/>
  <c r="F258" i="14"/>
  <c r="E258" i="14"/>
  <c r="D258" i="14"/>
  <c r="F247" i="14"/>
  <c r="E247" i="14"/>
  <c r="D247" i="14"/>
  <c r="F242" i="14"/>
  <c r="E242" i="14"/>
  <c r="D242" i="14"/>
  <c r="F229" i="14"/>
  <c r="E229" i="14"/>
  <c r="D229" i="14"/>
  <c r="F223" i="14"/>
  <c r="E223" i="14"/>
  <c r="D223" i="14"/>
  <c r="F216" i="14"/>
  <c r="E216" i="14"/>
  <c r="D216" i="14"/>
  <c r="F210" i="14"/>
  <c r="E210" i="14"/>
  <c r="D210" i="14"/>
  <c r="F204" i="14"/>
  <c r="E204" i="14"/>
  <c r="D204" i="14"/>
  <c r="F193" i="14"/>
  <c r="E193" i="14"/>
  <c r="D193" i="14"/>
  <c r="F123" i="14"/>
  <c r="E123" i="14"/>
  <c r="D123" i="14"/>
  <c r="F117" i="14"/>
  <c r="E117" i="14"/>
  <c r="D117" i="14"/>
  <c r="F111" i="14"/>
  <c r="E111" i="14"/>
  <c r="D111" i="14"/>
  <c r="F105" i="14"/>
  <c r="E105" i="14"/>
  <c r="D105" i="14"/>
  <c r="F82" i="14"/>
  <c r="F83" i="14" s="1"/>
  <c r="E82" i="14"/>
  <c r="E83" i="14" s="1"/>
  <c r="D82" i="14"/>
  <c r="D83" i="14" s="1"/>
  <c r="F76" i="14"/>
  <c r="F77" i="14" s="1"/>
  <c r="E76" i="14"/>
  <c r="E77" i="14" s="1"/>
  <c r="D76" i="14"/>
  <c r="D77" i="14" s="1"/>
  <c r="F70" i="14"/>
  <c r="F71" i="14" s="1"/>
  <c r="E70" i="14"/>
  <c r="E71" i="14" s="1"/>
  <c r="D70" i="14"/>
  <c r="D71" i="14" s="1"/>
  <c r="F62" i="14"/>
  <c r="E62" i="14"/>
  <c r="F47" i="14"/>
  <c r="E47" i="14"/>
  <c r="F45" i="14"/>
  <c r="E45" i="14"/>
  <c r="F40" i="14"/>
  <c r="E40" i="14"/>
  <c r="F38" i="14"/>
  <c r="E38" i="14"/>
  <c r="B37" i="14"/>
  <c r="B35" i="14"/>
  <c r="F34" i="14"/>
  <c r="E34" i="14"/>
  <c r="F32" i="14"/>
  <c r="E32" i="14"/>
  <c r="F30" i="14"/>
  <c r="E30" i="14"/>
  <c r="F21" i="14"/>
  <c r="E21" i="14"/>
  <c r="F15" i="14"/>
  <c r="E15" i="14"/>
  <c r="D47" i="14"/>
  <c r="F259" i="13"/>
  <c r="E259" i="13"/>
  <c r="F258" i="13"/>
  <c r="E258" i="13"/>
  <c r="D258" i="13"/>
  <c r="F247" i="13"/>
  <c r="E247" i="13"/>
  <c r="D247" i="13"/>
  <c r="F242" i="13"/>
  <c r="E242" i="13"/>
  <c r="D242" i="13"/>
  <c r="F229" i="13"/>
  <c r="E229" i="13"/>
  <c r="D229" i="13"/>
  <c r="F223" i="13"/>
  <c r="E223" i="13"/>
  <c r="D223" i="13"/>
  <c r="F216" i="13"/>
  <c r="E216" i="13"/>
  <c r="D216" i="13"/>
  <c r="F210" i="13"/>
  <c r="E210" i="13"/>
  <c r="D210" i="13"/>
  <c r="F204" i="13"/>
  <c r="E204" i="13"/>
  <c r="D204" i="13"/>
  <c r="F193" i="13"/>
  <c r="E193" i="13"/>
  <c r="D193" i="13"/>
  <c r="F123" i="13"/>
  <c r="E123" i="13"/>
  <c r="D123" i="13"/>
  <c r="F105" i="13"/>
  <c r="F119" i="13" s="1"/>
  <c r="E105" i="13"/>
  <c r="E119" i="13" s="1"/>
  <c r="D105" i="13"/>
  <c r="D119" i="13" s="1"/>
  <c r="F82" i="13"/>
  <c r="F83" i="13" s="1"/>
  <c r="E82" i="13"/>
  <c r="E83" i="13" s="1"/>
  <c r="D82" i="13"/>
  <c r="D83" i="13" s="1"/>
  <c r="F76" i="13"/>
  <c r="F77" i="13" s="1"/>
  <c r="E76" i="13"/>
  <c r="E77" i="13" s="1"/>
  <c r="D76" i="13"/>
  <c r="D77" i="13" s="1"/>
  <c r="F70" i="13"/>
  <c r="F71" i="13" s="1"/>
  <c r="E70" i="13"/>
  <c r="E71" i="13" s="1"/>
  <c r="D70" i="13"/>
  <c r="D71" i="13" s="1"/>
  <c r="F62" i="13"/>
  <c r="E62" i="13"/>
  <c r="F47" i="13"/>
  <c r="E47" i="13"/>
  <c r="F45" i="13"/>
  <c r="E45" i="13"/>
  <c r="F40" i="13"/>
  <c r="E40" i="13"/>
  <c r="F38" i="13"/>
  <c r="E38" i="13"/>
  <c r="B37" i="13"/>
  <c r="B35" i="13"/>
  <c r="F34" i="13"/>
  <c r="E34" i="13"/>
  <c r="F32" i="13"/>
  <c r="E32" i="13"/>
  <c r="F30" i="13"/>
  <c r="E30" i="13"/>
  <c r="F21" i="13"/>
  <c r="E21" i="13"/>
  <c r="F15" i="13"/>
  <c r="E15" i="13"/>
  <c r="D47" i="13"/>
  <c r="D20" i="12"/>
  <c r="D19" i="12"/>
  <c r="D18" i="12"/>
  <c r="D17" i="12"/>
  <c r="D14" i="12"/>
  <c r="D13" i="12"/>
  <c r="D12" i="12"/>
  <c r="D11" i="12"/>
  <c r="D9" i="12"/>
  <c r="H87" i="12"/>
  <c r="F259" i="12"/>
  <c r="E259" i="12"/>
  <c r="D259" i="12"/>
  <c r="F258" i="12"/>
  <c r="E258" i="12"/>
  <c r="D258" i="12"/>
  <c r="H257" i="12"/>
  <c r="H256" i="12"/>
  <c r="H255" i="12"/>
  <c r="H254" i="12"/>
  <c r="H253" i="12"/>
  <c r="H247" i="12"/>
  <c r="F247" i="12"/>
  <c r="E247" i="12"/>
  <c r="D247" i="12"/>
  <c r="F242" i="12"/>
  <c r="E242" i="12"/>
  <c r="D242" i="12"/>
  <c r="H241" i="12"/>
  <c r="H240" i="12"/>
  <c r="H239" i="12"/>
  <c r="H238" i="12"/>
  <c r="H235" i="12"/>
  <c r="H234" i="12"/>
  <c r="H233" i="12"/>
  <c r="H232" i="12"/>
  <c r="F229" i="12"/>
  <c r="E229" i="12"/>
  <c r="D229" i="12"/>
  <c r="H228" i="12"/>
  <c r="H227" i="12"/>
  <c r="H226" i="12"/>
  <c r="H225" i="12"/>
  <c r="F223" i="12"/>
  <c r="E223" i="12"/>
  <c r="D223" i="12"/>
  <c r="H222" i="12"/>
  <c r="H221" i="12"/>
  <c r="H220" i="12"/>
  <c r="H219" i="12"/>
  <c r="F216" i="12"/>
  <c r="E216" i="12"/>
  <c r="D216" i="12"/>
  <c r="H215" i="12"/>
  <c r="H214" i="12"/>
  <c r="H213" i="12"/>
  <c r="H212" i="12"/>
  <c r="F210" i="12"/>
  <c r="E210" i="12"/>
  <c r="D210" i="12"/>
  <c r="H209" i="12"/>
  <c r="H208" i="12"/>
  <c r="H207" i="12"/>
  <c r="H206" i="12"/>
  <c r="F204" i="12"/>
  <c r="E204" i="12"/>
  <c r="D204" i="12"/>
  <c r="H203" i="12"/>
  <c r="H202" i="12"/>
  <c r="H201" i="12"/>
  <c r="H200" i="12"/>
  <c r="H199" i="12"/>
  <c r="H197" i="12"/>
  <c r="H195" i="12"/>
  <c r="H194" i="12"/>
  <c r="F193" i="12"/>
  <c r="E193" i="12"/>
  <c r="D193" i="12"/>
  <c r="H192" i="12"/>
  <c r="H191" i="12"/>
  <c r="H190" i="12"/>
  <c r="H189" i="12"/>
  <c r="H187" i="12"/>
  <c r="H186" i="12"/>
  <c r="H185" i="12"/>
  <c r="H184" i="12"/>
  <c r="H182" i="12"/>
  <c r="H181" i="12"/>
  <c r="H180" i="12"/>
  <c r="H179" i="12"/>
  <c r="H178" i="12"/>
  <c r="H177" i="12"/>
  <c r="H175" i="12"/>
  <c r="H174" i="12"/>
  <c r="H173" i="12"/>
  <c r="H172" i="12"/>
  <c r="H171" i="12"/>
  <c r="H170" i="12"/>
  <c r="H169" i="12"/>
  <c r="H168" i="12"/>
  <c r="H167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43" i="12"/>
  <c r="H142" i="12"/>
  <c r="H141" i="12"/>
  <c r="H140" i="12"/>
  <c r="H138" i="12"/>
  <c r="H137" i="12"/>
  <c r="H136" i="12"/>
  <c r="H135" i="12"/>
  <c r="H133" i="12"/>
  <c r="H132" i="12"/>
  <c r="H131" i="12"/>
  <c r="H130" i="12"/>
  <c r="H128" i="12"/>
  <c r="H127" i="12"/>
  <c r="F123" i="12"/>
  <c r="E123" i="12"/>
  <c r="D123" i="12"/>
  <c r="F117" i="12"/>
  <c r="E117" i="12"/>
  <c r="D117" i="12"/>
  <c r="F111" i="12"/>
  <c r="E111" i="12"/>
  <c r="D111" i="12"/>
  <c r="F105" i="12"/>
  <c r="E105" i="12"/>
  <c r="D105" i="12"/>
  <c r="H98" i="12"/>
  <c r="F82" i="12"/>
  <c r="E82" i="12"/>
  <c r="D82" i="12"/>
  <c r="H79" i="12"/>
  <c r="F76" i="12"/>
  <c r="E76" i="12"/>
  <c r="D76" i="12"/>
  <c r="F70" i="12"/>
  <c r="E70" i="12"/>
  <c r="D70" i="12"/>
  <c r="H69" i="12"/>
  <c r="H68" i="12"/>
  <c r="H67" i="12"/>
  <c r="F62" i="12"/>
  <c r="E62" i="12"/>
  <c r="H56" i="12"/>
  <c r="H55" i="12"/>
  <c r="H54" i="12"/>
  <c r="H51" i="12"/>
  <c r="H50" i="12"/>
  <c r="H49" i="12"/>
  <c r="F47" i="12"/>
  <c r="E47" i="12"/>
  <c r="H46" i="12"/>
  <c r="F45" i="12"/>
  <c r="E45" i="12"/>
  <c r="H44" i="12"/>
  <c r="B37" i="12"/>
  <c r="B35" i="12"/>
  <c r="F34" i="12"/>
  <c r="E34" i="12"/>
  <c r="H33" i="12"/>
  <c r="F32" i="12"/>
  <c r="E32" i="12"/>
  <c r="H31" i="12"/>
  <c r="F30" i="12"/>
  <c r="E30" i="12"/>
  <c r="F21" i="12"/>
  <c r="E21" i="12"/>
  <c r="F15" i="12"/>
  <c r="E15" i="12"/>
  <c r="J259" i="11"/>
  <c r="I259" i="11"/>
  <c r="P257" i="11"/>
  <c r="P247" i="11"/>
  <c r="H247" i="11"/>
  <c r="L242" i="11"/>
  <c r="J242" i="11"/>
  <c r="I242" i="11"/>
  <c r="P241" i="11"/>
  <c r="P240" i="11"/>
  <c r="P239" i="11"/>
  <c r="P235" i="11"/>
  <c r="P234" i="11"/>
  <c r="P233" i="11"/>
  <c r="P232" i="11"/>
  <c r="P228" i="11"/>
  <c r="P227" i="11"/>
  <c r="P226" i="11"/>
  <c r="L223" i="11"/>
  <c r="J223" i="1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P215" i="11"/>
  <c r="P214" i="11"/>
  <c r="P213" i="11"/>
  <c r="L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P203" i="11"/>
  <c r="P202" i="11"/>
  <c r="P201" i="11"/>
  <c r="P200" i="11"/>
  <c r="P197" i="11"/>
  <c r="P195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L123" i="11"/>
  <c r="J123" i="11"/>
  <c r="I123" i="11"/>
  <c r="H123" i="11"/>
  <c r="G123" i="11"/>
  <c r="F123" i="11"/>
  <c r="E123" i="11"/>
  <c r="D123" i="11"/>
  <c r="P122" i="11"/>
  <c r="P121" i="11"/>
  <c r="P117" i="11"/>
  <c r="D117" i="11"/>
  <c r="L111" i="11"/>
  <c r="J111" i="1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P105" i="11"/>
  <c r="L105" i="11"/>
  <c r="J105" i="11"/>
  <c r="I105" i="11"/>
  <c r="H105" i="11"/>
  <c r="F105" i="11"/>
  <c r="E105" i="11"/>
  <c r="D105" i="11"/>
  <c r="P104" i="11"/>
  <c r="P103" i="11"/>
  <c r="P102" i="11"/>
  <c r="P101" i="11"/>
  <c r="P98" i="11"/>
  <c r="P63" i="11"/>
  <c r="P61" i="11"/>
  <c r="P56" i="11"/>
  <c r="P55" i="11"/>
  <c r="P54" i="11"/>
  <c r="P51" i="11"/>
  <c r="P50" i="11"/>
  <c r="P49" i="11"/>
  <c r="P46" i="11"/>
  <c r="P44" i="11"/>
  <c r="B37" i="11"/>
  <c r="B35" i="11"/>
  <c r="P33" i="11"/>
  <c r="P31" i="11"/>
  <c r="P29" i="11"/>
  <c r="L21" i="11"/>
  <c r="J21" i="11"/>
  <c r="I21" i="11"/>
  <c r="H21" i="11"/>
  <c r="G21" i="11"/>
  <c r="F21" i="11"/>
  <c r="E21" i="11"/>
  <c r="D21" i="11"/>
  <c r="P20" i="11"/>
  <c r="P19" i="11"/>
  <c r="P18" i="11"/>
  <c r="P17" i="11"/>
  <c r="L15" i="11"/>
  <c r="J15" i="11"/>
  <c r="I15" i="11"/>
  <c r="H15" i="11"/>
  <c r="G15" i="11"/>
  <c r="F15" i="11"/>
  <c r="E15" i="11"/>
  <c r="D15" i="11"/>
  <c r="P14" i="11"/>
  <c r="P13" i="11"/>
  <c r="P12" i="11"/>
  <c r="P11" i="11"/>
  <c r="P9" i="11"/>
  <c r="M259" i="3"/>
  <c r="L259" i="3"/>
  <c r="K259" i="3"/>
  <c r="J259" i="3"/>
  <c r="I259" i="3"/>
  <c r="H259" i="3"/>
  <c r="G259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P257" i="3"/>
  <c r="F257" i="17" s="1"/>
  <c r="P256" i="3"/>
  <c r="P254" i="3"/>
  <c r="F254" i="17" s="1"/>
  <c r="P253" i="3"/>
  <c r="F253" i="17" s="1"/>
  <c r="P247" i="3"/>
  <c r="O247" i="3"/>
  <c r="N247" i="3"/>
  <c r="M247" i="3"/>
  <c r="L247" i="3"/>
  <c r="K247" i="3"/>
  <c r="J247" i="3"/>
  <c r="I247" i="3"/>
  <c r="H247" i="3"/>
  <c r="G247" i="3"/>
  <c r="F247" i="3"/>
  <c r="D247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F241" i="17" s="1"/>
  <c r="P240" i="3"/>
  <c r="F240" i="17" s="1"/>
  <c r="P239" i="3"/>
  <c r="F239" i="17" s="1"/>
  <c r="P238" i="3"/>
  <c r="F238" i="17" s="1"/>
  <c r="P235" i="3"/>
  <c r="F235" i="17" s="1"/>
  <c r="P234" i="3"/>
  <c r="F234" i="17" s="1"/>
  <c r="P233" i="3"/>
  <c r="F233" i="17" s="1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F228" i="17" s="1"/>
  <c r="P227" i="3"/>
  <c r="F227" i="17" s="1"/>
  <c r="P226" i="3"/>
  <c r="F226" i="17" s="1"/>
  <c r="P225" i="3"/>
  <c r="F225" i="17" s="1"/>
  <c r="O223" i="3"/>
  <c r="N223" i="3"/>
  <c r="N230" i="3" s="1"/>
  <c r="M223" i="3"/>
  <c r="L223" i="3"/>
  <c r="K223" i="3"/>
  <c r="K230" i="3" s="1"/>
  <c r="J223" i="3"/>
  <c r="I223" i="3"/>
  <c r="H223" i="3"/>
  <c r="H230" i="3" s="1"/>
  <c r="G223" i="3"/>
  <c r="F223" i="3"/>
  <c r="F230" i="3" s="1"/>
  <c r="E223" i="3"/>
  <c r="E230" i="3" s="1"/>
  <c r="D223" i="3"/>
  <c r="P222" i="3"/>
  <c r="F222" i="17" s="1"/>
  <c r="P221" i="3"/>
  <c r="F221" i="17" s="1"/>
  <c r="P220" i="3"/>
  <c r="F220" i="17" s="1"/>
  <c r="P219" i="3"/>
  <c r="F219" i="17" s="1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F215" i="17" s="1"/>
  <c r="P214" i="3"/>
  <c r="F214" i="17" s="1"/>
  <c r="P213" i="3"/>
  <c r="F213" i="17" s="1"/>
  <c r="P212" i="3"/>
  <c r="F212" i="17" s="1"/>
  <c r="O210" i="3"/>
  <c r="N210" i="3"/>
  <c r="M210" i="3"/>
  <c r="L210" i="3"/>
  <c r="K210" i="3"/>
  <c r="J210" i="3"/>
  <c r="I210" i="3"/>
  <c r="H210" i="3"/>
  <c r="G210" i="3"/>
  <c r="F210" i="3"/>
  <c r="E210" i="3"/>
  <c r="D210" i="3"/>
  <c r="P209" i="3"/>
  <c r="F209" i="17" s="1"/>
  <c r="P208" i="3"/>
  <c r="F208" i="17" s="1"/>
  <c r="P207" i="3"/>
  <c r="F207" i="17" s="1"/>
  <c r="P206" i="3"/>
  <c r="F206" i="17" s="1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F203" i="17" s="1"/>
  <c r="P202" i="3"/>
  <c r="F202" i="17" s="1"/>
  <c r="P201" i="3"/>
  <c r="F201" i="17" s="1"/>
  <c r="P200" i="3"/>
  <c r="F200" i="17" s="1"/>
  <c r="P199" i="3"/>
  <c r="F199" i="17" s="1"/>
  <c r="P197" i="3"/>
  <c r="F197" i="17" s="1"/>
  <c r="P195" i="3"/>
  <c r="F195" i="17" s="1"/>
  <c r="P194" i="3"/>
  <c r="F194" i="17" s="1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F192" i="17" s="1"/>
  <c r="P191" i="3"/>
  <c r="F191" i="17" s="1"/>
  <c r="P190" i="3"/>
  <c r="F190" i="17" s="1"/>
  <c r="P189" i="3"/>
  <c r="F189" i="17" s="1"/>
  <c r="P182" i="3"/>
  <c r="F182" i="17" s="1"/>
  <c r="P181" i="3"/>
  <c r="F181" i="17" s="1"/>
  <c r="P180" i="3"/>
  <c r="F180" i="17" s="1"/>
  <c r="P179" i="3"/>
  <c r="F179" i="17" s="1"/>
  <c r="P178" i="3"/>
  <c r="F178" i="17" s="1"/>
  <c r="P177" i="3"/>
  <c r="F177" i="17" s="1"/>
  <c r="P175" i="3"/>
  <c r="F175" i="17" s="1"/>
  <c r="P174" i="3"/>
  <c r="F174" i="17" s="1"/>
  <c r="P173" i="3"/>
  <c r="F173" i="17" s="1"/>
  <c r="P172" i="3"/>
  <c r="F172" i="17" s="1"/>
  <c r="P171" i="3"/>
  <c r="F171" i="17" s="1"/>
  <c r="P170" i="3"/>
  <c r="F170" i="17" s="1"/>
  <c r="P169" i="3"/>
  <c r="F169" i="17" s="1"/>
  <c r="P168" i="3"/>
  <c r="F168" i="17" s="1"/>
  <c r="P167" i="3"/>
  <c r="F167" i="17" s="1"/>
  <c r="P165" i="3"/>
  <c r="F165" i="17" s="1"/>
  <c r="P164" i="3"/>
  <c r="F164" i="17" s="1"/>
  <c r="P163" i="3"/>
  <c r="F163" i="17" s="1"/>
  <c r="P162" i="3"/>
  <c r="F162" i="17" s="1"/>
  <c r="P161" i="3"/>
  <c r="F161" i="17" s="1"/>
  <c r="P160" i="3"/>
  <c r="F160" i="17" s="1"/>
  <c r="P159" i="3"/>
  <c r="F159" i="17" s="1"/>
  <c r="P158" i="3"/>
  <c r="F158" i="17" s="1"/>
  <c r="P157" i="3"/>
  <c r="F157" i="17" s="1"/>
  <c r="P156" i="3"/>
  <c r="F156" i="17" s="1"/>
  <c r="P155" i="3"/>
  <c r="F155" i="17" s="1"/>
  <c r="P154" i="3"/>
  <c r="F154" i="17" s="1"/>
  <c r="P153" i="3"/>
  <c r="F153" i="17" s="1"/>
  <c r="P143" i="3"/>
  <c r="F143" i="17" s="1"/>
  <c r="P142" i="3"/>
  <c r="F142" i="17" s="1"/>
  <c r="P141" i="3"/>
  <c r="F141" i="17" s="1"/>
  <c r="P140" i="3"/>
  <c r="F140" i="17" s="1"/>
  <c r="P138" i="3"/>
  <c r="F138" i="17" s="1"/>
  <c r="P137" i="3"/>
  <c r="F137" i="17" s="1"/>
  <c r="P136" i="3"/>
  <c r="F136" i="17" s="1"/>
  <c r="P135" i="3"/>
  <c r="F135" i="17" s="1"/>
  <c r="P133" i="3"/>
  <c r="F133" i="17" s="1"/>
  <c r="P132" i="3"/>
  <c r="F132" i="17" s="1"/>
  <c r="P131" i="3"/>
  <c r="F131" i="17" s="1"/>
  <c r="P130" i="3"/>
  <c r="F130" i="17" s="1"/>
  <c r="P128" i="3"/>
  <c r="F128" i="17" s="1"/>
  <c r="P127" i="3"/>
  <c r="F127" i="17" s="1"/>
  <c r="P126" i="3"/>
  <c r="F126" i="17" s="1"/>
  <c r="P125" i="3"/>
  <c r="F125" i="17" s="1"/>
  <c r="M123" i="3"/>
  <c r="L123" i="3"/>
  <c r="K123" i="3"/>
  <c r="J123" i="3"/>
  <c r="I123" i="3"/>
  <c r="H123" i="3"/>
  <c r="G123" i="3"/>
  <c r="F123" i="3"/>
  <c r="E123" i="3"/>
  <c r="D123" i="3"/>
  <c r="P122" i="3"/>
  <c r="N123" i="3"/>
  <c r="P121" i="3"/>
  <c r="F121" i="17" s="1"/>
  <c r="P117" i="3"/>
  <c r="F117" i="3"/>
  <c r="E117" i="3"/>
  <c r="D117" i="3"/>
  <c r="O111" i="3"/>
  <c r="N111" i="3"/>
  <c r="N118" i="3" s="1"/>
  <c r="M111" i="3"/>
  <c r="M118" i="3" s="1"/>
  <c r="L111" i="3"/>
  <c r="L118" i="3" s="1"/>
  <c r="K111" i="3"/>
  <c r="K118" i="3" s="1"/>
  <c r="J111" i="3"/>
  <c r="J118" i="3" s="1"/>
  <c r="I111" i="3"/>
  <c r="I118" i="3" s="1"/>
  <c r="H111" i="3"/>
  <c r="H118" i="3" s="1"/>
  <c r="G111" i="3"/>
  <c r="G118" i="3" s="1"/>
  <c r="F111" i="3"/>
  <c r="E111" i="3"/>
  <c r="D111" i="3"/>
  <c r="P110" i="3"/>
  <c r="F110" i="17" s="1"/>
  <c r="P109" i="3"/>
  <c r="F109" i="17" s="1"/>
  <c r="P108" i="3"/>
  <c r="F108" i="17" s="1"/>
  <c r="P107" i="3"/>
  <c r="F107" i="17" s="1"/>
  <c r="O105" i="3"/>
  <c r="P105" i="3" s="1"/>
  <c r="N105" i="3"/>
  <c r="N119" i="3" s="1"/>
  <c r="M105" i="3"/>
  <c r="L105" i="3"/>
  <c r="L119" i="3" s="1"/>
  <c r="K105" i="3"/>
  <c r="J105" i="3"/>
  <c r="I105" i="3"/>
  <c r="H105" i="3"/>
  <c r="H119" i="3" s="1"/>
  <c r="G105" i="3"/>
  <c r="G119" i="3" s="1"/>
  <c r="F105" i="3"/>
  <c r="E105" i="3"/>
  <c r="D105" i="3"/>
  <c r="P104" i="3"/>
  <c r="F104" i="17" s="1"/>
  <c r="P103" i="3"/>
  <c r="F103" i="17" s="1"/>
  <c r="P102" i="3"/>
  <c r="F102" i="17" s="1"/>
  <c r="P101" i="3"/>
  <c r="F101" i="17" s="1"/>
  <c r="P98" i="3"/>
  <c r="F98" i="17" s="1"/>
  <c r="F94" i="3"/>
  <c r="F95" i="3" s="1"/>
  <c r="F259" i="3" s="1"/>
  <c r="E94" i="3"/>
  <c r="E95" i="3" s="1"/>
  <c r="E259" i="3" s="1"/>
  <c r="D94" i="3"/>
  <c r="D95" i="3" s="1"/>
  <c r="D259" i="3" s="1"/>
  <c r="P90" i="3"/>
  <c r="P85" i="3"/>
  <c r="F85" i="17" s="1"/>
  <c r="P84" i="3"/>
  <c r="F82" i="3"/>
  <c r="E82" i="3"/>
  <c r="D82" i="3"/>
  <c r="P81" i="3"/>
  <c r="P79" i="3"/>
  <c r="F79" i="17" s="1"/>
  <c r="P78" i="3"/>
  <c r="F76" i="3"/>
  <c r="E76" i="3"/>
  <c r="D76" i="3"/>
  <c r="P91" i="3"/>
  <c r="P72" i="3"/>
  <c r="G70" i="3"/>
  <c r="G71" i="3" s="1"/>
  <c r="F71" i="3"/>
  <c r="F71" i="11" s="1"/>
  <c r="E71" i="3"/>
  <c r="E71" i="11" s="1"/>
  <c r="D71" i="3"/>
  <c r="D71" i="11" s="1"/>
  <c r="P69" i="3"/>
  <c r="F69" i="17" s="1"/>
  <c r="P68" i="3"/>
  <c r="F68" i="17" s="1"/>
  <c r="P67" i="3"/>
  <c r="F67" i="17" s="1"/>
  <c r="P66" i="3"/>
  <c r="P63" i="3"/>
  <c r="F63" i="17" s="1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F61" i="17" s="1"/>
  <c r="P56" i="3"/>
  <c r="F56" i="17" s="1"/>
  <c r="P55" i="3"/>
  <c r="F55" i="17" s="1"/>
  <c r="P54" i="3"/>
  <c r="F54" i="17" s="1"/>
  <c r="F52" i="15"/>
  <c r="F52" i="12"/>
  <c r="P51" i="3"/>
  <c r="F51" i="17" s="1"/>
  <c r="P50" i="3"/>
  <c r="F50" i="17" s="1"/>
  <c r="P49" i="3"/>
  <c r="F49" i="17" s="1"/>
  <c r="O47" i="3"/>
  <c r="N47" i="3"/>
  <c r="M47" i="3"/>
  <c r="L47" i="3"/>
  <c r="K47" i="3"/>
  <c r="J47" i="3"/>
  <c r="I47" i="3"/>
  <c r="H47" i="3"/>
  <c r="G47" i="3"/>
  <c r="F47" i="3"/>
  <c r="E47" i="3"/>
  <c r="D47" i="3"/>
  <c r="P46" i="3"/>
  <c r="F46" i="17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F44" i="17" s="1"/>
  <c r="O40" i="3"/>
  <c r="N40" i="3"/>
  <c r="M40" i="3"/>
  <c r="L40" i="3"/>
  <c r="K40" i="3"/>
  <c r="J40" i="3"/>
  <c r="I40" i="3"/>
  <c r="H40" i="3"/>
  <c r="G40" i="3"/>
  <c r="F40" i="3"/>
  <c r="E40" i="3"/>
  <c r="D40" i="3"/>
  <c r="N38" i="3"/>
  <c r="O38" i="3"/>
  <c r="M38" i="3"/>
  <c r="L38" i="3"/>
  <c r="K38" i="3"/>
  <c r="J38" i="3"/>
  <c r="I38" i="3"/>
  <c r="G38" i="3"/>
  <c r="F38" i="3"/>
  <c r="E38" i="3"/>
  <c r="D38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F33" i="17" s="1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F31" i="17" s="1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F29" i="17" s="1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N22" i="3" s="1"/>
  <c r="N24" i="3" s="1"/>
  <c r="N25" i="3" s="1"/>
  <c r="M15" i="3"/>
  <c r="L15" i="3"/>
  <c r="K15" i="3"/>
  <c r="J15" i="3"/>
  <c r="I15" i="3"/>
  <c r="H15" i="3"/>
  <c r="G15" i="3"/>
  <c r="F15" i="3"/>
  <c r="F22" i="3" s="1"/>
  <c r="F24" i="3" s="1"/>
  <c r="F25" i="3" s="1"/>
  <c r="E15" i="3"/>
  <c r="D15" i="3"/>
  <c r="D22" i="3" s="1"/>
  <c r="D24" i="3" s="1"/>
  <c r="D25" i="3" s="1"/>
  <c r="P14" i="3"/>
  <c r="P13" i="3"/>
  <c r="P12" i="3"/>
  <c r="P11" i="3"/>
  <c r="P9" i="3"/>
  <c r="M259" i="2"/>
  <c r="L259" i="2"/>
  <c r="K259" i="2"/>
  <c r="G259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P257" i="2"/>
  <c r="E257" i="17" s="1"/>
  <c r="P256" i="2"/>
  <c r="P254" i="2"/>
  <c r="E254" i="17" s="1"/>
  <c r="P253" i="2"/>
  <c r="E253" i="17" s="1"/>
  <c r="P247" i="2"/>
  <c r="O247" i="2"/>
  <c r="N247" i="2"/>
  <c r="M247" i="2"/>
  <c r="L247" i="2"/>
  <c r="K247" i="2"/>
  <c r="J247" i="2"/>
  <c r="I247" i="2"/>
  <c r="H247" i="2"/>
  <c r="D247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E241" i="17" s="1"/>
  <c r="P240" i="2"/>
  <c r="E240" i="17" s="1"/>
  <c r="P239" i="2"/>
  <c r="E239" i="17" s="1"/>
  <c r="P238" i="2"/>
  <c r="E238" i="17" s="1"/>
  <c r="P235" i="2"/>
  <c r="E235" i="17" s="1"/>
  <c r="P234" i="2"/>
  <c r="E234" i="17" s="1"/>
  <c r="P233" i="2"/>
  <c r="E233" i="17" s="1"/>
  <c r="P232" i="2"/>
  <c r="E232" i="17" s="1"/>
  <c r="O229" i="2"/>
  <c r="N229" i="2"/>
  <c r="M229" i="2"/>
  <c r="L229" i="2"/>
  <c r="K229" i="2"/>
  <c r="J229" i="2"/>
  <c r="I229" i="2"/>
  <c r="H229" i="2"/>
  <c r="G229" i="2"/>
  <c r="F229" i="2"/>
  <c r="E229" i="2"/>
  <c r="D229" i="2"/>
  <c r="P228" i="2"/>
  <c r="E228" i="17" s="1"/>
  <c r="P227" i="2"/>
  <c r="E227" i="17" s="1"/>
  <c r="P226" i="2"/>
  <c r="E226" i="17" s="1"/>
  <c r="P225" i="2"/>
  <c r="E225" i="17" s="1"/>
  <c r="O223" i="2"/>
  <c r="N223" i="2"/>
  <c r="N230" i="2" s="1"/>
  <c r="M223" i="2"/>
  <c r="L223" i="2"/>
  <c r="K223" i="2"/>
  <c r="K230" i="2" s="1"/>
  <c r="J223" i="2"/>
  <c r="I223" i="2"/>
  <c r="I230" i="2" s="1"/>
  <c r="H223" i="2"/>
  <c r="H230" i="2" s="1"/>
  <c r="G223" i="2"/>
  <c r="G230" i="2" s="1"/>
  <c r="F223" i="2"/>
  <c r="F230" i="2" s="1"/>
  <c r="E223" i="2"/>
  <c r="E230" i="2" s="1"/>
  <c r="D223" i="2"/>
  <c r="P222" i="2"/>
  <c r="E222" i="17" s="1"/>
  <c r="P221" i="2"/>
  <c r="E221" i="17" s="1"/>
  <c r="P220" i="2"/>
  <c r="E220" i="17" s="1"/>
  <c r="P219" i="2"/>
  <c r="E219" i="17" s="1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E215" i="17" s="1"/>
  <c r="P214" i="2"/>
  <c r="E214" i="17" s="1"/>
  <c r="P213" i="2"/>
  <c r="E213" i="17" s="1"/>
  <c r="P212" i="2"/>
  <c r="E212" i="17" s="1"/>
  <c r="O210" i="2"/>
  <c r="N210" i="2"/>
  <c r="M210" i="2"/>
  <c r="L210" i="2"/>
  <c r="K210" i="2"/>
  <c r="J210" i="2"/>
  <c r="I210" i="2"/>
  <c r="H210" i="2"/>
  <c r="G210" i="2"/>
  <c r="F210" i="2"/>
  <c r="E210" i="2"/>
  <c r="D210" i="2"/>
  <c r="P209" i="2"/>
  <c r="E209" i="17" s="1"/>
  <c r="P208" i="2"/>
  <c r="E208" i="17" s="1"/>
  <c r="P207" i="2"/>
  <c r="E207" i="17" s="1"/>
  <c r="P206" i="2"/>
  <c r="E206" i="17" s="1"/>
  <c r="O204" i="2"/>
  <c r="N204" i="2"/>
  <c r="M204" i="2"/>
  <c r="L204" i="2"/>
  <c r="K204" i="2"/>
  <c r="J204" i="2"/>
  <c r="I204" i="2"/>
  <c r="G204" i="2"/>
  <c r="F204" i="2"/>
  <c r="E204" i="2"/>
  <c r="D204" i="2"/>
  <c r="P203" i="2"/>
  <c r="E203" i="17" s="1"/>
  <c r="P202" i="2"/>
  <c r="E202" i="17" s="1"/>
  <c r="P201" i="2"/>
  <c r="E201" i="17" s="1"/>
  <c r="P200" i="2"/>
  <c r="E200" i="17" s="1"/>
  <c r="P199" i="2"/>
  <c r="E199" i="17" s="1"/>
  <c r="P197" i="2"/>
  <c r="E197" i="17" s="1"/>
  <c r="P195" i="2"/>
  <c r="E195" i="17" s="1"/>
  <c r="P194" i="2"/>
  <c r="E194" i="17" s="1"/>
  <c r="P192" i="2"/>
  <c r="E192" i="17" s="1"/>
  <c r="P191" i="2"/>
  <c r="E191" i="17" s="1"/>
  <c r="P190" i="2"/>
  <c r="E190" i="17" s="1"/>
  <c r="P189" i="2"/>
  <c r="E189" i="17" s="1"/>
  <c r="P182" i="2"/>
  <c r="E182" i="17" s="1"/>
  <c r="P181" i="2"/>
  <c r="E181" i="17" s="1"/>
  <c r="P180" i="2"/>
  <c r="E180" i="17" s="1"/>
  <c r="P179" i="2"/>
  <c r="E179" i="17" s="1"/>
  <c r="P178" i="2"/>
  <c r="E178" i="17" s="1"/>
  <c r="P177" i="2"/>
  <c r="E177" i="17" s="1"/>
  <c r="P175" i="2"/>
  <c r="E175" i="17" s="1"/>
  <c r="P174" i="2"/>
  <c r="E174" i="17" s="1"/>
  <c r="P173" i="2"/>
  <c r="E173" i="17" s="1"/>
  <c r="P172" i="2"/>
  <c r="E172" i="17" s="1"/>
  <c r="P171" i="2"/>
  <c r="E171" i="17" s="1"/>
  <c r="P170" i="2"/>
  <c r="E170" i="17" s="1"/>
  <c r="P169" i="2"/>
  <c r="E169" i="17" s="1"/>
  <c r="P168" i="2"/>
  <c r="E168" i="17" s="1"/>
  <c r="P167" i="2"/>
  <c r="E167" i="17" s="1"/>
  <c r="P165" i="2"/>
  <c r="E165" i="17" s="1"/>
  <c r="P164" i="2"/>
  <c r="E164" i="17" s="1"/>
  <c r="P163" i="2"/>
  <c r="E163" i="17" s="1"/>
  <c r="P162" i="2"/>
  <c r="E162" i="17" s="1"/>
  <c r="P161" i="2"/>
  <c r="E161" i="17" s="1"/>
  <c r="P160" i="2"/>
  <c r="E160" i="17" s="1"/>
  <c r="P159" i="2"/>
  <c r="E159" i="17" s="1"/>
  <c r="P158" i="2"/>
  <c r="E158" i="17" s="1"/>
  <c r="P157" i="2"/>
  <c r="E157" i="17" s="1"/>
  <c r="P156" i="2"/>
  <c r="E156" i="17" s="1"/>
  <c r="P155" i="2"/>
  <c r="E155" i="17" s="1"/>
  <c r="P154" i="2"/>
  <c r="E154" i="17" s="1"/>
  <c r="P153" i="2"/>
  <c r="E153" i="17" s="1"/>
  <c r="P143" i="2"/>
  <c r="E143" i="17" s="1"/>
  <c r="P142" i="2"/>
  <c r="E142" i="17" s="1"/>
  <c r="P141" i="2"/>
  <c r="E141" i="17" s="1"/>
  <c r="P140" i="2"/>
  <c r="E140" i="17" s="1"/>
  <c r="P138" i="2"/>
  <c r="E138" i="17" s="1"/>
  <c r="P137" i="2"/>
  <c r="E137" i="17" s="1"/>
  <c r="P136" i="2"/>
  <c r="E136" i="17" s="1"/>
  <c r="P135" i="2"/>
  <c r="E135" i="17" s="1"/>
  <c r="P133" i="2"/>
  <c r="E133" i="17" s="1"/>
  <c r="P132" i="2"/>
  <c r="E132" i="17" s="1"/>
  <c r="P131" i="2"/>
  <c r="E131" i="17" s="1"/>
  <c r="P130" i="2"/>
  <c r="E130" i="17" s="1"/>
  <c r="P128" i="2"/>
  <c r="E128" i="17" s="1"/>
  <c r="P127" i="2"/>
  <c r="E127" i="17" s="1"/>
  <c r="P126" i="2"/>
  <c r="E126" i="17" s="1"/>
  <c r="P125" i="2"/>
  <c r="E125" i="17" s="1"/>
  <c r="M123" i="2"/>
  <c r="L123" i="2"/>
  <c r="K123" i="2"/>
  <c r="J123" i="2"/>
  <c r="I123" i="2"/>
  <c r="H123" i="2"/>
  <c r="G123" i="2"/>
  <c r="F123" i="2"/>
  <c r="E123" i="2"/>
  <c r="D123" i="2"/>
  <c r="O123" i="2"/>
  <c r="N123" i="2"/>
  <c r="P121" i="2"/>
  <c r="E121" i="17" s="1"/>
  <c r="P117" i="2"/>
  <c r="O117" i="2"/>
  <c r="N117" i="2"/>
  <c r="L117" i="2"/>
  <c r="G117" i="2"/>
  <c r="F117" i="2"/>
  <c r="E117" i="2"/>
  <c r="D117" i="2"/>
  <c r="O111" i="2"/>
  <c r="N111" i="2"/>
  <c r="M111" i="2"/>
  <c r="M118" i="2" s="1"/>
  <c r="L111" i="2"/>
  <c r="L118" i="2" s="1"/>
  <c r="K111" i="2"/>
  <c r="K118" i="2" s="1"/>
  <c r="J111" i="2"/>
  <c r="J118" i="2" s="1"/>
  <c r="H111" i="2"/>
  <c r="H118" i="2" s="1"/>
  <c r="G111" i="2"/>
  <c r="F111" i="2"/>
  <c r="E111" i="2"/>
  <c r="D111" i="2"/>
  <c r="P110" i="2"/>
  <c r="E110" i="17" s="1"/>
  <c r="P109" i="2"/>
  <c r="E109" i="17" s="1"/>
  <c r="P108" i="2"/>
  <c r="E108" i="17" s="1"/>
  <c r="P107" i="2"/>
  <c r="E107" i="17" s="1"/>
  <c r="O105" i="2"/>
  <c r="N105" i="2"/>
  <c r="M105" i="2"/>
  <c r="L105" i="2"/>
  <c r="K105" i="2"/>
  <c r="J105" i="2"/>
  <c r="I105" i="2"/>
  <c r="I119" i="2" s="1"/>
  <c r="H105" i="2"/>
  <c r="H119" i="2" s="1"/>
  <c r="G105" i="2"/>
  <c r="F105" i="2"/>
  <c r="E105" i="2"/>
  <c r="D105" i="2"/>
  <c r="P104" i="2"/>
  <c r="E104" i="17" s="1"/>
  <c r="P103" i="2"/>
  <c r="E103" i="17" s="1"/>
  <c r="P102" i="2"/>
  <c r="E102" i="17" s="1"/>
  <c r="P101" i="2"/>
  <c r="E101" i="17" s="1"/>
  <c r="P98" i="2"/>
  <c r="E98" i="17" s="1"/>
  <c r="F94" i="2"/>
  <c r="E94" i="2"/>
  <c r="D94" i="2"/>
  <c r="P90" i="2"/>
  <c r="P87" i="2"/>
  <c r="P84" i="2"/>
  <c r="M82" i="2"/>
  <c r="G83" i="2"/>
  <c r="G83" i="11" s="1"/>
  <c r="P81" i="2"/>
  <c r="P78" i="2"/>
  <c r="M76" i="2"/>
  <c r="M76" i="11" s="1"/>
  <c r="G76" i="2"/>
  <c r="P73" i="2"/>
  <c r="P72" i="2"/>
  <c r="N70" i="2"/>
  <c r="N71" i="2" s="1"/>
  <c r="M70" i="2"/>
  <c r="M71" i="2" s="1"/>
  <c r="G70" i="2"/>
  <c r="P69" i="2"/>
  <c r="E69" i="17" s="1"/>
  <c r="P68" i="2"/>
  <c r="E68" i="17" s="1"/>
  <c r="P67" i="2"/>
  <c r="E67" i="17" s="1"/>
  <c r="P66" i="2"/>
  <c r="P63" i="2"/>
  <c r="E63" i="17" s="1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E61" i="17" s="1"/>
  <c r="P56" i="2"/>
  <c r="E56" i="17" s="1"/>
  <c r="P55" i="2"/>
  <c r="E55" i="17" s="1"/>
  <c r="P54" i="2"/>
  <c r="E54" i="17" s="1"/>
  <c r="E52" i="13"/>
  <c r="E52" i="12"/>
  <c r="P51" i="2"/>
  <c r="E51" i="17" s="1"/>
  <c r="P50" i="2"/>
  <c r="E50" i="17" s="1"/>
  <c r="P49" i="2"/>
  <c r="E49" i="17" s="1"/>
  <c r="O47" i="2"/>
  <c r="N47" i="2"/>
  <c r="M47" i="2"/>
  <c r="L47" i="2"/>
  <c r="K47" i="2"/>
  <c r="J47" i="2"/>
  <c r="I47" i="2"/>
  <c r="H47" i="2"/>
  <c r="G47" i="2"/>
  <c r="F47" i="2"/>
  <c r="E47" i="2"/>
  <c r="D47" i="2"/>
  <c r="P46" i="2"/>
  <c r="E46" i="17" s="1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E44" i="17" s="1"/>
  <c r="O40" i="2"/>
  <c r="G40" i="2"/>
  <c r="N40" i="2"/>
  <c r="M40" i="2"/>
  <c r="L40" i="2"/>
  <c r="K40" i="2"/>
  <c r="J40" i="2"/>
  <c r="I40" i="2"/>
  <c r="H40" i="2"/>
  <c r="F40" i="2"/>
  <c r="E40" i="2"/>
  <c r="D40" i="2"/>
  <c r="G38" i="2"/>
  <c r="O38" i="2"/>
  <c r="N38" i="2"/>
  <c r="M38" i="2"/>
  <c r="L38" i="2"/>
  <c r="K38" i="2"/>
  <c r="J38" i="2"/>
  <c r="I38" i="2"/>
  <c r="H38" i="2"/>
  <c r="F38" i="2"/>
  <c r="E38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E33" i="17" s="1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E31" i="17" s="1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E29" i="17" s="1"/>
  <c r="O21" i="2"/>
  <c r="N21" i="2"/>
  <c r="M21" i="2"/>
  <c r="L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H22" i="2" s="1"/>
  <c r="H24" i="2" s="1"/>
  <c r="H25" i="2" s="1"/>
  <c r="G15" i="2"/>
  <c r="F15" i="2"/>
  <c r="E15" i="2"/>
  <c r="D15" i="2"/>
  <c r="P14" i="2"/>
  <c r="P13" i="2"/>
  <c r="P12" i="2"/>
  <c r="P11" i="2"/>
  <c r="P9" i="2"/>
  <c r="G42" i="16" l="1"/>
  <c r="G58" i="16"/>
  <c r="D22" i="11"/>
  <c r="D24" i="11" s="1"/>
  <c r="D25" i="11" s="1"/>
  <c r="L22" i="3"/>
  <c r="L24" i="3" s="1"/>
  <c r="L25" i="3" s="1"/>
  <c r="F14" i="17"/>
  <c r="F11" i="17"/>
  <c r="F12" i="17"/>
  <c r="F15" i="17" s="1"/>
  <c r="F13" i="17"/>
  <c r="M83" i="2"/>
  <c r="M82" i="11"/>
  <c r="E12" i="17"/>
  <c r="E13" i="17"/>
  <c r="E14" i="17"/>
  <c r="E11" i="17"/>
  <c r="D71" i="16"/>
  <c r="N118" i="2"/>
  <c r="M119" i="3"/>
  <c r="J118" i="11"/>
  <c r="L118" i="11"/>
  <c r="L119" i="11" s="1"/>
  <c r="J230" i="11"/>
  <c r="J243" i="11" s="1"/>
  <c r="L230" i="11"/>
  <c r="D41" i="12"/>
  <c r="D71" i="12"/>
  <c r="E83" i="12"/>
  <c r="H12" i="12"/>
  <c r="E71" i="12"/>
  <c r="F83" i="12"/>
  <c r="D38" i="12"/>
  <c r="F71" i="12"/>
  <c r="H14" i="12"/>
  <c r="D77" i="12"/>
  <c r="H17" i="12"/>
  <c r="E77" i="12"/>
  <c r="H18" i="12"/>
  <c r="F77" i="12"/>
  <c r="H20" i="12"/>
  <c r="D83" i="12"/>
  <c r="D36" i="12"/>
  <c r="M77" i="2"/>
  <c r="M77" i="11" s="1"/>
  <c r="M217" i="2"/>
  <c r="M251" i="2"/>
  <c r="M250" i="2"/>
  <c r="G42" i="17"/>
  <c r="G58" i="17"/>
  <c r="N251" i="2"/>
  <c r="N250" i="2"/>
  <c r="G251" i="2"/>
  <c r="G250" i="2"/>
  <c r="O251" i="2"/>
  <c r="O250" i="2"/>
  <c r="J45" i="11"/>
  <c r="G42" i="15"/>
  <c r="G58" i="15"/>
  <c r="P72" i="11"/>
  <c r="E258" i="11"/>
  <c r="L251" i="2"/>
  <c r="L250" i="2"/>
  <c r="L119" i="2"/>
  <c r="L22" i="11"/>
  <c r="E77" i="3"/>
  <c r="E77" i="11" s="1"/>
  <c r="E76" i="11"/>
  <c r="F77" i="3"/>
  <c r="F77" i="11" s="1"/>
  <c r="F76" i="11"/>
  <c r="L251" i="3"/>
  <c r="L250" i="3"/>
  <c r="D83" i="3"/>
  <c r="D83" i="11" s="1"/>
  <c r="D82" i="11"/>
  <c r="M217" i="3"/>
  <c r="M250" i="3"/>
  <c r="M251" i="3"/>
  <c r="E83" i="3"/>
  <c r="E83" i="11" s="1"/>
  <c r="E82" i="11"/>
  <c r="N250" i="3"/>
  <c r="N251" i="3"/>
  <c r="D77" i="3"/>
  <c r="D77" i="11" s="1"/>
  <c r="D76" i="11"/>
  <c r="F83" i="3"/>
  <c r="F83" i="11" s="1"/>
  <c r="F82" i="11"/>
  <c r="G251" i="3"/>
  <c r="G250" i="3"/>
  <c r="O217" i="3"/>
  <c r="O250" i="3"/>
  <c r="O251" i="3"/>
  <c r="K251" i="3"/>
  <c r="K250" i="3"/>
  <c r="K119" i="3"/>
  <c r="K250" i="2"/>
  <c r="K251" i="2"/>
  <c r="J217" i="3"/>
  <c r="J250" i="3"/>
  <c r="J251" i="3"/>
  <c r="J250" i="2"/>
  <c r="J251" i="2"/>
  <c r="I230" i="3"/>
  <c r="I250" i="3"/>
  <c r="I251" i="3"/>
  <c r="I119" i="3"/>
  <c r="I250" i="2"/>
  <c r="I251" i="2"/>
  <c r="H250" i="3"/>
  <c r="H251" i="3"/>
  <c r="H250" i="2"/>
  <c r="H251" i="2"/>
  <c r="L217" i="11"/>
  <c r="L251" i="11"/>
  <c r="L250" i="11"/>
  <c r="F251" i="11"/>
  <c r="F250" i="11"/>
  <c r="J217" i="11"/>
  <c r="J250" i="11"/>
  <c r="J251" i="11"/>
  <c r="E251" i="12"/>
  <c r="E250" i="12"/>
  <c r="G251" i="11"/>
  <c r="G250" i="11"/>
  <c r="F251" i="12"/>
  <c r="F250" i="12"/>
  <c r="E251" i="11"/>
  <c r="E250" i="11"/>
  <c r="H250" i="11"/>
  <c r="H251" i="11"/>
  <c r="D251" i="11"/>
  <c r="D250" i="11"/>
  <c r="I217" i="11"/>
  <c r="I250" i="11"/>
  <c r="I251" i="11"/>
  <c r="D250" i="12"/>
  <c r="D251" i="12"/>
  <c r="G230" i="3"/>
  <c r="G243" i="3" s="1"/>
  <c r="E251" i="3"/>
  <c r="E250" i="3"/>
  <c r="F251" i="3"/>
  <c r="F250" i="3"/>
  <c r="D251" i="3"/>
  <c r="D250" i="3"/>
  <c r="I243" i="11"/>
  <c r="F118" i="16"/>
  <c r="F119" i="16" s="1"/>
  <c r="D95" i="2"/>
  <c r="E87" i="17"/>
  <c r="G77" i="2"/>
  <c r="G77" i="11" s="1"/>
  <c r="G76" i="11"/>
  <c r="E73" i="17"/>
  <c r="G71" i="2"/>
  <c r="G71" i="11" s="1"/>
  <c r="G70" i="11"/>
  <c r="F251" i="2"/>
  <c r="F250" i="2"/>
  <c r="E251" i="2"/>
  <c r="E250" i="2"/>
  <c r="D250" i="2"/>
  <c r="D251" i="2"/>
  <c r="E95" i="2"/>
  <c r="F95" i="2"/>
  <c r="N119" i="2"/>
  <c r="E243" i="2"/>
  <c r="E204" i="17"/>
  <c r="F204" i="17"/>
  <c r="E118" i="16"/>
  <c r="E119" i="16" s="1"/>
  <c r="D62" i="12"/>
  <c r="H9" i="12"/>
  <c r="H34" i="12" s="1"/>
  <c r="N243" i="2"/>
  <c r="E119" i="11"/>
  <c r="I22" i="2"/>
  <c r="I24" i="2" s="1"/>
  <c r="I25" i="2" s="1"/>
  <c r="K119" i="2"/>
  <c r="G243" i="2"/>
  <c r="F243" i="2"/>
  <c r="K243" i="3"/>
  <c r="J119" i="2"/>
  <c r="P204" i="3"/>
  <c r="F118" i="12"/>
  <c r="F118" i="2"/>
  <c r="F119" i="2" s="1"/>
  <c r="G118" i="2"/>
  <c r="G119" i="2" s="1"/>
  <c r="F243" i="3"/>
  <c r="P255" i="2"/>
  <c r="E243" i="3"/>
  <c r="H11" i="12"/>
  <c r="H36" i="12" s="1"/>
  <c r="E145" i="17"/>
  <c r="D118" i="3"/>
  <c r="P32" i="11"/>
  <c r="D32" i="12"/>
  <c r="E52" i="15"/>
  <c r="F52" i="13"/>
  <c r="H22" i="11"/>
  <c r="H24" i="11" s="1"/>
  <c r="H25" i="11" s="1"/>
  <c r="I243" i="3"/>
  <c r="F230" i="13"/>
  <c r="F243" i="13" s="1"/>
  <c r="F230" i="15"/>
  <c r="F243" i="15" s="1"/>
  <c r="F145" i="17"/>
  <c r="F118" i="3"/>
  <c r="F119" i="3" s="1"/>
  <c r="P89" i="3"/>
  <c r="F84" i="17"/>
  <c r="F78" i="17"/>
  <c r="F72" i="17"/>
  <c r="F66" i="17"/>
  <c r="I243" i="2"/>
  <c r="H243" i="2"/>
  <c r="K243" i="2"/>
  <c r="E118" i="12"/>
  <c r="M119" i="2"/>
  <c r="P111" i="2"/>
  <c r="P118" i="2" s="1"/>
  <c r="O118" i="2"/>
  <c r="O119" i="2" s="1"/>
  <c r="D118" i="2"/>
  <c r="D119" i="2" s="1"/>
  <c r="D230" i="16"/>
  <c r="H111" i="12"/>
  <c r="D21" i="12"/>
  <c r="E230" i="16"/>
  <c r="E243" i="16" s="1"/>
  <c r="F230" i="16"/>
  <c r="F243" i="16" s="1"/>
  <c r="E111" i="17"/>
  <c r="E118" i="17" s="1"/>
  <c r="F111" i="17"/>
  <c r="F118" i="17" s="1"/>
  <c r="D118" i="16"/>
  <c r="D119" i="16" s="1"/>
  <c r="D217" i="16"/>
  <c r="D250" i="16"/>
  <c r="D251" i="16"/>
  <c r="F217" i="16"/>
  <c r="E217" i="16"/>
  <c r="E251" i="16"/>
  <c r="E250" i="16"/>
  <c r="F251" i="16"/>
  <c r="F250" i="16"/>
  <c r="F22" i="16"/>
  <c r="F24" i="16" s="1"/>
  <c r="F25" i="16" s="1"/>
  <c r="E105" i="17"/>
  <c r="P105" i="2"/>
  <c r="P123" i="3"/>
  <c r="F122" i="17"/>
  <c r="F123" i="17" s="1"/>
  <c r="F105" i="17"/>
  <c r="H119" i="11"/>
  <c r="O230" i="3"/>
  <c r="O243" i="3" s="1"/>
  <c r="P111" i="3"/>
  <c r="P118" i="3" s="1"/>
  <c r="P119" i="3" s="1"/>
  <c r="O118" i="3"/>
  <c r="O119" i="3" s="1"/>
  <c r="O22" i="3"/>
  <c r="O24" i="3" s="1"/>
  <c r="O25" i="3" s="1"/>
  <c r="O230" i="2"/>
  <c r="O243" i="2" s="1"/>
  <c r="P111" i="11"/>
  <c r="P118" i="11" s="1"/>
  <c r="P119" i="11" s="1"/>
  <c r="N243" i="3"/>
  <c r="N217" i="3"/>
  <c r="N22" i="2"/>
  <c r="N24" i="2" s="1"/>
  <c r="N25" i="2" s="1"/>
  <c r="M230" i="3"/>
  <c r="M243" i="3" s="1"/>
  <c r="M230" i="2"/>
  <c r="M243" i="2" s="1"/>
  <c r="L217" i="3"/>
  <c r="E230" i="15"/>
  <c r="E243" i="15" s="1"/>
  <c r="L230" i="2"/>
  <c r="L243" i="2" s="1"/>
  <c r="L217" i="2"/>
  <c r="L22" i="2"/>
  <c r="L24" i="2" s="1"/>
  <c r="L25" i="2" s="1"/>
  <c r="K217" i="3"/>
  <c r="D230" i="15"/>
  <c r="D83" i="15"/>
  <c r="D77" i="15"/>
  <c r="D71" i="15"/>
  <c r="F251" i="15"/>
  <c r="F250" i="15"/>
  <c r="D217" i="15"/>
  <c r="D251" i="15"/>
  <c r="D250" i="15"/>
  <c r="E217" i="15"/>
  <c r="E251" i="15"/>
  <c r="E250" i="15"/>
  <c r="J119" i="3"/>
  <c r="E229" i="17"/>
  <c r="E210" i="17"/>
  <c r="J119" i="11"/>
  <c r="F20" i="17"/>
  <c r="F17" i="17"/>
  <c r="F18" i="17"/>
  <c r="F19" i="17"/>
  <c r="J230" i="2"/>
  <c r="J243" i="2" s="1"/>
  <c r="E18" i="17"/>
  <c r="E20" i="17"/>
  <c r="J22" i="2"/>
  <c r="J24" i="2" s="1"/>
  <c r="J25" i="2" s="1"/>
  <c r="E19" i="17"/>
  <c r="E17" i="17"/>
  <c r="D118" i="14"/>
  <c r="D119" i="14" s="1"/>
  <c r="I119" i="11"/>
  <c r="E118" i="14"/>
  <c r="E119" i="14" s="1"/>
  <c r="F118" i="14"/>
  <c r="F119" i="14" s="1"/>
  <c r="F223" i="17"/>
  <c r="I22" i="3"/>
  <c r="I24" i="3" s="1"/>
  <c r="I25" i="3" s="1"/>
  <c r="E242" i="17"/>
  <c r="E230" i="13"/>
  <c r="E243" i="13" s="1"/>
  <c r="E223" i="17"/>
  <c r="I217" i="2"/>
  <c r="D217" i="13"/>
  <c r="D251" i="13"/>
  <c r="D250" i="13"/>
  <c r="E217" i="13"/>
  <c r="E250" i="13"/>
  <c r="E251" i="13"/>
  <c r="F250" i="13"/>
  <c r="F251" i="13"/>
  <c r="F22" i="13"/>
  <c r="F24" i="13" s="1"/>
  <c r="F25" i="13" s="1"/>
  <c r="H243" i="3"/>
  <c r="H217" i="3"/>
  <c r="H217" i="2"/>
  <c r="E193" i="17"/>
  <c r="H22" i="3"/>
  <c r="H24" i="3" s="1"/>
  <c r="H25" i="3" s="1"/>
  <c r="H236" i="12"/>
  <c r="D118" i="12"/>
  <c r="H117" i="12"/>
  <c r="F242" i="17"/>
  <c r="E236" i="17"/>
  <c r="G217" i="2"/>
  <c r="G22" i="3"/>
  <c r="G24" i="3" s="1"/>
  <c r="G25" i="3" s="1"/>
  <c r="E15" i="17"/>
  <c r="H105" i="12"/>
  <c r="H19" i="12"/>
  <c r="F119" i="11"/>
  <c r="D118" i="11"/>
  <c r="D119" i="11" s="1"/>
  <c r="P82" i="3"/>
  <c r="P83" i="3" s="1"/>
  <c r="F81" i="17"/>
  <c r="P255" i="3"/>
  <c r="F217" i="3"/>
  <c r="E216" i="17"/>
  <c r="F210" i="17"/>
  <c r="F139" i="17"/>
  <c r="F134" i="17"/>
  <c r="F148" i="17"/>
  <c r="F129" i="17"/>
  <c r="F146" i="17"/>
  <c r="F144" i="17"/>
  <c r="F147" i="17"/>
  <c r="D119" i="3"/>
  <c r="F70" i="17"/>
  <c r="E134" i="17"/>
  <c r="E129" i="17"/>
  <c r="E148" i="17"/>
  <c r="E146" i="17"/>
  <c r="E139" i="17"/>
  <c r="E144" i="17"/>
  <c r="E147" i="17"/>
  <c r="E70" i="17"/>
  <c r="E71" i="17" s="1"/>
  <c r="E90" i="17"/>
  <c r="P82" i="2"/>
  <c r="E81" i="17"/>
  <c r="E82" i="17" s="1"/>
  <c r="D259" i="2"/>
  <c r="D40" i="12"/>
  <c r="D45" i="12"/>
  <c r="D30" i="12"/>
  <c r="D47" i="12"/>
  <c r="D34" i="12"/>
  <c r="F193" i="17"/>
  <c r="P32" i="3"/>
  <c r="F9" i="17"/>
  <c r="H193" i="12"/>
  <c r="P236" i="3"/>
  <c r="F232" i="17"/>
  <c r="F236" i="17" s="1"/>
  <c r="E217" i="3"/>
  <c r="P223" i="2"/>
  <c r="E217" i="2"/>
  <c r="F230" i="12"/>
  <c r="F230" i="14"/>
  <c r="F243" i="14" s="1"/>
  <c r="F229" i="17"/>
  <c r="F216" i="17"/>
  <c r="E230" i="14"/>
  <c r="E243" i="14" s="1"/>
  <c r="F250" i="14"/>
  <c r="F251" i="14"/>
  <c r="D217" i="14"/>
  <c r="D251" i="14"/>
  <c r="D250" i="14"/>
  <c r="E217" i="14"/>
  <c r="E251" i="14"/>
  <c r="E250" i="14"/>
  <c r="F22" i="14"/>
  <c r="F24" i="14" s="1"/>
  <c r="F25" i="14" s="1"/>
  <c r="H147" i="12"/>
  <c r="P193" i="11"/>
  <c r="P144" i="11"/>
  <c r="P147" i="11"/>
  <c r="P148" i="11"/>
  <c r="P134" i="11"/>
  <c r="P258" i="3"/>
  <c r="D217" i="3"/>
  <c r="P144" i="3"/>
  <c r="P145" i="3"/>
  <c r="E118" i="3"/>
  <c r="E119" i="3" s="1"/>
  <c r="P242" i="2"/>
  <c r="D217" i="2"/>
  <c r="P148" i="2"/>
  <c r="P139" i="2"/>
  <c r="P129" i="2"/>
  <c r="P147" i="2"/>
  <c r="E118" i="2"/>
  <c r="E119" i="2" s="1"/>
  <c r="P70" i="2"/>
  <c r="P71" i="2" s="1"/>
  <c r="P30" i="2"/>
  <c r="P45" i="2"/>
  <c r="P32" i="2"/>
  <c r="E9" i="17"/>
  <c r="E22" i="14"/>
  <c r="E24" i="14" s="1"/>
  <c r="E25" i="14" s="1"/>
  <c r="P45" i="11"/>
  <c r="E22" i="11"/>
  <c r="E24" i="11" s="1"/>
  <c r="E25" i="11" s="1"/>
  <c r="D22" i="2"/>
  <c r="D24" i="2" s="1"/>
  <c r="D25" i="2" s="1"/>
  <c r="D15" i="16"/>
  <c r="E22" i="16"/>
  <c r="E24" i="16" s="1"/>
  <c r="E25" i="16" s="1"/>
  <c r="E22" i="15"/>
  <c r="E24" i="15" s="1"/>
  <c r="E25" i="15" s="1"/>
  <c r="F22" i="15"/>
  <c r="F24" i="15" s="1"/>
  <c r="F25" i="15" s="1"/>
  <c r="F217" i="15"/>
  <c r="D230" i="14"/>
  <c r="D243" i="14" s="1"/>
  <c r="F217" i="14"/>
  <c r="D230" i="13"/>
  <c r="D243" i="13" s="1"/>
  <c r="D15" i="13"/>
  <c r="F217" i="13"/>
  <c r="E22" i="13"/>
  <c r="E24" i="13" s="1"/>
  <c r="E25" i="13" s="1"/>
  <c r="H145" i="12"/>
  <c r="H81" i="12"/>
  <c r="H82" i="12" s="1"/>
  <c r="H83" i="12" s="1"/>
  <c r="D15" i="12"/>
  <c r="H70" i="12"/>
  <c r="H71" i="12" s="1"/>
  <c r="E217" i="12"/>
  <c r="P236" i="11"/>
  <c r="P123" i="11"/>
  <c r="P223" i="11"/>
  <c r="P30" i="11"/>
  <c r="F22" i="11"/>
  <c r="F24" i="11" s="1"/>
  <c r="F25" i="11" s="1"/>
  <c r="P62" i="11"/>
  <c r="P146" i="11"/>
  <c r="P210" i="11"/>
  <c r="G22" i="11"/>
  <c r="G24" i="11" s="1"/>
  <c r="G25" i="11" s="1"/>
  <c r="P47" i="11"/>
  <c r="J22" i="11"/>
  <c r="P15" i="11"/>
  <c r="P21" i="11"/>
  <c r="I22" i="11"/>
  <c r="I24" i="11" s="1"/>
  <c r="I25" i="11" s="1"/>
  <c r="P34" i="11"/>
  <c r="P145" i="11"/>
  <c r="P139" i="11"/>
  <c r="P15" i="3"/>
  <c r="P21" i="3"/>
  <c r="G41" i="3"/>
  <c r="G42" i="3" s="1"/>
  <c r="J230" i="3"/>
  <c r="J243" i="3" s="1"/>
  <c r="P34" i="3"/>
  <c r="P62" i="3"/>
  <c r="P70" i="3"/>
  <c r="P71" i="3" s="1"/>
  <c r="P147" i="3"/>
  <c r="J22" i="3"/>
  <c r="J24" i="3" s="1"/>
  <c r="J25" i="3" s="1"/>
  <c r="P47" i="3"/>
  <c r="D230" i="3"/>
  <c r="D243" i="3" s="1"/>
  <c r="L230" i="3"/>
  <c r="L243" i="3" s="1"/>
  <c r="K22" i="3"/>
  <c r="K24" i="3" s="1"/>
  <c r="K25" i="3" s="1"/>
  <c r="P134" i="3"/>
  <c r="I217" i="3"/>
  <c r="G217" i="3"/>
  <c r="P146" i="3"/>
  <c r="E22" i="3"/>
  <c r="E24" i="3" s="1"/>
  <c r="E25" i="3" s="1"/>
  <c r="M22" i="3"/>
  <c r="M24" i="3" s="1"/>
  <c r="M25" i="3" s="1"/>
  <c r="P45" i="3"/>
  <c r="P139" i="3"/>
  <c r="P148" i="3"/>
  <c r="P193" i="3"/>
  <c r="P216" i="3"/>
  <c r="P242" i="3"/>
  <c r="J217" i="2"/>
  <c r="P258" i="2"/>
  <c r="K217" i="2"/>
  <c r="N217" i="2"/>
  <c r="D230" i="2"/>
  <c r="D243" i="2" s="1"/>
  <c r="E22" i="2"/>
  <c r="E24" i="2" s="1"/>
  <c r="E25" i="2" s="1"/>
  <c r="M22" i="2"/>
  <c r="M24" i="2" s="1"/>
  <c r="M25" i="2" s="1"/>
  <c r="P34" i="2"/>
  <c r="P204" i="2"/>
  <c r="P216" i="2"/>
  <c r="O217" i="2"/>
  <c r="F22" i="2"/>
  <c r="F24" i="2" s="1"/>
  <c r="F25" i="2" s="1"/>
  <c r="F41" i="2"/>
  <c r="P62" i="2"/>
  <c r="P146" i="2"/>
  <c r="P47" i="2"/>
  <c r="P15" i="2"/>
  <c r="P21" i="2"/>
  <c r="P79" i="2"/>
  <c r="E79" i="17" s="1"/>
  <c r="P144" i="2"/>
  <c r="F217" i="2"/>
  <c r="D38" i="13"/>
  <c r="D15" i="14"/>
  <c r="D40" i="15"/>
  <c r="D30" i="14"/>
  <c r="D62" i="16"/>
  <c r="D30" i="15"/>
  <c r="D30" i="16"/>
  <c r="D38" i="14"/>
  <c r="D40" i="13"/>
  <c r="D38" i="15"/>
  <c r="D38" i="16"/>
  <c r="D30" i="13"/>
  <c r="J41" i="2"/>
  <c r="J42" i="2" s="1"/>
  <c r="M41" i="3"/>
  <c r="M42" i="3" s="1"/>
  <c r="P52" i="3"/>
  <c r="F52" i="17" s="1"/>
  <c r="P73" i="3"/>
  <c r="F73" i="17" s="1"/>
  <c r="F91" i="17" s="1"/>
  <c r="P39" i="2"/>
  <c r="O123" i="3"/>
  <c r="P37" i="3"/>
  <c r="P52" i="2"/>
  <c r="E52" i="17" s="1"/>
  <c r="O259" i="2"/>
  <c r="P92" i="3"/>
  <c r="D40" i="14"/>
  <c r="D40" i="16"/>
  <c r="O41" i="2"/>
  <c r="O58" i="2" s="1"/>
  <c r="O249" i="2" s="1"/>
  <c r="N82" i="2"/>
  <c r="N83" i="2" s="1"/>
  <c r="L41" i="3"/>
  <c r="L58" i="3" s="1"/>
  <c r="P39" i="3"/>
  <c r="D21" i="16"/>
  <c r="D34" i="16"/>
  <c r="D45" i="16"/>
  <c r="D41" i="16"/>
  <c r="E41" i="16"/>
  <c r="D32" i="16"/>
  <c r="F41" i="16"/>
  <c r="D21" i="15"/>
  <c r="D34" i="15"/>
  <c r="D45" i="15"/>
  <c r="D41" i="15"/>
  <c r="E41" i="15"/>
  <c r="D62" i="15"/>
  <c r="D32" i="15"/>
  <c r="F41" i="15"/>
  <c r="D21" i="14"/>
  <c r="D34" i="14"/>
  <c r="D45" i="14"/>
  <c r="D41" i="14"/>
  <c r="E41" i="14"/>
  <c r="D62" i="14"/>
  <c r="D32" i="14"/>
  <c r="F41" i="14"/>
  <c r="D21" i="13"/>
  <c r="D34" i="13"/>
  <c r="D45" i="13"/>
  <c r="D41" i="13"/>
  <c r="E41" i="13"/>
  <c r="D62" i="13"/>
  <c r="D32" i="13"/>
  <c r="F41" i="13"/>
  <c r="H13" i="12"/>
  <c r="H89" i="12"/>
  <c r="F217" i="12"/>
  <c r="H242" i="12"/>
  <c r="H144" i="12"/>
  <c r="H91" i="12"/>
  <c r="H223" i="12"/>
  <c r="F22" i="12"/>
  <c r="H139" i="12"/>
  <c r="D230" i="12"/>
  <c r="D217" i="12"/>
  <c r="E230" i="12"/>
  <c r="H258" i="12"/>
  <c r="H204" i="12"/>
  <c r="E22" i="12"/>
  <c r="H148" i="12"/>
  <c r="H73" i="12"/>
  <c r="H134" i="12"/>
  <c r="H216" i="12"/>
  <c r="H146" i="12"/>
  <c r="H129" i="12"/>
  <c r="H74" i="12"/>
  <c r="H76" i="12" s="1"/>
  <c r="H210" i="12"/>
  <c r="H229" i="12"/>
  <c r="F41" i="12"/>
  <c r="E41" i="12"/>
  <c r="P129" i="11"/>
  <c r="H230" i="11"/>
  <c r="H243" i="11" s="1"/>
  <c r="H217" i="11"/>
  <c r="N259" i="3"/>
  <c r="O259" i="3"/>
  <c r="F41" i="3"/>
  <c r="H41" i="3"/>
  <c r="N41" i="3"/>
  <c r="P30" i="3"/>
  <c r="O41" i="3"/>
  <c r="P87" i="3"/>
  <c r="F87" i="17" s="1"/>
  <c r="F88" i="17" s="1"/>
  <c r="H38" i="3"/>
  <c r="I41" i="3"/>
  <c r="P74" i="3"/>
  <c r="P223" i="3"/>
  <c r="P129" i="3"/>
  <c r="J41" i="3"/>
  <c r="P210" i="3"/>
  <c r="P229" i="3"/>
  <c r="K41" i="3"/>
  <c r="D41" i="3"/>
  <c r="E41" i="3"/>
  <c r="P122" i="2"/>
  <c r="P210" i="2"/>
  <c r="P229" i="2"/>
  <c r="P236" i="2"/>
  <c r="P145" i="2"/>
  <c r="K22" i="2"/>
  <c r="N76" i="2"/>
  <c r="N76" i="11" s="1"/>
  <c r="P74" i="2"/>
  <c r="P85" i="2"/>
  <c r="P91" i="2"/>
  <c r="G41" i="2"/>
  <c r="D38" i="2"/>
  <c r="P37" i="2"/>
  <c r="L41" i="2"/>
  <c r="D41" i="2"/>
  <c r="H41" i="2"/>
  <c r="P134" i="2"/>
  <c r="P193" i="2"/>
  <c r="M41" i="2"/>
  <c r="K41" i="2"/>
  <c r="G22" i="2"/>
  <c r="G24" i="2" s="1"/>
  <c r="G25" i="2" s="1"/>
  <c r="O22" i="2"/>
  <c r="O24" i="2" s="1"/>
  <c r="O25" i="2" s="1"/>
  <c r="N41" i="2"/>
  <c r="I41" i="2"/>
  <c r="E41" i="2"/>
  <c r="G249" i="16" l="1"/>
  <c r="G60" i="16"/>
  <c r="G59" i="16"/>
  <c r="K24" i="2"/>
  <c r="K25" i="2" s="1"/>
  <c r="D243" i="16"/>
  <c r="L24" i="11"/>
  <c r="L243" i="11"/>
  <c r="J24" i="11"/>
  <c r="F24" i="12"/>
  <c r="F119" i="12"/>
  <c r="E24" i="12"/>
  <c r="D243" i="12"/>
  <c r="F243" i="12"/>
  <c r="H21" i="12"/>
  <c r="E119" i="12"/>
  <c r="E243" i="12"/>
  <c r="D119" i="12"/>
  <c r="G59" i="17"/>
  <c r="G249" i="17"/>
  <c r="G60" i="17"/>
  <c r="P74" i="11"/>
  <c r="O42" i="2"/>
  <c r="N77" i="2"/>
  <c r="N77" i="11" s="1"/>
  <c r="E88" i="17"/>
  <c r="G59" i="15"/>
  <c r="G249" i="15"/>
  <c r="G60" i="15"/>
  <c r="L249" i="3"/>
  <c r="P87" i="11"/>
  <c r="D243" i="15"/>
  <c r="D22" i="15"/>
  <c r="D24" i="15" s="1"/>
  <c r="D25" i="15" s="1"/>
  <c r="P251" i="3"/>
  <c r="P250" i="3"/>
  <c r="P251" i="2"/>
  <c r="P250" i="2"/>
  <c r="P251" i="11"/>
  <c r="P250" i="11"/>
  <c r="H250" i="12"/>
  <c r="H251" i="12"/>
  <c r="E251" i="17"/>
  <c r="E250" i="17"/>
  <c r="F251" i="17"/>
  <c r="F250" i="17"/>
  <c r="F230" i="17"/>
  <c r="F243" i="17" s="1"/>
  <c r="P73" i="11"/>
  <c r="E259" i="2"/>
  <c r="F259" i="2"/>
  <c r="G58" i="3"/>
  <c r="G249" i="3" s="1"/>
  <c r="F58" i="2"/>
  <c r="F249" i="2" s="1"/>
  <c r="F90" i="17"/>
  <c r="H37" i="12"/>
  <c r="H38" i="12" s="1"/>
  <c r="D22" i="16"/>
  <c r="H15" i="12"/>
  <c r="D22" i="12"/>
  <c r="F71" i="17"/>
  <c r="E230" i="17"/>
  <c r="E243" i="17" s="1"/>
  <c r="P230" i="2"/>
  <c r="P119" i="2"/>
  <c r="P37" i="11"/>
  <c r="P38" i="11" s="1"/>
  <c r="H39" i="12"/>
  <c r="H40" i="12" s="1"/>
  <c r="P40" i="3"/>
  <c r="F39" i="17"/>
  <c r="F40" i="17" s="1"/>
  <c r="P38" i="3"/>
  <c r="F37" i="17"/>
  <c r="F38" i="17" s="1"/>
  <c r="P40" i="2"/>
  <c r="E39" i="17"/>
  <c r="E40" i="17" s="1"/>
  <c r="P38" i="2"/>
  <c r="E37" i="17"/>
  <c r="E38" i="17" s="1"/>
  <c r="P230" i="3"/>
  <c r="E119" i="17"/>
  <c r="F119" i="17"/>
  <c r="E21" i="17"/>
  <c r="E22" i="17" s="1"/>
  <c r="E24" i="17" s="1"/>
  <c r="E25" i="17" s="1"/>
  <c r="F21" i="17"/>
  <c r="F22" i="17" s="1"/>
  <c r="F24" i="17" s="1"/>
  <c r="F25" i="17" s="1"/>
  <c r="F82" i="17"/>
  <c r="F83" i="17" s="1"/>
  <c r="E217" i="17"/>
  <c r="P39" i="11"/>
  <c r="P40" i="11" s="1"/>
  <c r="P123" i="2"/>
  <c r="E122" i="17"/>
  <c r="E123" i="17" s="1"/>
  <c r="L42" i="3"/>
  <c r="M58" i="3"/>
  <c r="M249" i="3" s="1"/>
  <c r="F42" i="2"/>
  <c r="J58" i="2"/>
  <c r="J249" i="2" s="1"/>
  <c r="P243" i="2"/>
  <c r="D22" i="13"/>
  <c r="D24" i="13" s="1"/>
  <c r="D25" i="13" s="1"/>
  <c r="F93" i="17"/>
  <c r="H118" i="12"/>
  <c r="P22" i="2"/>
  <c r="P24" i="2" s="1"/>
  <c r="P25" i="2" s="1"/>
  <c r="H45" i="12"/>
  <c r="H62" i="12"/>
  <c r="F256" i="17"/>
  <c r="F258" i="17" s="1"/>
  <c r="P76" i="3"/>
  <c r="P77" i="3" s="1"/>
  <c r="F74" i="17"/>
  <c r="F76" i="17" s="1"/>
  <c r="E149" i="17"/>
  <c r="P22" i="3"/>
  <c r="P24" i="3" s="1"/>
  <c r="P25" i="3" s="1"/>
  <c r="F217" i="17"/>
  <c r="F149" i="17"/>
  <c r="P76" i="2"/>
  <c r="E74" i="17"/>
  <c r="E76" i="17" s="1"/>
  <c r="P89" i="2"/>
  <c r="E85" i="17"/>
  <c r="E93" i="17" s="1"/>
  <c r="E83" i="17"/>
  <c r="P83" i="2"/>
  <c r="H30" i="12"/>
  <c r="H47" i="12"/>
  <c r="H32" i="12"/>
  <c r="F45" i="17"/>
  <c r="F47" i="17"/>
  <c r="F30" i="17"/>
  <c r="F62" i="17"/>
  <c r="F32" i="17"/>
  <c r="F34" i="17"/>
  <c r="P243" i="3"/>
  <c r="P149" i="11"/>
  <c r="P22" i="11"/>
  <c r="P24" i="11" s="1"/>
  <c r="P25" i="11" s="1"/>
  <c r="P149" i="3"/>
  <c r="P149" i="2"/>
  <c r="E47" i="17"/>
  <c r="E34" i="17"/>
  <c r="E45" i="17"/>
  <c r="E32" i="17"/>
  <c r="E30" i="17"/>
  <c r="E62" i="17"/>
  <c r="D22" i="14"/>
  <c r="D24" i="14" s="1"/>
  <c r="F58" i="16"/>
  <c r="F249" i="16" s="1"/>
  <c r="F42" i="16"/>
  <c r="E42" i="16"/>
  <c r="E58" i="16"/>
  <c r="E249" i="16" s="1"/>
  <c r="D42" i="16"/>
  <c r="D58" i="16"/>
  <c r="E42" i="15"/>
  <c r="E58" i="15"/>
  <c r="E249" i="15" s="1"/>
  <c r="F58" i="15"/>
  <c r="F249" i="15" s="1"/>
  <c r="F42" i="15"/>
  <c r="D42" i="15"/>
  <c r="D42" i="14"/>
  <c r="D58" i="14"/>
  <c r="D249" i="14" s="1"/>
  <c r="E42" i="14"/>
  <c r="E58" i="14"/>
  <c r="E249" i="14" s="1"/>
  <c r="F58" i="14"/>
  <c r="F249" i="14" s="1"/>
  <c r="F42" i="14"/>
  <c r="D42" i="13"/>
  <c r="E42" i="13"/>
  <c r="E58" i="13"/>
  <c r="E249" i="13" s="1"/>
  <c r="F42" i="13"/>
  <c r="F58" i="13"/>
  <c r="F249" i="13" s="1"/>
  <c r="H243" i="12"/>
  <c r="H230" i="12"/>
  <c r="H149" i="12"/>
  <c r="E58" i="12"/>
  <c r="E42" i="12"/>
  <c r="F42" i="12"/>
  <c r="F58" i="12"/>
  <c r="H217" i="12"/>
  <c r="H77" i="12"/>
  <c r="D42" i="12"/>
  <c r="K58" i="3"/>
  <c r="K249" i="3" s="1"/>
  <c r="K42" i="3"/>
  <c r="N42" i="3"/>
  <c r="N58" i="3"/>
  <c r="N249" i="3" s="1"/>
  <c r="L60" i="3"/>
  <c r="L59" i="3"/>
  <c r="I58" i="3"/>
  <c r="I249" i="3" s="1"/>
  <c r="I42" i="3"/>
  <c r="F42" i="3"/>
  <c r="F58" i="3"/>
  <c r="F249" i="3" s="1"/>
  <c r="H42" i="3"/>
  <c r="H58" i="3"/>
  <c r="H249" i="3" s="1"/>
  <c r="P217" i="3"/>
  <c r="G59" i="3"/>
  <c r="G60" i="3"/>
  <c r="D58" i="3"/>
  <c r="D249" i="3" s="1"/>
  <c r="D42" i="3"/>
  <c r="P41" i="3"/>
  <c r="P42" i="3" s="1"/>
  <c r="J58" i="3"/>
  <c r="J249" i="3" s="1"/>
  <c r="J42" i="3"/>
  <c r="P259" i="3"/>
  <c r="P94" i="3"/>
  <c r="P95" i="3" s="1"/>
  <c r="E42" i="3"/>
  <c r="E58" i="3"/>
  <c r="E249" i="3" s="1"/>
  <c r="O42" i="3"/>
  <c r="O58" i="3"/>
  <c r="O249" i="3" s="1"/>
  <c r="F59" i="2"/>
  <c r="F60" i="2"/>
  <c r="E58" i="2"/>
  <c r="E249" i="2" s="1"/>
  <c r="E42" i="2"/>
  <c r="I58" i="2"/>
  <c r="I249" i="2" s="1"/>
  <c r="I42" i="2"/>
  <c r="H42" i="2"/>
  <c r="H58" i="2"/>
  <c r="H249" i="2" s="1"/>
  <c r="K58" i="2"/>
  <c r="K249" i="2" s="1"/>
  <c r="K42" i="2"/>
  <c r="D58" i="2"/>
  <c r="D249" i="2" s="1"/>
  <c r="D42" i="2"/>
  <c r="P41" i="2"/>
  <c r="P42" i="2" s="1"/>
  <c r="N259" i="2"/>
  <c r="P92" i="2"/>
  <c r="M42" i="2"/>
  <c r="M58" i="2"/>
  <c r="M249" i="2" s="1"/>
  <c r="L58" i="2"/>
  <c r="L249" i="2" s="1"/>
  <c r="L42" i="2"/>
  <c r="O59" i="2"/>
  <c r="O60" i="2"/>
  <c r="N42" i="2"/>
  <c r="N58" i="2"/>
  <c r="N249" i="2" s="1"/>
  <c r="P217" i="2"/>
  <c r="G42" i="2"/>
  <c r="G58" i="2"/>
  <c r="G249" i="2" s="1"/>
  <c r="D249" i="16" l="1"/>
  <c r="D24" i="16"/>
  <c r="D25" i="16" s="1"/>
  <c r="J25" i="11"/>
  <c r="L25" i="11"/>
  <c r="E25" i="12"/>
  <c r="H119" i="12"/>
  <c r="F249" i="12"/>
  <c r="E249" i="12"/>
  <c r="D24" i="12"/>
  <c r="H22" i="12"/>
  <c r="H24" i="12" s="1"/>
  <c r="H25" i="12" s="1"/>
  <c r="F25" i="12"/>
  <c r="P77" i="2"/>
  <c r="P77" i="11" s="1"/>
  <c r="P76" i="11"/>
  <c r="H41" i="12"/>
  <c r="H42" i="12" s="1"/>
  <c r="E41" i="17"/>
  <c r="E42" i="17" s="1"/>
  <c r="F41" i="17"/>
  <c r="F42" i="17" s="1"/>
  <c r="J60" i="2"/>
  <c r="J59" i="2"/>
  <c r="M60" i="3"/>
  <c r="M59" i="3"/>
  <c r="F77" i="17"/>
  <c r="F92" i="17"/>
  <c r="F94" i="17" s="1"/>
  <c r="E77" i="17"/>
  <c r="E92" i="17"/>
  <c r="E94" i="17" s="1"/>
  <c r="E99" i="17" s="1"/>
  <c r="E91" i="17"/>
  <c r="E256" i="17" s="1"/>
  <c r="E258" i="17" s="1"/>
  <c r="D25" i="14"/>
  <c r="D59" i="16"/>
  <c r="D60" i="16"/>
  <c r="E59" i="16"/>
  <c r="E60" i="16"/>
  <c r="F59" i="16"/>
  <c r="F60" i="16"/>
  <c r="E59" i="15"/>
  <c r="E60" i="15"/>
  <c r="F59" i="15"/>
  <c r="F60" i="15"/>
  <c r="F59" i="14"/>
  <c r="F60" i="14"/>
  <c r="E59" i="14"/>
  <c r="E60" i="14"/>
  <c r="D59" i="14"/>
  <c r="D60" i="14"/>
  <c r="F59" i="13"/>
  <c r="F60" i="13"/>
  <c r="E59" i="13"/>
  <c r="E60" i="13"/>
  <c r="E59" i="12"/>
  <c r="E60" i="12"/>
  <c r="F59" i="12"/>
  <c r="F60" i="12"/>
  <c r="H259" i="12"/>
  <c r="H94" i="12"/>
  <c r="H95" i="12" s="1"/>
  <c r="H60" i="3"/>
  <c r="H59" i="3"/>
  <c r="N59" i="3"/>
  <c r="N60" i="3"/>
  <c r="E59" i="3"/>
  <c r="E60" i="3"/>
  <c r="D59" i="3"/>
  <c r="P58" i="3"/>
  <c r="P249" i="3" s="1"/>
  <c r="D60" i="3"/>
  <c r="F59" i="3"/>
  <c r="F60" i="3"/>
  <c r="O59" i="3"/>
  <c r="O60" i="3"/>
  <c r="K59" i="3"/>
  <c r="K60" i="3"/>
  <c r="I60" i="3"/>
  <c r="I59" i="3"/>
  <c r="J60" i="3"/>
  <c r="J59" i="3"/>
  <c r="I60" i="2"/>
  <c r="I59" i="2"/>
  <c r="L59" i="2"/>
  <c r="L60" i="2"/>
  <c r="P58" i="2"/>
  <c r="P249" i="2" s="1"/>
  <c r="D59" i="2"/>
  <c r="D60" i="2"/>
  <c r="M60" i="2"/>
  <c r="M59" i="2"/>
  <c r="E60" i="2"/>
  <c r="E59" i="2"/>
  <c r="N59" i="2"/>
  <c r="N60" i="2"/>
  <c r="P259" i="2"/>
  <c r="P94" i="2"/>
  <c r="P95" i="2" s="1"/>
  <c r="K59" i="2"/>
  <c r="K60" i="2"/>
  <c r="G59" i="2"/>
  <c r="G60" i="2"/>
  <c r="H59" i="2"/>
  <c r="H60" i="2"/>
  <c r="D25" i="12" l="1"/>
  <c r="E58" i="17"/>
  <c r="E249" i="17" s="1"/>
  <c r="F58" i="17"/>
  <c r="F249" i="17" s="1"/>
  <c r="F95" i="17"/>
  <c r="F255" i="17" s="1"/>
  <c r="F259" i="17" s="1"/>
  <c r="F99" i="17"/>
  <c r="E95" i="17"/>
  <c r="E255" i="17" s="1"/>
  <c r="E259" i="17" s="1"/>
  <c r="P60" i="3"/>
  <c r="P59" i="3"/>
  <c r="P60" i="2"/>
  <c r="P59" i="2"/>
  <c r="E59" i="17" l="1"/>
  <c r="E60" i="17"/>
  <c r="F60" i="17"/>
  <c r="F59" i="17"/>
  <c r="H123" i="12"/>
  <c r="O229" i="1"/>
  <c r="N229" i="1"/>
  <c r="M229" i="1"/>
  <c r="L229" i="1"/>
  <c r="J229" i="1"/>
  <c r="I229" i="1"/>
  <c r="H229" i="1"/>
  <c r="G229" i="1"/>
  <c r="P228" i="1"/>
  <c r="D228" i="17" s="1"/>
  <c r="P227" i="1"/>
  <c r="D227" i="17" s="1"/>
  <c r="P226" i="1"/>
  <c r="D226" i="17" s="1"/>
  <c r="P225" i="1"/>
  <c r="D225" i="17" s="1"/>
  <c r="E111" i="1"/>
  <c r="E118" i="1" s="1"/>
  <c r="F111" i="1"/>
  <c r="F118" i="1" s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O111" i="1"/>
  <c r="D111" i="1"/>
  <c r="D118" i="1" s="1"/>
  <c r="P104" i="1"/>
  <c r="D104" i="17" s="1"/>
  <c r="E105" i="1"/>
  <c r="F105" i="1"/>
  <c r="G105" i="1"/>
  <c r="H105" i="1"/>
  <c r="I105" i="1"/>
  <c r="J105" i="1"/>
  <c r="K105" i="1"/>
  <c r="L105" i="1"/>
  <c r="M105" i="1"/>
  <c r="N105" i="1"/>
  <c r="O105" i="1"/>
  <c r="D105" i="1"/>
  <c r="M119" i="1" l="1"/>
  <c r="D119" i="1"/>
  <c r="H119" i="1"/>
  <c r="P111" i="1"/>
  <c r="O118" i="1"/>
  <c r="O119" i="1" s="1"/>
  <c r="N119" i="1"/>
  <c r="P105" i="1"/>
  <c r="K119" i="1"/>
  <c r="P229" i="1"/>
  <c r="D229" i="17"/>
  <c r="E193" i="1"/>
  <c r="F193" i="1"/>
  <c r="G193" i="1"/>
  <c r="H193" i="1"/>
  <c r="I193" i="1"/>
  <c r="J193" i="1"/>
  <c r="J193" i="11" s="1"/>
  <c r="K193" i="1"/>
  <c r="K193" i="11" s="1"/>
  <c r="L193" i="1"/>
  <c r="L193" i="11" s="1"/>
  <c r="M193" i="1"/>
  <c r="M193" i="11" s="1"/>
  <c r="N193" i="1"/>
  <c r="N193" i="11" s="1"/>
  <c r="O193" i="1"/>
  <c r="O193" i="11" s="1"/>
  <c r="D193" i="1"/>
  <c r="D194" i="11" s="1"/>
  <c r="H194" i="11" l="1"/>
  <c r="H193" i="11"/>
  <c r="G194" i="11"/>
  <c r="G193" i="11"/>
  <c r="F194" i="11"/>
  <c r="F193" i="11"/>
  <c r="I194" i="11"/>
  <c r="I193" i="11"/>
  <c r="E194" i="11"/>
  <c r="E193" i="11"/>
  <c r="E247" i="1"/>
  <c r="F247" i="1"/>
  <c r="G247" i="1"/>
  <c r="H247" i="1"/>
  <c r="I247" i="1"/>
  <c r="J247" i="1"/>
  <c r="K247" i="1"/>
  <c r="L247" i="1"/>
  <c r="M247" i="1"/>
  <c r="N247" i="1"/>
  <c r="O247" i="1"/>
  <c r="P247" i="1"/>
  <c r="D247" i="1"/>
  <c r="E119" i="1"/>
  <c r="F119" i="1"/>
  <c r="G118" i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E94" i="1"/>
  <c r="F94" i="1"/>
  <c r="G94" i="1"/>
  <c r="H94" i="1"/>
  <c r="D94" i="1"/>
  <c r="J83" i="1"/>
  <c r="J83" i="11" s="1"/>
  <c r="H71" i="1"/>
  <c r="H71" i="11" s="1"/>
  <c r="J71" i="1"/>
  <c r="J71" i="11" s="1"/>
  <c r="K70" i="1"/>
  <c r="K70" i="11" s="1"/>
  <c r="M70" i="1"/>
  <c r="M70" i="11" s="1"/>
  <c r="N70" i="1"/>
  <c r="N70" i="11" s="1"/>
  <c r="O70" i="1"/>
  <c r="O70" i="11" s="1"/>
  <c r="P68" i="1"/>
  <c r="P69" i="1"/>
  <c r="E15" i="1"/>
  <c r="F15" i="1"/>
  <c r="G15" i="1"/>
  <c r="H15" i="1"/>
  <c r="I15" i="1"/>
  <c r="J15" i="1"/>
  <c r="K15" i="1"/>
  <c r="L15" i="1"/>
  <c r="N15" i="1"/>
  <c r="O15" i="1"/>
  <c r="E21" i="1"/>
  <c r="F21" i="1"/>
  <c r="G21" i="1"/>
  <c r="H21" i="1"/>
  <c r="I21" i="1"/>
  <c r="J21" i="1"/>
  <c r="K21" i="1"/>
  <c r="L21" i="1"/>
  <c r="M21" i="1"/>
  <c r="N21" i="1"/>
  <c r="O21" i="1"/>
  <c r="D21" i="1"/>
  <c r="P9" i="1"/>
  <c r="D9" i="17" s="1"/>
  <c r="E32" i="1"/>
  <c r="E32" i="11" s="1"/>
  <c r="P13" i="1"/>
  <c r="D13" i="17" s="1"/>
  <c r="P18" i="1"/>
  <c r="F30" i="1"/>
  <c r="F30" i="11" s="1"/>
  <c r="H30" i="1"/>
  <c r="H30" i="11" s="1"/>
  <c r="I30" i="1"/>
  <c r="I30" i="11" s="1"/>
  <c r="J30" i="1"/>
  <c r="J30" i="11" s="1"/>
  <c r="K30" i="1"/>
  <c r="K30" i="11" s="1"/>
  <c r="M30" i="1"/>
  <c r="M30" i="11" s="1"/>
  <c r="N30" i="1"/>
  <c r="N30" i="11" s="1"/>
  <c r="O30" i="1"/>
  <c r="O30" i="11" s="1"/>
  <c r="D30" i="1"/>
  <c r="D30" i="11" s="1"/>
  <c r="G30" i="1"/>
  <c r="G30" i="11" s="1"/>
  <c r="L30" i="1"/>
  <c r="L30" i="11" s="1"/>
  <c r="F32" i="1"/>
  <c r="F32" i="11" s="1"/>
  <c r="G32" i="1"/>
  <c r="G32" i="11" s="1"/>
  <c r="I32" i="1"/>
  <c r="I32" i="11" s="1"/>
  <c r="J32" i="1"/>
  <c r="J32" i="11" s="1"/>
  <c r="K32" i="1"/>
  <c r="K32" i="11" s="1"/>
  <c r="L32" i="1"/>
  <c r="L32" i="11" s="1"/>
  <c r="M32" i="1"/>
  <c r="M32" i="11" s="1"/>
  <c r="N32" i="1"/>
  <c r="N32" i="11" s="1"/>
  <c r="O32" i="1"/>
  <c r="O32" i="11" s="1"/>
  <c r="D32" i="1"/>
  <c r="D32" i="11" s="1"/>
  <c r="H32" i="1"/>
  <c r="H32" i="11" s="1"/>
  <c r="D34" i="1"/>
  <c r="D34" i="11" s="1"/>
  <c r="G34" i="1"/>
  <c r="G34" i="11" s="1"/>
  <c r="I34" i="1"/>
  <c r="I34" i="11" s="1"/>
  <c r="J34" i="1"/>
  <c r="J34" i="11" s="1"/>
  <c r="K34" i="1"/>
  <c r="K34" i="11" s="1"/>
  <c r="M34" i="1"/>
  <c r="M34" i="11" s="1"/>
  <c r="F34" i="1"/>
  <c r="F34" i="11" s="1"/>
  <c r="H34" i="1"/>
  <c r="H34" i="11" s="1"/>
  <c r="L34" i="1"/>
  <c r="L34" i="11" s="1"/>
  <c r="N34" i="1"/>
  <c r="N34" i="11" s="1"/>
  <c r="D38" i="1"/>
  <c r="D38" i="11" s="1"/>
  <c r="F38" i="1"/>
  <c r="F38" i="11" s="1"/>
  <c r="G38" i="1"/>
  <c r="G38" i="11" s="1"/>
  <c r="H38" i="1"/>
  <c r="H38" i="11" s="1"/>
  <c r="I38" i="1"/>
  <c r="I38" i="11" s="1"/>
  <c r="J38" i="1"/>
  <c r="J38" i="11" s="1"/>
  <c r="K38" i="1"/>
  <c r="K38" i="11" s="1"/>
  <c r="L38" i="1"/>
  <c r="L38" i="11" s="1"/>
  <c r="M38" i="1"/>
  <c r="M38" i="11" s="1"/>
  <c r="N38" i="1"/>
  <c r="N38" i="11" s="1"/>
  <c r="O38" i="1"/>
  <c r="O38" i="11" s="1"/>
  <c r="D40" i="1"/>
  <c r="D40" i="11" s="1"/>
  <c r="F40" i="1"/>
  <c r="F40" i="11" s="1"/>
  <c r="G40" i="1"/>
  <c r="G40" i="11" s="1"/>
  <c r="H40" i="1"/>
  <c r="H40" i="11" s="1"/>
  <c r="I40" i="1"/>
  <c r="I40" i="11" s="1"/>
  <c r="J40" i="1"/>
  <c r="J40" i="11" s="1"/>
  <c r="K40" i="1"/>
  <c r="K40" i="11" s="1"/>
  <c r="L40" i="1"/>
  <c r="L40" i="11" s="1"/>
  <c r="M40" i="1"/>
  <c r="M40" i="11" s="1"/>
  <c r="N40" i="1"/>
  <c r="N40" i="11" s="1"/>
  <c r="O40" i="1"/>
  <c r="O40" i="11" s="1"/>
  <c r="G45" i="1"/>
  <c r="G45" i="11" s="1"/>
  <c r="H45" i="11"/>
  <c r="I45" i="1"/>
  <c r="I45" i="11" s="1"/>
  <c r="K45" i="1"/>
  <c r="K45" i="11" s="1"/>
  <c r="M45" i="1"/>
  <c r="M45" i="11" s="1"/>
  <c r="N45" i="1"/>
  <c r="N45" i="11" s="1"/>
  <c r="O45" i="1"/>
  <c r="O45" i="11" s="1"/>
  <c r="D45" i="1"/>
  <c r="D45" i="11" s="1"/>
  <c r="F45" i="1"/>
  <c r="F45" i="11" s="1"/>
  <c r="L45" i="1"/>
  <c r="L45" i="11" s="1"/>
  <c r="F47" i="1"/>
  <c r="F47" i="11" s="1"/>
  <c r="G47" i="1"/>
  <c r="G47" i="11" s="1"/>
  <c r="H47" i="1"/>
  <c r="H47" i="11" s="1"/>
  <c r="I47" i="1"/>
  <c r="I47" i="11" s="1"/>
  <c r="J47" i="1"/>
  <c r="J47" i="11" s="1"/>
  <c r="K47" i="1"/>
  <c r="K47" i="11" s="1"/>
  <c r="L47" i="1"/>
  <c r="L47" i="11" s="1"/>
  <c r="M47" i="1"/>
  <c r="M47" i="11" s="1"/>
  <c r="N47" i="1"/>
  <c r="N47" i="11" s="1"/>
  <c r="O47" i="1"/>
  <c r="O47" i="11" s="1"/>
  <c r="D47" i="1"/>
  <c r="D47" i="11" s="1"/>
  <c r="F62" i="1"/>
  <c r="F62" i="11" s="1"/>
  <c r="G62" i="1"/>
  <c r="G62" i="11" s="1"/>
  <c r="H62" i="1"/>
  <c r="H62" i="11" s="1"/>
  <c r="I62" i="1"/>
  <c r="I62" i="11" s="1"/>
  <c r="K62" i="1"/>
  <c r="K62" i="11" s="1"/>
  <c r="L62" i="1"/>
  <c r="L62" i="11" s="1"/>
  <c r="M62" i="1"/>
  <c r="M62" i="11" s="1"/>
  <c r="P61" i="1"/>
  <c r="D61" i="17" s="1"/>
  <c r="D62" i="1"/>
  <c r="D62" i="11" s="1"/>
  <c r="J62" i="1"/>
  <c r="J62" i="11" s="1"/>
  <c r="N62" i="1"/>
  <c r="N62" i="11" s="1"/>
  <c r="P66" i="1"/>
  <c r="P66" i="11" s="1"/>
  <c r="P78" i="1"/>
  <c r="P78" i="11" s="1"/>
  <c r="N82" i="1"/>
  <c r="N82" i="11" s="1"/>
  <c r="O82" i="1"/>
  <c r="O82" i="11" s="1"/>
  <c r="P84" i="1"/>
  <c r="P84" i="11" s="1"/>
  <c r="P101" i="1"/>
  <c r="D101" i="17" s="1"/>
  <c r="P102" i="1"/>
  <c r="D102" i="17" s="1"/>
  <c r="P103" i="1"/>
  <c r="D103" i="17" s="1"/>
  <c r="P107" i="1"/>
  <c r="D107" i="17" s="1"/>
  <c r="P108" i="1"/>
  <c r="D108" i="17" s="1"/>
  <c r="P109" i="1"/>
  <c r="D109" i="17" s="1"/>
  <c r="P110" i="1"/>
  <c r="D110" i="17" s="1"/>
  <c r="P121" i="1"/>
  <c r="D121" i="17" s="1"/>
  <c r="E123" i="1"/>
  <c r="F123" i="1"/>
  <c r="G123" i="1"/>
  <c r="K123" i="1"/>
  <c r="L123" i="1"/>
  <c r="M123" i="1"/>
  <c r="P122" i="1"/>
  <c r="D122" i="17" s="1"/>
  <c r="D123" i="1"/>
  <c r="P125" i="1"/>
  <c r="D125" i="17" s="1"/>
  <c r="P130" i="1"/>
  <c r="D130" i="17" s="1"/>
  <c r="P140" i="1"/>
  <c r="D140" i="17" s="1"/>
  <c r="F204" i="1"/>
  <c r="F204" i="11" s="1"/>
  <c r="K204" i="1"/>
  <c r="F210" i="1"/>
  <c r="H210" i="1"/>
  <c r="J210" i="1"/>
  <c r="G216" i="1"/>
  <c r="L216" i="1"/>
  <c r="M216" i="1"/>
  <c r="H223" i="1"/>
  <c r="I223" i="1"/>
  <c r="I230" i="1" s="1"/>
  <c r="J223" i="1"/>
  <c r="K223" i="1"/>
  <c r="K230" i="1" s="1"/>
  <c r="L223" i="1"/>
  <c r="L230" i="1" s="1"/>
  <c r="N242" i="1"/>
  <c r="O242" i="1"/>
  <c r="D258" i="1"/>
  <c r="D258" i="11" s="1"/>
  <c r="G258" i="1"/>
  <c r="G258" i="11" s="1"/>
  <c r="I258" i="1"/>
  <c r="I258" i="11" s="1"/>
  <c r="J258" i="1"/>
  <c r="J258" i="11" s="1"/>
  <c r="K258" i="1"/>
  <c r="K258" i="11" s="1"/>
  <c r="M258" i="1"/>
  <c r="M258" i="11" s="1"/>
  <c r="P194" i="11" l="1"/>
  <c r="H230" i="1"/>
  <c r="H243" i="1" s="1"/>
  <c r="H250" i="1"/>
  <c r="M83" i="1"/>
  <c r="M83" i="11" s="1"/>
  <c r="J250" i="1"/>
  <c r="J251" i="1"/>
  <c r="O71" i="1"/>
  <c r="O71" i="11" s="1"/>
  <c r="H251" i="1"/>
  <c r="O83" i="1"/>
  <c r="O83" i="11" s="1"/>
  <c r="N71" i="1"/>
  <c r="N71" i="11" s="1"/>
  <c r="H95" i="1"/>
  <c r="H94" i="11"/>
  <c r="N83" i="1"/>
  <c r="N83" i="11" s="1"/>
  <c r="M71" i="1"/>
  <c r="M71" i="11" s="1"/>
  <c r="K71" i="1"/>
  <c r="K71" i="11" s="1"/>
  <c r="F95" i="1"/>
  <c r="F94" i="11"/>
  <c r="E95" i="1"/>
  <c r="E94" i="11"/>
  <c r="D95" i="1"/>
  <c r="D94" i="11"/>
  <c r="D69" i="17"/>
  <c r="P69" i="11"/>
  <c r="D68" i="17"/>
  <c r="P68" i="11"/>
  <c r="G95" i="1"/>
  <c r="G255" i="1" s="1"/>
  <c r="G94" i="11"/>
  <c r="G22" i="1"/>
  <c r="G24" i="1" s="1"/>
  <c r="G25" i="1" s="1"/>
  <c r="D123" i="17"/>
  <c r="D52" i="12"/>
  <c r="D52" i="15"/>
  <c r="D52" i="13"/>
  <c r="D105" i="17"/>
  <c r="D111" i="17"/>
  <c r="D118" i="17" s="1"/>
  <c r="J230" i="1"/>
  <c r="D18" i="17"/>
  <c r="D62" i="17"/>
  <c r="I22" i="1"/>
  <c r="I24" i="1" s="1"/>
  <c r="I25" i="1" s="1"/>
  <c r="G242" i="1"/>
  <c r="F223" i="1"/>
  <c r="F251" i="1" s="1"/>
  <c r="P70" i="1"/>
  <c r="P70" i="11" s="1"/>
  <c r="I123" i="1"/>
  <c r="F22" i="1"/>
  <c r="F24" i="1" s="1"/>
  <c r="F25" i="1" s="1"/>
  <c r="H258" i="1"/>
  <c r="H258" i="11" s="1"/>
  <c r="D216" i="1"/>
  <c r="E22" i="1"/>
  <c r="E24" i="1" s="1"/>
  <c r="E25" i="1" s="1"/>
  <c r="N91" i="1"/>
  <c r="N91" i="11" s="1"/>
  <c r="N256" i="11" s="1"/>
  <c r="E216" i="1"/>
  <c r="N216" i="1"/>
  <c r="O90" i="1"/>
  <c r="O90" i="11" s="1"/>
  <c r="K242" i="1"/>
  <c r="K243" i="1" s="1"/>
  <c r="N204" i="1"/>
  <c r="F216" i="1"/>
  <c r="O22" i="1"/>
  <c r="O24" i="1" s="1"/>
  <c r="O25" i="1" s="1"/>
  <c r="M22" i="1"/>
  <c r="M24" i="1" s="1"/>
  <c r="F242" i="1"/>
  <c r="L22" i="1"/>
  <c r="L24" i="1" s="1"/>
  <c r="L25" i="1" s="1"/>
  <c r="J22" i="1"/>
  <c r="J24" i="1" s="1"/>
  <c r="J25" i="1" s="1"/>
  <c r="E204" i="1"/>
  <c r="E204" i="11" s="1"/>
  <c r="M259" i="1"/>
  <c r="D242" i="1"/>
  <c r="D204" i="1"/>
  <c r="D204" i="11" s="1"/>
  <c r="E41" i="1"/>
  <c r="D223" i="1"/>
  <c r="D41" i="1"/>
  <c r="N41" i="1"/>
  <c r="N41" i="11" s="1"/>
  <c r="N58" i="11" s="1"/>
  <c r="M41" i="1"/>
  <c r="M41" i="11" s="1"/>
  <c r="M58" i="11" s="1"/>
  <c r="K216" i="1"/>
  <c r="J41" i="1"/>
  <c r="J41" i="11" s="1"/>
  <c r="M210" i="1"/>
  <c r="L210" i="1"/>
  <c r="O41" i="1"/>
  <c r="O41" i="11" s="1"/>
  <c r="O58" i="11" s="1"/>
  <c r="L41" i="1"/>
  <c r="H22" i="1"/>
  <c r="H24" i="1" s="1"/>
  <c r="H25" i="1" s="1"/>
  <c r="K41" i="1"/>
  <c r="K41" i="11" s="1"/>
  <c r="L242" i="1"/>
  <c r="L243" i="1" s="1"/>
  <c r="M204" i="1"/>
  <c r="O89" i="1"/>
  <c r="O89" i="11" s="1"/>
  <c r="O91" i="1"/>
  <c r="O91" i="11" s="1"/>
  <c r="O256" i="11" s="1"/>
  <c r="I41" i="1"/>
  <c r="I41" i="11" s="1"/>
  <c r="I58" i="11" s="1"/>
  <c r="I249" i="11" s="1"/>
  <c r="G210" i="1"/>
  <c r="H41" i="1"/>
  <c r="H41" i="11" s="1"/>
  <c r="H58" i="11" s="1"/>
  <c r="G41" i="1"/>
  <c r="F41" i="1"/>
  <c r="F41" i="11" s="1"/>
  <c r="F58" i="11" s="1"/>
  <c r="L259" i="1"/>
  <c r="N22" i="1"/>
  <c r="N24" i="1" s="1"/>
  <c r="N25" i="1" s="1"/>
  <c r="M242" i="1"/>
  <c r="I216" i="1"/>
  <c r="N90" i="1"/>
  <c r="N90" i="11" s="1"/>
  <c r="M223" i="1"/>
  <c r="J123" i="1"/>
  <c r="L258" i="1"/>
  <c r="L258" i="11" s="1"/>
  <c r="K210" i="1"/>
  <c r="H123" i="1"/>
  <c r="K22" i="1"/>
  <c r="K24" i="1" s="1"/>
  <c r="K25" i="1" s="1"/>
  <c r="I210" i="1"/>
  <c r="P90" i="1"/>
  <c r="P90" i="11" s="1"/>
  <c r="P135" i="1"/>
  <c r="E242" i="1"/>
  <c r="O216" i="1"/>
  <c r="P136" i="1"/>
  <c r="D136" i="17" s="1"/>
  <c r="P127" i="1"/>
  <c r="D127" i="17" s="1"/>
  <c r="L204" i="1"/>
  <c r="P162" i="1"/>
  <c r="D162" i="17" s="1"/>
  <c r="N89" i="1"/>
  <c r="N89" i="11" s="1"/>
  <c r="E223" i="1"/>
  <c r="E230" i="1" s="1"/>
  <c r="E229" i="11" s="1"/>
  <c r="E230" i="11" s="1"/>
  <c r="E210" i="1"/>
  <c r="P133" i="1"/>
  <c r="D133" i="17" s="1"/>
  <c r="P209" i="1"/>
  <c r="D209" i="17" s="1"/>
  <c r="P191" i="1"/>
  <c r="D191" i="17" s="1"/>
  <c r="P172" i="1"/>
  <c r="D172" i="17" s="1"/>
  <c r="E47" i="1"/>
  <c r="E47" i="11" s="1"/>
  <c r="P46" i="1"/>
  <c r="D46" i="17" s="1"/>
  <c r="P29" i="1"/>
  <c r="D29" i="17" s="1"/>
  <c r="P190" i="1"/>
  <c r="D190" i="17" s="1"/>
  <c r="P171" i="1"/>
  <c r="D171" i="17" s="1"/>
  <c r="P219" i="1"/>
  <c r="D219" i="17" s="1"/>
  <c r="P192" i="1"/>
  <c r="D192" i="17" s="1"/>
  <c r="P160" i="1"/>
  <c r="D160" i="17" s="1"/>
  <c r="E62" i="1"/>
  <c r="E62" i="11" s="1"/>
  <c r="P180" i="1"/>
  <c r="D180" i="17" s="1"/>
  <c r="P220" i="1"/>
  <c r="D220" i="17" s="1"/>
  <c r="J216" i="1"/>
  <c r="P194" i="1"/>
  <c r="D194" i="17" s="1"/>
  <c r="P174" i="1"/>
  <c r="D174" i="17" s="1"/>
  <c r="P161" i="1"/>
  <c r="D161" i="17" s="1"/>
  <c r="P126" i="1"/>
  <c r="D126" i="17" s="1"/>
  <c r="P81" i="1"/>
  <c r="P81" i="11" s="1"/>
  <c r="E34" i="1"/>
  <c r="E34" i="11" s="1"/>
  <c r="P233" i="1"/>
  <c r="D233" i="17" s="1"/>
  <c r="H216" i="1"/>
  <c r="P206" i="1"/>
  <c r="D206" i="17" s="1"/>
  <c r="P197" i="1"/>
  <c r="D197" i="17" s="1"/>
  <c r="P177" i="1"/>
  <c r="D177" i="17" s="1"/>
  <c r="P163" i="1"/>
  <c r="D163" i="17" s="1"/>
  <c r="P137" i="1"/>
  <c r="D137" i="17" s="1"/>
  <c r="P128" i="1"/>
  <c r="D128" i="17" s="1"/>
  <c r="P85" i="1"/>
  <c r="D73" i="17"/>
  <c r="D15" i="1"/>
  <c r="P253" i="1"/>
  <c r="D253" i="17" s="1"/>
  <c r="P207" i="1"/>
  <c r="D207" i="17" s="1"/>
  <c r="J204" i="1"/>
  <c r="P164" i="1"/>
  <c r="D164" i="17" s="1"/>
  <c r="P138" i="1"/>
  <c r="D138" i="17" s="1"/>
  <c r="P79" i="1"/>
  <c r="P56" i="1"/>
  <c r="D56" i="17" s="1"/>
  <c r="P49" i="1"/>
  <c r="D49" i="17" s="1"/>
  <c r="P44" i="1"/>
  <c r="D44" i="17" s="1"/>
  <c r="P39" i="1"/>
  <c r="D39" i="17" s="1"/>
  <c r="P254" i="1"/>
  <c r="D254" i="17" s="1"/>
  <c r="J242" i="1"/>
  <c r="P234" i="1"/>
  <c r="D234" i="17" s="1"/>
  <c r="P208" i="1"/>
  <c r="D208" i="17" s="1"/>
  <c r="I204" i="1"/>
  <c r="P165" i="1"/>
  <c r="D165" i="17" s="1"/>
  <c r="P153" i="1"/>
  <c r="D153" i="17" s="1"/>
  <c r="P63" i="1"/>
  <c r="D63" i="17" s="1"/>
  <c r="P50" i="1"/>
  <c r="D50" i="17" s="1"/>
  <c r="I242" i="1"/>
  <c r="I243" i="1" s="1"/>
  <c r="H204" i="1"/>
  <c r="P175" i="1"/>
  <c r="D175" i="17" s="1"/>
  <c r="P167" i="1"/>
  <c r="D167" i="17" s="1"/>
  <c r="P154" i="1"/>
  <c r="D154" i="17" s="1"/>
  <c r="P123" i="1"/>
  <c r="P54" i="1"/>
  <c r="D54" i="17" s="1"/>
  <c r="P51" i="1"/>
  <c r="D51" i="17" s="1"/>
  <c r="P31" i="1"/>
  <c r="D31" i="17" s="1"/>
  <c r="P11" i="1"/>
  <c r="D11" i="17" s="1"/>
  <c r="F258" i="1"/>
  <c r="P232" i="1"/>
  <c r="D232" i="17" s="1"/>
  <c r="G204" i="1"/>
  <c r="P181" i="1"/>
  <c r="D181" i="17" s="1"/>
  <c r="P168" i="1"/>
  <c r="D168" i="17" s="1"/>
  <c r="P52" i="1"/>
  <c r="D52" i="17" s="1"/>
  <c r="P19" i="1"/>
  <c r="P222" i="1"/>
  <c r="D222" i="17" s="1"/>
  <c r="P182" i="1"/>
  <c r="D182" i="17" s="1"/>
  <c r="P178" i="1"/>
  <c r="D178" i="17" s="1"/>
  <c r="P169" i="1"/>
  <c r="D169" i="17" s="1"/>
  <c r="N123" i="1"/>
  <c r="P20" i="1"/>
  <c r="P221" i="1"/>
  <c r="D221" i="17" s="1"/>
  <c r="P195" i="1"/>
  <c r="D195" i="17" s="1"/>
  <c r="P189" i="1"/>
  <c r="D189" i="17" s="1"/>
  <c r="P179" i="1"/>
  <c r="D179" i="17" s="1"/>
  <c r="P173" i="1"/>
  <c r="D173" i="17" s="1"/>
  <c r="P170" i="1"/>
  <c r="D170" i="17" s="1"/>
  <c r="P55" i="1"/>
  <c r="D55" i="17" s="1"/>
  <c r="E38" i="1"/>
  <c r="E38" i="11" s="1"/>
  <c r="P159" i="1"/>
  <c r="D159" i="17" s="1"/>
  <c r="P132" i="1"/>
  <c r="D132" i="17" s="1"/>
  <c r="P257" i="1"/>
  <c r="D257" i="17" s="1"/>
  <c r="P158" i="1"/>
  <c r="D158" i="17" s="1"/>
  <c r="P143" i="1"/>
  <c r="D143" i="17" s="1"/>
  <c r="P131" i="1"/>
  <c r="D131" i="17" s="1"/>
  <c r="P67" i="1"/>
  <c r="P37" i="1"/>
  <c r="D37" i="17" s="1"/>
  <c r="P203" i="1"/>
  <c r="D203" i="17" s="1"/>
  <c r="P157" i="1"/>
  <c r="D157" i="17" s="1"/>
  <c r="P142" i="1"/>
  <c r="D142" i="17" s="1"/>
  <c r="P241" i="1"/>
  <c r="D241" i="17" s="1"/>
  <c r="P215" i="1"/>
  <c r="D215" i="17" s="1"/>
  <c r="P202" i="1"/>
  <c r="D202" i="17" s="1"/>
  <c r="P156" i="1"/>
  <c r="D156" i="17" s="1"/>
  <c r="P141" i="1"/>
  <c r="D141" i="17" s="1"/>
  <c r="O34" i="1"/>
  <c r="O34" i="11" s="1"/>
  <c r="P33" i="1"/>
  <c r="D33" i="17" s="1"/>
  <c r="P240" i="1"/>
  <c r="D240" i="17" s="1"/>
  <c r="G223" i="1"/>
  <c r="G230" i="1" s="1"/>
  <c r="G229" i="11" s="1"/>
  <c r="G230" i="11" s="1"/>
  <c r="P214" i="1"/>
  <c r="D214" i="17" s="1"/>
  <c r="P201" i="1"/>
  <c r="D201" i="17" s="1"/>
  <c r="P155" i="1"/>
  <c r="D155" i="17" s="1"/>
  <c r="P17" i="1"/>
  <c r="P239" i="1"/>
  <c r="D239" i="17" s="1"/>
  <c r="P213" i="1"/>
  <c r="D213" i="17" s="1"/>
  <c r="P200" i="1"/>
  <c r="D200" i="17" s="1"/>
  <c r="O62" i="1"/>
  <c r="O62" i="11" s="1"/>
  <c r="E45" i="1"/>
  <c r="E45" i="11" s="1"/>
  <c r="E30" i="1"/>
  <c r="E30" i="11" s="1"/>
  <c r="P238" i="1"/>
  <c r="D238" i="17" s="1"/>
  <c r="P212" i="1"/>
  <c r="D212" i="17" s="1"/>
  <c r="P199" i="1"/>
  <c r="D199" i="17" s="1"/>
  <c r="P14" i="1"/>
  <c r="D14" i="17" s="1"/>
  <c r="P235" i="1"/>
  <c r="D235" i="17" s="1"/>
  <c r="O223" i="1"/>
  <c r="D210" i="1"/>
  <c r="P12" i="1"/>
  <c r="D12" i="17" s="1"/>
  <c r="N223" i="1"/>
  <c r="N230" i="1" s="1"/>
  <c r="N243" i="1" s="1"/>
  <c r="O210" i="1"/>
  <c r="O123" i="1"/>
  <c r="E40" i="1"/>
  <c r="E40" i="11" s="1"/>
  <c r="N210" i="1"/>
  <c r="O249" i="11" l="1"/>
  <c r="O60" i="11"/>
  <c r="O59" i="11"/>
  <c r="M249" i="11"/>
  <c r="M59" i="11"/>
  <c r="M60" i="11"/>
  <c r="N60" i="11"/>
  <c r="N59" i="11"/>
  <c r="N249" i="11"/>
  <c r="K58" i="11"/>
  <c r="K249" i="11" s="1"/>
  <c r="L41" i="11"/>
  <c r="D30" i="17"/>
  <c r="O251" i="1"/>
  <c r="O250" i="1"/>
  <c r="I251" i="1"/>
  <c r="I250" i="1"/>
  <c r="G251" i="1"/>
  <c r="G250" i="1"/>
  <c r="F255" i="1"/>
  <c r="F259" i="1" s="1"/>
  <c r="F95" i="11"/>
  <c r="F255" i="11" s="1"/>
  <c r="F259" i="11" s="1"/>
  <c r="H255" i="1"/>
  <c r="H259" i="1" s="1"/>
  <c r="H95" i="11"/>
  <c r="H255" i="11" s="1"/>
  <c r="H259" i="11" s="1"/>
  <c r="O256" i="1"/>
  <c r="O258" i="1" s="1"/>
  <c r="O258" i="11" s="1"/>
  <c r="K250" i="1"/>
  <c r="K251" i="1"/>
  <c r="L251" i="1"/>
  <c r="L250" i="1"/>
  <c r="N251" i="1"/>
  <c r="N250" i="1"/>
  <c r="P253" i="11"/>
  <c r="F258" i="11"/>
  <c r="M217" i="1"/>
  <c r="M251" i="1"/>
  <c r="M250" i="1"/>
  <c r="N256" i="1"/>
  <c r="H60" i="11"/>
  <c r="H249" i="11"/>
  <c r="D70" i="17"/>
  <c r="D255" i="1"/>
  <c r="D259" i="1" s="1"/>
  <c r="D95" i="11"/>
  <c r="D255" i="11" s="1"/>
  <c r="D259" i="11" s="1"/>
  <c r="E255" i="1"/>
  <c r="E259" i="1" s="1"/>
  <c r="E95" i="11"/>
  <c r="E255" i="11" s="1"/>
  <c r="E259" i="11" s="1"/>
  <c r="E251" i="1"/>
  <c r="E250" i="1"/>
  <c r="D250" i="1"/>
  <c r="D251" i="1"/>
  <c r="F250" i="1"/>
  <c r="G204" i="11"/>
  <c r="P204" i="11" s="1"/>
  <c r="P199" i="11"/>
  <c r="D85" i="17"/>
  <c r="P85" i="11"/>
  <c r="D79" i="17"/>
  <c r="P79" i="11"/>
  <c r="G95" i="11"/>
  <c r="G255" i="11" s="1"/>
  <c r="D67" i="17"/>
  <c r="P67" i="11"/>
  <c r="G58" i="1"/>
  <c r="G60" i="1" s="1"/>
  <c r="G41" i="11"/>
  <c r="G58" i="11" s="1"/>
  <c r="H59" i="11"/>
  <c r="N42" i="1"/>
  <c r="N42" i="11" s="1"/>
  <c r="I59" i="11"/>
  <c r="I60" i="11"/>
  <c r="J42" i="1"/>
  <c r="J42" i="11" s="1"/>
  <c r="J58" i="11"/>
  <c r="M58" i="1"/>
  <c r="F59" i="11"/>
  <c r="F60" i="11"/>
  <c r="E58" i="1"/>
  <c r="E60" i="1" s="1"/>
  <c r="E41" i="11"/>
  <c r="E58" i="11" s="1"/>
  <c r="D58" i="1"/>
  <c r="D59" i="1" s="1"/>
  <c r="D41" i="11"/>
  <c r="D38" i="17"/>
  <c r="D58" i="13"/>
  <c r="P52" i="11"/>
  <c r="D58" i="15"/>
  <c r="H52" i="12"/>
  <c r="D58" i="12"/>
  <c r="J243" i="1"/>
  <c r="P145" i="1"/>
  <c r="D135" i="17"/>
  <c r="D119" i="17"/>
  <c r="D40" i="17"/>
  <c r="O230" i="1"/>
  <c r="O243" i="1" s="1"/>
  <c r="M230" i="1"/>
  <c r="M243" i="1" s="1"/>
  <c r="L217" i="1"/>
  <c r="D19" i="17"/>
  <c r="D20" i="17"/>
  <c r="D17" i="17"/>
  <c r="D204" i="17"/>
  <c r="G243" i="1"/>
  <c r="G242" i="11" s="1"/>
  <c r="G243" i="11" s="1"/>
  <c r="G217" i="1"/>
  <c r="G216" i="11" s="1"/>
  <c r="G217" i="11" s="1"/>
  <c r="D134" i="17"/>
  <c r="D129" i="17"/>
  <c r="D144" i="17"/>
  <c r="D148" i="17"/>
  <c r="D147" i="17"/>
  <c r="D146" i="17"/>
  <c r="P82" i="1"/>
  <c r="D81" i="17"/>
  <c r="D74" i="17"/>
  <c r="D193" i="17"/>
  <c r="D47" i="17"/>
  <c r="D45" i="17"/>
  <c r="D34" i="17"/>
  <c r="D32" i="17"/>
  <c r="D41" i="17"/>
  <c r="D242" i="17"/>
  <c r="D236" i="17"/>
  <c r="D223" i="17"/>
  <c r="D210" i="17"/>
  <c r="D15" i="17"/>
  <c r="D216" i="17"/>
  <c r="D230" i="1"/>
  <c r="F230" i="1"/>
  <c r="E243" i="1"/>
  <c r="J217" i="1"/>
  <c r="H217" i="1"/>
  <c r="F217" i="1"/>
  <c r="F216" i="11" s="1"/>
  <c r="F217" i="11" s="1"/>
  <c r="P71" i="1"/>
  <c r="P71" i="11" s="1"/>
  <c r="D217" i="1"/>
  <c r="N217" i="1"/>
  <c r="N94" i="1"/>
  <c r="N94" i="11" s="1"/>
  <c r="O94" i="1"/>
  <c r="O94" i="11" s="1"/>
  <c r="J58" i="1"/>
  <c r="E42" i="1"/>
  <c r="E42" i="11" s="1"/>
  <c r="P147" i="1"/>
  <c r="G42" i="1"/>
  <c r="G42" i="11" s="1"/>
  <c r="M42" i="1"/>
  <c r="M42" i="11" s="1"/>
  <c r="N58" i="1"/>
  <c r="N249" i="1" s="1"/>
  <c r="O217" i="1"/>
  <c r="K217" i="1"/>
  <c r="P21" i="1"/>
  <c r="P139" i="1"/>
  <c r="D42" i="1"/>
  <c r="D42" i="11" s="1"/>
  <c r="P236" i="1"/>
  <c r="F42" i="1"/>
  <c r="F42" i="11" s="1"/>
  <c r="F58" i="1"/>
  <c r="P41" i="1"/>
  <c r="P42" i="1" s="1"/>
  <c r="O42" i="1"/>
  <c r="O42" i="11" s="1"/>
  <c r="O58" i="1"/>
  <c r="H42" i="1"/>
  <c r="H42" i="11" s="1"/>
  <c r="H58" i="1"/>
  <c r="H249" i="1" s="1"/>
  <c r="E217" i="1"/>
  <c r="E216" i="11" s="1"/>
  <c r="E217" i="11" s="1"/>
  <c r="I42" i="1"/>
  <c r="I42" i="11" s="1"/>
  <c r="I58" i="1"/>
  <c r="I249" i="1" s="1"/>
  <c r="K42" i="1"/>
  <c r="K42" i="11" s="1"/>
  <c r="K58" i="1"/>
  <c r="K249" i="1" s="1"/>
  <c r="I217" i="1"/>
  <c r="L42" i="1"/>
  <c r="L42" i="11" s="1"/>
  <c r="L58" i="1"/>
  <c r="L249" i="1" s="1"/>
  <c r="P91" i="1"/>
  <c r="P91" i="11" s="1"/>
  <c r="P242" i="1"/>
  <c r="P15" i="1"/>
  <c r="P204" i="1"/>
  <c r="P193" i="1"/>
  <c r="P129" i="1"/>
  <c r="P144" i="1"/>
  <c r="P89" i="1"/>
  <c r="P89" i="11" s="1"/>
  <c r="D22" i="1"/>
  <c r="D24" i="1" s="1"/>
  <c r="D25" i="1" s="1"/>
  <c r="P38" i="1"/>
  <c r="P45" i="1"/>
  <c r="P62" i="1"/>
  <c r="P32" i="1"/>
  <c r="P30" i="1"/>
  <c r="P47" i="1"/>
  <c r="P34" i="1"/>
  <c r="P216" i="1"/>
  <c r="P134" i="1"/>
  <c r="P148" i="1"/>
  <c r="P40" i="1"/>
  <c r="P92" i="1"/>
  <c r="P92" i="11" s="1"/>
  <c r="P210" i="1"/>
  <c r="P223" i="1"/>
  <c r="P146" i="1"/>
  <c r="M25" i="1"/>
  <c r="P256" i="1" l="1"/>
  <c r="P258" i="1" s="1"/>
  <c r="G59" i="1"/>
  <c r="K59" i="11"/>
  <c r="K60" i="11"/>
  <c r="O249" i="1"/>
  <c r="D91" i="17"/>
  <c r="L58" i="11"/>
  <c r="L59" i="11" s="1"/>
  <c r="J249" i="11"/>
  <c r="D249" i="12"/>
  <c r="D76" i="17"/>
  <c r="D139" i="17"/>
  <c r="D82" i="17"/>
  <c r="M249" i="1"/>
  <c r="D71" i="17"/>
  <c r="J249" i="1"/>
  <c r="O95" i="1"/>
  <c r="O95" i="11" s="1"/>
  <c r="O255" i="11" s="1"/>
  <c r="O259" i="11" s="1"/>
  <c r="N258" i="1"/>
  <c r="N258" i="11" s="1"/>
  <c r="N95" i="1"/>
  <c r="N95" i="11" s="1"/>
  <c r="N255" i="11" s="1"/>
  <c r="N259" i="11" s="1"/>
  <c r="D256" i="16"/>
  <c r="G249" i="1"/>
  <c r="P251" i="1"/>
  <c r="P250" i="1"/>
  <c r="P256" i="11"/>
  <c r="P258" i="11" s="1"/>
  <c r="G249" i="11"/>
  <c r="D251" i="17"/>
  <c r="D250" i="17"/>
  <c r="M60" i="1"/>
  <c r="M59" i="1"/>
  <c r="G247" i="11"/>
  <c r="F247" i="11"/>
  <c r="E242" i="11"/>
  <c r="E243" i="11" s="1"/>
  <c r="E249" i="11" s="1"/>
  <c r="E249" i="1"/>
  <c r="F243" i="1"/>
  <c r="F229" i="11"/>
  <c r="F230" i="11" s="1"/>
  <c r="D247" i="11"/>
  <c r="D216" i="11"/>
  <c r="P212" i="11"/>
  <c r="D229" i="11"/>
  <c r="E247" i="11"/>
  <c r="P83" i="1"/>
  <c r="P83" i="11" s="1"/>
  <c r="P82" i="11"/>
  <c r="G259" i="11"/>
  <c r="G259" i="1"/>
  <c r="P254" i="11" s="1"/>
  <c r="D255" i="13"/>
  <c r="G60" i="11"/>
  <c r="G59" i="11"/>
  <c r="J60" i="11"/>
  <c r="J59" i="11"/>
  <c r="E59" i="1"/>
  <c r="P41" i="11"/>
  <c r="P42" i="11" s="1"/>
  <c r="E59" i="11"/>
  <c r="E60" i="11"/>
  <c r="D58" i="11"/>
  <c r="H58" i="12"/>
  <c r="H249" i="12" s="1"/>
  <c r="D60" i="12"/>
  <c r="D59" i="12"/>
  <c r="D249" i="13"/>
  <c r="D59" i="13"/>
  <c r="D60" i="13"/>
  <c r="D249" i="15"/>
  <c r="D60" i="15"/>
  <c r="D59" i="15"/>
  <c r="D145" i="17"/>
  <c r="D149" i="17" s="1"/>
  <c r="D88" i="17"/>
  <c r="D21" i="17"/>
  <c r="D22" i="17" s="1"/>
  <c r="D24" i="17" s="1"/>
  <c r="D25" i="17" s="1"/>
  <c r="D93" i="17"/>
  <c r="D77" i="17"/>
  <c r="D92" i="17"/>
  <c r="D58" i="17"/>
  <c r="D42" i="17"/>
  <c r="D230" i="17"/>
  <c r="D243" i="1"/>
  <c r="P230" i="1"/>
  <c r="D217" i="17"/>
  <c r="N59" i="1"/>
  <c r="P243" i="1"/>
  <c r="P94" i="1"/>
  <c r="J60" i="1"/>
  <c r="J59" i="1"/>
  <c r="P217" i="1"/>
  <c r="N60" i="1"/>
  <c r="P22" i="1"/>
  <c r="P24" i="1" s="1"/>
  <c r="P25" i="1" s="1"/>
  <c r="D60" i="1"/>
  <c r="L59" i="1"/>
  <c r="L60" i="1"/>
  <c r="H60" i="1"/>
  <c r="H59" i="1"/>
  <c r="O59" i="1"/>
  <c r="O60" i="1"/>
  <c r="P149" i="1"/>
  <c r="K59" i="1"/>
  <c r="K60" i="1"/>
  <c r="F60" i="1"/>
  <c r="F59" i="1"/>
  <c r="P58" i="1"/>
  <c r="I59" i="1"/>
  <c r="I60" i="1"/>
  <c r="D256" i="17" l="1"/>
  <c r="L60" i="11"/>
  <c r="L249" i="11"/>
  <c r="D258" i="16"/>
  <c r="D89" i="17"/>
  <c r="D83" i="17"/>
  <c r="P249" i="1"/>
  <c r="N255" i="1"/>
  <c r="O255" i="1"/>
  <c r="O259" i="1" s="1"/>
  <c r="D59" i="11"/>
  <c r="P225" i="11"/>
  <c r="P229" i="11"/>
  <c r="D230" i="11"/>
  <c r="D249" i="1"/>
  <c r="F242" i="11"/>
  <c r="F243" i="11" s="1"/>
  <c r="F249" i="11" s="1"/>
  <c r="F249" i="1"/>
  <c r="P216" i="11"/>
  <c r="D217" i="11"/>
  <c r="D259" i="13"/>
  <c r="P95" i="1"/>
  <c r="P95" i="11" s="1"/>
  <c r="P94" i="11"/>
  <c r="D60" i="11"/>
  <c r="P58" i="11"/>
  <c r="H59" i="12"/>
  <c r="H60" i="12"/>
  <c r="D60" i="17"/>
  <c r="D94" i="17"/>
  <c r="D258" i="17"/>
  <c r="D59" i="17"/>
  <c r="D243" i="17"/>
  <c r="D249" i="17" s="1"/>
  <c r="P60" i="1"/>
  <c r="P59" i="1"/>
  <c r="P255" i="11" l="1"/>
  <c r="P259" i="11" s="1"/>
  <c r="P255" i="1"/>
  <c r="P259" i="1" s="1"/>
  <c r="D255" i="16"/>
  <c r="N259" i="1"/>
  <c r="P59" i="11"/>
  <c r="P238" i="11"/>
  <c r="P242" i="11" s="1"/>
  <c r="P243" i="11" s="1"/>
  <c r="P249" i="11" s="1"/>
  <c r="D242" i="11"/>
  <c r="D243" i="11" s="1"/>
  <c r="D249" i="11" s="1"/>
  <c r="P230" i="11"/>
  <c r="P217" i="11"/>
  <c r="P60" i="11"/>
  <c r="D95" i="17"/>
  <c r="D255" i="17" s="1"/>
  <c r="D99" i="17"/>
  <c r="D259" i="17" l="1"/>
  <c r="D259" i="16"/>
</calcChain>
</file>

<file path=xl/sharedStrings.xml><?xml version="1.0" encoding="utf-8"?>
<sst xmlns="http://schemas.openxmlformats.org/spreadsheetml/2006/main" count="5398" uniqueCount="226">
  <si>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</si>
  <si>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</si>
  <si>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</si>
  <si>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</si>
  <si>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</si>
  <si>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</si>
  <si>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</si>
  <si>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</si>
  <si>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</si>
  <si>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</si>
  <si>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</si>
  <si>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</si>
  <si>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</si>
  <si>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</si>
  <si>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</si>
  <si>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</si>
  <si>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</si>
  <si>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</si>
  <si>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</si>
  <si>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</si>
  <si>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</si>
  <si>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</si>
  <si>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</si>
  <si>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</si>
  <si>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</si>
  <si>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</si>
  <si>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</si>
  <si>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</si>
  <si>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</si>
  <si>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</si>
  <si>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</si>
  <si>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</si>
  <si>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</si>
  <si>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</si>
  <si>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</si>
  <si>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</si>
  <si>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</si>
  <si>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</si>
  <si>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</si>
  <si>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</si>
  <si>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</si>
  <si>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</si>
  <si>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</si>
  <si>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</si>
  <si>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</si>
  <si>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</si>
  <si>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</si>
  <si>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</si>
  <si>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</si>
  <si>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</si>
  <si>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</si>
  <si>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</si>
  <si>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</si>
  <si>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</si>
  <si>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</si>
  <si>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</si>
  <si>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</si>
  <si>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</si>
  <si>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</si>
  <si>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</si>
  <si>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</si>
  <si>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</si>
  <si>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</si>
  <si>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</si>
  <si>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</si>
  <si>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</si>
  <si>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</si>
  <si>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</si>
  <si>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</si>
  <si>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</si>
  <si>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</si>
  <si>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</si>
  <si>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</si>
  <si>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</si>
  <si>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</si>
  <si>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</si>
  <si>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</si>
  <si>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</si>
  <si>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</si>
  <si>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</si>
  <si>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</si>
  <si>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</si>
  <si>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</si>
  <si>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</si>
  <si>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</si>
  <si>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</si>
  <si>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</si>
  <si>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</si>
  <si>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</si>
  <si>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</si>
  <si>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</si>
  <si>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</si>
  <si>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</si>
  <si>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</si>
  <si>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</si>
  <si>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</si>
  <si>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</si>
  <si>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</si>
  <si>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</si>
  <si>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</si>
  <si>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</si>
  <si>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</si>
  <si>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</si>
  <si>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</si>
  <si>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</si>
  <si>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</si>
  <si>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</si>
  <si>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</si>
  <si>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</si>
  <si>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</si>
  <si>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</si>
  <si>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</si>
  <si>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</si>
  <si>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</si>
  <si>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</si>
  <si>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</si>
  <si>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</si>
  <si>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</si>
  <si>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</si>
  <si>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</si>
  <si>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</si>
  <si>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</si>
  <si>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</si>
  <si>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</si>
  <si>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</si>
  <si>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</si>
  <si>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</si>
  <si>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</si>
  <si>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</si>
  <si>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</si>
  <si>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</si>
  <si>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</si>
  <si>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</si>
  <si>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</si>
  <si>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</si>
  <si>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</si>
  <si>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</si>
  <si>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</si>
  <si>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</si>
  <si>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</si>
  <si>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</si>
  <si>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</si>
  <si>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</si>
  <si>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</si>
  <si>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</si>
  <si>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</si>
  <si>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</si>
  <si>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</si>
  <si>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</si>
  <si>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</si>
  <si>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</si>
  <si>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</si>
  <si>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</si>
  <si>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</si>
  <si>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</si>
  <si>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</si>
  <si>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</si>
  <si>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</si>
  <si>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</si>
  <si>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</si>
  <si>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</si>
  <si>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</si>
  <si>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</si>
  <si>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</si>
  <si>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</si>
  <si>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</si>
  <si>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</si>
  <si>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</si>
  <si>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</si>
  <si>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</si>
  <si>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</si>
  <si>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</si>
  <si>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</si>
  <si>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</si>
  <si>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</si>
  <si>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</si>
  <si>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</si>
  <si>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</si>
  <si>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</si>
  <si>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</si>
  <si>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</si>
  <si>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</si>
  <si>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</si>
  <si>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</si>
  <si>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</si>
  <si>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</si>
  <si>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</si>
  <si>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</si>
  <si>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</si>
  <si>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</si>
  <si>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</si>
  <si>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</si>
  <si>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</si>
  <si>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</si>
  <si>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</si>
  <si>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</si>
  <si>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</si>
  <si>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</si>
  <si>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</si>
  <si>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</si>
  <si>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</si>
  <si>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</si>
  <si>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</si>
  <si>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</si>
  <si>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</si>
  <si>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</si>
  <si>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</si>
  <si>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</si>
  <si>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</si>
  <si>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</si>
  <si>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</si>
  <si>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</si>
  <si>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</si>
  <si>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</si>
  <si>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</si>
  <si>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</si>
  <si>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</si>
  <si>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 xml:space="preserve"> MONTHLY REPORTS - 2023/2024</t>
  </si>
  <si>
    <t>Mangochi</t>
  </si>
  <si>
    <t>Monkey Bay</t>
  </si>
  <si>
    <t>Namwera</t>
  </si>
  <si>
    <t>MANGOCHI ZONE</t>
  </si>
  <si>
    <t>Nkhudzi</t>
  </si>
  <si>
    <t>APR</t>
  </si>
  <si>
    <t>Stuck Meters (institutional Meters)</t>
  </si>
  <si>
    <t>Stuck Meters (Commercial / Industrial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</si>
</sst>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02">
    <xf numFmtId="0" fontId="0" fillId="0" borderId="0" xfId="0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Fill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Fill="1" applyBorder="1"/>
    <xf numFmtId="0" fontId="15" fillId="0" borderId="0" xfId="0" applyFont="1"/>
    <xf numFmtId="4" fontId="4" fillId="0" borderId="10" xfId="0" applyNumberFormat="1" applyFont="1" applyFill="1" applyBorder="1"/>
    <xf numFmtId="1" fontId="4" fillId="0" borderId="22" xfId="0" applyNumberFormat="1" applyFont="1" applyFill="1" applyBorder="1"/>
    <xf numFmtId="1" fontId="4" fillId="0" borderId="39" xfId="0" applyNumberFormat="1" applyFont="1" applyFill="1" applyBorder="1"/>
    <xf numFmtId="0" fontId="6" fillId="0" borderId="22" xfId="0" applyFont="1" applyFill="1" applyBorder="1" applyAlignment="1">
      <alignment wrapText="1"/>
    </xf>
    <xf numFmtId="0" fontId="6" fillId="0" borderId="22" xfId="0" applyFont="1" applyFill="1" applyBorder="1"/>
    <xf numFmtId="0" fontId="6" fillId="0" borderId="4" xfId="0" applyFont="1" applyFill="1" applyBorder="1" applyAlignment="1">
      <alignment wrapText="1"/>
    </xf>
    <xf numFmtId="1" fontId="4" fillId="0" borderId="38" xfId="0" applyNumberFormat="1" applyFont="1" applyFill="1" applyBorder="1"/>
    <xf numFmtId="1" fontId="4" fillId="0" borderId="40" xfId="0" applyNumberFormat="1" applyFont="1" applyFill="1" applyBorder="1"/>
    <xf numFmtId="0" fontId="8" fillId="0" borderId="1" xfId="0" applyFont="1" applyFill="1" applyBorder="1" applyAlignment="1">
      <alignment horizontal="center" wrapText="1"/>
    </xf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Fill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Fill="1" applyBorder="1"/>
    <xf numFmtId="1" fontId="4" fillId="0" borderId="44" xfId="0" applyNumberFormat="1" applyFont="1" applyFill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 applyAlignment="1"/>
    <xf numFmtId="0" fontId="14" fillId="8" borderId="29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7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1" applyNumberFormat="1" applyFont="1" applyFill="1" applyBorder="1"/>
    <xf numFmtId="165" fontId="4" fillId="0" borderId="11" xfId="3" applyNumberFormat="1" applyFont="1" applyFill="1" applyBorder="1"/>
    <xf numFmtId="1" fontId="4" fillId="0" borderId="11" xfId="1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Fill="1" applyBorder="1"/>
    <xf numFmtId="1" fontId="8" fillId="0" borderId="22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Fill="1" applyBorder="1"/>
    <xf numFmtId="1" fontId="8" fillId="0" borderId="43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NumberFormat="1" applyFont="1" applyFill="1" applyBorder="1"/>
    <xf numFmtId="0" fontId="8" fillId="0" borderId="43" xfId="0" applyNumberFormat="1" applyFont="1" applyFill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1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" fontId="8" fillId="0" borderId="1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Fill="1" applyBorder="1"/>
    <xf numFmtId="164" fontId="0" fillId="0" borderId="0" xfId="0" applyNumberFormat="1" applyFill="1"/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4" fillId="0" borderId="10" xfId="3" applyNumberFormat="1" applyFont="1" applyFill="1" applyBorder="1"/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6" xfId="0" applyFont="1" applyFill="1" applyBorder="1" applyAlignment="1">
      <alignment wrapText="1"/>
    </xf>
    <xf numFmtId="0" fontId="6" fillId="0" borderId="25" xfId="0" applyFont="1" applyFill="1" applyBorder="1" applyAlignment="1">
      <alignment wrapText="1"/>
    </xf>
    <xf numFmtId="0" fontId="6" fillId="0" borderId="19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Fill="1" applyBorder="1" applyAlignment="1">
      <alignment wrapText="1"/>
    </xf>
    <xf numFmtId="1" fontId="6" fillId="0" borderId="2" xfId="0" applyNumberFormat="1" applyFont="1" applyFill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6" fillId="0" borderId="18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18" fillId="0" borderId="2" xfId="0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2" xfId="0" applyFont="1" applyFill="1" applyBorder="1" applyAlignment="1">
      <alignment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0" fontId="8" fillId="5" borderId="31" xfId="0" applyFont="1" applyFill="1" applyBorder="1" applyAlignment="1"/>
    <xf numFmtId="164" fontId="8" fillId="5" borderId="31" xfId="1" applyFont="1" applyFill="1" applyBorder="1" applyAlignment="1"/>
    <xf numFmtId="4" fontId="8" fillId="5" borderId="27" xfId="0" applyNumberFormat="1" applyFont="1" applyFill="1" applyBorder="1" applyAlignment="1"/>
    <xf numFmtId="0" fontId="0" fillId="0" borderId="0" xfId="0" applyAlignment="1"/>
    <xf numFmtId="0" fontId="6" fillId="0" borderId="24" xfId="0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0" fontId="6" fillId="0" borderId="1" xfId="0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0" fontId="5" fillId="0" borderId="1" xfId="0" applyFont="1" applyFill="1" applyBorder="1" applyAlignment="1"/>
    <xf numFmtId="165" fontId="8" fillId="0" borderId="1" xfId="1" applyNumberFormat="1" applyFont="1" applyFill="1" applyBorder="1" applyAlignment="1"/>
    <xf numFmtId="0" fontId="15" fillId="0" borderId="0" xfId="0" applyFont="1" applyAlignment="1"/>
    <xf numFmtId="0" fontId="0" fillId="0" borderId="0" xfId="0" applyFill="1" applyAlignment="1"/>
    <xf numFmtId="0" fontId="15" fillId="0" borderId="0" xfId="0" applyFont="1" applyFill="1" applyAlignment="1"/>
    <xf numFmtId="0" fontId="19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" xfId="0" applyFont="1" applyBorder="1" applyAlignment="1"/>
    <xf numFmtId="164" fontId="4" fillId="0" borderId="1" xfId="1" applyFont="1" applyBorder="1" applyAlignment="1"/>
    <xf numFmtId="164" fontId="4" fillId="0" borderId="10" xfId="1" applyFont="1" applyBorder="1" applyAlignment="1"/>
    <xf numFmtId="2" fontId="6" fillId="0" borderId="22" xfId="0" applyNumberFormat="1" applyFont="1" applyBorder="1" applyAlignment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Fill="1" applyBorder="1" applyAlignment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2" fontId="6" fillId="0" borderId="1" xfId="0" applyNumberFormat="1" applyFont="1" applyBorder="1" applyAlignment="1"/>
    <xf numFmtId="164" fontId="4" fillId="0" borderId="1" xfId="1" applyFont="1" applyFill="1" applyBorder="1" applyAlignment="1"/>
    <xf numFmtId="164" fontId="4" fillId="0" borderId="10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4" fontId="8" fillId="0" borderId="10" xfId="0" applyNumberFormat="1" applyFont="1" applyFill="1" applyBorder="1" applyAlignment="1"/>
    <xf numFmtId="2" fontId="4" fillId="0" borderId="10" xfId="0" applyNumberFormat="1" applyFont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Fill="1" applyBorder="1" applyAlignment="1">
      <alignment horizontal="left"/>
    </xf>
    <xf numFmtId="4" fontId="4" fillId="0" borderId="10" xfId="0" applyNumberFormat="1" applyFont="1" applyFill="1" applyBorder="1" applyAlignment="1"/>
    <xf numFmtId="0" fontId="4" fillId="0" borderId="10" xfId="1" applyNumberFormat="1" applyFont="1" applyFill="1" applyBorder="1" applyAlignment="1"/>
    <xf numFmtId="4" fontId="5" fillId="0" borderId="10" xfId="0" applyNumberFormat="1" applyFont="1" applyFill="1" applyBorder="1" applyAlignment="1"/>
    <xf numFmtId="1" fontId="6" fillId="0" borderId="1" xfId="0" applyNumberFormat="1" applyFont="1" applyBorder="1" applyAlignment="1"/>
    <xf numFmtId="1" fontId="8" fillId="0" borderId="4" xfId="1" applyNumberFormat="1" applyFont="1" applyFill="1" applyBorder="1" applyAlignment="1"/>
    <xf numFmtId="1" fontId="8" fillId="0" borderId="10" xfId="0" applyNumberFormat="1" applyFont="1" applyBorder="1" applyAlignment="1"/>
    <xf numFmtId="1" fontId="4" fillId="0" borderId="4" xfId="1" applyNumberFormat="1" applyFont="1" applyFill="1" applyBorder="1" applyAlignment="1"/>
    <xf numFmtId="1" fontId="8" fillId="0" borderId="10" xfId="0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8" fillId="0" borderId="1" xfId="0" applyNumberFormat="1" applyFont="1" applyFill="1" applyBorder="1" applyAlignment="1"/>
    <xf numFmtId="1" fontId="4" fillId="0" borderId="1" xfId="0" applyNumberFormat="1" applyFont="1" applyFill="1" applyBorder="1" applyAlignment="1"/>
    <xf numFmtId="1" fontId="8" fillId="0" borderId="22" xfId="0" applyNumberFormat="1" applyFont="1" applyFill="1" applyBorder="1" applyAlignment="1"/>
    <xf numFmtId="1" fontId="4" fillId="0" borderId="22" xfId="0" applyNumberFormat="1" applyFont="1" applyFill="1" applyBorder="1" applyAlignment="1"/>
    <xf numFmtId="1" fontId="8" fillId="0" borderId="42" xfId="0" applyNumberFormat="1" applyFont="1" applyFill="1" applyBorder="1" applyAlignment="1"/>
    <xf numFmtId="1" fontId="8" fillId="0" borderId="7" xfId="0" applyNumberFormat="1" applyFont="1" applyFill="1" applyBorder="1" applyAlignment="1"/>
    <xf numFmtId="1" fontId="8" fillId="0" borderId="43" xfId="0" applyNumberFormat="1" applyFont="1" applyFill="1" applyBorder="1" applyAlignment="1"/>
    <xf numFmtId="0" fontId="9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/>
    <xf numFmtId="1" fontId="4" fillId="0" borderId="39" xfId="0" applyNumberFormat="1" applyFont="1" applyFill="1" applyBorder="1" applyAlignment="1"/>
    <xf numFmtId="1" fontId="4" fillId="0" borderId="42" xfId="0" applyNumberFormat="1" applyFont="1" applyFill="1" applyBorder="1" applyAlignment="1"/>
    <xf numFmtId="0" fontId="9" fillId="0" borderId="12" xfId="0" applyFont="1" applyFill="1" applyBorder="1" applyAlignment="1">
      <alignment horizontal="left" vertical="center"/>
    </xf>
    <xf numFmtId="0" fontId="6" fillId="0" borderId="4" xfId="0" applyFont="1" applyFill="1" applyBorder="1" applyAlignment="1"/>
    <xf numFmtId="165" fontId="4" fillId="0" borderId="38" xfId="1" applyNumberFormat="1" applyFont="1" applyFill="1" applyBorder="1" applyAlignment="1"/>
    <xf numFmtId="1" fontId="4" fillId="0" borderId="38" xfId="0" applyNumberFormat="1" applyFont="1" applyFill="1" applyBorder="1" applyAlignment="1"/>
    <xf numFmtId="1" fontId="4" fillId="0" borderId="40" xfId="0" applyNumberFormat="1" applyFont="1" applyFill="1" applyBorder="1" applyAlignment="1"/>
    <xf numFmtId="1" fontId="4" fillId="0" borderId="44" xfId="0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 applyAlignment="1"/>
    <xf numFmtId="165" fontId="4" fillId="0" borderId="11" xfId="1" applyNumberFormat="1" applyFont="1" applyFill="1" applyBorder="1" applyAlignment="1"/>
    <xf numFmtId="0" fontId="10" fillId="0" borderId="3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165" fontId="4" fillId="0" borderId="11" xfId="3" applyNumberFormat="1" applyFont="1" applyFill="1" applyBorder="1" applyAlignment="1"/>
    <xf numFmtId="167" fontId="8" fillId="0" borderId="10" xfId="0" applyNumberFormat="1" applyFont="1" applyBorder="1" applyAlignment="1"/>
    <xf numFmtId="0" fontId="6" fillId="0" borderId="22" xfId="0" applyFont="1" applyBorder="1" applyAlignment="1"/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1" fontId="5" fillId="0" borderId="10" xfId="0" applyNumberFormat="1" applyFont="1" applyBorder="1" applyAlignment="1"/>
    <xf numFmtId="1" fontId="5" fillId="0" borderId="10" xfId="0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1" fontId="8" fillId="0" borderId="10" xfId="3" applyNumberFormat="1" applyFont="1" applyFill="1" applyBorder="1" applyAlignmen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164" fontId="8" fillId="0" borderId="1" xfId="1" applyFont="1" applyFill="1" applyBorder="1" applyAlignment="1"/>
    <xf numFmtId="0" fontId="9" fillId="0" borderId="1" xfId="0" applyFont="1" applyBorder="1" applyAlignment="1"/>
    <xf numFmtId="0" fontId="6" fillId="0" borderId="12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2" fontId="8" fillId="0" borderId="10" xfId="0" applyNumberFormat="1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Fill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4" fontId="8" fillId="0" borderId="1" xfId="1" applyFont="1" applyFill="1" applyBorder="1" applyAlignment="1">
      <alignment horizontal="left"/>
    </xf>
    <xf numFmtId="166" fontId="4" fillId="0" borderId="1" xfId="2" applyNumberFormat="1" applyFont="1" applyFill="1" applyBorder="1" applyAlignment="1"/>
    <xf numFmtId="166" fontId="4" fillId="0" borderId="10" xfId="2" applyNumberFormat="1" applyFont="1" applyFill="1" applyBorder="1" applyAlignment="1"/>
    <xf numFmtId="166" fontId="4" fillId="0" borderId="7" xfId="2" applyNumberFormat="1" applyFont="1" applyFill="1" applyBorder="1" applyAlignment="1"/>
    <xf numFmtId="166" fontId="4" fillId="0" borderId="43" xfId="2" applyNumberFormat="1" applyFont="1" applyFill="1" applyBorder="1" applyAlignment="1"/>
    <xf numFmtId="164" fontId="4" fillId="0" borderId="10" xfId="3" applyFont="1" applyFill="1" applyBorder="1" applyAlignment="1"/>
    <xf numFmtId="165" fontId="4" fillId="0" borderId="1" xfId="3" applyNumberFormat="1" applyFont="1" applyFill="1" applyBorder="1" applyAlignment="1"/>
    <xf numFmtId="2" fontId="4" fillId="0" borderId="1" xfId="3" applyNumberFormat="1" applyFont="1" applyFill="1" applyBorder="1" applyAlignment="1"/>
    <xf numFmtId="2" fontId="4" fillId="0" borderId="10" xfId="3" applyNumberFormat="1" applyFont="1" applyFill="1" applyBorder="1" applyAlignment="1"/>
    <xf numFmtId="0" fontId="0" fillId="0" borderId="7" xfId="0" applyBorder="1" applyAlignment="1"/>
    <xf numFmtId="165" fontId="4" fillId="0" borderId="7" xfId="3" applyNumberFormat="1" applyFont="1" applyFill="1" applyBorder="1" applyAlignment="1"/>
    <xf numFmtId="2" fontId="20" fillId="0" borderId="43" xfId="0" applyNumberFormat="1" applyFont="1" applyBorder="1" applyAlignment="1"/>
    <xf numFmtId="0" fontId="11" fillId="9" borderId="3" xfId="0" applyFont="1" applyFill="1" applyBorder="1" applyAlignment="1"/>
    <xf numFmtId="0" fontId="11" fillId="9" borderId="6" xfId="0" applyFont="1" applyFill="1" applyBorder="1" applyAlignment="1"/>
    <xf numFmtId="0" fontId="11" fillId="9" borderId="5" xfId="0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5" borderId="30" xfId="0" applyFont="1" applyFill="1" applyBorder="1" applyAlignment="1"/>
    <xf numFmtId="0" fontId="8" fillId="5" borderId="32" xfId="0" applyFont="1" applyFill="1" applyBorder="1" applyAlignment="1"/>
    <xf numFmtId="0" fontId="7" fillId="9" borderId="3" xfId="0" applyFont="1" applyFill="1" applyBorder="1" applyAlignment="1"/>
    <xf numFmtId="0" fontId="7" fillId="9" borderId="6" xfId="0" applyFont="1" applyFill="1" applyBorder="1" applyAlignment="1"/>
    <xf numFmtId="0" fontId="7" fillId="9" borderId="5" xfId="0" applyFont="1" applyFill="1" applyBorder="1" applyAlignment="1"/>
    <xf numFmtId="0" fontId="6" fillId="0" borderId="3" xfId="0" applyFont="1" applyFill="1" applyBorder="1" applyAlignment="1"/>
    <xf numFmtId="0" fontId="6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2" xfId="0" applyFont="1" applyFill="1" applyBorder="1" applyAlignment="1"/>
    <xf numFmtId="0" fontId="6" fillId="0" borderId="14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0" fontId="6" fillId="0" borderId="1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8" xfId="0" applyFont="1" applyFill="1" applyBorder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Fill="1" applyBorder="1" applyAlignment="1"/>
    <xf numFmtId="0" fontId="10" fillId="0" borderId="2" xfId="0" applyFont="1" applyFill="1" applyBorder="1" applyAlignment="1"/>
    <xf numFmtId="0" fontId="19" fillId="0" borderId="3" xfId="0" applyFont="1" applyFill="1" applyBorder="1" applyAlignment="1"/>
    <xf numFmtId="0" fontId="19" fillId="0" borderId="2" xfId="0" applyFont="1" applyFill="1" applyBorder="1" applyAlignment="1"/>
    <xf numFmtId="0" fontId="18" fillId="0" borderId="3" xfId="0" applyFont="1" applyFill="1" applyBorder="1" applyAlignment="1"/>
    <xf numFmtId="0" fontId="18" fillId="0" borderId="2" xfId="0" applyFont="1" applyFill="1" applyBorder="1" applyAlignment="1"/>
    <xf numFmtId="0" fontId="6" fillId="0" borderId="34" xfId="0" applyFont="1" applyBorder="1" applyAlignment="1"/>
    <xf numFmtId="0" fontId="6" fillId="0" borderId="45" xfId="0" applyFont="1" applyBorder="1" applyAlignment="1"/>
    <xf numFmtId="0" fontId="7" fillId="9" borderId="12" xfId="0" applyFont="1" applyFill="1" applyBorder="1" applyAlignment="1"/>
    <xf numFmtId="0" fontId="7" fillId="9" borderId="21" xfId="0" applyFont="1" applyFill="1" applyBorder="1" applyAlignment="1"/>
    <xf numFmtId="0" fontId="7" fillId="9" borderId="20" xfId="0" applyFont="1" applyFill="1" applyBorder="1" applyAlignment="1"/>
    <xf numFmtId="0" fontId="10" fillId="0" borderId="19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Border="1" applyAlignment="1"/>
    <xf numFmtId="0" fontId="6" fillId="0" borderId="16" xfId="0" applyFont="1" applyBorder="1" applyAlignment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 applyAlignment="1"/>
    <xf numFmtId="0" fontId="10" fillId="9" borderId="6" xfId="0" applyFont="1" applyFill="1" applyBorder="1" applyAlignment="1"/>
    <xf numFmtId="0" fontId="10" fillId="9" borderId="5" xfId="0" applyFont="1" applyFill="1" applyBorder="1" applyAlignment="1"/>
    <xf numFmtId="1" fontId="6" fillId="0" borderId="3" xfId="0" applyNumberFormat="1" applyFont="1" applyFill="1" applyBorder="1" applyAlignment="1"/>
    <xf numFmtId="1" fontId="6" fillId="0" borderId="2" xfId="0" applyNumberFormat="1" applyFont="1" applyFill="1" applyBorder="1" applyAlignment="1"/>
    <xf numFmtId="1" fontId="5" fillId="9" borderId="3" xfId="0" applyNumberFormat="1" applyFont="1" applyFill="1" applyBorder="1" applyAlignment="1"/>
    <xf numFmtId="1" fontId="5" fillId="9" borderId="6" xfId="0" applyNumberFormat="1" applyFont="1" applyFill="1" applyBorder="1" applyAlignment="1"/>
    <xf numFmtId="1" fontId="5" fillId="9" borderId="5" xfId="0" applyNumberFormat="1" applyFont="1" applyFill="1" applyBorder="1" applyAlignment="1"/>
    <xf numFmtId="0" fontId="11" fillId="2" borderId="3" xfId="0" applyFont="1" applyFill="1" applyBorder="1" applyAlignment="1"/>
    <xf numFmtId="0" fontId="11" fillId="2" borderId="6" xfId="0" applyFont="1" applyFill="1" applyBorder="1" applyAlignment="1"/>
    <xf numFmtId="0" fontId="11" fillId="2" borderId="5" xfId="0" applyFont="1" applyFill="1" applyBorder="1" applyAlignment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10" fillId="0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2" fontId="6" fillId="0" borderId="3" xfId="0" applyNumberFormat="1" applyFont="1" applyBorder="1" applyAlignment="1"/>
    <xf numFmtId="2" fontId="6" fillId="0" borderId="2" xfId="0" applyNumberFormat="1" applyFont="1" applyBorder="1" applyAlignment="1"/>
    <xf numFmtId="0" fontId="7" fillId="0" borderId="3" xfId="0" applyFont="1" applyFill="1" applyBorder="1" applyAlignment="1"/>
    <xf numFmtId="0" fontId="7" fillId="0" borderId="6" xfId="0" applyFont="1" applyFill="1" applyBorder="1" applyAlignment="1"/>
    <xf numFmtId="0" fontId="7" fillId="0" borderId="5" xfId="0" applyFont="1" applyFill="1" applyBorder="1" applyAlignment="1"/>
    <xf numFmtId="0" fontId="7" fillId="9" borderId="26" xfId="0" applyFont="1" applyFill="1" applyBorder="1" applyAlignment="1"/>
    <xf numFmtId="0" fontId="7" fillId="9" borderId="47" xfId="0" applyFont="1" applyFill="1" applyBorder="1" applyAlignment="1"/>
    <xf numFmtId="0" fontId="7" fillId="9" borderId="30" xfId="0" applyFont="1" applyFill="1" applyBorder="1" applyAlignment="1"/>
    <xf numFmtId="0" fontId="7" fillId="9" borderId="29" xfId="0" applyFont="1" applyFill="1" applyBorder="1" applyAlignment="1"/>
    <xf numFmtId="0" fontId="7" fillId="9" borderId="27" xfId="0" applyFont="1" applyFill="1" applyBorder="1" applyAlignment="1"/>
    <xf numFmtId="0" fontId="6" fillId="0" borderId="26" xfId="0" applyFont="1" applyFill="1" applyBorder="1" applyAlignment="1"/>
    <xf numFmtId="0" fontId="6" fillId="0" borderId="25" xfId="0" applyFont="1" applyFill="1" applyBorder="1" applyAlignment="1"/>
    <xf numFmtId="9" fontId="6" fillId="0" borderId="1" xfId="2" applyFont="1" applyBorder="1" applyAlignment="1"/>
    <xf numFmtId="166" fontId="8" fillId="0" borderId="1" xfId="2" applyNumberFormat="1" applyFont="1" applyBorder="1" applyAlignment="1"/>
    <xf numFmtId="166" fontId="4" fillId="0" borderId="10" xfId="2" applyNumberFormat="1" applyFont="1" applyBorder="1" applyAlignment="1"/>
    <xf numFmtId="0" fontId="4" fillId="0" borderId="1" xfId="3" applyNumberFormat="1" applyFont="1" applyFill="1" applyBorder="1" applyAlignment="1"/>
    <xf numFmtId="0" fontId="4" fillId="0" borderId="10" xfId="3" applyNumberFormat="1" applyFont="1" applyFill="1" applyBorder="1" applyAlignment="1"/>
    <xf numFmtId="2" fontId="21" fillId="0" borderId="43" xfId="0" applyNumberFormat="1" applyFont="1" applyBorder="1" applyAlignment="1"/>
    <xf numFmtId="165" fontId="8" fillId="0" borderId="23" xfId="1" applyNumberFormat="1" applyFont="1" applyFill="1" applyBorder="1" applyAlignment="1"/>
    <xf numFmtId="0" fontId="22" fillId="9" borderId="5" xfId="0" applyFont="1" applyFill="1" applyBorder="1" applyAlignment="1"/>
    <xf numFmtId="0" fontId="22" fillId="0" borderId="5" xfId="0" applyFont="1" applyFill="1" applyBorder="1" applyAlignment="1"/>
    <xf numFmtId="0" fontId="22" fillId="9" borderId="48" xfId="0" applyFont="1" applyFill="1" applyBorder="1" applyAlignment="1"/>
    <xf numFmtId="0" fontId="12" fillId="9" borderId="5" xfId="0" applyFont="1" applyFill="1" applyBorder="1" applyAlignment="1"/>
    <xf numFmtId="0" fontId="12" fillId="2" borderId="5" xfId="0" applyFont="1" applyFill="1" applyBorder="1" applyAlignment="1"/>
    <xf numFmtId="1" fontId="8" fillId="9" borderId="5" xfId="0" applyNumberFormat="1" applyFont="1" applyFill="1" applyBorder="1" applyAlignment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 applyAlignment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 applyAlignment="1"/>
    <xf numFmtId="0" fontId="25" fillId="0" borderId="0" xfId="0" applyFont="1" applyAlignment="1"/>
    <xf numFmtId="0" fontId="8" fillId="8" borderId="27" xfId="0" applyFont="1" applyFill="1" applyBorder="1" applyAlignment="1"/>
    <xf numFmtId="0" fontId="8" fillId="0" borderId="27" xfId="0" applyFont="1" applyBorder="1" applyAlignment="1">
      <alignment vertical="center" wrapText="1"/>
    </xf>
    <xf numFmtId="0" fontId="4" fillId="0" borderId="27" xfId="0" applyFont="1" applyBorder="1" applyAlignment="1">
      <alignment vertical="center"/>
    </xf>
    <xf numFmtId="0" fontId="8" fillId="7" borderId="27" xfId="0" applyFont="1" applyFill="1" applyBorder="1" applyAlignment="1">
      <alignment vertical="center" wrapText="1"/>
    </xf>
    <xf numFmtId="0" fontId="4" fillId="6" borderId="35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vertical="center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5" fillId="9" borderId="33" xfId="0" applyFont="1" applyFill="1" applyBorder="1" applyAlignment="1">
      <alignment vertical="center"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4" fillId="9" borderId="5" xfId="0" applyFont="1" applyFill="1" applyBorder="1" applyAlignment="1">
      <alignment wrapText="1"/>
    </xf>
    <xf numFmtId="0" fontId="25" fillId="0" borderId="0" xfId="0" applyFont="1"/>
    <xf numFmtId="164" fontId="4" fillId="0" borderId="4" xfId="1" applyNumberFormat="1" applyFont="1" applyFill="1" applyBorder="1" applyAlignment="1"/>
    <xf numFmtId="165" fontId="7" fillId="9" borderId="6" xfId="1" applyNumberFormat="1" applyFont="1" applyFill="1" applyBorder="1" applyAlignment="1"/>
    <xf numFmtId="165" fontId="7" fillId="0" borderId="6" xfId="1" applyNumberFormat="1" applyFont="1" applyFill="1" applyBorder="1" applyAlignment="1"/>
    <xf numFmtId="165" fontId="4" fillId="0" borderId="1" xfId="1" applyNumberFormat="1" applyFont="1" applyBorder="1" applyAlignment="1"/>
    <xf numFmtId="165" fontId="7" fillId="9" borderId="47" xfId="1" applyNumberFormat="1" applyFont="1" applyFill="1" applyBorder="1" applyAlignment="1"/>
    <xf numFmtId="165" fontId="11" fillId="9" borderId="6" xfId="1" applyNumberFormat="1" applyFont="1" applyFill="1" applyBorder="1" applyAlignment="1"/>
    <xf numFmtId="165" fontId="12" fillId="0" borderId="1" xfId="1" applyNumberFormat="1" applyFont="1" applyFill="1" applyBorder="1" applyAlignment="1"/>
    <xf numFmtId="165" fontId="11" fillId="2" borderId="6" xfId="1" applyNumberFormat="1" applyFont="1" applyFill="1" applyBorder="1" applyAlignment="1"/>
    <xf numFmtId="165" fontId="5" fillId="9" borderId="6" xfId="1" applyNumberFormat="1" applyFont="1" applyFill="1" applyBorder="1" applyAlignment="1"/>
    <xf numFmtId="165" fontId="4" fillId="0" borderId="22" xfId="1" applyNumberFormat="1" applyFont="1" applyFill="1" applyBorder="1" applyAlignment="1"/>
    <xf numFmtId="165" fontId="17" fillId="9" borderId="29" xfId="1" applyNumberFormat="1" applyFont="1" applyFill="1" applyBorder="1" applyAlignment="1">
      <alignment vertical="center"/>
    </xf>
    <xf numFmtId="165" fontId="10" fillId="9" borderId="6" xfId="1" applyNumberFormat="1" applyFont="1" applyFill="1" applyBorder="1" applyAlignment="1"/>
    <xf numFmtId="165" fontId="10" fillId="9" borderId="6" xfId="1" applyNumberFormat="1" applyFont="1" applyFill="1" applyBorder="1" applyAlignment="1">
      <alignment vertical="top"/>
    </xf>
    <xf numFmtId="165" fontId="7" fillId="9" borderId="21" xfId="1" applyNumberFormat="1" applyFont="1" applyFill="1" applyBorder="1" applyAlignment="1"/>
    <xf numFmtId="164" fontId="4" fillId="0" borderId="1" xfId="1" applyNumberFormat="1" applyFont="1" applyFill="1" applyBorder="1" applyAlignment="1"/>
    <xf numFmtId="0" fontId="8" fillId="0" borderId="1" xfId="1" applyNumberFormat="1" applyFont="1" applyFill="1" applyBorder="1" applyAlignment="1"/>
    <xf numFmtId="0" fontId="8" fillId="0" borderId="22" xfId="1" applyNumberFormat="1" applyFont="1" applyFill="1" applyBorder="1" applyAlignment="1"/>
    <xf numFmtId="0" fontId="8" fillId="0" borderId="7" xfId="1" applyNumberFormat="1" applyFont="1" applyFill="1" applyBorder="1" applyAlignment="1"/>
    <xf numFmtId="0" fontId="8" fillId="0" borderId="4" xfId="1" applyNumberFormat="1" applyFont="1" applyFill="1" applyBorder="1" applyAlignment="1"/>
    <xf numFmtId="0" fontId="4" fillId="0" borderId="4" xfId="1" applyNumberFormat="1" applyFont="1" applyFill="1" applyBorder="1" applyAlignment="1"/>
    <xf numFmtId="0" fontId="8" fillId="0" borderId="1" xfId="0" applyNumberFormat="1" applyFont="1" applyFill="1" applyBorder="1" applyAlignment="1"/>
    <xf numFmtId="0" fontId="8" fillId="0" borderId="22" xfId="0" applyNumberFormat="1" applyFont="1" applyFill="1" applyBorder="1" applyAlignment="1"/>
    <xf numFmtId="0" fontId="8" fillId="0" borderId="7" xfId="0" applyNumberFormat="1" applyFont="1" applyFill="1" applyBorder="1" applyAlignment="1"/>
    <xf numFmtId="0" fontId="4" fillId="0" borderId="11" xfId="3" applyNumberFormat="1" applyFont="1" applyFill="1" applyBorder="1" applyAlignment="1"/>
    <xf numFmtId="0" fontId="4" fillId="0" borderId="1" xfId="1" applyNumberFormat="1" applyFont="1" applyFill="1" applyBorder="1" applyAlignment="1"/>
    <xf numFmtId="0" fontId="10" fillId="3" borderId="19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6" fillId="0" borderId="4" xfId="0" applyFont="1" applyBorder="1"/>
    <xf numFmtId="164" fontId="4" fillId="0" borderId="41" xfId="3" applyFont="1" applyFill="1" applyBorder="1"/>
    <xf numFmtId="164" fontId="8" fillId="0" borderId="22" xfId="1" applyFont="1" applyFill="1" applyBorder="1" applyAlignment="1">
      <alignment horizontal="center" wrapText="1"/>
    </xf>
    <xf numFmtId="164" fontId="8" fillId="0" borderId="22" xfId="1" applyFont="1" applyFill="1" applyBorder="1" applyAlignment="1">
      <alignment horizontal="left" wrapText="1"/>
    </xf>
    <xf numFmtId="164" fontId="8" fillId="0" borderId="42" xfId="1" applyFont="1" applyFill="1" applyBorder="1" applyAlignment="1">
      <alignment horizontal="left" wrapText="1"/>
    </xf>
    <xf numFmtId="166" fontId="4" fillId="0" borderId="4" xfId="2" applyNumberFormat="1" applyFont="1" applyFill="1" applyBorder="1"/>
    <xf numFmtId="166" fontId="4" fillId="0" borderId="41" xfId="2" applyNumberFormat="1" applyFont="1" applyFill="1" applyBorder="1"/>
    <xf numFmtId="10" fontId="8" fillId="0" borderId="22" xfId="1" applyNumberFormat="1" applyFont="1" applyBorder="1" applyAlignment="1"/>
    <xf numFmtId="168" fontId="4" fillId="0" borderId="10" xfId="3" applyNumberFormat="1" applyFont="1" applyFill="1" applyBorder="1"/>
    <xf numFmtId="164" fontId="7" fillId="0" borderId="6" xfId="1" applyFont="1" applyFill="1" applyBorder="1" applyAlignment="1"/>
    <xf numFmtId="10" fontId="4" fillId="0" borderId="22" xfId="2" applyNumberFormat="1" applyFont="1" applyFill="1" applyBorder="1" applyAlignment="1"/>
    <xf numFmtId="10" fontId="4" fillId="0" borderId="22" xfId="2" applyNumberFormat="1" applyFont="1" applyFill="1" applyBorder="1"/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165" fontId="4" fillId="0" borderId="52" xfId="5" applyNumberFormat="1" applyFont="1" applyFill="1" applyBorder="1"/>
    <xf numFmtId="165" fontId="8" fillId="0" borderId="24" xfId="5" applyNumberFormat="1" applyFont="1" applyFill="1" applyBorder="1"/>
    <xf numFmtId="165" fontId="4" fillId="0" borderId="1" xfId="5" applyNumberFormat="1" applyFont="1" applyFill="1" applyBorder="1"/>
    <xf numFmtId="165" fontId="4" fillId="0" borderId="22" xfId="5" applyNumberFormat="1" applyFont="1" applyFill="1" applyBorder="1"/>
    <xf numFmtId="165" fontId="4" fillId="0" borderId="1" xfId="5" applyNumberFormat="1" applyFont="1" applyFill="1" applyBorder="1"/>
    <xf numFmtId="165" fontId="8" fillId="0" borderId="4" xfId="5" applyNumberFormat="1" applyFont="1" applyFill="1" applyBorder="1"/>
    <xf numFmtId="165" fontId="8" fillId="0" borderId="4" xfId="5" applyNumberFormat="1" applyFont="1" applyFill="1" applyBorder="1"/>
    <xf numFmtId="165" fontId="4" fillId="0" borderId="4" xfId="5" applyNumberFormat="1" applyFont="1" applyFill="1" applyBorder="1"/>
    <xf numFmtId="43" fontId="4" fillId="0" borderId="4" xfId="5" applyFont="1" applyFill="1" applyBorder="1"/>
    <xf numFmtId="43" fontId="4" fillId="0" borderId="4" xfId="5" applyFont="1" applyFill="1" applyBorder="1"/>
    <xf numFmtId="165" fontId="4" fillId="0" borderId="4" xfId="5" applyNumberFormat="1" applyFont="1" applyFill="1" applyBorder="1"/>
    <xf numFmtId="165" fontId="4" fillId="0" borderId="53" xfId="4" applyNumberFormat="1" applyFont="1" applyFill="1" applyBorder="1"/>
    <xf numFmtId="165" fontId="4" fillId="0" borderId="4" xfId="5" quotePrefix="1" applyNumberFormat="1" applyFont="1" applyFill="1" applyBorder="1"/>
    <xf numFmtId="1" fontId="4" fillId="0" borderId="22" xfId="0" applyNumberFormat="1" applyFont="1" applyBorder="1"/>
    <xf numFmtId="165" fontId="4" fillId="0" borderId="4" xfId="5" applyNumberFormat="1" applyFont="1" applyFill="1" applyBorder="1"/>
    <xf numFmtId="165" fontId="4" fillId="0" borderId="4" xfId="5" applyNumberFormat="1" applyFont="1" applyBorder="1"/>
    <xf numFmtId="165" fontId="4" fillId="0" borderId="38" xfId="5" applyNumberFormat="1" applyFont="1" applyBorder="1"/>
    <xf numFmtId="165" fontId="4" fillId="0" borderId="4" xfId="5" applyNumberFormat="1" applyFont="1" applyFill="1" applyBorder="1"/>
    <xf numFmtId="165" fontId="4" fillId="0" borderId="53" xfId="4" applyNumberFormat="1" applyFont="1" applyFill="1" applyBorder="1"/>
    <xf numFmtId="165" fontId="8" fillId="0" borderId="53" xfId="5" applyNumberFormat="1" applyFont="1" applyFill="1" applyBorder="1"/>
    <xf numFmtId="165" fontId="4" fillId="0" borderId="4" xfId="5" applyNumberFormat="1" applyFont="1" applyFill="1" applyBorder="1"/>
    <xf numFmtId="165" fontId="4" fillId="0" borderId="4" xfId="5" applyNumberFormat="1" applyFont="1" applyFill="1" applyBorder="1"/>
    <xf numFmtId="165" fontId="4" fillId="0" borderId="4" xfId="5" applyNumberFormat="1" applyFont="1" applyFill="1" applyBorder="1"/>
    <xf numFmtId="43" fontId="4" fillId="0" borderId="4" xfId="5" applyFont="1" applyFill="1" applyBorder="1"/>
    <xf numFmtId="43" fontId="4" fillId="0" borderId="4" xfId="5" applyFont="1" applyFill="1" applyBorder="1"/>
    <xf numFmtId="43" fontId="4" fillId="0" borderId="4" xfId="5" applyFont="1" applyFill="1" applyBorder="1"/>
    <xf numFmtId="43" fontId="4" fillId="0" borderId="38" xfId="5" applyFont="1" applyFill="1" applyBorder="1"/>
    <xf numFmtId="165" fontId="8" fillId="0" borderId="4" xfId="6" applyNumberFormat="1" applyFont="1" applyFill="1" applyBorder="1"/>
    <xf numFmtId="2" fontId="21" fillId="0" borderId="43" xfId="0" applyNumberFormat="1" applyFont="1" applyBorder="1"/>
    <xf numFmtId="0" fontId="8" fillId="8" borderId="29" xfId="0" applyFont="1" applyFill="1" applyBorder="1" applyAlignment="1"/>
    <xf numFmtId="0" fontId="8" fillId="0" borderId="29" xfId="0" applyFont="1" applyBorder="1" applyAlignment="1">
      <alignment vertical="center" wrapText="1"/>
    </xf>
    <xf numFmtId="0" fontId="4" fillId="0" borderId="29" xfId="0" applyFont="1" applyBorder="1" applyAlignment="1">
      <alignment vertical="center"/>
    </xf>
    <xf numFmtId="0" fontId="8" fillId="7" borderId="29" xfId="0" applyFont="1" applyFill="1" applyBorder="1" applyAlignment="1">
      <alignment vertical="center" wrapText="1"/>
    </xf>
    <xf numFmtId="0" fontId="4" fillId="6" borderId="36" xfId="0" applyFont="1" applyFill="1" applyBorder="1" applyAlignment="1">
      <alignment vertical="center"/>
    </xf>
    <xf numFmtId="0" fontId="4" fillId="6" borderId="28" xfId="0" applyFont="1" applyFill="1" applyBorder="1" applyAlignment="1">
      <alignment vertical="center"/>
    </xf>
    <xf numFmtId="164" fontId="25" fillId="0" borderId="0" xfId="0" applyNumberFormat="1" applyFont="1"/>
    <xf numFmtId="164" fontId="14" fillId="5" borderId="31" xfId="1" applyFont="1" applyFill="1" applyBorder="1"/>
    <xf numFmtId="4" fontId="14" fillId="5" borderId="27" xfId="0" applyNumberFormat="1" applyFont="1" applyFill="1" applyBorder="1"/>
    <xf numFmtId="1" fontId="4" fillId="0" borderId="1" xfId="3" applyNumberFormat="1" applyFont="1" applyFill="1" applyBorder="1" applyAlignment="1"/>
    <xf numFmtId="168" fontId="4" fillId="0" borderId="1" xfId="3" applyNumberFormat="1" applyFont="1" applyFill="1" applyBorder="1" applyAlignment="1"/>
    <xf numFmtId="0" fontId="11" fillId="9" borderId="6" xfId="0" applyFont="1" applyFill="1" applyBorder="1" applyAlignment="1">
      <alignment wrapText="1"/>
    </xf>
    <xf numFmtId="165" fontId="8" fillId="0" borderId="54" xfId="1" applyNumberFormat="1" applyFont="1" applyFill="1" applyBorder="1"/>
    <xf numFmtId="164" fontId="4" fillId="0" borderId="11" xfId="1" applyFont="1" applyBorder="1"/>
    <xf numFmtId="166" fontId="8" fillId="0" borderId="11" xfId="2" applyNumberFormat="1" applyFont="1" applyBorder="1"/>
    <xf numFmtId="164" fontId="8" fillId="0" borderId="53" xfId="1" applyFont="1" applyFill="1" applyBorder="1"/>
    <xf numFmtId="164" fontId="4" fillId="0" borderId="53" xfId="1" applyFont="1" applyFill="1" applyBorder="1"/>
    <xf numFmtId="165" fontId="4" fillId="0" borderId="53" xfId="1" applyNumberFormat="1" applyFont="1" applyFill="1" applyBorder="1"/>
    <xf numFmtId="1" fontId="8" fillId="0" borderId="11" xfId="0" applyNumberFormat="1" applyFont="1" applyFill="1" applyBorder="1"/>
    <xf numFmtId="1" fontId="8" fillId="0" borderId="39" xfId="0" applyNumberFormat="1" applyFont="1" applyFill="1" applyBorder="1"/>
    <xf numFmtId="1" fontId="8" fillId="0" borderId="55" xfId="0" applyNumberFormat="1" applyFont="1" applyFill="1" applyBorder="1"/>
    <xf numFmtId="165" fontId="4" fillId="0" borderId="40" xfId="1" applyNumberFormat="1" applyFont="1" applyFill="1" applyBorder="1"/>
    <xf numFmtId="166" fontId="4" fillId="0" borderId="39" xfId="2" applyNumberFormat="1" applyFont="1" applyFill="1" applyBorder="1"/>
    <xf numFmtId="0" fontId="8" fillId="0" borderId="53" xfId="1" applyNumberFormat="1" applyFont="1" applyFill="1" applyBorder="1"/>
    <xf numFmtId="0" fontId="4" fillId="0" borderId="53" xfId="1" applyNumberFormat="1" applyFont="1" applyFill="1" applyBorder="1"/>
    <xf numFmtId="167" fontId="4" fillId="0" borderId="11" xfId="1" applyNumberFormat="1" applyFont="1" applyFill="1" applyBorder="1"/>
    <xf numFmtId="164" fontId="8" fillId="0" borderId="11" xfId="3" applyFont="1" applyFill="1" applyBorder="1"/>
    <xf numFmtId="164" fontId="4" fillId="0" borderId="11" xfId="1" applyFont="1" applyFill="1" applyBorder="1" applyAlignment="1">
      <alignment horizontal="left" wrapText="1"/>
    </xf>
    <xf numFmtId="164" fontId="8" fillId="0" borderId="11" xfId="1" applyFont="1" applyFill="1" applyBorder="1" applyAlignment="1">
      <alignment horizontal="center" wrapText="1"/>
    </xf>
    <xf numFmtId="166" fontId="4" fillId="0" borderId="11" xfId="2" applyNumberFormat="1" applyFont="1" applyFill="1" applyBorder="1"/>
    <xf numFmtId="166" fontId="4" fillId="0" borderId="55" xfId="2" applyNumberFormat="1" applyFont="1" applyFill="1" applyBorder="1"/>
    <xf numFmtId="165" fontId="8" fillId="0" borderId="55" xfId="3" applyNumberFormat="1" applyFont="1" applyFill="1" applyBorder="1"/>
    <xf numFmtId="165" fontId="4" fillId="0" borderId="11" xfId="1" applyNumberFormat="1" applyFont="1" applyBorder="1"/>
    <xf numFmtId="0" fontId="8" fillId="0" borderId="11" xfId="0" applyFont="1" applyFill="1" applyBorder="1" applyAlignment="1">
      <alignment horizontal="center" wrapText="1"/>
    </xf>
    <xf numFmtId="165" fontId="4" fillId="0" borderId="55" xfId="3" applyNumberFormat="1" applyFont="1" applyFill="1" applyBorder="1"/>
    <xf numFmtId="164" fontId="25" fillId="4" borderId="22" xfId="1" applyFont="1" applyFill="1" applyBorder="1" applyAlignment="1">
      <alignment horizontal="center"/>
    </xf>
    <xf numFmtId="164" fontId="25" fillId="4" borderId="4" xfId="1" applyFont="1" applyFill="1" applyBorder="1" applyAlignment="1">
      <alignment horizontal="center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9" fillId="0" borderId="14" xfId="0" applyFont="1" applyFill="1" applyBorder="1" applyAlignment="1">
      <alignment horizontal="left" wrapText="1"/>
    </xf>
    <xf numFmtId="0" fontId="19" fillId="0" borderId="16" xfId="0" applyFont="1" applyFill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51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164" fontId="9" fillId="4" borderId="22" xfId="1" applyFont="1" applyFill="1" applyBorder="1" applyAlignment="1">
      <alignment horizontal="center"/>
    </xf>
    <xf numFmtId="164" fontId="9" fillId="4" borderId="4" xfId="1" applyFont="1" applyFill="1" applyBorder="1" applyAlignment="1">
      <alignment horizontal="center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8">
    <cellStyle name="Comma" xfId="1" builtinId="3"/>
    <cellStyle name="Comma 2" xfId="3" xr:uid="{00000000-0005-0000-0000-000001000000}"/>
    <cellStyle name="Comma 2 2" xfId="6" xr:uid="{00000000-0005-0000-0000-000002000000}"/>
    <cellStyle name="Comma 2 3" xfId="7" xr:uid="{00000000-0005-0000-0000-000001000000}"/>
    <cellStyle name="Comma 3" xfId="5" xr:uid="{00000000-0005-0000-0000-000003000000}"/>
    <cellStyle name="Comma 4" xfId="4" xr:uid="{00000000-0005-0000-0000-000030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63"/>
  <sheetViews>
    <sheetView zoomScale="110" zoomScaleNormal="11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X10" sqref="X10"/>
    </sheetView>
  </sheetViews>
  <sheetFormatPr defaultRowHeight="15.6" x14ac:dyDescent="0.3"/>
  <cols>
    <col min="1" max="1" width="39" style="344" customWidth="1"/>
    <col min="2" max="2" width="16.88671875" style="344" customWidth="1"/>
    <col min="3" max="3" width="12.5546875" style="344" customWidth="1"/>
    <col min="4" max="4" width="20.109375" style="344" bestFit="1" customWidth="1"/>
    <col min="5" max="9" width="19.88671875" style="344" bestFit="1" customWidth="1"/>
    <col min="10" max="10" width="19.109375" style="344" customWidth="1"/>
    <col min="11" max="11" width="23.109375" style="344" customWidth="1"/>
    <col min="12" max="12" width="22.6640625" style="344" customWidth="1"/>
    <col min="13" max="13" width="20.109375" style="344" bestFit="1" customWidth="1"/>
    <col min="14" max="15" width="19.109375" style="344" customWidth="1"/>
    <col min="16" max="16" width="21.109375" style="559" bestFit="1" customWidth="1"/>
    <col min="17" max="16384" width="8.88671875" style="344"/>
  </cols>
  <sheetData>
    <row r="1" spans="1:17" customFormat="1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7" customFormat="1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7" customFormat="1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1"/>
    </row>
    <row r="4" spans="1:17" customFormat="1" ht="18" thickBot="1" x14ac:dyDescent="0.35">
      <c r="A4" s="94" t="s">
        <v>221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7" customFormat="1" ht="14.4" customHeight="1" x14ac:dyDescent="0.3">
      <c r="A5" s="95" t="s">
        <v>221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7"/>
    </row>
    <row r="6" spans="1:17" customFormat="1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7" customFormat="1" ht="16.2" thickBot="1" x14ac:dyDescent="0.35">
      <c r="A7" s="241" t="s">
        <v>174</v>
      </c>
      <c r="B7" s="242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7" customFormat="1" ht="15" thickBot="1" x14ac:dyDescent="0.35">
      <c r="A8" s="302" t="s">
        <v>159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4"/>
      <c r="Q8" t="s">
        <v>223</v>
      </c>
    </row>
    <row r="9" spans="1:17" x14ac:dyDescent="0.3">
      <c r="A9" s="540" t="s">
        <v>176</v>
      </c>
      <c r="B9" s="541"/>
      <c r="C9" s="345" t="s">
        <v>152</v>
      </c>
      <c r="D9" s="346">
        <v>128967</v>
      </c>
      <c r="E9" s="346">
        <v>126274</v>
      </c>
      <c r="F9" s="346">
        <v>133435</v>
      </c>
      <c r="G9" s="346">
        <v>129170</v>
      </c>
      <c r="H9" s="346">
        <v>127011</v>
      </c>
      <c r="I9" s="346">
        <v>120296</v>
      </c>
      <c r="J9" s="628">
        <v>123700</v>
      </c>
      <c r="K9" s="346">
        <v>153120</v>
      </c>
      <c r="L9" s="346">
        <v>138608</v>
      </c>
      <c r="M9" s="346">
        <v>141058</v>
      </c>
      <c r="N9" s="346">
        <v>129551</v>
      </c>
      <c r="O9" s="346">
        <v>124206</v>
      </c>
      <c r="P9" s="548">
        <f>SUM(D9:O9)</f>
        <v>1575396</v>
      </c>
      <c r="Q9" s="417">
        <v>0</v>
      </c>
    </row>
    <row r="10" spans="1:17" x14ac:dyDescent="0.3">
      <c r="A10" s="470" t="s">
        <v>177</v>
      </c>
      <c r="B10" s="471"/>
      <c r="C10" s="471"/>
      <c r="D10" s="579"/>
      <c r="E10" s="579"/>
      <c r="F10" s="579"/>
      <c r="G10" s="471"/>
      <c r="H10" s="471"/>
      <c r="I10" s="471"/>
      <c r="J10" s="471"/>
      <c r="K10" s="471"/>
      <c r="L10" s="471"/>
      <c r="M10" s="471"/>
      <c r="N10" s="471"/>
      <c r="O10" s="471"/>
      <c r="P10" s="549"/>
    </row>
    <row r="11" spans="1:17" x14ac:dyDescent="0.3">
      <c r="A11" s="480" t="s">
        <v>157</v>
      </c>
      <c r="B11" s="481"/>
      <c r="C11" s="348" t="s">
        <v>152</v>
      </c>
      <c r="D11" s="349">
        <v>53390</v>
      </c>
      <c r="E11" s="349">
        <v>57141</v>
      </c>
      <c r="F11" s="349">
        <v>57885</v>
      </c>
      <c r="G11" s="349">
        <v>57872</v>
      </c>
      <c r="H11" s="349">
        <v>59635</v>
      </c>
      <c r="I11" s="349">
        <v>60374</v>
      </c>
      <c r="J11" s="629">
        <v>63088</v>
      </c>
      <c r="K11" s="349">
        <v>63200</v>
      </c>
      <c r="L11" s="349">
        <v>58777</v>
      </c>
      <c r="M11" s="349">
        <v>64972</v>
      </c>
      <c r="N11" s="349">
        <v>67205</v>
      </c>
      <c r="O11" s="349">
        <v>68023</v>
      </c>
      <c r="P11" s="350">
        <f>SUM(D11:O11)</f>
        <v>731562</v>
      </c>
    </row>
    <row r="12" spans="1:17" x14ac:dyDescent="0.3">
      <c r="A12" s="480" t="s">
        <v>156</v>
      </c>
      <c r="B12" s="481"/>
      <c r="C12" s="348" t="s">
        <v>152</v>
      </c>
      <c r="D12" s="349">
        <v>0</v>
      </c>
      <c r="E12" s="349">
        <v>0</v>
      </c>
      <c r="F12" s="349">
        <v>0</v>
      </c>
      <c r="G12" s="349">
        <v>0</v>
      </c>
      <c r="H12" s="349">
        <v>0</v>
      </c>
      <c r="I12" s="349">
        <v>0</v>
      </c>
      <c r="J12" s="349">
        <v>0</v>
      </c>
      <c r="K12" s="349">
        <v>0</v>
      </c>
      <c r="L12" s="349"/>
      <c r="M12" s="349">
        <v>0</v>
      </c>
      <c r="N12" s="349">
        <v>0</v>
      </c>
      <c r="O12" s="349">
        <v>0</v>
      </c>
      <c r="P12" s="350">
        <f>SUM(D12:O12)</f>
        <v>0</v>
      </c>
    </row>
    <row r="13" spans="1:17" x14ac:dyDescent="0.3">
      <c r="A13" s="480" t="s">
        <v>155</v>
      </c>
      <c r="B13" s="481"/>
      <c r="C13" s="348" t="s">
        <v>152</v>
      </c>
      <c r="D13" s="349">
        <v>315</v>
      </c>
      <c r="E13" s="349">
        <v>296</v>
      </c>
      <c r="F13" s="349">
        <v>309</v>
      </c>
      <c r="G13" s="349">
        <v>231</v>
      </c>
      <c r="H13" s="349">
        <v>307</v>
      </c>
      <c r="I13" s="349">
        <v>309</v>
      </c>
      <c r="J13" s="629">
        <v>289</v>
      </c>
      <c r="K13" s="349">
        <v>276</v>
      </c>
      <c r="L13" s="349">
        <v>279</v>
      </c>
      <c r="M13" s="349">
        <v>142</v>
      </c>
      <c r="N13" s="349">
        <v>120</v>
      </c>
      <c r="O13" s="349">
        <v>174</v>
      </c>
      <c r="P13" s="350">
        <f>SUM(D13:O13)</f>
        <v>3047</v>
      </c>
    </row>
    <row r="14" spans="1:17" x14ac:dyDescent="0.3">
      <c r="A14" s="473" t="s">
        <v>154</v>
      </c>
      <c r="B14" s="474"/>
      <c r="C14" s="348" t="s">
        <v>152</v>
      </c>
      <c r="D14" s="349">
        <v>217</v>
      </c>
      <c r="E14" s="349">
        <v>217</v>
      </c>
      <c r="F14" s="349">
        <v>78</v>
      </c>
      <c r="G14" s="349">
        <v>22</v>
      </c>
      <c r="H14" s="349">
        <v>105</v>
      </c>
      <c r="I14" s="349">
        <v>42</v>
      </c>
      <c r="J14" s="630">
        <v>47</v>
      </c>
      <c r="K14" s="349">
        <v>78</v>
      </c>
      <c r="L14" s="349">
        <v>105</v>
      </c>
      <c r="M14" s="349">
        <v>57</v>
      </c>
      <c r="N14" s="349">
        <v>60</v>
      </c>
      <c r="O14" s="349">
        <v>59</v>
      </c>
      <c r="P14" s="350">
        <f>SUM(D14:O14)</f>
        <v>1087</v>
      </c>
    </row>
    <row r="15" spans="1:17" s="353" customFormat="1" x14ac:dyDescent="0.3">
      <c r="A15" s="490" t="s">
        <v>158</v>
      </c>
      <c r="B15" s="491"/>
      <c r="C15" s="351" t="s">
        <v>152</v>
      </c>
      <c r="D15" s="352">
        <f t="shared" ref="D15" si="0">SUM(D11:D14)</f>
        <v>53922</v>
      </c>
      <c r="E15" s="352">
        <f t="shared" ref="E15" si="1">SUM(E11:E14)</f>
        <v>57654</v>
      </c>
      <c r="F15" s="352">
        <f t="shared" ref="F15" si="2">SUM(F11:F14)</f>
        <v>58272</v>
      </c>
      <c r="G15" s="352">
        <f t="shared" ref="G15" si="3">SUM(G11:G14)</f>
        <v>58125</v>
      </c>
      <c r="H15" s="352">
        <f t="shared" ref="H15" si="4">SUM(H11:H14)</f>
        <v>60047</v>
      </c>
      <c r="I15" s="352">
        <f t="shared" ref="I15" si="5">SUM(I11:I14)</f>
        <v>60725</v>
      </c>
      <c r="J15" s="352">
        <f t="shared" ref="J15" si="6">SUM(J11:J14)</f>
        <v>63424</v>
      </c>
      <c r="K15" s="352">
        <f t="shared" ref="K15" si="7">SUM(K11:K14)</f>
        <v>63554</v>
      </c>
      <c r="L15" s="352">
        <f t="shared" ref="L15" si="8">SUM(L11:L14)</f>
        <v>59161</v>
      </c>
      <c r="M15" s="352">
        <f t="shared" ref="M15" si="9">SUM(M11:M14)</f>
        <v>65171</v>
      </c>
      <c r="N15" s="352">
        <f t="shared" ref="N15" si="10">SUM(N11:N14)</f>
        <v>67385</v>
      </c>
      <c r="O15" s="352">
        <f t="shared" ref="O15" si="11">SUM(O11:O14)</f>
        <v>68256</v>
      </c>
      <c r="P15" s="350">
        <f t="shared" ref="P15" si="12">SUM(P11:P14)</f>
        <v>735696</v>
      </c>
    </row>
    <row r="16" spans="1:17" s="354" customFormat="1" x14ac:dyDescent="0.3">
      <c r="A16" s="470" t="s">
        <v>178</v>
      </c>
      <c r="B16" s="471"/>
      <c r="C16" s="471"/>
      <c r="D16" s="579"/>
      <c r="E16" s="579"/>
      <c r="F16" s="579"/>
      <c r="G16" s="471"/>
      <c r="H16" s="471"/>
      <c r="I16" s="471"/>
      <c r="J16" s="471"/>
      <c r="K16" s="471"/>
      <c r="L16" s="471"/>
      <c r="M16" s="471"/>
      <c r="N16" s="471"/>
      <c r="O16" s="471"/>
      <c r="P16" s="549"/>
    </row>
    <row r="17" spans="1:16" s="354" customFormat="1" x14ac:dyDescent="0.3">
      <c r="A17" s="480" t="s">
        <v>180</v>
      </c>
      <c r="B17" s="481"/>
      <c r="C17" s="348" t="s">
        <v>152</v>
      </c>
      <c r="D17" s="349">
        <v>13086.4</v>
      </c>
      <c r="E17" s="349">
        <v>17006.900000000001</v>
      </c>
      <c r="F17" s="349">
        <v>14082</v>
      </c>
      <c r="G17" s="349">
        <v>16217.299999999672</v>
      </c>
      <c r="H17" s="349">
        <v>15436</v>
      </c>
      <c r="I17" s="349">
        <v>15196.9</v>
      </c>
      <c r="J17" s="631">
        <v>16970.2</v>
      </c>
      <c r="K17" s="349">
        <v>17078.099999999999</v>
      </c>
      <c r="L17" s="349">
        <v>18202</v>
      </c>
      <c r="M17" s="349">
        <v>17323.599999999999</v>
      </c>
      <c r="N17" s="349">
        <v>23958.5</v>
      </c>
      <c r="O17" s="349">
        <v>17257.599999999999</v>
      </c>
      <c r="P17" s="350">
        <f>SUM(D17:O17)</f>
        <v>201815.49999999968</v>
      </c>
    </row>
    <row r="18" spans="1:16" s="354" customFormat="1" x14ac:dyDescent="0.3">
      <c r="A18" s="480" t="s">
        <v>181</v>
      </c>
      <c r="B18" s="481"/>
      <c r="C18" s="348" t="s">
        <v>152</v>
      </c>
      <c r="D18" s="349">
        <v>0</v>
      </c>
      <c r="E18" s="349">
        <v>0</v>
      </c>
      <c r="F18" s="349">
        <v>0</v>
      </c>
      <c r="G18" s="349">
        <v>0</v>
      </c>
      <c r="H18" s="349">
        <v>0</v>
      </c>
      <c r="I18" s="349">
        <v>0</v>
      </c>
      <c r="J18" s="349">
        <v>0</v>
      </c>
      <c r="K18" s="349">
        <v>0</v>
      </c>
      <c r="L18" s="349">
        <v>0</v>
      </c>
      <c r="M18" s="349">
        <v>0</v>
      </c>
      <c r="N18" s="349">
        <v>0</v>
      </c>
      <c r="O18" s="349">
        <v>0</v>
      </c>
      <c r="P18" s="350">
        <f>SUM(D18:O18)</f>
        <v>0</v>
      </c>
    </row>
    <row r="19" spans="1:16" s="354" customFormat="1" x14ac:dyDescent="0.3">
      <c r="A19" s="480" t="s">
        <v>182</v>
      </c>
      <c r="B19" s="481"/>
      <c r="C19" s="348" t="s">
        <v>152</v>
      </c>
      <c r="D19" s="349">
        <v>0</v>
      </c>
      <c r="E19" s="349">
        <v>0</v>
      </c>
      <c r="F19" s="349">
        <v>0</v>
      </c>
      <c r="G19" s="349">
        <v>0</v>
      </c>
      <c r="H19" s="349">
        <v>0</v>
      </c>
      <c r="I19" s="349">
        <v>0</v>
      </c>
      <c r="J19" s="349">
        <v>0</v>
      </c>
      <c r="K19" s="349">
        <v>0</v>
      </c>
      <c r="L19" s="349">
        <v>0</v>
      </c>
      <c r="M19" s="349">
        <v>0</v>
      </c>
      <c r="N19" s="349">
        <v>0</v>
      </c>
      <c r="O19" s="349">
        <v>0</v>
      </c>
      <c r="P19" s="350">
        <f>SUM(D19:O19)</f>
        <v>0</v>
      </c>
    </row>
    <row r="20" spans="1:16" s="354" customFormat="1" x14ac:dyDescent="0.3">
      <c r="A20" s="473" t="s">
        <v>183</v>
      </c>
      <c r="B20" s="474"/>
      <c r="C20" s="348" t="s">
        <v>152</v>
      </c>
      <c r="D20" s="349">
        <v>0</v>
      </c>
      <c r="E20" s="349">
        <v>0</v>
      </c>
      <c r="F20" s="349">
        <v>0</v>
      </c>
      <c r="G20" s="349">
        <v>0</v>
      </c>
      <c r="H20" s="349">
        <v>0</v>
      </c>
      <c r="I20" s="349">
        <v>0</v>
      </c>
      <c r="J20" s="349">
        <v>0</v>
      </c>
      <c r="K20" s="349">
        <v>0</v>
      </c>
      <c r="L20" s="349">
        <v>0</v>
      </c>
      <c r="M20" s="349">
        <v>0</v>
      </c>
      <c r="N20" s="349">
        <v>0</v>
      </c>
      <c r="O20" s="349">
        <v>0</v>
      </c>
      <c r="P20" s="350">
        <f>SUM(D20:O20)</f>
        <v>0</v>
      </c>
    </row>
    <row r="21" spans="1:16" s="355" customFormat="1" x14ac:dyDescent="0.3">
      <c r="A21" s="490" t="s">
        <v>184</v>
      </c>
      <c r="B21" s="491"/>
      <c r="C21" s="351" t="s">
        <v>152</v>
      </c>
      <c r="D21" s="352">
        <f>SUM(D17:D20)</f>
        <v>13086.4</v>
      </c>
      <c r="E21" s="352">
        <f t="shared" ref="E21:P21" si="13">SUM(E17:E20)</f>
        <v>17006.900000000001</v>
      </c>
      <c r="F21" s="352">
        <f t="shared" si="13"/>
        <v>14082</v>
      </c>
      <c r="G21" s="352">
        <f t="shared" si="13"/>
        <v>16217.299999999672</v>
      </c>
      <c r="H21" s="352">
        <f t="shared" si="13"/>
        <v>15436</v>
      </c>
      <c r="I21" s="352">
        <f t="shared" si="13"/>
        <v>15196.9</v>
      </c>
      <c r="J21" s="352">
        <f t="shared" si="13"/>
        <v>16970.2</v>
      </c>
      <c r="K21" s="352">
        <f t="shared" si="13"/>
        <v>17078.099999999999</v>
      </c>
      <c r="L21" s="352">
        <f t="shared" si="13"/>
        <v>18202</v>
      </c>
      <c r="M21" s="352">
        <f t="shared" si="13"/>
        <v>17323.599999999999</v>
      </c>
      <c r="N21" s="352">
        <f t="shared" si="13"/>
        <v>23958.5</v>
      </c>
      <c r="O21" s="352">
        <f t="shared" si="13"/>
        <v>17257.599999999999</v>
      </c>
      <c r="P21" s="350">
        <f t="shared" si="13"/>
        <v>201815.49999999968</v>
      </c>
    </row>
    <row r="22" spans="1:16" s="354" customFormat="1" x14ac:dyDescent="0.3">
      <c r="A22" s="356" t="s">
        <v>185</v>
      </c>
      <c r="B22" s="357"/>
      <c r="C22" s="348" t="s">
        <v>152</v>
      </c>
      <c r="D22" s="352">
        <f>D21+D15</f>
        <v>67008.399999999994</v>
      </c>
      <c r="E22" s="352">
        <f t="shared" ref="E22:P22" si="14">E21+E15</f>
        <v>74660.899999999994</v>
      </c>
      <c r="F22" s="352">
        <f t="shared" si="14"/>
        <v>72354</v>
      </c>
      <c r="G22" s="352">
        <f t="shared" si="14"/>
        <v>74342.299999999668</v>
      </c>
      <c r="H22" s="352">
        <f t="shared" si="14"/>
        <v>75483</v>
      </c>
      <c r="I22" s="352">
        <f t="shared" si="14"/>
        <v>75921.899999999994</v>
      </c>
      <c r="J22" s="352">
        <f t="shared" si="14"/>
        <v>80394.2</v>
      </c>
      <c r="K22" s="352">
        <f t="shared" si="14"/>
        <v>80632.100000000006</v>
      </c>
      <c r="L22" s="352">
        <f t="shared" si="14"/>
        <v>77363</v>
      </c>
      <c r="M22" s="352">
        <f t="shared" si="14"/>
        <v>82494.600000000006</v>
      </c>
      <c r="N22" s="352">
        <f t="shared" si="14"/>
        <v>91343.5</v>
      </c>
      <c r="O22" s="352">
        <f t="shared" si="14"/>
        <v>85513.600000000006</v>
      </c>
      <c r="P22" s="350">
        <f t="shared" si="14"/>
        <v>937511.49999999965</v>
      </c>
    </row>
    <row r="23" spans="1:16" x14ac:dyDescent="0.3">
      <c r="A23" s="532"/>
      <c r="B23" s="533"/>
      <c r="C23" s="533"/>
      <c r="D23" s="580">
        <v>0</v>
      </c>
      <c r="E23" s="580">
        <v>0</v>
      </c>
      <c r="F23" s="580">
        <v>0</v>
      </c>
      <c r="G23" s="615">
        <v>0</v>
      </c>
      <c r="H23" s="615">
        <v>0</v>
      </c>
      <c r="I23" s="615">
        <v>0</v>
      </c>
      <c r="J23" s="615">
        <v>0</v>
      </c>
      <c r="K23" s="615">
        <v>0</v>
      </c>
      <c r="L23" s="615">
        <v>0</v>
      </c>
      <c r="M23" s="533"/>
      <c r="N23" s="533"/>
      <c r="O23" s="533"/>
      <c r="P23" s="550"/>
    </row>
    <row r="24" spans="1:16" x14ac:dyDescent="0.3">
      <c r="A24" s="465" t="s">
        <v>179</v>
      </c>
      <c r="B24" s="358" t="s">
        <v>153</v>
      </c>
      <c r="C24" s="358" t="s">
        <v>152</v>
      </c>
      <c r="D24" s="581">
        <f>D9-D22</f>
        <v>61958.600000000006</v>
      </c>
      <c r="E24" s="581">
        <f t="shared" ref="E24:P24" si="15">E9-E22</f>
        <v>51613.100000000006</v>
      </c>
      <c r="F24" s="581">
        <f t="shared" si="15"/>
        <v>61081</v>
      </c>
      <c r="G24" s="359">
        <f t="shared" si="15"/>
        <v>54827.700000000332</v>
      </c>
      <c r="H24" s="359">
        <f t="shared" si="15"/>
        <v>51528</v>
      </c>
      <c r="I24" s="359">
        <f t="shared" si="15"/>
        <v>44374.100000000006</v>
      </c>
      <c r="J24" s="359">
        <f t="shared" si="15"/>
        <v>43305.8</v>
      </c>
      <c r="K24" s="359">
        <f t="shared" si="15"/>
        <v>72487.899999999994</v>
      </c>
      <c r="L24" s="359">
        <f t="shared" si="15"/>
        <v>61245</v>
      </c>
      <c r="M24" s="359">
        <f t="shared" si="15"/>
        <v>58563.399999999994</v>
      </c>
      <c r="N24" s="359">
        <f t="shared" si="15"/>
        <v>38207.5</v>
      </c>
      <c r="O24" s="359">
        <f t="shared" si="15"/>
        <v>38692.399999999994</v>
      </c>
      <c r="P24" s="360">
        <f t="shared" si="15"/>
        <v>637884.50000000035</v>
      </c>
    </row>
    <row r="25" spans="1:16" ht="16.2" thickBot="1" x14ac:dyDescent="0.35">
      <c r="A25" s="466"/>
      <c r="B25" s="361" t="s">
        <v>151</v>
      </c>
      <c r="C25" s="362" t="s">
        <v>6</v>
      </c>
      <c r="D25" s="613">
        <f>D24/D9</f>
        <v>0.48042212348895458</v>
      </c>
      <c r="E25" s="613">
        <f t="shared" ref="E25:F25" si="16">E24/E9</f>
        <v>0.40873893279693368</v>
      </c>
      <c r="F25" s="613">
        <f t="shared" si="16"/>
        <v>0.45775845917487917</v>
      </c>
      <c r="G25" s="363">
        <f t="shared" ref="G25:P25" si="17">G24/G9</f>
        <v>0.42446156228226622</v>
      </c>
      <c r="H25" s="363">
        <f t="shared" si="17"/>
        <v>0.40569714434182869</v>
      </c>
      <c r="I25" s="363">
        <f t="shared" si="17"/>
        <v>0.36887427678393303</v>
      </c>
      <c r="J25" s="363">
        <f t="shared" si="17"/>
        <v>0.35008730800323368</v>
      </c>
      <c r="K25" s="363">
        <f t="shared" si="17"/>
        <v>0.47340582549634269</v>
      </c>
      <c r="L25" s="363">
        <f t="shared" si="17"/>
        <v>0.44185761283619995</v>
      </c>
      <c r="M25" s="363">
        <f t="shared" si="17"/>
        <v>0.41517248224134751</v>
      </c>
      <c r="N25" s="363">
        <f t="shared" si="17"/>
        <v>0.29492246296825186</v>
      </c>
      <c r="O25" s="363">
        <f t="shared" si="17"/>
        <v>0.31151796209522886</v>
      </c>
      <c r="P25" s="364">
        <f t="shared" si="17"/>
        <v>0.40490422725460795</v>
      </c>
    </row>
    <row r="26" spans="1:16" x14ac:dyDescent="0.3">
      <c r="A26" s="535" t="s">
        <v>150</v>
      </c>
      <c r="B26" s="536"/>
      <c r="C26" s="536"/>
      <c r="D26" s="582"/>
      <c r="E26" s="582"/>
      <c r="F26" s="582"/>
      <c r="G26" s="536"/>
      <c r="H26" s="536"/>
      <c r="I26" s="536"/>
      <c r="J26" s="536"/>
      <c r="K26" s="536"/>
      <c r="L26" s="536"/>
      <c r="M26" s="536"/>
      <c r="N26" s="536"/>
      <c r="O26" s="536"/>
      <c r="P26" s="551"/>
    </row>
    <row r="27" spans="1:16" x14ac:dyDescent="0.3">
      <c r="A27" s="462" t="s">
        <v>149</v>
      </c>
      <c r="B27" s="463"/>
      <c r="C27" s="463"/>
      <c r="D27" s="583"/>
      <c r="E27" s="583"/>
      <c r="F27" s="583"/>
      <c r="G27" s="463"/>
      <c r="H27" s="463"/>
      <c r="I27" s="463"/>
      <c r="J27" s="463"/>
      <c r="K27" s="463"/>
      <c r="L27" s="463"/>
      <c r="M27" s="463"/>
      <c r="N27" s="463"/>
      <c r="O27" s="463"/>
      <c r="P27" s="552"/>
    </row>
    <row r="28" spans="1:16" x14ac:dyDescent="0.3">
      <c r="A28" s="365" t="s">
        <v>148</v>
      </c>
      <c r="B28" s="366" t="s">
        <v>147</v>
      </c>
      <c r="C28" s="367"/>
      <c r="D28" s="584">
        <v>0</v>
      </c>
      <c r="E28" s="584">
        <v>0</v>
      </c>
      <c r="F28" s="584">
        <v>0</v>
      </c>
      <c r="G28" s="368">
        <v>0</v>
      </c>
      <c r="H28" s="368"/>
      <c r="I28" s="368"/>
      <c r="J28" s="369"/>
      <c r="K28" s="369"/>
      <c r="L28" s="369"/>
      <c r="M28" s="369"/>
      <c r="N28" s="369"/>
      <c r="O28" s="368"/>
      <c r="P28" s="370"/>
    </row>
    <row r="29" spans="1:16" x14ac:dyDescent="0.3">
      <c r="A29" s="251" t="s">
        <v>146</v>
      </c>
      <c r="B29" s="249">
        <v>3525.29</v>
      </c>
      <c r="C29" s="358" t="s">
        <v>140</v>
      </c>
      <c r="D29" s="371">
        <v>393</v>
      </c>
      <c r="E29" s="371">
        <v>637</v>
      </c>
      <c r="F29" s="371">
        <v>599</v>
      </c>
      <c r="G29" s="371">
        <v>539</v>
      </c>
      <c r="H29" s="371">
        <v>517</v>
      </c>
      <c r="I29" s="371">
        <v>500</v>
      </c>
      <c r="J29" s="632">
        <v>525</v>
      </c>
      <c r="K29" s="371">
        <v>520</v>
      </c>
      <c r="L29" s="371">
        <v>450</v>
      </c>
      <c r="M29" s="371">
        <v>460</v>
      </c>
      <c r="N29" s="371">
        <v>546</v>
      </c>
      <c r="O29" s="371">
        <v>550</v>
      </c>
      <c r="P29" s="372">
        <f>SUM(D29:O29)</f>
        <v>6236</v>
      </c>
    </row>
    <row r="30" spans="1:16" x14ac:dyDescent="0.3">
      <c r="A30" s="252"/>
      <c r="B30" s="250"/>
      <c r="C30" s="373" t="s">
        <v>139</v>
      </c>
      <c r="D30" s="349">
        <f t="shared" ref="D30:P30" si="18">D29/(D9/1000)</f>
        <v>3.047291167507967</v>
      </c>
      <c r="E30" s="349">
        <f t="shared" si="18"/>
        <v>5.0445855837306173</v>
      </c>
      <c r="F30" s="349">
        <f t="shared" si="18"/>
        <v>4.4890770787274699</v>
      </c>
      <c r="G30" s="374">
        <f t="shared" si="18"/>
        <v>4.1727955407602391</v>
      </c>
      <c r="H30" s="374">
        <f t="shared" si="18"/>
        <v>4.0705135775641486</v>
      </c>
      <c r="I30" s="374">
        <f t="shared" si="18"/>
        <v>4.1564141783600448</v>
      </c>
      <c r="J30" s="374">
        <f t="shared" si="18"/>
        <v>4.2441390460792237</v>
      </c>
      <c r="K30" s="374">
        <f t="shared" si="18"/>
        <v>3.3960292580982236</v>
      </c>
      <c r="L30" s="374">
        <f t="shared" si="18"/>
        <v>3.2465658547847167</v>
      </c>
      <c r="M30" s="374">
        <f t="shared" si="18"/>
        <v>3.261069914503254</v>
      </c>
      <c r="N30" s="374">
        <f t="shared" si="18"/>
        <v>4.2145564295142455</v>
      </c>
      <c r="O30" s="374">
        <f t="shared" si="18"/>
        <v>4.4281274656618841</v>
      </c>
      <c r="P30" s="375">
        <f t="shared" si="18"/>
        <v>3.9583698320930103</v>
      </c>
    </row>
    <row r="31" spans="1:16" x14ac:dyDescent="0.3">
      <c r="A31" s="251" t="s">
        <v>145</v>
      </c>
      <c r="B31" s="249">
        <v>1060.0102199999999</v>
      </c>
      <c r="C31" s="358" t="s">
        <v>140</v>
      </c>
      <c r="D31" s="371">
        <v>800</v>
      </c>
      <c r="E31" s="371">
        <v>0</v>
      </c>
      <c r="F31" s="371">
        <v>0</v>
      </c>
      <c r="G31" s="371">
        <v>0</v>
      </c>
      <c r="H31" s="371"/>
      <c r="I31" s="371"/>
      <c r="J31" s="371"/>
      <c r="K31" s="371"/>
      <c r="L31" s="371"/>
      <c r="M31" s="371">
        <v>200</v>
      </c>
      <c r="N31" s="371">
        <v>50</v>
      </c>
      <c r="O31" s="371">
        <v>50</v>
      </c>
      <c r="P31" s="372">
        <f>SUM(D31:O31)</f>
        <v>1100</v>
      </c>
    </row>
    <row r="32" spans="1:16" x14ac:dyDescent="0.3">
      <c r="A32" s="252"/>
      <c r="B32" s="250"/>
      <c r="C32" s="373" t="s">
        <v>139</v>
      </c>
      <c r="D32" s="349">
        <f t="shared" ref="D32:P32" si="19">D31/(D9/1000)</f>
        <v>6.2031372366574384</v>
      </c>
      <c r="E32" s="349">
        <f t="shared" si="19"/>
        <v>0</v>
      </c>
      <c r="F32" s="349">
        <f t="shared" si="19"/>
        <v>0</v>
      </c>
      <c r="G32" s="374">
        <f t="shared" si="19"/>
        <v>0</v>
      </c>
      <c r="H32" s="374">
        <f t="shared" si="19"/>
        <v>0</v>
      </c>
      <c r="I32" s="374">
        <f t="shared" si="19"/>
        <v>0</v>
      </c>
      <c r="J32" s="374">
        <f t="shared" si="19"/>
        <v>0</v>
      </c>
      <c r="K32" s="374">
        <f t="shared" si="19"/>
        <v>0</v>
      </c>
      <c r="L32" s="374">
        <f t="shared" si="19"/>
        <v>0</v>
      </c>
      <c r="M32" s="374">
        <f t="shared" si="19"/>
        <v>1.4178564845666322</v>
      </c>
      <c r="N32" s="374">
        <f t="shared" si="19"/>
        <v>0.38594839098115802</v>
      </c>
      <c r="O32" s="374">
        <f t="shared" si="19"/>
        <v>0.40255704233289857</v>
      </c>
      <c r="P32" s="375">
        <f t="shared" si="19"/>
        <v>0.69823714164565609</v>
      </c>
    </row>
    <row r="33" spans="1:16" x14ac:dyDescent="0.3">
      <c r="A33" s="251" t="s">
        <v>144</v>
      </c>
      <c r="B33" s="249">
        <v>1228.2886000000001</v>
      </c>
      <c r="C33" s="358" t="s">
        <v>140</v>
      </c>
      <c r="D33" s="371">
        <v>0</v>
      </c>
      <c r="E33" s="371">
        <v>0</v>
      </c>
      <c r="F33" s="371">
        <v>0</v>
      </c>
      <c r="G33" s="371">
        <v>0</v>
      </c>
      <c r="H33" s="371"/>
      <c r="I33" s="371"/>
      <c r="J33" s="371"/>
      <c r="K33" s="371"/>
      <c r="L33" s="371"/>
      <c r="M33" s="371"/>
      <c r="N33" s="371"/>
      <c r="O33" s="371"/>
      <c r="P33" s="372">
        <f>SUM(D33:O33)</f>
        <v>0</v>
      </c>
    </row>
    <row r="34" spans="1:16" x14ac:dyDescent="0.3">
      <c r="A34" s="252"/>
      <c r="B34" s="250"/>
      <c r="C34" s="373" t="s">
        <v>139</v>
      </c>
      <c r="D34" s="349">
        <f t="shared" ref="D34:P34" si="20">D33/(D9/1000)</f>
        <v>0</v>
      </c>
      <c r="E34" s="349">
        <f t="shared" si="20"/>
        <v>0</v>
      </c>
      <c r="F34" s="349">
        <f t="shared" si="20"/>
        <v>0</v>
      </c>
      <c r="G34" s="374">
        <f t="shared" si="20"/>
        <v>0</v>
      </c>
      <c r="H34" s="374">
        <f t="shared" si="20"/>
        <v>0</v>
      </c>
      <c r="I34" s="374">
        <f t="shared" si="20"/>
        <v>0</v>
      </c>
      <c r="J34" s="374">
        <f t="shared" si="20"/>
        <v>0</v>
      </c>
      <c r="K34" s="374">
        <f t="shared" si="20"/>
        <v>0</v>
      </c>
      <c r="L34" s="374">
        <f t="shared" si="20"/>
        <v>0</v>
      </c>
      <c r="M34" s="374">
        <f t="shared" si="20"/>
        <v>0</v>
      </c>
      <c r="N34" s="374">
        <f t="shared" si="20"/>
        <v>0</v>
      </c>
      <c r="O34" s="374">
        <f t="shared" si="20"/>
        <v>0</v>
      </c>
      <c r="P34" s="375">
        <f t="shared" si="20"/>
        <v>0</v>
      </c>
    </row>
    <row r="35" spans="1:16" x14ac:dyDescent="0.3">
      <c r="A35" s="251" t="s">
        <v>143</v>
      </c>
      <c r="B35" s="249">
        <v>3726.7258000000002</v>
      </c>
      <c r="C35" s="358" t="s">
        <v>126</v>
      </c>
      <c r="D35" s="381">
        <v>0</v>
      </c>
      <c r="E35" s="381">
        <v>0</v>
      </c>
      <c r="F35" s="381">
        <v>0</v>
      </c>
      <c r="G35" s="376">
        <v>0</v>
      </c>
      <c r="H35" s="376"/>
      <c r="I35" s="376"/>
      <c r="J35" s="376"/>
      <c r="K35" s="376"/>
      <c r="L35" s="376"/>
      <c r="M35" s="376"/>
      <c r="N35" s="376"/>
      <c r="O35" s="376"/>
      <c r="P35" s="375"/>
    </row>
    <row r="36" spans="1:16" x14ac:dyDescent="0.3">
      <c r="A36" s="252"/>
      <c r="B36" s="250"/>
      <c r="C36" s="358" t="s">
        <v>142</v>
      </c>
      <c r="D36" s="381">
        <v>0</v>
      </c>
      <c r="E36" s="381">
        <v>0</v>
      </c>
      <c r="F36" s="381">
        <v>0</v>
      </c>
      <c r="G36" s="376">
        <v>0</v>
      </c>
      <c r="H36" s="376"/>
      <c r="I36" s="376"/>
      <c r="J36" s="376"/>
      <c r="K36" s="376"/>
      <c r="L36" s="376"/>
      <c r="M36" s="376"/>
      <c r="N36" s="376"/>
      <c r="O36" s="376"/>
      <c r="P36" s="375"/>
    </row>
    <row r="37" spans="1:16" x14ac:dyDescent="0.3">
      <c r="A37" s="251" t="s">
        <v>186</v>
      </c>
      <c r="B37" s="249">
        <v>3951.5935999999997</v>
      </c>
      <c r="C37" s="358" t="s">
        <v>126</v>
      </c>
      <c r="D37" s="371">
        <v>0</v>
      </c>
      <c r="E37" s="371">
        <v>0</v>
      </c>
      <c r="F37" s="371">
        <v>0</v>
      </c>
      <c r="G37" s="371">
        <v>0</v>
      </c>
      <c r="H37" s="371">
        <v>0</v>
      </c>
      <c r="I37" s="371">
        <v>0</v>
      </c>
      <c r="J37" s="371">
        <v>0</v>
      </c>
      <c r="K37" s="371">
        <v>0</v>
      </c>
      <c r="L37" s="371">
        <v>0</v>
      </c>
      <c r="M37" s="371">
        <v>0</v>
      </c>
      <c r="N37" s="371">
        <v>0</v>
      </c>
      <c r="O37" s="371">
        <v>0</v>
      </c>
      <c r="P37" s="372">
        <f>SUM(D37:O37)</f>
        <v>0</v>
      </c>
    </row>
    <row r="38" spans="1:16" x14ac:dyDescent="0.3">
      <c r="A38" s="252"/>
      <c r="B38" s="250"/>
      <c r="C38" s="358" t="s">
        <v>142</v>
      </c>
      <c r="D38" s="349">
        <f t="shared" ref="D38:P38" si="21">D37/(D9/1000)</f>
        <v>0</v>
      </c>
      <c r="E38" s="349">
        <f t="shared" si="21"/>
        <v>0</v>
      </c>
      <c r="F38" s="349">
        <f t="shared" si="21"/>
        <v>0</v>
      </c>
      <c r="G38" s="374">
        <f t="shared" si="21"/>
        <v>0</v>
      </c>
      <c r="H38" s="374">
        <f t="shared" si="21"/>
        <v>0</v>
      </c>
      <c r="I38" s="374">
        <f t="shared" si="21"/>
        <v>0</v>
      </c>
      <c r="J38" s="374">
        <f t="shared" si="21"/>
        <v>0</v>
      </c>
      <c r="K38" s="374">
        <f t="shared" si="21"/>
        <v>0</v>
      </c>
      <c r="L38" s="374">
        <f t="shared" si="21"/>
        <v>0</v>
      </c>
      <c r="M38" s="374">
        <f t="shared" si="21"/>
        <v>0</v>
      </c>
      <c r="N38" s="374">
        <f t="shared" si="21"/>
        <v>0</v>
      </c>
      <c r="O38" s="374">
        <f t="shared" si="21"/>
        <v>0</v>
      </c>
      <c r="P38" s="375">
        <f t="shared" si="21"/>
        <v>0</v>
      </c>
    </row>
    <row r="39" spans="1:16" x14ac:dyDescent="0.3">
      <c r="A39" s="251" t="s">
        <v>141</v>
      </c>
      <c r="B39" s="249">
        <v>1950</v>
      </c>
      <c r="C39" s="358" t="s">
        <v>140</v>
      </c>
      <c r="D39" s="371">
        <v>0</v>
      </c>
      <c r="E39" s="371">
        <v>0</v>
      </c>
      <c r="F39" s="371">
        <v>0</v>
      </c>
      <c r="G39" s="371">
        <v>0</v>
      </c>
      <c r="H39" s="371">
        <v>0</v>
      </c>
      <c r="I39" s="371">
        <v>0</v>
      </c>
      <c r="J39" s="371">
        <v>0</v>
      </c>
      <c r="K39" s="371">
        <v>0</v>
      </c>
      <c r="L39" s="371">
        <v>0</v>
      </c>
      <c r="M39" s="371">
        <v>0</v>
      </c>
      <c r="N39" s="371">
        <v>0</v>
      </c>
      <c r="O39" s="371">
        <v>0</v>
      </c>
      <c r="P39" s="372">
        <f>SUM(D39:O39)</f>
        <v>0</v>
      </c>
    </row>
    <row r="40" spans="1:16" x14ac:dyDescent="0.3">
      <c r="A40" s="252"/>
      <c r="B40" s="250"/>
      <c r="C40" s="373" t="s">
        <v>139</v>
      </c>
      <c r="D40" s="349">
        <f t="shared" ref="D40:P40" si="22">D39/(D9/1000)</f>
        <v>0</v>
      </c>
      <c r="E40" s="349">
        <f t="shared" si="22"/>
        <v>0</v>
      </c>
      <c r="F40" s="349">
        <f t="shared" si="22"/>
        <v>0</v>
      </c>
      <c r="G40" s="374">
        <f t="shared" si="22"/>
        <v>0</v>
      </c>
      <c r="H40" s="374">
        <f t="shared" si="22"/>
        <v>0</v>
      </c>
      <c r="I40" s="374">
        <f t="shared" si="22"/>
        <v>0</v>
      </c>
      <c r="J40" s="374">
        <f t="shared" si="22"/>
        <v>0</v>
      </c>
      <c r="K40" s="374">
        <f t="shared" si="22"/>
        <v>0</v>
      </c>
      <c r="L40" s="374">
        <f t="shared" si="22"/>
        <v>0</v>
      </c>
      <c r="M40" s="374">
        <f t="shared" si="22"/>
        <v>0</v>
      </c>
      <c r="N40" s="374">
        <f t="shared" si="22"/>
        <v>0</v>
      </c>
      <c r="O40" s="374">
        <f t="shared" si="22"/>
        <v>0</v>
      </c>
      <c r="P40" s="375">
        <f t="shared" si="22"/>
        <v>0</v>
      </c>
    </row>
    <row r="41" spans="1:16" x14ac:dyDescent="0.3">
      <c r="A41" s="473" t="s">
        <v>138</v>
      </c>
      <c r="B41" s="474"/>
      <c r="C41" s="348" t="s">
        <v>31</v>
      </c>
      <c r="D41" s="371">
        <f>(D29*$B29)+(D31*$B31)+(D33*$B33)+(D35*$B35)+(D37*$B37)+(D39*$B39)</f>
        <v>2233447.1459999997</v>
      </c>
      <c r="E41" s="371">
        <f t="shared" ref="E41:O41" si="23">(E29*$B29)+(E31*$B31)+(E33*$B33)+(E35*$B35)+(E37*$B37)+(E39*$B39)</f>
        <v>2245609.73</v>
      </c>
      <c r="F41" s="371">
        <f t="shared" si="23"/>
        <v>2111648.71</v>
      </c>
      <c r="G41" s="377">
        <f t="shared" si="23"/>
        <v>1900131.31</v>
      </c>
      <c r="H41" s="377">
        <f t="shared" si="23"/>
        <v>1822574.93</v>
      </c>
      <c r="I41" s="377">
        <f t="shared" si="23"/>
        <v>1762645</v>
      </c>
      <c r="J41" s="377">
        <f t="shared" si="23"/>
        <v>1850777.25</v>
      </c>
      <c r="K41" s="377">
        <f t="shared" si="23"/>
        <v>1833150.8</v>
      </c>
      <c r="L41" s="377">
        <f t="shared" si="23"/>
        <v>1586380.5</v>
      </c>
      <c r="M41" s="377">
        <f t="shared" si="23"/>
        <v>1833635.4439999999</v>
      </c>
      <c r="N41" s="377">
        <f t="shared" si="23"/>
        <v>1977808.851</v>
      </c>
      <c r="O41" s="377">
        <f t="shared" si="23"/>
        <v>1991910.0109999999</v>
      </c>
      <c r="P41" s="378">
        <f>SUM(D41:O41)</f>
        <v>23149719.682</v>
      </c>
    </row>
    <row r="42" spans="1:16" x14ac:dyDescent="0.3">
      <c r="A42" s="530" t="s">
        <v>137</v>
      </c>
      <c r="B42" s="531"/>
      <c r="C42" s="373" t="s">
        <v>115</v>
      </c>
      <c r="D42" s="349">
        <f t="shared" ref="D42:P42" si="24">D41/D9</f>
        <v>17.317973946823603</v>
      </c>
      <c r="E42" s="349">
        <f t="shared" si="24"/>
        <v>17.783627112469709</v>
      </c>
      <c r="F42" s="349">
        <f t="shared" si="24"/>
        <v>15.825298534867164</v>
      </c>
      <c r="G42" s="374">
        <f t="shared" si="24"/>
        <v>14.710314391886662</v>
      </c>
      <c r="H42" s="374">
        <f t="shared" si="24"/>
        <v>14.349740809851115</v>
      </c>
      <c r="I42" s="374">
        <f t="shared" si="24"/>
        <v>14.652565338830884</v>
      </c>
      <c r="J42" s="374">
        <f t="shared" si="24"/>
        <v>14.961820937752627</v>
      </c>
      <c r="K42" s="374">
        <f t="shared" si="24"/>
        <v>11.971987983281087</v>
      </c>
      <c r="L42" s="374">
        <f t="shared" si="24"/>
        <v>11.445086142214013</v>
      </c>
      <c r="M42" s="374">
        <f t="shared" si="24"/>
        <v>12.999159523033079</v>
      </c>
      <c r="N42" s="374">
        <f t="shared" si="24"/>
        <v>15.266642874234858</v>
      </c>
      <c r="O42" s="374">
        <f t="shared" si="24"/>
        <v>16.037148052429028</v>
      </c>
      <c r="P42" s="379">
        <f t="shared" si="24"/>
        <v>14.694540091507152</v>
      </c>
    </row>
    <row r="43" spans="1:16" x14ac:dyDescent="0.3">
      <c r="A43" s="519" t="s">
        <v>136</v>
      </c>
      <c r="B43" s="520"/>
      <c r="C43" s="520"/>
      <c r="D43" s="585"/>
      <c r="E43" s="585"/>
      <c r="F43" s="585"/>
      <c r="G43" s="520"/>
      <c r="H43" s="520"/>
      <c r="I43" s="520"/>
      <c r="J43" s="520"/>
      <c r="K43" s="520"/>
      <c r="L43" s="520"/>
      <c r="M43" s="520"/>
      <c r="N43" s="520"/>
      <c r="O43" s="520"/>
      <c r="P43" s="553"/>
    </row>
    <row r="44" spans="1:16" x14ac:dyDescent="0.3">
      <c r="A44" s="473" t="s">
        <v>135</v>
      </c>
      <c r="B44" s="474"/>
      <c r="C44" s="348" t="s">
        <v>134</v>
      </c>
      <c r="D44" s="371">
        <v>54247.48</v>
      </c>
      <c r="E44" s="371">
        <v>51735.72</v>
      </c>
      <c r="F44" s="371">
        <v>55889.72</v>
      </c>
      <c r="G44" s="371">
        <v>43469.55</v>
      </c>
      <c r="H44" s="371">
        <v>53270</v>
      </c>
      <c r="I44" s="371">
        <v>46683.67</v>
      </c>
      <c r="J44" s="633">
        <v>50503.33</v>
      </c>
      <c r="K44" s="371">
        <v>49244.12</v>
      </c>
      <c r="L44" s="371">
        <v>48473.760000000002</v>
      </c>
      <c r="M44" s="371">
        <v>48761.13</v>
      </c>
      <c r="N44" s="371">
        <v>48477.65</v>
      </c>
      <c r="O44" s="371">
        <v>47239.519999999997</v>
      </c>
      <c r="P44" s="378">
        <f>SUM(D44:O44)</f>
        <v>597995.65</v>
      </c>
    </row>
    <row r="45" spans="1:16" x14ac:dyDescent="0.3">
      <c r="A45" s="530" t="s">
        <v>133</v>
      </c>
      <c r="B45" s="531"/>
      <c r="C45" s="373" t="s">
        <v>132</v>
      </c>
      <c r="D45" s="374">
        <f t="shared" ref="D45:P45" si="25">D44/D9</f>
        <v>0.42063070397853719</v>
      </c>
      <c r="E45" s="374">
        <f t="shared" si="25"/>
        <v>0.40970999572358524</v>
      </c>
      <c r="F45" s="374">
        <f t="shared" si="25"/>
        <v>0.4188535241878068</v>
      </c>
      <c r="G45" s="374">
        <f t="shared" si="25"/>
        <v>0.33652976697375553</v>
      </c>
      <c r="H45" s="374">
        <f t="shared" si="25"/>
        <v>0.41941249183141616</v>
      </c>
      <c r="I45" s="374">
        <f t="shared" si="25"/>
        <v>0.38807333577176295</v>
      </c>
      <c r="J45" s="374">
        <f t="shared" si="25"/>
        <v>0.40827267582861765</v>
      </c>
      <c r="K45" s="374">
        <f t="shared" si="25"/>
        <v>0.32160475444096137</v>
      </c>
      <c r="L45" s="374">
        <f t="shared" si="25"/>
        <v>0.34971834237562049</v>
      </c>
      <c r="M45" s="374">
        <f t="shared" si="25"/>
        <v>0.3456814218264827</v>
      </c>
      <c r="N45" s="374">
        <f t="shared" si="25"/>
        <v>0.37419742032095471</v>
      </c>
      <c r="O45" s="374">
        <f t="shared" si="25"/>
        <v>0.38033202904851615</v>
      </c>
      <c r="P45" s="375">
        <f t="shared" si="25"/>
        <v>0.37958433942957837</v>
      </c>
    </row>
    <row r="46" spans="1:16" x14ac:dyDescent="0.3">
      <c r="A46" s="485" t="s">
        <v>131</v>
      </c>
      <c r="B46" s="486"/>
      <c r="C46" s="358" t="s">
        <v>31</v>
      </c>
      <c r="D46" s="349">
        <f>1.165*(14100+(D44*119.1))</f>
        <v>7543345.7212199997</v>
      </c>
      <c r="E46" s="349">
        <f t="shared" ref="E46:G46" si="26">1.165*(14100+(E44*119.1))</f>
        <v>7194835.2535799993</v>
      </c>
      <c r="F46" s="349">
        <f t="shared" si="26"/>
        <v>7771208.9845799999</v>
      </c>
      <c r="G46" s="380">
        <f t="shared" si="26"/>
        <v>6047891.7668250008</v>
      </c>
      <c r="H46" s="380">
        <f t="shared" ref="H46:O46" si="27">1.165*(16600+(H44*143.5))</f>
        <v>8924884.4250000007</v>
      </c>
      <c r="I46" s="380">
        <f t="shared" si="27"/>
        <v>7823798.2414250001</v>
      </c>
      <c r="J46" s="380">
        <f t="shared" si="27"/>
        <v>8462359.4510750007</v>
      </c>
      <c r="K46" s="380">
        <f t="shared" si="27"/>
        <v>8251847.8713000007</v>
      </c>
      <c r="L46" s="380">
        <f t="shared" si="27"/>
        <v>8123061.0124000013</v>
      </c>
      <c r="M46" s="380">
        <f t="shared" si="27"/>
        <v>8171102.8105749991</v>
      </c>
      <c r="N46" s="380">
        <f t="shared" si="27"/>
        <v>8123711.3328750003</v>
      </c>
      <c r="O46" s="380">
        <f t="shared" si="27"/>
        <v>7916723.8547999989</v>
      </c>
      <c r="P46" s="378">
        <f>SUM(D46:O46)</f>
        <v>94354770.725655004</v>
      </c>
    </row>
    <row r="47" spans="1:16" s="354" customFormat="1" x14ac:dyDescent="0.3">
      <c r="A47" s="473" t="s">
        <v>130</v>
      </c>
      <c r="B47" s="474"/>
      <c r="C47" s="348" t="s">
        <v>115</v>
      </c>
      <c r="D47" s="592">
        <f t="shared" ref="D47:P47" si="28">D46/D9</f>
        <v>58.490510915350434</v>
      </c>
      <c r="E47" s="592">
        <f t="shared" si="28"/>
        <v>56.977962633479571</v>
      </c>
      <c r="F47" s="592">
        <f t="shared" si="28"/>
        <v>58.239659643871548</v>
      </c>
      <c r="G47" s="374">
        <f t="shared" si="28"/>
        <v>46.821179583688171</v>
      </c>
      <c r="H47" s="374">
        <f t="shared" si="28"/>
        <v>70.268594255615668</v>
      </c>
      <c r="I47" s="374">
        <f t="shared" si="28"/>
        <v>65.037891878574513</v>
      </c>
      <c r="J47" s="374">
        <f t="shared" si="28"/>
        <v>68.410343177647533</v>
      </c>
      <c r="K47" s="374">
        <f t="shared" si="28"/>
        <v>53.891378469827593</v>
      </c>
      <c r="L47" s="374">
        <f t="shared" si="28"/>
        <v>58.604561153757366</v>
      </c>
      <c r="M47" s="374">
        <f t="shared" si="28"/>
        <v>57.927255530171976</v>
      </c>
      <c r="N47" s="374">
        <f t="shared" si="28"/>
        <v>62.706666354370093</v>
      </c>
      <c r="O47" s="374">
        <f t="shared" si="28"/>
        <v>63.738658799091823</v>
      </c>
      <c r="P47" s="375">
        <f t="shared" si="28"/>
        <v>59.892732192829612</v>
      </c>
    </row>
    <row r="48" spans="1:16" x14ac:dyDescent="0.3">
      <c r="A48" s="519" t="s">
        <v>129</v>
      </c>
      <c r="B48" s="520"/>
      <c r="C48" s="520"/>
      <c r="D48" s="585"/>
      <c r="E48" s="585"/>
      <c r="F48" s="585"/>
      <c r="G48" s="520"/>
      <c r="H48" s="520"/>
      <c r="I48" s="520"/>
      <c r="J48" s="520"/>
      <c r="K48" s="520"/>
      <c r="L48" s="520"/>
      <c r="M48" s="520"/>
      <c r="N48" s="520"/>
      <c r="O48" s="520"/>
      <c r="P48" s="553"/>
    </row>
    <row r="49" spans="1:16" x14ac:dyDescent="0.3">
      <c r="A49" s="473" t="s">
        <v>128</v>
      </c>
      <c r="B49" s="474"/>
      <c r="C49" s="358" t="s">
        <v>127</v>
      </c>
      <c r="D49" s="381">
        <v>3211</v>
      </c>
      <c r="E49" s="381">
        <v>4124</v>
      </c>
      <c r="F49" s="381">
        <v>4745</v>
      </c>
      <c r="G49" s="381">
        <v>6046</v>
      </c>
      <c r="H49" s="381">
        <v>5954</v>
      </c>
      <c r="I49" s="381">
        <v>7600</v>
      </c>
      <c r="J49" s="634">
        <v>7264</v>
      </c>
      <c r="K49" s="381">
        <v>4441</v>
      </c>
      <c r="L49" s="381">
        <v>4918</v>
      </c>
      <c r="M49" s="381">
        <v>12493</v>
      </c>
      <c r="N49" s="381">
        <v>10021</v>
      </c>
      <c r="O49" s="381">
        <v>8233</v>
      </c>
      <c r="P49" s="378">
        <f>SUM(D49:O49)</f>
        <v>79050</v>
      </c>
    </row>
    <row r="50" spans="1:16" x14ac:dyDescent="0.3">
      <c r="A50" s="473" t="s">
        <v>187</v>
      </c>
      <c r="B50" s="474"/>
      <c r="C50" s="358" t="s">
        <v>126</v>
      </c>
      <c r="D50" s="381">
        <v>908.93000000000006</v>
      </c>
      <c r="E50" s="381">
        <v>872.37000000000012</v>
      </c>
      <c r="F50" s="381">
        <v>1019.8000000000001</v>
      </c>
      <c r="G50" s="381">
        <v>970.56</v>
      </c>
      <c r="H50" s="381">
        <v>740.24</v>
      </c>
      <c r="I50" s="381">
        <v>935.5</v>
      </c>
      <c r="J50" s="634">
        <v>1312.42</v>
      </c>
      <c r="K50" s="381">
        <v>1044.8399999999999</v>
      </c>
      <c r="L50" s="381">
        <v>1089.26</v>
      </c>
      <c r="M50" s="381">
        <v>1230.21</v>
      </c>
      <c r="N50" s="381">
        <v>900.26</v>
      </c>
      <c r="O50" s="381">
        <v>1001.95</v>
      </c>
      <c r="P50" s="378">
        <f>SUM(D50:O50)</f>
        <v>12026.340000000002</v>
      </c>
    </row>
    <row r="51" spans="1:16" x14ac:dyDescent="0.3">
      <c r="A51" s="485" t="s">
        <v>125</v>
      </c>
      <c r="B51" s="486"/>
      <c r="C51" s="358" t="s">
        <v>31</v>
      </c>
      <c r="D51" s="381">
        <v>1745280</v>
      </c>
      <c r="E51" s="381">
        <v>1674240</v>
      </c>
      <c r="F51" s="381">
        <v>1958400</v>
      </c>
      <c r="G51" s="376">
        <v>1864320</v>
      </c>
      <c r="H51" s="376">
        <v>1420800</v>
      </c>
      <c r="I51" s="376">
        <v>1797120</v>
      </c>
      <c r="J51" s="635">
        <v>2519846.4000000004</v>
      </c>
      <c r="K51" s="376">
        <v>2856629.35</v>
      </c>
      <c r="L51" s="376">
        <v>2978036.84</v>
      </c>
      <c r="M51" s="376">
        <v>3362820</v>
      </c>
      <c r="N51" s="376">
        <v>2460600</v>
      </c>
      <c r="O51" s="376">
        <v>2739340.44</v>
      </c>
      <c r="P51" s="382">
        <f>SUM(D51:O51)</f>
        <v>27377433.030000001</v>
      </c>
    </row>
    <row r="52" spans="1:16" x14ac:dyDescent="0.3">
      <c r="A52" s="473" t="s">
        <v>124</v>
      </c>
      <c r="B52" s="474"/>
      <c r="C52" s="358" t="s">
        <v>31</v>
      </c>
      <c r="D52" s="381">
        <v>0</v>
      </c>
      <c r="E52" s="381">
        <v>0</v>
      </c>
      <c r="F52" s="381">
        <v>0</v>
      </c>
      <c r="G52" s="376">
        <v>0</v>
      </c>
      <c r="H52" s="376">
        <v>0</v>
      </c>
      <c r="I52" s="376">
        <v>0</v>
      </c>
      <c r="J52" s="376">
        <v>0</v>
      </c>
      <c r="K52" s="376">
        <v>0</v>
      </c>
      <c r="L52" s="376">
        <v>0</v>
      </c>
      <c r="M52" s="376">
        <v>0</v>
      </c>
      <c r="N52" s="376">
        <v>0</v>
      </c>
      <c r="O52" s="376">
        <v>0</v>
      </c>
      <c r="P52" s="382">
        <f>SUM(D52:O52)</f>
        <v>0</v>
      </c>
    </row>
    <row r="53" spans="1:16" x14ac:dyDescent="0.3">
      <c r="A53" s="519" t="s">
        <v>123</v>
      </c>
      <c r="B53" s="520"/>
      <c r="C53" s="520"/>
      <c r="D53" s="585"/>
      <c r="E53" s="585"/>
      <c r="F53" s="585"/>
      <c r="G53" s="520"/>
      <c r="H53" s="520"/>
      <c r="I53" s="520"/>
      <c r="J53" s="520"/>
      <c r="K53" s="520"/>
      <c r="L53" s="520"/>
      <c r="M53" s="520"/>
      <c r="N53" s="520"/>
      <c r="O53" s="520"/>
      <c r="P53" s="553"/>
    </row>
    <row r="54" spans="1:16" x14ac:dyDescent="0.3">
      <c r="A54" s="473" t="s">
        <v>122</v>
      </c>
      <c r="B54" s="474"/>
      <c r="C54" s="348" t="s">
        <v>18</v>
      </c>
      <c r="D54" s="578">
        <v>14882805.350000001</v>
      </c>
      <c r="E54" s="578">
        <v>15681987.470000001</v>
      </c>
      <c r="F54" s="578">
        <v>15211801.450000001</v>
      </c>
      <c r="G54" s="376">
        <v>10225635.959999997</v>
      </c>
      <c r="H54" s="376">
        <v>10566275.76</v>
      </c>
      <c r="I54" s="376">
        <v>13911789.26</v>
      </c>
      <c r="J54" s="636">
        <v>8899666.7599999998</v>
      </c>
      <c r="K54" s="376">
        <v>14295109.139999999</v>
      </c>
      <c r="L54" s="376">
        <v>20707414.459999997</v>
      </c>
      <c r="M54" s="376">
        <v>22340441.059999999</v>
      </c>
      <c r="N54" s="376">
        <v>22340441.059999999</v>
      </c>
      <c r="O54" s="376">
        <v>17246249.98</v>
      </c>
      <c r="P54" s="378">
        <f>SUM(D54:O54)</f>
        <v>186309617.70999998</v>
      </c>
    </row>
    <row r="55" spans="1:16" x14ac:dyDescent="0.3">
      <c r="A55" s="383" t="s">
        <v>121</v>
      </c>
      <c r="B55" s="357"/>
      <c r="C55" s="348" t="s">
        <v>18</v>
      </c>
      <c r="D55" s="578">
        <v>1799822.59</v>
      </c>
      <c r="E55" s="578">
        <v>1745495.58</v>
      </c>
      <c r="F55" s="578">
        <v>1660699.77</v>
      </c>
      <c r="G55" s="376">
        <v>2076986.5</v>
      </c>
      <c r="H55" s="376">
        <v>2621037.85</v>
      </c>
      <c r="I55" s="376">
        <v>3355774.6</v>
      </c>
      <c r="J55" s="636">
        <v>4258720.76</v>
      </c>
      <c r="K55" s="376">
        <v>2996999.99</v>
      </c>
      <c r="L55" s="376">
        <v>2725485.13</v>
      </c>
      <c r="M55" s="376">
        <v>4874442.83</v>
      </c>
      <c r="N55" s="376">
        <v>9592035.4700000007</v>
      </c>
      <c r="O55" s="376">
        <v>9343453.6300000008</v>
      </c>
      <c r="P55" s="378">
        <f>SUM(D55:O55)</f>
        <v>47050954.700000003</v>
      </c>
    </row>
    <row r="56" spans="1:16" x14ac:dyDescent="0.3">
      <c r="A56" s="473" t="s">
        <v>120</v>
      </c>
      <c r="B56" s="474"/>
      <c r="C56" s="358" t="s">
        <v>18</v>
      </c>
      <c r="D56" s="578">
        <v>1519850</v>
      </c>
      <c r="E56" s="578">
        <v>1518000</v>
      </c>
      <c r="F56" s="578">
        <v>1526250</v>
      </c>
      <c r="G56" s="376">
        <v>1531700</v>
      </c>
      <c r="H56" s="376">
        <v>1538600</v>
      </c>
      <c r="I56" s="376">
        <v>1552250</v>
      </c>
      <c r="J56" s="636">
        <v>1561400</v>
      </c>
      <c r="K56" s="376">
        <v>1564450</v>
      </c>
      <c r="L56" s="376">
        <v>1558750</v>
      </c>
      <c r="M56" s="376">
        <v>1400450</v>
      </c>
      <c r="N56" s="376">
        <v>1756800</v>
      </c>
      <c r="O56" s="376">
        <v>1678850</v>
      </c>
      <c r="P56" s="378">
        <f>SUM(D56:O56)</f>
        <v>18707350</v>
      </c>
    </row>
    <row r="57" spans="1:16" x14ac:dyDescent="0.3">
      <c r="A57" s="519" t="s">
        <v>119</v>
      </c>
      <c r="B57" s="520"/>
      <c r="C57" s="520"/>
      <c r="D57" s="585"/>
      <c r="E57" s="585"/>
      <c r="F57" s="585"/>
      <c r="G57" s="520"/>
      <c r="H57" s="520"/>
      <c r="I57" s="520"/>
      <c r="J57" s="520"/>
      <c r="K57" s="520"/>
      <c r="L57" s="520"/>
      <c r="M57" s="520"/>
      <c r="N57" s="520"/>
      <c r="O57" s="520"/>
      <c r="P57" s="553">
        <f>SUM(D57:O57)</f>
        <v>0</v>
      </c>
    </row>
    <row r="58" spans="1:16" x14ac:dyDescent="0.3">
      <c r="A58" s="485" t="s">
        <v>118</v>
      </c>
      <c r="B58" s="486"/>
      <c r="C58" s="358" t="s">
        <v>18</v>
      </c>
      <c r="D58" s="578">
        <f>D41+D46+D51+D52+D54+D55+D56</f>
        <v>29724550.807220001</v>
      </c>
      <c r="E58" s="578">
        <f t="shared" ref="E58:O58" si="29">E41+E46+E51+E52+E54+E55+E56</f>
        <v>30060168.033579998</v>
      </c>
      <c r="F58" s="578">
        <f t="shared" si="29"/>
        <v>30240008.914579999</v>
      </c>
      <c r="G58" s="376">
        <f t="shared" si="29"/>
        <v>23646665.536824998</v>
      </c>
      <c r="H58" s="376">
        <f t="shared" si="29"/>
        <v>26894172.965000004</v>
      </c>
      <c r="I58" s="376">
        <f t="shared" si="29"/>
        <v>30203377.101425</v>
      </c>
      <c r="J58" s="376">
        <f t="shared" si="29"/>
        <v>27552770.621074997</v>
      </c>
      <c r="K58" s="376">
        <f t="shared" si="29"/>
        <v>31798187.151299998</v>
      </c>
      <c r="L58" s="376">
        <f t="shared" si="29"/>
        <v>37679127.942400001</v>
      </c>
      <c r="M58" s="376">
        <f t="shared" si="29"/>
        <v>41982892.144575</v>
      </c>
      <c r="N58" s="376">
        <f t="shared" si="29"/>
        <v>46251396.713874996</v>
      </c>
      <c r="O58" s="376">
        <f t="shared" si="29"/>
        <v>40916527.915799998</v>
      </c>
      <c r="P58" s="384">
        <f>SUM(D58:O58)</f>
        <v>396949845.847655</v>
      </c>
    </row>
    <row r="59" spans="1:16" x14ac:dyDescent="0.3">
      <c r="A59" s="485" t="s">
        <v>117</v>
      </c>
      <c r="B59" s="486"/>
      <c r="C59" s="358" t="s">
        <v>115</v>
      </c>
      <c r="D59" s="592">
        <f t="shared" ref="D59:P59" si="30">D58/D9</f>
        <v>230.48183494397793</v>
      </c>
      <c r="E59" s="592">
        <f t="shared" si="30"/>
        <v>238.05508682373249</v>
      </c>
      <c r="F59" s="592">
        <f t="shared" si="30"/>
        <v>226.6272635708772</v>
      </c>
      <c r="G59" s="374">
        <f t="shared" si="30"/>
        <v>183.06623470484629</v>
      </c>
      <c r="H59" s="374">
        <f t="shared" si="30"/>
        <v>211.74680118257476</v>
      </c>
      <c r="I59" s="374">
        <f t="shared" si="30"/>
        <v>251.07548963743599</v>
      </c>
      <c r="J59" s="374">
        <f t="shared" si="30"/>
        <v>222.73864689632171</v>
      </c>
      <c r="K59" s="374">
        <f t="shared" si="30"/>
        <v>207.66841138518808</v>
      </c>
      <c r="L59" s="374">
        <f t="shared" si="30"/>
        <v>271.839489368579</v>
      </c>
      <c r="M59" s="374">
        <f t="shared" si="30"/>
        <v>297.62857934023594</v>
      </c>
      <c r="N59" s="374">
        <f t="shared" si="30"/>
        <v>357.01304284702547</v>
      </c>
      <c r="O59" s="374">
        <f t="shared" si="30"/>
        <v>329.42472920631855</v>
      </c>
      <c r="P59" s="375">
        <f t="shared" si="30"/>
        <v>251.96829612850038</v>
      </c>
    </row>
    <row r="60" spans="1:16" x14ac:dyDescent="0.3">
      <c r="A60" s="485" t="s">
        <v>116</v>
      </c>
      <c r="B60" s="486"/>
      <c r="C60" s="358" t="s">
        <v>115</v>
      </c>
      <c r="D60" s="592">
        <f>D58/D22</f>
        <v>443.59439722810879</v>
      </c>
      <c r="E60" s="592">
        <f t="shared" ref="E60:O60" si="31">E58/E22</f>
        <v>402.62263157261697</v>
      </c>
      <c r="F60" s="592">
        <f t="shared" si="31"/>
        <v>417.94522645023079</v>
      </c>
      <c r="G60" s="374">
        <f t="shared" si="31"/>
        <v>318.07820765331587</v>
      </c>
      <c r="H60" s="374">
        <f t="shared" si="31"/>
        <v>356.29443669435506</v>
      </c>
      <c r="I60" s="374">
        <f t="shared" si="31"/>
        <v>397.82167070930785</v>
      </c>
      <c r="J60" s="374">
        <f t="shared" si="31"/>
        <v>342.7208756486786</v>
      </c>
      <c r="K60" s="374">
        <f t="shared" si="31"/>
        <v>394.36139144707874</v>
      </c>
      <c r="L60" s="374">
        <f t="shared" si="31"/>
        <v>487.04326283106911</v>
      </c>
      <c r="M60" s="374">
        <f t="shared" si="31"/>
        <v>508.91685206758984</v>
      </c>
      <c r="N60" s="374">
        <f t="shared" si="31"/>
        <v>506.34579049275533</v>
      </c>
      <c r="O60" s="374">
        <f t="shared" si="31"/>
        <v>478.47977299283383</v>
      </c>
      <c r="P60" s="385">
        <f>P58/P22</f>
        <v>423.40797509967092</v>
      </c>
    </row>
    <row r="61" spans="1:16" x14ac:dyDescent="0.3">
      <c r="A61" s="473" t="s">
        <v>114</v>
      </c>
      <c r="B61" s="474"/>
      <c r="C61" s="358" t="s">
        <v>3</v>
      </c>
      <c r="D61" s="381">
        <v>24</v>
      </c>
      <c r="E61" s="381">
        <v>24</v>
      </c>
      <c r="F61" s="381">
        <v>24</v>
      </c>
      <c r="G61" s="381">
        <v>24</v>
      </c>
      <c r="H61" s="381">
        <v>24</v>
      </c>
      <c r="I61" s="381">
        <v>24</v>
      </c>
      <c r="J61" s="381">
        <v>24</v>
      </c>
      <c r="K61" s="381">
        <v>33</v>
      </c>
      <c r="L61" s="381">
        <v>33</v>
      </c>
      <c r="M61" s="381">
        <v>33</v>
      </c>
      <c r="N61" s="381">
        <v>33</v>
      </c>
      <c r="O61" s="381">
        <v>33</v>
      </c>
      <c r="P61" s="378">
        <f>O61</f>
        <v>33</v>
      </c>
    </row>
    <row r="62" spans="1:16" ht="15.6" customHeight="1" x14ac:dyDescent="0.3">
      <c r="A62" s="485" t="s">
        <v>113</v>
      </c>
      <c r="B62" s="486"/>
      <c r="C62" s="358" t="s">
        <v>112</v>
      </c>
      <c r="D62" s="592">
        <f t="shared" ref="D62:P62" si="32">(D61*1000*31)/D9</f>
        <v>5.7689176300914191</v>
      </c>
      <c r="E62" s="592">
        <f t="shared" si="32"/>
        <v>5.8919492532112709</v>
      </c>
      <c r="F62" s="592">
        <f t="shared" si="32"/>
        <v>5.5757484917750215</v>
      </c>
      <c r="G62" s="374">
        <f t="shared" si="32"/>
        <v>5.7598513586746147</v>
      </c>
      <c r="H62" s="374">
        <f t="shared" si="32"/>
        <v>5.8577603514656209</v>
      </c>
      <c r="I62" s="374">
        <f t="shared" si="32"/>
        <v>6.1847442973997468</v>
      </c>
      <c r="J62" s="374">
        <f t="shared" si="32"/>
        <v>6.014551333872272</v>
      </c>
      <c r="K62" s="374">
        <f t="shared" si="32"/>
        <v>6.681034482758621</v>
      </c>
      <c r="L62" s="374">
        <f t="shared" si="32"/>
        <v>7.3805263765439229</v>
      </c>
      <c r="M62" s="374">
        <f t="shared" si="32"/>
        <v>7.2523359185583232</v>
      </c>
      <c r="N62" s="374">
        <f t="shared" si="32"/>
        <v>7.896504079474493</v>
      </c>
      <c r="O62" s="374">
        <f t="shared" si="32"/>
        <v>8.2363170861311055</v>
      </c>
      <c r="P62" s="375">
        <f t="shared" si="32"/>
        <v>0.64936054173046021</v>
      </c>
    </row>
    <row r="63" spans="1:16" x14ac:dyDescent="0.3">
      <c r="A63" s="514" t="s">
        <v>111</v>
      </c>
      <c r="B63" s="515"/>
      <c r="C63" s="387" t="s">
        <v>3</v>
      </c>
      <c r="D63" s="381">
        <v>25</v>
      </c>
      <c r="E63" s="381">
        <v>25</v>
      </c>
      <c r="F63" s="381">
        <v>25</v>
      </c>
      <c r="G63" s="381">
        <v>47</v>
      </c>
      <c r="H63" s="381"/>
      <c r="I63" s="381">
        <v>25</v>
      </c>
      <c r="J63" s="381">
        <v>105</v>
      </c>
      <c r="K63" s="381">
        <v>136</v>
      </c>
      <c r="L63" s="381">
        <v>52</v>
      </c>
      <c r="M63" s="381">
        <v>90</v>
      </c>
      <c r="N63" s="381">
        <v>91</v>
      </c>
      <c r="O63" s="381">
        <v>91</v>
      </c>
      <c r="P63" s="378">
        <f>SUM(D63:O63)</f>
        <v>712</v>
      </c>
    </row>
    <row r="64" spans="1:16" x14ac:dyDescent="0.3">
      <c r="A64" s="516"/>
      <c r="B64" s="517"/>
      <c r="C64" s="517"/>
      <c r="D64" s="586"/>
      <c r="E64" s="586"/>
      <c r="F64" s="586"/>
      <c r="G64" s="517"/>
      <c r="H64" s="517"/>
      <c r="I64" s="517"/>
      <c r="J64" s="517"/>
      <c r="K64" s="517"/>
      <c r="L64" s="517"/>
      <c r="M64" s="517"/>
      <c r="N64" s="517"/>
      <c r="O64" s="517"/>
      <c r="P64" s="554"/>
    </row>
    <row r="65" spans="1:16" ht="14.4" customHeight="1" x14ac:dyDescent="0.3">
      <c r="A65" s="519" t="s">
        <v>110</v>
      </c>
      <c r="B65" s="520"/>
      <c r="C65" s="520"/>
      <c r="D65" s="585"/>
      <c r="E65" s="585"/>
      <c r="F65" s="585"/>
      <c r="G65" s="520"/>
      <c r="H65" s="520"/>
      <c r="I65" s="520"/>
      <c r="J65" s="520"/>
      <c r="K65" s="520"/>
      <c r="L65" s="520"/>
      <c r="M65" s="520"/>
      <c r="N65" s="520"/>
      <c r="O65" s="520"/>
      <c r="P65" s="553"/>
    </row>
    <row r="66" spans="1:16" x14ac:dyDescent="0.3">
      <c r="A66" s="465" t="s">
        <v>109</v>
      </c>
      <c r="B66" s="358" t="s">
        <v>85</v>
      </c>
      <c r="C66" s="358" t="s">
        <v>3</v>
      </c>
      <c r="D66" s="371">
        <v>1052</v>
      </c>
      <c r="E66" s="371">
        <v>1074</v>
      </c>
      <c r="F66" s="371">
        <v>1172</v>
      </c>
      <c r="G66" s="388">
        <v>1315</v>
      </c>
      <c r="H66" s="388">
        <v>1265</v>
      </c>
      <c r="I66" s="388">
        <v>1364</v>
      </c>
      <c r="J66" s="638">
        <v>1445</v>
      </c>
      <c r="K66" s="388">
        <v>838</v>
      </c>
      <c r="L66" s="388">
        <v>815</v>
      </c>
      <c r="M66" s="388">
        <v>857</v>
      </c>
      <c r="N66" s="388">
        <v>973</v>
      </c>
      <c r="O66" s="388">
        <v>810</v>
      </c>
      <c r="P66" s="389">
        <f>D66</f>
        <v>1052</v>
      </c>
    </row>
    <row r="67" spans="1:16" x14ac:dyDescent="0.3">
      <c r="A67" s="466"/>
      <c r="B67" s="348" t="s">
        <v>104</v>
      </c>
      <c r="C67" s="358" t="s">
        <v>3</v>
      </c>
      <c r="D67" s="381">
        <v>68</v>
      </c>
      <c r="E67" s="381">
        <v>123</v>
      </c>
      <c r="F67" s="381">
        <v>161</v>
      </c>
      <c r="G67" s="390">
        <v>27</v>
      </c>
      <c r="H67" s="390">
        <v>135</v>
      </c>
      <c r="I67" s="390">
        <v>111</v>
      </c>
      <c r="J67" s="637">
        <v>2134</v>
      </c>
      <c r="K67" s="390">
        <v>150</v>
      </c>
      <c r="L67" s="390">
        <v>108</v>
      </c>
      <c r="M67" s="390">
        <v>237</v>
      </c>
      <c r="N67" s="390">
        <v>200</v>
      </c>
      <c r="O67" s="390">
        <v>96</v>
      </c>
      <c r="P67" s="389">
        <f>SUM(D67:O67)</f>
        <v>3550</v>
      </c>
    </row>
    <row r="68" spans="1:16" x14ac:dyDescent="0.3">
      <c r="A68" s="466"/>
      <c r="B68" s="348" t="s">
        <v>103</v>
      </c>
      <c r="C68" s="358" t="s">
        <v>3</v>
      </c>
      <c r="D68" s="381">
        <v>0</v>
      </c>
      <c r="E68" s="381">
        <v>7</v>
      </c>
      <c r="F68" s="381">
        <v>0</v>
      </c>
      <c r="G68" s="376">
        <v>0</v>
      </c>
      <c r="H68" s="376">
        <v>0</v>
      </c>
      <c r="I68" s="376">
        <v>0</v>
      </c>
      <c r="J68" s="637">
        <v>0</v>
      </c>
      <c r="K68" s="649">
        <v>0</v>
      </c>
      <c r="L68" s="649">
        <v>0</v>
      </c>
      <c r="M68" s="649">
        <v>0</v>
      </c>
      <c r="N68" s="649">
        <v>0</v>
      </c>
      <c r="O68" s="649">
        <v>0</v>
      </c>
      <c r="P68" s="389">
        <f t="shared" ref="P68:P69" si="33">SUM(D68:O68)</f>
        <v>7</v>
      </c>
    </row>
    <row r="69" spans="1:16" s="354" customFormat="1" x14ac:dyDescent="0.3">
      <c r="A69" s="466"/>
      <c r="B69" s="348" t="s">
        <v>102</v>
      </c>
      <c r="C69" s="348" t="s">
        <v>3</v>
      </c>
      <c r="D69" s="381">
        <v>46</v>
      </c>
      <c r="E69" s="381">
        <v>18</v>
      </c>
      <c r="F69" s="381">
        <v>18</v>
      </c>
      <c r="G69" s="390">
        <v>77</v>
      </c>
      <c r="H69" s="390">
        <v>36</v>
      </c>
      <c r="I69" s="390">
        <v>30</v>
      </c>
      <c r="J69" s="639">
        <v>10</v>
      </c>
      <c r="K69" s="390">
        <v>6</v>
      </c>
      <c r="L69" s="390">
        <v>20</v>
      </c>
      <c r="M69" s="390">
        <v>121</v>
      </c>
      <c r="N69" s="390">
        <v>163</v>
      </c>
      <c r="O69" s="390">
        <v>190</v>
      </c>
      <c r="P69" s="391">
        <f t="shared" si="33"/>
        <v>735</v>
      </c>
    </row>
    <row r="70" spans="1:16" s="354" customFormat="1" x14ac:dyDescent="0.3">
      <c r="A70" s="466"/>
      <c r="B70" s="348" t="s">
        <v>188</v>
      </c>
      <c r="C70" s="348" t="s">
        <v>3</v>
      </c>
      <c r="D70" s="381">
        <f>D68+D69</f>
        <v>46</v>
      </c>
      <c r="E70" s="381">
        <f t="shared" ref="E70:J70" si="34">E68+E69</f>
        <v>25</v>
      </c>
      <c r="F70" s="381">
        <f t="shared" si="34"/>
        <v>18</v>
      </c>
      <c r="G70" s="390">
        <f t="shared" si="34"/>
        <v>77</v>
      </c>
      <c r="H70" s="390">
        <v>36</v>
      </c>
      <c r="I70" s="390">
        <f t="shared" si="34"/>
        <v>30</v>
      </c>
      <c r="J70" s="390">
        <f t="shared" si="34"/>
        <v>10</v>
      </c>
      <c r="K70" s="390">
        <f t="shared" ref="K70:P70" si="35">K68+K69</f>
        <v>6</v>
      </c>
      <c r="L70" s="390">
        <f t="shared" ref="L70" si="36">L68+L69</f>
        <v>20</v>
      </c>
      <c r="M70" s="390">
        <f t="shared" si="35"/>
        <v>121</v>
      </c>
      <c r="N70" s="390">
        <f t="shared" si="35"/>
        <v>163</v>
      </c>
      <c r="O70" s="390">
        <f t="shared" si="35"/>
        <v>190</v>
      </c>
      <c r="P70" s="392">
        <f t="shared" si="35"/>
        <v>742</v>
      </c>
    </row>
    <row r="71" spans="1:16" x14ac:dyDescent="0.3">
      <c r="A71" s="467"/>
      <c r="B71" s="358" t="s">
        <v>81</v>
      </c>
      <c r="C71" s="358" t="s">
        <v>3</v>
      </c>
      <c r="D71" s="352">
        <f>D66+D67-D70</f>
        <v>1074</v>
      </c>
      <c r="E71" s="352">
        <f t="shared" ref="E71:G71" si="37">E66+E67-E70</f>
        <v>1172</v>
      </c>
      <c r="F71" s="352">
        <f t="shared" si="37"/>
        <v>1315</v>
      </c>
      <c r="G71" s="393">
        <f t="shared" si="37"/>
        <v>1265</v>
      </c>
      <c r="H71" s="393">
        <f t="shared" ref="H71:K71" si="38">H66+H67-H70</f>
        <v>1364</v>
      </c>
      <c r="I71" s="393">
        <f t="shared" ref="I71" si="39">I66+I67-I70</f>
        <v>1445</v>
      </c>
      <c r="J71" s="393">
        <f t="shared" si="38"/>
        <v>3569</v>
      </c>
      <c r="K71" s="393">
        <f t="shared" si="38"/>
        <v>982</v>
      </c>
      <c r="L71" s="393">
        <f t="shared" ref="L71:O71" si="40">L66+L67-L70</f>
        <v>903</v>
      </c>
      <c r="M71" s="393">
        <f t="shared" si="40"/>
        <v>973</v>
      </c>
      <c r="N71" s="393">
        <f t="shared" si="40"/>
        <v>1010</v>
      </c>
      <c r="O71" s="393">
        <f t="shared" si="40"/>
        <v>716</v>
      </c>
      <c r="P71" s="394">
        <f>P66+P67-P70</f>
        <v>3860</v>
      </c>
    </row>
    <row r="72" spans="1:16" x14ac:dyDescent="0.3">
      <c r="A72" s="465" t="s">
        <v>108</v>
      </c>
      <c r="B72" s="358" t="s">
        <v>85</v>
      </c>
      <c r="C72" s="358" t="s">
        <v>3</v>
      </c>
      <c r="D72" s="371">
        <v>8</v>
      </c>
      <c r="E72" s="371">
        <v>8</v>
      </c>
      <c r="F72" s="371">
        <v>8</v>
      </c>
      <c r="G72" s="388">
        <v>8</v>
      </c>
      <c r="H72" s="388">
        <v>8</v>
      </c>
      <c r="I72" s="388">
        <v>8</v>
      </c>
      <c r="J72" s="388">
        <v>8</v>
      </c>
      <c r="K72" s="388">
        <v>8</v>
      </c>
      <c r="L72" s="388">
        <v>8</v>
      </c>
      <c r="M72" s="388"/>
      <c r="N72" s="388"/>
      <c r="O72" s="388"/>
      <c r="P72" s="389">
        <f>D72</f>
        <v>8</v>
      </c>
    </row>
    <row r="73" spans="1:16" x14ac:dyDescent="0.3">
      <c r="A73" s="466"/>
      <c r="B73" s="348" t="s">
        <v>104</v>
      </c>
      <c r="C73" s="358" t="s">
        <v>3</v>
      </c>
      <c r="D73" s="381">
        <v>0</v>
      </c>
      <c r="E73" s="381">
        <v>0</v>
      </c>
      <c r="F73" s="381">
        <v>0</v>
      </c>
      <c r="G73" s="376">
        <v>0</v>
      </c>
      <c r="H73" s="390"/>
      <c r="I73" s="390"/>
      <c r="J73" s="390"/>
      <c r="K73" s="390"/>
      <c r="L73" s="390"/>
      <c r="M73" s="390">
        <v>2</v>
      </c>
      <c r="N73" s="390">
        <v>2</v>
      </c>
      <c r="O73" s="390"/>
      <c r="P73" s="389">
        <f>SUM(D73:O73)</f>
        <v>4</v>
      </c>
    </row>
    <row r="74" spans="1:16" x14ac:dyDescent="0.3">
      <c r="A74" s="466"/>
      <c r="B74" s="348" t="s">
        <v>103</v>
      </c>
      <c r="C74" s="358" t="s">
        <v>3</v>
      </c>
      <c r="D74" s="381">
        <v>0</v>
      </c>
      <c r="E74" s="381">
        <v>0</v>
      </c>
      <c r="F74" s="381">
        <v>0</v>
      </c>
      <c r="G74" s="376">
        <v>0</v>
      </c>
      <c r="H74" s="390"/>
      <c r="I74" s="390"/>
      <c r="J74" s="390"/>
      <c r="K74" s="390"/>
      <c r="L74" s="390"/>
      <c r="M74" s="390"/>
      <c r="N74" s="390">
        <v>0</v>
      </c>
      <c r="O74" s="390"/>
      <c r="P74" s="389">
        <f t="shared" ref="P74:P75" si="41">SUM(D74:O74)</f>
        <v>0</v>
      </c>
    </row>
    <row r="75" spans="1:16" s="354" customFormat="1" x14ac:dyDescent="0.3">
      <c r="A75" s="466"/>
      <c r="B75" s="348" t="s">
        <v>102</v>
      </c>
      <c r="C75" s="348" t="s">
        <v>3</v>
      </c>
      <c r="D75" s="381">
        <v>0</v>
      </c>
      <c r="E75" s="381">
        <v>0</v>
      </c>
      <c r="F75" s="381">
        <v>0</v>
      </c>
      <c r="G75" s="376">
        <v>0</v>
      </c>
      <c r="H75" s="390"/>
      <c r="I75" s="390"/>
      <c r="J75" s="390"/>
      <c r="K75" s="390"/>
      <c r="L75" s="390"/>
      <c r="M75" s="390">
        <v>2</v>
      </c>
      <c r="N75" s="390">
        <v>2</v>
      </c>
      <c r="O75" s="390"/>
      <c r="P75" s="391">
        <f t="shared" si="41"/>
        <v>4</v>
      </c>
    </row>
    <row r="76" spans="1:16" s="354" customFormat="1" x14ac:dyDescent="0.3">
      <c r="A76" s="466"/>
      <c r="B76" s="348" t="s">
        <v>188</v>
      </c>
      <c r="C76" s="348" t="s">
        <v>3</v>
      </c>
      <c r="D76" s="381">
        <f>D74+D75</f>
        <v>0</v>
      </c>
      <c r="E76" s="381">
        <f t="shared" ref="E76:O76" si="42">E74+E75</f>
        <v>0</v>
      </c>
      <c r="F76" s="381">
        <f t="shared" si="42"/>
        <v>0</v>
      </c>
      <c r="G76" s="376">
        <v>0</v>
      </c>
      <c r="H76" s="390">
        <f t="shared" si="42"/>
        <v>0</v>
      </c>
      <c r="I76" s="390">
        <f t="shared" si="42"/>
        <v>0</v>
      </c>
      <c r="J76" s="390">
        <f t="shared" si="42"/>
        <v>0</v>
      </c>
      <c r="K76" s="390">
        <f t="shared" si="42"/>
        <v>0</v>
      </c>
      <c r="L76" s="390">
        <f t="shared" si="42"/>
        <v>0</v>
      </c>
      <c r="M76" s="390">
        <f t="shared" si="42"/>
        <v>2</v>
      </c>
      <c r="N76" s="390">
        <f t="shared" si="42"/>
        <v>2</v>
      </c>
      <c r="O76" s="390">
        <f t="shared" si="42"/>
        <v>0</v>
      </c>
      <c r="P76" s="392">
        <f t="shared" ref="P76" si="43">P74+P75</f>
        <v>4</v>
      </c>
    </row>
    <row r="77" spans="1:16" x14ac:dyDescent="0.3">
      <c r="A77" s="467"/>
      <c r="B77" s="358" t="s">
        <v>81</v>
      </c>
      <c r="C77" s="358" t="s">
        <v>3</v>
      </c>
      <c r="D77" s="352">
        <f>D72+D73-D76</f>
        <v>8</v>
      </c>
      <c r="E77" s="352">
        <f t="shared" ref="E77:O77" si="44">E72+E73-E76</f>
        <v>8</v>
      </c>
      <c r="F77" s="352">
        <f t="shared" si="44"/>
        <v>8</v>
      </c>
      <c r="G77" s="393">
        <f t="shared" si="44"/>
        <v>8</v>
      </c>
      <c r="H77" s="393">
        <f t="shared" si="44"/>
        <v>8</v>
      </c>
      <c r="I77" s="393">
        <f t="shared" si="44"/>
        <v>8</v>
      </c>
      <c r="J77" s="393">
        <f t="shared" si="44"/>
        <v>8</v>
      </c>
      <c r="K77" s="393">
        <f t="shared" si="44"/>
        <v>8</v>
      </c>
      <c r="L77" s="393">
        <f t="shared" si="44"/>
        <v>8</v>
      </c>
      <c r="M77" s="393">
        <f t="shared" si="44"/>
        <v>0</v>
      </c>
      <c r="N77" s="393">
        <f t="shared" si="44"/>
        <v>0</v>
      </c>
      <c r="O77" s="393">
        <f t="shared" si="44"/>
        <v>0</v>
      </c>
      <c r="P77" s="394">
        <f>P72+P73-P76</f>
        <v>8</v>
      </c>
    </row>
    <row r="78" spans="1:16" ht="15.6" customHeight="1" x14ac:dyDescent="0.3">
      <c r="A78" s="465" t="s">
        <v>107</v>
      </c>
      <c r="B78" s="358" t="s">
        <v>85</v>
      </c>
      <c r="C78" s="358" t="s">
        <v>3</v>
      </c>
      <c r="D78" s="371">
        <v>9</v>
      </c>
      <c r="E78" s="371">
        <v>9</v>
      </c>
      <c r="F78" s="371">
        <v>9</v>
      </c>
      <c r="G78" s="388">
        <v>9</v>
      </c>
      <c r="H78" s="388">
        <v>9</v>
      </c>
      <c r="I78" s="388">
        <v>9</v>
      </c>
      <c r="J78" s="388">
        <v>9</v>
      </c>
      <c r="K78" s="388">
        <v>9</v>
      </c>
      <c r="L78" s="388"/>
      <c r="M78" s="388"/>
      <c r="N78" s="388">
        <v>1</v>
      </c>
      <c r="O78" s="388">
        <v>1</v>
      </c>
      <c r="P78" s="389">
        <f>D78</f>
        <v>9</v>
      </c>
    </row>
    <row r="79" spans="1:16" x14ac:dyDescent="0.3">
      <c r="A79" s="466"/>
      <c r="B79" s="348" t="s">
        <v>104</v>
      </c>
      <c r="C79" s="358" t="s">
        <v>3</v>
      </c>
      <c r="D79" s="381">
        <v>0</v>
      </c>
      <c r="E79" s="381">
        <v>0</v>
      </c>
      <c r="F79" s="381">
        <v>0</v>
      </c>
      <c r="G79" s="376">
        <v>0</v>
      </c>
      <c r="H79" s="390"/>
      <c r="I79" s="390"/>
      <c r="J79" s="390"/>
      <c r="K79" s="390"/>
      <c r="L79" s="390"/>
      <c r="M79" s="390">
        <v>10</v>
      </c>
      <c r="N79" s="390">
        <v>4</v>
      </c>
      <c r="O79" s="390">
        <v>8</v>
      </c>
      <c r="P79" s="389">
        <f>SUM(D79:O79)</f>
        <v>22</v>
      </c>
    </row>
    <row r="80" spans="1:16" x14ac:dyDescent="0.3">
      <c r="A80" s="466"/>
      <c r="B80" s="348" t="s">
        <v>103</v>
      </c>
      <c r="C80" s="358" t="s">
        <v>3</v>
      </c>
      <c r="D80" s="381">
        <v>0</v>
      </c>
      <c r="E80" s="381">
        <v>0</v>
      </c>
      <c r="F80" s="381">
        <v>0</v>
      </c>
      <c r="G80" s="376">
        <v>0</v>
      </c>
      <c r="H80" s="390"/>
      <c r="I80" s="390"/>
      <c r="J80" s="390"/>
      <c r="K80" s="390"/>
      <c r="L80" s="390"/>
      <c r="M80" s="390"/>
      <c r="N80" s="390"/>
      <c r="O80" s="390"/>
      <c r="P80" s="389">
        <f>SUM(D80:O80)</f>
        <v>0</v>
      </c>
    </row>
    <row r="81" spans="1:16" s="354" customFormat="1" x14ac:dyDescent="0.3">
      <c r="A81" s="466"/>
      <c r="B81" s="348" t="s">
        <v>102</v>
      </c>
      <c r="C81" s="348" t="s">
        <v>3</v>
      </c>
      <c r="D81" s="381">
        <v>0</v>
      </c>
      <c r="E81" s="381">
        <v>0</v>
      </c>
      <c r="F81" s="381">
        <v>0</v>
      </c>
      <c r="G81" s="376">
        <v>0</v>
      </c>
      <c r="H81" s="390"/>
      <c r="I81" s="390"/>
      <c r="J81" s="390"/>
      <c r="K81" s="390"/>
      <c r="L81" s="390"/>
      <c r="M81" s="390">
        <v>9</v>
      </c>
      <c r="N81" s="390">
        <v>4</v>
      </c>
      <c r="O81" s="390">
        <v>8</v>
      </c>
      <c r="P81" s="391">
        <f>SUM(D81:O81)</f>
        <v>21</v>
      </c>
    </row>
    <row r="82" spans="1:16" s="354" customFormat="1" x14ac:dyDescent="0.3">
      <c r="A82" s="466"/>
      <c r="B82" s="348" t="s">
        <v>188</v>
      </c>
      <c r="C82" s="348" t="s">
        <v>3</v>
      </c>
      <c r="D82" s="381">
        <f>D80+D81</f>
        <v>0</v>
      </c>
      <c r="E82" s="381">
        <f t="shared" ref="E82:J82" si="45">E80+E81</f>
        <v>0</v>
      </c>
      <c r="F82" s="381">
        <f t="shared" si="45"/>
        <v>0</v>
      </c>
      <c r="G82" s="376">
        <v>0</v>
      </c>
      <c r="H82" s="390">
        <f t="shared" si="45"/>
        <v>0</v>
      </c>
      <c r="I82" s="390">
        <f t="shared" si="45"/>
        <v>0</v>
      </c>
      <c r="J82" s="390">
        <f t="shared" si="45"/>
        <v>0</v>
      </c>
      <c r="K82" s="390">
        <f t="shared" ref="K82:L82" si="46">K80+K81</f>
        <v>0</v>
      </c>
      <c r="L82" s="390">
        <f t="shared" si="46"/>
        <v>0</v>
      </c>
      <c r="M82" s="390">
        <v>9</v>
      </c>
      <c r="N82" s="390">
        <f t="shared" ref="N82:P82" si="47">N81+N80</f>
        <v>4</v>
      </c>
      <c r="O82" s="390">
        <f t="shared" si="47"/>
        <v>8</v>
      </c>
      <c r="P82" s="395">
        <f t="shared" si="47"/>
        <v>21</v>
      </c>
    </row>
    <row r="83" spans="1:16" x14ac:dyDescent="0.3">
      <c r="A83" s="467"/>
      <c r="B83" s="358" t="s">
        <v>81</v>
      </c>
      <c r="C83" s="358" t="s">
        <v>3</v>
      </c>
      <c r="D83" s="352">
        <v>8</v>
      </c>
      <c r="E83" s="352">
        <f t="shared" ref="E83:H83" si="48">E78+E79-E82</f>
        <v>9</v>
      </c>
      <c r="F83" s="352">
        <f t="shared" si="48"/>
        <v>9</v>
      </c>
      <c r="G83" s="393">
        <f t="shared" si="48"/>
        <v>9</v>
      </c>
      <c r="H83" s="393">
        <f t="shared" si="48"/>
        <v>9</v>
      </c>
      <c r="I83" s="393">
        <f t="shared" ref="I83" si="49">I78+I79-I82</f>
        <v>9</v>
      </c>
      <c r="J83" s="393">
        <f t="shared" ref="J83:P83" si="50">J78+J79-J82</f>
        <v>9</v>
      </c>
      <c r="K83" s="393">
        <f t="shared" ref="K83:O83" si="51">K78+K79-K82</f>
        <v>9</v>
      </c>
      <c r="L83" s="393">
        <v>9</v>
      </c>
      <c r="M83" s="393">
        <f t="shared" si="51"/>
        <v>1</v>
      </c>
      <c r="N83" s="393">
        <f t="shared" si="51"/>
        <v>1</v>
      </c>
      <c r="O83" s="393">
        <f t="shared" si="51"/>
        <v>1</v>
      </c>
      <c r="P83" s="396">
        <f t="shared" si="50"/>
        <v>10</v>
      </c>
    </row>
    <row r="84" spans="1:16" x14ac:dyDescent="0.3">
      <c r="A84" s="522" t="s">
        <v>106</v>
      </c>
      <c r="B84" s="358" t="s">
        <v>85</v>
      </c>
      <c r="C84" s="358" t="s">
        <v>3</v>
      </c>
      <c r="D84" s="371">
        <v>0</v>
      </c>
      <c r="E84" s="371">
        <v>0</v>
      </c>
      <c r="F84" s="371">
        <v>0</v>
      </c>
      <c r="G84" s="388">
        <v>0</v>
      </c>
      <c r="H84" s="388"/>
      <c r="I84" s="388"/>
      <c r="J84" s="388"/>
      <c r="K84" s="388"/>
      <c r="L84" s="388"/>
      <c r="M84" s="388"/>
      <c r="N84" s="388"/>
      <c r="O84" s="388"/>
      <c r="P84" s="389">
        <f>D84</f>
        <v>0</v>
      </c>
    </row>
    <row r="85" spans="1:16" x14ac:dyDescent="0.3">
      <c r="A85" s="523"/>
      <c r="B85" s="358" t="s">
        <v>104</v>
      </c>
      <c r="C85" s="358" t="s">
        <v>3</v>
      </c>
      <c r="D85" s="371">
        <v>0</v>
      </c>
      <c r="E85" s="371">
        <v>0</v>
      </c>
      <c r="F85" s="371">
        <v>0</v>
      </c>
      <c r="G85" s="376">
        <v>0</v>
      </c>
      <c r="H85" s="390"/>
      <c r="I85" s="390"/>
      <c r="J85" s="390"/>
      <c r="K85" s="390"/>
      <c r="L85" s="390"/>
      <c r="M85" s="390"/>
      <c r="N85" s="390"/>
      <c r="O85" s="390"/>
      <c r="P85" s="389">
        <f>SUM(D85:O85)</f>
        <v>0</v>
      </c>
    </row>
    <row r="86" spans="1:16" x14ac:dyDescent="0.3">
      <c r="A86" s="523"/>
      <c r="B86" s="358" t="s">
        <v>103</v>
      </c>
      <c r="C86" s="358" t="s">
        <v>3</v>
      </c>
      <c r="D86" s="371">
        <v>0</v>
      </c>
      <c r="E86" s="371">
        <v>0</v>
      </c>
      <c r="F86" s="371">
        <v>0</v>
      </c>
      <c r="G86" s="376">
        <v>0</v>
      </c>
      <c r="H86" s="390"/>
      <c r="I86" s="390"/>
      <c r="J86" s="390"/>
      <c r="K86" s="390"/>
      <c r="L86" s="390"/>
      <c r="M86" s="390"/>
      <c r="N86" s="390"/>
      <c r="O86" s="390"/>
      <c r="P86" s="389">
        <f t="shared" ref="P86:P88" si="52">SUM(D86:O86)</f>
        <v>0</v>
      </c>
    </row>
    <row r="87" spans="1:16" s="354" customFormat="1" x14ac:dyDescent="0.3">
      <c r="A87" s="523"/>
      <c r="B87" s="348" t="s">
        <v>102</v>
      </c>
      <c r="C87" s="348" t="s">
        <v>3</v>
      </c>
      <c r="D87" s="371">
        <v>0</v>
      </c>
      <c r="E87" s="371">
        <v>0</v>
      </c>
      <c r="F87" s="371">
        <v>0</v>
      </c>
      <c r="G87" s="376">
        <v>0</v>
      </c>
      <c r="H87" s="390"/>
      <c r="I87" s="390"/>
      <c r="J87" s="390"/>
      <c r="K87" s="390"/>
      <c r="L87" s="390"/>
      <c r="M87" s="390"/>
      <c r="N87" s="390"/>
      <c r="O87" s="390"/>
      <c r="P87" s="389">
        <f t="shared" si="52"/>
        <v>0</v>
      </c>
    </row>
    <row r="88" spans="1:16" s="354" customFormat="1" x14ac:dyDescent="0.3">
      <c r="A88" s="523"/>
      <c r="B88" s="348" t="s">
        <v>188</v>
      </c>
      <c r="C88" s="348" t="s">
        <v>3</v>
      </c>
      <c r="D88" s="371">
        <v>0</v>
      </c>
      <c r="E88" s="371">
        <v>0</v>
      </c>
      <c r="F88" s="371">
        <v>0</v>
      </c>
      <c r="G88" s="376">
        <v>0</v>
      </c>
      <c r="H88" s="390">
        <f t="shared" ref="H88:J88" si="53">H86+H87</f>
        <v>0</v>
      </c>
      <c r="I88" s="390">
        <f t="shared" si="53"/>
        <v>0</v>
      </c>
      <c r="J88" s="390">
        <f t="shared" si="53"/>
        <v>0</v>
      </c>
      <c r="K88" s="390">
        <f t="shared" ref="K88:L88" si="54">K86+K87</f>
        <v>0</v>
      </c>
      <c r="L88" s="390">
        <f t="shared" si="54"/>
        <v>0</v>
      </c>
      <c r="M88" s="390">
        <f t="shared" ref="M88" si="55">M86+M87</f>
        <v>0</v>
      </c>
      <c r="N88" s="390">
        <v>0</v>
      </c>
      <c r="O88" s="390">
        <v>0</v>
      </c>
      <c r="P88" s="389">
        <f t="shared" si="52"/>
        <v>0</v>
      </c>
    </row>
    <row r="89" spans="1:16" x14ac:dyDescent="0.3">
      <c r="A89" s="524"/>
      <c r="B89" s="397" t="s">
        <v>81</v>
      </c>
      <c r="C89" s="358" t="s">
        <v>3</v>
      </c>
      <c r="D89" s="352">
        <f>D84+D85-D88</f>
        <v>0</v>
      </c>
      <c r="E89" s="352">
        <f t="shared" ref="E89:H89" si="56">E84+E85-E88</f>
        <v>0</v>
      </c>
      <c r="F89" s="352">
        <f t="shared" si="56"/>
        <v>0</v>
      </c>
      <c r="G89" s="436">
        <f t="shared" si="56"/>
        <v>0</v>
      </c>
      <c r="H89" s="393">
        <f t="shared" si="56"/>
        <v>0</v>
      </c>
      <c r="I89" s="393">
        <f t="shared" ref="I89:J89" si="57">I84+I85-I88</f>
        <v>0</v>
      </c>
      <c r="J89" s="393">
        <f t="shared" si="57"/>
        <v>0</v>
      </c>
      <c r="K89" s="393">
        <f t="shared" ref="K89:L89" si="58">K84+K85-K88</f>
        <v>0</v>
      </c>
      <c r="L89" s="393">
        <f t="shared" si="58"/>
        <v>0</v>
      </c>
      <c r="M89" s="393">
        <f t="shared" ref="M89" si="59">M84+M85-M88</f>
        <v>0</v>
      </c>
      <c r="N89" s="393">
        <f t="shared" ref="N89:P89" si="60">N84+N85-N86-N87</f>
        <v>0</v>
      </c>
      <c r="O89" s="393">
        <f t="shared" si="60"/>
        <v>0</v>
      </c>
      <c r="P89" s="396">
        <f t="shared" si="60"/>
        <v>0</v>
      </c>
    </row>
    <row r="90" spans="1:16" x14ac:dyDescent="0.3">
      <c r="A90" s="525" t="s">
        <v>105</v>
      </c>
      <c r="B90" s="348" t="s">
        <v>85</v>
      </c>
      <c r="C90" s="348" t="s">
        <v>3</v>
      </c>
      <c r="D90" s="593">
        <f t="shared" ref="D90:I90" si="61">D66+D72+D78+D84</f>
        <v>1069</v>
      </c>
      <c r="E90" s="593">
        <f t="shared" si="61"/>
        <v>1091</v>
      </c>
      <c r="F90" s="593">
        <f t="shared" si="61"/>
        <v>1189</v>
      </c>
      <c r="G90" s="398">
        <f t="shared" si="61"/>
        <v>1332</v>
      </c>
      <c r="H90" s="398">
        <f t="shared" si="61"/>
        <v>1282</v>
      </c>
      <c r="I90" s="398">
        <f t="shared" si="61"/>
        <v>1381</v>
      </c>
      <c r="J90" s="398">
        <f t="shared" ref="J90:K90" si="62">J66+J72+J78+J84</f>
        <v>1462</v>
      </c>
      <c r="K90" s="398">
        <f t="shared" si="62"/>
        <v>855</v>
      </c>
      <c r="L90" s="398">
        <f t="shared" ref="L90:M90" si="63">L66+L72+L78+L84</f>
        <v>823</v>
      </c>
      <c r="M90" s="398">
        <f t="shared" si="63"/>
        <v>857</v>
      </c>
      <c r="N90" s="398">
        <f t="shared" ref="N90:O90" si="64">N66+N72+N78+N84</f>
        <v>974</v>
      </c>
      <c r="O90" s="398">
        <f t="shared" si="64"/>
        <v>811</v>
      </c>
      <c r="P90" s="389">
        <f>D90</f>
        <v>1069</v>
      </c>
    </row>
    <row r="91" spans="1:16" x14ac:dyDescent="0.3">
      <c r="A91" s="526"/>
      <c r="B91" s="348" t="s">
        <v>104</v>
      </c>
      <c r="C91" s="348" t="s">
        <v>3</v>
      </c>
      <c r="D91" s="593">
        <f t="shared" ref="D91:E93" si="65">D67+D73+D79+D85</f>
        <v>68</v>
      </c>
      <c r="E91" s="593">
        <f t="shared" si="65"/>
        <v>123</v>
      </c>
      <c r="F91" s="593">
        <f t="shared" ref="F91:G91" si="66">F67+F73+F79+F85</f>
        <v>161</v>
      </c>
      <c r="G91" s="398">
        <f t="shared" si="66"/>
        <v>27</v>
      </c>
      <c r="H91" s="398">
        <f t="shared" ref="H91:I91" si="67">H67+H73+H79+H85</f>
        <v>135</v>
      </c>
      <c r="I91" s="399">
        <f t="shared" si="67"/>
        <v>111</v>
      </c>
      <c r="J91" s="399">
        <f t="shared" ref="J91:K91" si="68">J67+J73+J79+J85</f>
        <v>2134</v>
      </c>
      <c r="K91" s="398">
        <f t="shared" si="68"/>
        <v>150</v>
      </c>
      <c r="L91" s="398">
        <f t="shared" ref="L91:M91" si="69">L67+L73+L79+L85</f>
        <v>108</v>
      </c>
      <c r="M91" s="398">
        <f t="shared" si="69"/>
        <v>249</v>
      </c>
      <c r="N91" s="398">
        <f t="shared" ref="N91:O91" si="70">N67+N73+N79+N85</f>
        <v>206</v>
      </c>
      <c r="O91" s="398">
        <f t="shared" si="70"/>
        <v>104</v>
      </c>
      <c r="P91" s="389">
        <f>SUM(D91:O91)</f>
        <v>3576</v>
      </c>
    </row>
    <row r="92" spans="1:16" x14ac:dyDescent="0.3">
      <c r="A92" s="526"/>
      <c r="B92" s="348" t="s">
        <v>103</v>
      </c>
      <c r="C92" s="348" t="s">
        <v>3</v>
      </c>
      <c r="D92" s="593">
        <f t="shared" si="65"/>
        <v>0</v>
      </c>
      <c r="E92" s="593">
        <f t="shared" si="65"/>
        <v>7</v>
      </c>
      <c r="F92" s="593">
        <f t="shared" ref="F92:G92" si="71">F68+F74+F80+F86</f>
        <v>0</v>
      </c>
      <c r="G92" s="398">
        <f t="shared" si="71"/>
        <v>0</v>
      </c>
      <c r="H92" s="398">
        <f t="shared" ref="H92:I92" si="72">H68+H74+H80+H86</f>
        <v>0</v>
      </c>
      <c r="I92" s="399">
        <f t="shared" si="72"/>
        <v>0</v>
      </c>
      <c r="J92" s="399">
        <f t="shared" ref="J92:K92" si="73">J68+J74+J80+J86</f>
        <v>0</v>
      </c>
      <c r="K92" s="398">
        <f t="shared" si="73"/>
        <v>0</v>
      </c>
      <c r="L92" s="398">
        <f t="shared" ref="L92:O92" si="74">L68+L74+L80+L86</f>
        <v>0</v>
      </c>
      <c r="M92" s="398">
        <f t="shared" si="74"/>
        <v>0</v>
      </c>
      <c r="N92" s="398">
        <f t="shared" si="74"/>
        <v>0</v>
      </c>
      <c r="O92" s="398">
        <f t="shared" si="74"/>
        <v>0</v>
      </c>
      <c r="P92" s="389">
        <f>SUM(D92:O92)</f>
        <v>7</v>
      </c>
    </row>
    <row r="93" spans="1:16" s="354" customFormat="1" x14ac:dyDescent="0.3">
      <c r="A93" s="526"/>
      <c r="B93" s="348" t="s">
        <v>102</v>
      </c>
      <c r="C93" s="348"/>
      <c r="D93" s="593">
        <f t="shared" si="65"/>
        <v>46</v>
      </c>
      <c r="E93" s="593">
        <f t="shared" si="65"/>
        <v>18</v>
      </c>
      <c r="F93" s="593">
        <f t="shared" ref="F93:G93" si="75">F69+F75+F81+F87</f>
        <v>18</v>
      </c>
      <c r="G93" s="398">
        <f t="shared" si="75"/>
        <v>77</v>
      </c>
      <c r="H93" s="398">
        <f t="shared" ref="H93:I93" si="76">H69+H75+H81+H87</f>
        <v>36</v>
      </c>
      <c r="I93" s="399">
        <f t="shared" si="76"/>
        <v>30</v>
      </c>
      <c r="J93" s="399">
        <f t="shared" ref="J93:K93" si="77">J69+J75+J81+J87</f>
        <v>10</v>
      </c>
      <c r="K93" s="398">
        <f t="shared" si="77"/>
        <v>6</v>
      </c>
      <c r="L93" s="398">
        <f t="shared" ref="L93:O93" si="78">L69+L75+L81+L87</f>
        <v>20</v>
      </c>
      <c r="M93" s="398">
        <f t="shared" si="78"/>
        <v>132</v>
      </c>
      <c r="N93" s="398">
        <f t="shared" si="78"/>
        <v>169</v>
      </c>
      <c r="O93" s="398">
        <f t="shared" si="78"/>
        <v>198</v>
      </c>
      <c r="P93" s="389">
        <f>SUM(D93:O93)</f>
        <v>760</v>
      </c>
    </row>
    <row r="94" spans="1:16" s="354" customFormat="1" x14ac:dyDescent="0.3">
      <c r="A94" s="526"/>
      <c r="B94" s="348" t="s">
        <v>188</v>
      </c>
      <c r="C94" s="348" t="s">
        <v>3</v>
      </c>
      <c r="D94" s="594">
        <f>D93+D92</f>
        <v>46</v>
      </c>
      <c r="E94" s="594">
        <f t="shared" ref="E94:P94" si="79">E93+E92</f>
        <v>25</v>
      </c>
      <c r="F94" s="594">
        <f t="shared" si="79"/>
        <v>18</v>
      </c>
      <c r="G94" s="400">
        <f t="shared" si="79"/>
        <v>77</v>
      </c>
      <c r="H94" s="400">
        <f t="shared" si="79"/>
        <v>36</v>
      </c>
      <c r="I94" s="401">
        <f t="shared" ref="I94:J94" si="80">I93+I92</f>
        <v>30</v>
      </c>
      <c r="J94" s="401">
        <f t="shared" si="80"/>
        <v>10</v>
      </c>
      <c r="K94" s="400">
        <f t="shared" ref="K94:L94" si="81">K93+K92</f>
        <v>6</v>
      </c>
      <c r="L94" s="400">
        <f t="shared" si="81"/>
        <v>20</v>
      </c>
      <c r="M94" s="400">
        <f t="shared" ref="M94" si="82">M93+M92</f>
        <v>132</v>
      </c>
      <c r="N94" s="400">
        <f t="shared" si="79"/>
        <v>169</v>
      </c>
      <c r="O94" s="400">
        <f t="shared" si="79"/>
        <v>198</v>
      </c>
      <c r="P94" s="402">
        <f t="shared" si="79"/>
        <v>767</v>
      </c>
    </row>
    <row r="95" spans="1:16" ht="16.2" thickBot="1" x14ac:dyDescent="0.35">
      <c r="A95" s="527"/>
      <c r="B95" s="348" t="s">
        <v>81</v>
      </c>
      <c r="C95" s="348" t="s">
        <v>3</v>
      </c>
      <c r="D95" s="595">
        <f>D90+D91-D94</f>
        <v>1091</v>
      </c>
      <c r="E95" s="595">
        <f t="shared" ref="E95:P95" si="83">E90+E91-E94</f>
        <v>1189</v>
      </c>
      <c r="F95" s="595">
        <f t="shared" si="83"/>
        <v>1332</v>
      </c>
      <c r="G95" s="403">
        <f t="shared" si="83"/>
        <v>1282</v>
      </c>
      <c r="H95" s="403">
        <f t="shared" si="83"/>
        <v>1381</v>
      </c>
      <c r="I95" s="403">
        <f t="shared" ref="I95:J95" si="84">I90+I91-I94</f>
        <v>1462</v>
      </c>
      <c r="J95" s="403">
        <f t="shared" si="84"/>
        <v>3586</v>
      </c>
      <c r="K95" s="403">
        <f t="shared" ref="K95:L95" si="85">K90+K91-K94</f>
        <v>999</v>
      </c>
      <c r="L95" s="403">
        <f t="shared" si="85"/>
        <v>911</v>
      </c>
      <c r="M95" s="403">
        <f t="shared" ref="M95" si="86">M90+M91-M94</f>
        <v>974</v>
      </c>
      <c r="N95" s="403">
        <f t="shared" si="83"/>
        <v>1011</v>
      </c>
      <c r="O95" s="403">
        <f t="shared" si="83"/>
        <v>717</v>
      </c>
      <c r="P95" s="404">
        <f t="shared" si="83"/>
        <v>3878</v>
      </c>
    </row>
    <row r="96" spans="1:16" ht="16.2" thickBot="1" x14ac:dyDescent="0.35">
      <c r="A96" s="405"/>
      <c r="B96" s="406"/>
      <c r="C96" s="406"/>
      <c r="D96" s="587">
        <v>0</v>
      </c>
      <c r="E96" s="587">
        <v>0</v>
      </c>
      <c r="F96" s="587">
        <v>0</v>
      </c>
      <c r="G96" s="587">
        <v>0</v>
      </c>
      <c r="H96" s="587">
        <v>0</v>
      </c>
      <c r="I96" s="401"/>
      <c r="J96" s="407"/>
      <c r="K96" s="407"/>
      <c r="L96" s="407"/>
      <c r="M96" s="407"/>
      <c r="N96" s="407"/>
      <c r="O96" s="407"/>
      <c r="P96" s="408"/>
    </row>
    <row r="97" spans="1:16" s="354" customFormat="1" ht="15.75" customHeight="1" thickBot="1" x14ac:dyDescent="0.35">
      <c r="A97" s="487" t="s">
        <v>189</v>
      </c>
      <c r="B97" s="488"/>
      <c r="C97" s="488"/>
      <c r="D97" s="588"/>
      <c r="E97" s="588"/>
      <c r="F97" s="588"/>
      <c r="G97" s="488"/>
      <c r="H97" s="488"/>
      <c r="I97" s="488"/>
      <c r="J97" s="488"/>
      <c r="K97" s="488"/>
      <c r="L97" s="488"/>
      <c r="M97" s="488"/>
      <c r="N97" s="488"/>
      <c r="O97" s="488"/>
      <c r="P97" s="555"/>
    </row>
    <row r="98" spans="1:16" x14ac:dyDescent="0.3">
      <c r="A98" s="409" t="s">
        <v>190</v>
      </c>
      <c r="B98" s="410"/>
      <c r="C98" s="348" t="s">
        <v>3</v>
      </c>
      <c r="D98" s="411">
        <v>46</v>
      </c>
      <c r="E98" s="411">
        <v>20</v>
      </c>
      <c r="F98" s="411">
        <v>18</v>
      </c>
      <c r="G98" s="412">
        <v>86</v>
      </c>
      <c r="H98" s="412">
        <v>36</v>
      </c>
      <c r="I98" s="412">
        <v>30</v>
      </c>
      <c r="J98" s="640">
        <v>10</v>
      </c>
      <c r="K98" s="413">
        <v>6</v>
      </c>
      <c r="L98" s="413">
        <v>20</v>
      </c>
      <c r="M98" s="413">
        <v>132</v>
      </c>
      <c r="N98" s="413">
        <v>169</v>
      </c>
      <c r="O98" s="413">
        <v>198</v>
      </c>
      <c r="P98" s="414">
        <f>SUM(D98:O98)</f>
        <v>771</v>
      </c>
    </row>
    <row r="99" spans="1:16" x14ac:dyDescent="0.3">
      <c r="A99" s="409"/>
      <c r="B99" s="348"/>
      <c r="C99" s="348"/>
      <c r="D99" s="587">
        <v>0</v>
      </c>
      <c r="E99" s="587">
        <v>0</v>
      </c>
      <c r="F99" s="587">
        <v>0</v>
      </c>
      <c r="G99" s="587">
        <v>0</v>
      </c>
      <c r="H99" s="587">
        <v>0</v>
      </c>
      <c r="I99" s="587">
        <v>0</v>
      </c>
      <c r="J99" s="587">
        <v>0</v>
      </c>
      <c r="K99" s="587">
        <v>0</v>
      </c>
      <c r="L99" s="587"/>
      <c r="M99" s="407"/>
      <c r="N99" s="407"/>
      <c r="O99" s="407"/>
      <c r="P99" s="408"/>
    </row>
    <row r="100" spans="1:16" s="354" customFormat="1" x14ac:dyDescent="0.3">
      <c r="A100" s="511" t="s">
        <v>101</v>
      </c>
      <c r="B100" s="512"/>
      <c r="C100" s="512"/>
      <c r="D100" s="589"/>
      <c r="E100" s="589"/>
      <c r="F100" s="589"/>
      <c r="G100" s="512"/>
      <c r="H100" s="512"/>
      <c r="I100" s="512"/>
      <c r="J100" s="512"/>
      <c r="K100" s="512"/>
      <c r="L100" s="512"/>
      <c r="M100" s="512"/>
      <c r="N100" s="512"/>
      <c r="O100" s="512"/>
      <c r="P100" s="556"/>
    </row>
    <row r="101" spans="1:16" x14ac:dyDescent="0.3">
      <c r="A101" s="473" t="s">
        <v>100</v>
      </c>
      <c r="B101" s="474"/>
      <c r="C101" s="348" t="s">
        <v>3</v>
      </c>
      <c r="D101" s="381">
        <v>1882</v>
      </c>
      <c r="E101" s="381">
        <v>1878</v>
      </c>
      <c r="F101" s="381">
        <v>1855</v>
      </c>
      <c r="G101" s="381">
        <v>1831</v>
      </c>
      <c r="H101" s="381">
        <v>1826</v>
      </c>
      <c r="I101" s="381">
        <v>1796</v>
      </c>
      <c r="J101" s="641">
        <v>1777</v>
      </c>
      <c r="K101" s="381">
        <v>1764</v>
      </c>
      <c r="L101" s="381">
        <v>1745</v>
      </c>
      <c r="M101" s="381">
        <v>1873</v>
      </c>
      <c r="N101" s="381">
        <v>1867</v>
      </c>
      <c r="O101" s="381">
        <v>1850</v>
      </c>
      <c r="P101" s="415">
        <f t="shared" ref="P101:P116" si="87">O101</f>
        <v>1850</v>
      </c>
    </row>
    <row r="102" spans="1:16" x14ac:dyDescent="0.3">
      <c r="A102" s="473" t="s">
        <v>99</v>
      </c>
      <c r="B102" s="474"/>
      <c r="C102" s="348" t="s">
        <v>3</v>
      </c>
      <c r="D102" s="381">
        <v>3</v>
      </c>
      <c r="E102" s="381">
        <v>4</v>
      </c>
      <c r="F102" s="381">
        <v>4</v>
      </c>
      <c r="G102" s="381">
        <v>5</v>
      </c>
      <c r="H102" s="381">
        <v>5</v>
      </c>
      <c r="I102" s="381">
        <v>5</v>
      </c>
      <c r="J102" s="642">
        <v>5</v>
      </c>
      <c r="K102" s="381">
        <v>5</v>
      </c>
      <c r="L102" s="381">
        <v>3</v>
      </c>
      <c r="M102" s="381">
        <v>2</v>
      </c>
      <c r="N102" s="381">
        <v>2</v>
      </c>
      <c r="O102" s="381">
        <v>2</v>
      </c>
      <c r="P102" s="415">
        <f t="shared" si="87"/>
        <v>2</v>
      </c>
    </row>
    <row r="103" spans="1:16" ht="15.6" customHeight="1" x14ac:dyDescent="0.3">
      <c r="A103" s="480" t="s">
        <v>98</v>
      </c>
      <c r="B103" s="481"/>
      <c r="C103" s="348" t="s">
        <v>3</v>
      </c>
      <c r="D103" s="381">
        <v>141</v>
      </c>
      <c r="E103" s="381">
        <v>139</v>
      </c>
      <c r="F103" s="381">
        <v>141</v>
      </c>
      <c r="G103" s="381">
        <v>141</v>
      </c>
      <c r="H103" s="381">
        <v>142</v>
      </c>
      <c r="I103" s="381">
        <v>142</v>
      </c>
      <c r="J103" s="641">
        <v>141</v>
      </c>
      <c r="K103" s="381">
        <v>141</v>
      </c>
      <c r="L103" s="381">
        <v>141</v>
      </c>
      <c r="M103" s="381">
        <v>142</v>
      </c>
      <c r="N103" s="381">
        <v>141</v>
      </c>
      <c r="O103" s="381">
        <v>142</v>
      </c>
      <c r="P103" s="415">
        <f t="shared" si="87"/>
        <v>142</v>
      </c>
    </row>
    <row r="104" spans="1:16" x14ac:dyDescent="0.3">
      <c r="A104" s="480" t="s">
        <v>97</v>
      </c>
      <c r="B104" s="481"/>
      <c r="C104" s="348" t="s">
        <v>3</v>
      </c>
      <c r="D104" s="381">
        <v>18</v>
      </c>
      <c r="E104" s="381">
        <v>18</v>
      </c>
      <c r="F104" s="381">
        <v>18</v>
      </c>
      <c r="G104" s="381">
        <v>10</v>
      </c>
      <c r="H104" s="381">
        <v>10</v>
      </c>
      <c r="I104" s="381">
        <v>10</v>
      </c>
      <c r="J104" s="643">
        <v>10</v>
      </c>
      <c r="K104" s="381">
        <v>10</v>
      </c>
      <c r="L104" s="381">
        <v>10</v>
      </c>
      <c r="M104" s="381">
        <v>10</v>
      </c>
      <c r="N104" s="381">
        <v>10</v>
      </c>
      <c r="O104" s="381">
        <v>10</v>
      </c>
      <c r="P104" s="415">
        <f t="shared" si="87"/>
        <v>10</v>
      </c>
    </row>
    <row r="105" spans="1:16" x14ac:dyDescent="0.3">
      <c r="A105" s="528" t="s">
        <v>96</v>
      </c>
      <c r="B105" s="529"/>
      <c r="C105" s="348" t="s">
        <v>3</v>
      </c>
      <c r="D105" s="416">
        <f>SUM(D101:D104)</f>
        <v>2044</v>
      </c>
      <c r="E105" s="416">
        <f t="shared" ref="E105:O105" si="88">SUM(E101:E104)</f>
        <v>2039</v>
      </c>
      <c r="F105" s="416">
        <f t="shared" si="88"/>
        <v>2018</v>
      </c>
      <c r="G105" s="416">
        <f t="shared" si="88"/>
        <v>1987</v>
      </c>
      <c r="H105" s="416">
        <f t="shared" si="88"/>
        <v>1983</v>
      </c>
      <c r="I105" s="416">
        <f t="shared" si="88"/>
        <v>1953</v>
      </c>
      <c r="J105" s="416">
        <f t="shared" si="88"/>
        <v>1933</v>
      </c>
      <c r="K105" s="416">
        <f t="shared" si="88"/>
        <v>1920</v>
      </c>
      <c r="L105" s="416">
        <f t="shared" si="88"/>
        <v>1899</v>
      </c>
      <c r="M105" s="416">
        <f t="shared" si="88"/>
        <v>2027</v>
      </c>
      <c r="N105" s="416">
        <f t="shared" si="88"/>
        <v>2020</v>
      </c>
      <c r="O105" s="416">
        <f t="shared" si="88"/>
        <v>2004</v>
      </c>
      <c r="P105" s="415">
        <f t="shared" si="87"/>
        <v>2004</v>
      </c>
    </row>
    <row r="106" spans="1:16" s="354" customFormat="1" ht="15.6" customHeight="1" x14ac:dyDescent="0.3">
      <c r="A106" s="508" t="s">
        <v>210</v>
      </c>
      <c r="B106" s="509"/>
      <c r="C106" s="509"/>
      <c r="D106" s="590"/>
      <c r="E106" s="590"/>
      <c r="F106" s="590"/>
      <c r="G106" s="509"/>
      <c r="H106" s="509"/>
      <c r="I106" s="509"/>
      <c r="J106" s="509"/>
      <c r="K106" s="509"/>
      <c r="L106" s="509"/>
      <c r="M106" s="509"/>
      <c r="N106" s="509"/>
      <c r="O106" s="509"/>
      <c r="P106" s="557"/>
    </row>
    <row r="107" spans="1:16" x14ac:dyDescent="0.3">
      <c r="A107" s="473" t="s">
        <v>193</v>
      </c>
      <c r="B107" s="474"/>
      <c r="C107" s="348" t="s">
        <v>3</v>
      </c>
      <c r="D107" s="381">
        <v>4734</v>
      </c>
      <c r="E107" s="381">
        <v>4738</v>
      </c>
      <c r="F107" s="381">
        <v>4761</v>
      </c>
      <c r="G107" s="381">
        <v>4785</v>
      </c>
      <c r="H107" s="381">
        <v>4801</v>
      </c>
      <c r="I107" s="381">
        <v>4831</v>
      </c>
      <c r="J107" s="644">
        <v>4850</v>
      </c>
      <c r="K107" s="381">
        <v>4863</v>
      </c>
      <c r="L107" s="381">
        <v>4882</v>
      </c>
      <c r="M107" s="381">
        <v>4756</v>
      </c>
      <c r="N107" s="381">
        <v>4761</v>
      </c>
      <c r="O107" s="381">
        <v>4778</v>
      </c>
      <c r="P107" s="415">
        <f t="shared" si="87"/>
        <v>4778</v>
      </c>
    </row>
    <row r="108" spans="1:16" x14ac:dyDescent="0.3">
      <c r="A108" s="473" t="s">
        <v>194</v>
      </c>
      <c r="B108" s="474"/>
      <c r="C108" s="348" t="s">
        <v>3</v>
      </c>
      <c r="D108" s="381">
        <v>9</v>
      </c>
      <c r="E108" s="381">
        <v>8</v>
      </c>
      <c r="F108" s="381">
        <v>8</v>
      </c>
      <c r="G108" s="381">
        <v>7</v>
      </c>
      <c r="H108" s="381">
        <v>7</v>
      </c>
      <c r="I108" s="381">
        <v>7</v>
      </c>
      <c r="J108" s="644">
        <v>7</v>
      </c>
      <c r="K108" s="381">
        <v>6</v>
      </c>
      <c r="L108" s="381">
        <v>8</v>
      </c>
      <c r="M108" s="381">
        <v>7</v>
      </c>
      <c r="N108" s="381">
        <v>7</v>
      </c>
      <c r="O108" s="381">
        <v>7</v>
      </c>
      <c r="P108" s="415">
        <f t="shared" si="87"/>
        <v>7</v>
      </c>
    </row>
    <row r="109" spans="1:16" x14ac:dyDescent="0.3">
      <c r="A109" s="473" t="s">
        <v>195</v>
      </c>
      <c r="B109" s="474"/>
      <c r="C109" s="348" t="s">
        <v>3</v>
      </c>
      <c r="D109" s="381">
        <v>6</v>
      </c>
      <c r="E109" s="381">
        <v>8</v>
      </c>
      <c r="F109" s="381">
        <v>6</v>
      </c>
      <c r="G109" s="381">
        <v>6</v>
      </c>
      <c r="H109" s="381">
        <v>5</v>
      </c>
      <c r="I109" s="381">
        <v>5</v>
      </c>
      <c r="J109" s="644">
        <v>6</v>
      </c>
      <c r="K109" s="381">
        <v>7</v>
      </c>
      <c r="L109" s="381">
        <v>7</v>
      </c>
      <c r="M109" s="381">
        <v>6</v>
      </c>
      <c r="N109" s="381">
        <v>7</v>
      </c>
      <c r="O109" s="381">
        <v>6</v>
      </c>
      <c r="P109" s="415">
        <f t="shared" si="87"/>
        <v>6</v>
      </c>
    </row>
    <row r="110" spans="1:16" x14ac:dyDescent="0.3">
      <c r="A110" s="473" t="s">
        <v>196</v>
      </c>
      <c r="B110" s="474"/>
      <c r="C110" s="348" t="s">
        <v>3</v>
      </c>
      <c r="D110" s="381">
        <v>0</v>
      </c>
      <c r="E110" s="381">
        <v>0</v>
      </c>
      <c r="F110" s="381">
        <v>0</v>
      </c>
      <c r="G110" s="381">
        <v>0</v>
      </c>
      <c r="H110" s="381">
        <v>0</v>
      </c>
      <c r="I110" s="381">
        <v>0</v>
      </c>
      <c r="J110" s="381">
        <v>0</v>
      </c>
      <c r="K110" s="381">
        <v>0</v>
      </c>
      <c r="L110" s="381">
        <v>0</v>
      </c>
      <c r="M110" s="381">
        <v>0</v>
      </c>
      <c r="N110" s="381">
        <v>0</v>
      </c>
      <c r="O110" s="381">
        <v>0</v>
      </c>
      <c r="P110" s="415">
        <f t="shared" si="87"/>
        <v>0</v>
      </c>
    </row>
    <row r="111" spans="1:16" x14ac:dyDescent="0.3">
      <c r="A111" s="490" t="s">
        <v>95</v>
      </c>
      <c r="B111" s="491"/>
      <c r="C111" s="348" t="s">
        <v>3</v>
      </c>
      <c r="D111" s="416">
        <f>SUM(D107:D110)</f>
        <v>4749</v>
      </c>
      <c r="E111" s="416">
        <f t="shared" ref="E111:O111" si="89">SUM(E107:E110)</f>
        <v>4754</v>
      </c>
      <c r="F111" s="416">
        <f t="shared" si="89"/>
        <v>4775</v>
      </c>
      <c r="G111" s="416">
        <f t="shared" si="89"/>
        <v>4798</v>
      </c>
      <c r="H111" s="416">
        <f t="shared" si="89"/>
        <v>4813</v>
      </c>
      <c r="I111" s="416">
        <f t="shared" si="89"/>
        <v>4843</v>
      </c>
      <c r="J111" s="416">
        <f t="shared" si="89"/>
        <v>4863</v>
      </c>
      <c r="K111" s="416">
        <f t="shared" si="89"/>
        <v>4876</v>
      </c>
      <c r="L111" s="416">
        <f t="shared" si="89"/>
        <v>4897</v>
      </c>
      <c r="M111" s="416">
        <f t="shared" si="89"/>
        <v>4769</v>
      </c>
      <c r="N111" s="416">
        <f t="shared" si="89"/>
        <v>4775</v>
      </c>
      <c r="O111" s="416">
        <f t="shared" si="89"/>
        <v>4791</v>
      </c>
      <c r="P111" s="415">
        <f t="shared" si="87"/>
        <v>4791</v>
      </c>
    </row>
    <row r="112" spans="1:16" s="354" customFormat="1" ht="15.6" customHeight="1" thickBot="1" x14ac:dyDescent="0.35">
      <c r="A112" s="511" t="s">
        <v>216</v>
      </c>
      <c r="B112" s="512"/>
      <c r="C112" s="512"/>
      <c r="D112" s="589"/>
      <c r="E112" s="589"/>
      <c r="F112" s="589"/>
      <c r="G112" s="512"/>
      <c r="H112" s="512"/>
      <c r="I112" s="512"/>
      <c r="J112" s="512"/>
      <c r="K112" s="512"/>
      <c r="L112" s="512"/>
      <c r="M112" s="512"/>
      <c r="N112" s="512"/>
      <c r="O112" s="512"/>
      <c r="P112" s="556"/>
    </row>
    <row r="113" spans="1:16" ht="16.2" thickBot="1" x14ac:dyDescent="0.35">
      <c r="A113" s="473" t="s">
        <v>197</v>
      </c>
      <c r="B113" s="474"/>
      <c r="C113" s="348" t="s">
        <v>3</v>
      </c>
      <c r="D113" s="418">
        <v>989</v>
      </c>
      <c r="E113" s="418">
        <v>1009</v>
      </c>
      <c r="F113" s="418">
        <v>1027</v>
      </c>
      <c r="G113" s="418">
        <v>1113</v>
      </c>
      <c r="H113" s="418">
        <v>1149</v>
      </c>
      <c r="I113" s="418">
        <v>1179</v>
      </c>
      <c r="J113" s="627">
        <v>2039</v>
      </c>
      <c r="K113" s="418">
        <v>2045</v>
      </c>
      <c r="L113" s="418">
        <v>2111</v>
      </c>
      <c r="M113" s="418">
        <v>2243</v>
      </c>
      <c r="N113" s="418">
        <v>2412</v>
      </c>
      <c r="O113" s="418">
        <v>2600</v>
      </c>
      <c r="P113" s="415">
        <f t="shared" si="87"/>
        <v>2600</v>
      </c>
    </row>
    <row r="114" spans="1:16" x14ac:dyDescent="0.3">
      <c r="A114" s="473" t="s">
        <v>198</v>
      </c>
      <c r="B114" s="474"/>
      <c r="C114" s="348" t="s">
        <v>3</v>
      </c>
      <c r="D114" s="418">
        <v>0</v>
      </c>
      <c r="E114" s="418">
        <v>0</v>
      </c>
      <c r="F114" s="418">
        <v>0</v>
      </c>
      <c r="G114" s="418">
        <v>0</v>
      </c>
      <c r="H114" s="418"/>
      <c r="I114" s="418"/>
      <c r="J114" s="418"/>
      <c r="K114" s="418"/>
      <c r="L114" s="418"/>
      <c r="M114" s="418"/>
      <c r="N114" s="418"/>
      <c r="O114" s="418"/>
      <c r="P114" s="415">
        <f t="shared" si="87"/>
        <v>0</v>
      </c>
    </row>
    <row r="115" spans="1:16" x14ac:dyDescent="0.3">
      <c r="A115" s="473" t="s">
        <v>199</v>
      </c>
      <c r="B115" s="474"/>
      <c r="C115" s="348" t="s">
        <v>3</v>
      </c>
      <c r="D115" s="418">
        <v>0</v>
      </c>
      <c r="E115" s="418">
        <v>0</v>
      </c>
      <c r="F115" s="418">
        <v>0</v>
      </c>
      <c r="G115" s="418">
        <v>0</v>
      </c>
      <c r="H115" s="418"/>
      <c r="I115" s="418"/>
      <c r="J115" s="418"/>
      <c r="K115" s="418"/>
      <c r="L115" s="418"/>
      <c r="M115" s="418"/>
      <c r="N115" s="418"/>
      <c r="O115" s="418"/>
      <c r="P115" s="415">
        <f t="shared" si="87"/>
        <v>0</v>
      </c>
    </row>
    <row r="116" spans="1:16" x14ac:dyDescent="0.3">
      <c r="A116" s="473" t="s">
        <v>200</v>
      </c>
      <c r="B116" s="474"/>
      <c r="C116" s="348" t="s">
        <v>3</v>
      </c>
      <c r="D116" s="418">
        <v>0</v>
      </c>
      <c r="E116" s="418">
        <v>0</v>
      </c>
      <c r="F116" s="418">
        <v>0</v>
      </c>
      <c r="G116" s="418">
        <v>0</v>
      </c>
      <c r="H116" s="418"/>
      <c r="I116" s="418"/>
      <c r="J116" s="418"/>
      <c r="K116" s="418"/>
      <c r="L116" s="418"/>
      <c r="M116" s="418"/>
      <c r="N116" s="418"/>
      <c r="O116" s="418"/>
      <c r="P116" s="415">
        <f t="shared" si="87"/>
        <v>0</v>
      </c>
    </row>
    <row r="117" spans="1:16" x14ac:dyDescent="0.3">
      <c r="A117" s="490" t="s">
        <v>94</v>
      </c>
      <c r="B117" s="491"/>
      <c r="C117" s="348" t="s">
        <v>3</v>
      </c>
      <c r="D117" s="416">
        <v>989</v>
      </c>
      <c r="E117" s="416">
        <v>1009</v>
      </c>
      <c r="F117" s="416">
        <v>1027</v>
      </c>
      <c r="G117" s="416">
        <v>1113</v>
      </c>
      <c r="H117" s="416">
        <v>1149</v>
      </c>
      <c r="I117" s="416">
        <f t="shared" ref="I117:P117" si="90">SUM(I113:I116)</f>
        <v>1179</v>
      </c>
      <c r="J117" s="416">
        <f t="shared" si="90"/>
        <v>2039</v>
      </c>
      <c r="K117" s="416">
        <f t="shared" ref="K117" si="91">SUM(K113:K116)</f>
        <v>2045</v>
      </c>
      <c r="L117" s="416">
        <f t="shared" si="90"/>
        <v>2111</v>
      </c>
      <c r="M117" s="416">
        <f t="shared" ref="M117:O117" si="92">SUM(M113:M116)</f>
        <v>2243</v>
      </c>
      <c r="N117" s="416">
        <f t="shared" si="92"/>
        <v>2412</v>
      </c>
      <c r="O117" s="416">
        <f t="shared" si="92"/>
        <v>2600</v>
      </c>
      <c r="P117" s="350">
        <f t="shared" si="90"/>
        <v>2600</v>
      </c>
    </row>
    <row r="118" spans="1:16" s="354" customFormat="1" x14ac:dyDescent="0.3">
      <c r="A118" s="419" t="s">
        <v>191</v>
      </c>
      <c r="B118" s="420"/>
      <c r="C118" s="348" t="s">
        <v>3</v>
      </c>
      <c r="D118" s="416">
        <f t="shared" ref="D118:I118" si="93">D111+D117</f>
        <v>5738</v>
      </c>
      <c r="E118" s="416">
        <f t="shared" si="93"/>
        <v>5763</v>
      </c>
      <c r="F118" s="416">
        <f t="shared" si="93"/>
        <v>5802</v>
      </c>
      <c r="G118" s="416">
        <f t="shared" si="93"/>
        <v>5911</v>
      </c>
      <c r="H118" s="416">
        <f t="shared" si="93"/>
        <v>5962</v>
      </c>
      <c r="I118" s="416">
        <f t="shared" si="93"/>
        <v>6022</v>
      </c>
      <c r="J118" s="416">
        <f t="shared" ref="J118:K118" si="94">J111+J117</f>
        <v>6902</v>
      </c>
      <c r="K118" s="416">
        <f t="shared" si="94"/>
        <v>6921</v>
      </c>
      <c r="L118" s="416">
        <f t="shared" ref="L118:M118" si="95">L111+L117</f>
        <v>7008</v>
      </c>
      <c r="M118" s="416">
        <f t="shared" si="95"/>
        <v>7012</v>
      </c>
      <c r="N118" s="416">
        <f t="shared" ref="N118:P118" si="96">N111+N117</f>
        <v>7187</v>
      </c>
      <c r="O118" s="416">
        <f t="shared" si="96"/>
        <v>7391</v>
      </c>
      <c r="P118" s="416">
        <f t="shared" si="96"/>
        <v>7391</v>
      </c>
    </row>
    <row r="119" spans="1:16" x14ac:dyDescent="0.3">
      <c r="A119" s="490" t="s">
        <v>192</v>
      </c>
      <c r="B119" s="491"/>
      <c r="C119" s="348" t="s">
        <v>3</v>
      </c>
      <c r="D119" s="416">
        <f t="shared" ref="D119:I119" si="97">D105+D118</f>
        <v>7782</v>
      </c>
      <c r="E119" s="416">
        <f t="shared" si="97"/>
        <v>7802</v>
      </c>
      <c r="F119" s="416">
        <f t="shared" si="97"/>
        <v>7820</v>
      </c>
      <c r="G119" s="416">
        <f t="shared" si="97"/>
        <v>7898</v>
      </c>
      <c r="H119" s="416">
        <f t="shared" si="97"/>
        <v>7945</v>
      </c>
      <c r="I119" s="416">
        <f t="shared" si="97"/>
        <v>7975</v>
      </c>
      <c r="J119" s="416">
        <f t="shared" ref="J119:K119" si="98">J105+J118</f>
        <v>8835</v>
      </c>
      <c r="K119" s="416">
        <f t="shared" si="98"/>
        <v>8841</v>
      </c>
      <c r="L119" s="416">
        <f t="shared" ref="L119:M119" si="99">L105+L118</f>
        <v>8907</v>
      </c>
      <c r="M119" s="416">
        <f t="shared" si="99"/>
        <v>9039</v>
      </c>
      <c r="N119" s="416">
        <f t="shared" ref="N119:P119" si="100">N105+N118</f>
        <v>9207</v>
      </c>
      <c r="O119" s="416">
        <f t="shared" si="100"/>
        <v>9395</v>
      </c>
      <c r="P119" s="416">
        <f t="shared" si="100"/>
        <v>9395</v>
      </c>
    </row>
    <row r="120" spans="1:16" x14ac:dyDescent="0.3">
      <c r="A120" s="470" t="s">
        <v>201</v>
      </c>
      <c r="B120" s="471"/>
      <c r="C120" s="471"/>
      <c r="D120" s="579"/>
      <c r="E120" s="579"/>
      <c r="F120" s="579"/>
      <c r="G120" s="471"/>
      <c r="H120" s="471"/>
      <c r="I120" s="471"/>
      <c r="J120" s="471"/>
      <c r="K120" s="471"/>
      <c r="L120" s="471"/>
      <c r="M120" s="471"/>
      <c r="N120" s="471"/>
      <c r="O120" s="471"/>
      <c r="P120" s="549"/>
    </row>
    <row r="121" spans="1:16" x14ac:dyDescent="0.3">
      <c r="A121" s="473" t="s">
        <v>93</v>
      </c>
      <c r="B121" s="474"/>
      <c r="C121" s="358" t="s">
        <v>3</v>
      </c>
      <c r="D121" s="418">
        <v>50406</v>
      </c>
      <c r="E121" s="418">
        <v>50481</v>
      </c>
      <c r="F121" s="418">
        <v>50556</v>
      </c>
      <c r="G121" s="421">
        <v>50631</v>
      </c>
      <c r="H121" s="421">
        <v>50706</v>
      </c>
      <c r="I121" s="421">
        <v>50781</v>
      </c>
      <c r="J121" s="645">
        <v>50856</v>
      </c>
      <c r="K121" s="421">
        <v>50931</v>
      </c>
      <c r="L121" s="421">
        <v>51006</v>
      </c>
      <c r="M121" s="421">
        <v>51081</v>
      </c>
      <c r="N121" s="421">
        <v>50256</v>
      </c>
      <c r="O121" s="421">
        <v>50331</v>
      </c>
      <c r="P121" s="422">
        <f>O121</f>
        <v>50331</v>
      </c>
    </row>
    <row r="122" spans="1:16" x14ac:dyDescent="0.3">
      <c r="A122" s="473" t="s">
        <v>92</v>
      </c>
      <c r="B122" s="474"/>
      <c r="C122" s="358" t="s">
        <v>3</v>
      </c>
      <c r="D122" s="418">
        <v>46924</v>
      </c>
      <c r="E122" s="418">
        <v>47049</v>
      </c>
      <c r="F122" s="418">
        <v>47139</v>
      </c>
      <c r="G122" s="421">
        <v>47524</v>
      </c>
      <c r="H122" s="421">
        <v>47704</v>
      </c>
      <c r="I122" s="421">
        <v>47854</v>
      </c>
      <c r="J122" s="645">
        <v>52154</v>
      </c>
      <c r="K122" s="421">
        <v>52184</v>
      </c>
      <c r="L122" s="421">
        <v>52514</v>
      </c>
      <c r="M122" s="421">
        <v>53174</v>
      </c>
      <c r="N122" s="421">
        <v>46694</v>
      </c>
      <c r="O122" s="421">
        <v>47684</v>
      </c>
      <c r="P122" s="422">
        <f>O122</f>
        <v>47684</v>
      </c>
    </row>
    <row r="123" spans="1:16" x14ac:dyDescent="0.3">
      <c r="A123" s="506" t="s">
        <v>91</v>
      </c>
      <c r="B123" s="507"/>
      <c r="C123" s="423" t="s">
        <v>6</v>
      </c>
      <c r="D123" s="587">
        <f t="shared" ref="D123:P123" si="101">D122/D121</f>
        <v>0.93092092211244692</v>
      </c>
      <c r="E123" s="587">
        <f t="shared" si="101"/>
        <v>0.93201402507874254</v>
      </c>
      <c r="F123" s="587">
        <f t="shared" si="101"/>
        <v>0.93241158319487305</v>
      </c>
      <c r="G123" s="424">
        <f t="shared" si="101"/>
        <v>0.93863443344986275</v>
      </c>
      <c r="H123" s="424">
        <f t="shared" si="101"/>
        <v>0.94079596103025287</v>
      </c>
      <c r="I123" s="424">
        <f t="shared" si="101"/>
        <v>0.94236033162009414</v>
      </c>
      <c r="J123" s="424">
        <f t="shared" si="101"/>
        <v>1.0255230454616957</v>
      </c>
      <c r="K123" s="424">
        <f t="shared" si="101"/>
        <v>1.0246019123912744</v>
      </c>
      <c r="L123" s="424">
        <f t="shared" si="101"/>
        <v>1.0295651491981335</v>
      </c>
      <c r="M123" s="424">
        <f t="shared" si="101"/>
        <v>1.0409741391123901</v>
      </c>
      <c r="N123" s="424">
        <f t="shared" si="101"/>
        <v>0.92912289079910859</v>
      </c>
      <c r="O123" s="424">
        <f t="shared" si="101"/>
        <v>0.94740815799407918</v>
      </c>
      <c r="P123" s="425">
        <f t="shared" si="101"/>
        <v>0.94740815799407918</v>
      </c>
    </row>
    <row r="124" spans="1:16" x14ac:dyDescent="0.3">
      <c r="A124" s="498" t="s">
        <v>90</v>
      </c>
      <c r="B124" s="499"/>
      <c r="C124" s="499"/>
      <c r="D124" s="591"/>
      <c r="E124" s="591"/>
      <c r="F124" s="591"/>
      <c r="G124" s="499"/>
      <c r="H124" s="499"/>
      <c r="I124" s="499"/>
      <c r="J124" s="499"/>
      <c r="K124" s="499"/>
      <c r="L124" s="499"/>
      <c r="M124" s="499"/>
      <c r="N124" s="499"/>
      <c r="O124" s="499"/>
      <c r="P124" s="558"/>
    </row>
    <row r="125" spans="1:16" x14ac:dyDescent="0.3">
      <c r="A125" s="251" t="s">
        <v>224</v>
      </c>
      <c r="B125" s="348" t="s">
        <v>85</v>
      </c>
      <c r="C125" s="348" t="s">
        <v>3</v>
      </c>
      <c r="D125" s="371">
        <v>2</v>
      </c>
      <c r="E125" s="371">
        <v>2</v>
      </c>
      <c r="F125" s="371">
        <v>2</v>
      </c>
      <c r="G125" s="388">
        <v>2</v>
      </c>
      <c r="H125" s="388">
        <v>2</v>
      </c>
      <c r="I125" s="388">
        <v>2</v>
      </c>
      <c r="J125" s="388">
        <v>2</v>
      </c>
      <c r="K125" s="388">
        <v>2</v>
      </c>
      <c r="L125" s="388">
        <v>2</v>
      </c>
      <c r="M125" s="388">
        <v>2</v>
      </c>
      <c r="N125" s="388"/>
      <c r="O125" s="388"/>
      <c r="P125" s="389">
        <f>D125</f>
        <v>2</v>
      </c>
    </row>
    <row r="126" spans="1:16" x14ac:dyDescent="0.3">
      <c r="A126" s="482"/>
      <c r="B126" s="348" t="s">
        <v>84</v>
      </c>
      <c r="C126" s="348" t="s">
        <v>3</v>
      </c>
      <c r="D126" s="381">
        <v>0</v>
      </c>
      <c r="E126" s="381">
        <v>0</v>
      </c>
      <c r="F126" s="381">
        <v>0</v>
      </c>
      <c r="G126" s="376">
        <v>0</v>
      </c>
      <c r="H126" s="376">
        <v>0</v>
      </c>
      <c r="I126" s="376">
        <v>0</v>
      </c>
      <c r="J126" s="390"/>
      <c r="K126" s="390"/>
      <c r="L126" s="390"/>
      <c r="M126" s="390"/>
      <c r="N126" s="390"/>
      <c r="O126" s="390"/>
      <c r="P126" s="391">
        <f>SUM(D126:O126)</f>
        <v>0</v>
      </c>
    </row>
    <row r="127" spans="1:16" x14ac:dyDescent="0.3">
      <c r="A127" s="482"/>
      <c r="B127" s="428" t="s">
        <v>88</v>
      </c>
      <c r="C127" s="348" t="s">
        <v>3</v>
      </c>
      <c r="D127" s="381">
        <v>0</v>
      </c>
      <c r="E127" s="381">
        <v>0</v>
      </c>
      <c r="F127" s="381">
        <v>0</v>
      </c>
      <c r="G127" s="376">
        <v>0</v>
      </c>
      <c r="H127" s="376">
        <v>0</v>
      </c>
      <c r="I127" s="376">
        <v>0</v>
      </c>
      <c r="J127" s="390"/>
      <c r="K127" s="390"/>
      <c r="L127" s="390"/>
      <c r="M127" s="390"/>
      <c r="N127" s="390"/>
      <c r="O127" s="390"/>
      <c r="P127" s="391">
        <f>SUM(D127:O127)</f>
        <v>0</v>
      </c>
    </row>
    <row r="128" spans="1:16" x14ac:dyDescent="0.3">
      <c r="A128" s="482"/>
      <c r="B128" s="348" t="s">
        <v>82</v>
      </c>
      <c r="C128" s="348" t="s">
        <v>3</v>
      </c>
      <c r="D128" s="381">
        <v>0</v>
      </c>
      <c r="E128" s="381">
        <v>0</v>
      </c>
      <c r="F128" s="381">
        <v>0</v>
      </c>
      <c r="G128" s="376">
        <v>0</v>
      </c>
      <c r="H128" s="376">
        <v>0</v>
      </c>
      <c r="I128" s="376">
        <v>0</v>
      </c>
      <c r="J128" s="390"/>
      <c r="K128" s="390"/>
      <c r="L128" s="390"/>
      <c r="M128" s="390">
        <v>2</v>
      </c>
      <c r="N128" s="390"/>
      <c r="O128" s="390"/>
      <c r="P128" s="391">
        <f>SUM(D128:O128)</f>
        <v>2</v>
      </c>
    </row>
    <row r="129" spans="1:16" x14ac:dyDescent="0.3">
      <c r="A129" s="252"/>
      <c r="B129" s="348" t="s">
        <v>81</v>
      </c>
      <c r="C129" s="348" t="s">
        <v>3</v>
      </c>
      <c r="D129" s="371">
        <f t="shared" ref="D129:I129" si="102">D125+D126-D127-D128</f>
        <v>2</v>
      </c>
      <c r="E129" s="371">
        <f t="shared" si="102"/>
        <v>2</v>
      </c>
      <c r="F129" s="371">
        <f t="shared" si="102"/>
        <v>2</v>
      </c>
      <c r="G129" s="388">
        <f t="shared" si="102"/>
        <v>2</v>
      </c>
      <c r="H129" s="388">
        <f t="shared" si="102"/>
        <v>2</v>
      </c>
      <c r="I129" s="388">
        <f t="shared" si="102"/>
        <v>2</v>
      </c>
      <c r="J129" s="388">
        <f t="shared" ref="J129" si="103">J125+J126-J127-J128</f>
        <v>2</v>
      </c>
      <c r="K129" s="388">
        <v>2</v>
      </c>
      <c r="L129" s="388">
        <f t="shared" ref="L129:O129" si="104">L125+L126-L127-L128</f>
        <v>2</v>
      </c>
      <c r="M129" s="388">
        <f t="shared" si="104"/>
        <v>0</v>
      </c>
      <c r="N129" s="388">
        <f t="shared" si="104"/>
        <v>0</v>
      </c>
      <c r="O129" s="388">
        <f t="shared" si="104"/>
        <v>0</v>
      </c>
      <c r="P129" s="389">
        <f>P125+P126-P127-P128</f>
        <v>0</v>
      </c>
    </row>
    <row r="130" spans="1:16" x14ac:dyDescent="0.3">
      <c r="A130" s="251" t="s">
        <v>225</v>
      </c>
      <c r="B130" s="429" t="s">
        <v>85</v>
      </c>
      <c r="C130" s="429" t="s">
        <v>3</v>
      </c>
      <c r="D130" s="371">
        <v>0</v>
      </c>
      <c r="E130" s="371">
        <v>0</v>
      </c>
      <c r="F130" s="371">
        <v>0</v>
      </c>
      <c r="G130" s="377">
        <v>0</v>
      </c>
      <c r="H130" s="388"/>
      <c r="I130" s="388"/>
      <c r="J130" s="388"/>
      <c r="K130" s="388"/>
      <c r="L130" s="388"/>
      <c r="M130" s="388"/>
      <c r="N130" s="388"/>
      <c r="O130" s="388"/>
      <c r="P130" s="389">
        <f>D130</f>
        <v>0</v>
      </c>
    </row>
    <row r="131" spans="1:16" x14ac:dyDescent="0.3">
      <c r="A131" s="482"/>
      <c r="B131" s="348" t="s">
        <v>84</v>
      </c>
      <c r="C131" s="348" t="s">
        <v>3</v>
      </c>
      <c r="D131" s="381">
        <v>0</v>
      </c>
      <c r="E131" s="381">
        <v>0</v>
      </c>
      <c r="F131" s="381">
        <v>0</v>
      </c>
      <c r="G131" s="376">
        <v>0</v>
      </c>
      <c r="H131" s="376">
        <v>0</v>
      </c>
      <c r="I131" s="376">
        <v>0</v>
      </c>
      <c r="J131" s="390"/>
      <c r="K131" s="390"/>
      <c r="L131" s="390"/>
      <c r="M131" s="390"/>
      <c r="N131" s="390"/>
      <c r="O131" s="390"/>
      <c r="P131" s="391">
        <f>SUM(D131:O131)</f>
        <v>0</v>
      </c>
    </row>
    <row r="132" spans="1:16" x14ac:dyDescent="0.3">
      <c r="A132" s="482"/>
      <c r="B132" s="428" t="s">
        <v>88</v>
      </c>
      <c r="C132" s="348" t="s">
        <v>3</v>
      </c>
      <c r="D132" s="381">
        <v>0</v>
      </c>
      <c r="E132" s="381">
        <v>0</v>
      </c>
      <c r="F132" s="381">
        <v>0</v>
      </c>
      <c r="G132" s="376">
        <v>0</v>
      </c>
      <c r="H132" s="376">
        <v>0</v>
      </c>
      <c r="I132" s="376">
        <v>0</v>
      </c>
      <c r="J132" s="390"/>
      <c r="K132" s="390"/>
      <c r="L132" s="390"/>
      <c r="M132" s="390"/>
      <c r="N132" s="390"/>
      <c r="O132" s="390"/>
      <c r="P132" s="391">
        <f>SUM(D132:O132)</f>
        <v>0</v>
      </c>
    </row>
    <row r="133" spans="1:16" x14ac:dyDescent="0.3">
      <c r="A133" s="482"/>
      <c r="B133" s="348" t="s">
        <v>82</v>
      </c>
      <c r="C133" s="348" t="s">
        <v>3</v>
      </c>
      <c r="D133" s="381">
        <v>0</v>
      </c>
      <c r="E133" s="381">
        <v>0</v>
      </c>
      <c r="F133" s="381">
        <v>0</v>
      </c>
      <c r="G133" s="376">
        <v>0</v>
      </c>
      <c r="H133" s="376">
        <v>0</v>
      </c>
      <c r="I133" s="376">
        <v>0</v>
      </c>
      <c r="J133" s="390"/>
      <c r="K133" s="390"/>
      <c r="L133" s="390"/>
      <c r="M133" s="390"/>
      <c r="N133" s="390"/>
      <c r="O133" s="390"/>
      <c r="P133" s="391">
        <f>SUM(D133:O133)</f>
        <v>0</v>
      </c>
    </row>
    <row r="134" spans="1:16" x14ac:dyDescent="0.3">
      <c r="A134" s="252"/>
      <c r="B134" s="348" t="s">
        <v>81</v>
      </c>
      <c r="C134" s="348" t="s">
        <v>3</v>
      </c>
      <c r="D134" s="371">
        <f t="shared" ref="D134:I134" si="105">D130+D131-D132-D133</f>
        <v>0</v>
      </c>
      <c r="E134" s="371">
        <f t="shared" si="105"/>
        <v>0</v>
      </c>
      <c r="F134" s="371">
        <f t="shared" si="105"/>
        <v>0</v>
      </c>
      <c r="G134" s="377">
        <f t="shared" si="105"/>
        <v>0</v>
      </c>
      <c r="H134" s="377">
        <f t="shared" si="105"/>
        <v>0</v>
      </c>
      <c r="I134" s="377">
        <f t="shared" si="105"/>
        <v>0</v>
      </c>
      <c r="J134" s="388">
        <f t="shared" ref="J134" si="106">J130+J131-J132-J133</f>
        <v>0</v>
      </c>
      <c r="K134" s="388"/>
      <c r="L134" s="388">
        <f t="shared" ref="L134:O134" si="107">L130+L131-L132-L133</f>
        <v>0</v>
      </c>
      <c r="M134" s="388">
        <f t="shared" si="107"/>
        <v>0</v>
      </c>
      <c r="N134" s="388">
        <f t="shared" si="107"/>
        <v>0</v>
      </c>
      <c r="O134" s="388">
        <f t="shared" si="107"/>
        <v>0</v>
      </c>
      <c r="P134" s="389">
        <f>P130+P131-P132-P133</f>
        <v>0</v>
      </c>
    </row>
    <row r="135" spans="1:16" x14ac:dyDescent="0.3">
      <c r="A135" s="251" t="s">
        <v>89</v>
      </c>
      <c r="B135" s="348" t="s">
        <v>85</v>
      </c>
      <c r="C135" s="348" t="s">
        <v>3</v>
      </c>
      <c r="D135" s="371">
        <v>3</v>
      </c>
      <c r="E135" s="371">
        <v>3</v>
      </c>
      <c r="F135" s="371">
        <v>3</v>
      </c>
      <c r="G135" s="388">
        <v>3</v>
      </c>
      <c r="H135" s="388">
        <v>3</v>
      </c>
      <c r="I135" s="388">
        <v>3</v>
      </c>
      <c r="J135" s="388">
        <v>3</v>
      </c>
      <c r="K135" s="388">
        <v>3</v>
      </c>
      <c r="L135" s="388">
        <v>3</v>
      </c>
      <c r="M135" s="388">
        <v>3</v>
      </c>
      <c r="N135" s="388"/>
      <c r="O135" s="388"/>
      <c r="P135" s="389">
        <f>D135</f>
        <v>3</v>
      </c>
    </row>
    <row r="136" spans="1:16" x14ac:dyDescent="0.3">
      <c r="A136" s="482"/>
      <c r="B136" s="348" t="s">
        <v>84</v>
      </c>
      <c r="C136" s="348" t="s">
        <v>3</v>
      </c>
      <c r="D136" s="381">
        <v>0</v>
      </c>
      <c r="E136" s="381">
        <v>0</v>
      </c>
      <c r="F136" s="381">
        <v>0</v>
      </c>
      <c r="G136" s="376">
        <v>0</v>
      </c>
      <c r="H136" s="390"/>
      <c r="I136" s="390"/>
      <c r="J136" s="390"/>
      <c r="K136" s="390"/>
      <c r="L136" s="390"/>
      <c r="M136" s="390"/>
      <c r="N136" s="390"/>
      <c r="O136" s="390"/>
      <c r="P136" s="391">
        <f>SUM(D136:O136)</f>
        <v>0</v>
      </c>
    </row>
    <row r="137" spans="1:16" x14ac:dyDescent="0.3">
      <c r="A137" s="482"/>
      <c r="B137" s="428" t="s">
        <v>88</v>
      </c>
      <c r="C137" s="348" t="s">
        <v>3</v>
      </c>
      <c r="D137" s="381">
        <v>0</v>
      </c>
      <c r="E137" s="381">
        <v>0</v>
      </c>
      <c r="F137" s="381">
        <v>0</v>
      </c>
      <c r="G137" s="376">
        <v>0</v>
      </c>
      <c r="H137" s="390"/>
      <c r="I137" s="390"/>
      <c r="J137" s="390"/>
      <c r="K137" s="390"/>
      <c r="L137" s="390"/>
      <c r="M137" s="390"/>
      <c r="N137" s="390"/>
      <c r="O137" s="390"/>
      <c r="P137" s="391">
        <f>SUM(D137:O137)</f>
        <v>0</v>
      </c>
    </row>
    <row r="138" spans="1:16" x14ac:dyDescent="0.3">
      <c r="A138" s="482"/>
      <c r="B138" s="348" t="s">
        <v>82</v>
      </c>
      <c r="C138" s="348" t="s">
        <v>3</v>
      </c>
      <c r="D138" s="381">
        <v>0</v>
      </c>
      <c r="E138" s="381">
        <v>0</v>
      </c>
      <c r="F138" s="381">
        <v>0</v>
      </c>
      <c r="G138" s="376">
        <v>0</v>
      </c>
      <c r="H138" s="390"/>
      <c r="I138" s="390"/>
      <c r="J138" s="390"/>
      <c r="K138" s="390"/>
      <c r="L138" s="390"/>
      <c r="M138" s="390">
        <v>3</v>
      </c>
      <c r="N138" s="390"/>
      <c r="O138" s="390"/>
      <c r="P138" s="391">
        <f>SUM(D138:O138)</f>
        <v>3</v>
      </c>
    </row>
    <row r="139" spans="1:16" x14ac:dyDescent="0.3">
      <c r="A139" s="252"/>
      <c r="B139" s="348" t="s">
        <v>81</v>
      </c>
      <c r="C139" s="348" t="s">
        <v>3</v>
      </c>
      <c r="D139" s="371">
        <v>3</v>
      </c>
      <c r="E139" s="371">
        <v>3</v>
      </c>
      <c r="F139" s="371">
        <v>3</v>
      </c>
      <c r="G139" s="388">
        <f t="shared" ref="G139:I139" si="108">G135+G136-G137-G138</f>
        <v>3</v>
      </c>
      <c r="H139" s="388">
        <f t="shared" si="108"/>
        <v>3</v>
      </c>
      <c r="I139" s="388">
        <f t="shared" si="108"/>
        <v>3</v>
      </c>
      <c r="J139" s="388">
        <f t="shared" ref="J139" si="109">J135+J136-J137-J138</f>
        <v>3</v>
      </c>
      <c r="K139" s="388">
        <v>3</v>
      </c>
      <c r="L139" s="388">
        <f t="shared" ref="L139:O139" si="110">L135+L136-L137-L138</f>
        <v>3</v>
      </c>
      <c r="M139" s="388">
        <f t="shared" si="110"/>
        <v>0</v>
      </c>
      <c r="N139" s="388">
        <f t="shared" si="110"/>
        <v>0</v>
      </c>
      <c r="O139" s="388">
        <f t="shared" si="110"/>
        <v>0</v>
      </c>
      <c r="P139" s="389">
        <f>P135+P136-P137-P138</f>
        <v>0</v>
      </c>
    </row>
    <row r="140" spans="1:16" x14ac:dyDescent="0.3">
      <c r="A140" s="251" t="s">
        <v>87</v>
      </c>
      <c r="B140" s="348" t="s">
        <v>85</v>
      </c>
      <c r="C140" s="348" t="s">
        <v>3</v>
      </c>
      <c r="D140" s="371">
        <v>1231</v>
      </c>
      <c r="E140" s="371">
        <v>1231</v>
      </c>
      <c r="F140" s="371">
        <v>1305</v>
      </c>
      <c r="G140" s="388">
        <v>1455</v>
      </c>
      <c r="H140" s="388">
        <v>1455</v>
      </c>
      <c r="I140" s="388">
        <v>1449</v>
      </c>
      <c r="J140" s="646">
        <v>1449</v>
      </c>
      <c r="K140" s="646">
        <v>1449</v>
      </c>
      <c r="L140" s="388">
        <v>1369</v>
      </c>
      <c r="M140" s="388">
        <v>1254</v>
      </c>
      <c r="N140" s="388">
        <v>374</v>
      </c>
      <c r="O140" s="390">
        <v>16</v>
      </c>
      <c r="P140" s="389">
        <f>D140</f>
        <v>1231</v>
      </c>
    </row>
    <row r="141" spans="1:16" x14ac:dyDescent="0.3">
      <c r="A141" s="482"/>
      <c r="B141" s="348" t="s">
        <v>84</v>
      </c>
      <c r="C141" s="348" t="s">
        <v>3</v>
      </c>
      <c r="D141" s="381">
        <v>0</v>
      </c>
      <c r="E141" s="381">
        <v>0</v>
      </c>
      <c r="F141" s="381">
        <v>0</v>
      </c>
      <c r="G141" s="376">
        <v>0</v>
      </c>
      <c r="H141" s="390"/>
      <c r="I141" s="390"/>
      <c r="J141" s="390"/>
      <c r="K141" s="390"/>
      <c r="L141" s="390"/>
      <c r="M141" s="390"/>
      <c r="N141" s="390"/>
      <c r="O141" s="390">
        <v>371</v>
      </c>
      <c r="P141" s="391">
        <f>SUM(D141:O141)</f>
        <v>371</v>
      </c>
    </row>
    <row r="142" spans="1:16" x14ac:dyDescent="0.3">
      <c r="A142" s="482"/>
      <c r="B142" s="348" t="s">
        <v>83</v>
      </c>
      <c r="C142" s="348" t="s">
        <v>3</v>
      </c>
      <c r="D142" s="381">
        <v>0</v>
      </c>
      <c r="E142" s="381">
        <v>0</v>
      </c>
      <c r="F142" s="381">
        <v>0</v>
      </c>
      <c r="G142" s="376">
        <v>0</v>
      </c>
      <c r="H142" s="390"/>
      <c r="I142" s="390"/>
      <c r="J142" s="390"/>
      <c r="K142" s="390"/>
      <c r="L142" s="390"/>
      <c r="M142" s="390"/>
      <c r="N142" s="390"/>
      <c r="O142" s="390"/>
      <c r="P142" s="391">
        <f>SUM(D142:O142)</f>
        <v>0</v>
      </c>
    </row>
    <row r="143" spans="1:16" x14ac:dyDescent="0.3">
      <c r="A143" s="482"/>
      <c r="B143" s="348" t="s">
        <v>82</v>
      </c>
      <c r="C143" s="348" t="s">
        <v>3</v>
      </c>
      <c r="D143" s="381">
        <v>0</v>
      </c>
      <c r="E143" s="381">
        <v>0</v>
      </c>
      <c r="F143" s="381">
        <v>0</v>
      </c>
      <c r="G143" s="390">
        <v>13</v>
      </c>
      <c r="H143" s="390">
        <v>86</v>
      </c>
      <c r="I143" s="390"/>
      <c r="J143" s="390"/>
      <c r="K143" s="390"/>
      <c r="L143" s="390">
        <v>115</v>
      </c>
      <c r="M143" s="390">
        <v>880</v>
      </c>
      <c r="N143" s="390">
        <v>358</v>
      </c>
      <c r="O143" s="390">
        <v>55</v>
      </c>
      <c r="P143" s="391">
        <f>SUM(D143:O143)</f>
        <v>1507</v>
      </c>
    </row>
    <row r="144" spans="1:16" x14ac:dyDescent="0.3">
      <c r="A144" s="252"/>
      <c r="B144" s="348" t="s">
        <v>81</v>
      </c>
      <c r="C144" s="348" t="s">
        <v>3</v>
      </c>
      <c r="D144" s="371">
        <f t="shared" ref="D144:I144" si="111">D140+D141-D142-D143</f>
        <v>1231</v>
      </c>
      <c r="E144" s="371">
        <f t="shared" si="111"/>
        <v>1231</v>
      </c>
      <c r="F144" s="371">
        <f t="shared" si="111"/>
        <v>1305</v>
      </c>
      <c r="G144" s="388">
        <f t="shared" si="111"/>
        <v>1442</v>
      </c>
      <c r="H144" s="388">
        <f t="shared" si="111"/>
        <v>1369</v>
      </c>
      <c r="I144" s="388">
        <f t="shared" si="111"/>
        <v>1449</v>
      </c>
      <c r="J144" s="388">
        <f t="shared" ref="J144:K144" si="112">J140+J141-J142-J143</f>
        <v>1449</v>
      </c>
      <c r="K144" s="388">
        <f t="shared" si="112"/>
        <v>1449</v>
      </c>
      <c r="L144" s="388">
        <f t="shared" ref="L144:O144" si="113">L140+L141-L142-L143</f>
        <v>1254</v>
      </c>
      <c r="M144" s="388">
        <f t="shared" si="113"/>
        <v>374</v>
      </c>
      <c r="N144" s="388">
        <f t="shared" si="113"/>
        <v>16</v>
      </c>
      <c r="O144" s="388">
        <f t="shared" si="113"/>
        <v>332</v>
      </c>
      <c r="P144" s="389">
        <f>P140+P141-P142-P143</f>
        <v>95</v>
      </c>
    </row>
    <row r="145" spans="1:16" s="354" customFormat="1" x14ac:dyDescent="0.3">
      <c r="A145" s="251" t="s">
        <v>86</v>
      </c>
      <c r="B145" s="348" t="s">
        <v>85</v>
      </c>
      <c r="C145" s="348" t="s">
        <v>3</v>
      </c>
      <c r="D145" s="352">
        <f t="shared" ref="D145:I145" si="114">D125+D130+D135+D140</f>
        <v>1236</v>
      </c>
      <c r="E145" s="352">
        <f t="shared" si="114"/>
        <v>1236</v>
      </c>
      <c r="F145" s="352">
        <f t="shared" si="114"/>
        <v>1310</v>
      </c>
      <c r="G145" s="393">
        <f t="shared" si="114"/>
        <v>1460</v>
      </c>
      <c r="H145" s="393">
        <f t="shared" si="114"/>
        <v>1460</v>
      </c>
      <c r="I145" s="393">
        <f t="shared" si="114"/>
        <v>1454</v>
      </c>
      <c r="J145" s="393">
        <f t="shared" ref="J145:K145" si="115">J125+J130+J135+J140</f>
        <v>1454</v>
      </c>
      <c r="K145" s="393">
        <f t="shared" si="115"/>
        <v>1454</v>
      </c>
      <c r="L145" s="393">
        <f t="shared" ref="L145:O145" si="116">L125+L130+L135+L140</f>
        <v>1374</v>
      </c>
      <c r="M145" s="393">
        <f t="shared" si="116"/>
        <v>1259</v>
      </c>
      <c r="N145" s="393">
        <f t="shared" si="116"/>
        <v>374</v>
      </c>
      <c r="O145" s="393">
        <f t="shared" si="116"/>
        <v>16</v>
      </c>
      <c r="P145" s="430">
        <f t="shared" ref="P145" si="117">P125+P130+P135+P140</f>
        <v>1236</v>
      </c>
    </row>
    <row r="146" spans="1:16" x14ac:dyDescent="0.3">
      <c r="A146" s="482"/>
      <c r="B146" s="348" t="s">
        <v>84</v>
      </c>
      <c r="C146" s="348" t="s">
        <v>3</v>
      </c>
      <c r="D146" s="352">
        <f t="shared" ref="D146:E148" si="118">D126+D131+D136+D141</f>
        <v>0</v>
      </c>
      <c r="E146" s="352">
        <v>74</v>
      </c>
      <c r="F146" s="352">
        <f t="shared" ref="F146:G146" si="119">F126+F131+F136+F141</f>
        <v>0</v>
      </c>
      <c r="G146" s="436">
        <f t="shared" si="119"/>
        <v>0</v>
      </c>
      <c r="H146" s="393">
        <f t="shared" ref="H146:I146" si="120">H126+H131+H136+H141</f>
        <v>0</v>
      </c>
      <c r="I146" s="393">
        <f t="shared" si="120"/>
        <v>0</v>
      </c>
      <c r="J146" s="393">
        <f t="shared" ref="J146:K146" si="121">J126+J131+J136+J141</f>
        <v>0</v>
      </c>
      <c r="K146" s="393">
        <f t="shared" si="121"/>
        <v>0</v>
      </c>
      <c r="L146" s="393">
        <f t="shared" ref="L146:O146" si="122">L126+L131+L136+L141</f>
        <v>0</v>
      </c>
      <c r="M146" s="393">
        <f t="shared" si="122"/>
        <v>0</v>
      </c>
      <c r="N146" s="393">
        <f t="shared" si="122"/>
        <v>0</v>
      </c>
      <c r="O146" s="393">
        <f t="shared" si="122"/>
        <v>371</v>
      </c>
      <c r="P146" s="430">
        <f t="shared" ref="P146" si="123">P126+P131+P136+P141</f>
        <v>371</v>
      </c>
    </row>
    <row r="147" spans="1:16" x14ac:dyDescent="0.3">
      <c r="A147" s="482"/>
      <c r="B147" s="348" t="s">
        <v>83</v>
      </c>
      <c r="C147" s="348" t="s">
        <v>3</v>
      </c>
      <c r="D147" s="352">
        <f t="shared" si="118"/>
        <v>0</v>
      </c>
      <c r="E147" s="352">
        <f t="shared" si="118"/>
        <v>0</v>
      </c>
      <c r="F147" s="352">
        <f t="shared" ref="F147:G147" si="124">F127+F132+F137+F142</f>
        <v>0</v>
      </c>
      <c r="G147" s="436">
        <f t="shared" si="124"/>
        <v>0</v>
      </c>
      <c r="H147" s="393">
        <f t="shared" ref="H147:I147" si="125">H127+H132+H137+H142</f>
        <v>0</v>
      </c>
      <c r="I147" s="393">
        <f t="shared" si="125"/>
        <v>0</v>
      </c>
      <c r="J147" s="393">
        <f t="shared" ref="J147:K147" si="126">J127+J132+J137+J142</f>
        <v>0</v>
      </c>
      <c r="K147" s="393">
        <f t="shared" si="126"/>
        <v>0</v>
      </c>
      <c r="L147" s="393">
        <f t="shared" ref="L147:O147" si="127">L127+L132+L137+L142</f>
        <v>0</v>
      </c>
      <c r="M147" s="393">
        <f t="shared" si="127"/>
        <v>0</v>
      </c>
      <c r="N147" s="393">
        <f t="shared" si="127"/>
        <v>0</v>
      </c>
      <c r="O147" s="393">
        <f t="shared" si="127"/>
        <v>0</v>
      </c>
      <c r="P147" s="430">
        <f t="shared" ref="P147" si="128">P127+P132+P137+P142</f>
        <v>0</v>
      </c>
    </row>
    <row r="148" spans="1:16" x14ac:dyDescent="0.3">
      <c r="A148" s="482"/>
      <c r="B148" s="348" t="s">
        <v>82</v>
      </c>
      <c r="C148" s="348" t="s">
        <v>3</v>
      </c>
      <c r="D148" s="352">
        <f t="shared" si="118"/>
        <v>0</v>
      </c>
      <c r="E148" s="352">
        <f t="shared" si="118"/>
        <v>0</v>
      </c>
      <c r="F148" s="352">
        <v>2</v>
      </c>
      <c r="G148" s="393">
        <f t="shared" ref="G148" si="129">G128+G133+G138+G143</f>
        <v>13</v>
      </c>
      <c r="H148" s="393">
        <f t="shared" ref="H148:I148" si="130">H128+H133+H138+H143</f>
        <v>86</v>
      </c>
      <c r="I148" s="393">
        <f t="shared" si="130"/>
        <v>0</v>
      </c>
      <c r="J148" s="393">
        <f t="shared" ref="J148" si="131">J128+J133+J138+J143</f>
        <v>0</v>
      </c>
      <c r="K148" s="393">
        <v>80</v>
      </c>
      <c r="L148" s="393">
        <f t="shared" ref="L148:O148" si="132">L128+L133+L138+L143</f>
        <v>115</v>
      </c>
      <c r="M148" s="393">
        <f t="shared" si="132"/>
        <v>885</v>
      </c>
      <c r="N148" s="393">
        <f t="shared" si="132"/>
        <v>358</v>
      </c>
      <c r="O148" s="393">
        <f t="shared" si="132"/>
        <v>55</v>
      </c>
      <c r="P148" s="430">
        <f t="shared" ref="P148" si="133">P128+P133+P138+P143</f>
        <v>1512</v>
      </c>
    </row>
    <row r="149" spans="1:16" x14ac:dyDescent="0.3">
      <c r="A149" s="252"/>
      <c r="B149" s="348" t="s">
        <v>81</v>
      </c>
      <c r="C149" s="348" t="s">
        <v>3</v>
      </c>
      <c r="D149" s="371">
        <f t="shared" ref="D149:I149" si="134">D145+D146-D147-D148</f>
        <v>1236</v>
      </c>
      <c r="E149" s="371">
        <f t="shared" si="134"/>
        <v>1310</v>
      </c>
      <c r="F149" s="371">
        <f t="shared" si="134"/>
        <v>1308</v>
      </c>
      <c r="G149" s="388">
        <f t="shared" si="134"/>
        <v>1447</v>
      </c>
      <c r="H149" s="388">
        <f t="shared" si="134"/>
        <v>1374</v>
      </c>
      <c r="I149" s="388">
        <f t="shared" si="134"/>
        <v>1454</v>
      </c>
      <c r="J149" s="388">
        <f t="shared" ref="J149:K149" si="135">J145+J146-J147-J148</f>
        <v>1454</v>
      </c>
      <c r="K149" s="388">
        <f t="shared" si="135"/>
        <v>1374</v>
      </c>
      <c r="L149" s="388">
        <f t="shared" ref="L149:O149" si="136">L145+L146-L147-L148</f>
        <v>1259</v>
      </c>
      <c r="M149" s="388">
        <f t="shared" si="136"/>
        <v>374</v>
      </c>
      <c r="N149" s="388">
        <f t="shared" si="136"/>
        <v>16</v>
      </c>
      <c r="O149" s="388">
        <f t="shared" si="136"/>
        <v>332</v>
      </c>
      <c r="P149" s="430">
        <f t="shared" ref="P149" si="137">P129+P134+P139+P144</f>
        <v>95</v>
      </c>
    </row>
    <row r="150" spans="1:16" x14ac:dyDescent="0.3">
      <c r="A150" s="470" t="s">
        <v>80</v>
      </c>
      <c r="B150" s="471"/>
      <c r="C150" s="471"/>
      <c r="D150" s="471"/>
      <c r="E150" s="471"/>
      <c r="F150" s="471"/>
      <c r="G150" s="471"/>
      <c r="H150" s="471"/>
      <c r="I150" s="471"/>
      <c r="J150" s="471"/>
      <c r="K150" s="471"/>
      <c r="L150" s="471"/>
      <c r="M150" s="471"/>
      <c r="N150" s="471"/>
      <c r="O150" s="471"/>
      <c r="P150" s="549"/>
    </row>
    <row r="151" spans="1:16" x14ac:dyDescent="0.3">
      <c r="A151" s="473" t="s">
        <v>79</v>
      </c>
      <c r="B151" s="474"/>
      <c r="C151" s="348"/>
      <c r="D151" s="374"/>
      <c r="E151" s="374"/>
      <c r="F151" s="374"/>
      <c r="G151" s="374"/>
      <c r="H151" s="374"/>
      <c r="I151" s="374"/>
      <c r="J151" s="431"/>
      <c r="K151" s="431"/>
      <c r="L151" s="431"/>
      <c r="M151" s="431"/>
      <c r="N151" s="431"/>
      <c r="O151" s="431"/>
      <c r="P151" s="378"/>
    </row>
    <row r="152" spans="1:16" x14ac:dyDescent="0.3">
      <c r="A152" s="501" t="s">
        <v>78</v>
      </c>
      <c r="B152" s="432" t="s">
        <v>63</v>
      </c>
      <c r="C152" s="348"/>
      <c r="D152" s="374"/>
      <c r="E152" s="374"/>
      <c r="F152" s="374"/>
      <c r="G152" s="374"/>
      <c r="H152" s="374"/>
      <c r="I152" s="374"/>
      <c r="J152" s="431"/>
      <c r="K152" s="431"/>
      <c r="L152" s="431"/>
      <c r="M152" s="431"/>
      <c r="N152" s="431"/>
      <c r="O152" s="431"/>
      <c r="P152" s="378"/>
    </row>
    <row r="153" spans="1:16" x14ac:dyDescent="0.3">
      <c r="A153" s="502"/>
      <c r="B153" s="20" t="s">
        <v>73</v>
      </c>
      <c r="C153" s="348" t="s">
        <v>57</v>
      </c>
      <c r="D153" s="381">
        <v>55</v>
      </c>
      <c r="E153" s="381">
        <v>82</v>
      </c>
      <c r="F153" s="381">
        <v>58</v>
      </c>
      <c r="G153" s="381">
        <v>46</v>
      </c>
      <c r="H153" s="381">
        <v>32</v>
      </c>
      <c r="I153" s="381">
        <v>46</v>
      </c>
      <c r="J153" s="647">
        <v>50</v>
      </c>
      <c r="K153" s="381">
        <v>58</v>
      </c>
      <c r="L153" s="381">
        <v>70</v>
      </c>
      <c r="M153" s="381">
        <v>95</v>
      </c>
      <c r="N153" s="381">
        <v>152</v>
      </c>
      <c r="O153" s="381">
        <v>138</v>
      </c>
      <c r="P153" s="391">
        <f t="shared" ref="P153:P166" si="138">SUM(D153:O153)</f>
        <v>882</v>
      </c>
    </row>
    <row r="154" spans="1:16" x14ac:dyDescent="0.3">
      <c r="A154" s="502"/>
      <c r="B154" s="20" t="s">
        <v>72</v>
      </c>
      <c r="C154" s="348" t="s">
        <v>57</v>
      </c>
      <c r="D154" s="381">
        <v>43</v>
      </c>
      <c r="E154" s="381">
        <v>47</v>
      </c>
      <c r="F154" s="381">
        <v>55</v>
      </c>
      <c r="G154" s="381">
        <v>34</v>
      </c>
      <c r="H154" s="381">
        <v>28</v>
      </c>
      <c r="I154" s="381">
        <v>43</v>
      </c>
      <c r="J154" s="647">
        <v>36</v>
      </c>
      <c r="K154" s="381">
        <v>28</v>
      </c>
      <c r="L154" s="381">
        <v>45</v>
      </c>
      <c r="M154" s="381">
        <v>54</v>
      </c>
      <c r="N154" s="381">
        <v>104</v>
      </c>
      <c r="O154" s="381">
        <v>94</v>
      </c>
      <c r="P154" s="391">
        <f t="shared" si="138"/>
        <v>611</v>
      </c>
    </row>
    <row r="155" spans="1:16" x14ac:dyDescent="0.3">
      <c r="A155" s="502"/>
      <c r="B155" s="20" t="s">
        <v>53</v>
      </c>
      <c r="C155" s="348" t="s">
        <v>57</v>
      </c>
      <c r="D155" s="381">
        <v>12</v>
      </c>
      <c r="E155" s="381">
        <v>15</v>
      </c>
      <c r="F155" s="381">
        <v>15</v>
      </c>
      <c r="G155" s="381">
        <v>12</v>
      </c>
      <c r="H155" s="381">
        <v>12</v>
      </c>
      <c r="I155" s="381">
        <v>15</v>
      </c>
      <c r="J155" s="647">
        <v>11</v>
      </c>
      <c r="K155" s="381">
        <v>15</v>
      </c>
      <c r="L155" s="381">
        <v>14</v>
      </c>
      <c r="M155" s="381">
        <v>30</v>
      </c>
      <c r="N155" s="381">
        <v>32</v>
      </c>
      <c r="O155" s="381">
        <v>38</v>
      </c>
      <c r="P155" s="391">
        <f t="shared" si="138"/>
        <v>221</v>
      </c>
    </row>
    <row r="156" spans="1:16" x14ac:dyDescent="0.3">
      <c r="A156" s="502"/>
      <c r="B156" s="20" t="s">
        <v>71</v>
      </c>
      <c r="C156" s="348" t="s">
        <v>57</v>
      </c>
      <c r="D156" s="381">
        <v>10</v>
      </c>
      <c r="E156" s="381">
        <v>11</v>
      </c>
      <c r="F156" s="381">
        <v>8</v>
      </c>
      <c r="G156" s="381">
        <v>12</v>
      </c>
      <c r="H156" s="381">
        <v>12</v>
      </c>
      <c r="I156" s="381">
        <v>12</v>
      </c>
      <c r="J156" s="647">
        <v>10</v>
      </c>
      <c r="K156" s="381">
        <v>10</v>
      </c>
      <c r="L156" s="381">
        <v>11</v>
      </c>
      <c r="M156" s="381">
        <v>23</v>
      </c>
      <c r="N156" s="381">
        <v>24</v>
      </c>
      <c r="O156" s="381">
        <v>20</v>
      </c>
      <c r="P156" s="391">
        <f t="shared" si="138"/>
        <v>163</v>
      </c>
    </row>
    <row r="157" spans="1:16" x14ac:dyDescent="0.3">
      <c r="A157" s="502"/>
      <c r="B157" s="20" t="s">
        <v>52</v>
      </c>
      <c r="C157" s="348" t="s">
        <v>57</v>
      </c>
      <c r="D157" s="381">
        <v>1</v>
      </c>
      <c r="E157" s="381">
        <v>3</v>
      </c>
      <c r="F157" s="381">
        <v>3</v>
      </c>
      <c r="G157" s="381">
        <v>4</v>
      </c>
      <c r="H157" s="381">
        <v>5</v>
      </c>
      <c r="I157" s="381">
        <v>5</v>
      </c>
      <c r="J157" s="647">
        <v>4</v>
      </c>
      <c r="K157" s="381">
        <v>3</v>
      </c>
      <c r="L157" s="381">
        <v>3</v>
      </c>
      <c r="M157" s="381">
        <v>5</v>
      </c>
      <c r="N157" s="381">
        <v>13</v>
      </c>
      <c r="O157" s="381">
        <v>15</v>
      </c>
      <c r="P157" s="391">
        <f t="shared" si="138"/>
        <v>64</v>
      </c>
    </row>
    <row r="158" spans="1:16" x14ac:dyDescent="0.3">
      <c r="A158" s="502"/>
      <c r="B158" s="20" t="s">
        <v>51</v>
      </c>
      <c r="C158" s="348" t="s">
        <v>57</v>
      </c>
      <c r="D158" s="381">
        <v>2</v>
      </c>
      <c r="E158" s="381">
        <v>1</v>
      </c>
      <c r="F158" s="381">
        <v>1</v>
      </c>
      <c r="G158" s="381">
        <v>3</v>
      </c>
      <c r="H158" s="381">
        <v>3</v>
      </c>
      <c r="I158" s="381">
        <v>5</v>
      </c>
      <c r="J158" s="647">
        <v>5</v>
      </c>
      <c r="K158" s="381">
        <v>3</v>
      </c>
      <c r="L158" s="381">
        <v>3</v>
      </c>
      <c r="M158" s="381">
        <v>8</v>
      </c>
      <c r="N158" s="381">
        <v>14</v>
      </c>
      <c r="O158" s="381">
        <v>25</v>
      </c>
      <c r="P158" s="391">
        <f t="shared" si="138"/>
        <v>73</v>
      </c>
    </row>
    <row r="159" spans="1:16" x14ac:dyDescent="0.3">
      <c r="A159" s="502"/>
      <c r="B159" s="20" t="s">
        <v>62</v>
      </c>
      <c r="C159" s="348" t="s">
        <v>57</v>
      </c>
      <c r="D159" s="381">
        <v>0</v>
      </c>
      <c r="E159" s="381">
        <v>0</v>
      </c>
      <c r="F159" s="381">
        <v>0</v>
      </c>
      <c r="G159" s="381">
        <v>1</v>
      </c>
      <c r="H159" s="381"/>
      <c r="I159" s="381"/>
      <c r="J159" s="647"/>
      <c r="K159" s="381">
        <v>1</v>
      </c>
      <c r="L159" s="381">
        <v>0</v>
      </c>
      <c r="M159" s="381">
        <v>3</v>
      </c>
      <c r="N159" s="381"/>
      <c r="O159" s="381"/>
      <c r="P159" s="391">
        <f t="shared" si="138"/>
        <v>5</v>
      </c>
    </row>
    <row r="160" spans="1:16" x14ac:dyDescent="0.3">
      <c r="A160" s="502"/>
      <c r="B160" s="20" t="s">
        <v>50</v>
      </c>
      <c r="C160" s="348" t="s">
        <v>57</v>
      </c>
      <c r="D160" s="381">
        <v>1</v>
      </c>
      <c r="E160" s="381">
        <v>0</v>
      </c>
      <c r="F160" s="381">
        <v>0</v>
      </c>
      <c r="G160" s="381">
        <v>1</v>
      </c>
      <c r="H160" s="381"/>
      <c r="I160" s="381">
        <v>1</v>
      </c>
      <c r="J160" s="647"/>
      <c r="K160" s="381"/>
      <c r="L160" s="381"/>
      <c r="M160" s="381">
        <v>4</v>
      </c>
      <c r="N160" s="381">
        <v>3</v>
      </c>
      <c r="O160" s="381">
        <v>1</v>
      </c>
      <c r="P160" s="391">
        <f t="shared" si="138"/>
        <v>11</v>
      </c>
    </row>
    <row r="161" spans="1:16" x14ac:dyDescent="0.3">
      <c r="A161" s="502"/>
      <c r="B161" s="20" t="s">
        <v>49</v>
      </c>
      <c r="C161" s="348" t="s">
        <v>57</v>
      </c>
      <c r="D161" s="381">
        <v>0</v>
      </c>
      <c r="E161" s="381">
        <v>2</v>
      </c>
      <c r="F161" s="381">
        <v>1</v>
      </c>
      <c r="G161" s="381">
        <v>2</v>
      </c>
      <c r="H161" s="381"/>
      <c r="I161" s="381">
        <v>2</v>
      </c>
      <c r="J161" s="647">
        <v>1</v>
      </c>
      <c r="K161" s="381"/>
      <c r="L161" s="381"/>
      <c r="M161" s="381">
        <v>4</v>
      </c>
      <c r="N161" s="381">
        <v>7</v>
      </c>
      <c r="O161" s="381">
        <v>3</v>
      </c>
      <c r="P161" s="391">
        <f t="shared" si="138"/>
        <v>22</v>
      </c>
    </row>
    <row r="162" spans="1:16" x14ac:dyDescent="0.3">
      <c r="A162" s="502"/>
      <c r="B162" s="20" t="s">
        <v>77</v>
      </c>
      <c r="C162" s="348" t="s">
        <v>57</v>
      </c>
      <c r="D162" s="381">
        <v>0</v>
      </c>
      <c r="E162" s="381">
        <v>0</v>
      </c>
      <c r="F162" s="381">
        <v>1</v>
      </c>
      <c r="G162" s="381">
        <v>2</v>
      </c>
      <c r="H162" s="381"/>
      <c r="I162" s="381">
        <v>1</v>
      </c>
      <c r="J162" s="381"/>
      <c r="K162" s="381"/>
      <c r="L162" s="381">
        <v>1</v>
      </c>
      <c r="M162" s="381"/>
      <c r="N162" s="381">
        <v>2</v>
      </c>
      <c r="O162" s="381">
        <v>5</v>
      </c>
      <c r="P162" s="391">
        <f t="shared" si="138"/>
        <v>12</v>
      </c>
    </row>
    <row r="163" spans="1:16" x14ac:dyDescent="0.3">
      <c r="A163" s="502"/>
      <c r="B163" s="20" t="s">
        <v>69</v>
      </c>
      <c r="C163" s="348" t="s">
        <v>57</v>
      </c>
      <c r="D163" s="381">
        <v>0</v>
      </c>
      <c r="E163" s="381">
        <v>1</v>
      </c>
      <c r="F163" s="381">
        <v>0</v>
      </c>
      <c r="G163" s="381">
        <v>0</v>
      </c>
      <c r="H163" s="381"/>
      <c r="I163" s="381"/>
      <c r="J163" s="381"/>
      <c r="K163" s="381">
        <v>1</v>
      </c>
      <c r="L163" s="381"/>
      <c r="M163" s="381"/>
      <c r="N163" s="381"/>
      <c r="O163" s="381"/>
      <c r="P163" s="391">
        <f t="shared" si="138"/>
        <v>2</v>
      </c>
    </row>
    <row r="164" spans="1:16" x14ac:dyDescent="0.3">
      <c r="A164" s="502"/>
      <c r="B164" s="20" t="s">
        <v>68</v>
      </c>
      <c r="C164" s="348" t="s">
        <v>57</v>
      </c>
      <c r="D164" s="381">
        <v>0</v>
      </c>
      <c r="E164" s="381">
        <v>0</v>
      </c>
      <c r="F164" s="381">
        <v>0</v>
      </c>
      <c r="G164" s="381">
        <v>0</v>
      </c>
      <c r="H164" s="381"/>
      <c r="I164" s="381"/>
      <c r="J164" s="381"/>
      <c r="K164" s="381"/>
      <c r="L164" s="381"/>
      <c r="M164" s="381"/>
      <c r="N164" s="381"/>
      <c r="O164" s="381"/>
      <c r="P164" s="391">
        <f t="shared" si="138"/>
        <v>0</v>
      </c>
    </row>
    <row r="165" spans="1:16" x14ac:dyDescent="0.3">
      <c r="A165" s="503"/>
      <c r="B165" s="20" t="s">
        <v>76</v>
      </c>
      <c r="C165" s="348" t="s">
        <v>57</v>
      </c>
      <c r="D165" s="381">
        <v>0</v>
      </c>
      <c r="E165" s="381">
        <v>0</v>
      </c>
      <c r="F165" s="381">
        <v>0</v>
      </c>
      <c r="G165" s="381">
        <v>0</v>
      </c>
      <c r="H165" s="381"/>
      <c r="I165" s="381"/>
      <c r="J165" s="381"/>
      <c r="K165" s="381"/>
      <c r="L165" s="381"/>
      <c r="M165" s="381"/>
      <c r="N165" s="381"/>
      <c r="O165" s="381"/>
      <c r="P165" s="391">
        <f t="shared" si="138"/>
        <v>0</v>
      </c>
    </row>
    <row r="166" spans="1:16" x14ac:dyDescent="0.3">
      <c r="A166" s="501" t="s">
        <v>75</v>
      </c>
      <c r="B166" s="433" t="s">
        <v>63</v>
      </c>
      <c r="C166" s="348"/>
      <c r="D166" s="381">
        <v>0</v>
      </c>
      <c r="E166" s="381">
        <v>0</v>
      </c>
      <c r="F166" s="381">
        <v>0</v>
      </c>
      <c r="G166" s="381">
        <v>0</v>
      </c>
      <c r="H166" s="381"/>
      <c r="I166" s="381"/>
      <c r="J166" s="381"/>
      <c r="K166" s="381"/>
      <c r="L166" s="381"/>
      <c r="M166" s="381"/>
      <c r="N166" s="381"/>
      <c r="O166" s="381"/>
      <c r="P166" s="391">
        <f t="shared" si="138"/>
        <v>0</v>
      </c>
    </row>
    <row r="167" spans="1:16" x14ac:dyDescent="0.3">
      <c r="A167" s="502"/>
      <c r="B167" s="20" t="s">
        <v>74</v>
      </c>
      <c r="C167" s="348" t="s">
        <v>57</v>
      </c>
      <c r="D167" s="381">
        <v>0</v>
      </c>
      <c r="E167" s="381">
        <v>0</v>
      </c>
      <c r="F167" s="381">
        <v>0</v>
      </c>
      <c r="G167" s="381">
        <v>0</v>
      </c>
      <c r="H167" s="390"/>
      <c r="I167" s="390"/>
      <c r="J167" s="390"/>
      <c r="K167" s="390"/>
      <c r="L167" s="381"/>
      <c r="M167" s="390">
        <v>5</v>
      </c>
      <c r="N167" s="381">
        <v>14</v>
      </c>
      <c r="O167" s="381">
        <v>13</v>
      </c>
      <c r="P167" s="391">
        <f t="shared" ref="P167:P176" si="139">SUM(D167:O167)</f>
        <v>32</v>
      </c>
    </row>
    <row r="168" spans="1:16" x14ac:dyDescent="0.3">
      <c r="A168" s="502"/>
      <c r="B168" s="20" t="s">
        <v>73</v>
      </c>
      <c r="C168" s="348" t="s">
        <v>57</v>
      </c>
      <c r="D168" s="381">
        <v>0</v>
      </c>
      <c r="E168" s="381">
        <v>0</v>
      </c>
      <c r="F168" s="381">
        <v>0</v>
      </c>
      <c r="G168" s="381">
        <v>0</v>
      </c>
      <c r="H168" s="390"/>
      <c r="I168" s="390"/>
      <c r="J168" s="390"/>
      <c r="K168" s="390"/>
      <c r="L168" s="381"/>
      <c r="M168" s="390">
        <v>2</v>
      </c>
      <c r="N168" s="381">
        <v>6</v>
      </c>
      <c r="O168" s="381">
        <v>17</v>
      </c>
      <c r="P168" s="391">
        <f t="shared" si="139"/>
        <v>25</v>
      </c>
    </row>
    <row r="169" spans="1:16" x14ac:dyDescent="0.3">
      <c r="A169" s="502"/>
      <c r="B169" s="20" t="s">
        <v>72</v>
      </c>
      <c r="C169" s="348" t="s">
        <v>57</v>
      </c>
      <c r="D169" s="381">
        <v>0</v>
      </c>
      <c r="E169" s="381">
        <v>0</v>
      </c>
      <c r="F169" s="381">
        <v>0</v>
      </c>
      <c r="G169" s="381">
        <v>0</v>
      </c>
      <c r="H169" s="390"/>
      <c r="I169" s="390"/>
      <c r="J169" s="390"/>
      <c r="K169" s="390"/>
      <c r="L169" s="381"/>
      <c r="M169" s="390"/>
      <c r="N169" s="381">
        <v>3</v>
      </c>
      <c r="O169" s="381">
        <v>4</v>
      </c>
      <c r="P169" s="391">
        <f t="shared" si="139"/>
        <v>7</v>
      </c>
    </row>
    <row r="170" spans="1:16" x14ac:dyDescent="0.3">
      <c r="A170" s="502"/>
      <c r="B170" s="20" t="s">
        <v>71</v>
      </c>
      <c r="C170" s="348" t="s">
        <v>57</v>
      </c>
      <c r="D170" s="381">
        <v>0</v>
      </c>
      <c r="E170" s="381">
        <v>0</v>
      </c>
      <c r="F170" s="381">
        <v>0</v>
      </c>
      <c r="G170" s="381">
        <v>0</v>
      </c>
      <c r="H170" s="390"/>
      <c r="I170" s="390"/>
      <c r="J170" s="390"/>
      <c r="K170" s="390"/>
      <c r="L170" s="381"/>
      <c r="M170" s="390"/>
      <c r="N170" s="381"/>
      <c r="O170" s="381"/>
      <c r="P170" s="391">
        <f t="shared" si="139"/>
        <v>0</v>
      </c>
    </row>
    <row r="171" spans="1:16" x14ac:dyDescent="0.3">
      <c r="A171" s="502"/>
      <c r="B171" s="20" t="s">
        <v>52</v>
      </c>
      <c r="C171" s="348" t="s">
        <v>57</v>
      </c>
      <c r="D171" s="381">
        <v>0</v>
      </c>
      <c r="E171" s="381">
        <v>0</v>
      </c>
      <c r="F171" s="381">
        <v>0</v>
      </c>
      <c r="G171" s="381">
        <v>0</v>
      </c>
      <c r="H171" s="390"/>
      <c r="I171" s="390"/>
      <c r="J171" s="390"/>
      <c r="K171" s="390"/>
      <c r="L171" s="381"/>
      <c r="M171" s="390"/>
      <c r="N171" s="381"/>
      <c r="O171" s="381"/>
      <c r="P171" s="391">
        <f t="shared" si="139"/>
        <v>0</v>
      </c>
    </row>
    <row r="172" spans="1:16" x14ac:dyDescent="0.3">
      <c r="A172" s="502"/>
      <c r="B172" s="20" t="s">
        <v>62</v>
      </c>
      <c r="C172" s="348" t="s">
        <v>57</v>
      </c>
      <c r="D172" s="381">
        <v>0</v>
      </c>
      <c r="E172" s="381">
        <v>0</v>
      </c>
      <c r="F172" s="381">
        <v>0</v>
      </c>
      <c r="G172" s="381">
        <v>0</v>
      </c>
      <c r="H172" s="390"/>
      <c r="I172" s="390"/>
      <c r="J172" s="390"/>
      <c r="K172" s="390"/>
      <c r="L172" s="381"/>
      <c r="M172" s="390"/>
      <c r="N172" s="381"/>
      <c r="O172" s="381"/>
      <c r="P172" s="391">
        <f t="shared" si="139"/>
        <v>0</v>
      </c>
    </row>
    <row r="173" spans="1:16" x14ac:dyDescent="0.3">
      <c r="A173" s="502"/>
      <c r="B173" s="20" t="s">
        <v>61</v>
      </c>
      <c r="C173" s="348" t="s">
        <v>57</v>
      </c>
      <c r="D173" s="381">
        <v>0</v>
      </c>
      <c r="E173" s="381">
        <v>0</v>
      </c>
      <c r="F173" s="381">
        <v>0</v>
      </c>
      <c r="G173" s="381">
        <v>0</v>
      </c>
      <c r="H173" s="390"/>
      <c r="I173" s="390"/>
      <c r="J173" s="390"/>
      <c r="K173" s="390"/>
      <c r="L173" s="381"/>
      <c r="M173" s="381"/>
      <c r="N173" s="381"/>
      <c r="O173" s="381"/>
      <c r="P173" s="391">
        <f t="shared" si="139"/>
        <v>0</v>
      </c>
    </row>
    <row r="174" spans="1:16" x14ac:dyDescent="0.3">
      <c r="A174" s="502"/>
      <c r="B174" s="20" t="s">
        <v>60</v>
      </c>
      <c r="C174" s="348" t="s">
        <v>57</v>
      </c>
      <c r="D174" s="381">
        <v>0</v>
      </c>
      <c r="E174" s="381">
        <v>0</v>
      </c>
      <c r="F174" s="381">
        <v>0</v>
      </c>
      <c r="G174" s="381">
        <v>0</v>
      </c>
      <c r="H174" s="390"/>
      <c r="I174" s="390"/>
      <c r="J174" s="390"/>
      <c r="K174" s="390"/>
      <c r="L174" s="381"/>
      <c r="M174" s="381"/>
      <c r="N174" s="381"/>
      <c r="O174" s="381"/>
      <c r="P174" s="391">
        <f t="shared" si="139"/>
        <v>0</v>
      </c>
    </row>
    <row r="175" spans="1:16" x14ac:dyDescent="0.3">
      <c r="A175" s="503"/>
      <c r="B175" s="20" t="s">
        <v>69</v>
      </c>
      <c r="C175" s="348" t="s">
        <v>57</v>
      </c>
      <c r="D175" s="381">
        <v>1</v>
      </c>
      <c r="E175" s="381">
        <v>0</v>
      </c>
      <c r="F175" s="381">
        <v>0</v>
      </c>
      <c r="G175" s="381">
        <v>0</v>
      </c>
      <c r="H175" s="390"/>
      <c r="I175" s="390"/>
      <c r="J175" s="390"/>
      <c r="K175" s="390"/>
      <c r="L175" s="381"/>
      <c r="M175" s="381"/>
      <c r="N175" s="381"/>
      <c r="O175" s="381"/>
      <c r="P175" s="391">
        <f t="shared" si="139"/>
        <v>1</v>
      </c>
    </row>
    <row r="176" spans="1:16" x14ac:dyDescent="0.3">
      <c r="A176" s="501" t="s">
        <v>70</v>
      </c>
      <c r="B176" s="433" t="s">
        <v>63</v>
      </c>
      <c r="C176" s="348"/>
      <c r="D176" s="381">
        <v>0</v>
      </c>
      <c r="E176" s="381">
        <v>0</v>
      </c>
      <c r="F176" s="381">
        <v>0</v>
      </c>
      <c r="G176" s="381">
        <v>0</v>
      </c>
      <c r="H176" s="381"/>
      <c r="I176" s="381"/>
      <c r="J176" s="381"/>
      <c r="K176" s="381"/>
      <c r="L176" s="381"/>
      <c r="M176" s="381"/>
      <c r="N176" s="381"/>
      <c r="O176" s="381"/>
      <c r="P176" s="391">
        <f t="shared" si="139"/>
        <v>0</v>
      </c>
    </row>
    <row r="177" spans="1:16" x14ac:dyDescent="0.3">
      <c r="A177" s="502"/>
      <c r="B177" s="20" t="s">
        <v>60</v>
      </c>
      <c r="C177" s="348" t="s">
        <v>57</v>
      </c>
      <c r="D177" s="381">
        <v>0</v>
      </c>
      <c r="E177" s="381">
        <v>0</v>
      </c>
      <c r="F177" s="381">
        <v>0</v>
      </c>
      <c r="G177" s="381">
        <v>0</v>
      </c>
      <c r="H177" s="381"/>
      <c r="I177" s="381"/>
      <c r="J177" s="381"/>
      <c r="K177" s="381"/>
      <c r="L177" s="381"/>
      <c r="M177" s="381"/>
      <c r="N177" s="381"/>
      <c r="O177" s="381"/>
      <c r="P177" s="391">
        <f t="shared" ref="P177:P188" si="140">SUM(D177:O177)</f>
        <v>0</v>
      </c>
    </row>
    <row r="178" spans="1:16" x14ac:dyDescent="0.3">
      <c r="A178" s="502"/>
      <c r="B178" s="20" t="s">
        <v>69</v>
      </c>
      <c r="C178" s="348" t="s">
        <v>57</v>
      </c>
      <c r="D178" s="381">
        <v>0</v>
      </c>
      <c r="E178" s="381">
        <v>0</v>
      </c>
      <c r="F178" s="381">
        <v>0</v>
      </c>
      <c r="G178" s="381">
        <v>0</v>
      </c>
      <c r="H178" s="381"/>
      <c r="I178" s="381"/>
      <c r="J178" s="381"/>
      <c r="K178" s="381"/>
      <c r="L178" s="381"/>
      <c r="M178" s="381"/>
      <c r="N178" s="381"/>
      <c r="O178" s="381"/>
      <c r="P178" s="391">
        <f t="shared" si="140"/>
        <v>0</v>
      </c>
    </row>
    <row r="179" spans="1:16" x14ac:dyDescent="0.3">
      <c r="A179" s="502"/>
      <c r="B179" s="20" t="s">
        <v>68</v>
      </c>
      <c r="C179" s="348" t="s">
        <v>57</v>
      </c>
      <c r="D179" s="381">
        <v>0</v>
      </c>
      <c r="E179" s="381">
        <v>0</v>
      </c>
      <c r="F179" s="381">
        <v>0</v>
      </c>
      <c r="G179" s="381">
        <v>0</v>
      </c>
      <c r="H179" s="381"/>
      <c r="I179" s="381"/>
      <c r="J179" s="381"/>
      <c r="K179" s="381"/>
      <c r="L179" s="381"/>
      <c r="M179" s="381"/>
      <c r="N179" s="381"/>
      <c r="O179" s="381"/>
      <c r="P179" s="391">
        <f t="shared" si="140"/>
        <v>0</v>
      </c>
    </row>
    <row r="180" spans="1:16" x14ac:dyDescent="0.3">
      <c r="A180" s="502"/>
      <c r="B180" s="20" t="s">
        <v>67</v>
      </c>
      <c r="C180" s="348" t="s">
        <v>57</v>
      </c>
      <c r="D180" s="381">
        <v>0</v>
      </c>
      <c r="E180" s="381">
        <v>0</v>
      </c>
      <c r="F180" s="381">
        <v>0</v>
      </c>
      <c r="G180" s="381">
        <v>0</v>
      </c>
      <c r="H180" s="381"/>
      <c r="I180" s="381"/>
      <c r="J180" s="381"/>
      <c r="K180" s="381"/>
      <c r="L180" s="381"/>
      <c r="M180" s="381"/>
      <c r="N180" s="381"/>
      <c r="O180" s="381"/>
      <c r="P180" s="391">
        <f t="shared" si="140"/>
        <v>0</v>
      </c>
    </row>
    <row r="181" spans="1:16" x14ac:dyDescent="0.3">
      <c r="A181" s="502"/>
      <c r="B181" s="20" t="s">
        <v>66</v>
      </c>
      <c r="C181" s="348" t="s">
        <v>57</v>
      </c>
      <c r="D181" s="381">
        <v>0</v>
      </c>
      <c r="E181" s="381">
        <v>0</v>
      </c>
      <c r="F181" s="381">
        <v>0</v>
      </c>
      <c r="G181" s="381">
        <v>0</v>
      </c>
      <c r="H181" s="381"/>
      <c r="I181" s="381"/>
      <c r="J181" s="381"/>
      <c r="K181" s="381"/>
      <c r="L181" s="381"/>
      <c r="M181" s="381"/>
      <c r="N181" s="381"/>
      <c r="O181" s="381"/>
      <c r="P181" s="391">
        <f t="shared" si="140"/>
        <v>0</v>
      </c>
    </row>
    <row r="182" spans="1:16" x14ac:dyDescent="0.3">
      <c r="A182" s="503"/>
      <c r="B182" s="20" t="s">
        <v>65</v>
      </c>
      <c r="C182" s="348" t="s">
        <v>57</v>
      </c>
      <c r="D182" s="381">
        <v>0</v>
      </c>
      <c r="E182" s="381">
        <v>0</v>
      </c>
      <c r="F182" s="381">
        <v>0</v>
      </c>
      <c r="G182" s="381">
        <v>0</v>
      </c>
      <c r="H182" s="381"/>
      <c r="I182" s="381"/>
      <c r="J182" s="381"/>
      <c r="K182" s="381"/>
      <c r="L182" s="381"/>
      <c r="M182" s="381"/>
      <c r="N182" s="381"/>
      <c r="O182" s="381"/>
      <c r="P182" s="391">
        <f t="shared" si="140"/>
        <v>0</v>
      </c>
    </row>
    <row r="183" spans="1:16" x14ac:dyDescent="0.3">
      <c r="A183" s="501" t="s">
        <v>209</v>
      </c>
      <c r="B183" s="433" t="s">
        <v>63</v>
      </c>
      <c r="C183" s="348"/>
      <c r="D183" s="597">
        <v>0</v>
      </c>
      <c r="E183" s="597">
        <v>0</v>
      </c>
      <c r="F183" s="597">
        <v>0</v>
      </c>
      <c r="G183" s="597">
        <v>0</v>
      </c>
      <c r="H183" s="381"/>
      <c r="I183" s="381"/>
      <c r="J183" s="381"/>
      <c r="K183" s="381"/>
      <c r="L183" s="381"/>
      <c r="M183" s="381"/>
      <c r="N183" s="381"/>
      <c r="O183" s="381"/>
      <c r="P183" s="427"/>
    </row>
    <row r="184" spans="1:16" x14ac:dyDescent="0.3">
      <c r="A184" s="502"/>
      <c r="B184" s="20" t="s">
        <v>73</v>
      </c>
      <c r="C184" s="348"/>
      <c r="D184" s="597">
        <v>0</v>
      </c>
      <c r="E184" s="597">
        <v>0</v>
      </c>
      <c r="F184" s="597">
        <v>0</v>
      </c>
      <c r="G184" s="597">
        <v>0</v>
      </c>
      <c r="H184" s="390"/>
      <c r="I184" s="390"/>
      <c r="J184" s="390"/>
      <c r="K184" s="390"/>
      <c r="L184" s="381"/>
      <c r="M184" s="381"/>
      <c r="N184" s="381"/>
      <c r="O184" s="381"/>
      <c r="P184" s="427">
        <f>SUM(D184:O184)</f>
        <v>0</v>
      </c>
    </row>
    <row r="185" spans="1:16" x14ac:dyDescent="0.3">
      <c r="A185" s="502"/>
      <c r="B185" s="20" t="s">
        <v>72</v>
      </c>
      <c r="C185" s="348"/>
      <c r="D185" s="597">
        <v>0</v>
      </c>
      <c r="E185" s="597">
        <v>0</v>
      </c>
      <c r="F185" s="597">
        <v>0</v>
      </c>
      <c r="G185" s="597">
        <v>0</v>
      </c>
      <c r="H185" s="390"/>
      <c r="I185" s="390"/>
      <c r="J185" s="390"/>
      <c r="K185" s="390"/>
      <c r="L185" s="381"/>
      <c r="M185" s="381"/>
      <c r="N185" s="381"/>
      <c r="O185" s="381"/>
      <c r="P185" s="427">
        <f>SUM(D185:O185)</f>
        <v>0</v>
      </c>
    </row>
    <row r="186" spans="1:16" x14ac:dyDescent="0.3">
      <c r="A186" s="502"/>
      <c r="B186" s="20" t="s">
        <v>53</v>
      </c>
      <c r="C186" s="348"/>
      <c r="D186" s="597">
        <v>0</v>
      </c>
      <c r="E186" s="597">
        <v>0</v>
      </c>
      <c r="F186" s="597">
        <v>0</v>
      </c>
      <c r="G186" s="597">
        <v>0</v>
      </c>
      <c r="H186" s="390"/>
      <c r="I186" s="390"/>
      <c r="J186" s="390"/>
      <c r="K186" s="390"/>
      <c r="L186" s="381"/>
      <c r="M186" s="381"/>
      <c r="N186" s="381"/>
      <c r="O186" s="381"/>
      <c r="P186" s="427">
        <f>SUM(D186:O186)</f>
        <v>0</v>
      </c>
    </row>
    <row r="187" spans="1:16" x14ac:dyDescent="0.3">
      <c r="A187" s="503"/>
      <c r="B187" s="20" t="s">
        <v>52</v>
      </c>
      <c r="C187" s="348"/>
      <c r="D187" s="597">
        <v>0</v>
      </c>
      <c r="E187" s="597">
        <v>0</v>
      </c>
      <c r="F187" s="597">
        <v>0</v>
      </c>
      <c r="G187" s="597">
        <v>0</v>
      </c>
      <c r="H187" s="390"/>
      <c r="I187" s="390"/>
      <c r="J187" s="390"/>
      <c r="K187" s="390"/>
      <c r="L187" s="381"/>
      <c r="M187" s="381"/>
      <c r="N187" s="381"/>
      <c r="O187" s="381"/>
      <c r="P187" s="427">
        <f>SUM(D187:O187)</f>
        <v>0</v>
      </c>
    </row>
    <row r="188" spans="1:16" x14ac:dyDescent="0.3">
      <c r="A188" s="501" t="s">
        <v>64</v>
      </c>
      <c r="B188" s="433" t="s">
        <v>63</v>
      </c>
      <c r="C188" s="348"/>
      <c r="D188" s="381">
        <v>0</v>
      </c>
      <c r="E188" s="381">
        <v>0</v>
      </c>
      <c r="F188" s="381">
        <v>0</v>
      </c>
      <c r="G188" s="381">
        <v>0</v>
      </c>
      <c r="H188" s="390"/>
      <c r="I188" s="390"/>
      <c r="J188" s="390"/>
      <c r="K188" s="390"/>
      <c r="L188" s="381"/>
      <c r="M188" s="381"/>
      <c r="N188" s="381"/>
      <c r="O188" s="381"/>
      <c r="P188" s="391">
        <f t="shared" si="140"/>
        <v>0</v>
      </c>
    </row>
    <row r="189" spans="1:16" x14ac:dyDescent="0.3">
      <c r="A189" s="502"/>
      <c r="B189" s="20" t="s">
        <v>52</v>
      </c>
      <c r="C189" s="348" t="s">
        <v>57</v>
      </c>
      <c r="D189" s="381">
        <v>0</v>
      </c>
      <c r="E189" s="381">
        <v>0</v>
      </c>
      <c r="F189" s="381">
        <v>0</v>
      </c>
      <c r="G189" s="381">
        <v>0</v>
      </c>
      <c r="H189" s="381"/>
      <c r="I189" s="381"/>
      <c r="J189" s="381"/>
      <c r="K189" s="381"/>
      <c r="L189" s="381"/>
      <c r="M189" s="381"/>
      <c r="N189" s="381"/>
      <c r="O189" s="381"/>
      <c r="P189" s="391">
        <f>SUM(D189:O189)</f>
        <v>0</v>
      </c>
    </row>
    <row r="190" spans="1:16" x14ac:dyDescent="0.3">
      <c r="A190" s="502"/>
      <c r="B190" s="20" t="s">
        <v>62</v>
      </c>
      <c r="C190" s="348" t="s">
        <v>57</v>
      </c>
      <c r="D190" s="381">
        <v>0</v>
      </c>
      <c r="E190" s="381">
        <v>0</v>
      </c>
      <c r="F190" s="381">
        <v>0</v>
      </c>
      <c r="G190" s="381">
        <v>0</v>
      </c>
      <c r="H190" s="381"/>
      <c r="I190" s="381">
        <v>1</v>
      </c>
      <c r="J190" s="381"/>
      <c r="K190" s="381"/>
      <c r="L190" s="381"/>
      <c r="M190" s="381"/>
      <c r="N190" s="381"/>
      <c r="O190" s="381"/>
      <c r="P190" s="391">
        <f>SUM(D190:O190)</f>
        <v>1</v>
      </c>
    </row>
    <row r="191" spans="1:16" x14ac:dyDescent="0.3">
      <c r="A191" s="502"/>
      <c r="B191" s="20" t="s">
        <v>61</v>
      </c>
      <c r="C191" s="348" t="s">
        <v>57</v>
      </c>
      <c r="D191" s="381">
        <v>0</v>
      </c>
      <c r="E191" s="381">
        <v>0</v>
      </c>
      <c r="F191" s="381">
        <v>5</v>
      </c>
      <c r="G191" s="381">
        <v>0</v>
      </c>
      <c r="H191" s="381"/>
      <c r="I191" s="381">
        <v>1</v>
      </c>
      <c r="J191" s="648">
        <v>1</v>
      </c>
      <c r="K191" s="381"/>
      <c r="L191" s="381"/>
      <c r="M191" s="381"/>
      <c r="N191" s="381"/>
      <c r="O191" s="381"/>
      <c r="P191" s="391">
        <f>SUM(D191:O191)</f>
        <v>7</v>
      </c>
    </row>
    <row r="192" spans="1:16" x14ac:dyDescent="0.3">
      <c r="A192" s="503"/>
      <c r="B192" s="20" t="s">
        <v>60</v>
      </c>
      <c r="C192" s="348" t="s">
        <v>57</v>
      </c>
      <c r="D192" s="381">
        <v>0</v>
      </c>
      <c r="E192" s="381">
        <v>0</v>
      </c>
      <c r="F192" s="381">
        <v>0</v>
      </c>
      <c r="G192" s="381">
        <v>0</v>
      </c>
      <c r="H192" s="381"/>
      <c r="I192" s="381"/>
      <c r="J192" s="381"/>
      <c r="K192" s="381"/>
      <c r="L192" s="381">
        <v>1</v>
      </c>
      <c r="M192" s="381"/>
      <c r="N192" s="381">
        <v>1</v>
      </c>
      <c r="O192" s="381"/>
      <c r="P192" s="391">
        <f>SUM(D192:O192)</f>
        <v>2</v>
      </c>
    </row>
    <row r="193" spans="1:16" x14ac:dyDescent="0.3">
      <c r="A193" s="434" t="s">
        <v>59</v>
      </c>
      <c r="B193" s="435"/>
      <c r="C193" s="348"/>
      <c r="D193" s="436">
        <f t="shared" ref="D193:P193" si="141">SUM(D153:D192)</f>
        <v>125</v>
      </c>
      <c r="E193" s="436">
        <f t="shared" si="141"/>
        <v>162</v>
      </c>
      <c r="F193" s="436">
        <f t="shared" si="141"/>
        <v>147</v>
      </c>
      <c r="G193" s="436">
        <f t="shared" si="141"/>
        <v>117</v>
      </c>
      <c r="H193" s="436">
        <f t="shared" si="141"/>
        <v>92</v>
      </c>
      <c r="I193" s="436">
        <f t="shared" si="141"/>
        <v>132</v>
      </c>
      <c r="J193" s="436">
        <f t="shared" si="141"/>
        <v>118</v>
      </c>
      <c r="K193" s="436">
        <f t="shared" si="141"/>
        <v>119</v>
      </c>
      <c r="L193" s="436">
        <f t="shared" si="141"/>
        <v>148</v>
      </c>
      <c r="M193" s="436">
        <f t="shared" si="141"/>
        <v>233</v>
      </c>
      <c r="N193" s="436">
        <f t="shared" si="141"/>
        <v>375</v>
      </c>
      <c r="O193" s="436">
        <f t="shared" si="141"/>
        <v>373</v>
      </c>
      <c r="P193" s="375">
        <f t="shared" si="141"/>
        <v>2141</v>
      </c>
    </row>
    <row r="194" spans="1:16" x14ac:dyDescent="0.3">
      <c r="A194" s="477" t="s">
        <v>58</v>
      </c>
      <c r="B194" s="504"/>
      <c r="C194" s="348" t="s">
        <v>57</v>
      </c>
      <c r="D194" s="381">
        <v>3</v>
      </c>
      <c r="E194" s="381">
        <v>3</v>
      </c>
      <c r="F194" s="381">
        <v>3</v>
      </c>
      <c r="G194" s="381">
        <v>3</v>
      </c>
      <c r="H194" s="381">
        <v>3</v>
      </c>
      <c r="I194" s="381">
        <v>2</v>
      </c>
      <c r="J194" s="649">
        <v>3</v>
      </c>
      <c r="K194" s="381">
        <v>2</v>
      </c>
      <c r="L194" s="381">
        <v>3</v>
      </c>
      <c r="M194" s="381">
        <v>3</v>
      </c>
      <c r="N194" s="381">
        <v>3</v>
      </c>
      <c r="O194" s="381">
        <v>3</v>
      </c>
      <c r="P194" s="378">
        <f>SUM(D194:O194)</f>
        <v>34</v>
      </c>
    </row>
    <row r="195" spans="1:16" x14ac:dyDescent="0.3">
      <c r="A195" s="479"/>
      <c r="B195" s="505"/>
      <c r="C195" s="437" t="s">
        <v>55</v>
      </c>
      <c r="D195" s="381">
        <v>0</v>
      </c>
      <c r="E195" s="381">
        <v>0</v>
      </c>
      <c r="F195" s="381">
        <v>0</v>
      </c>
      <c r="G195" s="381">
        <v>0</v>
      </c>
      <c r="H195" s="381">
        <v>0</v>
      </c>
      <c r="I195" s="381">
        <v>0</v>
      </c>
      <c r="J195" s="381">
        <v>0</v>
      </c>
      <c r="K195" s="381">
        <v>0</v>
      </c>
      <c r="L195" s="381"/>
      <c r="M195" s="381"/>
      <c r="N195" s="381"/>
      <c r="O195" s="381"/>
      <c r="P195" s="378">
        <f>SUM(D195:O195)</f>
        <v>0</v>
      </c>
    </row>
    <row r="196" spans="1:16" x14ac:dyDescent="0.3">
      <c r="A196" s="438" t="s">
        <v>202</v>
      </c>
      <c r="B196" s="439"/>
      <c r="C196" s="437" t="s">
        <v>55</v>
      </c>
      <c r="D196" s="381">
        <v>693</v>
      </c>
      <c r="E196" s="381">
        <v>559</v>
      </c>
      <c r="F196" s="381">
        <v>697.25</v>
      </c>
      <c r="G196" s="381">
        <v>667</v>
      </c>
      <c r="H196" s="381">
        <v>671</v>
      </c>
      <c r="I196" s="381">
        <v>574</v>
      </c>
      <c r="J196" s="649">
        <v>545.75</v>
      </c>
      <c r="K196" s="381">
        <v>562</v>
      </c>
      <c r="L196" s="381">
        <v>645</v>
      </c>
      <c r="M196" s="381">
        <v>640</v>
      </c>
      <c r="N196" s="381">
        <v>659.75</v>
      </c>
      <c r="O196" s="381">
        <v>520</v>
      </c>
      <c r="P196" s="378">
        <f>SUM(D196:O196)/12</f>
        <v>619.47916666666663</v>
      </c>
    </row>
    <row r="197" spans="1:16" x14ac:dyDescent="0.3">
      <c r="A197" s="473" t="s">
        <v>56</v>
      </c>
      <c r="B197" s="474"/>
      <c r="C197" s="437" t="s">
        <v>55</v>
      </c>
      <c r="D197" s="381">
        <v>45.75</v>
      </c>
      <c r="E197" s="381">
        <v>35</v>
      </c>
      <c r="F197" s="381">
        <v>10.5</v>
      </c>
      <c r="G197" s="381">
        <v>39.25</v>
      </c>
      <c r="H197" s="381">
        <v>23</v>
      </c>
      <c r="I197" s="381">
        <v>83</v>
      </c>
      <c r="J197" s="649">
        <v>55</v>
      </c>
      <c r="K197" s="381">
        <v>104</v>
      </c>
      <c r="L197" s="381">
        <v>59</v>
      </c>
      <c r="M197" s="381">
        <v>32.25</v>
      </c>
      <c r="N197" s="381">
        <v>74.5</v>
      </c>
      <c r="O197" s="381">
        <v>52</v>
      </c>
      <c r="P197" s="378">
        <f>SUM(D197:O197)</f>
        <v>613.25</v>
      </c>
    </row>
    <row r="198" spans="1:16" x14ac:dyDescent="0.3">
      <c r="A198" s="470" t="s">
        <v>203</v>
      </c>
      <c r="B198" s="471"/>
      <c r="C198" s="471"/>
      <c r="D198" s="471"/>
      <c r="E198" s="471"/>
      <c r="F198" s="471"/>
      <c r="G198" s="471"/>
      <c r="H198" s="471"/>
      <c r="I198" s="471"/>
      <c r="J198" s="471"/>
      <c r="K198" s="471"/>
      <c r="L198" s="471"/>
      <c r="M198" s="471"/>
      <c r="N198" s="471"/>
      <c r="O198" s="471"/>
      <c r="P198" s="549"/>
    </row>
    <row r="199" spans="1:16" x14ac:dyDescent="0.3">
      <c r="A199" s="477" t="s">
        <v>54</v>
      </c>
      <c r="B199" s="357" t="s">
        <v>53</v>
      </c>
      <c r="C199" s="348" t="s">
        <v>47</v>
      </c>
      <c r="D199" s="381">
        <v>0</v>
      </c>
      <c r="E199" s="381">
        <v>0</v>
      </c>
      <c r="F199" s="381">
        <v>0</v>
      </c>
      <c r="G199" s="381">
        <v>0</v>
      </c>
      <c r="H199" s="381"/>
      <c r="I199" s="381"/>
      <c r="J199" s="381"/>
      <c r="K199" s="381"/>
      <c r="L199" s="381"/>
      <c r="M199" s="381">
        <v>500</v>
      </c>
      <c r="N199" s="381"/>
      <c r="O199" s="381"/>
      <c r="P199" s="378">
        <f t="shared" ref="P199:P204" si="142">SUM(D199:O199)</f>
        <v>500</v>
      </c>
    </row>
    <row r="200" spans="1:16" x14ac:dyDescent="0.3">
      <c r="A200" s="478"/>
      <c r="B200" s="357" t="s">
        <v>52</v>
      </c>
      <c r="C200" s="348" t="s">
        <v>47</v>
      </c>
      <c r="D200" s="381">
        <v>0</v>
      </c>
      <c r="E200" s="381">
        <v>0</v>
      </c>
      <c r="F200" s="381">
        <v>0</v>
      </c>
      <c r="G200" s="381">
        <v>0</v>
      </c>
      <c r="H200" s="381"/>
      <c r="I200" s="381"/>
      <c r="J200" s="381"/>
      <c r="K200" s="381"/>
      <c r="L200" s="381"/>
      <c r="M200" s="381">
        <v>830</v>
      </c>
      <c r="N200" s="381"/>
      <c r="O200" s="381"/>
      <c r="P200" s="378">
        <f t="shared" si="142"/>
        <v>830</v>
      </c>
    </row>
    <row r="201" spans="1:16" x14ac:dyDescent="0.3">
      <c r="A201" s="478"/>
      <c r="B201" s="357" t="s">
        <v>51</v>
      </c>
      <c r="C201" s="348" t="s">
        <v>47</v>
      </c>
      <c r="D201" s="381">
        <v>0</v>
      </c>
      <c r="E201" s="381">
        <v>0</v>
      </c>
      <c r="F201" s="381">
        <v>0</v>
      </c>
      <c r="G201" s="381">
        <v>330</v>
      </c>
      <c r="H201" s="381"/>
      <c r="I201" s="381"/>
      <c r="J201" s="381"/>
      <c r="K201" s="381"/>
      <c r="L201" s="381"/>
      <c r="M201" s="381"/>
      <c r="N201" s="381"/>
      <c r="O201" s="381"/>
      <c r="P201" s="378">
        <f t="shared" si="142"/>
        <v>330</v>
      </c>
    </row>
    <row r="202" spans="1:16" x14ac:dyDescent="0.3">
      <c r="A202" s="478"/>
      <c r="B202" s="357" t="s">
        <v>50</v>
      </c>
      <c r="C202" s="348" t="s">
        <v>47</v>
      </c>
      <c r="D202" s="381">
        <v>0</v>
      </c>
      <c r="E202" s="381">
        <v>0</v>
      </c>
      <c r="F202" s="381">
        <v>0</v>
      </c>
      <c r="G202" s="381">
        <v>0</v>
      </c>
      <c r="H202" s="381"/>
      <c r="I202" s="381"/>
      <c r="J202" s="381"/>
      <c r="K202" s="381"/>
      <c r="L202" s="381"/>
      <c r="M202" s="381"/>
      <c r="N202" s="381"/>
      <c r="O202" s="381"/>
      <c r="P202" s="378">
        <f t="shared" si="142"/>
        <v>0</v>
      </c>
    </row>
    <row r="203" spans="1:16" x14ac:dyDescent="0.3">
      <c r="A203" s="479"/>
      <c r="B203" s="357" t="s">
        <v>49</v>
      </c>
      <c r="C203" s="348" t="s">
        <v>47</v>
      </c>
      <c r="D203" s="381">
        <v>0</v>
      </c>
      <c r="E203" s="381">
        <v>0</v>
      </c>
      <c r="F203" s="381">
        <v>0</v>
      </c>
      <c r="G203" s="381">
        <v>0</v>
      </c>
      <c r="H203" s="381"/>
      <c r="I203" s="381"/>
      <c r="J203" s="381"/>
      <c r="K203" s="381"/>
      <c r="L203" s="381"/>
      <c r="M203" s="381">
        <v>320</v>
      </c>
      <c r="N203" s="381"/>
      <c r="O203" s="381"/>
      <c r="P203" s="378">
        <f t="shared" si="142"/>
        <v>320</v>
      </c>
    </row>
    <row r="204" spans="1:16" x14ac:dyDescent="0.3">
      <c r="A204" s="440" t="s">
        <v>48</v>
      </c>
      <c r="B204" s="357"/>
      <c r="C204" s="348" t="s">
        <v>47</v>
      </c>
      <c r="D204" s="374">
        <f t="shared" ref="D204:N204" si="143">SUM(D199:D203)</f>
        <v>0</v>
      </c>
      <c r="E204" s="374">
        <f t="shared" si="143"/>
        <v>0</v>
      </c>
      <c r="F204" s="374">
        <f t="shared" si="143"/>
        <v>0</v>
      </c>
      <c r="G204" s="374">
        <f t="shared" si="143"/>
        <v>330</v>
      </c>
      <c r="H204" s="374">
        <f t="shared" si="143"/>
        <v>0</v>
      </c>
      <c r="I204" s="374">
        <f t="shared" si="143"/>
        <v>0</v>
      </c>
      <c r="J204" s="374">
        <f t="shared" si="143"/>
        <v>0</v>
      </c>
      <c r="K204" s="374">
        <f t="shared" si="143"/>
        <v>0</v>
      </c>
      <c r="L204" s="374">
        <f t="shared" si="143"/>
        <v>0</v>
      </c>
      <c r="M204" s="374">
        <f t="shared" si="143"/>
        <v>1650</v>
      </c>
      <c r="N204" s="374">
        <f t="shared" si="143"/>
        <v>0</v>
      </c>
      <c r="O204" s="374">
        <v>807</v>
      </c>
      <c r="P204" s="441">
        <f t="shared" si="142"/>
        <v>2787</v>
      </c>
    </row>
    <row r="205" spans="1:16" s="354" customFormat="1" x14ac:dyDescent="0.3">
      <c r="A205" s="470" t="s">
        <v>46</v>
      </c>
      <c r="B205" s="471"/>
      <c r="C205" s="471"/>
      <c r="D205" s="471"/>
      <c r="E205" s="471"/>
      <c r="F205" s="471"/>
      <c r="G205" s="471"/>
      <c r="H205" s="471"/>
      <c r="I205" s="471"/>
      <c r="J205" s="471"/>
      <c r="K205" s="471"/>
      <c r="L205" s="471"/>
      <c r="M205" s="471"/>
      <c r="N205" s="471"/>
      <c r="O205" s="471"/>
      <c r="P205" s="549"/>
    </row>
    <row r="206" spans="1:16" x14ac:dyDescent="0.3">
      <c r="A206" s="473" t="s">
        <v>43</v>
      </c>
      <c r="B206" s="474"/>
      <c r="C206" s="348" t="s">
        <v>31</v>
      </c>
      <c r="D206" s="376">
        <v>21648973</v>
      </c>
      <c r="E206" s="376">
        <v>36170424</v>
      </c>
      <c r="F206" s="376">
        <v>36891551</v>
      </c>
      <c r="G206" s="376">
        <v>40280262</v>
      </c>
      <c r="H206" s="376">
        <v>33618910</v>
      </c>
      <c r="I206" s="376">
        <v>52747595</v>
      </c>
      <c r="J206" s="650">
        <v>22786601</v>
      </c>
      <c r="K206" s="376">
        <v>79105291</v>
      </c>
      <c r="L206" s="376">
        <v>26377272</v>
      </c>
      <c r="M206" s="376">
        <v>39337278</v>
      </c>
      <c r="N206" s="376">
        <v>33683655</v>
      </c>
      <c r="O206" s="376">
        <v>31453963</v>
      </c>
      <c r="P206" s="378">
        <f>SUM(D206:O206)</f>
        <v>454101775</v>
      </c>
    </row>
    <row r="207" spans="1:16" x14ac:dyDescent="0.3">
      <c r="A207" s="473" t="s">
        <v>42</v>
      </c>
      <c r="B207" s="474"/>
      <c r="C207" s="348" t="s">
        <v>31</v>
      </c>
      <c r="D207" s="376">
        <v>0</v>
      </c>
      <c r="E207" s="376">
        <v>0</v>
      </c>
      <c r="F207" s="376">
        <v>0</v>
      </c>
      <c r="G207" s="376">
        <v>0</v>
      </c>
      <c r="H207" s="376">
        <v>0</v>
      </c>
      <c r="I207" s="376">
        <v>0</v>
      </c>
      <c r="J207" s="376">
        <v>0</v>
      </c>
      <c r="K207" s="376">
        <v>0</v>
      </c>
      <c r="L207" s="376">
        <v>0</v>
      </c>
      <c r="M207" s="376">
        <v>0</v>
      </c>
      <c r="N207" s="376">
        <v>0</v>
      </c>
      <c r="O207" s="376">
        <v>0</v>
      </c>
      <c r="P207" s="378">
        <f>SUM(D207:O207)</f>
        <v>0</v>
      </c>
    </row>
    <row r="208" spans="1:16" x14ac:dyDescent="0.3">
      <c r="A208" s="480" t="s">
        <v>41</v>
      </c>
      <c r="B208" s="481"/>
      <c r="C208" s="348" t="s">
        <v>31</v>
      </c>
      <c r="D208" s="376">
        <v>47500</v>
      </c>
      <c r="E208" s="376">
        <v>806000</v>
      </c>
      <c r="F208" s="376">
        <v>34500</v>
      </c>
      <c r="G208" s="376">
        <v>100000</v>
      </c>
      <c r="H208" s="376">
        <v>50300</v>
      </c>
      <c r="I208" s="376">
        <v>66200</v>
      </c>
      <c r="J208" s="650">
        <v>60000</v>
      </c>
      <c r="K208" s="376">
        <v>264303</v>
      </c>
      <c r="L208" s="376">
        <v>271243</v>
      </c>
      <c r="M208" s="376">
        <v>1236195</v>
      </c>
      <c r="N208" s="376">
        <v>353243</v>
      </c>
      <c r="O208" s="376">
        <v>89000</v>
      </c>
      <c r="P208" s="378">
        <f>SUM(D208:O208)</f>
        <v>3378484</v>
      </c>
    </row>
    <row r="209" spans="1:16" x14ac:dyDescent="0.3">
      <c r="A209" s="473" t="s">
        <v>40</v>
      </c>
      <c r="B209" s="474"/>
      <c r="C209" s="348" t="s">
        <v>31</v>
      </c>
      <c r="D209" s="376">
        <v>0</v>
      </c>
      <c r="E209" s="376">
        <v>0</v>
      </c>
      <c r="F209" s="376">
        <v>0</v>
      </c>
      <c r="G209" s="376">
        <v>0</v>
      </c>
      <c r="H209" s="376">
        <v>2119955</v>
      </c>
      <c r="I209" s="376">
        <v>0</v>
      </c>
      <c r="J209" s="376">
        <v>0</v>
      </c>
      <c r="K209" s="376">
        <v>0</v>
      </c>
      <c r="L209" s="376">
        <v>0</v>
      </c>
      <c r="M209" s="376">
        <v>4700491</v>
      </c>
      <c r="N209" s="376">
        <v>11300</v>
      </c>
      <c r="O209" s="376">
        <v>100243</v>
      </c>
      <c r="P209" s="378">
        <f>SUM(D209:O209)</f>
        <v>6931989</v>
      </c>
    </row>
    <row r="210" spans="1:16" x14ac:dyDescent="0.3">
      <c r="A210" s="475" t="s">
        <v>45</v>
      </c>
      <c r="B210" s="476"/>
      <c r="C210" s="348" t="s">
        <v>31</v>
      </c>
      <c r="D210" s="436">
        <f t="shared" ref="D210:O210" si="144">SUM(D206:D209)</f>
        <v>21696473</v>
      </c>
      <c r="E210" s="436">
        <f t="shared" si="144"/>
        <v>36976424</v>
      </c>
      <c r="F210" s="436">
        <f t="shared" si="144"/>
        <v>36926051</v>
      </c>
      <c r="G210" s="436">
        <f t="shared" si="144"/>
        <v>40380262</v>
      </c>
      <c r="H210" s="436">
        <f t="shared" si="144"/>
        <v>35789165</v>
      </c>
      <c r="I210" s="436">
        <f t="shared" si="144"/>
        <v>52813795</v>
      </c>
      <c r="J210" s="436">
        <f t="shared" si="144"/>
        <v>22846601</v>
      </c>
      <c r="K210" s="436">
        <f t="shared" si="144"/>
        <v>79369594</v>
      </c>
      <c r="L210" s="436">
        <f t="shared" si="144"/>
        <v>26648515</v>
      </c>
      <c r="M210" s="436">
        <f t="shared" si="144"/>
        <v>45273964</v>
      </c>
      <c r="N210" s="436">
        <f t="shared" si="144"/>
        <v>34048198</v>
      </c>
      <c r="O210" s="436">
        <f t="shared" si="144"/>
        <v>31643206</v>
      </c>
      <c r="P210" s="378">
        <f>SUM(D210:O210)</f>
        <v>464412248</v>
      </c>
    </row>
    <row r="211" spans="1:16" s="354" customFormat="1" x14ac:dyDescent="0.3">
      <c r="A211" s="470" t="s">
        <v>44</v>
      </c>
      <c r="B211" s="471"/>
      <c r="C211" s="471"/>
      <c r="D211" s="471"/>
      <c r="E211" s="471"/>
      <c r="F211" s="471"/>
      <c r="G211" s="471"/>
      <c r="H211" s="471"/>
      <c r="I211" s="471"/>
      <c r="J211" s="471"/>
      <c r="K211" s="471"/>
      <c r="L211" s="471"/>
      <c r="M211" s="471"/>
      <c r="N211" s="471"/>
      <c r="O211" s="471"/>
      <c r="P211" s="549"/>
    </row>
    <row r="212" spans="1:16" x14ac:dyDescent="0.3">
      <c r="A212" s="473" t="s">
        <v>43</v>
      </c>
      <c r="B212" s="474"/>
      <c r="C212" s="348" t="s">
        <v>31</v>
      </c>
      <c r="D212" s="376">
        <v>18403868.289999999</v>
      </c>
      <c r="E212" s="376">
        <v>22733600.960000001</v>
      </c>
      <c r="F212" s="376">
        <v>19536191.899999999</v>
      </c>
      <c r="G212" s="376">
        <v>30920422.559999999</v>
      </c>
      <c r="H212" s="376">
        <v>25608793.670000002</v>
      </c>
      <c r="I212" s="376">
        <v>23822597.449999999</v>
      </c>
      <c r="J212" s="651">
        <v>27131003.239999998</v>
      </c>
      <c r="K212" s="376">
        <v>28888642.059999999</v>
      </c>
      <c r="L212" s="376">
        <v>28844878.18</v>
      </c>
      <c r="M212" s="376">
        <v>30675671.100000001</v>
      </c>
      <c r="N212" s="376">
        <v>42004698.219999999</v>
      </c>
      <c r="O212" s="376">
        <v>27190039.25</v>
      </c>
      <c r="P212" s="378">
        <f>SUM(D212:O212)</f>
        <v>325760406.88</v>
      </c>
    </row>
    <row r="213" spans="1:16" x14ac:dyDescent="0.3">
      <c r="A213" s="473" t="s">
        <v>42</v>
      </c>
      <c r="B213" s="474"/>
      <c r="C213" s="348" t="s">
        <v>31</v>
      </c>
      <c r="D213" s="376">
        <v>0</v>
      </c>
      <c r="E213" s="376">
        <v>0</v>
      </c>
      <c r="F213" s="376">
        <v>0</v>
      </c>
      <c r="G213" s="376">
        <v>0</v>
      </c>
      <c r="H213" s="376">
        <v>0</v>
      </c>
      <c r="I213" s="376">
        <v>0</v>
      </c>
      <c r="J213" s="376">
        <v>0</v>
      </c>
      <c r="K213" s="376">
        <v>0</v>
      </c>
      <c r="L213" s="376">
        <v>0</v>
      </c>
      <c r="M213" s="376">
        <v>0</v>
      </c>
      <c r="N213" s="376">
        <v>0</v>
      </c>
      <c r="O213" s="376">
        <v>0</v>
      </c>
      <c r="P213" s="378">
        <f>SUM(D213:O213)</f>
        <v>0</v>
      </c>
    </row>
    <row r="214" spans="1:16" x14ac:dyDescent="0.3">
      <c r="A214" s="480" t="s">
        <v>41</v>
      </c>
      <c r="B214" s="481"/>
      <c r="C214" s="348" t="s">
        <v>31</v>
      </c>
      <c r="D214" s="376">
        <v>0</v>
      </c>
      <c r="E214" s="376">
        <v>0</v>
      </c>
      <c r="F214" s="376">
        <v>0</v>
      </c>
      <c r="G214" s="376">
        <v>0</v>
      </c>
      <c r="H214" s="376">
        <v>0</v>
      </c>
      <c r="I214" s="376">
        <v>0</v>
      </c>
      <c r="J214" s="376">
        <v>0</v>
      </c>
      <c r="K214" s="376">
        <v>0</v>
      </c>
      <c r="L214" s="376">
        <v>0</v>
      </c>
      <c r="M214" s="376">
        <v>0</v>
      </c>
      <c r="N214" s="376">
        <v>0</v>
      </c>
      <c r="O214" s="376">
        <v>0</v>
      </c>
      <c r="P214" s="378">
        <f>SUM(D214:O214)</f>
        <v>0</v>
      </c>
    </row>
    <row r="215" spans="1:16" x14ac:dyDescent="0.3">
      <c r="A215" s="473" t="s">
        <v>40</v>
      </c>
      <c r="B215" s="474"/>
      <c r="C215" s="348" t="s">
        <v>31</v>
      </c>
      <c r="D215" s="376">
        <v>0</v>
      </c>
      <c r="E215" s="376">
        <v>0</v>
      </c>
      <c r="F215" s="376">
        <v>0</v>
      </c>
      <c r="G215" s="376">
        <v>0</v>
      </c>
      <c r="H215" s="376">
        <v>0</v>
      </c>
      <c r="I215" s="376">
        <v>0</v>
      </c>
      <c r="J215" s="376">
        <v>0</v>
      </c>
      <c r="K215" s="376">
        <v>0</v>
      </c>
      <c r="L215" s="376">
        <v>0</v>
      </c>
      <c r="M215" s="376">
        <v>0</v>
      </c>
      <c r="N215" s="376">
        <v>0</v>
      </c>
      <c r="O215" s="376">
        <v>0</v>
      </c>
      <c r="P215" s="378">
        <f>SUM(D215:O215)</f>
        <v>0</v>
      </c>
    </row>
    <row r="216" spans="1:16" x14ac:dyDescent="0.3">
      <c r="A216" s="475" t="s">
        <v>39</v>
      </c>
      <c r="B216" s="476"/>
      <c r="C216" s="348" t="s">
        <v>31</v>
      </c>
      <c r="D216" s="436">
        <f t="shared" ref="D216:O216" si="145">SUM(D212:D215)</f>
        <v>18403868.289999999</v>
      </c>
      <c r="E216" s="436">
        <f t="shared" si="145"/>
        <v>22733600.960000001</v>
      </c>
      <c r="F216" s="436">
        <f t="shared" si="145"/>
        <v>19536191.899999999</v>
      </c>
      <c r="G216" s="436">
        <f t="shared" si="145"/>
        <v>30920422.559999999</v>
      </c>
      <c r="H216" s="436">
        <f t="shared" si="145"/>
        <v>25608793.670000002</v>
      </c>
      <c r="I216" s="436">
        <f t="shared" si="145"/>
        <v>23822597.449999999</v>
      </c>
      <c r="J216" s="436">
        <f t="shared" si="145"/>
        <v>27131003.239999998</v>
      </c>
      <c r="K216" s="436">
        <f t="shared" si="145"/>
        <v>28888642.059999999</v>
      </c>
      <c r="L216" s="436">
        <f t="shared" si="145"/>
        <v>28844878.18</v>
      </c>
      <c r="M216" s="436">
        <f t="shared" si="145"/>
        <v>30675671.100000001</v>
      </c>
      <c r="N216" s="436">
        <f t="shared" si="145"/>
        <v>42004698.219999999</v>
      </c>
      <c r="O216" s="436">
        <f t="shared" si="145"/>
        <v>27190039.25</v>
      </c>
      <c r="P216" s="378">
        <f>SUM(D216:O216)</f>
        <v>325760406.88</v>
      </c>
    </row>
    <row r="217" spans="1:16" s="354" customFormat="1" x14ac:dyDescent="0.3">
      <c r="A217" s="442" t="s">
        <v>38</v>
      </c>
      <c r="B217" s="443"/>
      <c r="C217" s="348" t="s">
        <v>31</v>
      </c>
      <c r="D217" s="436">
        <f>D210+D216</f>
        <v>40100341.289999999</v>
      </c>
      <c r="E217" s="436">
        <f t="shared" ref="E217:P217" si="146">E210+E216</f>
        <v>59710024.960000001</v>
      </c>
      <c r="F217" s="436">
        <f t="shared" si="146"/>
        <v>56462242.899999999</v>
      </c>
      <c r="G217" s="436">
        <f t="shared" si="146"/>
        <v>71300684.560000002</v>
      </c>
      <c r="H217" s="436">
        <f t="shared" si="146"/>
        <v>61397958.670000002</v>
      </c>
      <c r="I217" s="436">
        <f t="shared" si="146"/>
        <v>76636392.450000003</v>
      </c>
      <c r="J217" s="436">
        <f t="shared" si="146"/>
        <v>49977604.239999995</v>
      </c>
      <c r="K217" s="436">
        <f t="shared" si="146"/>
        <v>108258236.06</v>
      </c>
      <c r="L217" s="436">
        <f t="shared" si="146"/>
        <v>55493393.18</v>
      </c>
      <c r="M217" s="436">
        <f t="shared" si="146"/>
        <v>75949635.099999994</v>
      </c>
      <c r="N217" s="436">
        <f t="shared" si="146"/>
        <v>76052896.219999999</v>
      </c>
      <c r="O217" s="436">
        <f t="shared" si="146"/>
        <v>58833245.25</v>
      </c>
      <c r="P217" s="382">
        <f t="shared" si="146"/>
        <v>790172654.88</v>
      </c>
    </row>
    <row r="218" spans="1:16" s="354" customFormat="1" x14ac:dyDescent="0.3">
      <c r="A218" s="470" t="s">
        <v>37</v>
      </c>
      <c r="B218" s="471"/>
      <c r="C218" s="471"/>
      <c r="D218" s="471"/>
      <c r="E218" s="471"/>
      <c r="F218" s="471"/>
      <c r="G218" s="471"/>
      <c r="H218" s="471"/>
      <c r="I218" s="471"/>
      <c r="J218" s="471"/>
      <c r="K218" s="471"/>
      <c r="L218" s="471"/>
      <c r="M218" s="471"/>
      <c r="N218" s="471"/>
      <c r="O218" s="471"/>
      <c r="P218" s="549"/>
    </row>
    <row r="219" spans="1:16" x14ac:dyDescent="0.3">
      <c r="A219" s="473" t="s">
        <v>35</v>
      </c>
      <c r="B219" s="474"/>
      <c r="C219" s="348" t="s">
        <v>31</v>
      </c>
      <c r="D219" s="376">
        <v>29576029.270000003</v>
      </c>
      <c r="E219" s="376">
        <v>47506145</v>
      </c>
      <c r="F219" s="376">
        <v>47988127</v>
      </c>
      <c r="G219" s="376">
        <v>47950824</v>
      </c>
      <c r="H219" s="376">
        <v>49419710</v>
      </c>
      <c r="I219" s="376">
        <v>49928874</v>
      </c>
      <c r="J219" s="652">
        <v>52118759</v>
      </c>
      <c r="K219" s="376">
        <v>52134169</v>
      </c>
      <c r="L219" s="376">
        <v>48600235</v>
      </c>
      <c r="M219" s="376">
        <v>54194342</v>
      </c>
      <c r="N219" s="376">
        <v>56461810</v>
      </c>
      <c r="O219" s="376">
        <v>56718668</v>
      </c>
      <c r="P219" s="378">
        <f>SUM(D219:O219)</f>
        <v>592597692.26999998</v>
      </c>
    </row>
    <row r="220" spans="1:16" x14ac:dyDescent="0.3">
      <c r="A220" s="473" t="s">
        <v>34</v>
      </c>
      <c r="B220" s="474"/>
      <c r="C220" s="348" t="s">
        <v>31</v>
      </c>
      <c r="D220" s="376">
        <v>0</v>
      </c>
      <c r="E220" s="376">
        <v>0</v>
      </c>
      <c r="F220" s="376">
        <v>0</v>
      </c>
      <c r="G220" s="376">
        <v>0</v>
      </c>
      <c r="H220" s="376">
        <v>0</v>
      </c>
      <c r="I220" s="376">
        <v>0</v>
      </c>
      <c r="J220" s="376">
        <v>0</v>
      </c>
      <c r="K220" s="376">
        <v>0</v>
      </c>
      <c r="L220" s="376">
        <v>0</v>
      </c>
      <c r="M220" s="376">
        <v>0</v>
      </c>
      <c r="N220" s="376">
        <v>0</v>
      </c>
      <c r="O220" s="376">
        <v>0</v>
      </c>
      <c r="P220" s="378">
        <f>SUM(D220:O220)</f>
        <v>0</v>
      </c>
    </row>
    <row r="221" spans="1:16" x14ac:dyDescent="0.3">
      <c r="A221" s="473" t="s">
        <v>33</v>
      </c>
      <c r="B221" s="474"/>
      <c r="C221" s="348" t="s">
        <v>31</v>
      </c>
      <c r="D221" s="376">
        <v>608196</v>
      </c>
      <c r="E221" s="376">
        <v>862233</v>
      </c>
      <c r="F221" s="376">
        <v>903118</v>
      </c>
      <c r="G221" s="376">
        <v>669143.37</v>
      </c>
      <c r="H221" s="376">
        <v>908162</v>
      </c>
      <c r="I221" s="376">
        <v>914452</v>
      </c>
      <c r="J221" s="652">
        <v>851552</v>
      </c>
      <c r="K221" s="376">
        <v>810667</v>
      </c>
      <c r="L221" s="376">
        <v>818314</v>
      </c>
      <c r="M221" s="376">
        <v>410518</v>
      </c>
      <c r="N221" s="376">
        <v>351967</v>
      </c>
      <c r="O221" s="376">
        <v>505961</v>
      </c>
      <c r="P221" s="378">
        <f>SUM(D221:O221)</f>
        <v>8614283.370000001</v>
      </c>
    </row>
    <row r="222" spans="1:16" x14ac:dyDescent="0.3">
      <c r="A222" s="473" t="s">
        <v>32</v>
      </c>
      <c r="B222" s="474"/>
      <c r="C222" s="348" t="s">
        <v>31</v>
      </c>
      <c r="D222" s="376">
        <v>611189.5</v>
      </c>
      <c r="E222" s="376">
        <v>859873</v>
      </c>
      <c r="F222" s="376">
        <v>275795</v>
      </c>
      <c r="G222" s="376">
        <v>55111.71</v>
      </c>
      <c r="H222" s="376">
        <v>396833</v>
      </c>
      <c r="I222" s="376">
        <v>112065</v>
      </c>
      <c r="J222" s="653">
        <v>130131</v>
      </c>
      <c r="K222" s="376">
        <v>251901</v>
      </c>
      <c r="L222" s="376">
        <v>356711</v>
      </c>
      <c r="M222" s="376">
        <v>189468</v>
      </c>
      <c r="N222" s="376">
        <v>185230</v>
      </c>
      <c r="O222" s="376">
        <v>167199</v>
      </c>
      <c r="P222" s="378">
        <f>SUM(D222:O222)</f>
        <v>3591507.21</v>
      </c>
    </row>
    <row r="223" spans="1:16" x14ac:dyDescent="0.3">
      <c r="A223" s="475" t="s">
        <v>36</v>
      </c>
      <c r="B223" s="476"/>
      <c r="C223" s="348" t="s">
        <v>31</v>
      </c>
      <c r="D223" s="444">
        <f t="shared" ref="D223:O223" si="147">SUM(D219:D222)</f>
        <v>30795414.770000003</v>
      </c>
      <c r="E223" s="436">
        <f t="shared" si="147"/>
        <v>49228251</v>
      </c>
      <c r="F223" s="436">
        <f t="shared" si="147"/>
        <v>49167040</v>
      </c>
      <c r="G223" s="436">
        <f t="shared" si="147"/>
        <v>48675079.079999998</v>
      </c>
      <c r="H223" s="436">
        <f t="shared" si="147"/>
        <v>50724705</v>
      </c>
      <c r="I223" s="436">
        <f t="shared" si="147"/>
        <v>50955391</v>
      </c>
      <c r="J223" s="445">
        <f t="shared" si="147"/>
        <v>53100442</v>
      </c>
      <c r="K223" s="445">
        <f t="shared" si="147"/>
        <v>53196737</v>
      </c>
      <c r="L223" s="445">
        <f t="shared" si="147"/>
        <v>49775260</v>
      </c>
      <c r="M223" s="445">
        <f t="shared" si="147"/>
        <v>54794328</v>
      </c>
      <c r="N223" s="445">
        <f t="shared" si="147"/>
        <v>56999007</v>
      </c>
      <c r="O223" s="445">
        <f t="shared" si="147"/>
        <v>57391828</v>
      </c>
      <c r="P223" s="378">
        <f>SUM(D223:O223)</f>
        <v>604803482.85000002</v>
      </c>
    </row>
    <row r="224" spans="1:16" x14ac:dyDescent="0.3">
      <c r="A224" s="470" t="s">
        <v>211</v>
      </c>
      <c r="B224" s="471"/>
      <c r="C224" s="471"/>
      <c r="D224" s="471"/>
      <c r="E224" s="471"/>
      <c r="F224" s="471"/>
      <c r="G224" s="471"/>
      <c r="H224" s="471"/>
      <c r="I224" s="471"/>
      <c r="J224" s="471"/>
      <c r="K224" s="471"/>
      <c r="L224" s="471"/>
      <c r="M224" s="471"/>
      <c r="N224" s="471"/>
      <c r="O224" s="471"/>
      <c r="P224" s="549"/>
    </row>
    <row r="225" spans="1:16" x14ac:dyDescent="0.3">
      <c r="A225" s="473" t="s">
        <v>35</v>
      </c>
      <c r="B225" s="474"/>
      <c r="C225" s="348" t="s">
        <v>31</v>
      </c>
      <c r="D225" s="376">
        <v>17958393.120000001</v>
      </c>
      <c r="E225" s="376">
        <v>21800844.059999999</v>
      </c>
      <c r="F225" s="376">
        <v>18640643.300000001</v>
      </c>
      <c r="G225" s="376">
        <v>29877746.439999998</v>
      </c>
      <c r="H225" s="376">
        <v>24599516.640000001</v>
      </c>
      <c r="I225" s="376">
        <v>23153064.890000001</v>
      </c>
      <c r="J225" s="376">
        <v>30023589.609999999</v>
      </c>
      <c r="K225" s="376">
        <v>28586614.870000001</v>
      </c>
      <c r="L225" s="376">
        <v>28450755</v>
      </c>
      <c r="M225" s="376">
        <v>30410429.469999999</v>
      </c>
      <c r="N225" s="376">
        <v>41723928.170000002</v>
      </c>
      <c r="O225" s="376">
        <v>26886247.699999999</v>
      </c>
      <c r="P225" s="378">
        <f t="shared" ref="P225:P230" si="148">SUM(D225:O225)</f>
        <v>322111773.26999998</v>
      </c>
    </row>
    <row r="226" spans="1:16" x14ac:dyDescent="0.3">
      <c r="A226" s="473" t="s">
        <v>34</v>
      </c>
      <c r="B226" s="474"/>
      <c r="C226" s="348" t="s">
        <v>31</v>
      </c>
      <c r="D226" s="376">
        <v>0</v>
      </c>
      <c r="E226" s="376">
        <v>0</v>
      </c>
      <c r="F226" s="376">
        <v>0</v>
      </c>
      <c r="G226" s="376">
        <v>0</v>
      </c>
      <c r="H226" s="376">
        <v>0</v>
      </c>
      <c r="I226" s="376">
        <v>0</v>
      </c>
      <c r="J226" s="376">
        <v>0</v>
      </c>
      <c r="K226" s="376">
        <v>0</v>
      </c>
      <c r="L226" s="376">
        <v>0</v>
      </c>
      <c r="M226" s="376">
        <v>0</v>
      </c>
      <c r="N226" s="376">
        <v>0</v>
      </c>
      <c r="O226" s="376">
        <v>0</v>
      </c>
      <c r="P226" s="378">
        <f t="shared" si="148"/>
        <v>0</v>
      </c>
    </row>
    <row r="227" spans="1:16" x14ac:dyDescent="0.3">
      <c r="A227" s="473" t="s">
        <v>33</v>
      </c>
      <c r="B227" s="474"/>
      <c r="C227" s="348" t="s">
        <v>31</v>
      </c>
      <c r="D227" s="376">
        <v>0</v>
      </c>
      <c r="E227" s="376">
        <v>0</v>
      </c>
      <c r="F227" s="376">
        <v>0</v>
      </c>
      <c r="G227" s="376">
        <v>0</v>
      </c>
      <c r="H227" s="376">
        <v>0</v>
      </c>
      <c r="I227" s="376">
        <v>0</v>
      </c>
      <c r="J227" s="376">
        <v>0</v>
      </c>
      <c r="K227" s="376">
        <v>0</v>
      </c>
      <c r="L227" s="376">
        <v>0</v>
      </c>
      <c r="M227" s="376">
        <v>0</v>
      </c>
      <c r="N227" s="376">
        <v>0</v>
      </c>
      <c r="O227" s="376">
        <v>0</v>
      </c>
      <c r="P227" s="378">
        <f t="shared" si="148"/>
        <v>0</v>
      </c>
    </row>
    <row r="228" spans="1:16" x14ac:dyDescent="0.3">
      <c r="A228" s="473" t="s">
        <v>32</v>
      </c>
      <c r="B228" s="474"/>
      <c r="C228" s="348" t="s">
        <v>31</v>
      </c>
      <c r="D228" s="376">
        <v>0</v>
      </c>
      <c r="E228" s="376">
        <v>0</v>
      </c>
      <c r="F228" s="376">
        <v>0</v>
      </c>
      <c r="G228" s="376">
        <v>0</v>
      </c>
      <c r="H228" s="376">
        <v>0</v>
      </c>
      <c r="I228" s="376">
        <v>0</v>
      </c>
      <c r="J228" s="376">
        <v>0</v>
      </c>
      <c r="K228" s="376">
        <v>0</v>
      </c>
      <c r="L228" s="376">
        <v>0</v>
      </c>
      <c r="M228" s="376">
        <v>0</v>
      </c>
      <c r="N228" s="376">
        <v>0</v>
      </c>
      <c r="O228" s="376">
        <v>0</v>
      </c>
      <c r="P228" s="378">
        <f t="shared" si="148"/>
        <v>0</v>
      </c>
    </row>
    <row r="229" spans="1:16" x14ac:dyDescent="0.3">
      <c r="A229" s="475" t="s">
        <v>212</v>
      </c>
      <c r="B229" s="476"/>
      <c r="C229" s="348" t="s">
        <v>31</v>
      </c>
      <c r="D229" s="444">
        <f t="shared" ref="D229:O229" si="149">SUM(D225:D228)</f>
        <v>17958393.120000001</v>
      </c>
      <c r="E229" s="436">
        <f t="shared" si="149"/>
        <v>21800844.059999999</v>
      </c>
      <c r="F229" s="436">
        <f t="shared" si="149"/>
        <v>18640643.300000001</v>
      </c>
      <c r="G229" s="436">
        <f t="shared" si="149"/>
        <v>29877746.439999998</v>
      </c>
      <c r="H229" s="436">
        <f t="shared" si="149"/>
        <v>24599516.640000001</v>
      </c>
      <c r="I229" s="436">
        <f t="shared" si="149"/>
        <v>23153064.890000001</v>
      </c>
      <c r="J229" s="445">
        <f t="shared" si="149"/>
        <v>30023589.609999999</v>
      </c>
      <c r="K229" s="445">
        <f t="shared" si="149"/>
        <v>28586614.870000001</v>
      </c>
      <c r="L229" s="445">
        <f t="shared" si="149"/>
        <v>28450755</v>
      </c>
      <c r="M229" s="445">
        <f t="shared" si="149"/>
        <v>30410429.469999999</v>
      </c>
      <c r="N229" s="445">
        <f t="shared" si="149"/>
        <v>41723928.170000002</v>
      </c>
      <c r="O229" s="445">
        <f t="shared" si="149"/>
        <v>26886247.699999999</v>
      </c>
      <c r="P229" s="378">
        <f t="shared" si="148"/>
        <v>322111773.26999998</v>
      </c>
    </row>
    <row r="230" spans="1:16" x14ac:dyDescent="0.3">
      <c r="A230" s="442" t="s">
        <v>213</v>
      </c>
      <c r="B230" s="446"/>
      <c r="C230" s="348" t="s">
        <v>31</v>
      </c>
      <c r="D230" s="444">
        <f>D223+D229</f>
        <v>48753807.890000001</v>
      </c>
      <c r="E230" s="444">
        <f t="shared" ref="E230:O230" si="150">E223+E229</f>
        <v>71029095.060000002</v>
      </c>
      <c r="F230" s="444">
        <f t="shared" si="150"/>
        <v>67807683.299999997</v>
      </c>
      <c r="G230" s="444">
        <f t="shared" si="150"/>
        <v>78552825.519999996</v>
      </c>
      <c r="H230" s="444">
        <f t="shared" si="150"/>
        <v>75324221.640000001</v>
      </c>
      <c r="I230" s="444">
        <f t="shared" si="150"/>
        <v>74108455.890000001</v>
      </c>
      <c r="J230" s="444">
        <f t="shared" si="150"/>
        <v>83124031.609999999</v>
      </c>
      <c r="K230" s="444">
        <f t="shared" si="150"/>
        <v>81783351.870000005</v>
      </c>
      <c r="L230" s="444">
        <f t="shared" si="150"/>
        <v>78226015</v>
      </c>
      <c r="M230" s="444">
        <f t="shared" si="150"/>
        <v>85204757.469999999</v>
      </c>
      <c r="N230" s="444">
        <f t="shared" si="150"/>
        <v>98722935.170000002</v>
      </c>
      <c r="O230" s="444">
        <f t="shared" si="150"/>
        <v>84278075.700000003</v>
      </c>
      <c r="P230" s="378">
        <f t="shared" si="148"/>
        <v>926915256.12</v>
      </c>
    </row>
    <row r="231" spans="1:16" x14ac:dyDescent="0.3">
      <c r="A231" s="470" t="s">
        <v>30</v>
      </c>
      <c r="B231" s="471"/>
      <c r="C231" s="471"/>
      <c r="D231" s="471"/>
      <c r="E231" s="471"/>
      <c r="F231" s="471"/>
      <c r="G231" s="471"/>
      <c r="H231" s="471"/>
      <c r="I231" s="471"/>
      <c r="J231" s="471"/>
      <c r="K231" s="471"/>
      <c r="L231" s="471"/>
      <c r="M231" s="471"/>
      <c r="N231" s="471"/>
      <c r="O231" s="471"/>
      <c r="P231" s="549"/>
    </row>
    <row r="232" spans="1:16" x14ac:dyDescent="0.3">
      <c r="A232" s="473" t="s">
        <v>29</v>
      </c>
      <c r="B232" s="474"/>
      <c r="C232" s="348" t="s">
        <v>18</v>
      </c>
      <c r="D232" s="376">
        <v>1558728.08</v>
      </c>
      <c r="E232" s="376">
        <v>2339423</v>
      </c>
      <c r="F232" s="376">
        <v>2350165</v>
      </c>
      <c r="G232" s="376">
        <v>2362165</v>
      </c>
      <c r="H232" s="376">
        <v>2369943</v>
      </c>
      <c r="I232" s="376">
        <v>2385584</v>
      </c>
      <c r="J232" s="376">
        <v>2394903</v>
      </c>
      <c r="K232" s="376">
        <v>2401194</v>
      </c>
      <c r="L232" s="376">
        <v>2410253</v>
      </c>
      <c r="M232" s="376">
        <v>2349750</v>
      </c>
      <c r="N232" s="376">
        <v>2351038</v>
      </c>
      <c r="O232" s="376">
        <v>2359366</v>
      </c>
      <c r="P232" s="378">
        <f>SUM(D232:O232)</f>
        <v>27632512.079999998</v>
      </c>
    </row>
    <row r="233" spans="1:16" x14ac:dyDescent="0.3">
      <c r="A233" s="473" t="s">
        <v>28</v>
      </c>
      <c r="B233" s="474"/>
      <c r="C233" s="348" t="s">
        <v>18</v>
      </c>
      <c r="D233" s="376">
        <v>0</v>
      </c>
      <c r="E233" s="376">
        <v>0</v>
      </c>
      <c r="F233" s="376">
        <v>0</v>
      </c>
      <c r="G233" s="376">
        <v>0</v>
      </c>
      <c r="H233" s="376">
        <v>0</v>
      </c>
      <c r="I233" s="376">
        <v>0</v>
      </c>
      <c r="J233" s="376">
        <v>0</v>
      </c>
      <c r="K233" s="376">
        <v>0</v>
      </c>
      <c r="L233" s="376">
        <v>0</v>
      </c>
      <c r="M233" s="376">
        <v>0</v>
      </c>
      <c r="N233" s="376">
        <v>0</v>
      </c>
      <c r="O233" s="376">
        <v>0</v>
      </c>
      <c r="P233" s="378">
        <f>SUM(D233:O233)</f>
        <v>0</v>
      </c>
    </row>
    <row r="234" spans="1:16" x14ac:dyDescent="0.3">
      <c r="A234" s="473" t="s">
        <v>27</v>
      </c>
      <c r="B234" s="474"/>
      <c r="C234" s="348" t="s">
        <v>18</v>
      </c>
      <c r="D234" s="376">
        <v>18510.75</v>
      </c>
      <c r="E234" s="376">
        <v>24681</v>
      </c>
      <c r="F234" s="376">
        <v>24681</v>
      </c>
      <c r="G234" s="376">
        <v>21595.91</v>
      </c>
      <c r="H234" s="376">
        <v>21596</v>
      </c>
      <c r="I234" s="376">
        <v>21596</v>
      </c>
      <c r="J234" s="376">
        <v>21596</v>
      </c>
      <c r="K234" s="376">
        <v>21596</v>
      </c>
      <c r="L234" s="376">
        <v>24681</v>
      </c>
      <c r="M234" s="376">
        <v>21596</v>
      </c>
      <c r="N234" s="376">
        <v>21596</v>
      </c>
      <c r="O234" s="376">
        <v>21596</v>
      </c>
      <c r="P234" s="378">
        <f>SUM(D234:O234)</f>
        <v>265321.66000000003</v>
      </c>
    </row>
    <row r="235" spans="1:16" x14ac:dyDescent="0.3">
      <c r="A235" s="473" t="s">
        <v>26</v>
      </c>
      <c r="B235" s="474"/>
      <c r="C235" s="348" t="s">
        <v>18</v>
      </c>
      <c r="D235" s="376">
        <v>16863</v>
      </c>
      <c r="E235" s="376">
        <v>33726</v>
      </c>
      <c r="F235" s="376">
        <v>25295</v>
      </c>
      <c r="G235" s="376">
        <v>25294.62</v>
      </c>
      <c r="H235" s="376">
        <v>21079</v>
      </c>
      <c r="I235" s="376">
        <v>21079</v>
      </c>
      <c r="J235" s="376">
        <v>25295</v>
      </c>
      <c r="K235" s="376">
        <v>25295</v>
      </c>
      <c r="L235" s="376">
        <v>29510</v>
      </c>
      <c r="M235" s="376">
        <v>25295</v>
      </c>
      <c r="N235" s="376">
        <v>29510</v>
      </c>
      <c r="O235" s="376">
        <v>25295</v>
      </c>
      <c r="P235" s="378">
        <f>SUM(D235:O235)</f>
        <v>303536.62</v>
      </c>
    </row>
    <row r="236" spans="1:16" x14ac:dyDescent="0.3">
      <c r="A236" s="475" t="s">
        <v>25</v>
      </c>
      <c r="B236" s="476"/>
      <c r="C236" s="348" t="s">
        <v>18</v>
      </c>
      <c r="D236" s="444">
        <f t="shared" ref="D236:O236" si="151">SUM(D232:D235)</f>
        <v>1594101.83</v>
      </c>
      <c r="E236" s="444">
        <f t="shared" si="151"/>
        <v>2397830</v>
      </c>
      <c r="F236" s="444">
        <f t="shared" si="151"/>
        <v>2400141</v>
      </c>
      <c r="G236" s="444">
        <f t="shared" si="151"/>
        <v>2409055.5300000003</v>
      </c>
      <c r="H236" s="444">
        <f t="shared" si="151"/>
        <v>2412618</v>
      </c>
      <c r="I236" s="444">
        <f t="shared" si="151"/>
        <v>2428259</v>
      </c>
      <c r="J236" s="444">
        <f t="shared" si="151"/>
        <v>2441794</v>
      </c>
      <c r="K236" s="444">
        <f t="shared" si="151"/>
        <v>2448085</v>
      </c>
      <c r="L236" s="444">
        <f t="shared" si="151"/>
        <v>2464444</v>
      </c>
      <c r="M236" s="444">
        <f t="shared" si="151"/>
        <v>2396641</v>
      </c>
      <c r="N236" s="444">
        <f t="shared" si="151"/>
        <v>2402144</v>
      </c>
      <c r="O236" s="444">
        <f t="shared" si="151"/>
        <v>2406257</v>
      </c>
      <c r="P236" s="382">
        <f t="shared" ref="P236" si="152">SUM(P232:P235)</f>
        <v>28201370.359999999</v>
      </c>
    </row>
    <row r="237" spans="1:16" x14ac:dyDescent="0.3">
      <c r="A237" s="470" t="s">
        <v>24</v>
      </c>
      <c r="B237" s="471"/>
      <c r="C237" s="471"/>
      <c r="D237" s="471"/>
      <c r="E237" s="471"/>
      <c r="F237" s="471"/>
      <c r="G237" s="471"/>
      <c r="H237" s="471"/>
      <c r="I237" s="471"/>
      <c r="J237" s="471"/>
      <c r="K237" s="471"/>
      <c r="L237" s="471"/>
      <c r="M237" s="471"/>
      <c r="N237" s="471"/>
      <c r="O237" s="471"/>
      <c r="P237" s="549"/>
    </row>
    <row r="238" spans="1:16" x14ac:dyDescent="0.3">
      <c r="A238" s="473" t="s">
        <v>23</v>
      </c>
      <c r="B238" s="474"/>
      <c r="C238" s="348" t="s">
        <v>18</v>
      </c>
      <c r="D238" s="374">
        <v>4227462</v>
      </c>
      <c r="E238" s="376">
        <v>4231034</v>
      </c>
      <c r="F238" s="376">
        <v>4251573</v>
      </c>
      <c r="G238" s="376">
        <v>4273005</v>
      </c>
      <c r="H238" s="376">
        <v>4287293</v>
      </c>
      <c r="I238" s="376">
        <v>4314083</v>
      </c>
      <c r="J238" s="376">
        <v>4331050</v>
      </c>
      <c r="K238" s="376">
        <v>4342659</v>
      </c>
      <c r="L238" s="376">
        <v>4359626</v>
      </c>
      <c r="M238" s="376">
        <v>4249787</v>
      </c>
      <c r="N238" s="376">
        <v>4251573</v>
      </c>
      <c r="O238" s="376">
        <v>4266754</v>
      </c>
      <c r="P238" s="378">
        <f>SUM(D238:O238)</f>
        <v>51385899</v>
      </c>
    </row>
    <row r="239" spans="1:16" x14ac:dyDescent="0.3">
      <c r="A239" s="473" t="s">
        <v>22</v>
      </c>
      <c r="B239" s="474"/>
      <c r="C239" s="348" t="s">
        <v>18</v>
      </c>
      <c r="D239" s="374">
        <v>0</v>
      </c>
      <c r="E239" s="374">
        <v>0</v>
      </c>
      <c r="F239" s="374">
        <v>0</v>
      </c>
      <c r="G239" s="374">
        <v>0</v>
      </c>
      <c r="H239" s="374">
        <v>0</v>
      </c>
      <c r="I239" s="374">
        <v>0</v>
      </c>
      <c r="J239" s="374">
        <v>0</v>
      </c>
      <c r="K239" s="374">
        <v>0</v>
      </c>
      <c r="L239" s="374">
        <v>0</v>
      </c>
      <c r="M239" s="374">
        <v>0</v>
      </c>
      <c r="N239" s="374">
        <v>0</v>
      </c>
      <c r="O239" s="374">
        <v>0</v>
      </c>
      <c r="P239" s="378">
        <f>SUM(D239:O239)</f>
        <v>0</v>
      </c>
    </row>
    <row r="240" spans="1:16" x14ac:dyDescent="0.3">
      <c r="A240" s="473" t="s">
        <v>21</v>
      </c>
      <c r="B240" s="474"/>
      <c r="C240" s="348" t="s">
        <v>18</v>
      </c>
      <c r="D240" s="374">
        <v>8037</v>
      </c>
      <c r="E240" s="374">
        <v>7144</v>
      </c>
      <c r="F240" s="374">
        <v>7144</v>
      </c>
      <c r="G240" s="374">
        <v>6251</v>
      </c>
      <c r="H240" s="374">
        <v>6251</v>
      </c>
      <c r="I240" s="374">
        <v>6251</v>
      </c>
      <c r="J240" s="374">
        <v>6251</v>
      </c>
      <c r="K240" s="374">
        <v>6251</v>
      </c>
      <c r="L240" s="374">
        <v>7144</v>
      </c>
      <c r="M240" s="374">
        <v>6251</v>
      </c>
      <c r="N240" s="374">
        <v>6251</v>
      </c>
      <c r="O240" s="374">
        <v>6251</v>
      </c>
      <c r="P240" s="378">
        <f>SUM(D240:O240)</f>
        <v>79477</v>
      </c>
    </row>
    <row r="241" spans="1:16" x14ac:dyDescent="0.3">
      <c r="A241" s="473" t="s">
        <v>20</v>
      </c>
      <c r="B241" s="474"/>
      <c r="C241" s="348" t="s">
        <v>18</v>
      </c>
      <c r="D241" s="376">
        <v>5358</v>
      </c>
      <c r="E241" s="374">
        <v>7144</v>
      </c>
      <c r="F241" s="374">
        <v>5358</v>
      </c>
      <c r="G241" s="374">
        <v>5358</v>
      </c>
      <c r="H241" s="374">
        <v>4465</v>
      </c>
      <c r="I241" s="374">
        <v>4465</v>
      </c>
      <c r="J241" s="374">
        <v>5358</v>
      </c>
      <c r="K241" s="374">
        <v>5358</v>
      </c>
      <c r="L241" s="374">
        <v>6251</v>
      </c>
      <c r="M241" s="374">
        <v>5358</v>
      </c>
      <c r="N241" s="374">
        <v>6251</v>
      </c>
      <c r="O241" s="374">
        <v>5358</v>
      </c>
      <c r="P241" s="378">
        <f>SUM(D241:O241)</f>
        <v>66082</v>
      </c>
    </row>
    <row r="242" spans="1:16" x14ac:dyDescent="0.3">
      <c r="A242" s="475" t="s">
        <v>19</v>
      </c>
      <c r="B242" s="476"/>
      <c r="C242" s="348" t="s">
        <v>18</v>
      </c>
      <c r="D242" s="444">
        <f t="shared" ref="D242:P242" si="153">SUM(D238:D241)</f>
        <v>4240857</v>
      </c>
      <c r="E242" s="444">
        <f t="shared" si="153"/>
        <v>4245322</v>
      </c>
      <c r="F242" s="444">
        <f t="shared" si="153"/>
        <v>4264075</v>
      </c>
      <c r="G242" s="444">
        <f t="shared" si="153"/>
        <v>4284614</v>
      </c>
      <c r="H242" s="444">
        <f t="shared" si="153"/>
        <v>4298009</v>
      </c>
      <c r="I242" s="436">
        <f t="shared" si="153"/>
        <v>4324799</v>
      </c>
      <c r="J242" s="444">
        <f t="shared" si="153"/>
        <v>4342659</v>
      </c>
      <c r="K242" s="444">
        <f t="shared" si="153"/>
        <v>4354268</v>
      </c>
      <c r="L242" s="444">
        <f t="shared" si="153"/>
        <v>4373021</v>
      </c>
      <c r="M242" s="444">
        <f t="shared" si="153"/>
        <v>4261396</v>
      </c>
      <c r="N242" s="444">
        <f t="shared" si="153"/>
        <v>4264075</v>
      </c>
      <c r="O242" s="444">
        <f t="shared" si="153"/>
        <v>4278363</v>
      </c>
      <c r="P242" s="382">
        <f t="shared" si="153"/>
        <v>51531458</v>
      </c>
    </row>
    <row r="243" spans="1:16" x14ac:dyDescent="0.3">
      <c r="A243" s="475" t="s">
        <v>214</v>
      </c>
      <c r="B243" s="476"/>
      <c r="C243" s="348" t="s">
        <v>18</v>
      </c>
      <c r="D243" s="436">
        <f>D230+D236+D242</f>
        <v>54588766.719999999</v>
      </c>
      <c r="E243" s="436">
        <f t="shared" ref="E243:O243" si="154">E230+E236+E242</f>
        <v>77672247.060000002</v>
      </c>
      <c r="F243" s="436">
        <f t="shared" si="154"/>
        <v>74471899.299999997</v>
      </c>
      <c r="G243" s="436">
        <f t="shared" si="154"/>
        <v>85246495.049999997</v>
      </c>
      <c r="H243" s="436">
        <f t="shared" si="154"/>
        <v>82034848.640000001</v>
      </c>
      <c r="I243" s="436">
        <f t="shared" si="154"/>
        <v>80861513.890000001</v>
      </c>
      <c r="J243" s="436">
        <f t="shared" si="154"/>
        <v>89908484.609999999</v>
      </c>
      <c r="K243" s="436">
        <f t="shared" si="154"/>
        <v>88585704.870000005</v>
      </c>
      <c r="L243" s="436">
        <f t="shared" si="154"/>
        <v>85063480</v>
      </c>
      <c r="M243" s="436">
        <f t="shared" si="154"/>
        <v>91862794.469999999</v>
      </c>
      <c r="N243" s="436">
        <f t="shared" si="154"/>
        <v>105389154.17</v>
      </c>
      <c r="O243" s="436">
        <f t="shared" si="154"/>
        <v>90962695.700000003</v>
      </c>
      <c r="P243" s="382">
        <f t="shared" ref="P243" si="155">P216+P223+P236+P242</f>
        <v>1010296718.09</v>
      </c>
    </row>
    <row r="244" spans="1:16" x14ac:dyDescent="0.3">
      <c r="A244" s="470" t="s">
        <v>204</v>
      </c>
      <c r="B244" s="471"/>
      <c r="C244" s="471"/>
      <c r="D244" s="471"/>
      <c r="E244" s="471"/>
      <c r="F244" s="471"/>
      <c r="G244" s="471"/>
      <c r="H244" s="471"/>
      <c r="I244" s="471"/>
      <c r="J244" s="471"/>
      <c r="K244" s="471"/>
      <c r="L244" s="471"/>
      <c r="M244" s="471"/>
      <c r="N244" s="471"/>
      <c r="O244" s="471"/>
      <c r="P244" s="549"/>
    </row>
    <row r="245" spans="1:16" x14ac:dyDescent="0.3">
      <c r="A245" s="494" t="s">
        <v>205</v>
      </c>
      <c r="B245" s="495"/>
      <c r="C245" s="348" t="s">
        <v>18</v>
      </c>
      <c r="D245" s="447">
        <v>301216156.80000073</v>
      </c>
      <c r="E245" s="447">
        <v>319860067.44000036</v>
      </c>
      <c r="F245" s="447">
        <v>337864667.02999896</v>
      </c>
      <c r="G245" s="447">
        <v>355382072.10999703</v>
      </c>
      <c r="H245" s="447">
        <v>396152564.72999889</v>
      </c>
      <c r="I245" s="447">
        <v>399829786.04999959</v>
      </c>
      <c r="J245" s="447">
        <v>425279427.46000141</v>
      </c>
      <c r="K245" s="447">
        <v>410745439.99000013</v>
      </c>
      <c r="L245" s="447">
        <v>441415695.2700026</v>
      </c>
      <c r="M245" s="447">
        <v>424085456.01000232</v>
      </c>
      <c r="N245" s="447">
        <v>452774856.32000071</v>
      </c>
      <c r="O245" s="447">
        <v>485256080.49000096</v>
      </c>
      <c r="P245" s="448">
        <f>O245</f>
        <v>485256080.49000096</v>
      </c>
    </row>
    <row r="246" spans="1:16" x14ac:dyDescent="0.3">
      <c r="A246" s="494" t="s">
        <v>206</v>
      </c>
      <c r="B246" s="495"/>
      <c r="C246" s="348" t="s">
        <v>18</v>
      </c>
      <c r="D246" s="447">
        <v>305712593.44999915</v>
      </c>
      <c r="E246" s="447">
        <v>304365816.38999909</v>
      </c>
      <c r="F246" s="447">
        <v>304314572.08999914</v>
      </c>
      <c r="G246" s="447">
        <v>301468049.04999912</v>
      </c>
      <c r="H246" s="447">
        <v>298761487.86999911</v>
      </c>
      <c r="I246" s="447">
        <v>295019270.00999904</v>
      </c>
      <c r="J246" s="447">
        <v>292747518.93999904</v>
      </c>
      <c r="K246" s="447">
        <v>291004673.36999905</v>
      </c>
      <c r="L246" s="447">
        <v>289005194.37999916</v>
      </c>
      <c r="M246" s="447">
        <v>314824959.87999934</v>
      </c>
      <c r="N246" s="447">
        <v>315096546.06999928</v>
      </c>
      <c r="O246" s="447">
        <v>313009311.90999901</v>
      </c>
      <c r="P246" s="448">
        <f>O246</f>
        <v>313009311.90999901</v>
      </c>
    </row>
    <row r="247" spans="1:16" x14ac:dyDescent="0.3">
      <c r="A247" s="492" t="s">
        <v>207</v>
      </c>
      <c r="B247" s="493"/>
      <c r="C247" s="348" t="s">
        <v>18</v>
      </c>
      <c r="D247" s="449">
        <f>D245+D246</f>
        <v>606928750.24999988</v>
      </c>
      <c r="E247" s="449">
        <f t="shared" ref="E247:P247" si="156">E245+E246</f>
        <v>624225883.82999945</v>
      </c>
      <c r="F247" s="449">
        <f t="shared" si="156"/>
        <v>642179239.1199981</v>
      </c>
      <c r="G247" s="449">
        <f t="shared" si="156"/>
        <v>656850121.15999615</v>
      </c>
      <c r="H247" s="449">
        <f t="shared" si="156"/>
        <v>694914052.599998</v>
      </c>
      <c r="I247" s="449">
        <f t="shared" si="156"/>
        <v>694849056.05999863</v>
      </c>
      <c r="J247" s="449">
        <f t="shared" si="156"/>
        <v>718026946.40000045</v>
      </c>
      <c r="K247" s="449">
        <f t="shared" si="156"/>
        <v>701750113.35999918</v>
      </c>
      <c r="L247" s="449">
        <f t="shared" si="156"/>
        <v>730420889.65000176</v>
      </c>
      <c r="M247" s="449">
        <f t="shared" si="156"/>
        <v>738910415.89000165</v>
      </c>
      <c r="N247" s="450">
        <f t="shared" si="156"/>
        <v>767871402.38999999</v>
      </c>
      <c r="O247" s="450">
        <f t="shared" si="156"/>
        <v>798265392.39999998</v>
      </c>
      <c r="P247" s="448">
        <f t="shared" si="156"/>
        <v>798265392.39999998</v>
      </c>
    </row>
    <row r="248" spans="1:16" x14ac:dyDescent="0.3">
      <c r="A248" s="470" t="s">
        <v>17</v>
      </c>
      <c r="B248" s="471"/>
      <c r="C248" s="471"/>
      <c r="D248" s="471"/>
      <c r="E248" s="471"/>
      <c r="F248" s="471"/>
      <c r="G248" s="471"/>
      <c r="H248" s="471"/>
      <c r="I248" s="471"/>
      <c r="J248" s="471"/>
      <c r="K248" s="471"/>
      <c r="L248" s="471"/>
      <c r="M248" s="471"/>
      <c r="N248" s="471"/>
      <c r="O248" s="471"/>
      <c r="P248" s="549"/>
    </row>
    <row r="249" spans="1:16" x14ac:dyDescent="0.3">
      <c r="A249" s="485" t="s">
        <v>16</v>
      </c>
      <c r="B249" s="486"/>
      <c r="C249" s="358" t="s">
        <v>6</v>
      </c>
      <c r="D249" s="451">
        <f>D58/D243</f>
        <v>0.54451772027906331</v>
      </c>
      <c r="E249" s="451">
        <f>E58/E243</f>
        <v>0.38701298303317039</v>
      </c>
      <c r="F249" s="451">
        <f>F58/F243</f>
        <v>0.40605932168806658</v>
      </c>
      <c r="G249" s="451">
        <f>G58/G243</f>
        <v>0.27739164552109052</v>
      </c>
      <c r="H249" s="451">
        <f>H58/H243%</f>
        <v>32.78383932055732</v>
      </c>
      <c r="I249" s="451">
        <f t="shared" ref="I249:O249" si="157">I58/I243%</f>
        <v>37.351980748854366</v>
      </c>
      <c r="J249" s="451">
        <f t="shared" si="157"/>
        <v>30.6453509261021</v>
      </c>
      <c r="K249" s="451">
        <f t="shared" si="157"/>
        <v>35.895393278141214</v>
      </c>
      <c r="L249" s="451">
        <f t="shared" si="157"/>
        <v>44.295305038542978</v>
      </c>
      <c r="M249" s="451">
        <f t="shared" si="157"/>
        <v>45.701736363229756</v>
      </c>
      <c r="N249" s="451">
        <f t="shared" si="157"/>
        <v>43.886296534146474</v>
      </c>
      <c r="O249" s="451">
        <f t="shared" si="157"/>
        <v>44.981657151789967</v>
      </c>
      <c r="P249" s="452">
        <f>P58/P243</f>
        <v>0.39290422183900792</v>
      </c>
    </row>
    <row r="250" spans="1:16" x14ac:dyDescent="0.3">
      <c r="A250" s="485" t="s">
        <v>208</v>
      </c>
      <c r="B250" s="486"/>
      <c r="C250" s="358" t="s">
        <v>6</v>
      </c>
      <c r="D250" s="424">
        <f>D210/(D223+D245)</f>
        <v>6.5348544622715221E-2</v>
      </c>
      <c r="E250" s="424">
        <f>E210/(E223+E245)</f>
        <v>0.10018313274255239</v>
      </c>
      <c r="F250" s="424">
        <f>F210/(F223+F245)</f>
        <v>9.5408335620259271E-2</v>
      </c>
      <c r="G250" s="424">
        <f>G210/(G223+G245)</f>
        <v>9.9937006141520471E-2</v>
      </c>
      <c r="H250" s="424">
        <f>H210/(H223+H245)</f>
        <v>8.0087235185677813E-2</v>
      </c>
      <c r="I250" s="424">
        <f t="shared" ref="I250:O250" si="158">I210/(I223+I245)</f>
        <v>0.11715956444180521</v>
      </c>
      <c r="J250" s="424">
        <f t="shared" si="158"/>
        <v>4.7758282608733944E-2</v>
      </c>
      <c r="K250" s="424">
        <f t="shared" si="158"/>
        <v>0.17107647878651641</v>
      </c>
      <c r="L250" s="424">
        <f t="shared" si="158"/>
        <v>5.4252861772162694E-2</v>
      </c>
      <c r="M250" s="424">
        <f t="shared" si="158"/>
        <v>9.4541397469086658E-2</v>
      </c>
      <c r="N250" s="424">
        <f t="shared" si="158"/>
        <v>6.6790787935369106E-2</v>
      </c>
      <c r="O250" s="424">
        <f t="shared" si="158"/>
        <v>5.8312591838881232E-2</v>
      </c>
      <c r="P250" s="425">
        <f>P210/(P223+P245)</f>
        <v>0.42604300133564804</v>
      </c>
    </row>
    <row r="251" spans="1:16" ht="16.2" thickBot="1" x14ac:dyDescent="0.35">
      <c r="A251" s="496" t="s">
        <v>15</v>
      </c>
      <c r="B251" s="497"/>
      <c r="C251" s="358" t="s">
        <v>6</v>
      </c>
      <c r="D251" s="453">
        <f>D210/D223</f>
        <v>0.7045358265846795</v>
      </c>
      <c r="E251" s="453">
        <f>E210/E223</f>
        <v>0.75112203356564511</v>
      </c>
      <c r="F251" s="453">
        <f>F210/F223</f>
        <v>0.75103262266754311</v>
      </c>
      <c r="G251" s="453">
        <f>G210/G223</f>
        <v>0.82958801019373718</v>
      </c>
      <c r="H251" s="453">
        <f>H210/H223</f>
        <v>0.70555688791093019</v>
      </c>
      <c r="I251" s="453">
        <f t="shared" ref="I251:O251" si="159">I210/I223</f>
        <v>1.0364711949713035</v>
      </c>
      <c r="J251" s="453">
        <f t="shared" si="159"/>
        <v>0.43025255797305795</v>
      </c>
      <c r="K251" s="453">
        <f t="shared" si="159"/>
        <v>1.4920011729290841</v>
      </c>
      <c r="L251" s="453">
        <f t="shared" si="159"/>
        <v>0.53537671124168917</v>
      </c>
      <c r="M251" s="453">
        <f t="shared" si="159"/>
        <v>0.82625274645215108</v>
      </c>
      <c r="N251" s="453">
        <f t="shared" si="159"/>
        <v>0.59734721343478847</v>
      </c>
      <c r="O251" s="453">
        <f t="shared" si="159"/>
        <v>0.55135386173794643</v>
      </c>
      <c r="P251" s="454">
        <f>P210/P223</f>
        <v>0.76787297224473972</v>
      </c>
    </row>
    <row r="252" spans="1:16" x14ac:dyDescent="0.3">
      <c r="A252" s="498" t="s">
        <v>14</v>
      </c>
      <c r="B252" s="499"/>
      <c r="C252" s="499"/>
      <c r="D252" s="499"/>
      <c r="E252" s="499"/>
      <c r="F252" s="499"/>
      <c r="G252" s="499"/>
      <c r="H252" s="499"/>
      <c r="I252" s="499"/>
      <c r="J252" s="499"/>
      <c r="K252" s="499"/>
      <c r="L252" s="499"/>
      <c r="M252" s="499"/>
      <c r="N252" s="499"/>
      <c r="O252" s="499"/>
      <c r="P252" s="558"/>
    </row>
    <row r="253" spans="1:16" s="354" customFormat="1" ht="15" customHeight="1" x14ac:dyDescent="0.3">
      <c r="A253" s="485" t="s">
        <v>13</v>
      </c>
      <c r="B253" s="486"/>
      <c r="C253" s="358" t="s">
        <v>3</v>
      </c>
      <c r="D253" s="381">
        <v>68</v>
      </c>
      <c r="E253" s="381">
        <v>123</v>
      </c>
      <c r="F253" s="381">
        <v>161</v>
      </c>
      <c r="G253" s="381">
        <v>27</v>
      </c>
      <c r="H253" s="381">
        <v>135</v>
      </c>
      <c r="I253" s="381">
        <v>111</v>
      </c>
      <c r="J253" s="381">
        <v>2134</v>
      </c>
      <c r="K253" s="381">
        <v>150</v>
      </c>
      <c r="L253" s="381">
        <v>108</v>
      </c>
      <c r="M253" s="381">
        <v>974</v>
      </c>
      <c r="N253" s="381">
        <v>811</v>
      </c>
      <c r="O253" s="381">
        <v>98</v>
      </c>
      <c r="P253" s="455">
        <f>SUM(D253:O253)</f>
        <v>4900</v>
      </c>
    </row>
    <row r="254" spans="1:16" s="354" customFormat="1" x14ac:dyDescent="0.3">
      <c r="A254" s="485" t="s">
        <v>12</v>
      </c>
      <c r="B254" s="486"/>
      <c r="C254" s="358" t="s">
        <v>3</v>
      </c>
      <c r="D254" s="381">
        <v>1</v>
      </c>
      <c r="E254" s="381">
        <v>1</v>
      </c>
      <c r="F254" s="381">
        <v>2</v>
      </c>
      <c r="G254" s="381">
        <v>1</v>
      </c>
      <c r="H254" s="381">
        <v>1</v>
      </c>
      <c r="I254" s="381">
        <v>3</v>
      </c>
      <c r="J254" s="381">
        <v>2</v>
      </c>
      <c r="K254" s="381">
        <v>1</v>
      </c>
      <c r="L254" s="381">
        <v>1</v>
      </c>
      <c r="M254" s="381">
        <v>1</v>
      </c>
      <c r="N254" s="381">
        <v>1</v>
      </c>
      <c r="O254" s="381">
        <v>1</v>
      </c>
      <c r="P254" s="455">
        <f>SUM(D254:O254)</f>
        <v>16</v>
      </c>
    </row>
    <row r="255" spans="1:16" ht="15.75" customHeight="1" x14ac:dyDescent="0.3">
      <c r="A255" s="485" t="s">
        <v>11</v>
      </c>
      <c r="B255" s="486"/>
      <c r="C255" s="358" t="s">
        <v>3</v>
      </c>
      <c r="D255" s="381">
        <f t="shared" ref="D255:G255" si="160">D95</f>
        <v>1091</v>
      </c>
      <c r="E255" s="381">
        <f t="shared" si="160"/>
        <v>1189</v>
      </c>
      <c r="F255" s="381">
        <f t="shared" si="160"/>
        <v>1332</v>
      </c>
      <c r="G255" s="381">
        <f t="shared" si="160"/>
        <v>1282</v>
      </c>
      <c r="H255" s="381">
        <f t="shared" ref="H255:O255" si="161">H95</f>
        <v>1381</v>
      </c>
      <c r="I255" s="381">
        <f t="shared" si="161"/>
        <v>1462</v>
      </c>
      <c r="J255" s="381">
        <f t="shared" si="161"/>
        <v>3586</v>
      </c>
      <c r="K255" s="381">
        <f t="shared" si="161"/>
        <v>999</v>
      </c>
      <c r="L255" s="381">
        <f t="shared" si="161"/>
        <v>911</v>
      </c>
      <c r="M255" s="381">
        <f t="shared" si="161"/>
        <v>974</v>
      </c>
      <c r="N255" s="381">
        <f t="shared" si="161"/>
        <v>1011</v>
      </c>
      <c r="O255" s="381">
        <f t="shared" si="161"/>
        <v>717</v>
      </c>
      <c r="P255" s="455">
        <f>SUM(D255:O255)</f>
        <v>15935</v>
      </c>
    </row>
    <row r="256" spans="1:16" x14ac:dyDescent="0.3">
      <c r="A256" s="485" t="s">
        <v>10</v>
      </c>
      <c r="B256" s="486"/>
      <c r="C256" s="358" t="s">
        <v>3</v>
      </c>
      <c r="D256" s="381">
        <f t="shared" ref="D256:G256" si="162">D91</f>
        <v>68</v>
      </c>
      <c r="E256" s="381">
        <f t="shared" si="162"/>
        <v>123</v>
      </c>
      <c r="F256" s="381">
        <f t="shared" si="162"/>
        <v>161</v>
      </c>
      <c r="G256" s="381">
        <f t="shared" si="162"/>
        <v>27</v>
      </c>
      <c r="H256" s="381">
        <f t="shared" ref="H256:O256" si="163">H91</f>
        <v>135</v>
      </c>
      <c r="I256" s="381">
        <f t="shared" si="163"/>
        <v>111</v>
      </c>
      <c r="J256" s="381">
        <f t="shared" si="163"/>
        <v>2134</v>
      </c>
      <c r="K256" s="381">
        <f t="shared" si="163"/>
        <v>150</v>
      </c>
      <c r="L256" s="381">
        <f t="shared" si="163"/>
        <v>108</v>
      </c>
      <c r="M256" s="381">
        <f t="shared" si="163"/>
        <v>249</v>
      </c>
      <c r="N256" s="381">
        <f t="shared" si="163"/>
        <v>206</v>
      </c>
      <c r="O256" s="381">
        <f t="shared" si="163"/>
        <v>104</v>
      </c>
      <c r="P256" s="455">
        <f>SUM(D256:O256)</f>
        <v>3576</v>
      </c>
    </row>
    <row r="257" spans="1:16" ht="15.6" customHeight="1" x14ac:dyDescent="0.3">
      <c r="A257" s="485" t="s">
        <v>9</v>
      </c>
      <c r="B257" s="486"/>
      <c r="C257" s="358" t="s">
        <v>3</v>
      </c>
      <c r="D257" s="381">
        <v>4369</v>
      </c>
      <c r="E257" s="381">
        <v>4399</v>
      </c>
      <c r="F257" s="381">
        <v>4429</v>
      </c>
      <c r="G257" s="381">
        <v>4231</v>
      </c>
      <c r="H257" s="381">
        <v>4533</v>
      </c>
      <c r="I257" s="381">
        <v>4608</v>
      </c>
      <c r="J257" s="381">
        <v>30</v>
      </c>
      <c r="K257" s="381">
        <v>120</v>
      </c>
      <c r="L257" s="381">
        <v>60</v>
      </c>
      <c r="M257" s="381">
        <v>4286</v>
      </c>
      <c r="N257" s="381"/>
      <c r="O257" s="381">
        <v>5988</v>
      </c>
      <c r="P257" s="455">
        <f>SUM(D257:O257)</f>
        <v>37053</v>
      </c>
    </row>
    <row r="258" spans="1:16" x14ac:dyDescent="0.3">
      <c r="A258" s="475" t="s">
        <v>8</v>
      </c>
      <c r="B258" s="476"/>
      <c r="C258" s="358" t="s">
        <v>3</v>
      </c>
      <c r="D258" s="456">
        <f t="shared" ref="D258:P258" si="164">D257/D256</f>
        <v>64.25</v>
      </c>
      <c r="E258" s="456">
        <f t="shared" si="164"/>
        <v>35.764227642276424</v>
      </c>
      <c r="F258" s="456">
        <f t="shared" si="164"/>
        <v>27.509316770186334</v>
      </c>
      <c r="G258" s="456">
        <f t="shared" si="164"/>
        <v>156.7037037037037</v>
      </c>
      <c r="H258" s="380">
        <f t="shared" si="164"/>
        <v>33.577777777777776</v>
      </c>
      <c r="I258" s="380">
        <f t="shared" si="164"/>
        <v>41.513513513513516</v>
      </c>
      <c r="J258" s="380">
        <f t="shared" si="164"/>
        <v>1.4058106841611996E-2</v>
      </c>
      <c r="K258" s="380">
        <f t="shared" si="164"/>
        <v>0.8</v>
      </c>
      <c r="L258" s="456">
        <f t="shared" si="164"/>
        <v>0.55555555555555558</v>
      </c>
      <c r="M258" s="456">
        <f t="shared" si="164"/>
        <v>17.212851405622491</v>
      </c>
      <c r="N258" s="380">
        <f t="shared" si="164"/>
        <v>0</v>
      </c>
      <c r="O258" s="380">
        <f t="shared" si="164"/>
        <v>57.57692307692308</v>
      </c>
      <c r="P258" s="455">
        <f t="shared" si="164"/>
        <v>10.361577181208053</v>
      </c>
    </row>
    <row r="259" spans="1:16" x14ac:dyDescent="0.3">
      <c r="A259" s="475" t="s">
        <v>7</v>
      </c>
      <c r="B259" s="476"/>
      <c r="C259" s="358" t="s">
        <v>6</v>
      </c>
      <c r="D259" s="456">
        <f t="shared" ref="D259:P259" si="165">D92/D255*100</f>
        <v>0</v>
      </c>
      <c r="E259" s="456">
        <f t="shared" si="165"/>
        <v>0.58873002523128681</v>
      </c>
      <c r="F259" s="456">
        <f t="shared" si="165"/>
        <v>0</v>
      </c>
      <c r="G259" s="374">
        <f t="shared" si="165"/>
        <v>0</v>
      </c>
      <c r="H259" s="374">
        <f t="shared" si="165"/>
        <v>0</v>
      </c>
      <c r="I259" s="374">
        <f t="shared" si="165"/>
        <v>0</v>
      </c>
      <c r="J259" s="374">
        <f t="shared" si="165"/>
        <v>0</v>
      </c>
      <c r="K259" s="374">
        <f t="shared" si="165"/>
        <v>0</v>
      </c>
      <c r="L259" s="456">
        <f t="shared" si="165"/>
        <v>0</v>
      </c>
      <c r="M259" s="456">
        <f t="shared" si="165"/>
        <v>0</v>
      </c>
      <c r="N259" s="457">
        <f t="shared" si="165"/>
        <v>0</v>
      </c>
      <c r="O259" s="457">
        <f t="shared" si="165"/>
        <v>0</v>
      </c>
      <c r="P259" s="458">
        <f t="shared" si="165"/>
        <v>4.3928459366175086E-2</v>
      </c>
    </row>
    <row r="260" spans="1:16" x14ac:dyDescent="0.3">
      <c r="A260" s="470" t="s">
        <v>5</v>
      </c>
      <c r="B260" s="471"/>
      <c r="C260" s="471"/>
      <c r="D260" s="471"/>
      <c r="E260" s="471"/>
      <c r="F260" s="471"/>
      <c r="G260" s="471"/>
      <c r="H260" s="471"/>
      <c r="I260" s="471"/>
      <c r="J260" s="471"/>
      <c r="K260" s="471"/>
      <c r="L260" s="471"/>
      <c r="M260" s="471"/>
      <c r="N260" s="471"/>
      <c r="O260" s="471"/>
      <c r="P260" s="549"/>
    </row>
    <row r="261" spans="1:16" s="354" customFormat="1" ht="15" customHeight="1" x14ac:dyDescent="0.3">
      <c r="A261" s="485" t="s">
        <v>4</v>
      </c>
      <c r="B261" s="486"/>
      <c r="C261" s="358" t="s">
        <v>3</v>
      </c>
      <c r="D261" s="381">
        <v>41</v>
      </c>
      <c r="E261" s="381">
        <v>43</v>
      </c>
      <c r="F261" s="381">
        <v>52</v>
      </c>
      <c r="G261" s="381">
        <v>39</v>
      </c>
      <c r="H261" s="381">
        <v>49</v>
      </c>
      <c r="I261" s="381">
        <v>50</v>
      </c>
      <c r="J261" s="381">
        <v>26</v>
      </c>
      <c r="K261" s="381">
        <v>47</v>
      </c>
      <c r="L261" s="381">
        <v>20</v>
      </c>
      <c r="M261" s="381">
        <v>45</v>
      </c>
      <c r="N261" s="381">
        <v>36</v>
      </c>
      <c r="O261" s="381">
        <v>26</v>
      </c>
      <c r="P261" s="382">
        <f>SUM(D261:O261)</f>
        <v>474</v>
      </c>
    </row>
    <row r="262" spans="1:16" s="354" customFormat="1" ht="15.75" customHeight="1" x14ac:dyDescent="0.3">
      <c r="A262" s="485" t="s">
        <v>2</v>
      </c>
      <c r="B262" s="486"/>
      <c r="C262" s="358" t="s">
        <v>0</v>
      </c>
      <c r="D262" s="381">
        <v>3</v>
      </c>
      <c r="E262" s="381">
        <v>1</v>
      </c>
      <c r="F262" s="381">
        <v>1</v>
      </c>
      <c r="G262" s="381">
        <v>1</v>
      </c>
      <c r="H262" s="381">
        <v>1</v>
      </c>
      <c r="I262" s="381">
        <v>5</v>
      </c>
      <c r="J262" s="381">
        <v>1</v>
      </c>
      <c r="K262" s="381">
        <v>1</v>
      </c>
      <c r="L262" s="381">
        <v>1</v>
      </c>
      <c r="M262" s="381">
        <v>1</v>
      </c>
      <c r="N262" s="381">
        <v>1</v>
      </c>
      <c r="O262" s="381">
        <v>1</v>
      </c>
      <c r="P262" s="382">
        <f>SUM(D262:O262)</f>
        <v>18</v>
      </c>
    </row>
    <row r="263" spans="1:16" ht="16.2" thickBot="1" x14ac:dyDescent="0.35">
      <c r="A263" s="483" t="s">
        <v>1</v>
      </c>
      <c r="B263" s="484"/>
      <c r="C263" s="459" t="s">
        <v>0</v>
      </c>
      <c r="D263" s="460">
        <f>D261/D262</f>
        <v>13.666666666666666</v>
      </c>
      <c r="E263" s="460">
        <f t="shared" ref="E263:F263" si="166">E261/E262</f>
        <v>43</v>
      </c>
      <c r="F263" s="460">
        <f t="shared" si="166"/>
        <v>52</v>
      </c>
      <c r="G263" s="460">
        <f t="shared" ref="G263:P263" si="167">G261/G262</f>
        <v>39</v>
      </c>
      <c r="H263" s="460">
        <f t="shared" si="167"/>
        <v>49</v>
      </c>
      <c r="I263" s="460">
        <f t="shared" si="167"/>
        <v>10</v>
      </c>
      <c r="J263" s="460">
        <f t="shared" si="167"/>
        <v>26</v>
      </c>
      <c r="K263" s="460">
        <f t="shared" si="167"/>
        <v>47</v>
      </c>
      <c r="L263" s="460">
        <f t="shared" si="167"/>
        <v>20</v>
      </c>
      <c r="M263" s="460">
        <f t="shared" si="167"/>
        <v>45</v>
      </c>
      <c r="N263" s="460">
        <f t="shared" si="167"/>
        <v>36</v>
      </c>
      <c r="O263" s="460">
        <f t="shared" si="167"/>
        <v>26</v>
      </c>
      <c r="P263" s="547">
        <f t="shared" si="167"/>
        <v>26.333333333333332</v>
      </c>
    </row>
  </sheetData>
  <phoneticPr fontId="16" type="noConversion"/>
  <pageMargins left="0.7" right="0.7" top="0.75" bottom="0.75" header="0.3" footer="0.3"/>
  <pageSetup paperSize="9" orientation="portrait" r:id="rId1"/>
  <ignoredErrors>
    <ignoredError sqref="H4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9FDF-C1B4-42F6-A6C7-56BABCC5B542}">
  <sheetPr codeName="Sheet2"/>
  <dimension ref="A1:P263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Q7" sqref="Q7"/>
    </sheetView>
  </sheetViews>
  <sheetFormatPr defaultRowHeight="14.4" x14ac:dyDescent="0.3"/>
  <cols>
    <col min="1" max="1" width="39" style="344" customWidth="1"/>
    <col min="2" max="2" width="16.88671875" style="344" customWidth="1"/>
    <col min="3" max="3" width="12.5546875" style="344" customWidth="1"/>
    <col min="4" max="10" width="19.109375" style="344" customWidth="1"/>
    <col min="11" max="11" width="23.109375" style="344" customWidth="1"/>
    <col min="12" max="12" width="22.6640625" style="344" customWidth="1"/>
    <col min="13" max="13" width="20.109375" style="344" bestFit="1" customWidth="1"/>
    <col min="14" max="15" width="19.109375" style="344" customWidth="1"/>
    <col min="16" max="16" width="20.109375" style="344" bestFit="1" customWidth="1"/>
    <col min="17" max="16384" width="8.88671875" style="344"/>
  </cols>
  <sheetData>
    <row r="1" spans="1:16" customFormat="1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customFormat="1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customFormat="1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1"/>
    </row>
    <row r="4" spans="1:16" customFormat="1" ht="18" thickBot="1" x14ac:dyDescent="0.35">
      <c r="A4" s="94" t="s">
        <v>221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customFormat="1" ht="14.4" customHeight="1" x14ac:dyDescent="0.3">
      <c r="A5" s="95" t="s">
        <v>221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7"/>
    </row>
    <row r="6" spans="1:16" customFormat="1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468" t="s">
        <v>174</v>
      </c>
      <c r="B7" s="469"/>
      <c r="C7" s="341" t="s">
        <v>173</v>
      </c>
      <c r="D7" s="342" t="s">
        <v>163</v>
      </c>
      <c r="E7" s="342" t="s">
        <v>162</v>
      </c>
      <c r="F7" s="342" t="s">
        <v>161</v>
      </c>
      <c r="G7" s="342" t="s">
        <v>172</v>
      </c>
      <c r="H7" s="342" t="s">
        <v>171</v>
      </c>
      <c r="I7" s="342" t="s">
        <v>170</v>
      </c>
      <c r="J7" s="342" t="s">
        <v>169</v>
      </c>
      <c r="K7" s="342" t="s">
        <v>168</v>
      </c>
      <c r="L7" s="342" t="s">
        <v>167</v>
      </c>
      <c r="M7" s="342" t="s">
        <v>166</v>
      </c>
      <c r="N7" s="342" t="s">
        <v>165</v>
      </c>
      <c r="O7" s="342" t="s">
        <v>164</v>
      </c>
      <c r="P7" s="343" t="s">
        <v>160</v>
      </c>
    </row>
    <row r="8" spans="1:16" ht="15" thickBot="1" x14ac:dyDescent="0.35">
      <c r="A8" s="537" t="s">
        <v>159</v>
      </c>
      <c r="B8" s="538"/>
      <c r="C8" s="538"/>
      <c r="D8" s="538"/>
      <c r="E8" s="538"/>
      <c r="F8" s="538"/>
      <c r="G8" s="538"/>
      <c r="H8" s="538"/>
      <c r="I8" s="538"/>
      <c r="J8" s="538"/>
      <c r="K8" s="538"/>
      <c r="L8" s="538"/>
      <c r="M8" s="538"/>
      <c r="N8" s="538"/>
      <c r="O8" s="538"/>
      <c r="P8" s="539"/>
    </row>
    <row r="9" spans="1:16" ht="15.6" x14ac:dyDescent="0.3">
      <c r="A9" s="540" t="s">
        <v>176</v>
      </c>
      <c r="B9" s="541"/>
      <c r="C9" s="345" t="s">
        <v>152</v>
      </c>
      <c r="D9" s="346">
        <v>55692</v>
      </c>
      <c r="E9" s="346">
        <v>62300</v>
      </c>
      <c r="F9" s="346">
        <v>62717</v>
      </c>
      <c r="G9" s="346">
        <v>59070</v>
      </c>
      <c r="H9" s="346">
        <v>62919</v>
      </c>
      <c r="I9" s="346">
        <v>65109</v>
      </c>
      <c r="J9" s="654">
        <v>73800</v>
      </c>
      <c r="K9" s="346">
        <v>69579</v>
      </c>
      <c r="L9" s="346">
        <v>53793</v>
      </c>
      <c r="M9" s="346">
        <v>60549</v>
      </c>
      <c r="N9" s="346">
        <v>62890</v>
      </c>
      <c r="O9" s="346">
        <v>54660</v>
      </c>
      <c r="P9" s="347">
        <f>SUM(D9:O9)</f>
        <v>743078</v>
      </c>
    </row>
    <row r="10" spans="1:16" x14ac:dyDescent="0.3">
      <c r="A10" s="470" t="s">
        <v>177</v>
      </c>
      <c r="B10" s="471"/>
      <c r="C10" s="471"/>
      <c r="D10" s="471"/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2"/>
    </row>
    <row r="11" spans="1:16" ht="15.6" x14ac:dyDescent="0.3">
      <c r="A11" s="480" t="s">
        <v>157</v>
      </c>
      <c r="B11" s="481"/>
      <c r="C11" s="348" t="s">
        <v>152</v>
      </c>
      <c r="D11" s="349">
        <v>17067</v>
      </c>
      <c r="E11" s="349">
        <v>17057</v>
      </c>
      <c r="F11" s="349">
        <v>18777</v>
      </c>
      <c r="G11" s="349">
        <v>19307</v>
      </c>
      <c r="H11" s="349">
        <v>19682</v>
      </c>
      <c r="I11" s="349">
        <v>20446</v>
      </c>
      <c r="J11" s="349">
        <v>23429</v>
      </c>
      <c r="K11" s="349">
        <v>29339</v>
      </c>
      <c r="L11" s="349">
        <v>18848</v>
      </c>
      <c r="M11" s="349">
        <v>18956</v>
      </c>
      <c r="N11" s="349">
        <v>22084</v>
      </c>
      <c r="O11" s="349">
        <v>18370</v>
      </c>
      <c r="P11" s="350">
        <f>SUM(D11:O11)</f>
        <v>243362</v>
      </c>
    </row>
    <row r="12" spans="1:16" ht="15.6" x14ac:dyDescent="0.3">
      <c r="A12" s="480" t="s">
        <v>156</v>
      </c>
      <c r="B12" s="481"/>
      <c r="C12" s="348" t="s">
        <v>152</v>
      </c>
      <c r="D12" s="349">
        <v>0</v>
      </c>
      <c r="E12" s="349">
        <v>0</v>
      </c>
      <c r="F12" s="349">
        <v>0</v>
      </c>
      <c r="G12" s="349">
        <v>0</v>
      </c>
      <c r="H12" s="349"/>
      <c r="I12" s="349"/>
      <c r="J12" s="349"/>
      <c r="K12" s="349"/>
      <c r="L12" s="349"/>
      <c r="M12" s="349"/>
      <c r="N12" s="349"/>
      <c r="O12" s="349"/>
      <c r="P12" s="350">
        <f>SUM(D12:O12)</f>
        <v>0</v>
      </c>
    </row>
    <row r="13" spans="1:16" ht="15.6" x14ac:dyDescent="0.3">
      <c r="A13" s="480" t="s">
        <v>155</v>
      </c>
      <c r="B13" s="481"/>
      <c r="C13" s="348" t="s">
        <v>152</v>
      </c>
      <c r="D13" s="349">
        <v>20124</v>
      </c>
      <c r="E13" s="349">
        <v>18545</v>
      </c>
      <c r="F13" s="349">
        <v>22583</v>
      </c>
      <c r="G13" s="349">
        <v>21093</v>
      </c>
      <c r="H13" s="349">
        <v>18587</v>
      </c>
      <c r="I13" s="349">
        <v>29123</v>
      </c>
      <c r="J13" s="349">
        <v>22837</v>
      </c>
      <c r="K13" s="349">
        <v>21844</v>
      </c>
      <c r="L13" s="349">
        <v>12572</v>
      </c>
      <c r="M13" s="349">
        <v>24760</v>
      </c>
      <c r="N13" s="349">
        <v>21318</v>
      </c>
      <c r="O13" s="349">
        <v>21442</v>
      </c>
      <c r="P13" s="350">
        <f>SUM(D13:O13)</f>
        <v>254828</v>
      </c>
    </row>
    <row r="14" spans="1:16" ht="15.6" x14ac:dyDescent="0.3">
      <c r="A14" s="473" t="s">
        <v>154</v>
      </c>
      <c r="B14" s="474"/>
      <c r="C14" s="348" t="s">
        <v>152</v>
      </c>
      <c r="D14" s="349">
        <v>855</v>
      </c>
      <c r="E14" s="349">
        <v>719</v>
      </c>
      <c r="F14" s="349">
        <v>7732</v>
      </c>
      <c r="G14" s="349">
        <v>717</v>
      </c>
      <c r="H14" s="349">
        <v>590</v>
      </c>
      <c r="I14" s="349">
        <v>60</v>
      </c>
      <c r="J14" s="349">
        <v>102</v>
      </c>
      <c r="K14" s="349">
        <v>151</v>
      </c>
      <c r="L14" s="349">
        <v>98</v>
      </c>
      <c r="M14" s="349">
        <v>90</v>
      </c>
      <c r="N14" s="349">
        <v>104</v>
      </c>
      <c r="O14" s="349">
        <v>80</v>
      </c>
      <c r="P14" s="350">
        <f>SUM(D14:O14)</f>
        <v>11298</v>
      </c>
    </row>
    <row r="15" spans="1:16" s="353" customFormat="1" ht="15.6" x14ac:dyDescent="0.3">
      <c r="A15" s="490" t="s">
        <v>158</v>
      </c>
      <c r="B15" s="491"/>
      <c r="C15" s="351" t="s">
        <v>152</v>
      </c>
      <c r="D15" s="352">
        <f t="shared" ref="D15:P15" si="0">SUM(D11:D14)</f>
        <v>38046</v>
      </c>
      <c r="E15" s="352">
        <f t="shared" si="0"/>
        <v>36321</v>
      </c>
      <c r="F15" s="352">
        <f t="shared" si="0"/>
        <v>49092</v>
      </c>
      <c r="G15" s="352">
        <f t="shared" si="0"/>
        <v>41117</v>
      </c>
      <c r="H15" s="352">
        <f t="shared" si="0"/>
        <v>38859</v>
      </c>
      <c r="I15" s="352">
        <f t="shared" si="0"/>
        <v>49629</v>
      </c>
      <c r="J15" s="352">
        <f t="shared" si="0"/>
        <v>46368</v>
      </c>
      <c r="K15" s="352">
        <f t="shared" si="0"/>
        <v>51334</v>
      </c>
      <c r="L15" s="352">
        <f t="shared" si="0"/>
        <v>31518</v>
      </c>
      <c r="M15" s="352">
        <f t="shared" si="0"/>
        <v>43806</v>
      </c>
      <c r="N15" s="352">
        <f t="shared" si="0"/>
        <v>43506</v>
      </c>
      <c r="O15" s="352">
        <f t="shared" si="0"/>
        <v>39892</v>
      </c>
      <c r="P15" s="350">
        <f t="shared" si="0"/>
        <v>509488</v>
      </c>
    </row>
    <row r="16" spans="1:16" s="354" customFormat="1" x14ac:dyDescent="0.3">
      <c r="A16" s="470" t="s">
        <v>178</v>
      </c>
      <c r="B16" s="471"/>
      <c r="C16" s="471"/>
      <c r="D16" s="471"/>
      <c r="E16" s="471"/>
      <c r="F16" s="471"/>
      <c r="G16" s="471"/>
      <c r="H16" s="471"/>
      <c r="I16" s="471"/>
      <c r="J16" s="471"/>
      <c r="K16" s="471"/>
      <c r="L16" s="471"/>
      <c r="M16" s="471"/>
      <c r="N16" s="471"/>
      <c r="O16" s="471"/>
      <c r="P16" s="472"/>
    </row>
    <row r="17" spans="1:16" s="354" customFormat="1" ht="15.6" x14ac:dyDescent="0.3">
      <c r="A17" s="480" t="s">
        <v>180</v>
      </c>
      <c r="B17" s="481"/>
      <c r="C17" s="348" t="s">
        <v>152</v>
      </c>
      <c r="D17" s="349">
        <v>2147</v>
      </c>
      <c r="E17" s="349">
        <v>2953</v>
      </c>
      <c r="F17" s="349">
        <v>2866</v>
      </c>
      <c r="G17" s="349">
        <v>3265</v>
      </c>
      <c r="H17" s="349">
        <v>2916</v>
      </c>
      <c r="I17" s="349">
        <v>3004</v>
      </c>
      <c r="J17" s="349">
        <v>3124</v>
      </c>
      <c r="K17" s="349">
        <v>3025</v>
      </c>
      <c r="L17" s="349">
        <v>11038</v>
      </c>
      <c r="M17" s="349">
        <v>2957</v>
      </c>
      <c r="N17" s="349">
        <v>2818</v>
      </c>
      <c r="O17" s="349">
        <v>3261</v>
      </c>
      <c r="P17" s="350">
        <f>SUM(D17:O17)</f>
        <v>43374</v>
      </c>
    </row>
    <row r="18" spans="1:16" s="354" customFormat="1" ht="15.6" x14ac:dyDescent="0.3">
      <c r="A18" s="480" t="s">
        <v>181</v>
      </c>
      <c r="B18" s="481"/>
      <c r="C18" s="348" t="s">
        <v>152</v>
      </c>
      <c r="D18" s="349">
        <v>1201</v>
      </c>
      <c r="E18" s="349">
        <v>1204</v>
      </c>
      <c r="F18" s="349">
        <v>1117</v>
      </c>
      <c r="G18" s="349">
        <v>1425</v>
      </c>
      <c r="H18" s="349">
        <v>1203</v>
      </c>
      <c r="I18" s="349">
        <v>1159</v>
      </c>
      <c r="J18" s="349">
        <v>1219</v>
      </c>
      <c r="K18" s="349">
        <v>1021</v>
      </c>
      <c r="L18" s="349"/>
      <c r="M18" s="349">
        <v>1498</v>
      </c>
      <c r="N18" s="349">
        <v>1601</v>
      </c>
      <c r="O18" s="349">
        <v>1354</v>
      </c>
      <c r="P18" s="350">
        <f>SUM(D18:O18)</f>
        <v>14002</v>
      </c>
    </row>
    <row r="19" spans="1:16" s="354" customFormat="1" ht="15.6" x14ac:dyDescent="0.3">
      <c r="A19" s="480" t="s">
        <v>182</v>
      </c>
      <c r="B19" s="481"/>
      <c r="C19" s="348" t="s">
        <v>152</v>
      </c>
      <c r="D19" s="349">
        <v>2821</v>
      </c>
      <c r="E19" s="349">
        <v>3616</v>
      </c>
      <c r="F19" s="349">
        <v>2878</v>
      </c>
      <c r="G19" s="349">
        <v>2311</v>
      </c>
      <c r="H19" s="349">
        <v>2905</v>
      </c>
      <c r="I19" s="349">
        <v>3579</v>
      </c>
      <c r="J19" s="349">
        <v>3724</v>
      </c>
      <c r="K19" s="349">
        <v>3856</v>
      </c>
      <c r="L19" s="349"/>
      <c r="M19" s="349">
        <v>5001</v>
      </c>
      <c r="N19" s="349">
        <v>4672</v>
      </c>
      <c r="O19" s="349">
        <v>3363</v>
      </c>
      <c r="P19" s="350">
        <f>SUM(D19:O19)</f>
        <v>38726</v>
      </c>
    </row>
    <row r="20" spans="1:16" s="354" customFormat="1" ht="15.6" x14ac:dyDescent="0.3">
      <c r="A20" s="473" t="s">
        <v>183</v>
      </c>
      <c r="B20" s="474"/>
      <c r="C20" s="348" t="s">
        <v>152</v>
      </c>
      <c r="D20" s="349">
        <v>395</v>
      </c>
      <c r="E20" s="349">
        <v>539</v>
      </c>
      <c r="F20" s="349">
        <v>461</v>
      </c>
      <c r="G20" s="349">
        <v>294</v>
      </c>
      <c r="H20" s="349">
        <v>485</v>
      </c>
      <c r="I20" s="349">
        <v>495</v>
      </c>
      <c r="J20" s="349">
        <v>485</v>
      </c>
      <c r="K20" s="349">
        <v>401</v>
      </c>
      <c r="L20" s="349"/>
      <c r="M20" s="349">
        <v>501</v>
      </c>
      <c r="N20" s="349">
        <v>496</v>
      </c>
      <c r="O20" s="349">
        <v>388</v>
      </c>
      <c r="P20" s="350">
        <f>SUM(D20:O20)</f>
        <v>4940</v>
      </c>
    </row>
    <row r="21" spans="1:16" s="355" customFormat="1" ht="15.6" x14ac:dyDescent="0.3">
      <c r="A21" s="490" t="s">
        <v>184</v>
      </c>
      <c r="B21" s="491"/>
      <c r="C21" s="351" t="s">
        <v>152</v>
      </c>
      <c r="D21" s="352">
        <f>SUM(D17:D20)</f>
        <v>6564</v>
      </c>
      <c r="E21" s="352">
        <f t="shared" ref="E21:P21" si="1">SUM(E17:E20)</f>
        <v>8312</v>
      </c>
      <c r="F21" s="352">
        <f t="shared" si="1"/>
        <v>7322</v>
      </c>
      <c r="G21" s="352">
        <f t="shared" si="1"/>
        <v>7295</v>
      </c>
      <c r="H21" s="352">
        <f t="shared" si="1"/>
        <v>7509</v>
      </c>
      <c r="I21" s="352">
        <f t="shared" si="1"/>
        <v>8237</v>
      </c>
      <c r="J21" s="352">
        <f t="shared" si="1"/>
        <v>8552</v>
      </c>
      <c r="K21" s="352">
        <v>8303</v>
      </c>
      <c r="L21" s="352">
        <f t="shared" si="1"/>
        <v>11038</v>
      </c>
      <c r="M21" s="352">
        <f t="shared" si="1"/>
        <v>9957</v>
      </c>
      <c r="N21" s="352">
        <f t="shared" si="1"/>
        <v>9587</v>
      </c>
      <c r="O21" s="352">
        <f t="shared" si="1"/>
        <v>8366</v>
      </c>
      <c r="P21" s="350">
        <f t="shared" si="1"/>
        <v>101042</v>
      </c>
    </row>
    <row r="22" spans="1:16" s="354" customFormat="1" ht="15.6" x14ac:dyDescent="0.3">
      <c r="A22" s="356" t="s">
        <v>185</v>
      </c>
      <c r="B22" s="357"/>
      <c r="C22" s="348" t="s">
        <v>152</v>
      </c>
      <c r="D22" s="352">
        <f>D21+D15</f>
        <v>44610</v>
      </c>
      <c r="E22" s="352">
        <f t="shared" ref="E22:P22" si="2">E21+E15</f>
        <v>44633</v>
      </c>
      <c r="F22" s="352">
        <f t="shared" si="2"/>
        <v>56414</v>
      </c>
      <c r="G22" s="352">
        <f t="shared" si="2"/>
        <v>48412</v>
      </c>
      <c r="H22" s="352">
        <f t="shared" si="2"/>
        <v>46368</v>
      </c>
      <c r="I22" s="352">
        <f t="shared" si="2"/>
        <v>57866</v>
      </c>
      <c r="J22" s="352">
        <f t="shared" si="2"/>
        <v>54920</v>
      </c>
      <c r="K22" s="352">
        <f t="shared" si="2"/>
        <v>59637</v>
      </c>
      <c r="L22" s="352">
        <f t="shared" si="2"/>
        <v>42556</v>
      </c>
      <c r="M22" s="352">
        <f t="shared" si="2"/>
        <v>53763</v>
      </c>
      <c r="N22" s="352">
        <f t="shared" si="2"/>
        <v>53093</v>
      </c>
      <c r="O22" s="352">
        <f t="shared" si="2"/>
        <v>48258</v>
      </c>
      <c r="P22" s="350">
        <f t="shared" si="2"/>
        <v>610530</v>
      </c>
    </row>
    <row r="23" spans="1:16" x14ac:dyDescent="0.3">
      <c r="A23" s="532"/>
      <c r="B23" s="533"/>
      <c r="C23" s="533"/>
      <c r="D23" s="533"/>
      <c r="E23" s="533"/>
      <c r="F23" s="533"/>
      <c r="G23" s="533"/>
      <c r="H23" s="533"/>
      <c r="I23" s="533"/>
      <c r="J23" s="533"/>
      <c r="K23" s="533"/>
      <c r="L23" s="533"/>
      <c r="M23" s="533"/>
      <c r="N23" s="533"/>
      <c r="O23" s="533"/>
      <c r="P23" s="534"/>
    </row>
    <row r="24" spans="1:16" ht="15.6" x14ac:dyDescent="0.3">
      <c r="A24" s="465" t="s">
        <v>179</v>
      </c>
      <c r="B24" s="358" t="s">
        <v>153</v>
      </c>
      <c r="C24" s="358" t="s">
        <v>152</v>
      </c>
      <c r="D24" s="359">
        <f>D9-D22</f>
        <v>11082</v>
      </c>
      <c r="E24" s="359">
        <f t="shared" ref="E24:P24" si="3">E9-E22</f>
        <v>17667</v>
      </c>
      <c r="F24" s="359">
        <f t="shared" si="3"/>
        <v>6303</v>
      </c>
      <c r="G24" s="359">
        <f t="shared" si="3"/>
        <v>10658</v>
      </c>
      <c r="H24" s="359">
        <f t="shared" si="3"/>
        <v>16551</v>
      </c>
      <c r="I24" s="359">
        <f t="shared" si="3"/>
        <v>7243</v>
      </c>
      <c r="J24" s="359">
        <f t="shared" si="3"/>
        <v>18880</v>
      </c>
      <c r="K24" s="359">
        <f t="shared" si="3"/>
        <v>9942</v>
      </c>
      <c r="L24" s="359">
        <f t="shared" si="3"/>
        <v>11237</v>
      </c>
      <c r="M24" s="359">
        <f t="shared" si="3"/>
        <v>6786</v>
      </c>
      <c r="N24" s="359">
        <f t="shared" si="3"/>
        <v>9797</v>
      </c>
      <c r="O24" s="359">
        <f t="shared" si="3"/>
        <v>6402</v>
      </c>
      <c r="P24" s="360">
        <f t="shared" si="3"/>
        <v>132548</v>
      </c>
    </row>
    <row r="25" spans="1:16" ht="15.6" x14ac:dyDescent="0.3">
      <c r="A25" s="467"/>
      <c r="B25" s="373" t="s">
        <v>151</v>
      </c>
      <c r="C25" s="542" t="s">
        <v>6</v>
      </c>
      <c r="D25" s="543">
        <f t="shared" ref="D25:P25" si="4">D24/D9</f>
        <v>0.19898728722258133</v>
      </c>
      <c r="E25" s="543">
        <f t="shared" si="4"/>
        <v>0.28357945425361153</v>
      </c>
      <c r="F25" s="543">
        <f t="shared" si="4"/>
        <v>0.10049906723854776</v>
      </c>
      <c r="G25" s="543">
        <f t="shared" si="4"/>
        <v>0.18042999830709328</v>
      </c>
      <c r="H25" s="543">
        <f t="shared" si="4"/>
        <v>0.26305249606637104</v>
      </c>
      <c r="I25" s="543">
        <f t="shared" si="4"/>
        <v>0.11124422122901596</v>
      </c>
      <c r="J25" s="543">
        <f t="shared" si="4"/>
        <v>0.25582655826558265</v>
      </c>
      <c r="K25" s="543">
        <f t="shared" si="4"/>
        <v>0.14288794032682275</v>
      </c>
      <c r="L25" s="543">
        <f t="shared" si="4"/>
        <v>0.20889335043593033</v>
      </c>
      <c r="M25" s="543">
        <f t="shared" si="4"/>
        <v>0.11207451815884656</v>
      </c>
      <c r="N25" s="543">
        <f t="shared" si="4"/>
        <v>0.15577993321672762</v>
      </c>
      <c r="O25" s="543">
        <f t="shared" si="4"/>
        <v>0.11712403951701426</v>
      </c>
      <c r="P25" s="544">
        <f t="shared" si="4"/>
        <v>0.17837696715553414</v>
      </c>
    </row>
    <row r="26" spans="1:16" x14ac:dyDescent="0.3">
      <c r="A26" s="470" t="s">
        <v>150</v>
      </c>
      <c r="B26" s="471"/>
      <c r="C26" s="471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2"/>
    </row>
    <row r="27" spans="1:16" x14ac:dyDescent="0.3">
      <c r="A27" s="462" t="s">
        <v>149</v>
      </c>
      <c r="B27" s="463"/>
      <c r="C27" s="463"/>
      <c r="D27" s="463"/>
      <c r="E27" s="463"/>
      <c r="F27" s="463"/>
      <c r="G27" s="463"/>
      <c r="H27" s="463"/>
      <c r="I27" s="463"/>
      <c r="J27" s="463"/>
      <c r="K27" s="463"/>
      <c r="L27" s="463"/>
      <c r="M27" s="463"/>
      <c r="N27" s="463"/>
      <c r="O27" s="463"/>
      <c r="P27" s="464"/>
    </row>
    <row r="28" spans="1:16" ht="15.6" x14ac:dyDescent="0.3">
      <c r="A28" s="365" t="s">
        <v>148</v>
      </c>
      <c r="B28" s="366" t="s">
        <v>147</v>
      </c>
      <c r="C28" s="367"/>
      <c r="D28" s="368"/>
      <c r="E28" s="368"/>
      <c r="F28" s="368"/>
      <c r="G28" s="368"/>
      <c r="H28" s="368"/>
      <c r="I28" s="368"/>
      <c r="J28" s="369"/>
      <c r="K28" s="369"/>
      <c r="L28" s="369"/>
      <c r="M28" s="369"/>
      <c r="N28" s="369"/>
      <c r="O28" s="368"/>
      <c r="P28" s="370"/>
    </row>
    <row r="29" spans="1:16" ht="15.6" x14ac:dyDescent="0.3">
      <c r="A29" s="251" t="s">
        <v>146</v>
      </c>
      <c r="B29" s="691">
        <f>176264.5/50</f>
        <v>3525.29</v>
      </c>
      <c r="C29" s="358" t="s">
        <v>140</v>
      </c>
      <c r="D29" s="371">
        <v>150</v>
      </c>
      <c r="E29" s="371">
        <v>155</v>
      </c>
      <c r="F29" s="371">
        <v>150</v>
      </c>
      <c r="G29" s="371">
        <v>155</v>
      </c>
      <c r="H29" s="371">
        <v>155</v>
      </c>
      <c r="I29" s="371">
        <v>150</v>
      </c>
      <c r="J29" s="371">
        <v>155</v>
      </c>
      <c r="K29" s="371">
        <v>155</v>
      </c>
      <c r="L29" s="371">
        <v>155</v>
      </c>
      <c r="M29" s="371">
        <v>155</v>
      </c>
      <c r="N29" s="371">
        <v>145</v>
      </c>
      <c r="O29" s="371">
        <v>155</v>
      </c>
      <c r="P29" s="372">
        <f>SUM(D29:O29)</f>
        <v>1835</v>
      </c>
    </row>
    <row r="30" spans="1:16" ht="15.6" x14ac:dyDescent="0.3">
      <c r="A30" s="252"/>
      <c r="B30" s="692"/>
      <c r="C30" s="373" t="s">
        <v>139</v>
      </c>
      <c r="D30" s="374">
        <f t="shared" ref="D30:P30" si="5">D29/(D9/1000)</f>
        <v>2.693385046326223</v>
      </c>
      <c r="E30" s="374">
        <f t="shared" si="5"/>
        <v>2.4879614767255216</v>
      </c>
      <c r="F30" s="374">
        <f t="shared" si="5"/>
        <v>2.3916960313790518</v>
      </c>
      <c r="G30" s="374">
        <f t="shared" si="5"/>
        <v>2.6240054173015066</v>
      </c>
      <c r="H30" s="374">
        <f t="shared" si="5"/>
        <v>2.4634847979147794</v>
      </c>
      <c r="I30" s="374">
        <f t="shared" si="5"/>
        <v>2.3038289637377325</v>
      </c>
      <c r="J30" s="374">
        <f t="shared" si="5"/>
        <v>2.1002710027100271</v>
      </c>
      <c r="K30" s="374">
        <f t="shared" si="5"/>
        <v>2.2276836401787898</v>
      </c>
      <c r="L30" s="374">
        <f t="shared" si="5"/>
        <v>2.8814157975944825</v>
      </c>
      <c r="M30" s="374">
        <f t="shared" si="5"/>
        <v>2.5599101554113197</v>
      </c>
      <c r="N30" s="374">
        <f t="shared" si="5"/>
        <v>2.3056129750357766</v>
      </c>
      <c r="O30" s="374">
        <f t="shared" si="5"/>
        <v>2.8357116721551412</v>
      </c>
      <c r="P30" s="375">
        <f t="shared" si="5"/>
        <v>2.4694581187977573</v>
      </c>
    </row>
    <row r="31" spans="1:16" ht="15.6" x14ac:dyDescent="0.3">
      <c r="A31" s="251" t="s">
        <v>145</v>
      </c>
      <c r="B31" s="691">
        <f>53000.511/50</f>
        <v>1060.0102199999999</v>
      </c>
      <c r="C31" s="358" t="s">
        <v>140</v>
      </c>
      <c r="D31" s="371"/>
      <c r="E31" s="371"/>
      <c r="F31" s="371"/>
      <c r="G31" s="371"/>
      <c r="H31" s="371"/>
      <c r="I31" s="371"/>
      <c r="J31" s="371"/>
      <c r="K31" s="371"/>
      <c r="L31" s="371"/>
      <c r="M31" s="371"/>
      <c r="N31" s="371"/>
      <c r="O31" s="371"/>
      <c r="P31" s="372">
        <f>SUM(D31:O31)</f>
        <v>0</v>
      </c>
    </row>
    <row r="32" spans="1:16" ht="15.6" x14ac:dyDescent="0.3">
      <c r="A32" s="252"/>
      <c r="B32" s="692"/>
      <c r="C32" s="373" t="s">
        <v>139</v>
      </c>
      <c r="D32" s="374">
        <f t="shared" ref="D32:P32" si="6">D31/(D9/1000)</f>
        <v>0</v>
      </c>
      <c r="E32" s="374">
        <f t="shared" si="6"/>
        <v>0</v>
      </c>
      <c r="F32" s="374">
        <f t="shared" si="6"/>
        <v>0</v>
      </c>
      <c r="G32" s="374">
        <f t="shared" si="6"/>
        <v>0</v>
      </c>
      <c r="H32" s="374">
        <f t="shared" si="6"/>
        <v>0</v>
      </c>
      <c r="I32" s="374">
        <f t="shared" si="6"/>
        <v>0</v>
      </c>
      <c r="J32" s="374">
        <f t="shared" si="6"/>
        <v>0</v>
      </c>
      <c r="K32" s="374">
        <f t="shared" si="6"/>
        <v>0</v>
      </c>
      <c r="L32" s="374">
        <f t="shared" si="6"/>
        <v>0</v>
      </c>
      <c r="M32" s="374">
        <f t="shared" si="6"/>
        <v>0</v>
      </c>
      <c r="N32" s="374">
        <f t="shared" si="6"/>
        <v>0</v>
      </c>
      <c r="O32" s="374">
        <f t="shared" si="6"/>
        <v>0</v>
      </c>
      <c r="P32" s="375">
        <f t="shared" si="6"/>
        <v>0</v>
      </c>
    </row>
    <row r="33" spans="1:16" ht="15.6" x14ac:dyDescent="0.3">
      <c r="A33" s="251" t="s">
        <v>144</v>
      </c>
      <c r="B33" s="691">
        <f>61414.43/50</f>
        <v>1228.2886000000001</v>
      </c>
      <c r="C33" s="358" t="s">
        <v>140</v>
      </c>
      <c r="D33" s="371"/>
      <c r="E33" s="371"/>
      <c r="F33" s="371"/>
      <c r="G33" s="371"/>
      <c r="H33" s="371"/>
      <c r="I33" s="371"/>
      <c r="J33" s="371"/>
      <c r="K33" s="371"/>
      <c r="L33" s="371"/>
      <c r="M33" s="371"/>
      <c r="N33" s="371"/>
      <c r="O33" s="371"/>
      <c r="P33" s="372">
        <f>SUM(D33:O33)</f>
        <v>0</v>
      </c>
    </row>
    <row r="34" spans="1:16" ht="15.6" x14ac:dyDescent="0.3">
      <c r="A34" s="252"/>
      <c r="B34" s="692"/>
      <c r="C34" s="373" t="s">
        <v>139</v>
      </c>
      <c r="D34" s="374">
        <f t="shared" ref="D34:P34" si="7">D33/(D9/1000)</f>
        <v>0</v>
      </c>
      <c r="E34" s="374">
        <f t="shared" si="7"/>
        <v>0</v>
      </c>
      <c r="F34" s="374">
        <f t="shared" si="7"/>
        <v>0</v>
      </c>
      <c r="G34" s="374">
        <f t="shared" si="7"/>
        <v>0</v>
      </c>
      <c r="H34" s="374">
        <f t="shared" si="7"/>
        <v>0</v>
      </c>
      <c r="I34" s="374">
        <f t="shared" si="7"/>
        <v>0</v>
      </c>
      <c r="J34" s="374">
        <f t="shared" si="7"/>
        <v>0</v>
      </c>
      <c r="K34" s="374">
        <f t="shared" si="7"/>
        <v>0</v>
      </c>
      <c r="L34" s="374">
        <f t="shared" si="7"/>
        <v>0</v>
      </c>
      <c r="M34" s="374">
        <f t="shared" si="7"/>
        <v>0</v>
      </c>
      <c r="N34" s="374">
        <f t="shared" si="7"/>
        <v>0</v>
      </c>
      <c r="O34" s="374">
        <f t="shared" si="7"/>
        <v>0</v>
      </c>
      <c r="P34" s="375">
        <f t="shared" si="7"/>
        <v>0</v>
      </c>
    </row>
    <row r="35" spans="1:16" ht="15.6" x14ac:dyDescent="0.3">
      <c r="A35" s="251" t="s">
        <v>143</v>
      </c>
      <c r="B35" s="691">
        <f>745345.16/200</f>
        <v>3726.7258000000002</v>
      </c>
      <c r="C35" s="358" t="s">
        <v>126</v>
      </c>
      <c r="D35" s="376"/>
      <c r="E35" s="376"/>
      <c r="F35" s="376"/>
      <c r="G35" s="376"/>
      <c r="H35" s="376"/>
      <c r="I35" s="376"/>
      <c r="J35" s="376"/>
      <c r="K35" s="376"/>
      <c r="L35" s="376"/>
      <c r="M35" s="376"/>
      <c r="N35" s="376"/>
      <c r="O35" s="376"/>
      <c r="P35" s="375"/>
    </row>
    <row r="36" spans="1:16" ht="15.6" x14ac:dyDescent="0.3">
      <c r="A36" s="252"/>
      <c r="B36" s="692"/>
      <c r="C36" s="358" t="s">
        <v>142</v>
      </c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5"/>
    </row>
    <row r="37" spans="1:16" ht="15.6" x14ac:dyDescent="0.3">
      <c r="A37" s="251" t="s">
        <v>186</v>
      </c>
      <c r="B37" s="691">
        <f>790318.72/200</f>
        <v>3951.5935999999997</v>
      </c>
      <c r="C37" s="358" t="s">
        <v>126</v>
      </c>
      <c r="D37" s="371">
        <v>0</v>
      </c>
      <c r="E37" s="371">
        <v>0</v>
      </c>
      <c r="F37" s="371">
        <v>0</v>
      </c>
      <c r="G37" s="371">
        <v>0</v>
      </c>
      <c r="H37" s="371">
        <v>0</v>
      </c>
      <c r="I37" s="371">
        <v>0</v>
      </c>
      <c r="J37" s="371">
        <v>0</v>
      </c>
      <c r="K37" s="371">
        <v>0</v>
      </c>
      <c r="L37" s="371">
        <v>0</v>
      </c>
      <c r="M37" s="371">
        <v>0</v>
      </c>
      <c r="N37" s="371">
        <v>0</v>
      </c>
      <c r="O37" s="371">
        <v>0</v>
      </c>
      <c r="P37" s="372">
        <f>SUM(D37:O37)</f>
        <v>0</v>
      </c>
    </row>
    <row r="38" spans="1:16" ht="15.6" x14ac:dyDescent="0.3">
      <c r="A38" s="252"/>
      <c r="B38" s="692"/>
      <c r="C38" s="358" t="s">
        <v>142</v>
      </c>
      <c r="D38" s="374">
        <f t="shared" ref="D38:P38" si="8">D37/(D9/1000)</f>
        <v>0</v>
      </c>
      <c r="E38" s="374">
        <f t="shared" si="8"/>
        <v>0</v>
      </c>
      <c r="F38" s="374">
        <f t="shared" si="8"/>
        <v>0</v>
      </c>
      <c r="G38" s="374">
        <f t="shared" si="8"/>
        <v>0</v>
      </c>
      <c r="H38" s="374">
        <f t="shared" si="8"/>
        <v>0</v>
      </c>
      <c r="I38" s="374">
        <f t="shared" si="8"/>
        <v>0</v>
      </c>
      <c r="J38" s="374">
        <f t="shared" si="8"/>
        <v>0</v>
      </c>
      <c r="K38" s="374">
        <f t="shared" si="8"/>
        <v>0</v>
      </c>
      <c r="L38" s="374">
        <f t="shared" si="8"/>
        <v>0</v>
      </c>
      <c r="M38" s="374">
        <f t="shared" si="8"/>
        <v>0</v>
      </c>
      <c r="N38" s="374">
        <f t="shared" si="8"/>
        <v>0</v>
      </c>
      <c r="O38" s="374">
        <f t="shared" si="8"/>
        <v>0</v>
      </c>
      <c r="P38" s="375">
        <f t="shared" si="8"/>
        <v>0</v>
      </c>
    </row>
    <row r="39" spans="1:16" ht="15.6" x14ac:dyDescent="0.3">
      <c r="A39" s="251" t="s">
        <v>141</v>
      </c>
      <c r="B39" s="691">
        <v>1950</v>
      </c>
      <c r="C39" s="358" t="s">
        <v>140</v>
      </c>
      <c r="D39" s="371">
        <v>0</v>
      </c>
      <c r="E39" s="371">
        <v>0</v>
      </c>
      <c r="F39" s="371">
        <v>0</v>
      </c>
      <c r="G39" s="371">
        <v>0</v>
      </c>
      <c r="H39" s="371">
        <v>0</v>
      </c>
      <c r="I39" s="371">
        <v>0</v>
      </c>
      <c r="J39" s="371">
        <v>0</v>
      </c>
      <c r="K39" s="371">
        <v>0</v>
      </c>
      <c r="L39" s="371">
        <v>0</v>
      </c>
      <c r="M39" s="371">
        <v>0</v>
      </c>
      <c r="N39" s="371">
        <v>0</v>
      </c>
      <c r="O39" s="371">
        <v>0</v>
      </c>
      <c r="P39" s="372">
        <f>SUM(D39:O39)</f>
        <v>0</v>
      </c>
    </row>
    <row r="40" spans="1:16" ht="15.6" x14ac:dyDescent="0.3">
      <c r="A40" s="252"/>
      <c r="B40" s="692"/>
      <c r="C40" s="373" t="s">
        <v>139</v>
      </c>
      <c r="D40" s="374">
        <f t="shared" ref="D40:P40" si="9">D39/(D9/1000)</f>
        <v>0</v>
      </c>
      <c r="E40" s="374">
        <f t="shared" si="9"/>
        <v>0</v>
      </c>
      <c r="F40" s="374">
        <f t="shared" si="9"/>
        <v>0</v>
      </c>
      <c r="G40" s="374">
        <f t="shared" si="9"/>
        <v>0</v>
      </c>
      <c r="H40" s="374">
        <f t="shared" si="9"/>
        <v>0</v>
      </c>
      <c r="I40" s="374">
        <f t="shared" si="9"/>
        <v>0</v>
      </c>
      <c r="J40" s="374">
        <f t="shared" si="9"/>
        <v>0</v>
      </c>
      <c r="K40" s="374">
        <f t="shared" si="9"/>
        <v>0</v>
      </c>
      <c r="L40" s="374">
        <f t="shared" si="9"/>
        <v>0</v>
      </c>
      <c r="M40" s="374">
        <f t="shared" si="9"/>
        <v>0</v>
      </c>
      <c r="N40" s="374">
        <f t="shared" si="9"/>
        <v>0</v>
      </c>
      <c r="O40" s="374">
        <f t="shared" si="9"/>
        <v>0</v>
      </c>
      <c r="P40" s="375">
        <f t="shared" si="9"/>
        <v>0</v>
      </c>
    </row>
    <row r="41" spans="1:16" ht="15.6" x14ac:dyDescent="0.3">
      <c r="A41" s="473" t="s">
        <v>138</v>
      </c>
      <c r="B41" s="474"/>
      <c r="C41" s="348" t="s">
        <v>31</v>
      </c>
      <c r="D41" s="377">
        <f>(D29*$B29)+(D31*$B31)+(D33*$B33)+(D35*$B35)+(D37*$B37)+(D39*$B39)</f>
        <v>528793.5</v>
      </c>
      <c r="E41" s="377">
        <f t="shared" ref="E41:O41" si="10">(E29*$B29)+(E31*$B31)+(E33*$B33)+(E35*$B35)+(E37*$B37)+(E39*$B39)</f>
        <v>546419.94999999995</v>
      </c>
      <c r="F41" s="377">
        <f t="shared" si="10"/>
        <v>528793.5</v>
      </c>
      <c r="G41" s="377">
        <f t="shared" si="10"/>
        <v>546419.94999999995</v>
      </c>
      <c r="H41" s="377">
        <f t="shared" si="10"/>
        <v>546419.94999999995</v>
      </c>
      <c r="I41" s="377">
        <f t="shared" si="10"/>
        <v>528793.5</v>
      </c>
      <c r="J41" s="377">
        <f t="shared" si="10"/>
        <v>546419.94999999995</v>
      </c>
      <c r="K41" s="377">
        <f t="shared" si="10"/>
        <v>546419.94999999995</v>
      </c>
      <c r="L41" s="377">
        <f t="shared" si="10"/>
        <v>546419.94999999995</v>
      </c>
      <c r="M41" s="377">
        <f t="shared" si="10"/>
        <v>546419.94999999995</v>
      </c>
      <c r="N41" s="377">
        <f t="shared" si="10"/>
        <v>511167.05</v>
      </c>
      <c r="O41" s="377">
        <f t="shared" si="10"/>
        <v>546419.94999999995</v>
      </c>
      <c r="P41" s="378">
        <f>SUM(D41:O41)</f>
        <v>6468907.1500000004</v>
      </c>
    </row>
    <row r="42" spans="1:16" ht="15.6" x14ac:dyDescent="0.3">
      <c r="A42" s="530" t="s">
        <v>137</v>
      </c>
      <c r="B42" s="531"/>
      <c r="C42" s="373" t="s">
        <v>115</v>
      </c>
      <c r="D42" s="374">
        <f t="shared" ref="D42:P42" si="11">D41/D9</f>
        <v>9.4949633699633704</v>
      </c>
      <c r="E42" s="374">
        <f t="shared" si="11"/>
        <v>8.7707857142857133</v>
      </c>
      <c r="F42" s="374">
        <f t="shared" si="11"/>
        <v>8.4314221024602585</v>
      </c>
      <c r="G42" s="374">
        <f t="shared" si="11"/>
        <v>9.2503800575588269</v>
      </c>
      <c r="H42" s="374">
        <f t="shared" si="11"/>
        <v>8.6844983232409909</v>
      </c>
      <c r="I42" s="374">
        <f t="shared" si="11"/>
        <v>8.1216652075749902</v>
      </c>
      <c r="J42" s="374">
        <f t="shared" si="11"/>
        <v>7.4040643631436307</v>
      </c>
      <c r="K42" s="374">
        <f t="shared" si="11"/>
        <v>7.8532308598858842</v>
      </c>
      <c r="L42" s="374">
        <f t="shared" si="11"/>
        <v>10.157826297101852</v>
      </c>
      <c r="M42" s="374">
        <f t="shared" si="11"/>
        <v>9.0244256717699702</v>
      </c>
      <c r="N42" s="374">
        <f t="shared" si="11"/>
        <v>8.1279543647638732</v>
      </c>
      <c r="O42" s="374">
        <f t="shared" si="11"/>
        <v>9.9967060007317965</v>
      </c>
      <c r="P42" s="379">
        <f t="shared" si="11"/>
        <v>8.7055560116165474</v>
      </c>
    </row>
    <row r="43" spans="1:16" x14ac:dyDescent="0.3">
      <c r="A43" s="519" t="s">
        <v>136</v>
      </c>
      <c r="B43" s="520"/>
      <c r="C43" s="520"/>
      <c r="D43" s="520"/>
      <c r="E43" s="520"/>
      <c r="F43" s="520"/>
      <c r="G43" s="520"/>
      <c r="H43" s="520"/>
      <c r="I43" s="520"/>
      <c r="J43" s="520"/>
      <c r="K43" s="520"/>
      <c r="L43" s="520"/>
      <c r="M43" s="520"/>
      <c r="N43" s="520"/>
      <c r="O43" s="520"/>
      <c r="P43" s="521"/>
    </row>
    <row r="44" spans="1:16" ht="15.6" x14ac:dyDescent="0.3">
      <c r="A44" s="473" t="s">
        <v>135</v>
      </c>
      <c r="B44" s="474"/>
      <c r="C44" s="348" t="s">
        <v>134</v>
      </c>
      <c r="D44" s="371">
        <v>25477</v>
      </c>
      <c r="E44" s="371">
        <v>27187</v>
      </c>
      <c r="F44" s="371">
        <v>27608</v>
      </c>
      <c r="G44" s="371">
        <v>28581</v>
      </c>
      <c r="H44" s="371">
        <v>27335</v>
      </c>
      <c r="I44" s="371">
        <v>29830</v>
      </c>
      <c r="J44" s="371">
        <v>32075</v>
      </c>
      <c r="K44" s="371">
        <v>29315</v>
      </c>
      <c r="L44" s="371">
        <v>27517</v>
      </c>
      <c r="M44" s="371">
        <v>26891</v>
      </c>
      <c r="N44" s="371">
        <v>28859</v>
      </c>
      <c r="O44" s="371">
        <v>24362</v>
      </c>
      <c r="P44" s="378">
        <f>SUM(D44:O44)</f>
        <v>335037</v>
      </c>
    </row>
    <row r="45" spans="1:16" ht="15.6" x14ac:dyDescent="0.3">
      <c r="A45" s="530" t="s">
        <v>133</v>
      </c>
      <c r="B45" s="531"/>
      <c r="C45" s="373" t="s">
        <v>132</v>
      </c>
      <c r="D45" s="374">
        <f t="shared" ref="D45:P45" si="12">D44/D9</f>
        <v>0.45746247216835451</v>
      </c>
      <c r="E45" s="374">
        <f t="shared" si="12"/>
        <v>0.4363884430176565</v>
      </c>
      <c r="F45" s="374">
        <f t="shared" si="12"/>
        <v>0.44019962689541908</v>
      </c>
      <c r="G45" s="374">
        <f t="shared" si="12"/>
        <v>0.48384966988318945</v>
      </c>
      <c r="H45" s="374">
        <f t="shared" si="12"/>
        <v>0.43444746420000319</v>
      </c>
      <c r="I45" s="374">
        <f t="shared" si="12"/>
        <v>0.45815478658864367</v>
      </c>
      <c r="J45" s="374">
        <f t="shared" si="12"/>
        <v>0.43462059620596205</v>
      </c>
      <c r="K45" s="374">
        <f t="shared" si="12"/>
        <v>0.42131965104413688</v>
      </c>
      <c r="L45" s="374">
        <f t="shared" si="12"/>
        <v>0.51153495808004756</v>
      </c>
      <c r="M45" s="374">
        <f t="shared" si="12"/>
        <v>0.44411963863977938</v>
      </c>
      <c r="N45" s="374">
        <f t="shared" si="12"/>
        <v>0.4588805851486723</v>
      </c>
      <c r="O45" s="374">
        <f t="shared" si="12"/>
        <v>0.44570069520673256</v>
      </c>
      <c r="P45" s="375">
        <f t="shared" si="12"/>
        <v>0.45087729686520123</v>
      </c>
    </row>
    <row r="46" spans="1:16" ht="15.6" x14ac:dyDescent="0.3">
      <c r="A46" s="485" t="s">
        <v>131</v>
      </c>
      <c r="B46" s="486"/>
      <c r="C46" s="358" t="s">
        <v>31</v>
      </c>
      <c r="D46" s="380">
        <f t="shared" ref="D46:G46" si="13">1.165*(14100+(D44*119.1))</f>
        <v>3551398.4654999999</v>
      </c>
      <c r="E46" s="380">
        <f t="shared" si="13"/>
        <v>3788663.5304999999</v>
      </c>
      <c r="F46" s="380">
        <f t="shared" si="13"/>
        <v>3847077.912</v>
      </c>
      <c r="G46" s="380">
        <f t="shared" si="13"/>
        <v>3982083.1214999999</v>
      </c>
      <c r="H46" s="380">
        <f t="shared" ref="H46:O46" si="14">1.165*(16600+(H44*143.5))</f>
        <v>4589135.9625000004</v>
      </c>
      <c r="I46" s="380">
        <f t="shared" si="14"/>
        <v>5006243.8250000002</v>
      </c>
      <c r="J46" s="380">
        <f t="shared" si="14"/>
        <v>5381557.3125</v>
      </c>
      <c r="K46" s="380">
        <f t="shared" si="14"/>
        <v>4920147.4125000006</v>
      </c>
      <c r="L46" s="380">
        <f t="shared" si="14"/>
        <v>4619562.2675000001</v>
      </c>
      <c r="M46" s="380">
        <f t="shared" si="14"/>
        <v>4514909.1524999999</v>
      </c>
      <c r="N46" s="380">
        <f t="shared" si="14"/>
        <v>4843914.4725000001</v>
      </c>
      <c r="O46" s="380">
        <f t="shared" si="14"/>
        <v>4092117.2550000004</v>
      </c>
      <c r="P46" s="378">
        <f>SUM(D46:O46)</f>
        <v>53136810.689499997</v>
      </c>
    </row>
    <row r="47" spans="1:16" s="354" customFormat="1" ht="15.6" x14ac:dyDescent="0.3">
      <c r="A47" s="473" t="s">
        <v>130</v>
      </c>
      <c r="B47" s="474"/>
      <c r="C47" s="348" t="s">
        <v>115</v>
      </c>
      <c r="D47" s="374">
        <f t="shared" ref="D47:P47" si="15">D46/D9</f>
        <v>63.768556803490625</v>
      </c>
      <c r="E47" s="374">
        <f t="shared" si="15"/>
        <v>60.813218788121986</v>
      </c>
      <c r="F47" s="374">
        <f t="shared" si="15"/>
        <v>61.340273163576065</v>
      </c>
      <c r="G47" s="374">
        <f t="shared" si="15"/>
        <v>67.412952793296085</v>
      </c>
      <c r="H47" s="374">
        <f t="shared" si="15"/>
        <v>72.937204381824259</v>
      </c>
      <c r="I47" s="374">
        <f t="shared" si="15"/>
        <v>76.890196823787804</v>
      </c>
      <c r="J47" s="374">
        <f t="shared" si="15"/>
        <v>72.920830792682921</v>
      </c>
      <c r="K47" s="374">
        <f t="shared" si="15"/>
        <v>70.713109019962928</v>
      </c>
      <c r="L47" s="374">
        <f t="shared" si="15"/>
        <v>85.876643197070251</v>
      </c>
      <c r="M47" s="374">
        <f t="shared" si="15"/>
        <v>74.566205098350096</v>
      </c>
      <c r="N47" s="374">
        <f t="shared" si="15"/>
        <v>77.022014191445379</v>
      </c>
      <c r="O47" s="374">
        <f t="shared" si="15"/>
        <v>74.864933315038428</v>
      </c>
      <c r="P47" s="375">
        <f t="shared" si="15"/>
        <v>71.509061887850265</v>
      </c>
    </row>
    <row r="48" spans="1:16" x14ac:dyDescent="0.3">
      <c r="A48" s="519" t="s">
        <v>129</v>
      </c>
      <c r="B48" s="520"/>
      <c r="C48" s="520"/>
      <c r="D48" s="520"/>
      <c r="E48" s="520"/>
      <c r="F48" s="520"/>
      <c r="G48" s="520"/>
      <c r="H48" s="520"/>
      <c r="I48" s="520"/>
      <c r="J48" s="520"/>
      <c r="K48" s="520"/>
      <c r="L48" s="520"/>
      <c r="M48" s="520"/>
      <c r="N48" s="520"/>
      <c r="O48" s="520"/>
      <c r="P48" s="521"/>
    </row>
    <row r="49" spans="1:16" ht="15.6" x14ac:dyDescent="0.3">
      <c r="A49" s="473" t="s">
        <v>128</v>
      </c>
      <c r="B49" s="474"/>
      <c r="C49" s="358" t="s">
        <v>127</v>
      </c>
      <c r="D49" s="381">
        <v>2175</v>
      </c>
      <c r="E49" s="381">
        <v>268</v>
      </c>
      <c r="F49" s="381">
        <v>2384</v>
      </c>
      <c r="G49" s="381">
        <v>2900</v>
      </c>
      <c r="H49" s="381">
        <v>3016</v>
      </c>
      <c r="I49" s="381">
        <v>4159</v>
      </c>
      <c r="J49" s="381">
        <v>6631</v>
      </c>
      <c r="K49" s="381">
        <v>5222</v>
      </c>
      <c r="L49" s="381">
        <v>3622</v>
      </c>
      <c r="M49" s="381">
        <v>4729</v>
      </c>
      <c r="N49" s="381">
        <v>1629</v>
      </c>
      <c r="O49" s="381">
        <v>843</v>
      </c>
      <c r="P49" s="378">
        <f>SUM(D49:O49)</f>
        <v>37578</v>
      </c>
    </row>
    <row r="50" spans="1:16" ht="15.6" x14ac:dyDescent="0.3">
      <c r="A50" s="473" t="s">
        <v>187</v>
      </c>
      <c r="B50" s="474"/>
      <c r="C50" s="358" t="s">
        <v>126</v>
      </c>
      <c r="D50" s="381">
        <v>207</v>
      </c>
      <c r="E50" s="381">
        <v>58.6</v>
      </c>
      <c r="F50" s="381">
        <v>183.2</v>
      </c>
      <c r="G50" s="381">
        <v>176</v>
      </c>
      <c r="H50" s="381">
        <v>247</v>
      </c>
      <c r="I50" s="381">
        <v>266.89999999999998</v>
      </c>
      <c r="J50" s="381">
        <v>520.4</v>
      </c>
      <c r="K50" s="381">
        <v>333</v>
      </c>
      <c r="L50" s="381">
        <v>192.5</v>
      </c>
      <c r="M50" s="381">
        <v>364</v>
      </c>
      <c r="N50" s="381">
        <v>208</v>
      </c>
      <c r="O50" s="381">
        <v>93</v>
      </c>
      <c r="P50" s="378">
        <f>SUM(D50:O50)</f>
        <v>2849.6</v>
      </c>
    </row>
    <row r="51" spans="1:16" ht="15.6" x14ac:dyDescent="0.3">
      <c r="A51" s="485" t="s">
        <v>125</v>
      </c>
      <c r="B51" s="486"/>
      <c r="C51" s="358" t="s">
        <v>31</v>
      </c>
      <c r="D51" s="376">
        <v>397440</v>
      </c>
      <c r="E51" s="376">
        <v>112512</v>
      </c>
      <c r="F51" s="376">
        <v>351744</v>
      </c>
      <c r="G51" s="376">
        <v>338308</v>
      </c>
      <c r="H51" s="376">
        <v>474240</v>
      </c>
      <c r="I51" s="376">
        <v>512447.99999999994</v>
      </c>
      <c r="J51" s="376">
        <v>199168</v>
      </c>
      <c r="K51" s="376">
        <v>910422</v>
      </c>
      <c r="L51" s="376">
        <v>526295</v>
      </c>
      <c r="M51" s="376">
        <v>995176</v>
      </c>
      <c r="N51" s="376">
        <v>568672</v>
      </c>
      <c r="O51" s="376">
        <v>254262</v>
      </c>
      <c r="P51" s="382">
        <f>SUM(D51:O51)</f>
        <v>5640687</v>
      </c>
    </row>
    <row r="52" spans="1:16" ht="15.6" x14ac:dyDescent="0.3">
      <c r="A52" s="473" t="s">
        <v>124</v>
      </c>
      <c r="B52" s="474"/>
      <c r="C52" s="358" t="s">
        <v>31</v>
      </c>
      <c r="D52" s="376">
        <v>0</v>
      </c>
      <c r="E52" s="376">
        <v>0</v>
      </c>
      <c r="F52" s="376">
        <v>0</v>
      </c>
      <c r="G52" s="376">
        <v>0</v>
      </c>
      <c r="H52" s="376">
        <v>0</v>
      </c>
      <c r="I52" s="376">
        <v>0</v>
      </c>
      <c r="J52" s="376">
        <v>0</v>
      </c>
      <c r="K52" s="376">
        <v>0</v>
      </c>
      <c r="L52" s="376">
        <v>0</v>
      </c>
      <c r="M52" s="376">
        <v>0</v>
      </c>
      <c r="N52" s="376">
        <v>0</v>
      </c>
      <c r="O52" s="376">
        <v>0</v>
      </c>
      <c r="P52" s="382">
        <f>SUM(D52:O52)</f>
        <v>0</v>
      </c>
    </row>
    <row r="53" spans="1:16" x14ac:dyDescent="0.3">
      <c r="A53" s="519" t="s">
        <v>123</v>
      </c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1"/>
    </row>
    <row r="54" spans="1:16" ht="15.6" x14ac:dyDescent="0.3">
      <c r="A54" s="473" t="s">
        <v>122</v>
      </c>
      <c r="B54" s="474"/>
      <c r="C54" s="348" t="s">
        <v>18</v>
      </c>
      <c r="D54" s="376">
        <v>3513729.9</v>
      </c>
      <c r="E54" s="376">
        <v>4297411.5599999996</v>
      </c>
      <c r="F54" s="376">
        <v>3419523.33</v>
      </c>
      <c r="G54" s="376">
        <v>3292981.2700000005</v>
      </c>
      <c r="H54" s="376">
        <v>3695021.42</v>
      </c>
      <c r="I54" s="376">
        <v>3247315.09</v>
      </c>
      <c r="J54" s="376">
        <v>2367032.73</v>
      </c>
      <c r="K54" s="376">
        <v>2609688.98</v>
      </c>
      <c r="L54" s="376">
        <v>3490323.78</v>
      </c>
      <c r="M54" s="376">
        <v>3509234.95</v>
      </c>
      <c r="N54" s="376">
        <v>3509234.95</v>
      </c>
      <c r="O54" s="376">
        <v>3126948.03</v>
      </c>
      <c r="P54" s="378">
        <f>SUM(D54:O54)</f>
        <v>40078445.990000002</v>
      </c>
    </row>
    <row r="55" spans="1:16" ht="15.6" x14ac:dyDescent="0.3">
      <c r="A55" s="383" t="s">
        <v>121</v>
      </c>
      <c r="B55" s="357"/>
      <c r="C55" s="348" t="s">
        <v>18</v>
      </c>
      <c r="D55" s="376">
        <v>590385.56000000006</v>
      </c>
      <c r="E55" s="376">
        <v>613462.52</v>
      </c>
      <c r="F55" s="376">
        <v>525722</v>
      </c>
      <c r="G55" s="376">
        <v>521154.68</v>
      </c>
      <c r="H55" s="376">
        <v>533654.69999999995</v>
      </c>
      <c r="I55" s="376">
        <v>1166828.79</v>
      </c>
      <c r="J55" s="376">
        <v>3118754.99</v>
      </c>
      <c r="K55" s="376">
        <v>2321157.56</v>
      </c>
      <c r="L55" s="376">
        <v>2392311.52</v>
      </c>
      <c r="M55" s="376">
        <v>2268513.25</v>
      </c>
      <c r="N55" s="376">
        <v>1181250.53</v>
      </c>
      <c r="O55" s="376">
        <v>1070481.25</v>
      </c>
      <c r="P55" s="378">
        <f>SUM(D55:O55)</f>
        <v>16303677.35</v>
      </c>
    </row>
    <row r="56" spans="1:16" ht="15.6" x14ac:dyDescent="0.3">
      <c r="A56" s="473" t="s">
        <v>120</v>
      </c>
      <c r="B56" s="474"/>
      <c r="C56" s="358" t="s">
        <v>18</v>
      </c>
      <c r="D56" s="376">
        <v>425000</v>
      </c>
      <c r="E56" s="376">
        <v>425100</v>
      </c>
      <c r="F56" s="376">
        <v>427350</v>
      </c>
      <c r="G56" s="376">
        <v>431200</v>
      </c>
      <c r="H56" s="376">
        <v>432750</v>
      </c>
      <c r="I56" s="376">
        <v>436200</v>
      </c>
      <c r="J56" s="376">
        <v>439200</v>
      </c>
      <c r="K56" s="376">
        <v>443750</v>
      </c>
      <c r="L56" s="376">
        <v>447400</v>
      </c>
      <c r="M56" s="376">
        <v>453800</v>
      </c>
      <c r="N56" s="376">
        <v>448100</v>
      </c>
      <c r="O56" s="376">
        <v>462100</v>
      </c>
      <c r="P56" s="378">
        <f>SUM(D56:O56)</f>
        <v>5271950</v>
      </c>
    </row>
    <row r="57" spans="1:16" x14ac:dyDescent="0.3">
      <c r="A57" s="519" t="s">
        <v>119</v>
      </c>
      <c r="B57" s="520"/>
      <c r="C57" s="520"/>
      <c r="D57" s="520"/>
      <c r="E57" s="520"/>
      <c r="F57" s="520"/>
      <c r="G57" s="520"/>
      <c r="H57" s="520"/>
      <c r="I57" s="520"/>
      <c r="J57" s="520"/>
      <c r="K57" s="520"/>
      <c r="L57" s="520"/>
      <c r="M57" s="520"/>
      <c r="N57" s="520"/>
      <c r="O57" s="520"/>
      <c r="P57" s="521"/>
    </row>
    <row r="58" spans="1:16" ht="15.6" x14ac:dyDescent="0.3">
      <c r="A58" s="485" t="s">
        <v>118</v>
      </c>
      <c r="B58" s="486"/>
      <c r="C58" s="358" t="s">
        <v>18</v>
      </c>
      <c r="D58" s="376">
        <f>D41+D46+D51+D52+D54+D55+D56</f>
        <v>9006747.4254999999</v>
      </c>
      <c r="E58" s="376">
        <f t="shared" ref="E58:O58" si="16">E41+E46+E51+E52+E54+E55+E56</f>
        <v>9783569.5604999997</v>
      </c>
      <c r="F58" s="376">
        <f t="shared" si="16"/>
        <v>9100210.7420000006</v>
      </c>
      <c r="G58" s="376">
        <f t="shared" si="16"/>
        <v>9112147.0215000007</v>
      </c>
      <c r="H58" s="376">
        <f t="shared" si="16"/>
        <v>10271222.032499999</v>
      </c>
      <c r="I58" s="376">
        <f t="shared" si="16"/>
        <v>10897829.204999998</v>
      </c>
      <c r="J58" s="376">
        <f t="shared" si="16"/>
        <v>12052132.9825</v>
      </c>
      <c r="K58" s="376">
        <f t="shared" si="16"/>
        <v>11751585.902500002</v>
      </c>
      <c r="L58" s="376">
        <f t="shared" si="16"/>
        <v>12022312.5175</v>
      </c>
      <c r="M58" s="376">
        <f t="shared" si="16"/>
        <v>12288053.3025</v>
      </c>
      <c r="N58" s="376">
        <f t="shared" si="16"/>
        <v>11062339.002499999</v>
      </c>
      <c r="O58" s="376">
        <f t="shared" si="16"/>
        <v>9552328.4849999994</v>
      </c>
      <c r="P58" s="384">
        <f>SUM(D58:O58)</f>
        <v>126900478.17949998</v>
      </c>
    </row>
    <row r="59" spans="1:16" ht="15.6" x14ac:dyDescent="0.3">
      <c r="A59" s="485" t="s">
        <v>117</v>
      </c>
      <c r="B59" s="486"/>
      <c r="C59" s="358" t="s">
        <v>115</v>
      </c>
      <c r="D59" s="374">
        <f t="shared" ref="D59:P59" si="17">D58/D9</f>
        <v>161.72425887919269</v>
      </c>
      <c r="E59" s="374">
        <f t="shared" si="17"/>
        <v>157.03963981540932</v>
      </c>
      <c r="F59" s="374">
        <f t="shared" si="17"/>
        <v>145.09958610902945</v>
      </c>
      <c r="G59" s="374">
        <f t="shared" si="17"/>
        <v>154.2601493397664</v>
      </c>
      <c r="H59" s="374">
        <f t="shared" si="17"/>
        <v>163.24515698755542</v>
      </c>
      <c r="I59" s="374">
        <f t="shared" si="17"/>
        <v>167.37823042897293</v>
      </c>
      <c r="J59" s="374">
        <f t="shared" si="17"/>
        <v>163.30803499322494</v>
      </c>
      <c r="K59" s="374">
        <f t="shared" si="17"/>
        <v>168.89558491067709</v>
      </c>
      <c r="L59" s="374">
        <f t="shared" si="17"/>
        <v>223.49213684866061</v>
      </c>
      <c r="M59" s="374">
        <f t="shared" si="17"/>
        <v>202.94395122132488</v>
      </c>
      <c r="N59" s="374">
        <f t="shared" si="17"/>
        <v>175.89980923040227</v>
      </c>
      <c r="O59" s="374">
        <f t="shared" si="17"/>
        <v>174.75902826564214</v>
      </c>
      <c r="P59" s="375">
        <f t="shared" si="17"/>
        <v>170.77679352571329</v>
      </c>
    </row>
    <row r="60" spans="1:16" ht="15.6" x14ac:dyDescent="0.3">
      <c r="A60" s="485" t="s">
        <v>116</v>
      </c>
      <c r="B60" s="486"/>
      <c r="C60" s="358" t="s">
        <v>115</v>
      </c>
      <c r="D60" s="374">
        <f>D58/D22</f>
        <v>201.89974054023762</v>
      </c>
      <c r="E60" s="374">
        <f t="shared" ref="E60:O60" si="18">E58/E22</f>
        <v>219.20035759415677</v>
      </c>
      <c r="F60" s="374">
        <f t="shared" si="18"/>
        <v>161.31121250044316</v>
      </c>
      <c r="G60" s="374">
        <f t="shared" si="18"/>
        <v>188.22083412170537</v>
      </c>
      <c r="H60" s="374">
        <f t="shared" si="18"/>
        <v>221.51531298524841</v>
      </c>
      <c r="I60" s="374">
        <f t="shared" si="18"/>
        <v>188.32871124667332</v>
      </c>
      <c r="J60" s="374">
        <f t="shared" si="18"/>
        <v>219.44888897487255</v>
      </c>
      <c r="K60" s="374">
        <f t="shared" si="18"/>
        <v>197.05192921340782</v>
      </c>
      <c r="L60" s="374">
        <f t="shared" si="18"/>
        <v>282.50569878513016</v>
      </c>
      <c r="M60" s="374">
        <f t="shared" si="18"/>
        <v>228.55966561575806</v>
      </c>
      <c r="N60" s="374">
        <f t="shared" si="18"/>
        <v>208.35776849113819</v>
      </c>
      <c r="O60" s="374">
        <f t="shared" si="18"/>
        <v>197.9429003481288</v>
      </c>
      <c r="P60" s="385">
        <f>P58/P22</f>
        <v>207.85297721569782</v>
      </c>
    </row>
    <row r="61" spans="1:16" ht="15.6" x14ac:dyDescent="0.3">
      <c r="A61" s="473" t="s">
        <v>114</v>
      </c>
      <c r="B61" s="474"/>
      <c r="C61" s="358" t="s">
        <v>3</v>
      </c>
      <c r="D61" s="381">
        <v>7</v>
      </c>
      <c r="E61" s="381">
        <v>7</v>
      </c>
      <c r="F61" s="381">
        <v>5</v>
      </c>
      <c r="G61" s="381">
        <v>7</v>
      </c>
      <c r="H61" s="381">
        <v>7</v>
      </c>
      <c r="I61" s="381">
        <v>7</v>
      </c>
      <c r="J61" s="381">
        <v>6</v>
      </c>
      <c r="K61" s="381">
        <v>6</v>
      </c>
      <c r="L61" s="381">
        <v>6</v>
      </c>
      <c r="M61" s="381">
        <v>7</v>
      </c>
      <c r="N61" s="381">
        <v>6</v>
      </c>
      <c r="O61" s="381">
        <v>6</v>
      </c>
      <c r="P61" s="386">
        <f>O61</f>
        <v>6</v>
      </c>
    </row>
    <row r="62" spans="1:16" ht="15.6" customHeight="1" x14ac:dyDescent="0.3">
      <c r="A62" s="485" t="s">
        <v>113</v>
      </c>
      <c r="B62" s="486"/>
      <c r="C62" s="358" t="s">
        <v>112</v>
      </c>
      <c r="D62" s="374">
        <f t="shared" ref="D62:P62" si="19">(D61*1000*31)/D9</f>
        <v>3.8964303670186022</v>
      </c>
      <c r="E62" s="374">
        <f t="shared" si="19"/>
        <v>3.4831460674157304</v>
      </c>
      <c r="F62" s="374">
        <f t="shared" si="19"/>
        <v>2.4714192324250202</v>
      </c>
      <c r="G62" s="374">
        <f t="shared" si="19"/>
        <v>3.6736075842221094</v>
      </c>
      <c r="H62" s="374">
        <f t="shared" si="19"/>
        <v>3.4488787170806909</v>
      </c>
      <c r="I62" s="374">
        <f t="shared" si="19"/>
        <v>3.3328725675405857</v>
      </c>
      <c r="J62" s="374">
        <f t="shared" si="19"/>
        <v>2.5203252032520327</v>
      </c>
      <c r="K62" s="374">
        <f t="shared" si="19"/>
        <v>2.6732203682145474</v>
      </c>
      <c r="L62" s="374">
        <f t="shared" si="19"/>
        <v>3.4576989571133789</v>
      </c>
      <c r="M62" s="374">
        <f t="shared" si="19"/>
        <v>3.5838742175758478</v>
      </c>
      <c r="N62" s="374">
        <f t="shared" si="19"/>
        <v>2.9575449197010655</v>
      </c>
      <c r="O62" s="374">
        <f t="shared" si="19"/>
        <v>3.402854006586169</v>
      </c>
      <c r="P62" s="375">
        <f t="shared" si="19"/>
        <v>0.25031019623781081</v>
      </c>
    </row>
    <row r="63" spans="1:16" ht="15.6" x14ac:dyDescent="0.3">
      <c r="A63" s="514" t="s">
        <v>111</v>
      </c>
      <c r="B63" s="515"/>
      <c r="C63" s="387" t="s">
        <v>3</v>
      </c>
      <c r="D63" s="381">
        <v>9</v>
      </c>
      <c r="E63" s="381">
        <v>9</v>
      </c>
      <c r="F63" s="381">
        <v>9</v>
      </c>
      <c r="G63" s="381">
        <v>9</v>
      </c>
      <c r="H63" s="381">
        <v>9</v>
      </c>
      <c r="I63" s="381">
        <v>9</v>
      </c>
      <c r="J63" s="381">
        <v>12</v>
      </c>
      <c r="K63" s="381">
        <v>12</v>
      </c>
      <c r="L63" s="381">
        <v>38</v>
      </c>
      <c r="M63" s="381">
        <v>9</v>
      </c>
      <c r="N63" s="381">
        <v>20</v>
      </c>
      <c r="O63" s="381">
        <v>20</v>
      </c>
      <c r="P63" s="386">
        <f>SUM(D63:O63)</f>
        <v>165</v>
      </c>
    </row>
    <row r="64" spans="1:16" x14ac:dyDescent="0.3">
      <c r="A64" s="516"/>
      <c r="B64" s="517"/>
      <c r="C64" s="517"/>
      <c r="D64" s="517"/>
      <c r="E64" s="517"/>
      <c r="F64" s="517"/>
      <c r="G64" s="517"/>
      <c r="H64" s="517"/>
      <c r="I64" s="517"/>
      <c r="J64" s="517"/>
      <c r="K64" s="517"/>
      <c r="L64" s="517"/>
      <c r="M64" s="517"/>
      <c r="N64" s="517"/>
      <c r="O64" s="517"/>
      <c r="P64" s="518"/>
    </row>
    <row r="65" spans="1:16" ht="14.4" customHeight="1" x14ac:dyDescent="0.3">
      <c r="A65" s="519" t="s">
        <v>110</v>
      </c>
      <c r="B65" s="520"/>
      <c r="C65" s="520"/>
      <c r="D65" s="520"/>
      <c r="E65" s="520"/>
      <c r="F65" s="520"/>
      <c r="G65" s="520"/>
      <c r="H65" s="520"/>
      <c r="I65" s="520"/>
      <c r="J65" s="520"/>
      <c r="K65" s="520"/>
      <c r="L65" s="520"/>
      <c r="M65" s="520"/>
      <c r="N65" s="520"/>
      <c r="O65" s="520"/>
      <c r="P65" s="521"/>
    </row>
    <row r="66" spans="1:16" ht="15.6" x14ac:dyDescent="0.3">
      <c r="A66" s="465" t="s">
        <v>109</v>
      </c>
      <c r="B66" s="358" t="s">
        <v>85</v>
      </c>
      <c r="C66" s="358" t="s">
        <v>3</v>
      </c>
      <c r="D66" s="596">
        <v>99</v>
      </c>
      <c r="E66" s="596">
        <v>97</v>
      </c>
      <c r="F66" s="596">
        <v>111</v>
      </c>
      <c r="G66" s="596">
        <v>66</v>
      </c>
      <c r="H66" s="388">
        <v>91</v>
      </c>
      <c r="I66" s="388">
        <v>81</v>
      </c>
      <c r="J66" s="388">
        <v>70</v>
      </c>
      <c r="K66" s="388">
        <v>73</v>
      </c>
      <c r="L66" s="388">
        <v>96</v>
      </c>
      <c r="M66" s="371">
        <v>90</v>
      </c>
      <c r="N66" s="371">
        <v>79</v>
      </c>
      <c r="O66" s="371">
        <v>89</v>
      </c>
      <c r="P66" s="389">
        <f>D66</f>
        <v>99</v>
      </c>
    </row>
    <row r="67" spans="1:16" ht="15.6" x14ac:dyDescent="0.3">
      <c r="A67" s="466"/>
      <c r="B67" s="348" t="s">
        <v>104</v>
      </c>
      <c r="C67" s="358" t="s">
        <v>3</v>
      </c>
      <c r="D67" s="597">
        <v>5</v>
      </c>
      <c r="E67" s="597">
        <v>24</v>
      </c>
      <c r="F67" s="597">
        <v>12</v>
      </c>
      <c r="G67" s="597">
        <v>22</v>
      </c>
      <c r="H67" s="390">
        <v>24</v>
      </c>
      <c r="I67" s="390">
        <v>3</v>
      </c>
      <c r="J67" s="390">
        <v>9</v>
      </c>
      <c r="K67" s="390">
        <v>5</v>
      </c>
      <c r="L67" s="390">
        <v>21</v>
      </c>
      <c r="M67" s="390">
        <v>17</v>
      </c>
      <c r="N67" s="390">
        <v>10</v>
      </c>
      <c r="O67" s="390">
        <v>23</v>
      </c>
      <c r="P67" s="389">
        <f>SUM(D67:O67)</f>
        <v>175</v>
      </c>
    </row>
    <row r="68" spans="1:16" ht="15.6" x14ac:dyDescent="0.3">
      <c r="A68" s="466"/>
      <c r="B68" s="348" t="s">
        <v>103</v>
      </c>
      <c r="C68" s="358" t="s">
        <v>3</v>
      </c>
      <c r="D68" s="597">
        <v>0</v>
      </c>
      <c r="E68" s="597">
        <v>0</v>
      </c>
      <c r="F68" s="597">
        <v>0</v>
      </c>
      <c r="G68" s="597">
        <v>0</v>
      </c>
      <c r="H68" s="390"/>
      <c r="I68" s="390"/>
      <c r="J68" s="390"/>
      <c r="K68" s="390"/>
      <c r="L68" s="390">
        <v>20</v>
      </c>
      <c r="M68" s="381">
        <v>0</v>
      </c>
      <c r="N68" s="381">
        <v>0</v>
      </c>
      <c r="O68" s="381">
        <v>5</v>
      </c>
      <c r="P68" s="389">
        <f t="shared" ref="P68:P69" si="20">SUM(D68:O68)</f>
        <v>25</v>
      </c>
    </row>
    <row r="69" spans="1:16" s="354" customFormat="1" ht="15.6" x14ac:dyDescent="0.3">
      <c r="A69" s="466"/>
      <c r="B69" s="348" t="s">
        <v>102</v>
      </c>
      <c r="C69" s="348" t="s">
        <v>3</v>
      </c>
      <c r="D69" s="597">
        <v>7</v>
      </c>
      <c r="E69" s="597">
        <v>10</v>
      </c>
      <c r="F69" s="597">
        <v>10</v>
      </c>
      <c r="G69" s="597">
        <v>26</v>
      </c>
      <c r="H69" s="390">
        <v>14</v>
      </c>
      <c r="I69" s="390">
        <v>4</v>
      </c>
      <c r="J69" s="390">
        <v>12</v>
      </c>
      <c r="K69" s="390">
        <v>28</v>
      </c>
      <c r="L69" s="390">
        <v>0</v>
      </c>
      <c r="M69" s="390">
        <v>28</v>
      </c>
      <c r="N69" s="381">
        <v>0</v>
      </c>
      <c r="O69" s="381">
        <v>0</v>
      </c>
      <c r="P69" s="391">
        <f t="shared" si="20"/>
        <v>139</v>
      </c>
    </row>
    <row r="70" spans="1:16" s="354" customFormat="1" ht="15.6" x14ac:dyDescent="0.3">
      <c r="A70" s="466"/>
      <c r="B70" s="348" t="s">
        <v>188</v>
      </c>
      <c r="C70" s="348" t="s">
        <v>3</v>
      </c>
      <c r="D70" s="597">
        <f>D68+D69</f>
        <v>7</v>
      </c>
      <c r="E70" s="597">
        <f t="shared" ref="E70:F70" si="21">E68+E69</f>
        <v>10</v>
      </c>
      <c r="F70" s="597">
        <f t="shared" si="21"/>
        <v>10</v>
      </c>
      <c r="G70" s="597">
        <f t="shared" ref="G70:P70" si="22">G68+G69</f>
        <v>26</v>
      </c>
      <c r="H70" s="390">
        <v>14</v>
      </c>
      <c r="I70" s="390">
        <f t="shared" ref="I70" si="23">I68+I69</f>
        <v>4</v>
      </c>
      <c r="J70" s="390">
        <f t="shared" ref="J70:K70" si="24">J68+J69</f>
        <v>12</v>
      </c>
      <c r="K70" s="390">
        <f t="shared" si="24"/>
        <v>28</v>
      </c>
      <c r="L70" s="390">
        <f t="shared" ref="L70" si="25">L68+L69</f>
        <v>20</v>
      </c>
      <c r="M70" s="390">
        <f t="shared" si="22"/>
        <v>28</v>
      </c>
      <c r="N70" s="390">
        <f t="shared" si="22"/>
        <v>0</v>
      </c>
      <c r="O70" s="390">
        <f t="shared" si="22"/>
        <v>5</v>
      </c>
      <c r="P70" s="395">
        <f t="shared" si="22"/>
        <v>164</v>
      </c>
    </row>
    <row r="71" spans="1:16" ht="15.6" x14ac:dyDescent="0.3">
      <c r="A71" s="467"/>
      <c r="B71" s="358" t="s">
        <v>81</v>
      </c>
      <c r="C71" s="358" t="s">
        <v>3</v>
      </c>
      <c r="D71" s="593">
        <f>D66+D67-D70</f>
        <v>97</v>
      </c>
      <c r="E71" s="593">
        <f t="shared" ref="E71" si="26">E66+E67-E70</f>
        <v>111</v>
      </c>
      <c r="F71" s="593">
        <f t="shared" ref="F71:G71" si="27">F66+F67-F70</f>
        <v>113</v>
      </c>
      <c r="G71" s="593">
        <f t="shared" si="27"/>
        <v>62</v>
      </c>
      <c r="H71" s="393">
        <f t="shared" ref="H71:I71" si="28">H66+H67-H70</f>
        <v>101</v>
      </c>
      <c r="I71" s="393">
        <f t="shared" si="28"/>
        <v>80</v>
      </c>
      <c r="J71" s="393">
        <f t="shared" ref="J71:K71" si="29">J66+J67-J70</f>
        <v>67</v>
      </c>
      <c r="K71" s="393">
        <f t="shared" si="29"/>
        <v>50</v>
      </c>
      <c r="L71" s="393">
        <f t="shared" ref="L71:O71" si="30">L66+L67-L70</f>
        <v>97</v>
      </c>
      <c r="M71" s="393">
        <f t="shared" si="30"/>
        <v>79</v>
      </c>
      <c r="N71" s="393">
        <f t="shared" si="30"/>
        <v>89</v>
      </c>
      <c r="O71" s="393">
        <f t="shared" si="30"/>
        <v>107</v>
      </c>
      <c r="P71" s="396">
        <f>P66+P67-P70</f>
        <v>110</v>
      </c>
    </row>
    <row r="72" spans="1:16" ht="15.6" x14ac:dyDescent="0.3">
      <c r="A72" s="465" t="s">
        <v>108</v>
      </c>
      <c r="B72" s="358" t="s">
        <v>85</v>
      </c>
      <c r="C72" s="358" t="s">
        <v>3</v>
      </c>
      <c r="D72" s="596">
        <v>0</v>
      </c>
      <c r="E72" s="596">
        <v>0</v>
      </c>
      <c r="F72" s="596">
        <v>0</v>
      </c>
      <c r="G72" s="596">
        <v>0</v>
      </c>
      <c r="H72" s="388"/>
      <c r="I72" s="388"/>
      <c r="J72" s="388"/>
      <c r="K72" s="388"/>
      <c r="L72" s="388"/>
      <c r="M72" s="388"/>
      <c r="N72" s="388"/>
      <c r="O72" s="388"/>
      <c r="P72" s="389">
        <f>D72</f>
        <v>0</v>
      </c>
    </row>
    <row r="73" spans="1:16" ht="15.6" x14ac:dyDescent="0.3">
      <c r="A73" s="466"/>
      <c r="B73" s="348" t="s">
        <v>104</v>
      </c>
      <c r="C73" s="358" t="s">
        <v>3</v>
      </c>
      <c r="D73" s="597">
        <v>0</v>
      </c>
      <c r="E73" s="597">
        <v>0</v>
      </c>
      <c r="F73" s="597">
        <v>0</v>
      </c>
      <c r="G73" s="597">
        <v>0</v>
      </c>
      <c r="H73" s="390"/>
      <c r="I73" s="390"/>
      <c r="J73" s="390"/>
      <c r="K73" s="390"/>
      <c r="L73" s="390"/>
      <c r="M73" s="390"/>
      <c r="N73" s="390"/>
      <c r="O73" s="390"/>
      <c r="P73" s="389">
        <f>SUM(D73:O73)</f>
        <v>0</v>
      </c>
    </row>
    <row r="74" spans="1:16" ht="15.6" x14ac:dyDescent="0.3">
      <c r="A74" s="466"/>
      <c r="B74" s="348" t="s">
        <v>103</v>
      </c>
      <c r="C74" s="358" t="s">
        <v>3</v>
      </c>
      <c r="D74" s="597">
        <v>0</v>
      </c>
      <c r="E74" s="597">
        <v>0</v>
      </c>
      <c r="F74" s="597">
        <v>0</v>
      </c>
      <c r="G74" s="597">
        <v>0</v>
      </c>
      <c r="H74" s="390"/>
      <c r="I74" s="390"/>
      <c r="J74" s="390"/>
      <c r="K74" s="390"/>
      <c r="L74" s="390"/>
      <c r="M74" s="390"/>
      <c r="N74" s="390"/>
      <c r="O74" s="390"/>
      <c r="P74" s="389">
        <f>SUM(D74:O74)</f>
        <v>0</v>
      </c>
    </row>
    <row r="75" spans="1:16" s="354" customFormat="1" ht="15.6" x14ac:dyDescent="0.3">
      <c r="A75" s="466"/>
      <c r="B75" s="348" t="s">
        <v>102</v>
      </c>
      <c r="C75" s="348" t="s">
        <v>3</v>
      </c>
      <c r="D75" s="597">
        <v>0</v>
      </c>
      <c r="E75" s="597">
        <v>0</v>
      </c>
      <c r="F75" s="597">
        <v>0</v>
      </c>
      <c r="G75" s="597">
        <v>0</v>
      </c>
      <c r="H75" s="390"/>
      <c r="I75" s="390"/>
      <c r="J75" s="390"/>
      <c r="K75" s="390"/>
      <c r="L75" s="390"/>
      <c r="M75" s="390"/>
      <c r="N75" s="390"/>
      <c r="O75" s="390"/>
      <c r="P75" s="389">
        <f>SUM(D75:O75)</f>
        <v>0</v>
      </c>
    </row>
    <row r="76" spans="1:16" s="354" customFormat="1" ht="15.6" x14ac:dyDescent="0.3">
      <c r="A76" s="466"/>
      <c r="B76" s="348" t="s">
        <v>188</v>
      </c>
      <c r="C76" s="348" t="s">
        <v>3</v>
      </c>
      <c r="D76" s="597">
        <v>0</v>
      </c>
      <c r="E76" s="597">
        <v>0</v>
      </c>
      <c r="F76" s="597">
        <v>0</v>
      </c>
      <c r="G76" s="597">
        <f t="shared" ref="G76:P76" si="31">G74+G75</f>
        <v>0</v>
      </c>
      <c r="H76" s="390">
        <f t="shared" ref="H76:I76" si="32">H74+H75</f>
        <v>0</v>
      </c>
      <c r="I76" s="390">
        <f t="shared" si="32"/>
        <v>0</v>
      </c>
      <c r="J76" s="390">
        <f t="shared" ref="J76:K76" si="33">J74+J75</f>
        <v>0</v>
      </c>
      <c r="K76" s="390">
        <f t="shared" si="33"/>
        <v>0</v>
      </c>
      <c r="L76" s="390">
        <f t="shared" ref="L76" si="34">L74+L75</f>
        <v>0</v>
      </c>
      <c r="M76" s="390">
        <f t="shared" si="31"/>
        <v>0</v>
      </c>
      <c r="N76" s="390">
        <f t="shared" si="31"/>
        <v>0</v>
      </c>
      <c r="O76" s="390">
        <f t="shared" si="31"/>
        <v>0</v>
      </c>
      <c r="P76" s="395">
        <f t="shared" si="31"/>
        <v>0</v>
      </c>
    </row>
    <row r="77" spans="1:16" ht="15.6" x14ac:dyDescent="0.3">
      <c r="A77" s="467"/>
      <c r="B77" s="358" t="s">
        <v>81</v>
      </c>
      <c r="C77" s="358" t="s">
        <v>3</v>
      </c>
      <c r="D77" s="593">
        <f t="shared" ref="D77:I77" si="35">D72+D73-D76</f>
        <v>0</v>
      </c>
      <c r="E77" s="593">
        <f t="shared" si="35"/>
        <v>0</v>
      </c>
      <c r="F77" s="593">
        <f t="shared" si="35"/>
        <v>0</v>
      </c>
      <c r="G77" s="593">
        <f t="shared" si="35"/>
        <v>0</v>
      </c>
      <c r="H77" s="393">
        <f t="shared" si="35"/>
        <v>0</v>
      </c>
      <c r="I77" s="393">
        <f t="shared" si="35"/>
        <v>0</v>
      </c>
      <c r="J77" s="393">
        <f t="shared" ref="J77:P77" si="36">J72+J73-J76</f>
        <v>0</v>
      </c>
      <c r="K77" s="393">
        <f t="shared" si="36"/>
        <v>0</v>
      </c>
      <c r="L77" s="393">
        <f t="shared" si="36"/>
        <v>0</v>
      </c>
      <c r="M77" s="393">
        <f t="shared" si="36"/>
        <v>0</v>
      </c>
      <c r="N77" s="393">
        <f t="shared" si="36"/>
        <v>0</v>
      </c>
      <c r="O77" s="393">
        <f t="shared" si="36"/>
        <v>0</v>
      </c>
      <c r="P77" s="393">
        <f t="shared" si="36"/>
        <v>0</v>
      </c>
    </row>
    <row r="78" spans="1:16" ht="15.6" customHeight="1" x14ac:dyDescent="0.3">
      <c r="A78" s="465" t="s">
        <v>107</v>
      </c>
      <c r="B78" s="358" t="s">
        <v>85</v>
      </c>
      <c r="C78" s="358" t="s">
        <v>3</v>
      </c>
      <c r="D78" s="596">
        <v>2</v>
      </c>
      <c r="E78" s="596">
        <v>2</v>
      </c>
      <c r="F78" s="596">
        <v>2</v>
      </c>
      <c r="G78" s="596">
        <v>2</v>
      </c>
      <c r="H78" s="388">
        <v>2</v>
      </c>
      <c r="I78" s="388">
        <v>2</v>
      </c>
      <c r="J78" s="388">
        <v>2</v>
      </c>
      <c r="K78" s="388">
        <v>2</v>
      </c>
      <c r="L78" s="388">
        <v>2</v>
      </c>
      <c r="M78" s="388"/>
      <c r="N78" s="388"/>
      <c r="O78" s="388"/>
      <c r="P78" s="389">
        <f>D78</f>
        <v>2</v>
      </c>
    </row>
    <row r="79" spans="1:16" ht="15.6" x14ac:dyDescent="0.3">
      <c r="A79" s="466"/>
      <c r="B79" s="348" t="s">
        <v>104</v>
      </c>
      <c r="C79" s="358" t="s">
        <v>3</v>
      </c>
      <c r="D79" s="597">
        <v>2</v>
      </c>
      <c r="E79" s="597">
        <v>0</v>
      </c>
      <c r="F79" s="597">
        <v>0</v>
      </c>
      <c r="G79" s="597">
        <v>0</v>
      </c>
      <c r="H79" s="390"/>
      <c r="I79" s="390">
        <v>0</v>
      </c>
      <c r="J79" s="390"/>
      <c r="K79" s="390"/>
      <c r="L79" s="390">
        <v>3</v>
      </c>
      <c r="M79" s="390"/>
      <c r="N79" s="390"/>
      <c r="O79" s="390"/>
      <c r="P79" s="389">
        <f>SUM(D79:O79)</f>
        <v>5</v>
      </c>
    </row>
    <row r="80" spans="1:16" ht="15.6" x14ac:dyDescent="0.3">
      <c r="A80" s="466"/>
      <c r="B80" s="348" t="s">
        <v>103</v>
      </c>
      <c r="C80" s="358" t="s">
        <v>3</v>
      </c>
      <c r="D80" s="597">
        <v>0</v>
      </c>
      <c r="E80" s="597">
        <v>0</v>
      </c>
      <c r="F80" s="597">
        <v>0</v>
      </c>
      <c r="G80" s="597">
        <v>0</v>
      </c>
      <c r="H80" s="390"/>
      <c r="I80" s="390"/>
      <c r="J80" s="390"/>
      <c r="K80" s="390"/>
      <c r="L80" s="390"/>
      <c r="M80" s="390"/>
      <c r="N80" s="390"/>
      <c r="O80" s="390"/>
      <c r="P80" s="389">
        <f>SUM(D80:O80)</f>
        <v>0</v>
      </c>
    </row>
    <row r="81" spans="1:16" s="354" customFormat="1" ht="15.6" x14ac:dyDescent="0.3">
      <c r="A81" s="466"/>
      <c r="B81" s="348" t="s">
        <v>102</v>
      </c>
      <c r="C81" s="348" t="s">
        <v>3</v>
      </c>
      <c r="D81" s="597">
        <v>2</v>
      </c>
      <c r="E81" s="597">
        <v>2</v>
      </c>
      <c r="F81" s="597">
        <v>0</v>
      </c>
      <c r="G81" s="597">
        <v>0</v>
      </c>
      <c r="H81" s="390"/>
      <c r="I81" s="390">
        <v>2</v>
      </c>
      <c r="J81" s="390"/>
      <c r="K81" s="390"/>
      <c r="L81" s="390"/>
      <c r="M81" s="390"/>
      <c r="N81" s="390"/>
      <c r="O81" s="390"/>
      <c r="P81" s="391">
        <f>SUM(D81:O81)</f>
        <v>6</v>
      </c>
    </row>
    <row r="82" spans="1:16" s="354" customFormat="1" ht="15.6" x14ac:dyDescent="0.3">
      <c r="A82" s="466"/>
      <c r="B82" s="348" t="s">
        <v>188</v>
      </c>
      <c r="C82" s="348" t="s">
        <v>3</v>
      </c>
      <c r="D82" s="597">
        <f>D81+D80</f>
        <v>2</v>
      </c>
      <c r="E82" s="597">
        <f t="shared" ref="E82:G82" si="37">E81+E80</f>
        <v>2</v>
      </c>
      <c r="F82" s="597">
        <f t="shared" si="37"/>
        <v>0</v>
      </c>
      <c r="G82" s="597">
        <f t="shared" si="37"/>
        <v>0</v>
      </c>
      <c r="H82" s="390">
        <f t="shared" ref="H82:I82" si="38">H81+H80</f>
        <v>0</v>
      </c>
      <c r="I82" s="390">
        <f t="shared" si="38"/>
        <v>2</v>
      </c>
      <c r="J82" s="390">
        <f t="shared" ref="J82:K82" si="39">J81+J80</f>
        <v>0</v>
      </c>
      <c r="K82" s="390">
        <f t="shared" si="39"/>
        <v>0</v>
      </c>
      <c r="L82" s="390">
        <f t="shared" ref="L82" si="40">L81+L80</f>
        <v>0</v>
      </c>
      <c r="M82" s="390">
        <f t="shared" ref="M82:P82" si="41">M81+M80</f>
        <v>0</v>
      </c>
      <c r="N82" s="390">
        <f t="shared" si="41"/>
        <v>0</v>
      </c>
      <c r="O82" s="390">
        <f t="shared" si="41"/>
        <v>0</v>
      </c>
      <c r="P82" s="395">
        <f t="shared" si="41"/>
        <v>6</v>
      </c>
    </row>
    <row r="83" spans="1:16" ht="15.6" x14ac:dyDescent="0.3">
      <c r="A83" s="467"/>
      <c r="B83" s="358" t="s">
        <v>81</v>
      </c>
      <c r="C83" s="358" t="s">
        <v>3</v>
      </c>
      <c r="D83" s="593">
        <f t="shared" ref="D83:I83" si="42">D78+D79-D82</f>
        <v>2</v>
      </c>
      <c r="E83" s="593">
        <f t="shared" si="42"/>
        <v>0</v>
      </c>
      <c r="F83" s="593">
        <f t="shared" si="42"/>
        <v>2</v>
      </c>
      <c r="G83" s="593">
        <f t="shared" si="42"/>
        <v>2</v>
      </c>
      <c r="H83" s="393">
        <f t="shared" si="42"/>
        <v>2</v>
      </c>
      <c r="I83" s="393">
        <f t="shared" si="42"/>
        <v>0</v>
      </c>
      <c r="J83" s="393">
        <f t="shared" ref="J83:O83" si="43">J78+J79-J82</f>
        <v>2</v>
      </c>
      <c r="K83" s="393">
        <f t="shared" si="43"/>
        <v>2</v>
      </c>
      <c r="L83" s="393">
        <f t="shared" si="43"/>
        <v>5</v>
      </c>
      <c r="M83" s="393">
        <f t="shared" si="43"/>
        <v>0</v>
      </c>
      <c r="N83" s="393">
        <f t="shared" si="43"/>
        <v>0</v>
      </c>
      <c r="O83" s="393">
        <f t="shared" si="43"/>
        <v>0</v>
      </c>
      <c r="P83" s="396">
        <f t="shared" ref="P83" si="44">P78+P79-P82</f>
        <v>1</v>
      </c>
    </row>
    <row r="84" spans="1:16" ht="15.6" x14ac:dyDescent="0.3">
      <c r="A84" s="522" t="s">
        <v>106</v>
      </c>
      <c r="B84" s="358" t="s">
        <v>85</v>
      </c>
      <c r="C84" s="358" t="s">
        <v>3</v>
      </c>
      <c r="D84" s="596">
        <v>0</v>
      </c>
      <c r="E84" s="596">
        <v>0</v>
      </c>
      <c r="F84" s="596">
        <v>0</v>
      </c>
      <c r="G84" s="596">
        <v>0</v>
      </c>
      <c r="H84" s="388"/>
      <c r="I84" s="388"/>
      <c r="J84" s="388"/>
      <c r="K84" s="388"/>
      <c r="L84" s="388"/>
      <c r="M84" s="388"/>
      <c r="N84" s="388"/>
      <c r="O84" s="388"/>
      <c r="P84" s="389">
        <f>D84</f>
        <v>0</v>
      </c>
    </row>
    <row r="85" spans="1:16" ht="15.6" x14ac:dyDescent="0.3">
      <c r="A85" s="523"/>
      <c r="B85" s="358" t="s">
        <v>104</v>
      </c>
      <c r="C85" s="358" t="s">
        <v>3</v>
      </c>
      <c r="D85" s="597">
        <v>0</v>
      </c>
      <c r="E85" s="597">
        <v>0</v>
      </c>
      <c r="F85" s="597">
        <v>0</v>
      </c>
      <c r="G85" s="597">
        <v>0</v>
      </c>
      <c r="H85" s="390"/>
      <c r="I85" s="390"/>
      <c r="J85" s="390"/>
      <c r="K85" s="390"/>
      <c r="L85" s="390"/>
      <c r="M85" s="390"/>
      <c r="N85" s="390"/>
      <c r="O85" s="390"/>
      <c r="P85" s="389">
        <f>SUM(D85:O85)</f>
        <v>0</v>
      </c>
    </row>
    <row r="86" spans="1:16" ht="15.6" x14ac:dyDescent="0.3">
      <c r="A86" s="523"/>
      <c r="B86" s="358" t="s">
        <v>103</v>
      </c>
      <c r="C86" s="358" t="s">
        <v>3</v>
      </c>
      <c r="D86" s="597">
        <v>0</v>
      </c>
      <c r="E86" s="597">
        <v>0</v>
      </c>
      <c r="F86" s="597">
        <v>0</v>
      </c>
      <c r="G86" s="597">
        <v>0</v>
      </c>
      <c r="H86" s="390"/>
      <c r="I86" s="390"/>
      <c r="J86" s="390"/>
      <c r="K86" s="390"/>
      <c r="L86" s="390"/>
      <c r="M86" s="390"/>
      <c r="N86" s="390"/>
      <c r="O86" s="390"/>
      <c r="P86" s="389">
        <f>SUM(D86:O86)</f>
        <v>0</v>
      </c>
    </row>
    <row r="87" spans="1:16" s="354" customFormat="1" ht="15.6" x14ac:dyDescent="0.3">
      <c r="A87" s="523"/>
      <c r="B87" s="348" t="s">
        <v>102</v>
      </c>
      <c r="C87" s="348" t="s">
        <v>3</v>
      </c>
      <c r="D87" s="597">
        <v>0</v>
      </c>
      <c r="E87" s="597">
        <v>0</v>
      </c>
      <c r="F87" s="597">
        <v>0</v>
      </c>
      <c r="G87" s="597">
        <v>0</v>
      </c>
      <c r="H87" s="390"/>
      <c r="I87" s="390"/>
      <c r="J87" s="390"/>
      <c r="K87" s="390"/>
      <c r="L87" s="390"/>
      <c r="M87" s="390"/>
      <c r="N87" s="390"/>
      <c r="O87" s="390"/>
      <c r="P87" s="391">
        <f>SUM(D87:O87)</f>
        <v>0</v>
      </c>
    </row>
    <row r="88" spans="1:16" s="354" customFormat="1" ht="15.6" x14ac:dyDescent="0.3">
      <c r="A88" s="523"/>
      <c r="B88" s="348" t="s">
        <v>188</v>
      </c>
      <c r="C88" s="348" t="s">
        <v>3</v>
      </c>
      <c r="D88" s="597">
        <f>D87+D86</f>
        <v>0</v>
      </c>
      <c r="E88" s="597">
        <f t="shared" ref="E88:G88" si="45">E87+E86</f>
        <v>0</v>
      </c>
      <c r="F88" s="597">
        <f t="shared" si="45"/>
        <v>0</v>
      </c>
      <c r="G88" s="597">
        <f t="shared" si="45"/>
        <v>0</v>
      </c>
      <c r="H88" s="390">
        <f t="shared" ref="H88:I88" si="46">H87+H86</f>
        <v>0</v>
      </c>
      <c r="I88" s="390">
        <f t="shared" si="46"/>
        <v>0</v>
      </c>
      <c r="J88" s="390">
        <f t="shared" ref="J88:K88" si="47">J87+J86</f>
        <v>0</v>
      </c>
      <c r="K88" s="390">
        <f t="shared" si="47"/>
        <v>0</v>
      </c>
      <c r="L88" s="390">
        <f t="shared" ref="L88:O88" si="48">L87+L86</f>
        <v>0</v>
      </c>
      <c r="M88" s="390">
        <f t="shared" si="48"/>
        <v>0</v>
      </c>
      <c r="N88" s="390">
        <f t="shared" si="48"/>
        <v>0</v>
      </c>
      <c r="O88" s="390">
        <f t="shared" si="48"/>
        <v>0</v>
      </c>
      <c r="P88" s="391">
        <f>SUM(D88:O88)</f>
        <v>0</v>
      </c>
    </row>
    <row r="89" spans="1:16" ht="15.6" x14ac:dyDescent="0.3">
      <c r="A89" s="524"/>
      <c r="B89" s="397" t="s">
        <v>81</v>
      </c>
      <c r="C89" s="358" t="s">
        <v>3</v>
      </c>
      <c r="D89" s="593">
        <f t="shared" ref="D89:I89" si="49">D84+D85-D88</f>
        <v>0</v>
      </c>
      <c r="E89" s="593">
        <f t="shared" si="49"/>
        <v>0</v>
      </c>
      <c r="F89" s="593">
        <f t="shared" si="49"/>
        <v>0</v>
      </c>
      <c r="G89" s="593">
        <f t="shared" si="49"/>
        <v>0</v>
      </c>
      <c r="H89" s="393">
        <f t="shared" si="49"/>
        <v>0</v>
      </c>
      <c r="I89" s="393">
        <f t="shared" si="49"/>
        <v>0</v>
      </c>
      <c r="J89" s="393">
        <f t="shared" ref="J89:O89" si="50">J84+J85-J88</f>
        <v>0</v>
      </c>
      <c r="K89" s="393">
        <f t="shared" si="50"/>
        <v>0</v>
      </c>
      <c r="L89" s="393">
        <f t="shared" si="50"/>
        <v>0</v>
      </c>
      <c r="M89" s="393">
        <f t="shared" si="50"/>
        <v>0</v>
      </c>
      <c r="N89" s="393">
        <f t="shared" si="50"/>
        <v>0</v>
      </c>
      <c r="O89" s="393">
        <f t="shared" si="50"/>
        <v>0</v>
      </c>
      <c r="P89" s="396">
        <f t="shared" ref="P89" si="51">P84+P85-P86-P87</f>
        <v>0</v>
      </c>
    </row>
    <row r="90" spans="1:16" ht="15.6" x14ac:dyDescent="0.3">
      <c r="A90" s="525" t="s">
        <v>105</v>
      </c>
      <c r="B90" s="348" t="s">
        <v>85</v>
      </c>
      <c r="C90" s="348" t="s">
        <v>3</v>
      </c>
      <c r="D90" s="598">
        <f t="shared" ref="D90:I90" si="52">D66+D72+D78+D84</f>
        <v>101</v>
      </c>
      <c r="E90" s="598">
        <f t="shared" si="52"/>
        <v>99</v>
      </c>
      <c r="F90" s="598">
        <f t="shared" si="52"/>
        <v>113</v>
      </c>
      <c r="G90" s="598">
        <f t="shared" si="52"/>
        <v>68</v>
      </c>
      <c r="H90" s="398">
        <f t="shared" si="52"/>
        <v>93</v>
      </c>
      <c r="I90" s="398">
        <f t="shared" si="52"/>
        <v>83</v>
      </c>
      <c r="J90" s="398">
        <f t="shared" ref="J90:K90" si="53">J66+J72+J78+J84</f>
        <v>72</v>
      </c>
      <c r="K90" s="398">
        <f t="shared" si="53"/>
        <v>75</v>
      </c>
      <c r="L90" s="398">
        <f t="shared" ref="L90:O90" si="54">L66+L72+L78+L84</f>
        <v>98</v>
      </c>
      <c r="M90" s="398">
        <f t="shared" si="54"/>
        <v>90</v>
      </c>
      <c r="N90" s="398">
        <f t="shared" si="54"/>
        <v>79</v>
      </c>
      <c r="O90" s="398">
        <f t="shared" si="54"/>
        <v>89</v>
      </c>
      <c r="P90" s="389">
        <f>D90</f>
        <v>101</v>
      </c>
    </row>
    <row r="91" spans="1:16" ht="15.6" x14ac:dyDescent="0.3">
      <c r="A91" s="526"/>
      <c r="B91" s="348" t="s">
        <v>104</v>
      </c>
      <c r="C91" s="348" t="s">
        <v>3</v>
      </c>
      <c r="D91" s="598">
        <f t="shared" ref="D91:E93" si="55">D67+D73+D79+D85</f>
        <v>7</v>
      </c>
      <c r="E91" s="598">
        <f t="shared" si="55"/>
        <v>24</v>
      </c>
      <c r="F91" s="598">
        <f t="shared" ref="F91:G91" si="56">F67+F73+F79+F85</f>
        <v>12</v>
      </c>
      <c r="G91" s="598">
        <f t="shared" si="56"/>
        <v>22</v>
      </c>
      <c r="H91" s="398">
        <f t="shared" ref="H91:I91" si="57">H67+H73+H79+H85</f>
        <v>24</v>
      </c>
      <c r="I91" s="398">
        <f t="shared" si="57"/>
        <v>3</v>
      </c>
      <c r="J91" s="398">
        <f t="shared" ref="J91:K91" si="58">J67+J73+J79+J85</f>
        <v>9</v>
      </c>
      <c r="K91" s="398">
        <f t="shared" si="58"/>
        <v>5</v>
      </c>
      <c r="L91" s="398">
        <f t="shared" ref="L91:O91" si="59">L67+L73+L79+L85</f>
        <v>24</v>
      </c>
      <c r="M91" s="398">
        <f t="shared" si="59"/>
        <v>17</v>
      </c>
      <c r="N91" s="398">
        <f t="shared" si="59"/>
        <v>10</v>
      </c>
      <c r="O91" s="398">
        <f t="shared" si="59"/>
        <v>23</v>
      </c>
      <c r="P91" s="389">
        <f>SUM(D91:O91)</f>
        <v>180</v>
      </c>
    </row>
    <row r="92" spans="1:16" ht="15.6" x14ac:dyDescent="0.3">
      <c r="A92" s="526"/>
      <c r="B92" s="348" t="s">
        <v>103</v>
      </c>
      <c r="C92" s="348" t="s">
        <v>3</v>
      </c>
      <c r="D92" s="593">
        <f t="shared" si="55"/>
        <v>0</v>
      </c>
      <c r="E92" s="593">
        <f t="shared" si="55"/>
        <v>0</v>
      </c>
      <c r="F92" s="593">
        <f t="shared" ref="F92:G92" si="60">F68+F74+F80+F86</f>
        <v>0</v>
      </c>
      <c r="G92" s="593">
        <f t="shared" si="60"/>
        <v>0</v>
      </c>
      <c r="H92" s="398">
        <f t="shared" ref="H92:I92" si="61">H68+H74+H80+H86</f>
        <v>0</v>
      </c>
      <c r="I92" s="398">
        <f t="shared" si="61"/>
        <v>0</v>
      </c>
      <c r="J92" s="398">
        <f t="shared" ref="J92:K92" si="62">J68+J74+J80+J86</f>
        <v>0</v>
      </c>
      <c r="K92" s="398">
        <f t="shared" si="62"/>
        <v>0</v>
      </c>
      <c r="L92" s="398">
        <f t="shared" ref="L92:O92" si="63">L68+L74+L80+L86</f>
        <v>20</v>
      </c>
      <c r="M92" s="398">
        <f t="shared" si="63"/>
        <v>0</v>
      </c>
      <c r="N92" s="398">
        <f t="shared" si="63"/>
        <v>0</v>
      </c>
      <c r="O92" s="398">
        <f t="shared" si="63"/>
        <v>5</v>
      </c>
      <c r="P92" s="389">
        <f>SUM(D92:O92)</f>
        <v>25</v>
      </c>
    </row>
    <row r="93" spans="1:16" s="354" customFormat="1" ht="15.6" x14ac:dyDescent="0.3">
      <c r="A93" s="526"/>
      <c r="B93" s="348" t="s">
        <v>102</v>
      </c>
      <c r="C93" s="348"/>
      <c r="D93" s="598">
        <f t="shared" si="55"/>
        <v>9</v>
      </c>
      <c r="E93" s="598">
        <f t="shared" si="55"/>
        <v>12</v>
      </c>
      <c r="F93" s="598">
        <f t="shared" ref="F93:G93" si="64">F69+F75+F81+F87</f>
        <v>10</v>
      </c>
      <c r="G93" s="598">
        <f t="shared" si="64"/>
        <v>26</v>
      </c>
      <c r="H93" s="398">
        <f t="shared" ref="H93:I93" si="65">H69+H75+H81+H87</f>
        <v>14</v>
      </c>
      <c r="I93" s="398">
        <f t="shared" si="65"/>
        <v>6</v>
      </c>
      <c r="J93" s="398">
        <f t="shared" ref="J93:K93" si="66">J69+J75+J81+J87</f>
        <v>12</v>
      </c>
      <c r="K93" s="398">
        <f t="shared" si="66"/>
        <v>28</v>
      </c>
      <c r="L93" s="398">
        <f t="shared" ref="L93:O93" si="67">L69+L75+L81+L87</f>
        <v>0</v>
      </c>
      <c r="M93" s="398">
        <f t="shared" si="67"/>
        <v>28</v>
      </c>
      <c r="N93" s="398">
        <f t="shared" si="67"/>
        <v>0</v>
      </c>
      <c r="O93" s="398">
        <f t="shared" si="67"/>
        <v>0</v>
      </c>
      <c r="P93" s="389">
        <f>SUM(D93:O93)</f>
        <v>145</v>
      </c>
    </row>
    <row r="94" spans="1:16" s="354" customFormat="1" ht="15.6" x14ac:dyDescent="0.3">
      <c r="A94" s="526"/>
      <c r="B94" s="348" t="s">
        <v>188</v>
      </c>
      <c r="C94" s="348" t="s">
        <v>3</v>
      </c>
      <c r="D94" s="599">
        <f>D93+D92</f>
        <v>9</v>
      </c>
      <c r="E94" s="599">
        <f t="shared" ref="E94:P94" si="68">E93+E92</f>
        <v>12</v>
      </c>
      <c r="F94" s="599">
        <f t="shared" si="68"/>
        <v>10</v>
      </c>
      <c r="G94" s="599">
        <f t="shared" ref="G94:H94" si="69">G93+G92</f>
        <v>26</v>
      </c>
      <c r="H94" s="400">
        <f t="shared" si="69"/>
        <v>14</v>
      </c>
      <c r="I94" s="400">
        <f t="shared" ref="I94:J94" si="70">I93+I92</f>
        <v>6</v>
      </c>
      <c r="J94" s="400">
        <f t="shared" si="70"/>
        <v>12</v>
      </c>
      <c r="K94" s="400">
        <f t="shared" ref="K94" si="71">K93+K92</f>
        <v>28</v>
      </c>
      <c r="L94" s="400">
        <f t="shared" ref="L94:O94" si="72">L93+L92</f>
        <v>20</v>
      </c>
      <c r="M94" s="400">
        <f t="shared" si="72"/>
        <v>28</v>
      </c>
      <c r="N94" s="400">
        <f t="shared" si="72"/>
        <v>0</v>
      </c>
      <c r="O94" s="400">
        <f t="shared" si="72"/>
        <v>5</v>
      </c>
      <c r="P94" s="408">
        <f t="shared" si="68"/>
        <v>170</v>
      </c>
    </row>
    <row r="95" spans="1:16" ht="16.2" thickBot="1" x14ac:dyDescent="0.35">
      <c r="A95" s="527"/>
      <c r="B95" s="348" t="s">
        <v>81</v>
      </c>
      <c r="C95" s="348" t="s">
        <v>3</v>
      </c>
      <c r="D95" s="600">
        <f>D90+D91-D94</f>
        <v>99</v>
      </c>
      <c r="E95" s="600">
        <f t="shared" ref="E95:P95" si="73">E90+E91-E94</f>
        <v>111</v>
      </c>
      <c r="F95" s="600">
        <f t="shared" si="73"/>
        <v>115</v>
      </c>
      <c r="G95" s="600">
        <f t="shared" ref="G95:H95" si="74">G90+G91-G94</f>
        <v>64</v>
      </c>
      <c r="H95" s="403">
        <f t="shared" si="74"/>
        <v>103</v>
      </c>
      <c r="I95" s="403">
        <f t="shared" ref="I95:J95" si="75">I90+I91-I94</f>
        <v>80</v>
      </c>
      <c r="J95" s="403">
        <f t="shared" si="75"/>
        <v>69</v>
      </c>
      <c r="K95" s="403">
        <f t="shared" ref="K95" si="76">K90+K91-K94</f>
        <v>52</v>
      </c>
      <c r="L95" s="403">
        <f t="shared" ref="L95:O95" si="77">L90+L91-L94</f>
        <v>102</v>
      </c>
      <c r="M95" s="403">
        <f t="shared" si="77"/>
        <v>79</v>
      </c>
      <c r="N95" s="403">
        <f t="shared" si="77"/>
        <v>89</v>
      </c>
      <c r="O95" s="403">
        <f t="shared" si="77"/>
        <v>107</v>
      </c>
      <c r="P95" s="404">
        <f t="shared" si="73"/>
        <v>111</v>
      </c>
    </row>
    <row r="96" spans="1:16" ht="16.2" thickBot="1" x14ac:dyDescent="0.35">
      <c r="A96" s="405"/>
      <c r="B96" s="406"/>
      <c r="C96" s="406"/>
      <c r="D96" s="401"/>
      <c r="E96" s="401"/>
      <c r="F96" s="401"/>
      <c r="G96" s="401"/>
      <c r="H96" s="401"/>
      <c r="I96" s="401"/>
      <c r="J96" s="407"/>
      <c r="K96" s="407"/>
      <c r="L96" s="407"/>
      <c r="M96" s="407"/>
      <c r="N96" s="407"/>
      <c r="O96" s="407"/>
      <c r="P96" s="408"/>
    </row>
    <row r="97" spans="1:16" s="354" customFormat="1" ht="15.75" customHeight="1" thickBot="1" x14ac:dyDescent="0.35">
      <c r="A97" s="487" t="s">
        <v>189</v>
      </c>
      <c r="B97" s="488"/>
      <c r="C97" s="488"/>
      <c r="D97" s="488"/>
      <c r="E97" s="488"/>
      <c r="F97" s="488"/>
      <c r="G97" s="488"/>
      <c r="H97" s="488"/>
      <c r="I97" s="488"/>
      <c r="J97" s="488"/>
      <c r="K97" s="488"/>
      <c r="L97" s="488"/>
      <c r="M97" s="488"/>
      <c r="N97" s="488"/>
      <c r="O97" s="488"/>
      <c r="P97" s="489"/>
    </row>
    <row r="98" spans="1:16" ht="15.6" x14ac:dyDescent="0.3">
      <c r="A98" s="409" t="s">
        <v>190</v>
      </c>
      <c r="B98" s="410"/>
      <c r="C98" s="348" t="s">
        <v>3</v>
      </c>
      <c r="D98" s="412">
        <v>9</v>
      </c>
      <c r="E98" s="412">
        <v>12</v>
      </c>
      <c r="F98" s="412">
        <v>10</v>
      </c>
      <c r="G98" s="411">
        <v>26</v>
      </c>
      <c r="H98" s="412">
        <v>14</v>
      </c>
      <c r="I98" s="412">
        <v>6</v>
      </c>
      <c r="J98" s="413">
        <v>12</v>
      </c>
      <c r="K98" s="413">
        <v>28</v>
      </c>
      <c r="L98" s="413">
        <v>103</v>
      </c>
      <c r="M98" s="413">
        <v>28</v>
      </c>
      <c r="N98" s="413">
        <v>0</v>
      </c>
      <c r="O98" s="413">
        <v>0</v>
      </c>
      <c r="P98" s="414">
        <f>SUM(D98:O98)</f>
        <v>248</v>
      </c>
    </row>
    <row r="99" spans="1:16" ht="15.6" x14ac:dyDescent="0.3">
      <c r="A99" s="409"/>
      <c r="B99" s="348"/>
      <c r="C99" s="348"/>
      <c r="D99" s="401"/>
      <c r="E99" s="401"/>
      <c r="F99" s="401"/>
      <c r="G99" s="401"/>
      <c r="H99" s="401"/>
      <c r="I99" s="401"/>
      <c r="J99" s="407"/>
      <c r="K99" s="407"/>
      <c r="L99" s="407"/>
      <c r="M99" s="407"/>
      <c r="N99" s="407"/>
      <c r="O99" s="407"/>
      <c r="P99" s="408"/>
    </row>
    <row r="100" spans="1:16" s="354" customFormat="1" x14ac:dyDescent="0.3">
      <c r="A100" s="511" t="s">
        <v>101</v>
      </c>
      <c r="B100" s="512"/>
      <c r="C100" s="512"/>
      <c r="D100" s="512"/>
      <c r="E100" s="512"/>
      <c r="F100" s="512"/>
      <c r="G100" s="512"/>
      <c r="H100" s="512"/>
      <c r="I100" s="512"/>
      <c r="J100" s="512"/>
      <c r="K100" s="512"/>
      <c r="L100" s="512"/>
      <c r="M100" s="512"/>
      <c r="N100" s="512"/>
      <c r="O100" s="512"/>
      <c r="P100" s="513"/>
    </row>
    <row r="101" spans="1:16" ht="15.6" x14ac:dyDescent="0.3">
      <c r="A101" s="473" t="s">
        <v>100</v>
      </c>
      <c r="B101" s="474"/>
      <c r="C101" s="348" t="s">
        <v>3</v>
      </c>
      <c r="D101" s="381">
        <v>457</v>
      </c>
      <c r="E101" s="381">
        <v>445</v>
      </c>
      <c r="F101" s="381">
        <v>425</v>
      </c>
      <c r="G101" s="381">
        <v>427</v>
      </c>
      <c r="H101" s="381">
        <v>400</v>
      </c>
      <c r="I101" s="381">
        <v>397</v>
      </c>
      <c r="J101" s="381">
        <v>381</v>
      </c>
      <c r="K101" s="381">
        <v>350</v>
      </c>
      <c r="L101" s="381">
        <v>330</v>
      </c>
      <c r="M101" s="381">
        <v>331</v>
      </c>
      <c r="N101" s="381">
        <v>326</v>
      </c>
      <c r="O101" s="381">
        <v>328</v>
      </c>
      <c r="P101" s="415">
        <f t="shared" ref="P101:P116" si="78">O101</f>
        <v>328</v>
      </c>
    </row>
    <row r="102" spans="1:16" ht="15.6" x14ac:dyDescent="0.3">
      <c r="A102" s="473" t="s">
        <v>99</v>
      </c>
      <c r="B102" s="474"/>
      <c r="C102" s="348" t="s">
        <v>3</v>
      </c>
      <c r="D102" s="376">
        <v>0</v>
      </c>
      <c r="E102" s="376">
        <v>0</v>
      </c>
      <c r="F102" s="376">
        <v>0</v>
      </c>
      <c r="G102" s="376">
        <v>0</v>
      </c>
      <c r="H102" s="376">
        <v>0</v>
      </c>
      <c r="I102" s="376">
        <v>0</v>
      </c>
      <c r="J102" s="376">
        <v>0</v>
      </c>
      <c r="K102" s="376">
        <v>0</v>
      </c>
      <c r="L102" s="376">
        <v>0</v>
      </c>
      <c r="M102" s="376">
        <v>0</v>
      </c>
      <c r="N102" s="376">
        <v>0</v>
      </c>
      <c r="O102" s="376">
        <v>0</v>
      </c>
      <c r="P102" s="415">
        <f t="shared" si="78"/>
        <v>0</v>
      </c>
    </row>
    <row r="103" spans="1:16" ht="15.6" customHeight="1" x14ac:dyDescent="0.3">
      <c r="A103" s="480" t="s">
        <v>98</v>
      </c>
      <c r="B103" s="481"/>
      <c r="C103" s="348" t="s">
        <v>3</v>
      </c>
      <c r="D103" s="376">
        <v>0</v>
      </c>
      <c r="E103" s="376">
        <v>0</v>
      </c>
      <c r="F103" s="376">
        <v>0</v>
      </c>
      <c r="G103" s="376">
        <v>0</v>
      </c>
      <c r="H103" s="376">
        <v>0</v>
      </c>
      <c r="I103" s="376">
        <v>0</v>
      </c>
      <c r="J103" s="376">
        <v>0</v>
      </c>
      <c r="K103" s="376">
        <v>0</v>
      </c>
      <c r="L103" s="376">
        <v>0</v>
      </c>
      <c r="M103" s="376">
        <v>0</v>
      </c>
      <c r="N103" s="376">
        <v>0</v>
      </c>
      <c r="O103" s="376">
        <v>0</v>
      </c>
      <c r="P103" s="415">
        <f t="shared" si="78"/>
        <v>0</v>
      </c>
    </row>
    <row r="104" spans="1:16" ht="15.6" x14ac:dyDescent="0.3">
      <c r="A104" s="480" t="s">
        <v>97</v>
      </c>
      <c r="B104" s="481"/>
      <c r="C104" s="348" t="s">
        <v>3</v>
      </c>
      <c r="D104" s="376">
        <v>0</v>
      </c>
      <c r="E104" s="376">
        <v>0</v>
      </c>
      <c r="F104" s="376">
        <v>0</v>
      </c>
      <c r="G104" s="376">
        <v>0</v>
      </c>
      <c r="H104" s="376">
        <v>0</v>
      </c>
      <c r="I104" s="376">
        <v>0</v>
      </c>
      <c r="J104" s="376">
        <v>0</v>
      </c>
      <c r="K104" s="376">
        <v>0</v>
      </c>
      <c r="L104" s="376">
        <v>0</v>
      </c>
      <c r="M104" s="376">
        <v>0</v>
      </c>
      <c r="N104" s="376">
        <v>0</v>
      </c>
      <c r="O104" s="376">
        <v>0</v>
      </c>
      <c r="P104" s="415">
        <f t="shared" si="78"/>
        <v>0</v>
      </c>
    </row>
    <row r="105" spans="1:16" ht="15.6" x14ac:dyDescent="0.3">
      <c r="A105" s="528" t="s">
        <v>96</v>
      </c>
      <c r="B105" s="529"/>
      <c r="C105" s="348" t="s">
        <v>3</v>
      </c>
      <c r="D105" s="416">
        <f>SUM(D101:D104)</f>
        <v>457</v>
      </c>
      <c r="E105" s="416">
        <f t="shared" ref="E105:O105" si="79">SUM(E101:E104)</f>
        <v>445</v>
      </c>
      <c r="F105" s="416">
        <f t="shared" si="79"/>
        <v>425</v>
      </c>
      <c r="G105" s="416">
        <f t="shared" si="79"/>
        <v>427</v>
      </c>
      <c r="H105" s="416">
        <f t="shared" si="79"/>
        <v>400</v>
      </c>
      <c r="I105" s="416">
        <f t="shared" si="79"/>
        <v>397</v>
      </c>
      <c r="J105" s="416">
        <f t="shared" si="79"/>
        <v>381</v>
      </c>
      <c r="K105" s="416">
        <f t="shared" si="79"/>
        <v>350</v>
      </c>
      <c r="L105" s="416">
        <f t="shared" si="79"/>
        <v>330</v>
      </c>
      <c r="M105" s="416">
        <f t="shared" si="79"/>
        <v>331</v>
      </c>
      <c r="N105" s="416">
        <f t="shared" si="79"/>
        <v>326</v>
      </c>
      <c r="O105" s="416">
        <f t="shared" si="79"/>
        <v>328</v>
      </c>
      <c r="P105" s="415">
        <f t="shared" si="78"/>
        <v>328</v>
      </c>
    </row>
    <row r="106" spans="1:16" s="354" customFormat="1" ht="15.6" customHeight="1" x14ac:dyDescent="0.3">
      <c r="A106" s="508" t="s">
        <v>210</v>
      </c>
      <c r="B106" s="509"/>
      <c r="C106" s="509"/>
      <c r="D106" s="509"/>
      <c r="E106" s="509"/>
      <c r="F106" s="509"/>
      <c r="G106" s="509"/>
      <c r="H106" s="509"/>
      <c r="I106" s="509"/>
      <c r="J106" s="509"/>
      <c r="K106" s="509"/>
      <c r="L106" s="509"/>
      <c r="M106" s="509"/>
      <c r="N106" s="509"/>
      <c r="O106" s="509"/>
      <c r="P106" s="510"/>
    </row>
    <row r="107" spans="1:16" ht="15.6" x14ac:dyDescent="0.3">
      <c r="A107" s="473" t="s">
        <v>193</v>
      </c>
      <c r="B107" s="474"/>
      <c r="C107" s="348" t="s">
        <v>3</v>
      </c>
      <c r="D107" s="381">
        <v>1351</v>
      </c>
      <c r="E107" s="381">
        <v>1364</v>
      </c>
      <c r="F107" s="381">
        <v>1384</v>
      </c>
      <c r="G107" s="381">
        <v>1382</v>
      </c>
      <c r="H107" s="381">
        <v>1408</v>
      </c>
      <c r="I107" s="381">
        <v>1412</v>
      </c>
      <c r="J107" s="381">
        <v>1427</v>
      </c>
      <c r="K107" s="381">
        <v>1458</v>
      </c>
      <c r="L107" s="381">
        <v>1480</v>
      </c>
      <c r="M107" s="381">
        <v>1479</v>
      </c>
      <c r="N107" s="381">
        <v>1483</v>
      </c>
      <c r="O107" s="381">
        <v>1481</v>
      </c>
      <c r="P107" s="415">
        <f t="shared" si="78"/>
        <v>1481</v>
      </c>
    </row>
    <row r="108" spans="1:16" ht="15.6" x14ac:dyDescent="0.3">
      <c r="A108" s="473" t="s">
        <v>194</v>
      </c>
      <c r="B108" s="474"/>
      <c r="C108" s="348" t="s">
        <v>3</v>
      </c>
      <c r="D108" s="381">
        <v>19</v>
      </c>
      <c r="E108" s="381">
        <v>19</v>
      </c>
      <c r="F108" s="381">
        <v>19</v>
      </c>
      <c r="G108" s="381">
        <v>18</v>
      </c>
      <c r="H108" s="381">
        <v>18</v>
      </c>
      <c r="I108" s="381">
        <v>17</v>
      </c>
      <c r="J108" s="381">
        <v>17</v>
      </c>
      <c r="K108" s="381">
        <v>17</v>
      </c>
      <c r="L108" s="381">
        <v>15</v>
      </c>
      <c r="M108" s="381">
        <v>16</v>
      </c>
      <c r="N108" s="381">
        <v>17</v>
      </c>
      <c r="O108" s="381">
        <v>17</v>
      </c>
      <c r="P108" s="415">
        <f t="shared" si="78"/>
        <v>17</v>
      </c>
    </row>
    <row r="109" spans="1:16" ht="15.6" x14ac:dyDescent="0.3">
      <c r="A109" s="473" t="s">
        <v>195</v>
      </c>
      <c r="B109" s="474"/>
      <c r="C109" s="348" t="s">
        <v>3</v>
      </c>
      <c r="D109" s="381">
        <v>11</v>
      </c>
      <c r="E109" s="381">
        <v>10</v>
      </c>
      <c r="F109" s="381">
        <v>10</v>
      </c>
      <c r="G109" s="381">
        <v>11</v>
      </c>
      <c r="H109" s="381">
        <v>12</v>
      </c>
      <c r="I109" s="381">
        <v>12</v>
      </c>
      <c r="J109" s="381">
        <v>13</v>
      </c>
      <c r="K109" s="381">
        <v>13</v>
      </c>
      <c r="L109" s="381">
        <v>13</v>
      </c>
      <c r="M109" s="381">
        <v>12</v>
      </c>
      <c r="N109" s="381">
        <v>12</v>
      </c>
      <c r="O109" s="381">
        <v>12</v>
      </c>
      <c r="P109" s="415">
        <f t="shared" si="78"/>
        <v>12</v>
      </c>
    </row>
    <row r="110" spans="1:16" ht="15.6" x14ac:dyDescent="0.3">
      <c r="A110" s="473" t="s">
        <v>196</v>
      </c>
      <c r="B110" s="474"/>
      <c r="C110" s="348" t="s">
        <v>3</v>
      </c>
      <c r="D110" s="381">
        <v>0</v>
      </c>
      <c r="E110" s="381">
        <v>0</v>
      </c>
      <c r="F110" s="381">
        <v>0</v>
      </c>
      <c r="G110" s="381">
        <v>0</v>
      </c>
      <c r="H110" s="381">
        <v>0</v>
      </c>
      <c r="I110" s="381">
        <v>0</v>
      </c>
      <c r="J110" s="381">
        <v>0</v>
      </c>
      <c r="K110" s="381">
        <v>0</v>
      </c>
      <c r="L110" s="381">
        <v>0</v>
      </c>
      <c r="M110" s="381">
        <v>0</v>
      </c>
      <c r="N110" s="381">
        <v>0</v>
      </c>
      <c r="O110" s="381">
        <v>0</v>
      </c>
      <c r="P110" s="415">
        <f t="shared" si="78"/>
        <v>0</v>
      </c>
    </row>
    <row r="111" spans="1:16" ht="15.6" x14ac:dyDescent="0.3">
      <c r="A111" s="490" t="s">
        <v>95</v>
      </c>
      <c r="B111" s="491"/>
      <c r="C111" s="348" t="s">
        <v>3</v>
      </c>
      <c r="D111" s="416">
        <f>SUM(D107:D110)</f>
        <v>1381</v>
      </c>
      <c r="E111" s="416">
        <f t="shared" ref="E111:O111" si="80">SUM(E107:E110)</f>
        <v>1393</v>
      </c>
      <c r="F111" s="416">
        <f t="shared" si="80"/>
        <v>1413</v>
      </c>
      <c r="G111" s="416">
        <f t="shared" si="80"/>
        <v>1411</v>
      </c>
      <c r="H111" s="416">
        <f t="shared" si="80"/>
        <v>1438</v>
      </c>
      <c r="I111" s="416">
        <f t="shared" si="80"/>
        <v>1441</v>
      </c>
      <c r="J111" s="416">
        <f t="shared" si="80"/>
        <v>1457</v>
      </c>
      <c r="K111" s="416">
        <f t="shared" si="80"/>
        <v>1488</v>
      </c>
      <c r="L111" s="416">
        <f t="shared" si="80"/>
        <v>1508</v>
      </c>
      <c r="M111" s="416">
        <f t="shared" si="80"/>
        <v>1507</v>
      </c>
      <c r="N111" s="416">
        <f t="shared" si="80"/>
        <v>1512</v>
      </c>
      <c r="O111" s="416">
        <f t="shared" si="80"/>
        <v>1510</v>
      </c>
      <c r="P111" s="415">
        <f t="shared" si="78"/>
        <v>1510</v>
      </c>
    </row>
    <row r="112" spans="1:16" s="354" customFormat="1" ht="15.6" customHeight="1" x14ac:dyDescent="0.3">
      <c r="A112" s="511" t="s">
        <v>216</v>
      </c>
      <c r="B112" s="512"/>
      <c r="C112" s="512"/>
      <c r="D112" s="512"/>
      <c r="E112" s="512"/>
      <c r="F112" s="512"/>
      <c r="G112" s="512"/>
      <c r="H112" s="512"/>
      <c r="I112" s="512"/>
      <c r="J112" s="512"/>
      <c r="K112" s="512"/>
      <c r="L112" s="512"/>
      <c r="M112" s="512"/>
      <c r="N112" s="512"/>
      <c r="O112" s="512"/>
      <c r="P112" s="513"/>
    </row>
    <row r="113" spans="1:16" ht="15.6" x14ac:dyDescent="0.3">
      <c r="A113" s="473" t="s">
        <v>197</v>
      </c>
      <c r="B113" s="474"/>
      <c r="C113" s="348" t="s">
        <v>3</v>
      </c>
      <c r="D113" s="418">
        <v>519</v>
      </c>
      <c r="E113" s="418">
        <v>531</v>
      </c>
      <c r="F113" s="418">
        <v>541</v>
      </c>
      <c r="G113" s="418">
        <v>567</v>
      </c>
      <c r="H113" s="418">
        <v>581</v>
      </c>
      <c r="I113" s="418">
        <v>587</v>
      </c>
      <c r="J113" s="418">
        <v>817</v>
      </c>
      <c r="K113" s="418">
        <v>845</v>
      </c>
      <c r="L113" s="418">
        <v>948</v>
      </c>
      <c r="M113" s="418">
        <v>976</v>
      </c>
      <c r="N113" s="418">
        <v>976</v>
      </c>
      <c r="O113" s="418">
        <v>976</v>
      </c>
      <c r="P113" s="415">
        <f t="shared" si="78"/>
        <v>976</v>
      </c>
    </row>
    <row r="114" spans="1:16" ht="15.6" x14ac:dyDescent="0.3">
      <c r="A114" s="473" t="s">
        <v>198</v>
      </c>
      <c r="B114" s="474"/>
      <c r="C114" s="348" t="s">
        <v>3</v>
      </c>
      <c r="D114" s="431">
        <v>0</v>
      </c>
      <c r="E114" s="431">
        <v>0</v>
      </c>
      <c r="F114" s="431">
        <v>0</v>
      </c>
      <c r="G114" s="431">
        <v>0</v>
      </c>
      <c r="H114" s="431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15">
        <f t="shared" si="78"/>
        <v>0</v>
      </c>
    </row>
    <row r="115" spans="1:16" ht="15.6" x14ac:dyDescent="0.3">
      <c r="A115" s="473" t="s">
        <v>199</v>
      </c>
      <c r="B115" s="474"/>
      <c r="C115" s="348" t="s">
        <v>3</v>
      </c>
      <c r="D115" s="431">
        <v>0</v>
      </c>
      <c r="E115" s="431">
        <v>0</v>
      </c>
      <c r="F115" s="431">
        <v>0</v>
      </c>
      <c r="G115" s="431">
        <v>0</v>
      </c>
      <c r="H115" s="431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15">
        <f t="shared" si="78"/>
        <v>0</v>
      </c>
    </row>
    <row r="116" spans="1:16" ht="15.6" x14ac:dyDescent="0.3">
      <c r="A116" s="473" t="s">
        <v>200</v>
      </c>
      <c r="B116" s="474"/>
      <c r="C116" s="348" t="s">
        <v>3</v>
      </c>
      <c r="D116" s="431">
        <v>0</v>
      </c>
      <c r="E116" s="431">
        <v>0</v>
      </c>
      <c r="F116" s="431">
        <v>0</v>
      </c>
      <c r="G116" s="431">
        <v>0</v>
      </c>
      <c r="H116" s="431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15">
        <f t="shared" si="78"/>
        <v>0</v>
      </c>
    </row>
    <row r="117" spans="1:16" ht="15.6" x14ac:dyDescent="0.3">
      <c r="A117" s="490" t="s">
        <v>94</v>
      </c>
      <c r="B117" s="491"/>
      <c r="C117" s="348" t="s">
        <v>3</v>
      </c>
      <c r="D117" s="416">
        <f>SUM(D113:D116)</f>
        <v>519</v>
      </c>
      <c r="E117" s="416">
        <f t="shared" ref="E117:P117" si="81">SUM(E113:E116)</f>
        <v>531</v>
      </c>
      <c r="F117" s="416">
        <f t="shared" si="81"/>
        <v>541</v>
      </c>
      <c r="G117" s="416">
        <f t="shared" si="81"/>
        <v>567</v>
      </c>
      <c r="H117" s="416">
        <f t="shared" ref="H117:I117" si="82">SUM(H113:H116)</f>
        <v>581</v>
      </c>
      <c r="I117" s="416">
        <f t="shared" si="82"/>
        <v>587</v>
      </c>
      <c r="J117" s="416">
        <f t="shared" ref="J117:K117" si="83">SUM(J113:J116)</f>
        <v>817</v>
      </c>
      <c r="K117" s="416">
        <f t="shared" si="83"/>
        <v>845</v>
      </c>
      <c r="L117" s="416">
        <f t="shared" si="81"/>
        <v>948</v>
      </c>
      <c r="M117" s="416">
        <f t="shared" ref="M117" si="84">SUM(M113:M116)</f>
        <v>976</v>
      </c>
      <c r="N117" s="416">
        <f t="shared" si="81"/>
        <v>976</v>
      </c>
      <c r="O117" s="416">
        <f t="shared" si="81"/>
        <v>976</v>
      </c>
      <c r="P117" s="350">
        <f t="shared" si="81"/>
        <v>976</v>
      </c>
    </row>
    <row r="118" spans="1:16" s="354" customFormat="1" ht="15.6" x14ac:dyDescent="0.3">
      <c r="A118" s="419" t="s">
        <v>191</v>
      </c>
      <c r="B118" s="420"/>
      <c r="C118" s="348" t="s">
        <v>3</v>
      </c>
      <c r="D118" s="416">
        <f t="shared" ref="D118:I118" si="85">D111+D117</f>
        <v>1900</v>
      </c>
      <c r="E118" s="416">
        <f t="shared" si="85"/>
        <v>1924</v>
      </c>
      <c r="F118" s="416">
        <f t="shared" si="85"/>
        <v>1954</v>
      </c>
      <c r="G118" s="416">
        <f t="shared" si="85"/>
        <v>1978</v>
      </c>
      <c r="H118" s="416">
        <f t="shared" si="85"/>
        <v>2019</v>
      </c>
      <c r="I118" s="416">
        <f t="shared" si="85"/>
        <v>2028</v>
      </c>
      <c r="J118" s="416">
        <f t="shared" ref="J118:K118" si="86">J111+J117</f>
        <v>2274</v>
      </c>
      <c r="K118" s="416">
        <f t="shared" si="86"/>
        <v>2333</v>
      </c>
      <c r="L118" s="416">
        <f t="shared" ref="L118:M118" si="87">L111+L117</f>
        <v>2456</v>
      </c>
      <c r="M118" s="416">
        <f t="shared" si="87"/>
        <v>2483</v>
      </c>
      <c r="N118" s="416">
        <f t="shared" ref="N118:P118" si="88">N111+N117</f>
        <v>2488</v>
      </c>
      <c r="O118" s="416">
        <f t="shared" si="88"/>
        <v>2486</v>
      </c>
      <c r="P118" s="416">
        <f t="shared" si="88"/>
        <v>2486</v>
      </c>
    </row>
    <row r="119" spans="1:16" ht="15.6" x14ac:dyDescent="0.3">
      <c r="A119" s="490" t="s">
        <v>192</v>
      </c>
      <c r="B119" s="491"/>
      <c r="C119" s="348" t="s">
        <v>3</v>
      </c>
      <c r="D119" s="416">
        <f t="shared" ref="D119:I119" si="89">D105+D118</f>
        <v>2357</v>
      </c>
      <c r="E119" s="416">
        <f t="shared" si="89"/>
        <v>2369</v>
      </c>
      <c r="F119" s="416">
        <f t="shared" si="89"/>
        <v>2379</v>
      </c>
      <c r="G119" s="416">
        <f t="shared" si="89"/>
        <v>2405</v>
      </c>
      <c r="H119" s="416">
        <f t="shared" si="89"/>
        <v>2419</v>
      </c>
      <c r="I119" s="416">
        <f t="shared" si="89"/>
        <v>2425</v>
      </c>
      <c r="J119" s="416">
        <f t="shared" ref="J119:K119" si="90">J105+J118</f>
        <v>2655</v>
      </c>
      <c r="K119" s="416">
        <f t="shared" si="90"/>
        <v>2683</v>
      </c>
      <c r="L119" s="416">
        <f t="shared" ref="L119:M119" si="91">L105+L118</f>
        <v>2786</v>
      </c>
      <c r="M119" s="416">
        <f t="shared" si="91"/>
        <v>2814</v>
      </c>
      <c r="N119" s="416">
        <f t="shared" ref="N119:P119" si="92">N105+N118</f>
        <v>2814</v>
      </c>
      <c r="O119" s="416">
        <f t="shared" si="92"/>
        <v>2814</v>
      </c>
      <c r="P119" s="416">
        <f t="shared" si="92"/>
        <v>2814</v>
      </c>
    </row>
    <row r="120" spans="1:16" x14ac:dyDescent="0.3">
      <c r="A120" s="470" t="s">
        <v>201</v>
      </c>
      <c r="B120" s="471"/>
      <c r="C120" s="471"/>
      <c r="D120" s="471"/>
      <c r="E120" s="471"/>
      <c r="F120" s="471"/>
      <c r="G120" s="471"/>
      <c r="H120" s="471"/>
      <c r="I120" s="471"/>
      <c r="J120" s="471"/>
      <c r="K120" s="471"/>
      <c r="L120" s="471"/>
      <c r="M120" s="471"/>
      <c r="N120" s="471"/>
      <c r="O120" s="471"/>
      <c r="P120" s="472"/>
    </row>
    <row r="121" spans="1:16" ht="15.6" x14ac:dyDescent="0.3">
      <c r="A121" s="473" t="s">
        <v>93</v>
      </c>
      <c r="B121" s="474"/>
      <c r="C121" s="358" t="s">
        <v>3</v>
      </c>
      <c r="D121" s="421">
        <v>20523</v>
      </c>
      <c r="E121" s="421">
        <v>20558</v>
      </c>
      <c r="F121" s="421">
        <v>20593</v>
      </c>
      <c r="G121" s="421">
        <v>20628</v>
      </c>
      <c r="H121" s="421">
        <v>20663</v>
      </c>
      <c r="I121" s="421">
        <v>20698</v>
      </c>
      <c r="J121" s="421">
        <v>20733</v>
      </c>
      <c r="K121" s="421">
        <v>20768</v>
      </c>
      <c r="L121" s="421">
        <v>20803</v>
      </c>
      <c r="M121" s="421">
        <v>20838</v>
      </c>
      <c r="N121" s="421">
        <v>20873</v>
      </c>
      <c r="O121" s="421">
        <v>20908</v>
      </c>
      <c r="P121" s="422">
        <f>O121</f>
        <v>20908</v>
      </c>
    </row>
    <row r="122" spans="1:16" ht="15.6" x14ac:dyDescent="0.3">
      <c r="A122" s="473" t="s">
        <v>92</v>
      </c>
      <c r="B122" s="474"/>
      <c r="C122" s="358" t="s">
        <v>3</v>
      </c>
      <c r="D122" s="421">
        <v>17332</v>
      </c>
      <c r="E122" s="421">
        <v>17392</v>
      </c>
      <c r="F122" s="421">
        <v>17442</v>
      </c>
      <c r="G122" s="421">
        <v>17572</v>
      </c>
      <c r="H122" s="421">
        <v>17642</v>
      </c>
      <c r="I122" s="421">
        <v>17672</v>
      </c>
      <c r="J122" s="421">
        <v>18822</v>
      </c>
      <c r="K122" s="421">
        <v>18962</v>
      </c>
      <c r="L122" s="421">
        <v>19477</v>
      </c>
      <c r="M122" s="421">
        <v>19617</v>
      </c>
      <c r="N122" s="421">
        <v>19617</v>
      </c>
      <c r="O122" s="421">
        <v>19642</v>
      </c>
      <c r="P122" s="422">
        <f>O122</f>
        <v>19642</v>
      </c>
    </row>
    <row r="123" spans="1:16" ht="15.6" x14ac:dyDescent="0.3">
      <c r="A123" s="506" t="s">
        <v>91</v>
      </c>
      <c r="B123" s="507"/>
      <c r="C123" s="423" t="s">
        <v>6</v>
      </c>
      <c r="D123" s="424">
        <f t="shared" ref="D123:P123" si="93">D122/D121</f>
        <v>0.84451590898016859</v>
      </c>
      <c r="E123" s="424">
        <f t="shared" si="93"/>
        <v>0.84599669228524177</v>
      </c>
      <c r="F123" s="424">
        <f t="shared" si="93"/>
        <v>0.84698684018841353</v>
      </c>
      <c r="G123" s="424">
        <f t="shared" si="93"/>
        <v>0.85185185185185186</v>
      </c>
      <c r="H123" s="424">
        <f t="shared" si="93"/>
        <v>0.85379664133959254</v>
      </c>
      <c r="I123" s="424">
        <f t="shared" si="93"/>
        <v>0.85380229973910526</v>
      </c>
      <c r="J123" s="424">
        <f t="shared" si="93"/>
        <v>0.90782810013022719</v>
      </c>
      <c r="K123" s="424">
        <f t="shared" si="93"/>
        <v>0.91303929121725735</v>
      </c>
      <c r="L123" s="424">
        <f t="shared" si="93"/>
        <v>0.9362591933855694</v>
      </c>
      <c r="M123" s="424">
        <f t="shared" si="93"/>
        <v>0.94140512525194353</v>
      </c>
      <c r="N123" s="424">
        <f t="shared" si="93"/>
        <v>0.93982657021031957</v>
      </c>
      <c r="O123" s="424">
        <f t="shared" si="93"/>
        <v>0.93944901473120335</v>
      </c>
      <c r="P123" s="425">
        <f t="shared" si="93"/>
        <v>0.93944901473120335</v>
      </c>
    </row>
    <row r="124" spans="1:16" x14ac:dyDescent="0.3">
      <c r="A124" s="498" t="s">
        <v>90</v>
      </c>
      <c r="B124" s="499"/>
      <c r="C124" s="499"/>
      <c r="D124" s="499"/>
      <c r="E124" s="499"/>
      <c r="F124" s="499"/>
      <c r="G124" s="499"/>
      <c r="H124" s="499"/>
      <c r="I124" s="499"/>
      <c r="J124" s="499"/>
      <c r="K124" s="499"/>
      <c r="L124" s="499"/>
      <c r="M124" s="499"/>
      <c r="N124" s="499"/>
      <c r="O124" s="499"/>
      <c r="P124" s="500"/>
    </row>
    <row r="125" spans="1:16" ht="15.6" x14ac:dyDescent="0.3">
      <c r="A125" s="251" t="s">
        <v>224</v>
      </c>
      <c r="B125" s="348" t="s">
        <v>85</v>
      </c>
      <c r="C125" s="348" t="s">
        <v>3</v>
      </c>
      <c r="D125" s="601">
        <v>0</v>
      </c>
      <c r="E125" s="601">
        <v>0</v>
      </c>
      <c r="F125" s="601">
        <v>0</v>
      </c>
      <c r="G125" s="601">
        <v>0</v>
      </c>
      <c r="H125" s="388"/>
      <c r="I125" s="388"/>
      <c r="J125" s="388"/>
      <c r="K125" s="388"/>
      <c r="L125" s="388"/>
      <c r="M125" s="388"/>
      <c r="N125" s="388"/>
      <c r="O125" s="388"/>
      <c r="P125" s="426">
        <f>D125</f>
        <v>0</v>
      </c>
    </row>
    <row r="126" spans="1:16" ht="15.6" x14ac:dyDescent="0.3">
      <c r="A126" s="482"/>
      <c r="B126" s="348" t="s">
        <v>84</v>
      </c>
      <c r="C126" s="348" t="s">
        <v>3</v>
      </c>
      <c r="D126" s="601">
        <v>0</v>
      </c>
      <c r="E126" s="601">
        <v>0</v>
      </c>
      <c r="F126" s="601">
        <v>0</v>
      </c>
      <c r="G126" s="601">
        <v>0</v>
      </c>
      <c r="H126" s="390"/>
      <c r="I126" s="390"/>
      <c r="J126" s="390"/>
      <c r="K126" s="390"/>
      <c r="L126" s="390"/>
      <c r="M126" s="390"/>
      <c r="N126" s="390"/>
      <c r="O126" s="390"/>
      <c r="P126" s="427">
        <f>SUM(D126:O126)</f>
        <v>0</v>
      </c>
    </row>
    <row r="127" spans="1:16" ht="15.6" x14ac:dyDescent="0.3">
      <c r="A127" s="482"/>
      <c r="B127" s="428" t="s">
        <v>88</v>
      </c>
      <c r="C127" s="348" t="s">
        <v>3</v>
      </c>
      <c r="D127" s="601">
        <v>0</v>
      </c>
      <c r="E127" s="601">
        <v>0</v>
      </c>
      <c r="F127" s="601">
        <v>0</v>
      </c>
      <c r="G127" s="601">
        <v>0</v>
      </c>
      <c r="H127" s="390"/>
      <c r="I127" s="390"/>
      <c r="J127" s="390"/>
      <c r="K127" s="390"/>
      <c r="L127" s="390"/>
      <c r="M127" s="390"/>
      <c r="N127" s="390"/>
      <c r="O127" s="390"/>
      <c r="P127" s="427">
        <f>SUM(D127:O127)</f>
        <v>0</v>
      </c>
    </row>
    <row r="128" spans="1:16" ht="15.6" x14ac:dyDescent="0.3">
      <c r="A128" s="482"/>
      <c r="B128" s="348" t="s">
        <v>82</v>
      </c>
      <c r="C128" s="348" t="s">
        <v>3</v>
      </c>
      <c r="D128" s="601">
        <v>0</v>
      </c>
      <c r="E128" s="601">
        <v>0</v>
      </c>
      <c r="F128" s="601">
        <v>0</v>
      </c>
      <c r="G128" s="601">
        <v>0</v>
      </c>
      <c r="H128" s="390"/>
      <c r="I128" s="390"/>
      <c r="J128" s="390"/>
      <c r="K128" s="390"/>
      <c r="L128" s="390"/>
      <c r="M128" s="390"/>
      <c r="N128" s="390"/>
      <c r="O128" s="390"/>
      <c r="P128" s="427">
        <f>SUM(D128:O128)</f>
        <v>0</v>
      </c>
    </row>
    <row r="129" spans="1:16" ht="15.6" x14ac:dyDescent="0.3">
      <c r="A129" s="252"/>
      <c r="B129" s="348" t="s">
        <v>81</v>
      </c>
      <c r="C129" s="348" t="s">
        <v>3</v>
      </c>
      <c r="D129" s="388">
        <f t="shared" ref="D129:I129" si="94">D125+D126-D127-D128</f>
        <v>0</v>
      </c>
      <c r="E129" s="388">
        <f t="shared" si="94"/>
        <v>0</v>
      </c>
      <c r="F129" s="388">
        <f t="shared" si="94"/>
        <v>0</v>
      </c>
      <c r="G129" s="388">
        <f t="shared" si="94"/>
        <v>0</v>
      </c>
      <c r="H129" s="388">
        <f t="shared" si="94"/>
        <v>0</v>
      </c>
      <c r="I129" s="388">
        <f t="shared" si="94"/>
        <v>0</v>
      </c>
      <c r="J129" s="388">
        <f t="shared" ref="J129:K129" si="95">J125+J126-J127-J128</f>
        <v>0</v>
      </c>
      <c r="K129" s="388">
        <f t="shared" si="95"/>
        <v>0</v>
      </c>
      <c r="L129" s="388">
        <f t="shared" ref="L129:M129" si="96">L125+L126-L127-L128</f>
        <v>0</v>
      </c>
      <c r="M129" s="388">
        <f t="shared" si="96"/>
        <v>0</v>
      </c>
      <c r="N129" s="388">
        <f t="shared" ref="N129:O129" si="97">N125+N126-N127-N128</f>
        <v>0</v>
      </c>
      <c r="O129" s="388">
        <f t="shared" si="97"/>
        <v>0</v>
      </c>
      <c r="P129" s="426">
        <f>P125+P126-P127-P128</f>
        <v>0</v>
      </c>
    </row>
    <row r="130" spans="1:16" ht="15.6" x14ac:dyDescent="0.3">
      <c r="A130" s="251" t="s">
        <v>225</v>
      </c>
      <c r="B130" s="429" t="s">
        <v>85</v>
      </c>
      <c r="C130" s="429" t="s">
        <v>3</v>
      </c>
      <c r="D130" s="388"/>
      <c r="E130" s="388"/>
      <c r="F130" s="388"/>
      <c r="G130" s="388"/>
      <c r="H130" s="388"/>
      <c r="I130" s="388"/>
      <c r="J130" s="388"/>
      <c r="K130" s="388"/>
      <c r="L130" s="388"/>
      <c r="M130" s="388"/>
      <c r="N130" s="388"/>
      <c r="O130" s="388"/>
      <c r="P130" s="426">
        <f>D130</f>
        <v>0</v>
      </c>
    </row>
    <row r="131" spans="1:16" ht="15.6" x14ac:dyDescent="0.3">
      <c r="A131" s="482"/>
      <c r="B131" s="348" t="s">
        <v>84</v>
      </c>
      <c r="C131" s="348" t="s">
        <v>3</v>
      </c>
      <c r="D131" s="597">
        <v>0</v>
      </c>
      <c r="E131" s="597">
        <v>0</v>
      </c>
      <c r="F131" s="597">
        <v>0</v>
      </c>
      <c r="G131" s="597">
        <v>0</v>
      </c>
      <c r="H131" s="390"/>
      <c r="I131" s="390"/>
      <c r="J131" s="390"/>
      <c r="K131" s="390"/>
      <c r="L131" s="390"/>
      <c r="M131" s="390"/>
      <c r="N131" s="390"/>
      <c r="O131" s="390"/>
      <c r="P131" s="427">
        <f>SUM(D131:O131)</f>
        <v>0</v>
      </c>
    </row>
    <row r="132" spans="1:16" ht="15.6" x14ac:dyDescent="0.3">
      <c r="A132" s="482"/>
      <c r="B132" s="428" t="s">
        <v>88</v>
      </c>
      <c r="C132" s="348" t="s">
        <v>3</v>
      </c>
      <c r="D132" s="597">
        <v>0</v>
      </c>
      <c r="E132" s="597">
        <v>0</v>
      </c>
      <c r="F132" s="597">
        <v>0</v>
      </c>
      <c r="G132" s="597">
        <v>0</v>
      </c>
      <c r="H132" s="390"/>
      <c r="I132" s="390"/>
      <c r="J132" s="390"/>
      <c r="K132" s="390"/>
      <c r="L132" s="390"/>
      <c r="M132" s="390"/>
      <c r="N132" s="390"/>
      <c r="O132" s="390"/>
      <c r="P132" s="427">
        <f>SUM(D132:O132)</f>
        <v>0</v>
      </c>
    </row>
    <row r="133" spans="1:16" ht="15.6" x14ac:dyDescent="0.3">
      <c r="A133" s="482"/>
      <c r="B133" s="348" t="s">
        <v>82</v>
      </c>
      <c r="C133" s="348" t="s">
        <v>3</v>
      </c>
      <c r="D133" s="597">
        <v>0</v>
      </c>
      <c r="E133" s="597">
        <v>0</v>
      </c>
      <c r="F133" s="597">
        <v>0</v>
      </c>
      <c r="G133" s="597">
        <v>0</v>
      </c>
      <c r="H133" s="390"/>
      <c r="I133" s="390"/>
      <c r="J133" s="390"/>
      <c r="K133" s="390"/>
      <c r="L133" s="390"/>
      <c r="M133" s="390"/>
      <c r="N133" s="390"/>
      <c r="O133" s="390"/>
      <c r="P133" s="427">
        <f>SUM(D133:O133)</f>
        <v>0</v>
      </c>
    </row>
    <row r="134" spans="1:16" ht="15.6" x14ac:dyDescent="0.3">
      <c r="A134" s="252"/>
      <c r="B134" s="348" t="s">
        <v>81</v>
      </c>
      <c r="C134" s="348" t="s">
        <v>3</v>
      </c>
      <c r="D134" s="388">
        <f t="shared" ref="D134:I134" si="98">D130+D131-D132-D133</f>
        <v>0</v>
      </c>
      <c r="E134" s="388">
        <f t="shared" si="98"/>
        <v>0</v>
      </c>
      <c r="F134" s="388">
        <f t="shared" si="98"/>
        <v>0</v>
      </c>
      <c r="G134" s="388">
        <f t="shared" si="98"/>
        <v>0</v>
      </c>
      <c r="H134" s="388">
        <f t="shared" si="98"/>
        <v>0</v>
      </c>
      <c r="I134" s="388">
        <f t="shared" si="98"/>
        <v>0</v>
      </c>
      <c r="J134" s="388">
        <f t="shared" ref="J134:K134" si="99">J130+J131-J132-J133</f>
        <v>0</v>
      </c>
      <c r="K134" s="388">
        <f t="shared" si="99"/>
        <v>0</v>
      </c>
      <c r="L134" s="388">
        <f t="shared" ref="L134:M134" si="100">L130+L131-L132-L133</f>
        <v>0</v>
      </c>
      <c r="M134" s="388">
        <f t="shared" si="100"/>
        <v>0</v>
      </c>
      <c r="N134" s="388">
        <f t="shared" ref="N134:O134" si="101">N130+N131-N132-N133</f>
        <v>0</v>
      </c>
      <c r="O134" s="388">
        <f t="shared" si="101"/>
        <v>0</v>
      </c>
      <c r="P134" s="426">
        <f>P130+P131-P132-P133</f>
        <v>0</v>
      </c>
    </row>
    <row r="135" spans="1:16" ht="15.6" x14ac:dyDescent="0.3">
      <c r="A135" s="251" t="s">
        <v>89</v>
      </c>
      <c r="B135" s="348" t="s">
        <v>85</v>
      </c>
      <c r="C135" s="348" t="s">
        <v>3</v>
      </c>
      <c r="D135" s="388"/>
      <c r="E135" s="388"/>
      <c r="F135" s="388"/>
      <c r="G135" s="388"/>
      <c r="H135" s="388"/>
      <c r="I135" s="388"/>
      <c r="J135" s="388"/>
      <c r="K135" s="388"/>
      <c r="L135" s="388"/>
      <c r="M135" s="388"/>
      <c r="N135" s="388"/>
      <c r="O135" s="388"/>
      <c r="P135" s="426">
        <f>D135</f>
        <v>0</v>
      </c>
    </row>
    <row r="136" spans="1:16" ht="15.6" x14ac:dyDescent="0.3">
      <c r="A136" s="482"/>
      <c r="B136" s="348" t="s">
        <v>84</v>
      </c>
      <c r="C136" s="348" t="s">
        <v>3</v>
      </c>
      <c r="D136" s="597">
        <v>0</v>
      </c>
      <c r="E136" s="597">
        <v>0</v>
      </c>
      <c r="F136" s="597">
        <v>0</v>
      </c>
      <c r="G136" s="597">
        <v>0</v>
      </c>
      <c r="H136" s="390"/>
      <c r="I136" s="390"/>
      <c r="J136" s="390"/>
      <c r="K136" s="390"/>
      <c r="L136" s="390"/>
      <c r="M136" s="390"/>
      <c r="N136" s="390"/>
      <c r="O136" s="390"/>
      <c r="P136" s="427">
        <f>SUM(D136:O136)</f>
        <v>0</v>
      </c>
    </row>
    <row r="137" spans="1:16" ht="15.6" x14ac:dyDescent="0.3">
      <c r="A137" s="482"/>
      <c r="B137" s="428" t="s">
        <v>88</v>
      </c>
      <c r="C137" s="348" t="s">
        <v>3</v>
      </c>
      <c r="D137" s="597">
        <v>0</v>
      </c>
      <c r="E137" s="597">
        <v>0</v>
      </c>
      <c r="F137" s="597">
        <v>0</v>
      </c>
      <c r="G137" s="597">
        <v>0</v>
      </c>
      <c r="H137" s="390"/>
      <c r="I137" s="390"/>
      <c r="J137" s="390"/>
      <c r="K137" s="390"/>
      <c r="L137" s="390"/>
      <c r="M137" s="390"/>
      <c r="N137" s="390"/>
      <c r="O137" s="390"/>
      <c r="P137" s="427">
        <f>SUM(D137:O137)</f>
        <v>0</v>
      </c>
    </row>
    <row r="138" spans="1:16" ht="15.6" x14ac:dyDescent="0.3">
      <c r="A138" s="482"/>
      <c r="B138" s="348" t="s">
        <v>82</v>
      </c>
      <c r="C138" s="348" t="s">
        <v>3</v>
      </c>
      <c r="D138" s="597">
        <v>0</v>
      </c>
      <c r="E138" s="597">
        <v>0</v>
      </c>
      <c r="F138" s="597">
        <v>0</v>
      </c>
      <c r="G138" s="597">
        <v>0</v>
      </c>
      <c r="H138" s="390"/>
      <c r="I138" s="390"/>
      <c r="J138" s="390"/>
      <c r="K138" s="390"/>
      <c r="L138" s="390"/>
      <c r="M138" s="390"/>
      <c r="N138" s="390"/>
      <c r="O138" s="390"/>
      <c r="P138" s="427">
        <f>SUM(D138:O138)</f>
        <v>0</v>
      </c>
    </row>
    <row r="139" spans="1:16" ht="15.6" x14ac:dyDescent="0.3">
      <c r="A139" s="252"/>
      <c r="B139" s="348" t="s">
        <v>81</v>
      </c>
      <c r="C139" s="348" t="s">
        <v>3</v>
      </c>
      <c r="D139" s="388">
        <f t="shared" ref="D139:I139" si="102">D135+D136-D137-D138</f>
        <v>0</v>
      </c>
      <c r="E139" s="388">
        <f t="shared" si="102"/>
        <v>0</v>
      </c>
      <c r="F139" s="388">
        <f t="shared" si="102"/>
        <v>0</v>
      </c>
      <c r="G139" s="388">
        <f t="shared" si="102"/>
        <v>0</v>
      </c>
      <c r="H139" s="388">
        <f t="shared" si="102"/>
        <v>0</v>
      </c>
      <c r="I139" s="388">
        <f t="shared" si="102"/>
        <v>0</v>
      </c>
      <c r="J139" s="388">
        <f t="shared" ref="J139:K139" si="103">J135+J136-J137-J138</f>
        <v>0</v>
      </c>
      <c r="K139" s="388">
        <f t="shared" si="103"/>
        <v>0</v>
      </c>
      <c r="L139" s="388">
        <f t="shared" ref="L139:M139" si="104">L135+L136-L137-L138</f>
        <v>0</v>
      </c>
      <c r="M139" s="388">
        <f t="shared" si="104"/>
        <v>0</v>
      </c>
      <c r="N139" s="388">
        <f t="shared" ref="N139:O139" si="105">N135+N136-N137-N138</f>
        <v>0</v>
      </c>
      <c r="O139" s="388">
        <f t="shared" si="105"/>
        <v>0</v>
      </c>
      <c r="P139" s="426">
        <f>P135+P136-P137-P138</f>
        <v>0</v>
      </c>
    </row>
    <row r="140" spans="1:16" ht="15.6" x14ac:dyDescent="0.3">
      <c r="A140" s="251" t="s">
        <v>87</v>
      </c>
      <c r="B140" s="348" t="s">
        <v>85</v>
      </c>
      <c r="C140" s="348" t="s">
        <v>3</v>
      </c>
      <c r="D140" s="388">
        <v>60</v>
      </c>
      <c r="E140" s="388">
        <v>63</v>
      </c>
      <c r="F140" s="388">
        <v>60</v>
      </c>
      <c r="G140" s="388">
        <v>82</v>
      </c>
      <c r="H140" s="388">
        <v>101</v>
      </c>
      <c r="I140" s="388">
        <v>120</v>
      </c>
      <c r="J140" s="388">
        <v>64</v>
      </c>
      <c r="K140" s="388">
        <v>52</v>
      </c>
      <c r="L140" s="388">
        <v>61</v>
      </c>
      <c r="M140" s="388">
        <v>87</v>
      </c>
      <c r="N140" s="388">
        <v>21</v>
      </c>
      <c r="O140" s="388">
        <v>24</v>
      </c>
      <c r="P140" s="426">
        <f>D140</f>
        <v>60</v>
      </c>
    </row>
    <row r="141" spans="1:16" ht="15.6" x14ac:dyDescent="0.3">
      <c r="A141" s="482"/>
      <c r="B141" s="348" t="s">
        <v>84</v>
      </c>
      <c r="C141" s="348" t="s">
        <v>3</v>
      </c>
      <c r="D141" s="390">
        <v>18</v>
      </c>
      <c r="E141" s="390">
        <v>11</v>
      </c>
      <c r="F141" s="390">
        <v>15</v>
      </c>
      <c r="G141" s="381">
        <v>29</v>
      </c>
      <c r="H141" s="390">
        <v>29</v>
      </c>
      <c r="I141" s="390">
        <v>21</v>
      </c>
      <c r="J141" s="390">
        <v>17</v>
      </c>
      <c r="K141" s="390">
        <v>19</v>
      </c>
      <c r="L141" s="390">
        <v>53</v>
      </c>
      <c r="M141" s="390">
        <v>22</v>
      </c>
      <c r="N141" s="390">
        <v>16</v>
      </c>
      <c r="O141" s="390">
        <v>18</v>
      </c>
      <c r="P141" s="427">
        <f>SUM(D141:O141)</f>
        <v>268</v>
      </c>
    </row>
    <row r="142" spans="1:16" ht="15.6" x14ac:dyDescent="0.3">
      <c r="A142" s="482"/>
      <c r="B142" s="348" t="s">
        <v>83</v>
      </c>
      <c r="C142" s="348" t="s">
        <v>3</v>
      </c>
      <c r="D142" s="390">
        <v>6</v>
      </c>
      <c r="E142" s="390">
        <v>8</v>
      </c>
      <c r="F142" s="390">
        <v>7</v>
      </c>
      <c r="G142" s="381">
        <v>4</v>
      </c>
      <c r="H142" s="390">
        <v>4</v>
      </c>
      <c r="I142" s="390">
        <v>3</v>
      </c>
      <c r="J142" s="390">
        <v>4</v>
      </c>
      <c r="K142" s="390">
        <v>6</v>
      </c>
      <c r="L142" s="390">
        <v>4</v>
      </c>
      <c r="M142" s="390">
        <v>1</v>
      </c>
      <c r="N142" s="390">
        <v>2</v>
      </c>
      <c r="O142" s="390">
        <v>2</v>
      </c>
      <c r="P142" s="427">
        <f>SUM(D142:O142)</f>
        <v>51</v>
      </c>
    </row>
    <row r="143" spans="1:16" ht="15.6" x14ac:dyDescent="0.3">
      <c r="A143" s="482"/>
      <c r="B143" s="348" t="s">
        <v>82</v>
      </c>
      <c r="C143" s="348" t="s">
        <v>3</v>
      </c>
      <c r="D143" s="390">
        <v>9</v>
      </c>
      <c r="E143" s="390">
        <v>6</v>
      </c>
      <c r="F143" s="390">
        <v>4</v>
      </c>
      <c r="G143" s="381">
        <v>6</v>
      </c>
      <c r="H143" s="390">
        <v>6</v>
      </c>
      <c r="I143" s="390">
        <v>1</v>
      </c>
      <c r="J143" s="390">
        <v>9</v>
      </c>
      <c r="K143" s="390">
        <v>4</v>
      </c>
      <c r="L143" s="390">
        <v>23</v>
      </c>
      <c r="M143" s="390">
        <v>87</v>
      </c>
      <c r="N143" s="390">
        <v>11</v>
      </c>
      <c r="O143" s="390">
        <v>0</v>
      </c>
      <c r="P143" s="427">
        <f>SUM(D143:O143)</f>
        <v>166</v>
      </c>
    </row>
    <row r="144" spans="1:16" ht="15.6" x14ac:dyDescent="0.3">
      <c r="A144" s="252"/>
      <c r="B144" s="348" t="s">
        <v>81</v>
      </c>
      <c r="C144" s="348" t="s">
        <v>3</v>
      </c>
      <c r="D144" s="388">
        <f t="shared" ref="D144:I144" si="106">D140+D141-D142-D143</f>
        <v>63</v>
      </c>
      <c r="E144" s="388">
        <f t="shared" si="106"/>
        <v>60</v>
      </c>
      <c r="F144" s="388">
        <f t="shared" si="106"/>
        <v>64</v>
      </c>
      <c r="G144" s="371">
        <f t="shared" si="106"/>
        <v>101</v>
      </c>
      <c r="H144" s="388">
        <f t="shared" si="106"/>
        <v>120</v>
      </c>
      <c r="I144" s="388">
        <f t="shared" si="106"/>
        <v>137</v>
      </c>
      <c r="J144" s="388">
        <f t="shared" ref="J144:K144" si="107">J140+J141-J142-J143</f>
        <v>68</v>
      </c>
      <c r="K144" s="388">
        <f t="shared" si="107"/>
        <v>61</v>
      </c>
      <c r="L144" s="388">
        <f t="shared" ref="L144:M144" si="108">L140+L141-L142-L143</f>
        <v>87</v>
      </c>
      <c r="M144" s="388">
        <f t="shared" si="108"/>
        <v>21</v>
      </c>
      <c r="N144" s="388">
        <f t="shared" ref="N144:O144" si="109">N140+N141-N142-N143</f>
        <v>24</v>
      </c>
      <c r="O144" s="388">
        <f t="shared" si="109"/>
        <v>40</v>
      </c>
      <c r="P144" s="426">
        <f>P140+P141-P142-P143</f>
        <v>111</v>
      </c>
    </row>
    <row r="145" spans="1:16" s="354" customFormat="1" ht="15.6" x14ac:dyDescent="0.3">
      <c r="A145" s="251" t="s">
        <v>86</v>
      </c>
      <c r="B145" s="348" t="s">
        <v>85</v>
      </c>
      <c r="C145" s="348" t="s">
        <v>3</v>
      </c>
      <c r="D145" s="393">
        <f t="shared" ref="D145:I145" si="110">D125+D130+D135+D140</f>
        <v>60</v>
      </c>
      <c r="E145" s="393">
        <f t="shared" si="110"/>
        <v>63</v>
      </c>
      <c r="F145" s="393">
        <f t="shared" si="110"/>
        <v>60</v>
      </c>
      <c r="G145" s="352">
        <f t="shared" si="110"/>
        <v>82</v>
      </c>
      <c r="H145" s="393">
        <f t="shared" si="110"/>
        <v>101</v>
      </c>
      <c r="I145" s="393">
        <f t="shared" si="110"/>
        <v>120</v>
      </c>
      <c r="J145" s="393">
        <f t="shared" ref="J145:K145" si="111">J125+J130+J135+J140</f>
        <v>64</v>
      </c>
      <c r="K145" s="393">
        <f t="shared" si="111"/>
        <v>52</v>
      </c>
      <c r="L145" s="393">
        <f t="shared" ref="L145:M145" si="112">L125+L130+L135+L140</f>
        <v>61</v>
      </c>
      <c r="M145" s="393">
        <f t="shared" si="112"/>
        <v>87</v>
      </c>
      <c r="N145" s="393">
        <f t="shared" ref="N145:O145" si="113">N125+N130+N135+N140</f>
        <v>21</v>
      </c>
      <c r="O145" s="393">
        <f t="shared" si="113"/>
        <v>24</v>
      </c>
      <c r="P145" s="430">
        <f t="shared" ref="P145:P149" si="114">P125+P130+P135+P140</f>
        <v>60</v>
      </c>
    </row>
    <row r="146" spans="1:16" ht="15.6" x14ac:dyDescent="0.3">
      <c r="A146" s="482"/>
      <c r="B146" s="348" t="s">
        <v>84</v>
      </c>
      <c r="C146" s="348" t="s">
        <v>3</v>
      </c>
      <c r="D146" s="393">
        <f t="shared" ref="D146:E148" si="115">D126+D131+D136+D141</f>
        <v>18</v>
      </c>
      <c r="E146" s="393">
        <f t="shared" si="115"/>
        <v>11</v>
      </c>
      <c r="F146" s="393">
        <f t="shared" ref="F146:G146" si="116">F126+F131+F136+F141</f>
        <v>15</v>
      </c>
      <c r="G146" s="352">
        <f t="shared" si="116"/>
        <v>29</v>
      </c>
      <c r="H146" s="393">
        <f t="shared" ref="H146:I146" si="117">H126+H131+H136+H141</f>
        <v>29</v>
      </c>
      <c r="I146" s="393">
        <f t="shared" si="117"/>
        <v>21</v>
      </c>
      <c r="J146" s="393">
        <f t="shared" ref="J146:K146" si="118">J126+J131+J136+J141</f>
        <v>17</v>
      </c>
      <c r="K146" s="393">
        <f t="shared" si="118"/>
        <v>19</v>
      </c>
      <c r="L146" s="393">
        <f t="shared" ref="L146:M146" si="119">L126+L131+L136+L141</f>
        <v>53</v>
      </c>
      <c r="M146" s="393">
        <f t="shared" si="119"/>
        <v>22</v>
      </c>
      <c r="N146" s="393">
        <f t="shared" ref="N146:O146" si="120">N126+N131+N136+N141</f>
        <v>16</v>
      </c>
      <c r="O146" s="393">
        <f t="shared" si="120"/>
        <v>18</v>
      </c>
      <c r="P146" s="430">
        <f t="shared" si="114"/>
        <v>268</v>
      </c>
    </row>
    <row r="147" spans="1:16" ht="15.6" x14ac:dyDescent="0.3">
      <c r="A147" s="482"/>
      <c r="B147" s="348" t="s">
        <v>83</v>
      </c>
      <c r="C147" s="348" t="s">
        <v>3</v>
      </c>
      <c r="D147" s="393">
        <f t="shared" si="115"/>
        <v>6</v>
      </c>
      <c r="E147" s="393">
        <f t="shared" si="115"/>
        <v>8</v>
      </c>
      <c r="F147" s="393">
        <f t="shared" ref="F147:G147" si="121">F127+F132+F137+F142</f>
        <v>7</v>
      </c>
      <c r="G147" s="352">
        <f t="shared" si="121"/>
        <v>4</v>
      </c>
      <c r="H147" s="393">
        <f t="shared" ref="H147:I147" si="122">H127+H132+H137+H142</f>
        <v>4</v>
      </c>
      <c r="I147" s="393">
        <f t="shared" si="122"/>
        <v>3</v>
      </c>
      <c r="J147" s="393">
        <f t="shared" ref="J147:K147" si="123">J127+J132+J137+J142</f>
        <v>4</v>
      </c>
      <c r="K147" s="393">
        <f t="shared" si="123"/>
        <v>6</v>
      </c>
      <c r="L147" s="393">
        <f t="shared" ref="L147:M147" si="124">L127+L132+L137+L142</f>
        <v>4</v>
      </c>
      <c r="M147" s="393">
        <f t="shared" si="124"/>
        <v>1</v>
      </c>
      <c r="N147" s="393">
        <f t="shared" ref="N147:O147" si="125">N127+N132+N137+N142</f>
        <v>2</v>
      </c>
      <c r="O147" s="393">
        <f t="shared" si="125"/>
        <v>2</v>
      </c>
      <c r="P147" s="430">
        <f t="shared" si="114"/>
        <v>51</v>
      </c>
    </row>
    <row r="148" spans="1:16" ht="15.6" x14ac:dyDescent="0.3">
      <c r="A148" s="482"/>
      <c r="B148" s="348" t="s">
        <v>82</v>
      </c>
      <c r="C148" s="348" t="s">
        <v>3</v>
      </c>
      <c r="D148" s="393">
        <f t="shared" si="115"/>
        <v>9</v>
      </c>
      <c r="E148" s="393">
        <f t="shared" si="115"/>
        <v>6</v>
      </c>
      <c r="F148" s="393">
        <f t="shared" ref="F148:G148" si="126">F128+F133+F138+F143</f>
        <v>4</v>
      </c>
      <c r="G148" s="352">
        <f t="shared" si="126"/>
        <v>6</v>
      </c>
      <c r="H148" s="393">
        <f t="shared" ref="H148:I148" si="127">H128+H133+H138+H143</f>
        <v>6</v>
      </c>
      <c r="I148" s="393">
        <f t="shared" si="127"/>
        <v>1</v>
      </c>
      <c r="J148" s="393">
        <f t="shared" ref="J148:K148" si="128">J128+J133+J138+J143</f>
        <v>9</v>
      </c>
      <c r="K148" s="393">
        <f t="shared" si="128"/>
        <v>4</v>
      </c>
      <c r="L148" s="393">
        <f t="shared" ref="L148:M148" si="129">L128+L133+L138+L143</f>
        <v>23</v>
      </c>
      <c r="M148" s="393">
        <f t="shared" si="129"/>
        <v>87</v>
      </c>
      <c r="N148" s="393">
        <f t="shared" ref="N148:O148" si="130">N128+N133+N138+N143</f>
        <v>11</v>
      </c>
      <c r="O148" s="393">
        <f t="shared" si="130"/>
        <v>0</v>
      </c>
      <c r="P148" s="430">
        <f t="shared" si="114"/>
        <v>166</v>
      </c>
    </row>
    <row r="149" spans="1:16" ht="15.6" x14ac:dyDescent="0.3">
      <c r="A149" s="252"/>
      <c r="B149" s="348" t="s">
        <v>81</v>
      </c>
      <c r="C149" s="348" t="s">
        <v>3</v>
      </c>
      <c r="D149" s="388">
        <f t="shared" ref="D149:I149" si="131">D145+D146-D147-D148</f>
        <v>63</v>
      </c>
      <c r="E149" s="388">
        <f t="shared" si="131"/>
        <v>60</v>
      </c>
      <c r="F149" s="388">
        <f t="shared" si="131"/>
        <v>64</v>
      </c>
      <c r="G149" s="371">
        <f t="shared" si="131"/>
        <v>101</v>
      </c>
      <c r="H149" s="388">
        <f t="shared" si="131"/>
        <v>120</v>
      </c>
      <c r="I149" s="388">
        <f t="shared" si="131"/>
        <v>137</v>
      </c>
      <c r="J149" s="388">
        <f t="shared" ref="J149:K149" si="132">J145+J146-J147-J148</f>
        <v>68</v>
      </c>
      <c r="K149" s="388">
        <f t="shared" si="132"/>
        <v>61</v>
      </c>
      <c r="L149" s="388">
        <f t="shared" ref="L149:M149" si="133">L145+L146-L147-L148</f>
        <v>87</v>
      </c>
      <c r="M149" s="388">
        <f t="shared" si="133"/>
        <v>21</v>
      </c>
      <c r="N149" s="388">
        <f t="shared" ref="N149:O149" si="134">N145+N146-N147-N148</f>
        <v>24</v>
      </c>
      <c r="O149" s="388">
        <f t="shared" si="134"/>
        <v>40</v>
      </c>
      <c r="P149" s="430">
        <f t="shared" si="114"/>
        <v>111</v>
      </c>
    </row>
    <row r="150" spans="1:16" x14ac:dyDescent="0.3">
      <c r="A150" s="470" t="s">
        <v>80</v>
      </c>
      <c r="B150" s="471"/>
      <c r="C150" s="471"/>
      <c r="D150" s="471"/>
      <c r="E150" s="471"/>
      <c r="F150" s="471"/>
      <c r="G150" s="471"/>
      <c r="H150" s="471"/>
      <c r="I150" s="471"/>
      <c r="J150" s="471"/>
      <c r="K150" s="471"/>
      <c r="L150" s="471"/>
      <c r="M150" s="471"/>
      <c r="N150" s="471"/>
      <c r="O150" s="471"/>
      <c r="P150" s="472"/>
    </row>
    <row r="151" spans="1:16" ht="15.6" x14ac:dyDescent="0.3">
      <c r="A151" s="473" t="s">
        <v>79</v>
      </c>
      <c r="B151" s="474"/>
      <c r="C151" s="348"/>
      <c r="D151" s="374"/>
      <c r="E151" s="374"/>
      <c r="F151" s="374"/>
      <c r="G151" s="374"/>
      <c r="H151" s="374"/>
      <c r="I151" s="374"/>
      <c r="J151" s="431"/>
      <c r="K151" s="431"/>
      <c r="L151" s="431"/>
      <c r="M151" s="431"/>
      <c r="N151" s="431"/>
      <c r="O151" s="431"/>
      <c r="P151" s="386"/>
    </row>
    <row r="152" spans="1:16" ht="15.6" x14ac:dyDescent="0.3">
      <c r="A152" s="501" t="s">
        <v>78</v>
      </c>
      <c r="B152" s="432" t="s">
        <v>63</v>
      </c>
      <c r="C152" s="348"/>
      <c r="D152" s="374"/>
      <c r="E152" s="374"/>
      <c r="F152" s="374"/>
      <c r="G152" s="374"/>
      <c r="H152" s="374"/>
      <c r="I152" s="374"/>
      <c r="J152" s="431"/>
      <c r="K152" s="431"/>
      <c r="L152" s="431"/>
      <c r="M152" s="431"/>
      <c r="N152" s="431"/>
      <c r="O152" s="431"/>
      <c r="P152" s="386"/>
    </row>
    <row r="153" spans="1:16" ht="15.6" x14ac:dyDescent="0.3">
      <c r="A153" s="502"/>
      <c r="B153" s="20" t="s">
        <v>73</v>
      </c>
      <c r="C153" s="348" t="s">
        <v>57</v>
      </c>
      <c r="D153" s="597">
        <v>12</v>
      </c>
      <c r="E153" s="597">
        <v>14</v>
      </c>
      <c r="F153" s="597">
        <v>13</v>
      </c>
      <c r="G153" s="597">
        <v>29</v>
      </c>
      <c r="H153" s="390">
        <v>17</v>
      </c>
      <c r="I153" s="390">
        <v>21</v>
      </c>
      <c r="J153" s="390">
        <v>18</v>
      </c>
      <c r="K153" s="390">
        <v>21</v>
      </c>
      <c r="L153" s="390">
        <v>36</v>
      </c>
      <c r="M153" s="390">
        <v>31</v>
      </c>
      <c r="N153" s="390">
        <v>29</v>
      </c>
      <c r="O153" s="390">
        <v>21</v>
      </c>
      <c r="P153" s="427">
        <f t="shared" ref="P153:P165" si="135">SUM(D153:O153)</f>
        <v>262</v>
      </c>
    </row>
    <row r="154" spans="1:16" ht="15.6" x14ac:dyDescent="0.3">
      <c r="A154" s="502"/>
      <c r="B154" s="20" t="s">
        <v>72</v>
      </c>
      <c r="C154" s="348" t="s">
        <v>57</v>
      </c>
      <c r="D154" s="597">
        <v>5</v>
      </c>
      <c r="E154" s="597">
        <v>9</v>
      </c>
      <c r="F154" s="597">
        <v>9</v>
      </c>
      <c r="G154" s="597">
        <v>15</v>
      </c>
      <c r="H154" s="390">
        <v>9</v>
      </c>
      <c r="I154" s="390">
        <v>11</v>
      </c>
      <c r="J154" s="390">
        <v>9</v>
      </c>
      <c r="K154" s="390">
        <v>12</v>
      </c>
      <c r="L154" s="390">
        <v>18</v>
      </c>
      <c r="M154" s="390">
        <v>21</v>
      </c>
      <c r="N154" s="390">
        <v>19</v>
      </c>
      <c r="O154" s="390">
        <v>17</v>
      </c>
      <c r="P154" s="427">
        <f t="shared" si="135"/>
        <v>154</v>
      </c>
    </row>
    <row r="155" spans="1:16" ht="15.6" x14ac:dyDescent="0.3">
      <c r="A155" s="502"/>
      <c r="B155" s="20" t="s">
        <v>53</v>
      </c>
      <c r="C155" s="348" t="s">
        <v>57</v>
      </c>
      <c r="D155" s="597">
        <v>6</v>
      </c>
      <c r="E155" s="597">
        <v>1</v>
      </c>
      <c r="F155" s="597">
        <v>4</v>
      </c>
      <c r="G155" s="597">
        <v>4</v>
      </c>
      <c r="H155" s="390">
        <v>3</v>
      </c>
      <c r="I155" s="390">
        <v>4</v>
      </c>
      <c r="J155" s="390">
        <v>2</v>
      </c>
      <c r="K155" s="390">
        <v>4</v>
      </c>
      <c r="L155" s="390">
        <v>2</v>
      </c>
      <c r="M155" s="390"/>
      <c r="N155" s="390">
        <v>2</v>
      </c>
      <c r="O155" s="390">
        <v>4</v>
      </c>
      <c r="P155" s="427">
        <f t="shared" si="135"/>
        <v>36</v>
      </c>
    </row>
    <row r="156" spans="1:16" ht="15.6" x14ac:dyDescent="0.3">
      <c r="A156" s="502"/>
      <c r="B156" s="20" t="s">
        <v>71</v>
      </c>
      <c r="C156" s="348" t="s">
        <v>57</v>
      </c>
      <c r="D156" s="597">
        <v>0</v>
      </c>
      <c r="E156" s="597">
        <v>0</v>
      </c>
      <c r="F156" s="597">
        <v>1</v>
      </c>
      <c r="G156" s="597">
        <v>1</v>
      </c>
      <c r="H156" s="390">
        <v>0</v>
      </c>
      <c r="I156" s="390">
        <v>1</v>
      </c>
      <c r="J156" s="390"/>
      <c r="K156" s="390">
        <v>2</v>
      </c>
      <c r="L156" s="390">
        <v>2</v>
      </c>
      <c r="M156" s="390">
        <v>2</v>
      </c>
      <c r="N156" s="390">
        <v>4</v>
      </c>
      <c r="O156" s="390">
        <v>2</v>
      </c>
      <c r="P156" s="427">
        <f t="shared" si="135"/>
        <v>15</v>
      </c>
    </row>
    <row r="157" spans="1:16" ht="15.6" x14ac:dyDescent="0.3">
      <c r="A157" s="502"/>
      <c r="B157" s="20" t="s">
        <v>52</v>
      </c>
      <c r="C157" s="348" t="s">
        <v>57</v>
      </c>
      <c r="D157" s="597">
        <v>0</v>
      </c>
      <c r="E157" s="597">
        <v>0</v>
      </c>
      <c r="F157" s="597">
        <v>1</v>
      </c>
      <c r="G157" s="597">
        <v>1</v>
      </c>
      <c r="H157" s="390">
        <v>0</v>
      </c>
      <c r="I157" s="390">
        <v>2</v>
      </c>
      <c r="J157" s="390">
        <v>1</v>
      </c>
      <c r="K157" s="390">
        <v>2</v>
      </c>
      <c r="L157" s="390">
        <v>3</v>
      </c>
      <c r="M157" s="390">
        <v>1</v>
      </c>
      <c r="N157" s="390">
        <v>4</v>
      </c>
      <c r="O157" s="390">
        <v>2</v>
      </c>
      <c r="P157" s="427">
        <f t="shared" si="135"/>
        <v>17</v>
      </c>
    </row>
    <row r="158" spans="1:16" ht="15.6" x14ac:dyDescent="0.3">
      <c r="A158" s="502"/>
      <c r="B158" s="20" t="s">
        <v>51</v>
      </c>
      <c r="C158" s="348" t="s">
        <v>57</v>
      </c>
      <c r="D158" s="597">
        <v>2</v>
      </c>
      <c r="E158" s="597">
        <v>2</v>
      </c>
      <c r="F158" s="597">
        <v>1</v>
      </c>
      <c r="G158" s="597">
        <v>2</v>
      </c>
      <c r="H158" s="390">
        <v>2</v>
      </c>
      <c r="I158" s="390">
        <v>1</v>
      </c>
      <c r="J158" s="390">
        <v>2</v>
      </c>
      <c r="K158" s="390">
        <v>3</v>
      </c>
      <c r="L158" s="390">
        <v>4</v>
      </c>
      <c r="M158" s="390">
        <v>2</v>
      </c>
      <c r="N158" s="390">
        <v>3</v>
      </c>
      <c r="O158" s="390">
        <v>4</v>
      </c>
      <c r="P158" s="427">
        <f t="shared" si="135"/>
        <v>28</v>
      </c>
    </row>
    <row r="159" spans="1:16" ht="15.6" x14ac:dyDescent="0.3">
      <c r="A159" s="502"/>
      <c r="B159" s="20" t="s">
        <v>62</v>
      </c>
      <c r="C159" s="348" t="s">
        <v>57</v>
      </c>
      <c r="D159" s="597">
        <v>0</v>
      </c>
      <c r="E159" s="597">
        <v>0</v>
      </c>
      <c r="F159" s="597">
        <v>0</v>
      </c>
      <c r="G159" s="597">
        <v>0</v>
      </c>
      <c r="H159" s="390"/>
      <c r="I159" s="390"/>
      <c r="J159" s="390"/>
      <c r="K159" s="390">
        <v>1</v>
      </c>
      <c r="L159" s="390">
        <v>0</v>
      </c>
      <c r="M159" s="390"/>
      <c r="N159" s="390"/>
      <c r="O159" s="390"/>
      <c r="P159" s="427">
        <f t="shared" si="135"/>
        <v>1</v>
      </c>
    </row>
    <row r="160" spans="1:16" ht="15.6" x14ac:dyDescent="0.3">
      <c r="A160" s="502"/>
      <c r="B160" s="20" t="s">
        <v>50</v>
      </c>
      <c r="C160" s="348" t="s">
        <v>57</v>
      </c>
      <c r="D160" s="597">
        <v>1</v>
      </c>
      <c r="E160" s="597">
        <v>1</v>
      </c>
      <c r="F160" s="597"/>
      <c r="G160" s="597">
        <v>1</v>
      </c>
      <c r="H160" s="390"/>
      <c r="I160" s="390">
        <v>1</v>
      </c>
      <c r="J160" s="390">
        <v>1</v>
      </c>
      <c r="K160" s="390"/>
      <c r="L160" s="390">
        <v>1</v>
      </c>
      <c r="M160" s="390"/>
      <c r="N160" s="390">
        <v>1</v>
      </c>
      <c r="O160" s="390">
        <v>1</v>
      </c>
      <c r="P160" s="427">
        <f t="shared" si="135"/>
        <v>8</v>
      </c>
    </row>
    <row r="161" spans="1:16" ht="15.6" x14ac:dyDescent="0.3">
      <c r="A161" s="502"/>
      <c r="B161" s="20" t="s">
        <v>49</v>
      </c>
      <c r="C161" s="348" t="s">
        <v>57</v>
      </c>
      <c r="D161" s="597">
        <v>1</v>
      </c>
      <c r="E161" s="597">
        <v>2</v>
      </c>
      <c r="F161" s="597">
        <v>2</v>
      </c>
      <c r="G161" s="597">
        <v>2</v>
      </c>
      <c r="H161" s="390">
        <v>2</v>
      </c>
      <c r="I161" s="390">
        <v>0</v>
      </c>
      <c r="J161" s="390"/>
      <c r="K161" s="390"/>
      <c r="L161" s="390"/>
      <c r="M161" s="390"/>
      <c r="N161" s="390">
        <v>1</v>
      </c>
      <c r="O161" s="390">
        <v>2</v>
      </c>
      <c r="P161" s="427">
        <f t="shared" si="135"/>
        <v>12</v>
      </c>
    </row>
    <row r="162" spans="1:16" ht="15.6" x14ac:dyDescent="0.3">
      <c r="A162" s="502"/>
      <c r="B162" s="20" t="s">
        <v>77</v>
      </c>
      <c r="C162" s="348" t="s">
        <v>57</v>
      </c>
      <c r="D162" s="597">
        <v>0</v>
      </c>
      <c r="E162" s="597">
        <v>0</v>
      </c>
      <c r="F162" s="597">
        <v>0</v>
      </c>
      <c r="G162" s="597">
        <v>0</v>
      </c>
      <c r="H162" s="390"/>
      <c r="I162" s="390"/>
      <c r="J162" s="390"/>
      <c r="K162" s="390"/>
      <c r="L162" s="390"/>
      <c r="M162" s="390"/>
      <c r="N162" s="390"/>
      <c r="O162" s="390"/>
      <c r="P162" s="427">
        <f t="shared" si="135"/>
        <v>0</v>
      </c>
    </row>
    <row r="163" spans="1:16" ht="15.6" x14ac:dyDescent="0.3">
      <c r="A163" s="502"/>
      <c r="B163" s="20" t="s">
        <v>69</v>
      </c>
      <c r="C163" s="348" t="s">
        <v>57</v>
      </c>
      <c r="D163" s="597">
        <v>0</v>
      </c>
      <c r="E163" s="597">
        <v>0</v>
      </c>
      <c r="F163" s="597">
        <v>0</v>
      </c>
      <c r="G163" s="597">
        <v>0</v>
      </c>
      <c r="H163" s="390"/>
      <c r="I163" s="390"/>
      <c r="J163" s="390"/>
      <c r="K163" s="390"/>
      <c r="L163" s="390"/>
      <c r="M163" s="390"/>
      <c r="N163" s="390"/>
      <c r="O163" s="390"/>
      <c r="P163" s="427">
        <f t="shared" si="135"/>
        <v>0</v>
      </c>
    </row>
    <row r="164" spans="1:16" ht="15.6" x14ac:dyDescent="0.3">
      <c r="A164" s="502"/>
      <c r="B164" s="20" t="s">
        <v>68</v>
      </c>
      <c r="C164" s="348" t="s">
        <v>57</v>
      </c>
      <c r="D164" s="597">
        <v>0</v>
      </c>
      <c r="E164" s="597">
        <v>0</v>
      </c>
      <c r="F164" s="597">
        <v>0</v>
      </c>
      <c r="G164" s="597">
        <v>0</v>
      </c>
      <c r="H164" s="390"/>
      <c r="I164" s="390"/>
      <c r="J164" s="390"/>
      <c r="K164" s="390"/>
      <c r="L164" s="390"/>
      <c r="M164" s="390"/>
      <c r="N164" s="390"/>
      <c r="O164" s="390"/>
      <c r="P164" s="427">
        <f t="shared" si="135"/>
        <v>0</v>
      </c>
    </row>
    <row r="165" spans="1:16" ht="15.6" x14ac:dyDescent="0.3">
      <c r="A165" s="503"/>
      <c r="B165" s="20" t="s">
        <v>76</v>
      </c>
      <c r="C165" s="348" t="s">
        <v>57</v>
      </c>
      <c r="D165" s="597">
        <v>0</v>
      </c>
      <c r="E165" s="597">
        <v>0</v>
      </c>
      <c r="F165" s="597">
        <v>0</v>
      </c>
      <c r="G165" s="597">
        <v>0</v>
      </c>
      <c r="H165" s="390"/>
      <c r="I165" s="390"/>
      <c r="J165" s="390"/>
      <c r="K165" s="390"/>
      <c r="L165" s="390"/>
      <c r="M165" s="390"/>
      <c r="N165" s="390"/>
      <c r="O165" s="390"/>
      <c r="P165" s="427">
        <f t="shared" si="135"/>
        <v>0</v>
      </c>
    </row>
    <row r="166" spans="1:16" ht="15.6" x14ac:dyDescent="0.3">
      <c r="A166" s="501" t="s">
        <v>75</v>
      </c>
      <c r="B166" s="433" t="s">
        <v>63</v>
      </c>
      <c r="C166" s="348"/>
      <c r="D166" s="597"/>
      <c r="E166" s="597"/>
      <c r="F166" s="597"/>
      <c r="G166" s="597"/>
      <c r="H166" s="390"/>
      <c r="I166" s="390"/>
      <c r="J166" s="390"/>
      <c r="K166" s="390"/>
      <c r="L166" s="390"/>
      <c r="M166" s="390"/>
      <c r="N166" s="390"/>
      <c r="O166" s="390"/>
      <c r="P166" s="427"/>
    </row>
    <row r="167" spans="1:16" ht="15.6" x14ac:dyDescent="0.3">
      <c r="A167" s="502"/>
      <c r="B167" s="20" t="s">
        <v>74</v>
      </c>
      <c r="C167" s="348" t="s">
        <v>57</v>
      </c>
      <c r="D167" s="597">
        <v>0</v>
      </c>
      <c r="E167" s="597">
        <v>1</v>
      </c>
      <c r="F167" s="597">
        <v>1</v>
      </c>
      <c r="G167" s="597">
        <v>2</v>
      </c>
      <c r="H167" s="390">
        <v>2</v>
      </c>
      <c r="I167" s="390">
        <v>4</v>
      </c>
      <c r="J167" s="390">
        <v>2</v>
      </c>
      <c r="K167" s="390">
        <v>2</v>
      </c>
      <c r="L167" s="390">
        <v>4</v>
      </c>
      <c r="M167" s="390">
        <v>6</v>
      </c>
      <c r="N167" s="390">
        <v>2</v>
      </c>
      <c r="O167" s="390">
        <v>2</v>
      </c>
      <c r="P167" s="427">
        <f t="shared" ref="P167:P175" si="136">SUM(D167:O167)</f>
        <v>28</v>
      </c>
    </row>
    <row r="168" spans="1:16" ht="15.6" x14ac:dyDescent="0.3">
      <c r="A168" s="502"/>
      <c r="B168" s="20" t="s">
        <v>73</v>
      </c>
      <c r="C168" s="348" t="s">
        <v>57</v>
      </c>
      <c r="D168" s="597">
        <v>0</v>
      </c>
      <c r="E168" s="597">
        <v>0</v>
      </c>
      <c r="F168" s="597">
        <v>2</v>
      </c>
      <c r="G168" s="597">
        <v>2</v>
      </c>
      <c r="H168" s="390"/>
      <c r="I168" s="390">
        <v>1</v>
      </c>
      <c r="J168" s="390"/>
      <c r="K168" s="390">
        <v>2</v>
      </c>
      <c r="L168" s="390">
        <v>1</v>
      </c>
      <c r="M168" s="390">
        <v>4</v>
      </c>
      <c r="N168" s="390">
        <v>1</v>
      </c>
      <c r="O168" s="390">
        <v>1</v>
      </c>
      <c r="P168" s="427">
        <f t="shared" si="136"/>
        <v>14</v>
      </c>
    </row>
    <row r="169" spans="1:16" ht="15.6" x14ac:dyDescent="0.3">
      <c r="A169" s="502"/>
      <c r="B169" s="20" t="s">
        <v>72</v>
      </c>
      <c r="C169" s="348" t="s">
        <v>57</v>
      </c>
      <c r="D169" s="597">
        <v>0</v>
      </c>
      <c r="E169" s="597">
        <v>0</v>
      </c>
      <c r="F169" s="597">
        <v>0</v>
      </c>
      <c r="G169" s="597">
        <v>0</v>
      </c>
      <c r="H169" s="390"/>
      <c r="I169" s="390">
        <v>2</v>
      </c>
      <c r="J169" s="390"/>
      <c r="K169" s="390"/>
      <c r="L169" s="390"/>
      <c r="M169" s="390"/>
      <c r="N169" s="390"/>
      <c r="O169" s="390"/>
      <c r="P169" s="427">
        <f t="shared" si="136"/>
        <v>2</v>
      </c>
    </row>
    <row r="170" spans="1:16" ht="15.6" x14ac:dyDescent="0.3">
      <c r="A170" s="502"/>
      <c r="B170" s="20" t="s">
        <v>71</v>
      </c>
      <c r="C170" s="348" t="s">
        <v>57</v>
      </c>
      <c r="D170" s="597">
        <v>0</v>
      </c>
      <c r="E170" s="597">
        <v>0</v>
      </c>
      <c r="F170" s="597">
        <v>0</v>
      </c>
      <c r="G170" s="597">
        <v>0</v>
      </c>
      <c r="H170" s="390"/>
      <c r="I170" s="390"/>
      <c r="J170" s="390"/>
      <c r="K170" s="390"/>
      <c r="L170" s="390"/>
      <c r="M170" s="390"/>
      <c r="N170" s="390"/>
      <c r="O170" s="390"/>
      <c r="P170" s="427">
        <f t="shared" si="136"/>
        <v>0</v>
      </c>
    </row>
    <row r="171" spans="1:16" ht="15.6" x14ac:dyDescent="0.3">
      <c r="A171" s="502"/>
      <c r="B171" s="20" t="s">
        <v>52</v>
      </c>
      <c r="C171" s="348" t="s">
        <v>57</v>
      </c>
      <c r="D171" s="597">
        <v>0</v>
      </c>
      <c r="E171" s="597">
        <v>0</v>
      </c>
      <c r="F171" s="597">
        <v>0</v>
      </c>
      <c r="G171" s="597">
        <v>0</v>
      </c>
      <c r="H171" s="390"/>
      <c r="I171" s="390"/>
      <c r="J171" s="390"/>
      <c r="K171" s="390"/>
      <c r="L171" s="390"/>
      <c r="M171" s="390"/>
      <c r="N171" s="390"/>
      <c r="O171" s="390"/>
      <c r="P171" s="427">
        <f t="shared" si="136"/>
        <v>0</v>
      </c>
    </row>
    <row r="172" spans="1:16" ht="15.6" x14ac:dyDescent="0.3">
      <c r="A172" s="502"/>
      <c r="B172" s="20" t="s">
        <v>62</v>
      </c>
      <c r="C172" s="348" t="s">
        <v>57</v>
      </c>
      <c r="D172" s="597">
        <v>0</v>
      </c>
      <c r="E172" s="597">
        <v>0</v>
      </c>
      <c r="F172" s="597">
        <v>0</v>
      </c>
      <c r="G172" s="597">
        <v>0</v>
      </c>
      <c r="H172" s="390"/>
      <c r="I172" s="390"/>
      <c r="J172" s="390"/>
      <c r="K172" s="390"/>
      <c r="L172" s="390"/>
      <c r="M172" s="390"/>
      <c r="N172" s="390"/>
      <c r="O172" s="390"/>
      <c r="P172" s="427">
        <f t="shared" si="136"/>
        <v>0</v>
      </c>
    </row>
    <row r="173" spans="1:16" ht="15.6" x14ac:dyDescent="0.3">
      <c r="A173" s="502"/>
      <c r="B173" s="20" t="s">
        <v>61</v>
      </c>
      <c r="C173" s="348" t="s">
        <v>57</v>
      </c>
      <c r="D173" s="597">
        <v>0</v>
      </c>
      <c r="E173" s="597">
        <v>0</v>
      </c>
      <c r="F173" s="597">
        <v>0</v>
      </c>
      <c r="G173" s="597">
        <v>0</v>
      </c>
      <c r="H173" s="390"/>
      <c r="I173" s="390"/>
      <c r="J173" s="390"/>
      <c r="K173" s="390"/>
      <c r="L173" s="390"/>
      <c r="M173" s="390"/>
      <c r="N173" s="390"/>
      <c r="O173" s="390"/>
      <c r="P173" s="427">
        <f t="shared" si="136"/>
        <v>0</v>
      </c>
    </row>
    <row r="174" spans="1:16" ht="15.6" x14ac:dyDescent="0.3">
      <c r="A174" s="502"/>
      <c r="B174" s="20" t="s">
        <v>60</v>
      </c>
      <c r="C174" s="348" t="s">
        <v>57</v>
      </c>
      <c r="D174" s="597">
        <v>0</v>
      </c>
      <c r="E174" s="597">
        <v>0</v>
      </c>
      <c r="F174" s="597">
        <v>0</v>
      </c>
      <c r="G174" s="597">
        <v>0</v>
      </c>
      <c r="H174" s="390"/>
      <c r="I174" s="390"/>
      <c r="J174" s="390"/>
      <c r="K174" s="390"/>
      <c r="L174" s="390"/>
      <c r="M174" s="390"/>
      <c r="N174" s="390"/>
      <c r="O174" s="390"/>
      <c r="P174" s="427">
        <f t="shared" si="136"/>
        <v>0</v>
      </c>
    </row>
    <row r="175" spans="1:16" ht="15.6" x14ac:dyDescent="0.3">
      <c r="A175" s="503"/>
      <c r="B175" s="20" t="s">
        <v>69</v>
      </c>
      <c r="C175" s="348" t="s">
        <v>57</v>
      </c>
      <c r="D175" s="597">
        <v>0</v>
      </c>
      <c r="E175" s="597">
        <v>0</v>
      </c>
      <c r="F175" s="597">
        <v>0</v>
      </c>
      <c r="G175" s="597">
        <v>0</v>
      </c>
      <c r="H175" s="390"/>
      <c r="I175" s="390"/>
      <c r="J175" s="390"/>
      <c r="K175" s="390"/>
      <c r="L175" s="390"/>
      <c r="M175" s="390"/>
      <c r="N175" s="390"/>
      <c r="O175" s="390"/>
      <c r="P175" s="427">
        <f t="shared" si="136"/>
        <v>0</v>
      </c>
    </row>
    <row r="176" spans="1:16" ht="15.6" x14ac:dyDescent="0.3">
      <c r="A176" s="501" t="s">
        <v>70</v>
      </c>
      <c r="B176" s="433" t="s">
        <v>63</v>
      </c>
      <c r="C176" s="348"/>
      <c r="D176" s="597"/>
      <c r="E176" s="597"/>
      <c r="F176" s="597"/>
      <c r="G176" s="597"/>
      <c r="H176" s="390"/>
      <c r="I176" s="390"/>
      <c r="J176" s="390"/>
      <c r="K176" s="390"/>
      <c r="L176" s="390"/>
      <c r="M176" s="390"/>
      <c r="N176" s="390"/>
      <c r="O176" s="390"/>
      <c r="P176" s="427"/>
    </row>
    <row r="177" spans="1:16" ht="15.6" x14ac:dyDescent="0.3">
      <c r="A177" s="502"/>
      <c r="B177" s="20" t="s">
        <v>60</v>
      </c>
      <c r="C177" s="348" t="s">
        <v>57</v>
      </c>
      <c r="D177" s="597">
        <v>0</v>
      </c>
      <c r="E177" s="597">
        <v>0</v>
      </c>
      <c r="F177" s="597">
        <v>0</v>
      </c>
      <c r="G177" s="597">
        <v>0</v>
      </c>
      <c r="H177" s="390"/>
      <c r="I177" s="390"/>
      <c r="J177" s="390"/>
      <c r="K177" s="390"/>
      <c r="L177" s="390"/>
      <c r="M177" s="390"/>
      <c r="N177" s="390"/>
      <c r="O177" s="390"/>
      <c r="P177" s="427">
        <f t="shared" ref="P177:P182" si="137">SUM(D177:O177)</f>
        <v>0</v>
      </c>
    </row>
    <row r="178" spans="1:16" ht="15.6" x14ac:dyDescent="0.3">
      <c r="A178" s="502"/>
      <c r="B178" s="20" t="s">
        <v>69</v>
      </c>
      <c r="C178" s="348" t="s">
        <v>57</v>
      </c>
      <c r="D178" s="597">
        <v>0</v>
      </c>
      <c r="E178" s="597">
        <v>0</v>
      </c>
      <c r="F178" s="597">
        <v>0</v>
      </c>
      <c r="G178" s="597">
        <v>0</v>
      </c>
      <c r="H178" s="390"/>
      <c r="I178" s="390"/>
      <c r="J178" s="390"/>
      <c r="K178" s="390"/>
      <c r="L178" s="390"/>
      <c r="M178" s="390"/>
      <c r="N178" s="390"/>
      <c r="O178" s="390"/>
      <c r="P178" s="427">
        <f t="shared" si="137"/>
        <v>0</v>
      </c>
    </row>
    <row r="179" spans="1:16" ht="15.6" x14ac:dyDescent="0.3">
      <c r="A179" s="502"/>
      <c r="B179" s="20" t="s">
        <v>68</v>
      </c>
      <c r="C179" s="348" t="s">
        <v>57</v>
      </c>
      <c r="D179" s="597">
        <v>0</v>
      </c>
      <c r="E179" s="597">
        <v>0</v>
      </c>
      <c r="F179" s="597">
        <v>0</v>
      </c>
      <c r="G179" s="597">
        <v>0</v>
      </c>
      <c r="H179" s="390"/>
      <c r="I179" s="390"/>
      <c r="J179" s="390"/>
      <c r="K179" s="390"/>
      <c r="L179" s="390"/>
      <c r="M179" s="390"/>
      <c r="N179" s="390"/>
      <c r="O179" s="390"/>
      <c r="P179" s="427">
        <f t="shared" si="137"/>
        <v>0</v>
      </c>
    </row>
    <row r="180" spans="1:16" ht="15.6" x14ac:dyDescent="0.3">
      <c r="A180" s="502"/>
      <c r="B180" s="20" t="s">
        <v>67</v>
      </c>
      <c r="C180" s="348" t="s">
        <v>57</v>
      </c>
      <c r="D180" s="597">
        <v>0</v>
      </c>
      <c r="E180" s="597">
        <v>0</v>
      </c>
      <c r="F180" s="597">
        <v>0</v>
      </c>
      <c r="G180" s="597">
        <v>0</v>
      </c>
      <c r="H180" s="390"/>
      <c r="I180" s="390"/>
      <c r="J180" s="390"/>
      <c r="K180" s="390"/>
      <c r="L180" s="390"/>
      <c r="M180" s="390"/>
      <c r="N180" s="390"/>
      <c r="O180" s="390"/>
      <c r="P180" s="427">
        <f t="shared" si="137"/>
        <v>0</v>
      </c>
    </row>
    <row r="181" spans="1:16" ht="15.6" x14ac:dyDescent="0.3">
      <c r="A181" s="502"/>
      <c r="B181" s="20" t="s">
        <v>66</v>
      </c>
      <c r="C181" s="348" t="s">
        <v>57</v>
      </c>
      <c r="D181" s="597">
        <v>0</v>
      </c>
      <c r="E181" s="597">
        <v>0</v>
      </c>
      <c r="F181" s="597">
        <v>0</v>
      </c>
      <c r="G181" s="597">
        <v>0</v>
      </c>
      <c r="H181" s="390"/>
      <c r="I181" s="390"/>
      <c r="J181" s="390"/>
      <c r="K181" s="390"/>
      <c r="L181" s="390"/>
      <c r="M181" s="390"/>
      <c r="N181" s="390"/>
      <c r="O181" s="390"/>
      <c r="P181" s="427">
        <f t="shared" si="137"/>
        <v>0</v>
      </c>
    </row>
    <row r="182" spans="1:16" ht="15.6" x14ac:dyDescent="0.3">
      <c r="A182" s="503"/>
      <c r="B182" s="20" t="s">
        <v>65</v>
      </c>
      <c r="C182" s="348" t="s">
        <v>57</v>
      </c>
      <c r="D182" s="597">
        <v>0</v>
      </c>
      <c r="E182" s="597">
        <v>0</v>
      </c>
      <c r="F182" s="597">
        <v>0</v>
      </c>
      <c r="G182" s="597">
        <v>0</v>
      </c>
      <c r="H182" s="390"/>
      <c r="I182" s="390"/>
      <c r="J182" s="390"/>
      <c r="K182" s="390"/>
      <c r="L182" s="390"/>
      <c r="M182" s="390"/>
      <c r="N182" s="390"/>
      <c r="O182" s="390"/>
      <c r="P182" s="427">
        <f t="shared" si="137"/>
        <v>0</v>
      </c>
    </row>
    <row r="183" spans="1:16" ht="15.6" x14ac:dyDescent="0.3">
      <c r="A183" s="501" t="s">
        <v>209</v>
      </c>
      <c r="B183" s="433" t="s">
        <v>63</v>
      </c>
      <c r="C183" s="348"/>
      <c r="D183" s="597">
        <v>0</v>
      </c>
      <c r="E183" s="597">
        <v>0</v>
      </c>
      <c r="F183" s="597">
        <v>0</v>
      </c>
      <c r="G183" s="597">
        <v>0</v>
      </c>
      <c r="H183" s="381"/>
      <c r="I183" s="381"/>
      <c r="J183" s="381"/>
      <c r="K183" s="381"/>
      <c r="L183" s="381"/>
      <c r="M183" s="381"/>
      <c r="N183" s="381"/>
      <c r="O183" s="381"/>
      <c r="P183" s="427"/>
    </row>
    <row r="184" spans="1:16" ht="15.6" x14ac:dyDescent="0.3">
      <c r="A184" s="502"/>
      <c r="B184" s="20" t="s">
        <v>73</v>
      </c>
      <c r="C184" s="348"/>
      <c r="D184" s="597">
        <v>0</v>
      </c>
      <c r="E184" s="597">
        <v>0</v>
      </c>
      <c r="F184" s="597">
        <v>0</v>
      </c>
      <c r="G184" s="597">
        <v>0</v>
      </c>
      <c r="H184" s="390"/>
      <c r="I184" s="390"/>
      <c r="J184" s="390"/>
      <c r="K184" s="390"/>
      <c r="L184" s="381"/>
      <c r="M184" s="381"/>
      <c r="N184" s="381"/>
      <c r="O184" s="381"/>
      <c r="P184" s="427">
        <f>SUM(D184:O184)</f>
        <v>0</v>
      </c>
    </row>
    <row r="185" spans="1:16" ht="15.6" x14ac:dyDescent="0.3">
      <c r="A185" s="502"/>
      <c r="B185" s="20" t="s">
        <v>72</v>
      </c>
      <c r="C185" s="348"/>
      <c r="D185" s="597">
        <v>0</v>
      </c>
      <c r="E185" s="597">
        <v>0</v>
      </c>
      <c r="F185" s="597">
        <v>0</v>
      </c>
      <c r="G185" s="597">
        <v>0</v>
      </c>
      <c r="H185" s="390"/>
      <c r="I185" s="390"/>
      <c r="J185" s="390"/>
      <c r="K185" s="390"/>
      <c r="L185" s="381"/>
      <c r="M185" s="381"/>
      <c r="N185" s="381"/>
      <c r="O185" s="381"/>
      <c r="P185" s="427">
        <f>SUM(D185:O185)</f>
        <v>0</v>
      </c>
    </row>
    <row r="186" spans="1:16" ht="15.6" x14ac:dyDescent="0.3">
      <c r="A186" s="502"/>
      <c r="B186" s="20" t="s">
        <v>53</v>
      </c>
      <c r="C186" s="348"/>
      <c r="D186" s="597">
        <v>0</v>
      </c>
      <c r="E186" s="597">
        <v>0</v>
      </c>
      <c r="F186" s="597">
        <v>0</v>
      </c>
      <c r="G186" s="597">
        <v>0</v>
      </c>
      <c r="H186" s="390"/>
      <c r="I186" s="390"/>
      <c r="J186" s="390"/>
      <c r="K186" s="390"/>
      <c r="L186" s="381"/>
      <c r="M186" s="381"/>
      <c r="N186" s="381"/>
      <c r="O186" s="381"/>
      <c r="P186" s="427">
        <f>SUM(D186:O186)</f>
        <v>0</v>
      </c>
    </row>
    <row r="187" spans="1:16" ht="15.6" x14ac:dyDescent="0.3">
      <c r="A187" s="503"/>
      <c r="B187" s="20" t="s">
        <v>52</v>
      </c>
      <c r="C187" s="348"/>
      <c r="D187" s="597">
        <v>0</v>
      </c>
      <c r="E187" s="597">
        <v>0</v>
      </c>
      <c r="F187" s="597">
        <v>0</v>
      </c>
      <c r="G187" s="597">
        <v>0</v>
      </c>
      <c r="H187" s="390"/>
      <c r="I187" s="390"/>
      <c r="J187" s="390"/>
      <c r="K187" s="390"/>
      <c r="L187" s="381"/>
      <c r="M187" s="381"/>
      <c r="N187" s="381"/>
      <c r="O187" s="381"/>
      <c r="P187" s="427">
        <f>SUM(D187:O187)</f>
        <v>0</v>
      </c>
    </row>
    <row r="188" spans="1:16" ht="15.6" x14ac:dyDescent="0.3">
      <c r="A188" s="501" t="s">
        <v>64</v>
      </c>
      <c r="B188" s="433" t="s">
        <v>63</v>
      </c>
      <c r="C188" s="348"/>
      <c r="D188" s="597">
        <v>0</v>
      </c>
      <c r="E188" s="597">
        <v>0</v>
      </c>
      <c r="F188" s="597">
        <v>0</v>
      </c>
      <c r="G188" s="597">
        <v>0</v>
      </c>
      <c r="H188" s="390"/>
      <c r="I188" s="390"/>
      <c r="J188" s="390"/>
      <c r="K188" s="390"/>
      <c r="L188" s="390"/>
      <c r="M188" s="390"/>
      <c r="N188" s="390"/>
      <c r="O188" s="390"/>
      <c r="P188" s="427"/>
    </row>
    <row r="189" spans="1:16" ht="15.6" x14ac:dyDescent="0.3">
      <c r="A189" s="502"/>
      <c r="B189" s="20" t="s">
        <v>52</v>
      </c>
      <c r="C189" s="348" t="s">
        <v>57</v>
      </c>
      <c r="D189" s="597">
        <v>0</v>
      </c>
      <c r="E189" s="597">
        <v>0</v>
      </c>
      <c r="F189" s="597">
        <v>0</v>
      </c>
      <c r="G189" s="597">
        <v>0</v>
      </c>
      <c r="H189" s="390"/>
      <c r="I189" s="390"/>
      <c r="J189" s="390"/>
      <c r="K189" s="390"/>
      <c r="L189" s="390"/>
      <c r="M189" s="390"/>
      <c r="N189" s="390"/>
      <c r="O189" s="390"/>
      <c r="P189" s="427">
        <f>SUM(D189:O189)</f>
        <v>0</v>
      </c>
    </row>
    <row r="190" spans="1:16" ht="15.6" x14ac:dyDescent="0.3">
      <c r="A190" s="502"/>
      <c r="B190" s="20" t="s">
        <v>62</v>
      </c>
      <c r="C190" s="348" t="s">
        <v>57</v>
      </c>
      <c r="D190" s="597">
        <v>0</v>
      </c>
      <c r="E190" s="597">
        <v>0</v>
      </c>
      <c r="F190" s="597">
        <v>0</v>
      </c>
      <c r="G190" s="597">
        <v>0</v>
      </c>
      <c r="H190" s="390"/>
      <c r="I190" s="390"/>
      <c r="J190" s="390"/>
      <c r="K190" s="390"/>
      <c r="L190" s="390"/>
      <c r="M190" s="390"/>
      <c r="N190" s="390"/>
      <c r="O190" s="390"/>
      <c r="P190" s="427">
        <f>SUM(D190:O190)</f>
        <v>0</v>
      </c>
    </row>
    <row r="191" spans="1:16" ht="15.6" x14ac:dyDescent="0.3">
      <c r="A191" s="502"/>
      <c r="B191" s="20" t="s">
        <v>61</v>
      </c>
      <c r="C191" s="348" t="s">
        <v>57</v>
      </c>
      <c r="D191" s="597">
        <v>0</v>
      </c>
      <c r="E191" s="597">
        <v>0</v>
      </c>
      <c r="F191" s="597">
        <v>0</v>
      </c>
      <c r="G191" s="597">
        <v>0</v>
      </c>
      <c r="H191" s="390"/>
      <c r="I191" s="390"/>
      <c r="J191" s="390"/>
      <c r="K191" s="390"/>
      <c r="L191" s="390"/>
      <c r="M191" s="390"/>
      <c r="N191" s="390"/>
      <c r="O191" s="390"/>
      <c r="P191" s="427">
        <f>SUM(D191:O191)</f>
        <v>0</v>
      </c>
    </row>
    <row r="192" spans="1:16" ht="15.6" x14ac:dyDescent="0.3">
      <c r="A192" s="503"/>
      <c r="B192" s="20" t="s">
        <v>60</v>
      </c>
      <c r="C192" s="348" t="s">
        <v>57</v>
      </c>
      <c r="D192" s="597">
        <v>0</v>
      </c>
      <c r="E192" s="597">
        <v>0</v>
      </c>
      <c r="F192" s="597">
        <v>0</v>
      </c>
      <c r="G192" s="597">
        <v>0</v>
      </c>
      <c r="H192" s="390"/>
      <c r="I192" s="390"/>
      <c r="J192" s="390"/>
      <c r="K192" s="390"/>
      <c r="L192" s="390"/>
      <c r="M192" s="390"/>
      <c r="N192" s="390"/>
      <c r="O192" s="390"/>
      <c r="P192" s="427">
        <f>SUM(D192:O192)</f>
        <v>0</v>
      </c>
    </row>
    <row r="193" spans="1:16" ht="15.6" x14ac:dyDescent="0.3">
      <c r="A193" s="434" t="s">
        <v>59</v>
      </c>
      <c r="B193" s="435"/>
      <c r="C193" s="348"/>
      <c r="D193" s="436">
        <f t="shared" ref="D193:O193" si="138">SUM(D152:D192)</f>
        <v>27</v>
      </c>
      <c r="E193" s="436">
        <f t="shared" si="138"/>
        <v>30</v>
      </c>
      <c r="F193" s="436">
        <f t="shared" si="138"/>
        <v>34</v>
      </c>
      <c r="G193" s="436">
        <f t="shared" si="138"/>
        <v>59</v>
      </c>
      <c r="H193" s="436">
        <f t="shared" si="138"/>
        <v>35</v>
      </c>
      <c r="I193" s="436">
        <f t="shared" si="138"/>
        <v>48</v>
      </c>
      <c r="J193" s="436">
        <f t="shared" si="138"/>
        <v>35</v>
      </c>
      <c r="K193" s="436">
        <f t="shared" si="138"/>
        <v>49</v>
      </c>
      <c r="L193" s="436">
        <f t="shared" si="138"/>
        <v>71</v>
      </c>
      <c r="M193" s="436">
        <f t="shared" si="138"/>
        <v>67</v>
      </c>
      <c r="N193" s="436">
        <f t="shared" si="138"/>
        <v>66</v>
      </c>
      <c r="O193" s="436">
        <f t="shared" si="138"/>
        <v>56</v>
      </c>
      <c r="P193" s="375">
        <f>SUM(P153:P192)</f>
        <v>577</v>
      </c>
    </row>
    <row r="194" spans="1:16" ht="15.6" x14ac:dyDescent="0.3">
      <c r="A194" s="477" t="s">
        <v>58</v>
      </c>
      <c r="B194" s="504"/>
      <c r="C194" s="348" t="s">
        <v>57</v>
      </c>
      <c r="D194" s="381">
        <v>2</v>
      </c>
      <c r="E194" s="381">
        <v>2</v>
      </c>
      <c r="F194" s="381">
        <v>2</v>
      </c>
      <c r="G194" s="381">
        <v>2</v>
      </c>
      <c r="H194" s="381">
        <v>2</v>
      </c>
      <c r="I194" s="381">
        <v>2</v>
      </c>
      <c r="J194" s="381">
        <v>2</v>
      </c>
      <c r="K194" s="381">
        <v>2</v>
      </c>
      <c r="L194" s="381">
        <v>2</v>
      </c>
      <c r="M194" s="381">
        <v>2</v>
      </c>
      <c r="N194" s="381">
        <v>2</v>
      </c>
      <c r="O194" s="381">
        <v>2</v>
      </c>
      <c r="P194" s="386">
        <f>SUM(D194:O194)</f>
        <v>24</v>
      </c>
    </row>
    <row r="195" spans="1:16" ht="15.6" x14ac:dyDescent="0.3">
      <c r="A195" s="479"/>
      <c r="B195" s="505"/>
      <c r="C195" s="437" t="s">
        <v>55</v>
      </c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6">
        <f>SUM(D195:O195)</f>
        <v>0</v>
      </c>
    </row>
    <row r="196" spans="1:16" ht="15.6" x14ac:dyDescent="0.3">
      <c r="A196" s="438" t="s">
        <v>202</v>
      </c>
      <c r="B196" s="439"/>
      <c r="C196" s="437" t="s">
        <v>55</v>
      </c>
      <c r="D196" s="381">
        <v>565</v>
      </c>
      <c r="E196" s="381">
        <v>552</v>
      </c>
      <c r="F196" s="381">
        <v>562</v>
      </c>
      <c r="G196" s="381">
        <v>518</v>
      </c>
      <c r="H196" s="381">
        <v>524</v>
      </c>
      <c r="I196" s="381">
        <v>575</v>
      </c>
      <c r="J196" s="381">
        <v>602</v>
      </c>
      <c r="K196" s="381">
        <v>532</v>
      </c>
      <c r="L196" s="381">
        <v>529</v>
      </c>
      <c r="M196" s="381">
        <v>514</v>
      </c>
      <c r="N196" s="381">
        <v>530</v>
      </c>
      <c r="O196" s="381">
        <v>454</v>
      </c>
      <c r="P196" s="386">
        <f>SUM(D196:O196)/12</f>
        <v>538.08333333333337</v>
      </c>
    </row>
    <row r="197" spans="1:16" ht="15.6" x14ac:dyDescent="0.3">
      <c r="A197" s="473" t="s">
        <v>56</v>
      </c>
      <c r="B197" s="474"/>
      <c r="C197" s="437" t="s">
        <v>55</v>
      </c>
      <c r="D197" s="381">
        <v>157</v>
      </c>
      <c r="E197" s="381">
        <v>192</v>
      </c>
      <c r="F197" s="381">
        <v>162</v>
      </c>
      <c r="G197" s="381">
        <v>226</v>
      </c>
      <c r="H197" s="381">
        <v>220</v>
      </c>
      <c r="I197" s="381">
        <v>169</v>
      </c>
      <c r="J197" s="381">
        <v>142</v>
      </c>
      <c r="K197" s="381">
        <v>88</v>
      </c>
      <c r="L197" s="381">
        <v>215</v>
      </c>
      <c r="M197" s="381">
        <v>198</v>
      </c>
      <c r="N197" s="381">
        <v>166</v>
      </c>
      <c r="O197" s="381">
        <v>290</v>
      </c>
      <c r="P197" s="386">
        <f>SUM(D197:O197)</f>
        <v>2225</v>
      </c>
    </row>
    <row r="198" spans="1:16" x14ac:dyDescent="0.3">
      <c r="A198" s="470" t="s">
        <v>203</v>
      </c>
      <c r="B198" s="471"/>
      <c r="C198" s="471"/>
      <c r="D198" s="471"/>
      <c r="E198" s="471"/>
      <c r="F198" s="471"/>
      <c r="G198" s="471"/>
      <c r="H198" s="471"/>
      <c r="I198" s="471"/>
      <c r="J198" s="471"/>
      <c r="K198" s="471"/>
      <c r="L198" s="471"/>
      <c r="M198" s="471"/>
      <c r="N198" s="471"/>
      <c r="O198" s="471"/>
      <c r="P198" s="472"/>
    </row>
    <row r="199" spans="1:16" ht="15.6" x14ac:dyDescent="0.3">
      <c r="A199" s="477" t="s">
        <v>54</v>
      </c>
      <c r="B199" s="357" t="s">
        <v>53</v>
      </c>
      <c r="C199" s="348" t="s">
        <v>47</v>
      </c>
      <c r="D199" s="376">
        <v>0</v>
      </c>
      <c r="E199" s="376">
        <v>0</v>
      </c>
      <c r="F199" s="376">
        <v>0</v>
      </c>
      <c r="G199" s="376">
        <v>0</v>
      </c>
      <c r="H199" s="376">
        <v>0</v>
      </c>
      <c r="I199" s="381"/>
      <c r="J199" s="381"/>
      <c r="K199" s="381"/>
      <c r="L199" s="381"/>
      <c r="M199" s="381"/>
      <c r="N199" s="381"/>
      <c r="O199" s="381"/>
      <c r="P199" s="386">
        <f t="shared" ref="P199:P204" si="139">SUM(D199:O199)</f>
        <v>0</v>
      </c>
    </row>
    <row r="200" spans="1:16" ht="15.6" x14ac:dyDescent="0.3">
      <c r="A200" s="478"/>
      <c r="B200" s="357" t="s">
        <v>52</v>
      </c>
      <c r="C200" s="348" t="s">
        <v>47</v>
      </c>
      <c r="D200" s="376">
        <v>0</v>
      </c>
      <c r="E200" s="376">
        <v>0</v>
      </c>
      <c r="F200" s="376">
        <v>0</v>
      </c>
      <c r="G200" s="376">
        <v>0</v>
      </c>
      <c r="H200" s="376">
        <v>0</v>
      </c>
      <c r="I200" s="381"/>
      <c r="J200" s="381">
        <v>330</v>
      </c>
      <c r="K200" s="381"/>
      <c r="L200" s="381"/>
      <c r="M200" s="381"/>
      <c r="N200" s="381"/>
      <c r="O200" s="381"/>
      <c r="P200" s="386">
        <f t="shared" si="139"/>
        <v>330</v>
      </c>
    </row>
    <row r="201" spans="1:16" ht="15.6" x14ac:dyDescent="0.3">
      <c r="A201" s="478"/>
      <c r="B201" s="357" t="s">
        <v>51</v>
      </c>
      <c r="C201" s="348" t="s">
        <v>47</v>
      </c>
      <c r="D201" s="376">
        <v>0</v>
      </c>
      <c r="E201" s="597">
        <v>240</v>
      </c>
      <c r="F201" s="376">
        <v>0</v>
      </c>
      <c r="G201" s="376">
        <v>0</v>
      </c>
      <c r="H201" s="376">
        <v>0</v>
      </c>
      <c r="I201" s="381"/>
      <c r="J201" s="381"/>
      <c r="K201" s="381"/>
      <c r="L201" s="381"/>
      <c r="M201" s="381"/>
      <c r="N201" s="381"/>
      <c r="O201" s="381"/>
      <c r="P201" s="386">
        <f t="shared" si="139"/>
        <v>240</v>
      </c>
    </row>
    <row r="202" spans="1:16" ht="15.6" x14ac:dyDescent="0.3">
      <c r="A202" s="478"/>
      <c r="B202" s="357" t="s">
        <v>50</v>
      </c>
      <c r="C202" s="348" t="s">
        <v>47</v>
      </c>
      <c r="D202" s="376">
        <v>0</v>
      </c>
      <c r="E202" s="597">
        <v>126</v>
      </c>
      <c r="F202" s="376">
        <v>0</v>
      </c>
      <c r="G202" s="376">
        <v>0</v>
      </c>
      <c r="H202" s="376">
        <v>0</v>
      </c>
      <c r="I202" s="381"/>
      <c r="J202" s="381"/>
      <c r="K202" s="381"/>
      <c r="L202" s="381"/>
      <c r="M202" s="381"/>
      <c r="N202" s="381"/>
      <c r="O202" s="381"/>
      <c r="P202" s="386">
        <f t="shared" si="139"/>
        <v>126</v>
      </c>
    </row>
    <row r="203" spans="1:16" ht="15.6" x14ac:dyDescent="0.3">
      <c r="A203" s="479"/>
      <c r="B203" s="357" t="s">
        <v>49</v>
      </c>
      <c r="C203" s="348" t="s">
        <v>47</v>
      </c>
      <c r="D203" s="376">
        <v>0</v>
      </c>
      <c r="E203" s="597">
        <v>240</v>
      </c>
      <c r="F203" s="376">
        <v>0</v>
      </c>
      <c r="G203" s="376">
        <v>0</v>
      </c>
      <c r="H203" s="376">
        <v>0</v>
      </c>
      <c r="I203" s="381"/>
      <c r="J203" s="381"/>
      <c r="K203" s="381"/>
      <c r="L203" s="381"/>
      <c r="M203" s="381"/>
      <c r="N203" s="381"/>
      <c r="O203" s="381"/>
      <c r="P203" s="386">
        <f t="shared" si="139"/>
        <v>240</v>
      </c>
    </row>
    <row r="204" spans="1:16" ht="15.6" x14ac:dyDescent="0.3">
      <c r="A204" s="440" t="s">
        <v>48</v>
      </c>
      <c r="B204" s="357"/>
      <c r="C204" s="348" t="s">
        <v>47</v>
      </c>
      <c r="D204" s="374">
        <f t="shared" ref="D204:O204" si="140">SUM(D199:D203)</f>
        <v>0</v>
      </c>
      <c r="E204" s="602">
        <f t="shared" si="140"/>
        <v>606</v>
      </c>
      <c r="F204" s="374">
        <f t="shared" si="140"/>
        <v>0</v>
      </c>
      <c r="G204" s="374">
        <f t="shared" si="140"/>
        <v>0</v>
      </c>
      <c r="H204" s="374">
        <f t="shared" ref="H204" si="141">SUM(H199:H203)</f>
        <v>0</v>
      </c>
      <c r="I204" s="374">
        <f t="shared" si="140"/>
        <v>0</v>
      </c>
      <c r="J204" s="374">
        <f t="shared" si="140"/>
        <v>330</v>
      </c>
      <c r="K204" s="374">
        <f t="shared" si="140"/>
        <v>0</v>
      </c>
      <c r="L204" s="374">
        <f t="shared" si="140"/>
        <v>0</v>
      </c>
      <c r="M204" s="374">
        <f t="shared" si="140"/>
        <v>0</v>
      </c>
      <c r="N204" s="374">
        <f t="shared" si="140"/>
        <v>0</v>
      </c>
      <c r="O204" s="374">
        <f t="shared" si="140"/>
        <v>0</v>
      </c>
      <c r="P204" s="441">
        <f t="shared" si="139"/>
        <v>936</v>
      </c>
    </row>
    <row r="205" spans="1:16" s="354" customFormat="1" x14ac:dyDescent="0.3">
      <c r="A205" s="470" t="s">
        <v>46</v>
      </c>
      <c r="B205" s="471"/>
      <c r="C205" s="471"/>
      <c r="D205" s="471"/>
      <c r="E205" s="471"/>
      <c r="F205" s="471"/>
      <c r="G205" s="471"/>
      <c r="H205" s="471"/>
      <c r="I205" s="471"/>
      <c r="J205" s="471"/>
      <c r="K205" s="471"/>
      <c r="L205" s="471"/>
      <c r="M205" s="471"/>
      <c r="N205" s="471"/>
      <c r="O205" s="471"/>
      <c r="P205" s="472"/>
    </row>
    <row r="206" spans="1:16" ht="15.6" x14ac:dyDescent="0.3">
      <c r="A206" s="473" t="s">
        <v>43</v>
      </c>
      <c r="B206" s="474"/>
      <c r="C206" s="348" t="s">
        <v>31</v>
      </c>
      <c r="D206" s="376">
        <v>6123537</v>
      </c>
      <c r="E206" s="376">
        <v>9229904</v>
      </c>
      <c r="F206" s="376">
        <v>10230505</v>
      </c>
      <c r="G206" s="376">
        <v>11066370</v>
      </c>
      <c r="H206" s="376">
        <v>5289253</v>
      </c>
      <c r="I206" s="376">
        <v>11863908</v>
      </c>
      <c r="J206" s="376">
        <v>6108363</v>
      </c>
      <c r="K206" s="376">
        <v>12387111</v>
      </c>
      <c r="L206" s="376">
        <v>71185034.019999996</v>
      </c>
      <c r="M206" s="376">
        <v>63346268</v>
      </c>
      <c r="N206" s="376">
        <v>7813270</v>
      </c>
      <c r="O206" s="376">
        <v>6959957</v>
      </c>
      <c r="P206" s="386">
        <f>SUM(D206:O206)</f>
        <v>221603480.01999998</v>
      </c>
    </row>
    <row r="207" spans="1:16" ht="15.6" x14ac:dyDescent="0.3">
      <c r="A207" s="473" t="s">
        <v>42</v>
      </c>
      <c r="B207" s="474"/>
      <c r="C207" s="348" t="s">
        <v>31</v>
      </c>
      <c r="D207" s="376">
        <v>0</v>
      </c>
      <c r="E207" s="376">
        <v>0</v>
      </c>
      <c r="F207" s="376">
        <v>0</v>
      </c>
      <c r="G207" s="376">
        <v>0</v>
      </c>
      <c r="H207" s="376">
        <v>0</v>
      </c>
      <c r="I207" s="376">
        <v>0</v>
      </c>
      <c r="J207" s="376">
        <v>0</v>
      </c>
      <c r="K207" s="376">
        <v>0</v>
      </c>
      <c r="L207" s="376">
        <v>0</v>
      </c>
      <c r="M207" s="376">
        <v>0</v>
      </c>
      <c r="N207" s="376">
        <v>0</v>
      </c>
      <c r="O207" s="376">
        <v>0</v>
      </c>
      <c r="P207" s="386">
        <f>SUM(D207:O207)</f>
        <v>0</v>
      </c>
    </row>
    <row r="208" spans="1:16" ht="15.6" x14ac:dyDescent="0.3">
      <c r="A208" s="480" t="s">
        <v>41</v>
      </c>
      <c r="B208" s="481"/>
      <c r="C208" s="348" t="s">
        <v>31</v>
      </c>
      <c r="D208" s="376">
        <v>264800</v>
      </c>
      <c r="E208" s="376">
        <v>134794</v>
      </c>
      <c r="F208" s="376">
        <v>110550</v>
      </c>
      <c r="G208" s="376">
        <v>153790</v>
      </c>
      <c r="H208" s="376">
        <v>56000</v>
      </c>
      <c r="I208" s="376">
        <v>66300</v>
      </c>
      <c r="J208" s="376">
        <v>48035</v>
      </c>
      <c r="K208" s="376">
        <v>151050</v>
      </c>
      <c r="L208" s="376">
        <v>170000</v>
      </c>
      <c r="M208" s="376">
        <v>152800</v>
      </c>
      <c r="N208" s="376">
        <v>11700</v>
      </c>
      <c r="O208" s="376">
        <v>5743</v>
      </c>
      <c r="P208" s="386">
        <f>SUM(D208:O208)</f>
        <v>1325562</v>
      </c>
    </row>
    <row r="209" spans="1:16" ht="15.6" x14ac:dyDescent="0.3">
      <c r="A209" s="473" t="s">
        <v>40</v>
      </c>
      <c r="B209" s="474"/>
      <c r="C209" s="348" t="s">
        <v>31</v>
      </c>
      <c r="D209" s="376">
        <v>9061000</v>
      </c>
      <c r="E209" s="376">
        <v>431252400.5</v>
      </c>
      <c r="F209" s="376">
        <v>20062000</v>
      </c>
      <c r="G209" s="376">
        <v>12122808</v>
      </c>
      <c r="H209" s="376">
        <v>0</v>
      </c>
      <c r="I209" s="376">
        <v>15092000</v>
      </c>
      <c r="J209" s="376">
        <v>126003.92</v>
      </c>
      <c r="K209" s="376">
        <v>12075000</v>
      </c>
      <c r="L209" s="376">
        <v>35000</v>
      </c>
      <c r="M209" s="376">
        <v>352031518</v>
      </c>
      <c r="N209" s="376">
        <v>10000000</v>
      </c>
      <c r="O209" s="376">
        <v>50071</v>
      </c>
      <c r="P209" s="386">
        <f>SUM(D209:O209)</f>
        <v>861907801.42000008</v>
      </c>
    </row>
    <row r="210" spans="1:16" ht="15.6" x14ac:dyDescent="0.3">
      <c r="A210" s="475" t="s">
        <v>45</v>
      </c>
      <c r="B210" s="476"/>
      <c r="C210" s="348" t="s">
        <v>31</v>
      </c>
      <c r="D210" s="436">
        <f t="shared" ref="D210:O210" si="142">SUM(D206:D209)</f>
        <v>15449337</v>
      </c>
      <c r="E210" s="436">
        <f t="shared" si="142"/>
        <v>440617098.5</v>
      </c>
      <c r="F210" s="436">
        <f t="shared" si="142"/>
        <v>30403055</v>
      </c>
      <c r="G210" s="436">
        <f t="shared" si="142"/>
        <v>23342968</v>
      </c>
      <c r="H210" s="436">
        <f t="shared" si="142"/>
        <v>5345253</v>
      </c>
      <c r="I210" s="436">
        <f t="shared" si="142"/>
        <v>27022208</v>
      </c>
      <c r="J210" s="436">
        <f t="shared" si="142"/>
        <v>6282401.9199999999</v>
      </c>
      <c r="K210" s="436">
        <f t="shared" si="142"/>
        <v>24613161</v>
      </c>
      <c r="L210" s="436">
        <f t="shared" si="142"/>
        <v>71390034.019999996</v>
      </c>
      <c r="M210" s="436">
        <f t="shared" si="142"/>
        <v>415530586</v>
      </c>
      <c r="N210" s="436">
        <f t="shared" si="142"/>
        <v>17824970</v>
      </c>
      <c r="O210" s="436">
        <f t="shared" si="142"/>
        <v>7015771</v>
      </c>
      <c r="P210" s="386">
        <f>SUM(D210:O210)</f>
        <v>1084836843.4400001</v>
      </c>
    </row>
    <row r="211" spans="1:16" s="354" customFormat="1" x14ac:dyDescent="0.3">
      <c r="A211" s="470" t="s">
        <v>44</v>
      </c>
      <c r="B211" s="471"/>
      <c r="C211" s="471"/>
      <c r="D211" s="471"/>
      <c r="E211" s="471"/>
      <c r="F211" s="471"/>
      <c r="G211" s="471"/>
      <c r="H211" s="471"/>
      <c r="I211" s="471"/>
      <c r="J211" s="471"/>
      <c r="K211" s="471"/>
      <c r="L211" s="471"/>
      <c r="M211" s="471"/>
      <c r="N211" s="471"/>
      <c r="O211" s="471"/>
      <c r="P211" s="472"/>
    </row>
    <row r="212" spans="1:16" ht="15.6" x14ac:dyDescent="0.3">
      <c r="A212" s="473" t="s">
        <v>43</v>
      </c>
      <c r="B212" s="474"/>
      <c r="C212" s="348" t="s">
        <v>31</v>
      </c>
      <c r="D212" s="376">
        <v>13067206.76</v>
      </c>
      <c r="E212" s="376">
        <v>19733730.66</v>
      </c>
      <c r="F212" s="376">
        <v>12132637</v>
      </c>
      <c r="G212" s="376">
        <v>18595687.559999999</v>
      </c>
      <c r="H212" s="376">
        <v>8245450.0599999996</v>
      </c>
      <c r="I212" s="376">
        <v>10031853.84</v>
      </c>
      <c r="J212" s="376">
        <v>16446753</v>
      </c>
      <c r="K212" s="376">
        <v>23817428.09</v>
      </c>
      <c r="L212" s="376">
        <v>22838738.09</v>
      </c>
      <c r="M212" s="376">
        <v>10300539</v>
      </c>
      <c r="N212" s="376">
        <v>24727686</v>
      </c>
      <c r="O212" s="376">
        <v>9704213</v>
      </c>
      <c r="P212" s="386">
        <f>SUM(D212:O212)</f>
        <v>189641923.06</v>
      </c>
    </row>
    <row r="213" spans="1:16" ht="15.6" x14ac:dyDescent="0.3">
      <c r="A213" s="473" t="s">
        <v>42</v>
      </c>
      <c r="B213" s="474"/>
      <c r="C213" s="348" t="s">
        <v>31</v>
      </c>
      <c r="D213" s="376">
        <v>0</v>
      </c>
      <c r="E213" s="376">
        <v>0</v>
      </c>
      <c r="F213" s="376">
        <v>0</v>
      </c>
      <c r="G213" s="376">
        <v>0</v>
      </c>
      <c r="H213" s="376">
        <v>0</v>
      </c>
      <c r="I213" s="376">
        <v>0</v>
      </c>
      <c r="J213" s="376">
        <v>0</v>
      </c>
      <c r="K213" s="376">
        <v>0</v>
      </c>
      <c r="L213" s="376">
        <v>0</v>
      </c>
      <c r="M213" s="376">
        <v>0</v>
      </c>
      <c r="N213" s="376">
        <v>0</v>
      </c>
      <c r="O213" s="376">
        <v>0</v>
      </c>
      <c r="P213" s="386">
        <f>SUM(D213:O213)</f>
        <v>0</v>
      </c>
    </row>
    <row r="214" spans="1:16" ht="15.6" x14ac:dyDescent="0.3">
      <c r="A214" s="480" t="s">
        <v>41</v>
      </c>
      <c r="B214" s="481"/>
      <c r="C214" s="348" t="s">
        <v>31</v>
      </c>
      <c r="D214" s="376">
        <v>0</v>
      </c>
      <c r="E214" s="376">
        <v>0</v>
      </c>
      <c r="F214" s="376">
        <v>0</v>
      </c>
      <c r="G214" s="376">
        <v>0</v>
      </c>
      <c r="H214" s="376">
        <v>0</v>
      </c>
      <c r="I214" s="376">
        <v>0</v>
      </c>
      <c r="J214" s="376">
        <v>0</v>
      </c>
      <c r="K214" s="376">
        <v>0</v>
      </c>
      <c r="L214" s="376">
        <v>0</v>
      </c>
      <c r="M214" s="376">
        <v>0</v>
      </c>
      <c r="N214" s="376">
        <v>0</v>
      </c>
      <c r="O214" s="376">
        <v>0</v>
      </c>
      <c r="P214" s="386">
        <f>SUM(D214:O214)</f>
        <v>0</v>
      </c>
    </row>
    <row r="215" spans="1:16" ht="15.6" x14ac:dyDescent="0.3">
      <c r="A215" s="473" t="s">
        <v>40</v>
      </c>
      <c r="B215" s="474"/>
      <c r="C215" s="348" t="s">
        <v>31</v>
      </c>
      <c r="D215" s="376">
        <v>0</v>
      </c>
      <c r="E215" s="376">
        <v>0</v>
      </c>
      <c r="F215" s="376">
        <v>0</v>
      </c>
      <c r="G215" s="376">
        <v>0</v>
      </c>
      <c r="H215" s="376">
        <v>0</v>
      </c>
      <c r="I215" s="376">
        <v>0</v>
      </c>
      <c r="J215" s="376">
        <v>0</v>
      </c>
      <c r="K215" s="376">
        <v>0</v>
      </c>
      <c r="L215" s="376">
        <v>0</v>
      </c>
      <c r="M215" s="376">
        <v>0</v>
      </c>
      <c r="N215" s="376">
        <v>0</v>
      </c>
      <c r="O215" s="376">
        <v>0</v>
      </c>
      <c r="P215" s="386">
        <f>SUM(D215:O215)</f>
        <v>0</v>
      </c>
    </row>
    <row r="216" spans="1:16" ht="15.6" x14ac:dyDescent="0.3">
      <c r="A216" s="475" t="s">
        <v>39</v>
      </c>
      <c r="B216" s="476"/>
      <c r="C216" s="348" t="s">
        <v>31</v>
      </c>
      <c r="D216" s="436">
        <f t="shared" ref="D216:O216" si="143">SUM(D212:D215)</f>
        <v>13067206.76</v>
      </c>
      <c r="E216" s="436">
        <f t="shared" si="143"/>
        <v>19733730.66</v>
      </c>
      <c r="F216" s="436">
        <f t="shared" si="143"/>
        <v>12132637</v>
      </c>
      <c r="G216" s="436">
        <f t="shared" si="143"/>
        <v>18595687.559999999</v>
      </c>
      <c r="H216" s="436">
        <f t="shared" si="143"/>
        <v>8245450.0599999996</v>
      </c>
      <c r="I216" s="436">
        <f t="shared" si="143"/>
        <v>10031853.84</v>
      </c>
      <c r="J216" s="436">
        <f t="shared" si="143"/>
        <v>16446753</v>
      </c>
      <c r="K216" s="436">
        <f t="shared" si="143"/>
        <v>23817428.09</v>
      </c>
      <c r="L216" s="436">
        <f t="shared" si="143"/>
        <v>22838738.09</v>
      </c>
      <c r="M216" s="436">
        <f t="shared" si="143"/>
        <v>10300539</v>
      </c>
      <c r="N216" s="436">
        <f t="shared" si="143"/>
        <v>24727686</v>
      </c>
      <c r="O216" s="436">
        <f t="shared" si="143"/>
        <v>9704213</v>
      </c>
      <c r="P216" s="386">
        <f>SUM(D216:O216)</f>
        <v>189641923.06</v>
      </c>
    </row>
    <row r="217" spans="1:16" s="354" customFormat="1" ht="15.6" x14ac:dyDescent="0.3">
      <c r="A217" s="442" t="s">
        <v>38</v>
      </c>
      <c r="B217" s="443"/>
      <c r="C217" s="348" t="s">
        <v>31</v>
      </c>
      <c r="D217" s="436">
        <f>D210+D216</f>
        <v>28516543.759999998</v>
      </c>
      <c r="E217" s="436">
        <f t="shared" ref="E217:P217" si="144">E210+E216</f>
        <v>460350829.16000003</v>
      </c>
      <c r="F217" s="436">
        <f t="shared" si="144"/>
        <v>42535692</v>
      </c>
      <c r="G217" s="436">
        <f t="shared" si="144"/>
        <v>41938655.560000002</v>
      </c>
      <c r="H217" s="436">
        <f t="shared" si="144"/>
        <v>13590703.059999999</v>
      </c>
      <c r="I217" s="436">
        <f t="shared" si="144"/>
        <v>37054061.840000004</v>
      </c>
      <c r="J217" s="436">
        <f t="shared" si="144"/>
        <v>22729154.920000002</v>
      </c>
      <c r="K217" s="436">
        <f t="shared" si="144"/>
        <v>48430589.090000004</v>
      </c>
      <c r="L217" s="436">
        <f t="shared" si="144"/>
        <v>94228772.109999999</v>
      </c>
      <c r="M217" s="436">
        <f t="shared" si="144"/>
        <v>425831125</v>
      </c>
      <c r="N217" s="436">
        <f t="shared" si="144"/>
        <v>42552656</v>
      </c>
      <c r="O217" s="436">
        <f t="shared" si="144"/>
        <v>16719984</v>
      </c>
      <c r="P217" s="382">
        <f t="shared" si="144"/>
        <v>1274478766.5</v>
      </c>
    </row>
    <row r="218" spans="1:16" s="354" customFormat="1" x14ac:dyDescent="0.3">
      <c r="A218" s="470" t="s">
        <v>37</v>
      </c>
      <c r="B218" s="471"/>
      <c r="C218" s="471"/>
      <c r="D218" s="471"/>
      <c r="E218" s="471"/>
      <c r="F218" s="471"/>
      <c r="G218" s="471"/>
      <c r="H218" s="471"/>
      <c r="I218" s="471"/>
      <c r="J218" s="471"/>
      <c r="K218" s="471"/>
      <c r="L218" s="471"/>
      <c r="M218" s="471"/>
      <c r="N218" s="471"/>
      <c r="O218" s="471"/>
      <c r="P218" s="472"/>
    </row>
    <row r="219" spans="1:16" ht="15.6" x14ac:dyDescent="0.3">
      <c r="A219" s="473" t="s">
        <v>35</v>
      </c>
      <c r="B219" s="474"/>
      <c r="C219" s="348" t="s">
        <v>31</v>
      </c>
      <c r="D219" s="376">
        <v>9493482.5</v>
      </c>
      <c r="E219" s="376">
        <v>14273565</v>
      </c>
      <c r="F219" s="376">
        <v>15730838</v>
      </c>
      <c r="G219" s="376">
        <v>16148712</v>
      </c>
      <c r="H219" s="376">
        <v>16443465</v>
      </c>
      <c r="I219" s="376">
        <v>17135752</v>
      </c>
      <c r="J219" s="376">
        <v>19624523</v>
      </c>
      <c r="K219" s="376">
        <v>24805976</v>
      </c>
      <c r="L219" s="376">
        <v>15709321</v>
      </c>
      <c r="M219" s="376">
        <v>15988522</v>
      </c>
      <c r="N219" s="376">
        <v>15769210</v>
      </c>
      <c r="O219" s="376">
        <v>15400540</v>
      </c>
      <c r="P219" s="386">
        <f>SUM(D219:O219)</f>
        <v>196523906.5</v>
      </c>
    </row>
    <row r="220" spans="1:16" ht="15.6" x14ac:dyDescent="0.3">
      <c r="A220" s="473" t="s">
        <v>34</v>
      </c>
      <c r="B220" s="474"/>
      <c r="C220" s="348" t="s">
        <v>31</v>
      </c>
      <c r="D220" s="376">
        <v>0</v>
      </c>
      <c r="E220" s="376">
        <v>0</v>
      </c>
      <c r="F220" s="376">
        <v>0</v>
      </c>
      <c r="G220" s="376">
        <v>0</v>
      </c>
      <c r="H220" s="376">
        <v>0</v>
      </c>
      <c r="I220" s="376">
        <v>0</v>
      </c>
      <c r="J220" s="376">
        <v>0</v>
      </c>
      <c r="K220" s="376">
        <v>0</v>
      </c>
      <c r="L220" s="376">
        <v>0</v>
      </c>
      <c r="M220" s="376">
        <v>0</v>
      </c>
      <c r="N220" s="376">
        <v>0</v>
      </c>
      <c r="O220" s="376">
        <v>0</v>
      </c>
      <c r="P220" s="386">
        <f>SUM(D220:O220)</f>
        <v>0</v>
      </c>
    </row>
    <row r="221" spans="1:16" ht="15.6" x14ac:dyDescent="0.3">
      <c r="A221" s="473" t="s">
        <v>33</v>
      </c>
      <c r="B221" s="474"/>
      <c r="C221" s="348" t="s">
        <v>31</v>
      </c>
      <c r="D221" s="376">
        <v>42083257.240000002</v>
      </c>
      <c r="E221" s="376">
        <v>58176402</v>
      </c>
      <c r="F221" s="376">
        <v>70859846</v>
      </c>
      <c r="G221" s="376">
        <v>66186130</v>
      </c>
      <c r="H221" s="376">
        <v>58289426</v>
      </c>
      <c r="I221" s="376">
        <v>91442628</v>
      </c>
      <c r="J221" s="376">
        <v>71661058</v>
      </c>
      <c r="K221" s="376">
        <v>68554338</v>
      </c>
      <c r="L221" s="376">
        <v>39419037</v>
      </c>
      <c r="M221" s="376">
        <v>77757092</v>
      </c>
      <c r="N221" s="376">
        <v>67154508</v>
      </c>
      <c r="O221" s="376">
        <v>67308585</v>
      </c>
      <c r="P221" s="386">
        <f>SUM(D221:O221)</f>
        <v>778892307.24000001</v>
      </c>
    </row>
    <row r="222" spans="1:16" ht="15.6" x14ac:dyDescent="0.3">
      <c r="A222" s="473" t="s">
        <v>32</v>
      </c>
      <c r="B222" s="474"/>
      <c r="C222" s="348" t="s">
        <v>31</v>
      </c>
      <c r="D222" s="376">
        <v>2521221.0299999998</v>
      </c>
      <c r="E222" s="376">
        <v>3176697</v>
      </c>
      <c r="F222" s="376">
        <v>35058229</v>
      </c>
      <c r="G222" s="376">
        <v>3166045</v>
      </c>
      <c r="H222" s="376">
        <v>2566756</v>
      </c>
      <c r="I222" s="376">
        <v>182436</v>
      </c>
      <c r="J222" s="376">
        <v>327103</v>
      </c>
      <c r="K222" s="376">
        <v>518634</v>
      </c>
      <c r="L222" s="376">
        <v>290630</v>
      </c>
      <c r="M222" s="376">
        <v>272418</v>
      </c>
      <c r="N222" s="376">
        <v>398865</v>
      </c>
      <c r="O222" s="376">
        <v>235790</v>
      </c>
      <c r="P222" s="386">
        <f>SUM(D222:O222)</f>
        <v>48714824.030000001</v>
      </c>
    </row>
    <row r="223" spans="1:16" ht="15.6" x14ac:dyDescent="0.3">
      <c r="A223" s="475" t="s">
        <v>36</v>
      </c>
      <c r="B223" s="476"/>
      <c r="C223" s="348" t="s">
        <v>31</v>
      </c>
      <c r="D223" s="444">
        <f t="shared" ref="D223:O223" si="145">SUM(D219:D222)</f>
        <v>54097960.770000003</v>
      </c>
      <c r="E223" s="436">
        <f t="shared" si="145"/>
        <v>75626664</v>
      </c>
      <c r="F223" s="436">
        <f t="shared" si="145"/>
        <v>121648913</v>
      </c>
      <c r="G223" s="436">
        <f t="shared" si="145"/>
        <v>85500887</v>
      </c>
      <c r="H223" s="436">
        <f t="shared" si="145"/>
        <v>77299647</v>
      </c>
      <c r="I223" s="436">
        <f t="shared" si="145"/>
        <v>108760816</v>
      </c>
      <c r="J223" s="445">
        <f t="shared" si="145"/>
        <v>91612684</v>
      </c>
      <c r="K223" s="445">
        <f t="shared" si="145"/>
        <v>93878948</v>
      </c>
      <c r="L223" s="445">
        <f t="shared" si="145"/>
        <v>55418988</v>
      </c>
      <c r="M223" s="445">
        <f t="shared" si="145"/>
        <v>94018032</v>
      </c>
      <c r="N223" s="445">
        <f t="shared" si="145"/>
        <v>83322583</v>
      </c>
      <c r="O223" s="445">
        <f t="shared" si="145"/>
        <v>82944915</v>
      </c>
      <c r="P223" s="386">
        <f>SUM(D223:O223)</f>
        <v>1024131037.77</v>
      </c>
    </row>
    <row r="224" spans="1:16" x14ac:dyDescent="0.3">
      <c r="A224" s="470" t="s">
        <v>211</v>
      </c>
      <c r="B224" s="471"/>
      <c r="C224" s="471"/>
      <c r="D224" s="471"/>
      <c r="E224" s="471"/>
      <c r="F224" s="471"/>
      <c r="G224" s="471"/>
      <c r="H224" s="471"/>
      <c r="I224" s="471"/>
      <c r="J224" s="471"/>
      <c r="K224" s="471"/>
      <c r="L224" s="471"/>
      <c r="M224" s="471"/>
      <c r="N224" s="471"/>
      <c r="O224" s="471"/>
      <c r="P224" s="472"/>
    </row>
    <row r="225" spans="1:16" ht="15.6" x14ac:dyDescent="0.3">
      <c r="A225" s="473" t="s">
        <v>35</v>
      </c>
      <c r="B225" s="474"/>
      <c r="C225" s="348" t="s">
        <v>31</v>
      </c>
      <c r="D225" s="376">
        <v>8515368.0999999996</v>
      </c>
      <c r="E225" s="376">
        <v>14323768.539999999</v>
      </c>
      <c r="F225" s="376">
        <v>11822676</v>
      </c>
      <c r="G225" s="376">
        <v>18272589.080000013</v>
      </c>
      <c r="H225" s="376">
        <v>8019014.9699999997</v>
      </c>
      <c r="I225" s="376">
        <v>9802624.4600000009</v>
      </c>
      <c r="J225" s="376">
        <v>16247007.310000001</v>
      </c>
      <c r="K225" s="376">
        <v>23644088.59</v>
      </c>
      <c r="L225" s="376">
        <v>22655262.739999998</v>
      </c>
      <c r="M225" s="376">
        <v>10190498.039999999</v>
      </c>
      <c r="N225" s="376">
        <v>22234965.359999999</v>
      </c>
      <c r="O225" s="376">
        <v>9524443.3800000008</v>
      </c>
      <c r="P225" s="386">
        <f t="shared" ref="P225:P230" si="146">SUM(D225:O225)</f>
        <v>175252306.56999999</v>
      </c>
    </row>
    <row r="226" spans="1:16" ht="15.6" x14ac:dyDescent="0.3">
      <c r="A226" s="473" t="s">
        <v>34</v>
      </c>
      <c r="B226" s="474"/>
      <c r="C226" s="348" t="s">
        <v>31</v>
      </c>
      <c r="D226" s="376">
        <v>0</v>
      </c>
      <c r="E226" s="376">
        <v>0</v>
      </c>
      <c r="F226" s="376">
        <v>0</v>
      </c>
      <c r="G226" s="376">
        <v>0</v>
      </c>
      <c r="H226" s="376">
        <v>0</v>
      </c>
      <c r="I226" s="376">
        <v>0</v>
      </c>
      <c r="J226" s="376">
        <v>0</v>
      </c>
      <c r="K226" s="376">
        <v>0</v>
      </c>
      <c r="L226" s="376">
        <v>0</v>
      </c>
      <c r="M226" s="376">
        <v>0</v>
      </c>
      <c r="N226" s="376">
        <v>0</v>
      </c>
      <c r="O226" s="376">
        <v>0</v>
      </c>
      <c r="P226" s="386">
        <f t="shared" si="146"/>
        <v>0</v>
      </c>
    </row>
    <row r="227" spans="1:16" ht="15.6" x14ac:dyDescent="0.3">
      <c r="A227" s="473" t="s">
        <v>33</v>
      </c>
      <c r="B227" s="474"/>
      <c r="C227" s="348" t="s">
        <v>31</v>
      </c>
      <c r="D227" s="376">
        <v>0</v>
      </c>
      <c r="E227" s="376">
        <v>0</v>
      </c>
      <c r="F227" s="376">
        <v>0</v>
      </c>
      <c r="G227" s="376">
        <v>0</v>
      </c>
      <c r="H227" s="376">
        <v>0</v>
      </c>
      <c r="I227" s="376">
        <v>0</v>
      </c>
      <c r="J227" s="376">
        <v>0</v>
      </c>
      <c r="K227" s="376">
        <v>0</v>
      </c>
      <c r="L227" s="376">
        <v>0</v>
      </c>
      <c r="M227" s="376">
        <v>0</v>
      </c>
      <c r="N227" s="376">
        <v>0</v>
      </c>
      <c r="O227" s="376">
        <v>0</v>
      </c>
      <c r="P227" s="386">
        <f t="shared" si="146"/>
        <v>0</v>
      </c>
    </row>
    <row r="228" spans="1:16" ht="15.6" x14ac:dyDescent="0.3">
      <c r="A228" s="473" t="s">
        <v>32</v>
      </c>
      <c r="B228" s="474"/>
      <c r="C228" s="348" t="s">
        <v>31</v>
      </c>
      <c r="D228" s="376">
        <v>0</v>
      </c>
      <c r="E228" s="376">
        <v>0</v>
      </c>
      <c r="F228" s="376">
        <v>0</v>
      </c>
      <c r="G228" s="376">
        <v>0</v>
      </c>
      <c r="H228" s="376">
        <v>0</v>
      </c>
      <c r="I228" s="376">
        <v>0</v>
      </c>
      <c r="J228" s="376">
        <v>0</v>
      </c>
      <c r="K228" s="376">
        <v>0</v>
      </c>
      <c r="L228" s="376">
        <v>0</v>
      </c>
      <c r="M228" s="376">
        <v>0</v>
      </c>
      <c r="N228" s="376">
        <v>0</v>
      </c>
      <c r="O228" s="376">
        <v>0</v>
      </c>
      <c r="P228" s="386">
        <f t="shared" si="146"/>
        <v>0</v>
      </c>
    </row>
    <row r="229" spans="1:16" ht="15.6" x14ac:dyDescent="0.3">
      <c r="A229" s="475" t="s">
        <v>212</v>
      </c>
      <c r="B229" s="476"/>
      <c r="C229" s="348" t="s">
        <v>31</v>
      </c>
      <c r="D229" s="444">
        <f t="shared" ref="D229:O229" si="147">SUM(D225:D228)</f>
        <v>8515368.0999999996</v>
      </c>
      <c r="E229" s="436">
        <f t="shared" si="147"/>
        <v>14323768.539999999</v>
      </c>
      <c r="F229" s="436">
        <f t="shared" si="147"/>
        <v>11822676</v>
      </c>
      <c r="G229" s="436">
        <f t="shared" si="147"/>
        <v>18272589.080000013</v>
      </c>
      <c r="H229" s="436">
        <f t="shared" si="147"/>
        <v>8019014.9699999997</v>
      </c>
      <c r="I229" s="436">
        <f t="shared" si="147"/>
        <v>9802624.4600000009</v>
      </c>
      <c r="J229" s="445">
        <f t="shared" si="147"/>
        <v>16247007.310000001</v>
      </c>
      <c r="K229" s="445">
        <f t="shared" si="147"/>
        <v>23644088.59</v>
      </c>
      <c r="L229" s="445">
        <f t="shared" si="147"/>
        <v>22655262.739999998</v>
      </c>
      <c r="M229" s="445">
        <f t="shared" si="147"/>
        <v>10190498.039999999</v>
      </c>
      <c r="N229" s="445">
        <f t="shared" si="147"/>
        <v>22234965.359999999</v>
      </c>
      <c r="O229" s="445">
        <f t="shared" si="147"/>
        <v>9524443.3800000008</v>
      </c>
      <c r="P229" s="386">
        <f t="shared" si="146"/>
        <v>175252306.56999999</v>
      </c>
    </row>
    <row r="230" spans="1:16" ht="15.6" x14ac:dyDescent="0.3">
      <c r="A230" s="442" t="s">
        <v>213</v>
      </c>
      <c r="B230" s="446"/>
      <c r="C230" s="348" t="s">
        <v>31</v>
      </c>
      <c r="D230" s="444">
        <f>D223+D229</f>
        <v>62613328.870000005</v>
      </c>
      <c r="E230" s="444">
        <f t="shared" ref="E230:O230" si="148">E223+E229</f>
        <v>89950432.539999992</v>
      </c>
      <c r="F230" s="444">
        <f t="shared" si="148"/>
        <v>133471589</v>
      </c>
      <c r="G230" s="444">
        <f t="shared" si="148"/>
        <v>103773476.08000001</v>
      </c>
      <c r="H230" s="444">
        <f t="shared" si="148"/>
        <v>85318661.969999999</v>
      </c>
      <c r="I230" s="444">
        <f t="shared" si="148"/>
        <v>118563440.46000001</v>
      </c>
      <c r="J230" s="444">
        <f t="shared" si="148"/>
        <v>107859691.31</v>
      </c>
      <c r="K230" s="444">
        <f t="shared" si="148"/>
        <v>117523036.59</v>
      </c>
      <c r="L230" s="444">
        <f t="shared" si="148"/>
        <v>78074250.739999995</v>
      </c>
      <c r="M230" s="444">
        <f t="shared" si="148"/>
        <v>104208530.03999999</v>
      </c>
      <c r="N230" s="444">
        <f t="shared" si="148"/>
        <v>105557548.36</v>
      </c>
      <c r="O230" s="444">
        <f t="shared" si="148"/>
        <v>92469358.379999995</v>
      </c>
      <c r="P230" s="386">
        <f t="shared" si="146"/>
        <v>1199383344.3400002</v>
      </c>
    </row>
    <row r="231" spans="1:16" x14ac:dyDescent="0.3">
      <c r="A231" s="470" t="s">
        <v>30</v>
      </c>
      <c r="B231" s="471"/>
      <c r="C231" s="471"/>
      <c r="D231" s="471"/>
      <c r="E231" s="471"/>
      <c r="F231" s="471"/>
      <c r="G231" s="471"/>
      <c r="H231" s="471"/>
      <c r="I231" s="471"/>
      <c r="J231" s="471"/>
      <c r="K231" s="471"/>
      <c r="L231" s="471"/>
      <c r="M231" s="471"/>
      <c r="N231" s="471"/>
      <c r="O231" s="471"/>
      <c r="P231" s="472"/>
    </row>
    <row r="232" spans="1:16" ht="15.6" x14ac:dyDescent="0.3">
      <c r="A232" s="473" t="s">
        <v>29</v>
      </c>
      <c r="B232" s="474"/>
      <c r="C232" s="348" t="s">
        <v>18</v>
      </c>
      <c r="D232" s="376">
        <v>411148.86</v>
      </c>
      <c r="E232" s="376">
        <v>622921</v>
      </c>
      <c r="F232" s="376">
        <v>632531</v>
      </c>
      <c r="G232" s="376">
        <v>631689</v>
      </c>
      <c r="H232" s="376">
        <v>641943</v>
      </c>
      <c r="I232" s="376">
        <v>645546</v>
      </c>
      <c r="J232" s="376">
        <v>652530</v>
      </c>
      <c r="K232" s="376">
        <v>667589</v>
      </c>
      <c r="L232" s="376">
        <v>678339</v>
      </c>
      <c r="M232" s="376">
        <v>678775</v>
      </c>
      <c r="N232" s="376">
        <v>680459</v>
      </c>
      <c r="O232" s="376">
        <v>684422</v>
      </c>
      <c r="P232" s="386">
        <f>SUM(D232:O232)</f>
        <v>7627892.8599999994</v>
      </c>
    </row>
    <row r="233" spans="1:16" ht="15.6" x14ac:dyDescent="0.3">
      <c r="A233" s="473" t="s">
        <v>28</v>
      </c>
      <c r="B233" s="474"/>
      <c r="C233" s="348" t="s">
        <v>18</v>
      </c>
      <c r="D233" s="376">
        <v>0</v>
      </c>
      <c r="E233" s="376">
        <v>0</v>
      </c>
      <c r="F233" s="376">
        <v>0</v>
      </c>
      <c r="G233" s="376">
        <v>0</v>
      </c>
      <c r="H233" s="376">
        <v>0</v>
      </c>
      <c r="I233" s="376">
        <v>0</v>
      </c>
      <c r="J233" s="376">
        <v>0</v>
      </c>
      <c r="K233" s="376">
        <v>0</v>
      </c>
      <c r="L233" s="376">
        <v>0</v>
      </c>
      <c r="M233" s="376">
        <v>0</v>
      </c>
      <c r="N233" s="376">
        <v>0</v>
      </c>
      <c r="O233" s="376">
        <v>0</v>
      </c>
      <c r="P233" s="386">
        <f>SUM(D233:O233)</f>
        <v>0</v>
      </c>
    </row>
    <row r="234" spans="1:16" ht="15.6" x14ac:dyDescent="0.3">
      <c r="A234" s="473" t="s">
        <v>27</v>
      </c>
      <c r="B234" s="474"/>
      <c r="C234" s="348" t="s">
        <v>18</v>
      </c>
      <c r="D234" s="376">
        <v>39078.25</v>
      </c>
      <c r="E234" s="376">
        <v>58617</v>
      </c>
      <c r="F234" s="376">
        <v>58617</v>
      </c>
      <c r="G234" s="376">
        <v>55532</v>
      </c>
      <c r="H234" s="376">
        <v>55532</v>
      </c>
      <c r="I234" s="376">
        <v>52447</v>
      </c>
      <c r="J234" s="376">
        <v>52447</v>
      </c>
      <c r="K234" s="376">
        <v>52477</v>
      </c>
      <c r="L234" s="376">
        <v>54805</v>
      </c>
      <c r="M234" s="376">
        <v>49288</v>
      </c>
      <c r="N234" s="376">
        <v>52447</v>
      </c>
      <c r="O234" s="376">
        <v>52447</v>
      </c>
      <c r="P234" s="386">
        <f>SUM(D234:O234)</f>
        <v>633734.25</v>
      </c>
    </row>
    <row r="235" spans="1:16" ht="15.6" x14ac:dyDescent="0.3">
      <c r="A235" s="473" t="s">
        <v>26</v>
      </c>
      <c r="B235" s="474"/>
      <c r="C235" s="348" t="s">
        <v>18</v>
      </c>
      <c r="D235" s="376">
        <v>30915.61</v>
      </c>
      <c r="E235" s="376">
        <v>42158</v>
      </c>
      <c r="F235" s="376">
        <v>42158</v>
      </c>
      <c r="G235" s="376">
        <v>46373</v>
      </c>
      <c r="H235" s="376">
        <v>50589</v>
      </c>
      <c r="I235" s="376">
        <v>50589</v>
      </c>
      <c r="J235" s="376">
        <v>54805</v>
      </c>
      <c r="K235" s="376">
        <v>54805</v>
      </c>
      <c r="L235" s="376">
        <v>49362</v>
      </c>
      <c r="M235" s="376">
        <v>50589</v>
      </c>
      <c r="N235" s="376">
        <v>50589</v>
      </c>
      <c r="O235" s="376">
        <v>50589</v>
      </c>
      <c r="P235" s="386">
        <f>SUM(D235:O235)</f>
        <v>573521.61</v>
      </c>
    </row>
    <row r="236" spans="1:16" ht="15.6" x14ac:dyDescent="0.3">
      <c r="A236" s="475" t="s">
        <v>25</v>
      </c>
      <c r="B236" s="476"/>
      <c r="C236" s="348" t="s">
        <v>18</v>
      </c>
      <c r="D236" s="444">
        <f t="shared" ref="D236:O236" si="149">SUM(D232:D235)</f>
        <v>481142.72</v>
      </c>
      <c r="E236" s="444">
        <f t="shared" si="149"/>
        <v>723696</v>
      </c>
      <c r="F236" s="444">
        <f t="shared" si="149"/>
        <v>733306</v>
      </c>
      <c r="G236" s="444">
        <f t="shared" si="149"/>
        <v>733594</v>
      </c>
      <c r="H236" s="444">
        <f t="shared" si="149"/>
        <v>748064</v>
      </c>
      <c r="I236" s="444">
        <f t="shared" si="149"/>
        <v>748582</v>
      </c>
      <c r="J236" s="444">
        <f t="shared" si="149"/>
        <v>759782</v>
      </c>
      <c r="K236" s="444">
        <f t="shared" si="149"/>
        <v>774871</v>
      </c>
      <c r="L236" s="444">
        <f t="shared" si="149"/>
        <v>782506</v>
      </c>
      <c r="M236" s="444">
        <f t="shared" si="149"/>
        <v>778652</v>
      </c>
      <c r="N236" s="444">
        <f t="shared" si="149"/>
        <v>783495</v>
      </c>
      <c r="O236" s="444">
        <f t="shared" si="149"/>
        <v>787458</v>
      </c>
      <c r="P236" s="382">
        <f t="shared" ref="P236" si="150">SUM(P232:P235)</f>
        <v>8835148.7199999988</v>
      </c>
    </row>
    <row r="237" spans="1:16" x14ac:dyDescent="0.3">
      <c r="A237" s="470" t="s">
        <v>24</v>
      </c>
      <c r="B237" s="471"/>
      <c r="C237" s="471"/>
      <c r="D237" s="471"/>
      <c r="E237" s="471"/>
      <c r="F237" s="471"/>
      <c r="G237" s="471"/>
      <c r="H237" s="471"/>
      <c r="I237" s="471"/>
      <c r="J237" s="471"/>
      <c r="K237" s="471"/>
      <c r="L237" s="471"/>
      <c r="M237" s="471"/>
      <c r="N237" s="471"/>
      <c r="O237" s="471"/>
      <c r="P237" s="472"/>
    </row>
    <row r="238" spans="1:16" ht="15.6" x14ac:dyDescent="0.3">
      <c r="A238" s="473" t="s">
        <v>23</v>
      </c>
      <c r="B238" s="474"/>
      <c r="C238" s="348" t="s">
        <v>18</v>
      </c>
      <c r="D238" s="376">
        <v>1206443</v>
      </c>
      <c r="E238" s="376">
        <v>1218052</v>
      </c>
      <c r="F238" s="376">
        <v>1235912</v>
      </c>
      <c r="G238" s="376">
        <v>1234126</v>
      </c>
      <c r="H238" s="376">
        <v>1252879</v>
      </c>
      <c r="I238" s="376">
        <v>1260916</v>
      </c>
      <c r="J238" s="376">
        <v>1274311</v>
      </c>
      <c r="K238" s="376">
        <v>1301994</v>
      </c>
      <c r="L238" s="376">
        <v>1321640</v>
      </c>
      <c r="M238" s="376">
        <v>1320747</v>
      </c>
      <c r="N238" s="376">
        <v>1324319</v>
      </c>
      <c r="O238" s="376">
        <v>1331463</v>
      </c>
      <c r="P238" s="386">
        <f>SUM(D238:O238)</f>
        <v>15282802</v>
      </c>
    </row>
    <row r="239" spans="1:16" ht="15.6" x14ac:dyDescent="0.3">
      <c r="A239" s="473" t="s">
        <v>22</v>
      </c>
      <c r="B239" s="474"/>
      <c r="C239" s="348" t="s">
        <v>18</v>
      </c>
      <c r="D239" s="374">
        <v>0</v>
      </c>
      <c r="E239" s="374">
        <v>0</v>
      </c>
      <c r="F239" s="374">
        <v>0</v>
      </c>
      <c r="G239" s="376">
        <v>0</v>
      </c>
      <c r="H239" s="376">
        <v>0</v>
      </c>
      <c r="I239" s="376">
        <v>0</v>
      </c>
      <c r="J239" s="376">
        <v>0</v>
      </c>
      <c r="K239" s="376">
        <v>0</v>
      </c>
      <c r="L239" s="376">
        <v>0</v>
      </c>
      <c r="M239" s="376">
        <v>0</v>
      </c>
      <c r="N239" s="376">
        <v>0</v>
      </c>
      <c r="O239" s="376">
        <v>0</v>
      </c>
      <c r="P239" s="386">
        <f>SUM(D239:O239)</f>
        <v>0</v>
      </c>
    </row>
    <row r="240" spans="1:16" ht="15.6" x14ac:dyDescent="0.3">
      <c r="A240" s="473" t="s">
        <v>21</v>
      </c>
      <c r="B240" s="474"/>
      <c r="C240" s="348" t="s">
        <v>18</v>
      </c>
      <c r="D240" s="374">
        <v>16967</v>
      </c>
      <c r="E240" s="374">
        <v>16967</v>
      </c>
      <c r="F240" s="374">
        <v>16967</v>
      </c>
      <c r="G240" s="376">
        <v>16074</v>
      </c>
      <c r="H240" s="374">
        <v>16074</v>
      </c>
      <c r="I240" s="374">
        <v>15181</v>
      </c>
      <c r="J240" s="374">
        <v>15181</v>
      </c>
      <c r="K240" s="374">
        <v>151818</v>
      </c>
      <c r="L240" s="374">
        <v>14288</v>
      </c>
      <c r="M240" s="374">
        <v>14288</v>
      </c>
      <c r="N240" s="374">
        <v>15181</v>
      </c>
      <c r="O240" s="374">
        <v>15181</v>
      </c>
      <c r="P240" s="386">
        <f>SUM(D240:O240)</f>
        <v>324167</v>
      </c>
    </row>
    <row r="241" spans="1:16" ht="15.6" x14ac:dyDescent="0.3">
      <c r="A241" s="473" t="s">
        <v>20</v>
      </c>
      <c r="B241" s="474"/>
      <c r="C241" s="348" t="s">
        <v>18</v>
      </c>
      <c r="D241" s="374">
        <v>9823</v>
      </c>
      <c r="E241" s="374">
        <v>8930</v>
      </c>
      <c r="F241" s="374">
        <v>8930</v>
      </c>
      <c r="G241" s="376">
        <v>9823</v>
      </c>
      <c r="H241" s="374">
        <v>10716</v>
      </c>
      <c r="I241" s="374">
        <v>10716</v>
      </c>
      <c r="J241" s="374">
        <v>11609</v>
      </c>
      <c r="K241" s="374">
        <v>11609</v>
      </c>
      <c r="L241" s="374">
        <v>11609</v>
      </c>
      <c r="M241" s="374">
        <v>10716</v>
      </c>
      <c r="N241" s="374">
        <v>10716</v>
      </c>
      <c r="O241" s="374">
        <v>10716</v>
      </c>
      <c r="P241" s="386">
        <f>SUM(D241:O241)</f>
        <v>125913</v>
      </c>
    </row>
    <row r="242" spans="1:16" ht="15.6" x14ac:dyDescent="0.3">
      <c r="A242" s="475" t="s">
        <v>19</v>
      </c>
      <c r="B242" s="476"/>
      <c r="C242" s="348" t="s">
        <v>18</v>
      </c>
      <c r="D242" s="444">
        <f t="shared" ref="D242:P242" si="151">SUM(D238:D241)</f>
        <v>1233233</v>
      </c>
      <c r="E242" s="444">
        <f t="shared" si="151"/>
        <v>1243949</v>
      </c>
      <c r="F242" s="444">
        <f t="shared" si="151"/>
        <v>1261809</v>
      </c>
      <c r="G242" s="444">
        <f t="shared" si="151"/>
        <v>1260023</v>
      </c>
      <c r="H242" s="444">
        <f t="shared" si="151"/>
        <v>1279669</v>
      </c>
      <c r="I242" s="444">
        <f t="shared" si="151"/>
        <v>1286813</v>
      </c>
      <c r="J242" s="444">
        <f t="shared" si="151"/>
        <v>1301101</v>
      </c>
      <c r="K242" s="444">
        <f t="shared" si="151"/>
        <v>1465421</v>
      </c>
      <c r="L242" s="444">
        <f t="shared" si="151"/>
        <v>1347537</v>
      </c>
      <c r="M242" s="444">
        <f t="shared" si="151"/>
        <v>1345751</v>
      </c>
      <c r="N242" s="444">
        <f t="shared" si="151"/>
        <v>1350216</v>
      </c>
      <c r="O242" s="444">
        <f t="shared" si="151"/>
        <v>1357360</v>
      </c>
      <c r="P242" s="382">
        <f t="shared" si="151"/>
        <v>15732882</v>
      </c>
    </row>
    <row r="243" spans="1:16" ht="15.6" x14ac:dyDescent="0.3">
      <c r="A243" s="475" t="s">
        <v>214</v>
      </c>
      <c r="B243" s="476"/>
      <c r="C243" s="348" t="s">
        <v>18</v>
      </c>
      <c r="D243" s="436">
        <f>D230+D236+D242</f>
        <v>64327704.590000004</v>
      </c>
      <c r="E243" s="436">
        <f t="shared" ref="E243:O243" si="152">E230+E236+E242</f>
        <v>91918077.539999992</v>
      </c>
      <c r="F243" s="436">
        <f t="shared" si="152"/>
        <v>135466704</v>
      </c>
      <c r="G243" s="436">
        <f t="shared" si="152"/>
        <v>105767093.08000001</v>
      </c>
      <c r="H243" s="436">
        <f t="shared" si="152"/>
        <v>87346394.969999999</v>
      </c>
      <c r="I243" s="436">
        <f t="shared" si="152"/>
        <v>120598835.46000001</v>
      </c>
      <c r="J243" s="436">
        <f t="shared" si="152"/>
        <v>109920574.31</v>
      </c>
      <c r="K243" s="436">
        <f t="shared" si="152"/>
        <v>119763328.59</v>
      </c>
      <c r="L243" s="436">
        <f t="shared" si="152"/>
        <v>80204293.739999995</v>
      </c>
      <c r="M243" s="436">
        <f t="shared" si="152"/>
        <v>106332933.03999999</v>
      </c>
      <c r="N243" s="436">
        <f t="shared" si="152"/>
        <v>107691259.36</v>
      </c>
      <c r="O243" s="436">
        <f t="shared" si="152"/>
        <v>94614176.379999995</v>
      </c>
      <c r="P243" s="382">
        <f t="shared" ref="P243" si="153">P216+P223+P236+P242</f>
        <v>1238340991.55</v>
      </c>
    </row>
    <row r="244" spans="1:16" x14ac:dyDescent="0.3">
      <c r="A244" s="470" t="s">
        <v>204</v>
      </c>
      <c r="B244" s="471"/>
      <c r="C244" s="471"/>
      <c r="D244" s="471"/>
      <c r="E244" s="471"/>
      <c r="F244" s="471"/>
      <c r="G244" s="471"/>
      <c r="H244" s="471"/>
      <c r="I244" s="471"/>
      <c r="J244" s="471"/>
      <c r="K244" s="471"/>
      <c r="L244" s="471"/>
      <c r="M244" s="471"/>
      <c r="N244" s="471"/>
      <c r="O244" s="471"/>
      <c r="P244" s="472"/>
    </row>
    <row r="245" spans="1:16" ht="15.6" x14ac:dyDescent="0.3">
      <c r="A245" s="494" t="s">
        <v>205</v>
      </c>
      <c r="B245" s="495"/>
      <c r="C245" s="348" t="s">
        <v>18</v>
      </c>
      <c r="D245" s="447">
        <v>70398636.210002214</v>
      </c>
      <c r="E245" s="447">
        <v>78843535.949998304</v>
      </c>
      <c r="F245" s="447">
        <v>119601349.22000025</v>
      </c>
      <c r="G245" s="447">
        <v>126567271.39000125</v>
      </c>
      <c r="H245" s="447">
        <v>134444036.79000157</v>
      </c>
      <c r="I245" s="447">
        <v>148414341.70000136</v>
      </c>
      <c r="J245" s="447">
        <v>161669705.82000077</v>
      </c>
      <c r="K245" s="447">
        <v>176784587.94000265</v>
      </c>
      <c r="L245" s="447">
        <v>188536228.86000118</v>
      </c>
      <c r="M245" s="447">
        <v>161570494.66000167</v>
      </c>
      <c r="N245" s="447">
        <v>172849985.17999941</v>
      </c>
      <c r="O245" s="447">
        <v>186798395.52000099</v>
      </c>
      <c r="P245" s="448">
        <f>O245</f>
        <v>186798395.52000099</v>
      </c>
    </row>
    <row r="246" spans="1:16" ht="15.6" x14ac:dyDescent="0.3">
      <c r="A246" s="494" t="s">
        <v>206</v>
      </c>
      <c r="B246" s="495"/>
      <c r="C246" s="348" t="s">
        <v>18</v>
      </c>
      <c r="D246" s="447">
        <v>891846508.18000007</v>
      </c>
      <c r="E246" s="447">
        <v>525505625.42000002</v>
      </c>
      <c r="F246" s="447">
        <v>577786289.48000002</v>
      </c>
      <c r="G246" s="447">
        <v>599820505.07000005</v>
      </c>
      <c r="H246" s="447">
        <v>666069545.69999993</v>
      </c>
      <c r="I246" s="447">
        <v>738303326.87999988</v>
      </c>
      <c r="J246" s="447">
        <v>809512767.88</v>
      </c>
      <c r="K246" s="447">
        <v>867057503.00999987</v>
      </c>
      <c r="L246" s="447">
        <v>907677560.85999978</v>
      </c>
      <c r="M246" s="447">
        <v>611569094.57999992</v>
      </c>
      <c r="N246" s="447">
        <v>668576970.05999994</v>
      </c>
      <c r="O246" s="447">
        <v>736296093.79999995</v>
      </c>
      <c r="P246" s="448">
        <f>O246</f>
        <v>736296093.79999995</v>
      </c>
    </row>
    <row r="247" spans="1:16" ht="15.6" x14ac:dyDescent="0.3">
      <c r="A247" s="492" t="s">
        <v>207</v>
      </c>
      <c r="B247" s="493"/>
      <c r="C247" s="348" t="s">
        <v>18</v>
      </c>
      <c r="D247" s="449">
        <f>D245+D246</f>
        <v>962245144.39000225</v>
      </c>
      <c r="E247" s="449">
        <f t="shared" ref="E247:G247" si="154">E245+E246</f>
        <v>604349161.36999834</v>
      </c>
      <c r="F247" s="449">
        <f t="shared" si="154"/>
        <v>697387638.70000029</v>
      </c>
      <c r="G247" s="449">
        <f t="shared" si="154"/>
        <v>726387776.46000135</v>
      </c>
      <c r="H247" s="449">
        <f t="shared" ref="H247:P247" si="155">H245+H246</f>
        <v>800513582.49000144</v>
      </c>
      <c r="I247" s="449">
        <f t="shared" si="155"/>
        <v>886717668.58000124</v>
      </c>
      <c r="J247" s="449">
        <f t="shared" si="155"/>
        <v>971182473.70000076</v>
      </c>
      <c r="K247" s="449">
        <f t="shared" si="155"/>
        <v>1043842090.9500026</v>
      </c>
      <c r="L247" s="449">
        <f t="shared" si="155"/>
        <v>1096213789.720001</v>
      </c>
      <c r="M247" s="449">
        <f t="shared" si="155"/>
        <v>773139589.24000156</v>
      </c>
      <c r="N247" s="450">
        <f t="shared" si="155"/>
        <v>841426955.23999929</v>
      </c>
      <c r="O247" s="450">
        <f t="shared" si="155"/>
        <v>923094489.32000089</v>
      </c>
      <c r="P247" s="448">
        <f t="shared" si="155"/>
        <v>923094489.32000089</v>
      </c>
    </row>
    <row r="248" spans="1:16" x14ac:dyDescent="0.3">
      <c r="A248" s="470" t="s">
        <v>17</v>
      </c>
      <c r="B248" s="471"/>
      <c r="C248" s="471"/>
      <c r="D248" s="471"/>
      <c r="E248" s="471"/>
      <c r="F248" s="471"/>
      <c r="G248" s="471"/>
      <c r="H248" s="471"/>
      <c r="I248" s="471"/>
      <c r="J248" s="471"/>
      <c r="K248" s="471"/>
      <c r="L248" s="471"/>
      <c r="M248" s="471"/>
      <c r="N248" s="471"/>
      <c r="O248" s="471"/>
      <c r="P248" s="472"/>
    </row>
    <row r="249" spans="1:16" ht="15.6" x14ac:dyDescent="0.3">
      <c r="A249" s="485" t="s">
        <v>16</v>
      </c>
      <c r="B249" s="486"/>
      <c r="C249" s="358" t="s">
        <v>6</v>
      </c>
      <c r="D249" s="451">
        <f>D58/D243</f>
        <v>0.14001350557905862</v>
      </c>
      <c r="E249" s="451">
        <f>E58/E243</f>
        <v>0.10643792627454032</v>
      </c>
      <c r="F249" s="451">
        <f>F58/F243</f>
        <v>6.7176734011333145E-2</v>
      </c>
      <c r="G249" s="451">
        <f>G58/G243</f>
        <v>8.6152949430195302E-2</v>
      </c>
      <c r="H249" s="451">
        <f>H58/H243</f>
        <v>0.11759182546718447</v>
      </c>
      <c r="I249" s="451">
        <f t="shared" ref="I249:O249" si="156">I58/I243</f>
        <v>9.0364298821231731E-2</v>
      </c>
      <c r="J249" s="451">
        <f t="shared" si="156"/>
        <v>0.10964401394510873</v>
      </c>
      <c r="K249" s="451">
        <f t="shared" si="156"/>
        <v>9.8123407564352172E-2</v>
      </c>
      <c r="L249" s="451">
        <f t="shared" si="156"/>
        <v>0.14989612097917093</v>
      </c>
      <c r="M249" s="451">
        <f t="shared" si="156"/>
        <v>0.11556206483909852</v>
      </c>
      <c r="N249" s="451">
        <f t="shared" si="156"/>
        <v>0.10272271926470672</v>
      </c>
      <c r="O249" s="451">
        <f t="shared" si="156"/>
        <v>0.10096085862053984</v>
      </c>
      <c r="P249" s="452">
        <f>P58/P243</f>
        <v>0.10247619924190822</v>
      </c>
    </row>
    <row r="250" spans="1:16" ht="15.6" x14ac:dyDescent="0.3">
      <c r="A250" s="485" t="s">
        <v>208</v>
      </c>
      <c r="B250" s="486"/>
      <c r="C250" s="358" t="s">
        <v>6</v>
      </c>
      <c r="D250" s="424">
        <f>D210/(D223+D245)</f>
        <v>0.12409445217592263</v>
      </c>
      <c r="E250" s="424">
        <f>E210/(E223+E245)</f>
        <v>2.8524407856183704</v>
      </c>
      <c r="F250" s="424">
        <f>F210/(F223+F245)</f>
        <v>0.12602288892964986</v>
      </c>
      <c r="G250" s="424">
        <f>G210/(G223+G245)</f>
        <v>0.11007295096641247</v>
      </c>
      <c r="H250" s="616">
        <f>H210/(H223+H245)</f>
        <v>2.52439784947786E-2</v>
      </c>
      <c r="I250" s="424">
        <f t="shared" ref="I250:O250" si="157">I210/(I223+I245)</f>
        <v>0.10507316585967377</v>
      </c>
      <c r="J250" s="424">
        <f t="shared" si="157"/>
        <v>2.480394284207714E-2</v>
      </c>
      <c r="K250" s="424">
        <f t="shared" si="157"/>
        <v>9.0936375727596858E-2</v>
      </c>
      <c r="L250" s="424">
        <f t="shared" si="157"/>
        <v>0.29263581627347884</v>
      </c>
      <c r="M250" s="424">
        <f t="shared" si="157"/>
        <v>1.625779495778237</v>
      </c>
      <c r="N250" s="424">
        <f t="shared" si="157"/>
        <v>6.9581884300255373E-2</v>
      </c>
      <c r="O250" s="424">
        <f t="shared" si="157"/>
        <v>2.6009063900325317E-2</v>
      </c>
      <c r="P250" s="425">
        <f>P210/(P223+P245)</f>
        <v>0.89587123214321651</v>
      </c>
    </row>
    <row r="251" spans="1:16" ht="16.2" thickBot="1" x14ac:dyDescent="0.35">
      <c r="A251" s="496" t="s">
        <v>15</v>
      </c>
      <c r="B251" s="497"/>
      <c r="C251" s="358" t="s">
        <v>6</v>
      </c>
      <c r="D251" s="453">
        <f>D210/D223</f>
        <v>0.28558076460004794</v>
      </c>
      <c r="E251" s="453">
        <f>E210/E223</f>
        <v>5.8262136023876447</v>
      </c>
      <c r="F251" s="453">
        <f>F210/F223</f>
        <v>0.24992459242114232</v>
      </c>
      <c r="G251" s="453">
        <f>G210/G223</f>
        <v>0.27301433726646601</v>
      </c>
      <c r="H251" s="453">
        <f>H210/H223</f>
        <v>6.914977244333341E-2</v>
      </c>
      <c r="I251" s="453">
        <f t="shared" ref="I251:O251" si="158">I210/I223</f>
        <v>0.24845536282111014</v>
      </c>
      <c r="J251" s="453">
        <f t="shared" si="158"/>
        <v>6.8575678014192884E-2</v>
      </c>
      <c r="K251" s="453">
        <f t="shared" si="158"/>
        <v>0.26217977005877824</v>
      </c>
      <c r="L251" s="453">
        <f t="shared" si="158"/>
        <v>1.2881872548809443</v>
      </c>
      <c r="M251" s="453">
        <f t="shared" si="158"/>
        <v>4.4196903206823137</v>
      </c>
      <c r="N251" s="453">
        <f t="shared" si="158"/>
        <v>0.2139272374693425</v>
      </c>
      <c r="O251" s="453">
        <f t="shared" si="158"/>
        <v>8.4583497372925157E-2</v>
      </c>
      <c r="P251" s="454">
        <f>P210/P223</f>
        <v>1.0592754280762589</v>
      </c>
    </row>
    <row r="252" spans="1:16" x14ac:dyDescent="0.3">
      <c r="A252" s="498" t="s">
        <v>14</v>
      </c>
      <c r="B252" s="499"/>
      <c r="C252" s="499"/>
      <c r="D252" s="499"/>
      <c r="E252" s="499"/>
      <c r="F252" s="499"/>
      <c r="G252" s="499"/>
      <c r="H252" s="499"/>
      <c r="I252" s="499"/>
      <c r="J252" s="499"/>
      <c r="K252" s="499"/>
      <c r="L252" s="499"/>
      <c r="M252" s="499"/>
      <c r="N252" s="499"/>
      <c r="O252" s="499"/>
      <c r="P252" s="500"/>
    </row>
    <row r="253" spans="1:16" s="354" customFormat="1" ht="15" customHeight="1" x14ac:dyDescent="0.3">
      <c r="A253" s="485" t="s">
        <v>13</v>
      </c>
      <c r="B253" s="486"/>
      <c r="C253" s="358" t="s">
        <v>3</v>
      </c>
      <c r="D253" s="381">
        <v>7</v>
      </c>
      <c r="E253" s="381">
        <v>24</v>
      </c>
      <c r="F253" s="381">
        <v>12</v>
      </c>
      <c r="G253" s="381">
        <v>22</v>
      </c>
      <c r="H253" s="381">
        <v>24</v>
      </c>
      <c r="I253" s="381"/>
      <c r="J253" s="381">
        <v>345</v>
      </c>
      <c r="K253" s="381">
        <v>528</v>
      </c>
      <c r="L253" s="381">
        <v>618</v>
      </c>
      <c r="M253" s="381">
        <v>107</v>
      </c>
      <c r="N253" s="381">
        <v>12</v>
      </c>
      <c r="O253" s="381"/>
      <c r="P253" s="455">
        <f>SUM(D253:O253)</f>
        <v>1699</v>
      </c>
    </row>
    <row r="254" spans="1:16" s="354" customFormat="1" ht="15.6" x14ac:dyDescent="0.3">
      <c r="A254" s="485" t="s">
        <v>12</v>
      </c>
      <c r="B254" s="486"/>
      <c r="C254" s="358" t="s">
        <v>3</v>
      </c>
      <c r="D254" s="381">
        <v>1</v>
      </c>
      <c r="E254" s="381">
        <v>1</v>
      </c>
      <c r="F254" s="381">
        <v>1</v>
      </c>
      <c r="G254" s="381">
        <v>1</v>
      </c>
      <c r="H254" s="381">
        <v>1</v>
      </c>
      <c r="I254" s="381"/>
      <c r="J254" s="381">
        <v>1</v>
      </c>
      <c r="K254" s="381">
        <v>1</v>
      </c>
      <c r="L254" s="381">
        <v>1</v>
      </c>
      <c r="M254" s="381">
        <v>1</v>
      </c>
      <c r="N254" s="381">
        <v>1</v>
      </c>
      <c r="O254" s="381"/>
      <c r="P254" s="455">
        <f>SUM(D254:O254)</f>
        <v>10</v>
      </c>
    </row>
    <row r="255" spans="1:16" ht="15.75" customHeight="1" x14ac:dyDescent="0.3">
      <c r="A255" s="485" t="s">
        <v>11</v>
      </c>
      <c r="B255" s="486"/>
      <c r="C255" s="358" t="s">
        <v>3</v>
      </c>
      <c r="D255" s="381">
        <v>7</v>
      </c>
      <c r="E255" s="381">
        <v>24</v>
      </c>
      <c r="F255" s="381">
        <v>12</v>
      </c>
      <c r="G255" s="381">
        <f t="shared" ref="G255:O255" si="159">G95</f>
        <v>64</v>
      </c>
      <c r="H255" s="381">
        <f t="shared" si="159"/>
        <v>103</v>
      </c>
      <c r="I255" s="381">
        <f t="shared" si="159"/>
        <v>80</v>
      </c>
      <c r="J255" s="381">
        <f t="shared" si="159"/>
        <v>69</v>
      </c>
      <c r="K255" s="381">
        <f t="shared" si="159"/>
        <v>52</v>
      </c>
      <c r="L255" s="381">
        <f t="shared" si="159"/>
        <v>102</v>
      </c>
      <c r="M255" s="381">
        <f t="shared" si="159"/>
        <v>79</v>
      </c>
      <c r="N255" s="381">
        <f t="shared" si="159"/>
        <v>89</v>
      </c>
      <c r="O255" s="381">
        <f t="shared" si="159"/>
        <v>107</v>
      </c>
      <c r="P255" s="455">
        <f>SUM(D255:O255)</f>
        <v>788</v>
      </c>
    </row>
    <row r="256" spans="1:16" ht="15.6" x14ac:dyDescent="0.3">
      <c r="A256" s="485" t="s">
        <v>10</v>
      </c>
      <c r="B256" s="486"/>
      <c r="C256" s="358" t="s">
        <v>3</v>
      </c>
      <c r="D256" s="381">
        <v>108</v>
      </c>
      <c r="E256" s="381">
        <v>123</v>
      </c>
      <c r="F256" s="381">
        <v>123</v>
      </c>
      <c r="G256" s="381">
        <f t="shared" ref="G256:O256" si="160">G91</f>
        <v>22</v>
      </c>
      <c r="H256" s="381">
        <f t="shared" si="160"/>
        <v>24</v>
      </c>
      <c r="I256" s="381">
        <f t="shared" si="160"/>
        <v>3</v>
      </c>
      <c r="J256" s="381">
        <f t="shared" si="160"/>
        <v>9</v>
      </c>
      <c r="K256" s="381">
        <f t="shared" si="160"/>
        <v>5</v>
      </c>
      <c r="L256" s="381">
        <f t="shared" si="160"/>
        <v>24</v>
      </c>
      <c r="M256" s="381">
        <f t="shared" si="160"/>
        <v>17</v>
      </c>
      <c r="N256" s="381">
        <f t="shared" si="160"/>
        <v>10</v>
      </c>
      <c r="O256" s="381">
        <f t="shared" si="160"/>
        <v>23</v>
      </c>
      <c r="P256" s="455">
        <f>SUM(D256:O256)</f>
        <v>491</v>
      </c>
    </row>
    <row r="257" spans="1:16" ht="15.6" customHeight="1" x14ac:dyDescent="0.3">
      <c r="A257" s="485" t="s">
        <v>9</v>
      </c>
      <c r="B257" s="486"/>
      <c r="C257" s="358" t="s">
        <v>3</v>
      </c>
      <c r="D257" s="381">
        <v>919</v>
      </c>
      <c r="E257" s="381">
        <v>1904</v>
      </c>
      <c r="F257" s="381">
        <v>1211</v>
      </c>
      <c r="G257" s="381">
        <v>4292</v>
      </c>
      <c r="H257" s="381">
        <v>1683</v>
      </c>
      <c r="I257" s="381"/>
      <c r="J257" s="381">
        <v>1025</v>
      </c>
      <c r="K257" s="381">
        <v>4170</v>
      </c>
      <c r="L257" s="381">
        <v>122</v>
      </c>
      <c r="M257" s="381">
        <v>1765</v>
      </c>
      <c r="N257" s="381"/>
      <c r="O257" s="381"/>
      <c r="P257" s="455">
        <f>SUM(D257:O257)</f>
        <v>17091</v>
      </c>
    </row>
    <row r="258" spans="1:16" ht="15.6" x14ac:dyDescent="0.3">
      <c r="A258" s="475" t="s">
        <v>8</v>
      </c>
      <c r="B258" s="476"/>
      <c r="C258" s="358" t="s">
        <v>3</v>
      </c>
      <c r="D258" s="456">
        <f t="shared" ref="D258:P258" si="161">D257/D256</f>
        <v>8.5092592592592595</v>
      </c>
      <c r="E258" s="456">
        <f t="shared" si="161"/>
        <v>15.479674796747968</v>
      </c>
      <c r="F258" s="456">
        <f t="shared" si="161"/>
        <v>9.845528455284553</v>
      </c>
      <c r="G258" s="456">
        <f t="shared" si="161"/>
        <v>195.09090909090909</v>
      </c>
      <c r="H258" s="456">
        <f t="shared" si="161"/>
        <v>70.125</v>
      </c>
      <c r="I258" s="380">
        <f t="shared" si="161"/>
        <v>0</v>
      </c>
      <c r="J258" s="380">
        <f t="shared" si="161"/>
        <v>113.88888888888889</v>
      </c>
      <c r="K258" s="380">
        <f t="shared" si="161"/>
        <v>834</v>
      </c>
      <c r="L258" s="456">
        <f t="shared" si="161"/>
        <v>5.083333333333333</v>
      </c>
      <c r="M258" s="456">
        <f t="shared" si="161"/>
        <v>103.82352941176471</v>
      </c>
      <c r="N258" s="380">
        <f t="shared" si="161"/>
        <v>0</v>
      </c>
      <c r="O258" s="380">
        <f t="shared" si="161"/>
        <v>0</v>
      </c>
      <c r="P258" s="455">
        <f t="shared" si="161"/>
        <v>34.808553971486759</v>
      </c>
    </row>
    <row r="259" spans="1:16" ht="15.6" x14ac:dyDescent="0.3">
      <c r="A259" s="475" t="s">
        <v>7</v>
      </c>
      <c r="B259" s="476"/>
      <c r="C259" s="358" t="s">
        <v>6</v>
      </c>
      <c r="D259" s="456">
        <f t="shared" ref="D259:P259" si="162">D92/D255*100</f>
        <v>0</v>
      </c>
      <c r="E259" s="456">
        <f t="shared" si="162"/>
        <v>0</v>
      </c>
      <c r="F259" s="456">
        <f t="shared" si="162"/>
        <v>0</v>
      </c>
      <c r="G259" s="374">
        <f t="shared" si="162"/>
        <v>0</v>
      </c>
      <c r="H259" s="374">
        <f t="shared" si="162"/>
        <v>0</v>
      </c>
      <c r="I259" s="374">
        <f t="shared" si="162"/>
        <v>0</v>
      </c>
      <c r="J259" s="374">
        <f t="shared" si="162"/>
        <v>0</v>
      </c>
      <c r="K259" s="545">
        <f t="shared" si="162"/>
        <v>0</v>
      </c>
      <c r="L259" s="665">
        <f t="shared" si="162"/>
        <v>19.607843137254903</v>
      </c>
      <c r="M259" s="545">
        <f t="shared" si="162"/>
        <v>0</v>
      </c>
      <c r="N259" s="545">
        <f t="shared" si="162"/>
        <v>0</v>
      </c>
      <c r="O259" s="666">
        <f t="shared" si="162"/>
        <v>4.6728971962616823</v>
      </c>
      <c r="P259" s="546">
        <f t="shared" si="162"/>
        <v>3.1725888324873095</v>
      </c>
    </row>
    <row r="260" spans="1:16" x14ac:dyDescent="0.3">
      <c r="A260" s="470" t="s">
        <v>5</v>
      </c>
      <c r="B260" s="471"/>
      <c r="C260" s="471"/>
      <c r="D260" s="471"/>
      <c r="E260" s="471"/>
      <c r="F260" s="471"/>
      <c r="G260" s="471"/>
      <c r="H260" s="471"/>
      <c r="I260" s="471"/>
      <c r="J260" s="471"/>
      <c r="K260" s="471"/>
      <c r="L260" s="471"/>
      <c r="M260" s="471"/>
      <c r="N260" s="471"/>
      <c r="O260" s="471"/>
      <c r="P260" s="472"/>
    </row>
    <row r="261" spans="1:16" s="354" customFormat="1" ht="15" customHeight="1" x14ac:dyDescent="0.3">
      <c r="A261" s="485" t="s">
        <v>4</v>
      </c>
      <c r="B261" s="486"/>
      <c r="C261" s="358" t="s">
        <v>3</v>
      </c>
      <c r="D261" s="381">
        <v>36</v>
      </c>
      <c r="E261" s="381">
        <v>34</v>
      </c>
      <c r="F261" s="381">
        <v>39</v>
      </c>
      <c r="G261" s="381">
        <v>49</v>
      </c>
      <c r="H261" s="381">
        <v>32</v>
      </c>
      <c r="I261" s="381">
        <v>51</v>
      </c>
      <c r="J261" s="381">
        <v>64</v>
      </c>
      <c r="K261" s="381">
        <v>46</v>
      </c>
      <c r="L261" s="381">
        <v>66</v>
      </c>
      <c r="M261" s="381">
        <v>30</v>
      </c>
      <c r="N261" s="381">
        <v>31</v>
      </c>
      <c r="O261" s="381">
        <v>30</v>
      </c>
      <c r="P261" s="382">
        <f>SUM(D261:O261)</f>
        <v>508</v>
      </c>
    </row>
    <row r="262" spans="1:16" s="354" customFormat="1" ht="15.75" customHeight="1" x14ac:dyDescent="0.3">
      <c r="A262" s="485" t="s">
        <v>2</v>
      </c>
      <c r="B262" s="486"/>
      <c r="C262" s="358" t="s">
        <v>0</v>
      </c>
      <c r="D262" s="381">
        <v>1</v>
      </c>
      <c r="E262" s="381">
        <v>1</v>
      </c>
      <c r="F262" s="381">
        <v>1</v>
      </c>
      <c r="G262" s="381">
        <v>1</v>
      </c>
      <c r="H262" s="381">
        <v>1</v>
      </c>
      <c r="I262" s="381">
        <v>2</v>
      </c>
      <c r="J262" s="381">
        <v>1</v>
      </c>
      <c r="K262" s="381">
        <v>1</v>
      </c>
      <c r="L262" s="381">
        <v>1</v>
      </c>
      <c r="M262" s="381">
        <v>1</v>
      </c>
      <c r="N262" s="381">
        <v>1</v>
      </c>
      <c r="O262" s="381">
        <v>1</v>
      </c>
      <c r="P262" s="382">
        <f>SUM(D262:O262)</f>
        <v>13</v>
      </c>
    </row>
    <row r="263" spans="1:16" ht="16.2" thickBot="1" x14ac:dyDescent="0.35">
      <c r="A263" s="483" t="s">
        <v>1</v>
      </c>
      <c r="B263" s="484"/>
      <c r="C263" s="459" t="s">
        <v>0</v>
      </c>
      <c r="D263" s="460">
        <f t="shared" ref="D263:J263" si="163">D261/D262</f>
        <v>36</v>
      </c>
      <c r="E263" s="460">
        <f t="shared" si="163"/>
        <v>34</v>
      </c>
      <c r="F263" s="460">
        <f t="shared" si="163"/>
        <v>39</v>
      </c>
      <c r="G263" s="460">
        <f t="shared" si="163"/>
        <v>49</v>
      </c>
      <c r="H263" s="460">
        <f t="shared" si="163"/>
        <v>32</v>
      </c>
      <c r="I263" s="460">
        <f t="shared" si="163"/>
        <v>25.5</v>
      </c>
      <c r="J263" s="460">
        <f t="shared" si="163"/>
        <v>64</v>
      </c>
      <c r="K263" s="460">
        <f t="shared" ref="K263:N263" si="164">K261/K262</f>
        <v>46</v>
      </c>
      <c r="L263" s="460">
        <f t="shared" si="164"/>
        <v>66</v>
      </c>
      <c r="M263" s="460">
        <f t="shared" si="164"/>
        <v>30</v>
      </c>
      <c r="N263" s="460">
        <f t="shared" si="164"/>
        <v>31</v>
      </c>
      <c r="O263" s="460">
        <f t="shared" ref="O263" si="165">O261/O262</f>
        <v>30</v>
      </c>
      <c r="P263" s="461">
        <f t="shared" ref="P263" si="166">P261/P262</f>
        <v>39.07692307692308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  <ignoredErrors>
    <ignoredError sqref="H4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010C-DBD4-409E-A3FE-FDFF136270F0}">
  <sheetPr codeName="Sheet3"/>
  <dimension ref="A1:P263"/>
  <sheetViews>
    <sheetView workbookViewId="0">
      <pane xSplit="2" ySplit="8" topLeftCell="P9" activePane="bottomRight" state="frozen"/>
      <selection pane="topRight" activeCell="C1" sqref="C1"/>
      <selection pane="bottomLeft" activeCell="A9" sqref="A9"/>
      <selection pane="bottomRight" activeCell="Y18" sqref="Y1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1"/>
    </row>
    <row r="4" spans="1:16" ht="18" thickBot="1" x14ac:dyDescent="0.35">
      <c r="A4" s="94" t="s">
        <v>221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ht="14.4" customHeight="1" x14ac:dyDescent="0.3">
      <c r="A5" s="95" t="s">
        <v>221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7"/>
    </row>
    <row r="6" spans="1:16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693" t="s">
        <v>174</v>
      </c>
      <c r="B7" s="694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704" t="s">
        <v>159</v>
      </c>
      <c r="B8" s="705"/>
      <c r="C8" s="705"/>
      <c r="D8" s="705"/>
      <c r="E8" s="705"/>
      <c r="F8" s="705"/>
      <c r="G8" s="705"/>
      <c r="H8" s="705"/>
      <c r="I8" s="705"/>
      <c r="J8" s="705"/>
      <c r="K8" s="705"/>
      <c r="L8" s="705"/>
      <c r="M8" s="705"/>
      <c r="N8" s="705"/>
      <c r="O8" s="705"/>
      <c r="P8" s="706"/>
    </row>
    <row r="9" spans="1:16" ht="15.6" x14ac:dyDescent="0.3">
      <c r="A9" s="707" t="s">
        <v>176</v>
      </c>
      <c r="B9" s="708"/>
      <c r="C9" s="58" t="s">
        <v>152</v>
      </c>
      <c r="D9" s="57">
        <v>4151</v>
      </c>
      <c r="E9" s="57">
        <v>6307</v>
      </c>
      <c r="F9" s="57">
        <v>5434</v>
      </c>
      <c r="G9" s="57">
        <v>5272</v>
      </c>
      <c r="H9" s="57">
        <v>4870</v>
      </c>
      <c r="I9" s="57">
        <v>6120</v>
      </c>
      <c r="J9" s="57">
        <v>5217</v>
      </c>
      <c r="K9" s="57">
        <v>4619</v>
      </c>
      <c r="L9" s="57">
        <v>4389</v>
      </c>
      <c r="M9" s="57">
        <v>4509</v>
      </c>
      <c r="N9" s="57">
        <v>4052</v>
      </c>
      <c r="O9" s="57">
        <v>3782</v>
      </c>
      <c r="P9" s="56">
        <f>SUM(D9:O9)</f>
        <v>58722</v>
      </c>
    </row>
    <row r="10" spans="1:16" x14ac:dyDescent="0.3">
      <c r="A10" s="699" t="s">
        <v>177</v>
      </c>
      <c r="B10" s="700"/>
      <c r="C10" s="700"/>
      <c r="D10" s="700"/>
      <c r="E10" s="700"/>
      <c r="F10" s="700"/>
      <c r="G10" s="700"/>
      <c r="H10" s="700"/>
      <c r="I10" s="700"/>
      <c r="J10" s="700"/>
      <c r="K10" s="700"/>
      <c r="L10" s="700"/>
      <c r="M10" s="700"/>
      <c r="N10" s="700"/>
      <c r="O10" s="700"/>
      <c r="P10" s="701"/>
    </row>
    <row r="11" spans="1:16" ht="15.6" x14ac:dyDescent="0.3">
      <c r="A11" s="702" t="s">
        <v>157</v>
      </c>
      <c r="B11" s="703"/>
      <c r="C11" s="11" t="s">
        <v>152</v>
      </c>
      <c r="D11" s="26">
        <v>1751</v>
      </c>
      <c r="E11" s="26">
        <v>1706</v>
      </c>
      <c r="F11" s="26">
        <v>2117</v>
      </c>
      <c r="G11" s="26">
        <v>2161</v>
      </c>
      <c r="H11" s="26">
        <v>1868</v>
      </c>
      <c r="I11" s="26">
        <v>2079</v>
      </c>
      <c r="J11" s="26">
        <v>2011</v>
      </c>
      <c r="K11" s="26">
        <v>1825</v>
      </c>
      <c r="L11" s="26">
        <v>2027</v>
      </c>
      <c r="M11" s="26">
        <v>1559</v>
      </c>
      <c r="N11" s="26">
        <v>1915</v>
      </c>
      <c r="O11" s="26">
        <v>1719</v>
      </c>
      <c r="P11" s="55">
        <f>SUM(D11:O11)</f>
        <v>22738</v>
      </c>
    </row>
    <row r="12" spans="1:16" ht="15.6" x14ac:dyDescent="0.3">
      <c r="A12" s="702" t="s">
        <v>156</v>
      </c>
      <c r="B12" s="703"/>
      <c r="C12" s="11" t="s">
        <v>152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55">
        <f>SUM(D12:O12)</f>
        <v>0</v>
      </c>
    </row>
    <row r="13" spans="1:16" ht="15.6" x14ac:dyDescent="0.3">
      <c r="A13" s="702" t="s">
        <v>155</v>
      </c>
      <c r="B13" s="703"/>
      <c r="C13" s="11" t="s">
        <v>152</v>
      </c>
      <c r="D13" s="26">
        <v>12</v>
      </c>
      <c r="E13" s="26">
        <v>11</v>
      </c>
      <c r="F13" s="26">
        <v>16</v>
      </c>
      <c r="G13" s="26">
        <v>16</v>
      </c>
      <c r="H13" s="26">
        <v>14</v>
      </c>
      <c r="I13" s="26">
        <v>14</v>
      </c>
      <c r="J13" s="26">
        <v>16</v>
      </c>
      <c r="K13" s="26">
        <v>11</v>
      </c>
      <c r="L13" s="26">
        <v>11</v>
      </c>
      <c r="M13" s="26">
        <v>4</v>
      </c>
      <c r="N13" s="26">
        <v>2</v>
      </c>
      <c r="O13" s="26">
        <v>2</v>
      </c>
      <c r="P13" s="55">
        <f>SUM(D13:O13)</f>
        <v>129</v>
      </c>
    </row>
    <row r="14" spans="1:16" ht="15.6" x14ac:dyDescent="0.3">
      <c r="A14" s="695" t="s">
        <v>154</v>
      </c>
      <c r="B14" s="696"/>
      <c r="C14" s="11" t="s">
        <v>152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55">
        <f>SUM(D14:O14)</f>
        <v>0</v>
      </c>
    </row>
    <row r="15" spans="1:16" s="63" customFormat="1" ht="15.6" x14ac:dyDescent="0.3">
      <c r="A15" s="697" t="s">
        <v>158</v>
      </c>
      <c r="B15" s="698"/>
      <c r="C15" s="62" t="s">
        <v>152</v>
      </c>
      <c r="D15" s="34">
        <f t="shared" ref="D15:P15" si="0">SUM(D11:D14)</f>
        <v>1763</v>
      </c>
      <c r="E15" s="34">
        <f t="shared" si="0"/>
        <v>1717</v>
      </c>
      <c r="F15" s="34">
        <f t="shared" si="0"/>
        <v>2133</v>
      </c>
      <c r="G15" s="34">
        <f t="shared" si="0"/>
        <v>2177</v>
      </c>
      <c r="H15" s="34">
        <f t="shared" si="0"/>
        <v>1882</v>
      </c>
      <c r="I15" s="34">
        <f t="shared" si="0"/>
        <v>2093</v>
      </c>
      <c r="J15" s="34">
        <f t="shared" si="0"/>
        <v>2027</v>
      </c>
      <c r="K15" s="34">
        <f t="shared" si="0"/>
        <v>1836</v>
      </c>
      <c r="L15" s="34">
        <f t="shared" si="0"/>
        <v>2038</v>
      </c>
      <c r="M15" s="34">
        <f t="shared" si="0"/>
        <v>1563</v>
      </c>
      <c r="N15" s="34">
        <f t="shared" si="0"/>
        <v>1917</v>
      </c>
      <c r="O15" s="34">
        <f t="shared" si="0"/>
        <v>1721</v>
      </c>
      <c r="P15" s="55">
        <f t="shared" si="0"/>
        <v>22867</v>
      </c>
    </row>
    <row r="16" spans="1:16" s="2" customFormat="1" x14ac:dyDescent="0.3">
      <c r="A16" s="699" t="s">
        <v>178</v>
      </c>
      <c r="B16" s="700"/>
      <c r="C16" s="700"/>
      <c r="D16" s="700"/>
      <c r="E16" s="700"/>
      <c r="F16" s="700"/>
      <c r="G16" s="700"/>
      <c r="H16" s="700"/>
      <c r="I16" s="700"/>
      <c r="J16" s="700"/>
      <c r="K16" s="700"/>
      <c r="L16" s="700"/>
      <c r="M16" s="700"/>
      <c r="N16" s="700"/>
      <c r="O16" s="700"/>
      <c r="P16" s="701"/>
    </row>
    <row r="17" spans="1:16" s="2" customFormat="1" ht="15.6" x14ac:dyDescent="0.3">
      <c r="A17" s="702" t="s">
        <v>180</v>
      </c>
      <c r="B17" s="703"/>
      <c r="C17" s="11" t="s">
        <v>152</v>
      </c>
      <c r="D17" s="26">
        <v>851</v>
      </c>
      <c r="E17" s="26">
        <v>1529</v>
      </c>
      <c r="F17" s="26">
        <v>1121</v>
      </c>
      <c r="G17" s="26">
        <v>1393</v>
      </c>
      <c r="H17" s="26">
        <v>1221</v>
      </c>
      <c r="I17" s="26">
        <v>1374</v>
      </c>
      <c r="J17" s="26">
        <v>1235</v>
      </c>
      <c r="K17" s="26">
        <v>1318</v>
      </c>
      <c r="L17" s="26">
        <v>1000</v>
      </c>
      <c r="M17" s="26">
        <v>1145</v>
      </c>
      <c r="N17" s="26">
        <v>1228</v>
      </c>
      <c r="O17" s="26">
        <v>959</v>
      </c>
      <c r="P17" s="55">
        <f>SUM(D17:O17)</f>
        <v>14374</v>
      </c>
    </row>
    <row r="18" spans="1:16" s="2" customFormat="1" ht="15.6" x14ac:dyDescent="0.3">
      <c r="A18" s="702" t="s">
        <v>181</v>
      </c>
      <c r="B18" s="703"/>
      <c r="C18" s="11" t="s">
        <v>152</v>
      </c>
      <c r="D18" s="26">
        <v>0</v>
      </c>
      <c r="E18" s="26">
        <v>0</v>
      </c>
      <c r="F18" s="26">
        <v>0</v>
      </c>
      <c r="G18" s="26">
        <v>0</v>
      </c>
      <c r="H18" s="26">
        <v>7</v>
      </c>
      <c r="I18" s="26">
        <v>0</v>
      </c>
      <c r="J18" s="26">
        <v>0</v>
      </c>
      <c r="K18" s="26">
        <v>0</v>
      </c>
      <c r="L18" s="26">
        <v>0</v>
      </c>
      <c r="M18" s="26">
        <v>8</v>
      </c>
      <c r="N18" s="26">
        <v>0</v>
      </c>
      <c r="O18" s="26">
        <v>1</v>
      </c>
      <c r="P18" s="55">
        <f>SUM(D18:O18)</f>
        <v>16</v>
      </c>
    </row>
    <row r="19" spans="1:16" s="2" customFormat="1" ht="15.6" x14ac:dyDescent="0.3">
      <c r="A19" s="702" t="s">
        <v>182</v>
      </c>
      <c r="B19" s="703"/>
      <c r="C19" s="11" t="s">
        <v>152</v>
      </c>
      <c r="D19" s="26">
        <v>265</v>
      </c>
      <c r="E19" s="26">
        <v>409</v>
      </c>
      <c r="F19" s="26">
        <v>595</v>
      </c>
      <c r="G19" s="26">
        <v>462</v>
      </c>
      <c r="H19" s="26">
        <v>496</v>
      </c>
      <c r="I19" s="26">
        <v>559</v>
      </c>
      <c r="J19" s="26">
        <v>742</v>
      </c>
      <c r="K19" s="26">
        <v>657</v>
      </c>
      <c r="L19" s="26">
        <v>200</v>
      </c>
      <c r="M19" s="26">
        <v>280</v>
      </c>
      <c r="N19" s="26">
        <v>126</v>
      </c>
      <c r="O19" s="26">
        <v>110</v>
      </c>
      <c r="P19" s="55">
        <f>SUM(D19:O19)</f>
        <v>4901</v>
      </c>
    </row>
    <row r="20" spans="1:16" s="2" customFormat="1" ht="15.6" x14ac:dyDescent="0.3">
      <c r="A20" s="695" t="s">
        <v>183</v>
      </c>
      <c r="B20" s="696"/>
      <c r="C20" s="11" t="s">
        <v>152</v>
      </c>
      <c r="D20" s="26">
        <v>19</v>
      </c>
      <c r="E20" s="26">
        <v>26</v>
      </c>
      <c r="F20" s="26">
        <v>21</v>
      </c>
      <c r="G20" s="26">
        <v>60</v>
      </c>
      <c r="H20" s="26">
        <v>54</v>
      </c>
      <c r="I20" s="26">
        <v>44</v>
      </c>
      <c r="J20" s="26">
        <v>65</v>
      </c>
      <c r="K20" s="26">
        <v>40</v>
      </c>
      <c r="L20" s="26">
        <v>33</v>
      </c>
      <c r="M20" s="26">
        <v>44</v>
      </c>
      <c r="N20" s="26">
        <v>80</v>
      </c>
      <c r="O20" s="26">
        <v>46</v>
      </c>
      <c r="P20" s="55">
        <f>SUM(D20:O20)</f>
        <v>532</v>
      </c>
    </row>
    <row r="21" spans="1:16" s="73" customFormat="1" ht="15.6" x14ac:dyDescent="0.3">
      <c r="A21" s="697" t="s">
        <v>184</v>
      </c>
      <c r="B21" s="698"/>
      <c r="C21" s="62" t="s">
        <v>152</v>
      </c>
      <c r="D21" s="34">
        <f>SUM(D17:D20)</f>
        <v>1135</v>
      </c>
      <c r="E21" s="34">
        <f t="shared" ref="E21:P21" si="1">SUM(E17:E20)</f>
        <v>1964</v>
      </c>
      <c r="F21" s="34">
        <f t="shared" si="1"/>
        <v>1737</v>
      </c>
      <c r="G21" s="34">
        <f t="shared" si="1"/>
        <v>1915</v>
      </c>
      <c r="H21" s="34">
        <f t="shared" si="1"/>
        <v>1778</v>
      </c>
      <c r="I21" s="34">
        <f t="shared" si="1"/>
        <v>1977</v>
      </c>
      <c r="J21" s="34">
        <f t="shared" si="1"/>
        <v>2042</v>
      </c>
      <c r="K21" s="34">
        <f t="shared" si="1"/>
        <v>2015</v>
      </c>
      <c r="L21" s="34">
        <f t="shared" si="1"/>
        <v>1233</v>
      </c>
      <c r="M21" s="34">
        <f t="shared" si="1"/>
        <v>1477</v>
      </c>
      <c r="N21" s="34">
        <f t="shared" si="1"/>
        <v>1434</v>
      </c>
      <c r="O21" s="34">
        <f t="shared" si="1"/>
        <v>1116</v>
      </c>
      <c r="P21" s="55">
        <f t="shared" si="1"/>
        <v>19823</v>
      </c>
    </row>
    <row r="22" spans="1:16" s="2" customFormat="1" ht="15.6" x14ac:dyDescent="0.3">
      <c r="A22" s="75" t="s">
        <v>185</v>
      </c>
      <c r="B22" s="79"/>
      <c r="C22" s="11" t="s">
        <v>152</v>
      </c>
      <c r="D22" s="34">
        <f>D21+D15</f>
        <v>2898</v>
      </c>
      <c r="E22" s="34">
        <f t="shared" ref="E22:P22" si="2">E21+E15</f>
        <v>3681</v>
      </c>
      <c r="F22" s="34">
        <f t="shared" si="2"/>
        <v>3870</v>
      </c>
      <c r="G22" s="34">
        <f t="shared" si="2"/>
        <v>4092</v>
      </c>
      <c r="H22" s="34">
        <f t="shared" si="2"/>
        <v>3660</v>
      </c>
      <c r="I22" s="34">
        <f t="shared" si="2"/>
        <v>4070</v>
      </c>
      <c r="J22" s="34">
        <f t="shared" si="2"/>
        <v>4069</v>
      </c>
      <c r="K22" s="34">
        <f t="shared" si="2"/>
        <v>3851</v>
      </c>
      <c r="L22" s="34">
        <f t="shared" si="2"/>
        <v>3271</v>
      </c>
      <c r="M22" s="34">
        <f t="shared" si="2"/>
        <v>3040</v>
      </c>
      <c r="N22" s="34">
        <f t="shared" si="2"/>
        <v>3351</v>
      </c>
      <c r="O22" s="34">
        <f t="shared" si="2"/>
        <v>2837</v>
      </c>
      <c r="P22" s="55">
        <f t="shared" si="2"/>
        <v>42690</v>
      </c>
    </row>
    <row r="23" spans="1:16" x14ac:dyDescent="0.3">
      <c r="A23" s="713"/>
      <c r="B23" s="714"/>
      <c r="C23" s="714"/>
      <c r="D23" s="714"/>
      <c r="E23" s="714"/>
      <c r="F23" s="714"/>
      <c r="G23" s="714"/>
      <c r="H23" s="714"/>
      <c r="I23" s="714"/>
      <c r="J23" s="714"/>
      <c r="K23" s="714"/>
      <c r="L23" s="714"/>
      <c r="M23" s="714"/>
      <c r="N23" s="714"/>
      <c r="O23" s="714"/>
      <c r="P23" s="715"/>
    </row>
    <row r="24" spans="1:16" ht="15.6" x14ac:dyDescent="0.3">
      <c r="A24" s="716" t="s">
        <v>179</v>
      </c>
      <c r="B24" s="37" t="s">
        <v>153</v>
      </c>
      <c r="C24" s="5" t="s">
        <v>152</v>
      </c>
      <c r="D24" s="54">
        <f>D9-D22</f>
        <v>1253</v>
      </c>
      <c r="E24" s="54">
        <f t="shared" ref="E24:P24" si="3">E9-E22</f>
        <v>2626</v>
      </c>
      <c r="F24" s="54">
        <f t="shared" si="3"/>
        <v>1564</v>
      </c>
      <c r="G24" s="54">
        <f t="shared" si="3"/>
        <v>1180</v>
      </c>
      <c r="H24" s="54">
        <f t="shared" si="3"/>
        <v>1210</v>
      </c>
      <c r="I24" s="54">
        <f t="shared" si="3"/>
        <v>2050</v>
      </c>
      <c r="J24" s="54">
        <f t="shared" si="3"/>
        <v>1148</v>
      </c>
      <c r="K24" s="54">
        <f t="shared" si="3"/>
        <v>768</v>
      </c>
      <c r="L24" s="54">
        <f t="shared" si="3"/>
        <v>1118</v>
      </c>
      <c r="M24" s="54">
        <f t="shared" si="3"/>
        <v>1469</v>
      </c>
      <c r="N24" s="54">
        <f t="shared" si="3"/>
        <v>701</v>
      </c>
      <c r="O24" s="54">
        <f t="shared" si="3"/>
        <v>945</v>
      </c>
      <c r="P24" s="100">
        <f t="shared" si="3"/>
        <v>16032</v>
      </c>
    </row>
    <row r="25" spans="1:16" ht="15.6" x14ac:dyDescent="0.3">
      <c r="A25" s="717"/>
      <c r="B25" s="53" t="s">
        <v>151</v>
      </c>
      <c r="C25" s="52" t="s">
        <v>6</v>
      </c>
      <c r="D25" s="51">
        <f t="shared" ref="D25:P25" si="4">D24/D9</f>
        <v>0.30185497470489037</v>
      </c>
      <c r="E25" s="51">
        <f t="shared" si="4"/>
        <v>0.41636277152370382</v>
      </c>
      <c r="F25" s="51">
        <f t="shared" si="4"/>
        <v>0.28781744571218254</v>
      </c>
      <c r="G25" s="51">
        <f t="shared" si="4"/>
        <v>0.22382397572078908</v>
      </c>
      <c r="H25" s="51">
        <f t="shared" si="4"/>
        <v>0.24845995893223818</v>
      </c>
      <c r="I25" s="51">
        <f t="shared" si="4"/>
        <v>0.33496732026143788</v>
      </c>
      <c r="J25" s="51">
        <f t="shared" si="4"/>
        <v>0.22004983707111367</v>
      </c>
      <c r="K25" s="51">
        <f t="shared" si="4"/>
        <v>0.16626975535830266</v>
      </c>
      <c r="L25" s="51">
        <f t="shared" si="4"/>
        <v>0.25472772841193891</v>
      </c>
      <c r="M25" s="51">
        <f t="shared" si="4"/>
        <v>0.32579285872699049</v>
      </c>
      <c r="N25" s="51">
        <f t="shared" si="4"/>
        <v>0.17300098716683118</v>
      </c>
      <c r="O25" s="51">
        <f t="shared" si="4"/>
        <v>0.24986779481755686</v>
      </c>
      <c r="P25" s="101">
        <f t="shared" si="4"/>
        <v>0.27301522427710229</v>
      </c>
    </row>
    <row r="26" spans="1:16" x14ac:dyDescent="0.3">
      <c r="A26" s="699" t="s">
        <v>150</v>
      </c>
      <c r="B26" s="700"/>
      <c r="C26" s="700"/>
      <c r="D26" s="700"/>
      <c r="E26" s="700"/>
      <c r="F26" s="700"/>
      <c r="G26" s="700"/>
      <c r="H26" s="700"/>
      <c r="I26" s="700"/>
      <c r="J26" s="700"/>
      <c r="K26" s="700"/>
      <c r="L26" s="700"/>
      <c r="M26" s="700"/>
      <c r="N26" s="700"/>
      <c r="O26" s="700"/>
      <c r="P26" s="701"/>
    </row>
    <row r="27" spans="1:16" x14ac:dyDescent="0.3">
      <c r="A27" s="718" t="s">
        <v>149</v>
      </c>
      <c r="B27" s="719"/>
      <c r="C27" s="719"/>
      <c r="D27" s="719"/>
      <c r="E27" s="719"/>
      <c r="F27" s="719"/>
      <c r="G27" s="719"/>
      <c r="H27" s="719"/>
      <c r="I27" s="719"/>
      <c r="J27" s="719"/>
      <c r="K27" s="719"/>
      <c r="L27" s="719"/>
      <c r="M27" s="719"/>
      <c r="N27" s="719"/>
      <c r="O27" s="719"/>
      <c r="P27" s="720"/>
    </row>
    <row r="28" spans="1:16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6" ht="15.6" x14ac:dyDescent="0.3">
      <c r="A29" s="709" t="s">
        <v>146</v>
      </c>
      <c r="B29" s="691">
        <f>176264.5/50</f>
        <v>3525.29</v>
      </c>
      <c r="C29" s="5" t="s">
        <v>140</v>
      </c>
      <c r="D29" s="43">
        <v>9</v>
      </c>
      <c r="E29" s="43">
        <v>15</v>
      </c>
      <c r="F29" s="43">
        <v>11.5</v>
      </c>
      <c r="G29" s="43">
        <v>16</v>
      </c>
      <c r="H29" s="43">
        <v>12</v>
      </c>
      <c r="I29" s="43">
        <v>13</v>
      </c>
      <c r="J29" s="43">
        <v>15</v>
      </c>
      <c r="K29" s="43">
        <v>15</v>
      </c>
      <c r="L29" s="43">
        <v>16</v>
      </c>
      <c r="M29" s="43">
        <v>16</v>
      </c>
      <c r="N29" s="43">
        <v>13.5</v>
      </c>
      <c r="O29" s="43">
        <v>16</v>
      </c>
      <c r="P29" s="45">
        <f>SUM(D29:O29)</f>
        <v>168</v>
      </c>
    </row>
    <row r="30" spans="1:16" ht="15.6" x14ac:dyDescent="0.3">
      <c r="A30" s="710"/>
      <c r="B30" s="692"/>
      <c r="C30" s="42" t="s">
        <v>139</v>
      </c>
      <c r="D30" s="15">
        <f t="shared" ref="D30:P30" si="5">D29/(D9/1000)</f>
        <v>2.1681522524692847</v>
      </c>
      <c r="E30" s="15">
        <f t="shared" si="5"/>
        <v>2.3783098144918342</v>
      </c>
      <c r="F30" s="15">
        <f t="shared" si="5"/>
        <v>2.1163047478836954</v>
      </c>
      <c r="G30" s="15">
        <f t="shared" si="5"/>
        <v>3.0349013657056143</v>
      </c>
      <c r="H30" s="15">
        <f t="shared" si="5"/>
        <v>2.4640657084188913</v>
      </c>
      <c r="I30" s="15">
        <f t="shared" si="5"/>
        <v>2.1241830065359477</v>
      </c>
      <c r="J30" s="15">
        <f t="shared" si="5"/>
        <v>2.8752156411730883</v>
      </c>
      <c r="K30" s="15">
        <f t="shared" si="5"/>
        <v>3.2474561593418492</v>
      </c>
      <c r="L30" s="15">
        <f t="shared" si="5"/>
        <v>3.6454773296878558</v>
      </c>
      <c r="M30" s="15">
        <f t="shared" si="5"/>
        <v>3.5484586382789973</v>
      </c>
      <c r="N30" s="15">
        <f t="shared" si="5"/>
        <v>3.3316880552813428</v>
      </c>
      <c r="O30" s="15">
        <f t="shared" si="5"/>
        <v>4.2305658381808566</v>
      </c>
      <c r="P30" s="103">
        <f t="shared" si="5"/>
        <v>2.8609379789516707</v>
      </c>
    </row>
    <row r="31" spans="1:16" ht="15.6" x14ac:dyDescent="0.3">
      <c r="A31" s="711" t="s">
        <v>145</v>
      </c>
      <c r="B31" s="691">
        <f>53000.511/50</f>
        <v>1060.0102199999999</v>
      </c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6" ht="15.6" x14ac:dyDescent="0.3">
      <c r="A32" s="712"/>
      <c r="B32" s="692"/>
      <c r="C32" s="42" t="s">
        <v>139</v>
      </c>
      <c r="D32" s="15">
        <f t="shared" ref="D32:P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5">
        <f t="shared" si="6"/>
        <v>0</v>
      </c>
      <c r="M32" s="15">
        <f t="shared" si="6"/>
        <v>0</v>
      </c>
      <c r="N32" s="15">
        <f t="shared" si="6"/>
        <v>0</v>
      </c>
      <c r="O32" s="15">
        <f t="shared" si="6"/>
        <v>0</v>
      </c>
      <c r="P32" s="103">
        <f t="shared" si="6"/>
        <v>0</v>
      </c>
    </row>
    <row r="33" spans="1:16" ht="15.6" x14ac:dyDescent="0.3">
      <c r="A33" s="711" t="s">
        <v>144</v>
      </c>
      <c r="B33" s="691">
        <f>61414.43/50</f>
        <v>1228.2886000000001</v>
      </c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712"/>
      <c r="B34" s="692"/>
      <c r="C34" s="42" t="s">
        <v>139</v>
      </c>
      <c r="D34" s="15">
        <f t="shared" ref="D34:P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5">
        <f t="shared" si="7"/>
        <v>0</v>
      </c>
      <c r="M34" s="15">
        <f t="shared" si="7"/>
        <v>0</v>
      </c>
      <c r="N34" s="15">
        <f t="shared" si="7"/>
        <v>0</v>
      </c>
      <c r="O34" s="15">
        <f t="shared" si="7"/>
        <v>0</v>
      </c>
      <c r="P34" s="103">
        <f t="shared" si="7"/>
        <v>0</v>
      </c>
    </row>
    <row r="35" spans="1:16" ht="15.6" x14ac:dyDescent="0.3">
      <c r="A35" s="711" t="s">
        <v>143</v>
      </c>
      <c r="B35" s="691">
        <f>745345.16/200</f>
        <v>3726.7258000000002</v>
      </c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03"/>
    </row>
    <row r="36" spans="1:16" ht="15.6" x14ac:dyDescent="0.3">
      <c r="A36" s="712"/>
      <c r="B36" s="69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3"/>
    </row>
    <row r="37" spans="1:16" ht="15.6" x14ac:dyDescent="0.3">
      <c r="A37" s="711" t="s">
        <v>186</v>
      </c>
      <c r="B37" s="691">
        <f>790318.72/200</f>
        <v>3951.5935999999997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712"/>
      <c r="B38" s="692"/>
      <c r="C38" s="5" t="s">
        <v>142</v>
      </c>
      <c r="D38" s="15">
        <f t="shared" ref="D38:P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5">
        <f t="shared" si="8"/>
        <v>0</v>
      </c>
      <c r="K38" s="15">
        <f t="shared" si="8"/>
        <v>0</v>
      </c>
      <c r="L38" s="15">
        <f t="shared" si="8"/>
        <v>0</v>
      </c>
      <c r="M38" s="15">
        <f t="shared" si="8"/>
        <v>0</v>
      </c>
      <c r="N38" s="15">
        <f t="shared" si="8"/>
        <v>0</v>
      </c>
      <c r="O38" s="15">
        <f t="shared" si="8"/>
        <v>0</v>
      </c>
      <c r="P38" s="103">
        <f t="shared" si="8"/>
        <v>0</v>
      </c>
    </row>
    <row r="39" spans="1:16" ht="15.6" x14ac:dyDescent="0.3">
      <c r="A39" s="711" t="s">
        <v>141</v>
      </c>
      <c r="B39" s="691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712"/>
      <c r="B40" s="692"/>
      <c r="C40" s="42" t="s">
        <v>139</v>
      </c>
      <c r="D40" s="15">
        <f t="shared" ref="D40:P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5">
        <f t="shared" si="9"/>
        <v>0</v>
      </c>
      <c r="M40" s="15">
        <f t="shared" si="9"/>
        <v>0</v>
      </c>
      <c r="N40" s="15">
        <f t="shared" si="9"/>
        <v>0</v>
      </c>
      <c r="O40" s="15">
        <f t="shared" si="9"/>
        <v>0</v>
      </c>
      <c r="P40" s="103">
        <f t="shared" si="9"/>
        <v>0</v>
      </c>
    </row>
    <row r="41" spans="1:16" ht="15.6" x14ac:dyDescent="0.3">
      <c r="A41" s="695" t="s">
        <v>138</v>
      </c>
      <c r="B41" s="696"/>
      <c r="C41" s="11" t="s">
        <v>31</v>
      </c>
      <c r="D41" s="41">
        <f>(D29*$B29)+(D31*$B31)+(D33*$B33)+(D35*$B35)+(D37*$B37)+(D39*$B39)</f>
        <v>31727.61</v>
      </c>
      <c r="E41" s="41">
        <f t="shared" ref="E41:O41" si="10">(E29*$B29)+(E31*$B31)+(E33*$B33)+(E35*$B35)+(E37*$B37)+(E39*$B39)</f>
        <v>52879.35</v>
      </c>
      <c r="F41" s="41">
        <f t="shared" si="10"/>
        <v>40540.834999999999</v>
      </c>
      <c r="G41" s="41">
        <f t="shared" si="10"/>
        <v>56404.639999999999</v>
      </c>
      <c r="H41" s="41">
        <f t="shared" si="10"/>
        <v>42303.479999999996</v>
      </c>
      <c r="I41" s="41">
        <f t="shared" si="10"/>
        <v>45828.77</v>
      </c>
      <c r="J41" s="41">
        <f t="shared" si="10"/>
        <v>52879.35</v>
      </c>
      <c r="K41" s="41">
        <f t="shared" si="10"/>
        <v>52879.35</v>
      </c>
      <c r="L41" s="41">
        <f t="shared" si="10"/>
        <v>56404.639999999999</v>
      </c>
      <c r="M41" s="41">
        <f t="shared" si="10"/>
        <v>56404.639999999999</v>
      </c>
      <c r="N41" s="41">
        <f t="shared" si="10"/>
        <v>47591.415000000001</v>
      </c>
      <c r="O41" s="41">
        <f t="shared" si="10"/>
        <v>56404.639999999999</v>
      </c>
      <c r="P41" s="39">
        <f>SUM(D41:O41)</f>
        <v>592248.72</v>
      </c>
    </row>
    <row r="42" spans="1:16" ht="15.6" x14ac:dyDescent="0.3">
      <c r="A42" s="721" t="s">
        <v>137</v>
      </c>
      <c r="B42" s="722"/>
      <c r="C42" s="42" t="s">
        <v>115</v>
      </c>
      <c r="D42" s="15">
        <f t="shared" ref="D42:P42" si="11">D41/D9</f>
        <v>7.6433654541074443</v>
      </c>
      <c r="E42" s="15">
        <f t="shared" si="11"/>
        <v>8.3842318059299181</v>
      </c>
      <c r="F42" s="15">
        <f t="shared" si="11"/>
        <v>7.460587964666912</v>
      </c>
      <c r="G42" s="15">
        <f t="shared" si="11"/>
        <v>10.698907435508346</v>
      </c>
      <c r="H42" s="15">
        <f t="shared" si="11"/>
        <v>8.6865462012320318</v>
      </c>
      <c r="I42" s="15">
        <f t="shared" si="11"/>
        <v>7.4883611111111108</v>
      </c>
      <c r="J42" s="15">
        <f t="shared" si="11"/>
        <v>10.135968947671076</v>
      </c>
      <c r="K42" s="15">
        <f t="shared" si="11"/>
        <v>11.448224723966225</v>
      </c>
      <c r="L42" s="15">
        <f t="shared" si="11"/>
        <v>12.851364775575302</v>
      </c>
      <c r="M42" s="15">
        <f t="shared" si="11"/>
        <v>12.509345752938566</v>
      </c>
      <c r="N42" s="15">
        <f t="shared" si="11"/>
        <v>11.745166584402764</v>
      </c>
      <c r="O42" s="15">
        <f t="shared" si="11"/>
        <v>14.913971443680593</v>
      </c>
      <c r="P42" s="44">
        <f t="shared" si="11"/>
        <v>10.085636047818534</v>
      </c>
    </row>
    <row r="43" spans="1:16" x14ac:dyDescent="0.3">
      <c r="A43" s="723" t="s">
        <v>136</v>
      </c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4"/>
      <c r="P43" s="725"/>
    </row>
    <row r="44" spans="1:16" ht="15.6" x14ac:dyDescent="0.3">
      <c r="A44" s="695" t="s">
        <v>135</v>
      </c>
      <c r="B44" s="696"/>
      <c r="C44" s="11" t="s">
        <v>134</v>
      </c>
      <c r="D44" s="43">
        <v>3268</v>
      </c>
      <c r="E44" s="43">
        <v>4910</v>
      </c>
      <c r="F44" s="43">
        <v>3140</v>
      </c>
      <c r="G44" s="43">
        <v>3997</v>
      </c>
      <c r="H44" s="43">
        <v>3558</v>
      </c>
      <c r="I44" s="43">
        <v>4703</v>
      </c>
      <c r="J44" s="43">
        <v>4930</v>
      </c>
      <c r="K44" s="43">
        <v>4233</v>
      </c>
      <c r="L44" s="43">
        <v>5501</v>
      </c>
      <c r="M44" s="43">
        <v>5938</v>
      </c>
      <c r="N44" s="43">
        <v>4537</v>
      </c>
      <c r="O44" s="43">
        <v>6484</v>
      </c>
      <c r="P44" s="39">
        <f>SUM(D44:O44)</f>
        <v>55199</v>
      </c>
    </row>
    <row r="45" spans="1:16" ht="15.6" x14ac:dyDescent="0.3">
      <c r="A45" s="721" t="s">
        <v>133</v>
      </c>
      <c r="B45" s="722"/>
      <c r="C45" s="42" t="s">
        <v>132</v>
      </c>
      <c r="D45" s="15">
        <f t="shared" ref="D45:P45" si="12">D44/D9</f>
        <v>0.78728017345218015</v>
      </c>
      <c r="E45" s="15">
        <f t="shared" si="12"/>
        <v>0.77850007927699383</v>
      </c>
      <c r="F45" s="15">
        <f t="shared" si="12"/>
        <v>0.57784320942215683</v>
      </c>
      <c r="G45" s="15">
        <f t="shared" si="12"/>
        <v>0.75815629742033386</v>
      </c>
      <c r="H45" s="15">
        <f t="shared" si="12"/>
        <v>0.73059548254620121</v>
      </c>
      <c r="I45" s="15">
        <f t="shared" si="12"/>
        <v>0.76846405228758174</v>
      </c>
      <c r="J45" s="15">
        <f t="shared" si="12"/>
        <v>0.94498754073222158</v>
      </c>
      <c r="K45" s="15">
        <f t="shared" si="12"/>
        <v>0.91643212816626973</v>
      </c>
      <c r="L45" s="15">
        <f t="shared" si="12"/>
        <v>1.2533606744133059</v>
      </c>
      <c r="M45" s="15">
        <f t="shared" si="12"/>
        <v>1.3169217121312931</v>
      </c>
      <c r="N45" s="15">
        <f t="shared" si="12"/>
        <v>1.1196939782823296</v>
      </c>
      <c r="O45" s="15">
        <f t="shared" si="12"/>
        <v>1.7144368059227921</v>
      </c>
      <c r="P45" s="103">
        <f t="shared" si="12"/>
        <v>0.94000544940567421</v>
      </c>
    </row>
    <row r="46" spans="1:16" ht="15.6" x14ac:dyDescent="0.3">
      <c r="A46" s="726" t="s">
        <v>131</v>
      </c>
      <c r="B46" s="727"/>
      <c r="C46" s="5" t="s">
        <v>31</v>
      </c>
      <c r="D46" s="3">
        <f t="shared" ref="D46:G46" si="13">1.165*(14100+(D44*119.1))</f>
        <v>469866.402</v>
      </c>
      <c r="E46" s="3">
        <f t="shared" si="13"/>
        <v>697696.36499999999</v>
      </c>
      <c r="F46" s="3">
        <f t="shared" si="13"/>
        <v>452106.21</v>
      </c>
      <c r="G46" s="3">
        <f t="shared" si="13"/>
        <v>571016.24549999996</v>
      </c>
      <c r="H46" s="3">
        <f t="shared" ref="H46:O46" si="14">1.165*(16600+(H44*143.5))</f>
        <v>614156.54500000004</v>
      </c>
      <c r="I46" s="3">
        <f t="shared" si="14"/>
        <v>805574.78249999997</v>
      </c>
      <c r="J46" s="3">
        <f t="shared" si="14"/>
        <v>843524.07500000007</v>
      </c>
      <c r="K46" s="3">
        <f t="shared" si="14"/>
        <v>727001.35750000004</v>
      </c>
      <c r="L46" s="3">
        <f t="shared" si="14"/>
        <v>938982.42749999999</v>
      </c>
      <c r="M46" s="3">
        <f t="shared" si="14"/>
        <v>1012038.995</v>
      </c>
      <c r="N46" s="3">
        <f t="shared" si="14"/>
        <v>777823.3175</v>
      </c>
      <c r="O46" s="3">
        <f t="shared" si="14"/>
        <v>1103317.9100000001</v>
      </c>
      <c r="P46" s="39">
        <f>SUM(D46:O46)</f>
        <v>9013104.6325000003</v>
      </c>
    </row>
    <row r="47" spans="1:16" s="2" customFormat="1" ht="15.6" x14ac:dyDescent="0.3">
      <c r="A47" s="695" t="s">
        <v>130</v>
      </c>
      <c r="B47" s="696"/>
      <c r="C47" s="11" t="s">
        <v>115</v>
      </c>
      <c r="D47" s="15">
        <f t="shared" ref="D47:P47" si="15">D46/D9</f>
        <v>113.19354420621536</v>
      </c>
      <c r="E47" s="15">
        <f t="shared" si="15"/>
        <v>110.62254082765182</v>
      </c>
      <c r="F47" s="15">
        <f t="shared" si="15"/>
        <v>83.199523371365487</v>
      </c>
      <c r="G47" s="15">
        <f t="shared" si="15"/>
        <v>108.31112395675265</v>
      </c>
      <c r="H47" s="15">
        <f t="shared" si="15"/>
        <v>126.11017351129364</v>
      </c>
      <c r="I47" s="15">
        <f t="shared" si="15"/>
        <v>131.62986642156864</v>
      </c>
      <c r="J47" s="15">
        <f t="shared" si="15"/>
        <v>161.68757427640406</v>
      </c>
      <c r="K47" s="15">
        <f t="shared" si="15"/>
        <v>157.39366908421738</v>
      </c>
      <c r="L47" s="15">
        <f t="shared" si="15"/>
        <v>213.93994702665756</v>
      </c>
      <c r="M47" s="15">
        <f t="shared" si="15"/>
        <v>224.44865713018407</v>
      </c>
      <c r="N47" s="15">
        <f t="shared" si="15"/>
        <v>191.96034489141164</v>
      </c>
      <c r="O47" s="15">
        <f t="shared" si="15"/>
        <v>291.72869116869384</v>
      </c>
      <c r="P47" s="103">
        <f t="shared" si="15"/>
        <v>153.48769852014578</v>
      </c>
    </row>
    <row r="48" spans="1:16" x14ac:dyDescent="0.3">
      <c r="A48" s="723" t="s">
        <v>129</v>
      </c>
      <c r="B48" s="724"/>
      <c r="C48" s="724"/>
      <c r="D48" s="724"/>
      <c r="E48" s="724"/>
      <c r="F48" s="724"/>
      <c r="G48" s="724"/>
      <c r="H48" s="724"/>
      <c r="I48" s="724"/>
      <c r="J48" s="724"/>
      <c r="K48" s="724"/>
      <c r="L48" s="724"/>
      <c r="M48" s="724"/>
      <c r="N48" s="724"/>
      <c r="O48" s="724"/>
      <c r="P48" s="725"/>
    </row>
    <row r="49" spans="1:16" ht="15.6" x14ac:dyDescent="0.3">
      <c r="A49" s="695" t="s">
        <v>128</v>
      </c>
      <c r="B49" s="696"/>
      <c r="C49" s="5" t="s">
        <v>127</v>
      </c>
      <c r="D49" s="4"/>
      <c r="E49" s="4">
        <v>298</v>
      </c>
      <c r="F49" s="4">
        <v>0</v>
      </c>
      <c r="G49" s="4">
        <v>278</v>
      </c>
      <c r="H49" s="4">
        <v>114</v>
      </c>
      <c r="I49" s="4">
        <v>0</v>
      </c>
      <c r="J49" s="4">
        <v>100</v>
      </c>
      <c r="K49" s="4"/>
      <c r="L49" s="4"/>
      <c r="M49" s="4"/>
      <c r="N49" s="4"/>
      <c r="O49" s="4"/>
      <c r="P49" s="39">
        <f>SUM(D49:O49)</f>
        <v>790</v>
      </c>
    </row>
    <row r="50" spans="1:16" ht="15.6" x14ac:dyDescent="0.3">
      <c r="A50" s="695" t="s">
        <v>187</v>
      </c>
      <c r="B50" s="696"/>
      <c r="C50" s="5" t="s">
        <v>126</v>
      </c>
      <c r="D50" s="4">
        <v>140</v>
      </c>
      <c r="E50" s="4">
        <v>160</v>
      </c>
      <c r="F50" s="4">
        <v>235</v>
      </c>
      <c r="G50" s="4">
        <v>100</v>
      </c>
      <c r="H50" s="4">
        <v>40</v>
      </c>
      <c r="I50" s="4">
        <v>40</v>
      </c>
      <c r="J50" s="4">
        <v>20</v>
      </c>
      <c r="K50" s="4"/>
      <c r="L50" s="4"/>
      <c r="M50" s="4"/>
      <c r="N50" s="4"/>
      <c r="O50" s="4"/>
      <c r="P50" s="39">
        <f>SUM(D50:O50)</f>
        <v>735</v>
      </c>
    </row>
    <row r="51" spans="1:16" ht="15.6" x14ac:dyDescent="0.3">
      <c r="A51" s="726" t="s">
        <v>125</v>
      </c>
      <c r="B51" s="727"/>
      <c r="C51" s="5" t="s">
        <v>31</v>
      </c>
      <c r="D51" s="13">
        <v>268800</v>
      </c>
      <c r="E51" s="13">
        <v>303520</v>
      </c>
      <c r="F51" s="13">
        <v>452200</v>
      </c>
      <c r="G51" s="13">
        <v>188520</v>
      </c>
      <c r="H51" s="13">
        <v>76800</v>
      </c>
      <c r="I51" s="13">
        <v>76800</v>
      </c>
      <c r="J51" s="13">
        <v>34520</v>
      </c>
      <c r="K51" s="13"/>
      <c r="L51" s="13"/>
      <c r="M51" s="13"/>
      <c r="N51" s="13"/>
      <c r="O51" s="13"/>
      <c r="P51" s="40">
        <f>SUM(D51:O51)</f>
        <v>1401160</v>
      </c>
    </row>
    <row r="52" spans="1:16" ht="15.6" x14ac:dyDescent="0.3">
      <c r="A52" s="695" t="s">
        <v>124</v>
      </c>
      <c r="B52" s="696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10000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10000</v>
      </c>
    </row>
    <row r="53" spans="1:16" x14ac:dyDescent="0.3">
      <c r="A53" s="723" t="s">
        <v>123</v>
      </c>
      <c r="B53" s="724"/>
      <c r="C53" s="724"/>
      <c r="D53" s="724"/>
      <c r="E53" s="724"/>
      <c r="F53" s="724"/>
      <c r="G53" s="724"/>
      <c r="H53" s="724"/>
      <c r="I53" s="724"/>
      <c r="J53" s="724"/>
      <c r="K53" s="724"/>
      <c r="L53" s="724"/>
      <c r="M53" s="724"/>
      <c r="N53" s="724"/>
      <c r="O53" s="724"/>
      <c r="P53" s="725"/>
    </row>
    <row r="54" spans="1:16" ht="15.6" x14ac:dyDescent="0.3">
      <c r="A54" s="695" t="s">
        <v>122</v>
      </c>
      <c r="B54" s="696"/>
      <c r="C54" s="11" t="s">
        <v>18</v>
      </c>
      <c r="D54" s="13">
        <v>1840096.33</v>
      </c>
      <c r="E54" s="13">
        <v>2271434.9</v>
      </c>
      <c r="F54" s="13">
        <v>1915869.32</v>
      </c>
      <c r="G54" s="13">
        <v>1761007.56</v>
      </c>
      <c r="H54" s="13">
        <v>1846464.12</v>
      </c>
      <c r="I54" s="13">
        <v>1789794.52</v>
      </c>
      <c r="J54" s="13">
        <v>1208365.8500000001</v>
      </c>
      <c r="K54" s="13">
        <v>1386824.96</v>
      </c>
      <c r="L54" s="13">
        <v>1913234.52</v>
      </c>
      <c r="M54" s="13">
        <v>1932995.62</v>
      </c>
      <c r="N54" s="13">
        <v>1932995.62</v>
      </c>
      <c r="O54" s="13">
        <v>1782844.53</v>
      </c>
      <c r="P54" s="39">
        <f>SUM(D54:O54)</f>
        <v>21581927.850000001</v>
      </c>
    </row>
    <row r="55" spans="1:16" ht="15.6" x14ac:dyDescent="0.3">
      <c r="A55" s="78" t="s">
        <v>121</v>
      </c>
      <c r="B55" s="79"/>
      <c r="C55" s="11" t="s">
        <v>18</v>
      </c>
      <c r="D55" s="13">
        <v>394531.88</v>
      </c>
      <c r="E55" s="13">
        <v>397176.12</v>
      </c>
      <c r="F55" s="13">
        <v>418930.9</v>
      </c>
      <c r="G55" s="13">
        <v>384555.9</v>
      </c>
      <c r="H55" s="13">
        <v>374159.25</v>
      </c>
      <c r="I55" s="13">
        <v>381370.8</v>
      </c>
      <c r="J55" s="13">
        <v>386899.66</v>
      </c>
      <c r="K55" s="13">
        <v>388341.97</v>
      </c>
      <c r="L55" s="13">
        <v>371875.6</v>
      </c>
      <c r="M55" s="13">
        <v>403846.8</v>
      </c>
      <c r="N55" s="13">
        <v>667644.53</v>
      </c>
      <c r="O55" s="13">
        <v>638870.48</v>
      </c>
      <c r="P55" s="39">
        <f>SUM(D55:O55)</f>
        <v>5208203.8899999987</v>
      </c>
    </row>
    <row r="56" spans="1:16" ht="15.6" x14ac:dyDescent="0.3">
      <c r="A56" s="695" t="s">
        <v>120</v>
      </c>
      <c r="B56" s="696"/>
      <c r="C56" s="5" t="s">
        <v>18</v>
      </c>
      <c r="D56" s="13">
        <v>118600</v>
      </c>
      <c r="E56" s="13">
        <v>118600</v>
      </c>
      <c r="F56" s="13">
        <v>119600</v>
      </c>
      <c r="G56" s="13">
        <v>119800</v>
      </c>
      <c r="H56" s="13">
        <v>121700</v>
      </c>
      <c r="I56" s="13">
        <v>122350</v>
      </c>
      <c r="J56" s="13">
        <v>124900</v>
      </c>
      <c r="K56" s="13">
        <v>124900</v>
      </c>
      <c r="L56" s="13">
        <v>126550</v>
      </c>
      <c r="M56" s="13">
        <v>129500</v>
      </c>
      <c r="N56" s="13">
        <v>131800</v>
      </c>
      <c r="O56" s="13">
        <v>132750</v>
      </c>
      <c r="P56" s="39">
        <f>SUM(D56:O56)</f>
        <v>1491050</v>
      </c>
    </row>
    <row r="57" spans="1:16" x14ac:dyDescent="0.3">
      <c r="A57" s="723" t="s">
        <v>119</v>
      </c>
      <c r="B57" s="724"/>
      <c r="C57" s="724"/>
      <c r="D57" s="724"/>
      <c r="E57" s="724"/>
      <c r="F57" s="724"/>
      <c r="G57" s="724"/>
      <c r="H57" s="724"/>
      <c r="I57" s="724"/>
      <c r="J57" s="724"/>
      <c r="K57" s="724"/>
      <c r="L57" s="724"/>
      <c r="M57" s="724"/>
      <c r="N57" s="724"/>
      <c r="O57" s="724"/>
      <c r="P57" s="725"/>
    </row>
    <row r="58" spans="1:16" ht="15.6" x14ac:dyDescent="0.3">
      <c r="A58" s="726" t="s">
        <v>118</v>
      </c>
      <c r="B58" s="727"/>
      <c r="C58" s="5" t="s">
        <v>18</v>
      </c>
      <c r="D58" s="13">
        <f>D41+D46+D51+D52+D54+D55+D56</f>
        <v>3123622.2220000001</v>
      </c>
      <c r="E58" s="13">
        <f t="shared" ref="E58:O58" si="16">E41+E46+E51+E52+E54+E55+E56</f>
        <v>3841306.7349999999</v>
      </c>
      <c r="F58" s="13">
        <f t="shared" si="16"/>
        <v>3399247.2650000001</v>
      </c>
      <c r="G58" s="13">
        <f t="shared" si="16"/>
        <v>3081304.3454999998</v>
      </c>
      <c r="H58" s="13">
        <f t="shared" si="16"/>
        <v>3085583.395</v>
      </c>
      <c r="I58" s="13">
        <f t="shared" si="16"/>
        <v>3221718.8724999996</v>
      </c>
      <c r="J58" s="13">
        <f t="shared" si="16"/>
        <v>2651088.9350000005</v>
      </c>
      <c r="K58" s="13">
        <f t="shared" si="16"/>
        <v>2679947.6375000002</v>
      </c>
      <c r="L58" s="13">
        <f t="shared" si="16"/>
        <v>3407047.1875</v>
      </c>
      <c r="M58" s="13">
        <f t="shared" si="16"/>
        <v>3534786.0549999997</v>
      </c>
      <c r="N58" s="13">
        <f t="shared" si="16"/>
        <v>3557854.8825000003</v>
      </c>
      <c r="O58" s="13">
        <f t="shared" si="16"/>
        <v>3714187.56</v>
      </c>
      <c r="P58" s="64">
        <f>SUM(D58:O58)</f>
        <v>39297695.092500001</v>
      </c>
    </row>
    <row r="59" spans="1:16" ht="15.6" x14ac:dyDescent="0.3">
      <c r="A59" s="726" t="s">
        <v>117</v>
      </c>
      <c r="B59" s="727"/>
      <c r="C59" s="5" t="s">
        <v>115</v>
      </c>
      <c r="D59" s="15">
        <f t="shared" ref="D59:P59" si="17">D58/D9</f>
        <v>752.49872849915687</v>
      </c>
      <c r="E59" s="15">
        <f t="shared" si="17"/>
        <v>609.05450055493895</v>
      </c>
      <c r="F59" s="15">
        <f t="shared" si="17"/>
        <v>625.55157618697092</v>
      </c>
      <c r="G59" s="15">
        <f t="shared" si="17"/>
        <v>584.46592289453713</v>
      </c>
      <c r="H59" s="15">
        <f t="shared" si="17"/>
        <v>633.59001950718687</v>
      </c>
      <c r="I59" s="15">
        <f t="shared" si="17"/>
        <v>526.42465236928103</v>
      </c>
      <c r="J59" s="15">
        <f t="shared" si="17"/>
        <v>508.16349147019372</v>
      </c>
      <c r="K59" s="15">
        <f t="shared" si="17"/>
        <v>580.20083080753409</v>
      </c>
      <c r="L59" s="15">
        <f t="shared" si="17"/>
        <v>776.26958020050131</v>
      </c>
      <c r="M59" s="15">
        <f t="shared" si="17"/>
        <v>783.94013195830553</v>
      </c>
      <c r="N59" s="15">
        <f t="shared" si="17"/>
        <v>878.04908255182636</v>
      </c>
      <c r="O59" s="15">
        <f t="shared" si="17"/>
        <v>982.06968799576941</v>
      </c>
      <c r="P59" s="103">
        <f t="shared" si="17"/>
        <v>669.21588318688055</v>
      </c>
    </row>
    <row r="60" spans="1:16" ht="15.6" x14ac:dyDescent="0.3">
      <c r="A60" s="726" t="s">
        <v>116</v>
      </c>
      <c r="B60" s="727"/>
      <c r="C60" s="5" t="s">
        <v>115</v>
      </c>
      <c r="D60" s="15">
        <f>D58/D22</f>
        <v>1077.8544589371982</v>
      </c>
      <c r="E60" s="15">
        <f t="shared" ref="E60:O60" si="18">E58/E22</f>
        <v>1043.5497785927737</v>
      </c>
      <c r="F60" s="15">
        <f t="shared" si="18"/>
        <v>878.35846640826878</v>
      </c>
      <c r="G60" s="15">
        <f t="shared" si="18"/>
        <v>753.00692705278584</v>
      </c>
      <c r="H60" s="15">
        <f t="shared" si="18"/>
        <v>843.05557240437156</v>
      </c>
      <c r="I60" s="15">
        <f t="shared" si="18"/>
        <v>791.57711855036848</v>
      </c>
      <c r="J60" s="15">
        <f t="shared" si="18"/>
        <v>651.53328459080865</v>
      </c>
      <c r="K60" s="15">
        <f t="shared" si="18"/>
        <v>695.90953972994032</v>
      </c>
      <c r="L60" s="15">
        <f t="shared" si="18"/>
        <v>1041.5919252522165</v>
      </c>
      <c r="M60" s="15">
        <f t="shared" si="18"/>
        <v>1162.7585707236842</v>
      </c>
      <c r="N60" s="15">
        <f t="shared" si="18"/>
        <v>1061.7292994628469</v>
      </c>
      <c r="O60" s="15">
        <f t="shared" si="18"/>
        <v>1309.1954740923511</v>
      </c>
      <c r="P60" s="104">
        <f>P58/P22</f>
        <v>920.53631043569931</v>
      </c>
    </row>
    <row r="61" spans="1:16" ht="15.6" x14ac:dyDescent="0.3">
      <c r="A61" s="695" t="s">
        <v>114</v>
      </c>
      <c r="B61" s="696"/>
      <c r="C61" s="5" t="s">
        <v>3</v>
      </c>
      <c r="D61" s="4">
        <v>4</v>
      </c>
      <c r="E61" s="4">
        <v>4</v>
      </c>
      <c r="F61" s="4">
        <v>4</v>
      </c>
      <c r="G61" s="4">
        <v>4</v>
      </c>
      <c r="H61" s="4">
        <v>3</v>
      </c>
      <c r="I61" s="4">
        <v>3</v>
      </c>
      <c r="J61" s="4">
        <v>3</v>
      </c>
      <c r="K61" s="4">
        <v>3</v>
      </c>
      <c r="L61" s="4">
        <v>3</v>
      </c>
      <c r="M61" s="4">
        <v>3</v>
      </c>
      <c r="N61" s="4">
        <v>3</v>
      </c>
      <c r="O61" s="4">
        <v>3</v>
      </c>
      <c r="P61" s="9">
        <f>O61</f>
        <v>3</v>
      </c>
    </row>
    <row r="62" spans="1:16" ht="15.6" customHeight="1" x14ac:dyDescent="0.3">
      <c r="A62" s="726" t="s">
        <v>113</v>
      </c>
      <c r="B62" s="727"/>
      <c r="C62" s="5" t="s">
        <v>112</v>
      </c>
      <c r="D62" s="15">
        <f t="shared" ref="D62:P62" si="19">(D61*1000*31)/D9</f>
        <v>29.87231992291014</v>
      </c>
      <c r="E62" s="15">
        <f t="shared" si="19"/>
        <v>19.660694466465831</v>
      </c>
      <c r="F62" s="15">
        <f t="shared" si="19"/>
        <v>22.819285977180716</v>
      </c>
      <c r="G62" s="15">
        <f t="shared" si="19"/>
        <v>23.520485584218513</v>
      </c>
      <c r="H62" s="15">
        <f t="shared" si="19"/>
        <v>19.096509240246405</v>
      </c>
      <c r="I62" s="15">
        <f t="shared" si="19"/>
        <v>15.196078431372548</v>
      </c>
      <c r="J62" s="15">
        <f t="shared" si="19"/>
        <v>17.826336975273147</v>
      </c>
      <c r="K62" s="15">
        <f t="shared" si="19"/>
        <v>20.134228187919462</v>
      </c>
      <c r="L62" s="15">
        <f t="shared" si="19"/>
        <v>21.189336978810662</v>
      </c>
      <c r="M62" s="15">
        <f t="shared" si="19"/>
        <v>20.625415834996673</v>
      </c>
      <c r="N62" s="15">
        <f t="shared" si="19"/>
        <v>22.95162882527147</v>
      </c>
      <c r="O62" s="15">
        <f t="shared" si="19"/>
        <v>24.590163934426229</v>
      </c>
      <c r="P62" s="103">
        <f t="shared" si="19"/>
        <v>1.5837335240625319</v>
      </c>
    </row>
    <row r="63" spans="1:16" ht="15.6" x14ac:dyDescent="0.3">
      <c r="A63" s="740" t="s">
        <v>111</v>
      </c>
      <c r="B63" s="741"/>
      <c r="C63" s="38" t="s">
        <v>3</v>
      </c>
      <c r="D63" s="4">
        <v>6</v>
      </c>
      <c r="E63" s="4">
        <v>6</v>
      </c>
      <c r="F63" s="4">
        <v>6</v>
      </c>
      <c r="G63" s="4">
        <v>6</v>
      </c>
      <c r="H63" s="4">
        <v>6</v>
      </c>
      <c r="I63" s="4">
        <v>6</v>
      </c>
      <c r="J63" s="4">
        <v>6</v>
      </c>
      <c r="K63" s="4">
        <v>6</v>
      </c>
      <c r="L63" s="4">
        <v>6</v>
      </c>
      <c r="M63" s="4">
        <v>6</v>
      </c>
      <c r="N63" s="4">
        <v>6</v>
      </c>
      <c r="O63" s="4">
        <v>6</v>
      </c>
      <c r="P63" s="9">
        <f>SUM(D63:O63)</f>
        <v>72</v>
      </c>
    </row>
    <row r="64" spans="1:16" x14ac:dyDescent="0.3">
      <c r="A64" s="742"/>
      <c r="B64" s="743"/>
      <c r="C64" s="743"/>
      <c r="D64" s="743"/>
      <c r="E64" s="743"/>
      <c r="F64" s="743"/>
      <c r="G64" s="743"/>
      <c r="H64" s="743"/>
      <c r="I64" s="743"/>
      <c r="J64" s="743"/>
      <c r="K64" s="743"/>
      <c r="L64" s="743"/>
      <c r="M64" s="743"/>
      <c r="N64" s="743"/>
      <c r="O64" s="743"/>
      <c r="P64" s="744"/>
    </row>
    <row r="65" spans="1:16" ht="14.4" customHeight="1" x14ac:dyDescent="0.3">
      <c r="A65" s="723" t="s">
        <v>110</v>
      </c>
      <c r="B65" s="724"/>
      <c r="C65" s="724"/>
      <c r="D65" s="724"/>
      <c r="E65" s="724"/>
      <c r="F65" s="724"/>
      <c r="G65" s="724"/>
      <c r="H65" s="724"/>
      <c r="I65" s="724"/>
      <c r="J65" s="724"/>
      <c r="K65" s="724"/>
      <c r="L65" s="724"/>
      <c r="M65" s="724"/>
      <c r="N65" s="724"/>
      <c r="O65" s="724"/>
      <c r="P65" s="725"/>
    </row>
    <row r="66" spans="1:16" ht="15.6" x14ac:dyDescent="0.3">
      <c r="A66" s="728" t="s">
        <v>109</v>
      </c>
      <c r="B66" s="37" t="s">
        <v>85</v>
      </c>
      <c r="C66" s="5" t="s">
        <v>3</v>
      </c>
      <c r="D66" s="156">
        <v>55</v>
      </c>
      <c r="E66" s="156">
        <v>51</v>
      </c>
      <c r="F66" s="156">
        <v>50</v>
      </c>
      <c r="G66" s="157">
        <v>59</v>
      </c>
      <c r="H66" s="157">
        <v>76</v>
      </c>
      <c r="I66" s="157">
        <v>66</v>
      </c>
      <c r="J66" s="157">
        <v>81</v>
      </c>
      <c r="K66" s="157">
        <v>83</v>
      </c>
      <c r="L66" s="157">
        <v>41</v>
      </c>
      <c r="M66" s="157">
        <v>41</v>
      </c>
      <c r="N66" s="157">
        <v>43</v>
      </c>
      <c r="O66" s="157">
        <v>43</v>
      </c>
      <c r="P66" s="35">
        <f>D66</f>
        <v>55</v>
      </c>
    </row>
    <row r="67" spans="1:16" ht="15.6" x14ac:dyDescent="0.3">
      <c r="A67" s="729"/>
      <c r="B67" s="24" t="s">
        <v>104</v>
      </c>
      <c r="C67" s="5" t="s">
        <v>3</v>
      </c>
      <c r="D67" s="156">
        <v>1</v>
      </c>
      <c r="E67" s="156">
        <v>2</v>
      </c>
      <c r="F67" s="156">
        <v>4</v>
      </c>
      <c r="G67" s="156">
        <v>10</v>
      </c>
      <c r="H67" s="156">
        <v>5</v>
      </c>
      <c r="I67" s="156">
        <v>14</v>
      </c>
      <c r="J67" s="156">
        <v>4</v>
      </c>
      <c r="K67" s="156">
        <v>7</v>
      </c>
      <c r="L67" s="156"/>
      <c r="M67" s="156">
        <v>2</v>
      </c>
      <c r="N67" s="156">
        <v>5</v>
      </c>
      <c r="O67" s="156">
        <v>12</v>
      </c>
      <c r="P67" s="35">
        <f>SUM(D67:O67)</f>
        <v>66</v>
      </c>
    </row>
    <row r="68" spans="1:16" ht="27" x14ac:dyDescent="0.3">
      <c r="A68" s="729"/>
      <c r="B68" s="24" t="s">
        <v>103</v>
      </c>
      <c r="C68" s="5" t="s">
        <v>3</v>
      </c>
      <c r="D68" s="156">
        <v>0</v>
      </c>
      <c r="E68" s="156"/>
      <c r="F68" s="156"/>
      <c r="G68" s="156"/>
      <c r="H68" s="156"/>
      <c r="I68" s="156"/>
      <c r="J68" s="156"/>
      <c r="K68" s="156">
        <v>0</v>
      </c>
      <c r="L68" s="156"/>
      <c r="M68" s="156"/>
      <c r="N68" s="156"/>
      <c r="O68" s="156"/>
      <c r="P68" s="35">
        <f t="shared" ref="P68:P69" si="20">SUM(D68:O68)</f>
        <v>0</v>
      </c>
    </row>
    <row r="69" spans="1:16" s="2" customFormat="1" ht="27" x14ac:dyDescent="0.3">
      <c r="A69" s="729"/>
      <c r="B69" s="24" t="s">
        <v>102</v>
      </c>
      <c r="C69" s="11" t="s">
        <v>3</v>
      </c>
      <c r="D69" s="156">
        <v>5</v>
      </c>
      <c r="E69" s="156">
        <v>3</v>
      </c>
      <c r="F69" s="156">
        <v>10</v>
      </c>
      <c r="G69" s="156">
        <v>7</v>
      </c>
      <c r="H69" s="156">
        <v>15</v>
      </c>
      <c r="I69" s="156"/>
      <c r="J69" s="156">
        <v>10</v>
      </c>
      <c r="K69" s="156">
        <v>11</v>
      </c>
      <c r="L69" s="156">
        <v>29</v>
      </c>
      <c r="M69" s="156"/>
      <c r="N69" s="156">
        <v>5</v>
      </c>
      <c r="O69" s="156">
        <v>10</v>
      </c>
      <c r="P69" s="74">
        <f t="shared" si="20"/>
        <v>105</v>
      </c>
    </row>
    <row r="70" spans="1:16" s="2" customFormat="1" ht="15.6" x14ac:dyDescent="0.3">
      <c r="A70" s="729"/>
      <c r="B70" s="24" t="s">
        <v>188</v>
      </c>
      <c r="C70" s="11" t="s">
        <v>3</v>
      </c>
      <c r="D70" s="156">
        <f>D68+D69</f>
        <v>5</v>
      </c>
      <c r="E70" s="156">
        <f t="shared" ref="E70:F70" si="21">E68+E69</f>
        <v>3</v>
      </c>
      <c r="F70" s="156">
        <f t="shared" si="21"/>
        <v>10</v>
      </c>
      <c r="G70" s="156">
        <f t="shared" ref="G70:P70" si="22">G68+G69</f>
        <v>7</v>
      </c>
      <c r="H70" s="156">
        <v>15</v>
      </c>
      <c r="I70" s="156">
        <f t="shared" ref="I70" si="23">I68+I69</f>
        <v>0</v>
      </c>
      <c r="J70" s="156">
        <f t="shared" ref="J70" si="24">J68+J69</f>
        <v>10</v>
      </c>
      <c r="K70" s="156">
        <v>11</v>
      </c>
      <c r="L70" s="156">
        <v>29</v>
      </c>
      <c r="M70" s="156">
        <f t="shared" ref="M70" si="25">M68+M69</f>
        <v>0</v>
      </c>
      <c r="N70" s="156">
        <f t="shared" ref="N70:O70" si="26">N68+N69</f>
        <v>5</v>
      </c>
      <c r="O70" s="156">
        <f t="shared" si="26"/>
        <v>10</v>
      </c>
      <c r="P70" s="105">
        <f t="shared" si="22"/>
        <v>105</v>
      </c>
    </row>
    <row r="71" spans="1:16" ht="15.6" x14ac:dyDescent="0.3">
      <c r="A71" s="730"/>
      <c r="B71" s="37" t="s">
        <v>81</v>
      </c>
      <c r="C71" s="5" t="s">
        <v>3</v>
      </c>
      <c r="D71" s="158">
        <f>D66+D67-D70</f>
        <v>51</v>
      </c>
      <c r="E71" s="158">
        <f t="shared" ref="E71:G71" si="27">E66+E67-E70</f>
        <v>50</v>
      </c>
      <c r="F71" s="158">
        <f t="shared" si="27"/>
        <v>44</v>
      </c>
      <c r="G71" s="158">
        <f t="shared" si="27"/>
        <v>62</v>
      </c>
      <c r="H71" s="158">
        <f t="shared" ref="H71:I71" si="28">H66+H67-H70</f>
        <v>66</v>
      </c>
      <c r="I71" s="158">
        <f t="shared" si="28"/>
        <v>80</v>
      </c>
      <c r="J71" s="158">
        <f t="shared" ref="J71:K71" si="29">J66+J67-J70</f>
        <v>75</v>
      </c>
      <c r="K71" s="158">
        <f t="shared" si="29"/>
        <v>79</v>
      </c>
      <c r="L71" s="158">
        <f t="shared" ref="L71:M71" si="30">L66+L67-L70</f>
        <v>12</v>
      </c>
      <c r="M71" s="158">
        <f t="shared" si="30"/>
        <v>43</v>
      </c>
      <c r="N71" s="158">
        <f t="shared" ref="N71:P71" si="31">N66+N67-N70</f>
        <v>43</v>
      </c>
      <c r="O71" s="158">
        <f t="shared" si="31"/>
        <v>45</v>
      </c>
      <c r="P71" s="158">
        <f t="shared" si="31"/>
        <v>16</v>
      </c>
    </row>
    <row r="72" spans="1:16" ht="15.6" x14ac:dyDescent="0.3">
      <c r="A72" s="728" t="s">
        <v>108</v>
      </c>
      <c r="B72" s="37" t="s">
        <v>85</v>
      </c>
      <c r="C72" s="5" t="s">
        <v>3</v>
      </c>
      <c r="D72" s="157">
        <v>3</v>
      </c>
      <c r="E72" s="157">
        <v>3</v>
      </c>
      <c r="F72" s="157">
        <v>3</v>
      </c>
      <c r="G72" s="157">
        <v>4</v>
      </c>
      <c r="H72" s="157"/>
      <c r="I72" s="157">
        <v>3</v>
      </c>
      <c r="J72" s="157">
        <v>3</v>
      </c>
      <c r="K72" s="157"/>
      <c r="L72" s="157"/>
      <c r="M72" s="157"/>
      <c r="N72" s="157">
        <v>3</v>
      </c>
      <c r="O72" s="157">
        <v>3</v>
      </c>
      <c r="P72" s="35">
        <f>D72</f>
        <v>3</v>
      </c>
    </row>
    <row r="73" spans="1:16" ht="15.6" x14ac:dyDescent="0.3">
      <c r="A73" s="729"/>
      <c r="B73" s="24" t="s">
        <v>104</v>
      </c>
      <c r="C73" s="5" t="s">
        <v>3</v>
      </c>
      <c r="D73" s="156">
        <v>0</v>
      </c>
      <c r="E73" s="156">
        <v>0</v>
      </c>
      <c r="F73" s="156">
        <v>0</v>
      </c>
      <c r="G73" s="156">
        <v>0</v>
      </c>
      <c r="H73" s="156"/>
      <c r="I73" s="156"/>
      <c r="J73" s="156"/>
      <c r="K73" s="156"/>
      <c r="L73" s="156"/>
      <c r="M73" s="156"/>
      <c r="N73" s="156">
        <v>0</v>
      </c>
      <c r="O73" s="156"/>
      <c r="P73" s="35">
        <f>SUM(D73:O73)</f>
        <v>0</v>
      </c>
    </row>
    <row r="74" spans="1:16" ht="27" x14ac:dyDescent="0.3">
      <c r="A74" s="729"/>
      <c r="B74" s="24" t="s">
        <v>103</v>
      </c>
      <c r="C74" s="5" t="s">
        <v>3</v>
      </c>
      <c r="D74" s="156">
        <v>0</v>
      </c>
      <c r="E74" s="156">
        <v>0</v>
      </c>
      <c r="F74" s="156">
        <v>0</v>
      </c>
      <c r="G74" s="156">
        <v>0</v>
      </c>
      <c r="H74" s="156"/>
      <c r="I74" s="156"/>
      <c r="J74" s="156"/>
      <c r="K74" s="156"/>
      <c r="L74" s="156"/>
      <c r="M74" s="156"/>
      <c r="N74" s="156">
        <v>0</v>
      </c>
      <c r="O74" s="156"/>
      <c r="P74" s="35">
        <f>SUM(D74:O74)</f>
        <v>0</v>
      </c>
    </row>
    <row r="75" spans="1:16" s="2" customFormat="1" ht="27" x14ac:dyDescent="0.3">
      <c r="A75" s="729"/>
      <c r="B75" s="24" t="s">
        <v>102</v>
      </c>
      <c r="C75" s="11" t="s">
        <v>3</v>
      </c>
      <c r="D75" s="156">
        <v>0</v>
      </c>
      <c r="E75" s="156">
        <v>0</v>
      </c>
      <c r="F75" s="156">
        <v>0</v>
      </c>
      <c r="G75" s="156">
        <v>0</v>
      </c>
      <c r="H75" s="156"/>
      <c r="I75" s="156"/>
      <c r="J75" s="156"/>
      <c r="K75" s="156"/>
      <c r="L75" s="156"/>
      <c r="M75" s="156"/>
      <c r="N75" s="156"/>
      <c r="O75" s="156"/>
      <c r="P75" s="35">
        <f>SUM(D75:O75)</f>
        <v>0</v>
      </c>
    </row>
    <row r="76" spans="1:16" s="2" customFormat="1" ht="15.6" x14ac:dyDescent="0.3">
      <c r="A76" s="729"/>
      <c r="B76" s="24" t="s">
        <v>188</v>
      </c>
      <c r="C76" s="11" t="s">
        <v>3</v>
      </c>
      <c r="D76" s="156">
        <f>D74+D75</f>
        <v>0</v>
      </c>
      <c r="E76" s="156">
        <f t="shared" ref="E76:P76" si="32">E74+E75</f>
        <v>0</v>
      </c>
      <c r="F76" s="156">
        <f t="shared" si="32"/>
        <v>0</v>
      </c>
      <c r="G76" s="156">
        <v>0</v>
      </c>
      <c r="H76" s="156">
        <f t="shared" ref="H76:I76" si="33">H74+H75</f>
        <v>0</v>
      </c>
      <c r="I76" s="156">
        <f t="shared" si="33"/>
        <v>0</v>
      </c>
      <c r="J76" s="156">
        <f t="shared" ref="J76:K76" si="34">J74+J75</f>
        <v>0</v>
      </c>
      <c r="K76" s="156">
        <f t="shared" si="34"/>
        <v>0</v>
      </c>
      <c r="L76" s="156">
        <f t="shared" ref="L76:M76" si="35">L74+L75</f>
        <v>0</v>
      </c>
      <c r="M76" s="156">
        <f t="shared" si="35"/>
        <v>0</v>
      </c>
      <c r="N76" s="156">
        <f t="shared" ref="N76:O76" si="36">N74+N75</f>
        <v>0</v>
      </c>
      <c r="O76" s="156">
        <f t="shared" si="36"/>
        <v>0</v>
      </c>
      <c r="P76" s="105">
        <f t="shared" si="32"/>
        <v>0</v>
      </c>
    </row>
    <row r="77" spans="1:16" ht="15.6" x14ac:dyDescent="0.3">
      <c r="A77" s="730"/>
      <c r="B77" s="37" t="s">
        <v>81</v>
      </c>
      <c r="C77" s="5" t="s">
        <v>3</v>
      </c>
      <c r="D77" s="158">
        <f t="shared" ref="D77:J77" si="37">D72+D73-D76</f>
        <v>3</v>
      </c>
      <c r="E77" s="158">
        <f t="shared" si="37"/>
        <v>3</v>
      </c>
      <c r="F77" s="158">
        <f t="shared" si="37"/>
        <v>3</v>
      </c>
      <c r="G77" s="158">
        <f t="shared" si="37"/>
        <v>4</v>
      </c>
      <c r="H77" s="158">
        <f t="shared" si="37"/>
        <v>0</v>
      </c>
      <c r="I77" s="158">
        <f t="shared" si="37"/>
        <v>3</v>
      </c>
      <c r="J77" s="158">
        <f t="shared" si="37"/>
        <v>3</v>
      </c>
      <c r="K77" s="158">
        <v>3</v>
      </c>
      <c r="L77" s="158">
        <v>3</v>
      </c>
      <c r="M77" s="158">
        <f t="shared" ref="M77" si="38">M72+M73-M76</f>
        <v>0</v>
      </c>
      <c r="N77" s="158">
        <f t="shared" ref="N77:P77" si="39">N72+N73-N76</f>
        <v>3</v>
      </c>
      <c r="O77" s="158">
        <f t="shared" si="39"/>
        <v>3</v>
      </c>
      <c r="P77" s="158">
        <f t="shared" si="39"/>
        <v>3</v>
      </c>
    </row>
    <row r="78" spans="1:16" ht="15.6" customHeight="1" x14ac:dyDescent="0.3">
      <c r="A78" s="728" t="s">
        <v>107</v>
      </c>
      <c r="B78" s="37" t="s">
        <v>85</v>
      </c>
      <c r="C78" s="5" t="s">
        <v>3</v>
      </c>
      <c r="D78" s="157">
        <v>0</v>
      </c>
      <c r="E78" s="157">
        <v>0</v>
      </c>
      <c r="F78" s="157">
        <v>0</v>
      </c>
      <c r="G78" s="157"/>
      <c r="H78" s="157"/>
      <c r="I78" s="157"/>
      <c r="J78" s="157"/>
      <c r="K78" s="157"/>
      <c r="L78" s="157"/>
      <c r="M78" s="157"/>
      <c r="N78" s="157"/>
      <c r="O78" s="157"/>
      <c r="P78" s="35">
        <f>D78</f>
        <v>0</v>
      </c>
    </row>
    <row r="79" spans="1:16" ht="15.6" x14ac:dyDescent="0.3">
      <c r="A79" s="729"/>
      <c r="B79" s="24" t="s">
        <v>104</v>
      </c>
      <c r="C79" s="5" t="s">
        <v>3</v>
      </c>
      <c r="D79" s="156">
        <v>0</v>
      </c>
      <c r="E79" s="156">
        <v>0</v>
      </c>
      <c r="F79" s="156">
        <v>0</v>
      </c>
      <c r="G79" s="156"/>
      <c r="H79" s="156"/>
      <c r="I79" s="156"/>
      <c r="J79" s="156"/>
      <c r="K79" s="156"/>
      <c r="L79" s="156"/>
      <c r="M79" s="156"/>
      <c r="N79" s="156"/>
      <c r="O79" s="156"/>
      <c r="P79" s="35">
        <f>SUM(D79:O79)</f>
        <v>0</v>
      </c>
    </row>
    <row r="80" spans="1:16" ht="27" x14ac:dyDescent="0.3">
      <c r="A80" s="729"/>
      <c r="B80" s="24" t="s">
        <v>103</v>
      </c>
      <c r="C80" s="5" t="s">
        <v>3</v>
      </c>
      <c r="D80" s="156">
        <v>0</v>
      </c>
      <c r="E80" s="156">
        <v>0</v>
      </c>
      <c r="F80" s="156">
        <v>0</v>
      </c>
      <c r="G80" s="156"/>
      <c r="H80" s="156"/>
      <c r="I80" s="156"/>
      <c r="J80" s="156"/>
      <c r="K80" s="156"/>
      <c r="L80" s="156"/>
      <c r="M80" s="156"/>
      <c r="N80" s="156"/>
      <c r="O80" s="156"/>
      <c r="P80" s="35">
        <f>SUM(D80:O80)</f>
        <v>0</v>
      </c>
    </row>
    <row r="81" spans="1:16" s="2" customFormat="1" ht="27" x14ac:dyDescent="0.3">
      <c r="A81" s="729"/>
      <c r="B81" s="24" t="s">
        <v>102</v>
      </c>
      <c r="C81" s="11" t="s">
        <v>3</v>
      </c>
      <c r="D81" s="156">
        <v>0</v>
      </c>
      <c r="E81" s="156">
        <v>0</v>
      </c>
      <c r="F81" s="156">
        <v>0</v>
      </c>
      <c r="G81" s="156"/>
      <c r="H81" s="156"/>
      <c r="I81" s="156"/>
      <c r="J81" s="156"/>
      <c r="K81" s="156"/>
      <c r="L81" s="156"/>
      <c r="M81" s="156"/>
      <c r="N81" s="156"/>
      <c r="O81" s="156"/>
      <c r="P81" s="74">
        <f>SUM(D81:O81)</f>
        <v>0</v>
      </c>
    </row>
    <row r="82" spans="1:16" s="2" customFormat="1" ht="15.6" x14ac:dyDescent="0.3">
      <c r="A82" s="729"/>
      <c r="B82" s="24" t="s">
        <v>188</v>
      </c>
      <c r="C82" s="11" t="s">
        <v>3</v>
      </c>
      <c r="D82" s="156">
        <f>D81+D80</f>
        <v>0</v>
      </c>
      <c r="E82" s="156">
        <f t="shared" ref="E82:P82" si="40">E81+E80</f>
        <v>0</v>
      </c>
      <c r="F82" s="156">
        <f t="shared" si="40"/>
        <v>0</v>
      </c>
      <c r="G82" s="156">
        <f t="shared" ref="G82:I82" si="41">G81+G80</f>
        <v>0</v>
      </c>
      <c r="H82" s="156">
        <f t="shared" si="41"/>
        <v>0</v>
      </c>
      <c r="I82" s="156">
        <f t="shared" si="41"/>
        <v>0</v>
      </c>
      <c r="J82" s="156">
        <f t="shared" ref="J82:K82" si="42">J81+J80</f>
        <v>0</v>
      </c>
      <c r="K82" s="156">
        <f t="shared" si="42"/>
        <v>0</v>
      </c>
      <c r="L82" s="156">
        <f t="shared" ref="L82:M82" si="43">L81+L80</f>
        <v>0</v>
      </c>
      <c r="M82" s="156">
        <f t="shared" si="43"/>
        <v>0</v>
      </c>
      <c r="N82" s="156">
        <f t="shared" ref="N82:O82" si="44">N81+N80</f>
        <v>0</v>
      </c>
      <c r="O82" s="156">
        <f t="shared" si="44"/>
        <v>0</v>
      </c>
      <c r="P82" s="105">
        <f t="shared" si="40"/>
        <v>0</v>
      </c>
    </row>
    <row r="83" spans="1:16" ht="15.6" x14ac:dyDescent="0.3">
      <c r="A83" s="730"/>
      <c r="B83" s="37" t="s">
        <v>81</v>
      </c>
      <c r="C83" s="5" t="s">
        <v>3</v>
      </c>
      <c r="D83" s="158">
        <f>D78+D79-D82</f>
        <v>0</v>
      </c>
      <c r="E83" s="158">
        <f t="shared" ref="E83:F83" si="45">E78+E79-E82</f>
        <v>0</v>
      </c>
      <c r="F83" s="158">
        <f t="shared" si="45"/>
        <v>0</v>
      </c>
      <c r="G83" s="158">
        <f t="shared" ref="G83:H83" si="46">G78+G79-G82</f>
        <v>0</v>
      </c>
      <c r="H83" s="158">
        <f t="shared" si="46"/>
        <v>0</v>
      </c>
      <c r="I83" s="158">
        <f t="shared" ref="I83:J83" si="47">I78+I79-I82</f>
        <v>0</v>
      </c>
      <c r="J83" s="158">
        <f t="shared" si="47"/>
        <v>0</v>
      </c>
      <c r="K83" s="158">
        <f t="shared" ref="K83" si="48">K78+K79-K82</f>
        <v>0</v>
      </c>
      <c r="L83" s="158"/>
      <c r="M83" s="158">
        <f t="shared" ref="M83:N83" si="49">M78+M79-M82</f>
        <v>0</v>
      </c>
      <c r="N83" s="158">
        <f t="shared" si="49"/>
        <v>0</v>
      </c>
      <c r="O83" s="158">
        <f t="shared" ref="O83:P83" si="50">O78+O79-O82</f>
        <v>0</v>
      </c>
      <c r="P83" s="158">
        <f t="shared" si="50"/>
        <v>0</v>
      </c>
    </row>
    <row r="84" spans="1:16" ht="15.6" x14ac:dyDescent="0.3">
      <c r="A84" s="731" t="s">
        <v>106</v>
      </c>
      <c r="B84" s="37" t="s">
        <v>85</v>
      </c>
      <c r="C84" s="5" t="s">
        <v>3</v>
      </c>
      <c r="D84" s="157">
        <v>0</v>
      </c>
      <c r="E84" s="157">
        <v>0</v>
      </c>
      <c r="F84" s="157">
        <v>0</v>
      </c>
      <c r="G84" s="157"/>
      <c r="H84" s="157"/>
      <c r="I84" s="157"/>
      <c r="J84" s="157"/>
      <c r="K84" s="157"/>
      <c r="L84" s="157"/>
      <c r="M84" s="157"/>
      <c r="N84" s="157"/>
      <c r="O84" s="157"/>
      <c r="P84" s="35">
        <f>D84</f>
        <v>0</v>
      </c>
    </row>
    <row r="85" spans="1:16" ht="15.6" x14ac:dyDescent="0.3">
      <c r="A85" s="732"/>
      <c r="B85" s="37" t="s">
        <v>104</v>
      </c>
      <c r="C85" s="5" t="s">
        <v>3</v>
      </c>
      <c r="D85" s="156">
        <v>0</v>
      </c>
      <c r="E85" s="156">
        <v>0</v>
      </c>
      <c r="F85" s="156">
        <v>0</v>
      </c>
      <c r="G85" s="156"/>
      <c r="H85" s="156"/>
      <c r="I85" s="156"/>
      <c r="J85" s="156"/>
      <c r="K85" s="156"/>
      <c r="L85" s="156"/>
      <c r="M85" s="156"/>
      <c r="N85" s="156"/>
      <c r="O85" s="156"/>
      <c r="P85" s="35">
        <f>SUM(D85:O85)</f>
        <v>0</v>
      </c>
    </row>
    <row r="86" spans="1:16" ht="27" x14ac:dyDescent="0.3">
      <c r="A86" s="732"/>
      <c r="B86" s="37" t="s">
        <v>103</v>
      </c>
      <c r="C86" s="5" t="s">
        <v>3</v>
      </c>
      <c r="D86" s="156">
        <v>0</v>
      </c>
      <c r="E86" s="156">
        <v>0</v>
      </c>
      <c r="F86" s="156">
        <v>0</v>
      </c>
      <c r="G86" s="156"/>
      <c r="H86" s="156"/>
      <c r="I86" s="156"/>
      <c r="J86" s="156"/>
      <c r="K86" s="156"/>
      <c r="L86" s="156"/>
      <c r="M86" s="156"/>
      <c r="N86" s="156"/>
      <c r="O86" s="156"/>
      <c r="P86" s="35">
        <f>SUM(D86:O86)</f>
        <v>0</v>
      </c>
    </row>
    <row r="87" spans="1:16" s="2" customFormat="1" ht="27" x14ac:dyDescent="0.3">
      <c r="A87" s="732"/>
      <c r="B87" s="24" t="s">
        <v>102</v>
      </c>
      <c r="C87" s="11" t="s">
        <v>3</v>
      </c>
      <c r="D87" s="156">
        <v>0</v>
      </c>
      <c r="E87" s="156">
        <v>0</v>
      </c>
      <c r="F87" s="156">
        <v>0</v>
      </c>
      <c r="G87" s="156"/>
      <c r="H87" s="156"/>
      <c r="I87" s="156"/>
      <c r="J87" s="156"/>
      <c r="K87" s="156"/>
      <c r="L87" s="156"/>
      <c r="M87" s="156"/>
      <c r="N87" s="156"/>
      <c r="O87" s="156"/>
      <c r="P87" s="74">
        <f>SUM(D87:O87)</f>
        <v>0</v>
      </c>
    </row>
    <row r="88" spans="1:16" s="2" customFormat="1" ht="15.6" x14ac:dyDescent="0.3">
      <c r="A88" s="732"/>
      <c r="B88" s="24" t="s">
        <v>188</v>
      </c>
      <c r="C88" s="11" t="s">
        <v>3</v>
      </c>
      <c r="D88" s="156">
        <f>D87+D86</f>
        <v>0</v>
      </c>
      <c r="E88" s="156">
        <f t="shared" ref="E88:I88" si="51">E87+E86</f>
        <v>0</v>
      </c>
      <c r="F88" s="156">
        <f t="shared" si="51"/>
        <v>0</v>
      </c>
      <c r="G88" s="156">
        <f t="shared" si="51"/>
        <v>0</v>
      </c>
      <c r="H88" s="156">
        <f t="shared" si="51"/>
        <v>0</v>
      </c>
      <c r="I88" s="156">
        <f t="shared" si="51"/>
        <v>0</v>
      </c>
      <c r="J88" s="156">
        <f t="shared" ref="J88:K88" si="52">J87+J86</f>
        <v>0</v>
      </c>
      <c r="K88" s="156">
        <f t="shared" si="52"/>
        <v>0</v>
      </c>
      <c r="L88" s="156">
        <f t="shared" ref="L88:M88" si="53">L87+L86</f>
        <v>0</v>
      </c>
      <c r="M88" s="156">
        <f t="shared" si="53"/>
        <v>0</v>
      </c>
      <c r="N88" s="156">
        <f t="shared" ref="N88:O88" si="54">N87+N86</f>
        <v>0</v>
      </c>
      <c r="O88" s="156">
        <f t="shared" si="54"/>
        <v>0</v>
      </c>
      <c r="P88" s="74">
        <f>SUM(D88:O88)</f>
        <v>0</v>
      </c>
    </row>
    <row r="89" spans="1:16" ht="15.6" x14ac:dyDescent="0.3">
      <c r="A89" s="733"/>
      <c r="B89" s="36" t="s">
        <v>81</v>
      </c>
      <c r="C89" s="5" t="s">
        <v>3</v>
      </c>
      <c r="D89" s="158">
        <f>D84+D85-D88</f>
        <v>0</v>
      </c>
      <c r="E89" s="158">
        <f t="shared" ref="E89:F89" si="55">E84+E85-E88</f>
        <v>0</v>
      </c>
      <c r="F89" s="158">
        <f t="shared" si="55"/>
        <v>0</v>
      </c>
      <c r="G89" s="158">
        <f t="shared" ref="G89:H89" si="56">G84+G85-G88</f>
        <v>0</v>
      </c>
      <c r="H89" s="158">
        <f t="shared" si="56"/>
        <v>0</v>
      </c>
      <c r="I89" s="158">
        <f t="shared" ref="I89:J89" si="57">I84+I85-I88</f>
        <v>0</v>
      </c>
      <c r="J89" s="158">
        <f t="shared" si="57"/>
        <v>0</v>
      </c>
      <c r="K89" s="158">
        <f t="shared" ref="K89:L89" si="58">K84+K85-K88</f>
        <v>0</v>
      </c>
      <c r="L89" s="158">
        <f t="shared" si="58"/>
        <v>0</v>
      </c>
      <c r="M89" s="158">
        <f t="shared" ref="M89:N89" si="59">M84+M85-M88</f>
        <v>0</v>
      </c>
      <c r="N89" s="158">
        <f t="shared" si="59"/>
        <v>0</v>
      </c>
      <c r="O89" s="158">
        <f t="shared" ref="O89:P89" si="60">O84+O85-O88</f>
        <v>0</v>
      </c>
      <c r="P89" s="158">
        <f t="shared" si="60"/>
        <v>0</v>
      </c>
    </row>
    <row r="90" spans="1:16" ht="15.6" x14ac:dyDescent="0.3">
      <c r="A90" s="734" t="s">
        <v>105</v>
      </c>
      <c r="B90" s="24" t="s">
        <v>85</v>
      </c>
      <c r="C90" s="11" t="s">
        <v>3</v>
      </c>
      <c r="D90" s="136">
        <f t="shared" ref="D90:I90" si="61">D66+D72+D78+D84</f>
        <v>58</v>
      </c>
      <c r="E90" s="136">
        <f t="shared" si="61"/>
        <v>54</v>
      </c>
      <c r="F90" s="136">
        <f t="shared" si="61"/>
        <v>53</v>
      </c>
      <c r="G90" s="136">
        <f t="shared" si="61"/>
        <v>63</v>
      </c>
      <c r="H90" s="136">
        <f t="shared" si="61"/>
        <v>76</v>
      </c>
      <c r="I90" s="136">
        <f t="shared" si="61"/>
        <v>69</v>
      </c>
      <c r="J90" s="136">
        <f t="shared" ref="J90:K90" si="62">J66+J72+J78+J84</f>
        <v>84</v>
      </c>
      <c r="K90" s="136">
        <f t="shared" si="62"/>
        <v>83</v>
      </c>
      <c r="L90" s="136">
        <f t="shared" ref="L90:M90" si="63">L66+L72+L78+L84</f>
        <v>41</v>
      </c>
      <c r="M90" s="136">
        <f t="shared" si="63"/>
        <v>41</v>
      </c>
      <c r="N90" s="136">
        <f t="shared" ref="N90:O90" si="64">N66+N72+N78+N84</f>
        <v>46</v>
      </c>
      <c r="O90" s="136">
        <f t="shared" si="64"/>
        <v>46</v>
      </c>
      <c r="P90" s="35">
        <f>D90</f>
        <v>58</v>
      </c>
    </row>
    <row r="91" spans="1:16" ht="15.6" x14ac:dyDescent="0.3">
      <c r="A91" s="735"/>
      <c r="B91" s="24" t="s">
        <v>104</v>
      </c>
      <c r="C91" s="11" t="s">
        <v>3</v>
      </c>
      <c r="D91" s="136">
        <f t="shared" ref="D91:E93" si="65">D67+D73+D79+D85</f>
        <v>1</v>
      </c>
      <c r="E91" s="136">
        <f t="shared" si="65"/>
        <v>2</v>
      </c>
      <c r="F91" s="136">
        <f t="shared" ref="F91:G91" si="66">F67+F73+F79+F85</f>
        <v>4</v>
      </c>
      <c r="G91" s="136">
        <f t="shared" si="66"/>
        <v>10</v>
      </c>
      <c r="H91" s="136">
        <f t="shared" ref="H91:I91" si="67">H67+H73+H79+H85</f>
        <v>5</v>
      </c>
      <c r="I91" s="136">
        <f t="shared" si="67"/>
        <v>14</v>
      </c>
      <c r="J91" s="136">
        <f t="shared" ref="J91:K91" si="68">J67+J73+J79+J85</f>
        <v>4</v>
      </c>
      <c r="K91" s="136">
        <f t="shared" si="68"/>
        <v>7</v>
      </c>
      <c r="L91" s="136">
        <f t="shared" ref="L91:M91" si="69">L67+L73+L79+L85</f>
        <v>0</v>
      </c>
      <c r="M91" s="136">
        <f t="shared" si="69"/>
        <v>2</v>
      </c>
      <c r="N91" s="136">
        <f t="shared" ref="N91:O91" si="70">N67+N73+N79+N85</f>
        <v>5</v>
      </c>
      <c r="O91" s="136">
        <f t="shared" si="70"/>
        <v>12</v>
      </c>
      <c r="P91" s="35">
        <f>SUM(D91:O91)</f>
        <v>66</v>
      </c>
    </row>
    <row r="92" spans="1:16" ht="27" x14ac:dyDescent="0.3">
      <c r="A92" s="735"/>
      <c r="B92" s="24" t="s">
        <v>103</v>
      </c>
      <c r="C92" s="11" t="s">
        <v>3</v>
      </c>
      <c r="D92" s="136">
        <f t="shared" si="65"/>
        <v>0</v>
      </c>
      <c r="E92" s="136">
        <f t="shared" si="65"/>
        <v>0</v>
      </c>
      <c r="F92" s="136">
        <f t="shared" ref="F92:G92" si="71">F68+F74+F80+F86</f>
        <v>0</v>
      </c>
      <c r="G92" s="136">
        <f t="shared" si="71"/>
        <v>0</v>
      </c>
      <c r="H92" s="136">
        <f t="shared" ref="H92:I92" si="72">H68+H74+H80+H86</f>
        <v>0</v>
      </c>
      <c r="I92" s="136">
        <f t="shared" si="72"/>
        <v>0</v>
      </c>
      <c r="J92" s="136">
        <f t="shared" ref="J92:K92" si="73">J68+J74+J80+J86</f>
        <v>0</v>
      </c>
      <c r="K92" s="136">
        <f t="shared" si="73"/>
        <v>0</v>
      </c>
      <c r="L92" s="136">
        <f t="shared" ref="L92:M92" si="74">L68+L74+L80+L86</f>
        <v>0</v>
      </c>
      <c r="M92" s="136">
        <f t="shared" si="74"/>
        <v>0</v>
      </c>
      <c r="N92" s="136">
        <f t="shared" ref="N92:O92" si="75">N68+N74+N80+N86</f>
        <v>0</v>
      </c>
      <c r="O92" s="136">
        <f t="shared" si="75"/>
        <v>0</v>
      </c>
      <c r="P92" s="35">
        <f>SUM(D92:O92)</f>
        <v>0</v>
      </c>
    </row>
    <row r="93" spans="1:16" s="2" customFormat="1" ht="27" x14ac:dyDescent="0.3">
      <c r="A93" s="735"/>
      <c r="B93" s="24" t="s">
        <v>102</v>
      </c>
      <c r="C93" s="11"/>
      <c r="D93" s="136">
        <f t="shared" si="65"/>
        <v>5</v>
      </c>
      <c r="E93" s="136">
        <f t="shared" si="65"/>
        <v>3</v>
      </c>
      <c r="F93" s="136">
        <f t="shared" ref="F93:G93" si="76">F69+F75+F81+F87</f>
        <v>10</v>
      </c>
      <c r="G93" s="136">
        <f t="shared" si="76"/>
        <v>7</v>
      </c>
      <c r="H93" s="136">
        <f t="shared" ref="H93:I93" si="77">H69+H75+H81+H87</f>
        <v>15</v>
      </c>
      <c r="I93" s="136">
        <f t="shared" si="77"/>
        <v>0</v>
      </c>
      <c r="J93" s="136">
        <f t="shared" ref="J93:K93" si="78">J69+J75+J81+J87</f>
        <v>10</v>
      </c>
      <c r="K93" s="136">
        <f t="shared" si="78"/>
        <v>11</v>
      </c>
      <c r="L93" s="136">
        <f t="shared" ref="L93:M93" si="79">L69+L75+L81+L87</f>
        <v>29</v>
      </c>
      <c r="M93" s="136">
        <f t="shared" si="79"/>
        <v>0</v>
      </c>
      <c r="N93" s="136">
        <f t="shared" ref="N93:O93" si="80">N69+N75+N81+N87</f>
        <v>5</v>
      </c>
      <c r="O93" s="136">
        <f t="shared" si="80"/>
        <v>10</v>
      </c>
      <c r="P93" s="35">
        <f>SUM(D93:O93)</f>
        <v>105</v>
      </c>
    </row>
    <row r="94" spans="1:16" s="2" customFormat="1" ht="15.6" x14ac:dyDescent="0.3">
      <c r="A94" s="735"/>
      <c r="B94" s="24" t="s">
        <v>188</v>
      </c>
      <c r="C94" s="11" t="s">
        <v>3</v>
      </c>
      <c r="D94" s="137">
        <f>D93+D92</f>
        <v>5</v>
      </c>
      <c r="E94" s="137">
        <f t="shared" ref="E94:P94" si="81">E93+E92</f>
        <v>3</v>
      </c>
      <c r="F94" s="137">
        <f t="shared" si="81"/>
        <v>10</v>
      </c>
      <c r="G94" s="137">
        <f t="shared" ref="G94:H94" si="82">G93+G92</f>
        <v>7</v>
      </c>
      <c r="H94" s="137">
        <f t="shared" si="82"/>
        <v>15</v>
      </c>
      <c r="I94" s="137">
        <f t="shared" ref="I94:J94" si="83">I93+I92</f>
        <v>0</v>
      </c>
      <c r="J94" s="137">
        <f t="shared" si="83"/>
        <v>10</v>
      </c>
      <c r="K94" s="137">
        <f t="shared" ref="K94:L94" si="84">K93+K92</f>
        <v>11</v>
      </c>
      <c r="L94" s="137">
        <f t="shared" si="84"/>
        <v>29</v>
      </c>
      <c r="M94" s="137">
        <f t="shared" ref="M94:N94" si="85">M93+M92</f>
        <v>0</v>
      </c>
      <c r="N94" s="137">
        <f t="shared" si="85"/>
        <v>5</v>
      </c>
      <c r="O94" s="137">
        <f t="shared" ref="O94" si="86">O93+O92</f>
        <v>10</v>
      </c>
      <c r="P94" s="144">
        <f t="shared" si="81"/>
        <v>105</v>
      </c>
    </row>
    <row r="95" spans="1:16" ht="16.2" thickBot="1" x14ac:dyDescent="0.35">
      <c r="A95" s="736"/>
      <c r="B95" s="24" t="s">
        <v>81</v>
      </c>
      <c r="C95" s="11" t="s">
        <v>3</v>
      </c>
      <c r="D95" s="138">
        <f>D90+D91-D94</f>
        <v>54</v>
      </c>
      <c r="E95" s="138">
        <f t="shared" ref="E95:P95" si="87">E90+E91-E94</f>
        <v>53</v>
      </c>
      <c r="F95" s="138">
        <f t="shared" si="87"/>
        <v>47</v>
      </c>
      <c r="G95" s="138">
        <f t="shared" ref="G95:H95" si="88">G90+G91-G94</f>
        <v>66</v>
      </c>
      <c r="H95" s="138">
        <f t="shared" si="88"/>
        <v>66</v>
      </c>
      <c r="I95" s="138">
        <f t="shared" ref="I95:J95" si="89">I90+I91-I94</f>
        <v>83</v>
      </c>
      <c r="J95" s="138">
        <f t="shared" si="89"/>
        <v>78</v>
      </c>
      <c r="K95" s="138">
        <f t="shared" ref="K95:L95" si="90">K90+K91-K94</f>
        <v>79</v>
      </c>
      <c r="L95" s="138">
        <f t="shared" si="90"/>
        <v>12</v>
      </c>
      <c r="M95" s="138">
        <f t="shared" ref="M95:N95" si="91">M90+M91-M94</f>
        <v>43</v>
      </c>
      <c r="N95" s="138">
        <f t="shared" si="91"/>
        <v>46</v>
      </c>
      <c r="O95" s="138">
        <f t="shared" ref="O95" si="92">O90+O91-O94</f>
        <v>48</v>
      </c>
      <c r="P95" s="145">
        <f t="shared" si="87"/>
        <v>19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7"/>
    </row>
    <row r="97" spans="1:16" s="2" customFormat="1" ht="15.75" customHeight="1" thickBot="1" x14ac:dyDescent="0.35">
      <c r="A97" s="737" t="s">
        <v>189</v>
      </c>
      <c r="B97" s="738"/>
      <c r="C97" s="738"/>
      <c r="D97" s="738"/>
      <c r="E97" s="738"/>
      <c r="F97" s="738"/>
      <c r="G97" s="738"/>
      <c r="H97" s="738"/>
      <c r="I97" s="738"/>
      <c r="J97" s="738"/>
      <c r="K97" s="738"/>
      <c r="L97" s="738"/>
      <c r="M97" s="738"/>
      <c r="N97" s="738"/>
      <c r="O97" s="738"/>
      <c r="P97" s="739"/>
    </row>
    <row r="98" spans="1:16" ht="15.6" x14ac:dyDescent="0.3">
      <c r="A98" s="88" t="s">
        <v>190</v>
      </c>
      <c r="B98" s="69"/>
      <c r="C98" s="11" t="s">
        <v>3</v>
      </c>
      <c r="D98" s="70">
        <v>5</v>
      </c>
      <c r="E98" s="70">
        <v>3</v>
      </c>
      <c r="F98" s="70">
        <v>10</v>
      </c>
      <c r="G98" s="70">
        <v>7</v>
      </c>
      <c r="H98" s="70">
        <v>15</v>
      </c>
      <c r="I98" s="70">
        <v>0</v>
      </c>
      <c r="J98" s="71">
        <v>10</v>
      </c>
      <c r="K98" s="71">
        <v>11</v>
      </c>
      <c r="L98" s="71">
        <v>29</v>
      </c>
      <c r="M98" s="71">
        <v>0</v>
      </c>
      <c r="N98" s="71">
        <v>5</v>
      </c>
      <c r="O98" s="71">
        <v>10</v>
      </c>
      <c r="P98" s="108">
        <f>SUM(D98:O98)</f>
        <v>105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7"/>
    </row>
    <row r="100" spans="1:16" s="2" customFormat="1" x14ac:dyDescent="0.3">
      <c r="A100" s="748" t="s">
        <v>101</v>
      </c>
      <c r="B100" s="749"/>
      <c r="C100" s="749"/>
      <c r="D100" s="749"/>
      <c r="E100" s="749"/>
      <c r="F100" s="749"/>
      <c r="G100" s="749"/>
      <c r="H100" s="749"/>
      <c r="I100" s="749"/>
      <c r="J100" s="749"/>
      <c r="K100" s="749"/>
      <c r="L100" s="749"/>
      <c r="M100" s="749"/>
      <c r="N100" s="749"/>
      <c r="O100" s="749"/>
      <c r="P100" s="750"/>
    </row>
    <row r="101" spans="1:16" ht="15.6" x14ac:dyDescent="0.3">
      <c r="A101" s="695" t="s">
        <v>100</v>
      </c>
      <c r="B101" s="696"/>
      <c r="C101" s="11" t="s">
        <v>3</v>
      </c>
      <c r="D101" s="4">
        <v>221</v>
      </c>
      <c r="E101" s="4">
        <v>222</v>
      </c>
      <c r="F101" s="4">
        <v>220</v>
      </c>
      <c r="G101" s="4">
        <v>220</v>
      </c>
      <c r="H101" s="4">
        <v>220</v>
      </c>
      <c r="I101" s="133">
        <v>218</v>
      </c>
      <c r="J101" s="133">
        <v>248</v>
      </c>
      <c r="K101" s="133">
        <v>247</v>
      </c>
      <c r="L101" s="133">
        <v>246</v>
      </c>
      <c r="M101" s="156">
        <v>260</v>
      </c>
      <c r="N101" s="156">
        <v>290</v>
      </c>
      <c r="O101" s="4">
        <v>292</v>
      </c>
      <c r="P101" s="32">
        <f t="shared" ref="P101:P116" si="93">O101</f>
        <v>292</v>
      </c>
    </row>
    <row r="102" spans="1:16" ht="15.6" x14ac:dyDescent="0.3">
      <c r="A102" s="695" t="s">
        <v>99</v>
      </c>
      <c r="B102" s="696"/>
      <c r="C102" s="11" t="s">
        <v>3</v>
      </c>
      <c r="D102" s="4">
        <v>7</v>
      </c>
      <c r="E102" s="4">
        <v>7</v>
      </c>
      <c r="F102" s="4">
        <v>7</v>
      </c>
      <c r="G102" s="4">
        <v>7</v>
      </c>
      <c r="H102" s="4">
        <v>7</v>
      </c>
      <c r="I102" s="133">
        <v>7</v>
      </c>
      <c r="J102" s="133">
        <v>7</v>
      </c>
      <c r="K102" s="133">
        <v>7</v>
      </c>
      <c r="L102" s="133">
        <v>7</v>
      </c>
      <c r="M102" s="156">
        <v>7</v>
      </c>
      <c r="N102" s="13">
        <v>0</v>
      </c>
      <c r="O102" s="13">
        <v>0</v>
      </c>
      <c r="P102" s="32">
        <f t="shared" si="93"/>
        <v>0</v>
      </c>
    </row>
    <row r="103" spans="1:16" ht="15.6" customHeight="1" x14ac:dyDescent="0.3">
      <c r="A103" s="702" t="s">
        <v>98</v>
      </c>
      <c r="B103" s="703"/>
      <c r="C103" s="11" t="s">
        <v>3</v>
      </c>
      <c r="D103" s="4">
        <v>2</v>
      </c>
      <c r="E103" s="4">
        <v>2</v>
      </c>
      <c r="F103" s="4">
        <v>2</v>
      </c>
      <c r="G103" s="4">
        <v>2</v>
      </c>
      <c r="H103" s="4">
        <v>2</v>
      </c>
      <c r="I103" s="133">
        <v>2</v>
      </c>
      <c r="J103" s="133">
        <v>2</v>
      </c>
      <c r="K103" s="133">
        <v>2</v>
      </c>
      <c r="L103" s="133">
        <v>2</v>
      </c>
      <c r="M103" s="156">
        <v>2</v>
      </c>
      <c r="N103" s="13">
        <v>0</v>
      </c>
      <c r="O103" s="13">
        <v>0</v>
      </c>
      <c r="P103" s="32">
        <f t="shared" si="93"/>
        <v>0</v>
      </c>
    </row>
    <row r="104" spans="1:16" ht="15.6" x14ac:dyDescent="0.3">
      <c r="A104" s="702" t="s">
        <v>97</v>
      </c>
      <c r="B104" s="703"/>
      <c r="C104" s="11" t="s">
        <v>3</v>
      </c>
      <c r="D104" s="4">
        <v>5</v>
      </c>
      <c r="E104" s="4">
        <v>5</v>
      </c>
      <c r="F104" s="4">
        <v>5</v>
      </c>
      <c r="G104" s="4">
        <v>5</v>
      </c>
      <c r="H104" s="4">
        <v>5</v>
      </c>
      <c r="I104" s="133">
        <v>5</v>
      </c>
      <c r="J104" s="133">
        <v>5</v>
      </c>
      <c r="K104" s="133">
        <v>5</v>
      </c>
      <c r="L104" s="133">
        <v>5</v>
      </c>
      <c r="M104" s="156">
        <v>5</v>
      </c>
      <c r="N104" s="13">
        <v>0</v>
      </c>
      <c r="O104" s="13">
        <v>0</v>
      </c>
      <c r="P104" s="32">
        <f t="shared" si="93"/>
        <v>0</v>
      </c>
    </row>
    <row r="105" spans="1:16" ht="15.6" x14ac:dyDescent="0.3">
      <c r="A105" s="751" t="s">
        <v>96</v>
      </c>
      <c r="B105" s="752"/>
      <c r="C105" s="11" t="s">
        <v>3</v>
      </c>
      <c r="D105" s="33">
        <f>SUM(D101:D104)</f>
        <v>235</v>
      </c>
      <c r="E105" s="33">
        <f t="shared" ref="E105:O105" si="94">SUM(E101:E104)</f>
        <v>236</v>
      </c>
      <c r="F105" s="33">
        <f t="shared" si="94"/>
        <v>234</v>
      </c>
      <c r="G105" s="33">
        <f t="shared" si="94"/>
        <v>234</v>
      </c>
      <c r="H105" s="33">
        <f t="shared" si="94"/>
        <v>234</v>
      </c>
      <c r="I105" s="135">
        <f t="shared" si="94"/>
        <v>232</v>
      </c>
      <c r="J105" s="135">
        <f t="shared" si="94"/>
        <v>262</v>
      </c>
      <c r="K105" s="135">
        <f t="shared" si="94"/>
        <v>261</v>
      </c>
      <c r="L105" s="135">
        <f t="shared" si="94"/>
        <v>260</v>
      </c>
      <c r="M105" s="168">
        <f t="shared" si="94"/>
        <v>274</v>
      </c>
      <c r="N105" s="168">
        <f t="shared" si="94"/>
        <v>290</v>
      </c>
      <c r="O105" s="33">
        <f t="shared" si="94"/>
        <v>292</v>
      </c>
      <c r="P105" s="32">
        <f t="shared" si="93"/>
        <v>292</v>
      </c>
    </row>
    <row r="106" spans="1:16" s="2" customFormat="1" ht="15.6" customHeight="1" x14ac:dyDescent="0.3">
      <c r="A106" s="745" t="s">
        <v>210</v>
      </c>
      <c r="B106" s="746"/>
      <c r="C106" s="746"/>
      <c r="D106" s="746"/>
      <c r="E106" s="746"/>
      <c r="F106" s="746"/>
      <c r="G106" s="746"/>
      <c r="H106" s="746"/>
      <c r="I106" s="746"/>
      <c r="J106" s="746"/>
      <c r="K106" s="746"/>
      <c r="L106" s="746"/>
      <c r="M106" s="746"/>
      <c r="N106" s="746"/>
      <c r="O106" s="746"/>
      <c r="P106" s="747"/>
    </row>
    <row r="107" spans="1:16" ht="15.6" x14ac:dyDescent="0.3">
      <c r="A107" s="695" t="s">
        <v>193</v>
      </c>
      <c r="B107" s="696"/>
      <c r="C107" s="11" t="s">
        <v>3</v>
      </c>
      <c r="D107" s="4">
        <v>241</v>
      </c>
      <c r="E107" s="4">
        <v>240</v>
      </c>
      <c r="F107" s="4">
        <v>242</v>
      </c>
      <c r="G107" s="4">
        <v>242</v>
      </c>
      <c r="H107" s="4">
        <v>242</v>
      </c>
      <c r="I107" s="133">
        <v>244</v>
      </c>
      <c r="J107" s="133">
        <v>244</v>
      </c>
      <c r="K107" s="133">
        <v>245</v>
      </c>
      <c r="L107" s="156">
        <v>246</v>
      </c>
      <c r="M107" s="156">
        <v>232</v>
      </c>
      <c r="N107" s="156">
        <v>234</v>
      </c>
      <c r="O107" s="130">
        <v>232</v>
      </c>
      <c r="P107" s="185">
        <f t="shared" si="93"/>
        <v>232</v>
      </c>
    </row>
    <row r="108" spans="1:16" ht="15.6" x14ac:dyDescent="0.3">
      <c r="A108" s="695" t="s">
        <v>194</v>
      </c>
      <c r="B108" s="696"/>
      <c r="C108" s="11" t="s">
        <v>3</v>
      </c>
      <c r="D108" s="4">
        <v>1</v>
      </c>
      <c r="E108" s="4">
        <v>1</v>
      </c>
      <c r="F108" s="4">
        <v>1</v>
      </c>
      <c r="G108" s="4">
        <v>1</v>
      </c>
      <c r="H108" s="4">
        <v>1</v>
      </c>
      <c r="I108" s="133">
        <v>1</v>
      </c>
      <c r="J108" s="133">
        <v>1</v>
      </c>
      <c r="K108" s="133">
        <v>1</v>
      </c>
      <c r="L108" s="156">
        <v>1</v>
      </c>
      <c r="M108" s="156">
        <v>1</v>
      </c>
      <c r="N108" s="156">
        <v>1</v>
      </c>
      <c r="O108" s="130">
        <v>1</v>
      </c>
      <c r="P108" s="185">
        <f t="shared" si="93"/>
        <v>1</v>
      </c>
    </row>
    <row r="109" spans="1:16" ht="15.6" x14ac:dyDescent="0.3">
      <c r="A109" s="695" t="s">
        <v>195</v>
      </c>
      <c r="B109" s="696"/>
      <c r="C109" s="11" t="s">
        <v>3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185">
        <f t="shared" si="93"/>
        <v>0</v>
      </c>
    </row>
    <row r="110" spans="1:16" ht="15.6" x14ac:dyDescent="0.3">
      <c r="A110" s="695" t="s">
        <v>196</v>
      </c>
      <c r="B110" s="696"/>
      <c r="C110" s="11" t="s">
        <v>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185">
        <f t="shared" si="93"/>
        <v>0</v>
      </c>
    </row>
    <row r="111" spans="1:16" ht="15.6" x14ac:dyDescent="0.3">
      <c r="A111" s="697" t="s">
        <v>95</v>
      </c>
      <c r="B111" s="698"/>
      <c r="C111" s="11" t="s">
        <v>3</v>
      </c>
      <c r="D111" s="33">
        <f>SUM(D107:D110)</f>
        <v>242</v>
      </c>
      <c r="E111" s="33">
        <f t="shared" ref="E111:O111" si="95">SUM(E107:E110)</f>
        <v>241</v>
      </c>
      <c r="F111" s="33">
        <f t="shared" si="95"/>
        <v>243</v>
      </c>
      <c r="G111" s="33">
        <f t="shared" si="95"/>
        <v>243</v>
      </c>
      <c r="H111" s="33">
        <f t="shared" si="95"/>
        <v>243</v>
      </c>
      <c r="I111" s="33">
        <f t="shared" si="95"/>
        <v>245</v>
      </c>
      <c r="J111" s="33">
        <f t="shared" si="95"/>
        <v>245</v>
      </c>
      <c r="K111" s="33">
        <f t="shared" si="95"/>
        <v>246</v>
      </c>
      <c r="L111" s="168">
        <f t="shared" si="95"/>
        <v>247</v>
      </c>
      <c r="M111" s="168">
        <f t="shared" si="95"/>
        <v>233</v>
      </c>
      <c r="N111" s="168">
        <f t="shared" si="95"/>
        <v>235</v>
      </c>
      <c r="O111" s="33">
        <f t="shared" si="95"/>
        <v>233</v>
      </c>
      <c r="P111" s="185">
        <f t="shared" si="93"/>
        <v>233</v>
      </c>
    </row>
    <row r="112" spans="1:16" s="2" customFormat="1" ht="15.6" customHeight="1" x14ac:dyDescent="0.3">
      <c r="A112" s="748" t="s">
        <v>216</v>
      </c>
      <c r="B112" s="749"/>
      <c r="C112" s="749"/>
      <c r="D112" s="749"/>
      <c r="E112" s="749"/>
      <c r="F112" s="749"/>
      <c r="G112" s="749"/>
      <c r="H112" s="749"/>
      <c r="I112" s="749"/>
      <c r="J112" s="749"/>
      <c r="K112" s="749"/>
      <c r="L112" s="749"/>
      <c r="M112" s="749"/>
      <c r="N112" s="749"/>
      <c r="O112" s="749"/>
      <c r="P112" s="750"/>
    </row>
    <row r="113" spans="1:16" ht="15.6" x14ac:dyDescent="0.3">
      <c r="A113" s="695" t="s">
        <v>197</v>
      </c>
      <c r="B113" s="696"/>
      <c r="C113" s="11" t="s">
        <v>3</v>
      </c>
      <c r="D113" s="128">
        <v>247</v>
      </c>
      <c r="E113" s="128">
        <v>250</v>
      </c>
      <c r="F113" s="128">
        <v>260</v>
      </c>
      <c r="G113" s="128">
        <v>267</v>
      </c>
      <c r="H113" s="128">
        <v>282</v>
      </c>
      <c r="I113" s="134">
        <v>249</v>
      </c>
      <c r="J113" s="134">
        <v>246</v>
      </c>
      <c r="K113" s="134">
        <v>257</v>
      </c>
      <c r="L113" s="134">
        <v>281</v>
      </c>
      <c r="M113" s="134">
        <v>281</v>
      </c>
      <c r="N113" s="134">
        <v>271</v>
      </c>
      <c r="O113" s="134">
        <v>281</v>
      </c>
      <c r="P113" s="185">
        <f t="shared" si="93"/>
        <v>281</v>
      </c>
    </row>
    <row r="114" spans="1:16" ht="15.6" x14ac:dyDescent="0.3">
      <c r="A114" s="695" t="s">
        <v>198</v>
      </c>
      <c r="B114" s="696"/>
      <c r="C114" s="11" t="s">
        <v>3</v>
      </c>
      <c r="D114" s="128"/>
      <c r="E114" s="128"/>
      <c r="F114" s="128"/>
      <c r="G114" s="128"/>
      <c r="H114" s="128"/>
      <c r="I114" s="134">
        <v>25</v>
      </c>
      <c r="J114" s="134">
        <v>25</v>
      </c>
      <c r="K114" s="134">
        <v>25</v>
      </c>
      <c r="L114" s="134">
        <v>25</v>
      </c>
      <c r="M114" s="134">
        <v>25</v>
      </c>
      <c r="N114" s="134">
        <v>27</v>
      </c>
      <c r="O114" s="134">
        <v>27</v>
      </c>
      <c r="P114" s="185">
        <f t="shared" si="93"/>
        <v>27</v>
      </c>
    </row>
    <row r="115" spans="1:16" ht="15.6" x14ac:dyDescent="0.3">
      <c r="A115" s="695" t="s">
        <v>199</v>
      </c>
      <c r="B115" s="696"/>
      <c r="C115" s="11" t="s">
        <v>3</v>
      </c>
      <c r="D115" s="128"/>
      <c r="E115" s="128"/>
      <c r="F115" s="128"/>
      <c r="G115" s="128"/>
      <c r="H115" s="128"/>
      <c r="I115" s="134">
        <v>5</v>
      </c>
      <c r="J115" s="134">
        <v>5</v>
      </c>
      <c r="K115" s="134">
        <v>5</v>
      </c>
      <c r="L115" s="134">
        <v>5</v>
      </c>
      <c r="M115" s="134">
        <v>5</v>
      </c>
      <c r="N115" s="134">
        <v>10</v>
      </c>
      <c r="O115" s="134">
        <v>10</v>
      </c>
      <c r="P115" s="185">
        <f t="shared" si="93"/>
        <v>10</v>
      </c>
    </row>
    <row r="116" spans="1:16" ht="15.6" x14ac:dyDescent="0.3">
      <c r="A116" s="695" t="s">
        <v>200</v>
      </c>
      <c r="B116" s="696"/>
      <c r="C116" s="11" t="s">
        <v>3</v>
      </c>
      <c r="D116" s="128"/>
      <c r="E116" s="128"/>
      <c r="F116" s="128"/>
      <c r="G116" s="33"/>
      <c r="H116" s="33"/>
      <c r="I116" s="134">
        <v>3</v>
      </c>
      <c r="J116" s="134">
        <v>3</v>
      </c>
      <c r="K116" s="134">
        <v>3</v>
      </c>
      <c r="L116" s="134">
        <v>3</v>
      </c>
      <c r="M116" s="134">
        <v>3</v>
      </c>
      <c r="N116" s="134">
        <v>3</v>
      </c>
      <c r="O116" s="134">
        <v>3</v>
      </c>
      <c r="P116" s="185">
        <f t="shared" si="93"/>
        <v>3</v>
      </c>
    </row>
    <row r="117" spans="1:16" ht="15.6" x14ac:dyDescent="0.3">
      <c r="A117" s="697" t="s">
        <v>94</v>
      </c>
      <c r="B117" s="698"/>
      <c r="C117" s="11" t="s">
        <v>3</v>
      </c>
      <c r="D117" s="33">
        <f>SUM(D113:D116)</f>
        <v>247</v>
      </c>
      <c r="E117" s="33">
        <f t="shared" ref="E117:P117" si="96">SUM(E113:E116)</f>
        <v>250</v>
      </c>
      <c r="F117" s="33">
        <f t="shared" si="96"/>
        <v>260</v>
      </c>
      <c r="G117" s="33">
        <v>267</v>
      </c>
      <c r="H117" s="33">
        <f t="shared" ref="H117" si="97">SUM(H113:H116)</f>
        <v>282</v>
      </c>
      <c r="I117" s="33">
        <f t="shared" ref="I117:J117" si="98">SUM(I113:I116)</f>
        <v>282</v>
      </c>
      <c r="J117" s="33">
        <f t="shared" si="98"/>
        <v>279</v>
      </c>
      <c r="K117" s="33">
        <f t="shared" ref="K117:L117" si="99">SUM(K113:K116)</f>
        <v>290</v>
      </c>
      <c r="L117" s="33">
        <f t="shared" si="99"/>
        <v>314</v>
      </c>
      <c r="M117" s="33">
        <f t="shared" ref="M117:N117" si="100">SUM(M113:M116)</f>
        <v>314</v>
      </c>
      <c r="N117" s="33">
        <f t="shared" si="100"/>
        <v>311</v>
      </c>
      <c r="O117" s="33">
        <f t="shared" ref="O117" si="101">SUM(O113:O116)</f>
        <v>321</v>
      </c>
      <c r="P117" s="55">
        <f t="shared" si="96"/>
        <v>321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33">
        <f t="shared" ref="D118:I118" si="102">D111+D117</f>
        <v>489</v>
      </c>
      <c r="E118" s="33">
        <f t="shared" si="102"/>
        <v>491</v>
      </c>
      <c r="F118" s="33">
        <f t="shared" si="102"/>
        <v>503</v>
      </c>
      <c r="G118" s="33">
        <f t="shared" si="102"/>
        <v>510</v>
      </c>
      <c r="H118" s="33">
        <f t="shared" si="102"/>
        <v>525</v>
      </c>
      <c r="I118" s="33">
        <f t="shared" si="102"/>
        <v>527</v>
      </c>
      <c r="J118" s="33">
        <f t="shared" ref="J118" si="103">J111+J117</f>
        <v>524</v>
      </c>
      <c r="K118" s="33">
        <f t="shared" ref="K118:L118" si="104">K111+K117</f>
        <v>536</v>
      </c>
      <c r="L118" s="33">
        <f t="shared" si="104"/>
        <v>561</v>
      </c>
      <c r="M118" s="33">
        <f t="shared" ref="M118:N118" si="105">M111+M117</f>
        <v>547</v>
      </c>
      <c r="N118" s="33">
        <f t="shared" si="105"/>
        <v>546</v>
      </c>
      <c r="O118" s="33">
        <f t="shared" ref="O118:P118" si="106">O111+O117</f>
        <v>554</v>
      </c>
      <c r="P118" s="33">
        <f t="shared" si="106"/>
        <v>554</v>
      </c>
    </row>
    <row r="119" spans="1:16" ht="15.6" x14ac:dyDescent="0.3">
      <c r="A119" s="697" t="s">
        <v>192</v>
      </c>
      <c r="B119" s="698"/>
      <c r="C119" s="11" t="s">
        <v>3</v>
      </c>
      <c r="D119" s="33">
        <f t="shared" ref="D119:I119" si="107">D105+D118</f>
        <v>724</v>
      </c>
      <c r="E119" s="33">
        <f t="shared" si="107"/>
        <v>727</v>
      </c>
      <c r="F119" s="33">
        <f t="shared" si="107"/>
        <v>737</v>
      </c>
      <c r="G119" s="33">
        <f t="shared" si="107"/>
        <v>744</v>
      </c>
      <c r="H119" s="33">
        <f t="shared" si="107"/>
        <v>759</v>
      </c>
      <c r="I119" s="33">
        <f t="shared" si="107"/>
        <v>759</v>
      </c>
      <c r="J119" s="33">
        <f t="shared" ref="J119" si="108">J105+J118</f>
        <v>786</v>
      </c>
      <c r="K119" s="33">
        <f t="shared" ref="K119:L119" si="109">K105+K118</f>
        <v>797</v>
      </c>
      <c r="L119" s="33">
        <f t="shared" si="109"/>
        <v>821</v>
      </c>
      <c r="M119" s="33">
        <f t="shared" ref="M119:N119" si="110">M105+M118</f>
        <v>821</v>
      </c>
      <c r="N119" s="33">
        <f t="shared" si="110"/>
        <v>836</v>
      </c>
      <c r="O119" s="33">
        <f t="shared" ref="O119:P119" si="111">O105+O118</f>
        <v>846</v>
      </c>
      <c r="P119" s="33">
        <f t="shared" si="111"/>
        <v>846</v>
      </c>
    </row>
    <row r="120" spans="1:16" x14ac:dyDescent="0.3">
      <c r="A120" s="699" t="s">
        <v>201</v>
      </c>
      <c r="B120" s="700"/>
      <c r="C120" s="700"/>
      <c r="D120" s="700"/>
      <c r="E120" s="700"/>
      <c r="F120" s="700"/>
      <c r="G120" s="700"/>
      <c r="H120" s="700"/>
      <c r="I120" s="700"/>
      <c r="J120" s="700"/>
      <c r="K120" s="700"/>
      <c r="L120" s="700"/>
      <c r="M120" s="700"/>
      <c r="N120" s="700"/>
      <c r="O120" s="700"/>
      <c r="P120" s="701"/>
    </row>
    <row r="121" spans="1:16" ht="15.6" x14ac:dyDescent="0.3">
      <c r="A121" s="695" t="s">
        <v>93</v>
      </c>
      <c r="B121" s="696"/>
      <c r="C121" s="5" t="s">
        <v>3</v>
      </c>
      <c r="D121" s="129">
        <v>8963</v>
      </c>
      <c r="E121" s="129">
        <v>8978</v>
      </c>
      <c r="F121" s="129">
        <v>8993</v>
      </c>
      <c r="G121" s="129">
        <v>9008</v>
      </c>
      <c r="H121" s="129">
        <v>9023</v>
      </c>
      <c r="I121" s="129">
        <v>9038</v>
      </c>
      <c r="J121" s="129">
        <v>9053</v>
      </c>
      <c r="K121" s="129">
        <v>9068</v>
      </c>
      <c r="L121" s="129">
        <v>9083</v>
      </c>
      <c r="M121" s="129">
        <v>9098</v>
      </c>
      <c r="N121" s="129">
        <v>9113</v>
      </c>
      <c r="O121" s="129">
        <v>9128</v>
      </c>
      <c r="P121" s="31">
        <f>O121</f>
        <v>9128</v>
      </c>
    </row>
    <row r="122" spans="1:16" ht="15.6" x14ac:dyDescent="0.3">
      <c r="A122" s="695" t="s">
        <v>92</v>
      </c>
      <c r="B122" s="696"/>
      <c r="C122" s="5" t="s">
        <v>3</v>
      </c>
      <c r="D122" s="129">
        <v>6431</v>
      </c>
      <c r="E122" s="129">
        <v>6421</v>
      </c>
      <c r="F122" s="129">
        <v>6456</v>
      </c>
      <c r="G122" s="129">
        <v>6531</v>
      </c>
      <c r="H122" s="129">
        <v>6606</v>
      </c>
      <c r="I122" s="129">
        <v>6606</v>
      </c>
      <c r="J122" s="129">
        <v>6656</v>
      </c>
      <c r="K122" s="129">
        <v>6711</v>
      </c>
      <c r="L122" s="129">
        <v>6856</v>
      </c>
      <c r="M122" s="129">
        <v>6856</v>
      </c>
      <c r="N122" s="129">
        <v>6881</v>
      </c>
      <c r="O122" s="129">
        <v>6931</v>
      </c>
      <c r="P122" s="31">
        <f>O122</f>
        <v>6931</v>
      </c>
    </row>
    <row r="123" spans="1:16" ht="15.6" x14ac:dyDescent="0.3">
      <c r="A123" s="753" t="s">
        <v>91</v>
      </c>
      <c r="B123" s="754"/>
      <c r="C123" s="30" t="s">
        <v>6</v>
      </c>
      <c r="D123" s="29">
        <f t="shared" ref="D123:P123" si="112">D122/D121</f>
        <v>0.71750529956487785</v>
      </c>
      <c r="E123" s="29">
        <f t="shared" si="112"/>
        <v>0.7151926932501671</v>
      </c>
      <c r="F123" s="29">
        <f t="shared" si="112"/>
        <v>0.71789169353941951</v>
      </c>
      <c r="G123" s="29">
        <f t="shared" si="112"/>
        <v>0.72502220248667848</v>
      </c>
      <c r="H123" s="29">
        <f t="shared" si="112"/>
        <v>0.73212900365732014</v>
      </c>
      <c r="I123" s="29">
        <f t="shared" si="112"/>
        <v>0.73091391900863023</v>
      </c>
      <c r="J123" s="29">
        <f t="shared" si="112"/>
        <v>0.73522589196951282</v>
      </c>
      <c r="K123" s="29">
        <f t="shared" si="112"/>
        <v>0.74007498897221002</v>
      </c>
      <c r="L123" s="29">
        <f t="shared" si="112"/>
        <v>0.75481669052075306</v>
      </c>
      <c r="M123" s="29">
        <f t="shared" si="112"/>
        <v>0.75357221367333482</v>
      </c>
      <c r="N123" s="29">
        <f t="shared" si="112"/>
        <v>0.75507516734335567</v>
      </c>
      <c r="O123" s="29">
        <f t="shared" si="112"/>
        <v>0.75931200701139356</v>
      </c>
      <c r="P123" s="109">
        <f t="shared" si="112"/>
        <v>0.75931200701139356</v>
      </c>
    </row>
    <row r="124" spans="1:16" x14ac:dyDescent="0.3">
      <c r="A124" s="755" t="s">
        <v>90</v>
      </c>
      <c r="B124" s="756"/>
      <c r="C124" s="756"/>
      <c r="D124" s="756"/>
      <c r="E124" s="756"/>
      <c r="F124" s="756"/>
      <c r="G124" s="756"/>
      <c r="H124" s="756"/>
      <c r="I124" s="756"/>
      <c r="J124" s="756"/>
      <c r="K124" s="756"/>
      <c r="L124" s="756"/>
      <c r="M124" s="756"/>
      <c r="N124" s="756"/>
      <c r="O124" s="756"/>
      <c r="P124" s="757"/>
    </row>
    <row r="125" spans="1:16" ht="15.6" x14ac:dyDescent="0.3">
      <c r="A125" s="711" t="s">
        <v>224</v>
      </c>
      <c r="B125" s="24" t="s">
        <v>85</v>
      </c>
      <c r="C125" s="11" t="s">
        <v>3</v>
      </c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25">
        <f>D125</f>
        <v>0</v>
      </c>
    </row>
    <row r="126" spans="1:16" ht="15.6" x14ac:dyDescent="0.3">
      <c r="A126" s="761"/>
      <c r="B126" s="24" t="s">
        <v>84</v>
      </c>
      <c r="C126" s="11" t="s">
        <v>3</v>
      </c>
      <c r="D126" s="156"/>
      <c r="E126" s="156"/>
      <c r="F126" s="156"/>
      <c r="G126" s="156"/>
      <c r="H126" s="156"/>
      <c r="I126" s="156"/>
      <c r="J126" s="156"/>
      <c r="K126" s="156"/>
      <c r="L126" s="156">
        <v>1</v>
      </c>
      <c r="M126" s="156"/>
      <c r="N126" s="156"/>
      <c r="O126" s="156"/>
      <c r="P126" s="18">
        <f>SUM(D126:O126)</f>
        <v>1</v>
      </c>
    </row>
    <row r="127" spans="1:16" ht="15.6" x14ac:dyDescent="0.3">
      <c r="A127" s="761"/>
      <c r="B127" s="82" t="s">
        <v>88</v>
      </c>
      <c r="C127" s="11" t="s">
        <v>3</v>
      </c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8">
        <f>SUM(D127:O127)</f>
        <v>0</v>
      </c>
    </row>
    <row r="128" spans="1:16" ht="15.6" x14ac:dyDescent="0.3">
      <c r="A128" s="761"/>
      <c r="B128" s="24" t="s">
        <v>82</v>
      </c>
      <c r="C128" s="11" t="s">
        <v>3</v>
      </c>
      <c r="D128" s="156"/>
      <c r="E128" s="156"/>
      <c r="F128" s="156"/>
      <c r="G128" s="156"/>
      <c r="H128" s="156"/>
      <c r="I128" s="156"/>
      <c r="J128" s="156"/>
      <c r="K128" s="156"/>
      <c r="L128" s="156">
        <v>1</v>
      </c>
      <c r="M128" s="156"/>
      <c r="N128" s="156"/>
      <c r="O128" s="156"/>
      <c r="P128" s="18">
        <f>SUM(D128:O128)</f>
        <v>1</v>
      </c>
    </row>
    <row r="129" spans="1:16" ht="15.6" x14ac:dyDescent="0.3">
      <c r="A129" s="712"/>
      <c r="B129" s="24" t="s">
        <v>81</v>
      </c>
      <c r="C129" s="11" t="s">
        <v>3</v>
      </c>
      <c r="D129" s="157">
        <f t="shared" ref="D129:I129" si="113">D125+D126-D127-D128</f>
        <v>0</v>
      </c>
      <c r="E129" s="157">
        <f t="shared" si="113"/>
        <v>0</v>
      </c>
      <c r="F129" s="157">
        <f t="shared" si="113"/>
        <v>0</v>
      </c>
      <c r="G129" s="157">
        <f t="shared" si="113"/>
        <v>0</v>
      </c>
      <c r="H129" s="157">
        <f t="shared" si="113"/>
        <v>0</v>
      </c>
      <c r="I129" s="157">
        <f t="shared" si="113"/>
        <v>0</v>
      </c>
      <c r="J129" s="157">
        <f t="shared" ref="J129:K129" si="114">J125+J126-J127-J128</f>
        <v>0</v>
      </c>
      <c r="K129" s="157">
        <f t="shared" si="114"/>
        <v>0</v>
      </c>
      <c r="L129" s="157">
        <f t="shared" ref="L129:M129" si="115">L125+L126-L127-L128</f>
        <v>0</v>
      </c>
      <c r="M129" s="157">
        <f t="shared" si="115"/>
        <v>0</v>
      </c>
      <c r="N129" s="157">
        <f t="shared" ref="N129:O129" si="116">N125+N126-N127-N128</f>
        <v>0</v>
      </c>
      <c r="O129" s="157">
        <f t="shared" si="116"/>
        <v>0</v>
      </c>
      <c r="P129" s="25">
        <f>P125+P126-P127-P128</f>
        <v>0</v>
      </c>
    </row>
    <row r="130" spans="1:16" ht="15.6" x14ac:dyDescent="0.3">
      <c r="A130" s="711" t="s">
        <v>225</v>
      </c>
      <c r="B130" s="28" t="s">
        <v>85</v>
      </c>
      <c r="C130" s="27" t="s">
        <v>3</v>
      </c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25">
        <f>D130</f>
        <v>0</v>
      </c>
    </row>
    <row r="131" spans="1:16" ht="15.6" x14ac:dyDescent="0.3">
      <c r="A131" s="761"/>
      <c r="B131" s="24" t="s">
        <v>84</v>
      </c>
      <c r="C131" s="11" t="s">
        <v>3</v>
      </c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8">
        <f>SUM(D131:O131)</f>
        <v>0</v>
      </c>
    </row>
    <row r="132" spans="1:16" ht="15.6" x14ac:dyDescent="0.3">
      <c r="A132" s="761"/>
      <c r="B132" s="82" t="s">
        <v>88</v>
      </c>
      <c r="C132" s="11" t="s">
        <v>3</v>
      </c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8">
        <f>SUM(D132:O132)</f>
        <v>0</v>
      </c>
    </row>
    <row r="133" spans="1:16" ht="15.6" x14ac:dyDescent="0.3">
      <c r="A133" s="761"/>
      <c r="B133" s="24" t="s">
        <v>82</v>
      </c>
      <c r="C133" s="11" t="s">
        <v>3</v>
      </c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8">
        <f>SUM(D133:O133)</f>
        <v>0</v>
      </c>
    </row>
    <row r="134" spans="1:16" ht="15.6" x14ac:dyDescent="0.3">
      <c r="A134" s="712"/>
      <c r="B134" s="24" t="s">
        <v>81</v>
      </c>
      <c r="C134" s="11" t="s">
        <v>3</v>
      </c>
      <c r="D134" s="157">
        <f t="shared" ref="D134:I134" si="117">D130+D131-D132-D133</f>
        <v>0</v>
      </c>
      <c r="E134" s="157">
        <f t="shared" si="117"/>
        <v>0</v>
      </c>
      <c r="F134" s="157">
        <f t="shared" si="117"/>
        <v>0</v>
      </c>
      <c r="G134" s="157">
        <f t="shared" si="117"/>
        <v>0</v>
      </c>
      <c r="H134" s="157">
        <f t="shared" si="117"/>
        <v>0</v>
      </c>
      <c r="I134" s="157">
        <f t="shared" si="117"/>
        <v>0</v>
      </c>
      <c r="J134" s="157">
        <f t="shared" ref="J134:K134" si="118">J130+J131-J132-J133</f>
        <v>0</v>
      </c>
      <c r="K134" s="157">
        <f t="shared" si="118"/>
        <v>0</v>
      </c>
      <c r="L134" s="157">
        <f t="shared" ref="L134:M134" si="119">L130+L131-L132-L133</f>
        <v>0</v>
      </c>
      <c r="M134" s="157">
        <f t="shared" si="119"/>
        <v>0</v>
      </c>
      <c r="N134" s="157">
        <f t="shared" ref="N134:O134" si="120">N130+N131-N132-N133</f>
        <v>0</v>
      </c>
      <c r="O134" s="157">
        <f t="shared" si="120"/>
        <v>0</v>
      </c>
      <c r="P134" s="25">
        <f>P130+P131-P132-P133</f>
        <v>0</v>
      </c>
    </row>
    <row r="135" spans="1:16" ht="15.6" x14ac:dyDescent="0.3">
      <c r="A135" s="711" t="s">
        <v>89</v>
      </c>
      <c r="B135" s="24" t="s">
        <v>85</v>
      </c>
      <c r="C135" s="11" t="s">
        <v>3</v>
      </c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25">
        <f>D135</f>
        <v>0</v>
      </c>
    </row>
    <row r="136" spans="1:16" ht="15.6" x14ac:dyDescent="0.3">
      <c r="A136" s="761"/>
      <c r="B136" s="24" t="s">
        <v>84</v>
      </c>
      <c r="C136" s="11" t="s">
        <v>3</v>
      </c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8">
        <f>SUM(D136:O136)</f>
        <v>0</v>
      </c>
    </row>
    <row r="137" spans="1:16" ht="15.6" x14ac:dyDescent="0.3">
      <c r="A137" s="761"/>
      <c r="B137" s="82" t="s">
        <v>88</v>
      </c>
      <c r="C137" s="11" t="s">
        <v>3</v>
      </c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8">
        <f>SUM(D137:O137)</f>
        <v>0</v>
      </c>
    </row>
    <row r="138" spans="1:16" ht="15.6" x14ac:dyDescent="0.3">
      <c r="A138" s="761"/>
      <c r="B138" s="24" t="s">
        <v>82</v>
      </c>
      <c r="C138" s="11" t="s">
        <v>3</v>
      </c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8">
        <f>SUM(D138:O138)</f>
        <v>0</v>
      </c>
    </row>
    <row r="139" spans="1:16" ht="15.6" x14ac:dyDescent="0.3">
      <c r="A139" s="712"/>
      <c r="B139" s="24" t="s">
        <v>81</v>
      </c>
      <c r="C139" s="11" t="s">
        <v>3</v>
      </c>
      <c r="D139" s="157">
        <f t="shared" ref="D139:I139" si="121">D135+D136-D137-D138</f>
        <v>0</v>
      </c>
      <c r="E139" s="157">
        <f t="shared" si="121"/>
        <v>0</v>
      </c>
      <c r="F139" s="157">
        <f t="shared" si="121"/>
        <v>0</v>
      </c>
      <c r="G139" s="157">
        <f t="shared" si="121"/>
        <v>0</v>
      </c>
      <c r="H139" s="157">
        <f t="shared" si="121"/>
        <v>0</v>
      </c>
      <c r="I139" s="157">
        <f t="shared" si="121"/>
        <v>0</v>
      </c>
      <c r="J139" s="157">
        <f t="shared" ref="J139:K139" si="122">J135+J136-J137-J138</f>
        <v>0</v>
      </c>
      <c r="K139" s="157">
        <f t="shared" si="122"/>
        <v>0</v>
      </c>
      <c r="L139" s="157">
        <f t="shared" ref="L139:M139" si="123">L135+L136-L137-L138</f>
        <v>0</v>
      </c>
      <c r="M139" s="157">
        <f t="shared" si="123"/>
        <v>0</v>
      </c>
      <c r="N139" s="157">
        <f t="shared" ref="N139:O139" si="124">N135+N136-N137-N138</f>
        <v>0</v>
      </c>
      <c r="O139" s="157">
        <f t="shared" si="124"/>
        <v>0</v>
      </c>
      <c r="P139" s="25">
        <f>P135+P136-P137-P138</f>
        <v>0</v>
      </c>
    </row>
    <row r="140" spans="1:16" ht="15.6" x14ac:dyDescent="0.3">
      <c r="A140" s="711" t="s">
        <v>87</v>
      </c>
      <c r="B140" s="24" t="s">
        <v>85</v>
      </c>
      <c r="C140" s="11" t="s">
        <v>3</v>
      </c>
      <c r="D140" s="157">
        <v>1</v>
      </c>
      <c r="E140" s="157">
        <v>1</v>
      </c>
      <c r="F140" s="157">
        <v>2</v>
      </c>
      <c r="G140" s="157">
        <v>101</v>
      </c>
      <c r="H140" s="157">
        <v>2</v>
      </c>
      <c r="I140" s="157">
        <v>4</v>
      </c>
      <c r="J140" s="157">
        <v>7</v>
      </c>
      <c r="K140" s="157">
        <v>8</v>
      </c>
      <c r="L140" s="157">
        <v>12</v>
      </c>
      <c r="M140" s="157">
        <v>5</v>
      </c>
      <c r="N140" s="157"/>
      <c r="O140" s="157"/>
      <c r="P140" s="25">
        <f>D140</f>
        <v>1</v>
      </c>
    </row>
    <row r="141" spans="1:16" ht="15.6" x14ac:dyDescent="0.3">
      <c r="A141" s="761"/>
      <c r="B141" s="24" t="s">
        <v>84</v>
      </c>
      <c r="C141" s="11" t="s">
        <v>3</v>
      </c>
      <c r="D141" s="156">
        <v>0</v>
      </c>
      <c r="E141" s="156">
        <v>4</v>
      </c>
      <c r="F141" s="156">
        <v>6</v>
      </c>
      <c r="G141" s="156">
        <v>4</v>
      </c>
      <c r="H141" s="156">
        <v>11</v>
      </c>
      <c r="I141" s="156">
        <v>8</v>
      </c>
      <c r="J141" s="156"/>
      <c r="K141" s="156">
        <v>11</v>
      </c>
      <c r="L141" s="156">
        <v>20</v>
      </c>
      <c r="M141" s="156">
        <v>2</v>
      </c>
      <c r="N141" s="156">
        <v>5</v>
      </c>
      <c r="O141" s="156">
        <v>7</v>
      </c>
      <c r="P141" s="18">
        <f>SUM(D141:O141)</f>
        <v>78</v>
      </c>
    </row>
    <row r="142" spans="1:16" ht="15.6" x14ac:dyDescent="0.3">
      <c r="A142" s="761"/>
      <c r="B142" s="24" t="s">
        <v>83</v>
      </c>
      <c r="C142" s="11" t="s">
        <v>3</v>
      </c>
      <c r="D142" s="156">
        <v>0</v>
      </c>
      <c r="E142" s="156">
        <v>0</v>
      </c>
      <c r="F142" s="156">
        <v>2</v>
      </c>
      <c r="G142" s="156">
        <v>0</v>
      </c>
      <c r="H142" s="156">
        <v>6</v>
      </c>
      <c r="I142" s="156">
        <v>5</v>
      </c>
      <c r="J142" s="156"/>
      <c r="K142" s="156">
        <v>5</v>
      </c>
      <c r="L142" s="156"/>
      <c r="M142" s="156"/>
      <c r="N142" s="156"/>
      <c r="O142" s="156"/>
      <c r="P142" s="18">
        <f>SUM(D142:O142)</f>
        <v>18</v>
      </c>
    </row>
    <row r="143" spans="1:16" ht="15.6" x14ac:dyDescent="0.3">
      <c r="A143" s="761"/>
      <c r="B143" s="24" t="s">
        <v>82</v>
      </c>
      <c r="C143" s="11" t="s">
        <v>3</v>
      </c>
      <c r="D143" s="156">
        <v>0</v>
      </c>
      <c r="E143" s="156">
        <v>3</v>
      </c>
      <c r="F143" s="156">
        <v>4</v>
      </c>
      <c r="G143" s="156">
        <v>4</v>
      </c>
      <c r="H143" s="156">
        <v>3</v>
      </c>
      <c r="I143" s="156"/>
      <c r="J143" s="156"/>
      <c r="K143" s="156">
        <v>2</v>
      </c>
      <c r="L143" s="156">
        <v>27</v>
      </c>
      <c r="M143" s="156">
        <v>7</v>
      </c>
      <c r="N143" s="156">
        <v>5</v>
      </c>
      <c r="O143" s="156">
        <v>7</v>
      </c>
      <c r="P143" s="18">
        <f>SUM(D143:O143)</f>
        <v>62</v>
      </c>
    </row>
    <row r="144" spans="1:16" ht="15.6" x14ac:dyDescent="0.3">
      <c r="A144" s="712"/>
      <c r="B144" s="24" t="s">
        <v>81</v>
      </c>
      <c r="C144" s="11" t="s">
        <v>3</v>
      </c>
      <c r="D144" s="157">
        <v>1</v>
      </c>
      <c r="E144" s="157">
        <v>2</v>
      </c>
      <c r="F144" s="157">
        <v>2</v>
      </c>
      <c r="G144" s="157">
        <f t="shared" ref="G144:I144" si="125">G140+G141-G142-G143</f>
        <v>101</v>
      </c>
      <c r="H144" s="157">
        <f t="shared" si="125"/>
        <v>4</v>
      </c>
      <c r="I144" s="157">
        <f t="shared" si="125"/>
        <v>7</v>
      </c>
      <c r="J144" s="157">
        <v>4</v>
      </c>
      <c r="K144" s="157">
        <f t="shared" ref="K144" si="126">K140+K141-K142-K143</f>
        <v>12</v>
      </c>
      <c r="L144" s="157">
        <f t="shared" ref="L144:M144" si="127">L140+L141-L142-L143</f>
        <v>5</v>
      </c>
      <c r="M144" s="157">
        <f t="shared" si="127"/>
        <v>0</v>
      </c>
      <c r="N144" s="157">
        <f t="shared" ref="N144:O144" si="128">N140+N141-N142-N143</f>
        <v>0</v>
      </c>
      <c r="O144" s="157">
        <f t="shared" si="128"/>
        <v>0</v>
      </c>
      <c r="P144" s="25">
        <f>P140+P141-P142-P143</f>
        <v>-1</v>
      </c>
    </row>
    <row r="145" spans="1:16" s="2" customFormat="1" ht="15.6" x14ac:dyDescent="0.3">
      <c r="A145" s="711" t="s">
        <v>86</v>
      </c>
      <c r="B145" s="24" t="s">
        <v>85</v>
      </c>
      <c r="C145" s="11" t="s">
        <v>3</v>
      </c>
      <c r="D145" s="23">
        <f t="shared" ref="D145:I145" si="129">D125+D130+D135+D140</f>
        <v>1</v>
      </c>
      <c r="E145" s="23">
        <f t="shared" si="129"/>
        <v>1</v>
      </c>
      <c r="F145" s="23">
        <f t="shared" si="129"/>
        <v>2</v>
      </c>
      <c r="G145" s="23">
        <f t="shared" si="129"/>
        <v>101</v>
      </c>
      <c r="H145" s="23">
        <f t="shared" si="129"/>
        <v>2</v>
      </c>
      <c r="I145" s="23">
        <f t="shared" si="129"/>
        <v>4</v>
      </c>
      <c r="J145" s="23">
        <f t="shared" ref="J145:K145" si="130">J125+J130+J135+J140</f>
        <v>7</v>
      </c>
      <c r="K145" s="23">
        <f t="shared" si="130"/>
        <v>8</v>
      </c>
      <c r="L145" s="23">
        <f t="shared" ref="L145:M145" si="131">L125+L130+L135+L140</f>
        <v>12</v>
      </c>
      <c r="M145" s="23">
        <f t="shared" si="131"/>
        <v>5</v>
      </c>
      <c r="N145" s="23">
        <f t="shared" ref="N145:O145" si="132">N125+N130+N135+N140</f>
        <v>0</v>
      </c>
      <c r="O145" s="23">
        <f t="shared" si="132"/>
        <v>0</v>
      </c>
      <c r="P145" s="110">
        <f t="shared" ref="P145:P149" si="133">P125+P130+P135+P140</f>
        <v>1</v>
      </c>
    </row>
    <row r="146" spans="1:16" ht="15.6" x14ac:dyDescent="0.3">
      <c r="A146" s="761"/>
      <c r="B146" s="24" t="s">
        <v>84</v>
      </c>
      <c r="C146" s="11" t="s">
        <v>3</v>
      </c>
      <c r="D146" s="23">
        <f t="shared" ref="D146:E148" si="134">D126+D131+D136+D141</f>
        <v>0</v>
      </c>
      <c r="E146" s="23">
        <f t="shared" si="134"/>
        <v>4</v>
      </c>
      <c r="F146" s="23">
        <f t="shared" ref="F146:G146" si="135">F126+F131+F136+F141</f>
        <v>6</v>
      </c>
      <c r="G146" s="23">
        <f t="shared" si="135"/>
        <v>4</v>
      </c>
      <c r="H146" s="23">
        <f t="shared" ref="H146:I146" si="136">H126+H131+H136+H141</f>
        <v>11</v>
      </c>
      <c r="I146" s="23">
        <f t="shared" si="136"/>
        <v>8</v>
      </c>
      <c r="J146" s="23">
        <f t="shared" ref="J146:K146" si="137">J126+J131+J136+J141</f>
        <v>0</v>
      </c>
      <c r="K146" s="23">
        <f t="shared" si="137"/>
        <v>11</v>
      </c>
      <c r="L146" s="23">
        <f t="shared" ref="L146:M146" si="138">L126+L131+L136+L141</f>
        <v>21</v>
      </c>
      <c r="M146" s="23">
        <f t="shared" si="138"/>
        <v>2</v>
      </c>
      <c r="N146" s="23">
        <f t="shared" ref="N146:O146" si="139">N126+N131+N136+N141</f>
        <v>5</v>
      </c>
      <c r="O146" s="23">
        <f t="shared" si="139"/>
        <v>7</v>
      </c>
      <c r="P146" s="110">
        <f t="shared" si="133"/>
        <v>79</v>
      </c>
    </row>
    <row r="147" spans="1:16" ht="15.6" x14ac:dyDescent="0.3">
      <c r="A147" s="761"/>
      <c r="B147" s="24" t="s">
        <v>83</v>
      </c>
      <c r="C147" s="11" t="s">
        <v>3</v>
      </c>
      <c r="D147" s="23">
        <f t="shared" si="134"/>
        <v>0</v>
      </c>
      <c r="E147" s="23">
        <f t="shared" si="134"/>
        <v>0</v>
      </c>
      <c r="F147" s="23">
        <f t="shared" ref="F147:G147" si="140">F127+F132+F137+F142</f>
        <v>2</v>
      </c>
      <c r="G147" s="23">
        <f t="shared" si="140"/>
        <v>0</v>
      </c>
      <c r="H147" s="23">
        <f t="shared" ref="H147:I147" si="141">H127+H132+H137+H142</f>
        <v>6</v>
      </c>
      <c r="I147" s="23">
        <f t="shared" si="141"/>
        <v>5</v>
      </c>
      <c r="J147" s="23">
        <f t="shared" ref="J147:K147" si="142">J127+J132+J137+J142</f>
        <v>0</v>
      </c>
      <c r="K147" s="23">
        <f t="shared" si="142"/>
        <v>5</v>
      </c>
      <c r="L147" s="23">
        <f t="shared" ref="L147:M147" si="143">L127+L132+L137+L142</f>
        <v>0</v>
      </c>
      <c r="M147" s="23">
        <f t="shared" si="143"/>
        <v>0</v>
      </c>
      <c r="N147" s="23">
        <f t="shared" ref="N147:O147" si="144">N127+N132+N137+N142</f>
        <v>0</v>
      </c>
      <c r="O147" s="23">
        <f t="shared" si="144"/>
        <v>0</v>
      </c>
      <c r="P147" s="110">
        <f t="shared" si="133"/>
        <v>18</v>
      </c>
    </row>
    <row r="148" spans="1:16" ht="15.6" x14ac:dyDescent="0.3">
      <c r="A148" s="761"/>
      <c r="B148" s="24" t="s">
        <v>82</v>
      </c>
      <c r="C148" s="11" t="s">
        <v>3</v>
      </c>
      <c r="D148" s="23">
        <f t="shared" si="134"/>
        <v>0</v>
      </c>
      <c r="E148" s="23">
        <f t="shared" si="134"/>
        <v>3</v>
      </c>
      <c r="F148" s="23">
        <f t="shared" ref="F148:G148" si="145">F128+F133+F138+F143</f>
        <v>4</v>
      </c>
      <c r="G148" s="23">
        <f t="shared" si="145"/>
        <v>4</v>
      </c>
      <c r="H148" s="23">
        <f t="shared" ref="H148:I148" si="146">H128+H133+H138+H143</f>
        <v>3</v>
      </c>
      <c r="I148" s="23">
        <f t="shared" si="146"/>
        <v>0</v>
      </c>
      <c r="J148" s="23">
        <f t="shared" ref="J148:K148" si="147">J128+J133+J138+J143</f>
        <v>0</v>
      </c>
      <c r="K148" s="23">
        <f t="shared" si="147"/>
        <v>2</v>
      </c>
      <c r="L148" s="23">
        <f t="shared" ref="L148:M148" si="148">L128+L133+L138+L143</f>
        <v>28</v>
      </c>
      <c r="M148" s="23">
        <f t="shared" si="148"/>
        <v>7</v>
      </c>
      <c r="N148" s="23">
        <f t="shared" ref="N148:O148" si="149">N128+N133+N138+N143</f>
        <v>5</v>
      </c>
      <c r="O148" s="23">
        <f t="shared" si="149"/>
        <v>7</v>
      </c>
      <c r="P148" s="110">
        <f t="shared" si="133"/>
        <v>63</v>
      </c>
    </row>
    <row r="149" spans="1:16" ht="15.6" x14ac:dyDescent="0.3">
      <c r="A149" s="712"/>
      <c r="B149" s="24" t="s">
        <v>81</v>
      </c>
      <c r="C149" s="11" t="s">
        <v>3</v>
      </c>
      <c r="D149" s="157">
        <f t="shared" ref="D149:I149" si="150">D145+D146-D147-D148</f>
        <v>1</v>
      </c>
      <c r="E149" s="157">
        <f t="shared" si="150"/>
        <v>2</v>
      </c>
      <c r="F149" s="157">
        <f t="shared" si="150"/>
        <v>2</v>
      </c>
      <c r="G149" s="157">
        <f t="shared" si="150"/>
        <v>101</v>
      </c>
      <c r="H149" s="157">
        <f t="shared" si="150"/>
        <v>4</v>
      </c>
      <c r="I149" s="157">
        <f t="shared" si="150"/>
        <v>7</v>
      </c>
      <c r="J149" s="157">
        <f t="shared" ref="J149:K149" si="151">J145+J146-J147-J148</f>
        <v>7</v>
      </c>
      <c r="K149" s="157">
        <f t="shared" si="151"/>
        <v>12</v>
      </c>
      <c r="L149" s="157">
        <f t="shared" ref="L149:M149" si="152">L145+L146-L147-L148</f>
        <v>5</v>
      </c>
      <c r="M149" s="157">
        <f t="shared" si="152"/>
        <v>0</v>
      </c>
      <c r="N149" s="157">
        <f t="shared" ref="N149:O149" si="153">N145+N146-N147-N148</f>
        <v>0</v>
      </c>
      <c r="O149" s="157">
        <f t="shared" si="153"/>
        <v>0</v>
      </c>
      <c r="P149" s="110">
        <f t="shared" si="133"/>
        <v>-1</v>
      </c>
    </row>
    <row r="150" spans="1:16" x14ac:dyDescent="0.3">
      <c r="A150" s="699" t="s">
        <v>80</v>
      </c>
      <c r="B150" s="700"/>
      <c r="C150" s="700"/>
      <c r="D150" s="700"/>
      <c r="E150" s="700"/>
      <c r="F150" s="700"/>
      <c r="G150" s="700"/>
      <c r="H150" s="700"/>
      <c r="I150" s="700"/>
      <c r="J150" s="700"/>
      <c r="K150" s="700"/>
      <c r="L150" s="700"/>
      <c r="M150" s="700"/>
      <c r="N150" s="700"/>
      <c r="O150" s="700"/>
      <c r="P150" s="701"/>
    </row>
    <row r="151" spans="1:16" ht="15.6" x14ac:dyDescent="0.3">
      <c r="A151" s="695" t="s">
        <v>79</v>
      </c>
      <c r="B151" s="696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758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759"/>
      <c r="B153" s="19" t="s">
        <v>73</v>
      </c>
      <c r="C153" s="11" t="s">
        <v>57</v>
      </c>
      <c r="D153" s="156">
        <v>21</v>
      </c>
      <c r="E153" s="156">
        <v>23</v>
      </c>
      <c r="F153" s="156">
        <v>38</v>
      </c>
      <c r="G153" s="156">
        <v>20</v>
      </c>
      <c r="H153" s="156">
        <v>19</v>
      </c>
      <c r="I153" s="156">
        <v>35</v>
      </c>
      <c r="J153" s="156">
        <v>33</v>
      </c>
      <c r="K153" s="156">
        <v>12</v>
      </c>
      <c r="L153" s="156">
        <v>13</v>
      </c>
      <c r="M153" s="156">
        <v>17</v>
      </c>
      <c r="N153" s="156">
        <v>25</v>
      </c>
      <c r="O153" s="156">
        <v>12</v>
      </c>
      <c r="P153" s="18">
        <f t="shared" ref="P153:P165" si="154">SUM(D153:O153)</f>
        <v>268</v>
      </c>
    </row>
    <row r="154" spans="1:16" ht="15.6" x14ac:dyDescent="0.3">
      <c r="A154" s="759"/>
      <c r="B154" s="19" t="s">
        <v>72</v>
      </c>
      <c r="C154" s="11" t="s">
        <v>57</v>
      </c>
      <c r="D154" s="156">
        <v>15</v>
      </c>
      <c r="E154" s="156">
        <v>10</v>
      </c>
      <c r="F154" s="156">
        <v>8</v>
      </c>
      <c r="G154" s="156">
        <v>7</v>
      </c>
      <c r="H154" s="156">
        <v>10</v>
      </c>
      <c r="I154" s="156">
        <v>10</v>
      </c>
      <c r="J154" s="156">
        <v>12</v>
      </c>
      <c r="K154" s="156">
        <v>8</v>
      </c>
      <c r="L154" s="156">
        <v>7</v>
      </c>
      <c r="M154" s="156">
        <v>15</v>
      </c>
      <c r="N154" s="156">
        <v>4</v>
      </c>
      <c r="O154" s="156">
        <v>5</v>
      </c>
      <c r="P154" s="18">
        <f t="shared" si="154"/>
        <v>111</v>
      </c>
    </row>
    <row r="155" spans="1:16" ht="15.6" x14ac:dyDescent="0.3">
      <c r="A155" s="759"/>
      <c r="B155" s="19" t="s">
        <v>53</v>
      </c>
      <c r="C155" s="11" t="s">
        <v>57</v>
      </c>
      <c r="D155" s="156">
        <v>2</v>
      </c>
      <c r="E155" s="156">
        <v>2</v>
      </c>
      <c r="F155" s="156">
        <v>2</v>
      </c>
      <c r="G155" s="156">
        <v>3</v>
      </c>
      <c r="H155" s="156">
        <v>1</v>
      </c>
      <c r="I155" s="156">
        <v>3</v>
      </c>
      <c r="J155" s="156">
        <v>3</v>
      </c>
      <c r="K155" s="156">
        <v>2</v>
      </c>
      <c r="L155" s="156">
        <v>1</v>
      </c>
      <c r="M155" s="156">
        <v>5</v>
      </c>
      <c r="N155" s="156">
        <v>2</v>
      </c>
      <c r="O155" s="156">
        <v>1</v>
      </c>
      <c r="P155" s="18">
        <f t="shared" si="154"/>
        <v>27</v>
      </c>
    </row>
    <row r="156" spans="1:16" ht="15.6" x14ac:dyDescent="0.3">
      <c r="A156" s="759"/>
      <c r="B156" s="19" t="s">
        <v>71</v>
      </c>
      <c r="C156" s="11" t="s">
        <v>57</v>
      </c>
      <c r="D156" s="156"/>
      <c r="E156" s="156">
        <v>2</v>
      </c>
      <c r="F156" s="156">
        <v>2</v>
      </c>
      <c r="G156" s="156">
        <v>1</v>
      </c>
      <c r="H156" s="156">
        <v>1</v>
      </c>
      <c r="I156" s="156">
        <v>2</v>
      </c>
      <c r="J156" s="156"/>
      <c r="K156" s="156">
        <v>1</v>
      </c>
      <c r="L156" s="156">
        <v>1</v>
      </c>
      <c r="M156" s="156"/>
      <c r="N156" s="156"/>
      <c r="O156" s="156">
        <v>1</v>
      </c>
      <c r="P156" s="18">
        <f t="shared" si="154"/>
        <v>11</v>
      </c>
    </row>
    <row r="157" spans="1:16" ht="15.6" x14ac:dyDescent="0.3">
      <c r="A157" s="759"/>
      <c r="B157" s="19" t="s">
        <v>52</v>
      </c>
      <c r="C157" s="11" t="s">
        <v>57</v>
      </c>
      <c r="D157" s="156"/>
      <c r="E157" s="156"/>
      <c r="F157" s="156">
        <v>1</v>
      </c>
      <c r="G157" s="156">
        <v>4</v>
      </c>
      <c r="H157" s="156"/>
      <c r="I157" s="156">
        <v>1</v>
      </c>
      <c r="J157" s="156"/>
      <c r="K157" s="156">
        <v>2</v>
      </c>
      <c r="L157" s="156">
        <v>1</v>
      </c>
      <c r="M157" s="156"/>
      <c r="N157" s="156"/>
      <c r="O157" s="156">
        <v>1</v>
      </c>
      <c r="P157" s="18">
        <f t="shared" si="154"/>
        <v>10</v>
      </c>
    </row>
    <row r="158" spans="1:16" ht="15.6" x14ac:dyDescent="0.3">
      <c r="A158" s="759"/>
      <c r="B158" s="19" t="s">
        <v>51</v>
      </c>
      <c r="C158" s="11" t="s">
        <v>57</v>
      </c>
      <c r="D158" s="156">
        <v>2</v>
      </c>
      <c r="E158" s="156">
        <v>2</v>
      </c>
      <c r="F158" s="156">
        <v>3</v>
      </c>
      <c r="G158" s="156">
        <v>1</v>
      </c>
      <c r="H158" s="156">
        <v>2</v>
      </c>
      <c r="I158" s="156">
        <v>6</v>
      </c>
      <c r="J158" s="156">
        <v>2</v>
      </c>
      <c r="K158" s="156">
        <v>2</v>
      </c>
      <c r="L158" s="156">
        <v>4</v>
      </c>
      <c r="M158" s="156">
        <v>2</v>
      </c>
      <c r="N158" s="156"/>
      <c r="O158" s="156">
        <v>4</v>
      </c>
      <c r="P158" s="18">
        <f t="shared" si="154"/>
        <v>30</v>
      </c>
    </row>
    <row r="159" spans="1:16" ht="15.6" x14ac:dyDescent="0.3">
      <c r="A159" s="759"/>
      <c r="B159" s="19" t="s">
        <v>62</v>
      </c>
      <c r="C159" s="11" t="s">
        <v>57</v>
      </c>
      <c r="D159" s="156"/>
      <c r="E159" s="156"/>
      <c r="F159" s="156"/>
      <c r="G159" s="156"/>
      <c r="H159" s="156">
        <v>1</v>
      </c>
      <c r="I159" s="156">
        <v>2</v>
      </c>
      <c r="J159" s="156"/>
      <c r="K159" s="156"/>
      <c r="L159" s="156">
        <v>0</v>
      </c>
      <c r="M159" s="156">
        <v>1</v>
      </c>
      <c r="N159" s="156">
        <v>2</v>
      </c>
      <c r="O159" s="156"/>
      <c r="P159" s="18">
        <f t="shared" si="154"/>
        <v>6</v>
      </c>
    </row>
    <row r="160" spans="1:16" ht="15.6" x14ac:dyDescent="0.3">
      <c r="A160" s="759"/>
      <c r="B160" s="19" t="s">
        <v>50</v>
      </c>
      <c r="C160" s="11" t="s">
        <v>57</v>
      </c>
      <c r="D160" s="156"/>
      <c r="E160" s="156"/>
      <c r="F160" s="156">
        <v>1</v>
      </c>
      <c r="G160" s="156"/>
      <c r="H160" s="156"/>
      <c r="I160" s="156"/>
      <c r="J160" s="156">
        <v>1</v>
      </c>
      <c r="K160" s="156"/>
      <c r="L160" s="156"/>
      <c r="M160" s="156">
        <v>4</v>
      </c>
      <c r="N160" s="156"/>
      <c r="O160" s="156"/>
      <c r="P160" s="18">
        <f t="shared" si="154"/>
        <v>6</v>
      </c>
    </row>
    <row r="161" spans="1:16" ht="15.6" x14ac:dyDescent="0.3">
      <c r="A161" s="759"/>
      <c r="B161" s="19" t="s">
        <v>49</v>
      </c>
      <c r="C161" s="11" t="s">
        <v>57</v>
      </c>
      <c r="D161" s="156"/>
      <c r="E161" s="156"/>
      <c r="F161" s="156"/>
      <c r="G161" s="156">
        <v>2</v>
      </c>
      <c r="H161" s="156"/>
      <c r="I161" s="156"/>
      <c r="J161" s="156"/>
      <c r="K161" s="156">
        <v>1</v>
      </c>
      <c r="L161" s="156"/>
      <c r="M161" s="156"/>
      <c r="N161" s="156"/>
      <c r="O161" s="156"/>
      <c r="P161" s="18">
        <f t="shared" si="154"/>
        <v>3</v>
      </c>
    </row>
    <row r="162" spans="1:16" ht="15.6" x14ac:dyDescent="0.3">
      <c r="A162" s="759"/>
      <c r="B162" s="19" t="s">
        <v>77</v>
      </c>
      <c r="C162" s="11" t="s">
        <v>57</v>
      </c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8">
        <f t="shared" si="154"/>
        <v>0</v>
      </c>
    </row>
    <row r="163" spans="1:16" ht="15.6" x14ac:dyDescent="0.3">
      <c r="A163" s="759"/>
      <c r="B163" s="19" t="s">
        <v>69</v>
      </c>
      <c r="C163" s="11" t="s">
        <v>57</v>
      </c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8">
        <f t="shared" si="154"/>
        <v>0</v>
      </c>
    </row>
    <row r="164" spans="1:16" ht="15.6" x14ac:dyDescent="0.3">
      <c r="A164" s="759"/>
      <c r="B164" s="19" t="s">
        <v>68</v>
      </c>
      <c r="C164" s="11" t="s">
        <v>57</v>
      </c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8">
        <f t="shared" si="154"/>
        <v>0</v>
      </c>
    </row>
    <row r="165" spans="1:16" ht="15.6" x14ac:dyDescent="0.3">
      <c r="A165" s="760"/>
      <c r="B165" s="19" t="s">
        <v>76</v>
      </c>
      <c r="C165" s="11" t="s">
        <v>57</v>
      </c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8">
        <f t="shared" si="154"/>
        <v>0</v>
      </c>
    </row>
    <row r="166" spans="1:16" ht="15.6" x14ac:dyDescent="0.3">
      <c r="A166" s="758" t="s">
        <v>75</v>
      </c>
      <c r="B166" s="21" t="s">
        <v>63</v>
      </c>
      <c r="C166" s="11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8"/>
    </row>
    <row r="167" spans="1:16" ht="15.6" x14ac:dyDescent="0.3">
      <c r="A167" s="759"/>
      <c r="B167" s="19" t="s">
        <v>74</v>
      </c>
      <c r="C167" s="11" t="s">
        <v>57</v>
      </c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>
        <v>3</v>
      </c>
      <c r="O167" s="156">
        <v>2</v>
      </c>
      <c r="P167" s="18">
        <f t="shared" ref="P167:P175" si="155">SUM(D167:O167)</f>
        <v>5</v>
      </c>
    </row>
    <row r="168" spans="1:16" ht="15.6" x14ac:dyDescent="0.3">
      <c r="A168" s="759"/>
      <c r="B168" s="19" t="s">
        <v>73</v>
      </c>
      <c r="C168" s="11" t="s">
        <v>57</v>
      </c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8">
        <f t="shared" si="155"/>
        <v>0</v>
      </c>
    </row>
    <row r="169" spans="1:16" ht="15.6" x14ac:dyDescent="0.3">
      <c r="A169" s="759"/>
      <c r="B169" s="19" t="s">
        <v>72</v>
      </c>
      <c r="C169" s="11" t="s">
        <v>57</v>
      </c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8">
        <f t="shared" si="155"/>
        <v>0</v>
      </c>
    </row>
    <row r="170" spans="1:16" ht="15.6" x14ac:dyDescent="0.3">
      <c r="A170" s="759"/>
      <c r="B170" s="19" t="s">
        <v>71</v>
      </c>
      <c r="C170" s="11" t="s">
        <v>57</v>
      </c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8">
        <f t="shared" si="155"/>
        <v>0</v>
      </c>
    </row>
    <row r="171" spans="1:16" ht="15.6" x14ac:dyDescent="0.3">
      <c r="A171" s="759"/>
      <c r="B171" s="19" t="s">
        <v>52</v>
      </c>
      <c r="C171" s="11" t="s">
        <v>57</v>
      </c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8">
        <f t="shared" si="155"/>
        <v>0</v>
      </c>
    </row>
    <row r="172" spans="1:16" ht="15.6" x14ac:dyDescent="0.3">
      <c r="A172" s="759"/>
      <c r="B172" s="19" t="s">
        <v>62</v>
      </c>
      <c r="C172" s="11" t="s">
        <v>57</v>
      </c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8">
        <f t="shared" si="155"/>
        <v>0</v>
      </c>
    </row>
    <row r="173" spans="1:16" ht="15.6" x14ac:dyDescent="0.3">
      <c r="A173" s="759"/>
      <c r="B173" s="19" t="s">
        <v>61</v>
      </c>
      <c r="C173" s="11" t="s">
        <v>57</v>
      </c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8">
        <f t="shared" si="155"/>
        <v>0</v>
      </c>
    </row>
    <row r="174" spans="1:16" ht="15.6" x14ac:dyDescent="0.3">
      <c r="A174" s="759"/>
      <c r="B174" s="19" t="s">
        <v>60</v>
      </c>
      <c r="C174" s="11" t="s">
        <v>57</v>
      </c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8">
        <f t="shared" si="155"/>
        <v>0</v>
      </c>
    </row>
    <row r="175" spans="1:16" ht="15.6" x14ac:dyDescent="0.3">
      <c r="A175" s="760"/>
      <c r="B175" s="19" t="s">
        <v>69</v>
      </c>
      <c r="C175" s="11" t="s">
        <v>57</v>
      </c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8">
        <f t="shared" si="155"/>
        <v>0</v>
      </c>
    </row>
    <row r="176" spans="1:16" ht="15.6" x14ac:dyDescent="0.3">
      <c r="A176" s="758" t="s">
        <v>70</v>
      </c>
      <c r="B176" s="21" t="s">
        <v>63</v>
      </c>
      <c r="C176" s="11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8"/>
    </row>
    <row r="177" spans="1:16" ht="15.6" x14ac:dyDescent="0.3">
      <c r="A177" s="759"/>
      <c r="B177" s="19" t="s">
        <v>60</v>
      </c>
      <c r="C177" s="11" t="s">
        <v>57</v>
      </c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8">
        <f t="shared" ref="P177:P182" si="156">SUM(D177:O177)</f>
        <v>0</v>
      </c>
    </row>
    <row r="178" spans="1:16" ht="15.6" x14ac:dyDescent="0.3">
      <c r="A178" s="759"/>
      <c r="B178" s="19" t="s">
        <v>69</v>
      </c>
      <c r="C178" s="11" t="s">
        <v>57</v>
      </c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8">
        <f t="shared" si="156"/>
        <v>0</v>
      </c>
    </row>
    <row r="179" spans="1:16" ht="15.6" x14ac:dyDescent="0.3">
      <c r="A179" s="759"/>
      <c r="B179" s="19" t="s">
        <v>68</v>
      </c>
      <c r="C179" s="11" t="s">
        <v>57</v>
      </c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8">
        <f t="shared" si="156"/>
        <v>0</v>
      </c>
    </row>
    <row r="180" spans="1:16" ht="15.6" x14ac:dyDescent="0.3">
      <c r="A180" s="759"/>
      <c r="B180" s="19" t="s">
        <v>67</v>
      </c>
      <c r="C180" s="11" t="s">
        <v>57</v>
      </c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8">
        <f t="shared" si="156"/>
        <v>0</v>
      </c>
    </row>
    <row r="181" spans="1:16" ht="15.6" x14ac:dyDescent="0.3">
      <c r="A181" s="759"/>
      <c r="B181" s="19" t="s">
        <v>66</v>
      </c>
      <c r="C181" s="11" t="s">
        <v>57</v>
      </c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8">
        <f t="shared" si="156"/>
        <v>0</v>
      </c>
    </row>
    <row r="182" spans="1:16" ht="15.6" x14ac:dyDescent="0.3">
      <c r="A182" s="760"/>
      <c r="B182" s="19" t="s">
        <v>65</v>
      </c>
      <c r="C182" s="11" t="s">
        <v>57</v>
      </c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8">
        <f t="shared" si="156"/>
        <v>0</v>
      </c>
    </row>
    <row r="183" spans="1:16" s="344" customFormat="1" ht="15.6" x14ac:dyDescent="0.3">
      <c r="A183" s="603" t="s">
        <v>209</v>
      </c>
      <c r="B183" s="433" t="s">
        <v>63</v>
      </c>
      <c r="C183" s="348"/>
      <c r="D183" s="597">
        <v>0</v>
      </c>
      <c r="E183" s="597">
        <v>0</v>
      </c>
      <c r="F183" s="597">
        <v>0</v>
      </c>
      <c r="G183" s="597">
        <v>0</v>
      </c>
      <c r="H183" s="381"/>
      <c r="I183" s="381"/>
      <c r="J183" s="381"/>
      <c r="K183" s="381"/>
      <c r="L183" s="381"/>
      <c r="M183" s="381"/>
      <c r="N183" s="381"/>
      <c r="O183" s="381"/>
      <c r="P183" s="427"/>
    </row>
    <row r="184" spans="1:16" s="344" customFormat="1" ht="15.6" x14ac:dyDescent="0.3">
      <c r="A184" s="604"/>
      <c r="B184" s="20" t="s">
        <v>73</v>
      </c>
      <c r="C184" s="348"/>
      <c r="D184" s="597">
        <v>0</v>
      </c>
      <c r="E184" s="597">
        <v>0</v>
      </c>
      <c r="F184" s="597">
        <v>0</v>
      </c>
      <c r="G184" s="597">
        <v>0</v>
      </c>
      <c r="H184" s="390"/>
      <c r="I184" s="390"/>
      <c r="J184" s="390"/>
      <c r="K184" s="390"/>
      <c r="L184" s="381"/>
      <c r="M184" s="381"/>
      <c r="N184" s="381"/>
      <c r="O184" s="381"/>
      <c r="P184" s="427">
        <f>SUM(D184:O184)</f>
        <v>0</v>
      </c>
    </row>
    <row r="185" spans="1:16" s="344" customFormat="1" ht="15.6" x14ac:dyDescent="0.3">
      <c r="A185" s="604"/>
      <c r="B185" s="20" t="s">
        <v>72</v>
      </c>
      <c r="C185" s="348"/>
      <c r="D185" s="597">
        <v>0</v>
      </c>
      <c r="E185" s="597">
        <v>0</v>
      </c>
      <c r="F185" s="597">
        <v>0</v>
      </c>
      <c r="G185" s="597">
        <v>0</v>
      </c>
      <c r="H185" s="390"/>
      <c r="I185" s="390"/>
      <c r="J185" s="390"/>
      <c r="K185" s="390"/>
      <c r="L185" s="381"/>
      <c r="M185" s="381"/>
      <c r="N185" s="381"/>
      <c r="O185" s="381"/>
      <c r="P185" s="427">
        <f>SUM(D185:O185)</f>
        <v>0</v>
      </c>
    </row>
    <row r="186" spans="1:16" s="344" customFormat="1" ht="15.6" x14ac:dyDescent="0.3">
      <c r="A186" s="604"/>
      <c r="B186" s="20" t="s">
        <v>53</v>
      </c>
      <c r="C186" s="348"/>
      <c r="D186" s="597">
        <v>0</v>
      </c>
      <c r="E186" s="597">
        <v>0</v>
      </c>
      <c r="F186" s="597">
        <v>0</v>
      </c>
      <c r="G186" s="597">
        <v>0</v>
      </c>
      <c r="H186" s="390"/>
      <c r="I186" s="390"/>
      <c r="J186" s="390"/>
      <c r="K186" s="390"/>
      <c r="L186" s="381"/>
      <c r="M186" s="381"/>
      <c r="N186" s="381"/>
      <c r="O186" s="381"/>
      <c r="P186" s="427">
        <f>SUM(D186:O186)</f>
        <v>0</v>
      </c>
    </row>
    <row r="187" spans="1:16" s="344" customFormat="1" ht="15.6" x14ac:dyDescent="0.3">
      <c r="A187" s="605"/>
      <c r="B187" s="20" t="s">
        <v>52</v>
      </c>
      <c r="C187" s="348"/>
      <c r="D187" s="597">
        <v>0</v>
      </c>
      <c r="E187" s="597">
        <v>0</v>
      </c>
      <c r="F187" s="597">
        <v>0</v>
      </c>
      <c r="G187" s="597">
        <v>0</v>
      </c>
      <c r="H187" s="390"/>
      <c r="I187" s="390"/>
      <c r="J187" s="390"/>
      <c r="K187" s="390"/>
      <c r="L187" s="381"/>
      <c r="M187" s="381"/>
      <c r="N187" s="381"/>
      <c r="O187" s="381"/>
      <c r="P187" s="427">
        <f>SUM(D187:O187)</f>
        <v>0</v>
      </c>
    </row>
    <row r="188" spans="1:16" ht="15.6" x14ac:dyDescent="0.3">
      <c r="A188" s="758" t="s">
        <v>64</v>
      </c>
      <c r="B188" s="21" t="s">
        <v>63</v>
      </c>
      <c r="C188" s="11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8"/>
    </row>
    <row r="189" spans="1:16" ht="15.6" x14ac:dyDescent="0.3">
      <c r="A189" s="759"/>
      <c r="B189" s="20" t="s">
        <v>52</v>
      </c>
      <c r="C189" s="11" t="s">
        <v>57</v>
      </c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8">
        <f>SUM(D189:O189)</f>
        <v>0</v>
      </c>
    </row>
    <row r="190" spans="1:16" ht="15.6" x14ac:dyDescent="0.3">
      <c r="A190" s="759"/>
      <c r="B190" s="19" t="s">
        <v>62</v>
      </c>
      <c r="C190" s="11" t="s">
        <v>57</v>
      </c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8">
        <f>SUM(D190:O190)</f>
        <v>0</v>
      </c>
    </row>
    <row r="191" spans="1:16" ht="15.6" x14ac:dyDescent="0.3">
      <c r="A191" s="759"/>
      <c r="B191" s="19" t="s">
        <v>61</v>
      </c>
      <c r="C191" s="11" t="s">
        <v>57</v>
      </c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8">
        <f>SUM(D191:O191)</f>
        <v>0</v>
      </c>
    </row>
    <row r="192" spans="1:16" ht="15.6" x14ac:dyDescent="0.3">
      <c r="A192" s="760"/>
      <c r="B192" s="19" t="s">
        <v>60</v>
      </c>
      <c r="C192" s="11" t="s">
        <v>57</v>
      </c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58">
        <f t="shared" ref="D193:P193" si="157">SUM(D153:D192)</f>
        <v>40</v>
      </c>
      <c r="E193" s="158">
        <f t="shared" si="157"/>
        <v>39</v>
      </c>
      <c r="F193" s="158">
        <f t="shared" si="157"/>
        <v>55</v>
      </c>
      <c r="G193" s="158">
        <f t="shared" si="157"/>
        <v>38</v>
      </c>
      <c r="H193" s="158">
        <f t="shared" si="157"/>
        <v>34</v>
      </c>
      <c r="I193" s="158">
        <f t="shared" si="157"/>
        <v>59</v>
      </c>
      <c r="J193" s="158">
        <f t="shared" si="157"/>
        <v>51</v>
      </c>
      <c r="K193" s="158">
        <f t="shared" si="157"/>
        <v>28</v>
      </c>
      <c r="L193" s="158">
        <f t="shared" si="157"/>
        <v>27</v>
      </c>
      <c r="M193" s="158">
        <f t="shared" si="157"/>
        <v>44</v>
      </c>
      <c r="N193" s="158">
        <f t="shared" si="157"/>
        <v>36</v>
      </c>
      <c r="O193" s="158">
        <f t="shared" si="157"/>
        <v>26</v>
      </c>
      <c r="P193" s="160">
        <f t="shared" si="157"/>
        <v>477</v>
      </c>
    </row>
    <row r="194" spans="1:16" ht="15.6" x14ac:dyDescent="0.3">
      <c r="A194" s="764" t="s">
        <v>58</v>
      </c>
      <c r="B194" s="765"/>
      <c r="C194" s="11" t="s">
        <v>57</v>
      </c>
      <c r="D194" s="156">
        <v>3</v>
      </c>
      <c r="E194" s="156">
        <v>2</v>
      </c>
      <c r="F194" s="156">
        <v>3</v>
      </c>
      <c r="G194" s="156">
        <v>2</v>
      </c>
      <c r="H194" s="156">
        <v>2</v>
      </c>
      <c r="I194" s="156">
        <v>2</v>
      </c>
      <c r="J194" s="156">
        <v>2</v>
      </c>
      <c r="K194" s="156">
        <v>2</v>
      </c>
      <c r="L194" s="156">
        <v>3</v>
      </c>
      <c r="M194" s="156">
        <v>3</v>
      </c>
      <c r="N194" s="156">
        <v>3</v>
      </c>
      <c r="O194" s="156">
        <v>3</v>
      </c>
      <c r="P194" s="18">
        <f>SUM(D194:O194)</f>
        <v>30</v>
      </c>
    </row>
    <row r="195" spans="1:16" ht="15.6" x14ac:dyDescent="0.3">
      <c r="A195" s="766"/>
      <c r="B195" s="767"/>
      <c r="C195" s="16" t="s">
        <v>55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8">
        <f>SUM(D195:O195)</f>
        <v>0</v>
      </c>
    </row>
    <row r="196" spans="1:16" ht="15.6" x14ac:dyDescent="0.3">
      <c r="A196" s="85" t="s">
        <v>202</v>
      </c>
      <c r="B196" s="86"/>
      <c r="C196" s="16" t="s">
        <v>55</v>
      </c>
      <c r="D196" s="156">
        <v>504</v>
      </c>
      <c r="E196" s="156">
        <v>696</v>
      </c>
      <c r="F196" s="156">
        <v>648</v>
      </c>
      <c r="G196" s="156">
        <v>648</v>
      </c>
      <c r="H196" s="156">
        <v>576</v>
      </c>
      <c r="I196" s="156">
        <v>576</v>
      </c>
      <c r="J196" s="156">
        <v>504</v>
      </c>
      <c r="K196" s="156">
        <v>504</v>
      </c>
      <c r="L196" s="156">
        <v>528</v>
      </c>
      <c r="M196" s="156">
        <v>528</v>
      </c>
      <c r="N196" s="156">
        <v>552</v>
      </c>
      <c r="O196" s="156">
        <v>576</v>
      </c>
      <c r="P196" s="18">
        <f>SUM(D196:O196)/12</f>
        <v>570</v>
      </c>
    </row>
    <row r="197" spans="1:16" ht="15.6" x14ac:dyDescent="0.3">
      <c r="A197" s="695" t="s">
        <v>56</v>
      </c>
      <c r="B197" s="696"/>
      <c r="C197" s="16" t="s">
        <v>55</v>
      </c>
      <c r="D197" s="156">
        <v>216</v>
      </c>
      <c r="E197" s="156">
        <v>24</v>
      </c>
      <c r="F197" s="156">
        <v>72</v>
      </c>
      <c r="G197" s="156">
        <v>72</v>
      </c>
      <c r="H197" s="156">
        <v>177</v>
      </c>
      <c r="I197" s="156">
        <v>144</v>
      </c>
      <c r="J197" s="156">
        <v>216</v>
      </c>
      <c r="K197" s="156">
        <v>216</v>
      </c>
      <c r="L197" s="156">
        <v>192</v>
      </c>
      <c r="M197" s="156">
        <v>192</v>
      </c>
      <c r="N197" s="156">
        <v>168</v>
      </c>
      <c r="O197" s="156">
        <v>144</v>
      </c>
      <c r="P197" s="18">
        <f>SUM(D197:O197)</f>
        <v>1833</v>
      </c>
    </row>
    <row r="198" spans="1:16" x14ac:dyDescent="0.3">
      <c r="A198" s="699" t="s">
        <v>203</v>
      </c>
      <c r="B198" s="700"/>
      <c r="C198" s="700"/>
      <c r="D198" s="700"/>
      <c r="E198" s="700"/>
      <c r="F198" s="700"/>
      <c r="G198" s="700"/>
      <c r="H198" s="700"/>
      <c r="I198" s="700"/>
      <c r="J198" s="700"/>
      <c r="K198" s="700"/>
      <c r="L198" s="700"/>
      <c r="M198" s="700"/>
      <c r="N198" s="700"/>
      <c r="O198" s="700"/>
      <c r="P198" s="701"/>
    </row>
    <row r="199" spans="1:16" ht="15.6" x14ac:dyDescent="0.3">
      <c r="A199" s="764" t="s">
        <v>54</v>
      </c>
      <c r="B199" s="79" t="s">
        <v>53</v>
      </c>
      <c r="C199" s="11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158">SUM(D199:O199)</f>
        <v>0</v>
      </c>
    </row>
    <row r="200" spans="1:16" ht="15.6" x14ac:dyDescent="0.3">
      <c r="A200" s="768"/>
      <c r="B200" s="79" t="s">
        <v>52</v>
      </c>
      <c r="C200" s="11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158"/>
        <v>0</v>
      </c>
    </row>
    <row r="201" spans="1:16" ht="15.6" x14ac:dyDescent="0.3">
      <c r="A201" s="768"/>
      <c r="B201" s="79" t="s">
        <v>51</v>
      </c>
      <c r="C201" s="11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158"/>
        <v>0</v>
      </c>
    </row>
    <row r="202" spans="1:16" ht="15.6" x14ac:dyDescent="0.3">
      <c r="A202" s="768"/>
      <c r="B202" s="79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158"/>
        <v>0</v>
      </c>
    </row>
    <row r="203" spans="1:16" ht="15.6" x14ac:dyDescent="0.3">
      <c r="A203" s="766"/>
      <c r="B203" s="79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158"/>
        <v>0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O204" si="159">SUM(D199:D203)</f>
        <v>0</v>
      </c>
      <c r="E204" s="15">
        <f t="shared" si="159"/>
        <v>0</v>
      </c>
      <c r="F204" s="15">
        <f t="shared" si="159"/>
        <v>0</v>
      </c>
      <c r="G204" s="15">
        <f t="shared" si="159"/>
        <v>0</v>
      </c>
      <c r="H204" s="15">
        <f t="shared" si="159"/>
        <v>0</v>
      </c>
      <c r="I204" s="15">
        <f t="shared" si="159"/>
        <v>0</v>
      </c>
      <c r="J204" s="15">
        <f t="shared" si="159"/>
        <v>0</v>
      </c>
      <c r="K204" s="15">
        <f t="shared" si="159"/>
        <v>0</v>
      </c>
      <c r="L204" s="15">
        <f t="shared" si="159"/>
        <v>0</v>
      </c>
      <c r="M204" s="15">
        <f t="shared" si="159"/>
        <v>0</v>
      </c>
      <c r="N204" s="15">
        <f t="shared" si="159"/>
        <v>0</v>
      </c>
      <c r="O204" s="15">
        <f t="shared" si="159"/>
        <v>0</v>
      </c>
      <c r="P204" s="111">
        <f t="shared" si="158"/>
        <v>0</v>
      </c>
    </row>
    <row r="205" spans="1:16" s="2" customFormat="1" x14ac:dyDescent="0.3">
      <c r="A205" s="699" t="s">
        <v>46</v>
      </c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0"/>
      <c r="P205" s="701"/>
    </row>
    <row r="206" spans="1:16" ht="15.6" x14ac:dyDescent="0.3">
      <c r="A206" s="695" t="s">
        <v>43</v>
      </c>
      <c r="B206" s="696"/>
      <c r="C206" s="11" t="s">
        <v>31</v>
      </c>
      <c r="D206" s="13">
        <v>579458.62</v>
      </c>
      <c r="E206" s="13">
        <v>869630</v>
      </c>
      <c r="F206" s="13">
        <v>1068905</v>
      </c>
      <c r="G206" s="13">
        <v>1564695</v>
      </c>
      <c r="H206" s="13">
        <v>974900</v>
      </c>
      <c r="I206" s="13">
        <v>1498834</v>
      </c>
      <c r="J206" s="13">
        <v>521350</v>
      </c>
      <c r="K206" s="13">
        <v>2170240</v>
      </c>
      <c r="L206" s="13">
        <v>317450</v>
      </c>
      <c r="M206" s="13">
        <v>1235850</v>
      </c>
      <c r="N206" s="13">
        <v>1128550</v>
      </c>
      <c r="O206" s="13">
        <v>840700</v>
      </c>
      <c r="P206" s="9">
        <f>SUM(D206:O206)</f>
        <v>12770562.620000001</v>
      </c>
    </row>
    <row r="207" spans="1:16" ht="15.6" x14ac:dyDescent="0.3">
      <c r="A207" s="695" t="s">
        <v>42</v>
      </c>
      <c r="B207" s="696"/>
      <c r="C207" s="11" t="s">
        <v>31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9">
        <f>SUM(D207:O207)</f>
        <v>0</v>
      </c>
    </row>
    <row r="208" spans="1:16" ht="15.6" x14ac:dyDescent="0.3">
      <c r="A208" s="702" t="s">
        <v>41</v>
      </c>
      <c r="B208" s="703"/>
      <c r="C208" s="11" t="s">
        <v>31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9">
        <f>SUM(D208:O208)</f>
        <v>0</v>
      </c>
    </row>
    <row r="209" spans="1:16" ht="15.6" x14ac:dyDescent="0.3">
      <c r="A209" s="695" t="s">
        <v>40</v>
      </c>
      <c r="B209" s="696"/>
      <c r="C209" s="11" t="s">
        <v>31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9">
        <f>SUM(D209:O209)</f>
        <v>0</v>
      </c>
    </row>
    <row r="210" spans="1:16" ht="15.6" x14ac:dyDescent="0.3">
      <c r="A210" s="762" t="s">
        <v>45</v>
      </c>
      <c r="B210" s="763"/>
      <c r="C210" s="11" t="s">
        <v>31</v>
      </c>
      <c r="D210" s="10">
        <f t="shared" ref="D210:O210" si="160">SUM(D206:D209)</f>
        <v>579458.62</v>
      </c>
      <c r="E210" s="10">
        <f t="shared" si="160"/>
        <v>869630</v>
      </c>
      <c r="F210" s="10">
        <f t="shared" si="160"/>
        <v>1068905</v>
      </c>
      <c r="G210" s="10">
        <f t="shared" si="160"/>
        <v>1564695</v>
      </c>
      <c r="H210" s="10">
        <f t="shared" si="160"/>
        <v>974900</v>
      </c>
      <c r="I210" s="10">
        <f t="shared" si="160"/>
        <v>1498834</v>
      </c>
      <c r="J210" s="10">
        <f t="shared" si="160"/>
        <v>521350</v>
      </c>
      <c r="K210" s="10">
        <f t="shared" si="160"/>
        <v>2170240</v>
      </c>
      <c r="L210" s="10">
        <f t="shared" si="160"/>
        <v>317450</v>
      </c>
      <c r="M210" s="10">
        <f t="shared" si="160"/>
        <v>1235850</v>
      </c>
      <c r="N210" s="10">
        <f t="shared" si="160"/>
        <v>1128550</v>
      </c>
      <c r="O210" s="10">
        <f t="shared" si="160"/>
        <v>840700</v>
      </c>
      <c r="P210" s="9">
        <f>SUM(D210:O210)</f>
        <v>12770562.620000001</v>
      </c>
    </row>
    <row r="211" spans="1:16" s="2" customFormat="1" x14ac:dyDescent="0.3">
      <c r="A211" s="699" t="s">
        <v>44</v>
      </c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0"/>
      <c r="P211" s="701"/>
    </row>
    <row r="212" spans="1:16" ht="15.6" x14ac:dyDescent="0.3">
      <c r="A212" s="695" t="s">
        <v>43</v>
      </c>
      <c r="B212" s="696"/>
      <c r="C212" s="11" t="s">
        <v>31</v>
      </c>
      <c r="D212" s="13">
        <v>1480484.45</v>
      </c>
      <c r="E212" s="13">
        <v>1153733.07</v>
      </c>
      <c r="F212" s="13">
        <v>2054248.3</v>
      </c>
      <c r="G212" s="13">
        <v>1697045.71</v>
      </c>
      <c r="H212" s="13">
        <v>1546458.95</v>
      </c>
      <c r="I212" s="13">
        <v>1852589</v>
      </c>
      <c r="J212" s="13">
        <v>1763389.3</v>
      </c>
      <c r="K212" s="13">
        <v>1599631.83</v>
      </c>
      <c r="L212" s="13">
        <v>1415202.39</v>
      </c>
      <c r="M212" s="13">
        <v>2485501</v>
      </c>
      <c r="N212" s="13">
        <v>2640466.5499999998</v>
      </c>
      <c r="O212" s="13">
        <v>2239133.1</v>
      </c>
      <c r="P212" s="9">
        <f>SUM(D212:O212)</f>
        <v>21927883.650000002</v>
      </c>
    </row>
    <row r="213" spans="1:16" ht="15.6" x14ac:dyDescent="0.3">
      <c r="A213" s="695" t="s">
        <v>42</v>
      </c>
      <c r="B213" s="696"/>
      <c r="C213" s="11" t="s">
        <v>31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9">
        <f>SUM(D213:O213)</f>
        <v>0</v>
      </c>
    </row>
    <row r="214" spans="1:16" ht="15.6" x14ac:dyDescent="0.3">
      <c r="A214" s="702" t="s">
        <v>41</v>
      </c>
      <c r="B214" s="703"/>
      <c r="C214" s="11" t="s">
        <v>31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9">
        <f>SUM(D214:O214)</f>
        <v>0</v>
      </c>
    </row>
    <row r="215" spans="1:16" ht="15.6" x14ac:dyDescent="0.3">
      <c r="A215" s="695" t="s">
        <v>40</v>
      </c>
      <c r="B215" s="696"/>
      <c r="C215" s="11" t="s">
        <v>31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9">
        <f>SUM(D215:O215)</f>
        <v>0</v>
      </c>
    </row>
    <row r="216" spans="1:16" ht="15.6" x14ac:dyDescent="0.3">
      <c r="A216" s="762" t="s">
        <v>39</v>
      </c>
      <c r="B216" s="763"/>
      <c r="C216" s="11" t="s">
        <v>31</v>
      </c>
      <c r="D216" s="10">
        <f t="shared" ref="D216:O216" si="161">SUM(D212:D215)</f>
        <v>1480484.45</v>
      </c>
      <c r="E216" s="10">
        <f t="shared" si="161"/>
        <v>1153733.07</v>
      </c>
      <c r="F216" s="10">
        <f t="shared" si="161"/>
        <v>2054248.3</v>
      </c>
      <c r="G216" s="10">
        <f t="shared" si="161"/>
        <v>1697045.71</v>
      </c>
      <c r="H216" s="10">
        <f t="shared" si="161"/>
        <v>1546458.95</v>
      </c>
      <c r="I216" s="10">
        <f t="shared" si="161"/>
        <v>1852589</v>
      </c>
      <c r="J216" s="10">
        <f t="shared" si="161"/>
        <v>1763389.3</v>
      </c>
      <c r="K216" s="10">
        <f t="shared" si="161"/>
        <v>1599631.83</v>
      </c>
      <c r="L216" s="10">
        <f t="shared" si="161"/>
        <v>1415202.39</v>
      </c>
      <c r="M216" s="10">
        <f t="shared" si="161"/>
        <v>2485501</v>
      </c>
      <c r="N216" s="10">
        <f t="shared" si="161"/>
        <v>2640466.5499999998</v>
      </c>
      <c r="O216" s="10">
        <f t="shared" si="161"/>
        <v>2239133.1</v>
      </c>
      <c r="P216" s="9">
        <f>SUM(D216:O216)</f>
        <v>21927883.650000002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2059943.0699999998</v>
      </c>
      <c r="E217" s="10">
        <f t="shared" ref="E217:P217" si="162">E210+E216</f>
        <v>2023363.07</v>
      </c>
      <c r="F217" s="10">
        <f t="shared" si="162"/>
        <v>3123153.3</v>
      </c>
      <c r="G217" s="10">
        <f t="shared" si="162"/>
        <v>3261740.71</v>
      </c>
      <c r="H217" s="10">
        <f t="shared" si="162"/>
        <v>2521358.9500000002</v>
      </c>
      <c r="I217" s="10">
        <f t="shared" si="162"/>
        <v>3351423</v>
      </c>
      <c r="J217" s="10">
        <f t="shared" si="162"/>
        <v>2284739.2999999998</v>
      </c>
      <c r="K217" s="10">
        <f t="shared" si="162"/>
        <v>3769871.83</v>
      </c>
      <c r="L217" s="10">
        <f t="shared" si="162"/>
        <v>1732652.39</v>
      </c>
      <c r="M217" s="10">
        <f t="shared" si="162"/>
        <v>3721351</v>
      </c>
      <c r="N217" s="10">
        <f t="shared" si="162"/>
        <v>3769016.55</v>
      </c>
      <c r="O217" s="10">
        <f t="shared" si="162"/>
        <v>3079833.1</v>
      </c>
      <c r="P217" s="40">
        <f t="shared" si="162"/>
        <v>34698446.270000003</v>
      </c>
    </row>
    <row r="218" spans="1:16" s="2" customFormat="1" x14ac:dyDescent="0.3">
      <c r="A218" s="699" t="s">
        <v>37</v>
      </c>
      <c r="B218" s="700"/>
      <c r="C218" s="700"/>
      <c r="D218" s="700"/>
      <c r="E218" s="700"/>
      <c r="F218" s="700"/>
      <c r="G218" s="700"/>
      <c r="H218" s="700"/>
      <c r="I218" s="700"/>
      <c r="J218" s="700"/>
      <c r="K218" s="700"/>
      <c r="L218" s="700"/>
      <c r="M218" s="700"/>
      <c r="N218" s="700"/>
      <c r="O218" s="700"/>
      <c r="P218" s="701"/>
    </row>
    <row r="219" spans="1:16" ht="15.6" x14ac:dyDescent="0.3">
      <c r="A219" s="695" t="s">
        <v>35</v>
      </c>
      <c r="B219" s="696"/>
      <c r="C219" s="11" t="s">
        <v>31</v>
      </c>
      <c r="D219" s="13">
        <v>1008163.21</v>
      </c>
      <c r="E219" s="13">
        <v>1454013</v>
      </c>
      <c r="F219" s="13">
        <v>1774656</v>
      </c>
      <c r="G219" s="13">
        <v>1808008</v>
      </c>
      <c r="H219" s="13">
        <v>1591207</v>
      </c>
      <c r="I219" s="13">
        <v>1749410</v>
      </c>
      <c r="J219" s="13">
        <v>1672188</v>
      </c>
      <c r="K219" s="13">
        <v>1541397</v>
      </c>
      <c r="L219" s="13">
        <v>1727572</v>
      </c>
      <c r="M219" s="13">
        <v>1330447</v>
      </c>
      <c r="N219" s="13">
        <v>1579678</v>
      </c>
      <c r="O219" s="13">
        <v>1418</v>
      </c>
      <c r="P219" s="9">
        <f>SUM(D219:O219)</f>
        <v>17238157.210000001</v>
      </c>
    </row>
    <row r="220" spans="1:16" ht="15.6" x14ac:dyDescent="0.3">
      <c r="A220" s="695" t="s">
        <v>34</v>
      </c>
      <c r="B220" s="696"/>
      <c r="C220" s="11" t="s">
        <v>31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24902</v>
      </c>
      <c r="M220" s="13">
        <v>0</v>
      </c>
      <c r="N220" s="13">
        <v>0</v>
      </c>
      <c r="O220" s="13">
        <v>0</v>
      </c>
      <c r="P220" s="9">
        <f>SUM(D220:O220)</f>
        <v>24902</v>
      </c>
    </row>
    <row r="221" spans="1:16" ht="15.6" x14ac:dyDescent="0.3">
      <c r="A221" s="695" t="s">
        <v>33</v>
      </c>
      <c r="B221" s="696"/>
      <c r="C221" s="11" t="s">
        <v>31</v>
      </c>
      <c r="D221" s="13">
        <v>18424.509999999998</v>
      </c>
      <c r="E221" s="13">
        <v>24902</v>
      </c>
      <c r="F221" s="13">
        <v>38986</v>
      </c>
      <c r="G221" s="13">
        <v>38986</v>
      </c>
      <c r="H221" s="13">
        <v>33106</v>
      </c>
      <c r="I221" s="13">
        <v>33106</v>
      </c>
      <c r="J221" s="13">
        <v>38986</v>
      </c>
      <c r="K221" s="13">
        <v>24902</v>
      </c>
      <c r="L221" s="13">
        <v>0</v>
      </c>
      <c r="M221" s="13">
        <v>7646</v>
      </c>
      <c r="N221" s="13">
        <v>7646</v>
      </c>
      <c r="O221" s="13">
        <v>7646</v>
      </c>
      <c r="P221" s="9">
        <f>SUM(D221:O221)</f>
        <v>274336.51</v>
      </c>
    </row>
    <row r="222" spans="1:16" ht="15.6" x14ac:dyDescent="0.3">
      <c r="A222" s="695" t="s">
        <v>32</v>
      </c>
      <c r="B222" s="696"/>
      <c r="C222" s="11" t="s">
        <v>31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9">
        <f>SUM(D222:O222)</f>
        <v>0</v>
      </c>
    </row>
    <row r="223" spans="1:16" ht="15.6" x14ac:dyDescent="0.3">
      <c r="A223" s="762" t="s">
        <v>36</v>
      </c>
      <c r="B223" s="763"/>
      <c r="C223" s="11" t="s">
        <v>31</v>
      </c>
      <c r="D223" s="12">
        <f t="shared" ref="D223:O223" si="163">SUM(D219:D222)</f>
        <v>1026587.72</v>
      </c>
      <c r="E223" s="10">
        <f t="shared" si="163"/>
        <v>1478915</v>
      </c>
      <c r="F223" s="10">
        <f t="shared" si="163"/>
        <v>1813642</v>
      </c>
      <c r="G223" s="10">
        <f t="shared" si="163"/>
        <v>1846994</v>
      </c>
      <c r="H223" s="10">
        <f t="shared" si="163"/>
        <v>1624313</v>
      </c>
      <c r="I223" s="10">
        <f t="shared" si="163"/>
        <v>1782516</v>
      </c>
      <c r="J223" s="14">
        <f t="shared" si="163"/>
        <v>1711174</v>
      </c>
      <c r="K223" s="14">
        <f t="shared" si="163"/>
        <v>1566299</v>
      </c>
      <c r="L223" s="14">
        <f t="shared" si="163"/>
        <v>1752474</v>
      </c>
      <c r="M223" s="14">
        <f t="shared" si="163"/>
        <v>1338093</v>
      </c>
      <c r="N223" s="14">
        <f t="shared" si="163"/>
        <v>1587324</v>
      </c>
      <c r="O223" s="14">
        <f t="shared" si="163"/>
        <v>9064</v>
      </c>
      <c r="P223" s="9">
        <f>SUM(D223:O223)</f>
        <v>17537395.719999999</v>
      </c>
    </row>
    <row r="224" spans="1:16" x14ac:dyDescent="0.3">
      <c r="A224" s="699" t="s">
        <v>211</v>
      </c>
      <c r="B224" s="700"/>
      <c r="C224" s="700"/>
      <c r="D224" s="700"/>
      <c r="E224" s="700"/>
      <c r="F224" s="700"/>
      <c r="G224" s="700"/>
      <c r="H224" s="700"/>
      <c r="I224" s="700"/>
      <c r="J224" s="700"/>
      <c r="K224" s="700"/>
      <c r="L224" s="700"/>
      <c r="M224" s="700"/>
      <c r="N224" s="700"/>
      <c r="O224" s="700"/>
      <c r="P224" s="701"/>
    </row>
    <row r="225" spans="1:16" ht="15.6" x14ac:dyDescent="0.3">
      <c r="A225" s="695" t="s">
        <v>35</v>
      </c>
      <c r="B225" s="696"/>
      <c r="C225" s="11" t="s">
        <v>31</v>
      </c>
      <c r="D225" s="13">
        <v>1369322.69</v>
      </c>
      <c r="E225" s="13">
        <v>1036924.53</v>
      </c>
      <c r="F225" s="13">
        <v>1900741.7</v>
      </c>
      <c r="G225" s="13">
        <v>1548547.1400000001</v>
      </c>
      <c r="H225" s="13">
        <v>1451519.25</v>
      </c>
      <c r="I225" s="13">
        <v>1737189</v>
      </c>
      <c r="J225" s="13">
        <v>1659667.91</v>
      </c>
      <c r="K225" s="13">
        <v>1501951.72</v>
      </c>
      <c r="L225" s="13">
        <v>1318602.81</v>
      </c>
      <c r="M225" s="13">
        <v>2413896.14</v>
      </c>
      <c r="N225" s="13">
        <v>2573266.5499999998</v>
      </c>
      <c r="O225" s="13">
        <v>2120979</v>
      </c>
      <c r="P225" s="9">
        <f t="shared" ref="P225:P230" si="164">SUM(D225:O225)</f>
        <v>20632608.440000001</v>
      </c>
    </row>
    <row r="226" spans="1:16" ht="15.6" x14ac:dyDescent="0.3">
      <c r="A226" s="695" t="s">
        <v>34</v>
      </c>
      <c r="B226" s="696"/>
      <c r="C226" s="11" t="s">
        <v>31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9">
        <f t="shared" si="164"/>
        <v>0</v>
      </c>
    </row>
    <row r="227" spans="1:16" ht="15.6" x14ac:dyDescent="0.3">
      <c r="A227" s="695" t="s">
        <v>33</v>
      </c>
      <c r="B227" s="696"/>
      <c r="C227" s="11" t="s">
        <v>31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9">
        <f t="shared" si="164"/>
        <v>0</v>
      </c>
    </row>
    <row r="228" spans="1:16" ht="15.6" x14ac:dyDescent="0.3">
      <c r="A228" s="695" t="s">
        <v>32</v>
      </c>
      <c r="B228" s="696"/>
      <c r="C228" s="11" t="s">
        <v>31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9">
        <f t="shared" si="164"/>
        <v>0</v>
      </c>
    </row>
    <row r="229" spans="1:16" ht="15.6" x14ac:dyDescent="0.3">
      <c r="A229" s="762" t="s">
        <v>212</v>
      </c>
      <c r="B229" s="763"/>
      <c r="C229" s="11" t="s">
        <v>31</v>
      </c>
      <c r="D229" s="12">
        <f t="shared" ref="D229:O229" si="165">SUM(D225:D228)</f>
        <v>1369322.69</v>
      </c>
      <c r="E229" s="10">
        <f t="shared" si="165"/>
        <v>1036924.53</v>
      </c>
      <c r="F229" s="10">
        <f t="shared" si="165"/>
        <v>1900741.7</v>
      </c>
      <c r="G229" s="10">
        <f t="shared" si="165"/>
        <v>1548547.1400000001</v>
      </c>
      <c r="H229" s="10">
        <f t="shared" si="165"/>
        <v>1451519.25</v>
      </c>
      <c r="I229" s="10">
        <f t="shared" si="165"/>
        <v>1737189</v>
      </c>
      <c r="J229" s="14">
        <f t="shared" si="165"/>
        <v>1659667.91</v>
      </c>
      <c r="K229" s="14">
        <f t="shared" si="165"/>
        <v>1501951.72</v>
      </c>
      <c r="L229" s="14">
        <f t="shared" si="165"/>
        <v>1318602.81</v>
      </c>
      <c r="M229" s="14">
        <f t="shared" si="165"/>
        <v>2413896.14</v>
      </c>
      <c r="N229" s="14">
        <f t="shared" si="165"/>
        <v>2573266.5499999998</v>
      </c>
      <c r="O229" s="14">
        <f t="shared" si="165"/>
        <v>2120979</v>
      </c>
      <c r="P229" s="9">
        <f t="shared" si="164"/>
        <v>20632608.440000001</v>
      </c>
    </row>
    <row r="230" spans="1:16" ht="15.6" x14ac:dyDescent="0.3">
      <c r="A230" s="76" t="s">
        <v>213</v>
      </c>
      <c r="B230" s="120"/>
      <c r="C230" s="11" t="s">
        <v>31</v>
      </c>
      <c r="D230" s="12">
        <f>D223+D229</f>
        <v>2395910.41</v>
      </c>
      <c r="E230" s="12">
        <f t="shared" ref="E230:O230" si="166">E223+E229</f>
        <v>2515839.5300000003</v>
      </c>
      <c r="F230" s="12">
        <f t="shared" si="166"/>
        <v>3714383.7</v>
      </c>
      <c r="G230" s="12">
        <f t="shared" si="166"/>
        <v>3395541.14</v>
      </c>
      <c r="H230" s="12">
        <f t="shared" si="166"/>
        <v>3075832.25</v>
      </c>
      <c r="I230" s="12">
        <f t="shared" si="166"/>
        <v>3519705</v>
      </c>
      <c r="J230" s="12">
        <f t="shared" si="166"/>
        <v>3370841.91</v>
      </c>
      <c r="K230" s="12">
        <f t="shared" si="166"/>
        <v>3068250.7199999997</v>
      </c>
      <c r="L230" s="12">
        <f t="shared" si="166"/>
        <v>3071076.81</v>
      </c>
      <c r="M230" s="12">
        <f t="shared" si="166"/>
        <v>3751989.14</v>
      </c>
      <c r="N230" s="12">
        <f t="shared" si="166"/>
        <v>4160590.55</v>
      </c>
      <c r="O230" s="12">
        <f t="shared" si="166"/>
        <v>2130043</v>
      </c>
      <c r="P230" s="9">
        <f t="shared" si="164"/>
        <v>38170004.159999996</v>
      </c>
    </row>
    <row r="231" spans="1:16" x14ac:dyDescent="0.3">
      <c r="A231" s="699" t="s">
        <v>30</v>
      </c>
      <c r="B231" s="700"/>
      <c r="C231" s="700"/>
      <c r="D231" s="700"/>
      <c r="E231" s="700"/>
      <c r="F231" s="700"/>
      <c r="G231" s="700"/>
      <c r="H231" s="700"/>
      <c r="I231" s="700"/>
      <c r="J231" s="700"/>
      <c r="K231" s="700"/>
      <c r="L231" s="700"/>
      <c r="M231" s="700"/>
      <c r="N231" s="700"/>
      <c r="O231" s="700"/>
      <c r="P231" s="701"/>
    </row>
    <row r="232" spans="1:16" ht="15.6" x14ac:dyDescent="0.3">
      <c r="A232" s="695" t="s">
        <v>29</v>
      </c>
      <c r="B232" s="696"/>
      <c r="C232" s="11" t="s">
        <v>18</v>
      </c>
      <c r="D232" s="13">
        <v>80852.039999999994</v>
      </c>
      <c r="E232" s="13">
        <v>120782</v>
      </c>
      <c r="F232" s="13">
        <v>121625</v>
      </c>
      <c r="G232" s="13">
        <v>121625</v>
      </c>
      <c r="H232" s="13">
        <v>121625</v>
      </c>
      <c r="I232" s="13">
        <v>122615</v>
      </c>
      <c r="J232" s="13">
        <v>122764</v>
      </c>
      <c r="K232" s="13">
        <v>123260</v>
      </c>
      <c r="L232" s="13">
        <v>132755</v>
      </c>
      <c r="M232" s="13">
        <v>116504</v>
      </c>
      <c r="N232" s="13">
        <v>117495</v>
      </c>
      <c r="O232" s="13">
        <v>116504</v>
      </c>
      <c r="P232" s="9">
        <f>SUM(D232:O232)</f>
        <v>1418406.04</v>
      </c>
    </row>
    <row r="233" spans="1:16" ht="15.6" x14ac:dyDescent="0.3">
      <c r="A233" s="695" t="s">
        <v>28</v>
      </c>
      <c r="B233" s="696"/>
      <c r="C233" s="11" t="s">
        <v>18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9">
        <f>SUM(D233:O233)</f>
        <v>0</v>
      </c>
    </row>
    <row r="234" spans="1:16" ht="15.6" x14ac:dyDescent="0.3">
      <c r="A234" s="695" t="s">
        <v>27</v>
      </c>
      <c r="B234" s="696"/>
      <c r="C234" s="11" t="s">
        <v>18</v>
      </c>
      <c r="D234" s="13">
        <v>2056.75</v>
      </c>
      <c r="E234" s="13">
        <v>3083</v>
      </c>
      <c r="F234" s="13">
        <v>3085</v>
      </c>
      <c r="G234" s="13">
        <v>3085</v>
      </c>
      <c r="H234" s="13">
        <v>3085</v>
      </c>
      <c r="I234" s="13">
        <v>3085</v>
      </c>
      <c r="J234" s="13">
        <v>3085</v>
      </c>
      <c r="K234" s="13">
        <v>3085</v>
      </c>
      <c r="L234" s="13">
        <v>3085</v>
      </c>
      <c r="M234" s="13">
        <v>3085</v>
      </c>
      <c r="N234" s="13">
        <v>3085</v>
      </c>
      <c r="O234" s="13">
        <v>3085</v>
      </c>
      <c r="P234" s="9">
        <f>SUM(D234:O234)</f>
        <v>35989.75</v>
      </c>
    </row>
    <row r="235" spans="1:16" ht="15.6" x14ac:dyDescent="0.3">
      <c r="A235" s="695" t="s">
        <v>26</v>
      </c>
      <c r="B235" s="696"/>
      <c r="C235" s="11" t="s">
        <v>18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9">
        <f>SUM(D235:O235)</f>
        <v>0</v>
      </c>
    </row>
    <row r="236" spans="1:16" ht="15.6" x14ac:dyDescent="0.3">
      <c r="A236" s="762" t="s">
        <v>25</v>
      </c>
      <c r="B236" s="763"/>
      <c r="C236" s="11" t="s">
        <v>18</v>
      </c>
      <c r="D236" s="12">
        <f t="shared" ref="D236:O236" si="167">SUM(D232:D235)</f>
        <v>82908.789999999994</v>
      </c>
      <c r="E236" s="12">
        <f t="shared" si="167"/>
        <v>123865</v>
      </c>
      <c r="F236" s="12">
        <f t="shared" si="167"/>
        <v>124710</v>
      </c>
      <c r="G236" s="12">
        <f t="shared" si="167"/>
        <v>124710</v>
      </c>
      <c r="H236" s="12">
        <f t="shared" si="167"/>
        <v>124710</v>
      </c>
      <c r="I236" s="12">
        <f t="shared" si="167"/>
        <v>125700</v>
      </c>
      <c r="J236" s="12">
        <f t="shared" si="167"/>
        <v>125849</v>
      </c>
      <c r="K236" s="12">
        <f t="shared" si="167"/>
        <v>126345</v>
      </c>
      <c r="L236" s="12">
        <f t="shared" si="167"/>
        <v>135840</v>
      </c>
      <c r="M236" s="12">
        <f t="shared" si="167"/>
        <v>119589</v>
      </c>
      <c r="N236" s="12">
        <f t="shared" si="167"/>
        <v>120580</v>
      </c>
      <c r="O236" s="12">
        <f t="shared" si="167"/>
        <v>119589</v>
      </c>
      <c r="P236" s="40">
        <f t="shared" ref="P236" si="168">SUM(P232:P235)</f>
        <v>1454395.79</v>
      </c>
    </row>
    <row r="237" spans="1:16" x14ac:dyDescent="0.3">
      <c r="A237" s="699" t="s">
        <v>24</v>
      </c>
      <c r="B237" s="700"/>
      <c r="C237" s="700"/>
      <c r="D237" s="700"/>
      <c r="E237" s="700"/>
      <c r="F237" s="700"/>
      <c r="G237" s="700"/>
      <c r="H237" s="700"/>
      <c r="I237" s="700"/>
      <c r="J237" s="700"/>
      <c r="K237" s="700"/>
      <c r="L237" s="700"/>
      <c r="M237" s="700"/>
      <c r="N237" s="700"/>
      <c r="O237" s="700"/>
      <c r="P237" s="701"/>
    </row>
    <row r="238" spans="1:16" ht="15.6" x14ac:dyDescent="0.3">
      <c r="A238" s="695" t="s">
        <v>23</v>
      </c>
      <c r="B238" s="696"/>
      <c r="C238" s="11" t="s">
        <v>18</v>
      </c>
      <c r="D238" s="13">
        <v>215213</v>
      </c>
      <c r="E238" s="13">
        <v>214320</v>
      </c>
      <c r="F238" s="13">
        <v>216106</v>
      </c>
      <c r="G238" s="13">
        <v>216106</v>
      </c>
      <c r="H238" s="13">
        <v>216106</v>
      </c>
      <c r="I238" s="13">
        <v>217892</v>
      </c>
      <c r="J238" s="13">
        <v>217892</v>
      </c>
      <c r="K238" s="13">
        <v>218785</v>
      </c>
      <c r="L238" s="13">
        <v>219678</v>
      </c>
      <c r="M238" s="13">
        <v>207176</v>
      </c>
      <c r="N238" s="13">
        <v>208962</v>
      </c>
      <c r="O238" s="13">
        <v>207176</v>
      </c>
      <c r="P238" s="9">
        <f>SUM(D238:O238)</f>
        <v>2575412</v>
      </c>
    </row>
    <row r="239" spans="1:16" ht="15.6" x14ac:dyDescent="0.3">
      <c r="A239" s="695" t="s">
        <v>22</v>
      </c>
      <c r="B239" s="696"/>
      <c r="C239" s="11" t="s">
        <v>18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9">
        <f>SUM(D239:O239)</f>
        <v>0</v>
      </c>
    </row>
    <row r="240" spans="1:16" ht="15.6" x14ac:dyDescent="0.3">
      <c r="A240" s="695" t="s">
        <v>21</v>
      </c>
      <c r="B240" s="696"/>
      <c r="C240" s="11" t="s">
        <v>18</v>
      </c>
      <c r="D240" s="15">
        <v>893</v>
      </c>
      <c r="E240" s="15">
        <v>893</v>
      </c>
      <c r="F240" s="15">
        <v>893</v>
      </c>
      <c r="G240" s="15">
        <v>893</v>
      </c>
      <c r="H240" s="15">
        <v>893</v>
      </c>
      <c r="I240" s="15">
        <v>893</v>
      </c>
      <c r="J240" s="15">
        <v>893</v>
      </c>
      <c r="K240" s="15">
        <v>893</v>
      </c>
      <c r="L240" s="15">
        <v>893</v>
      </c>
      <c r="M240" s="15">
        <v>893</v>
      </c>
      <c r="N240" s="15">
        <v>893</v>
      </c>
      <c r="O240" s="15">
        <v>893</v>
      </c>
      <c r="P240" s="9">
        <f>SUM(D240:O240)</f>
        <v>10716</v>
      </c>
    </row>
    <row r="241" spans="1:16" ht="15.6" x14ac:dyDescent="0.3">
      <c r="A241" s="695" t="s">
        <v>20</v>
      </c>
      <c r="B241" s="696"/>
      <c r="C241" s="11" t="s">
        <v>18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9">
        <f>SUM(D241:O241)</f>
        <v>0</v>
      </c>
    </row>
    <row r="242" spans="1:16" ht="15.6" x14ac:dyDescent="0.3">
      <c r="A242" s="762" t="s">
        <v>19</v>
      </c>
      <c r="B242" s="763"/>
      <c r="C242" s="11" t="s">
        <v>18</v>
      </c>
      <c r="D242" s="12">
        <f t="shared" ref="D242:P242" si="169">SUM(D238:D241)</f>
        <v>216106</v>
      </c>
      <c r="E242" s="12">
        <f t="shared" si="169"/>
        <v>215213</v>
      </c>
      <c r="F242" s="12">
        <f t="shared" si="169"/>
        <v>216999</v>
      </c>
      <c r="G242" s="12">
        <f t="shared" si="169"/>
        <v>216999</v>
      </c>
      <c r="H242" s="12">
        <f t="shared" si="169"/>
        <v>216999</v>
      </c>
      <c r="I242" s="12">
        <f t="shared" si="169"/>
        <v>218785</v>
      </c>
      <c r="J242" s="12">
        <f t="shared" si="169"/>
        <v>218785</v>
      </c>
      <c r="K242" s="12">
        <f t="shared" si="169"/>
        <v>219678</v>
      </c>
      <c r="L242" s="12">
        <f t="shared" si="169"/>
        <v>220571</v>
      </c>
      <c r="M242" s="12">
        <f t="shared" si="169"/>
        <v>208069</v>
      </c>
      <c r="N242" s="12">
        <f t="shared" si="169"/>
        <v>209855</v>
      </c>
      <c r="O242" s="12">
        <f t="shared" si="169"/>
        <v>208069</v>
      </c>
      <c r="P242" s="40">
        <f t="shared" si="169"/>
        <v>2586128</v>
      </c>
    </row>
    <row r="243" spans="1:16" ht="15.6" x14ac:dyDescent="0.3">
      <c r="A243" s="762" t="s">
        <v>214</v>
      </c>
      <c r="B243" s="763"/>
      <c r="C243" s="11" t="s">
        <v>18</v>
      </c>
      <c r="D243" s="10">
        <f>D230+D236+D242</f>
        <v>2694925.2</v>
      </c>
      <c r="E243" s="10">
        <f t="shared" ref="E243:O243" si="170">E230+E236+E242</f>
        <v>2854917.5300000003</v>
      </c>
      <c r="F243" s="10">
        <f t="shared" si="170"/>
        <v>4056092.7</v>
      </c>
      <c r="G243" s="10">
        <f t="shared" si="170"/>
        <v>3737250.14</v>
      </c>
      <c r="H243" s="10">
        <f t="shared" si="170"/>
        <v>3417541.25</v>
      </c>
      <c r="I243" s="10">
        <f t="shared" si="170"/>
        <v>3864190</v>
      </c>
      <c r="J243" s="10">
        <f t="shared" si="170"/>
        <v>3715475.91</v>
      </c>
      <c r="K243" s="10">
        <f t="shared" si="170"/>
        <v>3414273.7199999997</v>
      </c>
      <c r="L243" s="10">
        <f t="shared" si="170"/>
        <v>3427487.81</v>
      </c>
      <c r="M243" s="10">
        <f t="shared" si="170"/>
        <v>4079647.14</v>
      </c>
      <c r="N243" s="10">
        <f t="shared" si="170"/>
        <v>4491025.55</v>
      </c>
      <c r="O243" s="10">
        <f t="shared" si="170"/>
        <v>2457701</v>
      </c>
      <c r="P243" s="40">
        <f t="shared" ref="P243" si="171">P216+P223+P236+P242</f>
        <v>43505803.160000004</v>
      </c>
    </row>
    <row r="244" spans="1:16" x14ac:dyDescent="0.3">
      <c r="A244" s="699" t="s">
        <v>204</v>
      </c>
      <c r="B244" s="700"/>
      <c r="C244" s="700"/>
      <c r="D244" s="700"/>
      <c r="E244" s="700"/>
      <c r="F244" s="700"/>
      <c r="G244" s="700"/>
      <c r="H244" s="700"/>
      <c r="I244" s="700"/>
      <c r="J244" s="700"/>
      <c r="K244" s="700"/>
      <c r="L244" s="700"/>
      <c r="M244" s="700"/>
      <c r="N244" s="700"/>
      <c r="O244" s="700"/>
      <c r="P244" s="701"/>
    </row>
    <row r="245" spans="1:16" ht="15.6" x14ac:dyDescent="0.3">
      <c r="A245" s="769" t="s">
        <v>205</v>
      </c>
      <c r="B245" s="770"/>
      <c r="C245" s="11" t="s">
        <v>18</v>
      </c>
      <c r="D245" s="155">
        <v>19447515.640000027</v>
      </c>
      <c r="E245" s="155">
        <v>19995446.29000004</v>
      </c>
      <c r="F245" s="155">
        <v>21161651.609999992</v>
      </c>
      <c r="G245" s="155">
        <v>21773212.750000019</v>
      </c>
      <c r="H245" s="155">
        <v>22882318.820000041</v>
      </c>
      <c r="I245" s="155">
        <v>23636953.32000003</v>
      </c>
      <c r="J245" s="155">
        <v>24639289.820000011</v>
      </c>
      <c r="K245" s="155">
        <v>24271254.05999998</v>
      </c>
      <c r="L245" s="155">
        <v>26048203.520000048</v>
      </c>
      <c r="M245" s="155">
        <v>23645364.790000021</v>
      </c>
      <c r="N245" s="155">
        <v>24834478.709999971</v>
      </c>
      <c r="O245" s="155">
        <v>25601237.400000066</v>
      </c>
      <c r="P245" s="164">
        <f>O245</f>
        <v>25601237.400000066</v>
      </c>
    </row>
    <row r="246" spans="1:16" ht="15.6" x14ac:dyDescent="0.3">
      <c r="A246" s="769" t="s">
        <v>206</v>
      </c>
      <c r="B246" s="770"/>
      <c r="C246" s="11" t="s">
        <v>18</v>
      </c>
      <c r="D246" s="155">
        <v>39284993.070000038</v>
      </c>
      <c r="E246" s="155">
        <v>39621855.140000023</v>
      </c>
      <c r="F246" s="155">
        <v>39469095.750000022</v>
      </c>
      <c r="G246" s="155">
        <v>39569541.990000024</v>
      </c>
      <c r="H246" s="155">
        <v>39451557.700000033</v>
      </c>
      <c r="I246" s="155">
        <v>39443090.580000028</v>
      </c>
      <c r="J246" s="155">
        <v>39495812.980000027</v>
      </c>
      <c r="K246" s="155">
        <v>39605930.040000021</v>
      </c>
      <c r="L246" s="155">
        <v>39611416.230000027</v>
      </c>
      <c r="M246" s="155">
        <v>41970520.400000036</v>
      </c>
      <c r="N246" s="155">
        <v>41570615.650000036</v>
      </c>
      <c r="O246" s="155">
        <v>41716641.730000004</v>
      </c>
      <c r="P246" s="164">
        <f>O246</f>
        <v>41716641.730000004</v>
      </c>
    </row>
    <row r="247" spans="1:16" ht="16.2" thickBot="1" x14ac:dyDescent="0.35">
      <c r="A247" s="771" t="s">
        <v>207</v>
      </c>
      <c r="B247" s="772"/>
      <c r="C247" s="68" t="s">
        <v>18</v>
      </c>
      <c r="D247" s="608">
        <f>D245+D246</f>
        <v>58732508.710000068</v>
      </c>
      <c r="E247" s="608">
        <f>E245+E246</f>
        <v>59617301.430000067</v>
      </c>
      <c r="F247" s="608">
        <f t="shared" ref="F247:P247" si="172">F245+F246</f>
        <v>60630747.360000014</v>
      </c>
      <c r="G247" s="608">
        <f t="shared" si="172"/>
        <v>61342754.740000039</v>
      </c>
      <c r="H247" s="608">
        <f t="shared" si="172"/>
        <v>62333876.52000007</v>
      </c>
      <c r="I247" s="608">
        <f t="shared" si="172"/>
        <v>63080043.900000058</v>
      </c>
      <c r="J247" s="608">
        <f t="shared" si="172"/>
        <v>64135102.800000042</v>
      </c>
      <c r="K247" s="608">
        <f t="shared" si="172"/>
        <v>63877184.100000001</v>
      </c>
      <c r="L247" s="608">
        <f t="shared" si="172"/>
        <v>65659619.750000075</v>
      </c>
      <c r="M247" s="608">
        <f t="shared" si="172"/>
        <v>65615885.190000057</v>
      </c>
      <c r="N247" s="609">
        <f t="shared" si="172"/>
        <v>66405094.360000007</v>
      </c>
      <c r="O247" s="609">
        <f t="shared" si="172"/>
        <v>67317879.13000007</v>
      </c>
      <c r="P247" s="610">
        <f t="shared" si="172"/>
        <v>67317879.13000007</v>
      </c>
    </row>
    <row r="248" spans="1:16" ht="15" thickBot="1" x14ac:dyDescent="0.35">
      <c r="A248" s="704" t="s">
        <v>17</v>
      </c>
      <c r="B248" s="705"/>
      <c r="C248" s="705"/>
      <c r="D248" s="705"/>
      <c r="E248" s="705"/>
      <c r="F248" s="705"/>
      <c r="G248" s="705"/>
      <c r="H248" s="705"/>
      <c r="I248" s="705"/>
      <c r="J248" s="705"/>
      <c r="K248" s="705"/>
      <c r="L248" s="705"/>
      <c r="M248" s="705"/>
      <c r="N248" s="705"/>
      <c r="O248" s="705"/>
      <c r="P248" s="706"/>
    </row>
    <row r="249" spans="1:16" ht="15.6" x14ac:dyDescent="0.3">
      <c r="A249" s="773" t="s">
        <v>16</v>
      </c>
      <c r="B249" s="774"/>
      <c r="C249" s="606" t="s">
        <v>6</v>
      </c>
      <c r="D249" s="611">
        <f>D58/D243</f>
        <v>1.1590756663672892</v>
      </c>
      <c r="E249" s="611">
        <f>E58/E243</f>
        <v>1.3455053235810981</v>
      </c>
      <c r="F249" s="611">
        <f>F58/F243</f>
        <v>0.83805956037444607</v>
      </c>
      <c r="G249" s="611">
        <f>G58/G243</f>
        <v>0.82448437489388915</v>
      </c>
      <c r="H249" s="611">
        <f t="shared" ref="H249:O249" si="173">H58/H243</f>
        <v>0.90286646722991271</v>
      </c>
      <c r="I249" s="611">
        <f t="shared" si="173"/>
        <v>0.83373717971942363</v>
      </c>
      <c r="J249" s="611">
        <f t="shared" si="173"/>
        <v>0.71352607289546399</v>
      </c>
      <c r="K249" s="611">
        <f t="shared" si="173"/>
        <v>0.7849246596139926</v>
      </c>
      <c r="L249" s="611">
        <f t="shared" si="173"/>
        <v>0.9940362669006837</v>
      </c>
      <c r="M249" s="611">
        <f t="shared" si="173"/>
        <v>0.86644406579731781</v>
      </c>
      <c r="N249" s="611">
        <f t="shared" si="173"/>
        <v>0.79221434901433607</v>
      </c>
      <c r="O249" s="611">
        <f t="shared" si="173"/>
        <v>1.5112446794789114</v>
      </c>
      <c r="P249" s="612">
        <f>P58/P243</f>
        <v>0.90327478722725862</v>
      </c>
    </row>
    <row r="250" spans="1:16" ht="15.6" x14ac:dyDescent="0.3">
      <c r="A250" s="726" t="s">
        <v>208</v>
      </c>
      <c r="B250" s="727"/>
      <c r="C250" s="5" t="s">
        <v>6</v>
      </c>
      <c r="D250" s="29">
        <f>D210/(D223+D245)</f>
        <v>2.8302026702281886E-2</v>
      </c>
      <c r="E250" s="29">
        <f>E210/(E223+E245)</f>
        <v>4.0496198618254611E-2</v>
      </c>
      <c r="F250" s="29">
        <f>F210/(F223+F245)</f>
        <v>4.6524106204882593E-2</v>
      </c>
      <c r="G250" s="29">
        <f>G210/(G223+G245)</f>
        <v>6.6243916345059037E-2</v>
      </c>
      <c r="H250" s="617">
        <f>H210/(H223+H245)</f>
        <v>3.9781068535267951E-2</v>
      </c>
      <c r="I250" s="29">
        <f t="shared" ref="I250:O250" si="174">I210/(I223+I245)</f>
        <v>5.8964016169319393E-2</v>
      </c>
      <c r="J250" s="29">
        <f t="shared" si="174"/>
        <v>1.9785230482519824E-2</v>
      </c>
      <c r="K250" s="29">
        <f t="shared" si="174"/>
        <v>8.3995570128497371E-2</v>
      </c>
      <c r="L250" s="29">
        <f t="shared" si="174"/>
        <v>1.1418786458410005E-2</v>
      </c>
      <c r="M250" s="29">
        <f t="shared" si="174"/>
        <v>4.9466731562460751E-2</v>
      </c>
      <c r="N250" s="29">
        <f t="shared" si="174"/>
        <v>4.2712831232097306E-2</v>
      </c>
      <c r="O250" s="29">
        <f t="shared" si="174"/>
        <v>3.2826634363623611E-2</v>
      </c>
      <c r="P250" s="109">
        <f>P210/(P223+P245)</f>
        <v>0.29603540252366672</v>
      </c>
    </row>
    <row r="251" spans="1:16" ht="16.2" thickBot="1" x14ac:dyDescent="0.35">
      <c r="A251" s="777" t="s">
        <v>15</v>
      </c>
      <c r="B251" s="778"/>
      <c r="C251" s="30" t="s">
        <v>6</v>
      </c>
      <c r="D251" s="29">
        <f>D210/D223</f>
        <v>0.56445115084758657</v>
      </c>
      <c r="E251" s="29">
        <f>E210/E223</f>
        <v>0.58801891927527949</v>
      </c>
      <c r="F251" s="29">
        <f>F210/F223</f>
        <v>0.58936934632082849</v>
      </c>
      <c r="G251" s="29">
        <f>G210/G223</f>
        <v>0.84715759769658161</v>
      </c>
      <c r="H251" s="29">
        <f>H210/H223</f>
        <v>0.60019220433500198</v>
      </c>
      <c r="I251" s="29">
        <f t="shared" ref="I251:O251" si="175">I210/I223</f>
        <v>0.84085304143132511</v>
      </c>
      <c r="J251" s="29">
        <f t="shared" si="175"/>
        <v>0.30467386718124517</v>
      </c>
      <c r="K251" s="29">
        <f t="shared" si="175"/>
        <v>1.3855847446751866</v>
      </c>
      <c r="L251" s="29">
        <f t="shared" si="175"/>
        <v>0.18114391426063953</v>
      </c>
      <c r="M251" s="29">
        <f t="shared" si="175"/>
        <v>0.92359051276704984</v>
      </c>
      <c r="N251" s="29">
        <f t="shared" si="175"/>
        <v>0.71097646101237055</v>
      </c>
      <c r="O251" s="29">
        <f t="shared" si="175"/>
        <v>92.751544571932925</v>
      </c>
      <c r="P251" s="109">
        <f>P210/P223</f>
        <v>0.72819036668233439</v>
      </c>
    </row>
    <row r="252" spans="1:16" ht="15" thickBot="1" x14ac:dyDescent="0.35">
      <c r="A252" s="704" t="s">
        <v>14</v>
      </c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5"/>
      <c r="P252" s="706"/>
    </row>
    <row r="253" spans="1:16" s="2" customFormat="1" ht="15" customHeight="1" x14ac:dyDescent="0.3">
      <c r="A253" s="773" t="s">
        <v>13</v>
      </c>
      <c r="B253" s="774"/>
      <c r="C253" s="606" t="s">
        <v>3</v>
      </c>
      <c r="D253" s="133">
        <v>1</v>
      </c>
      <c r="E253" s="133">
        <v>2</v>
      </c>
      <c r="F253" s="133">
        <v>47</v>
      </c>
      <c r="G253" s="133">
        <v>10</v>
      </c>
      <c r="H253" s="133">
        <v>5</v>
      </c>
      <c r="I253" s="133">
        <v>5</v>
      </c>
      <c r="J253" s="133">
        <v>4</v>
      </c>
      <c r="K253" s="133">
        <v>7</v>
      </c>
      <c r="L253" s="4"/>
      <c r="M253" s="4">
        <v>46</v>
      </c>
      <c r="N253" s="156">
        <v>46</v>
      </c>
      <c r="O253" s="156"/>
      <c r="P253" s="607">
        <f>SUM(D253:O253)</f>
        <v>173</v>
      </c>
    </row>
    <row r="254" spans="1:16" s="2" customFormat="1" ht="15.6" x14ac:dyDescent="0.3">
      <c r="A254" s="726" t="s">
        <v>12</v>
      </c>
      <c r="B254" s="727"/>
      <c r="C254" s="5" t="s">
        <v>3</v>
      </c>
      <c r="D254" s="133">
        <v>1</v>
      </c>
      <c r="E254" s="133">
        <v>2</v>
      </c>
      <c r="F254" s="133">
        <v>1</v>
      </c>
      <c r="G254" s="133">
        <v>1</v>
      </c>
      <c r="H254" s="133">
        <v>5</v>
      </c>
      <c r="I254" s="133">
        <v>5</v>
      </c>
      <c r="J254" s="133">
        <v>1</v>
      </c>
      <c r="K254" s="133">
        <v>1</v>
      </c>
      <c r="L254" s="4"/>
      <c r="M254" s="4">
        <v>1</v>
      </c>
      <c r="N254" s="156">
        <v>1</v>
      </c>
      <c r="O254" s="156"/>
      <c r="P254" s="114">
        <f>SUM(D254:O254)</f>
        <v>19</v>
      </c>
    </row>
    <row r="255" spans="1:16" ht="15.75" customHeight="1" x14ac:dyDescent="0.3">
      <c r="A255" s="726" t="s">
        <v>11</v>
      </c>
      <c r="B255" s="727"/>
      <c r="C255" s="5" t="s">
        <v>3</v>
      </c>
      <c r="D255" s="133">
        <v>1</v>
      </c>
      <c r="E255" s="133">
        <v>2</v>
      </c>
      <c r="F255" s="133">
        <v>4</v>
      </c>
      <c r="G255" s="133">
        <f t="shared" ref="G255:O255" si="176">G95</f>
        <v>66</v>
      </c>
      <c r="H255" s="133">
        <f t="shared" si="176"/>
        <v>66</v>
      </c>
      <c r="I255" s="133">
        <f t="shared" si="176"/>
        <v>83</v>
      </c>
      <c r="J255" s="133">
        <f t="shared" si="176"/>
        <v>78</v>
      </c>
      <c r="K255" s="133">
        <f t="shared" si="176"/>
        <v>79</v>
      </c>
      <c r="L255" s="133">
        <f t="shared" si="176"/>
        <v>12</v>
      </c>
      <c r="M255" s="133">
        <f t="shared" si="176"/>
        <v>43</v>
      </c>
      <c r="N255" s="156">
        <f t="shared" si="176"/>
        <v>46</v>
      </c>
      <c r="O255" s="156">
        <f t="shared" si="176"/>
        <v>48</v>
      </c>
      <c r="P255" s="114">
        <f>SUM(D255:O255)</f>
        <v>528</v>
      </c>
    </row>
    <row r="256" spans="1:16" ht="15.6" x14ac:dyDescent="0.3">
      <c r="A256" s="726" t="s">
        <v>10</v>
      </c>
      <c r="B256" s="727"/>
      <c r="C256" s="5" t="s">
        <v>3</v>
      </c>
      <c r="D256" s="133">
        <v>59</v>
      </c>
      <c r="E256" s="133">
        <v>56</v>
      </c>
      <c r="F256" s="133">
        <v>57</v>
      </c>
      <c r="G256" s="133">
        <f t="shared" ref="G256:O256" si="177">G91</f>
        <v>10</v>
      </c>
      <c r="H256" s="133">
        <f t="shared" si="177"/>
        <v>5</v>
      </c>
      <c r="I256" s="133">
        <f t="shared" si="177"/>
        <v>14</v>
      </c>
      <c r="J256" s="133">
        <f t="shared" si="177"/>
        <v>4</v>
      </c>
      <c r="K256" s="133">
        <f t="shared" si="177"/>
        <v>7</v>
      </c>
      <c r="L256" s="133">
        <f t="shared" si="177"/>
        <v>0</v>
      </c>
      <c r="M256" s="133">
        <f t="shared" si="177"/>
        <v>2</v>
      </c>
      <c r="N256" s="156">
        <f t="shared" si="177"/>
        <v>5</v>
      </c>
      <c r="O256" s="156">
        <f t="shared" si="177"/>
        <v>12</v>
      </c>
      <c r="P256" s="114">
        <f>SUM(D256:O256)</f>
        <v>231</v>
      </c>
    </row>
    <row r="257" spans="1:16" ht="15.6" customHeight="1" x14ac:dyDescent="0.3">
      <c r="A257" s="726" t="s">
        <v>9</v>
      </c>
      <c r="B257" s="727"/>
      <c r="C257" s="5" t="s">
        <v>3</v>
      </c>
      <c r="D257" s="133">
        <v>60</v>
      </c>
      <c r="E257" s="133">
        <v>30</v>
      </c>
      <c r="F257" s="133">
        <v>40</v>
      </c>
      <c r="G257" s="133">
        <v>120</v>
      </c>
      <c r="H257" s="133">
        <v>40</v>
      </c>
      <c r="I257" s="133"/>
      <c r="J257" s="133"/>
      <c r="K257" s="133"/>
      <c r="L257" s="4"/>
      <c r="M257" s="4"/>
      <c r="N257" s="156"/>
      <c r="O257" s="156"/>
      <c r="P257" s="114">
        <f>SUM(D257:O257)</f>
        <v>290</v>
      </c>
    </row>
    <row r="258" spans="1:16" ht="15.6" x14ac:dyDescent="0.3">
      <c r="A258" s="762" t="s">
        <v>8</v>
      </c>
      <c r="B258" s="763"/>
      <c r="C258" s="5" t="s">
        <v>3</v>
      </c>
      <c r="D258" s="161">
        <f t="shared" ref="D258:P258" si="178">D257/D256</f>
        <v>1.0169491525423728</v>
      </c>
      <c r="E258" s="161">
        <f t="shared" si="178"/>
        <v>0.5357142857142857</v>
      </c>
      <c r="F258" s="161">
        <f t="shared" si="178"/>
        <v>0.70175438596491224</v>
      </c>
      <c r="G258" s="1">
        <f t="shared" si="178"/>
        <v>12</v>
      </c>
      <c r="H258" s="1">
        <f t="shared" si="178"/>
        <v>8</v>
      </c>
      <c r="I258" s="3">
        <f t="shared" si="178"/>
        <v>0</v>
      </c>
      <c r="J258" s="3">
        <f t="shared" si="178"/>
        <v>0</v>
      </c>
      <c r="K258" s="3">
        <f t="shared" si="178"/>
        <v>0</v>
      </c>
      <c r="L258" s="3" t="e">
        <f t="shared" si="178"/>
        <v>#DIV/0!</v>
      </c>
      <c r="M258" s="3">
        <f t="shared" si="178"/>
        <v>0</v>
      </c>
      <c r="N258" s="3">
        <f t="shared" si="178"/>
        <v>0</v>
      </c>
      <c r="O258" s="3">
        <f t="shared" si="178"/>
        <v>0</v>
      </c>
      <c r="P258" s="114">
        <f t="shared" si="178"/>
        <v>1.2554112554112553</v>
      </c>
    </row>
    <row r="259" spans="1:16" ht="15.6" x14ac:dyDescent="0.3">
      <c r="A259" s="762" t="s">
        <v>7</v>
      </c>
      <c r="B259" s="763"/>
      <c r="C259" s="5" t="s">
        <v>6</v>
      </c>
      <c r="D259" s="161">
        <f t="shared" ref="D259:P259" si="179">D92/D255*100</f>
        <v>0</v>
      </c>
      <c r="E259" s="161">
        <f t="shared" si="179"/>
        <v>0</v>
      </c>
      <c r="F259" s="161">
        <f t="shared" si="179"/>
        <v>0</v>
      </c>
      <c r="G259" s="6">
        <f t="shared" si="179"/>
        <v>0</v>
      </c>
      <c r="H259" s="161">
        <f t="shared" si="179"/>
        <v>0</v>
      </c>
      <c r="I259" s="189">
        <f t="shared" si="179"/>
        <v>0</v>
      </c>
      <c r="J259" s="189">
        <f t="shared" si="179"/>
        <v>0</v>
      </c>
      <c r="K259" s="189">
        <f t="shared" si="179"/>
        <v>0</v>
      </c>
      <c r="L259" s="189">
        <f t="shared" si="179"/>
        <v>0</v>
      </c>
      <c r="M259" s="189">
        <f t="shared" si="179"/>
        <v>0</v>
      </c>
      <c r="N259" s="189">
        <f t="shared" si="179"/>
        <v>0</v>
      </c>
      <c r="O259" s="189">
        <f t="shared" si="179"/>
        <v>0</v>
      </c>
      <c r="P259" s="196">
        <f t="shared" si="179"/>
        <v>0</v>
      </c>
    </row>
    <row r="260" spans="1:16" x14ac:dyDescent="0.3">
      <c r="A260" s="699" t="s">
        <v>5</v>
      </c>
      <c r="B260" s="700"/>
      <c r="C260" s="700"/>
      <c r="D260" s="700"/>
      <c r="E260" s="700"/>
      <c r="F260" s="700"/>
      <c r="G260" s="700"/>
      <c r="H260" s="700"/>
      <c r="I260" s="700"/>
      <c r="J260" s="700"/>
      <c r="K260" s="700"/>
      <c r="L260" s="700"/>
      <c r="M260" s="700"/>
      <c r="N260" s="700"/>
      <c r="O260" s="700"/>
      <c r="P260" s="701"/>
    </row>
    <row r="261" spans="1:16" s="2" customFormat="1" ht="15" customHeight="1" x14ac:dyDescent="0.3">
      <c r="A261" s="726" t="s">
        <v>4</v>
      </c>
      <c r="B261" s="727"/>
      <c r="C261" s="5" t="s">
        <v>3</v>
      </c>
      <c r="D261" s="4">
        <v>8</v>
      </c>
      <c r="E261" s="4">
        <v>12</v>
      </c>
      <c r="F261" s="4">
        <v>7</v>
      </c>
      <c r="G261" s="4">
        <v>7</v>
      </c>
      <c r="H261" s="4">
        <v>8</v>
      </c>
      <c r="I261" s="4">
        <v>8</v>
      </c>
      <c r="J261" s="4">
        <v>3</v>
      </c>
      <c r="K261" s="4">
        <v>7</v>
      </c>
      <c r="L261" s="4">
        <v>9</v>
      </c>
      <c r="M261" s="4">
        <v>5</v>
      </c>
      <c r="N261" s="4">
        <v>8</v>
      </c>
      <c r="O261" s="4">
        <v>8</v>
      </c>
      <c r="P261" s="40">
        <f>SUM(D261:O261)</f>
        <v>90</v>
      </c>
    </row>
    <row r="262" spans="1:16" s="2" customFormat="1" ht="15.75" customHeight="1" x14ac:dyDescent="0.3">
      <c r="A262" s="726" t="s">
        <v>2</v>
      </c>
      <c r="B262" s="727"/>
      <c r="C262" s="5" t="s">
        <v>0</v>
      </c>
      <c r="D262" s="4">
        <v>8</v>
      </c>
      <c r="E262" s="4">
        <v>1</v>
      </c>
      <c r="F262" s="4">
        <v>7</v>
      </c>
      <c r="G262" s="4">
        <v>7</v>
      </c>
      <c r="H262" s="4">
        <v>8</v>
      </c>
      <c r="I262" s="4">
        <v>8</v>
      </c>
      <c r="J262" s="4">
        <v>3</v>
      </c>
      <c r="K262" s="4">
        <v>1</v>
      </c>
      <c r="L262" s="4">
        <v>1</v>
      </c>
      <c r="M262" s="4">
        <v>1</v>
      </c>
      <c r="N262" s="4">
        <v>8</v>
      </c>
      <c r="O262" s="4">
        <v>8</v>
      </c>
      <c r="P262" s="40">
        <f>SUM(D262:O262)</f>
        <v>61</v>
      </c>
    </row>
    <row r="263" spans="1:16" ht="16.2" thickBot="1" x14ac:dyDescent="0.35">
      <c r="A263" s="775" t="s">
        <v>1</v>
      </c>
      <c r="B263" s="776"/>
      <c r="C263" s="116" t="s">
        <v>0</v>
      </c>
      <c r="D263" s="117">
        <f t="shared" ref="D263:N263" si="180">D261/D262</f>
        <v>1</v>
      </c>
      <c r="E263" s="117">
        <f t="shared" si="180"/>
        <v>12</v>
      </c>
      <c r="F263" s="117">
        <f t="shared" si="180"/>
        <v>1</v>
      </c>
      <c r="G263" s="117">
        <f t="shared" si="180"/>
        <v>1</v>
      </c>
      <c r="H263" s="117">
        <f t="shared" si="180"/>
        <v>1</v>
      </c>
      <c r="I263" s="117">
        <f t="shared" si="180"/>
        <v>1</v>
      </c>
      <c r="J263" s="117">
        <f t="shared" si="180"/>
        <v>1</v>
      </c>
      <c r="K263" s="117">
        <f t="shared" si="180"/>
        <v>7</v>
      </c>
      <c r="L263" s="117">
        <f t="shared" si="180"/>
        <v>9</v>
      </c>
      <c r="M263" s="117">
        <f t="shared" si="180"/>
        <v>5</v>
      </c>
      <c r="N263" s="117">
        <f t="shared" si="180"/>
        <v>1</v>
      </c>
      <c r="O263" s="117">
        <f t="shared" ref="O263:P263" si="181">O261/O262</f>
        <v>1</v>
      </c>
      <c r="P263" s="208">
        <f t="shared" si="181"/>
        <v>1.4754098360655739</v>
      </c>
    </row>
  </sheetData>
  <mergeCells count="157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</mergeCells>
  <pageMargins left="0.7" right="0.7" top="0.75" bottom="0.75" header="0.3" footer="0.3"/>
  <pageSetup paperSize="9" orientation="portrait" r:id="rId1"/>
  <ignoredErrors>
    <ignoredError sqref="H4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82AD-DA8B-4C21-B138-E9DB74A358D5}">
  <dimension ref="A1:P263"/>
  <sheetViews>
    <sheetView workbookViewId="0">
      <pane xSplit="2" topLeftCell="K1" activePane="topRight" state="frozen"/>
      <selection pane="topRight" activeCell="O9" sqref="O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1"/>
    </row>
    <row r="4" spans="1:16" ht="18" thickBot="1" x14ac:dyDescent="0.35">
      <c r="A4" s="94" t="s">
        <v>221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ht="14.4" customHeight="1" x14ac:dyDescent="0.3">
      <c r="A5" s="95" t="s">
        <v>221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7"/>
    </row>
    <row r="6" spans="1:16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693" t="s">
        <v>174</v>
      </c>
      <c r="B7" s="694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704" t="s">
        <v>159</v>
      </c>
      <c r="B8" s="705"/>
      <c r="C8" s="705"/>
      <c r="D8" s="705"/>
      <c r="E8" s="705"/>
      <c r="F8" s="705"/>
      <c r="G8" s="705"/>
      <c r="H8" s="705"/>
      <c r="I8" s="705"/>
      <c r="J8" s="705"/>
      <c r="K8" s="705"/>
      <c r="L8" s="705"/>
      <c r="M8" s="705"/>
      <c r="N8" s="705"/>
      <c r="O8" s="705"/>
      <c r="P8" s="706"/>
    </row>
    <row r="9" spans="1:16" ht="15.6" x14ac:dyDescent="0.3">
      <c r="A9" s="707" t="s">
        <v>176</v>
      </c>
      <c r="B9" s="708"/>
      <c r="C9" s="58" t="s">
        <v>152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2578</v>
      </c>
      <c r="K9" s="57">
        <v>3087.1000000000231</v>
      </c>
      <c r="L9" s="57">
        <v>4408</v>
      </c>
      <c r="M9" s="57">
        <v>3878</v>
      </c>
      <c r="N9" s="57">
        <v>4121.7</v>
      </c>
      <c r="O9" s="57">
        <v>3043</v>
      </c>
      <c r="P9" s="56">
        <f>SUM(J9:O9)</f>
        <v>21115.800000000025</v>
      </c>
    </row>
    <row r="10" spans="1:16" x14ac:dyDescent="0.3">
      <c r="A10" s="699" t="s">
        <v>177</v>
      </c>
      <c r="B10" s="700"/>
      <c r="C10" s="700"/>
      <c r="D10" s="700"/>
      <c r="E10" s="700"/>
      <c r="F10" s="700"/>
      <c r="G10" s="700"/>
      <c r="H10" s="700"/>
      <c r="I10" s="700"/>
      <c r="J10" s="700"/>
      <c r="K10" s="700"/>
      <c r="L10" s="700"/>
      <c r="M10" s="700"/>
      <c r="N10" s="700"/>
      <c r="O10" s="700"/>
      <c r="P10" s="701"/>
    </row>
    <row r="11" spans="1:16" ht="15.6" x14ac:dyDescent="0.3">
      <c r="A11" s="702" t="s">
        <v>157</v>
      </c>
      <c r="B11" s="703"/>
      <c r="C11" s="11" t="s">
        <v>152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8</v>
      </c>
      <c r="P11" s="55">
        <f>SUM(J11:O11)</f>
        <v>8</v>
      </c>
    </row>
    <row r="12" spans="1:16" ht="15.6" x14ac:dyDescent="0.3">
      <c r="A12" s="702" t="s">
        <v>156</v>
      </c>
      <c r="B12" s="703"/>
      <c r="C12" s="11" t="s">
        <v>152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55">
        <f>SUM(J12:O12)</f>
        <v>0</v>
      </c>
    </row>
    <row r="13" spans="1:16" ht="15.6" x14ac:dyDescent="0.3">
      <c r="A13" s="702" t="s">
        <v>155</v>
      </c>
      <c r="B13" s="703"/>
      <c r="C13" s="11" t="s">
        <v>152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55">
        <f>SUM(J13:O13)</f>
        <v>0</v>
      </c>
    </row>
    <row r="14" spans="1:16" ht="15.6" x14ac:dyDescent="0.3">
      <c r="A14" s="695" t="s">
        <v>154</v>
      </c>
      <c r="B14" s="696"/>
      <c r="C14" s="11" t="s">
        <v>152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55">
        <f>SUM(J14:O14)</f>
        <v>0</v>
      </c>
    </row>
    <row r="15" spans="1:16" s="63" customFormat="1" ht="15.6" x14ac:dyDescent="0.3">
      <c r="A15" s="697" t="s">
        <v>158</v>
      </c>
      <c r="B15" s="698"/>
      <c r="C15" s="62" t="s">
        <v>152</v>
      </c>
      <c r="D15" s="34">
        <f t="shared" ref="D15:I15" si="0">SUM(D11:D14)</f>
        <v>0</v>
      </c>
      <c r="E15" s="34">
        <f t="shared" si="0"/>
        <v>0</v>
      </c>
      <c r="F15" s="34">
        <f t="shared" si="0"/>
        <v>0</v>
      </c>
      <c r="G15" s="34">
        <f t="shared" si="0"/>
        <v>0</v>
      </c>
      <c r="H15" s="34">
        <f t="shared" si="0"/>
        <v>0</v>
      </c>
      <c r="I15" s="34">
        <f t="shared" si="0"/>
        <v>0</v>
      </c>
      <c r="J15" s="34">
        <f t="shared" ref="J15:P15" si="1">SUM(J11:J14)</f>
        <v>0</v>
      </c>
      <c r="K15" s="34">
        <f t="shared" si="1"/>
        <v>0</v>
      </c>
      <c r="L15" s="34">
        <f t="shared" si="1"/>
        <v>0</v>
      </c>
      <c r="M15" s="34">
        <f t="shared" si="1"/>
        <v>0</v>
      </c>
      <c r="N15" s="34">
        <f t="shared" si="1"/>
        <v>0</v>
      </c>
      <c r="O15" s="34">
        <f t="shared" si="1"/>
        <v>8</v>
      </c>
      <c r="P15" s="55">
        <f t="shared" si="1"/>
        <v>8</v>
      </c>
    </row>
    <row r="16" spans="1:16" s="2" customFormat="1" x14ac:dyDescent="0.3">
      <c r="A16" s="699" t="s">
        <v>178</v>
      </c>
      <c r="B16" s="700"/>
      <c r="C16" s="700"/>
      <c r="D16" s="700"/>
      <c r="E16" s="700"/>
      <c r="F16" s="700"/>
      <c r="G16" s="700"/>
      <c r="H16" s="700"/>
      <c r="I16" s="700"/>
      <c r="J16" s="700"/>
      <c r="K16" s="700"/>
      <c r="L16" s="700"/>
      <c r="M16" s="700"/>
      <c r="N16" s="700"/>
      <c r="O16" s="700"/>
      <c r="P16" s="701"/>
    </row>
    <row r="17" spans="1:16" s="2" customFormat="1" ht="15.6" x14ac:dyDescent="0.3">
      <c r="A17" s="702" t="s">
        <v>180</v>
      </c>
      <c r="B17" s="703"/>
      <c r="C17" s="11" t="s">
        <v>152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2578</v>
      </c>
      <c r="K17" s="26">
        <v>3087.1000000000231</v>
      </c>
      <c r="L17" s="26">
        <v>4408</v>
      </c>
      <c r="M17" s="26">
        <v>3877.9</v>
      </c>
      <c r="N17" s="26">
        <v>4121.7</v>
      </c>
      <c r="O17" s="26">
        <v>2834</v>
      </c>
      <c r="P17" s="55">
        <f>SUM(J17:O17)</f>
        <v>20906.700000000023</v>
      </c>
    </row>
    <row r="18" spans="1:16" s="2" customFormat="1" ht="15.6" x14ac:dyDescent="0.3">
      <c r="A18" s="702" t="s">
        <v>181</v>
      </c>
      <c r="B18" s="703"/>
      <c r="C18" s="11" t="s">
        <v>152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71</v>
      </c>
      <c r="P18" s="55">
        <f>SUM(J18:O18)</f>
        <v>71</v>
      </c>
    </row>
    <row r="19" spans="1:16" s="2" customFormat="1" ht="15.6" x14ac:dyDescent="0.3">
      <c r="A19" s="702" t="s">
        <v>182</v>
      </c>
      <c r="B19" s="703"/>
      <c r="C19" s="11" t="s">
        <v>152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30</v>
      </c>
      <c r="P19" s="55">
        <f>SUM(J19:O19)</f>
        <v>30</v>
      </c>
    </row>
    <row r="20" spans="1:16" s="2" customFormat="1" ht="15.6" x14ac:dyDescent="0.3">
      <c r="A20" s="695" t="s">
        <v>183</v>
      </c>
      <c r="B20" s="696"/>
      <c r="C20" s="11" t="s">
        <v>152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100</v>
      </c>
      <c r="P20" s="55">
        <f>SUM(J20:O20)</f>
        <v>100</v>
      </c>
    </row>
    <row r="21" spans="1:16" s="73" customFormat="1" ht="15.6" x14ac:dyDescent="0.3">
      <c r="A21" s="697" t="s">
        <v>184</v>
      </c>
      <c r="B21" s="698"/>
      <c r="C21" s="62" t="s">
        <v>152</v>
      </c>
      <c r="D21" s="34">
        <f>SUM(D17:D20)</f>
        <v>0</v>
      </c>
      <c r="E21" s="34">
        <f t="shared" ref="E21:I21" si="2">SUM(E17:E20)</f>
        <v>0</v>
      </c>
      <c r="F21" s="34">
        <f t="shared" si="2"/>
        <v>0</v>
      </c>
      <c r="G21" s="34">
        <f t="shared" si="2"/>
        <v>0</v>
      </c>
      <c r="H21" s="34">
        <f t="shared" si="2"/>
        <v>0</v>
      </c>
      <c r="I21" s="34">
        <f t="shared" si="2"/>
        <v>0</v>
      </c>
      <c r="J21" s="34">
        <f t="shared" ref="J21:P21" si="3">SUM(J17:J20)</f>
        <v>2578</v>
      </c>
      <c r="K21" s="34">
        <f t="shared" si="3"/>
        <v>3087.1000000000231</v>
      </c>
      <c r="L21" s="34">
        <f t="shared" si="3"/>
        <v>4408</v>
      </c>
      <c r="M21" s="34">
        <f t="shared" si="3"/>
        <v>3877.9</v>
      </c>
      <c r="N21" s="34">
        <f t="shared" si="3"/>
        <v>4121.7</v>
      </c>
      <c r="O21" s="34">
        <f t="shared" si="3"/>
        <v>3035</v>
      </c>
      <c r="P21" s="55">
        <f t="shared" si="3"/>
        <v>21107.700000000023</v>
      </c>
    </row>
    <row r="22" spans="1:16" s="2" customFormat="1" ht="15.6" x14ac:dyDescent="0.3">
      <c r="A22" s="626" t="s">
        <v>185</v>
      </c>
      <c r="B22" s="621"/>
      <c r="C22" s="11" t="s">
        <v>152</v>
      </c>
      <c r="D22" s="34">
        <f>D21+D15</f>
        <v>0</v>
      </c>
      <c r="E22" s="34">
        <f t="shared" ref="E22:I22" si="4">E21+E15</f>
        <v>0</v>
      </c>
      <c r="F22" s="34">
        <f t="shared" si="4"/>
        <v>0</v>
      </c>
      <c r="G22" s="34">
        <f t="shared" si="4"/>
        <v>0</v>
      </c>
      <c r="H22" s="34">
        <f t="shared" si="4"/>
        <v>0</v>
      </c>
      <c r="I22" s="34">
        <f t="shared" si="4"/>
        <v>0</v>
      </c>
      <c r="J22" s="34">
        <f t="shared" ref="J22:P22" si="5">J21+J15</f>
        <v>2578</v>
      </c>
      <c r="K22" s="34">
        <f t="shared" si="5"/>
        <v>3087.1000000000231</v>
      </c>
      <c r="L22" s="34">
        <f t="shared" si="5"/>
        <v>4408</v>
      </c>
      <c r="M22" s="34">
        <f t="shared" si="5"/>
        <v>3877.9</v>
      </c>
      <c r="N22" s="34">
        <f t="shared" si="5"/>
        <v>4121.7</v>
      </c>
      <c r="O22" s="34">
        <f t="shared" si="5"/>
        <v>3043</v>
      </c>
      <c r="P22" s="55">
        <f t="shared" si="5"/>
        <v>21115.700000000023</v>
      </c>
    </row>
    <row r="23" spans="1:16" x14ac:dyDescent="0.3">
      <c r="A23" s="713"/>
      <c r="B23" s="714"/>
      <c r="C23" s="714"/>
      <c r="D23" s="714"/>
      <c r="E23" s="714"/>
      <c r="F23" s="714"/>
      <c r="G23" s="714"/>
      <c r="H23" s="714"/>
      <c r="I23" s="714"/>
      <c r="J23" s="714"/>
      <c r="K23" s="714"/>
      <c r="L23" s="714"/>
      <c r="M23" s="714"/>
      <c r="N23" s="714"/>
      <c r="O23" s="714"/>
      <c r="P23" s="715"/>
    </row>
    <row r="24" spans="1:16" ht="15.6" x14ac:dyDescent="0.3">
      <c r="A24" s="716" t="s">
        <v>179</v>
      </c>
      <c r="B24" s="37" t="s">
        <v>153</v>
      </c>
      <c r="C24" s="5" t="s">
        <v>152</v>
      </c>
      <c r="D24" s="54">
        <f>D9-D22</f>
        <v>0</v>
      </c>
      <c r="E24" s="54">
        <f t="shared" ref="E24:I24" si="6">E9-E22</f>
        <v>0</v>
      </c>
      <c r="F24" s="54">
        <f t="shared" si="6"/>
        <v>0</v>
      </c>
      <c r="G24" s="54">
        <f t="shared" si="6"/>
        <v>0</v>
      </c>
      <c r="H24" s="54">
        <f t="shared" si="6"/>
        <v>0</v>
      </c>
      <c r="I24" s="54">
        <f t="shared" si="6"/>
        <v>0</v>
      </c>
      <c r="J24" s="54">
        <f t="shared" ref="J24:P24" si="7">J9-J22</f>
        <v>0</v>
      </c>
      <c r="K24" s="54">
        <f t="shared" si="7"/>
        <v>0</v>
      </c>
      <c r="L24" s="54">
        <f t="shared" si="7"/>
        <v>0</v>
      </c>
      <c r="M24" s="54">
        <f t="shared" si="7"/>
        <v>9.9999999999909051E-2</v>
      </c>
      <c r="N24" s="54">
        <f t="shared" si="7"/>
        <v>0</v>
      </c>
      <c r="O24" s="54">
        <f t="shared" si="7"/>
        <v>0</v>
      </c>
      <c r="P24" s="100">
        <f t="shared" si="7"/>
        <v>0.10000000000218279</v>
      </c>
    </row>
    <row r="25" spans="1:16" ht="15.6" x14ac:dyDescent="0.3">
      <c r="A25" s="717"/>
      <c r="B25" s="53" t="s">
        <v>151</v>
      </c>
      <c r="C25" s="52" t="s">
        <v>6</v>
      </c>
      <c r="D25" s="51" t="e">
        <f t="shared" ref="D25:I25" si="8">D24/D9</f>
        <v>#DIV/0!</v>
      </c>
      <c r="E25" s="51" t="e">
        <f t="shared" si="8"/>
        <v>#DIV/0!</v>
      </c>
      <c r="F25" s="51" t="e">
        <f t="shared" si="8"/>
        <v>#DIV/0!</v>
      </c>
      <c r="G25" s="51" t="e">
        <f t="shared" si="8"/>
        <v>#DIV/0!</v>
      </c>
      <c r="H25" s="51" t="e">
        <f t="shared" si="8"/>
        <v>#DIV/0!</v>
      </c>
      <c r="I25" s="51" t="e">
        <f t="shared" si="8"/>
        <v>#DIV/0!</v>
      </c>
      <c r="J25" s="51">
        <f t="shared" ref="J25:P25" si="9">J24/J9</f>
        <v>0</v>
      </c>
      <c r="K25" s="51">
        <f t="shared" si="9"/>
        <v>0</v>
      </c>
      <c r="L25" s="51">
        <f t="shared" si="9"/>
        <v>0</v>
      </c>
      <c r="M25" s="51">
        <f t="shared" si="9"/>
        <v>2.5786487880327243E-5</v>
      </c>
      <c r="N25" s="51">
        <f t="shared" si="9"/>
        <v>0</v>
      </c>
      <c r="O25" s="51">
        <f t="shared" si="9"/>
        <v>0</v>
      </c>
      <c r="P25" s="101">
        <f t="shared" si="9"/>
        <v>4.7357902614242735E-6</v>
      </c>
    </row>
    <row r="26" spans="1:16" x14ac:dyDescent="0.3">
      <c r="A26" s="699" t="s">
        <v>150</v>
      </c>
      <c r="B26" s="700"/>
      <c r="C26" s="700"/>
      <c r="D26" s="700"/>
      <c r="E26" s="700"/>
      <c r="F26" s="700"/>
      <c r="G26" s="700"/>
      <c r="H26" s="700"/>
      <c r="I26" s="700"/>
      <c r="J26" s="700"/>
      <c r="K26" s="700"/>
      <c r="L26" s="700"/>
      <c r="M26" s="700"/>
      <c r="N26" s="700"/>
      <c r="O26" s="700"/>
      <c r="P26" s="701"/>
    </row>
    <row r="27" spans="1:16" x14ac:dyDescent="0.3">
      <c r="A27" s="718" t="s">
        <v>149</v>
      </c>
      <c r="B27" s="719"/>
      <c r="C27" s="719"/>
      <c r="D27" s="719"/>
      <c r="E27" s="719"/>
      <c r="F27" s="719"/>
      <c r="G27" s="719"/>
      <c r="H27" s="719"/>
      <c r="I27" s="719"/>
      <c r="J27" s="719"/>
      <c r="K27" s="719"/>
      <c r="L27" s="719"/>
      <c r="M27" s="719"/>
      <c r="N27" s="719"/>
      <c r="O27" s="719"/>
      <c r="P27" s="720"/>
    </row>
    <row r="28" spans="1:16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6" ht="15.6" x14ac:dyDescent="0.3">
      <c r="A29" s="709" t="s">
        <v>146</v>
      </c>
      <c r="B29" s="691">
        <f>176264.5/50</f>
        <v>3525.29</v>
      </c>
      <c r="C29" s="5" t="s">
        <v>140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225</v>
      </c>
      <c r="K29" s="43">
        <v>125</v>
      </c>
      <c r="L29" s="43">
        <v>125</v>
      </c>
      <c r="M29" s="43">
        <v>125</v>
      </c>
      <c r="N29" s="43">
        <v>125</v>
      </c>
      <c r="O29" s="43">
        <v>150</v>
      </c>
      <c r="P29" s="45">
        <f>SUM(J29:O29)</f>
        <v>875</v>
      </c>
    </row>
    <row r="30" spans="1:16" ht="15.6" x14ac:dyDescent="0.3">
      <c r="A30" s="710"/>
      <c r="B30" s="692"/>
      <c r="C30" s="42" t="s">
        <v>139</v>
      </c>
      <c r="D30" s="15" t="e">
        <f t="shared" ref="D30:I30" si="10">D29/(D9/1000)</f>
        <v>#DIV/0!</v>
      </c>
      <c r="E30" s="15" t="e">
        <f t="shared" si="10"/>
        <v>#DIV/0!</v>
      </c>
      <c r="F30" s="15" t="e">
        <f t="shared" si="10"/>
        <v>#DIV/0!</v>
      </c>
      <c r="G30" s="15" t="e">
        <f t="shared" si="10"/>
        <v>#DIV/0!</v>
      </c>
      <c r="H30" s="15" t="e">
        <f t="shared" si="10"/>
        <v>#DIV/0!</v>
      </c>
      <c r="I30" s="15" t="e">
        <f t="shared" si="10"/>
        <v>#DIV/0!</v>
      </c>
      <c r="J30" s="15">
        <f t="shared" ref="J30:P30" si="11">J29/(J9/1000)</f>
        <v>87.276958882854927</v>
      </c>
      <c r="K30" s="15">
        <f t="shared" si="11"/>
        <v>40.491075766900671</v>
      </c>
      <c r="L30" s="15">
        <f t="shared" si="11"/>
        <v>28.35753176043557</v>
      </c>
      <c r="M30" s="15">
        <f t="shared" si="11"/>
        <v>32.233109850438368</v>
      </c>
      <c r="N30" s="15">
        <f t="shared" si="11"/>
        <v>30.327292136739697</v>
      </c>
      <c r="O30" s="15">
        <f t="shared" si="11"/>
        <v>49.293460400920139</v>
      </c>
      <c r="P30" s="103">
        <f t="shared" si="11"/>
        <v>41.438164786557884</v>
      </c>
    </row>
    <row r="31" spans="1:16" ht="15.6" x14ac:dyDescent="0.3">
      <c r="A31" s="711" t="s">
        <v>145</v>
      </c>
      <c r="B31" s="691">
        <f>53000.511/50</f>
        <v>1060.0102199999999</v>
      </c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SUM(J31:O31)</f>
        <v>0</v>
      </c>
    </row>
    <row r="32" spans="1:16" ht="15.6" x14ac:dyDescent="0.3">
      <c r="A32" s="712"/>
      <c r="B32" s="692"/>
      <c r="C32" s="42" t="s">
        <v>139</v>
      </c>
      <c r="D32" s="15" t="e">
        <f t="shared" ref="D32:I32" si="12">D31/(D9/1000)</f>
        <v>#DIV/0!</v>
      </c>
      <c r="E32" s="15" t="e">
        <f t="shared" si="12"/>
        <v>#DIV/0!</v>
      </c>
      <c r="F32" s="15" t="e">
        <f t="shared" si="12"/>
        <v>#DIV/0!</v>
      </c>
      <c r="G32" s="15" t="e">
        <f t="shared" si="12"/>
        <v>#DIV/0!</v>
      </c>
      <c r="H32" s="15" t="e">
        <f t="shared" si="12"/>
        <v>#DIV/0!</v>
      </c>
      <c r="I32" s="15" t="e">
        <f t="shared" si="12"/>
        <v>#DIV/0!</v>
      </c>
      <c r="J32" s="15">
        <f t="shared" ref="J32:P32" si="13">J31/(J9/1000)</f>
        <v>0</v>
      </c>
      <c r="K32" s="15">
        <f t="shared" si="13"/>
        <v>0</v>
      </c>
      <c r="L32" s="15">
        <f t="shared" si="13"/>
        <v>0</v>
      </c>
      <c r="M32" s="15">
        <f t="shared" si="13"/>
        <v>0</v>
      </c>
      <c r="N32" s="15">
        <f t="shared" si="13"/>
        <v>0</v>
      </c>
      <c r="O32" s="15">
        <f t="shared" si="13"/>
        <v>0</v>
      </c>
      <c r="P32" s="103">
        <f t="shared" si="13"/>
        <v>0</v>
      </c>
    </row>
    <row r="33" spans="1:16" ht="15.6" x14ac:dyDescent="0.3">
      <c r="A33" s="711" t="s">
        <v>144</v>
      </c>
      <c r="B33" s="691">
        <f>61414.43/50</f>
        <v>1228.2886000000001</v>
      </c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SUM(J33:O33)</f>
        <v>0</v>
      </c>
    </row>
    <row r="34" spans="1:16" ht="15.6" x14ac:dyDescent="0.3">
      <c r="A34" s="712"/>
      <c r="B34" s="692"/>
      <c r="C34" s="42" t="s">
        <v>139</v>
      </c>
      <c r="D34" s="15" t="e">
        <f t="shared" ref="D34:I34" si="14">D33/(D9/1000)</f>
        <v>#DIV/0!</v>
      </c>
      <c r="E34" s="15" t="e">
        <f t="shared" si="14"/>
        <v>#DIV/0!</v>
      </c>
      <c r="F34" s="15" t="e">
        <f t="shared" si="14"/>
        <v>#DIV/0!</v>
      </c>
      <c r="G34" s="15" t="e">
        <f t="shared" si="14"/>
        <v>#DIV/0!</v>
      </c>
      <c r="H34" s="15" t="e">
        <f t="shared" si="14"/>
        <v>#DIV/0!</v>
      </c>
      <c r="I34" s="15" t="e">
        <f t="shared" si="14"/>
        <v>#DIV/0!</v>
      </c>
      <c r="J34" s="15">
        <f t="shared" ref="J34:P34" si="15">J33/(J9/1000)</f>
        <v>0</v>
      </c>
      <c r="K34" s="15">
        <f t="shared" si="15"/>
        <v>0</v>
      </c>
      <c r="L34" s="15">
        <f t="shared" si="15"/>
        <v>0</v>
      </c>
      <c r="M34" s="15">
        <f t="shared" si="15"/>
        <v>0</v>
      </c>
      <c r="N34" s="15">
        <f t="shared" si="15"/>
        <v>0</v>
      </c>
      <c r="O34" s="15">
        <f t="shared" si="15"/>
        <v>0</v>
      </c>
      <c r="P34" s="103">
        <f t="shared" si="15"/>
        <v>0</v>
      </c>
    </row>
    <row r="35" spans="1:16" ht="15.6" x14ac:dyDescent="0.3">
      <c r="A35" s="711" t="s">
        <v>143</v>
      </c>
      <c r="B35" s="691">
        <f>745345.16/200</f>
        <v>3726.7258000000002</v>
      </c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03"/>
    </row>
    <row r="36" spans="1:16" ht="15.6" x14ac:dyDescent="0.3">
      <c r="A36" s="712"/>
      <c r="B36" s="69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3"/>
    </row>
    <row r="37" spans="1:16" ht="15.6" x14ac:dyDescent="0.3">
      <c r="A37" s="711" t="s">
        <v>186</v>
      </c>
      <c r="B37" s="691">
        <f>790318.72/200</f>
        <v>3951.5935999999997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SUM(J37:O37)</f>
        <v>0</v>
      </c>
    </row>
    <row r="38" spans="1:16" ht="15.6" x14ac:dyDescent="0.3">
      <c r="A38" s="712"/>
      <c r="B38" s="692"/>
      <c r="C38" s="5" t="s">
        <v>142</v>
      </c>
      <c r="D38" s="15" t="e">
        <f t="shared" ref="D38:I38" si="16">D37/(D9/1000)</f>
        <v>#DIV/0!</v>
      </c>
      <c r="E38" s="15" t="e">
        <f t="shared" si="16"/>
        <v>#DIV/0!</v>
      </c>
      <c r="F38" s="15" t="e">
        <f t="shared" si="16"/>
        <v>#DIV/0!</v>
      </c>
      <c r="G38" s="15" t="e">
        <f t="shared" si="16"/>
        <v>#DIV/0!</v>
      </c>
      <c r="H38" s="15" t="e">
        <f t="shared" si="16"/>
        <v>#DIV/0!</v>
      </c>
      <c r="I38" s="15" t="e">
        <f t="shared" si="16"/>
        <v>#DIV/0!</v>
      </c>
      <c r="J38" s="15">
        <f t="shared" ref="J38:P38" si="17">J37/(J9/1000)</f>
        <v>0</v>
      </c>
      <c r="K38" s="15">
        <f t="shared" si="17"/>
        <v>0</v>
      </c>
      <c r="L38" s="15">
        <f t="shared" si="17"/>
        <v>0</v>
      </c>
      <c r="M38" s="15">
        <f t="shared" si="17"/>
        <v>0</v>
      </c>
      <c r="N38" s="15">
        <f t="shared" si="17"/>
        <v>0</v>
      </c>
      <c r="O38" s="15">
        <f t="shared" si="17"/>
        <v>0</v>
      </c>
      <c r="P38" s="103">
        <f t="shared" si="17"/>
        <v>0</v>
      </c>
    </row>
    <row r="39" spans="1:16" ht="15.6" x14ac:dyDescent="0.3">
      <c r="A39" s="711" t="s">
        <v>141</v>
      </c>
      <c r="B39" s="691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SUM(J39:O39)</f>
        <v>0</v>
      </c>
    </row>
    <row r="40" spans="1:16" ht="15.6" x14ac:dyDescent="0.3">
      <c r="A40" s="712"/>
      <c r="B40" s="692"/>
      <c r="C40" s="42" t="s">
        <v>139</v>
      </c>
      <c r="D40" s="15" t="e">
        <f t="shared" ref="D40:I40" si="18">D39/(D9/1000)</f>
        <v>#DIV/0!</v>
      </c>
      <c r="E40" s="15" t="e">
        <f t="shared" si="18"/>
        <v>#DIV/0!</v>
      </c>
      <c r="F40" s="15" t="e">
        <f t="shared" si="18"/>
        <v>#DIV/0!</v>
      </c>
      <c r="G40" s="15" t="e">
        <f t="shared" si="18"/>
        <v>#DIV/0!</v>
      </c>
      <c r="H40" s="15" t="e">
        <f t="shared" si="18"/>
        <v>#DIV/0!</v>
      </c>
      <c r="I40" s="15" t="e">
        <f t="shared" si="18"/>
        <v>#DIV/0!</v>
      </c>
      <c r="J40" s="15">
        <f t="shared" ref="J40:P40" si="19">J39/(J9/1000)</f>
        <v>0</v>
      </c>
      <c r="K40" s="15">
        <f t="shared" si="19"/>
        <v>0</v>
      </c>
      <c r="L40" s="15">
        <f t="shared" si="19"/>
        <v>0</v>
      </c>
      <c r="M40" s="15">
        <f t="shared" si="19"/>
        <v>0</v>
      </c>
      <c r="N40" s="15">
        <f t="shared" si="19"/>
        <v>0</v>
      </c>
      <c r="O40" s="15">
        <f t="shared" si="19"/>
        <v>0</v>
      </c>
      <c r="P40" s="103">
        <f t="shared" si="19"/>
        <v>0</v>
      </c>
    </row>
    <row r="41" spans="1:16" ht="15.6" x14ac:dyDescent="0.3">
      <c r="A41" s="695" t="s">
        <v>138</v>
      </c>
      <c r="B41" s="696"/>
      <c r="C41" s="11" t="s">
        <v>31</v>
      </c>
      <c r="D41" s="41">
        <f>(D29*$B29)+(D31*$B31)+(D33*$B33)+(D35*$B35)+(D37*$B37)+(D39*$B39)</f>
        <v>0</v>
      </c>
      <c r="E41" s="41">
        <f t="shared" ref="E41:I41" si="20">(E29*$B29)+(E31*$B31)+(E33*$B33)+(E35*$B35)+(E37*$B37)+(E39*$B39)</f>
        <v>0</v>
      </c>
      <c r="F41" s="41">
        <f t="shared" si="20"/>
        <v>0</v>
      </c>
      <c r="G41" s="41">
        <f t="shared" si="20"/>
        <v>0</v>
      </c>
      <c r="H41" s="41">
        <f t="shared" si="20"/>
        <v>0</v>
      </c>
      <c r="I41" s="41">
        <f t="shared" si="20"/>
        <v>0</v>
      </c>
      <c r="J41" s="41">
        <f>(J29*$B29)+(J31*$B31)+(J33*$B33)+(J35*$B35)+(J37*$B37)+(J39*$B39)</f>
        <v>793190.25</v>
      </c>
      <c r="K41" s="41">
        <f t="shared" ref="K41:O41" si="21">(K29*$B29)+(K31*$B31)+(K33*$B33)+(K35*$B35)+(K37*$B37)+(K39*$B39)</f>
        <v>440661.25</v>
      </c>
      <c r="L41" s="41">
        <f t="shared" si="21"/>
        <v>440661.25</v>
      </c>
      <c r="M41" s="41">
        <f t="shared" si="21"/>
        <v>440661.25</v>
      </c>
      <c r="N41" s="41">
        <f t="shared" si="21"/>
        <v>440661.25</v>
      </c>
      <c r="O41" s="41">
        <f t="shared" si="21"/>
        <v>528793.5</v>
      </c>
      <c r="P41" s="39">
        <f>SUM(J41:O41)</f>
        <v>3084628.75</v>
      </c>
    </row>
    <row r="42" spans="1:16" ht="15.6" x14ac:dyDescent="0.3">
      <c r="A42" s="721" t="s">
        <v>137</v>
      </c>
      <c r="B42" s="722"/>
      <c r="C42" s="42" t="s">
        <v>115</v>
      </c>
      <c r="D42" s="15" t="e">
        <f t="shared" ref="D42:I42" si="22">D41/D9</f>
        <v>#DIV/0!</v>
      </c>
      <c r="E42" s="15" t="e">
        <f t="shared" si="22"/>
        <v>#DIV/0!</v>
      </c>
      <c r="F42" s="15" t="e">
        <f t="shared" si="22"/>
        <v>#DIV/0!</v>
      </c>
      <c r="G42" s="15" t="e">
        <f t="shared" si="22"/>
        <v>#DIV/0!</v>
      </c>
      <c r="H42" s="15" t="e">
        <f t="shared" si="22"/>
        <v>#DIV/0!</v>
      </c>
      <c r="I42" s="15" t="e">
        <f t="shared" si="22"/>
        <v>#DIV/0!</v>
      </c>
      <c r="J42" s="15">
        <f t="shared" ref="J42:P42" si="23">J41/J9</f>
        <v>307.67659038013966</v>
      </c>
      <c r="K42" s="15">
        <f t="shared" si="23"/>
        <v>142.74278449029728</v>
      </c>
      <c r="L42" s="15">
        <f t="shared" si="23"/>
        <v>99.968523139745912</v>
      </c>
      <c r="M42" s="15">
        <f t="shared" si="23"/>
        <v>113.63105982465189</v>
      </c>
      <c r="N42" s="15">
        <f t="shared" si="23"/>
        <v>106.91249969672708</v>
      </c>
      <c r="O42" s="15">
        <f t="shared" si="23"/>
        <v>173.77374301675977</v>
      </c>
      <c r="P42" s="44">
        <f t="shared" si="23"/>
        <v>146.08154794040465</v>
      </c>
    </row>
    <row r="43" spans="1:16" x14ac:dyDescent="0.3">
      <c r="A43" s="723" t="s">
        <v>136</v>
      </c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4"/>
      <c r="P43" s="725"/>
    </row>
    <row r="44" spans="1:16" ht="15.6" x14ac:dyDescent="0.3">
      <c r="A44" s="695" t="s">
        <v>135</v>
      </c>
      <c r="B44" s="696"/>
      <c r="C44" s="11" t="s">
        <v>134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/>
      <c r="K44" s="43"/>
      <c r="L44" s="43">
        <v>37905</v>
      </c>
      <c r="M44" s="43">
        <v>97263</v>
      </c>
      <c r="N44" s="43">
        <v>50632.6</v>
      </c>
      <c r="O44" s="43">
        <v>46535.6</v>
      </c>
      <c r="P44" s="39">
        <f>SUM(J44:O44)</f>
        <v>232336.2</v>
      </c>
    </row>
    <row r="45" spans="1:16" ht="15.6" x14ac:dyDescent="0.3">
      <c r="A45" s="721" t="s">
        <v>133</v>
      </c>
      <c r="B45" s="722"/>
      <c r="C45" s="42" t="s">
        <v>132</v>
      </c>
      <c r="D45" s="15" t="e">
        <f t="shared" ref="D45:I45" si="24">D44/D9</f>
        <v>#DIV/0!</v>
      </c>
      <c r="E45" s="15" t="e">
        <f t="shared" si="24"/>
        <v>#DIV/0!</v>
      </c>
      <c r="F45" s="15" t="e">
        <f t="shared" si="24"/>
        <v>#DIV/0!</v>
      </c>
      <c r="G45" s="15" t="e">
        <f t="shared" si="24"/>
        <v>#DIV/0!</v>
      </c>
      <c r="H45" s="15" t="e">
        <f t="shared" si="24"/>
        <v>#DIV/0!</v>
      </c>
      <c r="I45" s="15" t="e">
        <f t="shared" si="24"/>
        <v>#DIV/0!</v>
      </c>
      <c r="J45" s="15">
        <f t="shared" ref="J45:P45" si="25">J44/J9</f>
        <v>0</v>
      </c>
      <c r="K45" s="15">
        <f t="shared" si="25"/>
        <v>0</v>
      </c>
      <c r="L45" s="15">
        <f t="shared" si="25"/>
        <v>8.5991379310344822</v>
      </c>
      <c r="M45" s="15">
        <f t="shared" si="25"/>
        <v>25.080711707065497</v>
      </c>
      <c r="N45" s="15">
        <f t="shared" si="25"/>
        <v>12.284397214741491</v>
      </c>
      <c r="O45" s="15">
        <f t="shared" si="25"/>
        <v>15.29267170555373</v>
      </c>
      <c r="P45" s="103">
        <f t="shared" si="25"/>
        <v>11.002955133123052</v>
      </c>
    </row>
    <row r="46" spans="1:16" ht="15.6" x14ac:dyDescent="0.3">
      <c r="A46" s="726" t="s">
        <v>131</v>
      </c>
      <c r="B46" s="727"/>
      <c r="C46" s="5" t="s">
        <v>31</v>
      </c>
      <c r="D46" s="3">
        <f>1.165*(14100+(D44*119.1))</f>
        <v>16426.5</v>
      </c>
      <c r="E46" s="3">
        <f t="shared" ref="E46:G46" si="26">1.165*(14100+(E44*119.1))</f>
        <v>16426.5</v>
      </c>
      <c r="F46" s="3">
        <f t="shared" si="26"/>
        <v>16426.5</v>
      </c>
      <c r="G46" s="3">
        <f t="shared" si="26"/>
        <v>16426.5</v>
      </c>
      <c r="H46" s="3">
        <f>1.165*(16600+(H44*143.5))</f>
        <v>19339</v>
      </c>
      <c r="I46" s="3">
        <f>1.165*(16600+(I44*143.5))</f>
        <v>19339</v>
      </c>
      <c r="J46" s="3">
        <v>21782945.739999998</v>
      </c>
      <c r="K46" s="3">
        <v>20372083.5</v>
      </c>
      <c r="L46" s="3">
        <v>42587037.530000001</v>
      </c>
      <c r="M46" s="3">
        <v>42587037.530000001</v>
      </c>
      <c r="N46" s="3">
        <v>42587037.530000001</v>
      </c>
      <c r="O46" s="3">
        <v>42587037.530000001</v>
      </c>
      <c r="P46" s="39">
        <f>SUM(J46:O46)</f>
        <v>212503179.35999998</v>
      </c>
    </row>
    <row r="47" spans="1:16" s="2" customFormat="1" ht="15.6" x14ac:dyDescent="0.3">
      <c r="A47" s="695" t="s">
        <v>130</v>
      </c>
      <c r="B47" s="696"/>
      <c r="C47" s="11" t="s">
        <v>115</v>
      </c>
      <c r="D47" s="15" t="e">
        <f t="shared" ref="D47:I47" si="27">D46/D9</f>
        <v>#DIV/0!</v>
      </c>
      <c r="E47" s="15" t="e">
        <f t="shared" si="27"/>
        <v>#DIV/0!</v>
      </c>
      <c r="F47" s="15" t="e">
        <f t="shared" si="27"/>
        <v>#DIV/0!</v>
      </c>
      <c r="G47" s="15" t="e">
        <f t="shared" si="27"/>
        <v>#DIV/0!</v>
      </c>
      <c r="H47" s="15" t="e">
        <f t="shared" si="27"/>
        <v>#DIV/0!</v>
      </c>
      <c r="I47" s="15" t="e">
        <f t="shared" si="27"/>
        <v>#DIV/0!</v>
      </c>
      <c r="J47" s="15">
        <f t="shared" ref="J47:P47" si="28">J46/J9</f>
        <v>8449.5522653219541</v>
      </c>
      <c r="K47" s="15">
        <f t="shared" si="28"/>
        <v>6599.1006122250164</v>
      </c>
      <c r="L47" s="15">
        <f t="shared" si="28"/>
        <v>9661.3061547186935</v>
      </c>
      <c r="M47" s="15">
        <f t="shared" si="28"/>
        <v>10981.701271273852</v>
      </c>
      <c r="N47" s="15">
        <f t="shared" si="28"/>
        <v>10332.396227284858</v>
      </c>
      <c r="O47" s="15">
        <f t="shared" si="28"/>
        <v>13995.082987183701</v>
      </c>
      <c r="P47" s="103">
        <f t="shared" si="28"/>
        <v>10063.704873128167</v>
      </c>
    </row>
    <row r="48" spans="1:16" x14ac:dyDescent="0.3">
      <c r="A48" s="723" t="s">
        <v>129</v>
      </c>
      <c r="B48" s="724"/>
      <c r="C48" s="724"/>
      <c r="D48" s="724"/>
      <c r="E48" s="724"/>
      <c r="F48" s="724"/>
      <c r="G48" s="724"/>
      <c r="H48" s="724"/>
      <c r="I48" s="724"/>
      <c r="J48" s="724"/>
      <c r="K48" s="724"/>
      <c r="L48" s="724"/>
      <c r="M48" s="724"/>
      <c r="N48" s="724"/>
      <c r="O48" s="724"/>
      <c r="P48" s="725"/>
    </row>
    <row r="49" spans="1:16" ht="15.6" x14ac:dyDescent="0.3">
      <c r="A49" s="695" t="s">
        <v>128</v>
      </c>
      <c r="B49" s="696"/>
      <c r="C49" s="5" t="s">
        <v>127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39">
        <f>SUM(J49:O49)</f>
        <v>0</v>
      </c>
    </row>
    <row r="50" spans="1:16" ht="15.6" x14ac:dyDescent="0.3">
      <c r="A50" s="695" t="s">
        <v>187</v>
      </c>
      <c r="B50" s="696"/>
      <c r="C50" s="5" t="s">
        <v>126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39">
        <f>SUM(J50:O50)</f>
        <v>0</v>
      </c>
    </row>
    <row r="51" spans="1:16" ht="15.6" x14ac:dyDescent="0.3">
      <c r="A51" s="726" t="s">
        <v>125</v>
      </c>
      <c r="B51" s="727"/>
      <c r="C51" s="5" t="s">
        <v>31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0">
        <f>SUM(J51:O51)</f>
        <v>0</v>
      </c>
    </row>
    <row r="52" spans="1:16" ht="15.6" x14ac:dyDescent="0.3">
      <c r="A52" s="695" t="s">
        <v>124</v>
      </c>
      <c r="B52" s="696"/>
      <c r="C52" s="5" t="s">
        <v>31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SUM(J52:O52)</f>
        <v>0</v>
      </c>
    </row>
    <row r="53" spans="1:16" x14ac:dyDescent="0.3">
      <c r="A53" s="723" t="s">
        <v>123</v>
      </c>
      <c r="B53" s="724"/>
      <c r="C53" s="724"/>
      <c r="D53" s="724"/>
      <c r="E53" s="724"/>
      <c r="F53" s="724"/>
      <c r="G53" s="724"/>
      <c r="H53" s="724"/>
      <c r="I53" s="724"/>
      <c r="J53" s="724"/>
      <c r="K53" s="724"/>
      <c r="L53" s="724"/>
      <c r="M53" s="724"/>
      <c r="N53" s="724"/>
      <c r="O53" s="724"/>
      <c r="P53" s="725"/>
    </row>
    <row r="54" spans="1:16" ht="15.6" x14ac:dyDescent="0.3">
      <c r="A54" s="695" t="s">
        <v>122</v>
      </c>
      <c r="B54" s="696"/>
      <c r="C54" s="11" t="s">
        <v>18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2647693.0299999998</v>
      </c>
      <c r="K54" s="13">
        <v>5149018.68</v>
      </c>
      <c r="L54" s="13">
        <v>6089140.71</v>
      </c>
      <c r="M54" s="13">
        <v>7081634.75</v>
      </c>
      <c r="N54" s="13">
        <v>7081634.75</v>
      </c>
      <c r="O54" s="13">
        <v>6922099.5199999996</v>
      </c>
      <c r="P54" s="39">
        <f>SUM(J54:O54)</f>
        <v>34971221.439999998</v>
      </c>
    </row>
    <row r="55" spans="1:16" ht="15.6" x14ac:dyDescent="0.3">
      <c r="A55" s="620" t="s">
        <v>121</v>
      </c>
      <c r="B55" s="621"/>
      <c r="C55" s="11" t="s">
        <v>18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3378030.35</v>
      </c>
      <c r="O55" s="13">
        <v>3501131.36</v>
      </c>
      <c r="P55" s="39">
        <f>SUM(J55:O55)</f>
        <v>6879161.71</v>
      </c>
    </row>
    <row r="56" spans="1:16" ht="15.6" x14ac:dyDescent="0.3">
      <c r="A56" s="695" t="s">
        <v>120</v>
      </c>
      <c r="B56" s="696"/>
      <c r="C56" s="5" t="s">
        <v>18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123300</v>
      </c>
      <c r="O56" s="13">
        <v>134700</v>
      </c>
      <c r="P56" s="39">
        <f>SUM(J56:O56)</f>
        <v>258000</v>
      </c>
    </row>
    <row r="57" spans="1:16" x14ac:dyDescent="0.3">
      <c r="A57" s="723" t="s">
        <v>119</v>
      </c>
      <c r="B57" s="724"/>
      <c r="C57" s="724"/>
      <c r="D57" s="724"/>
      <c r="E57" s="724"/>
      <c r="F57" s="724"/>
      <c r="G57" s="724"/>
      <c r="H57" s="724"/>
      <c r="I57" s="724"/>
      <c r="J57" s="724"/>
      <c r="K57" s="724"/>
      <c r="L57" s="724"/>
      <c r="M57" s="724"/>
      <c r="N57" s="724"/>
      <c r="O57" s="724"/>
      <c r="P57" s="725"/>
    </row>
    <row r="58" spans="1:16" ht="15.6" x14ac:dyDescent="0.3">
      <c r="A58" s="726" t="s">
        <v>118</v>
      </c>
      <c r="B58" s="727"/>
      <c r="C58" s="5" t="s">
        <v>18</v>
      </c>
      <c r="D58" s="13">
        <f>D41+D46+D51+D52+D54+D55+D56</f>
        <v>16426.5</v>
      </c>
      <c r="E58" s="13">
        <f t="shared" ref="E58:I58" si="29">E41+E46+E51+E52+E54+E55+E56</f>
        <v>16426.5</v>
      </c>
      <c r="F58" s="13">
        <f t="shared" si="29"/>
        <v>16426.5</v>
      </c>
      <c r="G58" s="13">
        <f t="shared" si="29"/>
        <v>16426.5</v>
      </c>
      <c r="H58" s="13">
        <f t="shared" si="29"/>
        <v>19339</v>
      </c>
      <c r="I58" s="13">
        <f t="shared" si="29"/>
        <v>19339</v>
      </c>
      <c r="J58" s="13">
        <f t="shared" ref="J58:O58" si="30">J41+J46+J51+J52+J54+J55+J56</f>
        <v>25223829.02</v>
      </c>
      <c r="K58" s="13">
        <f t="shared" si="30"/>
        <v>25961763.43</v>
      </c>
      <c r="L58" s="13">
        <f t="shared" si="30"/>
        <v>49116839.490000002</v>
      </c>
      <c r="M58" s="13">
        <f t="shared" si="30"/>
        <v>50109333.530000001</v>
      </c>
      <c r="N58" s="13">
        <f t="shared" si="30"/>
        <v>53610663.880000003</v>
      </c>
      <c r="O58" s="13">
        <f t="shared" si="30"/>
        <v>53673761.909999996</v>
      </c>
      <c r="P58" s="64">
        <f>SUM(J58:O58)</f>
        <v>257696191.25999999</v>
      </c>
    </row>
    <row r="59" spans="1:16" ht="15.6" x14ac:dyDescent="0.3">
      <c r="A59" s="726" t="s">
        <v>117</v>
      </c>
      <c r="B59" s="727"/>
      <c r="C59" s="5" t="s">
        <v>115</v>
      </c>
      <c r="D59" s="15" t="e">
        <f t="shared" ref="D59:I59" si="31">D58/D9</f>
        <v>#DIV/0!</v>
      </c>
      <c r="E59" s="15" t="e">
        <f t="shared" si="31"/>
        <v>#DIV/0!</v>
      </c>
      <c r="F59" s="15" t="e">
        <f t="shared" si="31"/>
        <v>#DIV/0!</v>
      </c>
      <c r="G59" s="15" t="e">
        <f t="shared" si="31"/>
        <v>#DIV/0!</v>
      </c>
      <c r="H59" s="15" t="e">
        <f t="shared" si="31"/>
        <v>#DIV/0!</v>
      </c>
      <c r="I59" s="15" t="e">
        <f t="shared" si="31"/>
        <v>#DIV/0!</v>
      </c>
      <c r="J59" s="15">
        <f t="shared" ref="J59:P59" si="32">J58/J9</f>
        <v>9784.2626144297901</v>
      </c>
      <c r="K59" s="15">
        <f t="shared" si="32"/>
        <v>8409.7578406918492</v>
      </c>
      <c r="L59" s="15">
        <f t="shared" si="32"/>
        <v>11142.65868647913</v>
      </c>
      <c r="M59" s="15">
        <f t="shared" si="32"/>
        <v>12921.437217637958</v>
      </c>
      <c r="N59" s="15">
        <f t="shared" si="32"/>
        <v>13006.930121066551</v>
      </c>
      <c r="O59" s="15">
        <f t="shared" si="32"/>
        <v>17638.436381860007</v>
      </c>
      <c r="P59" s="103">
        <f t="shared" si="32"/>
        <v>12203.951129485962</v>
      </c>
    </row>
    <row r="60" spans="1:16" ht="15.6" x14ac:dyDescent="0.3">
      <c r="A60" s="726" t="s">
        <v>116</v>
      </c>
      <c r="B60" s="727"/>
      <c r="C60" s="5" t="s">
        <v>115</v>
      </c>
      <c r="D60" s="15" t="e">
        <f>D58/D22</f>
        <v>#DIV/0!</v>
      </c>
      <c r="E60" s="15" t="e">
        <f t="shared" ref="E60:I60" si="33">E58/E22</f>
        <v>#DIV/0!</v>
      </c>
      <c r="F60" s="15" t="e">
        <f t="shared" si="33"/>
        <v>#DIV/0!</v>
      </c>
      <c r="G60" s="15" t="e">
        <f t="shared" si="33"/>
        <v>#DIV/0!</v>
      </c>
      <c r="H60" s="15" t="e">
        <f t="shared" si="33"/>
        <v>#DIV/0!</v>
      </c>
      <c r="I60" s="15" t="e">
        <f t="shared" si="33"/>
        <v>#DIV/0!</v>
      </c>
      <c r="J60" s="15">
        <f t="shared" ref="J60:O60" si="34">J58/J22</f>
        <v>9784.2626144297901</v>
      </c>
      <c r="K60" s="15">
        <f t="shared" si="34"/>
        <v>8409.7578406918492</v>
      </c>
      <c r="L60" s="15">
        <f t="shared" si="34"/>
        <v>11142.65868647913</v>
      </c>
      <c r="M60" s="15">
        <f t="shared" si="34"/>
        <v>12921.770424714407</v>
      </c>
      <c r="N60" s="15">
        <f t="shared" si="34"/>
        <v>13006.930121066551</v>
      </c>
      <c r="O60" s="15">
        <f t="shared" si="34"/>
        <v>17638.436381860007</v>
      </c>
      <c r="P60" s="104">
        <f>P58/P22</f>
        <v>12204.008925112581</v>
      </c>
    </row>
    <row r="61" spans="1:16" ht="15.6" x14ac:dyDescent="0.3">
      <c r="A61" s="695" t="s">
        <v>114</v>
      </c>
      <c r="B61" s="696"/>
      <c r="C61" s="5" t="s">
        <v>3</v>
      </c>
      <c r="D61" s="4">
        <v>0</v>
      </c>
      <c r="E61" s="4">
        <v>4</v>
      </c>
      <c r="F61" s="4">
        <v>4</v>
      </c>
      <c r="G61" s="4">
        <v>4</v>
      </c>
      <c r="H61" s="4">
        <v>3</v>
      </c>
      <c r="I61" s="4">
        <v>3</v>
      </c>
      <c r="J61" s="4">
        <v>8</v>
      </c>
      <c r="K61" s="4">
        <v>8</v>
      </c>
      <c r="L61" s="4">
        <v>10</v>
      </c>
      <c r="M61" s="4">
        <v>12</v>
      </c>
      <c r="N61" s="4">
        <v>14</v>
      </c>
      <c r="O61" s="4">
        <v>14</v>
      </c>
      <c r="P61" s="9">
        <f>O61</f>
        <v>14</v>
      </c>
    </row>
    <row r="62" spans="1:16" ht="15.6" customHeight="1" x14ac:dyDescent="0.3">
      <c r="A62" s="726" t="s">
        <v>113</v>
      </c>
      <c r="B62" s="727"/>
      <c r="C62" s="5" t="s">
        <v>112</v>
      </c>
      <c r="D62" s="15" t="e">
        <f t="shared" ref="D62:I62" si="35">(D61*1000*31)/D9</f>
        <v>#DIV/0!</v>
      </c>
      <c r="E62" s="15" t="e">
        <f t="shared" si="35"/>
        <v>#DIV/0!</v>
      </c>
      <c r="F62" s="15" t="e">
        <f t="shared" si="35"/>
        <v>#DIV/0!</v>
      </c>
      <c r="G62" s="15" t="e">
        <f t="shared" si="35"/>
        <v>#DIV/0!</v>
      </c>
      <c r="H62" s="15" t="e">
        <f t="shared" si="35"/>
        <v>#DIV/0!</v>
      </c>
      <c r="I62" s="15" t="e">
        <f t="shared" si="35"/>
        <v>#DIV/0!</v>
      </c>
      <c r="J62" s="15">
        <f t="shared" ref="J62:P62" si="36">(J61*1000*31)/J9</f>
        <v>96.198603568657873</v>
      </c>
      <c r="K62" s="15">
        <f t="shared" si="36"/>
        <v>80.334294321530933</v>
      </c>
      <c r="L62" s="15">
        <f t="shared" si="36"/>
        <v>70.326678765880217</v>
      </c>
      <c r="M62" s="15">
        <f t="shared" si="36"/>
        <v>95.925734914904595</v>
      </c>
      <c r="N62" s="15">
        <f t="shared" si="36"/>
        <v>105.29635829876023</v>
      </c>
      <c r="O62" s="15">
        <f t="shared" si="36"/>
        <v>142.62241209332896</v>
      </c>
      <c r="P62" s="103">
        <f t="shared" si="36"/>
        <v>20.55332973413271</v>
      </c>
    </row>
    <row r="63" spans="1:16" ht="15.6" x14ac:dyDescent="0.3">
      <c r="A63" s="740" t="s">
        <v>111</v>
      </c>
      <c r="B63" s="741"/>
      <c r="C63" s="38" t="s">
        <v>3</v>
      </c>
      <c r="D63" s="4">
        <v>0</v>
      </c>
      <c r="E63" s="4">
        <v>6</v>
      </c>
      <c r="F63" s="4">
        <v>6</v>
      </c>
      <c r="G63" s="4">
        <v>6</v>
      </c>
      <c r="H63" s="4">
        <v>6</v>
      </c>
      <c r="I63" s="4">
        <v>6</v>
      </c>
      <c r="J63" s="4">
        <v>16</v>
      </c>
      <c r="K63" s="4">
        <v>16</v>
      </c>
      <c r="L63" s="4">
        <v>17</v>
      </c>
      <c r="M63" s="4">
        <v>43</v>
      </c>
      <c r="N63" s="4">
        <v>56</v>
      </c>
      <c r="O63" s="4">
        <v>56</v>
      </c>
      <c r="P63" s="9">
        <f>SUM(J63:O63)</f>
        <v>204</v>
      </c>
    </row>
    <row r="64" spans="1:16" x14ac:dyDescent="0.3">
      <c r="A64" s="742"/>
      <c r="B64" s="743"/>
      <c r="C64" s="743"/>
      <c r="D64" s="743"/>
      <c r="E64" s="743"/>
      <c r="F64" s="743"/>
      <c r="G64" s="743"/>
      <c r="H64" s="743"/>
      <c r="I64" s="743"/>
      <c r="J64" s="743"/>
      <c r="K64" s="743"/>
      <c r="L64" s="743"/>
      <c r="M64" s="743"/>
      <c r="N64" s="743"/>
      <c r="O64" s="743"/>
      <c r="P64" s="744"/>
    </row>
    <row r="65" spans="1:16" ht="14.4" customHeight="1" x14ac:dyDescent="0.3">
      <c r="A65" s="723" t="s">
        <v>110</v>
      </c>
      <c r="B65" s="724"/>
      <c r="C65" s="724"/>
      <c r="D65" s="724"/>
      <c r="E65" s="724"/>
      <c r="F65" s="724"/>
      <c r="G65" s="724"/>
      <c r="H65" s="724"/>
      <c r="I65" s="724"/>
      <c r="J65" s="724"/>
      <c r="K65" s="724"/>
      <c r="L65" s="724"/>
      <c r="M65" s="724"/>
      <c r="N65" s="724"/>
      <c r="O65" s="724"/>
      <c r="P65" s="725"/>
    </row>
    <row r="66" spans="1:16" ht="15.6" x14ac:dyDescent="0.3">
      <c r="A66" s="728" t="s">
        <v>109</v>
      </c>
      <c r="B66" s="37" t="s">
        <v>85</v>
      </c>
      <c r="C66" s="5" t="s">
        <v>3</v>
      </c>
      <c r="D66" s="156">
        <v>0</v>
      </c>
      <c r="E66" s="156">
        <v>0</v>
      </c>
      <c r="F66" s="156">
        <v>0</v>
      </c>
      <c r="G66" s="156">
        <v>0</v>
      </c>
      <c r="H66" s="156">
        <v>0</v>
      </c>
      <c r="I66" s="156">
        <v>0</v>
      </c>
      <c r="J66" s="157"/>
      <c r="K66" s="157">
        <v>141</v>
      </c>
      <c r="L66" s="157">
        <v>153</v>
      </c>
      <c r="M66" s="157">
        <v>153</v>
      </c>
      <c r="N66" s="157">
        <v>653</v>
      </c>
      <c r="O66" s="157">
        <v>631</v>
      </c>
      <c r="P66" s="35">
        <f>J66</f>
        <v>0</v>
      </c>
    </row>
    <row r="67" spans="1:16" ht="15.6" x14ac:dyDescent="0.3">
      <c r="A67" s="729"/>
      <c r="B67" s="24" t="s">
        <v>104</v>
      </c>
      <c r="C67" s="5" t="s">
        <v>3</v>
      </c>
      <c r="D67" s="156">
        <v>0</v>
      </c>
      <c r="E67" s="156">
        <v>0</v>
      </c>
      <c r="F67" s="156">
        <v>0</v>
      </c>
      <c r="G67" s="156">
        <v>0</v>
      </c>
      <c r="H67" s="156">
        <v>0</v>
      </c>
      <c r="I67" s="156">
        <v>0</v>
      </c>
      <c r="J67" s="156"/>
      <c r="K67" s="156">
        <v>15</v>
      </c>
      <c r="L67" s="156">
        <v>10</v>
      </c>
      <c r="M67" s="156">
        <v>591</v>
      </c>
      <c r="N67" s="156">
        <v>25</v>
      </c>
      <c r="O67" s="156">
        <v>67</v>
      </c>
      <c r="P67" s="35">
        <f>SUM(J67:O67)</f>
        <v>708</v>
      </c>
    </row>
    <row r="68" spans="1:16" ht="27" x14ac:dyDescent="0.3">
      <c r="A68" s="729"/>
      <c r="B68" s="24" t="s">
        <v>103</v>
      </c>
      <c r="C68" s="5" t="s">
        <v>3</v>
      </c>
      <c r="D68" s="156">
        <v>0</v>
      </c>
      <c r="E68" s="156">
        <v>0</v>
      </c>
      <c r="F68" s="156">
        <v>0</v>
      </c>
      <c r="G68" s="156">
        <v>0</v>
      </c>
      <c r="H68" s="156">
        <v>0</v>
      </c>
      <c r="I68" s="156">
        <v>0</v>
      </c>
      <c r="J68" s="156"/>
      <c r="K68" s="156"/>
      <c r="L68" s="156">
        <v>1</v>
      </c>
      <c r="M68" s="156"/>
      <c r="N68" s="156"/>
      <c r="O68" s="156"/>
      <c r="P68" s="35">
        <f>SUM(J68:O68)</f>
        <v>1</v>
      </c>
    </row>
    <row r="69" spans="1:16" s="2" customFormat="1" ht="27" x14ac:dyDescent="0.3">
      <c r="A69" s="729"/>
      <c r="B69" s="24" t="s">
        <v>102</v>
      </c>
      <c r="C69" s="11" t="s">
        <v>3</v>
      </c>
      <c r="D69" s="156">
        <v>0</v>
      </c>
      <c r="E69" s="156">
        <v>0</v>
      </c>
      <c r="F69" s="156">
        <v>0</v>
      </c>
      <c r="G69" s="156">
        <v>0</v>
      </c>
      <c r="H69" s="156">
        <v>0</v>
      </c>
      <c r="I69" s="156">
        <v>0</v>
      </c>
      <c r="J69" s="156">
        <v>1009</v>
      </c>
      <c r="K69" s="156">
        <v>3</v>
      </c>
      <c r="L69" s="156">
        <v>9</v>
      </c>
      <c r="M69" s="156">
        <v>91</v>
      </c>
      <c r="N69" s="156">
        <v>47</v>
      </c>
      <c r="O69" s="156">
        <v>92</v>
      </c>
      <c r="P69" s="74">
        <f>SUM(J69:O69)</f>
        <v>1251</v>
      </c>
    </row>
    <row r="70" spans="1:16" s="2" customFormat="1" ht="15.6" x14ac:dyDescent="0.3">
      <c r="A70" s="729"/>
      <c r="B70" s="24" t="s">
        <v>188</v>
      </c>
      <c r="C70" s="11" t="s">
        <v>3</v>
      </c>
      <c r="D70" s="156">
        <v>0</v>
      </c>
      <c r="E70" s="156">
        <v>0</v>
      </c>
      <c r="F70" s="156">
        <v>0</v>
      </c>
      <c r="G70" s="156">
        <v>0</v>
      </c>
      <c r="H70" s="156">
        <v>0</v>
      </c>
      <c r="I70" s="156">
        <v>0</v>
      </c>
      <c r="J70" s="156">
        <f t="shared" ref="J70:O70" si="37">J68+J69</f>
        <v>1009</v>
      </c>
      <c r="K70" s="156">
        <v>3</v>
      </c>
      <c r="L70" s="156">
        <f t="shared" si="37"/>
        <v>10</v>
      </c>
      <c r="M70" s="156">
        <f t="shared" si="37"/>
        <v>91</v>
      </c>
      <c r="N70" s="156">
        <f t="shared" si="37"/>
        <v>47</v>
      </c>
      <c r="O70" s="156">
        <f t="shared" si="37"/>
        <v>92</v>
      </c>
      <c r="P70" s="105">
        <f t="shared" ref="P70" si="38">P68+P69</f>
        <v>1252</v>
      </c>
    </row>
    <row r="71" spans="1:16" ht="15.6" x14ac:dyDescent="0.3">
      <c r="A71" s="730"/>
      <c r="B71" s="37" t="s">
        <v>81</v>
      </c>
      <c r="C71" s="5" t="s">
        <v>3</v>
      </c>
      <c r="D71" s="158">
        <f>D66+D67-D70</f>
        <v>0</v>
      </c>
      <c r="E71" s="158">
        <f t="shared" ref="E71:I71" si="39">E66+E67-E70</f>
        <v>0</v>
      </c>
      <c r="F71" s="158">
        <f t="shared" si="39"/>
        <v>0</v>
      </c>
      <c r="G71" s="158">
        <f t="shared" si="39"/>
        <v>0</v>
      </c>
      <c r="H71" s="158">
        <f t="shared" si="39"/>
        <v>0</v>
      </c>
      <c r="I71" s="158">
        <f t="shared" si="39"/>
        <v>0</v>
      </c>
      <c r="J71" s="158">
        <v>0</v>
      </c>
      <c r="K71" s="158">
        <f t="shared" ref="K71:P71" si="40">K66+K67-K70</f>
        <v>153</v>
      </c>
      <c r="L71" s="158">
        <f t="shared" si="40"/>
        <v>153</v>
      </c>
      <c r="M71" s="158">
        <f t="shared" si="40"/>
        <v>653</v>
      </c>
      <c r="N71" s="158">
        <f t="shared" si="40"/>
        <v>631</v>
      </c>
      <c r="O71" s="158">
        <f t="shared" si="40"/>
        <v>606</v>
      </c>
      <c r="P71" s="158">
        <f t="shared" si="40"/>
        <v>-544</v>
      </c>
    </row>
    <row r="72" spans="1:16" ht="15.6" x14ac:dyDescent="0.3">
      <c r="A72" s="728" t="s">
        <v>108</v>
      </c>
      <c r="B72" s="37" t="s">
        <v>85</v>
      </c>
      <c r="C72" s="5" t="s">
        <v>3</v>
      </c>
      <c r="D72" s="157">
        <v>0</v>
      </c>
      <c r="E72" s="157">
        <v>0</v>
      </c>
      <c r="F72" s="157">
        <v>0</v>
      </c>
      <c r="G72" s="157">
        <v>0</v>
      </c>
      <c r="H72" s="157">
        <v>0</v>
      </c>
      <c r="I72" s="157">
        <v>0</v>
      </c>
      <c r="J72" s="157"/>
      <c r="K72" s="157">
        <v>2</v>
      </c>
      <c r="L72" s="157">
        <v>2</v>
      </c>
      <c r="M72" s="157"/>
      <c r="N72" s="157"/>
      <c r="O72" s="157"/>
      <c r="P72" s="35">
        <f>J72</f>
        <v>0</v>
      </c>
    </row>
    <row r="73" spans="1:16" ht="15.6" x14ac:dyDescent="0.3">
      <c r="A73" s="729"/>
      <c r="B73" s="24" t="s">
        <v>104</v>
      </c>
      <c r="C73" s="5" t="s">
        <v>3</v>
      </c>
      <c r="D73" s="156">
        <v>0</v>
      </c>
      <c r="E73" s="156">
        <v>0</v>
      </c>
      <c r="F73" s="156">
        <v>0</v>
      </c>
      <c r="G73" s="156">
        <v>0</v>
      </c>
      <c r="H73" s="156">
        <v>0</v>
      </c>
      <c r="I73" s="156">
        <v>0</v>
      </c>
      <c r="J73" s="156">
        <v>0</v>
      </c>
      <c r="K73" s="156">
        <v>0</v>
      </c>
      <c r="L73" s="156">
        <v>0</v>
      </c>
      <c r="M73" s="156">
        <v>0</v>
      </c>
      <c r="N73" s="156">
        <v>0</v>
      </c>
      <c r="O73" s="156">
        <v>0</v>
      </c>
      <c r="P73" s="35">
        <f>SUM(J73:O73)</f>
        <v>0</v>
      </c>
    </row>
    <row r="74" spans="1:16" ht="27" x14ac:dyDescent="0.3">
      <c r="A74" s="729"/>
      <c r="B74" s="24" t="s">
        <v>103</v>
      </c>
      <c r="C74" s="5" t="s">
        <v>3</v>
      </c>
      <c r="D74" s="156">
        <v>0</v>
      </c>
      <c r="E74" s="156">
        <v>0</v>
      </c>
      <c r="F74" s="156">
        <v>0</v>
      </c>
      <c r="G74" s="156">
        <v>0</v>
      </c>
      <c r="H74" s="156">
        <v>0</v>
      </c>
      <c r="I74" s="156">
        <v>0</v>
      </c>
      <c r="J74" s="156">
        <v>0</v>
      </c>
      <c r="K74" s="156">
        <v>0</v>
      </c>
      <c r="L74" s="156">
        <v>0</v>
      </c>
      <c r="M74" s="156">
        <v>0</v>
      </c>
      <c r="N74" s="156">
        <v>0</v>
      </c>
      <c r="O74" s="156">
        <v>0</v>
      </c>
      <c r="P74" s="35">
        <f>SUM(J74:O74)</f>
        <v>0</v>
      </c>
    </row>
    <row r="75" spans="1:16" s="2" customFormat="1" ht="27" x14ac:dyDescent="0.3">
      <c r="A75" s="729"/>
      <c r="B75" s="24" t="s">
        <v>102</v>
      </c>
      <c r="C75" s="11" t="s">
        <v>3</v>
      </c>
      <c r="D75" s="156">
        <v>0</v>
      </c>
      <c r="E75" s="156">
        <v>0</v>
      </c>
      <c r="F75" s="156">
        <v>0</v>
      </c>
      <c r="G75" s="156">
        <v>0</v>
      </c>
      <c r="H75" s="156">
        <v>0</v>
      </c>
      <c r="I75" s="156">
        <v>0</v>
      </c>
      <c r="J75" s="156">
        <v>0</v>
      </c>
      <c r="K75" s="156">
        <v>0</v>
      </c>
      <c r="L75" s="156">
        <v>0</v>
      </c>
      <c r="M75" s="156">
        <v>0</v>
      </c>
      <c r="N75" s="156">
        <v>0</v>
      </c>
      <c r="O75" s="156">
        <v>0</v>
      </c>
      <c r="P75" s="35">
        <f>SUM(J75:O75)</f>
        <v>0</v>
      </c>
    </row>
    <row r="76" spans="1:16" s="2" customFormat="1" ht="15.6" x14ac:dyDescent="0.3">
      <c r="A76" s="729"/>
      <c r="B76" s="24" t="s">
        <v>188</v>
      </c>
      <c r="C76" s="11" t="s">
        <v>3</v>
      </c>
      <c r="D76" s="156">
        <f>D74+D75</f>
        <v>0</v>
      </c>
      <c r="E76" s="156">
        <f t="shared" ref="E76:I76" si="41">E74+E75</f>
        <v>0</v>
      </c>
      <c r="F76" s="156">
        <f t="shared" si="41"/>
        <v>0</v>
      </c>
      <c r="G76" s="156">
        <f t="shared" si="41"/>
        <v>0</v>
      </c>
      <c r="H76" s="156">
        <f t="shared" si="41"/>
        <v>0</v>
      </c>
      <c r="I76" s="156">
        <f t="shared" si="41"/>
        <v>0</v>
      </c>
      <c r="J76" s="156">
        <f t="shared" ref="J76:O76" si="42">J74+J75</f>
        <v>0</v>
      </c>
      <c r="K76" s="156">
        <f t="shared" si="42"/>
        <v>0</v>
      </c>
      <c r="L76" s="156">
        <f t="shared" si="42"/>
        <v>0</v>
      </c>
      <c r="M76" s="156">
        <f t="shared" si="42"/>
        <v>0</v>
      </c>
      <c r="N76" s="156">
        <f t="shared" si="42"/>
        <v>0</v>
      </c>
      <c r="O76" s="156">
        <f t="shared" si="42"/>
        <v>0</v>
      </c>
      <c r="P76" s="105">
        <f t="shared" ref="P76" si="43">P74+P75</f>
        <v>0</v>
      </c>
    </row>
    <row r="77" spans="1:16" ht="15.6" x14ac:dyDescent="0.3">
      <c r="A77" s="730"/>
      <c r="B77" s="37" t="s">
        <v>81</v>
      </c>
      <c r="C77" s="5" t="s">
        <v>3</v>
      </c>
      <c r="D77" s="158">
        <f t="shared" ref="D77" si="44">D72+D73-D76</f>
        <v>0</v>
      </c>
      <c r="E77" s="158">
        <f t="shared" ref="E77:I77" si="45">E72+E73-E76</f>
        <v>0</v>
      </c>
      <c r="F77" s="158">
        <f t="shared" si="45"/>
        <v>0</v>
      </c>
      <c r="G77" s="158">
        <f t="shared" si="45"/>
        <v>0</v>
      </c>
      <c r="H77" s="158">
        <f t="shared" si="45"/>
        <v>0</v>
      </c>
      <c r="I77" s="158">
        <f t="shared" si="45"/>
        <v>0</v>
      </c>
      <c r="J77" s="158">
        <f t="shared" ref="J77:P77" si="46">J72+J73-J76</f>
        <v>0</v>
      </c>
      <c r="K77" s="158">
        <f t="shared" si="46"/>
        <v>2</v>
      </c>
      <c r="L77" s="158">
        <f t="shared" si="46"/>
        <v>2</v>
      </c>
      <c r="M77" s="158">
        <f t="shared" si="46"/>
        <v>0</v>
      </c>
      <c r="N77" s="158">
        <f t="shared" si="46"/>
        <v>0</v>
      </c>
      <c r="O77" s="158">
        <f t="shared" si="46"/>
        <v>0</v>
      </c>
      <c r="P77" s="158">
        <f t="shared" si="46"/>
        <v>0</v>
      </c>
    </row>
    <row r="78" spans="1:16" ht="15.6" customHeight="1" x14ac:dyDescent="0.3">
      <c r="A78" s="728" t="s">
        <v>107</v>
      </c>
      <c r="B78" s="37" t="s">
        <v>85</v>
      </c>
      <c r="C78" s="5" t="s">
        <v>3</v>
      </c>
      <c r="D78" s="157">
        <v>0</v>
      </c>
      <c r="E78" s="157">
        <v>0</v>
      </c>
      <c r="F78" s="157">
        <v>0</v>
      </c>
      <c r="G78" s="157">
        <v>0</v>
      </c>
      <c r="H78" s="157">
        <v>0</v>
      </c>
      <c r="I78" s="157">
        <v>0</v>
      </c>
      <c r="J78" s="157"/>
      <c r="K78" s="157">
        <v>2</v>
      </c>
      <c r="L78" s="157"/>
      <c r="M78" s="157"/>
      <c r="N78" s="157"/>
      <c r="O78" s="157"/>
      <c r="P78" s="35">
        <f>J78</f>
        <v>0</v>
      </c>
    </row>
    <row r="79" spans="1:16" ht="15.6" x14ac:dyDescent="0.3">
      <c r="A79" s="729"/>
      <c r="B79" s="24" t="s">
        <v>104</v>
      </c>
      <c r="C79" s="5" t="s">
        <v>3</v>
      </c>
      <c r="D79" s="156">
        <v>0</v>
      </c>
      <c r="E79" s="156">
        <v>0</v>
      </c>
      <c r="F79" s="156">
        <v>0</v>
      </c>
      <c r="G79" s="156">
        <v>0</v>
      </c>
      <c r="H79" s="156">
        <v>0</v>
      </c>
      <c r="I79" s="156">
        <v>0</v>
      </c>
      <c r="J79" s="156">
        <v>0</v>
      </c>
      <c r="K79" s="156">
        <v>0</v>
      </c>
      <c r="L79" s="156">
        <v>0</v>
      </c>
      <c r="M79" s="156">
        <v>0</v>
      </c>
      <c r="N79" s="156">
        <v>0</v>
      </c>
      <c r="O79" s="156">
        <v>0</v>
      </c>
      <c r="P79" s="35">
        <f>SUM(J79:O79)</f>
        <v>0</v>
      </c>
    </row>
    <row r="80" spans="1:16" ht="27" x14ac:dyDescent="0.3">
      <c r="A80" s="729"/>
      <c r="B80" s="24" t="s">
        <v>103</v>
      </c>
      <c r="C80" s="5" t="s">
        <v>3</v>
      </c>
      <c r="D80" s="156">
        <v>0</v>
      </c>
      <c r="E80" s="156">
        <v>0</v>
      </c>
      <c r="F80" s="156">
        <v>0</v>
      </c>
      <c r="G80" s="156">
        <v>0</v>
      </c>
      <c r="H80" s="156">
        <v>0</v>
      </c>
      <c r="I80" s="156">
        <v>0</v>
      </c>
      <c r="J80" s="156">
        <v>0</v>
      </c>
      <c r="K80" s="156">
        <v>0</v>
      </c>
      <c r="L80" s="156">
        <v>0</v>
      </c>
      <c r="M80" s="156">
        <v>0</v>
      </c>
      <c r="N80" s="156">
        <v>0</v>
      </c>
      <c r="O80" s="156">
        <v>0</v>
      </c>
      <c r="P80" s="35">
        <f>SUM(J80:O80)</f>
        <v>0</v>
      </c>
    </row>
    <row r="81" spans="1:16" s="2" customFormat="1" ht="27" x14ac:dyDescent="0.3">
      <c r="A81" s="729"/>
      <c r="B81" s="24" t="s">
        <v>102</v>
      </c>
      <c r="C81" s="11" t="s">
        <v>3</v>
      </c>
      <c r="D81" s="156">
        <v>0</v>
      </c>
      <c r="E81" s="156">
        <v>0</v>
      </c>
      <c r="F81" s="156">
        <v>0</v>
      </c>
      <c r="G81" s="156"/>
      <c r="H81" s="156"/>
      <c r="I81" s="156"/>
      <c r="J81" s="156"/>
      <c r="K81" s="156"/>
      <c r="L81" s="156"/>
      <c r="M81" s="156"/>
      <c r="N81" s="156"/>
      <c r="O81" s="156"/>
      <c r="P81" s="74">
        <f>SUM(J81:O81)</f>
        <v>0</v>
      </c>
    </row>
    <row r="82" spans="1:16" s="2" customFormat="1" ht="15.6" x14ac:dyDescent="0.3">
      <c r="A82" s="729"/>
      <c r="B82" s="24" t="s">
        <v>188</v>
      </c>
      <c r="C82" s="11" t="s">
        <v>3</v>
      </c>
      <c r="D82" s="156">
        <f>D81+D80</f>
        <v>0</v>
      </c>
      <c r="E82" s="156">
        <f t="shared" ref="E82:I82" si="47">E81+E80</f>
        <v>0</v>
      </c>
      <c r="F82" s="156">
        <f t="shared" si="47"/>
        <v>0</v>
      </c>
      <c r="G82" s="156">
        <f t="shared" si="47"/>
        <v>0</v>
      </c>
      <c r="H82" s="156">
        <f t="shared" si="47"/>
        <v>0</v>
      </c>
      <c r="I82" s="156">
        <f t="shared" si="47"/>
        <v>0</v>
      </c>
      <c r="J82" s="156">
        <f t="shared" ref="J82:P82" si="48">J81+J80</f>
        <v>0</v>
      </c>
      <c r="K82" s="156">
        <f t="shared" si="48"/>
        <v>0</v>
      </c>
      <c r="L82" s="156">
        <f t="shared" si="48"/>
        <v>0</v>
      </c>
      <c r="M82" s="156">
        <f t="shared" si="48"/>
        <v>0</v>
      </c>
      <c r="N82" s="156">
        <f t="shared" si="48"/>
        <v>0</v>
      </c>
      <c r="O82" s="156">
        <f t="shared" si="48"/>
        <v>0</v>
      </c>
      <c r="P82" s="105">
        <f t="shared" si="48"/>
        <v>0</v>
      </c>
    </row>
    <row r="83" spans="1:16" ht="15.6" x14ac:dyDescent="0.3">
      <c r="A83" s="730"/>
      <c r="B83" s="37" t="s">
        <v>81</v>
      </c>
      <c r="C83" s="5" t="s">
        <v>3</v>
      </c>
      <c r="D83" s="158">
        <f>D78+D79-D82</f>
        <v>0</v>
      </c>
      <c r="E83" s="158">
        <f t="shared" ref="E83:I83" si="49">E78+E79-E82</f>
        <v>0</v>
      </c>
      <c r="F83" s="158">
        <f t="shared" si="49"/>
        <v>0</v>
      </c>
      <c r="G83" s="158">
        <f t="shared" si="49"/>
        <v>0</v>
      </c>
      <c r="H83" s="158">
        <f t="shared" si="49"/>
        <v>0</v>
      </c>
      <c r="I83" s="158">
        <f t="shared" si="49"/>
        <v>0</v>
      </c>
      <c r="J83" s="158">
        <f t="shared" ref="J83:P83" si="50">J78+J79-J82</f>
        <v>0</v>
      </c>
      <c r="K83" s="158">
        <f t="shared" si="50"/>
        <v>2</v>
      </c>
      <c r="L83" s="158">
        <f t="shared" si="50"/>
        <v>0</v>
      </c>
      <c r="M83" s="158">
        <f t="shared" si="50"/>
        <v>0</v>
      </c>
      <c r="N83" s="158">
        <f t="shared" si="50"/>
        <v>0</v>
      </c>
      <c r="O83" s="158">
        <f t="shared" si="50"/>
        <v>0</v>
      </c>
      <c r="P83" s="158">
        <f t="shared" si="50"/>
        <v>0</v>
      </c>
    </row>
    <row r="84" spans="1:16" ht="15.6" x14ac:dyDescent="0.3">
      <c r="A84" s="731" t="s">
        <v>106</v>
      </c>
      <c r="B84" s="37" t="s">
        <v>85</v>
      </c>
      <c r="C84" s="5" t="s">
        <v>3</v>
      </c>
      <c r="D84" s="157">
        <v>0</v>
      </c>
      <c r="E84" s="157">
        <v>0</v>
      </c>
      <c r="F84" s="157">
        <v>0</v>
      </c>
      <c r="G84" s="157"/>
      <c r="H84" s="157"/>
      <c r="I84" s="157"/>
      <c r="J84" s="157"/>
      <c r="K84" s="157"/>
      <c r="L84" s="157"/>
      <c r="M84" s="157"/>
      <c r="N84" s="157"/>
      <c r="O84" s="157"/>
      <c r="P84" s="35">
        <f>J84</f>
        <v>0</v>
      </c>
    </row>
    <row r="85" spans="1:16" ht="15.6" x14ac:dyDescent="0.3">
      <c r="A85" s="732"/>
      <c r="B85" s="37" t="s">
        <v>104</v>
      </c>
      <c r="C85" s="5" t="s">
        <v>3</v>
      </c>
      <c r="D85" s="156">
        <v>0</v>
      </c>
      <c r="E85" s="156">
        <v>0</v>
      </c>
      <c r="F85" s="156">
        <v>0</v>
      </c>
      <c r="G85" s="156"/>
      <c r="H85" s="156"/>
      <c r="I85" s="156"/>
      <c r="J85" s="156"/>
      <c r="K85" s="156"/>
      <c r="L85" s="156"/>
      <c r="M85" s="156"/>
      <c r="N85" s="156"/>
      <c r="O85" s="156"/>
      <c r="P85" s="35">
        <f>SUM(J85:O85)</f>
        <v>0</v>
      </c>
    </row>
    <row r="86" spans="1:16" ht="27" x14ac:dyDescent="0.3">
      <c r="A86" s="732"/>
      <c r="B86" s="37" t="s">
        <v>103</v>
      </c>
      <c r="C86" s="5" t="s">
        <v>3</v>
      </c>
      <c r="D86" s="156">
        <v>0</v>
      </c>
      <c r="E86" s="156">
        <v>0</v>
      </c>
      <c r="F86" s="156">
        <v>0</v>
      </c>
      <c r="G86" s="156"/>
      <c r="H86" s="156"/>
      <c r="I86" s="156"/>
      <c r="J86" s="156"/>
      <c r="K86" s="156"/>
      <c r="L86" s="156"/>
      <c r="M86" s="156"/>
      <c r="N86" s="156"/>
      <c r="O86" s="156"/>
      <c r="P86" s="35">
        <f>SUM(J86:O86)</f>
        <v>0</v>
      </c>
    </row>
    <row r="87" spans="1:16" s="2" customFormat="1" ht="27" x14ac:dyDescent="0.3">
      <c r="A87" s="732"/>
      <c r="B87" s="24" t="s">
        <v>102</v>
      </c>
      <c r="C87" s="11" t="s">
        <v>3</v>
      </c>
      <c r="D87" s="156">
        <v>0</v>
      </c>
      <c r="E87" s="156">
        <v>0</v>
      </c>
      <c r="F87" s="156">
        <v>0</v>
      </c>
      <c r="G87" s="156"/>
      <c r="H87" s="156"/>
      <c r="I87" s="156"/>
      <c r="J87" s="156"/>
      <c r="K87" s="156"/>
      <c r="L87" s="156"/>
      <c r="M87" s="156"/>
      <c r="N87" s="156"/>
      <c r="O87" s="156"/>
      <c r="P87" s="74">
        <f>SUM(J87:O87)</f>
        <v>0</v>
      </c>
    </row>
    <row r="88" spans="1:16" s="2" customFormat="1" ht="15.6" x14ac:dyDescent="0.3">
      <c r="A88" s="732"/>
      <c r="B88" s="24" t="s">
        <v>188</v>
      </c>
      <c r="C88" s="11" t="s">
        <v>3</v>
      </c>
      <c r="D88" s="156">
        <f>D87+D86</f>
        <v>0</v>
      </c>
      <c r="E88" s="156">
        <f t="shared" ref="E88:I88" si="51">E87+E86</f>
        <v>0</v>
      </c>
      <c r="F88" s="156">
        <f t="shared" si="51"/>
        <v>0</v>
      </c>
      <c r="G88" s="156">
        <f t="shared" si="51"/>
        <v>0</v>
      </c>
      <c r="H88" s="156">
        <f t="shared" si="51"/>
        <v>0</v>
      </c>
      <c r="I88" s="156">
        <f t="shared" si="51"/>
        <v>0</v>
      </c>
      <c r="J88" s="156">
        <f t="shared" ref="J88:O88" si="52">J87+J86</f>
        <v>0</v>
      </c>
      <c r="K88" s="156">
        <f t="shared" si="52"/>
        <v>0</v>
      </c>
      <c r="L88" s="156">
        <f t="shared" si="52"/>
        <v>0</v>
      </c>
      <c r="M88" s="156">
        <f t="shared" si="52"/>
        <v>0</v>
      </c>
      <c r="N88" s="156">
        <f t="shared" si="52"/>
        <v>0</v>
      </c>
      <c r="O88" s="156">
        <f t="shared" si="52"/>
        <v>0</v>
      </c>
      <c r="P88" s="74">
        <f>SUM(J88:O88)</f>
        <v>0</v>
      </c>
    </row>
    <row r="89" spans="1:16" ht="15.6" x14ac:dyDescent="0.3">
      <c r="A89" s="733"/>
      <c r="B89" s="36" t="s">
        <v>81</v>
      </c>
      <c r="C89" s="5" t="s">
        <v>3</v>
      </c>
      <c r="D89" s="158">
        <f>D84+D85-D88</f>
        <v>0</v>
      </c>
      <c r="E89" s="158">
        <f t="shared" ref="E89:I89" si="53">E84+E85-E88</f>
        <v>0</v>
      </c>
      <c r="F89" s="158">
        <f t="shared" si="53"/>
        <v>0</v>
      </c>
      <c r="G89" s="158">
        <f t="shared" si="53"/>
        <v>0</v>
      </c>
      <c r="H89" s="158">
        <f t="shared" si="53"/>
        <v>0</v>
      </c>
      <c r="I89" s="158">
        <f t="shared" si="53"/>
        <v>0</v>
      </c>
      <c r="J89" s="158">
        <f t="shared" ref="J89:P89" si="54">J84+J85-J88</f>
        <v>0</v>
      </c>
      <c r="K89" s="158">
        <f t="shared" si="54"/>
        <v>0</v>
      </c>
      <c r="L89" s="158">
        <f t="shared" si="54"/>
        <v>0</v>
      </c>
      <c r="M89" s="158">
        <f t="shared" si="54"/>
        <v>0</v>
      </c>
      <c r="N89" s="158">
        <f t="shared" si="54"/>
        <v>0</v>
      </c>
      <c r="O89" s="158">
        <f t="shared" si="54"/>
        <v>0</v>
      </c>
      <c r="P89" s="158">
        <f t="shared" si="54"/>
        <v>0</v>
      </c>
    </row>
    <row r="90" spans="1:16" ht="15.6" x14ac:dyDescent="0.3">
      <c r="A90" s="734" t="s">
        <v>105</v>
      </c>
      <c r="B90" s="24" t="s">
        <v>85</v>
      </c>
      <c r="C90" s="11" t="s">
        <v>3</v>
      </c>
      <c r="D90" s="136">
        <f t="shared" ref="D90:I93" si="55">D66+D72+D78+D84</f>
        <v>0</v>
      </c>
      <c r="E90" s="136">
        <f t="shared" si="55"/>
        <v>0</v>
      </c>
      <c r="F90" s="136">
        <f t="shared" si="55"/>
        <v>0</v>
      </c>
      <c r="G90" s="136">
        <f t="shared" si="55"/>
        <v>0</v>
      </c>
      <c r="H90" s="136">
        <f t="shared" si="55"/>
        <v>0</v>
      </c>
      <c r="I90" s="136">
        <f t="shared" si="55"/>
        <v>0</v>
      </c>
      <c r="J90" s="136">
        <f t="shared" ref="J90:O93" si="56">J66+J72+J78+J84</f>
        <v>0</v>
      </c>
      <c r="K90" s="136">
        <f t="shared" si="56"/>
        <v>145</v>
      </c>
      <c r="L90" s="136">
        <f t="shared" si="56"/>
        <v>155</v>
      </c>
      <c r="M90" s="136">
        <f t="shared" si="56"/>
        <v>153</v>
      </c>
      <c r="N90" s="136">
        <f t="shared" si="56"/>
        <v>653</v>
      </c>
      <c r="O90" s="136">
        <f t="shared" si="56"/>
        <v>631</v>
      </c>
      <c r="P90" s="35">
        <f>J90</f>
        <v>0</v>
      </c>
    </row>
    <row r="91" spans="1:16" ht="15.6" x14ac:dyDescent="0.3">
      <c r="A91" s="735"/>
      <c r="B91" s="24" t="s">
        <v>104</v>
      </c>
      <c r="C91" s="11" t="s">
        <v>3</v>
      </c>
      <c r="D91" s="136">
        <f t="shared" si="55"/>
        <v>0</v>
      </c>
      <c r="E91" s="136">
        <f t="shared" si="55"/>
        <v>0</v>
      </c>
      <c r="F91" s="136">
        <f t="shared" si="55"/>
        <v>0</v>
      </c>
      <c r="G91" s="136">
        <f t="shared" si="55"/>
        <v>0</v>
      </c>
      <c r="H91" s="136">
        <f t="shared" si="55"/>
        <v>0</v>
      </c>
      <c r="I91" s="136">
        <f t="shared" si="55"/>
        <v>0</v>
      </c>
      <c r="J91" s="136">
        <f t="shared" si="56"/>
        <v>0</v>
      </c>
      <c r="K91" s="136">
        <f t="shared" si="56"/>
        <v>15</v>
      </c>
      <c r="L91" s="136">
        <f t="shared" si="56"/>
        <v>10</v>
      </c>
      <c r="M91" s="136">
        <f t="shared" si="56"/>
        <v>591</v>
      </c>
      <c r="N91" s="136">
        <f t="shared" si="56"/>
        <v>25</v>
      </c>
      <c r="O91" s="136">
        <f t="shared" si="56"/>
        <v>67</v>
      </c>
      <c r="P91" s="35">
        <f>SUM(J91:O91)</f>
        <v>708</v>
      </c>
    </row>
    <row r="92" spans="1:16" ht="27" x14ac:dyDescent="0.3">
      <c r="A92" s="735"/>
      <c r="B92" s="24" t="s">
        <v>103</v>
      </c>
      <c r="C92" s="11" t="s">
        <v>3</v>
      </c>
      <c r="D92" s="136">
        <f t="shared" si="55"/>
        <v>0</v>
      </c>
      <c r="E92" s="136">
        <f t="shared" si="55"/>
        <v>0</v>
      </c>
      <c r="F92" s="136">
        <f t="shared" si="55"/>
        <v>0</v>
      </c>
      <c r="G92" s="136">
        <f t="shared" si="55"/>
        <v>0</v>
      </c>
      <c r="H92" s="136">
        <f t="shared" si="55"/>
        <v>0</v>
      </c>
      <c r="I92" s="136">
        <f t="shared" si="55"/>
        <v>0</v>
      </c>
      <c r="J92" s="136">
        <f t="shared" si="56"/>
        <v>0</v>
      </c>
      <c r="K92" s="136">
        <f t="shared" si="56"/>
        <v>0</v>
      </c>
      <c r="L92" s="136">
        <f t="shared" si="56"/>
        <v>1</v>
      </c>
      <c r="M92" s="136">
        <f t="shared" si="56"/>
        <v>0</v>
      </c>
      <c r="N92" s="136">
        <f t="shared" si="56"/>
        <v>0</v>
      </c>
      <c r="O92" s="136">
        <f t="shared" si="56"/>
        <v>0</v>
      </c>
      <c r="P92" s="35">
        <f>SUM(J92:O92)</f>
        <v>1</v>
      </c>
    </row>
    <row r="93" spans="1:16" s="2" customFormat="1" ht="27" x14ac:dyDescent="0.3">
      <c r="A93" s="735"/>
      <c r="B93" s="24" t="s">
        <v>102</v>
      </c>
      <c r="C93" s="11"/>
      <c r="D93" s="136">
        <f t="shared" si="55"/>
        <v>0</v>
      </c>
      <c r="E93" s="136">
        <f t="shared" si="55"/>
        <v>0</v>
      </c>
      <c r="F93" s="136">
        <f t="shared" si="55"/>
        <v>0</v>
      </c>
      <c r="G93" s="136">
        <f t="shared" si="55"/>
        <v>0</v>
      </c>
      <c r="H93" s="136">
        <f t="shared" si="55"/>
        <v>0</v>
      </c>
      <c r="I93" s="136">
        <f t="shared" si="55"/>
        <v>0</v>
      </c>
      <c r="J93" s="136">
        <f t="shared" si="56"/>
        <v>1009</v>
      </c>
      <c r="K93" s="136">
        <f t="shared" si="56"/>
        <v>3</v>
      </c>
      <c r="L93" s="136">
        <f t="shared" si="56"/>
        <v>9</v>
      </c>
      <c r="M93" s="136">
        <f t="shared" si="56"/>
        <v>91</v>
      </c>
      <c r="N93" s="136">
        <f t="shared" si="56"/>
        <v>47</v>
      </c>
      <c r="O93" s="136">
        <f t="shared" si="56"/>
        <v>92</v>
      </c>
      <c r="P93" s="35">
        <f>SUM(J93:O93)</f>
        <v>1251</v>
      </c>
    </row>
    <row r="94" spans="1:16" s="2" customFormat="1" ht="15.6" x14ac:dyDescent="0.3">
      <c r="A94" s="735"/>
      <c r="B94" s="24" t="s">
        <v>188</v>
      </c>
      <c r="C94" s="11" t="s">
        <v>3</v>
      </c>
      <c r="D94" s="137">
        <f>D93+D92</f>
        <v>0</v>
      </c>
      <c r="E94" s="137">
        <f t="shared" ref="E94:I94" si="57">E93+E92</f>
        <v>0</v>
      </c>
      <c r="F94" s="137">
        <f t="shared" si="57"/>
        <v>0</v>
      </c>
      <c r="G94" s="137">
        <f t="shared" si="57"/>
        <v>0</v>
      </c>
      <c r="H94" s="137">
        <f t="shared" si="57"/>
        <v>0</v>
      </c>
      <c r="I94" s="137">
        <f t="shared" si="57"/>
        <v>0</v>
      </c>
      <c r="J94" s="137">
        <f t="shared" ref="J94:P94" si="58">J93+J92</f>
        <v>1009</v>
      </c>
      <c r="K94" s="137">
        <f t="shared" si="58"/>
        <v>3</v>
      </c>
      <c r="L94" s="137">
        <f t="shared" si="58"/>
        <v>10</v>
      </c>
      <c r="M94" s="137">
        <f t="shared" si="58"/>
        <v>91</v>
      </c>
      <c r="N94" s="137">
        <f t="shared" si="58"/>
        <v>47</v>
      </c>
      <c r="O94" s="137">
        <f t="shared" si="58"/>
        <v>92</v>
      </c>
      <c r="P94" s="144">
        <f t="shared" si="58"/>
        <v>1252</v>
      </c>
    </row>
    <row r="95" spans="1:16" ht="16.2" thickBot="1" x14ac:dyDescent="0.35">
      <c r="A95" s="736"/>
      <c r="B95" s="24" t="s">
        <v>81</v>
      </c>
      <c r="C95" s="11" t="s">
        <v>3</v>
      </c>
      <c r="D95" s="138">
        <f>D90+D91-D94</f>
        <v>0</v>
      </c>
      <c r="E95" s="138">
        <f t="shared" ref="E95:I95" si="59">E90+E91-E94</f>
        <v>0</v>
      </c>
      <c r="F95" s="138">
        <f t="shared" si="59"/>
        <v>0</v>
      </c>
      <c r="G95" s="138">
        <f t="shared" si="59"/>
        <v>0</v>
      </c>
      <c r="H95" s="138">
        <f t="shared" si="59"/>
        <v>0</v>
      </c>
      <c r="I95" s="138">
        <f t="shared" si="59"/>
        <v>0</v>
      </c>
      <c r="J95" s="138">
        <v>0</v>
      </c>
      <c r="K95" s="138">
        <f t="shared" ref="K95:P95" si="60">K90+K91-K94</f>
        <v>157</v>
      </c>
      <c r="L95" s="138">
        <f t="shared" si="60"/>
        <v>155</v>
      </c>
      <c r="M95" s="138">
        <f t="shared" si="60"/>
        <v>653</v>
      </c>
      <c r="N95" s="138">
        <f t="shared" si="60"/>
        <v>631</v>
      </c>
      <c r="O95" s="138">
        <f t="shared" si="60"/>
        <v>606</v>
      </c>
      <c r="P95" s="145">
        <f t="shared" si="60"/>
        <v>-544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7"/>
    </row>
    <row r="97" spans="1:16" s="2" customFormat="1" ht="15.75" customHeight="1" thickBot="1" x14ac:dyDescent="0.35">
      <c r="A97" s="737" t="s">
        <v>189</v>
      </c>
      <c r="B97" s="738"/>
      <c r="C97" s="738"/>
      <c r="D97" s="738"/>
      <c r="E97" s="738"/>
      <c r="F97" s="738"/>
      <c r="G97" s="738"/>
      <c r="H97" s="738"/>
      <c r="I97" s="738"/>
      <c r="J97" s="738"/>
      <c r="K97" s="738"/>
      <c r="L97" s="738"/>
      <c r="M97" s="738"/>
      <c r="N97" s="738"/>
      <c r="O97" s="738"/>
      <c r="P97" s="739"/>
    </row>
    <row r="98" spans="1:16" ht="15.6" x14ac:dyDescent="0.3">
      <c r="A98" s="88" t="s">
        <v>190</v>
      </c>
      <c r="B98" s="69"/>
      <c r="C98" s="11" t="s">
        <v>3</v>
      </c>
      <c r="D98" s="70">
        <v>0</v>
      </c>
      <c r="E98" s="70">
        <v>0</v>
      </c>
      <c r="F98" s="70">
        <v>0</v>
      </c>
      <c r="G98" s="70">
        <v>0</v>
      </c>
      <c r="H98" s="70">
        <v>0</v>
      </c>
      <c r="I98" s="70">
        <v>0</v>
      </c>
      <c r="J98" s="71">
        <v>1128</v>
      </c>
      <c r="K98" s="71">
        <v>3</v>
      </c>
      <c r="L98" s="71">
        <v>12</v>
      </c>
      <c r="M98" s="71">
        <v>91</v>
      </c>
      <c r="N98" s="71">
        <v>47</v>
      </c>
      <c r="O98" s="71">
        <v>92</v>
      </c>
      <c r="P98" s="108">
        <f>SUM(J98:O98)</f>
        <v>1373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7"/>
    </row>
    <row r="100" spans="1:16" s="2" customFormat="1" x14ac:dyDescent="0.3">
      <c r="A100" s="748" t="s">
        <v>101</v>
      </c>
      <c r="B100" s="749"/>
      <c r="C100" s="749"/>
      <c r="D100" s="749"/>
      <c r="E100" s="749"/>
      <c r="F100" s="749"/>
      <c r="G100" s="749"/>
      <c r="H100" s="749"/>
      <c r="I100" s="749"/>
      <c r="J100" s="749"/>
      <c r="K100" s="749"/>
      <c r="L100" s="749"/>
      <c r="M100" s="749"/>
      <c r="N100" s="749"/>
      <c r="O100" s="749"/>
      <c r="P100" s="750"/>
    </row>
    <row r="101" spans="1:16" ht="15.6" x14ac:dyDescent="0.3">
      <c r="A101" s="695" t="s">
        <v>100</v>
      </c>
      <c r="B101" s="696"/>
      <c r="C101" s="11" t="s">
        <v>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32">
        <f t="shared" ref="P101:P116" si="61">O101</f>
        <v>0</v>
      </c>
    </row>
    <row r="102" spans="1:16" ht="15.6" x14ac:dyDescent="0.3">
      <c r="A102" s="695" t="s">
        <v>99</v>
      </c>
      <c r="B102" s="696"/>
      <c r="C102" s="11" t="s">
        <v>3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32">
        <f t="shared" si="61"/>
        <v>0</v>
      </c>
    </row>
    <row r="103" spans="1:16" ht="15.6" customHeight="1" x14ac:dyDescent="0.3">
      <c r="A103" s="702" t="s">
        <v>98</v>
      </c>
      <c r="B103" s="703"/>
      <c r="C103" s="11" t="s">
        <v>3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32">
        <f t="shared" si="61"/>
        <v>0</v>
      </c>
    </row>
    <row r="104" spans="1:16" ht="15.6" x14ac:dyDescent="0.3">
      <c r="A104" s="702" t="s">
        <v>97</v>
      </c>
      <c r="B104" s="703"/>
      <c r="C104" s="11" t="s">
        <v>3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32">
        <f t="shared" si="61"/>
        <v>0</v>
      </c>
    </row>
    <row r="105" spans="1:16" ht="15.6" x14ac:dyDescent="0.3">
      <c r="A105" s="751" t="s">
        <v>96</v>
      </c>
      <c r="B105" s="752"/>
      <c r="C105" s="11" t="s">
        <v>3</v>
      </c>
      <c r="D105" s="33">
        <f>SUM(D101:D104)</f>
        <v>0</v>
      </c>
      <c r="E105" s="33">
        <f t="shared" ref="E105:I105" si="62">SUM(E101:E104)</f>
        <v>0</v>
      </c>
      <c r="F105" s="33">
        <f t="shared" si="62"/>
        <v>0</v>
      </c>
      <c r="G105" s="33">
        <f t="shared" si="62"/>
        <v>0</v>
      </c>
      <c r="H105" s="33">
        <f t="shared" si="62"/>
        <v>0</v>
      </c>
      <c r="I105" s="135">
        <f t="shared" si="62"/>
        <v>0</v>
      </c>
      <c r="J105" s="135">
        <f t="shared" ref="J105:O105" si="63">SUM(J101:J104)</f>
        <v>0</v>
      </c>
      <c r="K105" s="135">
        <f t="shared" si="63"/>
        <v>0</v>
      </c>
      <c r="L105" s="135">
        <f t="shared" si="63"/>
        <v>0</v>
      </c>
      <c r="M105" s="168">
        <f t="shared" si="63"/>
        <v>0</v>
      </c>
      <c r="N105" s="168">
        <f t="shared" si="63"/>
        <v>0</v>
      </c>
      <c r="O105" s="33">
        <f t="shared" si="63"/>
        <v>0</v>
      </c>
      <c r="P105" s="32">
        <f t="shared" si="61"/>
        <v>0</v>
      </c>
    </row>
    <row r="106" spans="1:16" s="2" customFormat="1" ht="15.6" customHeight="1" x14ac:dyDescent="0.3">
      <c r="A106" s="745" t="s">
        <v>210</v>
      </c>
      <c r="B106" s="746"/>
      <c r="C106" s="746"/>
      <c r="D106" s="746"/>
      <c r="E106" s="746"/>
      <c r="F106" s="746"/>
      <c r="G106" s="746"/>
      <c r="H106" s="746"/>
      <c r="I106" s="746"/>
      <c r="J106" s="746"/>
      <c r="K106" s="746"/>
      <c r="L106" s="746"/>
      <c r="M106" s="746"/>
      <c r="N106" s="746"/>
      <c r="O106" s="746"/>
      <c r="P106" s="747"/>
    </row>
    <row r="107" spans="1:16" ht="15.6" x14ac:dyDescent="0.3">
      <c r="A107" s="695" t="s">
        <v>193</v>
      </c>
      <c r="B107" s="696"/>
      <c r="C107" s="11" t="s">
        <v>3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156">
        <v>1</v>
      </c>
      <c r="M107" s="4">
        <v>0</v>
      </c>
      <c r="N107" s="4">
        <v>1</v>
      </c>
      <c r="O107" s="4">
        <v>0</v>
      </c>
      <c r="P107" s="185">
        <f t="shared" si="61"/>
        <v>0</v>
      </c>
    </row>
    <row r="108" spans="1:16" ht="15.6" x14ac:dyDescent="0.3">
      <c r="A108" s="695" t="s">
        <v>194</v>
      </c>
      <c r="B108" s="696"/>
      <c r="C108" s="11" t="s">
        <v>3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156">
        <v>1</v>
      </c>
      <c r="M108" s="4">
        <v>0</v>
      </c>
      <c r="N108" s="4">
        <v>0</v>
      </c>
      <c r="O108" s="4">
        <v>0</v>
      </c>
      <c r="P108" s="185">
        <f t="shared" si="61"/>
        <v>0</v>
      </c>
    </row>
    <row r="109" spans="1:16" ht="15.6" x14ac:dyDescent="0.3">
      <c r="A109" s="695" t="s">
        <v>195</v>
      </c>
      <c r="B109" s="696"/>
      <c r="C109" s="11" t="s">
        <v>3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185">
        <f t="shared" si="61"/>
        <v>0</v>
      </c>
    </row>
    <row r="110" spans="1:16" ht="15.6" x14ac:dyDescent="0.3">
      <c r="A110" s="695" t="s">
        <v>196</v>
      </c>
      <c r="B110" s="696"/>
      <c r="C110" s="11" t="s">
        <v>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185">
        <f t="shared" si="61"/>
        <v>0</v>
      </c>
    </row>
    <row r="111" spans="1:16" ht="15.6" x14ac:dyDescent="0.3">
      <c r="A111" s="697" t="s">
        <v>95</v>
      </c>
      <c r="B111" s="698"/>
      <c r="C111" s="11" t="s">
        <v>3</v>
      </c>
      <c r="D111" s="33">
        <f>SUM(D107:D110)</f>
        <v>0</v>
      </c>
      <c r="E111" s="33">
        <f t="shared" ref="E111:I111" si="64">SUM(E107:E110)</f>
        <v>0</v>
      </c>
      <c r="F111" s="33">
        <f t="shared" si="64"/>
        <v>0</v>
      </c>
      <c r="G111" s="33">
        <f t="shared" si="64"/>
        <v>0</v>
      </c>
      <c r="H111" s="33">
        <f t="shared" si="64"/>
        <v>0</v>
      </c>
      <c r="I111" s="33">
        <f t="shared" si="64"/>
        <v>0</v>
      </c>
      <c r="J111" s="33">
        <f t="shared" ref="J111:O111" si="65">SUM(J107:J110)</f>
        <v>0</v>
      </c>
      <c r="K111" s="33">
        <f t="shared" si="65"/>
        <v>0</v>
      </c>
      <c r="L111" s="168">
        <f t="shared" si="65"/>
        <v>2</v>
      </c>
      <c r="M111" s="168">
        <f t="shared" si="65"/>
        <v>0</v>
      </c>
      <c r="N111" s="168">
        <f t="shared" si="65"/>
        <v>1</v>
      </c>
      <c r="O111" s="33">
        <f t="shared" si="65"/>
        <v>0</v>
      </c>
      <c r="P111" s="185">
        <f t="shared" si="61"/>
        <v>0</v>
      </c>
    </row>
    <row r="112" spans="1:16" s="2" customFormat="1" ht="15.6" customHeight="1" x14ac:dyDescent="0.3">
      <c r="A112" s="748" t="s">
        <v>216</v>
      </c>
      <c r="B112" s="749"/>
      <c r="C112" s="749"/>
      <c r="D112" s="749"/>
      <c r="E112" s="749"/>
      <c r="F112" s="749"/>
      <c r="G112" s="749"/>
      <c r="H112" s="749"/>
      <c r="I112" s="749"/>
      <c r="J112" s="749"/>
      <c r="K112" s="749"/>
      <c r="L112" s="749"/>
      <c r="M112" s="749"/>
      <c r="N112" s="749"/>
      <c r="O112" s="749"/>
      <c r="P112" s="750"/>
    </row>
    <row r="113" spans="1:16" ht="15.6" x14ac:dyDescent="0.3">
      <c r="A113" s="695" t="s">
        <v>197</v>
      </c>
      <c r="B113" s="696"/>
      <c r="C113" s="11" t="s">
        <v>3</v>
      </c>
      <c r="D113" s="128">
        <v>0</v>
      </c>
      <c r="E113" s="128">
        <v>0</v>
      </c>
      <c r="F113" s="128">
        <v>0</v>
      </c>
      <c r="G113" s="128">
        <v>0</v>
      </c>
      <c r="H113" s="128">
        <v>0</v>
      </c>
      <c r="I113" s="128">
        <v>0</v>
      </c>
      <c r="J113" s="134"/>
      <c r="K113" s="134">
        <v>129</v>
      </c>
      <c r="L113" s="134">
        <v>187</v>
      </c>
      <c r="M113" s="4">
        <v>221</v>
      </c>
      <c r="N113" s="4">
        <v>280</v>
      </c>
      <c r="O113" s="4">
        <v>372</v>
      </c>
      <c r="P113" s="185">
        <f t="shared" si="61"/>
        <v>372</v>
      </c>
    </row>
    <row r="114" spans="1:16" ht="15.6" x14ac:dyDescent="0.3">
      <c r="A114" s="695" t="s">
        <v>198</v>
      </c>
      <c r="B114" s="696"/>
      <c r="C114" s="11" t="s">
        <v>3</v>
      </c>
      <c r="D114" s="128"/>
      <c r="E114" s="128"/>
      <c r="F114" s="128"/>
      <c r="G114" s="128"/>
      <c r="H114" s="128"/>
      <c r="I114" s="128"/>
      <c r="J114" s="134"/>
      <c r="K114" s="134">
        <v>4</v>
      </c>
      <c r="L114" s="134">
        <v>4</v>
      </c>
      <c r="M114" s="4">
        <v>4</v>
      </c>
      <c r="N114" s="4">
        <v>0</v>
      </c>
      <c r="O114" s="4">
        <v>0</v>
      </c>
      <c r="P114" s="185">
        <f t="shared" si="61"/>
        <v>0</v>
      </c>
    </row>
    <row r="115" spans="1:16" ht="15.6" x14ac:dyDescent="0.3">
      <c r="A115" s="695" t="s">
        <v>199</v>
      </c>
      <c r="B115" s="696"/>
      <c r="C115" s="11" t="s">
        <v>3</v>
      </c>
      <c r="D115" s="128"/>
      <c r="E115" s="128"/>
      <c r="F115" s="128"/>
      <c r="G115" s="128"/>
      <c r="H115" s="128"/>
      <c r="I115" s="128"/>
      <c r="J115" s="134"/>
      <c r="K115" s="134">
        <v>7</v>
      </c>
      <c r="L115" s="134">
        <v>8</v>
      </c>
      <c r="M115" s="4">
        <v>8</v>
      </c>
      <c r="N115" s="4">
        <v>0</v>
      </c>
      <c r="O115" s="4">
        <v>0</v>
      </c>
      <c r="P115" s="185">
        <f t="shared" si="61"/>
        <v>0</v>
      </c>
    </row>
    <row r="116" spans="1:16" ht="15.6" x14ac:dyDescent="0.3">
      <c r="A116" s="695" t="s">
        <v>200</v>
      </c>
      <c r="B116" s="696"/>
      <c r="C116" s="11" t="s">
        <v>3</v>
      </c>
      <c r="D116" s="128"/>
      <c r="E116" s="128"/>
      <c r="F116" s="128"/>
      <c r="G116" s="128"/>
      <c r="H116" s="128"/>
      <c r="I116" s="128"/>
      <c r="J116" s="134"/>
      <c r="K116" s="134">
        <v>1</v>
      </c>
      <c r="L116" s="134">
        <v>1</v>
      </c>
      <c r="M116" s="4">
        <v>1</v>
      </c>
      <c r="N116" s="4">
        <v>0</v>
      </c>
      <c r="O116" s="4">
        <v>0</v>
      </c>
      <c r="P116" s="185">
        <f t="shared" si="61"/>
        <v>0</v>
      </c>
    </row>
    <row r="117" spans="1:16" ht="15.6" x14ac:dyDescent="0.3">
      <c r="A117" s="697" t="s">
        <v>94</v>
      </c>
      <c r="B117" s="698"/>
      <c r="C117" s="11" t="s">
        <v>3</v>
      </c>
      <c r="D117" s="33">
        <f>SUM(D113:D116)</f>
        <v>0</v>
      </c>
      <c r="E117" s="33">
        <f t="shared" ref="E117:G117" si="66">SUM(E113:E116)</f>
        <v>0</v>
      </c>
      <c r="F117" s="33">
        <f t="shared" si="66"/>
        <v>0</v>
      </c>
      <c r="G117" s="33">
        <f t="shared" si="66"/>
        <v>0</v>
      </c>
      <c r="H117" s="33">
        <f t="shared" ref="H117:I117" si="67">SUM(H113:H116)</f>
        <v>0</v>
      </c>
      <c r="I117" s="33">
        <f t="shared" si="67"/>
        <v>0</v>
      </c>
      <c r="J117" s="33">
        <f t="shared" ref="J117:O117" si="68">SUM(J113:J116)</f>
        <v>0</v>
      </c>
      <c r="K117" s="33">
        <f t="shared" si="68"/>
        <v>141</v>
      </c>
      <c r="L117" s="33">
        <f t="shared" si="68"/>
        <v>200</v>
      </c>
      <c r="M117" s="33">
        <f t="shared" si="68"/>
        <v>234</v>
      </c>
      <c r="N117" s="33">
        <f t="shared" si="68"/>
        <v>280</v>
      </c>
      <c r="O117" s="33">
        <f t="shared" si="68"/>
        <v>372</v>
      </c>
      <c r="P117" s="55">
        <f t="shared" ref="P117" si="69">SUM(P113:P116)</f>
        <v>372</v>
      </c>
    </row>
    <row r="118" spans="1:16" s="2" customFormat="1" ht="15.6" x14ac:dyDescent="0.3">
      <c r="A118" s="624" t="s">
        <v>191</v>
      </c>
      <c r="B118" s="625"/>
      <c r="C118" s="11" t="s">
        <v>3</v>
      </c>
      <c r="D118" s="33">
        <f t="shared" ref="D118:I118" si="70">D111+D117</f>
        <v>0</v>
      </c>
      <c r="E118" s="33">
        <f t="shared" si="70"/>
        <v>0</v>
      </c>
      <c r="F118" s="33">
        <f t="shared" si="70"/>
        <v>0</v>
      </c>
      <c r="G118" s="33">
        <f t="shared" si="70"/>
        <v>0</v>
      </c>
      <c r="H118" s="33">
        <f t="shared" si="70"/>
        <v>0</v>
      </c>
      <c r="I118" s="33">
        <f t="shared" si="70"/>
        <v>0</v>
      </c>
      <c r="J118" s="33">
        <f t="shared" ref="J118:P118" si="71">J111+J117</f>
        <v>0</v>
      </c>
      <c r="K118" s="33">
        <f t="shared" si="71"/>
        <v>141</v>
      </c>
      <c r="L118" s="33">
        <f t="shared" si="71"/>
        <v>202</v>
      </c>
      <c r="M118" s="33">
        <f t="shared" si="71"/>
        <v>234</v>
      </c>
      <c r="N118" s="33">
        <f t="shared" si="71"/>
        <v>281</v>
      </c>
      <c r="O118" s="33">
        <f t="shared" si="71"/>
        <v>372</v>
      </c>
      <c r="P118" s="33">
        <f t="shared" si="71"/>
        <v>372</v>
      </c>
    </row>
    <row r="119" spans="1:16" ht="15.6" x14ac:dyDescent="0.3">
      <c r="A119" s="697" t="s">
        <v>192</v>
      </c>
      <c r="B119" s="698"/>
      <c r="C119" s="11" t="s">
        <v>3</v>
      </c>
      <c r="D119" s="33">
        <f t="shared" ref="D119:I119" si="72">D105+D118</f>
        <v>0</v>
      </c>
      <c r="E119" s="33">
        <f t="shared" si="72"/>
        <v>0</v>
      </c>
      <c r="F119" s="33">
        <f t="shared" si="72"/>
        <v>0</v>
      </c>
      <c r="G119" s="33">
        <f t="shared" si="72"/>
        <v>0</v>
      </c>
      <c r="H119" s="33">
        <f t="shared" si="72"/>
        <v>0</v>
      </c>
      <c r="I119" s="33">
        <f t="shared" si="72"/>
        <v>0</v>
      </c>
      <c r="J119" s="33">
        <f t="shared" ref="J119:P119" si="73">J105+J118</f>
        <v>0</v>
      </c>
      <c r="K119" s="33">
        <f t="shared" si="73"/>
        <v>141</v>
      </c>
      <c r="L119" s="33">
        <f t="shared" si="73"/>
        <v>202</v>
      </c>
      <c r="M119" s="33">
        <f t="shared" si="73"/>
        <v>234</v>
      </c>
      <c r="N119" s="33">
        <f t="shared" si="73"/>
        <v>281</v>
      </c>
      <c r="O119" s="33">
        <f t="shared" si="73"/>
        <v>372</v>
      </c>
      <c r="P119" s="33">
        <f t="shared" si="73"/>
        <v>372</v>
      </c>
    </row>
    <row r="120" spans="1:16" x14ac:dyDescent="0.3">
      <c r="A120" s="699" t="s">
        <v>201</v>
      </c>
      <c r="B120" s="700"/>
      <c r="C120" s="700"/>
      <c r="D120" s="700"/>
      <c r="E120" s="700"/>
      <c r="F120" s="700"/>
      <c r="G120" s="700"/>
      <c r="H120" s="700"/>
      <c r="I120" s="700"/>
      <c r="J120" s="700"/>
      <c r="K120" s="700"/>
      <c r="L120" s="700"/>
      <c r="M120" s="700"/>
      <c r="N120" s="700"/>
      <c r="O120" s="700"/>
      <c r="P120" s="701"/>
    </row>
    <row r="121" spans="1:16" ht="15.6" x14ac:dyDescent="0.3">
      <c r="A121" s="695" t="s">
        <v>93</v>
      </c>
      <c r="B121" s="696"/>
      <c r="C121" s="5" t="s">
        <v>3</v>
      </c>
      <c r="D121" s="129">
        <v>0</v>
      </c>
      <c r="E121" s="129">
        <v>0</v>
      </c>
      <c r="F121" s="129">
        <v>0</v>
      </c>
      <c r="G121" s="129">
        <v>0</v>
      </c>
      <c r="H121" s="129">
        <v>0</v>
      </c>
      <c r="I121" s="129">
        <v>0</v>
      </c>
      <c r="J121" s="129"/>
      <c r="K121" s="129"/>
      <c r="L121" s="129"/>
      <c r="M121" s="129"/>
      <c r="N121" s="129"/>
      <c r="O121" s="129"/>
      <c r="P121" s="31">
        <f>O121</f>
        <v>0</v>
      </c>
    </row>
    <row r="122" spans="1:16" ht="15.6" x14ac:dyDescent="0.3">
      <c r="A122" s="695" t="s">
        <v>92</v>
      </c>
      <c r="B122" s="696"/>
      <c r="C122" s="5" t="s">
        <v>3</v>
      </c>
      <c r="D122" s="129">
        <v>0</v>
      </c>
      <c r="E122" s="129">
        <v>0</v>
      </c>
      <c r="F122" s="129">
        <v>0</v>
      </c>
      <c r="G122" s="129">
        <v>0</v>
      </c>
      <c r="H122" s="129">
        <v>0</v>
      </c>
      <c r="I122" s="129">
        <v>0</v>
      </c>
      <c r="J122" s="129"/>
      <c r="K122" s="129"/>
      <c r="L122" s="129"/>
      <c r="M122" s="129"/>
      <c r="N122" s="129"/>
      <c r="O122" s="129"/>
      <c r="P122" s="31">
        <f>O122</f>
        <v>0</v>
      </c>
    </row>
    <row r="123" spans="1:16" ht="15.6" x14ac:dyDescent="0.3">
      <c r="A123" s="753" t="s">
        <v>91</v>
      </c>
      <c r="B123" s="754"/>
      <c r="C123" s="30" t="s">
        <v>6</v>
      </c>
      <c r="D123" s="29" t="e">
        <f t="shared" ref="D123:I123" si="74">D122/D121</f>
        <v>#DIV/0!</v>
      </c>
      <c r="E123" s="29" t="e">
        <f t="shared" si="74"/>
        <v>#DIV/0!</v>
      </c>
      <c r="F123" s="29" t="e">
        <f t="shared" si="74"/>
        <v>#DIV/0!</v>
      </c>
      <c r="G123" s="29" t="e">
        <f t="shared" si="74"/>
        <v>#DIV/0!</v>
      </c>
      <c r="H123" s="29" t="e">
        <f t="shared" si="74"/>
        <v>#DIV/0!</v>
      </c>
      <c r="I123" s="29" t="e">
        <f t="shared" si="74"/>
        <v>#DIV/0!</v>
      </c>
      <c r="J123" s="29" t="e">
        <f t="shared" ref="J123:P123" si="75">J122/J121</f>
        <v>#DIV/0!</v>
      </c>
      <c r="K123" s="29" t="e">
        <f t="shared" si="75"/>
        <v>#DIV/0!</v>
      </c>
      <c r="L123" s="29" t="e">
        <f t="shared" si="75"/>
        <v>#DIV/0!</v>
      </c>
      <c r="M123" s="29" t="e">
        <f t="shared" si="75"/>
        <v>#DIV/0!</v>
      </c>
      <c r="N123" s="29" t="e">
        <f t="shared" si="75"/>
        <v>#DIV/0!</v>
      </c>
      <c r="O123" s="29" t="e">
        <f t="shared" si="75"/>
        <v>#DIV/0!</v>
      </c>
      <c r="P123" s="109" t="e">
        <f t="shared" si="75"/>
        <v>#DIV/0!</v>
      </c>
    </row>
    <row r="124" spans="1:16" x14ac:dyDescent="0.3">
      <c r="A124" s="755" t="s">
        <v>90</v>
      </c>
      <c r="B124" s="756"/>
      <c r="C124" s="756"/>
      <c r="D124" s="756"/>
      <c r="E124" s="756"/>
      <c r="F124" s="756"/>
      <c r="G124" s="756"/>
      <c r="H124" s="756"/>
      <c r="I124" s="756"/>
      <c r="J124" s="756"/>
      <c r="K124" s="756"/>
      <c r="L124" s="756"/>
      <c r="M124" s="756"/>
      <c r="N124" s="756"/>
      <c r="O124" s="756"/>
      <c r="P124" s="757"/>
    </row>
    <row r="125" spans="1:16" ht="15.6" x14ac:dyDescent="0.3">
      <c r="A125" s="711" t="s">
        <v>224</v>
      </c>
      <c r="B125" s="24" t="s">
        <v>85</v>
      </c>
      <c r="C125" s="11" t="s">
        <v>3</v>
      </c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25">
        <f>J125</f>
        <v>0</v>
      </c>
    </row>
    <row r="126" spans="1:16" ht="15.6" x14ac:dyDescent="0.3">
      <c r="A126" s="761"/>
      <c r="B126" s="24" t="s">
        <v>84</v>
      </c>
      <c r="C126" s="11" t="s">
        <v>3</v>
      </c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8">
        <f>SUM(J126:O126)</f>
        <v>0</v>
      </c>
    </row>
    <row r="127" spans="1:16" ht="15.6" x14ac:dyDescent="0.3">
      <c r="A127" s="761"/>
      <c r="B127" s="82" t="s">
        <v>88</v>
      </c>
      <c r="C127" s="11" t="s">
        <v>3</v>
      </c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8">
        <f>SUM(J127:O127)</f>
        <v>0</v>
      </c>
    </row>
    <row r="128" spans="1:16" ht="15.6" x14ac:dyDescent="0.3">
      <c r="A128" s="761"/>
      <c r="B128" s="24" t="s">
        <v>82</v>
      </c>
      <c r="C128" s="11" t="s">
        <v>3</v>
      </c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8">
        <f>SUM(J128:O128)</f>
        <v>0</v>
      </c>
    </row>
    <row r="129" spans="1:16" ht="15.6" x14ac:dyDescent="0.3">
      <c r="A129" s="712"/>
      <c r="B129" s="24" t="s">
        <v>81</v>
      </c>
      <c r="C129" s="11" t="s">
        <v>3</v>
      </c>
      <c r="D129" s="157">
        <f t="shared" ref="D129:I129" si="76">D125+D126-D127-D128</f>
        <v>0</v>
      </c>
      <c r="E129" s="157">
        <f t="shared" si="76"/>
        <v>0</v>
      </c>
      <c r="F129" s="157">
        <f t="shared" si="76"/>
        <v>0</v>
      </c>
      <c r="G129" s="157">
        <f t="shared" si="76"/>
        <v>0</v>
      </c>
      <c r="H129" s="157">
        <f t="shared" si="76"/>
        <v>0</v>
      </c>
      <c r="I129" s="157">
        <f t="shared" si="76"/>
        <v>0</v>
      </c>
      <c r="J129" s="157">
        <f t="shared" ref="J129:O129" si="77">J125+J126-J127-J128</f>
        <v>0</v>
      </c>
      <c r="K129" s="157">
        <f t="shared" si="77"/>
        <v>0</v>
      </c>
      <c r="L129" s="157">
        <f t="shared" si="77"/>
        <v>0</v>
      </c>
      <c r="M129" s="157">
        <f t="shared" si="77"/>
        <v>0</v>
      </c>
      <c r="N129" s="157">
        <f t="shared" si="77"/>
        <v>0</v>
      </c>
      <c r="O129" s="157">
        <f t="shared" si="77"/>
        <v>0</v>
      </c>
      <c r="P129" s="25">
        <f>P125+P126-P127-P128</f>
        <v>0</v>
      </c>
    </row>
    <row r="130" spans="1:16" ht="15.6" x14ac:dyDescent="0.3">
      <c r="A130" s="711" t="s">
        <v>225</v>
      </c>
      <c r="B130" s="28" t="s">
        <v>85</v>
      </c>
      <c r="C130" s="27" t="s">
        <v>3</v>
      </c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25">
        <f>J130</f>
        <v>0</v>
      </c>
    </row>
    <row r="131" spans="1:16" ht="15.6" x14ac:dyDescent="0.3">
      <c r="A131" s="761"/>
      <c r="B131" s="24" t="s">
        <v>84</v>
      </c>
      <c r="C131" s="11" t="s">
        <v>3</v>
      </c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8">
        <f>SUM(J131:O131)</f>
        <v>0</v>
      </c>
    </row>
    <row r="132" spans="1:16" ht="15.6" x14ac:dyDescent="0.3">
      <c r="A132" s="761"/>
      <c r="B132" s="82" t="s">
        <v>88</v>
      </c>
      <c r="C132" s="11" t="s">
        <v>3</v>
      </c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8">
        <f>SUM(J132:O132)</f>
        <v>0</v>
      </c>
    </row>
    <row r="133" spans="1:16" ht="15.6" x14ac:dyDescent="0.3">
      <c r="A133" s="761"/>
      <c r="B133" s="24" t="s">
        <v>82</v>
      </c>
      <c r="C133" s="11" t="s">
        <v>3</v>
      </c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8">
        <f>SUM(J133:O133)</f>
        <v>0</v>
      </c>
    </row>
    <row r="134" spans="1:16" ht="15.6" x14ac:dyDescent="0.3">
      <c r="A134" s="712"/>
      <c r="B134" s="24" t="s">
        <v>81</v>
      </c>
      <c r="C134" s="11" t="s">
        <v>3</v>
      </c>
      <c r="D134" s="157">
        <f t="shared" ref="D134:I134" si="78">D130+D131-D132-D133</f>
        <v>0</v>
      </c>
      <c r="E134" s="157">
        <f t="shared" si="78"/>
        <v>0</v>
      </c>
      <c r="F134" s="157">
        <f t="shared" si="78"/>
        <v>0</v>
      </c>
      <c r="G134" s="157">
        <f t="shared" si="78"/>
        <v>0</v>
      </c>
      <c r="H134" s="157">
        <f t="shared" si="78"/>
        <v>0</v>
      </c>
      <c r="I134" s="157">
        <f t="shared" si="78"/>
        <v>0</v>
      </c>
      <c r="J134" s="157">
        <f t="shared" ref="J134:O134" si="79">J130+J131-J132-J133</f>
        <v>0</v>
      </c>
      <c r="K134" s="157">
        <f t="shared" si="79"/>
        <v>0</v>
      </c>
      <c r="L134" s="157">
        <f t="shared" si="79"/>
        <v>0</v>
      </c>
      <c r="M134" s="157">
        <f t="shared" si="79"/>
        <v>0</v>
      </c>
      <c r="N134" s="157">
        <f t="shared" si="79"/>
        <v>0</v>
      </c>
      <c r="O134" s="157">
        <f t="shared" si="79"/>
        <v>0</v>
      </c>
      <c r="P134" s="25">
        <f>P130+P131-P132-P133</f>
        <v>0</v>
      </c>
    </row>
    <row r="135" spans="1:16" ht="15.6" x14ac:dyDescent="0.3">
      <c r="A135" s="711" t="s">
        <v>89</v>
      </c>
      <c r="B135" s="24" t="s">
        <v>85</v>
      </c>
      <c r="C135" s="11" t="s">
        <v>3</v>
      </c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25">
        <f>J135</f>
        <v>0</v>
      </c>
    </row>
    <row r="136" spans="1:16" ht="15.6" x14ac:dyDescent="0.3">
      <c r="A136" s="761"/>
      <c r="B136" s="24" t="s">
        <v>84</v>
      </c>
      <c r="C136" s="11" t="s">
        <v>3</v>
      </c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8">
        <f>SUM(J136:O136)</f>
        <v>0</v>
      </c>
    </row>
    <row r="137" spans="1:16" ht="15.6" x14ac:dyDescent="0.3">
      <c r="A137" s="761"/>
      <c r="B137" s="82" t="s">
        <v>88</v>
      </c>
      <c r="C137" s="11" t="s">
        <v>3</v>
      </c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8">
        <f>SUM(J137:O137)</f>
        <v>0</v>
      </c>
    </row>
    <row r="138" spans="1:16" ht="15.6" x14ac:dyDescent="0.3">
      <c r="A138" s="761"/>
      <c r="B138" s="24" t="s">
        <v>82</v>
      </c>
      <c r="C138" s="11" t="s">
        <v>3</v>
      </c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8">
        <f>SUM(J138:O138)</f>
        <v>0</v>
      </c>
    </row>
    <row r="139" spans="1:16" ht="15.6" x14ac:dyDescent="0.3">
      <c r="A139" s="712"/>
      <c r="B139" s="24" t="s">
        <v>81</v>
      </c>
      <c r="C139" s="11" t="s">
        <v>3</v>
      </c>
      <c r="D139" s="157">
        <f t="shared" ref="D139:I139" si="80">D135+D136-D137-D138</f>
        <v>0</v>
      </c>
      <c r="E139" s="157">
        <f t="shared" si="80"/>
        <v>0</v>
      </c>
      <c r="F139" s="157">
        <f t="shared" si="80"/>
        <v>0</v>
      </c>
      <c r="G139" s="157">
        <f t="shared" si="80"/>
        <v>0</v>
      </c>
      <c r="H139" s="157">
        <f t="shared" si="80"/>
        <v>0</v>
      </c>
      <c r="I139" s="157">
        <f t="shared" si="80"/>
        <v>0</v>
      </c>
      <c r="J139" s="157">
        <f t="shared" ref="J139:O139" si="81">J135+J136-J137-J138</f>
        <v>0</v>
      </c>
      <c r="K139" s="157">
        <f t="shared" si="81"/>
        <v>0</v>
      </c>
      <c r="L139" s="157">
        <f t="shared" si="81"/>
        <v>0</v>
      </c>
      <c r="M139" s="157">
        <f t="shared" si="81"/>
        <v>0</v>
      </c>
      <c r="N139" s="157">
        <f t="shared" si="81"/>
        <v>0</v>
      </c>
      <c r="O139" s="157">
        <f t="shared" si="81"/>
        <v>0</v>
      </c>
      <c r="P139" s="25">
        <f>P135+P136-P137-P138</f>
        <v>0</v>
      </c>
    </row>
    <row r="140" spans="1:16" ht="15.6" x14ac:dyDescent="0.3">
      <c r="A140" s="711" t="s">
        <v>87</v>
      </c>
      <c r="B140" s="24" t="s">
        <v>85</v>
      </c>
      <c r="C140" s="11" t="s">
        <v>3</v>
      </c>
      <c r="D140" s="157">
        <v>0</v>
      </c>
      <c r="E140" s="157">
        <v>0</v>
      </c>
      <c r="F140" s="157">
        <v>0</v>
      </c>
      <c r="G140" s="157">
        <v>0</v>
      </c>
      <c r="H140" s="157">
        <v>0</v>
      </c>
      <c r="I140" s="157">
        <v>0</v>
      </c>
      <c r="J140" s="157"/>
      <c r="K140" s="157"/>
      <c r="L140" s="157"/>
      <c r="M140" s="157"/>
      <c r="N140" s="157"/>
      <c r="O140" s="157"/>
      <c r="P140" s="25">
        <f>J140</f>
        <v>0</v>
      </c>
    </row>
    <row r="141" spans="1:16" ht="15.6" x14ac:dyDescent="0.3">
      <c r="A141" s="761"/>
      <c r="B141" s="24" t="s">
        <v>84</v>
      </c>
      <c r="C141" s="11" t="s">
        <v>3</v>
      </c>
      <c r="D141" s="156">
        <v>0</v>
      </c>
      <c r="E141" s="156">
        <v>0</v>
      </c>
      <c r="F141" s="156">
        <v>0</v>
      </c>
      <c r="G141" s="156">
        <v>0</v>
      </c>
      <c r="H141" s="156">
        <v>0</v>
      </c>
      <c r="I141" s="156">
        <v>0</v>
      </c>
      <c r="J141" s="156"/>
      <c r="K141" s="156"/>
      <c r="L141" s="156"/>
      <c r="M141" s="156"/>
      <c r="N141" s="156"/>
      <c r="O141" s="156"/>
      <c r="P141" s="18">
        <f>SUM(J141:O141)</f>
        <v>0</v>
      </c>
    </row>
    <row r="142" spans="1:16" ht="15.6" x14ac:dyDescent="0.3">
      <c r="A142" s="761"/>
      <c r="B142" s="24" t="s">
        <v>83</v>
      </c>
      <c r="C142" s="11" t="s">
        <v>3</v>
      </c>
      <c r="D142" s="156">
        <v>0</v>
      </c>
      <c r="E142" s="156">
        <v>0</v>
      </c>
      <c r="F142" s="156">
        <v>0</v>
      </c>
      <c r="G142" s="156">
        <v>0</v>
      </c>
      <c r="H142" s="156">
        <v>0</v>
      </c>
      <c r="I142" s="156">
        <v>0</v>
      </c>
      <c r="J142" s="156"/>
      <c r="K142" s="156"/>
      <c r="L142" s="156"/>
      <c r="M142" s="156"/>
      <c r="N142" s="156"/>
      <c r="O142" s="156"/>
      <c r="P142" s="18">
        <f>SUM(J142:O142)</f>
        <v>0</v>
      </c>
    </row>
    <row r="143" spans="1:16" ht="15.6" x14ac:dyDescent="0.3">
      <c r="A143" s="761"/>
      <c r="B143" s="24" t="s">
        <v>82</v>
      </c>
      <c r="C143" s="11" t="s">
        <v>3</v>
      </c>
      <c r="D143" s="156">
        <v>0</v>
      </c>
      <c r="E143" s="156">
        <v>0</v>
      </c>
      <c r="F143" s="156">
        <v>0</v>
      </c>
      <c r="G143" s="156">
        <v>0</v>
      </c>
      <c r="H143" s="156">
        <v>0</v>
      </c>
      <c r="I143" s="156">
        <v>0</v>
      </c>
      <c r="J143" s="156"/>
      <c r="K143" s="156"/>
      <c r="L143" s="156"/>
      <c r="M143" s="156"/>
      <c r="N143" s="156"/>
      <c r="O143" s="156"/>
      <c r="P143" s="18">
        <f>SUM(J143:O143)</f>
        <v>0</v>
      </c>
    </row>
    <row r="144" spans="1:16" ht="15.6" x14ac:dyDescent="0.3">
      <c r="A144" s="712"/>
      <c r="B144" s="24" t="s">
        <v>81</v>
      </c>
      <c r="C144" s="11" t="s">
        <v>3</v>
      </c>
      <c r="D144" s="157">
        <v>0</v>
      </c>
      <c r="E144" s="157">
        <v>0</v>
      </c>
      <c r="F144" s="157">
        <v>0</v>
      </c>
      <c r="G144" s="157">
        <v>0</v>
      </c>
      <c r="H144" s="157">
        <v>0</v>
      </c>
      <c r="I144" s="157">
        <v>0</v>
      </c>
      <c r="J144" s="157"/>
      <c r="K144" s="157">
        <f t="shared" ref="K144:O144" si="82">K140+K141-K142-K143</f>
        <v>0</v>
      </c>
      <c r="L144" s="157">
        <f t="shared" si="82"/>
        <v>0</v>
      </c>
      <c r="M144" s="157">
        <f t="shared" si="82"/>
        <v>0</v>
      </c>
      <c r="N144" s="157">
        <f t="shared" si="82"/>
        <v>0</v>
      </c>
      <c r="O144" s="157">
        <f t="shared" si="82"/>
        <v>0</v>
      </c>
      <c r="P144" s="25">
        <f>P140+P141-P142-P143</f>
        <v>0</v>
      </c>
    </row>
    <row r="145" spans="1:16" s="2" customFormat="1" ht="15.6" x14ac:dyDescent="0.3">
      <c r="A145" s="711" t="s">
        <v>86</v>
      </c>
      <c r="B145" s="24" t="s">
        <v>85</v>
      </c>
      <c r="C145" s="11" t="s">
        <v>3</v>
      </c>
      <c r="D145" s="23">
        <f t="shared" ref="D145:I148" si="83">D125+D130+D135+D140</f>
        <v>0</v>
      </c>
      <c r="E145" s="23">
        <f t="shared" si="83"/>
        <v>0</v>
      </c>
      <c r="F145" s="23">
        <f t="shared" si="83"/>
        <v>0</v>
      </c>
      <c r="G145" s="23">
        <f t="shared" si="83"/>
        <v>0</v>
      </c>
      <c r="H145" s="23">
        <f t="shared" si="83"/>
        <v>0</v>
      </c>
      <c r="I145" s="23">
        <f t="shared" si="83"/>
        <v>0</v>
      </c>
      <c r="J145" s="23">
        <f t="shared" ref="J145:P149" si="84">J125+J130+J135+J140</f>
        <v>0</v>
      </c>
      <c r="K145" s="23">
        <f t="shared" si="84"/>
        <v>0</v>
      </c>
      <c r="L145" s="23">
        <f t="shared" si="84"/>
        <v>0</v>
      </c>
      <c r="M145" s="23">
        <f t="shared" si="84"/>
        <v>0</v>
      </c>
      <c r="N145" s="23">
        <f t="shared" si="84"/>
        <v>0</v>
      </c>
      <c r="O145" s="23">
        <f t="shared" si="84"/>
        <v>0</v>
      </c>
      <c r="P145" s="110">
        <f t="shared" si="84"/>
        <v>0</v>
      </c>
    </row>
    <row r="146" spans="1:16" ht="15.6" x14ac:dyDescent="0.3">
      <c r="A146" s="761"/>
      <c r="B146" s="24" t="s">
        <v>84</v>
      </c>
      <c r="C146" s="11" t="s">
        <v>3</v>
      </c>
      <c r="D146" s="23">
        <f t="shared" si="83"/>
        <v>0</v>
      </c>
      <c r="E146" s="23">
        <f t="shared" si="83"/>
        <v>0</v>
      </c>
      <c r="F146" s="23">
        <f t="shared" si="83"/>
        <v>0</v>
      </c>
      <c r="G146" s="23">
        <f t="shared" si="83"/>
        <v>0</v>
      </c>
      <c r="H146" s="23">
        <f t="shared" si="83"/>
        <v>0</v>
      </c>
      <c r="I146" s="23">
        <f t="shared" si="83"/>
        <v>0</v>
      </c>
      <c r="J146" s="23">
        <f t="shared" si="84"/>
        <v>0</v>
      </c>
      <c r="K146" s="23">
        <f t="shared" si="84"/>
        <v>0</v>
      </c>
      <c r="L146" s="23">
        <f t="shared" si="84"/>
        <v>0</v>
      </c>
      <c r="M146" s="23">
        <f t="shared" si="84"/>
        <v>0</v>
      </c>
      <c r="N146" s="23">
        <f t="shared" si="84"/>
        <v>0</v>
      </c>
      <c r="O146" s="23">
        <f t="shared" si="84"/>
        <v>0</v>
      </c>
      <c r="P146" s="110">
        <f t="shared" si="84"/>
        <v>0</v>
      </c>
    </row>
    <row r="147" spans="1:16" ht="15.6" x14ac:dyDescent="0.3">
      <c r="A147" s="761"/>
      <c r="B147" s="24" t="s">
        <v>83</v>
      </c>
      <c r="C147" s="11" t="s">
        <v>3</v>
      </c>
      <c r="D147" s="23">
        <f t="shared" si="83"/>
        <v>0</v>
      </c>
      <c r="E147" s="23">
        <f t="shared" si="83"/>
        <v>0</v>
      </c>
      <c r="F147" s="23">
        <f t="shared" si="83"/>
        <v>0</v>
      </c>
      <c r="G147" s="23">
        <f t="shared" si="83"/>
        <v>0</v>
      </c>
      <c r="H147" s="23">
        <f t="shared" si="83"/>
        <v>0</v>
      </c>
      <c r="I147" s="23">
        <f t="shared" si="83"/>
        <v>0</v>
      </c>
      <c r="J147" s="23">
        <f t="shared" si="84"/>
        <v>0</v>
      </c>
      <c r="K147" s="23">
        <f t="shared" si="84"/>
        <v>0</v>
      </c>
      <c r="L147" s="23">
        <f t="shared" si="84"/>
        <v>0</v>
      </c>
      <c r="M147" s="23">
        <f t="shared" si="84"/>
        <v>0</v>
      </c>
      <c r="N147" s="23">
        <f t="shared" si="84"/>
        <v>0</v>
      </c>
      <c r="O147" s="23">
        <f t="shared" si="84"/>
        <v>0</v>
      </c>
      <c r="P147" s="110">
        <f t="shared" si="84"/>
        <v>0</v>
      </c>
    </row>
    <row r="148" spans="1:16" ht="15.6" x14ac:dyDescent="0.3">
      <c r="A148" s="761"/>
      <c r="B148" s="24" t="s">
        <v>82</v>
      </c>
      <c r="C148" s="11" t="s">
        <v>3</v>
      </c>
      <c r="D148" s="23">
        <f t="shared" si="83"/>
        <v>0</v>
      </c>
      <c r="E148" s="23">
        <f t="shared" si="83"/>
        <v>0</v>
      </c>
      <c r="F148" s="23">
        <f t="shared" si="83"/>
        <v>0</v>
      </c>
      <c r="G148" s="23">
        <f t="shared" si="83"/>
        <v>0</v>
      </c>
      <c r="H148" s="23">
        <f t="shared" si="83"/>
        <v>0</v>
      </c>
      <c r="I148" s="23">
        <f t="shared" si="83"/>
        <v>0</v>
      </c>
      <c r="J148" s="23">
        <f t="shared" si="84"/>
        <v>0</v>
      </c>
      <c r="K148" s="23">
        <f t="shared" si="84"/>
        <v>0</v>
      </c>
      <c r="L148" s="23">
        <f t="shared" si="84"/>
        <v>0</v>
      </c>
      <c r="M148" s="23">
        <f t="shared" si="84"/>
        <v>0</v>
      </c>
      <c r="N148" s="23">
        <f t="shared" si="84"/>
        <v>0</v>
      </c>
      <c r="O148" s="23">
        <f t="shared" si="84"/>
        <v>0</v>
      </c>
      <c r="P148" s="110">
        <f t="shared" si="84"/>
        <v>0</v>
      </c>
    </row>
    <row r="149" spans="1:16" ht="15.6" x14ac:dyDescent="0.3">
      <c r="A149" s="712"/>
      <c r="B149" s="24" t="s">
        <v>81</v>
      </c>
      <c r="C149" s="11" t="s">
        <v>3</v>
      </c>
      <c r="D149" s="157">
        <f t="shared" ref="D149:I149" si="85">D145+D146-D147-D148</f>
        <v>0</v>
      </c>
      <c r="E149" s="157">
        <f t="shared" si="85"/>
        <v>0</v>
      </c>
      <c r="F149" s="157">
        <f t="shared" si="85"/>
        <v>0</v>
      </c>
      <c r="G149" s="157">
        <f t="shared" si="85"/>
        <v>0</v>
      </c>
      <c r="H149" s="157">
        <f t="shared" si="85"/>
        <v>0</v>
      </c>
      <c r="I149" s="157">
        <f t="shared" si="85"/>
        <v>0</v>
      </c>
      <c r="J149" s="157">
        <f t="shared" ref="J149:O149" si="86">J145+J146-J147-J148</f>
        <v>0</v>
      </c>
      <c r="K149" s="157">
        <f t="shared" si="86"/>
        <v>0</v>
      </c>
      <c r="L149" s="157">
        <f t="shared" si="86"/>
        <v>0</v>
      </c>
      <c r="M149" s="157">
        <f t="shared" si="86"/>
        <v>0</v>
      </c>
      <c r="N149" s="157">
        <f t="shared" si="86"/>
        <v>0</v>
      </c>
      <c r="O149" s="157">
        <f t="shared" si="86"/>
        <v>0</v>
      </c>
      <c r="P149" s="110">
        <f t="shared" si="84"/>
        <v>0</v>
      </c>
    </row>
    <row r="150" spans="1:16" x14ac:dyDescent="0.3">
      <c r="A150" s="699" t="s">
        <v>80</v>
      </c>
      <c r="B150" s="700"/>
      <c r="C150" s="700"/>
      <c r="D150" s="700"/>
      <c r="E150" s="700"/>
      <c r="F150" s="700"/>
      <c r="G150" s="700"/>
      <c r="H150" s="700"/>
      <c r="I150" s="700"/>
      <c r="J150" s="700"/>
      <c r="K150" s="700"/>
      <c r="L150" s="700"/>
      <c r="M150" s="700"/>
      <c r="N150" s="700"/>
      <c r="O150" s="700"/>
      <c r="P150" s="701"/>
    </row>
    <row r="151" spans="1:16" ht="15.6" x14ac:dyDescent="0.3">
      <c r="A151" s="695" t="s">
        <v>79</v>
      </c>
      <c r="B151" s="696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758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759"/>
      <c r="B153" s="19" t="s">
        <v>73</v>
      </c>
      <c r="C153" s="11" t="s">
        <v>57</v>
      </c>
      <c r="D153" s="156">
        <v>0</v>
      </c>
      <c r="E153" s="156">
        <v>0</v>
      </c>
      <c r="F153" s="156">
        <v>0</v>
      </c>
      <c r="G153" s="156">
        <v>0</v>
      </c>
      <c r="H153" s="156">
        <v>0</v>
      </c>
      <c r="I153" s="156">
        <v>0</v>
      </c>
      <c r="J153" s="156">
        <v>5</v>
      </c>
      <c r="K153" s="156">
        <v>6</v>
      </c>
      <c r="L153" s="156">
        <v>5</v>
      </c>
      <c r="M153" s="4">
        <v>5</v>
      </c>
      <c r="N153" s="4">
        <v>6</v>
      </c>
      <c r="O153" s="4">
        <v>8</v>
      </c>
      <c r="P153" s="18">
        <f t="shared" ref="P153:P165" si="87">SUM(J153:O153)</f>
        <v>35</v>
      </c>
    </row>
    <row r="154" spans="1:16" ht="15.6" x14ac:dyDescent="0.3">
      <c r="A154" s="759"/>
      <c r="B154" s="19" t="s">
        <v>72</v>
      </c>
      <c r="C154" s="11" t="s">
        <v>57</v>
      </c>
      <c r="D154" s="156">
        <v>0</v>
      </c>
      <c r="E154" s="156">
        <v>0</v>
      </c>
      <c r="F154" s="156">
        <v>0</v>
      </c>
      <c r="G154" s="156">
        <v>0</v>
      </c>
      <c r="H154" s="156">
        <v>0</v>
      </c>
      <c r="I154" s="156">
        <v>0</v>
      </c>
      <c r="J154" s="156">
        <v>3</v>
      </c>
      <c r="K154" s="156">
        <v>4</v>
      </c>
      <c r="L154" s="156">
        <v>1</v>
      </c>
      <c r="M154" s="4">
        <v>2</v>
      </c>
      <c r="N154" s="4">
        <v>5</v>
      </c>
      <c r="O154" s="4">
        <v>6</v>
      </c>
      <c r="P154" s="18">
        <f t="shared" si="87"/>
        <v>21</v>
      </c>
    </row>
    <row r="155" spans="1:16" ht="15.6" x14ac:dyDescent="0.3">
      <c r="A155" s="759"/>
      <c r="B155" s="19" t="s">
        <v>53</v>
      </c>
      <c r="C155" s="11" t="s">
        <v>57</v>
      </c>
      <c r="D155" s="156">
        <v>0</v>
      </c>
      <c r="E155" s="156">
        <v>0</v>
      </c>
      <c r="F155" s="156">
        <v>0</v>
      </c>
      <c r="G155" s="156">
        <v>0</v>
      </c>
      <c r="H155" s="156">
        <v>0</v>
      </c>
      <c r="I155" s="156">
        <v>0</v>
      </c>
      <c r="J155" s="156">
        <v>1</v>
      </c>
      <c r="K155" s="156">
        <v>1</v>
      </c>
      <c r="L155" s="156">
        <v>1</v>
      </c>
      <c r="M155" s="4">
        <v>2</v>
      </c>
      <c r="N155" s="4">
        <v>1</v>
      </c>
      <c r="O155" s="4">
        <v>7</v>
      </c>
      <c r="P155" s="18">
        <f t="shared" si="87"/>
        <v>13</v>
      </c>
    </row>
    <row r="156" spans="1:16" ht="15.6" x14ac:dyDescent="0.3">
      <c r="A156" s="759"/>
      <c r="B156" s="19" t="s">
        <v>71</v>
      </c>
      <c r="C156" s="11" t="s">
        <v>57</v>
      </c>
      <c r="D156" s="156"/>
      <c r="E156" s="156"/>
      <c r="F156" s="156"/>
      <c r="G156" s="156"/>
      <c r="H156" s="156"/>
      <c r="I156" s="156"/>
      <c r="J156" s="156">
        <v>2</v>
      </c>
      <c r="K156" s="156">
        <v>2</v>
      </c>
      <c r="L156" s="156">
        <v>1</v>
      </c>
      <c r="M156" s="4">
        <v>3</v>
      </c>
      <c r="N156" s="4">
        <v>1</v>
      </c>
      <c r="O156" s="4">
        <v>2</v>
      </c>
      <c r="P156" s="18">
        <f t="shared" si="87"/>
        <v>11</v>
      </c>
    </row>
    <row r="157" spans="1:16" ht="15.6" x14ac:dyDescent="0.3">
      <c r="A157" s="759"/>
      <c r="B157" s="19" t="s">
        <v>52</v>
      </c>
      <c r="C157" s="11" t="s">
        <v>57</v>
      </c>
      <c r="D157" s="156"/>
      <c r="E157" s="156"/>
      <c r="F157" s="156"/>
      <c r="G157" s="156"/>
      <c r="H157" s="156"/>
      <c r="I157" s="156"/>
      <c r="J157" s="156">
        <v>1</v>
      </c>
      <c r="K157" s="156"/>
      <c r="L157" s="156"/>
      <c r="M157" s="156"/>
      <c r="N157" s="156">
        <v>2</v>
      </c>
      <c r="O157" s="156"/>
      <c r="P157" s="18">
        <f t="shared" si="87"/>
        <v>3</v>
      </c>
    </row>
    <row r="158" spans="1:16" ht="15.6" x14ac:dyDescent="0.3">
      <c r="A158" s="759"/>
      <c r="B158" s="19" t="s">
        <v>51</v>
      </c>
      <c r="C158" s="11" t="s">
        <v>57</v>
      </c>
      <c r="D158" s="156">
        <v>0</v>
      </c>
      <c r="E158" s="156">
        <v>0</v>
      </c>
      <c r="F158" s="156">
        <v>0</v>
      </c>
      <c r="G158" s="156">
        <v>0</v>
      </c>
      <c r="H158" s="156">
        <v>0</v>
      </c>
      <c r="I158" s="156">
        <v>0</v>
      </c>
      <c r="J158" s="156"/>
      <c r="K158" s="156">
        <v>1</v>
      </c>
      <c r="L158" s="156"/>
      <c r="M158" s="156"/>
      <c r="N158" s="156"/>
      <c r="O158" s="156"/>
      <c r="P158" s="18">
        <f t="shared" si="87"/>
        <v>1</v>
      </c>
    </row>
    <row r="159" spans="1:16" ht="15.6" x14ac:dyDescent="0.3">
      <c r="A159" s="759"/>
      <c r="B159" s="19" t="s">
        <v>62</v>
      </c>
      <c r="C159" s="11" t="s">
        <v>57</v>
      </c>
      <c r="D159" s="156"/>
      <c r="E159" s="156"/>
      <c r="F159" s="156"/>
      <c r="G159" s="156"/>
      <c r="H159" s="156"/>
      <c r="I159" s="156"/>
      <c r="J159" s="156"/>
      <c r="K159" s="156"/>
      <c r="L159" s="156">
        <v>0</v>
      </c>
      <c r="M159" s="156"/>
      <c r="N159" s="156"/>
      <c r="O159" s="156"/>
      <c r="P159" s="18">
        <f t="shared" si="87"/>
        <v>0</v>
      </c>
    </row>
    <row r="160" spans="1:16" ht="15.6" x14ac:dyDescent="0.3">
      <c r="A160" s="759"/>
      <c r="B160" s="19" t="s">
        <v>50</v>
      </c>
      <c r="C160" s="11" t="s">
        <v>57</v>
      </c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8">
        <f t="shared" si="87"/>
        <v>0</v>
      </c>
    </row>
    <row r="161" spans="1:16" ht="15.6" x14ac:dyDescent="0.3">
      <c r="A161" s="759"/>
      <c r="B161" s="19" t="s">
        <v>49</v>
      </c>
      <c r="C161" s="11" t="s">
        <v>57</v>
      </c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>
        <v>2</v>
      </c>
      <c r="P161" s="18">
        <f t="shared" si="87"/>
        <v>2</v>
      </c>
    </row>
    <row r="162" spans="1:16" ht="15.6" x14ac:dyDescent="0.3">
      <c r="A162" s="759"/>
      <c r="B162" s="19" t="s">
        <v>77</v>
      </c>
      <c r="C162" s="11" t="s">
        <v>57</v>
      </c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8">
        <f t="shared" si="87"/>
        <v>0</v>
      </c>
    </row>
    <row r="163" spans="1:16" ht="15.6" x14ac:dyDescent="0.3">
      <c r="A163" s="759"/>
      <c r="B163" s="19" t="s">
        <v>69</v>
      </c>
      <c r="C163" s="11" t="s">
        <v>57</v>
      </c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8">
        <f t="shared" si="87"/>
        <v>0</v>
      </c>
    </row>
    <row r="164" spans="1:16" ht="15.6" x14ac:dyDescent="0.3">
      <c r="A164" s="759"/>
      <c r="B164" s="19" t="s">
        <v>68</v>
      </c>
      <c r="C164" s="11" t="s">
        <v>57</v>
      </c>
      <c r="D164" s="156"/>
      <c r="E164" s="156"/>
      <c r="F164" s="156"/>
      <c r="G164" s="156"/>
      <c r="H164" s="156"/>
      <c r="I164" s="156"/>
      <c r="J164" s="156">
        <v>4</v>
      </c>
      <c r="K164" s="156">
        <v>2</v>
      </c>
      <c r="L164" s="156">
        <v>5</v>
      </c>
      <c r="M164" s="156"/>
      <c r="N164" s="156"/>
      <c r="O164" s="156"/>
      <c r="P164" s="18">
        <f t="shared" si="87"/>
        <v>11</v>
      </c>
    </row>
    <row r="165" spans="1:16" ht="15.6" x14ac:dyDescent="0.3">
      <c r="A165" s="760"/>
      <c r="B165" s="19" t="s">
        <v>76</v>
      </c>
      <c r="C165" s="11" t="s">
        <v>57</v>
      </c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>
        <v>2</v>
      </c>
      <c r="O165" s="156"/>
      <c r="P165" s="18">
        <f t="shared" si="87"/>
        <v>2</v>
      </c>
    </row>
    <row r="166" spans="1:16" ht="15.6" x14ac:dyDescent="0.3">
      <c r="A166" s="758" t="s">
        <v>75</v>
      </c>
      <c r="B166" s="21" t="s">
        <v>63</v>
      </c>
      <c r="C166" s="11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8"/>
    </row>
    <row r="167" spans="1:16" ht="15.6" x14ac:dyDescent="0.3">
      <c r="A167" s="759"/>
      <c r="B167" s="19" t="s">
        <v>74</v>
      </c>
      <c r="C167" s="11" t="s">
        <v>57</v>
      </c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8">
        <f t="shared" ref="P167:P175" si="88">SUM(J167:O167)</f>
        <v>0</v>
      </c>
    </row>
    <row r="168" spans="1:16" ht="15.6" x14ac:dyDescent="0.3">
      <c r="A168" s="759"/>
      <c r="B168" s="19" t="s">
        <v>73</v>
      </c>
      <c r="C168" s="11" t="s">
        <v>57</v>
      </c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8">
        <f t="shared" si="88"/>
        <v>0</v>
      </c>
    </row>
    <row r="169" spans="1:16" ht="15.6" x14ac:dyDescent="0.3">
      <c r="A169" s="759"/>
      <c r="B169" s="19" t="s">
        <v>72</v>
      </c>
      <c r="C169" s="11" t="s">
        <v>57</v>
      </c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8">
        <f t="shared" si="88"/>
        <v>0</v>
      </c>
    </row>
    <row r="170" spans="1:16" ht="15.6" x14ac:dyDescent="0.3">
      <c r="A170" s="759"/>
      <c r="B170" s="19" t="s">
        <v>71</v>
      </c>
      <c r="C170" s="11" t="s">
        <v>57</v>
      </c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8">
        <f t="shared" si="88"/>
        <v>0</v>
      </c>
    </row>
    <row r="171" spans="1:16" ht="15.6" x14ac:dyDescent="0.3">
      <c r="A171" s="759"/>
      <c r="B171" s="19" t="s">
        <v>52</v>
      </c>
      <c r="C171" s="11" t="s">
        <v>57</v>
      </c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8">
        <f t="shared" si="88"/>
        <v>0</v>
      </c>
    </row>
    <row r="172" spans="1:16" ht="15.6" x14ac:dyDescent="0.3">
      <c r="A172" s="759"/>
      <c r="B172" s="19" t="s">
        <v>62</v>
      </c>
      <c r="C172" s="11" t="s">
        <v>57</v>
      </c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8">
        <f t="shared" si="88"/>
        <v>0</v>
      </c>
    </row>
    <row r="173" spans="1:16" ht="15.6" x14ac:dyDescent="0.3">
      <c r="A173" s="759"/>
      <c r="B173" s="19" t="s">
        <v>61</v>
      </c>
      <c r="C173" s="11" t="s">
        <v>57</v>
      </c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8">
        <f t="shared" si="88"/>
        <v>0</v>
      </c>
    </row>
    <row r="174" spans="1:16" ht="15.6" x14ac:dyDescent="0.3">
      <c r="A174" s="759"/>
      <c r="B174" s="19" t="s">
        <v>60</v>
      </c>
      <c r="C174" s="11" t="s">
        <v>57</v>
      </c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8">
        <f t="shared" si="88"/>
        <v>0</v>
      </c>
    </row>
    <row r="175" spans="1:16" ht="15.6" x14ac:dyDescent="0.3">
      <c r="A175" s="760"/>
      <c r="B175" s="19" t="s">
        <v>69</v>
      </c>
      <c r="C175" s="11" t="s">
        <v>57</v>
      </c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8">
        <f t="shared" si="88"/>
        <v>0</v>
      </c>
    </row>
    <row r="176" spans="1:16" ht="15.6" x14ac:dyDescent="0.3">
      <c r="A176" s="758" t="s">
        <v>70</v>
      </c>
      <c r="B176" s="21" t="s">
        <v>63</v>
      </c>
      <c r="C176" s="11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8"/>
    </row>
    <row r="177" spans="1:16" ht="15.6" x14ac:dyDescent="0.3">
      <c r="A177" s="759"/>
      <c r="B177" s="19" t="s">
        <v>60</v>
      </c>
      <c r="C177" s="11" t="s">
        <v>57</v>
      </c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8">
        <f t="shared" ref="P177:P182" si="89">SUM(J177:O177)</f>
        <v>0</v>
      </c>
    </row>
    <row r="178" spans="1:16" ht="15.6" x14ac:dyDescent="0.3">
      <c r="A178" s="759"/>
      <c r="B178" s="19" t="s">
        <v>69</v>
      </c>
      <c r="C178" s="11" t="s">
        <v>57</v>
      </c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8">
        <f t="shared" si="89"/>
        <v>0</v>
      </c>
    </row>
    <row r="179" spans="1:16" ht="15.6" x14ac:dyDescent="0.3">
      <c r="A179" s="759"/>
      <c r="B179" s="19" t="s">
        <v>68</v>
      </c>
      <c r="C179" s="11" t="s">
        <v>57</v>
      </c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8">
        <f t="shared" si="89"/>
        <v>0</v>
      </c>
    </row>
    <row r="180" spans="1:16" ht="15.6" x14ac:dyDescent="0.3">
      <c r="A180" s="759"/>
      <c r="B180" s="19" t="s">
        <v>67</v>
      </c>
      <c r="C180" s="11" t="s">
        <v>57</v>
      </c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8">
        <f t="shared" si="89"/>
        <v>0</v>
      </c>
    </row>
    <row r="181" spans="1:16" ht="15.6" x14ac:dyDescent="0.3">
      <c r="A181" s="759"/>
      <c r="B181" s="19" t="s">
        <v>66</v>
      </c>
      <c r="C181" s="11" t="s">
        <v>57</v>
      </c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8">
        <f t="shared" si="89"/>
        <v>0</v>
      </c>
    </row>
    <row r="182" spans="1:16" ht="15.6" x14ac:dyDescent="0.3">
      <c r="A182" s="760"/>
      <c r="B182" s="19" t="s">
        <v>65</v>
      </c>
      <c r="C182" s="11" t="s">
        <v>57</v>
      </c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8">
        <f t="shared" si="89"/>
        <v>0</v>
      </c>
    </row>
    <row r="183" spans="1:16" s="344" customFormat="1" ht="15.6" x14ac:dyDescent="0.3">
      <c r="A183" s="603" t="s">
        <v>209</v>
      </c>
      <c r="B183" s="433" t="s">
        <v>63</v>
      </c>
      <c r="C183" s="348"/>
      <c r="D183" s="597">
        <v>0</v>
      </c>
      <c r="E183" s="597">
        <v>0</v>
      </c>
      <c r="F183" s="597">
        <v>0</v>
      </c>
      <c r="G183" s="597">
        <v>0</v>
      </c>
      <c r="H183" s="381"/>
      <c r="I183" s="381"/>
      <c r="J183" s="381"/>
      <c r="K183" s="381"/>
      <c r="L183" s="381"/>
      <c r="M183" s="381"/>
      <c r="N183" s="381"/>
      <c r="O183" s="381"/>
      <c r="P183" s="427"/>
    </row>
    <row r="184" spans="1:16" s="344" customFormat="1" ht="15.6" x14ac:dyDescent="0.3">
      <c r="A184" s="604"/>
      <c r="B184" s="20" t="s">
        <v>73</v>
      </c>
      <c r="C184" s="348"/>
      <c r="D184" s="597">
        <v>0</v>
      </c>
      <c r="E184" s="597">
        <v>0</v>
      </c>
      <c r="F184" s="597">
        <v>0</v>
      </c>
      <c r="G184" s="597">
        <v>0</v>
      </c>
      <c r="H184" s="390"/>
      <c r="I184" s="390"/>
      <c r="J184" s="390"/>
      <c r="K184" s="390"/>
      <c r="L184" s="381"/>
      <c r="M184" s="381"/>
      <c r="N184" s="381"/>
      <c r="O184" s="381"/>
      <c r="P184" s="427">
        <f>SUM(J184:O184)</f>
        <v>0</v>
      </c>
    </row>
    <row r="185" spans="1:16" s="344" customFormat="1" ht="15.6" x14ac:dyDescent="0.3">
      <c r="A185" s="604"/>
      <c r="B185" s="20" t="s">
        <v>72</v>
      </c>
      <c r="C185" s="348"/>
      <c r="D185" s="597">
        <v>0</v>
      </c>
      <c r="E185" s="597">
        <v>0</v>
      </c>
      <c r="F185" s="597">
        <v>0</v>
      </c>
      <c r="G185" s="597">
        <v>0</v>
      </c>
      <c r="H185" s="390"/>
      <c r="I185" s="390"/>
      <c r="J185" s="390"/>
      <c r="K185" s="390"/>
      <c r="L185" s="381"/>
      <c r="M185" s="381"/>
      <c r="N185" s="381"/>
      <c r="O185" s="381"/>
      <c r="P185" s="427">
        <f>SUM(J185:O185)</f>
        <v>0</v>
      </c>
    </row>
    <row r="186" spans="1:16" s="344" customFormat="1" ht="15.6" x14ac:dyDescent="0.3">
      <c r="A186" s="604"/>
      <c r="B186" s="20" t="s">
        <v>53</v>
      </c>
      <c r="C186" s="348"/>
      <c r="D186" s="597">
        <v>0</v>
      </c>
      <c r="E186" s="597">
        <v>0</v>
      </c>
      <c r="F186" s="597">
        <v>0</v>
      </c>
      <c r="G186" s="597">
        <v>0</v>
      </c>
      <c r="H186" s="390"/>
      <c r="I186" s="390"/>
      <c r="J186" s="390"/>
      <c r="K186" s="390"/>
      <c r="L186" s="381"/>
      <c r="M186" s="381"/>
      <c r="N186" s="381"/>
      <c r="O186" s="381"/>
      <c r="P186" s="427">
        <f>SUM(J186:O186)</f>
        <v>0</v>
      </c>
    </row>
    <row r="187" spans="1:16" s="344" customFormat="1" ht="15.6" x14ac:dyDescent="0.3">
      <c r="A187" s="605"/>
      <c r="B187" s="20" t="s">
        <v>52</v>
      </c>
      <c r="C187" s="348"/>
      <c r="D187" s="597">
        <v>0</v>
      </c>
      <c r="E187" s="597">
        <v>0</v>
      </c>
      <c r="F187" s="597">
        <v>0</v>
      </c>
      <c r="G187" s="597">
        <v>0</v>
      </c>
      <c r="H187" s="390"/>
      <c r="I187" s="390"/>
      <c r="J187" s="390"/>
      <c r="K187" s="390"/>
      <c r="L187" s="381"/>
      <c r="M187" s="381"/>
      <c r="N187" s="381"/>
      <c r="O187" s="381"/>
      <c r="P187" s="427">
        <f>SUM(J187:O187)</f>
        <v>0</v>
      </c>
    </row>
    <row r="188" spans="1:16" ht="15.6" x14ac:dyDescent="0.3">
      <c r="A188" s="758" t="s">
        <v>64</v>
      </c>
      <c r="B188" s="21" t="s">
        <v>63</v>
      </c>
      <c r="C188" s="11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8"/>
    </row>
    <row r="189" spans="1:16" ht="15.6" x14ac:dyDescent="0.3">
      <c r="A189" s="759"/>
      <c r="B189" s="20" t="s">
        <v>52</v>
      </c>
      <c r="C189" s="11" t="s">
        <v>57</v>
      </c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8">
        <f>SUM(J189:O189)</f>
        <v>0</v>
      </c>
    </row>
    <row r="190" spans="1:16" ht="15.6" x14ac:dyDescent="0.3">
      <c r="A190" s="759"/>
      <c r="B190" s="19" t="s">
        <v>62</v>
      </c>
      <c r="C190" s="11" t="s">
        <v>57</v>
      </c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8">
        <f>SUM(J190:O190)</f>
        <v>0</v>
      </c>
    </row>
    <row r="191" spans="1:16" ht="15.6" x14ac:dyDescent="0.3">
      <c r="A191" s="759"/>
      <c r="B191" s="19" t="s">
        <v>61</v>
      </c>
      <c r="C191" s="11" t="s">
        <v>57</v>
      </c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8">
        <f>SUM(J191:O191)</f>
        <v>0</v>
      </c>
    </row>
    <row r="192" spans="1:16" ht="15.6" x14ac:dyDescent="0.3">
      <c r="A192" s="760"/>
      <c r="B192" s="19" t="s">
        <v>60</v>
      </c>
      <c r="C192" s="11" t="s">
        <v>57</v>
      </c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8">
        <f>SUM(J192:O192)</f>
        <v>0</v>
      </c>
    </row>
    <row r="193" spans="1:16" ht="15.6" x14ac:dyDescent="0.3">
      <c r="A193" s="84" t="s">
        <v>59</v>
      </c>
      <c r="B193" s="17"/>
      <c r="C193" s="11"/>
      <c r="D193" s="158">
        <f t="shared" ref="D193:I193" si="90">SUM(D153:D192)</f>
        <v>0</v>
      </c>
      <c r="E193" s="158">
        <f t="shared" si="90"/>
        <v>0</v>
      </c>
      <c r="F193" s="158">
        <f t="shared" si="90"/>
        <v>0</v>
      </c>
      <c r="G193" s="158">
        <f t="shared" si="90"/>
        <v>0</v>
      </c>
      <c r="H193" s="158">
        <f t="shared" si="90"/>
        <v>0</v>
      </c>
      <c r="I193" s="158">
        <f t="shared" si="90"/>
        <v>0</v>
      </c>
      <c r="J193" s="158">
        <f t="shared" ref="J193:P193" si="91">SUM(J153:J192)</f>
        <v>16</v>
      </c>
      <c r="K193" s="158">
        <f t="shared" si="91"/>
        <v>16</v>
      </c>
      <c r="L193" s="158">
        <f t="shared" si="91"/>
        <v>13</v>
      </c>
      <c r="M193" s="158">
        <f t="shared" si="91"/>
        <v>12</v>
      </c>
      <c r="N193" s="158">
        <f t="shared" si="91"/>
        <v>17</v>
      </c>
      <c r="O193" s="158">
        <f t="shared" si="91"/>
        <v>25</v>
      </c>
      <c r="P193" s="160">
        <f t="shared" si="91"/>
        <v>99</v>
      </c>
    </row>
    <row r="194" spans="1:16" ht="15.6" x14ac:dyDescent="0.3">
      <c r="A194" s="764" t="s">
        <v>58</v>
      </c>
      <c r="B194" s="765"/>
      <c r="C194" s="11" t="s">
        <v>57</v>
      </c>
      <c r="D194" s="156">
        <v>0</v>
      </c>
      <c r="E194" s="156">
        <v>0</v>
      </c>
      <c r="F194" s="156">
        <v>0</v>
      </c>
      <c r="G194" s="156">
        <v>0</v>
      </c>
      <c r="H194" s="156">
        <v>0</v>
      </c>
      <c r="I194" s="156">
        <v>0</v>
      </c>
      <c r="J194" s="156">
        <v>8</v>
      </c>
      <c r="K194" s="156"/>
      <c r="L194" s="156">
        <v>2</v>
      </c>
      <c r="M194" s="156"/>
      <c r="N194" s="156"/>
      <c r="O194" s="156"/>
      <c r="P194" s="18">
        <f>SUM(J194:O194)</f>
        <v>10</v>
      </c>
    </row>
    <row r="195" spans="1:16" ht="15.6" x14ac:dyDescent="0.3">
      <c r="A195" s="766"/>
      <c r="B195" s="767"/>
      <c r="C195" s="16" t="s">
        <v>55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56"/>
      <c r="K195" s="156">
        <v>175.91</v>
      </c>
      <c r="L195" s="156"/>
      <c r="M195" s="156"/>
      <c r="N195" s="156"/>
      <c r="O195" s="156"/>
      <c r="P195" s="18">
        <f>SUM(J195:O195)</f>
        <v>175.91</v>
      </c>
    </row>
    <row r="196" spans="1:16" ht="15.6" x14ac:dyDescent="0.3">
      <c r="A196" s="622" t="s">
        <v>202</v>
      </c>
      <c r="B196" s="623"/>
      <c r="C196" s="16" t="s">
        <v>55</v>
      </c>
      <c r="D196" s="156">
        <v>0</v>
      </c>
      <c r="E196" s="156">
        <v>0</v>
      </c>
      <c r="F196" s="156">
        <v>0</v>
      </c>
      <c r="G196" s="156">
        <v>0</v>
      </c>
      <c r="H196" s="156">
        <v>0</v>
      </c>
      <c r="I196" s="156">
        <v>0</v>
      </c>
      <c r="J196" s="156"/>
      <c r="K196" s="156"/>
      <c r="L196" s="156">
        <v>744</v>
      </c>
      <c r="M196" s="156">
        <v>137.13</v>
      </c>
      <c r="N196" s="156">
        <v>226</v>
      </c>
      <c r="O196" s="156">
        <v>270</v>
      </c>
      <c r="P196" s="18">
        <f>SUM(J196:O196)/12</f>
        <v>114.76083333333334</v>
      </c>
    </row>
    <row r="197" spans="1:16" ht="15.6" x14ac:dyDescent="0.3">
      <c r="A197" s="695" t="s">
        <v>56</v>
      </c>
      <c r="B197" s="696"/>
      <c r="C197" s="16" t="s">
        <v>55</v>
      </c>
      <c r="D197" s="156">
        <v>0</v>
      </c>
      <c r="E197" s="156">
        <v>0</v>
      </c>
      <c r="F197" s="156">
        <v>0</v>
      </c>
      <c r="G197" s="156">
        <v>0</v>
      </c>
      <c r="H197" s="156">
        <v>0</v>
      </c>
      <c r="I197" s="156">
        <v>0</v>
      </c>
      <c r="J197" s="156"/>
      <c r="K197" s="156"/>
      <c r="L197" s="156"/>
      <c r="M197" s="156">
        <v>10.08</v>
      </c>
      <c r="N197" s="156">
        <v>12</v>
      </c>
      <c r="O197" s="156">
        <v>36</v>
      </c>
      <c r="P197" s="18">
        <f>SUM(J197:O197)</f>
        <v>58.08</v>
      </c>
    </row>
    <row r="198" spans="1:16" x14ac:dyDescent="0.3">
      <c r="A198" s="699" t="s">
        <v>203</v>
      </c>
      <c r="B198" s="700"/>
      <c r="C198" s="700"/>
      <c r="D198" s="700"/>
      <c r="E198" s="700"/>
      <c r="F198" s="700"/>
      <c r="G198" s="700"/>
      <c r="H198" s="700"/>
      <c r="I198" s="700"/>
      <c r="J198" s="700"/>
      <c r="K198" s="700"/>
      <c r="L198" s="700"/>
      <c r="M198" s="700"/>
      <c r="N198" s="700"/>
      <c r="O198" s="700"/>
      <c r="P198" s="701"/>
    </row>
    <row r="199" spans="1:16" ht="15.6" x14ac:dyDescent="0.3">
      <c r="A199" s="764" t="s">
        <v>54</v>
      </c>
      <c r="B199" s="621" t="s">
        <v>53</v>
      </c>
      <c r="C199" s="11" t="s">
        <v>47</v>
      </c>
      <c r="D199" s="4"/>
      <c r="E199" s="4"/>
      <c r="F199" s="4"/>
      <c r="G199" s="4"/>
      <c r="H199" s="4"/>
      <c r="I199" s="4"/>
      <c r="J199" s="4"/>
      <c r="K199" s="4">
        <v>600</v>
      </c>
      <c r="L199" s="4"/>
      <c r="M199" s="4">
        <v>330</v>
      </c>
      <c r="N199" s="4">
        <v>150</v>
      </c>
      <c r="O199" s="4"/>
      <c r="P199" s="9">
        <f t="shared" ref="P199:P204" si="92">SUM(J199:O199)</f>
        <v>1080</v>
      </c>
    </row>
    <row r="200" spans="1:16" ht="15.6" x14ac:dyDescent="0.3">
      <c r="A200" s="768"/>
      <c r="B200" s="621" t="s">
        <v>52</v>
      </c>
      <c r="C200" s="11" t="s">
        <v>47</v>
      </c>
      <c r="D200" s="4"/>
      <c r="E200" s="4"/>
      <c r="F200" s="4"/>
      <c r="G200" s="4"/>
      <c r="H200" s="4"/>
      <c r="I200" s="4"/>
      <c r="J200" s="4"/>
      <c r="K200" s="4">
        <v>180</v>
      </c>
      <c r="L200" s="4"/>
      <c r="M200" s="4">
        <v>342</v>
      </c>
      <c r="N200" s="4"/>
      <c r="O200" s="4"/>
      <c r="P200" s="9">
        <f t="shared" si="92"/>
        <v>522</v>
      </c>
    </row>
    <row r="201" spans="1:16" ht="15.6" x14ac:dyDescent="0.3">
      <c r="A201" s="768"/>
      <c r="B201" s="621" t="s">
        <v>51</v>
      </c>
      <c r="C201" s="11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92"/>
        <v>0</v>
      </c>
    </row>
    <row r="202" spans="1:16" ht="15.6" x14ac:dyDescent="0.3">
      <c r="A202" s="768"/>
      <c r="B202" s="621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92"/>
        <v>0</v>
      </c>
    </row>
    <row r="203" spans="1:16" ht="15.6" x14ac:dyDescent="0.3">
      <c r="A203" s="766"/>
      <c r="B203" s="621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>
        <v>4152</v>
      </c>
      <c r="O203" s="4"/>
      <c r="P203" s="9">
        <f t="shared" si="92"/>
        <v>4152</v>
      </c>
    </row>
    <row r="204" spans="1:16" ht="15.6" x14ac:dyDescent="0.3">
      <c r="A204" s="83" t="s">
        <v>48</v>
      </c>
      <c r="B204" s="621"/>
      <c r="C204" s="11" t="s">
        <v>47</v>
      </c>
      <c r="D204" s="15">
        <f t="shared" ref="D204:I204" si="93">SUM(D199:D203)</f>
        <v>0</v>
      </c>
      <c r="E204" s="15">
        <f t="shared" si="93"/>
        <v>0</v>
      </c>
      <c r="F204" s="15">
        <f t="shared" si="93"/>
        <v>0</v>
      </c>
      <c r="G204" s="15">
        <f t="shared" si="93"/>
        <v>0</v>
      </c>
      <c r="H204" s="15">
        <f t="shared" si="93"/>
        <v>0</v>
      </c>
      <c r="I204" s="15">
        <f t="shared" si="93"/>
        <v>0</v>
      </c>
      <c r="J204" s="15">
        <v>11000</v>
      </c>
      <c r="K204" s="15">
        <f t="shared" ref="K204:O204" si="94">SUM(K199:K203)</f>
        <v>780</v>
      </c>
      <c r="L204" s="15">
        <v>4048</v>
      </c>
      <c r="M204" s="15">
        <f t="shared" si="94"/>
        <v>672</v>
      </c>
      <c r="N204" s="15">
        <f t="shared" si="94"/>
        <v>4302</v>
      </c>
      <c r="O204" s="15">
        <f t="shared" si="94"/>
        <v>0</v>
      </c>
      <c r="P204" s="111">
        <f t="shared" si="92"/>
        <v>20802</v>
      </c>
    </row>
    <row r="205" spans="1:16" s="2" customFormat="1" x14ac:dyDescent="0.3">
      <c r="A205" s="699" t="s">
        <v>46</v>
      </c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0"/>
      <c r="P205" s="701"/>
    </row>
    <row r="206" spans="1:16" ht="15.6" x14ac:dyDescent="0.3">
      <c r="A206" s="695" t="s">
        <v>43</v>
      </c>
      <c r="B206" s="696"/>
      <c r="C206" s="11" t="s">
        <v>31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/>
      <c r="K206" s="13"/>
      <c r="L206" s="13"/>
      <c r="M206" s="13"/>
      <c r="N206" s="13"/>
      <c r="O206" s="13"/>
      <c r="P206" s="9">
        <f>SUM(J206:O206)</f>
        <v>0</v>
      </c>
    </row>
    <row r="207" spans="1:16" ht="15.6" x14ac:dyDescent="0.3">
      <c r="A207" s="695" t="s">
        <v>42</v>
      </c>
      <c r="B207" s="696"/>
      <c r="C207" s="11" t="s">
        <v>31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/>
      <c r="K207" s="13"/>
      <c r="L207" s="13"/>
      <c r="M207" s="13"/>
      <c r="N207" s="13"/>
      <c r="O207" s="13"/>
      <c r="P207" s="9">
        <f>SUM(J207:O207)</f>
        <v>0</v>
      </c>
    </row>
    <row r="208" spans="1:16" ht="15.6" x14ac:dyDescent="0.3">
      <c r="A208" s="702" t="s">
        <v>41</v>
      </c>
      <c r="B208" s="703"/>
      <c r="C208" s="11" t="s">
        <v>31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/>
      <c r="K208" s="13"/>
      <c r="L208" s="13"/>
      <c r="M208" s="13"/>
      <c r="N208" s="13"/>
      <c r="O208" s="13"/>
      <c r="P208" s="9">
        <f>SUM(J208:O208)</f>
        <v>0</v>
      </c>
    </row>
    <row r="209" spans="1:16" ht="15.6" x14ac:dyDescent="0.3">
      <c r="A209" s="695" t="s">
        <v>40</v>
      </c>
      <c r="B209" s="696"/>
      <c r="C209" s="11" t="s">
        <v>31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/>
      <c r="K209" s="13"/>
      <c r="L209" s="13"/>
      <c r="M209" s="13"/>
      <c r="N209" s="13"/>
      <c r="O209" s="13"/>
      <c r="P209" s="9">
        <f>SUM(J209:O209)</f>
        <v>0</v>
      </c>
    </row>
    <row r="210" spans="1:16" ht="15.6" x14ac:dyDescent="0.3">
      <c r="A210" s="762" t="s">
        <v>45</v>
      </c>
      <c r="B210" s="763"/>
      <c r="C210" s="11" t="s">
        <v>31</v>
      </c>
      <c r="D210" s="10">
        <f t="shared" ref="D210:I210" si="95">SUM(D206:D209)</f>
        <v>0</v>
      </c>
      <c r="E210" s="10">
        <f t="shared" si="95"/>
        <v>0</v>
      </c>
      <c r="F210" s="10">
        <f t="shared" si="95"/>
        <v>0</v>
      </c>
      <c r="G210" s="10">
        <f t="shared" si="95"/>
        <v>0</v>
      </c>
      <c r="H210" s="10">
        <f t="shared" si="95"/>
        <v>0</v>
      </c>
      <c r="I210" s="10">
        <f t="shared" si="95"/>
        <v>0</v>
      </c>
      <c r="J210" s="10">
        <f t="shared" ref="J210:O210" si="96">SUM(J206:J209)</f>
        <v>0</v>
      </c>
      <c r="K210" s="10">
        <f t="shared" si="96"/>
        <v>0</v>
      </c>
      <c r="L210" s="10">
        <f t="shared" si="96"/>
        <v>0</v>
      </c>
      <c r="M210" s="10">
        <f t="shared" si="96"/>
        <v>0</v>
      </c>
      <c r="N210" s="10">
        <f t="shared" si="96"/>
        <v>0</v>
      </c>
      <c r="O210" s="10">
        <f t="shared" si="96"/>
        <v>0</v>
      </c>
      <c r="P210" s="9">
        <f>SUM(J210:O210)</f>
        <v>0</v>
      </c>
    </row>
    <row r="211" spans="1:16" s="2" customFormat="1" x14ac:dyDescent="0.3">
      <c r="A211" s="699" t="s">
        <v>44</v>
      </c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0"/>
      <c r="P211" s="701"/>
    </row>
    <row r="212" spans="1:16" ht="15.6" x14ac:dyDescent="0.3">
      <c r="A212" s="695" t="s">
        <v>43</v>
      </c>
      <c r="B212" s="696"/>
      <c r="C212" s="11" t="s">
        <v>31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3255651.9699999993</v>
      </c>
      <c r="K212" s="13">
        <v>3716318.99</v>
      </c>
      <c r="L212" s="13">
        <v>6018405.71</v>
      </c>
      <c r="M212" s="4">
        <v>4747815.24</v>
      </c>
      <c r="N212" s="4">
        <v>5219932.4000000004</v>
      </c>
      <c r="O212" s="4">
        <v>7012775.9000000004</v>
      </c>
      <c r="P212" s="9">
        <f>SUM(J212:O212)</f>
        <v>29970900.209999993</v>
      </c>
    </row>
    <row r="213" spans="1:16" ht="15.6" x14ac:dyDescent="0.3">
      <c r="A213" s="695" t="s">
        <v>42</v>
      </c>
      <c r="B213" s="696"/>
      <c r="C213" s="11" t="s">
        <v>31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/>
      <c r="K213" s="13"/>
      <c r="L213" s="13"/>
      <c r="M213" s="13"/>
      <c r="N213" s="13"/>
      <c r="O213" s="13"/>
      <c r="P213" s="9">
        <f>SUM(J213:O213)</f>
        <v>0</v>
      </c>
    </row>
    <row r="214" spans="1:16" ht="15.6" x14ac:dyDescent="0.3">
      <c r="A214" s="702" t="s">
        <v>41</v>
      </c>
      <c r="B214" s="703"/>
      <c r="C214" s="11" t="s">
        <v>31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/>
      <c r="K214" s="13"/>
      <c r="L214" s="13"/>
      <c r="M214" s="13"/>
      <c r="N214" s="13"/>
      <c r="O214" s="13"/>
      <c r="P214" s="9">
        <f>SUM(J214:O214)</f>
        <v>0</v>
      </c>
    </row>
    <row r="215" spans="1:16" ht="15.6" x14ac:dyDescent="0.3">
      <c r="A215" s="695" t="s">
        <v>40</v>
      </c>
      <c r="B215" s="696"/>
      <c r="C215" s="11" t="s">
        <v>31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/>
      <c r="K215" s="13"/>
      <c r="L215" s="13"/>
      <c r="M215" s="13"/>
      <c r="N215" s="13"/>
      <c r="O215" s="13"/>
      <c r="P215" s="9">
        <f>SUM(J215:O215)</f>
        <v>0</v>
      </c>
    </row>
    <row r="216" spans="1:16" ht="15.6" x14ac:dyDescent="0.3">
      <c r="A216" s="762" t="s">
        <v>39</v>
      </c>
      <c r="B216" s="763"/>
      <c r="C216" s="11" t="s">
        <v>31</v>
      </c>
      <c r="D216" s="10">
        <f t="shared" ref="D216:I216" si="97">SUM(D212:D215)</f>
        <v>0</v>
      </c>
      <c r="E216" s="10">
        <f t="shared" si="97"/>
        <v>0</v>
      </c>
      <c r="F216" s="10">
        <f t="shared" si="97"/>
        <v>0</v>
      </c>
      <c r="G216" s="10">
        <f t="shared" si="97"/>
        <v>0</v>
      </c>
      <c r="H216" s="10">
        <f t="shared" si="97"/>
        <v>0</v>
      </c>
      <c r="I216" s="10">
        <f t="shared" si="97"/>
        <v>0</v>
      </c>
      <c r="J216" s="10">
        <v>3255651.9699999993</v>
      </c>
      <c r="K216" s="10">
        <f t="shared" ref="K216:O216" si="98">SUM(K212:K215)</f>
        <v>3716318.99</v>
      </c>
      <c r="L216" s="10">
        <f t="shared" si="98"/>
        <v>6018405.71</v>
      </c>
      <c r="M216" s="10">
        <f t="shared" si="98"/>
        <v>4747815.24</v>
      </c>
      <c r="N216" s="10">
        <f t="shared" si="98"/>
        <v>5219932.4000000004</v>
      </c>
      <c r="O216" s="10">
        <f t="shared" si="98"/>
        <v>7012775.9000000004</v>
      </c>
      <c r="P216" s="9">
        <f>SUM(J216:O216)</f>
        <v>29970900.209999993</v>
      </c>
    </row>
    <row r="217" spans="1:16" s="2" customFormat="1" ht="15.6" x14ac:dyDescent="0.3">
      <c r="A217" s="618" t="s">
        <v>38</v>
      </c>
      <c r="B217" s="619"/>
      <c r="C217" s="11" t="s">
        <v>31</v>
      </c>
      <c r="D217" s="10">
        <f>D210+D216</f>
        <v>0</v>
      </c>
      <c r="E217" s="10">
        <f t="shared" ref="E217:I217" si="99">E210+E216</f>
        <v>0</v>
      </c>
      <c r="F217" s="10">
        <f t="shared" si="99"/>
        <v>0</v>
      </c>
      <c r="G217" s="10">
        <f t="shared" si="99"/>
        <v>0</v>
      </c>
      <c r="H217" s="10">
        <f t="shared" si="99"/>
        <v>0</v>
      </c>
      <c r="I217" s="10">
        <f t="shared" si="99"/>
        <v>0</v>
      </c>
      <c r="J217" s="10">
        <f t="shared" ref="J217:P217" si="100">J210+J216</f>
        <v>3255651.9699999993</v>
      </c>
      <c r="K217" s="10">
        <f t="shared" si="100"/>
        <v>3716318.99</v>
      </c>
      <c r="L217" s="10">
        <f t="shared" si="100"/>
        <v>6018405.71</v>
      </c>
      <c r="M217" s="10">
        <f t="shared" si="100"/>
        <v>4747815.24</v>
      </c>
      <c r="N217" s="10">
        <f t="shared" si="100"/>
        <v>5219932.4000000004</v>
      </c>
      <c r="O217" s="10">
        <f t="shared" si="100"/>
        <v>7012775.9000000004</v>
      </c>
      <c r="P217" s="40">
        <f t="shared" si="100"/>
        <v>29970900.209999993</v>
      </c>
    </row>
    <row r="218" spans="1:16" s="2" customFormat="1" x14ac:dyDescent="0.3">
      <c r="A218" s="699" t="s">
        <v>37</v>
      </c>
      <c r="B218" s="700"/>
      <c r="C218" s="700"/>
      <c r="D218" s="700"/>
      <c r="E218" s="700"/>
      <c r="F218" s="700"/>
      <c r="G218" s="700"/>
      <c r="H218" s="700"/>
      <c r="I218" s="700"/>
      <c r="J218" s="700"/>
      <c r="K218" s="700"/>
      <c r="L218" s="700"/>
      <c r="M218" s="700"/>
      <c r="N218" s="700"/>
      <c r="O218" s="700"/>
      <c r="P218" s="701"/>
    </row>
    <row r="219" spans="1:16" ht="15.6" x14ac:dyDescent="0.3">
      <c r="A219" s="695" t="s">
        <v>35</v>
      </c>
      <c r="B219" s="696"/>
      <c r="C219" s="11" t="s">
        <v>31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/>
      <c r="K219" s="13"/>
      <c r="L219" s="13"/>
      <c r="M219" s="13"/>
      <c r="N219" s="13"/>
      <c r="O219" s="13"/>
      <c r="P219" s="9">
        <f>SUM(J219:O219)</f>
        <v>0</v>
      </c>
    </row>
    <row r="220" spans="1:16" ht="15.6" x14ac:dyDescent="0.3">
      <c r="A220" s="695" t="s">
        <v>34</v>
      </c>
      <c r="B220" s="696"/>
      <c r="C220" s="11" t="s">
        <v>31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/>
      <c r="K220" s="13"/>
      <c r="L220" s="13"/>
      <c r="M220" s="13"/>
      <c r="N220" s="13"/>
      <c r="O220" s="13"/>
      <c r="P220" s="9">
        <f>SUM(J220:O220)</f>
        <v>0</v>
      </c>
    </row>
    <row r="221" spans="1:16" ht="15.6" x14ac:dyDescent="0.3">
      <c r="A221" s="695" t="s">
        <v>33</v>
      </c>
      <c r="B221" s="696"/>
      <c r="C221" s="11" t="s">
        <v>31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/>
      <c r="K221" s="13"/>
      <c r="L221" s="13"/>
      <c r="M221" s="13"/>
      <c r="N221" s="13"/>
      <c r="O221" s="13"/>
      <c r="P221" s="9">
        <f>SUM(J221:O221)</f>
        <v>0</v>
      </c>
    </row>
    <row r="222" spans="1:16" ht="15.6" x14ac:dyDescent="0.3">
      <c r="A222" s="695" t="s">
        <v>32</v>
      </c>
      <c r="B222" s="696"/>
      <c r="C222" s="11" t="s">
        <v>31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/>
      <c r="K222" s="13"/>
      <c r="L222" s="13"/>
      <c r="M222" s="13"/>
      <c r="N222" s="13"/>
      <c r="O222" s="13"/>
      <c r="P222" s="9">
        <f>SUM(J222:O222)</f>
        <v>0</v>
      </c>
    </row>
    <row r="223" spans="1:16" ht="15.6" x14ac:dyDescent="0.3">
      <c r="A223" s="762" t="s">
        <v>36</v>
      </c>
      <c r="B223" s="763"/>
      <c r="C223" s="11" t="s">
        <v>31</v>
      </c>
      <c r="D223" s="12">
        <f t="shared" ref="D223:I223" si="101">SUM(D219:D222)</f>
        <v>0</v>
      </c>
      <c r="E223" s="10">
        <f t="shared" si="101"/>
        <v>0</v>
      </c>
      <c r="F223" s="10">
        <f t="shared" si="101"/>
        <v>0</v>
      </c>
      <c r="G223" s="10">
        <f t="shared" si="101"/>
        <v>0</v>
      </c>
      <c r="H223" s="10">
        <f t="shared" si="101"/>
        <v>0</v>
      </c>
      <c r="I223" s="10">
        <f t="shared" si="101"/>
        <v>0</v>
      </c>
      <c r="J223" s="14">
        <f t="shared" ref="J223:O223" si="102">SUM(J219:J222)</f>
        <v>0</v>
      </c>
      <c r="K223" s="14">
        <f t="shared" si="102"/>
        <v>0</v>
      </c>
      <c r="L223" s="14">
        <f t="shared" si="102"/>
        <v>0</v>
      </c>
      <c r="M223" s="14">
        <f t="shared" si="102"/>
        <v>0</v>
      </c>
      <c r="N223" s="14">
        <f t="shared" si="102"/>
        <v>0</v>
      </c>
      <c r="O223" s="14">
        <f t="shared" si="102"/>
        <v>0</v>
      </c>
      <c r="P223" s="9">
        <f>SUM(J223:O223)</f>
        <v>0</v>
      </c>
    </row>
    <row r="224" spans="1:16" x14ac:dyDescent="0.3">
      <c r="A224" s="699" t="s">
        <v>211</v>
      </c>
      <c r="B224" s="700"/>
      <c r="C224" s="700"/>
      <c r="D224" s="700"/>
      <c r="E224" s="700"/>
      <c r="F224" s="700"/>
      <c r="G224" s="700"/>
      <c r="H224" s="700"/>
      <c r="I224" s="700"/>
      <c r="J224" s="700"/>
      <c r="K224" s="700"/>
      <c r="L224" s="700"/>
      <c r="M224" s="700"/>
      <c r="N224" s="700"/>
      <c r="O224" s="700"/>
      <c r="P224" s="701"/>
    </row>
    <row r="225" spans="1:16" ht="15.6" x14ac:dyDescent="0.3">
      <c r="A225" s="695" t="s">
        <v>35</v>
      </c>
      <c r="B225" s="696"/>
      <c r="C225" s="11" t="s">
        <v>31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3255651.9699999993</v>
      </c>
      <c r="K225" s="13">
        <v>3716318.99</v>
      </c>
      <c r="L225" s="13">
        <v>6018405.71</v>
      </c>
      <c r="M225" s="4">
        <v>4747815.24</v>
      </c>
      <c r="N225" s="4">
        <v>5219932.4000000004</v>
      </c>
      <c r="O225" s="4">
        <v>7012775.9000000004</v>
      </c>
      <c r="P225" s="9">
        <f t="shared" ref="P225:P230" si="103">SUM(J225:O225)</f>
        <v>29970900.209999993</v>
      </c>
    </row>
    <row r="226" spans="1:16" ht="15.6" x14ac:dyDescent="0.3">
      <c r="A226" s="695" t="s">
        <v>34</v>
      </c>
      <c r="B226" s="696"/>
      <c r="C226" s="11" t="s">
        <v>31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/>
      <c r="K226" s="13"/>
      <c r="L226" s="13"/>
      <c r="M226" s="13"/>
      <c r="N226" s="13"/>
      <c r="O226" s="13"/>
      <c r="P226" s="9">
        <f t="shared" si="103"/>
        <v>0</v>
      </c>
    </row>
    <row r="227" spans="1:16" ht="15.6" x14ac:dyDescent="0.3">
      <c r="A227" s="695" t="s">
        <v>33</v>
      </c>
      <c r="B227" s="696"/>
      <c r="C227" s="11" t="s">
        <v>31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/>
      <c r="K227" s="13"/>
      <c r="L227" s="13"/>
      <c r="M227" s="13"/>
      <c r="N227" s="13"/>
      <c r="O227" s="13"/>
      <c r="P227" s="9">
        <f t="shared" si="103"/>
        <v>0</v>
      </c>
    </row>
    <row r="228" spans="1:16" ht="15.6" x14ac:dyDescent="0.3">
      <c r="A228" s="695" t="s">
        <v>32</v>
      </c>
      <c r="B228" s="696"/>
      <c r="C228" s="11" t="s">
        <v>31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/>
      <c r="K228" s="13"/>
      <c r="L228" s="13"/>
      <c r="M228" s="13"/>
      <c r="N228" s="13"/>
      <c r="O228" s="13"/>
      <c r="P228" s="9">
        <f t="shared" si="103"/>
        <v>0</v>
      </c>
    </row>
    <row r="229" spans="1:16" ht="15.6" x14ac:dyDescent="0.3">
      <c r="A229" s="762" t="s">
        <v>212</v>
      </c>
      <c r="B229" s="763"/>
      <c r="C229" s="11" t="s">
        <v>31</v>
      </c>
      <c r="D229" s="12">
        <f t="shared" ref="D229:I229" si="104">SUM(D225:D228)</f>
        <v>0</v>
      </c>
      <c r="E229" s="10">
        <f t="shared" si="104"/>
        <v>0</v>
      </c>
      <c r="F229" s="10">
        <f t="shared" si="104"/>
        <v>0</v>
      </c>
      <c r="G229" s="10">
        <f t="shared" si="104"/>
        <v>0</v>
      </c>
      <c r="H229" s="10">
        <f t="shared" si="104"/>
        <v>0</v>
      </c>
      <c r="I229" s="10">
        <f t="shared" si="104"/>
        <v>0</v>
      </c>
      <c r="J229" s="14">
        <f t="shared" ref="J229:O229" si="105">SUM(J225:J228)</f>
        <v>3255651.9699999993</v>
      </c>
      <c r="K229" s="14">
        <f t="shared" si="105"/>
        <v>3716318.99</v>
      </c>
      <c r="L229" s="14">
        <f t="shared" si="105"/>
        <v>6018405.71</v>
      </c>
      <c r="M229" s="14">
        <f t="shared" si="105"/>
        <v>4747815.24</v>
      </c>
      <c r="N229" s="14">
        <f t="shared" si="105"/>
        <v>5219932.4000000004</v>
      </c>
      <c r="O229" s="14">
        <f t="shared" si="105"/>
        <v>7012775.9000000004</v>
      </c>
      <c r="P229" s="9">
        <f t="shared" si="103"/>
        <v>29970900.209999993</v>
      </c>
    </row>
    <row r="230" spans="1:16" ht="15.6" x14ac:dyDescent="0.3">
      <c r="A230" s="618" t="s">
        <v>213</v>
      </c>
      <c r="B230" s="120"/>
      <c r="C230" s="11" t="s">
        <v>31</v>
      </c>
      <c r="D230" s="12">
        <f>D223+D229</f>
        <v>0</v>
      </c>
      <c r="E230" s="12">
        <f t="shared" ref="E230:I230" si="106">E223+E229</f>
        <v>0</v>
      </c>
      <c r="F230" s="12">
        <f t="shared" si="106"/>
        <v>0</v>
      </c>
      <c r="G230" s="12">
        <f t="shared" si="106"/>
        <v>0</v>
      </c>
      <c r="H230" s="12">
        <f t="shared" si="106"/>
        <v>0</v>
      </c>
      <c r="I230" s="12">
        <f t="shared" si="106"/>
        <v>0</v>
      </c>
      <c r="J230" s="12">
        <f t="shared" ref="J230:O230" si="107">J223+J229</f>
        <v>3255651.9699999993</v>
      </c>
      <c r="K230" s="12">
        <f t="shared" si="107"/>
        <v>3716318.99</v>
      </c>
      <c r="L230" s="12">
        <f t="shared" si="107"/>
        <v>6018405.71</v>
      </c>
      <c r="M230" s="12">
        <f t="shared" si="107"/>
        <v>4747815.24</v>
      </c>
      <c r="N230" s="12">
        <f t="shared" si="107"/>
        <v>5219932.4000000004</v>
      </c>
      <c r="O230" s="12">
        <f t="shared" si="107"/>
        <v>7012775.9000000004</v>
      </c>
      <c r="P230" s="9">
        <f t="shared" si="103"/>
        <v>29970900.209999993</v>
      </c>
    </row>
    <row r="231" spans="1:16" x14ac:dyDescent="0.3">
      <c r="A231" s="699" t="s">
        <v>30</v>
      </c>
      <c r="B231" s="700"/>
      <c r="C231" s="700"/>
      <c r="D231" s="700"/>
      <c r="E231" s="700"/>
      <c r="F231" s="700"/>
      <c r="G231" s="700"/>
      <c r="H231" s="700"/>
      <c r="I231" s="700"/>
      <c r="J231" s="700"/>
      <c r="K231" s="700"/>
      <c r="L231" s="700"/>
      <c r="M231" s="700"/>
      <c r="N231" s="700"/>
      <c r="O231" s="700"/>
      <c r="P231" s="701"/>
    </row>
    <row r="232" spans="1:16" ht="15.6" x14ac:dyDescent="0.3">
      <c r="A232" s="695" t="s">
        <v>29</v>
      </c>
      <c r="B232" s="696"/>
      <c r="C232" s="11" t="s">
        <v>18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/>
      <c r="K232" s="13"/>
      <c r="L232" s="13"/>
      <c r="M232" s="13"/>
      <c r="N232" s="13"/>
      <c r="O232" s="13"/>
      <c r="P232" s="9">
        <f>SUM(J232:O232)</f>
        <v>0</v>
      </c>
    </row>
    <row r="233" spans="1:16" ht="15.6" x14ac:dyDescent="0.3">
      <c r="A233" s="695" t="s">
        <v>28</v>
      </c>
      <c r="B233" s="696"/>
      <c r="C233" s="11" t="s">
        <v>18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/>
      <c r="K233" s="13"/>
      <c r="L233" s="13"/>
      <c r="M233" s="13"/>
      <c r="N233" s="13"/>
      <c r="O233" s="13"/>
      <c r="P233" s="9">
        <f>SUM(J233:O233)</f>
        <v>0</v>
      </c>
    </row>
    <row r="234" spans="1:16" ht="15.6" x14ac:dyDescent="0.3">
      <c r="A234" s="695" t="s">
        <v>27</v>
      </c>
      <c r="B234" s="696"/>
      <c r="C234" s="11" t="s">
        <v>18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/>
      <c r="K234" s="13"/>
      <c r="L234" s="13"/>
      <c r="M234" s="13"/>
      <c r="N234" s="13"/>
      <c r="O234" s="13"/>
      <c r="P234" s="9">
        <f>SUM(J234:O234)</f>
        <v>0</v>
      </c>
    </row>
    <row r="235" spans="1:16" ht="15.6" x14ac:dyDescent="0.3">
      <c r="A235" s="695" t="s">
        <v>26</v>
      </c>
      <c r="B235" s="696"/>
      <c r="C235" s="11" t="s">
        <v>18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/>
      <c r="K235" s="13"/>
      <c r="L235" s="13"/>
      <c r="M235" s="13"/>
      <c r="N235" s="13"/>
      <c r="O235" s="13"/>
      <c r="P235" s="9">
        <f>SUM(J235:O235)</f>
        <v>0</v>
      </c>
    </row>
    <row r="236" spans="1:16" ht="15.6" x14ac:dyDescent="0.3">
      <c r="A236" s="762" t="s">
        <v>25</v>
      </c>
      <c r="B236" s="763"/>
      <c r="C236" s="11" t="s">
        <v>18</v>
      </c>
      <c r="D236" s="12">
        <f t="shared" ref="D236:I236" si="108">SUM(D232:D235)</f>
        <v>0</v>
      </c>
      <c r="E236" s="12">
        <f t="shared" si="108"/>
        <v>0</v>
      </c>
      <c r="F236" s="12">
        <f t="shared" si="108"/>
        <v>0</v>
      </c>
      <c r="G236" s="12">
        <f t="shared" si="108"/>
        <v>0</v>
      </c>
      <c r="H236" s="12">
        <f t="shared" si="108"/>
        <v>0</v>
      </c>
      <c r="I236" s="12">
        <f t="shared" si="108"/>
        <v>0</v>
      </c>
      <c r="J236" s="12">
        <f t="shared" ref="J236:P236" si="109">SUM(J232:J235)</f>
        <v>0</v>
      </c>
      <c r="K236" s="12">
        <f t="shared" si="109"/>
        <v>0</v>
      </c>
      <c r="L236" s="12">
        <f t="shared" si="109"/>
        <v>0</v>
      </c>
      <c r="M236" s="12">
        <f t="shared" si="109"/>
        <v>0</v>
      </c>
      <c r="N236" s="12">
        <f t="shared" si="109"/>
        <v>0</v>
      </c>
      <c r="O236" s="12">
        <f t="shared" si="109"/>
        <v>0</v>
      </c>
      <c r="P236" s="40">
        <f t="shared" si="109"/>
        <v>0</v>
      </c>
    </row>
    <row r="237" spans="1:16" x14ac:dyDescent="0.3">
      <c r="A237" s="699" t="s">
        <v>24</v>
      </c>
      <c r="B237" s="700"/>
      <c r="C237" s="700"/>
      <c r="D237" s="700"/>
      <c r="E237" s="700"/>
      <c r="F237" s="700"/>
      <c r="G237" s="700"/>
      <c r="H237" s="700"/>
      <c r="I237" s="700"/>
      <c r="J237" s="700"/>
      <c r="K237" s="700"/>
      <c r="L237" s="700"/>
      <c r="M237" s="700"/>
      <c r="N237" s="700"/>
      <c r="O237" s="700"/>
      <c r="P237" s="701"/>
    </row>
    <row r="238" spans="1:16" ht="15.6" x14ac:dyDescent="0.3">
      <c r="A238" s="695" t="s">
        <v>23</v>
      </c>
      <c r="B238" s="696"/>
      <c r="C238" s="11" t="s">
        <v>18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/>
      <c r="K238" s="13"/>
      <c r="L238" s="13"/>
      <c r="M238" s="13"/>
      <c r="N238" s="13"/>
      <c r="O238" s="13"/>
      <c r="P238" s="9">
        <f>SUM(J238:O238)</f>
        <v>0</v>
      </c>
    </row>
    <row r="239" spans="1:16" ht="15.6" x14ac:dyDescent="0.3">
      <c r="A239" s="695" t="s">
        <v>22</v>
      </c>
      <c r="B239" s="696"/>
      <c r="C239" s="11" t="s">
        <v>18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/>
      <c r="K239" s="15"/>
      <c r="L239" s="15"/>
      <c r="M239" s="15"/>
      <c r="N239" s="15"/>
      <c r="O239" s="15"/>
      <c r="P239" s="9">
        <f>SUM(J239:O239)</f>
        <v>0</v>
      </c>
    </row>
    <row r="240" spans="1:16" ht="15.6" x14ac:dyDescent="0.3">
      <c r="A240" s="695" t="s">
        <v>21</v>
      </c>
      <c r="B240" s="696"/>
      <c r="C240" s="11" t="s">
        <v>18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/>
      <c r="K240" s="15"/>
      <c r="L240" s="15"/>
      <c r="M240" s="15"/>
      <c r="N240" s="15"/>
      <c r="O240" s="15"/>
      <c r="P240" s="9">
        <f>SUM(J240:O240)</f>
        <v>0</v>
      </c>
    </row>
    <row r="241" spans="1:16" ht="15.6" x14ac:dyDescent="0.3">
      <c r="A241" s="695" t="s">
        <v>20</v>
      </c>
      <c r="B241" s="696"/>
      <c r="C241" s="11" t="s">
        <v>18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/>
      <c r="K241" s="15"/>
      <c r="L241" s="15"/>
      <c r="M241" s="15"/>
      <c r="N241" s="15"/>
      <c r="O241" s="15"/>
      <c r="P241" s="9">
        <f>SUM(J241:O241)</f>
        <v>0</v>
      </c>
    </row>
    <row r="242" spans="1:16" ht="15.6" x14ac:dyDescent="0.3">
      <c r="A242" s="762" t="s">
        <v>19</v>
      </c>
      <c r="B242" s="763"/>
      <c r="C242" s="11" t="s">
        <v>18</v>
      </c>
      <c r="D242" s="12">
        <f t="shared" ref="D242:I242" si="110">SUM(D238:D241)</f>
        <v>0</v>
      </c>
      <c r="E242" s="12">
        <f t="shared" si="110"/>
        <v>0</v>
      </c>
      <c r="F242" s="12">
        <f t="shared" si="110"/>
        <v>0</v>
      </c>
      <c r="G242" s="12">
        <f t="shared" si="110"/>
        <v>0</v>
      </c>
      <c r="H242" s="12">
        <f t="shared" si="110"/>
        <v>0</v>
      </c>
      <c r="I242" s="12">
        <f t="shared" si="110"/>
        <v>0</v>
      </c>
      <c r="J242" s="12">
        <f t="shared" ref="J242:P242" si="111">SUM(J238:J241)</f>
        <v>0</v>
      </c>
      <c r="K242" s="12">
        <f t="shared" si="111"/>
        <v>0</v>
      </c>
      <c r="L242" s="12">
        <f t="shared" si="111"/>
        <v>0</v>
      </c>
      <c r="M242" s="12">
        <f t="shared" si="111"/>
        <v>0</v>
      </c>
      <c r="N242" s="12">
        <f t="shared" si="111"/>
        <v>0</v>
      </c>
      <c r="O242" s="12">
        <f t="shared" si="111"/>
        <v>0</v>
      </c>
      <c r="P242" s="40">
        <f t="shared" si="111"/>
        <v>0</v>
      </c>
    </row>
    <row r="243" spans="1:16" ht="15.6" x14ac:dyDescent="0.3">
      <c r="A243" s="762" t="s">
        <v>214</v>
      </c>
      <c r="B243" s="763"/>
      <c r="C243" s="11" t="s">
        <v>18</v>
      </c>
      <c r="D243" s="10">
        <f>D230+D236+D242</f>
        <v>0</v>
      </c>
      <c r="E243" s="10">
        <f t="shared" ref="E243:I243" si="112">E230+E236+E242</f>
        <v>0</v>
      </c>
      <c r="F243" s="10">
        <f t="shared" si="112"/>
        <v>0</v>
      </c>
      <c r="G243" s="10">
        <f t="shared" si="112"/>
        <v>0</v>
      </c>
      <c r="H243" s="10">
        <f t="shared" si="112"/>
        <v>0</v>
      </c>
      <c r="I243" s="10">
        <f t="shared" si="112"/>
        <v>0</v>
      </c>
      <c r="J243" s="10">
        <f t="shared" ref="J243:O243" si="113">J230+J236+J242</f>
        <v>3255651.9699999993</v>
      </c>
      <c r="K243" s="10">
        <f t="shared" si="113"/>
        <v>3716318.99</v>
      </c>
      <c r="L243" s="10">
        <f t="shared" si="113"/>
        <v>6018405.71</v>
      </c>
      <c r="M243" s="10">
        <f t="shared" si="113"/>
        <v>4747815.24</v>
      </c>
      <c r="N243" s="10">
        <f t="shared" si="113"/>
        <v>5219932.4000000004</v>
      </c>
      <c r="O243" s="10">
        <f t="shared" si="113"/>
        <v>7012775.9000000004</v>
      </c>
      <c r="P243" s="40">
        <f t="shared" ref="P243" si="114">P216+P223+P236+P242</f>
        <v>29970900.209999993</v>
      </c>
    </row>
    <row r="244" spans="1:16" x14ac:dyDescent="0.3">
      <c r="A244" s="699" t="s">
        <v>204</v>
      </c>
      <c r="B244" s="700"/>
      <c r="C244" s="700"/>
      <c r="D244" s="700"/>
      <c r="E244" s="700"/>
      <c r="F244" s="700"/>
      <c r="G244" s="700"/>
      <c r="H244" s="700"/>
      <c r="I244" s="700"/>
      <c r="J244" s="700"/>
      <c r="K244" s="700"/>
      <c r="L244" s="700"/>
      <c r="M244" s="700"/>
      <c r="N244" s="700"/>
      <c r="O244" s="700"/>
      <c r="P244" s="701"/>
    </row>
    <row r="245" spans="1:16" ht="15.6" x14ac:dyDescent="0.3">
      <c r="A245" s="769" t="s">
        <v>205</v>
      </c>
      <c r="B245" s="770"/>
      <c r="C245" s="11" t="s">
        <v>18</v>
      </c>
      <c r="D245" s="155">
        <v>0</v>
      </c>
      <c r="E245" s="155">
        <v>0</v>
      </c>
      <c r="F245" s="155">
        <v>0</v>
      </c>
      <c r="G245" s="155">
        <v>0</v>
      </c>
      <c r="H245" s="155">
        <v>0</v>
      </c>
      <c r="I245" s="155">
        <v>0</v>
      </c>
      <c r="J245" s="155"/>
      <c r="K245" s="155"/>
      <c r="L245" s="155"/>
      <c r="M245" s="155"/>
      <c r="N245" s="155"/>
      <c r="O245" s="155"/>
      <c r="P245" s="164">
        <f>O245</f>
        <v>0</v>
      </c>
    </row>
    <row r="246" spans="1:16" ht="15.6" x14ac:dyDescent="0.3">
      <c r="A246" s="769" t="s">
        <v>206</v>
      </c>
      <c r="B246" s="770"/>
      <c r="C246" s="11" t="s">
        <v>18</v>
      </c>
      <c r="D246" s="155">
        <v>0</v>
      </c>
      <c r="E246" s="155">
        <v>0</v>
      </c>
      <c r="F246" s="155">
        <v>0</v>
      </c>
      <c r="G246" s="155">
        <v>0</v>
      </c>
      <c r="H246" s="155">
        <v>0</v>
      </c>
      <c r="I246" s="155">
        <v>0</v>
      </c>
      <c r="J246" s="155"/>
      <c r="K246" s="155"/>
      <c r="L246" s="155"/>
      <c r="M246" s="155"/>
      <c r="N246" s="155"/>
      <c r="O246" s="155"/>
      <c r="P246" s="164">
        <f>O246</f>
        <v>0</v>
      </c>
    </row>
    <row r="247" spans="1:16" ht="16.2" thickBot="1" x14ac:dyDescent="0.35">
      <c r="A247" s="771" t="s">
        <v>207</v>
      </c>
      <c r="B247" s="772"/>
      <c r="C247" s="68" t="s">
        <v>18</v>
      </c>
      <c r="D247" s="608">
        <f>D245+D246</f>
        <v>0</v>
      </c>
      <c r="E247" s="608">
        <f>E245+E246</f>
        <v>0</v>
      </c>
      <c r="F247" s="608">
        <f t="shared" ref="F247:I247" si="115">F245+F246</f>
        <v>0</v>
      </c>
      <c r="G247" s="608">
        <f t="shared" si="115"/>
        <v>0</v>
      </c>
      <c r="H247" s="608">
        <f t="shared" si="115"/>
        <v>0</v>
      </c>
      <c r="I247" s="608">
        <f t="shared" si="115"/>
        <v>0</v>
      </c>
      <c r="J247" s="608">
        <f t="shared" ref="J247:P247" si="116">J245+J246</f>
        <v>0</v>
      </c>
      <c r="K247" s="608">
        <f t="shared" si="116"/>
        <v>0</v>
      </c>
      <c r="L247" s="608">
        <f t="shared" si="116"/>
        <v>0</v>
      </c>
      <c r="M247" s="608">
        <f t="shared" si="116"/>
        <v>0</v>
      </c>
      <c r="N247" s="609">
        <f t="shared" si="116"/>
        <v>0</v>
      </c>
      <c r="O247" s="609">
        <f t="shared" si="116"/>
        <v>0</v>
      </c>
      <c r="P247" s="610">
        <f t="shared" si="116"/>
        <v>0</v>
      </c>
    </row>
    <row r="248" spans="1:16" ht="15" thickBot="1" x14ac:dyDescent="0.35">
      <c r="A248" s="704" t="s">
        <v>17</v>
      </c>
      <c r="B248" s="705"/>
      <c r="C248" s="705"/>
      <c r="D248" s="705"/>
      <c r="E248" s="705"/>
      <c r="F248" s="705"/>
      <c r="G248" s="705"/>
      <c r="H248" s="705"/>
      <c r="I248" s="705"/>
      <c r="J248" s="705"/>
      <c r="K248" s="705"/>
      <c r="L248" s="705"/>
      <c r="M248" s="705"/>
      <c r="N248" s="705"/>
      <c r="O248" s="705"/>
      <c r="P248" s="706"/>
    </row>
    <row r="249" spans="1:16" ht="15.6" x14ac:dyDescent="0.3">
      <c r="A249" s="773" t="s">
        <v>16</v>
      </c>
      <c r="B249" s="774"/>
      <c r="C249" s="606" t="s">
        <v>6</v>
      </c>
      <c r="D249" s="611" t="e">
        <f>D58/D243</f>
        <v>#DIV/0!</v>
      </c>
      <c r="E249" s="611" t="e">
        <f>E58/E243</f>
        <v>#DIV/0!</v>
      </c>
      <c r="F249" s="611" t="e">
        <f>F58/F243</f>
        <v>#DIV/0!</v>
      </c>
      <c r="G249" s="611" t="e">
        <f>G58/G243</f>
        <v>#DIV/0!</v>
      </c>
      <c r="H249" s="611" t="e">
        <f t="shared" ref="H249:I249" si="117">H58/H243</f>
        <v>#DIV/0!</v>
      </c>
      <c r="I249" s="611" t="e">
        <f t="shared" si="117"/>
        <v>#DIV/0!</v>
      </c>
      <c r="J249" s="611">
        <f t="shared" ref="J249:O249" si="118">J58/J243</f>
        <v>7.7477043776273193</v>
      </c>
      <c r="K249" s="611">
        <f t="shared" si="118"/>
        <v>6.9858813250043417</v>
      </c>
      <c r="L249" s="611">
        <f t="shared" si="118"/>
        <v>8.1611047604166931</v>
      </c>
      <c r="M249" s="611">
        <f t="shared" si="118"/>
        <v>10.554187767845827</v>
      </c>
      <c r="N249" s="611">
        <f t="shared" si="118"/>
        <v>10.27037512593075</v>
      </c>
      <c r="O249" s="611">
        <f t="shared" si="118"/>
        <v>7.6537112657485595</v>
      </c>
      <c r="P249" s="612">
        <f>P58/P243</f>
        <v>8.5982132486637131</v>
      </c>
    </row>
    <row r="250" spans="1:16" ht="15.6" x14ac:dyDescent="0.3">
      <c r="A250" s="726" t="s">
        <v>208</v>
      </c>
      <c r="B250" s="727"/>
      <c r="C250" s="5" t="s">
        <v>6</v>
      </c>
      <c r="D250" s="29" t="e">
        <f>D210/(D223+D245)</f>
        <v>#DIV/0!</v>
      </c>
      <c r="E250" s="29" t="e">
        <f>E210/(E223+E245)</f>
        <v>#DIV/0!</v>
      </c>
      <c r="F250" s="29" t="e">
        <f>F210/(F223+F245)</f>
        <v>#DIV/0!</v>
      </c>
      <c r="G250" s="29" t="e">
        <f>G210/(G223+G245)</f>
        <v>#DIV/0!</v>
      </c>
      <c r="H250" s="617" t="e">
        <f>H210/(H223+H245)</f>
        <v>#DIV/0!</v>
      </c>
      <c r="I250" s="29" t="e">
        <f t="shared" ref="I250" si="119">I210/(I223+I245)</f>
        <v>#DIV/0!</v>
      </c>
      <c r="J250" s="29" t="e">
        <f t="shared" ref="J250:O250" si="120">J210/(J223+J245)</f>
        <v>#DIV/0!</v>
      </c>
      <c r="K250" s="29" t="e">
        <f t="shared" si="120"/>
        <v>#DIV/0!</v>
      </c>
      <c r="L250" s="29" t="e">
        <f t="shared" si="120"/>
        <v>#DIV/0!</v>
      </c>
      <c r="M250" s="29" t="e">
        <f t="shared" si="120"/>
        <v>#DIV/0!</v>
      </c>
      <c r="N250" s="29" t="e">
        <f t="shared" si="120"/>
        <v>#DIV/0!</v>
      </c>
      <c r="O250" s="29" t="e">
        <f t="shared" si="120"/>
        <v>#DIV/0!</v>
      </c>
      <c r="P250" s="109" t="e">
        <f>P210/(P223+P245)</f>
        <v>#DIV/0!</v>
      </c>
    </row>
    <row r="251" spans="1:16" ht="16.2" thickBot="1" x14ac:dyDescent="0.35">
      <c r="A251" s="777" t="s">
        <v>15</v>
      </c>
      <c r="B251" s="778"/>
      <c r="C251" s="30" t="s">
        <v>6</v>
      </c>
      <c r="D251" s="29" t="e">
        <f>D210/D223</f>
        <v>#DIV/0!</v>
      </c>
      <c r="E251" s="29" t="e">
        <f>E210/E223</f>
        <v>#DIV/0!</v>
      </c>
      <c r="F251" s="29" t="e">
        <f>F210/F223</f>
        <v>#DIV/0!</v>
      </c>
      <c r="G251" s="29" t="e">
        <f>G210/G223</f>
        <v>#DIV/0!</v>
      </c>
      <c r="H251" s="29" t="e">
        <f>H210/H223</f>
        <v>#DIV/0!</v>
      </c>
      <c r="I251" s="29" t="e">
        <f t="shared" ref="I251" si="121">I210/I223</f>
        <v>#DIV/0!</v>
      </c>
      <c r="J251" s="29" t="e">
        <f t="shared" ref="J251:O251" si="122">J210/J223</f>
        <v>#DIV/0!</v>
      </c>
      <c r="K251" s="29" t="e">
        <f t="shared" si="122"/>
        <v>#DIV/0!</v>
      </c>
      <c r="L251" s="29" t="e">
        <f t="shared" si="122"/>
        <v>#DIV/0!</v>
      </c>
      <c r="M251" s="29" t="e">
        <f t="shared" si="122"/>
        <v>#DIV/0!</v>
      </c>
      <c r="N251" s="29" t="e">
        <f t="shared" si="122"/>
        <v>#DIV/0!</v>
      </c>
      <c r="O251" s="29" t="e">
        <f t="shared" si="122"/>
        <v>#DIV/0!</v>
      </c>
      <c r="P251" s="109" t="e">
        <f>P210/P223</f>
        <v>#DIV/0!</v>
      </c>
    </row>
    <row r="252" spans="1:16" ht="15" thickBot="1" x14ac:dyDescent="0.35">
      <c r="A252" s="704" t="s">
        <v>14</v>
      </c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5"/>
      <c r="P252" s="706"/>
    </row>
    <row r="253" spans="1:16" s="2" customFormat="1" ht="15" customHeight="1" x14ac:dyDescent="0.3">
      <c r="A253" s="773" t="s">
        <v>13</v>
      </c>
      <c r="B253" s="774"/>
      <c r="C253" s="606" t="s">
        <v>3</v>
      </c>
      <c r="D253" s="133">
        <v>0</v>
      </c>
      <c r="E253" s="133">
        <v>0</v>
      </c>
      <c r="F253" s="133">
        <v>0</v>
      </c>
      <c r="G253" s="133">
        <v>0</v>
      </c>
      <c r="H253" s="133">
        <v>0</v>
      </c>
      <c r="I253" s="133">
        <v>0</v>
      </c>
      <c r="J253" s="133"/>
      <c r="K253" s="133">
        <v>15</v>
      </c>
      <c r="L253" s="4"/>
      <c r="M253" s="4">
        <v>0</v>
      </c>
      <c r="N253" s="4">
        <v>653</v>
      </c>
      <c r="O253" s="4">
        <v>67</v>
      </c>
      <c r="P253" s="607">
        <f>SUM(J253:O253)</f>
        <v>735</v>
      </c>
    </row>
    <row r="254" spans="1:16" s="2" customFormat="1" ht="15.6" x14ac:dyDescent="0.3">
      <c r="A254" s="726" t="s">
        <v>12</v>
      </c>
      <c r="B254" s="727"/>
      <c r="C254" s="5" t="s">
        <v>3</v>
      </c>
      <c r="D254" s="133">
        <v>0</v>
      </c>
      <c r="E254" s="133">
        <v>0</v>
      </c>
      <c r="F254" s="133">
        <v>0</v>
      </c>
      <c r="G254" s="133">
        <v>0</v>
      </c>
      <c r="H254" s="133">
        <v>0</v>
      </c>
      <c r="I254" s="133">
        <v>0</v>
      </c>
      <c r="J254" s="133"/>
      <c r="K254" s="133">
        <v>5</v>
      </c>
      <c r="L254" s="4"/>
      <c r="M254" s="4">
        <v>0</v>
      </c>
      <c r="N254" s="4">
        <v>1</v>
      </c>
      <c r="O254" s="4">
        <v>0</v>
      </c>
      <c r="P254" s="114">
        <f>SUM(J254:O254)</f>
        <v>6</v>
      </c>
    </row>
    <row r="255" spans="1:16" ht="15.75" customHeight="1" x14ac:dyDescent="0.3">
      <c r="A255" s="726" t="s">
        <v>11</v>
      </c>
      <c r="B255" s="727"/>
      <c r="C255" s="5" t="s">
        <v>3</v>
      </c>
      <c r="D255" s="133">
        <v>0</v>
      </c>
      <c r="E255" s="133">
        <v>0</v>
      </c>
      <c r="F255" s="133">
        <v>0</v>
      </c>
      <c r="G255" s="133">
        <v>0</v>
      </c>
      <c r="H255" s="133">
        <v>0</v>
      </c>
      <c r="I255" s="133">
        <v>0</v>
      </c>
      <c r="J255" s="133">
        <f t="shared" ref="J255:L255" si="123">J95</f>
        <v>0</v>
      </c>
      <c r="K255" s="133">
        <f t="shared" si="123"/>
        <v>157</v>
      </c>
      <c r="L255" s="133">
        <f t="shared" si="123"/>
        <v>155</v>
      </c>
      <c r="M255" s="4">
        <v>591</v>
      </c>
      <c r="N255" s="4">
        <v>0</v>
      </c>
      <c r="O255" s="4">
        <v>67</v>
      </c>
      <c r="P255" s="114">
        <f>SUM(J255:O255)</f>
        <v>970</v>
      </c>
    </row>
    <row r="256" spans="1:16" ht="15.6" x14ac:dyDescent="0.3">
      <c r="A256" s="726" t="s">
        <v>10</v>
      </c>
      <c r="B256" s="727"/>
      <c r="C256" s="5" t="s">
        <v>3</v>
      </c>
      <c r="D256" s="133">
        <v>0</v>
      </c>
      <c r="E256" s="133">
        <v>0</v>
      </c>
      <c r="F256" s="133">
        <v>0</v>
      </c>
      <c r="G256" s="133">
        <v>0</v>
      </c>
      <c r="H256" s="133">
        <v>0</v>
      </c>
      <c r="I256" s="133">
        <v>0</v>
      </c>
      <c r="J256" s="133">
        <f t="shared" ref="J256:L256" si="124">J91</f>
        <v>0</v>
      </c>
      <c r="K256" s="133">
        <f t="shared" si="124"/>
        <v>15</v>
      </c>
      <c r="L256" s="133">
        <f t="shared" si="124"/>
        <v>10</v>
      </c>
      <c r="M256" s="4">
        <v>744</v>
      </c>
      <c r="N256" s="4">
        <v>0</v>
      </c>
      <c r="O256" s="4">
        <v>698</v>
      </c>
      <c r="P256" s="114">
        <f>SUM(J256:O256)</f>
        <v>1467</v>
      </c>
    </row>
    <row r="257" spans="1:16" ht="15.6" customHeight="1" x14ac:dyDescent="0.3">
      <c r="A257" s="726" t="s">
        <v>9</v>
      </c>
      <c r="B257" s="727"/>
      <c r="C257" s="5" t="s">
        <v>3</v>
      </c>
      <c r="D257" s="133">
        <v>0</v>
      </c>
      <c r="E257" s="133">
        <v>0</v>
      </c>
      <c r="F257" s="133">
        <v>0</v>
      </c>
      <c r="G257" s="133">
        <v>0</v>
      </c>
      <c r="H257" s="133">
        <v>0</v>
      </c>
      <c r="I257" s="133">
        <v>0</v>
      </c>
      <c r="J257" s="133"/>
      <c r="K257" s="133"/>
      <c r="L257" s="4"/>
      <c r="M257" s="4"/>
      <c r="N257" s="156"/>
      <c r="O257" s="156"/>
      <c r="P257" s="114">
        <f>SUM(J257:O257)</f>
        <v>0</v>
      </c>
    </row>
    <row r="258" spans="1:16" ht="15.6" x14ac:dyDescent="0.3">
      <c r="A258" s="762" t="s">
        <v>8</v>
      </c>
      <c r="B258" s="763"/>
      <c r="C258" s="5" t="s">
        <v>3</v>
      </c>
      <c r="D258" s="161" t="e">
        <f t="shared" ref="D258:I258" si="125">D257/D256</f>
        <v>#DIV/0!</v>
      </c>
      <c r="E258" s="161" t="e">
        <f t="shared" si="125"/>
        <v>#DIV/0!</v>
      </c>
      <c r="F258" s="161" t="e">
        <f t="shared" si="125"/>
        <v>#DIV/0!</v>
      </c>
      <c r="G258" s="1" t="e">
        <f t="shared" si="125"/>
        <v>#DIV/0!</v>
      </c>
      <c r="H258" s="1" t="e">
        <f t="shared" si="125"/>
        <v>#DIV/0!</v>
      </c>
      <c r="I258" s="3" t="e">
        <f t="shared" si="125"/>
        <v>#DIV/0!</v>
      </c>
      <c r="J258" s="3" t="e">
        <f t="shared" ref="J258:P258" si="126">J257/J256</f>
        <v>#DIV/0!</v>
      </c>
      <c r="K258" s="3">
        <f t="shared" si="126"/>
        <v>0</v>
      </c>
      <c r="L258" s="3">
        <f t="shared" si="126"/>
        <v>0</v>
      </c>
      <c r="M258" s="3">
        <f t="shared" si="126"/>
        <v>0</v>
      </c>
      <c r="N258" s="3" t="e">
        <f t="shared" si="126"/>
        <v>#DIV/0!</v>
      </c>
      <c r="O258" s="3">
        <f t="shared" si="126"/>
        <v>0</v>
      </c>
      <c r="P258" s="114">
        <f t="shared" si="126"/>
        <v>0</v>
      </c>
    </row>
    <row r="259" spans="1:16" ht="15.6" x14ac:dyDescent="0.3">
      <c r="A259" s="762" t="s">
        <v>7</v>
      </c>
      <c r="B259" s="763"/>
      <c r="C259" s="5" t="s">
        <v>6</v>
      </c>
      <c r="D259" s="161" t="e">
        <f t="shared" ref="D259:I259" si="127">D92/D255*100</f>
        <v>#DIV/0!</v>
      </c>
      <c r="E259" s="161" t="e">
        <f t="shared" si="127"/>
        <v>#DIV/0!</v>
      </c>
      <c r="F259" s="161" t="e">
        <f t="shared" si="127"/>
        <v>#DIV/0!</v>
      </c>
      <c r="G259" s="6" t="e">
        <f t="shared" si="127"/>
        <v>#DIV/0!</v>
      </c>
      <c r="H259" s="161" t="e">
        <f t="shared" si="127"/>
        <v>#DIV/0!</v>
      </c>
      <c r="I259" s="189" t="e">
        <f t="shared" si="127"/>
        <v>#DIV/0!</v>
      </c>
      <c r="J259" s="189" t="e">
        <f t="shared" ref="J259:P259" si="128">J92/J255*100</f>
        <v>#DIV/0!</v>
      </c>
      <c r="K259" s="189">
        <f t="shared" si="128"/>
        <v>0</v>
      </c>
      <c r="L259" s="189">
        <f t="shared" si="128"/>
        <v>0.64516129032258063</v>
      </c>
      <c r="M259" s="189">
        <f t="shared" si="128"/>
        <v>0</v>
      </c>
      <c r="N259" s="189" t="e">
        <f t="shared" si="128"/>
        <v>#DIV/0!</v>
      </c>
      <c r="O259" s="189">
        <f t="shared" si="128"/>
        <v>0</v>
      </c>
      <c r="P259" s="196">
        <f t="shared" si="128"/>
        <v>0.10309278350515465</v>
      </c>
    </row>
    <row r="260" spans="1:16" x14ac:dyDescent="0.3">
      <c r="A260" s="699" t="s">
        <v>5</v>
      </c>
      <c r="B260" s="700"/>
      <c r="C260" s="700"/>
      <c r="D260" s="700"/>
      <c r="E260" s="700"/>
      <c r="F260" s="700"/>
      <c r="G260" s="700"/>
      <c r="H260" s="700"/>
      <c r="I260" s="700"/>
      <c r="J260" s="700"/>
      <c r="K260" s="700"/>
      <c r="L260" s="700"/>
      <c r="M260" s="700"/>
      <c r="N260" s="700"/>
      <c r="O260" s="700"/>
      <c r="P260" s="701"/>
    </row>
    <row r="261" spans="1:16" s="2" customFormat="1" ht="15" customHeight="1" x14ac:dyDescent="0.3">
      <c r="A261" s="726" t="s">
        <v>4</v>
      </c>
      <c r="B261" s="727"/>
      <c r="C261" s="5" t="s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/>
      <c r="K261" s="4">
        <v>5</v>
      </c>
      <c r="L261" s="4"/>
      <c r="M261" s="4">
        <v>4</v>
      </c>
      <c r="N261" s="4"/>
      <c r="O261" s="4">
        <v>42</v>
      </c>
      <c r="P261" s="40">
        <f>SUM(J261:O261)</f>
        <v>51</v>
      </c>
    </row>
    <row r="262" spans="1:16" s="2" customFormat="1" ht="15.75" customHeight="1" x14ac:dyDescent="0.3">
      <c r="A262" s="726" t="s">
        <v>2</v>
      </c>
      <c r="B262" s="727"/>
      <c r="C262" s="5" t="s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/>
      <c r="K262" s="4">
        <v>1</v>
      </c>
      <c r="L262" s="4"/>
      <c r="M262" s="4">
        <v>0.5</v>
      </c>
      <c r="N262" s="4"/>
      <c r="O262" s="4">
        <v>1</v>
      </c>
      <c r="P262" s="40">
        <f>SUM(J262:O262)</f>
        <v>2.5</v>
      </c>
    </row>
    <row r="263" spans="1:16" ht="16.2" thickBot="1" x14ac:dyDescent="0.35">
      <c r="A263" s="775" t="s">
        <v>1</v>
      </c>
      <c r="B263" s="776"/>
      <c r="C263" s="116" t="s">
        <v>0</v>
      </c>
      <c r="D263" s="117" t="e">
        <f t="shared" ref="D263:I263" si="129">D261/D262</f>
        <v>#DIV/0!</v>
      </c>
      <c r="E263" s="117" t="e">
        <f t="shared" si="129"/>
        <v>#DIV/0!</v>
      </c>
      <c r="F263" s="117" t="e">
        <f t="shared" si="129"/>
        <v>#DIV/0!</v>
      </c>
      <c r="G263" s="117" t="e">
        <f t="shared" si="129"/>
        <v>#DIV/0!</v>
      </c>
      <c r="H263" s="117" t="e">
        <f t="shared" si="129"/>
        <v>#DIV/0!</v>
      </c>
      <c r="I263" s="117" t="e">
        <f t="shared" si="129"/>
        <v>#DIV/0!</v>
      </c>
      <c r="J263" s="117" t="e">
        <f t="shared" ref="J263:P263" si="130">J261/J262</f>
        <v>#DIV/0!</v>
      </c>
      <c r="K263" s="117">
        <f t="shared" si="130"/>
        <v>5</v>
      </c>
      <c r="L263" s="117" t="e">
        <f t="shared" si="130"/>
        <v>#DIV/0!</v>
      </c>
      <c r="M263" s="117">
        <f t="shared" si="130"/>
        <v>8</v>
      </c>
      <c r="N263" s="117" t="e">
        <f t="shared" si="130"/>
        <v>#DIV/0!</v>
      </c>
      <c r="O263" s="117">
        <f t="shared" si="130"/>
        <v>42</v>
      </c>
      <c r="P263" s="208">
        <f t="shared" si="130"/>
        <v>20.399999999999999</v>
      </c>
    </row>
  </sheetData>
  <mergeCells count="157">
    <mergeCell ref="A258:B258"/>
    <mergeCell ref="A259:B259"/>
    <mergeCell ref="A260:P260"/>
    <mergeCell ref="A261:B261"/>
    <mergeCell ref="A262:B262"/>
    <mergeCell ref="A263:B263"/>
    <mergeCell ref="A252:P252"/>
    <mergeCell ref="A253:B253"/>
    <mergeCell ref="A254:B254"/>
    <mergeCell ref="A255:B255"/>
    <mergeCell ref="A256:B256"/>
    <mergeCell ref="A257:B257"/>
    <mergeCell ref="A246:B246"/>
    <mergeCell ref="A247:B247"/>
    <mergeCell ref="A248:P248"/>
    <mergeCell ref="A249:B249"/>
    <mergeCell ref="A250:B250"/>
    <mergeCell ref="A251:B251"/>
    <mergeCell ref="A240:B240"/>
    <mergeCell ref="A241:B241"/>
    <mergeCell ref="A242:B242"/>
    <mergeCell ref="A243:B243"/>
    <mergeCell ref="A244:P244"/>
    <mergeCell ref="A245:B245"/>
    <mergeCell ref="A234:B234"/>
    <mergeCell ref="A235:B235"/>
    <mergeCell ref="A236:B236"/>
    <mergeCell ref="A237:P237"/>
    <mergeCell ref="A238:B238"/>
    <mergeCell ref="A239:B239"/>
    <mergeCell ref="A227:B227"/>
    <mergeCell ref="A228:B228"/>
    <mergeCell ref="A229:B229"/>
    <mergeCell ref="A231:P231"/>
    <mergeCell ref="A232:B232"/>
    <mergeCell ref="A233:B233"/>
    <mergeCell ref="A221:B221"/>
    <mergeCell ref="A222:B222"/>
    <mergeCell ref="A223:B223"/>
    <mergeCell ref="A224:P224"/>
    <mergeCell ref="A225:B225"/>
    <mergeCell ref="A226:B226"/>
    <mergeCell ref="A214:B214"/>
    <mergeCell ref="A215:B215"/>
    <mergeCell ref="A216:B216"/>
    <mergeCell ref="A218:P218"/>
    <mergeCell ref="A219:B219"/>
    <mergeCell ref="A220:B220"/>
    <mergeCell ref="A208:B208"/>
    <mergeCell ref="A209:B209"/>
    <mergeCell ref="A210:B210"/>
    <mergeCell ref="A211:P211"/>
    <mergeCell ref="A212:B212"/>
    <mergeCell ref="A213:B213"/>
    <mergeCell ref="A197:B197"/>
    <mergeCell ref="A198:P198"/>
    <mergeCell ref="A199:A203"/>
    <mergeCell ref="A205:P205"/>
    <mergeCell ref="A206:B206"/>
    <mergeCell ref="A207:B207"/>
    <mergeCell ref="A151:B151"/>
    <mergeCell ref="A152:A165"/>
    <mergeCell ref="A166:A175"/>
    <mergeCell ref="A176:A182"/>
    <mergeCell ref="A188:A192"/>
    <mergeCell ref="A194:B195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P27"/>
    <mergeCell ref="A29:A30"/>
    <mergeCell ref="B29:B30"/>
    <mergeCell ref="A31:A32"/>
    <mergeCell ref="B31:B32"/>
    <mergeCell ref="A33:A34"/>
    <mergeCell ref="B33:B34"/>
    <mergeCell ref="A19:B19"/>
    <mergeCell ref="A20:B20"/>
    <mergeCell ref="A21:B21"/>
    <mergeCell ref="A23:P23"/>
    <mergeCell ref="A24:A25"/>
    <mergeCell ref="A26:P26"/>
    <mergeCell ref="A13:B13"/>
    <mergeCell ref="A14:B14"/>
    <mergeCell ref="A15:B15"/>
    <mergeCell ref="A16:P16"/>
    <mergeCell ref="A17:B17"/>
    <mergeCell ref="A18:B18"/>
    <mergeCell ref="A7:B7"/>
    <mergeCell ref="A8:P8"/>
    <mergeCell ref="A9:B9"/>
    <mergeCell ref="A10:P10"/>
    <mergeCell ref="A11:B11"/>
    <mergeCell ref="A12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3C0C-9173-440E-B838-EAA1F482B191}">
  <sheetPr codeName="Sheet11"/>
  <dimension ref="A1:P263"/>
  <sheetViews>
    <sheetView zoomScale="106" zoomScaleNormal="106" workbookViewId="0">
      <pane xSplit="1" ySplit="7" topLeftCell="J8" activePane="bottomRight" state="frozen"/>
      <selection pane="topRight" activeCell="B1" sqref="B1"/>
      <selection pane="bottomLeft" activeCell="A8" sqref="A8"/>
      <selection pane="bottomRight" activeCell="Z11" sqref="Z11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7" bestFit="1" customWidth="1"/>
  </cols>
  <sheetData>
    <row r="1" spans="1:16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1"/>
    </row>
    <row r="4" spans="1:16" ht="18" thickBot="1" x14ac:dyDescent="0.35">
      <c r="A4" s="94" t="s">
        <v>221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ht="14.4" customHeight="1" x14ac:dyDescent="0.3">
      <c r="A5" s="95" t="s">
        <v>221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7"/>
    </row>
    <row r="6" spans="1:16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241" t="s">
        <v>174</v>
      </c>
      <c r="B7" s="242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302" t="s">
        <v>159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4"/>
    </row>
    <row r="9" spans="1:16" x14ac:dyDescent="0.3">
      <c r="A9" s="245" t="s">
        <v>176</v>
      </c>
      <c r="B9" s="246"/>
      <c r="C9" s="58" t="s">
        <v>152</v>
      </c>
      <c r="D9" s="34">
        <f>Mangochi!D9+'Monkey Bay'!D9+Namwera!D9</f>
        <v>188810</v>
      </c>
      <c r="E9" s="34">
        <f>Mangochi!E9+'Monkey Bay'!E9+Namwera!E9</f>
        <v>194881</v>
      </c>
      <c r="F9" s="34">
        <f>Mangochi!F9+'Monkey Bay'!F9+Namwera!F9</f>
        <v>201586</v>
      </c>
      <c r="G9" s="34">
        <f>Mangochi!G9+'Monkey Bay'!G9+Namwera!G9</f>
        <v>193512</v>
      </c>
      <c r="H9" s="34">
        <f>Mangochi!H9+'Monkey Bay'!H9+Namwera!H9</f>
        <v>194800</v>
      </c>
      <c r="I9" s="34">
        <f>Mangochi!I9+'Monkey Bay'!I9+Namwera!I9</f>
        <v>191525</v>
      </c>
      <c r="J9" s="34">
        <f>Mangochi!J9+'Monkey Bay'!J9+Namwera!J9+Nkhudzi!J9</f>
        <v>205295</v>
      </c>
      <c r="K9" s="34">
        <f>Mangochi!K9+'Monkey Bay'!K9+Namwera!K9+Nkhudzi!K9</f>
        <v>230405.10000000003</v>
      </c>
      <c r="L9" s="34">
        <f>Mangochi!L9+'Monkey Bay'!L9+Namwera!L9+Nkhudzi!L9</f>
        <v>201198</v>
      </c>
      <c r="M9" s="34">
        <f>Mangochi!M9+'Monkey Bay'!M9+Namwera!M9+Nkhudzi!M9</f>
        <v>209994</v>
      </c>
      <c r="N9" s="34">
        <f>Mangochi!N9+'Monkey Bay'!N9+Namwera!N9+Nkhudzi!N9</f>
        <v>200614.7</v>
      </c>
      <c r="O9" s="34">
        <f>Mangochi!O9+'Monkey Bay'!O9+Namwera!O9+Nkhudzi!O9</f>
        <v>185691</v>
      </c>
      <c r="P9" s="153">
        <f>SUM(D9:O9)</f>
        <v>2398311.8000000003</v>
      </c>
    </row>
    <row r="10" spans="1:16" ht="14.4" x14ac:dyDescent="0.3">
      <c r="A10" s="282" t="s">
        <v>177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4"/>
    </row>
    <row r="11" spans="1:16" x14ac:dyDescent="0.3">
      <c r="A11" s="243" t="s">
        <v>157</v>
      </c>
      <c r="B11" s="244"/>
      <c r="C11" s="11" t="s">
        <v>152</v>
      </c>
      <c r="D11" s="26">
        <f>Mangochi!D11+'Monkey Bay'!D11+Namwera!D11</f>
        <v>72208</v>
      </c>
      <c r="E11" s="26">
        <f>Mangochi!E11+'Monkey Bay'!E11+Namwera!E11</f>
        <v>75904</v>
      </c>
      <c r="F11" s="26">
        <f>Mangochi!F11+'Monkey Bay'!F11+Namwera!F11</f>
        <v>78779</v>
      </c>
      <c r="G11" s="26">
        <f>Mangochi!G11+'Monkey Bay'!G11+Namwera!G11</f>
        <v>79340</v>
      </c>
      <c r="H11" s="26">
        <f>Mangochi!H11+'Monkey Bay'!H11+Namwera!H11</f>
        <v>81185</v>
      </c>
      <c r="I11" s="26">
        <f>Mangochi!I11+'Monkey Bay'!I11+Namwera!I11</f>
        <v>82899</v>
      </c>
      <c r="J11" s="26">
        <f>Mangochi!J11+'Monkey Bay'!J11+Namwera!J11+Nkhudzi!J11</f>
        <v>88528</v>
      </c>
      <c r="K11" s="26">
        <f>Mangochi!K11+'Monkey Bay'!K11+Namwera!K11+Nkhudzi!K11</f>
        <v>94364</v>
      </c>
      <c r="L11" s="26">
        <f>Mangochi!L11+'Monkey Bay'!L11+Namwera!L11+Nkhudzi!L11</f>
        <v>79652</v>
      </c>
      <c r="M11" s="26">
        <f>Mangochi!M11+'Monkey Bay'!M11+Namwera!M11+Nkhudzi!M11</f>
        <v>85487</v>
      </c>
      <c r="N11" s="26">
        <f>Mangochi!N11+'Monkey Bay'!N11+Namwera!N11+Nkhudzi!N11</f>
        <v>91204</v>
      </c>
      <c r="O11" s="26">
        <f>Mangochi!O11+'Monkey Bay'!O11+Namwera!O11+Nkhudzi!O11</f>
        <v>88120</v>
      </c>
      <c r="P11" s="55">
        <f>SUM(D11:O11)</f>
        <v>997670</v>
      </c>
    </row>
    <row r="12" spans="1:16" x14ac:dyDescent="0.3">
      <c r="A12" s="243" t="s">
        <v>156</v>
      </c>
      <c r="B12" s="244"/>
      <c r="C12" s="11" t="s">
        <v>152</v>
      </c>
      <c r="D12" s="26">
        <f>Mangochi!D12+'Monkey Bay'!D12+Namwera!D12</f>
        <v>0</v>
      </c>
      <c r="E12" s="26">
        <f>Mangochi!E12+'Monkey Bay'!E12+Namwera!E12</f>
        <v>0</v>
      </c>
      <c r="F12" s="26">
        <f>Mangochi!F12+'Monkey Bay'!F12+Namwera!F12</f>
        <v>0</v>
      </c>
      <c r="G12" s="26">
        <f>Mangochi!G12+'Monkey Bay'!G12+Namwera!G12</f>
        <v>0</v>
      </c>
      <c r="H12" s="26">
        <f>Mangochi!H12+'Monkey Bay'!H12+Namwera!H12</f>
        <v>0</v>
      </c>
      <c r="I12" s="26">
        <f>Mangochi!I12+'Monkey Bay'!I12+Namwera!I12</f>
        <v>0</v>
      </c>
      <c r="J12" s="26">
        <f>Mangochi!J12+'Monkey Bay'!J12+Namwera!J12+Nkhudzi!J12</f>
        <v>0</v>
      </c>
      <c r="K12" s="26">
        <f>Mangochi!K12+'Monkey Bay'!K12+Namwera!K12+Nkhudzi!K12</f>
        <v>0</v>
      </c>
      <c r="L12" s="26">
        <f>Mangochi!L12+'Monkey Bay'!L12+Namwera!L12+Nkhudzi!L12</f>
        <v>0</v>
      </c>
      <c r="M12" s="26">
        <f>Mangochi!M12+'Monkey Bay'!M12+Namwera!M12+Nkhudzi!M12</f>
        <v>0</v>
      </c>
      <c r="N12" s="26">
        <f>Mangochi!N12+'Monkey Bay'!N12+Namwera!N12+Nkhudzi!N12</f>
        <v>0</v>
      </c>
      <c r="O12" s="26">
        <f>Mangochi!O12+'Monkey Bay'!O12+Namwera!O12+Nkhudzi!O12</f>
        <v>0</v>
      </c>
      <c r="P12" s="55">
        <f>SUM(D12:O12)</f>
        <v>0</v>
      </c>
    </row>
    <row r="13" spans="1:16" x14ac:dyDescent="0.3">
      <c r="A13" s="243" t="s">
        <v>155</v>
      </c>
      <c r="B13" s="244"/>
      <c r="C13" s="11" t="s">
        <v>152</v>
      </c>
      <c r="D13" s="26">
        <f>Mangochi!D13+'Monkey Bay'!D13+Namwera!D13</f>
        <v>20451</v>
      </c>
      <c r="E13" s="26">
        <f>Mangochi!E13+'Monkey Bay'!E13+Namwera!E13</f>
        <v>18852</v>
      </c>
      <c r="F13" s="26">
        <f>Mangochi!F13+'Monkey Bay'!F13+Namwera!F13</f>
        <v>22908</v>
      </c>
      <c r="G13" s="26">
        <f>Mangochi!G13+'Monkey Bay'!G13+Namwera!G13</f>
        <v>21340</v>
      </c>
      <c r="H13" s="26">
        <f>Mangochi!H13+'Monkey Bay'!H13+Namwera!H13</f>
        <v>18908</v>
      </c>
      <c r="I13" s="26">
        <f>Mangochi!I13+'Monkey Bay'!I13+Namwera!I13</f>
        <v>29446</v>
      </c>
      <c r="J13" s="26">
        <f>Mangochi!J13+'Monkey Bay'!J13+Namwera!J13+Nkhudzi!J13</f>
        <v>23142</v>
      </c>
      <c r="K13" s="26">
        <f>Mangochi!K13+'Monkey Bay'!K13+Namwera!K13+Nkhudzi!K13</f>
        <v>22131</v>
      </c>
      <c r="L13" s="26">
        <f>Mangochi!L13+'Monkey Bay'!L13+Namwera!L13+Nkhudzi!L13</f>
        <v>12862</v>
      </c>
      <c r="M13" s="26">
        <f>Mangochi!M13+'Monkey Bay'!M13+Namwera!M13+Nkhudzi!M13</f>
        <v>24906</v>
      </c>
      <c r="N13" s="26">
        <f>Mangochi!N13+'Monkey Bay'!N13+Namwera!N13+Nkhudzi!N13</f>
        <v>21440</v>
      </c>
      <c r="O13" s="26">
        <f>Mangochi!O13+'Monkey Bay'!O13+Namwera!O13+Nkhudzi!O13</f>
        <v>21618</v>
      </c>
      <c r="P13" s="55">
        <f>SUM(D13:O13)</f>
        <v>258004</v>
      </c>
    </row>
    <row r="14" spans="1:16" x14ac:dyDescent="0.3">
      <c r="A14" s="237" t="s">
        <v>154</v>
      </c>
      <c r="B14" s="238"/>
      <c r="C14" s="11" t="s">
        <v>152</v>
      </c>
      <c r="D14" s="26">
        <f>Mangochi!D14+'Monkey Bay'!D14+Namwera!D14</f>
        <v>1072</v>
      </c>
      <c r="E14" s="26">
        <f>Mangochi!E14+'Monkey Bay'!E14+Namwera!E14</f>
        <v>936</v>
      </c>
      <c r="F14" s="26">
        <f>Mangochi!F14+'Monkey Bay'!F14+Namwera!F14</f>
        <v>7810</v>
      </c>
      <c r="G14" s="26">
        <f>Mangochi!G14+'Monkey Bay'!G14+Namwera!G14</f>
        <v>739</v>
      </c>
      <c r="H14" s="26">
        <f>Mangochi!H14+'Monkey Bay'!H14+Namwera!H14</f>
        <v>695</v>
      </c>
      <c r="I14" s="26">
        <f>Mangochi!I14+'Monkey Bay'!I14+Namwera!I14</f>
        <v>102</v>
      </c>
      <c r="J14" s="26">
        <f>Mangochi!J14+'Monkey Bay'!J14+Namwera!J14+Nkhudzi!J14</f>
        <v>149</v>
      </c>
      <c r="K14" s="26">
        <f>Mangochi!K14+'Monkey Bay'!K14+Namwera!K14+Nkhudzi!K14</f>
        <v>229</v>
      </c>
      <c r="L14" s="26">
        <f>Mangochi!L14+'Monkey Bay'!L14+Namwera!L14+Nkhudzi!L14</f>
        <v>203</v>
      </c>
      <c r="M14" s="26">
        <f>Mangochi!M14+'Monkey Bay'!M14+Namwera!M14+Nkhudzi!M14</f>
        <v>147</v>
      </c>
      <c r="N14" s="26">
        <f>Mangochi!N14+'Monkey Bay'!N14+Namwera!N14+Nkhudzi!N14</f>
        <v>164</v>
      </c>
      <c r="O14" s="26">
        <f>Mangochi!O14+'Monkey Bay'!O14+Namwera!O14+Nkhudzi!O14</f>
        <v>139</v>
      </c>
      <c r="P14" s="55">
        <f>SUM(D14:O14)</f>
        <v>12385</v>
      </c>
    </row>
    <row r="15" spans="1:16" s="63" customFormat="1" x14ac:dyDescent="0.3">
      <c r="A15" s="239" t="s">
        <v>158</v>
      </c>
      <c r="B15" s="240"/>
      <c r="C15" s="62" t="s">
        <v>152</v>
      </c>
      <c r="D15" s="34">
        <f t="shared" ref="D15:P15" si="0">SUM(D11:D14)</f>
        <v>93731</v>
      </c>
      <c r="E15" s="34">
        <f t="shared" si="0"/>
        <v>95692</v>
      </c>
      <c r="F15" s="34">
        <f t="shared" si="0"/>
        <v>109497</v>
      </c>
      <c r="G15" s="34">
        <f t="shared" si="0"/>
        <v>101419</v>
      </c>
      <c r="H15" s="34">
        <f t="shared" si="0"/>
        <v>100788</v>
      </c>
      <c r="I15" s="34">
        <f t="shared" si="0"/>
        <v>112447</v>
      </c>
      <c r="J15" s="34">
        <f t="shared" si="0"/>
        <v>111819</v>
      </c>
      <c r="K15" s="34">
        <f t="shared" ref="K15" si="1">SUM(K11:K14)</f>
        <v>116724</v>
      </c>
      <c r="L15" s="34">
        <f t="shared" si="0"/>
        <v>92717</v>
      </c>
      <c r="M15" s="34">
        <f t="shared" ref="M15" si="2">SUM(M11:M14)</f>
        <v>110540</v>
      </c>
      <c r="N15" s="34">
        <f t="shared" ref="N15" si="3">SUM(N11:N14)</f>
        <v>112808</v>
      </c>
      <c r="O15" s="34">
        <f t="shared" ref="O15" si="4">SUM(O11:O14)</f>
        <v>109877</v>
      </c>
      <c r="P15" s="55">
        <f t="shared" si="0"/>
        <v>1268059</v>
      </c>
    </row>
    <row r="16" spans="1:16" s="2" customFormat="1" ht="14.4" x14ac:dyDescent="0.3">
      <c r="A16" s="282" t="s">
        <v>178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4"/>
    </row>
    <row r="17" spans="1:16" s="2" customFormat="1" x14ac:dyDescent="0.3">
      <c r="A17" s="243" t="s">
        <v>180</v>
      </c>
      <c r="B17" s="244"/>
      <c r="C17" s="11" t="s">
        <v>152</v>
      </c>
      <c r="D17" s="26">
        <f>Mangochi!D17+'Monkey Bay'!D17+Namwera!D17</f>
        <v>16084.4</v>
      </c>
      <c r="E17" s="26">
        <f>Mangochi!E17+'Monkey Bay'!E17+Namwera!E17</f>
        <v>21488.9</v>
      </c>
      <c r="F17" s="26">
        <f>Mangochi!F17+'Monkey Bay'!F17+Namwera!F17</f>
        <v>18069</v>
      </c>
      <c r="G17" s="26">
        <f>Mangochi!G17+'Monkey Bay'!G17+Namwera!G17</f>
        <v>20875.299999999672</v>
      </c>
      <c r="H17" s="26">
        <f>Mangochi!H17+'Monkey Bay'!H17+Namwera!H17</f>
        <v>19573</v>
      </c>
      <c r="I17" s="26">
        <f>Mangochi!I17+'Monkey Bay'!I17+Namwera!I17</f>
        <v>19574.900000000001</v>
      </c>
      <c r="J17" s="26">
        <f>Mangochi!J17+'Monkey Bay'!J17+Namwera!J17+Nkhudzi!J17</f>
        <v>23907.200000000001</v>
      </c>
      <c r="K17" s="26">
        <f>Mangochi!K17+'Monkey Bay'!K17+Namwera!K17+Nkhudzi!K17</f>
        <v>24508.200000000023</v>
      </c>
      <c r="L17" s="26">
        <f>Mangochi!L17+'Monkey Bay'!L17+Namwera!L17+Nkhudzi!L17</f>
        <v>34648</v>
      </c>
      <c r="M17" s="26">
        <f>Mangochi!M17+'Monkey Bay'!M17+Namwera!M17+Nkhudzi!M17</f>
        <v>25303.5</v>
      </c>
      <c r="N17" s="26">
        <f>Mangochi!N17+'Monkey Bay'!N17+Namwera!N17+Nkhudzi!N17</f>
        <v>32126.2</v>
      </c>
      <c r="O17" s="26">
        <f>Mangochi!O17+'Monkey Bay'!O17+Namwera!O17+Nkhudzi!O17</f>
        <v>24311.599999999999</v>
      </c>
      <c r="P17" s="55">
        <f>SUM(D17:O17)</f>
        <v>280470.19999999972</v>
      </c>
    </row>
    <row r="18" spans="1:16" s="2" customFormat="1" x14ac:dyDescent="0.3">
      <c r="A18" s="243" t="s">
        <v>181</v>
      </c>
      <c r="B18" s="244"/>
      <c r="C18" s="11" t="s">
        <v>152</v>
      </c>
      <c r="D18" s="26">
        <f>Mangochi!D18+'Monkey Bay'!D18+Namwera!D18</f>
        <v>1201</v>
      </c>
      <c r="E18" s="26">
        <f>Mangochi!E18+'Monkey Bay'!E18+Namwera!E18</f>
        <v>1204</v>
      </c>
      <c r="F18" s="26">
        <f>Mangochi!F18+'Monkey Bay'!F18+Namwera!F18</f>
        <v>1117</v>
      </c>
      <c r="G18" s="26">
        <f>Mangochi!G18+'Monkey Bay'!G18+Namwera!G18</f>
        <v>1425</v>
      </c>
      <c r="H18" s="26">
        <f>Mangochi!H18+'Monkey Bay'!H18+Namwera!H18</f>
        <v>1210</v>
      </c>
      <c r="I18" s="26">
        <f>Mangochi!I18+'Monkey Bay'!I18+Namwera!I18</f>
        <v>1159</v>
      </c>
      <c r="J18" s="26">
        <f>Mangochi!J18+'Monkey Bay'!J18+Namwera!J18+Nkhudzi!J18</f>
        <v>1219</v>
      </c>
      <c r="K18" s="26">
        <f>Mangochi!K18+'Monkey Bay'!K18+Namwera!K18+Nkhudzi!K18</f>
        <v>1021</v>
      </c>
      <c r="L18" s="26">
        <f>Mangochi!L18+'Monkey Bay'!L18+Namwera!L18+Nkhudzi!L18</f>
        <v>0</v>
      </c>
      <c r="M18" s="26">
        <f>Mangochi!M18+'Monkey Bay'!M18+Namwera!M18+Nkhudzi!M18</f>
        <v>1506</v>
      </c>
      <c r="N18" s="26">
        <f>Mangochi!N18+'Monkey Bay'!N18+Namwera!N18+Nkhudzi!N18</f>
        <v>1601</v>
      </c>
      <c r="O18" s="26">
        <f>Mangochi!O18+'Monkey Bay'!O18+Namwera!O18+Nkhudzi!O18</f>
        <v>1426</v>
      </c>
      <c r="P18" s="55">
        <f>SUM(D18:O18)</f>
        <v>14089</v>
      </c>
    </row>
    <row r="19" spans="1:16" s="2" customFormat="1" x14ac:dyDescent="0.3">
      <c r="A19" s="243" t="s">
        <v>182</v>
      </c>
      <c r="B19" s="244"/>
      <c r="C19" s="11" t="s">
        <v>152</v>
      </c>
      <c r="D19" s="26">
        <f>Mangochi!D19+'Monkey Bay'!D19+Namwera!D19</f>
        <v>3086</v>
      </c>
      <c r="E19" s="26">
        <f>Mangochi!E19+'Monkey Bay'!E19+Namwera!E19</f>
        <v>4025</v>
      </c>
      <c r="F19" s="26">
        <f>Mangochi!F19+'Monkey Bay'!F19+Namwera!F19</f>
        <v>3473</v>
      </c>
      <c r="G19" s="26">
        <f>Mangochi!G19+'Monkey Bay'!G19+Namwera!G19</f>
        <v>2773</v>
      </c>
      <c r="H19" s="26">
        <f>Mangochi!H19+'Monkey Bay'!H19+Namwera!H19</f>
        <v>3401</v>
      </c>
      <c r="I19" s="26">
        <f>Mangochi!I19+'Monkey Bay'!I19+Namwera!I19</f>
        <v>4138</v>
      </c>
      <c r="J19" s="26">
        <f>Mangochi!J19+'Monkey Bay'!J19+Namwera!J19+Nkhudzi!J19</f>
        <v>4466</v>
      </c>
      <c r="K19" s="26">
        <f>Mangochi!K19+'Monkey Bay'!K19+Namwera!K19+Nkhudzi!K19</f>
        <v>4513</v>
      </c>
      <c r="L19" s="26">
        <f>Mangochi!L19+'Monkey Bay'!L19+Namwera!L19+Nkhudzi!L19</f>
        <v>200</v>
      </c>
      <c r="M19" s="26">
        <f>Mangochi!M19+'Monkey Bay'!M19+Namwera!M19+Nkhudzi!M19</f>
        <v>5281</v>
      </c>
      <c r="N19" s="26">
        <f>Mangochi!N19+'Monkey Bay'!N19+Namwera!N19+Nkhudzi!N19</f>
        <v>4798</v>
      </c>
      <c r="O19" s="26">
        <f>Mangochi!O19+'Monkey Bay'!O19+Namwera!O19+Nkhudzi!O19</f>
        <v>3503</v>
      </c>
      <c r="P19" s="55">
        <f>SUM(D19:O19)</f>
        <v>43657</v>
      </c>
    </row>
    <row r="20" spans="1:16" s="2" customFormat="1" x14ac:dyDescent="0.3">
      <c r="A20" s="237" t="s">
        <v>183</v>
      </c>
      <c r="B20" s="238"/>
      <c r="C20" s="11" t="s">
        <v>152</v>
      </c>
      <c r="D20" s="26">
        <f>Mangochi!D20+'Monkey Bay'!D20+Namwera!D20</f>
        <v>414</v>
      </c>
      <c r="E20" s="26">
        <f>Mangochi!E20+'Monkey Bay'!E20+Namwera!E20</f>
        <v>565</v>
      </c>
      <c r="F20" s="26">
        <f>Mangochi!F20+'Monkey Bay'!F20+Namwera!F20</f>
        <v>482</v>
      </c>
      <c r="G20" s="26">
        <f>Mangochi!G20+'Monkey Bay'!G20+Namwera!G20</f>
        <v>354</v>
      </c>
      <c r="H20" s="26">
        <f>Mangochi!H20+'Monkey Bay'!H20+Namwera!H20</f>
        <v>539</v>
      </c>
      <c r="I20" s="26">
        <f>Mangochi!I20+'Monkey Bay'!I20+Namwera!I20</f>
        <v>539</v>
      </c>
      <c r="J20" s="26">
        <f>Mangochi!J20+'Monkey Bay'!J20+Namwera!J20+Nkhudzi!J20</f>
        <v>550</v>
      </c>
      <c r="K20" s="26">
        <f>Mangochi!K20+'Monkey Bay'!K20+Namwera!K20+Nkhudzi!K20</f>
        <v>441</v>
      </c>
      <c r="L20" s="26">
        <f>Mangochi!L20+'Monkey Bay'!L20+Namwera!L20+Nkhudzi!L20</f>
        <v>33</v>
      </c>
      <c r="M20" s="26">
        <f>Mangochi!M20+'Monkey Bay'!M20+Namwera!M20+Nkhudzi!M20</f>
        <v>545</v>
      </c>
      <c r="N20" s="26">
        <f>Mangochi!N20+'Monkey Bay'!N20+Namwera!N20+Nkhudzi!N20</f>
        <v>576</v>
      </c>
      <c r="O20" s="26">
        <f>Mangochi!O20+'Monkey Bay'!O20+Namwera!O20+Nkhudzi!O20</f>
        <v>534</v>
      </c>
      <c r="P20" s="55">
        <f>SUM(D20:O20)</f>
        <v>5572</v>
      </c>
    </row>
    <row r="21" spans="1:16" s="73" customFormat="1" x14ac:dyDescent="0.3">
      <c r="A21" s="239" t="s">
        <v>184</v>
      </c>
      <c r="B21" s="240"/>
      <c r="C21" s="62" t="s">
        <v>152</v>
      </c>
      <c r="D21" s="34">
        <f>SUM(D17:D20)</f>
        <v>20785.400000000001</v>
      </c>
      <c r="E21" s="34">
        <f t="shared" ref="E21:P21" si="5">SUM(E17:E20)</f>
        <v>27282.9</v>
      </c>
      <c r="F21" s="34">
        <f t="shared" si="5"/>
        <v>23141</v>
      </c>
      <c r="G21" s="34">
        <f t="shared" si="5"/>
        <v>25427.299999999672</v>
      </c>
      <c r="H21" s="34">
        <f t="shared" si="5"/>
        <v>24723</v>
      </c>
      <c r="I21" s="34">
        <f t="shared" si="5"/>
        <v>25410.9</v>
      </c>
      <c r="J21" s="34">
        <f t="shared" si="5"/>
        <v>30142.2</v>
      </c>
      <c r="K21" s="34">
        <f t="shared" ref="K21" si="6">SUM(K17:K20)</f>
        <v>30483.200000000023</v>
      </c>
      <c r="L21" s="34">
        <f t="shared" si="5"/>
        <v>34881</v>
      </c>
      <c r="M21" s="34">
        <f t="shared" ref="M21" si="7">SUM(M17:M20)</f>
        <v>32635.5</v>
      </c>
      <c r="N21" s="34">
        <f t="shared" ref="N21" si="8">SUM(N17:N20)</f>
        <v>39101.199999999997</v>
      </c>
      <c r="O21" s="34">
        <f t="shared" ref="O21" si="9">SUM(O17:O20)</f>
        <v>29774.6</v>
      </c>
      <c r="P21" s="55">
        <f t="shared" si="5"/>
        <v>343788.19999999972</v>
      </c>
    </row>
    <row r="22" spans="1:16" s="2" customFormat="1" x14ac:dyDescent="0.3">
      <c r="A22" s="336" t="s">
        <v>185</v>
      </c>
      <c r="B22" s="323"/>
      <c r="C22" s="11" t="s">
        <v>152</v>
      </c>
      <c r="D22" s="34">
        <f>D21+D15</f>
        <v>114516.4</v>
      </c>
      <c r="E22" s="34">
        <f t="shared" ref="E22:P22" si="10">E21+E15</f>
        <v>122974.9</v>
      </c>
      <c r="F22" s="34">
        <f t="shared" si="10"/>
        <v>132638</v>
      </c>
      <c r="G22" s="34">
        <f t="shared" si="10"/>
        <v>126846.29999999967</v>
      </c>
      <c r="H22" s="34">
        <f t="shared" si="10"/>
        <v>125511</v>
      </c>
      <c r="I22" s="34">
        <f t="shared" si="10"/>
        <v>137857.9</v>
      </c>
      <c r="J22" s="34">
        <f t="shared" si="10"/>
        <v>141961.20000000001</v>
      </c>
      <c r="K22" s="34">
        <f t="shared" ref="K22" si="11">K21+K15</f>
        <v>147207.20000000001</v>
      </c>
      <c r="L22" s="34">
        <f t="shared" si="10"/>
        <v>127598</v>
      </c>
      <c r="M22" s="34">
        <f t="shared" ref="M22" si="12">M21+M15</f>
        <v>143175.5</v>
      </c>
      <c r="N22" s="34">
        <f t="shared" ref="N22" si="13">N21+N15</f>
        <v>151909.20000000001</v>
      </c>
      <c r="O22" s="34">
        <f t="shared" ref="O22" si="14">O21+O15</f>
        <v>139651.6</v>
      </c>
      <c r="P22" s="55">
        <f t="shared" si="10"/>
        <v>1611847.1999999997</v>
      </c>
    </row>
    <row r="23" spans="1:16" ht="14.4" x14ac:dyDescent="0.3">
      <c r="A23" s="338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39"/>
      <c r="P23" s="340"/>
    </row>
    <row r="24" spans="1:16" x14ac:dyDescent="0.3">
      <c r="A24" s="329" t="s">
        <v>179</v>
      </c>
      <c r="B24" s="37" t="s">
        <v>153</v>
      </c>
      <c r="C24" s="5" t="s">
        <v>152</v>
      </c>
      <c r="D24" s="54">
        <f>D9-D22</f>
        <v>74293.600000000006</v>
      </c>
      <c r="E24" s="54">
        <f t="shared" ref="E24:P24" si="15">E9-E22</f>
        <v>71906.100000000006</v>
      </c>
      <c r="F24" s="54">
        <f t="shared" si="15"/>
        <v>68948</v>
      </c>
      <c r="G24" s="54">
        <f t="shared" si="15"/>
        <v>66665.700000000332</v>
      </c>
      <c r="H24" s="54">
        <f t="shared" si="15"/>
        <v>69289</v>
      </c>
      <c r="I24" s="54">
        <f t="shared" si="15"/>
        <v>53667.100000000006</v>
      </c>
      <c r="J24" s="54">
        <f t="shared" si="15"/>
        <v>63333.799999999988</v>
      </c>
      <c r="K24" s="54">
        <f t="shared" ref="K24" si="16">K9-K22</f>
        <v>83197.900000000023</v>
      </c>
      <c r="L24" s="54">
        <f t="shared" si="15"/>
        <v>73600</v>
      </c>
      <c r="M24" s="54">
        <f t="shared" ref="M24" si="17">M9-M22</f>
        <v>66818.5</v>
      </c>
      <c r="N24" s="54">
        <f t="shared" ref="N24" si="18">N9-N22</f>
        <v>48705.5</v>
      </c>
      <c r="O24" s="54">
        <f t="shared" ref="O24" si="19">O9-O22</f>
        <v>46039.399999999994</v>
      </c>
      <c r="P24" s="100">
        <f t="shared" si="15"/>
        <v>786464.60000000056</v>
      </c>
    </row>
    <row r="25" spans="1:16" x14ac:dyDescent="0.3">
      <c r="A25" s="331"/>
      <c r="B25" s="53" t="s">
        <v>151</v>
      </c>
      <c r="C25" s="52" t="s">
        <v>6</v>
      </c>
      <c r="D25" s="51">
        <f t="shared" ref="D25:P25" si="20">D24/D9</f>
        <v>0.39348339600656745</v>
      </c>
      <c r="E25" s="51">
        <f t="shared" si="20"/>
        <v>0.36897439976190599</v>
      </c>
      <c r="F25" s="51">
        <f t="shared" si="20"/>
        <v>0.3420277201789807</v>
      </c>
      <c r="G25" s="51">
        <f t="shared" si="20"/>
        <v>0.34450421679275878</v>
      </c>
      <c r="H25" s="51">
        <f t="shared" si="20"/>
        <v>0.35569301848049284</v>
      </c>
      <c r="I25" s="51">
        <f t="shared" si="20"/>
        <v>0.28020937214462865</v>
      </c>
      <c r="J25" s="51">
        <f t="shared" si="20"/>
        <v>0.30850142477897652</v>
      </c>
      <c r="K25" s="51">
        <f t="shared" ref="K25" si="21">K24/K9</f>
        <v>0.36109400356155313</v>
      </c>
      <c r="L25" s="51">
        <f t="shared" si="20"/>
        <v>0.36580880525651349</v>
      </c>
      <c r="M25" s="51">
        <f t="shared" ref="M25" si="22">M24/M9</f>
        <v>0.3181924245454632</v>
      </c>
      <c r="N25" s="51">
        <f t="shared" ref="N25" si="23">N24/N9</f>
        <v>0.2427813116386785</v>
      </c>
      <c r="O25" s="51">
        <f t="shared" ref="O25" si="24">O24/O9</f>
        <v>0.24793554884189323</v>
      </c>
      <c r="P25" s="154">
        <f t="shared" si="20"/>
        <v>0.32792425071669185</v>
      </c>
    </row>
    <row r="26" spans="1:16" ht="14.4" x14ac:dyDescent="0.3">
      <c r="A26" s="282" t="s">
        <v>150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4"/>
    </row>
    <row r="27" spans="1:16" ht="14.4" x14ac:dyDescent="0.3">
      <c r="A27" s="326" t="s">
        <v>149</v>
      </c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8"/>
    </row>
    <row r="28" spans="1:1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6" x14ac:dyDescent="0.3">
      <c r="A29" s="251" t="s">
        <v>146</v>
      </c>
      <c r="B29" s="249">
        <v>7400</v>
      </c>
      <c r="C29" s="5" t="s">
        <v>140</v>
      </c>
      <c r="D29" s="34">
        <f>Mangochi!D29+'Monkey Bay'!D29+Namwera!D29</f>
        <v>552</v>
      </c>
      <c r="E29" s="34">
        <f>Mangochi!E29+'Monkey Bay'!E29+Namwera!E29</f>
        <v>807</v>
      </c>
      <c r="F29" s="34">
        <f>Mangochi!F29+'Monkey Bay'!F29+Namwera!F29</f>
        <v>760.5</v>
      </c>
      <c r="G29" s="34">
        <f>Mangochi!G29+'Monkey Bay'!G29+Namwera!G29</f>
        <v>710</v>
      </c>
      <c r="H29" s="34">
        <f>Mangochi!H29+'Monkey Bay'!H29+Namwera!H29</f>
        <v>684</v>
      </c>
      <c r="I29" s="34">
        <f>Mangochi!I29+'Monkey Bay'!I29+Namwera!I29</f>
        <v>663</v>
      </c>
      <c r="J29" s="34">
        <f>Mangochi!J29+'Monkey Bay'!J29+Namwera!J29+Nkhudzi!J29</f>
        <v>920</v>
      </c>
      <c r="K29" s="34">
        <f>Mangochi!K29+'Monkey Bay'!K29+Namwera!K29+Nkhudzi!K29</f>
        <v>815</v>
      </c>
      <c r="L29" s="34">
        <f>Mangochi!L29+'Monkey Bay'!L29+Namwera!L29+Nkhudzi!L29</f>
        <v>746</v>
      </c>
      <c r="M29" s="34">
        <f>Mangochi!M29+'Monkey Bay'!M29+Namwera!M29+Nkhudzi!M29</f>
        <v>756</v>
      </c>
      <c r="N29" s="34">
        <f>Mangochi!N29+'Monkey Bay'!N29+Namwera!N29+Nkhudzi!N29</f>
        <v>829.5</v>
      </c>
      <c r="O29" s="34">
        <f>Mangochi!O29+'Monkey Bay'!O29+Namwera!O29+Nkhudzi!O29</f>
        <v>871</v>
      </c>
      <c r="P29" s="45">
        <f>SUM(D29:O29)</f>
        <v>9114</v>
      </c>
    </row>
    <row r="30" spans="1:16" x14ac:dyDescent="0.3">
      <c r="A30" s="252"/>
      <c r="B30" s="250"/>
      <c r="C30" s="42" t="s">
        <v>139</v>
      </c>
      <c r="D30" s="15">
        <f>Mangochi!D30+'Monkey Bay'!D30+Namwera!D30</f>
        <v>7.9088284663034747</v>
      </c>
      <c r="E30" s="15">
        <f>Mangochi!E30+'Monkey Bay'!E30+Namwera!E30</f>
        <v>9.9108568749479726</v>
      </c>
      <c r="F30" s="15">
        <f>Mangochi!F30+'Monkey Bay'!F30+Namwera!F30</f>
        <v>8.9970778579902166</v>
      </c>
      <c r="G30" s="15">
        <f>Mangochi!G30+'Monkey Bay'!G30+Namwera!G30</f>
        <v>9.8317023237673595</v>
      </c>
      <c r="H30" s="15">
        <f>Mangochi!H30+'Monkey Bay'!H30+Namwera!H30</f>
        <v>8.9980640838978196</v>
      </c>
      <c r="I30" s="15">
        <f>Mangochi!I30+'Monkey Bay'!I30+Namwera!I30</f>
        <v>8.5844261486337246</v>
      </c>
      <c r="J30" s="15">
        <f>Mangochi!J30+'Monkey Bay'!J30+Namwera!J30+Nkhudzi!J30</f>
        <v>96.49658457281727</v>
      </c>
      <c r="K30" s="15">
        <f>Mangochi!K30+'Monkey Bay'!K30+Namwera!K30+Nkhudzi!K30</f>
        <v>49.362244824519536</v>
      </c>
      <c r="L30" s="15">
        <f>Mangochi!L30+'Monkey Bay'!L30+Namwera!L30+Nkhudzi!L30</f>
        <v>38.130990742502625</v>
      </c>
      <c r="M30" s="15">
        <f>Mangochi!M30+'Monkey Bay'!M30+Namwera!M30+Nkhudzi!M30</f>
        <v>41.602548558631938</v>
      </c>
      <c r="N30" s="15">
        <f>Mangochi!N30+'Monkey Bay'!N30+Namwera!N30+Nkhudzi!N30</f>
        <v>40.179149596571065</v>
      </c>
      <c r="O30" s="15">
        <f>Mangochi!O30+'Monkey Bay'!O30+Namwera!O30+Nkhudzi!O30</f>
        <v>60.78786537691802</v>
      </c>
      <c r="P30" s="103">
        <f t="shared" ref="P30" si="25">P29/(P9/1000)</f>
        <v>3.8001731050983438</v>
      </c>
    </row>
    <row r="31" spans="1:16" x14ac:dyDescent="0.3">
      <c r="A31" s="247" t="s">
        <v>145</v>
      </c>
      <c r="B31" s="249">
        <v>1900</v>
      </c>
      <c r="C31" s="5" t="s">
        <v>140</v>
      </c>
      <c r="D31" s="34">
        <f>Mangochi!D31+'Monkey Bay'!D31+Namwera!D31</f>
        <v>800</v>
      </c>
      <c r="E31" s="34">
        <f>Mangochi!E31+'Monkey Bay'!E31+Namwera!E31</f>
        <v>0</v>
      </c>
      <c r="F31" s="34">
        <f>Mangochi!F31+'Monkey Bay'!F31+Namwera!F31</f>
        <v>0</v>
      </c>
      <c r="G31" s="34">
        <f>Mangochi!G31+'Monkey Bay'!G31+Namwera!G31</f>
        <v>0</v>
      </c>
      <c r="H31" s="34">
        <f>Mangochi!H31+'Monkey Bay'!H31+Namwera!H31</f>
        <v>0</v>
      </c>
      <c r="I31" s="34">
        <f>Mangochi!I31+'Monkey Bay'!I31+Namwera!I31</f>
        <v>0</v>
      </c>
      <c r="J31" s="34">
        <f>Mangochi!J31+'Monkey Bay'!J31+Namwera!J31</f>
        <v>0</v>
      </c>
      <c r="K31" s="34">
        <f>Mangochi!K31+'Monkey Bay'!K31+Namwera!K31</f>
        <v>0</v>
      </c>
      <c r="L31" s="34">
        <f>Mangochi!L31+'Monkey Bay'!L31+Namwera!L31</f>
        <v>0</v>
      </c>
      <c r="M31" s="34">
        <f>Mangochi!M31+'Monkey Bay'!M31+Namwera!M31</f>
        <v>200</v>
      </c>
      <c r="N31" s="34">
        <f>Mangochi!N31+'Monkey Bay'!N31+Namwera!N31</f>
        <v>50</v>
      </c>
      <c r="O31" s="34">
        <f>Mangochi!O31+'Monkey Bay'!O31+Namwera!O31</f>
        <v>50</v>
      </c>
      <c r="P31" s="45">
        <f>SUM(D31:O31)</f>
        <v>1100</v>
      </c>
    </row>
    <row r="32" spans="1:16" x14ac:dyDescent="0.3">
      <c r="A32" s="248"/>
      <c r="B32" s="250"/>
      <c r="C32" s="42" t="s">
        <v>139</v>
      </c>
      <c r="D32" s="15">
        <f>Mangochi!D32+'Monkey Bay'!D32+Namwera!D32</f>
        <v>6.2031372366574384</v>
      </c>
      <c r="E32" s="15">
        <f>Mangochi!E32+'Monkey Bay'!E32+Namwera!E32</f>
        <v>0</v>
      </c>
      <c r="F32" s="15">
        <f>Mangochi!F32+'Monkey Bay'!F32+Namwera!F32</f>
        <v>0</v>
      </c>
      <c r="G32" s="15">
        <f>Mangochi!G32+'Monkey Bay'!G32+Namwera!G32</f>
        <v>0</v>
      </c>
      <c r="H32" s="15">
        <f>Mangochi!H32+'Monkey Bay'!H32+Namwera!H32</f>
        <v>0</v>
      </c>
      <c r="I32" s="15">
        <f>Mangochi!I32+'Monkey Bay'!I32+Namwera!I32</f>
        <v>0</v>
      </c>
      <c r="J32" s="15">
        <f>Mangochi!J32+'Monkey Bay'!J32+Namwera!J32</f>
        <v>0</v>
      </c>
      <c r="K32" s="15">
        <f>Mangochi!K32+'Monkey Bay'!K32+Namwera!K32</f>
        <v>0</v>
      </c>
      <c r="L32" s="15">
        <f>Mangochi!L32+'Monkey Bay'!L32+Namwera!L32</f>
        <v>0</v>
      </c>
      <c r="M32" s="15">
        <f>Mangochi!M32+'Monkey Bay'!M32+Namwera!M32</f>
        <v>1.4178564845666322</v>
      </c>
      <c r="N32" s="15">
        <f>Mangochi!N32+'Monkey Bay'!N32+Namwera!N32</f>
        <v>0.38594839098115802</v>
      </c>
      <c r="O32" s="15">
        <f>Mangochi!O32+'Monkey Bay'!O32+Namwera!O32</f>
        <v>0.40255704233289857</v>
      </c>
      <c r="P32" s="103">
        <f t="shared" ref="P32" si="26">P31/(P9/1000)</f>
        <v>0.45865595957956751</v>
      </c>
    </row>
    <row r="33" spans="1:16" x14ac:dyDescent="0.3">
      <c r="A33" s="247" t="s">
        <v>144</v>
      </c>
      <c r="B33" s="249">
        <v>1900</v>
      </c>
      <c r="C33" s="5" t="s">
        <v>140</v>
      </c>
      <c r="D33" s="34">
        <f>Mangochi!D33+'Monkey Bay'!D33+Namwera!D33</f>
        <v>0</v>
      </c>
      <c r="E33" s="34">
        <f>Mangochi!E33+'Monkey Bay'!E33+Namwera!E33</f>
        <v>0</v>
      </c>
      <c r="F33" s="34">
        <f>Mangochi!F33+'Monkey Bay'!F33+Namwera!F33</f>
        <v>0</v>
      </c>
      <c r="G33" s="34">
        <f>Mangochi!G33+'Monkey Bay'!G33+Namwera!G33</f>
        <v>0</v>
      </c>
      <c r="H33" s="34">
        <f>Mangochi!H33+'Monkey Bay'!H33+Namwera!H33</f>
        <v>0</v>
      </c>
      <c r="I33" s="34">
        <f>Mangochi!I33+'Monkey Bay'!I33+Namwera!I33</f>
        <v>0</v>
      </c>
      <c r="J33" s="34">
        <f>Mangochi!J33+'Monkey Bay'!J33+Namwera!J33</f>
        <v>0</v>
      </c>
      <c r="K33" s="34">
        <f>Mangochi!K33+'Monkey Bay'!K33+Namwera!K33</f>
        <v>0</v>
      </c>
      <c r="L33" s="34">
        <f>Mangochi!L33+'Monkey Bay'!L33+Namwera!L33</f>
        <v>0</v>
      </c>
      <c r="M33" s="34">
        <f>Mangochi!M33+'Monkey Bay'!M33+Namwera!M33</f>
        <v>0</v>
      </c>
      <c r="N33" s="34">
        <f>Mangochi!N33+'Monkey Bay'!N33+Namwera!N33</f>
        <v>0</v>
      </c>
      <c r="O33" s="34">
        <f>Mangochi!O33+'Monkey Bay'!O33+Namwera!O33</f>
        <v>0</v>
      </c>
      <c r="P33" s="45">
        <f>SUM(D33:O33)</f>
        <v>0</v>
      </c>
    </row>
    <row r="34" spans="1:16" x14ac:dyDescent="0.3">
      <c r="A34" s="248"/>
      <c r="B34" s="250"/>
      <c r="C34" s="42" t="s">
        <v>139</v>
      </c>
      <c r="D34" s="15">
        <f>Mangochi!D34+'Monkey Bay'!D34+Namwera!D34</f>
        <v>0</v>
      </c>
      <c r="E34" s="15">
        <f>Mangochi!E34+'Monkey Bay'!E34+Namwera!E34</f>
        <v>0</v>
      </c>
      <c r="F34" s="15">
        <f>Mangochi!F34+'Monkey Bay'!F34+Namwera!F34</f>
        <v>0</v>
      </c>
      <c r="G34" s="15">
        <f>Mangochi!G34+'Monkey Bay'!G34+Namwera!G34</f>
        <v>0</v>
      </c>
      <c r="H34" s="15">
        <f>Mangochi!H34+'Monkey Bay'!H34+Namwera!H34</f>
        <v>0</v>
      </c>
      <c r="I34" s="15">
        <f>Mangochi!I34+'Monkey Bay'!I34+Namwera!I34</f>
        <v>0</v>
      </c>
      <c r="J34" s="15">
        <f>Mangochi!J34+'Monkey Bay'!J34+Namwera!J34</f>
        <v>0</v>
      </c>
      <c r="K34" s="15">
        <f>Mangochi!K34+'Monkey Bay'!K34+Namwera!K34</f>
        <v>0</v>
      </c>
      <c r="L34" s="15">
        <f>Mangochi!L34+'Monkey Bay'!L34+Namwera!L34</f>
        <v>0</v>
      </c>
      <c r="M34" s="15">
        <f>Mangochi!M34+'Monkey Bay'!M34+Namwera!M34</f>
        <v>0</v>
      </c>
      <c r="N34" s="15">
        <f>Mangochi!N34+'Monkey Bay'!N34+Namwera!N34</f>
        <v>0</v>
      </c>
      <c r="O34" s="15">
        <f>Mangochi!O34+'Monkey Bay'!O34+Namwera!O34</f>
        <v>0</v>
      </c>
      <c r="P34" s="103">
        <f t="shared" ref="P34" si="27">P33/(P9/1000)</f>
        <v>0</v>
      </c>
    </row>
    <row r="35" spans="1:16" x14ac:dyDescent="0.3">
      <c r="A35" s="247" t="s">
        <v>143</v>
      </c>
      <c r="B35" s="249">
        <f>745345.16/200</f>
        <v>3726.7258000000002</v>
      </c>
      <c r="C35" s="5" t="s">
        <v>126</v>
      </c>
      <c r="D35" s="34">
        <f>Mangochi!D35+'Monkey Bay'!D35+Namwera!D35</f>
        <v>0</v>
      </c>
      <c r="E35" s="34">
        <f>Mangochi!E35+'Monkey Bay'!E35+Namwera!E35</f>
        <v>0</v>
      </c>
      <c r="F35" s="34">
        <f>Mangochi!F35+'Monkey Bay'!F35+Namwera!F35</f>
        <v>0</v>
      </c>
      <c r="G35" s="34">
        <f>Mangochi!G35+'Monkey Bay'!G35+Namwera!G35</f>
        <v>0</v>
      </c>
      <c r="H35" s="34">
        <f>Mangochi!H35+'Monkey Bay'!H35+Namwera!H35</f>
        <v>0</v>
      </c>
      <c r="I35" s="34">
        <f>Mangochi!I35+'Monkey Bay'!I35+Namwera!I35</f>
        <v>0</v>
      </c>
      <c r="J35" s="34">
        <f>Mangochi!J35+'Monkey Bay'!J35+Namwera!J35</f>
        <v>0</v>
      </c>
      <c r="K35" s="34">
        <f>Mangochi!K35+'Monkey Bay'!K35+Namwera!K35</f>
        <v>0</v>
      </c>
      <c r="L35" s="34">
        <f>Mangochi!L35+'Monkey Bay'!L35+Namwera!L35</f>
        <v>0</v>
      </c>
      <c r="M35" s="34">
        <f>Mangochi!M35+'Monkey Bay'!M35+Namwera!M35</f>
        <v>0</v>
      </c>
      <c r="N35" s="34">
        <f>Mangochi!N35+'Monkey Bay'!N35+Namwera!N35</f>
        <v>0</v>
      </c>
      <c r="O35" s="34">
        <f>Mangochi!O35+'Monkey Bay'!O35+Namwera!O35</f>
        <v>0</v>
      </c>
      <c r="P35" s="103"/>
    </row>
    <row r="36" spans="1:16" x14ac:dyDescent="0.3">
      <c r="A36" s="248"/>
      <c r="B36" s="250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3"/>
    </row>
    <row r="37" spans="1:16" x14ac:dyDescent="0.3">
      <c r="A37" s="247" t="s">
        <v>186</v>
      </c>
      <c r="B37" s="249">
        <f>790318.72/200</f>
        <v>3951.5935999999997</v>
      </c>
      <c r="C37" s="5" t="s">
        <v>126</v>
      </c>
      <c r="D37" s="34">
        <f>Mangochi!D37+'Monkey Bay'!D37+Namwera!D37</f>
        <v>0</v>
      </c>
      <c r="E37" s="34">
        <f>Mangochi!E37+'Monkey Bay'!E37+Namwera!E37</f>
        <v>0</v>
      </c>
      <c r="F37" s="34">
        <f>Mangochi!F37+'Monkey Bay'!F37+Namwera!F37</f>
        <v>0</v>
      </c>
      <c r="G37" s="34">
        <f>Mangochi!G37+'Monkey Bay'!G37+Namwera!G37</f>
        <v>0</v>
      </c>
      <c r="H37" s="34">
        <f>Mangochi!H37+'Monkey Bay'!H37+Namwera!H37</f>
        <v>0</v>
      </c>
      <c r="I37" s="34">
        <f>Mangochi!I37+'Monkey Bay'!I37+Namwera!I37</f>
        <v>0</v>
      </c>
      <c r="J37" s="34">
        <f>Mangochi!J37+'Monkey Bay'!J37+Namwera!J37</f>
        <v>0</v>
      </c>
      <c r="K37" s="34">
        <f>Mangochi!K37+'Monkey Bay'!K37+Namwera!K37</f>
        <v>0</v>
      </c>
      <c r="L37" s="34">
        <f>Mangochi!L37+'Monkey Bay'!L37+Namwera!L37</f>
        <v>0</v>
      </c>
      <c r="M37" s="34">
        <f>Mangochi!M37+'Monkey Bay'!M37+Namwera!M37</f>
        <v>0</v>
      </c>
      <c r="N37" s="34">
        <f>Mangochi!N37+'Monkey Bay'!N37+Namwera!N37</f>
        <v>0</v>
      </c>
      <c r="O37" s="34">
        <f>Mangochi!O37+'Monkey Bay'!O37+Namwera!O37</f>
        <v>0</v>
      </c>
      <c r="P37" s="45">
        <f>SUM(D37:O37)</f>
        <v>0</v>
      </c>
    </row>
    <row r="38" spans="1:16" x14ac:dyDescent="0.3">
      <c r="A38" s="248"/>
      <c r="B38" s="250"/>
      <c r="C38" s="5" t="s">
        <v>142</v>
      </c>
      <c r="D38" s="15">
        <f>Mangochi!D38+'Monkey Bay'!D38+Namwera!D38</f>
        <v>0</v>
      </c>
      <c r="E38" s="15">
        <f>Mangochi!E38+'Monkey Bay'!E38+Namwera!E38</f>
        <v>0</v>
      </c>
      <c r="F38" s="15">
        <f>Mangochi!F38+'Monkey Bay'!F38+Namwera!F38</f>
        <v>0</v>
      </c>
      <c r="G38" s="15">
        <f>Mangochi!G38+'Monkey Bay'!G38+Namwera!G38</f>
        <v>0</v>
      </c>
      <c r="H38" s="15">
        <f>Mangochi!H38+'Monkey Bay'!H38+Namwera!H38</f>
        <v>0</v>
      </c>
      <c r="I38" s="15">
        <f>Mangochi!I38+'Monkey Bay'!I38+Namwera!I38</f>
        <v>0</v>
      </c>
      <c r="J38" s="15">
        <f>Mangochi!J38+'Monkey Bay'!J38+Namwera!J38</f>
        <v>0</v>
      </c>
      <c r="K38" s="15">
        <f>Mangochi!K38+'Monkey Bay'!K38+Namwera!K38</f>
        <v>0</v>
      </c>
      <c r="L38" s="15">
        <f>Mangochi!L38+'Monkey Bay'!L38+Namwera!L38</f>
        <v>0</v>
      </c>
      <c r="M38" s="15">
        <f>Mangochi!M38+'Monkey Bay'!M38+Namwera!M38</f>
        <v>0</v>
      </c>
      <c r="N38" s="15">
        <f>Mangochi!N38+'Monkey Bay'!N38+Namwera!N38</f>
        <v>0</v>
      </c>
      <c r="O38" s="15">
        <f>Mangochi!O38+'Monkey Bay'!O38+Namwera!O38</f>
        <v>0</v>
      </c>
      <c r="P38" s="103">
        <f t="shared" ref="P38" si="28">P37/(P9/1000)</f>
        <v>0</v>
      </c>
    </row>
    <row r="39" spans="1:16" x14ac:dyDescent="0.3">
      <c r="A39" s="247" t="s">
        <v>141</v>
      </c>
      <c r="B39" s="249">
        <v>1950</v>
      </c>
      <c r="C39" s="5" t="s">
        <v>140</v>
      </c>
      <c r="D39" s="34">
        <f>Mangochi!D39+'Monkey Bay'!D39+Namwera!D39</f>
        <v>0</v>
      </c>
      <c r="E39" s="34">
        <f>Mangochi!E39+'Monkey Bay'!E39+Namwera!E39</f>
        <v>0</v>
      </c>
      <c r="F39" s="34">
        <f>Mangochi!F39+'Monkey Bay'!F39+Namwera!F39</f>
        <v>0</v>
      </c>
      <c r="G39" s="34">
        <f>Mangochi!G39+'Monkey Bay'!G39+Namwera!G39</f>
        <v>0</v>
      </c>
      <c r="H39" s="34">
        <f>Mangochi!H39+'Monkey Bay'!H39+Namwera!H39</f>
        <v>0</v>
      </c>
      <c r="I39" s="34">
        <f>Mangochi!I39+'Monkey Bay'!I39+Namwera!I39</f>
        <v>0</v>
      </c>
      <c r="J39" s="34">
        <f>Mangochi!J39+'Monkey Bay'!J39+Namwera!J39</f>
        <v>0</v>
      </c>
      <c r="K39" s="34">
        <f>Mangochi!K39+'Monkey Bay'!K39+Namwera!K39</f>
        <v>0</v>
      </c>
      <c r="L39" s="34">
        <f>Mangochi!L39+'Monkey Bay'!L39+Namwera!L39</f>
        <v>0</v>
      </c>
      <c r="M39" s="34">
        <f>Mangochi!M39+'Monkey Bay'!M39+Namwera!M39</f>
        <v>0</v>
      </c>
      <c r="N39" s="34">
        <f>Mangochi!N39+'Monkey Bay'!N39+Namwera!N39</f>
        <v>0</v>
      </c>
      <c r="O39" s="34">
        <f>Mangochi!O39+'Monkey Bay'!O39+Namwera!O39</f>
        <v>0</v>
      </c>
      <c r="P39" s="45">
        <f>SUM(D39:O39)</f>
        <v>0</v>
      </c>
    </row>
    <row r="40" spans="1:16" x14ac:dyDescent="0.3">
      <c r="A40" s="248"/>
      <c r="B40" s="250"/>
      <c r="C40" s="42" t="s">
        <v>139</v>
      </c>
      <c r="D40" s="15">
        <f>Mangochi!D40+'Monkey Bay'!D40+Namwera!D40</f>
        <v>0</v>
      </c>
      <c r="E40" s="15">
        <f>Mangochi!E40+'Monkey Bay'!E40+Namwera!E40</f>
        <v>0</v>
      </c>
      <c r="F40" s="15">
        <f>Mangochi!F40+'Monkey Bay'!F40+Namwera!F40</f>
        <v>0</v>
      </c>
      <c r="G40" s="15">
        <f>Mangochi!G40+'Monkey Bay'!G40+Namwera!G40</f>
        <v>0</v>
      </c>
      <c r="H40" s="15">
        <f>Mangochi!H40+'Monkey Bay'!H40+Namwera!H40</f>
        <v>0</v>
      </c>
      <c r="I40" s="15">
        <f>Mangochi!I40+'Monkey Bay'!I40+Namwera!I40</f>
        <v>0</v>
      </c>
      <c r="J40" s="15">
        <f>Mangochi!J40+'Monkey Bay'!J40+Namwera!J40</f>
        <v>0</v>
      </c>
      <c r="K40" s="15">
        <f>Mangochi!K40+'Monkey Bay'!K40+Namwera!K40</f>
        <v>0</v>
      </c>
      <c r="L40" s="15">
        <f>Mangochi!L40+'Monkey Bay'!L40+Namwera!L40</f>
        <v>0</v>
      </c>
      <c r="M40" s="15">
        <f>Mangochi!M40+'Monkey Bay'!M40+Namwera!M40</f>
        <v>0</v>
      </c>
      <c r="N40" s="15">
        <f>Mangochi!N40+'Monkey Bay'!N40+Namwera!N40</f>
        <v>0</v>
      </c>
      <c r="O40" s="15">
        <f>Mangochi!O40+'Monkey Bay'!O40+Namwera!O40</f>
        <v>0</v>
      </c>
      <c r="P40" s="103">
        <f t="shared" ref="P40" si="29">P39/(P9/1000)</f>
        <v>0</v>
      </c>
    </row>
    <row r="41" spans="1:16" x14ac:dyDescent="0.3">
      <c r="A41" s="237" t="s">
        <v>138</v>
      </c>
      <c r="B41" s="238"/>
      <c r="C41" s="11" t="s">
        <v>31</v>
      </c>
      <c r="D41" s="41">
        <f>Mangochi!D41+'Monkey Bay'!D41+Namwera!D41</f>
        <v>2793968.2559999996</v>
      </c>
      <c r="E41" s="41">
        <f>Mangochi!E41+'Monkey Bay'!E41+Namwera!E41</f>
        <v>2844909.03</v>
      </c>
      <c r="F41" s="41">
        <f>Mangochi!F41+'Monkey Bay'!F41+Namwera!F41</f>
        <v>2680983.0449999999</v>
      </c>
      <c r="G41" s="41">
        <f>Mangochi!G41+'Monkey Bay'!G41+Namwera!G41</f>
        <v>2502955.9</v>
      </c>
      <c r="H41" s="41">
        <f>Mangochi!H41+'Monkey Bay'!H41+Namwera!H41</f>
        <v>2411298.36</v>
      </c>
      <c r="I41" s="41">
        <f>Mangochi!I41+'Monkey Bay'!I41+Namwera!I41</f>
        <v>2337267.27</v>
      </c>
      <c r="J41" s="41">
        <f>Mangochi!J41+'Monkey Bay'!J41+Namwera!J41+Nkhudzi!J41</f>
        <v>3243266.8000000003</v>
      </c>
      <c r="K41" s="41">
        <f>Mangochi!K41+'Monkey Bay'!K41+Namwera!K41+Nkhudzi!K41</f>
        <v>2873111.35</v>
      </c>
      <c r="L41" s="41">
        <f>Mangochi!L41+'Monkey Bay'!L41+Namwera!L41+Nkhudzi!L41</f>
        <v>2629866.3400000003</v>
      </c>
      <c r="M41" s="41">
        <f>Mangochi!M41+'Monkey Bay'!M41+Namwera!M41+Nkhudzi!M41</f>
        <v>2877121.284</v>
      </c>
      <c r="N41" s="41">
        <f>Mangochi!N41+'Monkey Bay'!N41+Namwera!N41+Nkhudzi!N41</f>
        <v>2977228.5660000001</v>
      </c>
      <c r="O41" s="41">
        <f>Mangochi!O41+'Monkey Bay'!O41+Namwera!O41+Nkhudzi!O41</f>
        <v>3123528.1010000003</v>
      </c>
      <c r="P41" s="39">
        <f>SUM(D41:O41)</f>
        <v>33295504.301999997</v>
      </c>
    </row>
    <row r="42" spans="1:16" x14ac:dyDescent="0.3">
      <c r="A42" s="258" t="s">
        <v>137</v>
      </c>
      <c r="B42" s="259"/>
      <c r="C42" s="42" t="s">
        <v>115</v>
      </c>
      <c r="D42" s="15">
        <f>Mangochi!D42+'Monkey Bay'!D42+Namwera!D42</f>
        <v>34.456302770894418</v>
      </c>
      <c r="E42" s="15">
        <f>Mangochi!E42+'Monkey Bay'!E42+Namwera!E42</f>
        <v>34.938644632685339</v>
      </c>
      <c r="F42" s="15">
        <f>Mangochi!F42+'Monkey Bay'!F42+Namwera!F42</f>
        <v>31.717308601994333</v>
      </c>
      <c r="G42" s="15">
        <f>Mangochi!G42+'Monkey Bay'!G42+Namwera!G42</f>
        <v>34.659601884953837</v>
      </c>
      <c r="H42" s="15">
        <f>Mangochi!H42+'Monkey Bay'!H42+Namwera!H42</f>
        <v>31.720785334324141</v>
      </c>
      <c r="I42" s="15">
        <f>Mangochi!I42+'Monkey Bay'!I42+Namwera!I42</f>
        <v>30.262591657516985</v>
      </c>
      <c r="J42" s="15">
        <f>Mangochi!J42+'Monkey Bay'!J42+Namwera!J42+Nkhudzi!J42</f>
        <v>340.17844462870698</v>
      </c>
      <c r="K42" s="15">
        <f>Mangochi!K42+'Monkey Bay'!K42+Namwera!K42+Nkhudzi!K42</f>
        <v>174.01622805743048</v>
      </c>
      <c r="L42" s="15">
        <f>Mangochi!L42+'Monkey Bay'!L42+Namwera!L42+Nkhudzi!L42</f>
        <v>134.42280035463708</v>
      </c>
      <c r="M42" s="15">
        <f>Mangochi!M42+'Monkey Bay'!M42+Namwera!M42+Nkhudzi!M42</f>
        <v>148.1639907723935</v>
      </c>
      <c r="N42" s="15">
        <f>Mangochi!N42+'Monkey Bay'!N42+Namwera!N42+Nkhudzi!N42</f>
        <v>142.05226352012858</v>
      </c>
      <c r="O42" s="15">
        <f>Mangochi!O42+'Monkey Bay'!O42+Namwera!O42+Nkhudzi!O42</f>
        <v>214.7215685136012</v>
      </c>
      <c r="P42" s="44">
        <f t="shared" ref="P42" si="30">P41/P9</f>
        <v>13.882892250290389</v>
      </c>
    </row>
    <row r="43" spans="1:16" ht="14.4" x14ac:dyDescent="0.3">
      <c r="A43" s="253" t="s">
        <v>136</v>
      </c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5"/>
    </row>
    <row r="44" spans="1:16" x14ac:dyDescent="0.3">
      <c r="A44" s="237" t="s">
        <v>135</v>
      </c>
      <c r="B44" s="238"/>
      <c r="C44" s="11" t="s">
        <v>134</v>
      </c>
      <c r="D44" s="34">
        <f>Mangochi!D44+'Monkey Bay'!D44+Namwera!D44</f>
        <v>82992.48000000001</v>
      </c>
      <c r="E44" s="34">
        <f>Mangochi!E44+'Monkey Bay'!E44+Namwera!E44</f>
        <v>83832.72</v>
      </c>
      <c r="F44" s="34">
        <f>Mangochi!F44+'Monkey Bay'!F44+Namwera!F44</f>
        <v>86637.72</v>
      </c>
      <c r="G44" s="34">
        <f>Mangochi!G44+'Monkey Bay'!G44+Namwera!G44</f>
        <v>76047.55</v>
      </c>
      <c r="H44" s="34">
        <f>Mangochi!H44+'Monkey Bay'!H44+Namwera!H44</f>
        <v>84163</v>
      </c>
      <c r="I44" s="34">
        <f>Mangochi!I44+'Monkey Bay'!I44+Namwera!I44</f>
        <v>81216.67</v>
      </c>
      <c r="J44" s="34">
        <f>Mangochi!J44+'Monkey Bay'!J44+Namwera!J44+Nkhudzi!J44</f>
        <v>87508.33</v>
      </c>
      <c r="K44" s="34">
        <f>Mangochi!K44+'Monkey Bay'!K44+Namwera!K44+Nkhudzi!K44</f>
        <v>82792.12</v>
      </c>
      <c r="L44" s="34">
        <f>Mangochi!L44+'Monkey Bay'!L44+Namwera!L44+Nkhudzi!L44</f>
        <v>119396.76000000001</v>
      </c>
      <c r="M44" s="34">
        <f>Mangochi!M44+'Monkey Bay'!M44+Namwera!M44+Nkhudzi!M44</f>
        <v>178853.13</v>
      </c>
      <c r="N44" s="34">
        <f>Mangochi!N44+'Monkey Bay'!N44+Namwera!N44+Nkhudzi!N44</f>
        <v>132506.25</v>
      </c>
      <c r="O44" s="34">
        <f>Mangochi!O44+'Monkey Bay'!O44+Namwera!O44+Nkhudzi!O44</f>
        <v>124621.12</v>
      </c>
      <c r="P44" s="39">
        <f>SUM(D44:O44)</f>
        <v>1220567.8500000001</v>
      </c>
    </row>
    <row r="45" spans="1:16" x14ac:dyDescent="0.3">
      <c r="A45" s="258" t="s">
        <v>133</v>
      </c>
      <c r="B45" s="259"/>
      <c r="C45" s="42" t="s">
        <v>132</v>
      </c>
      <c r="D45" s="15">
        <f>Mangochi!D45+'Monkey Bay'!D45+Namwera!D45</f>
        <v>1.6653733495990719</v>
      </c>
      <c r="E45" s="15">
        <f>Mangochi!E45+'Monkey Bay'!E45+Namwera!E45</f>
        <v>1.6245985180182356</v>
      </c>
      <c r="F45" s="15">
        <f>Mangochi!F45+'Monkey Bay'!F45+Namwera!F45</f>
        <v>1.4368963605053828</v>
      </c>
      <c r="G45" s="15">
        <f>Mangochi!G45+'Monkey Bay'!G45+Namwera!G45</f>
        <v>1.578535734277279</v>
      </c>
      <c r="H45" s="15">
        <f>Mangochi!H45+'Monkey Bay'!H45+Namwera!H45</f>
        <v>1.5844554385776206</v>
      </c>
      <c r="I45" s="15">
        <f>Mangochi!I45+'Monkey Bay'!I45+Namwera!I45</f>
        <v>1.6146921746479883</v>
      </c>
      <c r="J45" s="15">
        <f>Mangochi!J45+'Monkey Bay'!J45+Namwera!J45+Nkhudzi!J45</f>
        <v>1.7878808127668013</v>
      </c>
      <c r="K45" s="15">
        <f>Mangochi!K45+'Monkey Bay'!K45+Namwera!K45+Nkhudzi!K45</f>
        <v>1.659356533651368</v>
      </c>
      <c r="L45" s="15">
        <f>Mangochi!L45+'Monkey Bay'!L45+Namwera!L45+Nkhudzi!L45</f>
        <v>10.713751905903456</v>
      </c>
      <c r="M45" s="15">
        <f>Mangochi!M45+'Monkey Bay'!M45+Namwera!M45+Nkhudzi!M45</f>
        <v>27.187434479663054</v>
      </c>
      <c r="N45" s="15">
        <f>Mangochi!N45+'Monkey Bay'!N45+Namwera!N45+Nkhudzi!N45</f>
        <v>14.237169198493447</v>
      </c>
      <c r="O45" s="15">
        <f>Mangochi!O45+'Monkey Bay'!O45+Namwera!O45+Nkhudzi!O45</f>
        <v>17.83314123573177</v>
      </c>
      <c r="P45" s="103">
        <f t="shared" ref="P45" si="31">P44/P9</f>
        <v>0.50892792588519975</v>
      </c>
    </row>
    <row r="46" spans="1:16" x14ac:dyDescent="0.3">
      <c r="A46" s="256" t="s">
        <v>131</v>
      </c>
      <c r="B46" s="257"/>
      <c r="C46" s="5" t="s">
        <v>31</v>
      </c>
      <c r="D46" s="34">
        <f>Mangochi!D46+'Monkey Bay'!D46+Namwera!D46</f>
        <v>11564610.588719999</v>
      </c>
      <c r="E46" s="34">
        <f>Mangochi!E46+'Monkey Bay'!E46+Namwera!E46</f>
        <v>11681195.149079999</v>
      </c>
      <c r="F46" s="34">
        <f>Mangochi!F46+'Monkey Bay'!F46+Namwera!F46</f>
        <v>12070393.10658</v>
      </c>
      <c r="G46" s="34">
        <f>Mangochi!G46+'Monkey Bay'!G46+Namwera!G46</f>
        <v>10600991.133825</v>
      </c>
      <c r="H46" s="34">
        <f>Mangochi!H46+'Monkey Bay'!H46+Namwera!H46</f>
        <v>14128176.932500001</v>
      </c>
      <c r="I46" s="34">
        <f>Mangochi!I46+'Monkey Bay'!I46+Namwera!I46</f>
        <v>13635616.848925</v>
      </c>
      <c r="J46" s="34">
        <f>Mangochi!J46+'Monkey Bay'!J46+Namwera!J46+Nkhudzi!J46</f>
        <v>36470386.578575</v>
      </c>
      <c r="K46" s="34">
        <f>Mangochi!K46+'Monkey Bay'!K46+Namwera!K46+Nkhudzi!K46</f>
        <v>34271080.1413</v>
      </c>
      <c r="L46" s="34">
        <f>Mangochi!L46+'Monkey Bay'!L46+Namwera!L46+Nkhudzi!L46</f>
        <v>56268643.237400003</v>
      </c>
      <c r="M46" s="34">
        <f>Mangochi!M46+'Monkey Bay'!M46+Namwera!M46+Nkhudzi!M46</f>
        <v>56285088.488075003</v>
      </c>
      <c r="N46" s="34">
        <f>Mangochi!N46+'Monkey Bay'!N46+Namwera!N46+Nkhudzi!N46</f>
        <v>56332486.652875006</v>
      </c>
      <c r="O46" s="34">
        <f>Mangochi!O46+'Monkey Bay'!O46+Namwera!O46+Nkhudzi!O46</f>
        <v>55699196.549800001</v>
      </c>
      <c r="P46" s="39">
        <f>SUM(D46:O46)</f>
        <v>369007865.407655</v>
      </c>
    </row>
    <row r="47" spans="1:16" s="2" customFormat="1" x14ac:dyDescent="0.3">
      <c r="A47" s="237" t="s">
        <v>130</v>
      </c>
      <c r="B47" s="238"/>
      <c r="C47" s="11" t="s">
        <v>115</v>
      </c>
      <c r="D47" s="15">
        <f>Mangochi!D47+'Monkey Bay'!D47+Namwera!D47</f>
        <v>235.45261192505643</v>
      </c>
      <c r="E47" s="15">
        <f>Mangochi!E47+'Monkey Bay'!E47+Namwera!E47</f>
        <v>228.41372224925337</v>
      </c>
      <c r="F47" s="15">
        <f>Mangochi!F47+'Monkey Bay'!F47+Namwera!F47</f>
        <v>202.77945617881312</v>
      </c>
      <c r="G47" s="15">
        <f>Mangochi!G47+'Monkey Bay'!G47+Namwera!G47</f>
        <v>222.54525633373692</v>
      </c>
      <c r="H47" s="15">
        <f>Mangochi!H47+'Monkey Bay'!H47+Namwera!H47</f>
        <v>269.31597214873358</v>
      </c>
      <c r="I47" s="15">
        <f>Mangochi!I47+'Monkey Bay'!I47+Namwera!I47</f>
        <v>273.55795512393092</v>
      </c>
      <c r="J47" s="15">
        <f>Mangochi!J47+'Monkey Bay'!J47+Namwera!J47+Nkhudzi!J47</f>
        <v>8752.5710135686895</v>
      </c>
      <c r="K47" s="15">
        <f>Mangochi!K47+'Monkey Bay'!K47+Namwera!K47+Nkhudzi!K47</f>
        <v>6881.0987687990246</v>
      </c>
      <c r="L47" s="15">
        <f>Mangochi!L47+'Monkey Bay'!L47+Namwera!L47+Nkhudzi!L47</f>
        <v>10019.727306096178</v>
      </c>
      <c r="M47" s="15">
        <f>Mangochi!M47+'Monkey Bay'!M47+Namwera!M47+Nkhudzi!M47</f>
        <v>11338.643389032559</v>
      </c>
      <c r="N47" s="15">
        <f>Mangochi!N47+'Monkey Bay'!N47+Namwera!N47+Nkhudzi!N47</f>
        <v>10664.085252722085</v>
      </c>
      <c r="O47" s="15">
        <f>Mangochi!O47+'Monkey Bay'!O47+Namwera!O47+Nkhudzi!O47</f>
        <v>14425.415270466525</v>
      </c>
      <c r="P47" s="103">
        <f t="shared" ref="P47" si="32">P46/P9</f>
        <v>153.86150600086901</v>
      </c>
    </row>
    <row r="48" spans="1:16" ht="14.4" x14ac:dyDescent="0.3">
      <c r="A48" s="253" t="s">
        <v>129</v>
      </c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5"/>
    </row>
    <row r="49" spans="1:16" x14ac:dyDescent="0.3">
      <c r="A49" s="237" t="s">
        <v>128</v>
      </c>
      <c r="B49" s="238"/>
      <c r="C49" s="5" t="s">
        <v>127</v>
      </c>
      <c r="D49" s="34">
        <f>Mangochi!D49+'Monkey Bay'!D49+Namwera!D49</f>
        <v>5386</v>
      </c>
      <c r="E49" s="34">
        <f>Mangochi!E49+'Monkey Bay'!E49+Namwera!E49</f>
        <v>4690</v>
      </c>
      <c r="F49" s="34">
        <f>Mangochi!F49+'Monkey Bay'!F49+Namwera!F49</f>
        <v>7129</v>
      </c>
      <c r="G49" s="34">
        <f>Mangochi!G49+'Monkey Bay'!G49+Namwera!G49</f>
        <v>9224</v>
      </c>
      <c r="H49" s="34">
        <f>Mangochi!H49+'Monkey Bay'!H49+Namwera!H49</f>
        <v>9084</v>
      </c>
      <c r="I49" s="34">
        <f>Mangochi!I49+'Monkey Bay'!I49+Namwera!I49</f>
        <v>11759</v>
      </c>
      <c r="J49" s="34">
        <f>Mangochi!J49+'Monkey Bay'!J49+Namwera!J49+Nkhudzi!J49</f>
        <v>13995</v>
      </c>
      <c r="K49" s="34">
        <f>Mangochi!K49+'Monkey Bay'!K49+Namwera!K49+Nkhudzi!K49</f>
        <v>9663</v>
      </c>
      <c r="L49" s="34">
        <f>Mangochi!L49+'Monkey Bay'!L49+Namwera!L49+Nkhudzi!L49</f>
        <v>8540</v>
      </c>
      <c r="M49" s="34">
        <f>Mangochi!M49+'Monkey Bay'!M49+Namwera!M49+Nkhudzi!M49</f>
        <v>17222</v>
      </c>
      <c r="N49" s="34">
        <f>Mangochi!N49+'Monkey Bay'!N49+Namwera!N49+Nkhudzi!N49</f>
        <v>11650</v>
      </c>
      <c r="O49" s="34">
        <f>Mangochi!O49+'Monkey Bay'!O49+Namwera!O49+Nkhudzi!O49</f>
        <v>9076</v>
      </c>
      <c r="P49" s="39">
        <f>SUM(D49:O49)</f>
        <v>117418</v>
      </c>
    </row>
    <row r="50" spans="1:16" x14ac:dyDescent="0.3">
      <c r="A50" s="237" t="s">
        <v>187</v>
      </c>
      <c r="B50" s="238"/>
      <c r="C50" s="5" t="s">
        <v>126</v>
      </c>
      <c r="D50" s="34">
        <f>Mangochi!D50+'Monkey Bay'!D50+Namwera!D50</f>
        <v>1255.93</v>
      </c>
      <c r="E50" s="34">
        <f>Mangochi!E50+'Monkey Bay'!E50+Namwera!E50</f>
        <v>1090.9700000000003</v>
      </c>
      <c r="F50" s="34">
        <f>Mangochi!F50+'Monkey Bay'!F50+Namwera!F50</f>
        <v>1438</v>
      </c>
      <c r="G50" s="34">
        <f>Mangochi!G50+'Monkey Bay'!G50+Namwera!G50</f>
        <v>1246.56</v>
      </c>
      <c r="H50" s="34">
        <f>Mangochi!H50+'Monkey Bay'!H50+Namwera!H50</f>
        <v>1027.24</v>
      </c>
      <c r="I50" s="34">
        <f>Mangochi!I50+'Monkey Bay'!I50+Namwera!I50</f>
        <v>1242.4000000000001</v>
      </c>
      <c r="J50" s="34">
        <f>Mangochi!J50+'Monkey Bay'!J50+Namwera!J50+Nkhudzi!J50</f>
        <v>1852.8200000000002</v>
      </c>
      <c r="K50" s="34">
        <f>Mangochi!K50+'Monkey Bay'!K50+Namwera!K50+Nkhudzi!K50</f>
        <v>1377.84</v>
      </c>
      <c r="L50" s="34">
        <f>Mangochi!L50+'Monkey Bay'!L50+Namwera!L50+Nkhudzi!L50</f>
        <v>1281.76</v>
      </c>
      <c r="M50" s="34">
        <f>Mangochi!M50+'Monkey Bay'!M50+Namwera!M50+Nkhudzi!M50</f>
        <v>1594.21</v>
      </c>
      <c r="N50" s="34">
        <f>Mangochi!N50+'Monkey Bay'!N50+Namwera!N50+Nkhudzi!N50</f>
        <v>1108.26</v>
      </c>
      <c r="O50" s="34">
        <f>Mangochi!O50+'Monkey Bay'!O50+Namwera!O50+Nkhudzi!O50</f>
        <v>1094.95</v>
      </c>
      <c r="P50" s="39">
        <f>SUM(D50:O50)</f>
        <v>15610.94</v>
      </c>
    </row>
    <row r="51" spans="1:16" x14ac:dyDescent="0.3">
      <c r="A51" s="256" t="s">
        <v>125</v>
      </c>
      <c r="B51" s="257"/>
      <c r="C51" s="5" t="s">
        <v>31</v>
      </c>
      <c r="D51" s="34">
        <f>Mangochi!D51+'Monkey Bay'!D51+Namwera!D51</f>
        <v>2411520</v>
      </c>
      <c r="E51" s="34">
        <f>Mangochi!E51+'Monkey Bay'!E51+Namwera!E51</f>
        <v>2090272</v>
      </c>
      <c r="F51" s="34">
        <f>Mangochi!F51+'Monkey Bay'!F51+Namwera!F51</f>
        <v>2762344</v>
      </c>
      <c r="G51" s="34">
        <f>Mangochi!G51+'Monkey Bay'!G51+Namwera!G51</f>
        <v>2391148</v>
      </c>
      <c r="H51" s="34">
        <f>Mangochi!H51+'Monkey Bay'!H51+Namwera!H51</f>
        <v>1971840</v>
      </c>
      <c r="I51" s="34">
        <f>Mangochi!I51+'Monkey Bay'!I51+Namwera!I51</f>
        <v>2386368</v>
      </c>
      <c r="J51" s="34">
        <f>Mangochi!J51+'Monkey Bay'!J51+Namwera!J51+Nkhudzi!J51</f>
        <v>2753534.4000000004</v>
      </c>
      <c r="K51" s="34">
        <f>Mangochi!K51+'Monkey Bay'!K51+Namwera!K51+Nkhudzi!K51</f>
        <v>3767051.35</v>
      </c>
      <c r="L51" s="34">
        <f>Mangochi!L51+'Monkey Bay'!L51+Namwera!L51+Nkhudzi!L51</f>
        <v>3504331.84</v>
      </c>
      <c r="M51" s="34">
        <f>Mangochi!M51+'Monkey Bay'!M51+Namwera!M51+Nkhudzi!M51</f>
        <v>4357996</v>
      </c>
      <c r="N51" s="34">
        <f>Mangochi!N51+'Monkey Bay'!N51+Namwera!N51+Nkhudzi!N51</f>
        <v>3029272</v>
      </c>
      <c r="O51" s="34">
        <f>Mangochi!O51+'Monkey Bay'!O51+Namwera!O51+Nkhudzi!O51</f>
        <v>2993602.44</v>
      </c>
      <c r="P51" s="40">
        <f>SUM(D51:O51)</f>
        <v>34419280.030000001</v>
      </c>
    </row>
    <row r="52" spans="1:16" x14ac:dyDescent="0.3">
      <c r="A52" s="237" t="s">
        <v>124</v>
      </c>
      <c r="B52" s="238"/>
      <c r="C52" s="5" t="s">
        <v>31</v>
      </c>
      <c r="D52" s="34">
        <f>Mangochi!D52+'Monkey Bay'!D52+Namwera!D52</f>
        <v>0</v>
      </c>
      <c r="E52" s="34">
        <f>Mangochi!E52+'Monkey Bay'!E52+Namwera!E52</f>
        <v>0</v>
      </c>
      <c r="F52" s="34">
        <f>Mangochi!F52+'Monkey Bay'!F52+Namwera!F52</f>
        <v>0</v>
      </c>
      <c r="G52" s="34">
        <f>Mangochi!G52+'Monkey Bay'!G52+Namwera!G52</f>
        <v>0</v>
      </c>
      <c r="H52" s="34">
        <f>Mangochi!H52+'Monkey Bay'!H52+Namwera!H52</f>
        <v>10000</v>
      </c>
      <c r="I52" s="34">
        <f>Mangochi!I52+'Monkey Bay'!I52+Namwera!I52</f>
        <v>0</v>
      </c>
      <c r="J52" s="34">
        <f>Mangochi!J52+'Monkey Bay'!J52+Namwera!J52+Nkhudzi!J52</f>
        <v>0</v>
      </c>
      <c r="K52" s="34">
        <f>Mangochi!K52+'Monkey Bay'!K52+Namwera!K52+Nkhudzi!K52</f>
        <v>0</v>
      </c>
      <c r="L52" s="34">
        <f>Mangochi!L52+'Monkey Bay'!L52+Namwera!L52</f>
        <v>0</v>
      </c>
      <c r="M52" s="34">
        <f>Mangochi!M52+'Monkey Bay'!M52+Namwera!M52</f>
        <v>0</v>
      </c>
      <c r="N52" s="34">
        <f>Mangochi!N52+'Monkey Bay'!N52+Namwera!N52</f>
        <v>0</v>
      </c>
      <c r="O52" s="34">
        <f>Mangochi!O52+'Monkey Bay'!O52+Namwera!O52</f>
        <v>0</v>
      </c>
      <c r="P52" s="40">
        <f>SUM(D52:O52)</f>
        <v>10000</v>
      </c>
    </row>
    <row r="53" spans="1:16" ht="14.4" x14ac:dyDescent="0.3">
      <c r="A53" s="253" t="s">
        <v>123</v>
      </c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5"/>
    </row>
    <row r="54" spans="1:16" x14ac:dyDescent="0.3">
      <c r="A54" s="237" t="s">
        <v>122</v>
      </c>
      <c r="B54" s="238"/>
      <c r="C54" s="11" t="s">
        <v>18</v>
      </c>
      <c r="D54" s="34">
        <f>Mangochi!D54+'Monkey Bay'!D54+Namwera!D54</f>
        <v>20236631.579999998</v>
      </c>
      <c r="E54" s="34">
        <f>Mangochi!E54+'Monkey Bay'!E54+Namwera!E54</f>
        <v>22250833.93</v>
      </c>
      <c r="F54" s="34">
        <f>Mangochi!F54+'Monkey Bay'!F54+Namwera!F54</f>
        <v>20547194.100000001</v>
      </c>
      <c r="G54" s="34">
        <f>Mangochi!G54+'Monkey Bay'!G54+Namwera!G54</f>
        <v>15279624.789999997</v>
      </c>
      <c r="H54" s="34">
        <f>Mangochi!H54+'Monkey Bay'!H54+Namwera!H54</f>
        <v>16107761.300000001</v>
      </c>
      <c r="I54" s="34">
        <f>Mangochi!I54+'Monkey Bay'!I54+Namwera!I54</f>
        <v>18948898.870000001</v>
      </c>
      <c r="J54" s="34">
        <f>Mangochi!J54+'Monkey Bay'!J54+Namwera!J54+Nkhudzi!J54</f>
        <v>15122758.369999999</v>
      </c>
      <c r="K54" s="34">
        <f>Mangochi!K54+'Monkey Bay'!K54+Namwera!K54+Nkhudzi!K54</f>
        <v>23440641.759999998</v>
      </c>
      <c r="L54" s="34">
        <f>Mangochi!L54+'Monkey Bay'!L54+Namwera!L54+Nkhudzi!L54</f>
        <v>32200113.469999999</v>
      </c>
      <c r="M54" s="34">
        <f>Mangochi!M54+'Monkey Bay'!M54+Namwera!M54+Nkhudzi!M54</f>
        <v>34864306.379999995</v>
      </c>
      <c r="N54" s="34">
        <f>Mangochi!N54+'Monkey Bay'!N54+Namwera!N54+Nkhudzi!N54</f>
        <v>34864306.379999995</v>
      </c>
      <c r="O54" s="34">
        <f>Mangochi!O54+'Monkey Bay'!O54+Namwera!O54+Nkhudzi!O54</f>
        <v>29078142.060000002</v>
      </c>
      <c r="P54" s="39">
        <f>SUM(D54:O54)</f>
        <v>282941212.99000001</v>
      </c>
    </row>
    <row r="55" spans="1:16" x14ac:dyDescent="0.3">
      <c r="A55" s="322" t="s">
        <v>121</v>
      </c>
      <c r="B55" s="323"/>
      <c r="C55" s="11" t="s">
        <v>18</v>
      </c>
      <c r="D55" s="34">
        <f>Mangochi!D55+'Monkey Bay'!D55+Namwera!D55</f>
        <v>2784740.0300000003</v>
      </c>
      <c r="E55" s="34">
        <f>Mangochi!E55+'Monkey Bay'!E55+Namwera!E55</f>
        <v>2756134.22</v>
      </c>
      <c r="F55" s="34">
        <f>Mangochi!F55+'Monkey Bay'!F55+Namwera!F55</f>
        <v>2605352.67</v>
      </c>
      <c r="G55" s="34">
        <f>Mangochi!G55+'Monkey Bay'!G55+Namwera!G55</f>
        <v>2982697.08</v>
      </c>
      <c r="H55" s="34">
        <f>Mangochi!H55+'Monkey Bay'!H55+Namwera!H55</f>
        <v>3528851.8</v>
      </c>
      <c r="I55" s="34">
        <f>Mangochi!I55+'Monkey Bay'!I55+Namwera!I55</f>
        <v>4903974.1900000004</v>
      </c>
      <c r="J55" s="34">
        <f>Mangochi!J55+'Monkey Bay'!J55+Namwera!J55+Nkhudzi!J55</f>
        <v>7764375.4100000001</v>
      </c>
      <c r="K55" s="34">
        <f>Mangochi!K55+'Monkey Bay'!K55+Namwera!K55+Nkhudzi!K55</f>
        <v>5706499.5200000005</v>
      </c>
      <c r="L55" s="34">
        <f>Mangochi!L55+'Monkey Bay'!L55+Namwera!L55+Nkhudzi!L55</f>
        <v>5489672.25</v>
      </c>
      <c r="M55" s="34">
        <f>Mangochi!M55+'Monkey Bay'!M55+Namwera!M55+Nkhudzi!M55</f>
        <v>7546802.8799999999</v>
      </c>
      <c r="N55" s="34">
        <f>Mangochi!N55+'Monkey Bay'!N55+Namwera!N55+Nkhudzi!N55</f>
        <v>14818960.879999999</v>
      </c>
      <c r="O55" s="34">
        <f>Mangochi!O55+'Monkey Bay'!O55+Namwera!O55+Nkhudzi!O55</f>
        <v>14553936.720000001</v>
      </c>
      <c r="P55" s="39">
        <f>SUM(D55:O55)</f>
        <v>75441997.650000006</v>
      </c>
    </row>
    <row r="56" spans="1:16" x14ac:dyDescent="0.3">
      <c r="A56" s="237" t="s">
        <v>120</v>
      </c>
      <c r="B56" s="238"/>
      <c r="C56" s="5" t="s">
        <v>18</v>
      </c>
      <c r="D56" s="34">
        <f>Mangochi!D56+'Monkey Bay'!D56+Namwera!D56</f>
        <v>2063450</v>
      </c>
      <c r="E56" s="34">
        <f>Mangochi!E56+'Monkey Bay'!E56+Namwera!E56</f>
        <v>2061700</v>
      </c>
      <c r="F56" s="34">
        <f>Mangochi!F56+'Monkey Bay'!F56+Namwera!F56</f>
        <v>2073200</v>
      </c>
      <c r="G56" s="34">
        <f>Mangochi!G56+'Monkey Bay'!G56+Namwera!G56</f>
        <v>2082700</v>
      </c>
      <c r="H56" s="34">
        <f>Mangochi!H56+'Monkey Bay'!H56+Namwera!H56</f>
        <v>2093050</v>
      </c>
      <c r="I56" s="34">
        <f>Mangochi!I56+'Monkey Bay'!I56+Namwera!I56</f>
        <v>2110800</v>
      </c>
      <c r="J56" s="34">
        <f>Mangochi!J56+'Monkey Bay'!J56+Namwera!J56+Nkhudzi!J56</f>
        <v>2125500</v>
      </c>
      <c r="K56" s="34">
        <f>Mangochi!K56+'Monkey Bay'!K56+Namwera!K56+Nkhudzi!K56</f>
        <v>2133100</v>
      </c>
      <c r="L56" s="34">
        <f>Mangochi!L56+'Monkey Bay'!L56+Namwera!L56+Nkhudzi!L56</f>
        <v>2132700</v>
      </c>
      <c r="M56" s="34">
        <f>Mangochi!M56+'Monkey Bay'!M56+Namwera!M56+Nkhudzi!M56</f>
        <v>1983750</v>
      </c>
      <c r="N56" s="34">
        <f>Mangochi!N56+'Monkey Bay'!N56+Namwera!N56+Nkhudzi!N56</f>
        <v>2460000</v>
      </c>
      <c r="O56" s="34">
        <f>Mangochi!O56+'Monkey Bay'!O56+Namwera!O56+Nkhudzi!O56</f>
        <v>2408400</v>
      </c>
      <c r="P56" s="39">
        <f>SUM(D56:O56)</f>
        <v>25728350</v>
      </c>
    </row>
    <row r="57" spans="1:16" ht="14.4" x14ac:dyDescent="0.3">
      <c r="A57" s="253" t="s">
        <v>119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5"/>
    </row>
    <row r="58" spans="1:16" x14ac:dyDescent="0.3">
      <c r="A58" s="256" t="s">
        <v>118</v>
      </c>
      <c r="B58" s="257"/>
      <c r="C58" s="5" t="s">
        <v>18</v>
      </c>
      <c r="D58" s="13">
        <f>D41+D46+D51+D52+D54+D55+D56</f>
        <v>41854920.454719998</v>
      </c>
      <c r="E58" s="13">
        <f t="shared" ref="E58:L58" si="33">E41+E46+E51+E52+E54+E55+E56</f>
        <v>43685044.329080001</v>
      </c>
      <c r="F58" s="13">
        <f t="shared" si="33"/>
        <v>42739466.921580002</v>
      </c>
      <c r="G58" s="13">
        <f t="shared" si="33"/>
        <v>35840116.903825</v>
      </c>
      <c r="H58" s="13">
        <f t="shared" si="33"/>
        <v>40250978.392499998</v>
      </c>
      <c r="I58" s="13">
        <f t="shared" si="33"/>
        <v>44322925.178924993</v>
      </c>
      <c r="J58" s="13">
        <f t="shared" si="33"/>
        <v>67479821.558574989</v>
      </c>
      <c r="K58" s="13">
        <f t="shared" ref="K58" si="34">K41+K46+K51+K52+K54+K55+K56</f>
        <v>72191484.121299997</v>
      </c>
      <c r="L58" s="13">
        <f t="shared" si="33"/>
        <v>102225327.1374</v>
      </c>
      <c r="M58" s="13">
        <f t="shared" ref="M58" si="35">M41+M46+M51+M52+M54+M55+M56</f>
        <v>107915065.03207499</v>
      </c>
      <c r="N58" s="13">
        <f t="shared" ref="N58" si="36">N41+N46+N51+N52+N54+N55+N56</f>
        <v>114482254.478875</v>
      </c>
      <c r="O58" s="13">
        <f t="shared" ref="O58" si="37">O41+O46+O51+O52+O54+O55+O56</f>
        <v>107856805.8708</v>
      </c>
      <c r="P58" s="64">
        <f>SUM(D58:O58)</f>
        <v>820844210.379655</v>
      </c>
    </row>
    <row r="59" spans="1:16" x14ac:dyDescent="0.3">
      <c r="A59" s="256" t="s">
        <v>117</v>
      </c>
      <c r="B59" s="257"/>
      <c r="C59" s="5" t="s">
        <v>115</v>
      </c>
      <c r="D59" s="15">
        <f t="shared" ref="D59:P59" si="38">D58/D9</f>
        <v>221.67745593305438</v>
      </c>
      <c r="E59" s="15">
        <f t="shared" si="38"/>
        <v>224.16266505754794</v>
      </c>
      <c r="F59" s="15">
        <f t="shared" si="38"/>
        <v>212.0160473523955</v>
      </c>
      <c r="G59" s="15">
        <f t="shared" si="38"/>
        <v>185.20875658266669</v>
      </c>
      <c r="H59" s="15">
        <f t="shared" si="38"/>
        <v>206.62719914014372</v>
      </c>
      <c r="I59" s="15">
        <f t="shared" si="38"/>
        <v>231.42109478618974</v>
      </c>
      <c r="J59" s="15">
        <f t="shared" si="38"/>
        <v>328.69685846501369</v>
      </c>
      <c r="K59" s="15">
        <f t="shared" ref="K59" si="39">K58/K9</f>
        <v>313.32415871567071</v>
      </c>
      <c r="L59" s="15">
        <f t="shared" si="38"/>
        <v>508.08321721587691</v>
      </c>
      <c r="M59" s="15">
        <f t="shared" ref="M59" si="40">M58/M9</f>
        <v>513.89594479877985</v>
      </c>
      <c r="N59" s="15">
        <f t="shared" ref="N59" si="41">N58/N9</f>
        <v>570.65735700761206</v>
      </c>
      <c r="O59" s="15">
        <f t="shared" ref="O59" si="42">O58/O9</f>
        <v>580.84024465806101</v>
      </c>
      <c r="P59" s="103">
        <f t="shared" si="38"/>
        <v>342.25917179728464</v>
      </c>
    </row>
    <row r="60" spans="1:16" x14ac:dyDescent="0.3">
      <c r="A60" s="256" t="s">
        <v>116</v>
      </c>
      <c r="B60" s="257"/>
      <c r="C60" s="5" t="s">
        <v>115</v>
      </c>
      <c r="D60" s="15">
        <f>D58/D22</f>
        <v>365.49280674837837</v>
      </c>
      <c r="E60" s="15">
        <f t="shared" ref="E60:L60" si="43">E58/E22</f>
        <v>355.23545316223067</v>
      </c>
      <c r="F60" s="15">
        <f t="shared" si="43"/>
        <v>322.22641265383976</v>
      </c>
      <c r="G60" s="15">
        <f t="shared" si="43"/>
        <v>282.54759424457075</v>
      </c>
      <c r="H60" s="15">
        <f t="shared" si="43"/>
        <v>320.69681854578482</v>
      </c>
      <c r="I60" s="15">
        <f t="shared" si="43"/>
        <v>321.51168107830597</v>
      </c>
      <c r="J60" s="15">
        <f t="shared" si="43"/>
        <v>475.33989258033171</v>
      </c>
      <c r="K60" s="15">
        <f t="shared" ref="K60" si="44">K58/K22</f>
        <v>490.40729068483057</v>
      </c>
      <c r="L60" s="15">
        <f t="shared" si="43"/>
        <v>801.15148464239257</v>
      </c>
      <c r="M60" s="15">
        <f t="shared" ref="M60" si="45">M58/M22</f>
        <v>753.7257773297456</v>
      </c>
      <c r="N60" s="15">
        <f t="shared" ref="N60" si="46">N58/N22</f>
        <v>753.62291736692043</v>
      </c>
      <c r="O60" s="15">
        <f t="shared" ref="O60" si="47">O58/O22</f>
        <v>772.3277489896285</v>
      </c>
      <c r="P60" s="104">
        <f>P58/P22</f>
        <v>509.25683922127058</v>
      </c>
    </row>
    <row r="61" spans="1:16" x14ac:dyDescent="0.3">
      <c r="A61" s="237" t="s">
        <v>114</v>
      </c>
      <c r="B61" s="238"/>
      <c r="C61" s="5" t="s">
        <v>3</v>
      </c>
      <c r="D61" s="34">
        <f>Mangochi!D61+'Monkey Bay'!D61+Namwera!D61</f>
        <v>35</v>
      </c>
      <c r="E61" s="34">
        <f>Mangochi!E61+'Monkey Bay'!E61+Namwera!E61</f>
        <v>35</v>
      </c>
      <c r="F61" s="34">
        <f>Mangochi!F61+'Monkey Bay'!F61+Namwera!F61</f>
        <v>33</v>
      </c>
      <c r="G61" s="34">
        <f>Mangochi!G61+'Monkey Bay'!G61+Namwera!G61</f>
        <v>35</v>
      </c>
      <c r="H61" s="34">
        <f>Mangochi!H61+'Monkey Bay'!H61+Namwera!H61</f>
        <v>34</v>
      </c>
      <c r="I61" s="34">
        <f>Mangochi!I61+'Monkey Bay'!I61+Namwera!I61</f>
        <v>34</v>
      </c>
      <c r="J61" s="34">
        <f>Mangochi!J61+'Monkey Bay'!J61+Namwera!J61+Nkhudzi!J61</f>
        <v>41</v>
      </c>
      <c r="K61" s="34">
        <f>Mangochi!K61+'Monkey Bay'!K61+Namwera!K61+Nkhudzi!K61</f>
        <v>50</v>
      </c>
      <c r="L61" s="34">
        <f>Mangochi!L61+'Monkey Bay'!L61+Namwera!L61+Nkhudzi!L61</f>
        <v>52</v>
      </c>
      <c r="M61" s="34">
        <f>Mangochi!M61+'Monkey Bay'!M61+Namwera!M61+Nkhudzi!M61</f>
        <v>55</v>
      </c>
      <c r="N61" s="34">
        <f>Mangochi!N61+'Monkey Bay'!N61+Namwera!N61+Nkhudzi!N61</f>
        <v>56</v>
      </c>
      <c r="O61" s="34">
        <f>Mangochi!O61+'Monkey Bay'!O61+Namwera!O61+Nkhudzi!O61</f>
        <v>56</v>
      </c>
      <c r="P61" s="39">
        <f>O61</f>
        <v>56</v>
      </c>
    </row>
    <row r="62" spans="1:16" ht="15.6" customHeight="1" x14ac:dyDescent="0.3">
      <c r="A62" s="256" t="s">
        <v>113</v>
      </c>
      <c r="B62" s="257"/>
      <c r="C62" s="5" t="s">
        <v>112</v>
      </c>
      <c r="D62" s="15">
        <f>Mangochi!D62+'Monkey Bay'!D62+Namwera!D62</f>
        <v>39.537667920020162</v>
      </c>
      <c r="E62" s="15">
        <f>Mangochi!E62+'Monkey Bay'!E62+Namwera!E62</f>
        <v>29.035789787092831</v>
      </c>
      <c r="F62" s="15">
        <f>Mangochi!F62+'Monkey Bay'!F62+Namwera!F62</f>
        <v>30.866453701380756</v>
      </c>
      <c r="G62" s="15">
        <f>Mangochi!G62+'Monkey Bay'!G62+Namwera!G62</f>
        <v>32.95394452711524</v>
      </c>
      <c r="H62" s="15">
        <f>Mangochi!H62+'Monkey Bay'!H62+Namwera!H62</f>
        <v>28.403148308792716</v>
      </c>
      <c r="I62" s="15">
        <f>Mangochi!I62+'Monkey Bay'!I62+Namwera!I62</f>
        <v>24.713695296312881</v>
      </c>
      <c r="J62" s="15">
        <f>Mangochi!J62+'Monkey Bay'!J62+Namwera!J62+Nkhudzi!J62</f>
        <v>122.55981708105533</v>
      </c>
      <c r="K62" s="15">
        <f>Mangochi!K62+'Monkey Bay'!K62+Namwera!K62+Nkhudzi!K62</f>
        <v>109.82277736042357</v>
      </c>
      <c r="L62" s="15">
        <f>Mangochi!L62+'Monkey Bay'!L62+Namwera!L62+Nkhudzi!L62</f>
        <v>102.35424107834818</v>
      </c>
      <c r="M62" s="15">
        <f>Mangochi!M62+'Monkey Bay'!M62+Namwera!M62+Nkhudzi!M62</f>
        <v>127.38736088603544</v>
      </c>
      <c r="N62" s="15">
        <f>Mangochi!N62+'Monkey Bay'!N62+Namwera!N62+Nkhudzi!N62</f>
        <v>139.10203612320726</v>
      </c>
      <c r="O62" s="15">
        <f>Mangochi!O62+'Monkey Bay'!O62+Namwera!O62+Nkhudzi!O62</f>
        <v>178.85174712047245</v>
      </c>
      <c r="P62" s="103">
        <f t="shared" ref="P62" si="48">(P61*1000*31)/P9</f>
        <v>0.72384249620920837</v>
      </c>
    </row>
    <row r="63" spans="1:16" x14ac:dyDescent="0.3">
      <c r="A63" s="260" t="s">
        <v>111</v>
      </c>
      <c r="B63" s="261"/>
      <c r="C63" s="38" t="s">
        <v>3</v>
      </c>
      <c r="D63" s="34">
        <f>Mangochi!D63+'Monkey Bay'!D63+Namwera!D63</f>
        <v>40</v>
      </c>
      <c r="E63" s="34">
        <f>Mangochi!E63+'Monkey Bay'!E63+Namwera!E63</f>
        <v>40</v>
      </c>
      <c r="F63" s="34">
        <f>Mangochi!F63+'Monkey Bay'!F63+Namwera!F63</f>
        <v>40</v>
      </c>
      <c r="G63" s="34">
        <f>Mangochi!G63+'Monkey Bay'!G63+Namwera!G63</f>
        <v>62</v>
      </c>
      <c r="H63" s="34">
        <f>Mangochi!H63+'Monkey Bay'!H63+Namwera!H63</f>
        <v>15</v>
      </c>
      <c r="I63" s="34">
        <f>Mangochi!I63+'Monkey Bay'!I63+Namwera!I63</f>
        <v>40</v>
      </c>
      <c r="J63" s="34">
        <f>Mangochi!J63+'Monkey Bay'!J63+Namwera!J63+Nkhudzi!J63</f>
        <v>139</v>
      </c>
      <c r="K63" s="34">
        <f>Mangochi!K63+'Monkey Bay'!K63+Namwera!K63+Nkhudzi!K63</f>
        <v>170</v>
      </c>
      <c r="L63" s="34">
        <f>Mangochi!L63+'Monkey Bay'!L63+Namwera!L63+Nkhudzi!L63</f>
        <v>113</v>
      </c>
      <c r="M63" s="34">
        <f>Mangochi!M63+'Monkey Bay'!M63+Namwera!M63+Nkhudzi!M63</f>
        <v>148</v>
      </c>
      <c r="N63" s="34">
        <f>Mangochi!N63+'Monkey Bay'!N63+Namwera!N63+Nkhudzi!N63</f>
        <v>173</v>
      </c>
      <c r="O63" s="34">
        <f>Mangochi!O63+'Monkey Bay'!O63+Namwera!O63+Nkhudzi!O63</f>
        <v>173</v>
      </c>
      <c r="P63" s="39">
        <f>SUM(D63:O63)</f>
        <v>1153</v>
      </c>
    </row>
    <row r="64" spans="1:16" ht="14.4" x14ac:dyDescent="0.3">
      <c r="A64" s="262"/>
      <c r="B64" s="263"/>
      <c r="C64" s="263"/>
      <c r="D64" s="263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4"/>
    </row>
    <row r="65" spans="1:16" ht="14.4" customHeight="1" x14ac:dyDescent="0.3">
      <c r="A65" s="253" t="s">
        <v>110</v>
      </c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5"/>
    </row>
    <row r="66" spans="1:16" x14ac:dyDescent="0.3">
      <c r="A66" s="329" t="s">
        <v>109</v>
      </c>
      <c r="B66" s="37" t="s">
        <v>85</v>
      </c>
      <c r="C66" s="5" t="s">
        <v>3</v>
      </c>
      <c r="D66" s="26">
        <f>Mangochi!D66+'Monkey Bay'!D66+Namwera!D66</f>
        <v>1206</v>
      </c>
      <c r="E66" s="26">
        <f>Mangochi!E66+'Monkey Bay'!E66+Namwera!E66</f>
        <v>1222</v>
      </c>
      <c r="F66" s="26">
        <f>Mangochi!F66+'Monkey Bay'!F66+Namwera!F66</f>
        <v>1333</v>
      </c>
      <c r="G66" s="26">
        <f>Mangochi!G66+'Monkey Bay'!G66+Namwera!G66</f>
        <v>1440</v>
      </c>
      <c r="H66" s="26">
        <f>Mangochi!H66+'Monkey Bay'!H66+Namwera!H66</f>
        <v>1432</v>
      </c>
      <c r="I66" s="26">
        <f>Mangochi!I66+'Monkey Bay'!I66+Namwera!I66</f>
        <v>1511</v>
      </c>
      <c r="J66" s="26">
        <f>Mangochi!J66+'Monkey Bay'!J66+Namwera!J66+Nkhudzi!J66</f>
        <v>1596</v>
      </c>
      <c r="K66" s="26">
        <f>Mangochi!K66+'Monkey Bay'!K66+Namwera!K66+Nkhudzi!K66</f>
        <v>1135</v>
      </c>
      <c r="L66" s="26">
        <f>Mangochi!L66+'Monkey Bay'!L66+Namwera!L66+Nkhudzi!L66</f>
        <v>1105</v>
      </c>
      <c r="M66" s="26">
        <f>Mangochi!M66+'Monkey Bay'!M66+Namwera!M66+Nkhudzi!M66</f>
        <v>1141</v>
      </c>
      <c r="N66" s="26">
        <f>Mangochi!N66+'Monkey Bay'!N66+Namwera!N66+Nkhudzi!N66</f>
        <v>1748</v>
      </c>
      <c r="O66" s="26">
        <f>Mangochi!O66+'Monkey Bay'!O66+Namwera!O66+Nkhudzi!O66</f>
        <v>1573</v>
      </c>
      <c r="P66" s="35">
        <f>Mangochi!P66+'Monkey Bay'!P66+Namwera!P66</f>
        <v>1206</v>
      </c>
    </row>
    <row r="67" spans="1:16" x14ac:dyDescent="0.3">
      <c r="A67" s="330"/>
      <c r="B67" s="24" t="s">
        <v>104</v>
      </c>
      <c r="C67" s="5" t="s">
        <v>3</v>
      </c>
      <c r="D67" s="26">
        <f>Mangochi!D67+'Monkey Bay'!D67+Namwera!D67</f>
        <v>74</v>
      </c>
      <c r="E67" s="26">
        <f>Mangochi!E67+'Monkey Bay'!E67+Namwera!E67</f>
        <v>149</v>
      </c>
      <c r="F67" s="26">
        <f>Mangochi!F67+'Monkey Bay'!F67+Namwera!F67</f>
        <v>177</v>
      </c>
      <c r="G67" s="26">
        <f>Mangochi!G67+'Monkey Bay'!G67+Namwera!G67</f>
        <v>59</v>
      </c>
      <c r="H67" s="26">
        <f>Mangochi!H67+'Monkey Bay'!H67+Namwera!H67</f>
        <v>164</v>
      </c>
      <c r="I67" s="26">
        <f>Mangochi!I67+'Monkey Bay'!I67+Namwera!I67</f>
        <v>128</v>
      </c>
      <c r="J67" s="26">
        <f>Mangochi!J67+'Monkey Bay'!J67+Namwera!J67+Nkhudzi!J67</f>
        <v>2147</v>
      </c>
      <c r="K67" s="26">
        <f>Mangochi!K67+'Monkey Bay'!K67+Namwera!K67+Nkhudzi!K67</f>
        <v>177</v>
      </c>
      <c r="L67" s="26">
        <f>Mangochi!L67+'Monkey Bay'!L67+Namwera!L67+Nkhudzi!L67</f>
        <v>139</v>
      </c>
      <c r="M67" s="26">
        <f>Mangochi!M67+'Monkey Bay'!M67+Namwera!M67+Nkhudzi!M67</f>
        <v>847</v>
      </c>
      <c r="N67" s="26">
        <f>Mangochi!N67+'Monkey Bay'!N67+Namwera!N67+Nkhudzi!N67</f>
        <v>240</v>
      </c>
      <c r="O67" s="26">
        <f>Mangochi!O67+'Monkey Bay'!O67+Namwera!O67+Nkhudzi!O67</f>
        <v>198</v>
      </c>
      <c r="P67" s="35">
        <f>Mangochi!P67+'Monkey Bay'!P67+Namwera!P67</f>
        <v>3791</v>
      </c>
    </row>
    <row r="68" spans="1:16" ht="27" x14ac:dyDescent="0.3">
      <c r="A68" s="330"/>
      <c r="B68" s="24" t="s">
        <v>103</v>
      </c>
      <c r="C68" s="5" t="s">
        <v>3</v>
      </c>
      <c r="D68" s="26">
        <f>Mangochi!D68+'Monkey Bay'!D68+Namwera!D68</f>
        <v>0</v>
      </c>
      <c r="E68" s="26">
        <f>Mangochi!E68+'Monkey Bay'!E68+Namwera!E68</f>
        <v>7</v>
      </c>
      <c r="F68" s="26">
        <f>Mangochi!F68+'Monkey Bay'!F68+Namwera!F68</f>
        <v>0</v>
      </c>
      <c r="G68" s="26">
        <f>Mangochi!G68+'Monkey Bay'!G68+Namwera!G68</f>
        <v>0</v>
      </c>
      <c r="H68" s="26">
        <f>Mangochi!H68+'Monkey Bay'!H68+Namwera!H68</f>
        <v>0</v>
      </c>
      <c r="I68" s="26">
        <f>Mangochi!I68+'Monkey Bay'!I68+Namwera!I68</f>
        <v>0</v>
      </c>
      <c r="J68" s="26">
        <f>Mangochi!J68+'Monkey Bay'!J68+Namwera!J68+Nkhudzi!J68</f>
        <v>0</v>
      </c>
      <c r="K68" s="26">
        <f>Mangochi!K68+'Monkey Bay'!K68+Namwera!K68+Nkhudzi!K68</f>
        <v>0</v>
      </c>
      <c r="L68" s="26">
        <f>Mangochi!L68+'Monkey Bay'!L68+Namwera!L68+Nkhudzi!L68</f>
        <v>21</v>
      </c>
      <c r="M68" s="26">
        <f>Mangochi!M68+'Monkey Bay'!M68+Namwera!M68+Nkhudzi!M68</f>
        <v>0</v>
      </c>
      <c r="N68" s="26">
        <f>Mangochi!N68+'Monkey Bay'!N68+Namwera!N68+Nkhudzi!N68</f>
        <v>0</v>
      </c>
      <c r="O68" s="26">
        <f>Mangochi!O68+'Monkey Bay'!O68+Namwera!O68+Nkhudzi!O68</f>
        <v>5</v>
      </c>
      <c r="P68" s="35">
        <f>Mangochi!P68+'Monkey Bay'!P68+Namwera!P68</f>
        <v>32</v>
      </c>
    </row>
    <row r="69" spans="1:16" s="2" customFormat="1" ht="27" x14ac:dyDescent="0.3">
      <c r="A69" s="330"/>
      <c r="B69" s="24" t="s">
        <v>102</v>
      </c>
      <c r="C69" s="11" t="s">
        <v>3</v>
      </c>
      <c r="D69" s="26">
        <f>Mangochi!D69+'Monkey Bay'!D69+Namwera!D69</f>
        <v>58</v>
      </c>
      <c r="E69" s="26">
        <f>Mangochi!E69+'Monkey Bay'!E69+Namwera!E69</f>
        <v>31</v>
      </c>
      <c r="F69" s="26">
        <f>Mangochi!F69+'Monkey Bay'!F69+Namwera!F69</f>
        <v>38</v>
      </c>
      <c r="G69" s="26">
        <f>Mangochi!G69+'Monkey Bay'!G69+Namwera!G69</f>
        <v>110</v>
      </c>
      <c r="H69" s="26">
        <f>Mangochi!H69+'Monkey Bay'!H69+Namwera!H69</f>
        <v>65</v>
      </c>
      <c r="I69" s="26">
        <f>Mangochi!I69+'Monkey Bay'!I69+Namwera!I69</f>
        <v>34</v>
      </c>
      <c r="J69" s="26">
        <f>Mangochi!J69+'Monkey Bay'!J69+Namwera!J69+Nkhudzi!J69</f>
        <v>1041</v>
      </c>
      <c r="K69" s="26">
        <f>Mangochi!K69+'Monkey Bay'!K69+Namwera!K69+Nkhudzi!K69</f>
        <v>48</v>
      </c>
      <c r="L69" s="26">
        <f>Mangochi!L69+'Monkey Bay'!L69+Namwera!L69+Nkhudzi!L69</f>
        <v>58</v>
      </c>
      <c r="M69" s="26">
        <f>Mangochi!M69+'Monkey Bay'!M69+Namwera!M69+Nkhudzi!M69</f>
        <v>240</v>
      </c>
      <c r="N69" s="26">
        <f>Mangochi!N69+'Monkey Bay'!N69+Namwera!N69+Nkhudzi!N69</f>
        <v>215</v>
      </c>
      <c r="O69" s="26">
        <f>Mangochi!O69+'Monkey Bay'!O69+Namwera!O69+Nkhudzi!O69</f>
        <v>292</v>
      </c>
      <c r="P69" s="74">
        <f>Mangochi!P69+'Monkey Bay'!P69+Namwera!P69</f>
        <v>979</v>
      </c>
    </row>
    <row r="70" spans="1:16" s="2" customFormat="1" x14ac:dyDescent="0.3">
      <c r="A70" s="330"/>
      <c r="B70" s="24" t="s">
        <v>188</v>
      </c>
      <c r="C70" s="11" t="s">
        <v>3</v>
      </c>
      <c r="D70" s="4">
        <f>Mangochi!D70+'Monkey Bay'!D70+Namwera!D70</f>
        <v>58</v>
      </c>
      <c r="E70" s="4">
        <f>Mangochi!E70+'Monkey Bay'!E70+Namwera!E70</f>
        <v>38</v>
      </c>
      <c r="F70" s="4">
        <f>Mangochi!F70+'Monkey Bay'!F70+Namwera!F70</f>
        <v>38</v>
      </c>
      <c r="G70" s="4">
        <f>Mangochi!G70+'Monkey Bay'!G70+Namwera!G70</f>
        <v>110</v>
      </c>
      <c r="H70" s="4">
        <f>Mangochi!H70+'Monkey Bay'!H70+Namwera!H70</f>
        <v>65</v>
      </c>
      <c r="I70" s="4">
        <f>Mangochi!I70+'Monkey Bay'!I70+Namwera!I70</f>
        <v>34</v>
      </c>
      <c r="J70" s="4">
        <f>Mangochi!J70+'Monkey Bay'!J70+Namwera!J70+Nkhudzi!J70</f>
        <v>1041</v>
      </c>
      <c r="K70" s="4">
        <f>Mangochi!K70+'Monkey Bay'!K70+Namwera!K70+Nkhudzi!K70</f>
        <v>48</v>
      </c>
      <c r="L70" s="4">
        <f>Mangochi!L70+'Monkey Bay'!L70+Namwera!L70+Nkhudzi!L70</f>
        <v>79</v>
      </c>
      <c r="M70" s="4">
        <f>Mangochi!M70+'Monkey Bay'!M70+Namwera!M70+Nkhudzi!M70</f>
        <v>240</v>
      </c>
      <c r="N70" s="4">
        <f>Mangochi!N70+'Monkey Bay'!N70+Namwera!N70+Nkhudzi!N70</f>
        <v>215</v>
      </c>
      <c r="O70" s="4">
        <f>Mangochi!O70+'Monkey Bay'!O70+Namwera!O70+Nkhudzi!O70</f>
        <v>297</v>
      </c>
      <c r="P70" s="105">
        <f>Mangochi!P70+'Monkey Bay'!P70+Namwera!P70</f>
        <v>1011</v>
      </c>
    </row>
    <row r="71" spans="1:16" x14ac:dyDescent="0.3">
      <c r="A71" s="331"/>
      <c r="B71" s="37" t="s">
        <v>81</v>
      </c>
      <c r="C71" s="5" t="s">
        <v>3</v>
      </c>
      <c r="D71" s="26">
        <f>Mangochi!D71+'Monkey Bay'!D71+Namwera!D71</f>
        <v>1222</v>
      </c>
      <c r="E71" s="26">
        <f>Mangochi!E71+'Monkey Bay'!E71+Namwera!E71</f>
        <v>1333</v>
      </c>
      <c r="F71" s="26">
        <f>Mangochi!F71+'Monkey Bay'!F71+Namwera!F71</f>
        <v>1472</v>
      </c>
      <c r="G71" s="26">
        <f>Mangochi!G71+'Monkey Bay'!G71+Namwera!G71</f>
        <v>1389</v>
      </c>
      <c r="H71" s="26">
        <f>Mangochi!H71+'Monkey Bay'!H71+Namwera!H71</f>
        <v>1531</v>
      </c>
      <c r="I71" s="26">
        <f>Mangochi!I71+'Monkey Bay'!I71+Namwera!I71</f>
        <v>1605</v>
      </c>
      <c r="J71" s="26">
        <f>Mangochi!J71+'Monkey Bay'!J71+Namwera!J71+Nkhudzi!J71</f>
        <v>3711</v>
      </c>
      <c r="K71" s="26">
        <f>Mangochi!K71+'Monkey Bay'!K71+Namwera!K71+Nkhudzi!K71</f>
        <v>1264</v>
      </c>
      <c r="L71" s="26">
        <f>Mangochi!L71+'Monkey Bay'!L71+Namwera!L71+Nkhudzi!L71</f>
        <v>1165</v>
      </c>
      <c r="M71" s="26">
        <f>Mangochi!M71+'Monkey Bay'!M71+Namwera!M71+Nkhudzi!M71</f>
        <v>1748</v>
      </c>
      <c r="N71" s="26">
        <f>Mangochi!N71+'Monkey Bay'!N71+Namwera!N71+Nkhudzi!N71</f>
        <v>1773</v>
      </c>
      <c r="O71" s="26">
        <f>Mangochi!O71+'Monkey Bay'!O71+Namwera!O71+Nkhudzi!O71</f>
        <v>1474</v>
      </c>
      <c r="P71" s="106">
        <f>Mangochi!P71+'Monkey Bay'!P71+Namwera!P71</f>
        <v>3986</v>
      </c>
    </row>
    <row r="72" spans="1:16" x14ac:dyDescent="0.3">
      <c r="A72" s="329" t="s">
        <v>108</v>
      </c>
      <c r="B72" s="37" t="s">
        <v>85</v>
      </c>
      <c r="C72" s="5" t="s">
        <v>3</v>
      </c>
      <c r="D72" s="26">
        <f>Mangochi!D72+'Monkey Bay'!D72+Namwera!D72</f>
        <v>11</v>
      </c>
      <c r="E72" s="26">
        <f>Mangochi!E72+'Monkey Bay'!E72+Namwera!E72</f>
        <v>11</v>
      </c>
      <c r="F72" s="26">
        <f>Mangochi!F72+'Monkey Bay'!F72+Namwera!F72</f>
        <v>11</v>
      </c>
      <c r="G72" s="26">
        <f>Mangochi!G72+'Monkey Bay'!G72+Namwera!G72</f>
        <v>12</v>
      </c>
      <c r="H72" s="26">
        <f>Mangochi!H72+'Monkey Bay'!H72+Namwera!H72</f>
        <v>8</v>
      </c>
      <c r="I72" s="26">
        <f>Mangochi!I72+'Monkey Bay'!I72+Namwera!I72</f>
        <v>11</v>
      </c>
      <c r="J72" s="26">
        <f>Mangochi!J72+'Monkey Bay'!J72+Namwera!J72+Nkhudzi!J72</f>
        <v>11</v>
      </c>
      <c r="K72" s="26">
        <f>Mangochi!K72+'Monkey Bay'!K72+Namwera!K72+Nkhudzi!K72</f>
        <v>10</v>
      </c>
      <c r="L72" s="26">
        <f>Mangochi!L72+'Monkey Bay'!L72+Namwera!L72+Nkhudzi!L72</f>
        <v>10</v>
      </c>
      <c r="M72" s="26">
        <f>Mangochi!M72+'Monkey Bay'!M72+Namwera!M72+Nkhudzi!M72</f>
        <v>0</v>
      </c>
      <c r="N72" s="26">
        <f>Mangochi!N72+'Monkey Bay'!N72+Namwera!N72+Nkhudzi!N72</f>
        <v>3</v>
      </c>
      <c r="O72" s="26">
        <f>Mangochi!O72+'Monkey Bay'!O72+Namwera!O72+Nkhudzi!O72</f>
        <v>3</v>
      </c>
      <c r="P72" s="35">
        <f>Mangochi!P72+'Monkey Bay'!P72+Namwera!P72</f>
        <v>11</v>
      </c>
    </row>
    <row r="73" spans="1:16" x14ac:dyDescent="0.3">
      <c r="A73" s="330"/>
      <c r="B73" s="24" t="s">
        <v>104</v>
      </c>
      <c r="C73" s="5" t="s">
        <v>3</v>
      </c>
      <c r="D73" s="26">
        <f>Mangochi!D73+'Monkey Bay'!D73+Namwera!D73</f>
        <v>0</v>
      </c>
      <c r="E73" s="26">
        <f>Mangochi!E73+'Monkey Bay'!E73+Namwera!E73</f>
        <v>0</v>
      </c>
      <c r="F73" s="26">
        <f>Mangochi!F73+'Monkey Bay'!F73+Namwera!F73</f>
        <v>0</v>
      </c>
      <c r="G73" s="26">
        <f>Mangochi!G73+'Monkey Bay'!G73+Namwera!G73</f>
        <v>0</v>
      </c>
      <c r="H73" s="26">
        <f>Mangochi!H73+'Monkey Bay'!H73+Namwera!H73</f>
        <v>0</v>
      </c>
      <c r="I73" s="26">
        <f>Mangochi!I73+'Monkey Bay'!I73+Namwera!I73</f>
        <v>0</v>
      </c>
      <c r="J73" s="26">
        <f>Mangochi!J73+'Monkey Bay'!J73+Namwera!J73+Nkhudzi!J73</f>
        <v>0</v>
      </c>
      <c r="K73" s="26">
        <f>Mangochi!K73+'Monkey Bay'!K73+Namwera!K73+Nkhudzi!K73</f>
        <v>0</v>
      </c>
      <c r="L73" s="26">
        <f>Mangochi!L73+'Monkey Bay'!L73+Namwera!L73+Nkhudzi!L73</f>
        <v>0</v>
      </c>
      <c r="M73" s="26">
        <f>Mangochi!M73+'Monkey Bay'!M73+Namwera!M73+Nkhudzi!M73</f>
        <v>2</v>
      </c>
      <c r="N73" s="26">
        <f>Mangochi!N73+'Monkey Bay'!N73+Namwera!N73+Nkhudzi!N73</f>
        <v>2</v>
      </c>
      <c r="O73" s="26">
        <f>Mangochi!O73+'Monkey Bay'!O73+Namwera!O73+Nkhudzi!O73</f>
        <v>0</v>
      </c>
      <c r="P73" s="35">
        <f>Mangochi!P73+'Monkey Bay'!P73+Namwera!P73</f>
        <v>4</v>
      </c>
    </row>
    <row r="74" spans="1:16" ht="27" x14ac:dyDescent="0.3">
      <c r="A74" s="330"/>
      <c r="B74" s="24" t="s">
        <v>103</v>
      </c>
      <c r="C74" s="5" t="s">
        <v>3</v>
      </c>
      <c r="D74" s="26">
        <f>Mangochi!D74+'Monkey Bay'!D74+Namwera!D74</f>
        <v>0</v>
      </c>
      <c r="E74" s="26">
        <f>Mangochi!E74+'Monkey Bay'!E74+Namwera!E74</f>
        <v>0</v>
      </c>
      <c r="F74" s="26">
        <f>Mangochi!F74+'Monkey Bay'!F74+Namwera!F74</f>
        <v>0</v>
      </c>
      <c r="G74" s="26">
        <f>Mangochi!G74+'Monkey Bay'!G74+Namwera!G74</f>
        <v>0</v>
      </c>
      <c r="H74" s="26">
        <f>Mangochi!H74+'Monkey Bay'!H74+Namwera!H74</f>
        <v>0</v>
      </c>
      <c r="I74" s="26">
        <f>Mangochi!I74+'Monkey Bay'!I74+Namwera!I74</f>
        <v>0</v>
      </c>
      <c r="J74" s="26">
        <f>Mangochi!J74+'Monkey Bay'!J74+Namwera!J74+Nkhudzi!J74</f>
        <v>0</v>
      </c>
      <c r="K74" s="26">
        <f>Mangochi!K74+'Monkey Bay'!K74+Namwera!K74+Nkhudzi!K74</f>
        <v>0</v>
      </c>
      <c r="L74" s="26">
        <f>Mangochi!L74+'Monkey Bay'!L74+Namwera!L74+Nkhudzi!L74</f>
        <v>0</v>
      </c>
      <c r="M74" s="26">
        <f>Mangochi!M74+'Monkey Bay'!M74+Namwera!M74+Nkhudzi!M74</f>
        <v>0</v>
      </c>
      <c r="N74" s="26">
        <f>Mangochi!N74+'Monkey Bay'!N74+Namwera!N74+Nkhudzi!N74</f>
        <v>0</v>
      </c>
      <c r="O74" s="26">
        <f>Mangochi!O74+'Monkey Bay'!O74+Namwera!O74+Nkhudzi!O74</f>
        <v>0</v>
      </c>
      <c r="P74" s="35">
        <f>Mangochi!P74+'Monkey Bay'!P74+Namwera!P74</f>
        <v>0</v>
      </c>
    </row>
    <row r="75" spans="1:16" s="2" customFormat="1" ht="27" x14ac:dyDescent="0.3">
      <c r="A75" s="330"/>
      <c r="B75" s="24" t="s">
        <v>102</v>
      </c>
      <c r="C75" s="11" t="s">
        <v>3</v>
      </c>
      <c r="D75" s="26">
        <f>Mangochi!D75+'Monkey Bay'!D75+Namwera!D75</f>
        <v>0</v>
      </c>
      <c r="E75" s="26">
        <f>Mangochi!E75+'Monkey Bay'!E75+Namwera!E75</f>
        <v>0</v>
      </c>
      <c r="F75" s="26">
        <f>Mangochi!F75+'Monkey Bay'!F75+Namwera!F75</f>
        <v>0</v>
      </c>
      <c r="G75" s="26">
        <f>Mangochi!G75+'Monkey Bay'!G75+Namwera!G75</f>
        <v>0</v>
      </c>
      <c r="H75" s="26">
        <f>Mangochi!H75+'Monkey Bay'!H75+Namwera!H75</f>
        <v>0</v>
      </c>
      <c r="I75" s="26">
        <f>Mangochi!I75+'Monkey Bay'!I75+Namwera!I75</f>
        <v>0</v>
      </c>
      <c r="J75" s="26">
        <f>Mangochi!J75+'Monkey Bay'!J75+Namwera!J75+Nkhudzi!J75</f>
        <v>0</v>
      </c>
      <c r="K75" s="26">
        <f>Mangochi!K75+'Monkey Bay'!K75+Namwera!K75+Nkhudzi!K75</f>
        <v>0</v>
      </c>
      <c r="L75" s="26">
        <f>Mangochi!L75+'Monkey Bay'!L75+Namwera!L75+Nkhudzi!L75</f>
        <v>0</v>
      </c>
      <c r="M75" s="26">
        <f>Mangochi!M75+'Monkey Bay'!M75+Namwera!M75+Nkhudzi!M75</f>
        <v>2</v>
      </c>
      <c r="N75" s="26">
        <f>Mangochi!N75+'Monkey Bay'!N75+Namwera!N75+Nkhudzi!N75</f>
        <v>2</v>
      </c>
      <c r="O75" s="26">
        <f>Mangochi!O75+'Monkey Bay'!O75+Namwera!O75+Nkhudzi!O75</f>
        <v>0</v>
      </c>
      <c r="P75" s="74">
        <f>Mangochi!P75+'Monkey Bay'!P75+Namwera!P75</f>
        <v>4</v>
      </c>
    </row>
    <row r="76" spans="1:16" s="2" customFormat="1" x14ac:dyDescent="0.3">
      <c r="A76" s="330"/>
      <c r="B76" s="24" t="s">
        <v>188</v>
      </c>
      <c r="C76" s="11" t="s">
        <v>3</v>
      </c>
      <c r="D76" s="4">
        <f>Mangochi!D76+'Monkey Bay'!D76+Namwera!D76</f>
        <v>0</v>
      </c>
      <c r="E76" s="4">
        <f>Mangochi!E76+'Monkey Bay'!E76+Namwera!E76</f>
        <v>0</v>
      </c>
      <c r="F76" s="4">
        <f>Mangochi!F76+'Monkey Bay'!F76+Namwera!F76</f>
        <v>0</v>
      </c>
      <c r="G76" s="4">
        <f>Mangochi!G76+'Monkey Bay'!G76+Namwera!G76</f>
        <v>0</v>
      </c>
      <c r="H76" s="4">
        <f>Mangochi!H76+'Monkey Bay'!H76+Namwera!H76</f>
        <v>0</v>
      </c>
      <c r="I76" s="4">
        <f>Mangochi!I76+'Monkey Bay'!I76+Namwera!I76</f>
        <v>0</v>
      </c>
      <c r="J76" s="4">
        <f>Mangochi!J76+'Monkey Bay'!J76+Namwera!J76+Nkhudzi!J76</f>
        <v>0</v>
      </c>
      <c r="K76" s="4">
        <f>Mangochi!K76+'Monkey Bay'!K76+Namwera!K76+Nkhudzi!K76</f>
        <v>0</v>
      </c>
      <c r="L76" s="4">
        <f>Mangochi!L76+'Monkey Bay'!L76+Namwera!L76+Nkhudzi!L76</f>
        <v>0</v>
      </c>
      <c r="M76" s="4">
        <f>Mangochi!M76+'Monkey Bay'!M76+Namwera!M76+Nkhudzi!M76</f>
        <v>2</v>
      </c>
      <c r="N76" s="4">
        <f>Mangochi!N76+'Monkey Bay'!N76+Namwera!N76+Nkhudzi!N76</f>
        <v>2</v>
      </c>
      <c r="O76" s="4">
        <f>Mangochi!O76+'Monkey Bay'!O76+Namwera!O76+Nkhudzi!O76</f>
        <v>0</v>
      </c>
      <c r="P76" s="105">
        <f>Mangochi!P76+'Monkey Bay'!P76+Namwera!P76</f>
        <v>4</v>
      </c>
    </row>
    <row r="77" spans="1:16" x14ac:dyDescent="0.3">
      <c r="A77" s="331"/>
      <c r="B77" s="37" t="s">
        <v>81</v>
      </c>
      <c r="C77" s="5" t="s">
        <v>3</v>
      </c>
      <c r="D77" s="26">
        <f>Mangochi!D77+'Monkey Bay'!D77+Namwera!D77</f>
        <v>11</v>
      </c>
      <c r="E77" s="26">
        <f>Mangochi!E77+'Monkey Bay'!E77+Namwera!E77</f>
        <v>11</v>
      </c>
      <c r="F77" s="26">
        <f>Mangochi!F77+'Monkey Bay'!F77+Namwera!F77</f>
        <v>11</v>
      </c>
      <c r="G77" s="26">
        <f>Mangochi!G77+'Monkey Bay'!G77+Namwera!G77</f>
        <v>12</v>
      </c>
      <c r="H77" s="26">
        <f>Mangochi!H77+'Monkey Bay'!H77+Namwera!H77</f>
        <v>8</v>
      </c>
      <c r="I77" s="26">
        <f>Mangochi!I77+'Monkey Bay'!I77+Namwera!I77</f>
        <v>11</v>
      </c>
      <c r="J77" s="26">
        <f>Mangochi!J77+'Monkey Bay'!J77+Namwera!J77+Nkhudzi!J77</f>
        <v>11</v>
      </c>
      <c r="K77" s="26">
        <f>Mangochi!K77+'Monkey Bay'!K77+Namwera!K77+Nkhudzi!K77</f>
        <v>13</v>
      </c>
      <c r="L77" s="26">
        <f>Mangochi!L77+'Monkey Bay'!L77+Namwera!L77+Nkhudzi!L77</f>
        <v>13</v>
      </c>
      <c r="M77" s="26">
        <f>Mangochi!M77+'Monkey Bay'!M77+Namwera!M77+Nkhudzi!M77</f>
        <v>0</v>
      </c>
      <c r="N77" s="26">
        <f>Mangochi!N77+'Monkey Bay'!N77+Namwera!N77+Nkhudzi!N77</f>
        <v>3</v>
      </c>
      <c r="O77" s="26">
        <f>Mangochi!O77+'Monkey Bay'!O77+Namwera!O77+Nkhudzi!O77</f>
        <v>3</v>
      </c>
      <c r="P77" s="106">
        <f>Mangochi!P77+'Monkey Bay'!P77+Namwera!P77</f>
        <v>11</v>
      </c>
    </row>
    <row r="78" spans="1:16" ht="15.6" customHeight="1" x14ac:dyDescent="0.3">
      <c r="A78" s="329" t="s">
        <v>107</v>
      </c>
      <c r="B78" s="37" t="s">
        <v>85</v>
      </c>
      <c r="C78" s="5" t="s">
        <v>3</v>
      </c>
      <c r="D78" s="26">
        <f>Mangochi!D78+'Monkey Bay'!D78+Namwera!D78</f>
        <v>11</v>
      </c>
      <c r="E78" s="26">
        <f>Mangochi!E78+'Monkey Bay'!E78+Namwera!E78</f>
        <v>11</v>
      </c>
      <c r="F78" s="26">
        <f>Mangochi!F78+'Monkey Bay'!F78+Namwera!F78</f>
        <v>11</v>
      </c>
      <c r="G78" s="26">
        <f>Mangochi!G78+'Monkey Bay'!G78+Namwera!G78</f>
        <v>11</v>
      </c>
      <c r="H78" s="26">
        <f>Mangochi!H78+'Monkey Bay'!H78+Namwera!H78</f>
        <v>11</v>
      </c>
      <c r="I78" s="26">
        <f>Mangochi!I78+'Monkey Bay'!I78+Namwera!I78</f>
        <v>11</v>
      </c>
      <c r="J78" s="26">
        <f>Mangochi!J78+'Monkey Bay'!J78+Namwera!J78+Nkhudzi!J78</f>
        <v>11</v>
      </c>
      <c r="K78" s="26">
        <f>Mangochi!K78+'Monkey Bay'!K78+Namwera!K78+Nkhudzi!K78</f>
        <v>13</v>
      </c>
      <c r="L78" s="26">
        <f>Mangochi!L78+'Monkey Bay'!L78+Namwera!L78+Nkhudzi!L78</f>
        <v>2</v>
      </c>
      <c r="M78" s="26">
        <f>Mangochi!M78+'Monkey Bay'!M78+Namwera!M78+Nkhudzi!M78</f>
        <v>0</v>
      </c>
      <c r="N78" s="26">
        <f>Mangochi!N78+'Monkey Bay'!N78+Namwera!N78+Nkhudzi!N78</f>
        <v>1</v>
      </c>
      <c r="O78" s="26">
        <f>Mangochi!O78+'Monkey Bay'!O78+Namwera!O78+Nkhudzi!O78</f>
        <v>1</v>
      </c>
      <c r="P78" s="35">
        <f>Mangochi!P78+'Monkey Bay'!P78+Namwera!P78</f>
        <v>11</v>
      </c>
    </row>
    <row r="79" spans="1:16" x14ac:dyDescent="0.3">
      <c r="A79" s="330"/>
      <c r="B79" s="24" t="s">
        <v>104</v>
      </c>
      <c r="C79" s="5" t="s">
        <v>3</v>
      </c>
      <c r="D79" s="26">
        <f>Mangochi!D79+'Monkey Bay'!D79+Namwera!D79</f>
        <v>2</v>
      </c>
      <c r="E79" s="26">
        <f>Mangochi!E79+'Monkey Bay'!E79+Namwera!E79</f>
        <v>0</v>
      </c>
      <c r="F79" s="26">
        <f>Mangochi!F79+'Monkey Bay'!F79+Namwera!F79</f>
        <v>0</v>
      </c>
      <c r="G79" s="26">
        <f>Mangochi!G79+'Monkey Bay'!G79+Namwera!G79</f>
        <v>0</v>
      </c>
      <c r="H79" s="26">
        <f>Mangochi!H79+'Monkey Bay'!H79+Namwera!H79</f>
        <v>0</v>
      </c>
      <c r="I79" s="26">
        <f>Mangochi!I79+'Monkey Bay'!I79+Namwera!I79</f>
        <v>0</v>
      </c>
      <c r="J79" s="26">
        <f>Mangochi!J79+'Monkey Bay'!J79+Namwera!J79+Nkhudzi!J79</f>
        <v>0</v>
      </c>
      <c r="K79" s="26">
        <f>Mangochi!K79+'Monkey Bay'!K79+Namwera!K79+Nkhudzi!K79</f>
        <v>0</v>
      </c>
      <c r="L79" s="26">
        <f>Mangochi!L79+'Monkey Bay'!L79+Namwera!L79+Nkhudzi!L79</f>
        <v>3</v>
      </c>
      <c r="M79" s="26">
        <f>Mangochi!M79+'Monkey Bay'!M79+Namwera!M79+Nkhudzi!M79</f>
        <v>10</v>
      </c>
      <c r="N79" s="26">
        <f>Mangochi!N79+'Monkey Bay'!N79+Namwera!N79+Nkhudzi!N79</f>
        <v>4</v>
      </c>
      <c r="O79" s="26">
        <f>Mangochi!O79+'Monkey Bay'!O79+Namwera!O79+Nkhudzi!O79</f>
        <v>8</v>
      </c>
      <c r="P79" s="35">
        <f>Mangochi!P79+'Monkey Bay'!P79+Namwera!P79</f>
        <v>27</v>
      </c>
    </row>
    <row r="80" spans="1:16" ht="27" x14ac:dyDescent="0.3">
      <c r="A80" s="330"/>
      <c r="B80" s="24" t="s">
        <v>103</v>
      </c>
      <c r="C80" s="5" t="s">
        <v>3</v>
      </c>
      <c r="D80" s="26">
        <f>Mangochi!D80+'Monkey Bay'!D80+Namwera!D80</f>
        <v>0</v>
      </c>
      <c r="E80" s="26">
        <f>Mangochi!E80+'Monkey Bay'!E80+Namwera!E80</f>
        <v>0</v>
      </c>
      <c r="F80" s="26">
        <f>Mangochi!F80+'Monkey Bay'!F80+Namwera!F80</f>
        <v>0</v>
      </c>
      <c r="G80" s="26">
        <f>Mangochi!G80+'Monkey Bay'!G80+Namwera!G80</f>
        <v>0</v>
      </c>
      <c r="H80" s="26">
        <f>Mangochi!H80+'Monkey Bay'!H80+Namwera!H80</f>
        <v>0</v>
      </c>
      <c r="I80" s="26">
        <f>Mangochi!I80+'Monkey Bay'!I80+Namwera!I80</f>
        <v>0</v>
      </c>
      <c r="J80" s="26">
        <f>Mangochi!J80+'Monkey Bay'!J80+Namwera!J80+Nkhudzi!J80</f>
        <v>0</v>
      </c>
      <c r="K80" s="26">
        <f>Mangochi!K80+'Monkey Bay'!K80+Namwera!K80+Nkhudzi!K80</f>
        <v>0</v>
      </c>
      <c r="L80" s="26">
        <f>Mangochi!L80+'Monkey Bay'!L80+Namwera!L80+Nkhudzi!L80</f>
        <v>0</v>
      </c>
      <c r="M80" s="26">
        <f>Mangochi!M80+'Monkey Bay'!M80+Namwera!M80+Nkhudzi!M80</f>
        <v>0</v>
      </c>
      <c r="N80" s="26">
        <f>Mangochi!N80+'Monkey Bay'!N80+Namwera!N80+Nkhudzi!N80</f>
        <v>0</v>
      </c>
      <c r="O80" s="26">
        <f>Mangochi!O80+'Monkey Bay'!O80+Namwera!O80+Nkhudzi!O80</f>
        <v>0</v>
      </c>
      <c r="P80" s="35">
        <f>Mangochi!P80+'Monkey Bay'!P80+Namwera!P80</f>
        <v>0</v>
      </c>
    </row>
    <row r="81" spans="1:16" s="2" customFormat="1" ht="27" x14ac:dyDescent="0.3">
      <c r="A81" s="330"/>
      <c r="B81" s="24" t="s">
        <v>102</v>
      </c>
      <c r="C81" s="11" t="s">
        <v>3</v>
      </c>
      <c r="D81" s="26">
        <f>Mangochi!D81+'Monkey Bay'!D81+Namwera!D81</f>
        <v>2</v>
      </c>
      <c r="E81" s="26">
        <f>Mangochi!E81+'Monkey Bay'!E81+Namwera!E81</f>
        <v>2</v>
      </c>
      <c r="F81" s="26">
        <f>Mangochi!F81+'Monkey Bay'!F81+Namwera!F81</f>
        <v>0</v>
      </c>
      <c r="G81" s="26">
        <f>Mangochi!G81+'Monkey Bay'!G81+Namwera!G81</f>
        <v>0</v>
      </c>
      <c r="H81" s="26">
        <f>Mangochi!H81+'Monkey Bay'!H81+Namwera!H81</f>
        <v>0</v>
      </c>
      <c r="I81" s="26">
        <f>Mangochi!I81+'Monkey Bay'!I81+Namwera!I81</f>
        <v>2</v>
      </c>
      <c r="J81" s="26">
        <f>Mangochi!J81+'Monkey Bay'!J81+Namwera!J81+Nkhudzi!J81</f>
        <v>0</v>
      </c>
      <c r="K81" s="26">
        <f>Mangochi!K81+'Monkey Bay'!K81+Namwera!K81+Nkhudzi!K81</f>
        <v>0</v>
      </c>
      <c r="L81" s="26">
        <f>Mangochi!L81+'Monkey Bay'!L81+Namwera!L81+Nkhudzi!L81</f>
        <v>0</v>
      </c>
      <c r="M81" s="26">
        <f>Mangochi!M81+'Monkey Bay'!M81+Namwera!M81+Nkhudzi!M81</f>
        <v>9</v>
      </c>
      <c r="N81" s="26">
        <f>Mangochi!N81+'Monkey Bay'!N81+Namwera!N81+Nkhudzi!N81</f>
        <v>4</v>
      </c>
      <c r="O81" s="26">
        <f>Mangochi!O81+'Monkey Bay'!O81+Namwera!O81+Nkhudzi!O81</f>
        <v>8</v>
      </c>
      <c r="P81" s="74">
        <f>Mangochi!P81+'Monkey Bay'!P81+Namwera!P81</f>
        <v>27</v>
      </c>
    </row>
    <row r="82" spans="1:16" s="2" customFormat="1" x14ac:dyDescent="0.3">
      <c r="A82" s="330"/>
      <c r="B82" s="24" t="s">
        <v>188</v>
      </c>
      <c r="C82" s="11" t="s">
        <v>3</v>
      </c>
      <c r="D82" s="4">
        <f>Mangochi!D82+'Monkey Bay'!D82+Namwera!D82</f>
        <v>2</v>
      </c>
      <c r="E82" s="4">
        <f>Mangochi!E82+'Monkey Bay'!E82+Namwera!E82</f>
        <v>2</v>
      </c>
      <c r="F82" s="4">
        <f>Mangochi!F82+'Monkey Bay'!F82+Namwera!F82</f>
        <v>0</v>
      </c>
      <c r="G82" s="4">
        <f>Mangochi!G82+'Monkey Bay'!G82+Namwera!G82</f>
        <v>0</v>
      </c>
      <c r="H82" s="4">
        <f>Mangochi!H82+'Monkey Bay'!H82+Namwera!H82</f>
        <v>0</v>
      </c>
      <c r="I82" s="4">
        <f>Mangochi!I82+'Monkey Bay'!I82+Namwera!I82</f>
        <v>2</v>
      </c>
      <c r="J82" s="4">
        <f>Mangochi!J82+'Monkey Bay'!J82+Namwera!J82+Nkhudzi!J82</f>
        <v>0</v>
      </c>
      <c r="K82" s="4">
        <f>Mangochi!K82+'Monkey Bay'!K82+Namwera!K82+Nkhudzi!K82</f>
        <v>0</v>
      </c>
      <c r="L82" s="4">
        <f>Mangochi!L82+'Monkey Bay'!L82+Namwera!L82+Nkhudzi!L82</f>
        <v>0</v>
      </c>
      <c r="M82" s="4">
        <f>Mangochi!M82+'Monkey Bay'!M82+Namwera!M82+Nkhudzi!M82</f>
        <v>9</v>
      </c>
      <c r="N82" s="4">
        <f>Mangochi!N82+'Monkey Bay'!N82+Namwera!N82+Nkhudzi!N82</f>
        <v>4</v>
      </c>
      <c r="O82" s="4">
        <f>Mangochi!O82+'Monkey Bay'!O82+Namwera!O82+Nkhudzi!O82</f>
        <v>8</v>
      </c>
      <c r="P82" s="105">
        <f>Mangochi!P82+'Monkey Bay'!P82+Namwera!P82</f>
        <v>27</v>
      </c>
    </row>
    <row r="83" spans="1:16" x14ac:dyDescent="0.3">
      <c r="A83" s="331"/>
      <c r="B83" s="37" t="s">
        <v>81</v>
      </c>
      <c r="C83" s="5" t="s">
        <v>3</v>
      </c>
      <c r="D83" s="26">
        <f>Mangochi!D83+'Monkey Bay'!D83+Namwera!D83</f>
        <v>10</v>
      </c>
      <c r="E83" s="26">
        <f>Mangochi!E83+'Monkey Bay'!E83+Namwera!E83</f>
        <v>9</v>
      </c>
      <c r="F83" s="26">
        <f>Mangochi!F83+'Monkey Bay'!F83+Namwera!F83</f>
        <v>11</v>
      </c>
      <c r="G83" s="26">
        <f>Mangochi!G83+'Monkey Bay'!G83+Namwera!G83</f>
        <v>11</v>
      </c>
      <c r="H83" s="26">
        <f>Mangochi!H83+'Monkey Bay'!H83+Namwera!H83</f>
        <v>11</v>
      </c>
      <c r="I83" s="26">
        <f>Mangochi!I83+'Monkey Bay'!I83+Namwera!I83</f>
        <v>9</v>
      </c>
      <c r="J83" s="26">
        <f>Mangochi!J83+'Monkey Bay'!J83+Namwera!J83+Nkhudzi!J83</f>
        <v>11</v>
      </c>
      <c r="K83" s="26">
        <f>Mangochi!K83+'Monkey Bay'!K83+Namwera!K83+Nkhudzi!K83</f>
        <v>13</v>
      </c>
      <c r="L83" s="26">
        <f>Mangochi!L83+'Monkey Bay'!L83+Namwera!L83+Nkhudzi!L83</f>
        <v>14</v>
      </c>
      <c r="M83" s="26">
        <f>Mangochi!M83+'Monkey Bay'!M83+Namwera!M83+Nkhudzi!M83</f>
        <v>1</v>
      </c>
      <c r="N83" s="26">
        <f>Mangochi!N83+'Monkey Bay'!N83+Namwera!N83+Nkhudzi!N83</f>
        <v>1</v>
      </c>
      <c r="O83" s="26">
        <f>Mangochi!O83+'Monkey Bay'!O83+Namwera!O83+Nkhudzi!O83</f>
        <v>1</v>
      </c>
      <c r="P83" s="106">
        <f>Mangochi!P83+'Monkey Bay'!P83+Namwera!P83</f>
        <v>11</v>
      </c>
    </row>
    <row r="84" spans="1:16" x14ac:dyDescent="0.3">
      <c r="A84" s="267" t="s">
        <v>106</v>
      </c>
      <c r="B84" s="37" t="s">
        <v>85</v>
      </c>
      <c r="C84" s="5" t="s">
        <v>3</v>
      </c>
      <c r="D84" s="26">
        <f>Mangochi!D84+'Monkey Bay'!D84+Namwera!D84</f>
        <v>0</v>
      </c>
      <c r="E84" s="26">
        <f>Mangochi!E84+'Monkey Bay'!E84+Namwera!E84</f>
        <v>0</v>
      </c>
      <c r="F84" s="26">
        <f>Mangochi!F84+'Monkey Bay'!F84+Namwera!F84</f>
        <v>0</v>
      </c>
      <c r="G84" s="26">
        <f>Mangochi!G84+'Monkey Bay'!G84+Namwera!G84</f>
        <v>0</v>
      </c>
      <c r="H84" s="26">
        <f>Mangochi!H84+'Monkey Bay'!H84+Namwera!H84</f>
        <v>0</v>
      </c>
      <c r="I84" s="26">
        <f>Mangochi!I84+'Monkey Bay'!I84+Namwera!I84</f>
        <v>0</v>
      </c>
      <c r="J84" s="26">
        <f>Mangochi!J84+'Monkey Bay'!J84+Namwera!J84+Nkhudzi!J84</f>
        <v>0</v>
      </c>
      <c r="K84" s="26">
        <f>Mangochi!K84+'Monkey Bay'!K84+Namwera!K84+Nkhudzi!K84</f>
        <v>0</v>
      </c>
      <c r="L84" s="26">
        <f>Mangochi!L84+'Monkey Bay'!L84+Namwera!L84+Nkhudzi!L84</f>
        <v>0</v>
      </c>
      <c r="M84" s="26">
        <f>Mangochi!M84+'Monkey Bay'!M84+Namwera!M84+Nkhudzi!M84</f>
        <v>0</v>
      </c>
      <c r="N84" s="26">
        <f>Mangochi!N84+'Monkey Bay'!N84+Namwera!N84+Nkhudzi!N84</f>
        <v>0</v>
      </c>
      <c r="O84" s="26">
        <f>Mangochi!O84+'Monkey Bay'!O84+Namwera!O84+Nkhudzi!O84</f>
        <v>0</v>
      </c>
      <c r="P84" s="35">
        <f>Mangochi!P84+'Monkey Bay'!P84+Namwera!P84</f>
        <v>0</v>
      </c>
    </row>
    <row r="85" spans="1:16" x14ac:dyDescent="0.3">
      <c r="A85" s="268"/>
      <c r="B85" s="37" t="s">
        <v>104</v>
      </c>
      <c r="C85" s="5" t="s">
        <v>3</v>
      </c>
      <c r="D85" s="26">
        <f>Mangochi!D85+'Monkey Bay'!D85+Namwera!D85</f>
        <v>0</v>
      </c>
      <c r="E85" s="26">
        <f>Mangochi!E85+'Monkey Bay'!E85+Namwera!E85</f>
        <v>0</v>
      </c>
      <c r="F85" s="26">
        <f>Mangochi!F85+'Monkey Bay'!F85+Namwera!F85</f>
        <v>0</v>
      </c>
      <c r="G85" s="26">
        <f>Mangochi!G85+'Monkey Bay'!G85+Namwera!G85</f>
        <v>0</v>
      </c>
      <c r="H85" s="26">
        <f>Mangochi!H85+'Monkey Bay'!H85+Namwera!H85</f>
        <v>0</v>
      </c>
      <c r="I85" s="26">
        <f>Mangochi!I85+'Monkey Bay'!I85+Namwera!I85</f>
        <v>0</v>
      </c>
      <c r="J85" s="26">
        <f>Mangochi!J85+'Monkey Bay'!J85+Namwera!J85+Nkhudzi!J85</f>
        <v>0</v>
      </c>
      <c r="K85" s="26">
        <f>Mangochi!K85+'Monkey Bay'!K85+Namwera!K85+Nkhudzi!K85</f>
        <v>0</v>
      </c>
      <c r="L85" s="26">
        <f>Mangochi!L85+'Monkey Bay'!L85+Namwera!L85+Nkhudzi!L85</f>
        <v>0</v>
      </c>
      <c r="M85" s="26">
        <f>Mangochi!M85+'Monkey Bay'!M85+Namwera!M85+Nkhudzi!M85</f>
        <v>0</v>
      </c>
      <c r="N85" s="26">
        <f>Mangochi!N85+'Monkey Bay'!N85+Namwera!N85+Nkhudzi!N85</f>
        <v>0</v>
      </c>
      <c r="O85" s="26">
        <f>Mangochi!O85+'Monkey Bay'!O85+Namwera!O85+Nkhudzi!O85</f>
        <v>0</v>
      </c>
      <c r="P85" s="35">
        <f>Mangochi!P85+'Monkey Bay'!P85+Namwera!P85</f>
        <v>0</v>
      </c>
    </row>
    <row r="86" spans="1:16" ht="27" x14ac:dyDescent="0.3">
      <c r="A86" s="268"/>
      <c r="B86" s="37" t="s">
        <v>103</v>
      </c>
      <c r="C86" s="5" t="s">
        <v>3</v>
      </c>
      <c r="D86" s="26">
        <f>Mangochi!D86+'Monkey Bay'!D86+Namwera!D86</f>
        <v>0</v>
      </c>
      <c r="E86" s="26">
        <f>Mangochi!E86+'Monkey Bay'!E86+Namwera!E86</f>
        <v>0</v>
      </c>
      <c r="F86" s="26">
        <f>Mangochi!F86+'Monkey Bay'!F86+Namwera!F86</f>
        <v>0</v>
      </c>
      <c r="G86" s="26">
        <f>Mangochi!G86+'Monkey Bay'!G86+Namwera!G86</f>
        <v>0</v>
      </c>
      <c r="H86" s="26">
        <f>Mangochi!H86+'Monkey Bay'!H86+Namwera!H86</f>
        <v>0</v>
      </c>
      <c r="I86" s="26">
        <f>Mangochi!I86+'Monkey Bay'!I86+Namwera!I86</f>
        <v>0</v>
      </c>
      <c r="J86" s="26">
        <f>Mangochi!J86+'Monkey Bay'!J86+Namwera!J86+Nkhudzi!J86</f>
        <v>0</v>
      </c>
      <c r="K86" s="26">
        <f>Mangochi!K86+'Monkey Bay'!K86+Namwera!K86+Nkhudzi!K86</f>
        <v>0</v>
      </c>
      <c r="L86" s="26">
        <f>Mangochi!L86+'Monkey Bay'!L86+Namwera!L86+Nkhudzi!L86</f>
        <v>0</v>
      </c>
      <c r="M86" s="26">
        <f>Mangochi!M86+'Monkey Bay'!M86+Namwera!M86+Nkhudzi!M86</f>
        <v>0</v>
      </c>
      <c r="N86" s="26">
        <f>Mangochi!N86+'Monkey Bay'!N86+Namwera!N86+Nkhudzi!N86</f>
        <v>0</v>
      </c>
      <c r="O86" s="26">
        <f>Mangochi!O86+'Monkey Bay'!O86+Namwera!O86+Nkhudzi!O86</f>
        <v>0</v>
      </c>
      <c r="P86" s="35">
        <f>Mangochi!P86+'Monkey Bay'!P86+Namwera!P86</f>
        <v>0</v>
      </c>
    </row>
    <row r="87" spans="1:16" s="2" customFormat="1" ht="27" x14ac:dyDescent="0.3">
      <c r="A87" s="268"/>
      <c r="B87" s="24" t="s">
        <v>102</v>
      </c>
      <c r="C87" s="11" t="s">
        <v>3</v>
      </c>
      <c r="D87" s="26">
        <f>Mangochi!D87+'Monkey Bay'!D87+Namwera!D87</f>
        <v>0</v>
      </c>
      <c r="E87" s="26">
        <f>Mangochi!E87+'Monkey Bay'!E87+Namwera!E87</f>
        <v>0</v>
      </c>
      <c r="F87" s="26">
        <f>Mangochi!F87+'Monkey Bay'!F87+Namwera!F87</f>
        <v>0</v>
      </c>
      <c r="G87" s="26">
        <f>Mangochi!G87+'Monkey Bay'!G87+Namwera!G87</f>
        <v>0</v>
      </c>
      <c r="H87" s="26">
        <f>Mangochi!H87+'Monkey Bay'!H87+Namwera!H87</f>
        <v>0</v>
      </c>
      <c r="I87" s="26">
        <f>Mangochi!I87+'Monkey Bay'!I87+Namwera!I87</f>
        <v>0</v>
      </c>
      <c r="J87" s="26">
        <f>Mangochi!J87+'Monkey Bay'!J87+Namwera!J87+Nkhudzi!J87</f>
        <v>0</v>
      </c>
      <c r="K87" s="26">
        <f>Mangochi!K87+'Monkey Bay'!K87+Namwera!K87+Nkhudzi!K87</f>
        <v>0</v>
      </c>
      <c r="L87" s="26">
        <f>Mangochi!L87+'Monkey Bay'!L87+Namwera!L87+Nkhudzi!L87</f>
        <v>0</v>
      </c>
      <c r="M87" s="26">
        <f>Mangochi!M87+'Monkey Bay'!M87+Namwera!M87+Nkhudzi!M87</f>
        <v>0</v>
      </c>
      <c r="N87" s="26">
        <f>Mangochi!N87+'Monkey Bay'!N87+Namwera!N87+Nkhudzi!N87</f>
        <v>0</v>
      </c>
      <c r="O87" s="26">
        <f>Mangochi!O87+'Monkey Bay'!O87+Namwera!O87+Nkhudzi!O87</f>
        <v>0</v>
      </c>
      <c r="P87" s="74">
        <f>Mangochi!P87+'Monkey Bay'!P87+Namwera!P87</f>
        <v>0</v>
      </c>
    </row>
    <row r="88" spans="1:16" s="2" customFormat="1" x14ac:dyDescent="0.3">
      <c r="A88" s="268"/>
      <c r="B88" s="24" t="s">
        <v>188</v>
      </c>
      <c r="C88" s="11" t="s">
        <v>3</v>
      </c>
      <c r="D88" s="4">
        <f>Mangochi!D88+'Monkey Bay'!D88+Namwera!D88</f>
        <v>0</v>
      </c>
      <c r="E88" s="4">
        <f>Mangochi!E88+'Monkey Bay'!E88+Namwera!E88</f>
        <v>0</v>
      </c>
      <c r="F88" s="4">
        <f>Mangochi!F88+'Monkey Bay'!F88+Namwera!F88</f>
        <v>0</v>
      </c>
      <c r="G88" s="4">
        <f>Mangochi!G88+'Monkey Bay'!G88+Namwera!G88</f>
        <v>0</v>
      </c>
      <c r="H88" s="4">
        <f>Mangochi!H88+'Monkey Bay'!H88+Namwera!H88</f>
        <v>0</v>
      </c>
      <c r="I88" s="4">
        <f>Mangochi!I88+'Monkey Bay'!I88+Namwera!I88</f>
        <v>0</v>
      </c>
      <c r="J88" s="4">
        <f>Mangochi!J88+'Monkey Bay'!J88+Namwera!J88+Nkhudzi!J88</f>
        <v>0</v>
      </c>
      <c r="K88" s="4">
        <f>Mangochi!K88+'Monkey Bay'!K88+Namwera!K88+Nkhudzi!K88</f>
        <v>0</v>
      </c>
      <c r="L88" s="4">
        <f>Mangochi!L88+'Monkey Bay'!L88+Namwera!L88+Nkhudzi!L88</f>
        <v>0</v>
      </c>
      <c r="M88" s="4">
        <f>Mangochi!M88+'Monkey Bay'!M88+Namwera!M88+Nkhudzi!M88</f>
        <v>0</v>
      </c>
      <c r="N88" s="4">
        <f>Mangochi!N88+'Monkey Bay'!N88+Namwera!N88+Nkhudzi!N88</f>
        <v>0</v>
      </c>
      <c r="O88" s="4">
        <f>Mangochi!O88+'Monkey Bay'!O88+Namwera!O88+Nkhudzi!O88</f>
        <v>0</v>
      </c>
      <c r="P88" s="74">
        <f>Mangochi!P88+'Monkey Bay'!P88+Namwera!P88</f>
        <v>0</v>
      </c>
    </row>
    <row r="89" spans="1:16" x14ac:dyDescent="0.3">
      <c r="A89" s="269"/>
      <c r="B89" s="36" t="s">
        <v>81</v>
      </c>
      <c r="C89" s="5" t="s">
        <v>3</v>
      </c>
      <c r="D89" s="26">
        <f>Mangochi!D89+'Monkey Bay'!D89+Namwera!D89</f>
        <v>0</v>
      </c>
      <c r="E89" s="26">
        <f>Mangochi!E89+'Monkey Bay'!E89+Namwera!E89</f>
        <v>0</v>
      </c>
      <c r="F89" s="26">
        <f>Mangochi!F89+'Monkey Bay'!F89+Namwera!F89</f>
        <v>0</v>
      </c>
      <c r="G89" s="26">
        <f>Mangochi!G89+'Monkey Bay'!G89+Namwera!G89</f>
        <v>0</v>
      </c>
      <c r="H89" s="26">
        <f>Mangochi!H89+'Monkey Bay'!H89+Namwera!H89</f>
        <v>0</v>
      </c>
      <c r="I89" s="26">
        <f>Mangochi!I89+'Monkey Bay'!I89+Namwera!I89</f>
        <v>0</v>
      </c>
      <c r="J89" s="26">
        <f>Mangochi!J89+'Monkey Bay'!J89+Namwera!J89+Nkhudzi!J89</f>
        <v>0</v>
      </c>
      <c r="K89" s="26">
        <f>Mangochi!K89+'Monkey Bay'!K89+Namwera!K89+Nkhudzi!K89</f>
        <v>0</v>
      </c>
      <c r="L89" s="26">
        <f>Mangochi!L89+'Monkey Bay'!L89+Namwera!L89+Nkhudzi!L89</f>
        <v>0</v>
      </c>
      <c r="M89" s="26">
        <f>Mangochi!M89+'Monkey Bay'!M89+Namwera!M89+Nkhudzi!M89</f>
        <v>0</v>
      </c>
      <c r="N89" s="26">
        <f>Mangochi!N89+'Monkey Bay'!N89+Namwera!N89+Nkhudzi!N89</f>
        <v>0</v>
      </c>
      <c r="O89" s="26">
        <f>Mangochi!O89+'Monkey Bay'!O89+Namwera!O89+Nkhudzi!O89</f>
        <v>0</v>
      </c>
      <c r="P89" s="106">
        <f>Mangochi!P89+'Monkey Bay'!P89+Namwera!P89</f>
        <v>0</v>
      </c>
    </row>
    <row r="90" spans="1:16" x14ac:dyDescent="0.3">
      <c r="A90" s="270" t="s">
        <v>105</v>
      </c>
      <c r="B90" s="24" t="s">
        <v>85</v>
      </c>
      <c r="C90" s="11" t="s">
        <v>3</v>
      </c>
      <c r="D90" s="136">
        <f>Mangochi!D90+'Monkey Bay'!D90+Namwera!D90</f>
        <v>1228</v>
      </c>
      <c r="E90" s="136">
        <f>Mangochi!E90+'Monkey Bay'!E90+Namwera!E90</f>
        <v>1244</v>
      </c>
      <c r="F90" s="136">
        <f>Mangochi!F90+'Monkey Bay'!F90+Namwera!F90</f>
        <v>1355</v>
      </c>
      <c r="G90" s="136">
        <f>Mangochi!G90+'Monkey Bay'!G90+Namwera!G90</f>
        <v>1463</v>
      </c>
      <c r="H90" s="136">
        <f>Mangochi!H90+'Monkey Bay'!H90+Namwera!H90</f>
        <v>1451</v>
      </c>
      <c r="I90" s="136">
        <f>Mangochi!I90+'Monkey Bay'!I90+Namwera!I90</f>
        <v>1533</v>
      </c>
      <c r="J90" s="136">
        <f>Mangochi!J90+'Monkey Bay'!J90+Namwera!J90+Nkhudzi!J90</f>
        <v>1618</v>
      </c>
      <c r="K90" s="136">
        <f>Mangochi!K90+'Monkey Bay'!K90+Namwera!K90+Nkhudzi!K90</f>
        <v>1158</v>
      </c>
      <c r="L90" s="136">
        <f>Mangochi!L90+'Monkey Bay'!L90+Namwera!L90+Nkhudzi!L90</f>
        <v>1117</v>
      </c>
      <c r="M90" s="136">
        <f>Mangochi!M90+'Monkey Bay'!M90+Namwera!M90+Nkhudzi!M90</f>
        <v>1141</v>
      </c>
      <c r="N90" s="136">
        <f>Mangochi!N90+'Monkey Bay'!N90+Namwera!N90+Nkhudzi!N90</f>
        <v>1752</v>
      </c>
      <c r="O90" s="136">
        <f>Mangochi!O90+'Monkey Bay'!O90+Namwera!O90+Nkhudzi!O90</f>
        <v>1577</v>
      </c>
      <c r="P90" s="35">
        <f>Mangochi!P90+'Monkey Bay'!P90+Namwera!P90</f>
        <v>1228</v>
      </c>
    </row>
    <row r="91" spans="1:16" x14ac:dyDescent="0.3">
      <c r="A91" s="271"/>
      <c r="B91" s="24" t="s">
        <v>104</v>
      </c>
      <c r="C91" s="11" t="s">
        <v>3</v>
      </c>
      <c r="D91" s="136">
        <f>Mangochi!D91+'Monkey Bay'!D91+Namwera!D91</f>
        <v>76</v>
      </c>
      <c r="E91" s="136">
        <f>Mangochi!E91+'Monkey Bay'!E91+Namwera!E91</f>
        <v>149</v>
      </c>
      <c r="F91" s="136">
        <f>Mangochi!F91+'Monkey Bay'!F91+Namwera!F91</f>
        <v>177</v>
      </c>
      <c r="G91" s="136">
        <f>Mangochi!G91+'Monkey Bay'!G91+Namwera!G91</f>
        <v>59</v>
      </c>
      <c r="H91" s="136">
        <f>Mangochi!H91+'Monkey Bay'!H91+Namwera!H91</f>
        <v>164</v>
      </c>
      <c r="I91" s="136">
        <f>Mangochi!I91+'Monkey Bay'!I91+Namwera!I91</f>
        <v>128</v>
      </c>
      <c r="J91" s="136">
        <f>Mangochi!J91+'Monkey Bay'!J91+Namwera!J91+Nkhudzi!J91</f>
        <v>2147</v>
      </c>
      <c r="K91" s="136">
        <f>Mangochi!K91+'Monkey Bay'!K91+Namwera!K91+Nkhudzi!K91</f>
        <v>177</v>
      </c>
      <c r="L91" s="136">
        <f>Mangochi!L91+'Monkey Bay'!L91+Namwera!L91+Nkhudzi!L91</f>
        <v>142</v>
      </c>
      <c r="M91" s="136">
        <f>Mangochi!M91+'Monkey Bay'!M91+Namwera!M91+Nkhudzi!M91</f>
        <v>859</v>
      </c>
      <c r="N91" s="136">
        <f>Mangochi!N91+'Monkey Bay'!N91+Namwera!N91+Nkhudzi!N91</f>
        <v>246</v>
      </c>
      <c r="O91" s="136">
        <f>Mangochi!O91+'Monkey Bay'!O91+Namwera!O91+Nkhudzi!O91</f>
        <v>206</v>
      </c>
      <c r="P91" s="35">
        <f>Mangochi!P91+'Monkey Bay'!P91+Namwera!P91</f>
        <v>3822</v>
      </c>
    </row>
    <row r="92" spans="1:16" ht="27" x14ac:dyDescent="0.3">
      <c r="A92" s="271"/>
      <c r="B92" s="24" t="s">
        <v>103</v>
      </c>
      <c r="C92" s="11" t="s">
        <v>3</v>
      </c>
      <c r="D92" s="136">
        <f>Mangochi!D92+'Monkey Bay'!D92+Namwera!D92</f>
        <v>0</v>
      </c>
      <c r="E92" s="136">
        <f>Mangochi!E92+'Monkey Bay'!E92+Namwera!E92</f>
        <v>7</v>
      </c>
      <c r="F92" s="136">
        <f>Mangochi!F92+'Monkey Bay'!F92+Namwera!F92</f>
        <v>0</v>
      </c>
      <c r="G92" s="136">
        <f>Mangochi!G92+'Monkey Bay'!G92+Namwera!G92</f>
        <v>0</v>
      </c>
      <c r="H92" s="136">
        <f>Mangochi!H92+'Monkey Bay'!H92+Namwera!H92</f>
        <v>0</v>
      </c>
      <c r="I92" s="136">
        <f>Mangochi!I92+'Monkey Bay'!I92+Namwera!I92</f>
        <v>0</v>
      </c>
      <c r="J92" s="136">
        <f>Mangochi!J92+'Monkey Bay'!J92+Namwera!J92+Nkhudzi!J92</f>
        <v>0</v>
      </c>
      <c r="K92" s="136">
        <f>Mangochi!K92+'Monkey Bay'!K92+Namwera!K92+Nkhudzi!K92</f>
        <v>0</v>
      </c>
      <c r="L92" s="136">
        <f>Mangochi!L92+'Monkey Bay'!L92+Namwera!L92+Nkhudzi!L92</f>
        <v>21</v>
      </c>
      <c r="M92" s="136">
        <f>Mangochi!M92+'Monkey Bay'!M92+Namwera!M92+Nkhudzi!M92</f>
        <v>0</v>
      </c>
      <c r="N92" s="136">
        <f>Mangochi!N92+'Monkey Bay'!N92+Namwera!N92+Nkhudzi!N92</f>
        <v>0</v>
      </c>
      <c r="O92" s="136">
        <f>Mangochi!O92+'Monkey Bay'!O92+Namwera!O92+Nkhudzi!O92</f>
        <v>5</v>
      </c>
      <c r="P92" s="35">
        <f>Mangochi!P92+'Monkey Bay'!P92+Namwera!P92</f>
        <v>32</v>
      </c>
    </row>
    <row r="93" spans="1:16" s="2" customFormat="1" ht="27" x14ac:dyDescent="0.3">
      <c r="A93" s="271"/>
      <c r="B93" s="24" t="s">
        <v>102</v>
      </c>
      <c r="C93" s="11"/>
      <c r="D93" s="136">
        <f>Mangochi!D93+'Monkey Bay'!D93+Namwera!D93</f>
        <v>60</v>
      </c>
      <c r="E93" s="136">
        <f>Mangochi!E93+'Monkey Bay'!E93+Namwera!E93</f>
        <v>33</v>
      </c>
      <c r="F93" s="136">
        <f>Mangochi!F93+'Monkey Bay'!F93+Namwera!F93</f>
        <v>38</v>
      </c>
      <c r="G93" s="136">
        <f>Mangochi!G93+'Monkey Bay'!G93+Namwera!G93</f>
        <v>110</v>
      </c>
      <c r="H93" s="136">
        <f>Mangochi!H93+'Monkey Bay'!H93+Namwera!H93</f>
        <v>65</v>
      </c>
      <c r="I93" s="136">
        <f>Mangochi!I93+'Monkey Bay'!I93+Namwera!I93</f>
        <v>36</v>
      </c>
      <c r="J93" s="136">
        <f>Mangochi!J93+'Monkey Bay'!J93+Namwera!J93+Nkhudzi!J93</f>
        <v>1041</v>
      </c>
      <c r="K93" s="136">
        <f>Mangochi!K93+'Monkey Bay'!K93+Namwera!K93+Nkhudzi!K93</f>
        <v>48</v>
      </c>
      <c r="L93" s="136">
        <f>Mangochi!L93+'Monkey Bay'!L93+Namwera!L93+Nkhudzi!L93</f>
        <v>58</v>
      </c>
      <c r="M93" s="136">
        <f>Mangochi!M93+'Monkey Bay'!M93+Namwera!M93+Nkhudzi!M93</f>
        <v>251</v>
      </c>
      <c r="N93" s="136">
        <f>Mangochi!N93+'Monkey Bay'!N93+Namwera!N93+Nkhudzi!N93</f>
        <v>221</v>
      </c>
      <c r="O93" s="136">
        <f>Mangochi!O93+'Monkey Bay'!O93+Namwera!O93+Nkhudzi!O93</f>
        <v>300</v>
      </c>
      <c r="P93" s="35">
        <f>Mangochi!P93+'Monkey Bay'!P93+Namwera!P93</f>
        <v>1010</v>
      </c>
    </row>
    <row r="94" spans="1:16" s="2" customFormat="1" x14ac:dyDescent="0.3">
      <c r="A94" s="271"/>
      <c r="B94" s="24" t="s">
        <v>188</v>
      </c>
      <c r="C94" s="11" t="s">
        <v>3</v>
      </c>
      <c r="D94" s="137">
        <f>Mangochi!D94+'Monkey Bay'!D94+Namwera!D94</f>
        <v>60</v>
      </c>
      <c r="E94" s="137">
        <f>Mangochi!E94+'Monkey Bay'!E94+Namwera!E94</f>
        <v>40</v>
      </c>
      <c r="F94" s="137">
        <f>Mangochi!F94+'Monkey Bay'!F94+Namwera!F94</f>
        <v>38</v>
      </c>
      <c r="G94" s="137">
        <f>Mangochi!G94+'Monkey Bay'!G94+Namwera!G94</f>
        <v>110</v>
      </c>
      <c r="H94" s="137">
        <f>Mangochi!H94+'Monkey Bay'!H94+Namwera!H94</f>
        <v>65</v>
      </c>
      <c r="I94" s="137">
        <f>Mangochi!I94+'Monkey Bay'!I94+Namwera!I94</f>
        <v>36</v>
      </c>
      <c r="J94" s="137">
        <f>Mangochi!J94+'Monkey Bay'!J94+Namwera!J94+Nkhudzi!J94</f>
        <v>1041</v>
      </c>
      <c r="K94" s="137">
        <f>Mangochi!K94+'Monkey Bay'!K94+Namwera!K94+Nkhudzi!K94</f>
        <v>48</v>
      </c>
      <c r="L94" s="137">
        <f>Mangochi!L94+'Monkey Bay'!L94+Namwera!L94+Nkhudzi!L94</f>
        <v>79</v>
      </c>
      <c r="M94" s="137">
        <f>Mangochi!M94+'Monkey Bay'!M94+Namwera!M94+Nkhudzi!M94</f>
        <v>251</v>
      </c>
      <c r="N94" s="137">
        <f>Mangochi!N94+'Monkey Bay'!N94+Namwera!N94+Nkhudzi!N94</f>
        <v>221</v>
      </c>
      <c r="O94" s="137">
        <f>Mangochi!O94+'Monkey Bay'!O94+Namwera!O94+Nkhudzi!O94</f>
        <v>305</v>
      </c>
      <c r="P94" s="144">
        <f>Mangochi!P94+'Monkey Bay'!P94+Namwera!P94</f>
        <v>1042</v>
      </c>
    </row>
    <row r="95" spans="1:16" ht="16.2" thickBot="1" x14ac:dyDescent="0.35">
      <c r="A95" s="272"/>
      <c r="B95" s="24" t="s">
        <v>81</v>
      </c>
      <c r="C95" s="11" t="s">
        <v>3</v>
      </c>
      <c r="D95" s="138">
        <f>Mangochi!D95+'Monkey Bay'!D95+Namwera!D95</f>
        <v>1244</v>
      </c>
      <c r="E95" s="138">
        <f>Mangochi!E95+'Monkey Bay'!E95+Namwera!E95</f>
        <v>1353</v>
      </c>
      <c r="F95" s="138">
        <f>Mangochi!F95+'Monkey Bay'!F95+Namwera!F95</f>
        <v>1494</v>
      </c>
      <c r="G95" s="138">
        <f>Mangochi!G95+'Monkey Bay'!G95+Namwera!G95</f>
        <v>1412</v>
      </c>
      <c r="H95" s="138">
        <f>Mangochi!H95+'Monkey Bay'!H95+Namwera!H95</f>
        <v>1550</v>
      </c>
      <c r="I95" s="138">
        <f>Mangochi!I95+'Monkey Bay'!I95+Namwera!I95</f>
        <v>1625</v>
      </c>
      <c r="J95" s="138">
        <f>Mangochi!J95+'Monkey Bay'!J95+Namwera!J95+Nkhudzi!J95</f>
        <v>3733</v>
      </c>
      <c r="K95" s="138">
        <f>Mangochi!K95+'Monkey Bay'!K95+Namwera!K95+Nkhudzi!K95</f>
        <v>1287</v>
      </c>
      <c r="L95" s="138">
        <f>Mangochi!L95+'Monkey Bay'!L95+Namwera!L95+Nkhudzi!L95</f>
        <v>1180</v>
      </c>
      <c r="M95" s="138">
        <f>Mangochi!M95+'Monkey Bay'!M95+Namwera!M95+Nkhudzi!M95</f>
        <v>1749</v>
      </c>
      <c r="N95" s="138">
        <f>Mangochi!N95+'Monkey Bay'!N95+Namwera!N95+Nkhudzi!N95</f>
        <v>1777</v>
      </c>
      <c r="O95" s="138">
        <f>Mangochi!O95+'Monkey Bay'!O95+Namwera!O95+Nkhudzi!O95</f>
        <v>1478</v>
      </c>
      <c r="P95" s="145">
        <f>Mangochi!P95+'Monkey Bay'!P95+Namwera!P95</f>
        <v>4008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>
        <f>Mangochi!J96+'Monkey Bay'!J96+Namwera!J96+Nkhudzi!J96</f>
        <v>0</v>
      </c>
      <c r="K96" s="66">
        <f>Mangochi!K96+'Monkey Bay'!K96+Namwera!K96+Nkhudzi!K96</f>
        <v>0</v>
      </c>
      <c r="L96" s="66">
        <f>Mangochi!L96+'Monkey Bay'!L96+Namwera!L96+Nkhudzi!L96</f>
        <v>0</v>
      </c>
      <c r="M96" s="66">
        <f>Mangochi!M96+'Monkey Bay'!M96+Namwera!M96+Nkhudzi!M96</f>
        <v>0</v>
      </c>
      <c r="N96" s="66">
        <f>Mangochi!N96+'Monkey Bay'!N96+Namwera!N96+Nkhudzi!N96</f>
        <v>0</v>
      </c>
      <c r="O96" s="66">
        <f>Mangochi!O96+'Monkey Bay'!O96+Namwera!O96+Nkhudzi!O96</f>
        <v>0</v>
      </c>
      <c r="P96" s="107"/>
    </row>
    <row r="97" spans="1:16" s="2" customFormat="1" ht="15.75" customHeight="1" thickBot="1" x14ac:dyDescent="0.35">
      <c r="A97" s="273" t="s">
        <v>189</v>
      </c>
      <c r="B97" s="274"/>
      <c r="C97" s="274"/>
      <c r="D97" s="274"/>
      <c r="E97" s="274"/>
      <c r="F97" s="274"/>
      <c r="G97" s="274"/>
      <c r="H97" s="274"/>
      <c r="I97" s="274"/>
      <c r="J97" s="274">
        <f>Mangochi!J97+'Monkey Bay'!J97+Namwera!J97+Nkhudzi!J97</f>
        <v>0</v>
      </c>
      <c r="K97" s="274">
        <f>Mangochi!K97+'Monkey Bay'!K97+Namwera!K97+Nkhudzi!K97</f>
        <v>0</v>
      </c>
      <c r="L97" s="274"/>
      <c r="M97" s="274"/>
      <c r="N97" s="274"/>
      <c r="O97" s="274"/>
      <c r="P97" s="275"/>
    </row>
    <row r="98" spans="1:16" x14ac:dyDescent="0.3">
      <c r="A98" s="88" t="s">
        <v>190</v>
      </c>
      <c r="B98" s="69"/>
      <c r="C98" s="11" t="s">
        <v>3</v>
      </c>
      <c r="D98" s="26">
        <f>Mangochi!D98+'Monkey Bay'!D98+Namwera!D98</f>
        <v>60</v>
      </c>
      <c r="E98" s="26">
        <f>Mangochi!E98+'Monkey Bay'!E98+Namwera!E98</f>
        <v>35</v>
      </c>
      <c r="F98" s="26">
        <f>Mangochi!F98+'Monkey Bay'!F98+Namwera!F98</f>
        <v>38</v>
      </c>
      <c r="G98" s="26">
        <f>Mangochi!G98+'Monkey Bay'!G98+Namwera!G98</f>
        <v>119</v>
      </c>
      <c r="H98" s="26">
        <f>Mangochi!H98+'Monkey Bay'!H98+Namwera!H98</f>
        <v>65</v>
      </c>
      <c r="I98" s="26">
        <f>Mangochi!I98+'Monkey Bay'!I98+Namwera!I98</f>
        <v>36</v>
      </c>
      <c r="J98" s="26">
        <f>Mangochi!J98+'Monkey Bay'!J98+Namwera!J98+Nkhudzi!J98</f>
        <v>1160</v>
      </c>
      <c r="K98" s="26">
        <f>Mangochi!K98+'Monkey Bay'!K98+Namwera!K98+Nkhudzi!K98</f>
        <v>48</v>
      </c>
      <c r="L98" s="26">
        <f>Mangochi!L98+'Monkey Bay'!L98+Namwera!L98+Nkhudzi!L98</f>
        <v>164</v>
      </c>
      <c r="M98" s="26">
        <f>Mangochi!M98+'Monkey Bay'!M98+Namwera!M98+Nkhudzi!M98</f>
        <v>251</v>
      </c>
      <c r="N98" s="26">
        <f>Mangochi!N98+'Monkey Bay'!N98+Namwera!N98+Nkhudzi!N98</f>
        <v>221</v>
      </c>
      <c r="O98" s="26">
        <f>Mangochi!O98+'Monkey Bay'!O98+Namwera!O98+Nkhudzi!O98</f>
        <v>300</v>
      </c>
      <c r="P98" s="108">
        <f>SUM(D98:O98)</f>
        <v>2497</v>
      </c>
    </row>
    <row r="99" spans="1:1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7"/>
    </row>
    <row r="100" spans="1:16" s="2" customFormat="1" ht="14.4" x14ac:dyDescent="0.3">
      <c r="A100" s="278" t="s">
        <v>101</v>
      </c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80"/>
    </row>
    <row r="101" spans="1:16" x14ac:dyDescent="0.3">
      <c r="A101" s="237" t="s">
        <v>100</v>
      </c>
      <c r="B101" s="238"/>
      <c r="C101" s="11" t="s">
        <v>3</v>
      </c>
      <c r="D101" s="26">
        <f>Mangochi!D101+'Monkey Bay'!D101+Namwera!D101</f>
        <v>2560</v>
      </c>
      <c r="E101" s="26">
        <f>Mangochi!E101+'Monkey Bay'!E101+Namwera!E101</f>
        <v>2545</v>
      </c>
      <c r="F101" s="26">
        <f>Mangochi!F101+'Monkey Bay'!F101+Namwera!F101</f>
        <v>2500</v>
      </c>
      <c r="G101" s="26">
        <f>Mangochi!G101+'Monkey Bay'!G101+Namwera!G101</f>
        <v>2478</v>
      </c>
      <c r="H101" s="26">
        <f>Mangochi!H101+'Monkey Bay'!H101+Namwera!H101</f>
        <v>2446</v>
      </c>
      <c r="I101" s="26">
        <f>Mangochi!I101+'Monkey Bay'!I101+Namwera!I101</f>
        <v>2411</v>
      </c>
      <c r="J101" s="26">
        <f>Mangochi!J101+'Monkey Bay'!J101+Namwera!J101+Nkhudzi!J101</f>
        <v>2406</v>
      </c>
      <c r="K101" s="26">
        <f>Mangochi!K101+'Monkey Bay'!K101+Namwera!K101+Nkhudzi!K101</f>
        <v>2361</v>
      </c>
      <c r="L101" s="26">
        <f>Mangochi!L101+'Monkey Bay'!L101+Namwera!L101+Nkhudzi!L101</f>
        <v>2321</v>
      </c>
      <c r="M101" s="26">
        <f>Mangochi!M101+'Monkey Bay'!M101+Namwera!M101+Nkhudzi!M101</f>
        <v>2464</v>
      </c>
      <c r="N101" s="26">
        <f>Mangochi!N101+'Monkey Bay'!N101+Namwera!N101+Nkhudzi!N101</f>
        <v>2483</v>
      </c>
      <c r="O101" s="26">
        <f>Mangochi!O101+'Monkey Bay'!O101+Namwera!O101+Nkhudzi!O101</f>
        <v>2470</v>
      </c>
      <c r="P101" s="32">
        <f t="shared" ref="P101:P111" si="49">O101</f>
        <v>2470</v>
      </c>
    </row>
    <row r="102" spans="1:16" x14ac:dyDescent="0.3">
      <c r="A102" s="237" t="s">
        <v>99</v>
      </c>
      <c r="B102" s="238"/>
      <c r="C102" s="11" t="s">
        <v>3</v>
      </c>
      <c r="D102" s="26">
        <f>Mangochi!D102+'Monkey Bay'!D102+Namwera!D102</f>
        <v>10</v>
      </c>
      <c r="E102" s="26">
        <f>Mangochi!E102+'Monkey Bay'!E102+Namwera!E102</f>
        <v>11</v>
      </c>
      <c r="F102" s="26">
        <f>Mangochi!F102+'Monkey Bay'!F102+Namwera!F102</f>
        <v>11</v>
      </c>
      <c r="G102" s="26">
        <f>Mangochi!G102+'Monkey Bay'!G102+Namwera!G102</f>
        <v>12</v>
      </c>
      <c r="H102" s="26">
        <f>Mangochi!H102+'Monkey Bay'!H102+Namwera!H102</f>
        <v>12</v>
      </c>
      <c r="I102" s="26">
        <f>Mangochi!I102+'Monkey Bay'!I102+Namwera!I102</f>
        <v>12</v>
      </c>
      <c r="J102" s="26">
        <f>Mangochi!J102+'Monkey Bay'!J102+Namwera!J102+Nkhudzi!J102</f>
        <v>12</v>
      </c>
      <c r="K102" s="26">
        <f>Mangochi!K102+'Monkey Bay'!K102+Namwera!K102+Nkhudzi!K102</f>
        <v>12</v>
      </c>
      <c r="L102" s="26">
        <f>Mangochi!L102+'Monkey Bay'!L102+Namwera!L102+Nkhudzi!L102</f>
        <v>10</v>
      </c>
      <c r="M102" s="26">
        <f>Mangochi!M102+'Monkey Bay'!M102+Namwera!M102+Nkhudzi!M102</f>
        <v>9</v>
      </c>
      <c r="N102" s="26">
        <f>Mangochi!N102+'Monkey Bay'!N102+Namwera!N102+Nkhudzi!N102</f>
        <v>2</v>
      </c>
      <c r="O102" s="26">
        <f>Mangochi!O102+'Monkey Bay'!O102+Namwera!O102+Nkhudzi!O102</f>
        <v>2</v>
      </c>
      <c r="P102" s="32">
        <f t="shared" si="49"/>
        <v>2</v>
      </c>
    </row>
    <row r="103" spans="1:16" ht="15.6" customHeight="1" x14ac:dyDescent="0.3">
      <c r="A103" s="243" t="s">
        <v>98</v>
      </c>
      <c r="B103" s="244"/>
      <c r="C103" s="11" t="s">
        <v>3</v>
      </c>
      <c r="D103" s="26">
        <f>Mangochi!D103+'Monkey Bay'!D103+Namwera!D103</f>
        <v>143</v>
      </c>
      <c r="E103" s="26">
        <f>Mangochi!E103+'Monkey Bay'!E103+Namwera!E103</f>
        <v>141</v>
      </c>
      <c r="F103" s="26">
        <f>Mangochi!F103+'Monkey Bay'!F103+Namwera!F103</f>
        <v>143</v>
      </c>
      <c r="G103" s="26">
        <f>Mangochi!G103+'Monkey Bay'!G103+Namwera!G103</f>
        <v>143</v>
      </c>
      <c r="H103" s="26">
        <f>Mangochi!H103+'Monkey Bay'!H103+Namwera!H103</f>
        <v>144</v>
      </c>
      <c r="I103" s="26">
        <f>Mangochi!I103+'Monkey Bay'!I103+Namwera!I103</f>
        <v>144</v>
      </c>
      <c r="J103" s="26">
        <f>Mangochi!J103+'Monkey Bay'!J103+Namwera!J103+Nkhudzi!J103</f>
        <v>143</v>
      </c>
      <c r="K103" s="26">
        <f>Mangochi!K103+'Monkey Bay'!K103+Namwera!K103+Nkhudzi!K103</f>
        <v>143</v>
      </c>
      <c r="L103" s="26">
        <f>Mangochi!L103+'Monkey Bay'!L103+Namwera!L103+Nkhudzi!L103</f>
        <v>143</v>
      </c>
      <c r="M103" s="26">
        <f>Mangochi!M103+'Monkey Bay'!M103+Namwera!M103+Nkhudzi!M103</f>
        <v>144</v>
      </c>
      <c r="N103" s="26">
        <f>Mangochi!N103+'Monkey Bay'!N103+Namwera!N103+Nkhudzi!N103</f>
        <v>141</v>
      </c>
      <c r="O103" s="26">
        <f>Mangochi!O103+'Monkey Bay'!O103+Namwera!O103+Nkhudzi!O103</f>
        <v>142</v>
      </c>
      <c r="P103" s="32">
        <f t="shared" si="49"/>
        <v>142</v>
      </c>
    </row>
    <row r="104" spans="1:16" x14ac:dyDescent="0.3">
      <c r="A104" s="243" t="s">
        <v>97</v>
      </c>
      <c r="B104" s="244"/>
      <c r="C104" s="11" t="s">
        <v>3</v>
      </c>
      <c r="D104" s="26">
        <f>Mangochi!D104+'Monkey Bay'!D104+Namwera!D104</f>
        <v>23</v>
      </c>
      <c r="E104" s="26">
        <f>Mangochi!E104+'Monkey Bay'!E104+Namwera!E104</f>
        <v>23</v>
      </c>
      <c r="F104" s="26">
        <f>Mangochi!F104+'Monkey Bay'!F104+Namwera!F104</f>
        <v>23</v>
      </c>
      <c r="G104" s="26">
        <f>Mangochi!G104+'Monkey Bay'!G104+Namwera!G104</f>
        <v>15</v>
      </c>
      <c r="H104" s="26">
        <f>Mangochi!H104+'Monkey Bay'!H104+Namwera!H104</f>
        <v>15</v>
      </c>
      <c r="I104" s="26">
        <f>Mangochi!I104+'Monkey Bay'!I104+Namwera!I104</f>
        <v>15</v>
      </c>
      <c r="J104" s="26">
        <f>Mangochi!J104+'Monkey Bay'!J104+Namwera!J104+Nkhudzi!J104</f>
        <v>15</v>
      </c>
      <c r="K104" s="26">
        <f>Mangochi!K104+'Monkey Bay'!K104+Namwera!K104+Nkhudzi!K104</f>
        <v>15</v>
      </c>
      <c r="L104" s="26">
        <f>Mangochi!L104+'Monkey Bay'!L104+Namwera!L104+Nkhudzi!L104</f>
        <v>15</v>
      </c>
      <c r="M104" s="26">
        <f>Mangochi!M104+'Monkey Bay'!M104+Namwera!M104+Nkhudzi!M104</f>
        <v>15</v>
      </c>
      <c r="N104" s="26">
        <f>Mangochi!N104+'Monkey Bay'!N104+Namwera!N104+Nkhudzi!N104</f>
        <v>10</v>
      </c>
      <c r="O104" s="26">
        <f>Mangochi!O104+'Monkey Bay'!O104+Namwera!O104+Nkhudzi!O104</f>
        <v>10</v>
      </c>
      <c r="P104" s="32">
        <f t="shared" si="49"/>
        <v>10</v>
      </c>
    </row>
    <row r="105" spans="1:16" x14ac:dyDescent="0.3">
      <c r="A105" s="265" t="s">
        <v>96</v>
      </c>
      <c r="B105" s="266"/>
      <c r="C105" s="11" t="s">
        <v>3</v>
      </c>
      <c r="D105" s="33">
        <f>SUM(D101:D104)</f>
        <v>2736</v>
      </c>
      <c r="E105" s="33">
        <f t="shared" ref="E105:L105" si="50">SUM(E101:E104)</f>
        <v>2720</v>
      </c>
      <c r="F105" s="33">
        <f t="shared" si="50"/>
        <v>2677</v>
      </c>
      <c r="G105" s="33">
        <f t="shared" ref="G105" si="51">SUM(G101:G104)</f>
        <v>2648</v>
      </c>
      <c r="H105" s="33">
        <f t="shared" si="50"/>
        <v>2617</v>
      </c>
      <c r="I105" s="33">
        <f t="shared" si="50"/>
        <v>2582</v>
      </c>
      <c r="J105" s="33">
        <f t="shared" si="50"/>
        <v>2576</v>
      </c>
      <c r="K105" s="33">
        <f t="shared" ref="K105" si="52">SUM(K101:K104)</f>
        <v>2531</v>
      </c>
      <c r="L105" s="33">
        <f t="shared" si="50"/>
        <v>2489</v>
      </c>
      <c r="M105" s="33">
        <f t="shared" ref="M105" si="53">SUM(M101:M104)</f>
        <v>2632</v>
      </c>
      <c r="N105" s="33">
        <f t="shared" ref="N105" si="54">SUM(N101:N104)</f>
        <v>2636</v>
      </c>
      <c r="O105" s="33">
        <f t="shared" ref="O105" si="55">SUM(O101:O104)</f>
        <v>2624</v>
      </c>
      <c r="P105" s="32">
        <f t="shared" si="49"/>
        <v>2624</v>
      </c>
    </row>
    <row r="106" spans="1:16" s="2" customFormat="1" ht="15.6" customHeight="1" x14ac:dyDescent="0.3">
      <c r="A106" s="297" t="s">
        <v>210</v>
      </c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9"/>
    </row>
    <row r="107" spans="1:16" x14ac:dyDescent="0.3">
      <c r="A107" s="237" t="s">
        <v>193</v>
      </c>
      <c r="B107" s="238"/>
      <c r="C107" s="11" t="s">
        <v>3</v>
      </c>
      <c r="D107" s="26">
        <f>Mangochi!D107+'Monkey Bay'!D107+Namwera!D107</f>
        <v>6326</v>
      </c>
      <c r="E107" s="26">
        <f>Mangochi!E107+'Monkey Bay'!E107+Namwera!E107</f>
        <v>6342</v>
      </c>
      <c r="F107" s="26">
        <f>Mangochi!F107+'Monkey Bay'!F107+Namwera!F107</f>
        <v>6387</v>
      </c>
      <c r="G107" s="26">
        <f>Mangochi!G107+'Monkey Bay'!G107+Namwera!G107</f>
        <v>6409</v>
      </c>
      <c r="H107" s="26">
        <f>Mangochi!H107+'Monkey Bay'!H107+Namwera!H107</f>
        <v>6451</v>
      </c>
      <c r="I107" s="26">
        <f>Mangochi!I107+'Monkey Bay'!I107+Namwera!I107</f>
        <v>6487</v>
      </c>
      <c r="J107" s="26">
        <f>Mangochi!J107+'Monkey Bay'!J107+Namwera!J107+Nkhudzi!J107</f>
        <v>6521</v>
      </c>
      <c r="K107" s="26">
        <f>Mangochi!K107+'Monkey Bay'!K107+Namwera!K107+Nkhudzi!K107</f>
        <v>6566</v>
      </c>
      <c r="L107" s="26">
        <f>Mangochi!L107+'Monkey Bay'!L107+Namwera!L107+Nkhudzi!L107</f>
        <v>6609</v>
      </c>
      <c r="M107" s="26">
        <f>Mangochi!M107+'Monkey Bay'!M107+Namwera!M107+Nkhudzi!M107</f>
        <v>6467</v>
      </c>
      <c r="N107" s="26">
        <f>Mangochi!N107+'Monkey Bay'!N107+Namwera!N107+Nkhudzi!N107</f>
        <v>6479</v>
      </c>
      <c r="O107" s="26">
        <f>Mangochi!O107+'Monkey Bay'!O107+Namwera!O107+Nkhudzi!O107</f>
        <v>6491</v>
      </c>
      <c r="P107" s="32">
        <f t="shared" si="49"/>
        <v>6491</v>
      </c>
    </row>
    <row r="108" spans="1:16" x14ac:dyDescent="0.3">
      <c r="A108" s="237" t="s">
        <v>194</v>
      </c>
      <c r="B108" s="238"/>
      <c r="C108" s="11" t="s">
        <v>3</v>
      </c>
      <c r="D108" s="26">
        <f>Mangochi!D108+'Monkey Bay'!D108+Namwera!D108</f>
        <v>29</v>
      </c>
      <c r="E108" s="26">
        <f>Mangochi!E108+'Monkey Bay'!E108+Namwera!E108</f>
        <v>28</v>
      </c>
      <c r="F108" s="26">
        <f>Mangochi!F108+'Monkey Bay'!F108+Namwera!F108</f>
        <v>28</v>
      </c>
      <c r="G108" s="26">
        <f>Mangochi!G108+'Monkey Bay'!G108+Namwera!G108</f>
        <v>26</v>
      </c>
      <c r="H108" s="26">
        <f>Mangochi!H108+'Monkey Bay'!H108+Namwera!H108</f>
        <v>26</v>
      </c>
      <c r="I108" s="26">
        <f>Mangochi!I108+'Monkey Bay'!I108+Namwera!I108</f>
        <v>25</v>
      </c>
      <c r="J108" s="26">
        <f>Mangochi!J108+'Monkey Bay'!J108+Namwera!J108+Nkhudzi!J108</f>
        <v>25</v>
      </c>
      <c r="K108" s="26">
        <f>Mangochi!K108+'Monkey Bay'!K108+Namwera!K108+Nkhudzi!K108</f>
        <v>24</v>
      </c>
      <c r="L108" s="26">
        <f>Mangochi!L108+'Monkey Bay'!L108+Namwera!L108+Nkhudzi!L108</f>
        <v>25</v>
      </c>
      <c r="M108" s="26">
        <f>Mangochi!M108+'Monkey Bay'!M108+Namwera!M108+Nkhudzi!M108</f>
        <v>24</v>
      </c>
      <c r="N108" s="26">
        <f>Mangochi!N108+'Monkey Bay'!N108+Namwera!N108+Nkhudzi!N108</f>
        <v>25</v>
      </c>
      <c r="O108" s="26">
        <f>Mangochi!O108+'Monkey Bay'!O108+Namwera!O108+Nkhudzi!O108</f>
        <v>25</v>
      </c>
      <c r="P108" s="32">
        <f t="shared" si="49"/>
        <v>25</v>
      </c>
    </row>
    <row r="109" spans="1:16" x14ac:dyDescent="0.3">
      <c r="A109" s="237" t="s">
        <v>195</v>
      </c>
      <c r="B109" s="238"/>
      <c r="C109" s="11" t="s">
        <v>3</v>
      </c>
      <c r="D109" s="26">
        <f>Mangochi!D109+'Monkey Bay'!D109+Namwera!D109</f>
        <v>17</v>
      </c>
      <c r="E109" s="26">
        <f>Mangochi!E109+'Monkey Bay'!E109+Namwera!E109</f>
        <v>18</v>
      </c>
      <c r="F109" s="26">
        <f>Mangochi!F109+'Monkey Bay'!F109+Namwera!F109</f>
        <v>16</v>
      </c>
      <c r="G109" s="26">
        <f>Mangochi!G109+'Monkey Bay'!G109+Namwera!G109</f>
        <v>17</v>
      </c>
      <c r="H109" s="26">
        <f>Mangochi!H109+'Monkey Bay'!H109+Namwera!H109</f>
        <v>17</v>
      </c>
      <c r="I109" s="26">
        <f>Mangochi!I109+'Monkey Bay'!I109+Namwera!I109</f>
        <v>17</v>
      </c>
      <c r="J109" s="26">
        <f>Mangochi!J109+'Monkey Bay'!J109+Namwera!J109+Nkhudzi!J109</f>
        <v>19</v>
      </c>
      <c r="K109" s="26">
        <f>Mangochi!K109+'Monkey Bay'!K109+Namwera!K109+Nkhudzi!K109</f>
        <v>20</v>
      </c>
      <c r="L109" s="26">
        <f>Mangochi!L109+'Monkey Bay'!L109+Namwera!L109+Nkhudzi!L109</f>
        <v>20</v>
      </c>
      <c r="M109" s="26">
        <f>Mangochi!M109+'Monkey Bay'!M109+Namwera!M109+Nkhudzi!M109</f>
        <v>18</v>
      </c>
      <c r="N109" s="26">
        <f>Mangochi!N109+'Monkey Bay'!N109+Namwera!N109+Nkhudzi!N109</f>
        <v>19</v>
      </c>
      <c r="O109" s="26">
        <f>Mangochi!O109+'Monkey Bay'!O109+Namwera!O109+Nkhudzi!O109</f>
        <v>18</v>
      </c>
      <c r="P109" s="32">
        <f t="shared" si="49"/>
        <v>18</v>
      </c>
    </row>
    <row r="110" spans="1:16" x14ac:dyDescent="0.3">
      <c r="A110" s="237" t="s">
        <v>196</v>
      </c>
      <c r="B110" s="238"/>
      <c r="C110" s="11" t="s">
        <v>3</v>
      </c>
      <c r="D110" s="26">
        <f>Mangochi!D110+'Monkey Bay'!D110+Namwera!D110</f>
        <v>0</v>
      </c>
      <c r="E110" s="26">
        <f>Mangochi!E110+'Monkey Bay'!E110+Namwera!E110</f>
        <v>0</v>
      </c>
      <c r="F110" s="26">
        <f>Mangochi!F110+'Monkey Bay'!F110+Namwera!F110</f>
        <v>0</v>
      </c>
      <c r="G110" s="26">
        <f>Mangochi!G110+'Monkey Bay'!G110+Namwera!G110</f>
        <v>0</v>
      </c>
      <c r="H110" s="26">
        <f>Mangochi!H110+'Monkey Bay'!H110+Namwera!H110</f>
        <v>0</v>
      </c>
      <c r="I110" s="26">
        <f>Mangochi!I110+'Monkey Bay'!I110+Namwera!I110</f>
        <v>0</v>
      </c>
      <c r="J110" s="26">
        <f>Mangochi!J110+'Monkey Bay'!J110+Namwera!J110+Nkhudzi!J110</f>
        <v>0</v>
      </c>
      <c r="K110" s="26">
        <f>Mangochi!K110+'Monkey Bay'!K110+Namwera!K110+Nkhudzi!K110</f>
        <v>0</v>
      </c>
      <c r="L110" s="26">
        <f>Mangochi!L110+'Monkey Bay'!L110+Namwera!L110+Nkhudzi!L110</f>
        <v>0</v>
      </c>
      <c r="M110" s="26">
        <f>Mangochi!M110+'Monkey Bay'!M110+Namwera!M110+Nkhudzi!M110</f>
        <v>0</v>
      </c>
      <c r="N110" s="26">
        <f>Mangochi!N110+'Monkey Bay'!N110+Namwera!N110+Nkhudzi!N110</f>
        <v>0</v>
      </c>
      <c r="O110" s="26">
        <f>Mangochi!O110+'Monkey Bay'!O110+Namwera!O110+Nkhudzi!O110</f>
        <v>0</v>
      </c>
      <c r="P110" s="32">
        <f t="shared" si="49"/>
        <v>0</v>
      </c>
    </row>
    <row r="111" spans="1:16" x14ac:dyDescent="0.3">
      <c r="A111" s="239" t="s">
        <v>95</v>
      </c>
      <c r="B111" s="240"/>
      <c r="C111" s="11" t="s">
        <v>3</v>
      </c>
      <c r="D111" s="33">
        <f>SUM(D107:D110)</f>
        <v>6372</v>
      </c>
      <c r="E111" s="33">
        <f t="shared" ref="E111:L111" si="56">SUM(E107:E110)</f>
        <v>6388</v>
      </c>
      <c r="F111" s="33">
        <f t="shared" si="56"/>
        <v>6431</v>
      </c>
      <c r="G111" s="33">
        <f t="shared" ref="G111" si="57">SUM(G107:G110)</f>
        <v>6452</v>
      </c>
      <c r="H111" s="33">
        <f t="shared" si="56"/>
        <v>6494</v>
      </c>
      <c r="I111" s="33">
        <f t="shared" si="56"/>
        <v>6529</v>
      </c>
      <c r="J111" s="33">
        <f t="shared" si="56"/>
        <v>6565</v>
      </c>
      <c r="K111" s="33">
        <f t="shared" ref="K111" si="58">SUM(K107:K110)</f>
        <v>6610</v>
      </c>
      <c r="L111" s="33">
        <f t="shared" si="56"/>
        <v>6654</v>
      </c>
      <c r="M111" s="33">
        <f t="shared" ref="M111" si="59">SUM(M107:M110)</f>
        <v>6509</v>
      </c>
      <c r="N111" s="33">
        <f t="shared" ref="N111" si="60">SUM(N107:N110)</f>
        <v>6523</v>
      </c>
      <c r="O111" s="33">
        <f t="shared" ref="O111" si="61">SUM(O107:O110)</f>
        <v>6534</v>
      </c>
      <c r="P111" s="32">
        <f t="shared" si="49"/>
        <v>6534</v>
      </c>
    </row>
    <row r="112" spans="1:16" s="2" customFormat="1" ht="15.6" customHeight="1" x14ac:dyDescent="0.3">
      <c r="A112" s="278" t="s">
        <v>210</v>
      </c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80"/>
    </row>
    <row r="113" spans="1:16" x14ac:dyDescent="0.3">
      <c r="A113" s="237" t="s">
        <v>197</v>
      </c>
      <c r="B113" s="238"/>
      <c r="C113" s="11" t="s">
        <v>3</v>
      </c>
      <c r="D113" s="26">
        <f>Mangochi!D113+'Monkey Bay'!D113+Namwera!D113</f>
        <v>1755</v>
      </c>
      <c r="E113" s="26">
        <f>Mangochi!E113+'Monkey Bay'!E113+Namwera!E113</f>
        <v>1790</v>
      </c>
      <c r="F113" s="26">
        <f>Mangochi!F113+'Monkey Bay'!F113+Namwera!F113</f>
        <v>1828</v>
      </c>
      <c r="G113" s="26">
        <f>Mangochi!G113+'Monkey Bay'!G113+Namwera!G113</f>
        <v>1947</v>
      </c>
      <c r="H113" s="26">
        <f>Mangochi!H113+'Monkey Bay'!H113+Namwera!H113</f>
        <v>2012</v>
      </c>
      <c r="I113" s="26">
        <f>Mangochi!I113+'Monkey Bay'!I113+Namwera!I113</f>
        <v>2015</v>
      </c>
      <c r="J113" s="26">
        <f>Mangochi!J113+'Monkey Bay'!J113+Namwera!J113+Nkhudzi!J113</f>
        <v>3102</v>
      </c>
      <c r="K113" s="26">
        <f>Mangochi!K113+'Monkey Bay'!K113+Namwera!K113+Nkhudzi!K113</f>
        <v>3276</v>
      </c>
      <c r="L113" s="26">
        <f>Mangochi!L113+'Monkey Bay'!L113+Namwera!L113+Nkhudzi!L113</f>
        <v>3527</v>
      </c>
      <c r="M113" s="26">
        <f>Mangochi!M113+'Monkey Bay'!M113+Namwera!M113+Nkhudzi!M113</f>
        <v>3721</v>
      </c>
      <c r="N113" s="26">
        <f>Mangochi!N113+'Monkey Bay'!N113+Namwera!N113+Nkhudzi!N113</f>
        <v>3939</v>
      </c>
      <c r="O113" s="26">
        <f>Mangochi!O113+'Monkey Bay'!O113+Namwera!O113+Nkhudzi!O113</f>
        <v>4229</v>
      </c>
      <c r="P113" s="32">
        <f>O113</f>
        <v>4229</v>
      </c>
    </row>
    <row r="114" spans="1:16" x14ac:dyDescent="0.3">
      <c r="A114" s="237" t="s">
        <v>198</v>
      </c>
      <c r="B114" s="238"/>
      <c r="C114" s="11" t="s">
        <v>3</v>
      </c>
      <c r="D114" s="26">
        <f>Mangochi!D114+'Monkey Bay'!D114+Namwera!D114</f>
        <v>0</v>
      </c>
      <c r="E114" s="26">
        <f>Mangochi!E114+'Monkey Bay'!E114+Namwera!E114</f>
        <v>0</v>
      </c>
      <c r="F114" s="26">
        <f>Mangochi!F114+'Monkey Bay'!F114+Namwera!F114</f>
        <v>0</v>
      </c>
      <c r="G114" s="26">
        <f>Mangochi!G114+'Monkey Bay'!G114+Namwera!G114</f>
        <v>0</v>
      </c>
      <c r="H114" s="26">
        <f>Mangochi!H114+'Monkey Bay'!H114+Namwera!H114</f>
        <v>0</v>
      </c>
      <c r="I114" s="26">
        <f>Mangochi!I114+'Monkey Bay'!I114+Namwera!I114</f>
        <v>25</v>
      </c>
      <c r="J114" s="26">
        <f>Mangochi!J114+'Monkey Bay'!J114+Namwera!J114+Nkhudzi!J114</f>
        <v>25</v>
      </c>
      <c r="K114" s="26">
        <f>Mangochi!K114+'Monkey Bay'!K114+Namwera!K114+Nkhudzi!K114</f>
        <v>29</v>
      </c>
      <c r="L114" s="26">
        <f>Mangochi!L114+'Monkey Bay'!L114+Namwera!L114+Nkhudzi!L114</f>
        <v>29</v>
      </c>
      <c r="M114" s="26">
        <f>Mangochi!M114+'Monkey Bay'!M114+Namwera!M114+Nkhudzi!M114</f>
        <v>29</v>
      </c>
      <c r="N114" s="26">
        <f>Mangochi!N114+'Monkey Bay'!N114+Namwera!N114+Nkhudzi!N114</f>
        <v>27</v>
      </c>
      <c r="O114" s="26">
        <f>Mangochi!O114+'Monkey Bay'!O114+Namwera!O114+Nkhudzi!O114</f>
        <v>27</v>
      </c>
      <c r="P114" s="32">
        <f>O114</f>
        <v>27</v>
      </c>
    </row>
    <row r="115" spans="1:16" x14ac:dyDescent="0.3">
      <c r="A115" s="237" t="s">
        <v>199</v>
      </c>
      <c r="B115" s="238"/>
      <c r="C115" s="11" t="s">
        <v>3</v>
      </c>
      <c r="D115" s="26">
        <f>Mangochi!D115+'Monkey Bay'!D115+Namwera!D115</f>
        <v>0</v>
      </c>
      <c r="E115" s="26">
        <f>Mangochi!E115+'Monkey Bay'!E115+Namwera!E115</f>
        <v>0</v>
      </c>
      <c r="F115" s="26">
        <f>Mangochi!F115+'Monkey Bay'!F115+Namwera!F115</f>
        <v>0</v>
      </c>
      <c r="G115" s="26">
        <f>Mangochi!G115+'Monkey Bay'!G115+Namwera!G115</f>
        <v>0</v>
      </c>
      <c r="H115" s="26">
        <f>Mangochi!H115+'Monkey Bay'!H115+Namwera!H115</f>
        <v>0</v>
      </c>
      <c r="I115" s="26">
        <f>Mangochi!I115+'Monkey Bay'!I115+Namwera!I115</f>
        <v>5</v>
      </c>
      <c r="J115" s="26">
        <f>Mangochi!J115+'Monkey Bay'!J115+Namwera!J115+Nkhudzi!J115</f>
        <v>5</v>
      </c>
      <c r="K115" s="26">
        <f>Mangochi!K115+'Monkey Bay'!K115+Namwera!K115+Nkhudzi!K115</f>
        <v>12</v>
      </c>
      <c r="L115" s="26">
        <f>Mangochi!L115+'Monkey Bay'!L115+Namwera!L115+Nkhudzi!L115</f>
        <v>13</v>
      </c>
      <c r="M115" s="26">
        <f>Mangochi!M115+'Monkey Bay'!M115+Namwera!M115+Nkhudzi!M115</f>
        <v>13</v>
      </c>
      <c r="N115" s="26">
        <f>Mangochi!N115+'Monkey Bay'!N115+Namwera!N115+Nkhudzi!N115</f>
        <v>10</v>
      </c>
      <c r="O115" s="26">
        <f>Mangochi!O115+'Monkey Bay'!O115+Namwera!O115+Nkhudzi!O115</f>
        <v>10</v>
      </c>
      <c r="P115" s="32">
        <f t="shared" ref="P115:P116" si="62">O115</f>
        <v>10</v>
      </c>
    </row>
    <row r="116" spans="1:16" x14ac:dyDescent="0.3">
      <c r="A116" s="237" t="s">
        <v>200</v>
      </c>
      <c r="B116" s="238"/>
      <c r="C116" s="11" t="s">
        <v>3</v>
      </c>
      <c r="D116" s="26">
        <f>Mangochi!D116+'Monkey Bay'!D116+Namwera!D116</f>
        <v>0</v>
      </c>
      <c r="E116" s="26">
        <f>Mangochi!E116+'Monkey Bay'!E116+Namwera!E116</f>
        <v>0</v>
      </c>
      <c r="F116" s="26">
        <f>Mangochi!F116+'Monkey Bay'!F116+Namwera!F116</f>
        <v>0</v>
      </c>
      <c r="G116" s="26">
        <f>Mangochi!G116+'Monkey Bay'!G116+Namwera!G116</f>
        <v>0</v>
      </c>
      <c r="H116" s="26">
        <f>Mangochi!H116+'Monkey Bay'!H116+Namwera!H116</f>
        <v>0</v>
      </c>
      <c r="I116" s="26">
        <f>Mangochi!I116+'Monkey Bay'!I116+Namwera!I116</f>
        <v>3</v>
      </c>
      <c r="J116" s="26">
        <f>Mangochi!J116+'Monkey Bay'!J116+Namwera!J116+Nkhudzi!J116</f>
        <v>3</v>
      </c>
      <c r="K116" s="26">
        <f>Mangochi!K116+'Monkey Bay'!K116+Namwera!K116+Nkhudzi!K116</f>
        <v>4</v>
      </c>
      <c r="L116" s="26">
        <f>Mangochi!L116+'Monkey Bay'!L116+Namwera!L116+Nkhudzi!L116</f>
        <v>4</v>
      </c>
      <c r="M116" s="26">
        <f>Mangochi!M116+'Monkey Bay'!M116+Namwera!M116+Nkhudzi!M116</f>
        <v>4</v>
      </c>
      <c r="N116" s="26">
        <f>Mangochi!N116+'Monkey Bay'!N116+Namwera!N116+Nkhudzi!N116</f>
        <v>3</v>
      </c>
      <c r="O116" s="26">
        <f>Mangochi!O116+'Monkey Bay'!O116+Namwera!O116+Nkhudzi!O116</f>
        <v>3</v>
      </c>
      <c r="P116" s="32">
        <f t="shared" si="62"/>
        <v>3</v>
      </c>
    </row>
    <row r="117" spans="1:16" x14ac:dyDescent="0.3">
      <c r="A117" s="239" t="s">
        <v>94</v>
      </c>
      <c r="B117" s="240"/>
      <c r="C117" s="11" t="s">
        <v>3</v>
      </c>
      <c r="D117" s="33">
        <f>SUM(D113:D116)</f>
        <v>1755</v>
      </c>
      <c r="E117" s="33">
        <f>SUM(E113:E116)</f>
        <v>1790</v>
      </c>
      <c r="F117" s="33">
        <f>SUM(F113:F116)</f>
        <v>1828</v>
      </c>
      <c r="G117" s="33">
        <f>SUM(G113:G116)</f>
        <v>1947</v>
      </c>
      <c r="H117" s="33">
        <f>SUM(H113:H116)</f>
        <v>2012</v>
      </c>
      <c r="I117" s="33">
        <f t="shared" ref="I117:L117" si="63">SUM(I113:I116)</f>
        <v>2048</v>
      </c>
      <c r="J117" s="33">
        <f t="shared" si="63"/>
        <v>3135</v>
      </c>
      <c r="K117" s="33">
        <f t="shared" ref="K117" si="64">SUM(K113:K116)</f>
        <v>3321</v>
      </c>
      <c r="L117" s="33">
        <f t="shared" si="63"/>
        <v>3573</v>
      </c>
      <c r="M117" s="33">
        <f t="shared" ref="M117" si="65">SUM(M113:M116)</f>
        <v>3767</v>
      </c>
      <c r="N117" s="33">
        <f t="shared" ref="N117" si="66">SUM(N113:N116)</f>
        <v>3979</v>
      </c>
      <c r="O117" s="33">
        <f t="shared" ref="O117" si="67">SUM(O113:O116)</f>
        <v>4269</v>
      </c>
      <c r="P117" s="55">
        <f t="shared" ref="P117" si="68">SUM(P113:P116)</f>
        <v>4269</v>
      </c>
    </row>
    <row r="118" spans="1:16" s="2" customFormat="1" x14ac:dyDescent="0.3">
      <c r="A118" s="324" t="s">
        <v>191</v>
      </c>
      <c r="B118" s="325"/>
      <c r="C118" s="11" t="s">
        <v>3</v>
      </c>
      <c r="D118" s="33">
        <f>D111+D117</f>
        <v>8127</v>
      </c>
      <c r="E118" s="33">
        <f>E111+E117</f>
        <v>8178</v>
      </c>
      <c r="F118" s="33">
        <f>F111+F117</f>
        <v>8259</v>
      </c>
      <c r="G118" s="33">
        <f>G111+G117</f>
        <v>8399</v>
      </c>
      <c r="H118" s="33">
        <f>H111+H117</f>
        <v>8506</v>
      </c>
      <c r="I118" s="33">
        <f t="shared" ref="I118:P118" si="69">I111+I117</f>
        <v>8577</v>
      </c>
      <c r="J118" s="33">
        <f t="shared" si="69"/>
        <v>9700</v>
      </c>
      <c r="K118" s="33">
        <f t="shared" ref="K118" si="70">K111+K117</f>
        <v>9931</v>
      </c>
      <c r="L118" s="33">
        <f t="shared" si="69"/>
        <v>10227</v>
      </c>
      <c r="M118" s="33">
        <f t="shared" ref="M118" si="71">M111+M117</f>
        <v>10276</v>
      </c>
      <c r="N118" s="33">
        <f t="shared" ref="N118" si="72">N111+N117</f>
        <v>10502</v>
      </c>
      <c r="O118" s="33">
        <f t="shared" ref="O118" si="73">O111+O117</f>
        <v>10803</v>
      </c>
      <c r="P118" s="55">
        <f t="shared" si="69"/>
        <v>10803</v>
      </c>
    </row>
    <row r="119" spans="1:16" x14ac:dyDescent="0.3">
      <c r="A119" s="239" t="s">
        <v>192</v>
      </c>
      <c r="B119" s="240"/>
      <c r="C119" s="11" t="s">
        <v>3</v>
      </c>
      <c r="D119" s="33">
        <f>D118+D105</f>
        <v>10863</v>
      </c>
      <c r="E119" s="33">
        <f>E118+E105</f>
        <v>10898</v>
      </c>
      <c r="F119" s="33">
        <f>F118+F105</f>
        <v>10936</v>
      </c>
      <c r="G119" s="33">
        <f>G118+G105</f>
        <v>11047</v>
      </c>
      <c r="H119" s="33">
        <f>H118+H105</f>
        <v>11123</v>
      </c>
      <c r="I119" s="33">
        <f t="shared" ref="I119:P119" si="74">I118+I105</f>
        <v>11159</v>
      </c>
      <c r="J119" s="33">
        <f t="shared" si="74"/>
        <v>12276</v>
      </c>
      <c r="K119" s="33">
        <f t="shared" ref="K119" si="75">K118+K105</f>
        <v>12462</v>
      </c>
      <c r="L119" s="33">
        <f t="shared" si="74"/>
        <v>12716</v>
      </c>
      <c r="M119" s="33">
        <f t="shared" ref="M119" si="76">M118+M105</f>
        <v>12908</v>
      </c>
      <c r="N119" s="33">
        <f t="shared" ref="N119" si="77">N118+N105</f>
        <v>13138</v>
      </c>
      <c r="O119" s="33">
        <f t="shared" ref="O119" si="78">O118+O105</f>
        <v>13427</v>
      </c>
      <c r="P119" s="55">
        <f t="shared" si="74"/>
        <v>13427</v>
      </c>
    </row>
    <row r="120" spans="1:16" ht="14.4" x14ac:dyDescent="0.3">
      <c r="A120" s="282" t="s">
        <v>201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4"/>
    </row>
    <row r="121" spans="1:16" x14ac:dyDescent="0.3">
      <c r="A121" s="237" t="s">
        <v>93</v>
      </c>
      <c r="B121" s="238"/>
      <c r="C121" s="5" t="s">
        <v>3</v>
      </c>
      <c r="D121" s="26">
        <f>Mangochi!D121+'Monkey Bay'!D121+Namwera!D121</f>
        <v>79892</v>
      </c>
      <c r="E121" s="26">
        <f>Mangochi!E121+'Monkey Bay'!E121+Namwera!E121</f>
        <v>80017</v>
      </c>
      <c r="F121" s="26">
        <f>Mangochi!F121+'Monkey Bay'!F121+Namwera!F121</f>
        <v>80142</v>
      </c>
      <c r="G121" s="26">
        <f>Mangochi!G121+'Monkey Bay'!G121+Namwera!G121</f>
        <v>80267</v>
      </c>
      <c r="H121" s="26">
        <f>Mangochi!H121+'Monkey Bay'!H121+Namwera!H121</f>
        <v>80392</v>
      </c>
      <c r="I121" s="26">
        <f>Mangochi!I121+'Monkey Bay'!I121+Namwera!I121</f>
        <v>80517</v>
      </c>
      <c r="J121" s="26">
        <f>Mangochi!J121+'Monkey Bay'!J121+Namwera!J121+Nkhudzi!J121</f>
        <v>80642</v>
      </c>
      <c r="K121" s="26">
        <f>Mangochi!K121+'Monkey Bay'!K121+Namwera!K121+Nkhudzi!K121</f>
        <v>80767</v>
      </c>
      <c r="L121" s="26">
        <f>Mangochi!L121+'Monkey Bay'!L121+Namwera!L121+Nkhudzi!L121</f>
        <v>80892</v>
      </c>
      <c r="M121" s="26">
        <f>Mangochi!M121+'Monkey Bay'!M121+Namwera!M121+Nkhudzi!M121</f>
        <v>81017</v>
      </c>
      <c r="N121" s="26">
        <f>Mangochi!N121+'Monkey Bay'!N121+Namwera!N121+Nkhudzi!N121</f>
        <v>80242</v>
      </c>
      <c r="O121" s="26">
        <f>Mangochi!O121+'Monkey Bay'!O121+Namwera!O121+Nkhudzi!O121</f>
        <v>80367</v>
      </c>
      <c r="P121" s="31">
        <f>O121</f>
        <v>80367</v>
      </c>
    </row>
    <row r="122" spans="1:16" x14ac:dyDescent="0.3">
      <c r="A122" s="237" t="s">
        <v>92</v>
      </c>
      <c r="B122" s="238"/>
      <c r="C122" s="5" t="s">
        <v>3</v>
      </c>
      <c r="D122" s="26">
        <f>Mangochi!D122+'Monkey Bay'!D122+Namwera!D122</f>
        <v>70687</v>
      </c>
      <c r="E122" s="26">
        <f>Mangochi!E122+'Monkey Bay'!E122+Namwera!E122</f>
        <v>70862</v>
      </c>
      <c r="F122" s="26">
        <f>Mangochi!F122+'Monkey Bay'!F122+Namwera!F122</f>
        <v>71037</v>
      </c>
      <c r="G122" s="26">
        <f>Mangochi!G122+'Monkey Bay'!G122+Namwera!G122</f>
        <v>71627</v>
      </c>
      <c r="H122" s="26">
        <f>Mangochi!H122+'Monkey Bay'!H122+Namwera!H122</f>
        <v>71952</v>
      </c>
      <c r="I122" s="26">
        <f>Mangochi!I122+'Monkey Bay'!I122+Namwera!I122</f>
        <v>72132</v>
      </c>
      <c r="J122" s="26">
        <f>Mangochi!J122+'Monkey Bay'!J122+Namwera!J122+Nkhudzi!J122</f>
        <v>77632</v>
      </c>
      <c r="K122" s="26">
        <f>Mangochi!K122+'Monkey Bay'!K122+Namwera!K122+Nkhudzi!K122</f>
        <v>77857</v>
      </c>
      <c r="L122" s="26">
        <f>Mangochi!L122+'Monkey Bay'!L122+Namwera!L122+Nkhudzi!L122</f>
        <v>78847</v>
      </c>
      <c r="M122" s="26">
        <f>Mangochi!M122+'Monkey Bay'!M122+Namwera!M122+Nkhudzi!M122</f>
        <v>79647</v>
      </c>
      <c r="N122" s="26">
        <f>Mangochi!N122+'Monkey Bay'!N122+Namwera!N122+Nkhudzi!N122</f>
        <v>73192</v>
      </c>
      <c r="O122" s="26">
        <f>Mangochi!O122+'Monkey Bay'!O122+Namwera!O122+Nkhudzi!O122</f>
        <v>74257</v>
      </c>
      <c r="P122" s="31">
        <f>O122</f>
        <v>74257</v>
      </c>
    </row>
    <row r="123" spans="1:16" x14ac:dyDescent="0.3">
      <c r="A123" s="285" t="s">
        <v>91</v>
      </c>
      <c r="B123" s="286"/>
      <c r="C123" s="30" t="s">
        <v>6</v>
      </c>
      <c r="D123" s="29">
        <f t="shared" ref="D123:P123" si="79">D122/D121</f>
        <v>0.88478195564011419</v>
      </c>
      <c r="E123" s="29">
        <f t="shared" si="79"/>
        <v>0.88558681280227947</v>
      </c>
      <c r="F123" s="29">
        <f t="shared" si="79"/>
        <v>0.88638915924234485</v>
      </c>
      <c r="G123" s="29">
        <f t="shared" si="79"/>
        <v>0.89235925099978819</v>
      </c>
      <c r="H123" s="29">
        <f t="shared" si="79"/>
        <v>0.89501442929644737</v>
      </c>
      <c r="I123" s="29">
        <f t="shared" si="79"/>
        <v>0.8958605015089981</v>
      </c>
      <c r="J123" s="29">
        <f t="shared" si="79"/>
        <v>0.96267453684184423</v>
      </c>
      <c r="K123" s="29">
        <f t="shared" ref="K123" si="80">K122/K121</f>
        <v>0.96397043346911482</v>
      </c>
      <c r="L123" s="29">
        <f t="shared" si="79"/>
        <v>0.97471937892498639</v>
      </c>
      <c r="M123" s="29">
        <f t="shared" ref="M123" si="81">M122/M121</f>
        <v>0.98308996877198618</v>
      </c>
      <c r="N123" s="29">
        <f t="shared" ref="N123" si="82">N122/N121</f>
        <v>0.91214077415817152</v>
      </c>
      <c r="O123" s="29">
        <f t="shared" ref="O123" si="83">O122/O121</f>
        <v>0.92397377032861749</v>
      </c>
      <c r="P123" s="109">
        <f t="shared" si="79"/>
        <v>0.92397377032861749</v>
      </c>
    </row>
    <row r="124" spans="1:16" ht="14.4" x14ac:dyDescent="0.3">
      <c r="A124" s="308" t="s">
        <v>90</v>
      </c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10"/>
    </row>
    <row r="125" spans="1:16" x14ac:dyDescent="0.3">
      <c r="A125" s="247" t="s">
        <v>224</v>
      </c>
      <c r="B125" s="24" t="s">
        <v>85</v>
      </c>
      <c r="C125" s="11" t="s">
        <v>3</v>
      </c>
      <c r="D125" s="142">
        <f>Mangochi!D125+'Monkey Bay'!D125+Namwera!D125</f>
        <v>2</v>
      </c>
      <c r="E125" s="142">
        <f>Mangochi!E125+'Monkey Bay'!E125+Namwera!E125</f>
        <v>2</v>
      </c>
      <c r="F125" s="142">
        <f>Mangochi!F125+'Monkey Bay'!F125+Namwera!F125</f>
        <v>2</v>
      </c>
      <c r="G125" s="142">
        <f>Mangochi!G125+'Monkey Bay'!G125+Namwera!G125</f>
        <v>2</v>
      </c>
      <c r="H125" s="142">
        <f>Mangochi!H125+'Monkey Bay'!H125+Namwera!H125</f>
        <v>2</v>
      </c>
      <c r="I125" s="142">
        <f>Mangochi!I125+'Monkey Bay'!I125+Namwera!I125</f>
        <v>2</v>
      </c>
      <c r="J125" s="142">
        <f>Mangochi!J125+'Monkey Bay'!J125+Namwera!J125+Nkhudzi!J125</f>
        <v>2</v>
      </c>
      <c r="K125" s="142">
        <f>Mangochi!K125+'Monkey Bay'!K125+Namwera!K125+Nkhudzi!K125</f>
        <v>2</v>
      </c>
      <c r="L125" s="142">
        <f>Mangochi!L125+'Monkey Bay'!L125+Namwera!L125+Nkhudzi!L125</f>
        <v>2</v>
      </c>
      <c r="M125" s="142">
        <f>Mangochi!M125+'Monkey Bay'!M125+Namwera!M125+Nkhudzi!M125</f>
        <v>2</v>
      </c>
      <c r="N125" s="142">
        <f>Mangochi!N125+'Monkey Bay'!N125+Namwera!N125+Nkhudzi!N125</f>
        <v>0</v>
      </c>
      <c r="O125" s="142">
        <f>Mangochi!O125+'Monkey Bay'!O125+Namwera!O125+Nkhudzi!O125</f>
        <v>0</v>
      </c>
      <c r="P125" s="35">
        <f>D125</f>
        <v>2</v>
      </c>
    </row>
    <row r="126" spans="1:16" x14ac:dyDescent="0.3">
      <c r="A126" s="281"/>
      <c r="B126" s="24" t="s">
        <v>84</v>
      </c>
      <c r="C126" s="11" t="s">
        <v>3</v>
      </c>
      <c r="D126" s="142">
        <f>Mangochi!D126+'Monkey Bay'!D126+Namwera!D126</f>
        <v>0</v>
      </c>
      <c r="E126" s="142">
        <f>Mangochi!E126+'Monkey Bay'!E126+Namwera!E126</f>
        <v>0</v>
      </c>
      <c r="F126" s="142">
        <f>Mangochi!F126+'Monkey Bay'!F126+Namwera!F126</f>
        <v>0</v>
      </c>
      <c r="G126" s="142">
        <f>Mangochi!G126+'Monkey Bay'!G126+Namwera!G126</f>
        <v>0</v>
      </c>
      <c r="H126" s="142">
        <f>Mangochi!H126+'Monkey Bay'!H126+Namwera!H126</f>
        <v>0</v>
      </c>
      <c r="I126" s="142">
        <f>Mangochi!I126+'Monkey Bay'!I126+Namwera!I126</f>
        <v>0</v>
      </c>
      <c r="J126" s="142">
        <f>Mangochi!J126+'Monkey Bay'!J126+Namwera!J126+Nkhudzi!J126</f>
        <v>0</v>
      </c>
      <c r="K126" s="142">
        <f>Mangochi!K126+'Monkey Bay'!K126+Namwera!K126+Nkhudzi!K126</f>
        <v>0</v>
      </c>
      <c r="L126" s="142">
        <f>Mangochi!L126+'Monkey Bay'!L126+Namwera!L126+Nkhudzi!L126</f>
        <v>1</v>
      </c>
      <c r="M126" s="142">
        <f>Mangochi!M126+'Monkey Bay'!M126+Namwera!M126+Nkhudzi!M126</f>
        <v>0</v>
      </c>
      <c r="N126" s="142">
        <f>Mangochi!N126+'Monkey Bay'!N126+Namwera!N126+Nkhudzi!N126</f>
        <v>0</v>
      </c>
      <c r="O126" s="142">
        <f>Mangochi!O126+'Monkey Bay'!O126+Namwera!O126+Nkhudzi!O126</f>
        <v>0</v>
      </c>
      <c r="P126" s="74">
        <f>SUM(D126:O126)</f>
        <v>1</v>
      </c>
    </row>
    <row r="127" spans="1:16" x14ac:dyDescent="0.3">
      <c r="A127" s="281"/>
      <c r="B127" s="82" t="s">
        <v>88</v>
      </c>
      <c r="C127" s="11" t="s">
        <v>3</v>
      </c>
      <c r="D127" s="142">
        <f>Mangochi!D127+'Monkey Bay'!D127+Namwera!D127</f>
        <v>0</v>
      </c>
      <c r="E127" s="142">
        <f>Mangochi!E127+'Monkey Bay'!E127+Namwera!E127</f>
        <v>0</v>
      </c>
      <c r="F127" s="142">
        <f>Mangochi!F127+'Monkey Bay'!F127+Namwera!F127</f>
        <v>0</v>
      </c>
      <c r="G127" s="142">
        <f>Mangochi!G127+'Monkey Bay'!G127+Namwera!G127</f>
        <v>0</v>
      </c>
      <c r="H127" s="142">
        <f>Mangochi!H127+'Monkey Bay'!H127+Namwera!H127</f>
        <v>0</v>
      </c>
      <c r="I127" s="142">
        <f>Mangochi!I127+'Monkey Bay'!I127+Namwera!I127</f>
        <v>0</v>
      </c>
      <c r="J127" s="142">
        <f>Mangochi!J127+'Monkey Bay'!J127+Namwera!J127+Nkhudzi!J127</f>
        <v>0</v>
      </c>
      <c r="K127" s="142">
        <f>Mangochi!K127+'Monkey Bay'!K127+Namwera!K127+Nkhudzi!K127</f>
        <v>0</v>
      </c>
      <c r="L127" s="142">
        <f>Mangochi!L127+'Monkey Bay'!L127+Namwera!L127+Nkhudzi!L127</f>
        <v>0</v>
      </c>
      <c r="M127" s="142">
        <f>Mangochi!M127+'Monkey Bay'!M127+Namwera!M127+Nkhudzi!M127</f>
        <v>0</v>
      </c>
      <c r="N127" s="142">
        <f>Mangochi!N127+'Monkey Bay'!N127+Namwera!N127+Nkhudzi!N127</f>
        <v>0</v>
      </c>
      <c r="O127" s="142">
        <f>Mangochi!O127+'Monkey Bay'!O127+Namwera!O127+Nkhudzi!O127</f>
        <v>0</v>
      </c>
      <c r="P127" s="74">
        <f>SUM(D127:O127)</f>
        <v>0</v>
      </c>
    </row>
    <row r="128" spans="1:16" x14ac:dyDescent="0.3">
      <c r="A128" s="281"/>
      <c r="B128" s="24" t="s">
        <v>82</v>
      </c>
      <c r="C128" s="11" t="s">
        <v>3</v>
      </c>
      <c r="D128" s="142">
        <f>Mangochi!D128+'Monkey Bay'!D128+Namwera!D128</f>
        <v>0</v>
      </c>
      <c r="E128" s="142">
        <f>Mangochi!E128+'Monkey Bay'!E128+Namwera!E128</f>
        <v>0</v>
      </c>
      <c r="F128" s="142">
        <f>Mangochi!F128+'Monkey Bay'!F128+Namwera!F128</f>
        <v>0</v>
      </c>
      <c r="G128" s="142">
        <f>Mangochi!G128+'Monkey Bay'!G128+Namwera!G128</f>
        <v>0</v>
      </c>
      <c r="H128" s="142">
        <f>Mangochi!H128+'Monkey Bay'!H128+Namwera!H128</f>
        <v>0</v>
      </c>
      <c r="I128" s="142">
        <f>Mangochi!I128+'Monkey Bay'!I128+Namwera!I128</f>
        <v>0</v>
      </c>
      <c r="J128" s="142">
        <f>Mangochi!J128+'Monkey Bay'!J128+Namwera!J128+Nkhudzi!J128</f>
        <v>0</v>
      </c>
      <c r="K128" s="142">
        <f>Mangochi!K128+'Monkey Bay'!K128+Namwera!K128+Nkhudzi!K128</f>
        <v>0</v>
      </c>
      <c r="L128" s="142">
        <f>Mangochi!L128+'Monkey Bay'!L128+Namwera!L128+Nkhudzi!L128</f>
        <v>1</v>
      </c>
      <c r="M128" s="142">
        <f>Mangochi!M128+'Monkey Bay'!M128+Namwera!M128+Nkhudzi!M128</f>
        <v>2</v>
      </c>
      <c r="N128" s="142">
        <f>Mangochi!N128+'Monkey Bay'!N128+Namwera!N128+Nkhudzi!N128</f>
        <v>0</v>
      </c>
      <c r="O128" s="142">
        <f>Mangochi!O128+'Monkey Bay'!O128+Namwera!O128+Nkhudzi!O128</f>
        <v>0</v>
      </c>
      <c r="P128" s="74">
        <f>SUM(D128:O128)</f>
        <v>3</v>
      </c>
    </row>
    <row r="129" spans="1:16" x14ac:dyDescent="0.3">
      <c r="A129" s="248"/>
      <c r="B129" s="24" t="s">
        <v>81</v>
      </c>
      <c r="C129" s="11" t="s">
        <v>3</v>
      </c>
      <c r="D129" s="140">
        <f>D125+D126-D127-D128</f>
        <v>2</v>
      </c>
      <c r="E129" s="140">
        <f>E125+E126-E127-E128</f>
        <v>2</v>
      </c>
      <c r="F129" s="140">
        <f>F125+F126-F127-F128</f>
        <v>2</v>
      </c>
      <c r="G129" s="140">
        <f>G125+G126-G127-G128</f>
        <v>2</v>
      </c>
      <c r="H129" s="140">
        <f>H125+H126-H127-H128</f>
        <v>2</v>
      </c>
      <c r="I129" s="140">
        <f t="shared" ref="I129:J129" si="84">I125+I126-I127-I128</f>
        <v>2</v>
      </c>
      <c r="J129" s="140">
        <f t="shared" si="84"/>
        <v>2</v>
      </c>
      <c r="K129" s="140">
        <f t="shared" ref="K129:L129" si="85">K125+K126-K127-K128</f>
        <v>2</v>
      </c>
      <c r="L129" s="140">
        <f t="shared" si="85"/>
        <v>2</v>
      </c>
      <c r="M129" s="140">
        <f t="shared" ref="M129" si="86">M125+M126-M127-M128</f>
        <v>0</v>
      </c>
      <c r="N129" s="140">
        <f t="shared" ref="N129" si="87">N125+N126-N127-N128</f>
        <v>0</v>
      </c>
      <c r="O129" s="140">
        <f t="shared" ref="O129" si="88">O125+O126-O127-O128</f>
        <v>0</v>
      </c>
      <c r="P129" s="35">
        <f>P125+P126-P127-P128</f>
        <v>0</v>
      </c>
    </row>
    <row r="130" spans="1:16" x14ac:dyDescent="0.3">
      <c r="A130" s="247" t="s">
        <v>225</v>
      </c>
      <c r="B130" s="28" t="s">
        <v>85</v>
      </c>
      <c r="C130" s="27" t="s">
        <v>3</v>
      </c>
      <c r="D130" s="142">
        <f>Mangochi!D130+'Monkey Bay'!D130+Namwera!D130</f>
        <v>0</v>
      </c>
      <c r="E130" s="142">
        <f>Mangochi!E130+'Monkey Bay'!E130+Namwera!E130</f>
        <v>0</v>
      </c>
      <c r="F130" s="142">
        <f>Mangochi!F130+'Monkey Bay'!F130+Namwera!F130</f>
        <v>0</v>
      </c>
      <c r="G130" s="142">
        <f>Mangochi!G130+'Monkey Bay'!G130+Namwera!G130</f>
        <v>0</v>
      </c>
      <c r="H130" s="142">
        <f>Mangochi!H130+'Monkey Bay'!H130+Namwera!H130</f>
        <v>0</v>
      </c>
      <c r="I130" s="142">
        <f>Mangochi!I130+'Monkey Bay'!I130+Namwera!I130</f>
        <v>0</v>
      </c>
      <c r="J130" s="142">
        <f>Mangochi!J130+'Monkey Bay'!J130+Namwera!J130+Nkhudzi!J130</f>
        <v>0</v>
      </c>
      <c r="K130" s="142">
        <f>Mangochi!K130+'Monkey Bay'!K130+Namwera!K130+Nkhudzi!K130</f>
        <v>0</v>
      </c>
      <c r="L130" s="142">
        <f>Mangochi!L130+'Monkey Bay'!L130+Namwera!L130+Nkhudzi!L130</f>
        <v>0</v>
      </c>
      <c r="M130" s="142">
        <f>Mangochi!M130+'Monkey Bay'!M130+Namwera!M130+Nkhudzi!M130</f>
        <v>0</v>
      </c>
      <c r="N130" s="142">
        <f>Mangochi!N130+'Monkey Bay'!N130+Namwera!N130+Nkhudzi!N130</f>
        <v>0</v>
      </c>
      <c r="O130" s="142">
        <f>Mangochi!O130+'Monkey Bay'!O130+Namwera!O130+Nkhudzi!O130</f>
        <v>0</v>
      </c>
      <c r="P130" s="35">
        <f>D130</f>
        <v>0</v>
      </c>
    </row>
    <row r="131" spans="1:16" x14ac:dyDescent="0.3">
      <c r="A131" s="281"/>
      <c r="B131" s="24" t="s">
        <v>84</v>
      </c>
      <c r="C131" s="11" t="s">
        <v>3</v>
      </c>
      <c r="D131" s="142">
        <f>Mangochi!D131+'Monkey Bay'!D131+Namwera!D131</f>
        <v>0</v>
      </c>
      <c r="E131" s="142">
        <f>Mangochi!E131+'Monkey Bay'!E131+Namwera!E131</f>
        <v>0</v>
      </c>
      <c r="F131" s="142">
        <f>Mangochi!F131+'Monkey Bay'!F131+Namwera!F131</f>
        <v>0</v>
      </c>
      <c r="G131" s="142">
        <f>Mangochi!G131+'Monkey Bay'!G131+Namwera!G131</f>
        <v>0</v>
      </c>
      <c r="H131" s="142">
        <f>Mangochi!H131+'Monkey Bay'!H131+Namwera!H131</f>
        <v>0</v>
      </c>
      <c r="I131" s="142">
        <f>Mangochi!I131+'Monkey Bay'!I131+Namwera!I131</f>
        <v>0</v>
      </c>
      <c r="J131" s="142">
        <f>Mangochi!J131+'Monkey Bay'!J131+Namwera!J131+Nkhudzi!J131</f>
        <v>0</v>
      </c>
      <c r="K131" s="142">
        <f>Mangochi!K131+'Monkey Bay'!K131+Namwera!K131+Nkhudzi!K131</f>
        <v>0</v>
      </c>
      <c r="L131" s="142">
        <f>Mangochi!L131+'Monkey Bay'!L131+Namwera!L131+Nkhudzi!L131</f>
        <v>0</v>
      </c>
      <c r="M131" s="142">
        <f>Mangochi!M131+'Monkey Bay'!M131+Namwera!M131+Nkhudzi!M131</f>
        <v>0</v>
      </c>
      <c r="N131" s="142">
        <f>Mangochi!N131+'Monkey Bay'!N131+Namwera!N131+Nkhudzi!N131</f>
        <v>0</v>
      </c>
      <c r="O131" s="142">
        <f>Mangochi!O131+'Monkey Bay'!O131+Namwera!O131+Nkhudzi!O131</f>
        <v>0</v>
      </c>
      <c r="P131" s="74">
        <f>SUM(D131:O131)</f>
        <v>0</v>
      </c>
    </row>
    <row r="132" spans="1:16" x14ac:dyDescent="0.3">
      <c r="A132" s="281"/>
      <c r="B132" s="82" t="s">
        <v>88</v>
      </c>
      <c r="C132" s="11" t="s">
        <v>3</v>
      </c>
      <c r="D132" s="142">
        <f>Mangochi!D132+'Monkey Bay'!D132+Namwera!D132</f>
        <v>0</v>
      </c>
      <c r="E132" s="142">
        <f>Mangochi!E132+'Monkey Bay'!E132+Namwera!E132</f>
        <v>0</v>
      </c>
      <c r="F132" s="142">
        <f>Mangochi!F132+'Monkey Bay'!F132+Namwera!F132</f>
        <v>0</v>
      </c>
      <c r="G132" s="142">
        <f>Mangochi!G132+'Monkey Bay'!G132+Namwera!G132</f>
        <v>0</v>
      </c>
      <c r="H132" s="142">
        <f>Mangochi!H132+'Monkey Bay'!H132+Namwera!H132</f>
        <v>0</v>
      </c>
      <c r="I132" s="142">
        <f>Mangochi!I132+'Monkey Bay'!I132+Namwera!I132</f>
        <v>0</v>
      </c>
      <c r="J132" s="142">
        <f>Mangochi!J132+'Monkey Bay'!J132+Namwera!J132+Nkhudzi!J132</f>
        <v>0</v>
      </c>
      <c r="K132" s="142">
        <f>Mangochi!K132+'Monkey Bay'!K132+Namwera!K132+Nkhudzi!K132</f>
        <v>0</v>
      </c>
      <c r="L132" s="142">
        <f>Mangochi!L132+'Monkey Bay'!L132+Namwera!L132+Nkhudzi!L132</f>
        <v>0</v>
      </c>
      <c r="M132" s="142">
        <f>Mangochi!M132+'Monkey Bay'!M132+Namwera!M132+Nkhudzi!M132</f>
        <v>0</v>
      </c>
      <c r="N132" s="142">
        <f>Mangochi!N132+'Monkey Bay'!N132+Namwera!N132+Nkhudzi!N132</f>
        <v>0</v>
      </c>
      <c r="O132" s="142">
        <f>Mangochi!O132+'Monkey Bay'!O132+Namwera!O132+Nkhudzi!O132</f>
        <v>0</v>
      </c>
      <c r="P132" s="74">
        <f>SUM(D132:O132)</f>
        <v>0</v>
      </c>
    </row>
    <row r="133" spans="1:16" x14ac:dyDescent="0.3">
      <c r="A133" s="281"/>
      <c r="B133" s="24" t="s">
        <v>82</v>
      </c>
      <c r="C133" s="11" t="s">
        <v>3</v>
      </c>
      <c r="D133" s="142">
        <f>Mangochi!D133+'Monkey Bay'!D133+Namwera!D133</f>
        <v>0</v>
      </c>
      <c r="E133" s="142">
        <f>Mangochi!E133+'Monkey Bay'!E133+Namwera!E133</f>
        <v>0</v>
      </c>
      <c r="F133" s="142">
        <f>Mangochi!F133+'Monkey Bay'!F133+Namwera!F133</f>
        <v>0</v>
      </c>
      <c r="G133" s="142">
        <f>Mangochi!G133+'Monkey Bay'!G133+Namwera!G133</f>
        <v>0</v>
      </c>
      <c r="H133" s="142">
        <f>Mangochi!H133+'Monkey Bay'!H133+Namwera!H133</f>
        <v>0</v>
      </c>
      <c r="I133" s="142">
        <f>Mangochi!I133+'Monkey Bay'!I133+Namwera!I133</f>
        <v>0</v>
      </c>
      <c r="J133" s="142">
        <f>Mangochi!J133+'Monkey Bay'!J133+Namwera!J133+Nkhudzi!J133</f>
        <v>0</v>
      </c>
      <c r="K133" s="142">
        <f>Mangochi!K133+'Monkey Bay'!K133+Namwera!K133+Nkhudzi!K133</f>
        <v>0</v>
      </c>
      <c r="L133" s="142">
        <f>Mangochi!L133+'Monkey Bay'!L133+Namwera!L133+Nkhudzi!L133</f>
        <v>0</v>
      </c>
      <c r="M133" s="142">
        <f>Mangochi!M133+'Monkey Bay'!M133+Namwera!M133+Nkhudzi!M133</f>
        <v>0</v>
      </c>
      <c r="N133" s="142">
        <f>Mangochi!N133+'Monkey Bay'!N133+Namwera!N133+Nkhudzi!N133</f>
        <v>0</v>
      </c>
      <c r="O133" s="142">
        <f>Mangochi!O133+'Monkey Bay'!O133+Namwera!O133+Nkhudzi!O133</f>
        <v>0</v>
      </c>
      <c r="P133" s="74">
        <f>SUM(D133:O133)</f>
        <v>0</v>
      </c>
    </row>
    <row r="134" spans="1:16" x14ac:dyDescent="0.3">
      <c r="A134" s="248"/>
      <c r="B134" s="24" t="s">
        <v>81</v>
      </c>
      <c r="C134" s="11" t="s">
        <v>3</v>
      </c>
      <c r="D134" s="140">
        <f>D130+D131-D132-D133</f>
        <v>0</v>
      </c>
      <c r="E134" s="140">
        <f>E130+E131-E132-E133</f>
        <v>0</v>
      </c>
      <c r="F134" s="140">
        <f>F130+F131-F132-F133</f>
        <v>0</v>
      </c>
      <c r="G134" s="140">
        <f>G130+G131-G132-G133</f>
        <v>0</v>
      </c>
      <c r="H134" s="140">
        <f>H130+H131-H132-H133</f>
        <v>0</v>
      </c>
      <c r="I134" s="140">
        <f t="shared" ref="I134:J134" si="89">I130+I131-I132-I133</f>
        <v>0</v>
      </c>
      <c r="J134" s="140">
        <f t="shared" si="89"/>
        <v>0</v>
      </c>
      <c r="K134" s="140">
        <f t="shared" ref="K134:L134" si="90">K130+K131-K132-K133</f>
        <v>0</v>
      </c>
      <c r="L134" s="140">
        <f t="shared" si="90"/>
        <v>0</v>
      </c>
      <c r="M134" s="140">
        <f t="shared" ref="M134" si="91">M130+M131-M132-M133</f>
        <v>0</v>
      </c>
      <c r="N134" s="140">
        <f t="shared" ref="N134" si="92">N130+N131-N132-N133</f>
        <v>0</v>
      </c>
      <c r="O134" s="140">
        <f t="shared" ref="O134" si="93">O130+O131-O132-O133</f>
        <v>0</v>
      </c>
      <c r="P134" s="35">
        <f>P130+P131-P132-P133</f>
        <v>0</v>
      </c>
    </row>
    <row r="135" spans="1:16" x14ac:dyDescent="0.3">
      <c r="A135" s="247" t="s">
        <v>89</v>
      </c>
      <c r="B135" s="24" t="s">
        <v>85</v>
      </c>
      <c r="C135" s="11" t="s">
        <v>3</v>
      </c>
      <c r="D135" s="142">
        <f>Mangochi!D135+'Monkey Bay'!D135+Namwera!D135</f>
        <v>3</v>
      </c>
      <c r="E135" s="142">
        <f>Mangochi!E135+'Monkey Bay'!E135+Namwera!E135</f>
        <v>3</v>
      </c>
      <c r="F135" s="142">
        <f>Mangochi!F135+'Monkey Bay'!F135+Namwera!F135</f>
        <v>3</v>
      </c>
      <c r="G135" s="142">
        <f>Mangochi!G135+'Monkey Bay'!G135+Namwera!G135</f>
        <v>3</v>
      </c>
      <c r="H135" s="142">
        <f>Mangochi!H135+'Monkey Bay'!H135+Namwera!H135</f>
        <v>3</v>
      </c>
      <c r="I135" s="142">
        <f>Mangochi!I135+'Monkey Bay'!I135+Namwera!I135</f>
        <v>3</v>
      </c>
      <c r="J135" s="142">
        <f>Mangochi!J135+'Monkey Bay'!J135+Namwera!J135+Nkhudzi!J135</f>
        <v>3</v>
      </c>
      <c r="K135" s="142">
        <f>Mangochi!K135+'Monkey Bay'!K135+Namwera!K135+Nkhudzi!K135</f>
        <v>3</v>
      </c>
      <c r="L135" s="142">
        <f>Mangochi!L135+'Monkey Bay'!L135+Namwera!L135+Nkhudzi!L135</f>
        <v>3</v>
      </c>
      <c r="M135" s="142">
        <f>Mangochi!M135+'Monkey Bay'!M135+Namwera!M135+Nkhudzi!M135</f>
        <v>3</v>
      </c>
      <c r="N135" s="142">
        <f>Mangochi!N135+'Monkey Bay'!N135+Namwera!N135+Nkhudzi!N135</f>
        <v>0</v>
      </c>
      <c r="O135" s="142">
        <f>Mangochi!O135+'Monkey Bay'!O135+Namwera!O135+Nkhudzi!O135</f>
        <v>0</v>
      </c>
      <c r="P135" s="35">
        <f>D135</f>
        <v>3</v>
      </c>
    </row>
    <row r="136" spans="1:16" x14ac:dyDescent="0.3">
      <c r="A136" s="281"/>
      <c r="B136" s="24" t="s">
        <v>84</v>
      </c>
      <c r="C136" s="11" t="s">
        <v>3</v>
      </c>
      <c r="D136" s="142">
        <f>Mangochi!D136+'Monkey Bay'!D136+Namwera!D136</f>
        <v>0</v>
      </c>
      <c r="E136" s="142">
        <f>Mangochi!E136+'Monkey Bay'!E136+Namwera!E136</f>
        <v>0</v>
      </c>
      <c r="F136" s="142">
        <f>Mangochi!F136+'Monkey Bay'!F136+Namwera!F136</f>
        <v>0</v>
      </c>
      <c r="G136" s="142">
        <f>Mangochi!G136+'Monkey Bay'!G136+Namwera!G136</f>
        <v>0</v>
      </c>
      <c r="H136" s="142">
        <f>Mangochi!H136+'Monkey Bay'!H136+Namwera!H136</f>
        <v>0</v>
      </c>
      <c r="I136" s="142">
        <f>Mangochi!I136+'Monkey Bay'!I136+Namwera!I136</f>
        <v>0</v>
      </c>
      <c r="J136" s="142">
        <f>Mangochi!J136+'Monkey Bay'!J136+Namwera!J136+Nkhudzi!J136</f>
        <v>0</v>
      </c>
      <c r="K136" s="142">
        <f>Mangochi!K136+'Monkey Bay'!K136+Namwera!K136+Nkhudzi!K136</f>
        <v>0</v>
      </c>
      <c r="L136" s="142">
        <f>Mangochi!L136+'Monkey Bay'!L136+Namwera!L136+Nkhudzi!L136</f>
        <v>0</v>
      </c>
      <c r="M136" s="142">
        <f>Mangochi!M136+'Monkey Bay'!M136+Namwera!M136+Nkhudzi!M136</f>
        <v>0</v>
      </c>
      <c r="N136" s="142">
        <f>Mangochi!N136+'Monkey Bay'!N136+Namwera!N136+Nkhudzi!N136</f>
        <v>0</v>
      </c>
      <c r="O136" s="142">
        <f>Mangochi!O136+'Monkey Bay'!O136+Namwera!O136+Nkhudzi!O136</f>
        <v>0</v>
      </c>
      <c r="P136" s="74">
        <f>SUM(D136:O136)</f>
        <v>0</v>
      </c>
    </row>
    <row r="137" spans="1:16" x14ac:dyDescent="0.3">
      <c r="A137" s="281"/>
      <c r="B137" s="82" t="s">
        <v>88</v>
      </c>
      <c r="C137" s="11" t="s">
        <v>3</v>
      </c>
      <c r="D137" s="142">
        <f>Mangochi!D137+'Monkey Bay'!D137+Namwera!D137</f>
        <v>0</v>
      </c>
      <c r="E137" s="142">
        <f>Mangochi!E137+'Monkey Bay'!E137+Namwera!E137</f>
        <v>0</v>
      </c>
      <c r="F137" s="142">
        <f>Mangochi!F137+'Monkey Bay'!F137+Namwera!F137</f>
        <v>0</v>
      </c>
      <c r="G137" s="142">
        <f>Mangochi!G137+'Monkey Bay'!G137+Namwera!G137</f>
        <v>0</v>
      </c>
      <c r="H137" s="142">
        <f>Mangochi!H137+'Monkey Bay'!H137+Namwera!H137</f>
        <v>0</v>
      </c>
      <c r="I137" s="142">
        <f>Mangochi!I137+'Monkey Bay'!I137+Namwera!I137</f>
        <v>0</v>
      </c>
      <c r="J137" s="142">
        <f>Mangochi!J137+'Monkey Bay'!J137+Namwera!J137+Nkhudzi!J137</f>
        <v>0</v>
      </c>
      <c r="K137" s="142">
        <f>Mangochi!K137+'Monkey Bay'!K137+Namwera!K137+Nkhudzi!K137</f>
        <v>0</v>
      </c>
      <c r="L137" s="142">
        <f>Mangochi!L137+'Monkey Bay'!L137+Namwera!L137+Nkhudzi!L137</f>
        <v>0</v>
      </c>
      <c r="M137" s="142">
        <f>Mangochi!M137+'Monkey Bay'!M137+Namwera!M137+Nkhudzi!M137</f>
        <v>0</v>
      </c>
      <c r="N137" s="142">
        <f>Mangochi!N137+'Monkey Bay'!N137+Namwera!N137+Nkhudzi!N137</f>
        <v>0</v>
      </c>
      <c r="O137" s="142">
        <f>Mangochi!O137+'Monkey Bay'!O137+Namwera!O137+Nkhudzi!O137</f>
        <v>0</v>
      </c>
      <c r="P137" s="74">
        <f>SUM(D137:O137)</f>
        <v>0</v>
      </c>
    </row>
    <row r="138" spans="1:16" x14ac:dyDescent="0.3">
      <c r="A138" s="281"/>
      <c r="B138" s="24" t="s">
        <v>82</v>
      </c>
      <c r="C138" s="11" t="s">
        <v>3</v>
      </c>
      <c r="D138" s="142">
        <f>Mangochi!D138+'Monkey Bay'!D138+Namwera!D138</f>
        <v>0</v>
      </c>
      <c r="E138" s="142">
        <f>Mangochi!E138+'Monkey Bay'!E138+Namwera!E138</f>
        <v>0</v>
      </c>
      <c r="F138" s="142">
        <f>Mangochi!F138+'Monkey Bay'!F138+Namwera!F138</f>
        <v>0</v>
      </c>
      <c r="G138" s="142">
        <f>Mangochi!G138+'Monkey Bay'!G138+Namwera!G138</f>
        <v>0</v>
      </c>
      <c r="H138" s="142">
        <f>Mangochi!H138+'Monkey Bay'!H138+Namwera!H138</f>
        <v>0</v>
      </c>
      <c r="I138" s="142">
        <f>Mangochi!I138+'Monkey Bay'!I138+Namwera!I138</f>
        <v>0</v>
      </c>
      <c r="J138" s="142">
        <f>Mangochi!J138+'Monkey Bay'!J138+Namwera!J138+Nkhudzi!J138</f>
        <v>0</v>
      </c>
      <c r="K138" s="142">
        <f>Mangochi!K138+'Monkey Bay'!K138+Namwera!K138+Nkhudzi!K138</f>
        <v>0</v>
      </c>
      <c r="L138" s="142">
        <f>Mangochi!L138+'Monkey Bay'!L138+Namwera!L138+Nkhudzi!L138</f>
        <v>0</v>
      </c>
      <c r="M138" s="142">
        <f>Mangochi!M138+'Monkey Bay'!M138+Namwera!M138+Nkhudzi!M138</f>
        <v>3</v>
      </c>
      <c r="N138" s="142">
        <f>Mangochi!N138+'Monkey Bay'!N138+Namwera!N138+Nkhudzi!N138</f>
        <v>0</v>
      </c>
      <c r="O138" s="142">
        <f>Mangochi!O138+'Monkey Bay'!O138+Namwera!O138+Nkhudzi!O138</f>
        <v>0</v>
      </c>
      <c r="P138" s="74">
        <f>SUM(D138:O138)</f>
        <v>3</v>
      </c>
    </row>
    <row r="139" spans="1:16" x14ac:dyDescent="0.3">
      <c r="A139" s="248"/>
      <c r="B139" s="24" t="s">
        <v>81</v>
      </c>
      <c r="C139" s="11" t="s">
        <v>3</v>
      </c>
      <c r="D139" s="140">
        <f>D135+D136-D137-D138</f>
        <v>3</v>
      </c>
      <c r="E139" s="140">
        <f>E135+E136-E137-E138</f>
        <v>3</v>
      </c>
      <c r="F139" s="140">
        <f>F135+F136-F137-F138</f>
        <v>3</v>
      </c>
      <c r="G139" s="140">
        <f>G135+G136-G137-G138</f>
        <v>3</v>
      </c>
      <c r="H139" s="140">
        <f>H135+H136-H137-H138</f>
        <v>3</v>
      </c>
      <c r="I139" s="140">
        <f t="shared" ref="I139:J139" si="94">I135+I136-I137-I138</f>
        <v>3</v>
      </c>
      <c r="J139" s="140">
        <f t="shared" si="94"/>
        <v>3</v>
      </c>
      <c r="K139" s="140">
        <f t="shared" ref="K139:L139" si="95">K135+K136-K137-K138</f>
        <v>3</v>
      </c>
      <c r="L139" s="140">
        <f t="shared" si="95"/>
        <v>3</v>
      </c>
      <c r="M139" s="140">
        <f t="shared" ref="M139" si="96">M135+M136-M137-M138</f>
        <v>0</v>
      </c>
      <c r="N139" s="140">
        <f t="shared" ref="N139" si="97">N135+N136-N137-N138</f>
        <v>0</v>
      </c>
      <c r="O139" s="140">
        <f t="shared" ref="O139" si="98">O135+O136-O137-O138</f>
        <v>0</v>
      </c>
      <c r="P139" s="35">
        <f>P135+P136-P137-P138</f>
        <v>0</v>
      </c>
    </row>
    <row r="140" spans="1:16" x14ac:dyDescent="0.3">
      <c r="A140" s="247" t="s">
        <v>87</v>
      </c>
      <c r="B140" s="24" t="s">
        <v>85</v>
      </c>
      <c r="C140" s="11" t="s">
        <v>3</v>
      </c>
      <c r="D140" s="142">
        <f>Mangochi!D140+'Monkey Bay'!D140+Namwera!D140</f>
        <v>1292</v>
      </c>
      <c r="E140" s="142">
        <f>Mangochi!E140+'Monkey Bay'!E140+Namwera!E140</f>
        <v>1295</v>
      </c>
      <c r="F140" s="142">
        <f>Mangochi!F140+'Monkey Bay'!F140+Namwera!F140</f>
        <v>1367</v>
      </c>
      <c r="G140" s="142">
        <f>Mangochi!G140+'Monkey Bay'!G140+Namwera!G140</f>
        <v>1638</v>
      </c>
      <c r="H140" s="142">
        <f>Mangochi!H140+'Monkey Bay'!H140+Namwera!H140</f>
        <v>1558</v>
      </c>
      <c r="I140" s="142">
        <f>Mangochi!I140+'Monkey Bay'!I140+Namwera!I140</f>
        <v>1573</v>
      </c>
      <c r="J140" s="142">
        <f>Mangochi!J140+'Monkey Bay'!J140+Namwera!J140+Nkhudzi!J140</f>
        <v>1520</v>
      </c>
      <c r="K140" s="142">
        <f>Mangochi!K140+'Monkey Bay'!K140+Namwera!K140+Nkhudzi!K140</f>
        <v>1509</v>
      </c>
      <c r="L140" s="142">
        <f>Mangochi!L140+'Monkey Bay'!L140+Namwera!L140+Nkhudzi!L140</f>
        <v>1442</v>
      </c>
      <c r="M140" s="142">
        <f>Mangochi!M140+'Monkey Bay'!M140+Namwera!M140+Nkhudzi!M140</f>
        <v>1346</v>
      </c>
      <c r="N140" s="142">
        <f>Mangochi!N140+'Monkey Bay'!N140+Namwera!N140+Nkhudzi!N140</f>
        <v>395</v>
      </c>
      <c r="O140" s="142">
        <f>Mangochi!O140+'Monkey Bay'!O140+Namwera!O140+Nkhudzi!O140</f>
        <v>40</v>
      </c>
      <c r="P140" s="35">
        <f>D140</f>
        <v>1292</v>
      </c>
    </row>
    <row r="141" spans="1:16" x14ac:dyDescent="0.3">
      <c r="A141" s="281"/>
      <c r="B141" s="24" t="s">
        <v>84</v>
      </c>
      <c r="C141" s="11" t="s">
        <v>3</v>
      </c>
      <c r="D141" s="142">
        <f>Mangochi!D141+'Monkey Bay'!D141+Namwera!D141</f>
        <v>18</v>
      </c>
      <c r="E141" s="142">
        <f>Mangochi!E141+'Monkey Bay'!E141+Namwera!E141</f>
        <v>15</v>
      </c>
      <c r="F141" s="142">
        <f>Mangochi!F141+'Monkey Bay'!F141+Namwera!F141</f>
        <v>21</v>
      </c>
      <c r="G141" s="142">
        <f>Mangochi!G141+'Monkey Bay'!G141+Namwera!G141</f>
        <v>33</v>
      </c>
      <c r="H141" s="142">
        <f>Mangochi!H141+'Monkey Bay'!H141+Namwera!H141</f>
        <v>40</v>
      </c>
      <c r="I141" s="142">
        <f>Mangochi!I141+'Monkey Bay'!I141+Namwera!I141</f>
        <v>29</v>
      </c>
      <c r="J141" s="142">
        <f>Mangochi!J141+'Monkey Bay'!J141+Namwera!J141+Nkhudzi!J141</f>
        <v>17</v>
      </c>
      <c r="K141" s="142">
        <f>Mangochi!K141+'Monkey Bay'!K141+Namwera!K141+Nkhudzi!K141</f>
        <v>30</v>
      </c>
      <c r="L141" s="142">
        <f>Mangochi!L141+'Monkey Bay'!L141+Namwera!L141+Nkhudzi!L141</f>
        <v>73</v>
      </c>
      <c r="M141" s="142">
        <f>Mangochi!M141+'Monkey Bay'!M141+Namwera!M141+Nkhudzi!M141</f>
        <v>24</v>
      </c>
      <c r="N141" s="142">
        <f>Mangochi!N141+'Monkey Bay'!N141+Namwera!N141+Nkhudzi!N141</f>
        <v>21</v>
      </c>
      <c r="O141" s="142">
        <f>Mangochi!O141+'Monkey Bay'!O141+Namwera!O141+Nkhudzi!O141</f>
        <v>396</v>
      </c>
      <c r="P141" s="74">
        <f>SUM(D141:O141)</f>
        <v>717</v>
      </c>
    </row>
    <row r="142" spans="1:16" x14ac:dyDescent="0.3">
      <c r="A142" s="281"/>
      <c r="B142" s="24" t="s">
        <v>83</v>
      </c>
      <c r="C142" s="11" t="s">
        <v>3</v>
      </c>
      <c r="D142" s="142">
        <f>Mangochi!D142+'Monkey Bay'!D142+Namwera!D142</f>
        <v>6</v>
      </c>
      <c r="E142" s="142">
        <f>Mangochi!E142+'Monkey Bay'!E142+Namwera!E142</f>
        <v>8</v>
      </c>
      <c r="F142" s="142">
        <f>Mangochi!F142+'Monkey Bay'!F142+Namwera!F142</f>
        <v>9</v>
      </c>
      <c r="G142" s="142">
        <f>Mangochi!G142+'Monkey Bay'!G142+Namwera!G142</f>
        <v>4</v>
      </c>
      <c r="H142" s="142">
        <f>Mangochi!H142+'Monkey Bay'!H142+Namwera!H142</f>
        <v>10</v>
      </c>
      <c r="I142" s="142">
        <f>Mangochi!I142+'Monkey Bay'!I142+Namwera!I142</f>
        <v>8</v>
      </c>
      <c r="J142" s="142">
        <f>Mangochi!J142+'Monkey Bay'!J142+Namwera!J142+Nkhudzi!J142</f>
        <v>4</v>
      </c>
      <c r="K142" s="142">
        <f>Mangochi!K142+'Monkey Bay'!K142+Namwera!K142+Nkhudzi!K142</f>
        <v>11</v>
      </c>
      <c r="L142" s="142">
        <f>Mangochi!L142+'Monkey Bay'!L142+Namwera!L142+Nkhudzi!L142</f>
        <v>4</v>
      </c>
      <c r="M142" s="142">
        <f>Mangochi!M142+'Monkey Bay'!M142+Namwera!M142+Nkhudzi!M142</f>
        <v>1</v>
      </c>
      <c r="N142" s="142">
        <f>Mangochi!N142+'Monkey Bay'!N142+Namwera!N142+Nkhudzi!N142</f>
        <v>2</v>
      </c>
      <c r="O142" s="142">
        <f>Mangochi!O142+'Monkey Bay'!O142+Namwera!O142+Nkhudzi!O142</f>
        <v>2</v>
      </c>
      <c r="P142" s="74">
        <f>SUM(D142:O142)</f>
        <v>69</v>
      </c>
    </row>
    <row r="143" spans="1:16" x14ac:dyDescent="0.3">
      <c r="A143" s="281"/>
      <c r="B143" s="24" t="s">
        <v>82</v>
      </c>
      <c r="C143" s="11" t="s">
        <v>3</v>
      </c>
      <c r="D143" s="142">
        <f>Mangochi!D143+'Monkey Bay'!D143+Namwera!D143</f>
        <v>9</v>
      </c>
      <c r="E143" s="142">
        <f>Mangochi!E143+'Monkey Bay'!E143+Namwera!E143</f>
        <v>9</v>
      </c>
      <c r="F143" s="142">
        <f>Mangochi!F143+'Monkey Bay'!F143+Namwera!F143</f>
        <v>8</v>
      </c>
      <c r="G143" s="142">
        <f>Mangochi!G143+'Monkey Bay'!G143+Namwera!G143</f>
        <v>23</v>
      </c>
      <c r="H143" s="142">
        <f>Mangochi!H143+'Monkey Bay'!H143+Namwera!H143</f>
        <v>95</v>
      </c>
      <c r="I143" s="142">
        <f>Mangochi!I143+'Monkey Bay'!I143+Namwera!I143</f>
        <v>1</v>
      </c>
      <c r="J143" s="142">
        <f>Mangochi!J143+'Monkey Bay'!J143+Namwera!J143+Nkhudzi!J143</f>
        <v>9</v>
      </c>
      <c r="K143" s="142">
        <f>Mangochi!K143+'Monkey Bay'!K143+Namwera!K143+Nkhudzi!K143</f>
        <v>6</v>
      </c>
      <c r="L143" s="142">
        <f>Mangochi!L143+'Monkey Bay'!L143+Namwera!L143+Nkhudzi!L143</f>
        <v>165</v>
      </c>
      <c r="M143" s="142">
        <f>Mangochi!M143+'Monkey Bay'!M143+Namwera!M143+Nkhudzi!M143</f>
        <v>974</v>
      </c>
      <c r="N143" s="142">
        <f>Mangochi!N143+'Monkey Bay'!N143+Namwera!N143+Nkhudzi!N143</f>
        <v>374</v>
      </c>
      <c r="O143" s="142">
        <f>Mangochi!O143+'Monkey Bay'!O143+Namwera!O143+Nkhudzi!O143</f>
        <v>62</v>
      </c>
      <c r="P143" s="74">
        <f>SUM(D143:O143)</f>
        <v>1735</v>
      </c>
    </row>
    <row r="144" spans="1:16" x14ac:dyDescent="0.3">
      <c r="A144" s="248"/>
      <c r="B144" s="24" t="s">
        <v>81</v>
      </c>
      <c r="C144" s="11" t="s">
        <v>3</v>
      </c>
      <c r="D144" s="140">
        <f>D140+D141-D142-D143</f>
        <v>1295</v>
      </c>
      <c r="E144" s="140">
        <f t="shared" ref="E144:J144" si="99">E140+E141-E142-E143</f>
        <v>1293</v>
      </c>
      <c r="F144" s="140">
        <f t="shared" si="99"/>
        <v>1371</v>
      </c>
      <c r="G144" s="140">
        <f t="shared" si="99"/>
        <v>1644</v>
      </c>
      <c r="H144" s="140">
        <f t="shared" si="99"/>
        <v>1493</v>
      </c>
      <c r="I144" s="140">
        <f t="shared" si="99"/>
        <v>1593</v>
      </c>
      <c r="J144" s="140">
        <f t="shared" si="99"/>
        <v>1524</v>
      </c>
      <c r="K144" s="140">
        <f t="shared" ref="K144:L144" si="100">K140+K141-K142-K143</f>
        <v>1522</v>
      </c>
      <c r="L144" s="140">
        <f t="shared" si="100"/>
        <v>1346</v>
      </c>
      <c r="M144" s="140">
        <f t="shared" ref="M144" si="101">M140+M141-M142-M143</f>
        <v>395</v>
      </c>
      <c r="N144" s="140">
        <f t="shared" ref="N144" si="102">N140+N141-N142-N143</f>
        <v>40</v>
      </c>
      <c r="O144" s="140">
        <f t="shared" ref="O144" si="103">O140+O141-O142-O143</f>
        <v>372</v>
      </c>
      <c r="P144" s="35">
        <f>P140+P141-P142-P143</f>
        <v>205</v>
      </c>
    </row>
    <row r="145" spans="1:16" s="2" customFormat="1" x14ac:dyDescent="0.3">
      <c r="A145" s="247" t="s">
        <v>86</v>
      </c>
      <c r="B145" s="24" t="s">
        <v>85</v>
      </c>
      <c r="C145" s="11" t="s">
        <v>3</v>
      </c>
      <c r="D145" s="141">
        <f>D125+D130+D135+D140</f>
        <v>1297</v>
      </c>
      <c r="E145" s="141">
        <f t="shared" ref="E145:J145" si="104">E125+E130+E135+E140</f>
        <v>1300</v>
      </c>
      <c r="F145" s="141">
        <f t="shared" si="104"/>
        <v>1372</v>
      </c>
      <c r="G145" s="141">
        <f t="shared" si="104"/>
        <v>1643</v>
      </c>
      <c r="H145" s="141">
        <f t="shared" si="104"/>
        <v>1563</v>
      </c>
      <c r="I145" s="141">
        <f t="shared" si="104"/>
        <v>1578</v>
      </c>
      <c r="J145" s="141">
        <f t="shared" si="104"/>
        <v>1525</v>
      </c>
      <c r="K145" s="141">
        <f t="shared" ref="K145:L145" si="105">K125+K130+K135+K140</f>
        <v>1514</v>
      </c>
      <c r="L145" s="141">
        <f t="shared" si="105"/>
        <v>1447</v>
      </c>
      <c r="M145" s="141">
        <f t="shared" ref="M145" si="106">M125+M130+M135+M140</f>
        <v>1351</v>
      </c>
      <c r="N145" s="141">
        <f t="shared" ref="N145" si="107">N125+N130+N135+N140</f>
        <v>395</v>
      </c>
      <c r="O145" s="141">
        <f t="shared" ref="O145" si="108">O125+O130+O135+O140</f>
        <v>40</v>
      </c>
      <c r="P145" s="110">
        <f t="shared" ref="P145:P149" si="109">P125+P130+P135+P140</f>
        <v>1297</v>
      </c>
    </row>
    <row r="146" spans="1:16" x14ac:dyDescent="0.3">
      <c r="A146" s="281"/>
      <c r="B146" s="24" t="s">
        <v>84</v>
      </c>
      <c r="C146" s="11" t="s">
        <v>3</v>
      </c>
      <c r="D146" s="141">
        <f t="shared" ref="D146:J148" si="110">D126+D131+D136+D141</f>
        <v>18</v>
      </c>
      <c r="E146" s="141">
        <f t="shared" si="110"/>
        <v>15</v>
      </c>
      <c r="F146" s="141">
        <f t="shared" si="110"/>
        <v>21</v>
      </c>
      <c r="G146" s="141">
        <f t="shared" si="110"/>
        <v>33</v>
      </c>
      <c r="H146" s="141">
        <f t="shared" si="110"/>
        <v>40</v>
      </c>
      <c r="I146" s="141">
        <f t="shared" si="110"/>
        <v>29</v>
      </c>
      <c r="J146" s="141">
        <f t="shared" si="110"/>
        <v>17</v>
      </c>
      <c r="K146" s="141">
        <f t="shared" ref="K146:L146" si="111">K126+K131+K136+K141</f>
        <v>30</v>
      </c>
      <c r="L146" s="141">
        <f t="shared" si="111"/>
        <v>74</v>
      </c>
      <c r="M146" s="141">
        <f t="shared" ref="M146" si="112">M126+M131+M136+M141</f>
        <v>24</v>
      </c>
      <c r="N146" s="141">
        <f t="shared" ref="N146" si="113">N126+N131+N136+N141</f>
        <v>21</v>
      </c>
      <c r="O146" s="141">
        <f t="shared" ref="O146" si="114">O126+O131+O136+O141</f>
        <v>396</v>
      </c>
      <c r="P146" s="110">
        <f t="shared" si="109"/>
        <v>718</v>
      </c>
    </row>
    <row r="147" spans="1:16" x14ac:dyDescent="0.3">
      <c r="A147" s="281"/>
      <c r="B147" s="24" t="s">
        <v>83</v>
      </c>
      <c r="C147" s="11" t="s">
        <v>3</v>
      </c>
      <c r="D147" s="141">
        <f t="shared" si="110"/>
        <v>6</v>
      </c>
      <c r="E147" s="141">
        <f t="shared" si="110"/>
        <v>8</v>
      </c>
      <c r="F147" s="141">
        <f t="shared" si="110"/>
        <v>9</v>
      </c>
      <c r="G147" s="141">
        <f t="shared" si="110"/>
        <v>4</v>
      </c>
      <c r="H147" s="141">
        <f t="shared" si="110"/>
        <v>10</v>
      </c>
      <c r="I147" s="141">
        <f t="shared" si="110"/>
        <v>8</v>
      </c>
      <c r="J147" s="141">
        <f t="shared" si="110"/>
        <v>4</v>
      </c>
      <c r="K147" s="141">
        <f t="shared" ref="K147:L147" si="115">K127+K132+K137+K142</f>
        <v>11</v>
      </c>
      <c r="L147" s="141">
        <f t="shared" si="115"/>
        <v>4</v>
      </c>
      <c r="M147" s="141">
        <f t="shared" ref="M147" si="116">M127+M132+M137+M142</f>
        <v>1</v>
      </c>
      <c r="N147" s="141">
        <f t="shared" ref="N147" si="117">N127+N132+N137+N142</f>
        <v>2</v>
      </c>
      <c r="O147" s="141">
        <f t="shared" ref="O147" si="118">O127+O132+O137+O142</f>
        <v>2</v>
      </c>
      <c r="P147" s="110">
        <f t="shared" si="109"/>
        <v>69</v>
      </c>
    </row>
    <row r="148" spans="1:16" x14ac:dyDescent="0.3">
      <c r="A148" s="281"/>
      <c r="B148" s="24" t="s">
        <v>82</v>
      </c>
      <c r="C148" s="11" t="s">
        <v>3</v>
      </c>
      <c r="D148" s="141">
        <f t="shared" si="110"/>
        <v>9</v>
      </c>
      <c r="E148" s="141">
        <f t="shared" si="110"/>
        <v>9</v>
      </c>
      <c r="F148" s="141">
        <f t="shared" si="110"/>
        <v>8</v>
      </c>
      <c r="G148" s="141">
        <f t="shared" si="110"/>
        <v>23</v>
      </c>
      <c r="H148" s="141">
        <f t="shared" si="110"/>
        <v>95</v>
      </c>
      <c r="I148" s="141">
        <f t="shared" si="110"/>
        <v>1</v>
      </c>
      <c r="J148" s="141">
        <f t="shared" si="110"/>
        <v>9</v>
      </c>
      <c r="K148" s="141">
        <f t="shared" ref="K148:L148" si="119">K128+K133+K138+K143</f>
        <v>6</v>
      </c>
      <c r="L148" s="141">
        <f t="shared" si="119"/>
        <v>166</v>
      </c>
      <c r="M148" s="141">
        <f t="shared" ref="M148" si="120">M128+M133+M138+M143</f>
        <v>979</v>
      </c>
      <c r="N148" s="141">
        <f t="shared" ref="N148" si="121">N128+N133+N138+N143</f>
        <v>374</v>
      </c>
      <c r="O148" s="141">
        <f t="shared" ref="O148" si="122">O128+O133+O138+O143</f>
        <v>62</v>
      </c>
      <c r="P148" s="110">
        <f t="shared" si="109"/>
        <v>1741</v>
      </c>
    </row>
    <row r="149" spans="1:16" x14ac:dyDescent="0.3">
      <c r="A149" s="248"/>
      <c r="B149" s="24" t="s">
        <v>81</v>
      </c>
      <c r="C149" s="11" t="s">
        <v>3</v>
      </c>
      <c r="D149" s="140">
        <f>D145+D146-D147-D148</f>
        <v>1300</v>
      </c>
      <c r="E149" s="140">
        <f t="shared" ref="E149:J149" si="123">E145+E146-E147-E148</f>
        <v>1298</v>
      </c>
      <c r="F149" s="140">
        <f t="shared" si="123"/>
        <v>1376</v>
      </c>
      <c r="G149" s="140">
        <f t="shared" si="123"/>
        <v>1649</v>
      </c>
      <c r="H149" s="140">
        <f t="shared" si="123"/>
        <v>1498</v>
      </c>
      <c r="I149" s="140">
        <f t="shared" si="123"/>
        <v>1598</v>
      </c>
      <c r="J149" s="140">
        <f t="shared" si="123"/>
        <v>1529</v>
      </c>
      <c r="K149" s="140">
        <f t="shared" ref="K149:L149" si="124">K145+K146-K147-K148</f>
        <v>1527</v>
      </c>
      <c r="L149" s="140">
        <f t="shared" si="124"/>
        <v>1351</v>
      </c>
      <c r="M149" s="140">
        <f t="shared" ref="M149" si="125">M145+M146-M147-M148</f>
        <v>395</v>
      </c>
      <c r="N149" s="140">
        <f t="shared" ref="N149" si="126">N145+N146-N147-N148</f>
        <v>40</v>
      </c>
      <c r="O149" s="140">
        <f t="shared" ref="O149" si="127">O145+O146-O147-O148</f>
        <v>372</v>
      </c>
      <c r="P149" s="110">
        <f t="shared" si="109"/>
        <v>205</v>
      </c>
    </row>
    <row r="150" spans="1:16" ht="14.4" x14ac:dyDescent="0.3">
      <c r="A150" s="282" t="s">
        <v>80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4"/>
    </row>
    <row r="151" spans="1:16" x14ac:dyDescent="0.3">
      <c r="A151" s="237" t="s">
        <v>79</v>
      </c>
      <c r="B151" s="238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9"/>
    </row>
    <row r="152" spans="1:16" x14ac:dyDescent="0.3">
      <c r="A152" s="292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9"/>
    </row>
    <row r="153" spans="1:16" x14ac:dyDescent="0.3">
      <c r="A153" s="293"/>
      <c r="B153" s="19" t="s">
        <v>73</v>
      </c>
      <c r="C153" s="11" t="s">
        <v>57</v>
      </c>
      <c r="D153" s="142">
        <f>Mangochi!D153+'Monkey Bay'!D153+Namwera!D153</f>
        <v>88</v>
      </c>
      <c r="E153" s="142">
        <f>Mangochi!E153+'Monkey Bay'!E153+Namwera!E153</f>
        <v>119</v>
      </c>
      <c r="F153" s="142">
        <f>Mangochi!F153+'Monkey Bay'!F153+Namwera!F153</f>
        <v>109</v>
      </c>
      <c r="G153" s="142">
        <f>Mangochi!G153+'Monkey Bay'!G153+Namwera!G153</f>
        <v>95</v>
      </c>
      <c r="H153" s="142">
        <f>Mangochi!H153+'Monkey Bay'!H153+Namwera!H153</f>
        <v>68</v>
      </c>
      <c r="I153" s="142">
        <f>Mangochi!I153+'Monkey Bay'!I153+Namwera!I153</f>
        <v>102</v>
      </c>
      <c r="J153" s="142">
        <f>Mangochi!J153+'Monkey Bay'!J153+Namwera!J153+Nkhudzi!J153</f>
        <v>106</v>
      </c>
      <c r="K153" s="142">
        <f>Mangochi!K153+'Monkey Bay'!K153+Namwera!K153+Nkhudzi!K153</f>
        <v>97</v>
      </c>
      <c r="L153" s="142">
        <f>Mangochi!L153+'Monkey Bay'!L153+Namwera!L153+Nkhudzi!L153</f>
        <v>124</v>
      </c>
      <c r="M153" s="142">
        <f>Mangochi!M153+'Monkey Bay'!M153+Namwera!M153+Nkhudzi!M153</f>
        <v>148</v>
      </c>
      <c r="N153" s="142">
        <f>Mangochi!N153+'Monkey Bay'!N153+Namwera!N153+Nkhudzi!N153</f>
        <v>212</v>
      </c>
      <c r="O153" s="142">
        <f>Mangochi!O153+'Monkey Bay'!O153+Namwera!O153+Nkhudzi!O153</f>
        <v>179</v>
      </c>
      <c r="P153" s="74">
        <f t="shared" ref="P153:P165" si="128">SUM(D153:O153)</f>
        <v>1447</v>
      </c>
    </row>
    <row r="154" spans="1:16" x14ac:dyDescent="0.3">
      <c r="A154" s="293"/>
      <c r="B154" s="19" t="s">
        <v>72</v>
      </c>
      <c r="C154" s="11" t="s">
        <v>57</v>
      </c>
      <c r="D154" s="142">
        <f>Mangochi!D154+'Monkey Bay'!D154+Namwera!D154</f>
        <v>63</v>
      </c>
      <c r="E154" s="142">
        <f>Mangochi!E154+'Monkey Bay'!E154+Namwera!E154</f>
        <v>66</v>
      </c>
      <c r="F154" s="142">
        <f>Mangochi!F154+'Monkey Bay'!F154+Namwera!F154</f>
        <v>72</v>
      </c>
      <c r="G154" s="142">
        <f>Mangochi!G154+'Monkey Bay'!G154+Namwera!G154</f>
        <v>56</v>
      </c>
      <c r="H154" s="142">
        <f>Mangochi!H154+'Monkey Bay'!H154+Namwera!H154</f>
        <v>47</v>
      </c>
      <c r="I154" s="142">
        <f>Mangochi!I154+'Monkey Bay'!I154+Namwera!I154</f>
        <v>64</v>
      </c>
      <c r="J154" s="142">
        <f>Mangochi!J154+'Monkey Bay'!J154+Namwera!J154+Nkhudzi!J154</f>
        <v>60</v>
      </c>
      <c r="K154" s="142">
        <f>Mangochi!K154+'Monkey Bay'!K154+Namwera!K154+Nkhudzi!K154</f>
        <v>52</v>
      </c>
      <c r="L154" s="142">
        <f>Mangochi!L154+'Monkey Bay'!L154+Namwera!L154+Nkhudzi!L154</f>
        <v>71</v>
      </c>
      <c r="M154" s="142">
        <f>Mangochi!M154+'Monkey Bay'!M154+Namwera!M154+Nkhudzi!M154</f>
        <v>92</v>
      </c>
      <c r="N154" s="142">
        <f>Mangochi!N154+'Monkey Bay'!N154+Namwera!N154+Nkhudzi!N154</f>
        <v>132</v>
      </c>
      <c r="O154" s="142">
        <f>Mangochi!O154+'Monkey Bay'!O154+Namwera!O154+Nkhudzi!O154</f>
        <v>122</v>
      </c>
      <c r="P154" s="74">
        <f t="shared" si="128"/>
        <v>897</v>
      </c>
    </row>
    <row r="155" spans="1:16" x14ac:dyDescent="0.3">
      <c r="A155" s="293"/>
      <c r="B155" s="19" t="s">
        <v>53</v>
      </c>
      <c r="C155" s="11" t="s">
        <v>57</v>
      </c>
      <c r="D155" s="142">
        <f>Mangochi!D155+'Monkey Bay'!D155+Namwera!D155</f>
        <v>20</v>
      </c>
      <c r="E155" s="142">
        <f>Mangochi!E155+'Monkey Bay'!E155+Namwera!E155</f>
        <v>18</v>
      </c>
      <c r="F155" s="142">
        <f>Mangochi!F155+'Monkey Bay'!F155+Namwera!F155</f>
        <v>21</v>
      </c>
      <c r="G155" s="142">
        <f>Mangochi!G155+'Monkey Bay'!G155+Namwera!G155</f>
        <v>19</v>
      </c>
      <c r="H155" s="142">
        <f>Mangochi!H155+'Monkey Bay'!H155+Namwera!H155</f>
        <v>16</v>
      </c>
      <c r="I155" s="142">
        <f>Mangochi!I155+'Monkey Bay'!I155+Namwera!I155</f>
        <v>22</v>
      </c>
      <c r="J155" s="142">
        <f>Mangochi!J155+'Monkey Bay'!J155+Namwera!J155+Nkhudzi!J155</f>
        <v>17</v>
      </c>
      <c r="K155" s="142">
        <f>Mangochi!K155+'Monkey Bay'!K155+Namwera!K155+Nkhudzi!K155</f>
        <v>22</v>
      </c>
      <c r="L155" s="142">
        <f>Mangochi!L155+'Monkey Bay'!L155+Namwera!L155+Nkhudzi!L155</f>
        <v>18</v>
      </c>
      <c r="M155" s="142">
        <f>Mangochi!M155+'Monkey Bay'!M155+Namwera!M155+Nkhudzi!M155</f>
        <v>37</v>
      </c>
      <c r="N155" s="142">
        <f>Mangochi!N155+'Monkey Bay'!N155+Namwera!N155+Nkhudzi!N155</f>
        <v>37</v>
      </c>
      <c r="O155" s="142">
        <f>Mangochi!O155+'Monkey Bay'!O155+Namwera!O155+Nkhudzi!O155</f>
        <v>50</v>
      </c>
      <c r="P155" s="74">
        <f t="shared" si="128"/>
        <v>297</v>
      </c>
    </row>
    <row r="156" spans="1:16" x14ac:dyDescent="0.3">
      <c r="A156" s="293"/>
      <c r="B156" s="19" t="s">
        <v>71</v>
      </c>
      <c r="C156" s="11" t="s">
        <v>57</v>
      </c>
      <c r="D156" s="142">
        <f>Mangochi!D156+'Monkey Bay'!D156+Namwera!D156</f>
        <v>10</v>
      </c>
      <c r="E156" s="142">
        <f>Mangochi!E156+'Monkey Bay'!E156+Namwera!E156</f>
        <v>13</v>
      </c>
      <c r="F156" s="142">
        <f>Mangochi!F156+'Monkey Bay'!F156+Namwera!F156</f>
        <v>11</v>
      </c>
      <c r="G156" s="142">
        <f>Mangochi!G156+'Monkey Bay'!G156+Namwera!G156</f>
        <v>14</v>
      </c>
      <c r="H156" s="142">
        <f>Mangochi!H156+'Monkey Bay'!H156+Namwera!H156</f>
        <v>13</v>
      </c>
      <c r="I156" s="142">
        <f>Mangochi!I156+'Monkey Bay'!I156+Namwera!I156</f>
        <v>15</v>
      </c>
      <c r="J156" s="142">
        <f>Mangochi!J156+'Monkey Bay'!J156+Namwera!J156+Nkhudzi!J156</f>
        <v>12</v>
      </c>
      <c r="K156" s="142">
        <f>Mangochi!K156+'Monkey Bay'!K156+Namwera!K156+Nkhudzi!K156</f>
        <v>15</v>
      </c>
      <c r="L156" s="142">
        <f>Mangochi!L156+'Monkey Bay'!L156+Namwera!L156+Nkhudzi!L156</f>
        <v>15</v>
      </c>
      <c r="M156" s="142">
        <f>Mangochi!M156+'Monkey Bay'!M156+Namwera!M156+Nkhudzi!M156</f>
        <v>28</v>
      </c>
      <c r="N156" s="142">
        <f>Mangochi!N156+'Monkey Bay'!N156+Namwera!N156+Nkhudzi!N156</f>
        <v>29</v>
      </c>
      <c r="O156" s="142">
        <f>Mangochi!O156+'Monkey Bay'!O156+Namwera!O156+Nkhudzi!O156</f>
        <v>25</v>
      </c>
      <c r="P156" s="74">
        <f t="shared" si="128"/>
        <v>200</v>
      </c>
    </row>
    <row r="157" spans="1:16" x14ac:dyDescent="0.3">
      <c r="A157" s="293"/>
      <c r="B157" s="19" t="s">
        <v>52</v>
      </c>
      <c r="C157" s="11" t="s">
        <v>57</v>
      </c>
      <c r="D157" s="142">
        <f>Mangochi!D157+'Monkey Bay'!D157+Namwera!D157</f>
        <v>1</v>
      </c>
      <c r="E157" s="142">
        <f>Mangochi!E157+'Monkey Bay'!E157+Namwera!E157</f>
        <v>3</v>
      </c>
      <c r="F157" s="142">
        <f>Mangochi!F157+'Monkey Bay'!F157+Namwera!F157</f>
        <v>5</v>
      </c>
      <c r="G157" s="142">
        <f>Mangochi!G157+'Monkey Bay'!G157+Namwera!G157</f>
        <v>9</v>
      </c>
      <c r="H157" s="142">
        <f>Mangochi!H157+'Monkey Bay'!H157+Namwera!H157</f>
        <v>5</v>
      </c>
      <c r="I157" s="142">
        <f>Mangochi!I157+'Monkey Bay'!I157+Namwera!I157</f>
        <v>8</v>
      </c>
      <c r="J157" s="142">
        <f>Mangochi!J157+'Monkey Bay'!J157+Namwera!J157+Nkhudzi!J157</f>
        <v>6</v>
      </c>
      <c r="K157" s="142">
        <f>Mangochi!K157+'Monkey Bay'!K157+Namwera!K157+Nkhudzi!K157</f>
        <v>7</v>
      </c>
      <c r="L157" s="142">
        <f>Mangochi!L157+'Monkey Bay'!L157+Namwera!L157+Nkhudzi!L157</f>
        <v>7</v>
      </c>
      <c r="M157" s="142">
        <f>Mangochi!M157+'Monkey Bay'!M157+Namwera!M157+Nkhudzi!M157</f>
        <v>6</v>
      </c>
      <c r="N157" s="142">
        <f>Mangochi!N157+'Monkey Bay'!N157+Namwera!N157+Nkhudzi!N157</f>
        <v>19</v>
      </c>
      <c r="O157" s="142">
        <f>Mangochi!O157+'Monkey Bay'!O157+Namwera!O157+Nkhudzi!O157</f>
        <v>18</v>
      </c>
      <c r="P157" s="74">
        <f t="shared" si="128"/>
        <v>94</v>
      </c>
    </row>
    <row r="158" spans="1:16" x14ac:dyDescent="0.3">
      <c r="A158" s="293"/>
      <c r="B158" s="19" t="s">
        <v>51</v>
      </c>
      <c r="C158" s="11" t="s">
        <v>57</v>
      </c>
      <c r="D158" s="142">
        <f>Mangochi!D158+'Monkey Bay'!D158+Namwera!D158</f>
        <v>6</v>
      </c>
      <c r="E158" s="142">
        <f>Mangochi!E158+'Monkey Bay'!E158+Namwera!E158</f>
        <v>5</v>
      </c>
      <c r="F158" s="142">
        <f>Mangochi!F158+'Monkey Bay'!F158+Namwera!F158</f>
        <v>5</v>
      </c>
      <c r="G158" s="142">
        <f>Mangochi!G158+'Monkey Bay'!G158+Namwera!G158</f>
        <v>6</v>
      </c>
      <c r="H158" s="142">
        <f>Mangochi!H158+'Monkey Bay'!H158+Namwera!H158</f>
        <v>7</v>
      </c>
      <c r="I158" s="142">
        <f>Mangochi!I158+'Monkey Bay'!I158+Namwera!I158</f>
        <v>12</v>
      </c>
      <c r="J158" s="142">
        <f>Mangochi!J158+'Monkey Bay'!J158+Namwera!J158+Nkhudzi!J158</f>
        <v>9</v>
      </c>
      <c r="K158" s="142">
        <f>Mangochi!K158+'Monkey Bay'!K158+Namwera!K158+Nkhudzi!K158</f>
        <v>9</v>
      </c>
      <c r="L158" s="142">
        <f>Mangochi!L158+'Monkey Bay'!L158+Namwera!L158+Nkhudzi!L158</f>
        <v>11</v>
      </c>
      <c r="M158" s="142">
        <f>Mangochi!M158+'Monkey Bay'!M158+Namwera!M158+Nkhudzi!M158</f>
        <v>12</v>
      </c>
      <c r="N158" s="142">
        <f>Mangochi!N158+'Monkey Bay'!N158+Namwera!N158+Nkhudzi!N158</f>
        <v>17</v>
      </c>
      <c r="O158" s="142">
        <f>Mangochi!O158+'Monkey Bay'!O158+Namwera!O158+Nkhudzi!O158</f>
        <v>33</v>
      </c>
      <c r="P158" s="74">
        <f t="shared" si="128"/>
        <v>132</v>
      </c>
    </row>
    <row r="159" spans="1:16" x14ac:dyDescent="0.3">
      <c r="A159" s="293"/>
      <c r="B159" s="19" t="s">
        <v>62</v>
      </c>
      <c r="C159" s="11" t="s">
        <v>57</v>
      </c>
      <c r="D159" s="142">
        <f>Mangochi!D159+'Monkey Bay'!D159+Namwera!D159</f>
        <v>0</v>
      </c>
      <c r="E159" s="142">
        <f>Mangochi!E159+'Monkey Bay'!E159+Namwera!E159</f>
        <v>0</v>
      </c>
      <c r="F159" s="142">
        <f>Mangochi!F159+'Monkey Bay'!F159+Namwera!F159</f>
        <v>0</v>
      </c>
      <c r="G159" s="142">
        <f>Mangochi!G159+'Monkey Bay'!G159+Namwera!G159</f>
        <v>1</v>
      </c>
      <c r="H159" s="142">
        <f>Mangochi!H159+'Monkey Bay'!H159+Namwera!H159</f>
        <v>1</v>
      </c>
      <c r="I159" s="142">
        <f>Mangochi!I159+'Monkey Bay'!I159+Namwera!I159</f>
        <v>2</v>
      </c>
      <c r="J159" s="142">
        <f>Mangochi!J159+'Monkey Bay'!J159+Namwera!J159+Nkhudzi!J159</f>
        <v>0</v>
      </c>
      <c r="K159" s="142">
        <f>Mangochi!K159+'Monkey Bay'!K159+Namwera!K159+Nkhudzi!K159</f>
        <v>2</v>
      </c>
      <c r="L159" s="142">
        <f>Mangochi!L159+'Monkey Bay'!L159+Namwera!L159+Nkhudzi!L159</f>
        <v>0</v>
      </c>
      <c r="M159" s="142">
        <f>Mangochi!M159+'Monkey Bay'!M159+Namwera!M159+Nkhudzi!M159</f>
        <v>4</v>
      </c>
      <c r="N159" s="142">
        <f>Mangochi!N159+'Monkey Bay'!N159+Namwera!N159+Nkhudzi!N159</f>
        <v>2</v>
      </c>
      <c r="O159" s="142">
        <f>Mangochi!O159+'Monkey Bay'!O159+Namwera!O159+Nkhudzi!O159</f>
        <v>0</v>
      </c>
      <c r="P159" s="74">
        <f t="shared" si="128"/>
        <v>12</v>
      </c>
    </row>
    <row r="160" spans="1:16" x14ac:dyDescent="0.3">
      <c r="A160" s="293"/>
      <c r="B160" s="19" t="s">
        <v>50</v>
      </c>
      <c r="C160" s="11" t="s">
        <v>57</v>
      </c>
      <c r="D160" s="142">
        <f>Mangochi!D160+'Monkey Bay'!D160+Namwera!D160</f>
        <v>2</v>
      </c>
      <c r="E160" s="142">
        <f>Mangochi!E160+'Monkey Bay'!E160+Namwera!E160</f>
        <v>1</v>
      </c>
      <c r="F160" s="142">
        <f>Mangochi!F160+'Monkey Bay'!F160+Namwera!F160</f>
        <v>1</v>
      </c>
      <c r="G160" s="142">
        <f>Mangochi!G160+'Monkey Bay'!G160+Namwera!G160</f>
        <v>2</v>
      </c>
      <c r="H160" s="142">
        <f>Mangochi!H160+'Monkey Bay'!H160+Namwera!H160</f>
        <v>0</v>
      </c>
      <c r="I160" s="142">
        <f>Mangochi!I160+'Monkey Bay'!I160+Namwera!I160</f>
        <v>2</v>
      </c>
      <c r="J160" s="142">
        <f>Mangochi!J160+'Monkey Bay'!J160+Namwera!J160+Nkhudzi!J160</f>
        <v>2</v>
      </c>
      <c r="K160" s="142">
        <f>Mangochi!K160+'Monkey Bay'!K160+Namwera!K160+Nkhudzi!K160</f>
        <v>0</v>
      </c>
      <c r="L160" s="142">
        <f>Mangochi!L160+'Monkey Bay'!L160+Namwera!L160+Nkhudzi!L160</f>
        <v>1</v>
      </c>
      <c r="M160" s="142">
        <f>Mangochi!M160+'Monkey Bay'!M160+Namwera!M160+Nkhudzi!M160</f>
        <v>8</v>
      </c>
      <c r="N160" s="142">
        <f>Mangochi!N160+'Monkey Bay'!N160+Namwera!N160+Nkhudzi!N160</f>
        <v>4</v>
      </c>
      <c r="O160" s="142">
        <f>Mangochi!O160+'Monkey Bay'!O160+Namwera!O160+Nkhudzi!O160</f>
        <v>2</v>
      </c>
      <c r="P160" s="74">
        <f t="shared" si="128"/>
        <v>25</v>
      </c>
    </row>
    <row r="161" spans="1:16" x14ac:dyDescent="0.3">
      <c r="A161" s="293"/>
      <c r="B161" s="19" t="s">
        <v>49</v>
      </c>
      <c r="C161" s="11" t="s">
        <v>57</v>
      </c>
      <c r="D161" s="142">
        <f>Mangochi!D161+'Monkey Bay'!D161+Namwera!D161</f>
        <v>1</v>
      </c>
      <c r="E161" s="142">
        <f>Mangochi!E161+'Monkey Bay'!E161+Namwera!E161</f>
        <v>4</v>
      </c>
      <c r="F161" s="142">
        <f>Mangochi!F161+'Monkey Bay'!F161+Namwera!F161</f>
        <v>3</v>
      </c>
      <c r="G161" s="142">
        <f>Mangochi!G161+'Monkey Bay'!G161+Namwera!G161</f>
        <v>6</v>
      </c>
      <c r="H161" s="142">
        <f>Mangochi!H161+'Monkey Bay'!H161+Namwera!H161</f>
        <v>2</v>
      </c>
      <c r="I161" s="142">
        <f>Mangochi!I161+'Monkey Bay'!I161+Namwera!I161</f>
        <v>2</v>
      </c>
      <c r="J161" s="142">
        <f>Mangochi!J161+'Monkey Bay'!J161+Namwera!J161+Nkhudzi!J161</f>
        <v>1</v>
      </c>
      <c r="K161" s="142">
        <f>Mangochi!K161+'Monkey Bay'!K161+Namwera!K161+Nkhudzi!K161</f>
        <v>1</v>
      </c>
      <c r="L161" s="142">
        <f>Mangochi!L161+'Monkey Bay'!L161+Namwera!L161+Nkhudzi!L161</f>
        <v>0</v>
      </c>
      <c r="M161" s="142">
        <f>Mangochi!M161+'Monkey Bay'!M161+Namwera!M161+Nkhudzi!M161</f>
        <v>4</v>
      </c>
      <c r="N161" s="142">
        <f>Mangochi!N161+'Monkey Bay'!N161+Namwera!N161+Nkhudzi!N161</f>
        <v>8</v>
      </c>
      <c r="O161" s="142">
        <f>Mangochi!O161+'Monkey Bay'!O161+Namwera!O161+Nkhudzi!O161</f>
        <v>7</v>
      </c>
      <c r="P161" s="74">
        <f t="shared" si="128"/>
        <v>39</v>
      </c>
    </row>
    <row r="162" spans="1:16" x14ac:dyDescent="0.3">
      <c r="A162" s="293"/>
      <c r="B162" s="19" t="s">
        <v>77</v>
      </c>
      <c r="C162" s="11" t="s">
        <v>57</v>
      </c>
      <c r="D162" s="142">
        <f>Mangochi!D162+'Monkey Bay'!D162+Namwera!D162</f>
        <v>0</v>
      </c>
      <c r="E162" s="142">
        <f>Mangochi!E162+'Monkey Bay'!E162+Namwera!E162</f>
        <v>0</v>
      </c>
      <c r="F162" s="142">
        <f>Mangochi!F162+'Monkey Bay'!F162+Namwera!F162</f>
        <v>1</v>
      </c>
      <c r="G162" s="142">
        <f>Mangochi!G162+'Monkey Bay'!G162+Namwera!G162</f>
        <v>2</v>
      </c>
      <c r="H162" s="142">
        <f>Mangochi!H162+'Monkey Bay'!H162+Namwera!H162</f>
        <v>0</v>
      </c>
      <c r="I162" s="142">
        <f>Mangochi!I162+'Monkey Bay'!I162+Namwera!I162</f>
        <v>1</v>
      </c>
      <c r="J162" s="142">
        <f>Mangochi!J162+'Monkey Bay'!J162+Namwera!J162+Nkhudzi!J162</f>
        <v>0</v>
      </c>
      <c r="K162" s="142">
        <f>Mangochi!K162+'Monkey Bay'!K162+Namwera!K162+Nkhudzi!K162</f>
        <v>0</v>
      </c>
      <c r="L162" s="142">
        <f>Mangochi!L162+'Monkey Bay'!L162+Namwera!L162+Nkhudzi!L162</f>
        <v>1</v>
      </c>
      <c r="M162" s="142">
        <f>Mangochi!M162+'Monkey Bay'!M162+Namwera!M162+Nkhudzi!M162</f>
        <v>0</v>
      </c>
      <c r="N162" s="142">
        <f>Mangochi!N162+'Monkey Bay'!N162+Namwera!N162+Nkhudzi!N162</f>
        <v>2</v>
      </c>
      <c r="O162" s="142">
        <f>Mangochi!O162+'Monkey Bay'!O162+Namwera!O162+Nkhudzi!O162</f>
        <v>5</v>
      </c>
      <c r="P162" s="74">
        <f t="shared" si="128"/>
        <v>12</v>
      </c>
    </row>
    <row r="163" spans="1:16" x14ac:dyDescent="0.3">
      <c r="A163" s="293"/>
      <c r="B163" s="19" t="s">
        <v>69</v>
      </c>
      <c r="C163" s="11" t="s">
        <v>57</v>
      </c>
      <c r="D163" s="142">
        <f>Mangochi!D163+'Monkey Bay'!D163+Namwera!D163</f>
        <v>0</v>
      </c>
      <c r="E163" s="142">
        <f>Mangochi!E163+'Monkey Bay'!E163+Namwera!E163</f>
        <v>1</v>
      </c>
      <c r="F163" s="142">
        <f>Mangochi!F163+'Monkey Bay'!F163+Namwera!F163</f>
        <v>0</v>
      </c>
      <c r="G163" s="142">
        <f>Mangochi!G163+'Monkey Bay'!G163+Namwera!G163</f>
        <v>0</v>
      </c>
      <c r="H163" s="142">
        <f>Mangochi!H163+'Monkey Bay'!H163+Namwera!H163</f>
        <v>0</v>
      </c>
      <c r="I163" s="142">
        <f>Mangochi!I163+'Monkey Bay'!I163+Namwera!I163</f>
        <v>0</v>
      </c>
      <c r="J163" s="142">
        <f>Mangochi!J163+'Monkey Bay'!J163+Namwera!J163+Nkhudzi!J163</f>
        <v>0</v>
      </c>
      <c r="K163" s="142">
        <f>Mangochi!K163+'Monkey Bay'!K163+Namwera!K163+Nkhudzi!K163</f>
        <v>1</v>
      </c>
      <c r="L163" s="142">
        <f>Mangochi!L163+'Monkey Bay'!L163+Namwera!L163+Nkhudzi!L163</f>
        <v>0</v>
      </c>
      <c r="M163" s="142">
        <f>Mangochi!M163+'Monkey Bay'!M163+Namwera!M163+Nkhudzi!M163</f>
        <v>0</v>
      </c>
      <c r="N163" s="142">
        <f>Mangochi!N163+'Monkey Bay'!N163+Namwera!N163+Nkhudzi!N163</f>
        <v>0</v>
      </c>
      <c r="O163" s="142">
        <f>Mangochi!O163+'Monkey Bay'!O163+Namwera!O163+Nkhudzi!O163</f>
        <v>0</v>
      </c>
      <c r="P163" s="74">
        <f t="shared" si="128"/>
        <v>2</v>
      </c>
    </row>
    <row r="164" spans="1:16" x14ac:dyDescent="0.3">
      <c r="A164" s="293"/>
      <c r="B164" s="19" t="s">
        <v>68</v>
      </c>
      <c r="C164" s="11" t="s">
        <v>57</v>
      </c>
      <c r="D164" s="142">
        <f>Mangochi!D164+'Monkey Bay'!D164+Namwera!D164</f>
        <v>0</v>
      </c>
      <c r="E164" s="142">
        <f>Mangochi!E164+'Monkey Bay'!E164+Namwera!E164</f>
        <v>0</v>
      </c>
      <c r="F164" s="142">
        <f>Mangochi!F164+'Monkey Bay'!F164+Namwera!F164</f>
        <v>0</v>
      </c>
      <c r="G164" s="142">
        <f>Mangochi!G164+'Monkey Bay'!G164+Namwera!G164</f>
        <v>0</v>
      </c>
      <c r="H164" s="142">
        <f>Mangochi!H164+'Monkey Bay'!H164+Namwera!H164</f>
        <v>0</v>
      </c>
      <c r="I164" s="142">
        <f>Mangochi!I164+'Monkey Bay'!I164+Namwera!I164</f>
        <v>0</v>
      </c>
      <c r="J164" s="142">
        <f>Mangochi!J164+'Monkey Bay'!J164+Namwera!J164+Nkhudzi!J164</f>
        <v>4</v>
      </c>
      <c r="K164" s="142">
        <f>Mangochi!K164+'Monkey Bay'!K164+Namwera!K164+Nkhudzi!K164</f>
        <v>2</v>
      </c>
      <c r="L164" s="142">
        <f>Mangochi!L164+'Monkey Bay'!L164+Namwera!L164+Nkhudzi!L164</f>
        <v>5</v>
      </c>
      <c r="M164" s="142">
        <f>Mangochi!M164+'Monkey Bay'!M164+Namwera!M164+Nkhudzi!M164</f>
        <v>0</v>
      </c>
      <c r="N164" s="142">
        <f>Mangochi!N164+'Monkey Bay'!N164+Namwera!N164+Nkhudzi!N164</f>
        <v>0</v>
      </c>
      <c r="O164" s="142">
        <f>Mangochi!O164+'Monkey Bay'!O164+Namwera!O164+Nkhudzi!O164</f>
        <v>0</v>
      </c>
      <c r="P164" s="74">
        <f t="shared" si="128"/>
        <v>11</v>
      </c>
    </row>
    <row r="165" spans="1:16" x14ac:dyDescent="0.3">
      <c r="A165" s="294"/>
      <c r="B165" s="19" t="s">
        <v>76</v>
      </c>
      <c r="C165" s="11" t="s">
        <v>57</v>
      </c>
      <c r="D165" s="142">
        <f>Mangochi!D165+'Monkey Bay'!D165+Namwera!D165</f>
        <v>0</v>
      </c>
      <c r="E165" s="142">
        <f>Mangochi!E165+'Monkey Bay'!E165+Namwera!E165</f>
        <v>0</v>
      </c>
      <c r="F165" s="142">
        <f>Mangochi!F165+'Monkey Bay'!F165+Namwera!F165</f>
        <v>0</v>
      </c>
      <c r="G165" s="142">
        <f>Mangochi!G165+'Monkey Bay'!G165+Namwera!G165</f>
        <v>0</v>
      </c>
      <c r="H165" s="142">
        <f>Mangochi!H165+'Monkey Bay'!H165+Namwera!H165</f>
        <v>0</v>
      </c>
      <c r="I165" s="142">
        <f>Mangochi!I165+'Monkey Bay'!I165+Namwera!I165</f>
        <v>0</v>
      </c>
      <c r="J165" s="142">
        <f>Mangochi!J165+'Monkey Bay'!J165+Namwera!J165+Nkhudzi!J165</f>
        <v>0</v>
      </c>
      <c r="K165" s="142">
        <f>Mangochi!K165+'Monkey Bay'!K165+Namwera!K165+Nkhudzi!K165</f>
        <v>0</v>
      </c>
      <c r="L165" s="142">
        <f>Mangochi!L165+'Monkey Bay'!L165+Namwera!L165+Nkhudzi!L165</f>
        <v>0</v>
      </c>
      <c r="M165" s="142">
        <f>Mangochi!M165+'Monkey Bay'!M165+Namwera!M165+Nkhudzi!M165</f>
        <v>0</v>
      </c>
      <c r="N165" s="142">
        <f>Mangochi!N165+'Monkey Bay'!N165+Namwera!N165+Nkhudzi!N165</f>
        <v>2</v>
      </c>
      <c r="O165" s="142">
        <f>Mangochi!O165+'Monkey Bay'!O165+Namwera!O165+Nkhudzi!O165</f>
        <v>0</v>
      </c>
      <c r="P165" s="74">
        <f t="shared" si="128"/>
        <v>2</v>
      </c>
    </row>
    <row r="166" spans="1:16" x14ac:dyDescent="0.3">
      <c r="A166" s="292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>
        <f>Mangochi!J166+'Monkey Bay'!J166+Namwera!J166+Nkhudzi!J166</f>
        <v>0</v>
      </c>
      <c r="K166" s="4">
        <f>Mangochi!K166+'Monkey Bay'!K166+Namwera!K166+Nkhudzi!K166</f>
        <v>0</v>
      </c>
      <c r="L166" s="4">
        <f>Mangochi!L166+'Monkey Bay'!L166+Namwera!L166+Nkhudzi!L166</f>
        <v>0</v>
      </c>
      <c r="M166" s="4">
        <f>Mangochi!M166+'Monkey Bay'!M166+Namwera!M166+Nkhudzi!M166</f>
        <v>0</v>
      </c>
      <c r="N166" s="4">
        <f>Mangochi!N166+'Monkey Bay'!N166+Namwera!N166+Nkhudzi!N166</f>
        <v>0</v>
      </c>
      <c r="O166" s="4">
        <f>Mangochi!O166+'Monkey Bay'!O166+Namwera!O166+Nkhudzi!O166</f>
        <v>0</v>
      </c>
      <c r="P166" s="74"/>
    </row>
    <row r="167" spans="1:16" x14ac:dyDescent="0.3">
      <c r="A167" s="293"/>
      <c r="B167" s="19" t="s">
        <v>74</v>
      </c>
      <c r="C167" s="11" t="s">
        <v>57</v>
      </c>
      <c r="D167" s="142">
        <f>Mangochi!D167+'Monkey Bay'!D167+Namwera!D167</f>
        <v>0</v>
      </c>
      <c r="E167" s="142">
        <f>Mangochi!E167+'Monkey Bay'!E167+Namwera!E167</f>
        <v>1</v>
      </c>
      <c r="F167" s="142">
        <f>Mangochi!F167+'Monkey Bay'!F167+Namwera!F167</f>
        <v>1</v>
      </c>
      <c r="G167" s="142">
        <f>Mangochi!G167+'Monkey Bay'!G167+Namwera!G167</f>
        <v>2</v>
      </c>
      <c r="H167" s="142">
        <f>Mangochi!H167+'Monkey Bay'!H167+Namwera!H167</f>
        <v>2</v>
      </c>
      <c r="I167" s="142">
        <f>Mangochi!I167+'Monkey Bay'!I167+Namwera!I167</f>
        <v>4</v>
      </c>
      <c r="J167" s="142">
        <f>Mangochi!J167+'Monkey Bay'!J167+Namwera!J167+Nkhudzi!J167</f>
        <v>2</v>
      </c>
      <c r="K167" s="142">
        <f>Mangochi!K167+'Monkey Bay'!K167+Namwera!K167+Nkhudzi!K167</f>
        <v>2</v>
      </c>
      <c r="L167" s="142">
        <f>Mangochi!L167+'Monkey Bay'!L167+Namwera!L167+Nkhudzi!L167</f>
        <v>4</v>
      </c>
      <c r="M167" s="142">
        <f>Mangochi!M167+'Monkey Bay'!M167+Namwera!M167+Nkhudzi!M167</f>
        <v>11</v>
      </c>
      <c r="N167" s="142">
        <f>Mangochi!N167+'Monkey Bay'!N167+Namwera!N167+Nkhudzi!N167</f>
        <v>19</v>
      </c>
      <c r="O167" s="142">
        <f>Mangochi!O167+'Monkey Bay'!O167+Namwera!O167+Nkhudzi!O167</f>
        <v>17</v>
      </c>
      <c r="P167" s="74">
        <f t="shared" ref="P167:P175" si="129">SUM(D167:O167)</f>
        <v>65</v>
      </c>
    </row>
    <row r="168" spans="1:16" x14ac:dyDescent="0.3">
      <c r="A168" s="293"/>
      <c r="B168" s="19" t="s">
        <v>73</v>
      </c>
      <c r="C168" s="11" t="s">
        <v>57</v>
      </c>
      <c r="D168" s="142">
        <f>Mangochi!D168+'Monkey Bay'!D168+Namwera!D168</f>
        <v>0</v>
      </c>
      <c r="E168" s="142">
        <f>Mangochi!E168+'Monkey Bay'!E168+Namwera!E168</f>
        <v>0</v>
      </c>
      <c r="F168" s="142">
        <f>Mangochi!F168+'Monkey Bay'!F168+Namwera!F168</f>
        <v>2</v>
      </c>
      <c r="G168" s="142">
        <f>Mangochi!G168+'Monkey Bay'!G168+Namwera!G168</f>
        <v>2</v>
      </c>
      <c r="H168" s="142">
        <f>Mangochi!H168+'Monkey Bay'!H168+Namwera!H168</f>
        <v>0</v>
      </c>
      <c r="I168" s="142">
        <f>Mangochi!I168+'Monkey Bay'!I168+Namwera!I168</f>
        <v>1</v>
      </c>
      <c r="J168" s="142">
        <f>Mangochi!J168+'Monkey Bay'!J168+Namwera!J168+Nkhudzi!J168</f>
        <v>0</v>
      </c>
      <c r="K168" s="142">
        <f>Mangochi!K168+'Monkey Bay'!K168+Namwera!K168+Nkhudzi!K168</f>
        <v>2</v>
      </c>
      <c r="L168" s="142">
        <f>Mangochi!L168+'Monkey Bay'!L168+Namwera!L168+Nkhudzi!L168</f>
        <v>1</v>
      </c>
      <c r="M168" s="142">
        <f>Mangochi!M168+'Monkey Bay'!M168+Namwera!M168+Nkhudzi!M168</f>
        <v>6</v>
      </c>
      <c r="N168" s="142">
        <f>Mangochi!N168+'Monkey Bay'!N168+Namwera!N168+Nkhudzi!N168</f>
        <v>7</v>
      </c>
      <c r="O168" s="142">
        <f>Mangochi!O168+'Monkey Bay'!O168+Namwera!O168+Nkhudzi!O168</f>
        <v>18</v>
      </c>
      <c r="P168" s="74">
        <f t="shared" si="129"/>
        <v>39</v>
      </c>
    </row>
    <row r="169" spans="1:16" x14ac:dyDescent="0.3">
      <c r="A169" s="293"/>
      <c r="B169" s="19" t="s">
        <v>72</v>
      </c>
      <c r="C169" s="11" t="s">
        <v>57</v>
      </c>
      <c r="D169" s="142">
        <f>Mangochi!D169+'Monkey Bay'!D169+Namwera!D169</f>
        <v>0</v>
      </c>
      <c r="E169" s="142">
        <f>Mangochi!E169+'Monkey Bay'!E169+Namwera!E169</f>
        <v>0</v>
      </c>
      <c r="F169" s="142">
        <f>Mangochi!F169+'Monkey Bay'!F169+Namwera!F169</f>
        <v>0</v>
      </c>
      <c r="G169" s="142">
        <f>Mangochi!G169+'Monkey Bay'!G169+Namwera!G169</f>
        <v>0</v>
      </c>
      <c r="H169" s="142">
        <f>Mangochi!H169+'Monkey Bay'!H169+Namwera!H169</f>
        <v>0</v>
      </c>
      <c r="I169" s="142">
        <f>Mangochi!I169+'Monkey Bay'!I169+Namwera!I169</f>
        <v>2</v>
      </c>
      <c r="J169" s="142">
        <f>Mangochi!J169+'Monkey Bay'!J169+Namwera!J169+Nkhudzi!J169</f>
        <v>0</v>
      </c>
      <c r="K169" s="142">
        <f>Mangochi!K169+'Monkey Bay'!K169+Namwera!K169+Nkhudzi!K169</f>
        <v>0</v>
      </c>
      <c r="L169" s="142">
        <f>Mangochi!L169+'Monkey Bay'!L169+Namwera!L169+Nkhudzi!L169</f>
        <v>0</v>
      </c>
      <c r="M169" s="142">
        <f>Mangochi!M169+'Monkey Bay'!M169+Namwera!M169+Nkhudzi!M169</f>
        <v>0</v>
      </c>
      <c r="N169" s="142">
        <f>Mangochi!N169+'Monkey Bay'!N169+Namwera!N169+Nkhudzi!N169</f>
        <v>3</v>
      </c>
      <c r="O169" s="142">
        <f>Mangochi!O169+'Monkey Bay'!O169+Namwera!O169+Nkhudzi!O169</f>
        <v>4</v>
      </c>
      <c r="P169" s="74">
        <f t="shared" si="129"/>
        <v>9</v>
      </c>
    </row>
    <row r="170" spans="1:16" x14ac:dyDescent="0.3">
      <c r="A170" s="293"/>
      <c r="B170" s="19" t="s">
        <v>71</v>
      </c>
      <c r="C170" s="11" t="s">
        <v>57</v>
      </c>
      <c r="D170" s="142">
        <f>Mangochi!D170+'Monkey Bay'!D170+Namwera!D170</f>
        <v>0</v>
      </c>
      <c r="E170" s="142">
        <f>Mangochi!E170+'Monkey Bay'!E170+Namwera!E170</f>
        <v>0</v>
      </c>
      <c r="F170" s="142">
        <f>Mangochi!F170+'Monkey Bay'!F170+Namwera!F170</f>
        <v>0</v>
      </c>
      <c r="G170" s="142">
        <f>Mangochi!G170+'Monkey Bay'!G170+Namwera!G170</f>
        <v>0</v>
      </c>
      <c r="H170" s="142">
        <f>Mangochi!H170+'Monkey Bay'!H170+Namwera!H170</f>
        <v>0</v>
      </c>
      <c r="I170" s="142">
        <f>Mangochi!I170+'Monkey Bay'!I170+Namwera!I170</f>
        <v>0</v>
      </c>
      <c r="J170" s="142">
        <f>Mangochi!J170+'Monkey Bay'!J170+Namwera!J170+Nkhudzi!J170</f>
        <v>0</v>
      </c>
      <c r="K170" s="142">
        <f>Mangochi!K170+'Monkey Bay'!K170+Namwera!K170+Nkhudzi!K170</f>
        <v>0</v>
      </c>
      <c r="L170" s="142">
        <f>Mangochi!L170+'Monkey Bay'!L170+Namwera!L170+Nkhudzi!L170</f>
        <v>0</v>
      </c>
      <c r="M170" s="142">
        <f>Mangochi!M170+'Monkey Bay'!M170+Namwera!M170+Nkhudzi!M170</f>
        <v>0</v>
      </c>
      <c r="N170" s="142">
        <f>Mangochi!N170+'Monkey Bay'!N170+Namwera!N170+Nkhudzi!N170</f>
        <v>0</v>
      </c>
      <c r="O170" s="142">
        <f>Mangochi!O170+'Monkey Bay'!O170+Namwera!O170+Nkhudzi!O170</f>
        <v>0</v>
      </c>
      <c r="P170" s="74">
        <f t="shared" si="129"/>
        <v>0</v>
      </c>
    </row>
    <row r="171" spans="1:16" x14ac:dyDescent="0.3">
      <c r="A171" s="293"/>
      <c r="B171" s="19" t="s">
        <v>52</v>
      </c>
      <c r="C171" s="11" t="s">
        <v>57</v>
      </c>
      <c r="D171" s="142">
        <f>Mangochi!D171+'Monkey Bay'!D171+Namwera!D171</f>
        <v>0</v>
      </c>
      <c r="E171" s="142">
        <f>Mangochi!E171+'Monkey Bay'!E171+Namwera!E171</f>
        <v>0</v>
      </c>
      <c r="F171" s="142">
        <f>Mangochi!F171+'Monkey Bay'!F171+Namwera!F171</f>
        <v>0</v>
      </c>
      <c r="G171" s="142">
        <f>Mangochi!G171+'Monkey Bay'!G171+Namwera!G171</f>
        <v>0</v>
      </c>
      <c r="H171" s="142">
        <f>Mangochi!H171+'Monkey Bay'!H171+Namwera!H171</f>
        <v>0</v>
      </c>
      <c r="I171" s="142">
        <f>Mangochi!I171+'Monkey Bay'!I171+Namwera!I171</f>
        <v>0</v>
      </c>
      <c r="J171" s="142">
        <f>Mangochi!J171+'Monkey Bay'!J171+Namwera!J171+Nkhudzi!J171</f>
        <v>0</v>
      </c>
      <c r="K171" s="142">
        <f>Mangochi!K171+'Monkey Bay'!K171+Namwera!K171+Nkhudzi!K171</f>
        <v>0</v>
      </c>
      <c r="L171" s="142">
        <f>Mangochi!L171+'Monkey Bay'!L171+Namwera!L171+Nkhudzi!L171</f>
        <v>0</v>
      </c>
      <c r="M171" s="142">
        <f>Mangochi!M171+'Monkey Bay'!M171+Namwera!M171+Nkhudzi!M171</f>
        <v>0</v>
      </c>
      <c r="N171" s="142">
        <f>Mangochi!N171+'Monkey Bay'!N171+Namwera!N171+Nkhudzi!N171</f>
        <v>0</v>
      </c>
      <c r="O171" s="142">
        <f>Mangochi!O171+'Monkey Bay'!O171+Namwera!O171+Nkhudzi!O171</f>
        <v>0</v>
      </c>
      <c r="P171" s="74">
        <f t="shared" si="129"/>
        <v>0</v>
      </c>
    </row>
    <row r="172" spans="1:16" x14ac:dyDescent="0.3">
      <c r="A172" s="293"/>
      <c r="B172" s="19" t="s">
        <v>62</v>
      </c>
      <c r="C172" s="11" t="s">
        <v>57</v>
      </c>
      <c r="D172" s="142">
        <f>Mangochi!D172+'Monkey Bay'!D172+Namwera!D172</f>
        <v>0</v>
      </c>
      <c r="E172" s="142">
        <f>Mangochi!E172+'Monkey Bay'!E172+Namwera!E172</f>
        <v>0</v>
      </c>
      <c r="F172" s="142">
        <f>Mangochi!F172+'Monkey Bay'!F172+Namwera!F172</f>
        <v>0</v>
      </c>
      <c r="G172" s="142">
        <f>Mangochi!G172+'Monkey Bay'!G172+Namwera!G172</f>
        <v>0</v>
      </c>
      <c r="H172" s="142">
        <f>Mangochi!H172+'Monkey Bay'!H172+Namwera!H172</f>
        <v>0</v>
      </c>
      <c r="I172" s="142">
        <f>Mangochi!I172+'Monkey Bay'!I172+Namwera!I172</f>
        <v>0</v>
      </c>
      <c r="J172" s="142">
        <f>Mangochi!J172+'Monkey Bay'!J172+Namwera!J172+Nkhudzi!J172</f>
        <v>0</v>
      </c>
      <c r="K172" s="142">
        <f>Mangochi!K172+'Monkey Bay'!K172+Namwera!K172+Nkhudzi!K172</f>
        <v>0</v>
      </c>
      <c r="L172" s="142">
        <f>Mangochi!L172+'Monkey Bay'!L172+Namwera!L172+Nkhudzi!L172</f>
        <v>0</v>
      </c>
      <c r="M172" s="142">
        <f>Mangochi!M172+'Monkey Bay'!M172+Namwera!M172+Nkhudzi!M172</f>
        <v>0</v>
      </c>
      <c r="N172" s="142">
        <f>Mangochi!N172+'Monkey Bay'!N172+Namwera!N172+Nkhudzi!N172</f>
        <v>0</v>
      </c>
      <c r="O172" s="142">
        <f>Mangochi!O172+'Monkey Bay'!O172+Namwera!O172+Nkhudzi!O172</f>
        <v>0</v>
      </c>
      <c r="P172" s="74">
        <f t="shared" si="129"/>
        <v>0</v>
      </c>
    </row>
    <row r="173" spans="1:16" x14ac:dyDescent="0.3">
      <c r="A173" s="293"/>
      <c r="B173" s="19" t="s">
        <v>61</v>
      </c>
      <c r="C173" s="11" t="s">
        <v>57</v>
      </c>
      <c r="D173" s="142">
        <f>Mangochi!D173+'Monkey Bay'!D173+Namwera!D173</f>
        <v>0</v>
      </c>
      <c r="E173" s="142">
        <f>Mangochi!E173+'Monkey Bay'!E173+Namwera!E173</f>
        <v>0</v>
      </c>
      <c r="F173" s="142">
        <f>Mangochi!F173+'Monkey Bay'!F173+Namwera!F173</f>
        <v>0</v>
      </c>
      <c r="G173" s="142">
        <f>Mangochi!G173+'Monkey Bay'!G173+Namwera!G173</f>
        <v>0</v>
      </c>
      <c r="H173" s="142">
        <f>Mangochi!H173+'Monkey Bay'!H173+Namwera!H173</f>
        <v>0</v>
      </c>
      <c r="I173" s="142">
        <f>Mangochi!I173+'Monkey Bay'!I173+Namwera!I173</f>
        <v>0</v>
      </c>
      <c r="J173" s="142">
        <f>Mangochi!J173+'Monkey Bay'!J173+Namwera!J173+Nkhudzi!J173</f>
        <v>0</v>
      </c>
      <c r="K173" s="142">
        <f>Mangochi!K173+'Monkey Bay'!K173+Namwera!K173+Nkhudzi!K173</f>
        <v>0</v>
      </c>
      <c r="L173" s="142">
        <f>Mangochi!L173+'Monkey Bay'!L173+Namwera!L173+Nkhudzi!L173</f>
        <v>0</v>
      </c>
      <c r="M173" s="142">
        <f>Mangochi!M173+'Monkey Bay'!M173+Namwera!M173+Nkhudzi!M173</f>
        <v>0</v>
      </c>
      <c r="N173" s="142">
        <f>Mangochi!N173+'Monkey Bay'!N173+Namwera!N173+Nkhudzi!N173</f>
        <v>0</v>
      </c>
      <c r="O173" s="142">
        <f>Mangochi!O173+'Monkey Bay'!O173+Namwera!O173+Nkhudzi!O173</f>
        <v>0</v>
      </c>
      <c r="P173" s="74">
        <f t="shared" si="129"/>
        <v>0</v>
      </c>
    </row>
    <row r="174" spans="1:16" x14ac:dyDescent="0.3">
      <c r="A174" s="293"/>
      <c r="B174" s="19" t="s">
        <v>60</v>
      </c>
      <c r="C174" s="11" t="s">
        <v>57</v>
      </c>
      <c r="D174" s="142">
        <f>Mangochi!D174+'Monkey Bay'!D174+Namwera!D174</f>
        <v>0</v>
      </c>
      <c r="E174" s="142">
        <f>Mangochi!E174+'Monkey Bay'!E174+Namwera!E174</f>
        <v>0</v>
      </c>
      <c r="F174" s="142">
        <f>Mangochi!F174+'Monkey Bay'!F174+Namwera!F174</f>
        <v>0</v>
      </c>
      <c r="G174" s="142">
        <f>Mangochi!G174+'Monkey Bay'!G174+Namwera!G174</f>
        <v>0</v>
      </c>
      <c r="H174" s="142">
        <f>Mangochi!H174+'Monkey Bay'!H174+Namwera!H174</f>
        <v>0</v>
      </c>
      <c r="I174" s="142">
        <f>Mangochi!I174+'Monkey Bay'!I174+Namwera!I174</f>
        <v>0</v>
      </c>
      <c r="J174" s="142">
        <f>Mangochi!J174+'Monkey Bay'!J174+Namwera!J174+Nkhudzi!J174</f>
        <v>0</v>
      </c>
      <c r="K174" s="142">
        <f>Mangochi!K174+'Monkey Bay'!K174+Namwera!K174+Nkhudzi!K174</f>
        <v>0</v>
      </c>
      <c r="L174" s="142">
        <f>Mangochi!L174+'Monkey Bay'!L174+Namwera!L174+Nkhudzi!L174</f>
        <v>0</v>
      </c>
      <c r="M174" s="142">
        <f>Mangochi!M174+'Monkey Bay'!M174+Namwera!M174+Nkhudzi!M174</f>
        <v>0</v>
      </c>
      <c r="N174" s="142">
        <f>Mangochi!N174+'Monkey Bay'!N174+Namwera!N174+Nkhudzi!N174</f>
        <v>0</v>
      </c>
      <c r="O174" s="142">
        <f>Mangochi!O174+'Monkey Bay'!O174+Namwera!O174+Nkhudzi!O174</f>
        <v>0</v>
      </c>
      <c r="P174" s="74">
        <f t="shared" si="129"/>
        <v>0</v>
      </c>
    </row>
    <row r="175" spans="1:16" x14ac:dyDescent="0.3">
      <c r="A175" s="294"/>
      <c r="B175" s="19" t="s">
        <v>69</v>
      </c>
      <c r="C175" s="11" t="s">
        <v>57</v>
      </c>
      <c r="D175" s="142">
        <f>Mangochi!D175+'Monkey Bay'!D175+Namwera!D175</f>
        <v>1</v>
      </c>
      <c r="E175" s="142">
        <f>Mangochi!E175+'Monkey Bay'!E175+Namwera!E175</f>
        <v>0</v>
      </c>
      <c r="F175" s="142">
        <f>Mangochi!F175+'Monkey Bay'!F175+Namwera!F175</f>
        <v>0</v>
      </c>
      <c r="G175" s="142">
        <f>Mangochi!G175+'Monkey Bay'!G175+Namwera!G175</f>
        <v>0</v>
      </c>
      <c r="H175" s="142">
        <f>Mangochi!H175+'Monkey Bay'!H175+Namwera!H175</f>
        <v>0</v>
      </c>
      <c r="I175" s="142">
        <f>Mangochi!I175+'Monkey Bay'!I175+Namwera!I175</f>
        <v>0</v>
      </c>
      <c r="J175" s="142">
        <f>Mangochi!J175+'Monkey Bay'!J175+Namwera!J175+Nkhudzi!J175</f>
        <v>0</v>
      </c>
      <c r="K175" s="142">
        <f>Mangochi!K175+'Monkey Bay'!K175+Namwera!K175+Nkhudzi!K175</f>
        <v>0</v>
      </c>
      <c r="L175" s="142">
        <f>Mangochi!L175+'Monkey Bay'!L175+Namwera!L175+Nkhudzi!L175</f>
        <v>0</v>
      </c>
      <c r="M175" s="142">
        <f>Mangochi!M175+'Monkey Bay'!M175+Namwera!M175+Nkhudzi!M175</f>
        <v>0</v>
      </c>
      <c r="N175" s="142">
        <f>Mangochi!N175+'Monkey Bay'!N175+Namwera!N175+Nkhudzi!N175</f>
        <v>0</v>
      </c>
      <c r="O175" s="142">
        <f>Mangochi!O175+'Monkey Bay'!O175+Namwera!O175+Nkhudzi!O175</f>
        <v>0</v>
      </c>
      <c r="P175" s="74">
        <f t="shared" si="129"/>
        <v>1</v>
      </c>
    </row>
    <row r="176" spans="1:16" x14ac:dyDescent="0.3">
      <c r="A176" s="292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>
        <f>Mangochi!J176+'Monkey Bay'!J176+Namwera!J176+Nkhudzi!J176</f>
        <v>0</v>
      </c>
      <c r="K176" s="4">
        <f>Mangochi!K176+'Monkey Bay'!K176+Namwera!K176+Nkhudzi!K176</f>
        <v>0</v>
      </c>
      <c r="L176" s="4">
        <f>Mangochi!L176+'Monkey Bay'!L176+Namwera!L176+Nkhudzi!L176</f>
        <v>0</v>
      </c>
      <c r="M176" s="4">
        <f>Mangochi!M176+'Monkey Bay'!M176+Namwera!M176+Nkhudzi!M176</f>
        <v>0</v>
      </c>
      <c r="N176" s="4">
        <f>Mangochi!N176+'Monkey Bay'!N176+Namwera!N176+Nkhudzi!N176</f>
        <v>0</v>
      </c>
      <c r="O176" s="4">
        <f>Mangochi!O176+'Monkey Bay'!O176+Namwera!O176+Nkhudzi!O176</f>
        <v>0</v>
      </c>
      <c r="P176" s="74"/>
    </row>
    <row r="177" spans="1:16" x14ac:dyDescent="0.3">
      <c r="A177" s="293"/>
      <c r="B177" s="19" t="s">
        <v>60</v>
      </c>
      <c r="C177" s="11" t="s">
        <v>57</v>
      </c>
      <c r="D177" s="142">
        <f>Mangochi!D177+'Monkey Bay'!D177+Namwera!D177</f>
        <v>0</v>
      </c>
      <c r="E177" s="142">
        <f>Mangochi!E177+'Monkey Bay'!E177+Namwera!E177</f>
        <v>0</v>
      </c>
      <c r="F177" s="142">
        <f>Mangochi!F177+'Monkey Bay'!F177+Namwera!F177</f>
        <v>0</v>
      </c>
      <c r="G177" s="142">
        <f>Mangochi!G177+'Monkey Bay'!G177+Namwera!G177</f>
        <v>0</v>
      </c>
      <c r="H177" s="142">
        <f>Mangochi!H177+'Monkey Bay'!H177+Namwera!H177</f>
        <v>0</v>
      </c>
      <c r="I177" s="142">
        <f>Mangochi!I177+'Monkey Bay'!I177+Namwera!I177</f>
        <v>0</v>
      </c>
      <c r="J177" s="142">
        <f>Mangochi!J177+'Monkey Bay'!J177+Namwera!J177+Nkhudzi!J177</f>
        <v>0</v>
      </c>
      <c r="K177" s="142">
        <f>Mangochi!K177+'Monkey Bay'!K177+Namwera!K177+Nkhudzi!K177</f>
        <v>0</v>
      </c>
      <c r="L177" s="142">
        <f>Mangochi!L177+'Monkey Bay'!L177+Namwera!L177+Nkhudzi!L177</f>
        <v>0</v>
      </c>
      <c r="M177" s="142">
        <f>Mangochi!M177+'Monkey Bay'!M177+Namwera!M177+Nkhudzi!M177</f>
        <v>0</v>
      </c>
      <c r="N177" s="142">
        <f>Mangochi!N177+'Monkey Bay'!N177+Namwera!N177+Nkhudzi!N177</f>
        <v>0</v>
      </c>
      <c r="O177" s="142">
        <f>Mangochi!O177+'Monkey Bay'!O177+Namwera!O177+Nkhudzi!O177</f>
        <v>0</v>
      </c>
      <c r="P177" s="74">
        <f t="shared" ref="P177:P182" si="130">SUM(D177:O177)</f>
        <v>0</v>
      </c>
    </row>
    <row r="178" spans="1:16" x14ac:dyDescent="0.3">
      <c r="A178" s="293"/>
      <c r="B178" s="19" t="s">
        <v>69</v>
      </c>
      <c r="C178" s="11" t="s">
        <v>57</v>
      </c>
      <c r="D178" s="142">
        <f>Mangochi!D178+'Monkey Bay'!D178+Namwera!D178</f>
        <v>0</v>
      </c>
      <c r="E178" s="142">
        <f>Mangochi!E178+'Monkey Bay'!E178+Namwera!E178</f>
        <v>0</v>
      </c>
      <c r="F178" s="142">
        <f>Mangochi!F178+'Monkey Bay'!F178+Namwera!F178</f>
        <v>0</v>
      </c>
      <c r="G178" s="142">
        <f>Mangochi!G178+'Monkey Bay'!G178+Namwera!G178</f>
        <v>0</v>
      </c>
      <c r="H178" s="142">
        <f>Mangochi!H178+'Monkey Bay'!H178+Namwera!H178</f>
        <v>0</v>
      </c>
      <c r="I178" s="142">
        <f>Mangochi!I178+'Monkey Bay'!I178+Namwera!I178</f>
        <v>0</v>
      </c>
      <c r="J178" s="142">
        <f>Mangochi!J178+'Monkey Bay'!J178+Namwera!J178+Nkhudzi!J178</f>
        <v>0</v>
      </c>
      <c r="K178" s="142">
        <f>Mangochi!K178+'Monkey Bay'!K178+Namwera!K178+Nkhudzi!K178</f>
        <v>0</v>
      </c>
      <c r="L178" s="142">
        <f>Mangochi!L178+'Monkey Bay'!L178+Namwera!L178+Nkhudzi!L178</f>
        <v>0</v>
      </c>
      <c r="M178" s="142">
        <f>Mangochi!M178+'Monkey Bay'!M178+Namwera!M178+Nkhudzi!M178</f>
        <v>0</v>
      </c>
      <c r="N178" s="142">
        <f>Mangochi!N178+'Monkey Bay'!N178+Namwera!N178+Nkhudzi!N178</f>
        <v>0</v>
      </c>
      <c r="O178" s="142">
        <f>Mangochi!O178+'Monkey Bay'!O178+Namwera!O178+Nkhudzi!O178</f>
        <v>0</v>
      </c>
      <c r="P178" s="74">
        <f t="shared" si="130"/>
        <v>0</v>
      </c>
    </row>
    <row r="179" spans="1:16" x14ac:dyDescent="0.3">
      <c r="A179" s="293"/>
      <c r="B179" s="19" t="s">
        <v>68</v>
      </c>
      <c r="C179" s="11" t="s">
        <v>57</v>
      </c>
      <c r="D179" s="142">
        <f>Mangochi!D179+'Monkey Bay'!D179+Namwera!D179</f>
        <v>0</v>
      </c>
      <c r="E179" s="142">
        <f>Mangochi!E179+'Monkey Bay'!E179+Namwera!E179</f>
        <v>0</v>
      </c>
      <c r="F179" s="142">
        <f>Mangochi!F179+'Monkey Bay'!F179+Namwera!F179</f>
        <v>0</v>
      </c>
      <c r="G179" s="142">
        <f>Mangochi!G179+'Monkey Bay'!G179+Namwera!G179</f>
        <v>0</v>
      </c>
      <c r="H179" s="142">
        <f>Mangochi!H179+'Monkey Bay'!H179+Namwera!H179</f>
        <v>0</v>
      </c>
      <c r="I179" s="142">
        <f>Mangochi!I179+'Monkey Bay'!I179+Namwera!I179</f>
        <v>0</v>
      </c>
      <c r="J179" s="142">
        <f>Mangochi!J179+'Monkey Bay'!J179+Namwera!J179+Nkhudzi!J179</f>
        <v>0</v>
      </c>
      <c r="K179" s="142">
        <f>Mangochi!K179+'Monkey Bay'!K179+Namwera!K179+Nkhudzi!K179</f>
        <v>0</v>
      </c>
      <c r="L179" s="142">
        <f>Mangochi!L179+'Monkey Bay'!L179+Namwera!L179+Nkhudzi!L179</f>
        <v>0</v>
      </c>
      <c r="M179" s="142">
        <f>Mangochi!M179+'Monkey Bay'!M179+Namwera!M179+Nkhudzi!M179</f>
        <v>0</v>
      </c>
      <c r="N179" s="142">
        <f>Mangochi!N179+'Monkey Bay'!N179+Namwera!N179+Nkhudzi!N179</f>
        <v>0</v>
      </c>
      <c r="O179" s="142">
        <f>Mangochi!O179+'Monkey Bay'!O179+Namwera!O179+Nkhudzi!O179</f>
        <v>0</v>
      </c>
      <c r="P179" s="74">
        <f t="shared" si="130"/>
        <v>0</v>
      </c>
    </row>
    <row r="180" spans="1:16" x14ac:dyDescent="0.3">
      <c r="A180" s="293"/>
      <c r="B180" s="19" t="s">
        <v>67</v>
      </c>
      <c r="C180" s="11" t="s">
        <v>57</v>
      </c>
      <c r="D180" s="142">
        <f>Mangochi!D180+'Monkey Bay'!D180+Namwera!D180</f>
        <v>0</v>
      </c>
      <c r="E180" s="142">
        <f>Mangochi!E180+'Monkey Bay'!E180+Namwera!E180</f>
        <v>0</v>
      </c>
      <c r="F180" s="142">
        <f>Mangochi!F180+'Monkey Bay'!F180+Namwera!F180</f>
        <v>0</v>
      </c>
      <c r="G180" s="142">
        <f>Mangochi!G180+'Monkey Bay'!G180+Namwera!G180</f>
        <v>0</v>
      </c>
      <c r="H180" s="142">
        <f>Mangochi!H180+'Monkey Bay'!H180+Namwera!H180</f>
        <v>0</v>
      </c>
      <c r="I180" s="142">
        <f>Mangochi!I180+'Monkey Bay'!I180+Namwera!I180</f>
        <v>0</v>
      </c>
      <c r="J180" s="142">
        <f>Mangochi!J180+'Monkey Bay'!J180+Namwera!J180+Nkhudzi!J180</f>
        <v>0</v>
      </c>
      <c r="K180" s="142">
        <f>Mangochi!K180+'Monkey Bay'!K180+Namwera!K180+Nkhudzi!K180</f>
        <v>0</v>
      </c>
      <c r="L180" s="142">
        <f>Mangochi!L180+'Monkey Bay'!L180+Namwera!L180+Nkhudzi!L180</f>
        <v>0</v>
      </c>
      <c r="M180" s="142">
        <f>Mangochi!M180+'Monkey Bay'!M180+Namwera!M180+Nkhudzi!M180</f>
        <v>0</v>
      </c>
      <c r="N180" s="142">
        <f>Mangochi!N180+'Monkey Bay'!N180+Namwera!N180+Nkhudzi!N180</f>
        <v>0</v>
      </c>
      <c r="O180" s="142">
        <f>Mangochi!O180+'Monkey Bay'!O180+Namwera!O180+Nkhudzi!O180</f>
        <v>0</v>
      </c>
      <c r="P180" s="74">
        <f t="shared" si="130"/>
        <v>0</v>
      </c>
    </row>
    <row r="181" spans="1:16" x14ac:dyDescent="0.3">
      <c r="A181" s="293"/>
      <c r="B181" s="19" t="s">
        <v>66</v>
      </c>
      <c r="C181" s="11" t="s">
        <v>57</v>
      </c>
      <c r="D181" s="142">
        <f>Mangochi!D181+'Monkey Bay'!D181+Namwera!D181</f>
        <v>0</v>
      </c>
      <c r="E181" s="142">
        <f>Mangochi!E181+'Monkey Bay'!E181+Namwera!E181</f>
        <v>0</v>
      </c>
      <c r="F181" s="142">
        <f>Mangochi!F181+'Monkey Bay'!F181+Namwera!F181</f>
        <v>0</v>
      </c>
      <c r="G181" s="142">
        <f>Mangochi!G181+'Monkey Bay'!G181+Namwera!G181</f>
        <v>0</v>
      </c>
      <c r="H181" s="142">
        <f>Mangochi!H181+'Monkey Bay'!H181+Namwera!H181</f>
        <v>0</v>
      </c>
      <c r="I181" s="142">
        <f>Mangochi!I181+'Monkey Bay'!I181+Namwera!I181</f>
        <v>0</v>
      </c>
      <c r="J181" s="142">
        <f>Mangochi!J181+'Monkey Bay'!J181+Namwera!J181+Nkhudzi!J181</f>
        <v>0</v>
      </c>
      <c r="K181" s="142">
        <f>Mangochi!K181+'Monkey Bay'!K181+Namwera!K181+Nkhudzi!K181</f>
        <v>0</v>
      </c>
      <c r="L181" s="142">
        <f>Mangochi!L181+'Monkey Bay'!L181+Namwera!L181+Nkhudzi!L181</f>
        <v>0</v>
      </c>
      <c r="M181" s="142">
        <f>Mangochi!M181+'Monkey Bay'!M181+Namwera!M181+Nkhudzi!M181</f>
        <v>0</v>
      </c>
      <c r="N181" s="142">
        <f>Mangochi!N181+'Monkey Bay'!N181+Namwera!N181+Nkhudzi!N181</f>
        <v>0</v>
      </c>
      <c r="O181" s="142">
        <f>Mangochi!O181+'Monkey Bay'!O181+Namwera!O181+Nkhudzi!O181</f>
        <v>0</v>
      </c>
      <c r="P181" s="74">
        <f t="shared" si="130"/>
        <v>0</v>
      </c>
    </row>
    <row r="182" spans="1:16" x14ac:dyDescent="0.3">
      <c r="A182" s="294"/>
      <c r="B182" s="19" t="s">
        <v>65</v>
      </c>
      <c r="C182" s="11" t="s">
        <v>57</v>
      </c>
      <c r="D182" s="142">
        <f>Mangochi!D182+'Monkey Bay'!D182+Namwera!D182</f>
        <v>0</v>
      </c>
      <c r="E182" s="142">
        <f>Mangochi!E182+'Monkey Bay'!E182+Namwera!E182</f>
        <v>0</v>
      </c>
      <c r="F182" s="142">
        <f>Mangochi!F182+'Monkey Bay'!F182+Namwera!F182</f>
        <v>0</v>
      </c>
      <c r="G182" s="142">
        <f>Mangochi!G182+'Monkey Bay'!G182+Namwera!G182</f>
        <v>0</v>
      </c>
      <c r="H182" s="142">
        <f>Mangochi!H182+'Monkey Bay'!H182+Namwera!H182</f>
        <v>0</v>
      </c>
      <c r="I182" s="142">
        <f>Mangochi!I182+'Monkey Bay'!I182+Namwera!I182</f>
        <v>0</v>
      </c>
      <c r="J182" s="142">
        <f>Mangochi!J182+'Monkey Bay'!J182+Namwera!J182+Nkhudzi!J182</f>
        <v>0</v>
      </c>
      <c r="K182" s="142">
        <f>Mangochi!K182+'Monkey Bay'!K182+Namwera!K182+Nkhudzi!K182</f>
        <v>0</v>
      </c>
      <c r="L182" s="142">
        <f>Mangochi!L182+'Monkey Bay'!L182+Namwera!L182+Nkhudzi!L182</f>
        <v>0</v>
      </c>
      <c r="M182" s="142">
        <f>Mangochi!M182+'Monkey Bay'!M182+Namwera!M182+Nkhudzi!M182</f>
        <v>0</v>
      </c>
      <c r="N182" s="142">
        <f>Mangochi!N182+'Monkey Bay'!N182+Namwera!N182+Nkhudzi!N182</f>
        <v>0</v>
      </c>
      <c r="O182" s="142">
        <f>Mangochi!O182+'Monkey Bay'!O182+Namwera!O182+Nkhudzi!O182</f>
        <v>0</v>
      </c>
      <c r="P182" s="74">
        <f t="shared" si="130"/>
        <v>0</v>
      </c>
    </row>
    <row r="183" spans="1:16" x14ac:dyDescent="0.3">
      <c r="A183" s="292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>
        <f>Mangochi!J183+'Monkey Bay'!J183+Namwera!J183+Nkhudzi!J183</f>
        <v>0</v>
      </c>
      <c r="K183" s="4">
        <f>Mangochi!K183+'Monkey Bay'!K183+Namwera!K183+Nkhudzi!K183</f>
        <v>0</v>
      </c>
      <c r="L183" s="4">
        <f>Mangochi!L183+'Monkey Bay'!L183+Namwera!L183+Nkhudzi!L183</f>
        <v>0</v>
      </c>
      <c r="M183" s="4">
        <f>Mangochi!M183+'Monkey Bay'!M183+Namwera!M183+Nkhudzi!M183</f>
        <v>0</v>
      </c>
      <c r="N183" s="4">
        <f>Mangochi!N183+'Monkey Bay'!N183+Namwera!N183+Nkhudzi!N183</f>
        <v>0</v>
      </c>
      <c r="O183" s="4">
        <f>Mangochi!O183+'Monkey Bay'!O183+Namwera!O183+Nkhudzi!O183</f>
        <v>0</v>
      </c>
      <c r="P183" s="74"/>
    </row>
    <row r="184" spans="1:16" x14ac:dyDescent="0.3">
      <c r="A184" s="293"/>
      <c r="B184" s="19" t="s">
        <v>73</v>
      </c>
      <c r="C184" s="11" t="s">
        <v>57</v>
      </c>
      <c r="D184" s="142">
        <f>Mangochi!D183+'Monkey Bay'!D183+Namwera!D183</f>
        <v>0</v>
      </c>
      <c r="E184" s="142">
        <f>Mangochi!E183+'Monkey Bay'!E183+Namwera!E183</f>
        <v>0</v>
      </c>
      <c r="F184" s="142">
        <f>Mangochi!F183+'Monkey Bay'!F183+Namwera!F183</f>
        <v>0</v>
      </c>
      <c r="G184" s="142">
        <f>Mangochi!G183+'Monkey Bay'!G183+Namwera!G183</f>
        <v>0</v>
      </c>
      <c r="H184" s="142">
        <f>Mangochi!H183+'Monkey Bay'!H183+Namwera!H183</f>
        <v>0</v>
      </c>
      <c r="I184" s="142">
        <f>Mangochi!I183+'Monkey Bay'!I183+Namwera!I183</f>
        <v>0</v>
      </c>
      <c r="J184" s="142">
        <f>Mangochi!J184+'Monkey Bay'!J184+Namwera!J184+Nkhudzi!J184</f>
        <v>0</v>
      </c>
      <c r="K184" s="142">
        <f>Mangochi!K184+'Monkey Bay'!K184+Namwera!K184+Nkhudzi!K184</f>
        <v>0</v>
      </c>
      <c r="L184" s="142">
        <f>Mangochi!L184+'Monkey Bay'!L184+Namwera!L184+Nkhudzi!L184</f>
        <v>0</v>
      </c>
      <c r="M184" s="142">
        <f>Mangochi!M184+'Monkey Bay'!M184+Namwera!M184+Nkhudzi!M184</f>
        <v>0</v>
      </c>
      <c r="N184" s="142">
        <f>Mangochi!N184+'Monkey Bay'!N184+Namwera!N184+Nkhudzi!N184</f>
        <v>0</v>
      </c>
      <c r="O184" s="142">
        <f>Mangochi!O184+'Monkey Bay'!O184+Namwera!O184+Nkhudzi!O184</f>
        <v>0</v>
      </c>
      <c r="P184" s="74">
        <f>SUM(D184:O184)</f>
        <v>0</v>
      </c>
    </row>
    <row r="185" spans="1:16" x14ac:dyDescent="0.3">
      <c r="A185" s="293"/>
      <c r="B185" s="19" t="s">
        <v>72</v>
      </c>
      <c r="C185" s="11" t="s">
        <v>57</v>
      </c>
      <c r="D185" s="142">
        <f>Mangochi!D184+'Monkey Bay'!D184+Namwera!D184</f>
        <v>0</v>
      </c>
      <c r="E185" s="142">
        <f>Mangochi!E184+'Monkey Bay'!E184+Namwera!E184</f>
        <v>0</v>
      </c>
      <c r="F185" s="142">
        <f>Mangochi!F184+'Monkey Bay'!F184+Namwera!F184</f>
        <v>0</v>
      </c>
      <c r="G185" s="142">
        <f>Mangochi!G184+'Monkey Bay'!G184+Namwera!G184</f>
        <v>0</v>
      </c>
      <c r="H185" s="142">
        <f>Mangochi!H184+'Monkey Bay'!H184+Namwera!H184</f>
        <v>0</v>
      </c>
      <c r="I185" s="142">
        <f>Mangochi!I184+'Monkey Bay'!I184+Namwera!I184</f>
        <v>0</v>
      </c>
      <c r="J185" s="142">
        <f>Mangochi!J185+'Monkey Bay'!J185+Namwera!J185+Nkhudzi!J185</f>
        <v>0</v>
      </c>
      <c r="K185" s="142">
        <f>Mangochi!K185+'Monkey Bay'!K185+Namwera!K185+Nkhudzi!K185</f>
        <v>0</v>
      </c>
      <c r="L185" s="142">
        <f>Mangochi!L185+'Monkey Bay'!L185+Namwera!L185+Nkhudzi!L185</f>
        <v>0</v>
      </c>
      <c r="M185" s="142">
        <f>Mangochi!M185+'Monkey Bay'!M185+Namwera!M185+Nkhudzi!M185</f>
        <v>0</v>
      </c>
      <c r="N185" s="142">
        <f>Mangochi!N185+'Monkey Bay'!N185+Namwera!N185+Nkhudzi!N185</f>
        <v>0</v>
      </c>
      <c r="O185" s="142">
        <f>Mangochi!O185+'Monkey Bay'!O185+Namwera!O185+Nkhudzi!O185</f>
        <v>0</v>
      </c>
      <c r="P185" s="74">
        <f>SUM(D185:O185)</f>
        <v>0</v>
      </c>
    </row>
    <row r="186" spans="1:16" x14ac:dyDescent="0.3">
      <c r="A186" s="293"/>
      <c r="B186" s="19" t="s">
        <v>53</v>
      </c>
      <c r="C186" s="11" t="s">
        <v>57</v>
      </c>
      <c r="D186" s="142">
        <f>Mangochi!D185+'Monkey Bay'!D185+Namwera!D185</f>
        <v>0</v>
      </c>
      <c r="E186" s="142">
        <f>Mangochi!E185+'Monkey Bay'!E185+Namwera!E185</f>
        <v>0</v>
      </c>
      <c r="F186" s="142">
        <f>Mangochi!F185+'Monkey Bay'!F185+Namwera!F185</f>
        <v>0</v>
      </c>
      <c r="G186" s="142">
        <f>Mangochi!G185+'Monkey Bay'!G185+Namwera!G185</f>
        <v>0</v>
      </c>
      <c r="H186" s="142">
        <f>Mangochi!H185+'Monkey Bay'!H185+Namwera!H185</f>
        <v>0</v>
      </c>
      <c r="I186" s="142">
        <f>Mangochi!I185+'Monkey Bay'!I185+Namwera!I185</f>
        <v>0</v>
      </c>
      <c r="J186" s="142">
        <f>Mangochi!J186+'Monkey Bay'!J186+Namwera!J186+Nkhudzi!J186</f>
        <v>0</v>
      </c>
      <c r="K186" s="142">
        <f>Mangochi!K186+'Monkey Bay'!K186+Namwera!K186+Nkhudzi!K186</f>
        <v>0</v>
      </c>
      <c r="L186" s="142">
        <f>Mangochi!L186+'Monkey Bay'!L186+Namwera!L186+Nkhudzi!L186</f>
        <v>0</v>
      </c>
      <c r="M186" s="142">
        <f>Mangochi!M186+'Monkey Bay'!M186+Namwera!M186+Nkhudzi!M186</f>
        <v>0</v>
      </c>
      <c r="N186" s="142">
        <f>Mangochi!N186+'Monkey Bay'!N186+Namwera!N186+Nkhudzi!N186</f>
        <v>0</v>
      </c>
      <c r="O186" s="142">
        <f>Mangochi!O186+'Monkey Bay'!O186+Namwera!O186+Nkhudzi!O186</f>
        <v>0</v>
      </c>
      <c r="P186" s="74">
        <f>SUM(D186:O186)</f>
        <v>0</v>
      </c>
    </row>
    <row r="187" spans="1:16" x14ac:dyDescent="0.3">
      <c r="A187" s="294"/>
      <c r="B187" s="19" t="s">
        <v>52</v>
      </c>
      <c r="C187" s="11" t="s">
        <v>57</v>
      </c>
      <c r="D187" s="142">
        <f>Mangochi!D186+'Monkey Bay'!D186+Namwera!D186</f>
        <v>0</v>
      </c>
      <c r="E187" s="142">
        <f>Mangochi!E186+'Monkey Bay'!E186+Namwera!E186</f>
        <v>0</v>
      </c>
      <c r="F187" s="142">
        <f>Mangochi!F186+'Monkey Bay'!F186+Namwera!F186</f>
        <v>0</v>
      </c>
      <c r="G187" s="142">
        <f>Mangochi!G186+'Monkey Bay'!G186+Namwera!G186</f>
        <v>0</v>
      </c>
      <c r="H187" s="142">
        <f>Mangochi!H186+'Monkey Bay'!H186+Namwera!H186</f>
        <v>0</v>
      </c>
      <c r="I187" s="142">
        <f>Mangochi!I186+'Monkey Bay'!I186+Namwera!I186</f>
        <v>0</v>
      </c>
      <c r="J187" s="142">
        <f>Mangochi!J187+'Monkey Bay'!J187+Namwera!J187+Nkhudzi!J187</f>
        <v>0</v>
      </c>
      <c r="K187" s="142">
        <f>Mangochi!K187+'Monkey Bay'!K187+Namwera!K187+Nkhudzi!K187</f>
        <v>0</v>
      </c>
      <c r="L187" s="142">
        <f>Mangochi!L187+'Monkey Bay'!L187+Namwera!L187+Nkhudzi!L187</f>
        <v>0</v>
      </c>
      <c r="M187" s="142">
        <f>Mangochi!M187+'Monkey Bay'!M187+Namwera!M187+Nkhudzi!M187</f>
        <v>0</v>
      </c>
      <c r="N187" s="142">
        <f>Mangochi!N187+'Monkey Bay'!N187+Namwera!N187+Nkhudzi!N187</f>
        <v>0</v>
      </c>
      <c r="O187" s="142">
        <f>Mangochi!O187+'Monkey Bay'!O187+Namwera!O187+Nkhudzi!O187</f>
        <v>0</v>
      </c>
      <c r="P187" s="74">
        <f>SUM(D187:O187)</f>
        <v>0</v>
      </c>
    </row>
    <row r="188" spans="1:16" x14ac:dyDescent="0.3">
      <c r="A188" s="292" t="s">
        <v>64</v>
      </c>
      <c r="B188" s="21" t="s">
        <v>63</v>
      </c>
      <c r="C188" s="11"/>
      <c r="D188" s="4">
        <f>Mangochi!D187+'Monkey Bay'!D187+Namwera!D187</f>
        <v>0</v>
      </c>
      <c r="E188" s="4">
        <f>Mangochi!E187+'Monkey Bay'!E187+Namwera!E187</f>
        <v>0</v>
      </c>
      <c r="F188" s="4">
        <f>Mangochi!F187+'Monkey Bay'!F187+Namwera!F187</f>
        <v>0</v>
      </c>
      <c r="G188" s="4">
        <f>Mangochi!G187+'Monkey Bay'!G187+Namwera!G187</f>
        <v>0</v>
      </c>
      <c r="H188" s="4">
        <f>Mangochi!H187+'Monkey Bay'!H187+Namwera!H187</f>
        <v>0</v>
      </c>
      <c r="I188" s="4">
        <f>Mangochi!I187+'Monkey Bay'!I187+Namwera!I187</f>
        <v>0</v>
      </c>
      <c r="J188" s="4">
        <f>Mangochi!J188+'Monkey Bay'!J188+Namwera!J188+Nkhudzi!J188</f>
        <v>0</v>
      </c>
      <c r="K188" s="4">
        <f>Mangochi!K188+'Monkey Bay'!K188+Namwera!K188+Nkhudzi!K188</f>
        <v>0</v>
      </c>
      <c r="L188" s="4">
        <f>Mangochi!L188+'Monkey Bay'!L188+Namwera!L188+Nkhudzi!L188</f>
        <v>0</v>
      </c>
      <c r="M188" s="4">
        <f>Mangochi!M188+'Monkey Bay'!M188+Namwera!M188+Nkhudzi!M188</f>
        <v>0</v>
      </c>
      <c r="N188" s="4">
        <f>Mangochi!N188+'Monkey Bay'!N188+Namwera!N188+Nkhudzi!N188</f>
        <v>0</v>
      </c>
      <c r="O188" s="4">
        <f>Mangochi!O188+'Monkey Bay'!O188+Namwera!O188+Nkhudzi!O188</f>
        <v>0</v>
      </c>
      <c r="P188" s="74"/>
    </row>
    <row r="189" spans="1:16" x14ac:dyDescent="0.3">
      <c r="A189" s="293"/>
      <c r="B189" s="20" t="s">
        <v>52</v>
      </c>
      <c r="C189" s="11" t="s">
        <v>57</v>
      </c>
      <c r="D189" s="142">
        <f>Mangochi!D188+'Monkey Bay'!D188+Namwera!D188</f>
        <v>0</v>
      </c>
      <c r="E189" s="142">
        <f>Mangochi!E188+'Monkey Bay'!E188+Namwera!E188</f>
        <v>0</v>
      </c>
      <c r="F189" s="142">
        <f>Mangochi!F188+'Monkey Bay'!F188+Namwera!F188</f>
        <v>0</v>
      </c>
      <c r="G189" s="142">
        <f>Mangochi!G188+'Monkey Bay'!G188+Namwera!G188</f>
        <v>0</v>
      </c>
      <c r="H189" s="142">
        <f>Mangochi!H188+'Monkey Bay'!H188+Namwera!H188</f>
        <v>0</v>
      </c>
      <c r="I189" s="142">
        <f>Mangochi!I188+'Monkey Bay'!I188+Namwera!I188</f>
        <v>0</v>
      </c>
      <c r="J189" s="142">
        <f>Mangochi!J189+'Monkey Bay'!J189+Namwera!J189+Nkhudzi!J189</f>
        <v>0</v>
      </c>
      <c r="K189" s="142">
        <f>Mangochi!K189+'Monkey Bay'!K189+Namwera!K189+Nkhudzi!K189</f>
        <v>0</v>
      </c>
      <c r="L189" s="142">
        <f>Mangochi!L189+'Monkey Bay'!L189+Namwera!L189+Nkhudzi!L189</f>
        <v>0</v>
      </c>
      <c r="M189" s="142">
        <f>Mangochi!M189+'Monkey Bay'!M189+Namwera!M189+Nkhudzi!M189</f>
        <v>0</v>
      </c>
      <c r="N189" s="142">
        <f>Mangochi!N189+'Monkey Bay'!N189+Namwera!N189+Nkhudzi!N189</f>
        <v>0</v>
      </c>
      <c r="O189" s="142">
        <f>Mangochi!O189+'Monkey Bay'!O189+Namwera!O189+Nkhudzi!O189</f>
        <v>0</v>
      </c>
      <c r="P189" s="74">
        <f>SUM(D189:O189)</f>
        <v>0</v>
      </c>
    </row>
    <row r="190" spans="1:16" x14ac:dyDescent="0.3">
      <c r="A190" s="293"/>
      <c r="B190" s="19" t="s">
        <v>62</v>
      </c>
      <c r="C190" s="11" t="s">
        <v>57</v>
      </c>
      <c r="D190" s="142">
        <f>Mangochi!D189+'Monkey Bay'!D189+Namwera!D189</f>
        <v>0</v>
      </c>
      <c r="E190" s="142">
        <f>Mangochi!E189+'Monkey Bay'!E189+Namwera!E189</f>
        <v>0</v>
      </c>
      <c r="F190" s="142">
        <f>Mangochi!F189+'Monkey Bay'!F189+Namwera!F189</f>
        <v>0</v>
      </c>
      <c r="G190" s="142">
        <f>Mangochi!G189+'Monkey Bay'!G189+Namwera!G189</f>
        <v>0</v>
      </c>
      <c r="H190" s="142">
        <f>Mangochi!H189+'Monkey Bay'!H189+Namwera!H189</f>
        <v>0</v>
      </c>
      <c r="I190" s="142">
        <f>Mangochi!I189+'Monkey Bay'!I189+Namwera!I189</f>
        <v>0</v>
      </c>
      <c r="J190" s="142">
        <f>Mangochi!J190+'Monkey Bay'!J190+Namwera!J190+Nkhudzi!J190</f>
        <v>0</v>
      </c>
      <c r="K190" s="142">
        <f>Mangochi!K190+'Monkey Bay'!K190+Namwera!K190+Nkhudzi!K190</f>
        <v>0</v>
      </c>
      <c r="L190" s="142">
        <f>Mangochi!L190+'Monkey Bay'!L190+Namwera!L190+Nkhudzi!L190</f>
        <v>0</v>
      </c>
      <c r="M190" s="142">
        <f>Mangochi!M190+'Monkey Bay'!M190+Namwera!M190+Nkhudzi!M190</f>
        <v>0</v>
      </c>
      <c r="N190" s="142">
        <f>Mangochi!N190+'Monkey Bay'!N190+Namwera!N190+Nkhudzi!N190</f>
        <v>0</v>
      </c>
      <c r="O190" s="142">
        <f>Mangochi!O190+'Monkey Bay'!O190+Namwera!O190+Nkhudzi!O190</f>
        <v>0</v>
      </c>
      <c r="P190" s="74">
        <f>SUM(D190:O190)</f>
        <v>0</v>
      </c>
    </row>
    <row r="191" spans="1:16" x14ac:dyDescent="0.3">
      <c r="A191" s="293"/>
      <c r="B191" s="19" t="s">
        <v>61</v>
      </c>
      <c r="C191" s="11" t="s">
        <v>57</v>
      </c>
      <c r="D191" s="142">
        <f>Mangochi!D190+'Monkey Bay'!D190+Namwera!D190</f>
        <v>0</v>
      </c>
      <c r="E191" s="142">
        <f>Mangochi!E190+'Monkey Bay'!E190+Namwera!E190</f>
        <v>0</v>
      </c>
      <c r="F191" s="142">
        <f>Mangochi!F190+'Monkey Bay'!F190+Namwera!F190</f>
        <v>0</v>
      </c>
      <c r="G191" s="142">
        <f>Mangochi!G190+'Monkey Bay'!G190+Namwera!G190</f>
        <v>0</v>
      </c>
      <c r="H191" s="142">
        <f>Mangochi!H190+'Monkey Bay'!H190+Namwera!H190</f>
        <v>0</v>
      </c>
      <c r="I191" s="142">
        <f>Mangochi!I190+'Monkey Bay'!I190+Namwera!I190</f>
        <v>1</v>
      </c>
      <c r="J191" s="142">
        <f>Mangochi!J191+'Monkey Bay'!J191+Namwera!J191+Nkhudzi!J191</f>
        <v>1</v>
      </c>
      <c r="K191" s="142">
        <f>Mangochi!K191+'Monkey Bay'!K191+Namwera!K191+Nkhudzi!K191</f>
        <v>0</v>
      </c>
      <c r="L191" s="142">
        <f>Mangochi!L191+'Monkey Bay'!L191+Namwera!L191+Nkhudzi!L191</f>
        <v>0</v>
      </c>
      <c r="M191" s="142">
        <f>Mangochi!M191+'Monkey Bay'!M191+Namwera!M191+Nkhudzi!M191</f>
        <v>0</v>
      </c>
      <c r="N191" s="142">
        <f>Mangochi!N191+'Monkey Bay'!N191+Namwera!N191+Nkhudzi!N191</f>
        <v>0</v>
      </c>
      <c r="O191" s="142">
        <f>Mangochi!O191+'Monkey Bay'!O191+Namwera!O191+Nkhudzi!O191</f>
        <v>0</v>
      </c>
      <c r="P191" s="74">
        <f>SUM(D191:O191)</f>
        <v>2</v>
      </c>
    </row>
    <row r="192" spans="1:16" x14ac:dyDescent="0.3">
      <c r="A192" s="294"/>
      <c r="B192" s="19" t="s">
        <v>60</v>
      </c>
      <c r="C192" s="11" t="s">
        <v>57</v>
      </c>
      <c r="D192" s="142">
        <f>Mangochi!D191+'Monkey Bay'!D191+Namwera!D191</f>
        <v>0</v>
      </c>
      <c r="E192" s="142">
        <f>Mangochi!E191+'Monkey Bay'!E191+Namwera!E191</f>
        <v>0</v>
      </c>
      <c r="F192" s="142">
        <f>Mangochi!F191+'Monkey Bay'!F191+Namwera!F191</f>
        <v>5</v>
      </c>
      <c r="G192" s="142">
        <f>Mangochi!G191+'Monkey Bay'!G191+Namwera!G191</f>
        <v>0</v>
      </c>
      <c r="H192" s="142">
        <f>Mangochi!H191+'Monkey Bay'!H191+Namwera!H191</f>
        <v>0</v>
      </c>
      <c r="I192" s="142">
        <f>Mangochi!I191+'Monkey Bay'!I191+Namwera!I191</f>
        <v>1</v>
      </c>
      <c r="J192" s="142">
        <f>Mangochi!J192+'Monkey Bay'!J192+Namwera!J192+Nkhudzi!J192</f>
        <v>0</v>
      </c>
      <c r="K192" s="142">
        <f>Mangochi!K192+'Monkey Bay'!K192+Namwera!K192+Nkhudzi!K192</f>
        <v>0</v>
      </c>
      <c r="L192" s="142">
        <f>Mangochi!L192+'Monkey Bay'!L192+Namwera!L192+Nkhudzi!L192</f>
        <v>1</v>
      </c>
      <c r="M192" s="142">
        <f>Mangochi!M192+'Monkey Bay'!M192+Namwera!M192+Nkhudzi!M192</f>
        <v>0</v>
      </c>
      <c r="N192" s="142">
        <f>Mangochi!N192+'Monkey Bay'!N192+Namwera!N192+Nkhudzi!N192</f>
        <v>1</v>
      </c>
      <c r="O192" s="142">
        <f>Mangochi!O192+'Monkey Bay'!O192+Namwera!O192+Nkhudzi!O192</f>
        <v>0</v>
      </c>
      <c r="P192" s="74">
        <f>SUM(D192:O192)</f>
        <v>8</v>
      </c>
    </row>
    <row r="193" spans="1:16" x14ac:dyDescent="0.3">
      <c r="A193" s="84" t="s">
        <v>59</v>
      </c>
      <c r="B193" s="17"/>
      <c r="C193" s="11"/>
      <c r="D193" s="10">
        <f>Mangochi!D192+'Monkey Bay'!D192+Namwera!D192</f>
        <v>0</v>
      </c>
      <c r="E193" s="10">
        <f>Mangochi!E193+'Monkey Bay'!E193+Namwera!E193</f>
        <v>231</v>
      </c>
      <c r="F193" s="10">
        <f>Mangochi!F193+'Monkey Bay'!F193+Namwera!F193</f>
        <v>236</v>
      </c>
      <c r="G193" s="10">
        <f>Mangochi!G193+'Monkey Bay'!G193+Namwera!G193</f>
        <v>214</v>
      </c>
      <c r="H193" s="10">
        <f>Mangochi!H193+'Monkey Bay'!H193+Namwera!H193</f>
        <v>161</v>
      </c>
      <c r="I193" s="10">
        <f>Mangochi!I193+'Monkey Bay'!I193+Namwera!I193</f>
        <v>239</v>
      </c>
      <c r="J193" s="10">
        <f>Mangochi!J193+'Monkey Bay'!J193+Namwera!J193+Nkhudzi!J193</f>
        <v>220</v>
      </c>
      <c r="K193" s="10">
        <f>Mangochi!K193+'Monkey Bay'!K193+Namwera!K193+Nkhudzi!K193</f>
        <v>212</v>
      </c>
      <c r="L193" s="10">
        <f>Mangochi!L193+'Monkey Bay'!L193+Namwera!L193+Nkhudzi!L193</f>
        <v>259</v>
      </c>
      <c r="M193" s="10">
        <f>Mangochi!M193+'Monkey Bay'!M193+Namwera!M193+Nkhudzi!M193</f>
        <v>356</v>
      </c>
      <c r="N193" s="10">
        <f>Mangochi!N193+'Monkey Bay'!N193+Namwera!N193+Nkhudzi!N193</f>
        <v>494</v>
      </c>
      <c r="O193" s="10">
        <f>Mangochi!O193+'Monkey Bay'!O193+Namwera!O193+Nkhudzi!O193</f>
        <v>480</v>
      </c>
      <c r="P193" s="40">
        <f t="shared" ref="P193" si="131">SUM(P153:P192)</f>
        <v>3294</v>
      </c>
    </row>
    <row r="194" spans="1:16" x14ac:dyDescent="0.3">
      <c r="A194" s="287" t="s">
        <v>58</v>
      </c>
      <c r="B194" s="288"/>
      <c r="C194" s="11" t="s">
        <v>57</v>
      </c>
      <c r="D194" s="132">
        <f>Mangochi!D193+'Monkey Bay'!D193+Namwera!D193</f>
        <v>192</v>
      </c>
      <c r="E194" s="132">
        <f>Mangochi!E193+'Monkey Bay'!E193+Namwera!E193</f>
        <v>231</v>
      </c>
      <c r="F194" s="132">
        <f>Mangochi!F193+'Monkey Bay'!F193+Namwera!F193</f>
        <v>236</v>
      </c>
      <c r="G194" s="132">
        <f>Mangochi!G193+'Monkey Bay'!G193+Namwera!G193</f>
        <v>214</v>
      </c>
      <c r="H194" s="132">
        <f>Mangochi!H193+'Monkey Bay'!H193+Namwera!H193</f>
        <v>161</v>
      </c>
      <c r="I194" s="132">
        <f>Mangochi!I193+'Monkey Bay'!I193+Namwera!I193</f>
        <v>239</v>
      </c>
      <c r="J194" s="132">
        <f>Mangochi!J194+'Monkey Bay'!J194+Namwera!J194+Nkhudzi!J194</f>
        <v>15</v>
      </c>
      <c r="K194" s="132">
        <f>Mangochi!K194+'Monkey Bay'!K194+Namwera!K194+Nkhudzi!K194</f>
        <v>6</v>
      </c>
      <c r="L194" s="132">
        <f>Mangochi!L194+'Monkey Bay'!L194+Namwera!L194+Nkhudzi!L194</f>
        <v>10</v>
      </c>
      <c r="M194" s="132">
        <f>Mangochi!M194+'Monkey Bay'!M194+Namwera!M194+Nkhudzi!M194</f>
        <v>8</v>
      </c>
      <c r="N194" s="132">
        <f>Mangochi!N194+'Monkey Bay'!N194+Namwera!N194+Nkhudzi!N194</f>
        <v>8</v>
      </c>
      <c r="O194" s="132">
        <f>Mangochi!O194+'Monkey Bay'!O194+Namwera!O194+Nkhudzi!O194</f>
        <v>8</v>
      </c>
      <c r="P194" s="39">
        <f>SUM(D194:O194)</f>
        <v>1328</v>
      </c>
    </row>
    <row r="195" spans="1:16" x14ac:dyDescent="0.3">
      <c r="A195" s="289"/>
      <c r="B195" s="290"/>
      <c r="C195" s="16" t="s">
        <v>55</v>
      </c>
      <c r="D195" s="132"/>
      <c r="E195" s="132"/>
      <c r="F195" s="132"/>
      <c r="G195" s="132"/>
      <c r="H195" s="132"/>
      <c r="I195" s="132"/>
      <c r="J195" s="132">
        <f>Mangochi!J195+'Monkey Bay'!J195+Namwera!J195+Nkhudzi!J195</f>
        <v>0</v>
      </c>
      <c r="K195" s="132">
        <f>Mangochi!K195+'Monkey Bay'!K195+Namwera!K195+Nkhudzi!K195</f>
        <v>175.91</v>
      </c>
      <c r="L195" s="132">
        <f>Mangochi!L195+'Monkey Bay'!L195+Namwera!L195+Nkhudzi!L195</f>
        <v>0</v>
      </c>
      <c r="M195" s="132">
        <f>Mangochi!M195+'Monkey Bay'!M195+Namwera!M195+Nkhudzi!M195</f>
        <v>0</v>
      </c>
      <c r="N195" s="132">
        <f>Mangochi!N195+'Monkey Bay'!N195+Namwera!N195+Nkhudzi!N195</f>
        <v>0</v>
      </c>
      <c r="O195" s="132">
        <f>Mangochi!O195+'Monkey Bay'!O195+Namwera!O195+Nkhudzi!O195</f>
        <v>0</v>
      </c>
      <c r="P195" s="39">
        <f>SUM(D195:O195)</f>
        <v>175.91</v>
      </c>
    </row>
    <row r="196" spans="1:16" x14ac:dyDescent="0.3">
      <c r="A196" s="332" t="s">
        <v>202</v>
      </c>
      <c r="B196" s="333"/>
      <c r="C196" s="16" t="s">
        <v>55</v>
      </c>
      <c r="D196" s="132">
        <f>Mangochi!D196+'Monkey Bay'!D196+Namwera!D196</f>
        <v>1762</v>
      </c>
      <c r="E196" s="132">
        <f>Mangochi!E196+'Monkey Bay'!E196+Namwera!E196</f>
        <v>1807</v>
      </c>
      <c r="F196" s="132">
        <f>Mangochi!F196+'Monkey Bay'!F196+Namwera!F196</f>
        <v>1907.25</v>
      </c>
      <c r="G196" s="132">
        <f>Mangochi!G196+'Monkey Bay'!G196+Namwera!G196</f>
        <v>1833</v>
      </c>
      <c r="H196" s="132">
        <f>Mangochi!H196+'Monkey Bay'!H196+Namwera!H196</f>
        <v>1771</v>
      </c>
      <c r="I196" s="132">
        <f>Mangochi!I196+'Monkey Bay'!I196+Namwera!I196</f>
        <v>1725</v>
      </c>
      <c r="J196" s="132">
        <f>Mangochi!J196+'Monkey Bay'!J196+Namwera!J196+Nkhudzi!J196</f>
        <v>1651.75</v>
      </c>
      <c r="K196" s="132">
        <f>Mangochi!K196+'Monkey Bay'!K196+Namwera!K196+Nkhudzi!K196</f>
        <v>1598</v>
      </c>
      <c r="L196" s="132">
        <f>Mangochi!L196+'Monkey Bay'!L196+Namwera!L196+Nkhudzi!L196</f>
        <v>2446</v>
      </c>
      <c r="M196" s="132">
        <f>Mangochi!M196+'Monkey Bay'!M196+Namwera!M196+Nkhudzi!M196</f>
        <v>1819.13</v>
      </c>
      <c r="N196" s="132">
        <f>Mangochi!N196+'Monkey Bay'!N196+Namwera!N196+Nkhudzi!N196</f>
        <v>1967.75</v>
      </c>
      <c r="O196" s="132">
        <f>Mangochi!O196+'Monkey Bay'!O196+Namwera!O196+Nkhudzi!O196</f>
        <v>1820</v>
      </c>
      <c r="P196" s="39"/>
    </row>
    <row r="197" spans="1:16" x14ac:dyDescent="0.3">
      <c r="A197" s="237" t="s">
        <v>56</v>
      </c>
      <c r="B197" s="238"/>
      <c r="C197" s="16" t="s">
        <v>55</v>
      </c>
      <c r="D197" s="132">
        <f>Mangochi!D197+'Monkey Bay'!D197+Namwera!D197</f>
        <v>418.75</v>
      </c>
      <c r="E197" s="132">
        <f>Mangochi!E197+'Monkey Bay'!E197+Namwera!E197</f>
        <v>251</v>
      </c>
      <c r="F197" s="132">
        <f>Mangochi!F197+'Monkey Bay'!F197+Namwera!F197</f>
        <v>244.5</v>
      </c>
      <c r="G197" s="132">
        <f>Mangochi!G197+'Monkey Bay'!G197+Namwera!G197</f>
        <v>337.25</v>
      </c>
      <c r="H197" s="132">
        <f>Mangochi!H197+'Monkey Bay'!H197+Namwera!H197</f>
        <v>420</v>
      </c>
      <c r="I197" s="132">
        <f>Mangochi!I197+'Monkey Bay'!I197+Namwera!I197</f>
        <v>396</v>
      </c>
      <c r="J197" s="132">
        <f>Mangochi!J197+'Monkey Bay'!J197+Namwera!J197+Nkhudzi!J197</f>
        <v>413</v>
      </c>
      <c r="K197" s="132">
        <f>Mangochi!K197+'Monkey Bay'!K197+Namwera!K197+Nkhudzi!K197</f>
        <v>408</v>
      </c>
      <c r="L197" s="132">
        <f>Mangochi!L197+'Monkey Bay'!L197+Namwera!L197+Nkhudzi!L197</f>
        <v>466</v>
      </c>
      <c r="M197" s="132">
        <f>Mangochi!M197+'Monkey Bay'!M197+Namwera!M197+Nkhudzi!M197</f>
        <v>432.33</v>
      </c>
      <c r="N197" s="132">
        <f>Mangochi!N197+'Monkey Bay'!N197+Namwera!N197+Nkhudzi!N197</f>
        <v>420.5</v>
      </c>
      <c r="O197" s="132">
        <f>Mangochi!O197+'Monkey Bay'!O197+Namwera!O197+Nkhudzi!O197</f>
        <v>522</v>
      </c>
      <c r="P197" s="39">
        <f>SUM(D197:O197)</f>
        <v>4729.33</v>
      </c>
    </row>
    <row r="198" spans="1:16" ht="14.4" x14ac:dyDescent="0.3">
      <c r="A198" s="282" t="s">
        <v>203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4"/>
    </row>
    <row r="199" spans="1:16" x14ac:dyDescent="0.3">
      <c r="A199" s="287" t="s">
        <v>54</v>
      </c>
      <c r="B199" s="323" t="s">
        <v>53</v>
      </c>
      <c r="C199" s="11" t="s">
        <v>47</v>
      </c>
      <c r="D199" s="132">
        <f>Mangochi!D199+'Monkey Bay'!D199+Namwera!D199</f>
        <v>0</v>
      </c>
      <c r="E199" s="132">
        <f>Mangochi!E199+'Monkey Bay'!E199+Namwera!E199</f>
        <v>0</v>
      </c>
      <c r="F199" s="132">
        <f>Mangochi!F199+'Monkey Bay'!F199+Namwera!F199</f>
        <v>0</v>
      </c>
      <c r="G199" s="132">
        <f>Mangochi!G199+'Monkey Bay'!G199+Namwera!G199</f>
        <v>0</v>
      </c>
      <c r="H199" s="132">
        <f>Mangochi!H199+'Monkey Bay'!H199+Namwera!H199</f>
        <v>0</v>
      </c>
      <c r="I199" s="132">
        <f>Mangochi!I199+'Monkey Bay'!I199+Namwera!I199</f>
        <v>0</v>
      </c>
      <c r="J199" s="132">
        <f>Mangochi!J199+'Monkey Bay'!J199+Namwera!J199+Nkhudzi!J199</f>
        <v>0</v>
      </c>
      <c r="K199" s="132">
        <f>Mangochi!K199+'Monkey Bay'!K199+Namwera!K199+Nkhudzi!K199</f>
        <v>600</v>
      </c>
      <c r="L199" s="132">
        <f>Mangochi!L199+'Monkey Bay'!L199+Namwera!L199+Nkhudzi!L199</f>
        <v>0</v>
      </c>
      <c r="M199" s="132">
        <f>Mangochi!M199+'Monkey Bay'!M199+Namwera!M199+Nkhudzi!M199</f>
        <v>830</v>
      </c>
      <c r="N199" s="132">
        <f>Mangochi!N199+'Monkey Bay'!N199+Namwera!N199+Nkhudzi!N199</f>
        <v>150</v>
      </c>
      <c r="O199" s="132">
        <f>Mangochi!O199+'Monkey Bay'!O199+Namwera!O199+Nkhudzi!O199</f>
        <v>0</v>
      </c>
      <c r="P199" s="39">
        <f t="shared" ref="P199:P204" si="132">SUM(D199:O199)</f>
        <v>1580</v>
      </c>
    </row>
    <row r="200" spans="1:16" x14ac:dyDescent="0.3">
      <c r="A200" s="291"/>
      <c r="B200" s="323" t="s">
        <v>52</v>
      </c>
      <c r="C200" s="11" t="s">
        <v>47</v>
      </c>
      <c r="D200" s="132">
        <f>Mangochi!D200+'Monkey Bay'!D200+Namwera!D200</f>
        <v>0</v>
      </c>
      <c r="E200" s="132">
        <f>Mangochi!E200+'Monkey Bay'!E200+Namwera!E200</f>
        <v>0</v>
      </c>
      <c r="F200" s="132">
        <f>Mangochi!F200+'Monkey Bay'!F200+Namwera!F200</f>
        <v>0</v>
      </c>
      <c r="G200" s="132">
        <f>Mangochi!G200+'Monkey Bay'!G200+Namwera!G200</f>
        <v>0</v>
      </c>
      <c r="H200" s="132">
        <f>Mangochi!H200+'Monkey Bay'!H200+Namwera!H200</f>
        <v>0</v>
      </c>
      <c r="I200" s="132">
        <f>Mangochi!I200+'Monkey Bay'!I200+Namwera!I200</f>
        <v>0</v>
      </c>
      <c r="J200" s="132">
        <f>Mangochi!J200+'Monkey Bay'!J200+Namwera!J200+Nkhudzi!J200</f>
        <v>330</v>
      </c>
      <c r="K200" s="132">
        <f>Mangochi!K200+'Monkey Bay'!K200+Namwera!K200+Nkhudzi!K200</f>
        <v>180</v>
      </c>
      <c r="L200" s="132">
        <f>Mangochi!L200+'Monkey Bay'!L200+Namwera!L200+Nkhudzi!L200</f>
        <v>0</v>
      </c>
      <c r="M200" s="132">
        <f>Mangochi!M200+'Monkey Bay'!M200+Namwera!M200+Nkhudzi!M200</f>
        <v>1172</v>
      </c>
      <c r="N200" s="132">
        <f>Mangochi!N200+'Monkey Bay'!N200+Namwera!N200+Nkhudzi!N200</f>
        <v>0</v>
      </c>
      <c r="O200" s="132">
        <f>Mangochi!O200+'Monkey Bay'!O200+Namwera!O200+Nkhudzi!O200</f>
        <v>0</v>
      </c>
      <c r="P200" s="39">
        <f t="shared" si="132"/>
        <v>1682</v>
      </c>
    </row>
    <row r="201" spans="1:16" x14ac:dyDescent="0.3">
      <c r="A201" s="291"/>
      <c r="B201" s="323" t="s">
        <v>51</v>
      </c>
      <c r="C201" s="11" t="s">
        <v>47</v>
      </c>
      <c r="D201" s="132">
        <f>Mangochi!D201+'Monkey Bay'!D201+Namwera!D201</f>
        <v>0</v>
      </c>
      <c r="E201" s="132">
        <f>Mangochi!E201+'Monkey Bay'!E201+Namwera!E201</f>
        <v>240</v>
      </c>
      <c r="F201" s="132">
        <f>Mangochi!F201+'Monkey Bay'!F201+Namwera!F201</f>
        <v>0</v>
      </c>
      <c r="G201" s="132">
        <f>Mangochi!G201+'Monkey Bay'!G201+Namwera!G201</f>
        <v>330</v>
      </c>
      <c r="H201" s="132">
        <f>Mangochi!H201+'Monkey Bay'!H201+Namwera!H201</f>
        <v>0</v>
      </c>
      <c r="I201" s="132">
        <f>Mangochi!I201+'Monkey Bay'!I201+Namwera!I201</f>
        <v>0</v>
      </c>
      <c r="J201" s="132">
        <f>Mangochi!J201+'Monkey Bay'!J201+Namwera!J201+Nkhudzi!J201</f>
        <v>0</v>
      </c>
      <c r="K201" s="132">
        <f>Mangochi!K201+'Monkey Bay'!K201+Namwera!K201+Nkhudzi!K201</f>
        <v>0</v>
      </c>
      <c r="L201" s="132">
        <f>Mangochi!L201+'Monkey Bay'!L201+Namwera!L201+Nkhudzi!L201</f>
        <v>0</v>
      </c>
      <c r="M201" s="132">
        <f>Mangochi!M201+'Monkey Bay'!M201+Namwera!M201+Nkhudzi!M201</f>
        <v>0</v>
      </c>
      <c r="N201" s="132">
        <f>Mangochi!N201+'Monkey Bay'!N201+Namwera!N201+Nkhudzi!N201</f>
        <v>0</v>
      </c>
      <c r="O201" s="132">
        <f>Mangochi!O201+'Monkey Bay'!O201+Namwera!O201+Nkhudzi!O201</f>
        <v>0</v>
      </c>
      <c r="P201" s="39">
        <f t="shared" si="132"/>
        <v>570</v>
      </c>
    </row>
    <row r="202" spans="1:16" x14ac:dyDescent="0.3">
      <c r="A202" s="291"/>
      <c r="B202" s="323" t="s">
        <v>50</v>
      </c>
      <c r="C202" s="11" t="s">
        <v>47</v>
      </c>
      <c r="D202" s="132">
        <f>Mangochi!D202+'Monkey Bay'!D202+Namwera!D202</f>
        <v>0</v>
      </c>
      <c r="E202" s="132">
        <f>Mangochi!E202+'Monkey Bay'!E202+Namwera!E202</f>
        <v>126</v>
      </c>
      <c r="F202" s="132">
        <f>Mangochi!F202+'Monkey Bay'!F202+Namwera!F202</f>
        <v>0</v>
      </c>
      <c r="G202" s="132">
        <f>Mangochi!G202+'Monkey Bay'!G202+Namwera!G202</f>
        <v>0</v>
      </c>
      <c r="H202" s="132">
        <f>Mangochi!H202+'Monkey Bay'!H202+Namwera!H202</f>
        <v>0</v>
      </c>
      <c r="I202" s="132">
        <f>Mangochi!I202+'Monkey Bay'!I202+Namwera!I202</f>
        <v>0</v>
      </c>
      <c r="J202" s="132">
        <f>Mangochi!J202+'Monkey Bay'!J202+Namwera!J202+Nkhudzi!J202</f>
        <v>0</v>
      </c>
      <c r="K202" s="132">
        <f>Mangochi!K202+'Monkey Bay'!K202+Namwera!K202+Nkhudzi!K202</f>
        <v>0</v>
      </c>
      <c r="L202" s="132">
        <f>Mangochi!L202+'Monkey Bay'!L202+Namwera!L202+Nkhudzi!L202</f>
        <v>0</v>
      </c>
      <c r="M202" s="132">
        <f>Mangochi!M202+'Monkey Bay'!M202+Namwera!M202+Nkhudzi!M202</f>
        <v>0</v>
      </c>
      <c r="N202" s="132">
        <f>Mangochi!N202+'Monkey Bay'!N202+Namwera!N202+Nkhudzi!N202</f>
        <v>0</v>
      </c>
      <c r="O202" s="132">
        <f>Mangochi!O202+'Monkey Bay'!O202+Namwera!O202+Nkhudzi!O202</f>
        <v>0</v>
      </c>
      <c r="P202" s="39">
        <f t="shared" si="132"/>
        <v>126</v>
      </c>
    </row>
    <row r="203" spans="1:16" x14ac:dyDescent="0.3">
      <c r="A203" s="289"/>
      <c r="B203" s="323" t="s">
        <v>49</v>
      </c>
      <c r="C203" s="11" t="s">
        <v>47</v>
      </c>
      <c r="D203" s="132">
        <f>Mangochi!D203+'Monkey Bay'!D203+Namwera!D203</f>
        <v>0</v>
      </c>
      <c r="E203" s="132">
        <f>Mangochi!E203+'Monkey Bay'!E203+Namwera!E203</f>
        <v>240</v>
      </c>
      <c r="F203" s="132">
        <f>Mangochi!F203+'Monkey Bay'!F203+Namwera!F203</f>
        <v>0</v>
      </c>
      <c r="G203" s="132">
        <f>Mangochi!G203+'Monkey Bay'!G203+Namwera!G203</f>
        <v>0</v>
      </c>
      <c r="H203" s="132">
        <f>Mangochi!H203+'Monkey Bay'!H203+Namwera!H203</f>
        <v>0</v>
      </c>
      <c r="I203" s="132">
        <f>Mangochi!I203+'Monkey Bay'!I203+Namwera!I203</f>
        <v>0</v>
      </c>
      <c r="J203" s="132">
        <f>Mangochi!J203+'Monkey Bay'!J203+Namwera!J203+Nkhudzi!J203</f>
        <v>0</v>
      </c>
      <c r="K203" s="132">
        <f>Mangochi!K203+'Monkey Bay'!K203+Namwera!K203+Nkhudzi!K203</f>
        <v>0</v>
      </c>
      <c r="L203" s="132">
        <f>Mangochi!L203+'Monkey Bay'!L203+Namwera!L203+Nkhudzi!L203</f>
        <v>0</v>
      </c>
      <c r="M203" s="132">
        <f>Mangochi!M203+'Monkey Bay'!M203+Namwera!M203+Nkhudzi!M203</f>
        <v>320</v>
      </c>
      <c r="N203" s="132">
        <f>Mangochi!N203+'Monkey Bay'!N203+Namwera!N203+Nkhudzi!N203</f>
        <v>4152</v>
      </c>
      <c r="O203" s="132">
        <f>Mangochi!O203+'Monkey Bay'!O203+Namwera!O203+Nkhudzi!O203</f>
        <v>0</v>
      </c>
      <c r="P203" s="39">
        <f t="shared" si="132"/>
        <v>4712</v>
      </c>
    </row>
    <row r="204" spans="1:16" x14ac:dyDescent="0.3">
      <c r="A204" s="83" t="s">
        <v>48</v>
      </c>
      <c r="B204" s="323"/>
      <c r="C204" s="11" t="s">
        <v>47</v>
      </c>
      <c r="D204" s="15">
        <f t="shared" ref="D204:H204" si="133">SUM(D199:D203)</f>
        <v>0</v>
      </c>
      <c r="E204" s="10">
        <f>SUM(E199:E203)</f>
        <v>606</v>
      </c>
      <c r="F204" s="15">
        <f>SUM(F199:F203)</f>
        <v>0</v>
      </c>
      <c r="G204" s="10">
        <f t="shared" si="133"/>
        <v>330</v>
      </c>
      <c r="H204" s="10">
        <f t="shared" si="133"/>
        <v>0</v>
      </c>
      <c r="I204" s="10">
        <f t="shared" ref="I204:J204" si="134">SUM(I199:I203)</f>
        <v>0</v>
      </c>
      <c r="J204" s="10">
        <f t="shared" si="134"/>
        <v>330</v>
      </c>
      <c r="K204" s="10">
        <f t="shared" ref="K204:L204" si="135">SUM(K199:K203)</f>
        <v>780</v>
      </c>
      <c r="L204" s="10">
        <f t="shared" si="135"/>
        <v>0</v>
      </c>
      <c r="M204" s="10">
        <f t="shared" ref="M204" si="136">SUM(M199:M203)</f>
        <v>2322</v>
      </c>
      <c r="N204" s="10">
        <f t="shared" ref="N204" si="137">SUM(N199:N203)</f>
        <v>4302</v>
      </c>
      <c r="O204" s="10">
        <f t="shared" ref="O204" si="138">SUM(O199:O203)</f>
        <v>0</v>
      </c>
      <c r="P204" s="111">
        <f t="shared" si="132"/>
        <v>8670</v>
      </c>
    </row>
    <row r="205" spans="1:16" s="2" customFormat="1" ht="14.4" x14ac:dyDescent="0.3">
      <c r="A205" s="282" t="s">
        <v>46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4"/>
    </row>
    <row r="206" spans="1:16" x14ac:dyDescent="0.3">
      <c r="A206" s="237" t="s">
        <v>43</v>
      </c>
      <c r="B206" s="238"/>
      <c r="C206" s="11" t="s">
        <v>31</v>
      </c>
      <c r="D206" s="15">
        <f>Mangochi!D206+'Monkey Bay'!D206+Namwera!D206</f>
        <v>28351968.620000001</v>
      </c>
      <c r="E206" s="15">
        <f>Mangochi!E206+'Monkey Bay'!E206+Namwera!E206</f>
        <v>46269958</v>
      </c>
      <c r="F206" s="15">
        <f>Mangochi!F206+'Monkey Bay'!F206+Namwera!F206</f>
        <v>48190961</v>
      </c>
      <c r="G206" s="15">
        <f>Mangochi!G206+'Monkey Bay'!G206+Namwera!G206</f>
        <v>52911327</v>
      </c>
      <c r="H206" s="15">
        <f>Mangochi!H206+'Monkey Bay'!H206+Namwera!H206</f>
        <v>39883063</v>
      </c>
      <c r="I206" s="15">
        <f>Mangochi!I206+'Monkey Bay'!I206+Namwera!I206</f>
        <v>66110337</v>
      </c>
      <c r="J206" s="15">
        <f>Mangochi!J206+'Monkey Bay'!J206+Namwera!J206+Nkhudzi!J206</f>
        <v>29416314</v>
      </c>
      <c r="K206" s="15">
        <f>Mangochi!K206+'Monkey Bay'!K206+Namwera!K206+Nkhudzi!K206</f>
        <v>93662642</v>
      </c>
      <c r="L206" s="15">
        <f>Mangochi!L206+'Monkey Bay'!L206+Namwera!L206+Nkhudzi!L206</f>
        <v>97879756.019999996</v>
      </c>
      <c r="M206" s="15">
        <f>Mangochi!M206+'Monkey Bay'!M206+Namwera!M206+Nkhudzi!M206</f>
        <v>103919396</v>
      </c>
      <c r="N206" s="15">
        <f>Mangochi!N206+'Monkey Bay'!N206+Namwera!N206+Nkhudzi!N206</f>
        <v>42625475</v>
      </c>
      <c r="O206" s="15">
        <f>Mangochi!O206+'Monkey Bay'!O206+Namwera!O206+Nkhudzi!O206</f>
        <v>39254620</v>
      </c>
      <c r="P206" s="40">
        <f>SUM(D206:O206)</f>
        <v>688475817.63999999</v>
      </c>
    </row>
    <row r="207" spans="1:16" x14ac:dyDescent="0.3">
      <c r="A207" s="237" t="s">
        <v>42</v>
      </c>
      <c r="B207" s="238"/>
      <c r="C207" s="11" t="s">
        <v>31</v>
      </c>
      <c r="D207" s="15">
        <f>Mangochi!D207+'Monkey Bay'!D207+Namwera!D207</f>
        <v>0</v>
      </c>
      <c r="E207" s="15">
        <f>Mangochi!E207+'Monkey Bay'!E207+Namwera!E207</f>
        <v>0</v>
      </c>
      <c r="F207" s="15">
        <f>Mangochi!F207+'Monkey Bay'!F207+Namwera!F207</f>
        <v>0</v>
      </c>
      <c r="G207" s="15">
        <f>Mangochi!G207+'Monkey Bay'!G207+Namwera!G207</f>
        <v>0</v>
      </c>
      <c r="H207" s="15">
        <f>Mangochi!H207+'Monkey Bay'!H207+Namwera!H207</f>
        <v>0</v>
      </c>
      <c r="I207" s="15">
        <f>Mangochi!I207+'Monkey Bay'!I207+Namwera!I207</f>
        <v>0</v>
      </c>
      <c r="J207" s="15">
        <f>Mangochi!J207+'Monkey Bay'!J207+Namwera!J207+Nkhudzi!J207</f>
        <v>0</v>
      </c>
      <c r="K207" s="15">
        <f>Mangochi!K207+'Monkey Bay'!K207+Namwera!K207+Nkhudzi!K207</f>
        <v>0</v>
      </c>
      <c r="L207" s="15">
        <f>Mangochi!L207+'Monkey Bay'!L207+Namwera!L207+Nkhudzi!L207</f>
        <v>0</v>
      </c>
      <c r="M207" s="15">
        <f>Mangochi!M207+'Monkey Bay'!M207+Namwera!M207+Nkhudzi!M207</f>
        <v>0</v>
      </c>
      <c r="N207" s="15">
        <f>Mangochi!N207+'Monkey Bay'!N207+Namwera!N207+Nkhudzi!N207</f>
        <v>0</v>
      </c>
      <c r="O207" s="15">
        <f>Mangochi!O207+'Monkey Bay'!O207+Namwera!O207+Nkhudzi!O207</f>
        <v>0</v>
      </c>
      <c r="P207" s="40">
        <f>SUM(D207:O207)</f>
        <v>0</v>
      </c>
    </row>
    <row r="208" spans="1:16" x14ac:dyDescent="0.3">
      <c r="A208" s="243" t="s">
        <v>41</v>
      </c>
      <c r="B208" s="244"/>
      <c r="C208" s="11" t="s">
        <v>31</v>
      </c>
      <c r="D208" s="15">
        <f>Mangochi!D208+'Monkey Bay'!D208+Namwera!D208</f>
        <v>312300</v>
      </c>
      <c r="E208" s="15">
        <f>Mangochi!E208+'Monkey Bay'!E208+Namwera!E208</f>
        <v>940794</v>
      </c>
      <c r="F208" s="15">
        <f>Mangochi!F208+'Monkey Bay'!F208+Namwera!F208</f>
        <v>145050</v>
      </c>
      <c r="G208" s="15">
        <f>Mangochi!G208+'Monkey Bay'!G208+Namwera!G208</f>
        <v>253790</v>
      </c>
      <c r="H208" s="15">
        <f>Mangochi!H208+'Monkey Bay'!H208+Namwera!H208</f>
        <v>106300</v>
      </c>
      <c r="I208" s="15">
        <f>Mangochi!I208+'Monkey Bay'!I208+Namwera!I208</f>
        <v>132500</v>
      </c>
      <c r="J208" s="15">
        <f>Mangochi!J208+'Monkey Bay'!J208+Namwera!J208+Nkhudzi!J208</f>
        <v>108035</v>
      </c>
      <c r="K208" s="15">
        <f>Mangochi!K208+'Monkey Bay'!K208+Namwera!K208+Nkhudzi!K208</f>
        <v>415353</v>
      </c>
      <c r="L208" s="15">
        <f>Mangochi!L208+'Monkey Bay'!L208+Namwera!L208+Nkhudzi!L208</f>
        <v>441243</v>
      </c>
      <c r="M208" s="15">
        <f>Mangochi!M208+'Monkey Bay'!M208+Namwera!M208+Nkhudzi!M208</f>
        <v>1388995</v>
      </c>
      <c r="N208" s="15">
        <f>Mangochi!N208+'Monkey Bay'!N208+Namwera!N208+Nkhudzi!N208</f>
        <v>364943</v>
      </c>
      <c r="O208" s="15">
        <f>Mangochi!O208+'Monkey Bay'!O208+Namwera!O208+Nkhudzi!O208</f>
        <v>94743</v>
      </c>
      <c r="P208" s="40">
        <f>SUM(D208:O208)</f>
        <v>4704046</v>
      </c>
    </row>
    <row r="209" spans="1:16" x14ac:dyDescent="0.3">
      <c r="A209" s="237" t="s">
        <v>40</v>
      </c>
      <c r="B209" s="238"/>
      <c r="C209" s="11" t="s">
        <v>31</v>
      </c>
      <c r="D209" s="15">
        <f>Mangochi!D209+'Monkey Bay'!D209+Namwera!D209</f>
        <v>9061000</v>
      </c>
      <c r="E209" s="15">
        <f>Mangochi!E209+'Monkey Bay'!E209+Namwera!E209</f>
        <v>431252400.5</v>
      </c>
      <c r="F209" s="15">
        <f>Mangochi!F209+'Monkey Bay'!F209+Namwera!F209</f>
        <v>20062000</v>
      </c>
      <c r="G209" s="15">
        <f>Mangochi!G209+'Monkey Bay'!G209+Namwera!G209</f>
        <v>12122808</v>
      </c>
      <c r="H209" s="15">
        <f>Mangochi!H209+'Monkey Bay'!H209+Namwera!H209</f>
        <v>2119955</v>
      </c>
      <c r="I209" s="15">
        <f>Mangochi!I209+'Monkey Bay'!I209+Namwera!I209</f>
        <v>15092000</v>
      </c>
      <c r="J209" s="15">
        <f>Mangochi!J209+'Monkey Bay'!J209+Namwera!J209+Nkhudzi!J209</f>
        <v>126003.92</v>
      </c>
      <c r="K209" s="15">
        <f>Mangochi!K209+'Monkey Bay'!K209+Namwera!K209+Nkhudzi!K209</f>
        <v>12075000</v>
      </c>
      <c r="L209" s="15">
        <f>Mangochi!L209+'Monkey Bay'!L209+Namwera!L209+Nkhudzi!L209</f>
        <v>35000</v>
      </c>
      <c r="M209" s="15">
        <f>Mangochi!M209+'Monkey Bay'!M209+Namwera!M209+Nkhudzi!M209</f>
        <v>356732009</v>
      </c>
      <c r="N209" s="15">
        <f>Mangochi!N209+'Monkey Bay'!N209+Namwera!N209+Nkhudzi!N209</f>
        <v>10011300</v>
      </c>
      <c r="O209" s="15">
        <f>Mangochi!O209+'Monkey Bay'!O209+Namwera!O209+Nkhudzi!O209</f>
        <v>150314</v>
      </c>
      <c r="P209" s="40">
        <f>SUM(D209:O209)</f>
        <v>868839790.42000008</v>
      </c>
    </row>
    <row r="210" spans="1:16" x14ac:dyDescent="0.3">
      <c r="A210" s="295" t="s">
        <v>45</v>
      </c>
      <c r="B210" s="296"/>
      <c r="C210" s="11" t="s">
        <v>31</v>
      </c>
      <c r="D210" s="10">
        <f t="shared" ref="D210:L210" si="139">SUM(D206:D209)</f>
        <v>37725268.620000005</v>
      </c>
      <c r="E210" s="10">
        <f t="shared" si="139"/>
        <v>478463152.5</v>
      </c>
      <c r="F210" s="10">
        <f t="shared" si="139"/>
        <v>68398011</v>
      </c>
      <c r="G210" s="10">
        <f t="shared" si="139"/>
        <v>65287925</v>
      </c>
      <c r="H210" s="10">
        <f t="shared" si="139"/>
        <v>42109318</v>
      </c>
      <c r="I210" s="10">
        <f t="shared" si="139"/>
        <v>81334837</v>
      </c>
      <c r="J210" s="10">
        <f t="shared" si="139"/>
        <v>29650352.920000002</v>
      </c>
      <c r="K210" s="10">
        <f t="shared" ref="K210" si="140">SUM(K206:K209)</f>
        <v>106152995</v>
      </c>
      <c r="L210" s="10">
        <f t="shared" si="139"/>
        <v>98355999.019999996</v>
      </c>
      <c r="M210" s="10">
        <f t="shared" ref="M210" si="141">SUM(M206:M209)</f>
        <v>462040400</v>
      </c>
      <c r="N210" s="10">
        <f t="shared" ref="N210" si="142">SUM(N206:N209)</f>
        <v>53001718</v>
      </c>
      <c r="O210" s="10">
        <f t="shared" ref="O210" si="143">SUM(O206:O209)</f>
        <v>39499677</v>
      </c>
      <c r="P210" s="40">
        <f>SUM(D210:O210)</f>
        <v>1562019654.0599999</v>
      </c>
    </row>
    <row r="211" spans="1:16" s="2" customFormat="1" ht="14.4" x14ac:dyDescent="0.3">
      <c r="A211" s="282" t="s">
        <v>44</v>
      </c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4"/>
    </row>
    <row r="212" spans="1:16" x14ac:dyDescent="0.3">
      <c r="A212" s="237" t="s">
        <v>43</v>
      </c>
      <c r="B212" s="238"/>
      <c r="C212" s="11" t="s">
        <v>31</v>
      </c>
      <c r="D212" s="15">
        <f>Mangochi!D212+'Monkey Bay'!D212+Namwera!D212</f>
        <v>32951559.499999996</v>
      </c>
      <c r="E212" s="15">
        <f>Mangochi!E212+'Monkey Bay'!E212+Namwera!E212</f>
        <v>43621064.690000005</v>
      </c>
      <c r="F212" s="15">
        <f>Mangochi!F212+'Monkey Bay'!F212+Namwera!F212</f>
        <v>33723077.199999996</v>
      </c>
      <c r="G212" s="15">
        <f>Mangochi!G212+'Monkey Bay'!G212+Namwera!G212</f>
        <v>51213155.829999998</v>
      </c>
      <c r="H212" s="15">
        <f>Mangochi!H212+'Monkey Bay'!H212+Namwera!H212</f>
        <v>35400702.680000007</v>
      </c>
      <c r="I212" s="15">
        <f>Mangochi!I212+'Monkey Bay'!I212+Namwera!I212</f>
        <v>35707040.289999999</v>
      </c>
      <c r="J212" s="15">
        <f>Mangochi!J212+'Monkey Bay'!J212+Namwera!J212+Nkhudzi!J212</f>
        <v>48596797.50999999</v>
      </c>
      <c r="K212" s="15">
        <f>Mangochi!K212+'Monkey Bay'!K212+Namwera!K212+Nkhudzi!K212</f>
        <v>58022020.969999999</v>
      </c>
      <c r="L212" s="15">
        <f>Mangochi!L212+'Monkey Bay'!L212+Namwera!L212+Nkhudzi!L212</f>
        <v>59117224.369999997</v>
      </c>
      <c r="M212" s="15">
        <f>Mangochi!M212+'Monkey Bay'!M212+Namwera!M212+Nkhudzi!M212</f>
        <v>48209526.340000004</v>
      </c>
      <c r="N212" s="15">
        <f>Mangochi!N212+'Monkey Bay'!N212+Namwera!N212+Nkhudzi!N212</f>
        <v>74592783.170000002</v>
      </c>
      <c r="O212" s="15">
        <f>Mangochi!O212+'Monkey Bay'!O212+Namwera!O212+Nkhudzi!O212</f>
        <v>46146161.25</v>
      </c>
      <c r="P212" s="40">
        <f>SUM(D212:O212)</f>
        <v>567301113.79999995</v>
      </c>
    </row>
    <row r="213" spans="1:16" x14ac:dyDescent="0.3">
      <c r="A213" s="237" t="s">
        <v>42</v>
      </c>
      <c r="B213" s="238"/>
      <c r="C213" s="11" t="s">
        <v>31</v>
      </c>
      <c r="D213" s="15">
        <f>Mangochi!D213+'Monkey Bay'!D213+Namwera!D213</f>
        <v>0</v>
      </c>
      <c r="E213" s="15">
        <f>Mangochi!E213+'Monkey Bay'!E213+Namwera!E213</f>
        <v>0</v>
      </c>
      <c r="F213" s="15">
        <f>Mangochi!F213+'Monkey Bay'!F213+Namwera!F213</f>
        <v>0</v>
      </c>
      <c r="G213" s="15">
        <f>Mangochi!G213+'Monkey Bay'!G213+Namwera!G213</f>
        <v>0</v>
      </c>
      <c r="H213" s="15">
        <f>Mangochi!H213+'Monkey Bay'!H213+Namwera!H213</f>
        <v>0</v>
      </c>
      <c r="I213" s="15">
        <f>Mangochi!I213+'Monkey Bay'!I213+Namwera!I213</f>
        <v>0</v>
      </c>
      <c r="J213" s="15">
        <f>Mangochi!J213+'Monkey Bay'!J213+Namwera!J213+Nkhudzi!J213</f>
        <v>0</v>
      </c>
      <c r="K213" s="15">
        <f>Mangochi!K213+'Monkey Bay'!K213+Namwera!K213+Nkhudzi!K213</f>
        <v>0</v>
      </c>
      <c r="L213" s="15">
        <f>Mangochi!L213+'Monkey Bay'!L213+Namwera!L213+Nkhudzi!L213</f>
        <v>0</v>
      </c>
      <c r="M213" s="15">
        <f>Mangochi!M213+'Monkey Bay'!M213+Namwera!M213+Nkhudzi!M213</f>
        <v>0</v>
      </c>
      <c r="N213" s="15">
        <f>Mangochi!N213+'Monkey Bay'!N213+Namwera!N213+Nkhudzi!N213</f>
        <v>0</v>
      </c>
      <c r="O213" s="15">
        <f>Mangochi!O213+'Monkey Bay'!O213+Namwera!O213+Nkhudzi!O213</f>
        <v>0</v>
      </c>
      <c r="P213" s="40">
        <f>SUM(D213:O213)</f>
        <v>0</v>
      </c>
    </row>
    <row r="214" spans="1:16" x14ac:dyDescent="0.3">
      <c r="A214" s="243" t="s">
        <v>41</v>
      </c>
      <c r="B214" s="244"/>
      <c r="C214" s="11" t="s">
        <v>31</v>
      </c>
      <c r="D214" s="15">
        <f>Mangochi!D214+'Monkey Bay'!D214+Namwera!D214</f>
        <v>0</v>
      </c>
      <c r="E214" s="15">
        <f>Mangochi!E214+'Monkey Bay'!E214+Namwera!E214</f>
        <v>0</v>
      </c>
      <c r="F214" s="15">
        <f>Mangochi!F214+'Monkey Bay'!F214+Namwera!F214</f>
        <v>0</v>
      </c>
      <c r="G214" s="15">
        <f>Mangochi!G214+'Monkey Bay'!G214+Namwera!G214</f>
        <v>0</v>
      </c>
      <c r="H214" s="15">
        <f>Mangochi!H214+'Monkey Bay'!H214+Namwera!H214</f>
        <v>0</v>
      </c>
      <c r="I214" s="15">
        <f>Mangochi!I214+'Monkey Bay'!I214+Namwera!I214</f>
        <v>0</v>
      </c>
      <c r="J214" s="15">
        <f>Mangochi!J214+'Monkey Bay'!J214+Namwera!J214+Nkhudzi!J214</f>
        <v>0</v>
      </c>
      <c r="K214" s="15">
        <f>Mangochi!K214+'Monkey Bay'!K214+Namwera!K214+Nkhudzi!K214</f>
        <v>0</v>
      </c>
      <c r="L214" s="15">
        <f>Mangochi!L214+'Monkey Bay'!L214+Namwera!L214+Nkhudzi!L214</f>
        <v>0</v>
      </c>
      <c r="M214" s="15">
        <f>Mangochi!M214+'Monkey Bay'!M214+Namwera!M214+Nkhudzi!M214</f>
        <v>0</v>
      </c>
      <c r="N214" s="15">
        <f>Mangochi!N214+'Monkey Bay'!N214+Namwera!N214+Nkhudzi!N214</f>
        <v>0</v>
      </c>
      <c r="O214" s="15">
        <f>Mangochi!O214+'Monkey Bay'!O214+Namwera!O214+Nkhudzi!O214</f>
        <v>0</v>
      </c>
      <c r="P214" s="40">
        <f>SUM(D214:O214)</f>
        <v>0</v>
      </c>
    </row>
    <row r="215" spans="1:16" x14ac:dyDescent="0.3">
      <c r="A215" s="237" t="s">
        <v>40</v>
      </c>
      <c r="B215" s="238"/>
      <c r="C215" s="11" t="s">
        <v>31</v>
      </c>
      <c r="D215" s="15">
        <f>Mangochi!D215+'Monkey Bay'!D215+Namwera!D215</f>
        <v>0</v>
      </c>
      <c r="E215" s="15">
        <f>Mangochi!E215+'Monkey Bay'!E215+Namwera!E215</f>
        <v>0</v>
      </c>
      <c r="F215" s="15">
        <f>Mangochi!F215+'Monkey Bay'!F215+Namwera!F215</f>
        <v>0</v>
      </c>
      <c r="G215" s="15">
        <f>Mangochi!G215+'Monkey Bay'!G215+Namwera!G215</f>
        <v>0</v>
      </c>
      <c r="H215" s="15">
        <f>Mangochi!H215+'Monkey Bay'!H215+Namwera!H215</f>
        <v>0</v>
      </c>
      <c r="I215" s="15">
        <f>Mangochi!I215+'Monkey Bay'!I215+Namwera!I215</f>
        <v>0</v>
      </c>
      <c r="J215" s="15">
        <f>Mangochi!J215+'Monkey Bay'!J215+Namwera!J215+Nkhudzi!J215</f>
        <v>0</v>
      </c>
      <c r="K215" s="15">
        <f>Mangochi!K215+'Monkey Bay'!K215+Namwera!K215+Nkhudzi!K215</f>
        <v>0</v>
      </c>
      <c r="L215" s="15">
        <f>Mangochi!L215+'Monkey Bay'!L215+Namwera!L215+Nkhudzi!L215</f>
        <v>0</v>
      </c>
      <c r="M215" s="15">
        <f>Mangochi!M215+'Monkey Bay'!M215+Namwera!M215+Nkhudzi!M215</f>
        <v>0</v>
      </c>
      <c r="N215" s="15">
        <f>Mangochi!N215+'Monkey Bay'!N215+Namwera!N215+Nkhudzi!N215</f>
        <v>0</v>
      </c>
      <c r="O215" s="15">
        <f>Mangochi!O215+'Monkey Bay'!O215+Namwera!O215+Nkhudzi!O215</f>
        <v>0</v>
      </c>
      <c r="P215" s="40">
        <f>SUM(D215:O215)</f>
        <v>0</v>
      </c>
    </row>
    <row r="216" spans="1:16" x14ac:dyDescent="0.3">
      <c r="A216" s="295" t="s">
        <v>39</v>
      </c>
      <c r="B216" s="296"/>
      <c r="C216" s="11" t="s">
        <v>31</v>
      </c>
      <c r="D216" s="10">
        <f t="shared" ref="D216:H216" si="144">SUM(D212:D215)</f>
        <v>32951559.499999996</v>
      </c>
      <c r="E216" s="10">
        <f t="shared" si="144"/>
        <v>43621064.690000005</v>
      </c>
      <c r="F216" s="10">
        <f t="shared" si="144"/>
        <v>33723077.199999996</v>
      </c>
      <c r="G216" s="10">
        <f t="shared" ref="G216" si="145">SUM(G212:G215)</f>
        <v>51213155.829999998</v>
      </c>
      <c r="H216" s="10">
        <f t="shared" si="144"/>
        <v>35400702.680000007</v>
      </c>
      <c r="I216" s="10">
        <f t="shared" ref="I216:L216" si="146">SUM(I212:I215)</f>
        <v>35707040.289999999</v>
      </c>
      <c r="J216" s="10">
        <f t="shared" si="146"/>
        <v>48596797.50999999</v>
      </c>
      <c r="K216" s="10">
        <f t="shared" ref="K216" si="147">SUM(K212:K215)</f>
        <v>58022020.969999999</v>
      </c>
      <c r="L216" s="10">
        <f t="shared" si="146"/>
        <v>59117224.369999997</v>
      </c>
      <c r="M216" s="10">
        <f t="shared" ref="M216" si="148">SUM(M212:M215)</f>
        <v>48209526.340000004</v>
      </c>
      <c r="N216" s="10">
        <f t="shared" ref="N216" si="149">SUM(N212:N215)</f>
        <v>74592783.170000002</v>
      </c>
      <c r="O216" s="10">
        <f t="shared" ref="O216" si="150">SUM(O212:O215)</f>
        <v>46146161.25</v>
      </c>
      <c r="P216" s="40">
        <f>SUM(D216:O216)</f>
        <v>567301113.79999995</v>
      </c>
    </row>
    <row r="217" spans="1:16" s="2" customFormat="1" x14ac:dyDescent="0.3">
      <c r="A217" s="334" t="s">
        <v>38</v>
      </c>
      <c r="B217" s="335"/>
      <c r="C217" s="11" t="s">
        <v>31</v>
      </c>
      <c r="D217" s="10">
        <f>D210+D216</f>
        <v>70676828.120000005</v>
      </c>
      <c r="E217" s="10">
        <f t="shared" ref="E217:P217" si="151">E210+E216</f>
        <v>522084217.19</v>
      </c>
      <c r="F217" s="10">
        <f t="shared" si="151"/>
        <v>102121088.19999999</v>
      </c>
      <c r="G217" s="10">
        <f t="shared" si="151"/>
        <v>116501080.83</v>
      </c>
      <c r="H217" s="10">
        <f t="shared" si="151"/>
        <v>77510020.680000007</v>
      </c>
      <c r="I217" s="10">
        <f t="shared" ref="I217:L217" si="152">I210+I216</f>
        <v>117041877.28999999</v>
      </c>
      <c r="J217" s="10">
        <f t="shared" si="152"/>
        <v>78247150.429999992</v>
      </c>
      <c r="K217" s="10">
        <f t="shared" ref="K217" si="153">K210+K216</f>
        <v>164175015.97</v>
      </c>
      <c r="L217" s="10">
        <f t="shared" si="152"/>
        <v>157473223.38999999</v>
      </c>
      <c r="M217" s="10">
        <f t="shared" ref="M217" si="154">M210+M216</f>
        <v>510249926.34000003</v>
      </c>
      <c r="N217" s="10">
        <f t="shared" ref="N217" si="155">N210+N216</f>
        <v>127594501.17</v>
      </c>
      <c r="O217" s="10">
        <f t="shared" ref="O217" si="156">O210+O216</f>
        <v>85645838.25</v>
      </c>
      <c r="P217" s="40">
        <f t="shared" si="151"/>
        <v>2129320767.8599999</v>
      </c>
    </row>
    <row r="218" spans="1:16" s="2" customFormat="1" ht="14.4" x14ac:dyDescent="0.3">
      <c r="A218" s="282" t="s">
        <v>37</v>
      </c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4"/>
    </row>
    <row r="219" spans="1:16" x14ac:dyDescent="0.3">
      <c r="A219" s="237" t="s">
        <v>35</v>
      </c>
      <c r="B219" s="238"/>
      <c r="C219" s="11" t="s">
        <v>31</v>
      </c>
      <c r="D219" s="15">
        <f>Mangochi!D219+'Monkey Bay'!D219+Namwera!D219</f>
        <v>40077674.980000004</v>
      </c>
      <c r="E219" s="15">
        <f>Mangochi!E219+'Monkey Bay'!E219+Namwera!E219</f>
        <v>63233723</v>
      </c>
      <c r="F219" s="15">
        <f>Mangochi!F219+'Monkey Bay'!F219+Namwera!F219</f>
        <v>65493621</v>
      </c>
      <c r="G219" s="15">
        <f>Mangochi!G219+'Monkey Bay'!G219+Namwera!G219</f>
        <v>65907544</v>
      </c>
      <c r="H219" s="15">
        <f>Mangochi!H219+'Monkey Bay'!H219+Namwera!H219</f>
        <v>67454382</v>
      </c>
      <c r="I219" s="15">
        <f>Mangochi!I219+'Monkey Bay'!I219+Namwera!I219</f>
        <v>68814036</v>
      </c>
      <c r="J219" s="15">
        <f>Mangochi!J219+'Monkey Bay'!J219+Namwera!J219+Nkhudzi!J219</f>
        <v>73415470</v>
      </c>
      <c r="K219" s="15">
        <f>Mangochi!K219+'Monkey Bay'!K219+Namwera!K219+Nkhudzi!K219</f>
        <v>78481542</v>
      </c>
      <c r="L219" s="15">
        <f>Mangochi!L219+'Monkey Bay'!L219+Namwera!L219+Nkhudzi!L219</f>
        <v>66037128</v>
      </c>
      <c r="M219" s="15">
        <f>Mangochi!M219+'Monkey Bay'!M219+Namwera!M219+Nkhudzi!M219</f>
        <v>71513311</v>
      </c>
      <c r="N219" s="15">
        <f>Mangochi!N219+'Monkey Bay'!N219+Namwera!N219+Nkhudzi!N219</f>
        <v>73810698</v>
      </c>
      <c r="O219" s="15">
        <f>Mangochi!O219+'Monkey Bay'!O219+Namwera!O219+Nkhudzi!O219</f>
        <v>72120626</v>
      </c>
      <c r="P219" s="40">
        <f>SUM(D219:O219)</f>
        <v>806359755.98000002</v>
      </c>
    </row>
    <row r="220" spans="1:16" x14ac:dyDescent="0.3">
      <c r="A220" s="237" t="s">
        <v>34</v>
      </c>
      <c r="B220" s="238"/>
      <c r="C220" s="11" t="s">
        <v>31</v>
      </c>
      <c r="D220" s="15">
        <f>Mangochi!D220+'Monkey Bay'!D220+Namwera!D220</f>
        <v>0</v>
      </c>
      <c r="E220" s="15">
        <f>Mangochi!E220+'Monkey Bay'!E220+Namwera!E220</f>
        <v>0</v>
      </c>
      <c r="F220" s="15">
        <f>Mangochi!F220+'Monkey Bay'!F220+Namwera!F220</f>
        <v>0</v>
      </c>
      <c r="G220" s="15">
        <f>Mangochi!G220+'Monkey Bay'!G220+Namwera!G220</f>
        <v>0</v>
      </c>
      <c r="H220" s="15">
        <f>Mangochi!H220+'Monkey Bay'!H220+Namwera!H220</f>
        <v>0</v>
      </c>
      <c r="I220" s="15">
        <f>Mangochi!I220+'Monkey Bay'!I220+Namwera!I220</f>
        <v>0</v>
      </c>
      <c r="J220" s="15">
        <f>Mangochi!J220+'Monkey Bay'!J220+Namwera!J220+Nkhudzi!J220</f>
        <v>0</v>
      </c>
      <c r="K220" s="15">
        <f>Mangochi!K220+'Monkey Bay'!K220+Namwera!K220+Nkhudzi!K220</f>
        <v>0</v>
      </c>
      <c r="L220" s="15">
        <f>Mangochi!L220+'Monkey Bay'!L220+Namwera!L220+Nkhudzi!L220</f>
        <v>24902</v>
      </c>
      <c r="M220" s="15">
        <f>Mangochi!M220+'Monkey Bay'!M220+Namwera!M220+Nkhudzi!M220</f>
        <v>0</v>
      </c>
      <c r="N220" s="15">
        <f>Mangochi!N220+'Monkey Bay'!N220+Namwera!N220+Nkhudzi!N220</f>
        <v>0</v>
      </c>
      <c r="O220" s="15">
        <f>Mangochi!O220+'Monkey Bay'!O220+Namwera!O220+Nkhudzi!O220</f>
        <v>0</v>
      </c>
      <c r="P220" s="40">
        <f>SUM(D220:O220)</f>
        <v>24902</v>
      </c>
    </row>
    <row r="221" spans="1:16" x14ac:dyDescent="0.3">
      <c r="A221" s="237" t="s">
        <v>33</v>
      </c>
      <c r="B221" s="238"/>
      <c r="C221" s="11" t="s">
        <v>31</v>
      </c>
      <c r="D221" s="15">
        <f>Mangochi!D221+'Monkey Bay'!D221+Namwera!D221</f>
        <v>42709877.75</v>
      </c>
      <c r="E221" s="15">
        <f>Mangochi!E221+'Monkey Bay'!E221+Namwera!E221</f>
        <v>59063537</v>
      </c>
      <c r="F221" s="15">
        <f>Mangochi!F221+'Monkey Bay'!F221+Namwera!F221</f>
        <v>71801950</v>
      </c>
      <c r="G221" s="15">
        <f>Mangochi!G221+'Monkey Bay'!G221+Namwera!G221</f>
        <v>66894259.369999997</v>
      </c>
      <c r="H221" s="15">
        <f>Mangochi!H221+'Monkey Bay'!H221+Namwera!H221</f>
        <v>59230694</v>
      </c>
      <c r="I221" s="15">
        <f>Mangochi!I221+'Monkey Bay'!I221+Namwera!I221</f>
        <v>92390186</v>
      </c>
      <c r="J221" s="15">
        <f>Mangochi!J221+'Monkey Bay'!J221+Namwera!J221+Nkhudzi!J221</f>
        <v>72551596</v>
      </c>
      <c r="K221" s="15">
        <f>Mangochi!K221+'Monkey Bay'!K221+Namwera!K221+Nkhudzi!K221</f>
        <v>69389907</v>
      </c>
      <c r="L221" s="15">
        <f>Mangochi!L221+'Monkey Bay'!L221+Namwera!L221+Nkhudzi!L221</f>
        <v>40237351</v>
      </c>
      <c r="M221" s="15">
        <f>Mangochi!M221+'Monkey Bay'!M221+Namwera!M221+Nkhudzi!M221</f>
        <v>78175256</v>
      </c>
      <c r="N221" s="15">
        <f>Mangochi!N221+'Monkey Bay'!N221+Namwera!N221+Nkhudzi!N221</f>
        <v>67514121</v>
      </c>
      <c r="O221" s="15">
        <f>Mangochi!O221+'Monkey Bay'!O221+Namwera!O221+Nkhudzi!O221</f>
        <v>67822192</v>
      </c>
      <c r="P221" s="40">
        <f>SUM(D221:O221)</f>
        <v>787780927.12</v>
      </c>
    </row>
    <row r="222" spans="1:16" x14ac:dyDescent="0.3">
      <c r="A222" s="237" t="s">
        <v>32</v>
      </c>
      <c r="B222" s="238"/>
      <c r="C222" s="11" t="s">
        <v>31</v>
      </c>
      <c r="D222" s="15">
        <f>Mangochi!D222+'Monkey Bay'!D222+Namwera!D222</f>
        <v>3132410.53</v>
      </c>
      <c r="E222" s="15">
        <f>Mangochi!E222+'Monkey Bay'!E222+Namwera!E222</f>
        <v>4036570</v>
      </c>
      <c r="F222" s="15">
        <f>Mangochi!F222+'Monkey Bay'!F222+Namwera!F222</f>
        <v>35334024</v>
      </c>
      <c r="G222" s="15">
        <f>Mangochi!G222+'Monkey Bay'!G222+Namwera!G222</f>
        <v>3221156.71</v>
      </c>
      <c r="H222" s="15">
        <f>Mangochi!H222+'Monkey Bay'!H222+Namwera!H222</f>
        <v>2963589</v>
      </c>
      <c r="I222" s="15">
        <f>Mangochi!I222+'Monkey Bay'!I222+Namwera!I222</f>
        <v>294501</v>
      </c>
      <c r="J222" s="15">
        <f>Mangochi!J222+'Monkey Bay'!J222+Namwera!J222+Nkhudzi!J222</f>
        <v>457234</v>
      </c>
      <c r="K222" s="15">
        <f>Mangochi!K222+'Monkey Bay'!K222+Namwera!K222+Nkhudzi!K222</f>
        <v>770535</v>
      </c>
      <c r="L222" s="15">
        <f>Mangochi!L222+'Monkey Bay'!L222+Namwera!L222+Nkhudzi!L222</f>
        <v>647341</v>
      </c>
      <c r="M222" s="15">
        <f>Mangochi!M222+'Monkey Bay'!M222+Namwera!M222+Nkhudzi!M222</f>
        <v>461886</v>
      </c>
      <c r="N222" s="15">
        <f>Mangochi!N222+'Monkey Bay'!N222+Namwera!N222+Nkhudzi!N222</f>
        <v>584095</v>
      </c>
      <c r="O222" s="15">
        <f>Mangochi!O222+'Monkey Bay'!O222+Namwera!O222+Nkhudzi!O222</f>
        <v>402989</v>
      </c>
      <c r="P222" s="40">
        <f>SUM(D222:O222)</f>
        <v>52306331.240000002</v>
      </c>
    </row>
    <row r="223" spans="1:16" x14ac:dyDescent="0.3">
      <c r="A223" s="295" t="s">
        <v>36</v>
      </c>
      <c r="B223" s="296"/>
      <c r="C223" s="11" t="s">
        <v>31</v>
      </c>
      <c r="D223" s="12">
        <f t="shared" ref="D223:L223" si="157">SUM(D219:D222)</f>
        <v>85919963.260000005</v>
      </c>
      <c r="E223" s="10">
        <f t="shared" si="157"/>
        <v>126333830</v>
      </c>
      <c r="F223" s="10">
        <f t="shared" si="157"/>
        <v>172629595</v>
      </c>
      <c r="G223" s="10">
        <f t="shared" si="157"/>
        <v>136022960.08000001</v>
      </c>
      <c r="H223" s="10">
        <f t="shared" si="157"/>
        <v>129648665</v>
      </c>
      <c r="I223" s="10">
        <f t="shared" si="157"/>
        <v>161498723</v>
      </c>
      <c r="J223" s="14">
        <f t="shared" si="157"/>
        <v>146424300</v>
      </c>
      <c r="K223" s="14">
        <f t="shared" ref="K223" si="158">SUM(K219:K222)</f>
        <v>148641984</v>
      </c>
      <c r="L223" s="14">
        <f t="shared" si="157"/>
        <v>106946722</v>
      </c>
      <c r="M223" s="14">
        <f t="shared" ref="M223" si="159">SUM(M219:M222)</f>
        <v>150150453</v>
      </c>
      <c r="N223" s="14">
        <f t="shared" ref="N223" si="160">SUM(N219:N222)</f>
        <v>141908914</v>
      </c>
      <c r="O223" s="14">
        <f t="shared" ref="O223" si="161">SUM(O219:O222)</f>
        <v>140345807</v>
      </c>
      <c r="P223" s="40">
        <f>SUM(D223:O223)</f>
        <v>1646471916.3400002</v>
      </c>
    </row>
    <row r="224" spans="1:16" ht="14.4" x14ac:dyDescent="0.3">
      <c r="A224" s="282" t="s">
        <v>211</v>
      </c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4"/>
    </row>
    <row r="225" spans="1:16" x14ac:dyDescent="0.3">
      <c r="A225" s="237" t="s">
        <v>35</v>
      </c>
      <c r="B225" s="238"/>
      <c r="C225" s="11" t="s">
        <v>31</v>
      </c>
      <c r="D225" s="15">
        <f>Mangochi!D225+'Monkey Bay'!D225+Namwera!D225</f>
        <v>27843083.91</v>
      </c>
      <c r="E225" s="15">
        <f>Mangochi!E225+'Monkey Bay'!E225+Namwera!E225</f>
        <v>37161537.129999995</v>
      </c>
      <c r="F225" s="15">
        <f>Mangochi!F225+'Monkey Bay'!F225+Namwera!F225</f>
        <v>32364061</v>
      </c>
      <c r="G225" s="15">
        <f>Mangochi!G225+'Monkey Bay'!G225+Namwera!G225</f>
        <v>49698882.660000011</v>
      </c>
      <c r="H225" s="15">
        <f>Mangochi!H225+'Monkey Bay'!H225+Namwera!H225</f>
        <v>34070050.859999999</v>
      </c>
      <c r="I225" s="15">
        <f>Mangochi!I225+'Monkey Bay'!I225+Namwera!I225</f>
        <v>34692878.350000001</v>
      </c>
      <c r="J225" s="15">
        <f>Mangochi!J225+'Monkey Bay'!J225+Namwera!J225+Nkhudzi!J225</f>
        <v>51185916.799999997</v>
      </c>
      <c r="K225" s="15">
        <f>Mangochi!K225+'Monkey Bay'!K225+Namwera!K225+Nkhudzi!K225</f>
        <v>57448974.170000002</v>
      </c>
      <c r="L225" s="15">
        <f>Mangochi!L225+'Monkey Bay'!L225+Namwera!L225+Nkhudzi!L225</f>
        <v>58443026.259999998</v>
      </c>
      <c r="M225" s="15">
        <f>Mangochi!M225+'Monkey Bay'!M225+Namwera!M225+Nkhudzi!M225</f>
        <v>47762638.890000001</v>
      </c>
      <c r="N225" s="15">
        <f>Mangochi!N225+'Monkey Bay'!N225+Namwera!N225+Nkhudzi!N225</f>
        <v>71752092.480000004</v>
      </c>
      <c r="O225" s="15">
        <f>Mangochi!O225+'Monkey Bay'!O225+Namwera!O225+Nkhudzi!O225</f>
        <v>45544445.979999997</v>
      </c>
      <c r="P225" s="40">
        <f t="shared" ref="P225:P230" si="162">SUM(D225:O225)</f>
        <v>547967588.49000001</v>
      </c>
    </row>
    <row r="226" spans="1:16" x14ac:dyDescent="0.3">
      <c r="A226" s="237" t="s">
        <v>34</v>
      </c>
      <c r="B226" s="238"/>
      <c r="C226" s="11" t="s">
        <v>31</v>
      </c>
      <c r="D226" s="15">
        <f>Mangochi!D226+'Monkey Bay'!D226+Namwera!D226</f>
        <v>0</v>
      </c>
      <c r="E226" s="15">
        <f>Mangochi!E226+'Monkey Bay'!E226+Namwera!E226</f>
        <v>0</v>
      </c>
      <c r="F226" s="15">
        <f>Mangochi!F226+'Monkey Bay'!F226+Namwera!F226</f>
        <v>0</v>
      </c>
      <c r="G226" s="15">
        <f>Mangochi!G226+'Monkey Bay'!G226+Namwera!G226</f>
        <v>0</v>
      </c>
      <c r="H226" s="15">
        <f>Mangochi!H226+'Monkey Bay'!H226+Namwera!H226</f>
        <v>0</v>
      </c>
      <c r="I226" s="15">
        <f>Mangochi!I226+'Monkey Bay'!I226+Namwera!I226</f>
        <v>0</v>
      </c>
      <c r="J226" s="15">
        <f>Mangochi!J226+'Monkey Bay'!J226+Namwera!J226+Nkhudzi!J226</f>
        <v>0</v>
      </c>
      <c r="K226" s="15">
        <f>Mangochi!K226+'Monkey Bay'!K226+Namwera!K226+Nkhudzi!K226</f>
        <v>0</v>
      </c>
      <c r="L226" s="15">
        <f>Mangochi!L226+'Monkey Bay'!L226+Namwera!L226+Nkhudzi!L226</f>
        <v>0</v>
      </c>
      <c r="M226" s="15">
        <f>Mangochi!M226+'Monkey Bay'!M226+Namwera!M226+Nkhudzi!M226</f>
        <v>0</v>
      </c>
      <c r="N226" s="15">
        <f>Mangochi!N226+'Monkey Bay'!N226+Namwera!N226+Nkhudzi!N226</f>
        <v>0</v>
      </c>
      <c r="O226" s="15">
        <f>Mangochi!O226+'Monkey Bay'!O226+Namwera!O226+Nkhudzi!O226</f>
        <v>0</v>
      </c>
      <c r="P226" s="40">
        <f t="shared" si="162"/>
        <v>0</v>
      </c>
    </row>
    <row r="227" spans="1:16" x14ac:dyDescent="0.3">
      <c r="A227" s="237" t="s">
        <v>33</v>
      </c>
      <c r="B227" s="238"/>
      <c r="C227" s="11" t="s">
        <v>31</v>
      </c>
      <c r="D227" s="15">
        <f>Mangochi!D227+'Monkey Bay'!D227+Namwera!D227</f>
        <v>0</v>
      </c>
      <c r="E227" s="15">
        <f>Mangochi!E227+'Monkey Bay'!E227+Namwera!E227</f>
        <v>0</v>
      </c>
      <c r="F227" s="15">
        <f>Mangochi!F227+'Monkey Bay'!F227+Namwera!F227</f>
        <v>0</v>
      </c>
      <c r="G227" s="15">
        <f>Mangochi!G227+'Monkey Bay'!G227+Namwera!G227</f>
        <v>0</v>
      </c>
      <c r="H227" s="15">
        <f>Mangochi!H227+'Monkey Bay'!H227+Namwera!H227</f>
        <v>0</v>
      </c>
      <c r="I227" s="15">
        <f>Mangochi!I227+'Monkey Bay'!I227+Namwera!I227</f>
        <v>0</v>
      </c>
      <c r="J227" s="15">
        <f>Mangochi!J227+'Monkey Bay'!J227+Namwera!J227+Nkhudzi!J227</f>
        <v>0</v>
      </c>
      <c r="K227" s="15">
        <f>Mangochi!K227+'Monkey Bay'!K227+Namwera!K227+Nkhudzi!K227</f>
        <v>0</v>
      </c>
      <c r="L227" s="15">
        <f>Mangochi!L227+'Monkey Bay'!L227+Namwera!L227+Nkhudzi!L227</f>
        <v>0</v>
      </c>
      <c r="M227" s="15">
        <f>Mangochi!M227+'Monkey Bay'!M227+Namwera!M227+Nkhudzi!M227</f>
        <v>0</v>
      </c>
      <c r="N227" s="15">
        <f>Mangochi!N227+'Monkey Bay'!N227+Namwera!N227+Nkhudzi!N227</f>
        <v>0</v>
      </c>
      <c r="O227" s="15">
        <f>Mangochi!O227+'Monkey Bay'!O227+Namwera!O227+Nkhudzi!O227</f>
        <v>0</v>
      </c>
      <c r="P227" s="40">
        <f t="shared" si="162"/>
        <v>0</v>
      </c>
    </row>
    <row r="228" spans="1:16" x14ac:dyDescent="0.3">
      <c r="A228" s="237" t="s">
        <v>32</v>
      </c>
      <c r="B228" s="238"/>
      <c r="C228" s="11" t="s">
        <v>31</v>
      </c>
      <c r="D228" s="15">
        <f>Mangochi!D228+'Monkey Bay'!D228+Namwera!D228</f>
        <v>0</v>
      </c>
      <c r="E228" s="15">
        <f>Mangochi!E228+'Monkey Bay'!E228+Namwera!E228</f>
        <v>0</v>
      </c>
      <c r="F228" s="15">
        <f>Mangochi!F228+'Monkey Bay'!F228+Namwera!F228</f>
        <v>0</v>
      </c>
      <c r="G228" s="15">
        <f>Mangochi!G228+'Monkey Bay'!G228+Namwera!G228</f>
        <v>0</v>
      </c>
      <c r="H228" s="15">
        <f>Mangochi!H228+'Monkey Bay'!H228+Namwera!H228</f>
        <v>0</v>
      </c>
      <c r="I228" s="15">
        <f>Mangochi!I228+'Monkey Bay'!I228+Namwera!I228</f>
        <v>0</v>
      </c>
      <c r="J228" s="15">
        <f>Mangochi!J228+'Monkey Bay'!J228+Namwera!J228+Nkhudzi!J228</f>
        <v>0</v>
      </c>
      <c r="K228" s="15">
        <f>Mangochi!K228+'Monkey Bay'!K228+Namwera!K228+Nkhudzi!K228</f>
        <v>0</v>
      </c>
      <c r="L228" s="15">
        <f>Mangochi!L228+'Monkey Bay'!L228+Namwera!L228+Nkhudzi!L228</f>
        <v>0</v>
      </c>
      <c r="M228" s="15">
        <f>Mangochi!M228+'Monkey Bay'!M228+Namwera!M228+Nkhudzi!M228</f>
        <v>0</v>
      </c>
      <c r="N228" s="15">
        <f>Mangochi!N228+'Monkey Bay'!N228+Namwera!N228+Nkhudzi!N228</f>
        <v>0</v>
      </c>
      <c r="O228" s="15">
        <f>Mangochi!O228+'Monkey Bay'!O228+Namwera!O228+Nkhudzi!O228</f>
        <v>0</v>
      </c>
      <c r="P228" s="40">
        <f t="shared" si="162"/>
        <v>0</v>
      </c>
    </row>
    <row r="229" spans="1:16" x14ac:dyDescent="0.3">
      <c r="A229" s="295" t="s">
        <v>212</v>
      </c>
      <c r="B229" s="296"/>
      <c r="C229" s="11" t="s">
        <v>31</v>
      </c>
      <c r="D229" s="12">
        <f t="shared" ref="D229:H229" si="163">SUM(D225:D228)</f>
        <v>27843083.91</v>
      </c>
      <c r="E229" s="10">
        <f t="shared" si="163"/>
        <v>37161537.129999995</v>
      </c>
      <c r="F229" s="10">
        <f t="shared" si="163"/>
        <v>32364061</v>
      </c>
      <c r="G229" s="10">
        <f t="shared" si="163"/>
        <v>49698882.660000011</v>
      </c>
      <c r="H229" s="10">
        <f t="shared" si="163"/>
        <v>34070050.859999999</v>
      </c>
      <c r="I229" s="10">
        <f t="shared" ref="I229:L229" si="164">SUM(I225:I228)</f>
        <v>34692878.350000001</v>
      </c>
      <c r="J229" s="10">
        <f t="shared" si="164"/>
        <v>51185916.799999997</v>
      </c>
      <c r="K229" s="10">
        <f t="shared" ref="K229" si="165">SUM(K225:K228)</f>
        <v>57448974.170000002</v>
      </c>
      <c r="L229" s="10">
        <f t="shared" si="164"/>
        <v>58443026.259999998</v>
      </c>
      <c r="M229" s="10">
        <f t="shared" ref="M229" si="166">SUM(M225:M228)</f>
        <v>47762638.890000001</v>
      </c>
      <c r="N229" s="10">
        <f t="shared" ref="N229" si="167">SUM(N225:N228)</f>
        <v>71752092.480000004</v>
      </c>
      <c r="O229" s="10">
        <f t="shared" ref="O229" si="168">SUM(O225:O228)</f>
        <v>45544445.979999997</v>
      </c>
      <c r="P229" s="40">
        <f t="shared" si="162"/>
        <v>547967588.49000001</v>
      </c>
    </row>
    <row r="230" spans="1:16" x14ac:dyDescent="0.3">
      <c r="A230" s="334" t="s">
        <v>213</v>
      </c>
      <c r="B230" s="120"/>
      <c r="C230" s="11" t="s">
        <v>31</v>
      </c>
      <c r="D230" s="12">
        <f>D223+D229</f>
        <v>113763047.17</v>
      </c>
      <c r="E230" s="12">
        <f t="shared" ref="E230:L230" si="169">E223+E229</f>
        <v>163495367.13</v>
      </c>
      <c r="F230" s="12">
        <f t="shared" si="169"/>
        <v>204993656</v>
      </c>
      <c r="G230" s="12">
        <f t="shared" si="169"/>
        <v>185721842.74000001</v>
      </c>
      <c r="H230" s="12">
        <f t="shared" si="169"/>
        <v>163718715.86000001</v>
      </c>
      <c r="I230" s="12">
        <f t="shared" si="169"/>
        <v>196191601.34999999</v>
      </c>
      <c r="J230" s="12">
        <f t="shared" si="169"/>
        <v>197610216.80000001</v>
      </c>
      <c r="K230" s="12">
        <f t="shared" ref="K230" si="170">K223+K229</f>
        <v>206090958.17000002</v>
      </c>
      <c r="L230" s="12">
        <f t="shared" si="169"/>
        <v>165389748.25999999</v>
      </c>
      <c r="M230" s="12">
        <f t="shared" ref="M230" si="171">M223+M229</f>
        <v>197913091.88999999</v>
      </c>
      <c r="N230" s="12">
        <f t="shared" ref="N230" si="172">N223+N229</f>
        <v>213661006.48000002</v>
      </c>
      <c r="O230" s="12">
        <f t="shared" ref="O230" si="173">O223+O229</f>
        <v>185890252.97999999</v>
      </c>
      <c r="P230" s="40">
        <f t="shared" si="162"/>
        <v>2194439504.8299999</v>
      </c>
    </row>
    <row r="231" spans="1:16" ht="14.4" x14ac:dyDescent="0.3">
      <c r="A231" s="282" t="s">
        <v>30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4"/>
    </row>
    <row r="232" spans="1:16" x14ac:dyDescent="0.3">
      <c r="A232" s="237" t="s">
        <v>29</v>
      </c>
      <c r="B232" s="238"/>
      <c r="C232" s="11" t="s">
        <v>18</v>
      </c>
      <c r="D232" s="15">
        <f>Mangochi!D232+'Monkey Bay'!D232+Namwera!D232</f>
        <v>2050728.98</v>
      </c>
      <c r="E232" s="15">
        <f>Mangochi!E232+'Monkey Bay'!E232+Namwera!E232</f>
        <v>3083126</v>
      </c>
      <c r="F232" s="15">
        <f>Mangochi!F232+'Monkey Bay'!F232+Namwera!F232</f>
        <v>3104321</v>
      </c>
      <c r="G232" s="15">
        <f>Mangochi!G232+'Monkey Bay'!G232+Namwera!G232</f>
        <v>3115479</v>
      </c>
      <c r="H232" s="15">
        <f>Mangochi!H232+'Monkey Bay'!H232+Namwera!H232</f>
        <v>3133511</v>
      </c>
      <c r="I232" s="15">
        <f>Mangochi!I232+'Monkey Bay'!I232+Namwera!I232</f>
        <v>3153745</v>
      </c>
      <c r="J232" s="15">
        <f>Mangochi!J232+'Monkey Bay'!J232+Namwera!J232+Nkhudzi!J232</f>
        <v>3170197</v>
      </c>
      <c r="K232" s="15">
        <f>Mangochi!K232+'Monkey Bay'!K232+Namwera!K232+Nkhudzi!K232</f>
        <v>3192043</v>
      </c>
      <c r="L232" s="15">
        <f>Mangochi!L232+'Monkey Bay'!L232+Namwera!L232+Nkhudzi!L232</f>
        <v>3221347</v>
      </c>
      <c r="M232" s="15">
        <f>Mangochi!M232+'Monkey Bay'!M232+Namwera!M232+Nkhudzi!M232</f>
        <v>3145029</v>
      </c>
      <c r="N232" s="15">
        <f>Mangochi!N232+'Monkey Bay'!N232+Namwera!N232+Nkhudzi!N232</f>
        <v>3148992</v>
      </c>
      <c r="O232" s="15">
        <f>Mangochi!O232+'Monkey Bay'!O232+Namwera!O232+Nkhudzi!O232</f>
        <v>3160292</v>
      </c>
      <c r="P232" s="40">
        <f>SUM(D232:O232)</f>
        <v>36678810.980000004</v>
      </c>
    </row>
    <row r="233" spans="1:16" x14ac:dyDescent="0.3">
      <c r="A233" s="237" t="s">
        <v>28</v>
      </c>
      <c r="B233" s="238"/>
      <c r="C233" s="11" t="s">
        <v>18</v>
      </c>
      <c r="D233" s="15">
        <f>Mangochi!D233+'Monkey Bay'!D233+Namwera!D233</f>
        <v>0</v>
      </c>
      <c r="E233" s="15">
        <f>Mangochi!E233+'Monkey Bay'!E233+Namwera!E233</f>
        <v>0</v>
      </c>
      <c r="F233" s="15">
        <f>Mangochi!F233+'Monkey Bay'!F233+Namwera!F233</f>
        <v>0</v>
      </c>
      <c r="G233" s="15">
        <f>Mangochi!G233+'Monkey Bay'!G233+Namwera!G233</f>
        <v>0</v>
      </c>
      <c r="H233" s="15">
        <f>Mangochi!H233+'Monkey Bay'!H233+Namwera!H233</f>
        <v>0</v>
      </c>
      <c r="I233" s="15">
        <f>Mangochi!I233+'Monkey Bay'!I233+Namwera!I233</f>
        <v>0</v>
      </c>
      <c r="J233" s="15">
        <f>Mangochi!J233+'Monkey Bay'!J233+Namwera!J233+Nkhudzi!J233</f>
        <v>0</v>
      </c>
      <c r="K233" s="15">
        <f>Mangochi!K233+'Monkey Bay'!K233+Namwera!K233+Nkhudzi!K233</f>
        <v>0</v>
      </c>
      <c r="L233" s="15">
        <f>Mangochi!L233+'Monkey Bay'!L233+Namwera!L233+Nkhudzi!L233</f>
        <v>0</v>
      </c>
      <c r="M233" s="15">
        <f>Mangochi!M233+'Monkey Bay'!M233+Namwera!M233+Nkhudzi!M233</f>
        <v>0</v>
      </c>
      <c r="N233" s="15">
        <f>Mangochi!N233+'Monkey Bay'!N233+Namwera!N233+Nkhudzi!N233</f>
        <v>0</v>
      </c>
      <c r="O233" s="15">
        <f>Mangochi!O233+'Monkey Bay'!O233+Namwera!O233+Nkhudzi!O233</f>
        <v>0</v>
      </c>
      <c r="P233" s="40">
        <f>SUM(D233:O233)</f>
        <v>0</v>
      </c>
    </row>
    <row r="234" spans="1:16" x14ac:dyDescent="0.3">
      <c r="A234" s="237" t="s">
        <v>27</v>
      </c>
      <c r="B234" s="238"/>
      <c r="C234" s="11" t="s">
        <v>18</v>
      </c>
      <c r="D234" s="15">
        <f>Mangochi!D234+'Monkey Bay'!D234+Namwera!D234</f>
        <v>59645.75</v>
      </c>
      <c r="E234" s="15">
        <f>Mangochi!E234+'Monkey Bay'!E234+Namwera!E234</f>
        <v>86381</v>
      </c>
      <c r="F234" s="15">
        <f>Mangochi!F234+'Monkey Bay'!F234+Namwera!F234</f>
        <v>86383</v>
      </c>
      <c r="G234" s="15">
        <f>Mangochi!G234+'Monkey Bay'!G234+Namwera!G234</f>
        <v>80212.91</v>
      </c>
      <c r="H234" s="15">
        <f>Mangochi!H234+'Monkey Bay'!H234+Namwera!H234</f>
        <v>80213</v>
      </c>
      <c r="I234" s="15">
        <f>Mangochi!I234+'Monkey Bay'!I234+Namwera!I234</f>
        <v>77128</v>
      </c>
      <c r="J234" s="15">
        <f>Mangochi!J234+'Monkey Bay'!J234+Namwera!J234+Nkhudzi!J234</f>
        <v>77128</v>
      </c>
      <c r="K234" s="15">
        <f>Mangochi!K234+'Monkey Bay'!K234+Namwera!K234+Nkhudzi!K234</f>
        <v>77158</v>
      </c>
      <c r="L234" s="15">
        <f>Mangochi!L234+'Monkey Bay'!L234+Namwera!L234+Nkhudzi!L234</f>
        <v>82571</v>
      </c>
      <c r="M234" s="15">
        <f>Mangochi!M234+'Monkey Bay'!M234+Namwera!M234+Nkhudzi!M234</f>
        <v>73969</v>
      </c>
      <c r="N234" s="15">
        <f>Mangochi!N234+'Monkey Bay'!N234+Namwera!N234+Nkhudzi!N234</f>
        <v>77128</v>
      </c>
      <c r="O234" s="15">
        <f>Mangochi!O234+'Monkey Bay'!O234+Namwera!O234+Nkhudzi!O234</f>
        <v>77128</v>
      </c>
      <c r="P234" s="40">
        <f>SUM(D234:O234)</f>
        <v>935045.66</v>
      </c>
    </row>
    <row r="235" spans="1:16" x14ac:dyDescent="0.3">
      <c r="A235" s="237" t="s">
        <v>26</v>
      </c>
      <c r="B235" s="238"/>
      <c r="C235" s="11" t="s">
        <v>18</v>
      </c>
      <c r="D235" s="15">
        <f>Mangochi!D235+'Monkey Bay'!D235+Namwera!D235</f>
        <v>47778.61</v>
      </c>
      <c r="E235" s="15">
        <f>Mangochi!E235+'Monkey Bay'!E235+Namwera!E235</f>
        <v>75884</v>
      </c>
      <c r="F235" s="15">
        <f>Mangochi!F235+'Monkey Bay'!F235+Namwera!F235</f>
        <v>67453</v>
      </c>
      <c r="G235" s="15">
        <f>Mangochi!G235+'Monkey Bay'!G235+Namwera!G235</f>
        <v>71667.62</v>
      </c>
      <c r="H235" s="15">
        <f>Mangochi!H235+'Monkey Bay'!H235+Namwera!H235</f>
        <v>71668</v>
      </c>
      <c r="I235" s="15">
        <f>Mangochi!I235+'Monkey Bay'!I235+Namwera!I235</f>
        <v>71668</v>
      </c>
      <c r="J235" s="15">
        <f>Mangochi!J235+'Monkey Bay'!J235+Namwera!J235+Nkhudzi!J235</f>
        <v>80100</v>
      </c>
      <c r="K235" s="15">
        <f>Mangochi!K235+'Monkey Bay'!K235+Namwera!K235+Nkhudzi!K235</f>
        <v>80100</v>
      </c>
      <c r="L235" s="15">
        <f>Mangochi!L235+'Monkey Bay'!L235+Namwera!L235+Nkhudzi!L235</f>
        <v>78872</v>
      </c>
      <c r="M235" s="15">
        <f>Mangochi!M235+'Monkey Bay'!M235+Namwera!M235+Nkhudzi!M235</f>
        <v>75884</v>
      </c>
      <c r="N235" s="15">
        <f>Mangochi!N235+'Monkey Bay'!N235+Namwera!N235+Nkhudzi!N235</f>
        <v>80099</v>
      </c>
      <c r="O235" s="15">
        <f>Mangochi!O235+'Monkey Bay'!O235+Namwera!O235+Nkhudzi!O235</f>
        <v>75884</v>
      </c>
      <c r="P235" s="40">
        <f>SUM(D235:O235)</f>
        <v>877058.23</v>
      </c>
    </row>
    <row r="236" spans="1:16" x14ac:dyDescent="0.3">
      <c r="A236" s="295" t="s">
        <v>25</v>
      </c>
      <c r="B236" s="296"/>
      <c r="C236" s="11" t="s">
        <v>18</v>
      </c>
      <c r="D236" s="12">
        <f t="shared" ref="D236:E236" si="174">SUM(D232:D235)</f>
        <v>2158153.34</v>
      </c>
      <c r="E236" s="12">
        <f t="shared" si="174"/>
        <v>3245391</v>
      </c>
      <c r="F236" s="12">
        <f t="shared" ref="F236:H236" si="175">SUM(F232:F235)</f>
        <v>3258157</v>
      </c>
      <c r="G236" s="12">
        <f t="shared" si="175"/>
        <v>3267359.5300000003</v>
      </c>
      <c r="H236" s="12">
        <f t="shared" si="175"/>
        <v>3285392</v>
      </c>
      <c r="I236" s="12">
        <f t="shared" ref="I236:L236" si="176">SUM(I232:I235)</f>
        <v>3302541</v>
      </c>
      <c r="J236" s="12">
        <f t="shared" si="176"/>
        <v>3327425</v>
      </c>
      <c r="K236" s="12">
        <f t="shared" ref="K236" si="177">SUM(K232:K235)</f>
        <v>3349301</v>
      </c>
      <c r="L236" s="12">
        <f t="shared" si="176"/>
        <v>3382790</v>
      </c>
      <c r="M236" s="12">
        <f t="shared" ref="M236" si="178">SUM(M232:M235)</f>
        <v>3294882</v>
      </c>
      <c r="N236" s="12">
        <f t="shared" ref="N236" si="179">SUM(N232:N235)</f>
        <v>3306219</v>
      </c>
      <c r="O236" s="12">
        <f t="shared" ref="O236" si="180">SUM(O232:O235)</f>
        <v>3313304</v>
      </c>
      <c r="P236" s="40">
        <f t="shared" ref="P236" si="181">SUM(P232:P235)</f>
        <v>38490914.869999997</v>
      </c>
    </row>
    <row r="237" spans="1:16" ht="14.4" x14ac:dyDescent="0.3">
      <c r="A237" s="282" t="s">
        <v>24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4"/>
    </row>
    <row r="238" spans="1:16" x14ac:dyDescent="0.3">
      <c r="A238" s="237" t="s">
        <v>23</v>
      </c>
      <c r="B238" s="238"/>
      <c r="C238" s="11" t="s">
        <v>18</v>
      </c>
      <c r="D238" s="15">
        <f>Mangochi!D238+'Monkey Bay'!D238+Namwera!D238</f>
        <v>5649118</v>
      </c>
      <c r="E238" s="15">
        <f>Mangochi!E238+'Monkey Bay'!E238+Namwera!E238</f>
        <v>5663406</v>
      </c>
      <c r="F238" s="15">
        <f>Mangochi!F238+'Monkey Bay'!F238+Namwera!F238</f>
        <v>5703591</v>
      </c>
      <c r="G238" s="15">
        <f>Mangochi!G238+'Monkey Bay'!G238+Namwera!G238</f>
        <v>5723237</v>
      </c>
      <c r="H238" s="15">
        <f>Mangochi!H238+'Monkey Bay'!H238+Namwera!H238</f>
        <v>5756278</v>
      </c>
      <c r="I238" s="15">
        <f>Mangochi!I238+'Monkey Bay'!I238+Namwera!I238</f>
        <v>5792891</v>
      </c>
      <c r="J238" s="15">
        <f>Mangochi!J238+'Monkey Bay'!J238+Namwera!J238+Nkhudzi!J238</f>
        <v>5823253</v>
      </c>
      <c r="K238" s="15">
        <f>Mangochi!K238+'Monkey Bay'!K238+Namwera!K238+Nkhudzi!K238</f>
        <v>5863438</v>
      </c>
      <c r="L238" s="15">
        <f>Mangochi!L238+'Monkey Bay'!L238+Namwera!L238+Nkhudzi!L238</f>
        <v>5900944</v>
      </c>
      <c r="M238" s="15">
        <f>Mangochi!M238+'Monkey Bay'!M238+Namwera!M238+Nkhudzi!M238</f>
        <v>5777710</v>
      </c>
      <c r="N238" s="15">
        <f>Mangochi!N238+'Monkey Bay'!N238+Namwera!N238+Nkhudzi!N238</f>
        <v>5784854</v>
      </c>
      <c r="O238" s="15">
        <f>Mangochi!O238+'Monkey Bay'!O238+Namwera!O238+Nkhudzi!O238</f>
        <v>5805393</v>
      </c>
      <c r="P238" s="40">
        <f>SUM(D238:O238)</f>
        <v>69244113</v>
      </c>
    </row>
    <row r="239" spans="1:16" x14ac:dyDescent="0.3">
      <c r="A239" s="237" t="s">
        <v>22</v>
      </c>
      <c r="B239" s="238"/>
      <c r="C239" s="11" t="s">
        <v>18</v>
      </c>
      <c r="D239" s="15">
        <f>Mangochi!D239+'Monkey Bay'!D239+Namwera!D239</f>
        <v>0</v>
      </c>
      <c r="E239" s="15">
        <f>Mangochi!E239+'Monkey Bay'!E239+Namwera!E239</f>
        <v>0</v>
      </c>
      <c r="F239" s="15">
        <f>Mangochi!F239+'Monkey Bay'!F239+Namwera!F239</f>
        <v>0</v>
      </c>
      <c r="G239" s="15">
        <f>Mangochi!G239+'Monkey Bay'!G239+Namwera!G239</f>
        <v>0</v>
      </c>
      <c r="H239" s="15">
        <f>Mangochi!H239+'Monkey Bay'!H239+Namwera!H239</f>
        <v>0</v>
      </c>
      <c r="I239" s="15">
        <f>Mangochi!I239+'Monkey Bay'!I239+Namwera!I239</f>
        <v>0</v>
      </c>
      <c r="J239" s="15">
        <f>Mangochi!J239+'Monkey Bay'!J239+Namwera!J239+Nkhudzi!J239</f>
        <v>0</v>
      </c>
      <c r="K239" s="15">
        <f>Mangochi!K239+'Monkey Bay'!K239+Namwera!K239+Nkhudzi!K239</f>
        <v>0</v>
      </c>
      <c r="L239" s="15">
        <f>Mangochi!L239+'Monkey Bay'!L239+Namwera!L239+Nkhudzi!L239</f>
        <v>0</v>
      </c>
      <c r="M239" s="15">
        <f>Mangochi!M239+'Monkey Bay'!M239+Namwera!M239+Nkhudzi!M239</f>
        <v>0</v>
      </c>
      <c r="N239" s="15">
        <f>Mangochi!N239+'Monkey Bay'!N239+Namwera!N239+Nkhudzi!N239</f>
        <v>0</v>
      </c>
      <c r="O239" s="15">
        <f>Mangochi!O239+'Monkey Bay'!O239+Namwera!O239+Nkhudzi!O239</f>
        <v>0</v>
      </c>
      <c r="P239" s="40">
        <f>SUM(D239:O239)</f>
        <v>0</v>
      </c>
    </row>
    <row r="240" spans="1:16" x14ac:dyDescent="0.3">
      <c r="A240" s="237" t="s">
        <v>21</v>
      </c>
      <c r="B240" s="238"/>
      <c r="C240" s="11" t="s">
        <v>18</v>
      </c>
      <c r="D240" s="15">
        <f>Mangochi!D240+'Monkey Bay'!D240+Namwera!D240</f>
        <v>25897</v>
      </c>
      <c r="E240" s="15">
        <f>Mangochi!E240+'Monkey Bay'!E240+Namwera!E240</f>
        <v>25004</v>
      </c>
      <c r="F240" s="15">
        <f>Mangochi!F240+'Monkey Bay'!F240+Namwera!F240</f>
        <v>25004</v>
      </c>
      <c r="G240" s="15">
        <f>Mangochi!G240+'Monkey Bay'!G240+Namwera!G240</f>
        <v>23218</v>
      </c>
      <c r="H240" s="15">
        <f>Mangochi!H240+'Monkey Bay'!H240+Namwera!H240</f>
        <v>23218</v>
      </c>
      <c r="I240" s="15">
        <f>Mangochi!I240+'Monkey Bay'!I240+Namwera!I240</f>
        <v>22325</v>
      </c>
      <c r="J240" s="15">
        <f>Mangochi!J240+'Monkey Bay'!J240+Namwera!J240+Nkhudzi!J240</f>
        <v>22325</v>
      </c>
      <c r="K240" s="15">
        <f>Mangochi!K240+'Monkey Bay'!K240+Namwera!K240+Nkhudzi!K240</f>
        <v>158962</v>
      </c>
      <c r="L240" s="15">
        <f>Mangochi!L240+'Monkey Bay'!L240+Namwera!L240+Nkhudzi!L240</f>
        <v>22325</v>
      </c>
      <c r="M240" s="15">
        <f>Mangochi!M240+'Monkey Bay'!M240+Namwera!M240+Nkhudzi!M240</f>
        <v>21432</v>
      </c>
      <c r="N240" s="15">
        <f>Mangochi!N240+'Monkey Bay'!N240+Namwera!N240+Nkhudzi!N240</f>
        <v>22325</v>
      </c>
      <c r="O240" s="15">
        <f>Mangochi!O240+'Monkey Bay'!O240+Namwera!O240+Nkhudzi!O240</f>
        <v>22325</v>
      </c>
      <c r="P240" s="40">
        <f>SUM(D240:O240)</f>
        <v>414360</v>
      </c>
    </row>
    <row r="241" spans="1:16" x14ac:dyDescent="0.3">
      <c r="A241" s="237" t="s">
        <v>20</v>
      </c>
      <c r="B241" s="238"/>
      <c r="C241" s="11" t="s">
        <v>18</v>
      </c>
      <c r="D241" s="15">
        <f>Mangochi!D241+'Monkey Bay'!D241+Namwera!D241</f>
        <v>15181</v>
      </c>
      <c r="E241" s="15">
        <f>Mangochi!E241+'Monkey Bay'!E241+Namwera!E241</f>
        <v>16074</v>
      </c>
      <c r="F241" s="15">
        <f>Mangochi!F241+'Monkey Bay'!F241+Namwera!F241</f>
        <v>14288</v>
      </c>
      <c r="G241" s="15">
        <f>Mangochi!G241+'Monkey Bay'!G241+Namwera!G241</f>
        <v>15181</v>
      </c>
      <c r="H241" s="15">
        <f>Mangochi!H241+'Monkey Bay'!H241+Namwera!H241</f>
        <v>15181</v>
      </c>
      <c r="I241" s="15">
        <f>Mangochi!I241+'Monkey Bay'!I241+Namwera!I241</f>
        <v>15181</v>
      </c>
      <c r="J241" s="15">
        <f>Mangochi!J241+'Monkey Bay'!J241+Namwera!J241+Nkhudzi!J241</f>
        <v>16967</v>
      </c>
      <c r="K241" s="15">
        <f>Mangochi!K241+'Monkey Bay'!K241+Namwera!K241+Nkhudzi!K241</f>
        <v>16967</v>
      </c>
      <c r="L241" s="15">
        <f>Mangochi!L241+'Monkey Bay'!L241+Namwera!L241+Nkhudzi!L241</f>
        <v>17860</v>
      </c>
      <c r="M241" s="15">
        <f>Mangochi!M241+'Monkey Bay'!M241+Namwera!M241+Nkhudzi!M241</f>
        <v>16074</v>
      </c>
      <c r="N241" s="15">
        <f>Mangochi!N241+'Monkey Bay'!N241+Namwera!N241+Nkhudzi!N241</f>
        <v>16967</v>
      </c>
      <c r="O241" s="15">
        <f>Mangochi!O241+'Monkey Bay'!O241+Namwera!O241+Nkhudzi!O241</f>
        <v>16074</v>
      </c>
      <c r="P241" s="40">
        <f>SUM(D241:O241)</f>
        <v>191995</v>
      </c>
    </row>
    <row r="242" spans="1:16" x14ac:dyDescent="0.3">
      <c r="A242" s="295" t="s">
        <v>19</v>
      </c>
      <c r="B242" s="296"/>
      <c r="C242" s="11" t="s">
        <v>18</v>
      </c>
      <c r="D242" s="12">
        <f t="shared" ref="D242:P242" si="182">SUM(D238:D241)</f>
        <v>5690196</v>
      </c>
      <c r="E242" s="12">
        <f t="shared" si="182"/>
        <v>5704484</v>
      </c>
      <c r="F242" s="12">
        <f t="shared" si="182"/>
        <v>5742883</v>
      </c>
      <c r="G242" s="12">
        <f t="shared" ref="G242:H242" si="183">SUM(G238:G241)</f>
        <v>5761636</v>
      </c>
      <c r="H242" s="12">
        <f t="shared" si="183"/>
        <v>5794677</v>
      </c>
      <c r="I242" s="12">
        <f t="shared" si="182"/>
        <v>5830397</v>
      </c>
      <c r="J242" s="12">
        <f t="shared" si="182"/>
        <v>5862545</v>
      </c>
      <c r="K242" s="12">
        <f t="shared" ref="K242" si="184">SUM(K238:K241)</f>
        <v>6039367</v>
      </c>
      <c r="L242" s="12">
        <f t="shared" si="182"/>
        <v>5941129</v>
      </c>
      <c r="M242" s="12">
        <f t="shared" ref="M242" si="185">SUM(M238:M241)</f>
        <v>5815216</v>
      </c>
      <c r="N242" s="12">
        <f t="shared" ref="N242" si="186">SUM(N238:N241)</f>
        <v>5824146</v>
      </c>
      <c r="O242" s="12">
        <f t="shared" ref="O242" si="187">SUM(O238:O241)</f>
        <v>5843792</v>
      </c>
      <c r="P242" s="40">
        <f t="shared" si="182"/>
        <v>69850468</v>
      </c>
    </row>
    <row r="243" spans="1:16" x14ac:dyDescent="0.3">
      <c r="A243" s="295" t="s">
        <v>214</v>
      </c>
      <c r="B243" s="296"/>
      <c r="C243" s="11" t="s">
        <v>18</v>
      </c>
      <c r="D243" s="10">
        <f>D230+D236+D242</f>
        <v>121611396.51000001</v>
      </c>
      <c r="E243" s="10">
        <f t="shared" ref="E243:L243" si="188">E230+E236+E242</f>
        <v>172445242.13</v>
      </c>
      <c r="F243" s="10">
        <f t="shared" si="188"/>
        <v>213994696</v>
      </c>
      <c r="G243" s="10">
        <f t="shared" si="188"/>
        <v>194750838.27000001</v>
      </c>
      <c r="H243" s="10">
        <f t="shared" si="188"/>
        <v>172798784.86000001</v>
      </c>
      <c r="I243" s="10">
        <f t="shared" si="188"/>
        <v>205324539.34999999</v>
      </c>
      <c r="J243" s="10">
        <f t="shared" si="188"/>
        <v>206800186.80000001</v>
      </c>
      <c r="K243" s="10">
        <f t="shared" ref="K243" si="189">K230+K236+K242</f>
        <v>215479626.17000002</v>
      </c>
      <c r="L243" s="10">
        <f t="shared" si="188"/>
        <v>174713667.25999999</v>
      </c>
      <c r="M243" s="10">
        <f t="shared" ref="M243" si="190">M230+M236+M242</f>
        <v>207023189.88999999</v>
      </c>
      <c r="N243" s="10">
        <f t="shared" ref="N243" si="191">N230+N236+N242</f>
        <v>222791371.48000002</v>
      </c>
      <c r="O243" s="10">
        <f t="shared" ref="O243" si="192">O230+O236+O242</f>
        <v>195047348.97999999</v>
      </c>
      <c r="P243" s="40">
        <f t="shared" ref="P243" si="193">P216+P223+P236+P242</f>
        <v>2322114413.0100002</v>
      </c>
    </row>
    <row r="244" spans="1:16" ht="14.4" x14ac:dyDescent="0.3">
      <c r="A244" s="282" t="s">
        <v>204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4"/>
    </row>
    <row r="245" spans="1:16" x14ac:dyDescent="0.3">
      <c r="A245" s="315" t="s">
        <v>205</v>
      </c>
      <c r="B245" s="316"/>
      <c r="C245" s="11" t="s">
        <v>18</v>
      </c>
      <c r="D245" s="15">
        <f>Mangochi!D245+'Monkey Bay'!D245+Namwera!D245</f>
        <v>391062308.65000302</v>
      </c>
      <c r="E245" s="15">
        <f>Mangochi!E245+'Monkey Bay'!E245+Namwera!E245</f>
        <v>418699049.6799987</v>
      </c>
      <c r="F245" s="15">
        <f>Mangochi!F245+'Monkey Bay'!F245+Namwera!F245</f>
        <v>478627667.85999924</v>
      </c>
      <c r="G245" s="15">
        <f>Mangochi!G245+'Monkey Bay'!G245+Namwera!G245</f>
        <v>503722556.24999827</v>
      </c>
      <c r="H245" s="15">
        <f>Mangochi!H245+'Monkey Bay'!H245+Namwera!H245</f>
        <v>553478920.34000051</v>
      </c>
      <c r="I245" s="15">
        <f>Mangochi!I245+'Monkey Bay'!I245+Namwera!I245</f>
        <v>571881081.07000101</v>
      </c>
      <c r="J245" s="15">
        <f>Mangochi!J245+'Monkey Bay'!J245+Namwera!J245+Nkhudzi!J245</f>
        <v>611588423.10000217</v>
      </c>
      <c r="K245" s="15">
        <f>Mangochi!K245+'Monkey Bay'!K245+Namwera!K245+Nkhudzi!K245</f>
        <v>611801281.99000275</v>
      </c>
      <c r="L245" s="15">
        <f>Mangochi!L245+'Monkey Bay'!L245+Namwera!L245+Nkhudzi!L245</f>
        <v>656000127.65000391</v>
      </c>
      <c r="M245" s="15">
        <f>Mangochi!M245+'Monkey Bay'!M245+Namwera!M245+Nkhudzi!M245</f>
        <v>609301315.46000409</v>
      </c>
      <c r="N245" s="15">
        <f>Mangochi!N245+'Monkey Bay'!N245+Namwera!N245+Nkhudzi!N245</f>
        <v>650459320.21000004</v>
      </c>
      <c r="O245" s="15">
        <f>Mangochi!O245+'Monkey Bay'!O245+Namwera!O245+Nkhudzi!O245</f>
        <v>697655713.41000199</v>
      </c>
      <c r="P245" s="40">
        <f>O245</f>
        <v>697655713.41000199</v>
      </c>
    </row>
    <row r="246" spans="1:16" x14ac:dyDescent="0.3">
      <c r="A246" s="315" t="s">
        <v>206</v>
      </c>
      <c r="B246" s="316"/>
      <c r="C246" s="11" t="s">
        <v>18</v>
      </c>
      <c r="D246" s="15">
        <f>Mangochi!D246+'Monkey Bay'!D246+Namwera!D246</f>
        <v>1236844094.6999991</v>
      </c>
      <c r="E246" s="15">
        <f>Mangochi!E246+'Monkey Bay'!E246+Namwera!E246</f>
        <v>869493296.94999909</v>
      </c>
      <c r="F246" s="15">
        <f>Mangochi!F246+'Monkey Bay'!F246+Namwera!F246</f>
        <v>921569957.31999922</v>
      </c>
      <c r="G246" s="15">
        <f>Mangochi!G246+'Monkey Bay'!G246+Namwera!G246</f>
        <v>940858096.10999918</v>
      </c>
      <c r="H246" s="15">
        <f>Mangochi!H246+'Monkey Bay'!H246+Namwera!H246</f>
        <v>1004282591.269999</v>
      </c>
      <c r="I246" s="15">
        <f>Mangochi!I246+'Monkey Bay'!I246+Namwera!I246</f>
        <v>1072765687.469999</v>
      </c>
      <c r="J246" s="15">
        <f>Mangochi!J246+'Monkey Bay'!J246+Namwera!J246+Nkhudzi!J246</f>
        <v>1141756099.799999</v>
      </c>
      <c r="K246" s="15">
        <f>Mangochi!K246+'Monkey Bay'!K246+Namwera!K246+Nkhudzi!K246</f>
        <v>1197668106.4199989</v>
      </c>
      <c r="L246" s="15">
        <f>Mangochi!L246+'Monkey Bay'!L246+Namwera!L246+Nkhudzi!L246</f>
        <v>1236294171.4699988</v>
      </c>
      <c r="M246" s="15">
        <f>Mangochi!M246+'Monkey Bay'!M246+Namwera!M246+Nkhudzi!M246</f>
        <v>968364574.85999942</v>
      </c>
      <c r="N246" s="15">
        <f>Mangochi!N246+'Monkey Bay'!N246+Namwera!N246+Nkhudzi!N246</f>
        <v>1025244131.7799993</v>
      </c>
      <c r="O246" s="15">
        <f>Mangochi!O246+'Monkey Bay'!O246+Namwera!O246+Nkhudzi!O246</f>
        <v>1091022047.4399989</v>
      </c>
      <c r="P246" s="40">
        <f>O246</f>
        <v>1091022047.4399989</v>
      </c>
    </row>
    <row r="247" spans="1:16" x14ac:dyDescent="0.3">
      <c r="A247" s="317" t="s">
        <v>207</v>
      </c>
      <c r="B247" s="318"/>
      <c r="C247" s="11" t="s">
        <v>18</v>
      </c>
      <c r="D247" s="143">
        <f>D245+D246</f>
        <v>1627906403.3500021</v>
      </c>
      <c r="E247" s="143">
        <f>E245+E246</f>
        <v>1288192346.6299977</v>
      </c>
      <c r="F247" s="143">
        <f t="shared" ref="F247:P247" si="194">F245+F246</f>
        <v>1400197625.1799984</v>
      </c>
      <c r="G247" s="143">
        <f t="shared" si="194"/>
        <v>1444580652.3599975</v>
      </c>
      <c r="H247" s="143">
        <f t="shared" si="194"/>
        <v>1557761511.6099997</v>
      </c>
      <c r="I247" s="143">
        <f t="shared" ref="I247:L247" si="195">I245+I246</f>
        <v>1644646768.54</v>
      </c>
      <c r="J247" s="143">
        <f t="shared" si="195"/>
        <v>1753344522.900001</v>
      </c>
      <c r="K247" s="143">
        <f t="shared" ref="K247" si="196">K245+K246</f>
        <v>1809469388.4100018</v>
      </c>
      <c r="L247" s="143">
        <f t="shared" si="195"/>
        <v>1892294299.1200027</v>
      </c>
      <c r="M247" s="143">
        <f t="shared" ref="M247" si="197">M245+M246</f>
        <v>1577665890.3200035</v>
      </c>
      <c r="N247" s="143">
        <f t="shared" ref="N247" si="198">N245+N246</f>
        <v>1675703451.9899993</v>
      </c>
      <c r="O247" s="143">
        <f t="shared" ref="O247" si="199">O245+O246</f>
        <v>1788677760.8500009</v>
      </c>
      <c r="P247" s="164">
        <f t="shared" si="194"/>
        <v>1788677760.8500009</v>
      </c>
    </row>
    <row r="248" spans="1:16" ht="14.4" x14ac:dyDescent="0.3">
      <c r="A248" s="282" t="s">
        <v>17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4"/>
    </row>
    <row r="249" spans="1:16" x14ac:dyDescent="0.3">
      <c r="A249" s="256" t="s">
        <v>16</v>
      </c>
      <c r="B249" s="257"/>
      <c r="C249" s="5" t="s">
        <v>6</v>
      </c>
      <c r="D249" s="8">
        <f>D58/D243</f>
        <v>0.34416939247365935</v>
      </c>
      <c r="E249" s="8">
        <f>E58/E243</f>
        <v>0.25332704915191273</v>
      </c>
      <c r="F249" s="8">
        <f t="shared" ref="F249:L249" si="200">F58/F243</f>
        <v>0.19972208526878629</v>
      </c>
      <c r="G249" s="8">
        <f t="shared" si="200"/>
        <v>0.18403061687537761</v>
      </c>
      <c r="H249" s="8">
        <f t="shared" si="200"/>
        <v>0.2329355407511168</v>
      </c>
      <c r="I249" s="8">
        <f t="shared" si="200"/>
        <v>0.21586764699065666</v>
      </c>
      <c r="J249" s="8">
        <f t="shared" si="200"/>
        <v>0.32630445166781147</v>
      </c>
      <c r="K249" s="8">
        <f t="shared" ref="K249" si="201">K58/K243</f>
        <v>0.33502696010965516</v>
      </c>
      <c r="L249" s="8">
        <f t="shared" si="200"/>
        <v>0.58510206293863354</v>
      </c>
      <c r="M249" s="8">
        <f t="shared" ref="M249" si="202">M58/M243</f>
        <v>0.52127041946080888</v>
      </c>
      <c r="N249" s="8">
        <f t="shared" ref="N249" si="203">N58/N243</f>
        <v>0.51385407665642957</v>
      </c>
      <c r="O249" s="8">
        <f t="shared" ref="O249" si="204">O58/O243</f>
        <v>0.55297755357782152</v>
      </c>
      <c r="P249" s="112">
        <f>P58/P243</f>
        <v>0.3534899941969914</v>
      </c>
    </row>
    <row r="250" spans="1:16" x14ac:dyDescent="0.3">
      <c r="A250" s="256" t="s">
        <v>208</v>
      </c>
      <c r="B250" s="257"/>
      <c r="C250" s="5" t="s">
        <v>6</v>
      </c>
      <c r="D250" s="29">
        <f>D210/(D223+D245)</f>
        <v>7.9091552960521783E-2</v>
      </c>
      <c r="E250" s="29">
        <f t="shared" ref="E250:L250" si="205">E210/(E223+E245)</f>
        <v>0.87786108019926568</v>
      </c>
      <c r="F250" s="29">
        <f t="shared" si="205"/>
        <v>0.10502456540696349</v>
      </c>
      <c r="G250" s="29">
        <f t="shared" si="205"/>
        <v>0.10205296220680772</v>
      </c>
      <c r="H250" s="29">
        <f t="shared" si="205"/>
        <v>6.1641952255582978E-2</v>
      </c>
      <c r="I250" s="29">
        <f t="shared" si="205"/>
        <v>0.11090411346020186</v>
      </c>
      <c r="J250" s="29">
        <f t="shared" si="205"/>
        <v>3.911590401641362E-2</v>
      </c>
      <c r="K250" s="29">
        <f t="shared" ref="K250" si="206">K210/(K223+K245)</f>
        <v>0.13959357620427076</v>
      </c>
      <c r="L250" s="29">
        <f t="shared" si="205"/>
        <v>0.12891592522483061</v>
      </c>
      <c r="M250" s="29">
        <f t="shared" ref="M250" si="207">M210/(M223+M245)</f>
        <v>0.60838675896023409</v>
      </c>
      <c r="N250" s="29">
        <f t="shared" ref="N250" si="208">N210/(N223+N245)</f>
        <v>6.6890261007047189E-2</v>
      </c>
      <c r="O250" s="29">
        <f t="shared" ref="O250" si="209">O210/(O223+O245)</f>
        <v>4.7135567225074157E-2</v>
      </c>
      <c r="P250" s="109">
        <f>P210/(P223+P245)</f>
        <v>0.66635435470149174</v>
      </c>
    </row>
    <row r="251" spans="1:16" ht="16.2" thickBot="1" x14ac:dyDescent="0.35">
      <c r="A251" s="306" t="s">
        <v>15</v>
      </c>
      <c r="B251" s="307"/>
      <c r="C251" s="5" t="s">
        <v>6</v>
      </c>
      <c r="D251" s="7">
        <f>D210/D223</f>
        <v>0.43907454319830913</v>
      </c>
      <c r="E251" s="7">
        <f t="shared" ref="E251:L251" si="210">E210/E223</f>
        <v>3.7872923863703014</v>
      </c>
      <c r="F251" s="7">
        <f t="shared" si="210"/>
        <v>0.3962125439731235</v>
      </c>
      <c r="G251" s="7">
        <f t="shared" si="210"/>
        <v>0.47997724032473499</v>
      </c>
      <c r="H251" s="7">
        <f t="shared" si="210"/>
        <v>0.3247956159054935</v>
      </c>
      <c r="I251" s="7">
        <f t="shared" si="210"/>
        <v>0.50362526395951746</v>
      </c>
      <c r="J251" s="7">
        <f t="shared" si="210"/>
        <v>0.20249612202346196</v>
      </c>
      <c r="K251" s="7">
        <f t="shared" ref="K251" si="211">K210/K223</f>
        <v>0.71415216712930851</v>
      </c>
      <c r="L251" s="7">
        <f t="shared" si="210"/>
        <v>0.91967287244203699</v>
      </c>
      <c r="M251" s="7">
        <f t="shared" ref="M251" si="212">M210/M223</f>
        <v>3.0771828573837201</v>
      </c>
      <c r="N251" s="7">
        <f t="shared" ref="N251" si="213">N210/N223</f>
        <v>0.3734911113476635</v>
      </c>
      <c r="O251" s="7">
        <f t="shared" ref="O251" si="214">O210/O223</f>
        <v>0.28144536587402286</v>
      </c>
      <c r="P251" s="113">
        <f>P210/P223</f>
        <v>0.94870713466663181</v>
      </c>
    </row>
    <row r="252" spans="1:16" ht="14.4" x14ac:dyDescent="0.3">
      <c r="A252" s="308" t="s">
        <v>14</v>
      </c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10"/>
    </row>
    <row r="253" spans="1:16" s="2" customFormat="1" ht="15" customHeight="1" x14ac:dyDescent="0.3">
      <c r="A253" s="256" t="s">
        <v>13</v>
      </c>
      <c r="B253" s="257"/>
      <c r="C253" s="5" t="s">
        <v>3</v>
      </c>
      <c r="D253" s="26">
        <f>Mangochi!D253+'Monkey Bay'!D253+Namwera!D253</f>
        <v>76</v>
      </c>
      <c r="E253" s="26">
        <f>Mangochi!E253+'Monkey Bay'!E253+Namwera!E253</f>
        <v>149</v>
      </c>
      <c r="F253" s="26">
        <f>Mangochi!F253+'Monkey Bay'!F253+Namwera!F253</f>
        <v>220</v>
      </c>
      <c r="G253" s="26">
        <f>Mangochi!G253+'Monkey Bay'!G253+Namwera!G253</f>
        <v>59</v>
      </c>
      <c r="H253" s="26">
        <f>Mangochi!H253+'Monkey Bay'!H253+Namwera!H253</f>
        <v>164</v>
      </c>
      <c r="I253" s="26">
        <f>Mangochi!I253+'Monkey Bay'!I253+Namwera!I253</f>
        <v>116</v>
      </c>
      <c r="J253" s="26">
        <f>Mangochi!J253+'Monkey Bay'!J253+Namwera!J253+Nkhudzi!J253</f>
        <v>2483</v>
      </c>
      <c r="K253" s="26">
        <f>Mangochi!K253+'Monkey Bay'!K253+Namwera!K253+Nkhudzi!K253</f>
        <v>700</v>
      </c>
      <c r="L253" s="26">
        <f>Mangochi!L253+'Monkey Bay'!L253+Namwera!L253+Nkhudzi!L253</f>
        <v>726</v>
      </c>
      <c r="M253" s="26">
        <f>Mangochi!M253+'Monkey Bay'!M253+Namwera!M253+Nkhudzi!M253</f>
        <v>1127</v>
      </c>
      <c r="N253" s="26">
        <f>Mangochi!N253+'Monkey Bay'!N253+Namwera!N253+Nkhudzi!N253</f>
        <v>1522</v>
      </c>
      <c r="O253" s="26">
        <f>Mangochi!O253+'Monkey Bay'!O253+Namwera!O253+Nkhudzi!O253</f>
        <v>165</v>
      </c>
      <c r="P253" s="114">
        <f>SUM(D253:O253)</f>
        <v>7507</v>
      </c>
    </row>
    <row r="254" spans="1:16" s="2" customFormat="1" x14ac:dyDescent="0.3">
      <c r="A254" s="256" t="s">
        <v>12</v>
      </c>
      <c r="B254" s="257"/>
      <c r="C254" s="5" t="s">
        <v>3</v>
      </c>
      <c r="D254" s="26">
        <f>Mangochi!D254+'Monkey Bay'!D254+Namwera!D254</f>
        <v>3</v>
      </c>
      <c r="E254" s="26">
        <f>Mangochi!E254+'Monkey Bay'!E254+Namwera!E254</f>
        <v>4</v>
      </c>
      <c r="F254" s="26">
        <f>Mangochi!F254+'Monkey Bay'!F254+Namwera!F254</f>
        <v>4</v>
      </c>
      <c r="G254" s="26">
        <f>Mangochi!G254+'Monkey Bay'!G254+Namwera!G254</f>
        <v>3</v>
      </c>
      <c r="H254" s="26">
        <f>Mangochi!H254+'Monkey Bay'!H254+Namwera!H254</f>
        <v>7</v>
      </c>
      <c r="I254" s="26">
        <f>Mangochi!I254+'Monkey Bay'!I254+Namwera!I254</f>
        <v>8</v>
      </c>
      <c r="J254" s="26">
        <f>Mangochi!J254+'Monkey Bay'!J254+Namwera!J254+Nkhudzi!J254</f>
        <v>4</v>
      </c>
      <c r="K254" s="26">
        <f>Mangochi!K254+'Monkey Bay'!K254+Namwera!K254+Nkhudzi!K254</f>
        <v>8</v>
      </c>
      <c r="L254" s="26">
        <f>Mangochi!L254+'Monkey Bay'!L254+Namwera!L254+Nkhudzi!L254</f>
        <v>2</v>
      </c>
      <c r="M254" s="26">
        <f>Mangochi!M254+'Monkey Bay'!M254+Namwera!M254+Nkhudzi!M254</f>
        <v>3</v>
      </c>
      <c r="N254" s="26">
        <f>Mangochi!N254+'Monkey Bay'!N254+Namwera!N254+Nkhudzi!N254</f>
        <v>4</v>
      </c>
      <c r="O254" s="26">
        <f>Mangochi!O254+'Monkey Bay'!O254+Namwera!O254+Nkhudzi!O254</f>
        <v>1</v>
      </c>
      <c r="P254" s="114">
        <f>SUM(D254:O254)</f>
        <v>51</v>
      </c>
    </row>
    <row r="255" spans="1:16" ht="15.75" customHeight="1" x14ac:dyDescent="0.3">
      <c r="A255" s="256" t="s">
        <v>11</v>
      </c>
      <c r="B255" s="257"/>
      <c r="C255" s="5" t="s">
        <v>3</v>
      </c>
      <c r="D255" s="4">
        <f>D95</f>
        <v>1244</v>
      </c>
      <c r="E255" s="4">
        <f>E95</f>
        <v>1353</v>
      </c>
      <c r="F255" s="4">
        <f>F95</f>
        <v>1494</v>
      </c>
      <c r="G255" s="4">
        <f>G95</f>
        <v>1412</v>
      </c>
      <c r="H255" s="4">
        <f>H95</f>
        <v>1550</v>
      </c>
      <c r="I255" s="4">
        <f t="shared" ref="I255:J255" si="215">I95</f>
        <v>1625</v>
      </c>
      <c r="J255" s="4">
        <f t="shared" si="215"/>
        <v>3733</v>
      </c>
      <c r="K255" s="4">
        <f t="shared" ref="K255:L255" si="216">K95</f>
        <v>1287</v>
      </c>
      <c r="L255" s="4">
        <f t="shared" si="216"/>
        <v>1180</v>
      </c>
      <c r="M255" s="4">
        <f t="shared" ref="M255" si="217">M95</f>
        <v>1749</v>
      </c>
      <c r="N255" s="4">
        <f t="shared" ref="N255" si="218">N95</f>
        <v>1777</v>
      </c>
      <c r="O255" s="4">
        <f t="shared" ref="O255" si="219">O95</f>
        <v>1478</v>
      </c>
      <c r="P255" s="114">
        <f>SUM(D255:O255)</f>
        <v>19882</v>
      </c>
    </row>
    <row r="256" spans="1:16" x14ac:dyDescent="0.3">
      <c r="A256" s="256" t="s">
        <v>10</v>
      </c>
      <c r="B256" s="257"/>
      <c r="C256" s="5" t="s">
        <v>3</v>
      </c>
      <c r="D256" s="4">
        <f>D91</f>
        <v>76</v>
      </c>
      <c r="E256" s="4">
        <f>E91</f>
        <v>149</v>
      </c>
      <c r="F256" s="4">
        <f>F91</f>
        <v>177</v>
      </c>
      <c r="G256" s="4">
        <f>G91</f>
        <v>59</v>
      </c>
      <c r="H256" s="4">
        <f>H91</f>
        <v>164</v>
      </c>
      <c r="I256" s="4">
        <f t="shared" ref="I256:J256" si="220">I91</f>
        <v>128</v>
      </c>
      <c r="J256" s="4">
        <f t="shared" si="220"/>
        <v>2147</v>
      </c>
      <c r="K256" s="4">
        <f t="shared" ref="K256:L256" si="221">K91</f>
        <v>177</v>
      </c>
      <c r="L256" s="4">
        <f t="shared" si="221"/>
        <v>142</v>
      </c>
      <c r="M256" s="4">
        <f t="shared" ref="M256" si="222">M91</f>
        <v>859</v>
      </c>
      <c r="N256" s="4">
        <f t="shared" ref="N256" si="223">N91</f>
        <v>246</v>
      </c>
      <c r="O256" s="4">
        <f t="shared" ref="O256" si="224">O91</f>
        <v>206</v>
      </c>
      <c r="P256" s="114">
        <f>SUM(D256:O256)</f>
        <v>4530</v>
      </c>
    </row>
    <row r="257" spans="1:16" ht="15.6" customHeight="1" x14ac:dyDescent="0.3">
      <c r="A257" s="256" t="s">
        <v>9</v>
      </c>
      <c r="B257" s="257"/>
      <c r="C257" s="5" t="s">
        <v>3</v>
      </c>
      <c r="D257" s="26">
        <f>Mangochi!D257+'Monkey Bay'!D257+Namwera!D257</f>
        <v>5348</v>
      </c>
      <c r="E257" s="26">
        <f>Mangochi!E257+'Monkey Bay'!E257+Namwera!E257</f>
        <v>6333</v>
      </c>
      <c r="F257" s="26">
        <f>Mangochi!F257+'Monkey Bay'!F257+Namwera!F257</f>
        <v>5680</v>
      </c>
      <c r="G257" s="26">
        <f>Mangochi!G257+'Monkey Bay'!G257+Namwera!G257</f>
        <v>8643</v>
      </c>
      <c r="H257" s="26">
        <f>Mangochi!H257+'Monkey Bay'!H257+Namwera!H257</f>
        <v>6256</v>
      </c>
      <c r="I257" s="26">
        <f>Mangochi!I257+'Monkey Bay'!I257+Namwera!I257</f>
        <v>4608</v>
      </c>
      <c r="J257" s="26">
        <f>Mangochi!J257+'Monkey Bay'!J257+Namwera!J257+Nkhudzi!J257</f>
        <v>1055</v>
      </c>
      <c r="K257" s="26">
        <f>Mangochi!K257+'Monkey Bay'!K257+Namwera!K257+Nkhudzi!K257</f>
        <v>4290</v>
      </c>
      <c r="L257" s="26">
        <f>Mangochi!L257+'Monkey Bay'!L257+Namwera!L257+Nkhudzi!L257</f>
        <v>182</v>
      </c>
      <c r="M257" s="26">
        <f>Mangochi!M257+'Monkey Bay'!M257+Namwera!M257+Nkhudzi!M257</f>
        <v>6051</v>
      </c>
      <c r="N257" s="26">
        <f>Mangochi!N257+'Monkey Bay'!N257+Namwera!N257+Nkhudzi!N257</f>
        <v>0</v>
      </c>
      <c r="O257" s="26">
        <f>Mangochi!O257+'Monkey Bay'!O257+Namwera!O257+Nkhudzi!O257</f>
        <v>5988</v>
      </c>
      <c r="P257" s="114">
        <f>SUM(D257:O257)</f>
        <v>54434</v>
      </c>
    </row>
    <row r="258" spans="1:16" x14ac:dyDescent="0.3">
      <c r="A258" s="295" t="s">
        <v>8</v>
      </c>
      <c r="B258" s="296"/>
      <c r="C258" s="5" t="s">
        <v>3</v>
      </c>
      <c r="D258" s="1">
        <f>Mangochi!D258+'Monkey Bay'!D258+Namwera!D258</f>
        <v>73.776208411801633</v>
      </c>
      <c r="E258" s="1">
        <f>Mangochi!E258+'Monkey Bay'!E258+Namwera!E258</f>
        <v>51.77961672473868</v>
      </c>
      <c r="F258" s="1">
        <f>Mangochi!F258+'Monkey Bay'!F258+Namwera!F258</f>
        <v>38.0565996114358</v>
      </c>
      <c r="G258" s="1">
        <f>Mangochi!G258+'Monkey Bay'!G258+Namwera!G258</f>
        <v>363.79461279461282</v>
      </c>
      <c r="H258" s="1">
        <f>Mangochi!H258+'Monkey Bay'!H258+Namwera!H258</f>
        <v>111.70277777777778</v>
      </c>
      <c r="I258" s="3">
        <f>Mangochi!I258+'Monkey Bay'!I258+Namwera!I258</f>
        <v>41.513513513513516</v>
      </c>
      <c r="J258" s="3" t="e">
        <f>Mangochi!J258+'Monkey Bay'!J258+Namwera!J258+Nkhudzi!J258</f>
        <v>#DIV/0!</v>
      </c>
      <c r="K258" s="3">
        <f>Mangochi!K258+'Monkey Bay'!K258+Namwera!K258+Nkhudzi!K258</f>
        <v>834.8</v>
      </c>
      <c r="L258" s="3" t="e">
        <f>Mangochi!L258+'Monkey Bay'!L258+Namwera!L258+Nkhudzi!L258</f>
        <v>#DIV/0!</v>
      </c>
      <c r="M258" s="3">
        <f>Mangochi!M258+'Monkey Bay'!M258+Namwera!M258+Nkhudzi!M258</f>
        <v>121.0363808173872</v>
      </c>
      <c r="N258" s="3" t="e">
        <f>Mangochi!N258+'Monkey Bay'!N258+Namwera!N258+Nkhudzi!N258</f>
        <v>#DIV/0!</v>
      </c>
      <c r="O258" s="3">
        <f>Mangochi!O258+'Monkey Bay'!O258+Namwera!O258+Nkhudzi!O258</f>
        <v>57.57692307692308</v>
      </c>
      <c r="P258" s="114">
        <f t="shared" ref="P258" si="225">P257/P256</f>
        <v>12.016335540838853</v>
      </c>
    </row>
    <row r="259" spans="1:16" x14ac:dyDescent="0.3">
      <c r="A259" s="295" t="s">
        <v>7</v>
      </c>
      <c r="B259" s="296"/>
      <c r="C259" s="5" t="s">
        <v>6</v>
      </c>
      <c r="D259" s="1">
        <f t="shared" ref="D259:P259" si="226">D92/D255*100</f>
        <v>0</v>
      </c>
      <c r="E259" s="1">
        <f t="shared" si="226"/>
        <v>0.51736881005173685</v>
      </c>
      <c r="F259" s="1">
        <f t="shared" si="226"/>
        <v>0</v>
      </c>
      <c r="G259" s="1">
        <f t="shared" si="226"/>
        <v>0</v>
      </c>
      <c r="H259" s="161">
        <f t="shared" si="226"/>
        <v>0</v>
      </c>
      <c r="I259" s="6">
        <f t="shared" si="226"/>
        <v>0</v>
      </c>
      <c r="J259" s="6">
        <f t="shared" si="226"/>
        <v>0</v>
      </c>
      <c r="K259" s="6">
        <f t="shared" ref="K259:L259" si="227">K92/K255*100</f>
        <v>0</v>
      </c>
      <c r="L259" s="161">
        <f t="shared" si="227"/>
        <v>1.7796610169491527</v>
      </c>
      <c r="M259" s="6">
        <f t="shared" ref="M259" si="228">M92/M255*100</f>
        <v>0</v>
      </c>
      <c r="N259" s="6">
        <f t="shared" ref="N259" si="229">N92/N255*100</f>
        <v>0</v>
      </c>
      <c r="O259" s="6">
        <f t="shared" ref="O259" si="230">O92/O255*100</f>
        <v>0.33829499323410012</v>
      </c>
      <c r="P259" s="115">
        <f t="shared" si="226"/>
        <v>0.16094960265566843</v>
      </c>
    </row>
    <row r="260" spans="1:16" ht="14.4" x14ac:dyDescent="0.3">
      <c r="A260" s="282" t="s">
        <v>5</v>
      </c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4"/>
    </row>
    <row r="261" spans="1:16" s="2" customFormat="1" ht="15" customHeight="1" x14ac:dyDescent="0.3">
      <c r="A261" s="256" t="s">
        <v>4</v>
      </c>
      <c r="B261" s="257"/>
      <c r="C261" s="5" t="s">
        <v>3</v>
      </c>
      <c r="D261" s="26">
        <f>Mangochi!D261+'Monkey Bay'!D261+Namwera!D261</f>
        <v>85</v>
      </c>
      <c r="E261" s="26">
        <f>Mangochi!E261+'Monkey Bay'!E261+Namwera!E261</f>
        <v>89</v>
      </c>
      <c r="F261" s="26">
        <f>Mangochi!F261+'Monkey Bay'!F261+Namwera!F261</f>
        <v>98</v>
      </c>
      <c r="G261" s="26">
        <f>Mangochi!G261+'Monkey Bay'!G261+Namwera!G261</f>
        <v>95</v>
      </c>
      <c r="H261" s="26">
        <f>Mangochi!H261+'Monkey Bay'!H261+Namwera!H261</f>
        <v>89</v>
      </c>
      <c r="I261" s="26">
        <f>Mangochi!I261+'Monkey Bay'!I261+Namwera!I261</f>
        <v>109</v>
      </c>
      <c r="J261" s="26">
        <f>Mangochi!J261+'Monkey Bay'!J261+Namwera!J261+Nkhudzi!J261</f>
        <v>93</v>
      </c>
      <c r="K261" s="26">
        <f>Mangochi!K261+'Monkey Bay'!K261+Namwera!K261+Nkhudzi!K261</f>
        <v>105</v>
      </c>
      <c r="L261" s="26">
        <f>Mangochi!L261+'Monkey Bay'!L261+Namwera!L261+Nkhudzi!L261</f>
        <v>95</v>
      </c>
      <c r="M261" s="26">
        <f>Mangochi!M261+'Monkey Bay'!M261+Namwera!M261+Nkhudzi!M261</f>
        <v>84</v>
      </c>
      <c r="N261" s="26">
        <f>Mangochi!N261+'Monkey Bay'!N261+Namwera!N261+Nkhudzi!N261</f>
        <v>75</v>
      </c>
      <c r="O261" s="26">
        <f>Mangochi!O261+'Monkey Bay'!O261+Namwera!O261+Nkhudzi!O261</f>
        <v>106</v>
      </c>
      <c r="P261" s="40">
        <f>SUM(D261:O261)</f>
        <v>1123</v>
      </c>
    </row>
    <row r="262" spans="1:16" s="2" customFormat="1" ht="15.75" customHeight="1" x14ac:dyDescent="0.3">
      <c r="A262" s="256" t="s">
        <v>2</v>
      </c>
      <c r="B262" s="257"/>
      <c r="C262" s="5" t="s">
        <v>0</v>
      </c>
      <c r="D262" s="26">
        <f>Mangochi!D262+'Monkey Bay'!D262+Namwera!D262</f>
        <v>12</v>
      </c>
      <c r="E262" s="26">
        <f>Mangochi!E262+'Monkey Bay'!E262+Namwera!E262</f>
        <v>3</v>
      </c>
      <c r="F262" s="26">
        <f>Mangochi!F262+'Monkey Bay'!F262+Namwera!F262</f>
        <v>9</v>
      </c>
      <c r="G262" s="26">
        <f>Mangochi!G262+'Monkey Bay'!G262+Namwera!G262</f>
        <v>9</v>
      </c>
      <c r="H262" s="26">
        <f>Mangochi!H262+'Monkey Bay'!H262+Namwera!H262</f>
        <v>10</v>
      </c>
      <c r="I262" s="26">
        <f>Mangochi!I262+'Monkey Bay'!I262+Namwera!I262</f>
        <v>15</v>
      </c>
      <c r="J262" s="26">
        <f>Mangochi!J262+'Monkey Bay'!J262+Namwera!J262+Nkhudzi!J262</f>
        <v>5</v>
      </c>
      <c r="K262" s="26">
        <f>Mangochi!K262+'Monkey Bay'!K262+Namwera!K262+Nkhudzi!K262</f>
        <v>4</v>
      </c>
      <c r="L262" s="26">
        <f>Mangochi!L262+'Monkey Bay'!L262+Namwera!L262+Nkhudzi!L262</f>
        <v>3</v>
      </c>
      <c r="M262" s="26">
        <f>Mangochi!M262+'Monkey Bay'!M262+Namwera!M262+Nkhudzi!M262</f>
        <v>3.5</v>
      </c>
      <c r="N262" s="26">
        <f>Mangochi!N262+'Monkey Bay'!N262+Namwera!N262+Nkhudzi!N262</f>
        <v>10</v>
      </c>
      <c r="O262" s="26">
        <f>Mangochi!O262+'Monkey Bay'!O262+Namwera!O262+Nkhudzi!O262</f>
        <v>11</v>
      </c>
      <c r="P262" s="40">
        <f>SUM(D262:O262)</f>
        <v>94.5</v>
      </c>
    </row>
    <row r="263" spans="1:16" ht="16.2" thickBot="1" x14ac:dyDescent="0.35">
      <c r="A263" s="300" t="s">
        <v>1</v>
      </c>
      <c r="B263" s="301"/>
      <c r="C263" s="116" t="s">
        <v>0</v>
      </c>
      <c r="D263" s="117">
        <f>D261/D262</f>
        <v>7.083333333333333</v>
      </c>
      <c r="E263" s="117">
        <f>E261/E262</f>
        <v>29.666666666666668</v>
      </c>
      <c r="F263" s="117">
        <f>F261/F262</f>
        <v>10.888888888888889</v>
      </c>
      <c r="G263" s="117">
        <f>G261/G262</f>
        <v>10.555555555555555</v>
      </c>
      <c r="H263" s="117">
        <f>H261/H262</f>
        <v>8.9</v>
      </c>
      <c r="I263" s="117">
        <f t="shared" ref="I263:P263" si="231">I261/I262</f>
        <v>7.2666666666666666</v>
      </c>
      <c r="J263" s="117">
        <f t="shared" si="231"/>
        <v>18.600000000000001</v>
      </c>
      <c r="K263" s="117">
        <f t="shared" ref="K263:L263" si="232">K261/K262</f>
        <v>26.25</v>
      </c>
      <c r="L263" s="117">
        <f t="shared" si="232"/>
        <v>31.666666666666668</v>
      </c>
      <c r="M263" s="117">
        <f t="shared" ref="M263" si="233">M261/M262</f>
        <v>24</v>
      </c>
      <c r="N263" s="117">
        <f t="shared" ref="N263" si="234">N261/N262</f>
        <v>7.5</v>
      </c>
      <c r="O263" s="117">
        <f t="shared" ref="O263" si="235">O261/O262</f>
        <v>9.6363636363636367</v>
      </c>
      <c r="P263" s="208">
        <f t="shared" si="231"/>
        <v>11.883597883597883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62A4-E565-4F29-B210-215D9E6D1237}">
  <sheetPr codeName="Sheet12"/>
  <dimension ref="A1:H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H1" sqref="H1:H1048576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0.109375" style="577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560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561"/>
    </row>
    <row r="3" spans="1:8" ht="18" thickBot="1" x14ac:dyDescent="0.35">
      <c r="A3" s="221" t="s">
        <v>217</v>
      </c>
      <c r="B3" s="222"/>
      <c r="C3" s="222"/>
      <c r="D3" s="222"/>
      <c r="E3" s="222"/>
      <c r="F3" s="222"/>
      <c r="G3" s="320"/>
      <c r="H3" s="562"/>
    </row>
    <row r="4" spans="1:8" ht="18" thickBot="1" x14ac:dyDescent="0.35">
      <c r="A4" s="94" t="s">
        <v>221</v>
      </c>
      <c r="B4" s="124"/>
      <c r="C4" s="124"/>
      <c r="D4" s="124"/>
      <c r="E4" s="124"/>
      <c r="F4" s="124"/>
      <c r="G4" s="124"/>
      <c r="H4" s="563"/>
    </row>
    <row r="5" spans="1:8" ht="14.4" customHeight="1" x14ac:dyDescent="0.3">
      <c r="A5" s="95" t="s">
        <v>221</v>
      </c>
      <c r="B5" s="96"/>
      <c r="C5" s="96"/>
      <c r="D5" s="96"/>
      <c r="E5" s="96"/>
      <c r="F5" s="96"/>
      <c r="G5" s="96"/>
      <c r="H5" s="564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565"/>
    </row>
    <row r="7" spans="1:8" ht="16.2" thickBot="1" x14ac:dyDescent="0.35">
      <c r="A7" s="241" t="s">
        <v>174</v>
      </c>
      <c r="B7" s="242"/>
      <c r="C7" s="61" t="s">
        <v>173</v>
      </c>
      <c r="D7" s="60" t="s">
        <v>218</v>
      </c>
      <c r="E7" s="60" t="s">
        <v>219</v>
      </c>
      <c r="F7" s="60" t="s">
        <v>220</v>
      </c>
      <c r="G7" s="60" t="s">
        <v>222</v>
      </c>
      <c r="H7" s="59" t="s">
        <v>160</v>
      </c>
    </row>
    <row r="8" spans="1:8" ht="16.2" thickBot="1" x14ac:dyDescent="0.35">
      <c r="A8" s="302" t="s">
        <v>159</v>
      </c>
      <c r="B8" s="303"/>
      <c r="C8" s="303"/>
      <c r="D8" s="303"/>
      <c r="E8" s="303"/>
      <c r="F8" s="303"/>
      <c r="G8" s="303"/>
      <c r="H8" s="566"/>
    </row>
    <row r="9" spans="1:8" x14ac:dyDescent="0.3">
      <c r="A9" s="245" t="s">
        <v>176</v>
      </c>
      <c r="B9" s="246"/>
      <c r="C9" s="58" t="s">
        <v>152</v>
      </c>
      <c r="D9" s="57">
        <f>Mangochi!D9+Mangochi!E9+Mangochi!F9</f>
        <v>388676</v>
      </c>
      <c r="E9" s="57">
        <f>'Monkey Bay'!D9+'Monkey Bay'!E9+'Monkey Bay'!F9</f>
        <v>180709</v>
      </c>
      <c r="F9" s="57">
        <f>Namwera!D9+Namwera!E9+Namwera!F9</f>
        <v>15892</v>
      </c>
      <c r="G9" s="668"/>
      <c r="H9" s="153">
        <f>SUM(D9:F9)</f>
        <v>585277</v>
      </c>
    </row>
    <row r="10" spans="1:8" x14ac:dyDescent="0.3">
      <c r="A10" s="282" t="s">
        <v>177</v>
      </c>
      <c r="B10" s="283"/>
      <c r="C10" s="283"/>
      <c r="D10" s="305"/>
      <c r="E10" s="305"/>
      <c r="F10" s="305"/>
      <c r="G10" s="305"/>
      <c r="H10" s="567"/>
    </row>
    <row r="11" spans="1:8" x14ac:dyDescent="0.3">
      <c r="A11" s="243" t="s">
        <v>157</v>
      </c>
      <c r="B11" s="244"/>
      <c r="C11" s="11" t="s">
        <v>152</v>
      </c>
      <c r="D11" s="26">
        <f>Mangochi!D11+Mangochi!E11+Mangochi!F11</f>
        <v>168416</v>
      </c>
      <c r="E11" s="26">
        <f>'Monkey Bay'!D11+'Monkey Bay'!E11+'Monkey Bay'!F11</f>
        <v>52901</v>
      </c>
      <c r="F11" s="26">
        <f>Namwera!D11+Namwera!E11+Namwera!F11</f>
        <v>5574</v>
      </c>
      <c r="G11" s="128"/>
      <c r="H11" s="55">
        <f>SUM(D11:F11)</f>
        <v>226891</v>
      </c>
    </row>
    <row r="12" spans="1:8" x14ac:dyDescent="0.3">
      <c r="A12" s="243" t="s">
        <v>156</v>
      </c>
      <c r="B12" s="244"/>
      <c r="C12" s="11" t="s">
        <v>152</v>
      </c>
      <c r="D12" s="26">
        <f>Mangochi!D12+Mangochi!E12+Mangochi!F12</f>
        <v>0</v>
      </c>
      <c r="E12" s="26">
        <f>'Monkey Bay'!D12+'Monkey Bay'!E12+'Monkey Bay'!F12</f>
        <v>0</v>
      </c>
      <c r="F12" s="26">
        <f>Namwera!D12+Namwera!E12+Namwera!F12</f>
        <v>0</v>
      </c>
      <c r="G12" s="128"/>
      <c r="H12" s="55">
        <f>SUM(D12:F12)</f>
        <v>0</v>
      </c>
    </row>
    <row r="13" spans="1:8" x14ac:dyDescent="0.3">
      <c r="A13" s="243" t="s">
        <v>155</v>
      </c>
      <c r="B13" s="244"/>
      <c r="C13" s="11" t="s">
        <v>152</v>
      </c>
      <c r="D13" s="26">
        <f>Mangochi!D13+Mangochi!E13+Mangochi!F13</f>
        <v>920</v>
      </c>
      <c r="E13" s="26">
        <f>'Monkey Bay'!D13+'Monkey Bay'!E13+'Monkey Bay'!F13</f>
        <v>61252</v>
      </c>
      <c r="F13" s="26">
        <f>Namwera!D13+Namwera!E13+Namwera!F13</f>
        <v>39</v>
      </c>
      <c r="G13" s="128"/>
      <c r="H13" s="55">
        <f>SUM(D13:F13)</f>
        <v>62211</v>
      </c>
    </row>
    <row r="14" spans="1:8" x14ac:dyDescent="0.3">
      <c r="A14" s="237" t="s">
        <v>154</v>
      </c>
      <c r="B14" s="238"/>
      <c r="C14" s="11" t="s">
        <v>152</v>
      </c>
      <c r="D14" s="26">
        <f>Mangochi!D14+Mangochi!E14+Mangochi!F14</f>
        <v>512</v>
      </c>
      <c r="E14" s="26">
        <f>'Monkey Bay'!D14+'Monkey Bay'!E14+'Monkey Bay'!F14</f>
        <v>9306</v>
      </c>
      <c r="F14" s="26">
        <f>Namwera!D14+Namwera!E14+Namwera!F14</f>
        <v>0</v>
      </c>
      <c r="G14" s="128"/>
      <c r="H14" s="55">
        <f>SUM(D14:F14)</f>
        <v>9818</v>
      </c>
    </row>
    <row r="15" spans="1:8" s="63" customFormat="1" x14ac:dyDescent="0.3">
      <c r="A15" s="239" t="s">
        <v>158</v>
      </c>
      <c r="B15" s="240"/>
      <c r="C15" s="62" t="s">
        <v>152</v>
      </c>
      <c r="D15" s="34">
        <f t="shared" ref="D15:H15" si="0">SUM(D11:D14)</f>
        <v>169848</v>
      </c>
      <c r="E15" s="34">
        <f t="shared" si="0"/>
        <v>123459</v>
      </c>
      <c r="F15" s="34">
        <f t="shared" si="0"/>
        <v>5613</v>
      </c>
      <c r="G15" s="33"/>
      <c r="H15" s="55">
        <f t="shared" si="0"/>
        <v>298920</v>
      </c>
    </row>
    <row r="16" spans="1:8" s="2" customFormat="1" x14ac:dyDescent="0.3">
      <c r="A16" s="282" t="s">
        <v>178</v>
      </c>
      <c r="B16" s="283"/>
      <c r="C16" s="283"/>
      <c r="D16" s="283"/>
      <c r="E16" s="283"/>
      <c r="F16" s="283"/>
      <c r="G16" s="283"/>
      <c r="H16" s="567"/>
    </row>
    <row r="17" spans="1:8" s="2" customFormat="1" x14ac:dyDescent="0.3">
      <c r="A17" s="243" t="s">
        <v>180</v>
      </c>
      <c r="B17" s="244"/>
      <c r="C17" s="11" t="s">
        <v>152</v>
      </c>
      <c r="D17" s="26">
        <f>Mangochi!D17+Mangochi!E17+Mangochi!F17</f>
        <v>44175.3</v>
      </c>
      <c r="E17" s="26">
        <f>'Monkey Bay'!D17+'Monkey Bay'!E17+'Monkey Bay'!F17</f>
        <v>7966</v>
      </c>
      <c r="F17" s="26">
        <f>Namwera!D17+Namwera!E17+Namwera!F17</f>
        <v>3501</v>
      </c>
      <c r="G17" s="128"/>
      <c r="H17" s="55">
        <f>SUM(D17:F17)</f>
        <v>55642.3</v>
      </c>
    </row>
    <row r="18" spans="1:8" s="2" customFormat="1" x14ac:dyDescent="0.3">
      <c r="A18" s="243" t="s">
        <v>181</v>
      </c>
      <c r="B18" s="244"/>
      <c r="C18" s="11" t="s">
        <v>152</v>
      </c>
      <c r="D18" s="26">
        <f>Mangochi!D18+Mangochi!E18+Mangochi!F18</f>
        <v>0</v>
      </c>
      <c r="E18" s="26">
        <f>'Monkey Bay'!D18+'Monkey Bay'!E18+'Monkey Bay'!F18</f>
        <v>3522</v>
      </c>
      <c r="F18" s="26">
        <f>Namwera!D18+Namwera!E18+Namwera!F18</f>
        <v>0</v>
      </c>
      <c r="G18" s="128"/>
      <c r="H18" s="55">
        <f>SUM(D18:F18)</f>
        <v>3522</v>
      </c>
    </row>
    <row r="19" spans="1:8" s="2" customFormat="1" x14ac:dyDescent="0.3">
      <c r="A19" s="243" t="s">
        <v>182</v>
      </c>
      <c r="B19" s="244"/>
      <c r="C19" s="11" t="s">
        <v>152</v>
      </c>
      <c r="D19" s="26">
        <f>Mangochi!D19+Mangochi!E19+Mangochi!F19</f>
        <v>0</v>
      </c>
      <c r="E19" s="26">
        <f>'Monkey Bay'!D19+'Monkey Bay'!E19+'Monkey Bay'!F19</f>
        <v>9315</v>
      </c>
      <c r="F19" s="26">
        <f>Namwera!D19+Namwera!E19+Namwera!F19</f>
        <v>1269</v>
      </c>
      <c r="G19" s="128"/>
      <c r="H19" s="55">
        <f>SUM(D19:F19)</f>
        <v>10584</v>
      </c>
    </row>
    <row r="20" spans="1:8" s="2" customFormat="1" x14ac:dyDescent="0.3">
      <c r="A20" s="237" t="s">
        <v>183</v>
      </c>
      <c r="B20" s="238"/>
      <c r="C20" s="11" t="s">
        <v>152</v>
      </c>
      <c r="D20" s="26">
        <f>Mangochi!D20+Mangochi!E20+Mangochi!F20</f>
        <v>0</v>
      </c>
      <c r="E20" s="26">
        <f>'Monkey Bay'!D20+'Monkey Bay'!E20+'Monkey Bay'!F20</f>
        <v>1395</v>
      </c>
      <c r="F20" s="26">
        <f>Namwera!D20+Namwera!E20+Namwera!F20</f>
        <v>66</v>
      </c>
      <c r="G20" s="128"/>
      <c r="H20" s="55">
        <f>SUM(D20:F20)</f>
        <v>1461</v>
      </c>
    </row>
    <row r="21" spans="1:8" s="73" customFormat="1" x14ac:dyDescent="0.3">
      <c r="A21" s="239" t="s">
        <v>184</v>
      </c>
      <c r="B21" s="240"/>
      <c r="C21" s="62" t="s">
        <v>152</v>
      </c>
      <c r="D21" s="34">
        <f>SUM(D17:D20)</f>
        <v>44175.3</v>
      </c>
      <c r="E21" s="34">
        <f t="shared" ref="E21:H21" si="1">SUM(E17:E20)</f>
        <v>22198</v>
      </c>
      <c r="F21" s="34">
        <f t="shared" si="1"/>
        <v>4836</v>
      </c>
      <c r="G21" s="33"/>
      <c r="H21" s="55">
        <f t="shared" si="1"/>
        <v>71209.3</v>
      </c>
    </row>
    <row r="22" spans="1:8" s="2" customFormat="1" x14ac:dyDescent="0.3">
      <c r="A22" s="236" t="s">
        <v>185</v>
      </c>
      <c r="B22" s="224"/>
      <c r="C22" s="11" t="s">
        <v>152</v>
      </c>
      <c r="D22" s="34">
        <f>D21+D15</f>
        <v>214023.3</v>
      </c>
      <c r="E22" s="34">
        <f t="shared" ref="E22:H22" si="2">E21+E15</f>
        <v>145657</v>
      </c>
      <c r="F22" s="34">
        <f t="shared" si="2"/>
        <v>10449</v>
      </c>
      <c r="G22" s="33"/>
      <c r="H22" s="55">
        <f t="shared" si="2"/>
        <v>370129.3</v>
      </c>
    </row>
    <row r="23" spans="1:8" x14ac:dyDescent="0.3">
      <c r="A23" s="282" t="s">
        <v>215</v>
      </c>
      <c r="B23" s="283"/>
      <c r="C23" s="283"/>
      <c r="D23" s="283"/>
      <c r="E23" s="283"/>
      <c r="F23" s="283"/>
      <c r="G23" s="283"/>
      <c r="H23" s="567"/>
    </row>
    <row r="24" spans="1:8" x14ac:dyDescent="0.3">
      <c r="A24" s="229" t="s">
        <v>179</v>
      </c>
      <c r="B24" s="37" t="s">
        <v>153</v>
      </c>
      <c r="C24" s="5" t="s">
        <v>152</v>
      </c>
      <c r="D24" s="54">
        <f>D9-D22</f>
        <v>174652.7</v>
      </c>
      <c r="E24" s="54">
        <f t="shared" ref="E24:H24" si="3">E9-E22</f>
        <v>35052</v>
      </c>
      <c r="F24" s="54">
        <f t="shared" si="3"/>
        <v>5443</v>
      </c>
      <c r="G24" s="669"/>
      <c r="H24" s="163">
        <f t="shared" si="3"/>
        <v>215147.7</v>
      </c>
    </row>
    <row r="25" spans="1:8" x14ac:dyDescent="0.3">
      <c r="A25" s="231"/>
      <c r="B25" s="53" t="s">
        <v>151</v>
      </c>
      <c r="C25" s="52" t="s">
        <v>6</v>
      </c>
      <c r="D25" s="51">
        <f t="shared" ref="D25:H25" si="4">D24/D9</f>
        <v>0.44935293149049599</v>
      </c>
      <c r="E25" s="51">
        <f t="shared" si="4"/>
        <v>0.19396930977427798</v>
      </c>
      <c r="F25" s="51">
        <f t="shared" si="4"/>
        <v>0.34249937075257991</v>
      </c>
      <c r="G25" s="670"/>
      <c r="H25" s="154">
        <f t="shared" si="4"/>
        <v>0.36759978608419602</v>
      </c>
    </row>
    <row r="26" spans="1:8" x14ac:dyDescent="0.3">
      <c r="A26" s="282" t="s">
        <v>150</v>
      </c>
      <c r="B26" s="283"/>
      <c r="C26" s="283"/>
      <c r="D26" s="283"/>
      <c r="E26" s="283"/>
      <c r="F26" s="283"/>
      <c r="G26" s="283"/>
      <c r="H26" s="567"/>
    </row>
    <row r="27" spans="1:8" x14ac:dyDescent="0.3">
      <c r="A27" s="227" t="s">
        <v>149</v>
      </c>
      <c r="B27" s="228"/>
      <c r="C27" s="228"/>
      <c r="D27" s="228"/>
      <c r="E27" s="228"/>
      <c r="F27" s="228"/>
      <c r="G27" s="667"/>
      <c r="H27" s="568"/>
    </row>
    <row r="28" spans="1:8" x14ac:dyDescent="0.3">
      <c r="A28" s="102" t="s">
        <v>148</v>
      </c>
      <c r="B28" s="50" t="s">
        <v>147</v>
      </c>
      <c r="C28" s="49"/>
      <c r="D28" s="47"/>
      <c r="E28" s="47"/>
      <c r="F28" s="47"/>
      <c r="G28" s="48"/>
      <c r="H28" s="46"/>
    </row>
    <row r="29" spans="1:8" x14ac:dyDescent="0.3">
      <c r="A29" s="251" t="s">
        <v>146</v>
      </c>
      <c r="B29" s="249">
        <v>7400</v>
      </c>
      <c r="C29" s="5" t="s">
        <v>140</v>
      </c>
      <c r="D29" s="26">
        <f>Mangochi!D29+Mangochi!E29+Mangochi!F29</f>
        <v>1629</v>
      </c>
      <c r="E29" s="26">
        <f>'Monkey Bay'!D29+'Monkey Bay'!E29+'Monkey Bay'!F29</f>
        <v>455</v>
      </c>
      <c r="F29" s="26">
        <f>Namwera!D29+Namwera!E29+Namwera!F29</f>
        <v>35.5</v>
      </c>
      <c r="G29" s="128"/>
      <c r="H29" s="45">
        <f>SUM(D29:F29)</f>
        <v>2119.5</v>
      </c>
    </row>
    <row r="30" spans="1:8" x14ac:dyDescent="0.3">
      <c r="A30" s="252"/>
      <c r="B30" s="250"/>
      <c r="C30" s="42" t="s">
        <v>139</v>
      </c>
      <c r="D30" s="15">
        <f t="shared" ref="D30:H30" si="5">D29/(D9/1000)</f>
        <v>4.191151498934846</v>
      </c>
      <c r="E30" s="15">
        <f t="shared" si="5"/>
        <v>2.5178602061878488</v>
      </c>
      <c r="F30" s="15">
        <f t="shared" si="5"/>
        <v>2.2338283413038007</v>
      </c>
      <c r="G30" s="22"/>
      <c r="H30" s="103">
        <f t="shared" si="5"/>
        <v>3.6213621926028186</v>
      </c>
    </row>
    <row r="31" spans="1:8" x14ac:dyDescent="0.3">
      <c r="A31" s="247" t="s">
        <v>145</v>
      </c>
      <c r="B31" s="249">
        <v>1900</v>
      </c>
      <c r="C31" s="5" t="s">
        <v>140</v>
      </c>
      <c r="D31" s="26">
        <f>Mangochi!D31+Mangochi!E31+Mangochi!F31</f>
        <v>800</v>
      </c>
      <c r="E31" s="26">
        <f>'Monkey Bay'!D31+'Monkey Bay'!E31+'Monkey Bay'!F31</f>
        <v>0</v>
      </c>
      <c r="F31" s="26">
        <f>Namwera!D31+Namwera!E31+Namwera!F31</f>
        <v>0</v>
      </c>
      <c r="G31" s="128"/>
      <c r="H31" s="45">
        <f>SUM(D31:F31)</f>
        <v>800</v>
      </c>
    </row>
    <row r="32" spans="1:8" x14ac:dyDescent="0.3">
      <c r="A32" s="248"/>
      <c r="B32" s="250"/>
      <c r="C32" s="42" t="s">
        <v>139</v>
      </c>
      <c r="D32" s="15">
        <f t="shared" ref="D32:H32" si="6">D31/(D9/1000)</f>
        <v>2.0582696127365723</v>
      </c>
      <c r="E32" s="15">
        <f t="shared" si="6"/>
        <v>0</v>
      </c>
      <c r="F32" s="15">
        <f t="shared" si="6"/>
        <v>0</v>
      </c>
      <c r="G32" s="22"/>
      <c r="H32" s="103">
        <f t="shared" si="6"/>
        <v>1.3668741467715286</v>
      </c>
    </row>
    <row r="33" spans="1:8" x14ac:dyDescent="0.3">
      <c r="A33" s="247" t="s">
        <v>144</v>
      </c>
      <c r="B33" s="249">
        <v>1900</v>
      </c>
      <c r="C33" s="5" t="s">
        <v>140</v>
      </c>
      <c r="D33" s="26">
        <f>Mangochi!D33+Mangochi!E33+Mangochi!F33</f>
        <v>0</v>
      </c>
      <c r="E33" s="26">
        <f>'Monkey Bay'!D33+'Monkey Bay'!E33+'Monkey Bay'!F33</f>
        <v>0</v>
      </c>
      <c r="F33" s="26">
        <f>Namwera!D33+Namwera!E33+Namwera!F33</f>
        <v>0</v>
      </c>
      <c r="G33" s="128"/>
      <c r="H33" s="45">
        <f>SUM(D33:F33)</f>
        <v>0</v>
      </c>
    </row>
    <row r="34" spans="1:8" x14ac:dyDescent="0.3">
      <c r="A34" s="248"/>
      <c r="B34" s="250"/>
      <c r="C34" s="42" t="s">
        <v>139</v>
      </c>
      <c r="D34" s="15">
        <f t="shared" ref="D34:H38" si="7">D33/(D9/1000)</f>
        <v>0</v>
      </c>
      <c r="E34" s="15">
        <f t="shared" si="7"/>
        <v>0</v>
      </c>
      <c r="F34" s="15">
        <f t="shared" si="7"/>
        <v>0</v>
      </c>
      <c r="G34" s="22"/>
      <c r="H34" s="103">
        <f t="shared" si="7"/>
        <v>0</v>
      </c>
    </row>
    <row r="35" spans="1:8" x14ac:dyDescent="0.3">
      <c r="A35" s="247" t="s">
        <v>143</v>
      </c>
      <c r="B35" s="249">
        <f>745345.16/200</f>
        <v>3726.7258000000002</v>
      </c>
      <c r="C35" s="5" t="s">
        <v>126</v>
      </c>
      <c r="D35" s="26">
        <f>Mangochi!D35+Mangochi!E35+Mangochi!F35</f>
        <v>0</v>
      </c>
      <c r="E35" s="26">
        <f>'Monkey Bay'!D35+'Monkey Bay'!E35+'Monkey Bay'!F35</f>
        <v>0</v>
      </c>
      <c r="F35" s="26">
        <f>Namwera!D35+Namwera!E35+Namwera!F35</f>
        <v>0</v>
      </c>
      <c r="G35" s="128"/>
      <c r="H35" s="45">
        <f>SUM(D35:F35)</f>
        <v>0</v>
      </c>
    </row>
    <row r="36" spans="1:8" x14ac:dyDescent="0.3">
      <c r="A36" s="248"/>
      <c r="B36" s="250"/>
      <c r="C36" s="5" t="s">
        <v>142</v>
      </c>
      <c r="D36" s="15">
        <f t="shared" si="7"/>
        <v>0</v>
      </c>
      <c r="E36" s="15">
        <f t="shared" si="7"/>
        <v>0</v>
      </c>
      <c r="F36" s="15">
        <f t="shared" si="7"/>
        <v>0</v>
      </c>
      <c r="G36" s="22"/>
      <c r="H36" s="40">
        <f t="shared" si="7"/>
        <v>0</v>
      </c>
    </row>
    <row r="37" spans="1:8" x14ac:dyDescent="0.3">
      <c r="A37" s="247" t="s">
        <v>186</v>
      </c>
      <c r="B37" s="249">
        <f>790318.72/200</f>
        <v>3951.5935999999997</v>
      </c>
      <c r="C37" s="5" t="s">
        <v>126</v>
      </c>
      <c r="D37" s="26">
        <f>Mangochi!D37+Mangochi!E37+Mangochi!F37</f>
        <v>0</v>
      </c>
      <c r="E37" s="26">
        <f>'Monkey Bay'!D37+'Monkey Bay'!E37+'Monkey Bay'!F37</f>
        <v>0</v>
      </c>
      <c r="F37" s="26">
        <f>Namwera!D37+Namwera!E37+Namwera!F37</f>
        <v>0</v>
      </c>
      <c r="G37" s="128"/>
      <c r="H37" s="45">
        <f>SUM(D37:F37)</f>
        <v>0</v>
      </c>
    </row>
    <row r="38" spans="1:8" x14ac:dyDescent="0.3">
      <c r="A38" s="248"/>
      <c r="B38" s="250"/>
      <c r="C38" s="5" t="s">
        <v>142</v>
      </c>
      <c r="D38" s="15">
        <f t="shared" si="7"/>
        <v>0</v>
      </c>
      <c r="E38" s="15">
        <f t="shared" si="7"/>
        <v>0</v>
      </c>
      <c r="F38" s="15">
        <f t="shared" si="7"/>
        <v>0</v>
      </c>
      <c r="G38" s="22"/>
      <c r="H38" s="103">
        <f t="shared" si="7"/>
        <v>0</v>
      </c>
    </row>
    <row r="39" spans="1:8" x14ac:dyDescent="0.3">
      <c r="A39" s="247" t="s">
        <v>141</v>
      </c>
      <c r="B39" s="249">
        <v>1950</v>
      </c>
      <c r="C39" s="5" t="s">
        <v>140</v>
      </c>
      <c r="D39" s="26">
        <f>Mangochi!D39+Mangochi!E39+Mangochi!F39</f>
        <v>0</v>
      </c>
      <c r="E39" s="26">
        <f>'Monkey Bay'!D39+'Monkey Bay'!E39+'Monkey Bay'!F39</f>
        <v>0</v>
      </c>
      <c r="F39" s="26">
        <f>Namwera!D39+Namwera!E39+Namwera!F39</f>
        <v>0</v>
      </c>
      <c r="G39" s="128"/>
      <c r="H39" s="45">
        <f>SUM(D39:F39)</f>
        <v>0</v>
      </c>
    </row>
    <row r="40" spans="1:8" x14ac:dyDescent="0.3">
      <c r="A40" s="248"/>
      <c r="B40" s="250"/>
      <c r="C40" s="42" t="s">
        <v>139</v>
      </c>
      <c r="D40" s="15">
        <f t="shared" ref="D40:H40" si="8">D39/(D9/1000)</f>
        <v>0</v>
      </c>
      <c r="E40" s="15">
        <f t="shared" si="8"/>
        <v>0</v>
      </c>
      <c r="F40" s="15">
        <f t="shared" si="8"/>
        <v>0</v>
      </c>
      <c r="G40" s="22"/>
      <c r="H40" s="103">
        <f t="shared" si="8"/>
        <v>0</v>
      </c>
    </row>
    <row r="41" spans="1:8" x14ac:dyDescent="0.3">
      <c r="A41" s="237" t="s">
        <v>138</v>
      </c>
      <c r="B41" s="238"/>
      <c r="C41" s="11" t="s">
        <v>31</v>
      </c>
      <c r="D41" s="41">
        <f>(D29*$B29)+(D31*$B31)+(D33*$B33)+(D35*$B35)+(D37*$B37)+(D39*$B39)</f>
        <v>13574600</v>
      </c>
      <c r="E41" s="41">
        <f t="shared" ref="E41:F41" si="9">(E29*$B29)+(E31*$B31)+(E33*$B33)+(E35*$B35)+(E37*$B37)+(E39*$B39)</f>
        <v>3367000</v>
      </c>
      <c r="F41" s="41">
        <f t="shared" si="9"/>
        <v>262700</v>
      </c>
      <c r="G41" s="671"/>
      <c r="H41" s="39">
        <f>SUM(D41:F41)</f>
        <v>17204300</v>
      </c>
    </row>
    <row r="42" spans="1:8" x14ac:dyDescent="0.3">
      <c r="A42" s="258" t="s">
        <v>137</v>
      </c>
      <c r="B42" s="259"/>
      <c r="C42" s="42" t="s">
        <v>115</v>
      </c>
      <c r="D42" s="15">
        <f t="shared" ref="D42:H42" si="10">D41/D9</f>
        <v>34.925233356317342</v>
      </c>
      <c r="E42" s="15">
        <f t="shared" si="10"/>
        <v>18.632165525790082</v>
      </c>
      <c r="F42" s="15">
        <f t="shared" si="10"/>
        <v>16.530329725648127</v>
      </c>
      <c r="G42" s="22"/>
      <c r="H42" s="44">
        <f t="shared" si="10"/>
        <v>29.395141104126765</v>
      </c>
    </row>
    <row r="43" spans="1:8" x14ac:dyDescent="0.3">
      <c r="A43" s="253" t="s">
        <v>136</v>
      </c>
      <c r="B43" s="254"/>
      <c r="C43" s="254"/>
      <c r="D43" s="254"/>
      <c r="E43" s="254"/>
      <c r="F43" s="254"/>
      <c r="G43" s="254"/>
      <c r="H43" s="569"/>
    </row>
    <row r="44" spans="1:8" x14ac:dyDescent="0.3">
      <c r="A44" s="237" t="s">
        <v>135</v>
      </c>
      <c r="B44" s="238"/>
      <c r="C44" s="11" t="s">
        <v>134</v>
      </c>
      <c r="D44" s="26">
        <f>Mangochi!D44+Mangochi!E44+Mangochi!F44</f>
        <v>161872.92000000001</v>
      </c>
      <c r="E44" s="26">
        <f>'Monkey Bay'!D44+'Monkey Bay'!E44+'Monkey Bay'!F44</f>
        <v>80272</v>
      </c>
      <c r="F44" s="26">
        <f>Namwera!D44+Namwera!E44+Namwera!F44</f>
        <v>11318</v>
      </c>
      <c r="G44" s="128"/>
      <c r="H44" s="39">
        <f>SUM(D44:F44)</f>
        <v>253462.92</v>
      </c>
    </row>
    <row r="45" spans="1:8" x14ac:dyDescent="0.3">
      <c r="A45" s="258" t="s">
        <v>133</v>
      </c>
      <c r="B45" s="259"/>
      <c r="C45" s="42" t="s">
        <v>132</v>
      </c>
      <c r="D45" s="15">
        <f t="shared" ref="D45:H45" si="11">D44/D9</f>
        <v>0.41647264045117272</v>
      </c>
      <c r="E45" s="15">
        <f t="shared" si="11"/>
        <v>0.44420587795848576</v>
      </c>
      <c r="F45" s="15">
        <f t="shared" si="11"/>
        <v>0.71218223005285675</v>
      </c>
      <c r="G45" s="22"/>
      <c r="H45" s="103">
        <f t="shared" si="11"/>
        <v>0.43306489064152531</v>
      </c>
    </row>
    <row r="46" spans="1:8" x14ac:dyDescent="0.3">
      <c r="A46" s="256" t="s">
        <v>131</v>
      </c>
      <c r="B46" s="257"/>
      <c r="C46" s="5" t="s">
        <v>31</v>
      </c>
      <c r="D46" s="26">
        <f>Mangochi!D46+Mangochi!E46+Mangochi!F46</f>
        <v>22509389.959379997</v>
      </c>
      <c r="E46" s="26">
        <f>'Monkey Bay'!D46+'Monkey Bay'!E46+'Monkey Bay'!F46</f>
        <v>11187139.908</v>
      </c>
      <c r="F46" s="26">
        <f>Namwera!D46+Namwera!E46+Namwera!F46</f>
        <v>1619668.977</v>
      </c>
      <c r="G46" s="128"/>
      <c r="H46" s="39">
        <f>SUM(D46:F46)</f>
        <v>35316198.844379991</v>
      </c>
    </row>
    <row r="47" spans="1:8" s="2" customFormat="1" x14ac:dyDescent="0.3">
      <c r="A47" s="237" t="s">
        <v>130</v>
      </c>
      <c r="B47" s="238"/>
      <c r="C47" s="11" t="s">
        <v>115</v>
      </c>
      <c r="D47" s="15">
        <f t="shared" ref="D47:H47" si="12">D46/D9</f>
        <v>57.912991693286948</v>
      </c>
      <c r="E47" s="15">
        <f t="shared" si="12"/>
        <v>61.906932737163061</v>
      </c>
      <c r="F47" s="15">
        <f t="shared" si="12"/>
        <v>101.91725251698968</v>
      </c>
      <c r="G47" s="22"/>
      <c r="H47" s="103">
        <f t="shared" si="12"/>
        <v>60.340998953281932</v>
      </c>
    </row>
    <row r="48" spans="1:8" x14ac:dyDescent="0.3">
      <c r="A48" s="253" t="s">
        <v>129</v>
      </c>
      <c r="B48" s="254"/>
      <c r="C48" s="254"/>
      <c r="D48" s="254"/>
      <c r="E48" s="254"/>
      <c r="F48" s="254"/>
      <c r="G48" s="254"/>
      <c r="H48" s="569"/>
    </row>
    <row r="49" spans="1:8" x14ac:dyDescent="0.3">
      <c r="A49" s="237" t="s">
        <v>128</v>
      </c>
      <c r="B49" s="238"/>
      <c r="C49" s="5" t="s">
        <v>127</v>
      </c>
      <c r="D49" s="26">
        <f>Mangochi!D49+Mangochi!E49+Mangochi!F49</f>
        <v>12080</v>
      </c>
      <c r="E49" s="26">
        <f>'Monkey Bay'!D49+'Monkey Bay'!E49+'Monkey Bay'!F49</f>
        <v>4827</v>
      </c>
      <c r="F49" s="26">
        <f>Namwera!D49+Namwera!E49+Namwera!F49</f>
        <v>298</v>
      </c>
      <c r="G49" s="128"/>
      <c r="H49" s="39">
        <f>SUM(D49:F49)</f>
        <v>17205</v>
      </c>
    </row>
    <row r="50" spans="1:8" x14ac:dyDescent="0.3">
      <c r="A50" s="237" t="s">
        <v>187</v>
      </c>
      <c r="B50" s="238"/>
      <c r="C50" s="5" t="s">
        <v>126</v>
      </c>
      <c r="D50" s="26">
        <f>Mangochi!D50+Mangochi!E50+Mangochi!F50</f>
        <v>2801.1000000000004</v>
      </c>
      <c r="E50" s="26">
        <f>'Monkey Bay'!D50+'Monkey Bay'!E50+'Monkey Bay'!F50</f>
        <v>448.8</v>
      </c>
      <c r="F50" s="26">
        <f>Namwera!D50+Namwera!E50+Namwera!F50</f>
        <v>535</v>
      </c>
      <c r="G50" s="128"/>
      <c r="H50" s="39">
        <f>SUM(D50:F50)</f>
        <v>3784.9000000000005</v>
      </c>
    </row>
    <row r="51" spans="1:8" x14ac:dyDescent="0.3">
      <c r="A51" s="256" t="s">
        <v>125</v>
      </c>
      <c r="B51" s="257"/>
      <c r="C51" s="5" t="s">
        <v>31</v>
      </c>
      <c r="D51" s="26">
        <f>Mangochi!D51+Mangochi!E51+Mangochi!F51</f>
        <v>5377920</v>
      </c>
      <c r="E51" s="26">
        <f>'Monkey Bay'!D51+'Monkey Bay'!E51+'Monkey Bay'!F51</f>
        <v>861696</v>
      </c>
      <c r="F51" s="26">
        <f>Namwera!D51+Namwera!E51+Namwera!F51</f>
        <v>1024520</v>
      </c>
      <c r="G51" s="128"/>
      <c r="H51" s="40">
        <f>SUM(D51:F51)</f>
        <v>7264136</v>
      </c>
    </row>
    <row r="52" spans="1:8" x14ac:dyDescent="0.3">
      <c r="A52" s="237" t="s">
        <v>124</v>
      </c>
      <c r="B52" s="238"/>
      <c r="C52" s="5" t="s">
        <v>31</v>
      </c>
      <c r="D52" s="26">
        <f>Mangochi!D52+Mangochi!E52+Mangochi!F52</f>
        <v>0</v>
      </c>
      <c r="E52" s="26">
        <f>'Monkey Bay'!D52+'Monkey Bay'!E52+'Monkey Bay'!F52</f>
        <v>0</v>
      </c>
      <c r="F52" s="26">
        <f>Namwera!D52+Namwera!E52+Namwera!F52</f>
        <v>0</v>
      </c>
      <c r="G52" s="128"/>
      <c r="H52" s="40">
        <f>SUM(D52:F52)</f>
        <v>0</v>
      </c>
    </row>
    <row r="53" spans="1:8" x14ac:dyDescent="0.3">
      <c r="A53" s="253" t="s">
        <v>123</v>
      </c>
      <c r="B53" s="254"/>
      <c r="C53" s="254"/>
      <c r="D53" s="254"/>
      <c r="E53" s="254"/>
      <c r="F53" s="254"/>
      <c r="G53" s="254"/>
      <c r="H53" s="569"/>
    </row>
    <row r="54" spans="1:8" x14ac:dyDescent="0.3">
      <c r="A54" s="237" t="s">
        <v>122</v>
      </c>
      <c r="B54" s="238"/>
      <c r="C54" s="11" t="s">
        <v>18</v>
      </c>
      <c r="D54" s="26">
        <f>Mangochi!D54+Mangochi!E54+Mangochi!F54</f>
        <v>45776594.270000003</v>
      </c>
      <c r="E54" s="26">
        <f>'Monkey Bay'!D54+'Monkey Bay'!E54+'Monkey Bay'!F54</f>
        <v>11230664.789999999</v>
      </c>
      <c r="F54" s="26">
        <f>Namwera!D54+Namwera!E54+Namwera!F54</f>
        <v>6027400.5499999998</v>
      </c>
      <c r="G54" s="128"/>
      <c r="H54" s="39">
        <f>SUM(D54:F54)</f>
        <v>63034659.609999999</v>
      </c>
    </row>
    <row r="55" spans="1:8" x14ac:dyDescent="0.3">
      <c r="A55" s="223" t="s">
        <v>121</v>
      </c>
      <c r="B55" s="224"/>
      <c r="C55" s="11" t="s">
        <v>18</v>
      </c>
      <c r="D55" s="26">
        <f>Mangochi!D55+Mangochi!E55+Mangochi!F55</f>
        <v>5206017.9399999995</v>
      </c>
      <c r="E55" s="26">
        <f>'Monkey Bay'!D55+'Monkey Bay'!E55+'Monkey Bay'!F55</f>
        <v>1729570.08</v>
      </c>
      <c r="F55" s="26">
        <f>Namwera!D55+Namwera!E55+Namwera!F55</f>
        <v>1210638.8999999999</v>
      </c>
      <c r="G55" s="128"/>
      <c r="H55" s="39">
        <f>SUM(D55:F55)</f>
        <v>8146226.9199999999</v>
      </c>
    </row>
    <row r="56" spans="1:8" x14ac:dyDescent="0.3">
      <c r="A56" s="237" t="s">
        <v>120</v>
      </c>
      <c r="B56" s="238"/>
      <c r="C56" s="5" t="s">
        <v>18</v>
      </c>
      <c r="D56" s="26">
        <f>Mangochi!D56+Mangochi!E56+Mangochi!F56</f>
        <v>4564100</v>
      </c>
      <c r="E56" s="26">
        <f>'Monkey Bay'!D56+'Monkey Bay'!E56+'Monkey Bay'!F56</f>
        <v>1277450</v>
      </c>
      <c r="F56" s="26">
        <f>Namwera!D56+Namwera!E56+Namwera!F56</f>
        <v>356800</v>
      </c>
      <c r="G56" s="128"/>
      <c r="H56" s="39">
        <f>SUM(D56:F56)</f>
        <v>6198350</v>
      </c>
    </row>
    <row r="57" spans="1:8" x14ac:dyDescent="0.3">
      <c r="A57" s="253" t="s">
        <v>119</v>
      </c>
      <c r="B57" s="254"/>
      <c r="C57" s="254"/>
      <c r="D57" s="254"/>
      <c r="E57" s="254"/>
      <c r="F57" s="254"/>
      <c r="G57" s="254"/>
      <c r="H57" s="569"/>
    </row>
    <row r="58" spans="1:8" x14ac:dyDescent="0.3">
      <c r="A58" s="256" t="s">
        <v>118</v>
      </c>
      <c r="B58" s="257"/>
      <c r="C58" s="5" t="s">
        <v>18</v>
      </c>
      <c r="D58" s="13">
        <f>D41+D46+D51+D52+D54+D55+D56</f>
        <v>97008622.169380009</v>
      </c>
      <c r="E58" s="13">
        <f t="shared" ref="E58:F58" si="13">E41+E46+E51+E52+E54+E55+E56</f>
        <v>29653520.777999997</v>
      </c>
      <c r="F58" s="13">
        <f t="shared" si="13"/>
        <v>10501728.426999999</v>
      </c>
      <c r="G58" s="672"/>
      <c r="H58" s="64">
        <f>SUM(D58:F58)</f>
        <v>137163871.37437999</v>
      </c>
    </row>
    <row r="59" spans="1:8" x14ac:dyDescent="0.3">
      <c r="A59" s="256" t="s">
        <v>117</v>
      </c>
      <c r="B59" s="257"/>
      <c r="C59" s="5" t="s">
        <v>115</v>
      </c>
      <c r="D59" s="15">
        <f t="shared" ref="D59:H59" si="14">D58/D9</f>
        <v>249.58737398084781</v>
      </c>
      <c r="E59" s="15">
        <f t="shared" si="14"/>
        <v>164.09542844019941</v>
      </c>
      <c r="F59" s="15">
        <f t="shared" si="14"/>
        <v>660.81855191291208</v>
      </c>
      <c r="G59" s="22"/>
      <c r="H59" s="103">
        <f t="shared" si="14"/>
        <v>234.35718706591919</v>
      </c>
    </row>
    <row r="60" spans="1:8" x14ac:dyDescent="0.3">
      <c r="A60" s="256" t="s">
        <v>116</v>
      </c>
      <c r="B60" s="257"/>
      <c r="C60" s="5" t="s">
        <v>115</v>
      </c>
      <c r="D60" s="15">
        <f>D58/D22</f>
        <v>453.26196806319695</v>
      </c>
      <c r="E60" s="15">
        <f t="shared" ref="E60:F60" si="15">E58/E22</f>
        <v>203.5845910460877</v>
      </c>
      <c r="F60" s="15">
        <f t="shared" si="15"/>
        <v>1005.0462653842472</v>
      </c>
      <c r="G60" s="22"/>
      <c r="H60" s="104">
        <f>H58/H22</f>
        <v>370.58366191052693</v>
      </c>
    </row>
    <row r="61" spans="1:8" x14ac:dyDescent="0.3">
      <c r="A61" s="237" t="s">
        <v>114</v>
      </c>
      <c r="B61" s="238"/>
      <c r="C61" s="5" t="s">
        <v>3</v>
      </c>
      <c r="D61" s="26">
        <f>Mangochi!F61</f>
        <v>24</v>
      </c>
      <c r="E61" s="26">
        <f>'Monkey Bay'!F61</f>
        <v>5</v>
      </c>
      <c r="F61" s="26">
        <f>Namwera!F61</f>
        <v>4</v>
      </c>
      <c r="G61" s="128"/>
      <c r="H61" s="39">
        <f>SUM(D61:F61)</f>
        <v>33</v>
      </c>
    </row>
    <row r="62" spans="1:8" ht="15.6" customHeight="1" x14ac:dyDescent="0.3">
      <c r="A62" s="256" t="s">
        <v>113</v>
      </c>
      <c r="B62" s="257"/>
      <c r="C62" s="5" t="s">
        <v>112</v>
      </c>
      <c r="D62" s="15">
        <f t="shared" ref="D62:H62" si="16">(D61*1000*31)/D9</f>
        <v>1.9141907398450122</v>
      </c>
      <c r="E62" s="15">
        <f t="shared" si="16"/>
        <v>0.85773259771234411</v>
      </c>
      <c r="F62" s="15">
        <f t="shared" si="16"/>
        <v>7.8026680090611631</v>
      </c>
      <c r="G62" s="22"/>
      <c r="H62" s="103">
        <f t="shared" si="16"/>
        <v>1.7478903151840923</v>
      </c>
    </row>
    <row r="63" spans="1:8" x14ac:dyDescent="0.3">
      <c r="A63" s="260" t="s">
        <v>111</v>
      </c>
      <c r="B63" s="261"/>
      <c r="C63" s="38" t="s">
        <v>3</v>
      </c>
      <c r="D63" s="26">
        <f>Mangochi!F63</f>
        <v>25</v>
      </c>
      <c r="E63" s="26">
        <f>'Monkey Bay'!F63</f>
        <v>9</v>
      </c>
      <c r="F63" s="26">
        <f>Namwera!F63</f>
        <v>6</v>
      </c>
      <c r="G63" s="128"/>
      <c r="H63" s="39">
        <f>SUM(D63:F63)</f>
        <v>40</v>
      </c>
    </row>
    <row r="64" spans="1:8" x14ac:dyDescent="0.3">
      <c r="A64" s="262"/>
      <c r="B64" s="263"/>
      <c r="C64" s="263"/>
      <c r="D64" s="263"/>
      <c r="E64" s="263"/>
      <c r="F64" s="263"/>
      <c r="G64" s="263"/>
      <c r="H64" s="570"/>
    </row>
    <row r="65" spans="1:8" ht="14.4" customHeight="1" x14ac:dyDescent="0.3">
      <c r="A65" s="253" t="s">
        <v>110</v>
      </c>
      <c r="B65" s="254"/>
      <c r="C65" s="254"/>
      <c r="D65" s="254"/>
      <c r="E65" s="254"/>
      <c r="F65" s="254"/>
      <c r="G65" s="254"/>
      <c r="H65" s="569"/>
    </row>
    <row r="66" spans="1:8" x14ac:dyDescent="0.3">
      <c r="A66" s="229" t="s">
        <v>109</v>
      </c>
      <c r="B66" s="37" t="s">
        <v>85</v>
      </c>
      <c r="C66" s="5" t="s">
        <v>3</v>
      </c>
      <c r="D66" s="26">
        <f>Mangochi!D66</f>
        <v>1052</v>
      </c>
      <c r="E66" s="26">
        <f>'Monkey Bay'!D66</f>
        <v>99</v>
      </c>
      <c r="F66" s="26">
        <f>Namwera!D66</f>
        <v>55</v>
      </c>
      <c r="G66" s="128"/>
      <c r="H66" s="146">
        <f>SUM(D66:F66)</f>
        <v>1206</v>
      </c>
    </row>
    <row r="67" spans="1:8" x14ac:dyDescent="0.3">
      <c r="A67" s="230"/>
      <c r="B67" s="24" t="s">
        <v>104</v>
      </c>
      <c r="C67" s="5" t="s">
        <v>3</v>
      </c>
      <c r="D67" s="26">
        <f>Mangochi!D67+Mangochi!E67+Mangochi!F67</f>
        <v>352</v>
      </c>
      <c r="E67" s="26">
        <f>'Monkey Bay'!D67+'Monkey Bay'!E67+'Monkey Bay'!F67</f>
        <v>41</v>
      </c>
      <c r="F67" s="26">
        <f>Namwera!D67+Namwera!E67+Namwera!F67</f>
        <v>7</v>
      </c>
      <c r="G67" s="128"/>
      <c r="H67" s="146">
        <f>SUM(D67:F67)</f>
        <v>400</v>
      </c>
    </row>
    <row r="68" spans="1:8" ht="27" x14ac:dyDescent="0.3">
      <c r="A68" s="230"/>
      <c r="B68" s="24" t="s">
        <v>103</v>
      </c>
      <c r="C68" s="5" t="s">
        <v>3</v>
      </c>
      <c r="D68" s="26">
        <f>Mangochi!D68+Mangochi!E68+Mangochi!F68</f>
        <v>7</v>
      </c>
      <c r="E68" s="26">
        <f>'Monkey Bay'!D68+'Monkey Bay'!E68+'Monkey Bay'!F68</f>
        <v>0</v>
      </c>
      <c r="F68" s="26">
        <f>Namwera!D68+Namwera!E68+Namwera!F68</f>
        <v>0</v>
      </c>
      <c r="G68" s="128"/>
      <c r="H68" s="146">
        <f>SUM(D68:F68)</f>
        <v>7</v>
      </c>
    </row>
    <row r="69" spans="1:8" s="2" customFormat="1" ht="27" x14ac:dyDescent="0.3">
      <c r="A69" s="230"/>
      <c r="B69" s="24" t="s">
        <v>102</v>
      </c>
      <c r="C69" s="11" t="s">
        <v>3</v>
      </c>
      <c r="D69" s="26">
        <f>Mangochi!D69+Mangochi!E69+Mangochi!F69</f>
        <v>82</v>
      </c>
      <c r="E69" s="26">
        <f>'Monkey Bay'!D69+'Monkey Bay'!E69+'Monkey Bay'!F69</f>
        <v>27</v>
      </c>
      <c r="F69" s="26">
        <f>Namwera!D69+Namwera!E69+Namwera!F69</f>
        <v>18</v>
      </c>
      <c r="G69" s="128"/>
      <c r="H69" s="147">
        <f>SUM(D69:F69)</f>
        <v>127</v>
      </c>
    </row>
    <row r="70" spans="1:8" s="2" customFormat="1" x14ac:dyDescent="0.3">
      <c r="A70" s="230"/>
      <c r="B70" s="24" t="s">
        <v>188</v>
      </c>
      <c r="C70" s="11" t="s">
        <v>3</v>
      </c>
      <c r="D70" s="4">
        <f>D68+D69</f>
        <v>89</v>
      </c>
      <c r="E70" s="4">
        <f t="shared" ref="E70:H70" si="17">E68+E69</f>
        <v>27</v>
      </c>
      <c r="F70" s="4">
        <f t="shared" si="17"/>
        <v>18</v>
      </c>
      <c r="G70" s="673"/>
      <c r="H70" s="148">
        <f t="shared" si="17"/>
        <v>134</v>
      </c>
    </row>
    <row r="71" spans="1:8" x14ac:dyDescent="0.3">
      <c r="A71" s="231"/>
      <c r="B71" s="37" t="s">
        <v>81</v>
      </c>
      <c r="C71" s="5" t="s">
        <v>3</v>
      </c>
      <c r="D71" s="26">
        <f>D66+D67-D70</f>
        <v>1315</v>
      </c>
      <c r="E71" s="26">
        <f t="shared" ref="E71:F71" si="18">E66+E67-E70</f>
        <v>113</v>
      </c>
      <c r="F71" s="26">
        <f t="shared" si="18"/>
        <v>44</v>
      </c>
      <c r="G71" s="128"/>
      <c r="H71" s="149">
        <f>H66+H67-H70</f>
        <v>1472</v>
      </c>
    </row>
    <row r="72" spans="1:8" x14ac:dyDescent="0.3">
      <c r="A72" s="229" t="s">
        <v>108</v>
      </c>
      <c r="B72" s="37" t="s">
        <v>85</v>
      </c>
      <c r="C72" s="5" t="s">
        <v>3</v>
      </c>
      <c r="D72" s="26">
        <f>Mangochi!D72</f>
        <v>8</v>
      </c>
      <c r="E72" s="26">
        <f>'Monkey Bay'!D72</f>
        <v>0</v>
      </c>
      <c r="F72" s="26">
        <f>Namwera!D72</f>
        <v>3</v>
      </c>
      <c r="G72" s="128"/>
      <c r="H72" s="146">
        <f>SUM(D72:F72)</f>
        <v>11</v>
      </c>
    </row>
    <row r="73" spans="1:8" x14ac:dyDescent="0.3">
      <c r="A73" s="230"/>
      <c r="B73" s="24" t="s">
        <v>104</v>
      </c>
      <c r="C73" s="5" t="s">
        <v>3</v>
      </c>
      <c r="D73" s="26">
        <f>Mangochi!D73+Mangochi!E73+Mangochi!F73</f>
        <v>0</v>
      </c>
      <c r="E73" s="26">
        <f>'Monkey Bay'!D73+'Monkey Bay'!E73+'Monkey Bay'!F73</f>
        <v>0</v>
      </c>
      <c r="F73" s="26">
        <f>Namwera!D73+Namwera!E73+Namwera!F73</f>
        <v>0</v>
      </c>
      <c r="G73" s="128"/>
      <c r="H73" s="146">
        <f>SUM(D73:F73)</f>
        <v>0</v>
      </c>
    </row>
    <row r="74" spans="1:8" ht="27" x14ac:dyDescent="0.3">
      <c r="A74" s="230"/>
      <c r="B74" s="24" t="s">
        <v>103</v>
      </c>
      <c r="C74" s="5" t="s">
        <v>3</v>
      </c>
      <c r="D74" s="26">
        <f>Mangochi!D74+Mangochi!E74+Mangochi!F74</f>
        <v>0</v>
      </c>
      <c r="E74" s="26">
        <f>'Monkey Bay'!D74+'Monkey Bay'!E74+'Monkey Bay'!F74</f>
        <v>0</v>
      </c>
      <c r="F74" s="26">
        <f>Namwera!D74+Namwera!E74+Namwera!F74</f>
        <v>0</v>
      </c>
      <c r="G74" s="128"/>
      <c r="H74" s="146">
        <f>SUM(D74:F74)</f>
        <v>0</v>
      </c>
    </row>
    <row r="75" spans="1:8" s="2" customFormat="1" ht="27" x14ac:dyDescent="0.3">
      <c r="A75" s="230"/>
      <c r="B75" s="24" t="s">
        <v>102</v>
      </c>
      <c r="C75" s="11" t="s">
        <v>3</v>
      </c>
      <c r="D75" s="26">
        <f>Mangochi!D75+Mangochi!E75+Mangochi!F75</f>
        <v>0</v>
      </c>
      <c r="E75" s="26">
        <f>'Monkey Bay'!D75+'Monkey Bay'!E75+'Monkey Bay'!F75</f>
        <v>0</v>
      </c>
      <c r="F75" s="26">
        <f>Namwera!D75+Namwera!E75+Namwera!F75</f>
        <v>0</v>
      </c>
      <c r="G75" s="128"/>
      <c r="H75" s="146">
        <f>SUM(D75:F75)</f>
        <v>0</v>
      </c>
    </row>
    <row r="76" spans="1:8" s="2" customFormat="1" x14ac:dyDescent="0.3">
      <c r="A76" s="230"/>
      <c r="B76" s="24" t="s">
        <v>188</v>
      </c>
      <c r="C76" s="11" t="s">
        <v>3</v>
      </c>
      <c r="D76" s="4">
        <f>D74+D75</f>
        <v>0</v>
      </c>
      <c r="E76" s="4">
        <f t="shared" ref="E76:H76" si="19">E74+E75</f>
        <v>0</v>
      </c>
      <c r="F76" s="4">
        <f t="shared" si="19"/>
        <v>0</v>
      </c>
      <c r="G76" s="673"/>
      <c r="H76" s="148">
        <f t="shared" si="19"/>
        <v>0</v>
      </c>
    </row>
    <row r="77" spans="1:8" x14ac:dyDescent="0.3">
      <c r="A77" s="231"/>
      <c r="B77" s="37" t="s">
        <v>81</v>
      </c>
      <c r="C77" s="5" t="s">
        <v>3</v>
      </c>
      <c r="D77" s="26">
        <f>D73+D74-D76</f>
        <v>0</v>
      </c>
      <c r="E77" s="26">
        <f t="shared" ref="E77:H77" si="20">E73+E74-E76</f>
        <v>0</v>
      </c>
      <c r="F77" s="26">
        <f t="shared" si="20"/>
        <v>0</v>
      </c>
      <c r="G77" s="128"/>
      <c r="H77" s="149">
        <f t="shared" si="20"/>
        <v>0</v>
      </c>
    </row>
    <row r="78" spans="1:8" ht="15.6" customHeight="1" x14ac:dyDescent="0.3">
      <c r="A78" s="229" t="s">
        <v>107</v>
      </c>
      <c r="B78" s="37" t="s">
        <v>85</v>
      </c>
      <c r="C78" s="5" t="s">
        <v>3</v>
      </c>
      <c r="D78" s="26">
        <f>Mangochi!D78</f>
        <v>9</v>
      </c>
      <c r="E78" s="26">
        <f>'Monkey Bay'!D78</f>
        <v>2</v>
      </c>
      <c r="F78" s="26">
        <f>Namwera!D78</f>
        <v>0</v>
      </c>
      <c r="G78" s="128"/>
      <c r="H78" s="146">
        <f>SUM(D78:F78)</f>
        <v>11</v>
      </c>
    </row>
    <row r="79" spans="1:8" x14ac:dyDescent="0.3">
      <c r="A79" s="230"/>
      <c r="B79" s="24" t="s">
        <v>104</v>
      </c>
      <c r="C79" s="5" t="s">
        <v>3</v>
      </c>
      <c r="D79" s="26">
        <f>Mangochi!D79+Mangochi!E79+Mangochi!F79</f>
        <v>0</v>
      </c>
      <c r="E79" s="26">
        <f>'Monkey Bay'!D79+'Monkey Bay'!E79+'Monkey Bay'!F79</f>
        <v>2</v>
      </c>
      <c r="F79" s="26">
        <f>Namwera!D79+Namwera!E79+Namwera!F79</f>
        <v>0</v>
      </c>
      <c r="G79" s="128"/>
      <c r="H79" s="146">
        <f>SUM(D79:F79)</f>
        <v>2</v>
      </c>
    </row>
    <row r="80" spans="1:8" ht="27" x14ac:dyDescent="0.3">
      <c r="A80" s="230"/>
      <c r="B80" s="24" t="s">
        <v>103</v>
      </c>
      <c r="C80" s="5" t="s">
        <v>3</v>
      </c>
      <c r="D80" s="26">
        <f>Mangochi!D80+Mangochi!E80+Mangochi!F80</f>
        <v>0</v>
      </c>
      <c r="E80" s="26">
        <f>'Monkey Bay'!D80+'Monkey Bay'!E80+'Monkey Bay'!F80</f>
        <v>0</v>
      </c>
      <c r="F80" s="26">
        <f>Namwera!D80+Namwera!E80+Namwera!F80</f>
        <v>0</v>
      </c>
      <c r="G80" s="128"/>
      <c r="H80" s="146">
        <f>SUM(D80:F80)</f>
        <v>0</v>
      </c>
    </row>
    <row r="81" spans="1:8" s="2" customFormat="1" ht="27" x14ac:dyDescent="0.3">
      <c r="A81" s="230"/>
      <c r="B81" s="24" t="s">
        <v>102</v>
      </c>
      <c r="C81" s="11" t="s">
        <v>3</v>
      </c>
      <c r="D81" s="26">
        <f>Mangochi!D81+Mangochi!E81+Mangochi!F81</f>
        <v>0</v>
      </c>
      <c r="E81" s="26">
        <f>'Monkey Bay'!D81+'Monkey Bay'!E81+'Monkey Bay'!F81</f>
        <v>4</v>
      </c>
      <c r="F81" s="26">
        <f>Namwera!D81+Namwera!E81+Namwera!F81</f>
        <v>0</v>
      </c>
      <c r="G81" s="128"/>
      <c r="H81" s="147">
        <f>SUM(D81:F81)</f>
        <v>4</v>
      </c>
    </row>
    <row r="82" spans="1:8" s="2" customFormat="1" x14ac:dyDescent="0.3">
      <c r="A82" s="230"/>
      <c r="B82" s="24" t="s">
        <v>188</v>
      </c>
      <c r="C82" s="11" t="s">
        <v>3</v>
      </c>
      <c r="D82" s="4">
        <f>D81+D80</f>
        <v>0</v>
      </c>
      <c r="E82" s="4">
        <f t="shared" ref="E82:H82" si="21">E81+E80</f>
        <v>4</v>
      </c>
      <c r="F82" s="4">
        <f t="shared" si="21"/>
        <v>0</v>
      </c>
      <c r="G82" s="673"/>
      <c r="H82" s="148">
        <f t="shared" si="21"/>
        <v>4</v>
      </c>
    </row>
    <row r="83" spans="1:8" x14ac:dyDescent="0.3">
      <c r="A83" s="231"/>
      <c r="B83" s="37" t="s">
        <v>81</v>
      </c>
      <c r="C83" s="5" t="s">
        <v>3</v>
      </c>
      <c r="D83" s="26">
        <f>D78+D79-D82</f>
        <v>9</v>
      </c>
      <c r="E83" s="26">
        <f t="shared" ref="E83:H83" si="22">E78+E79-E82</f>
        <v>0</v>
      </c>
      <c r="F83" s="26">
        <f t="shared" si="22"/>
        <v>0</v>
      </c>
      <c r="G83" s="128"/>
      <c r="H83" s="149">
        <f t="shared" si="22"/>
        <v>9</v>
      </c>
    </row>
    <row r="84" spans="1:8" x14ac:dyDescent="0.3">
      <c r="A84" s="267" t="s">
        <v>106</v>
      </c>
      <c r="B84" s="37" t="s">
        <v>85</v>
      </c>
      <c r="C84" s="5" t="s">
        <v>3</v>
      </c>
      <c r="D84" s="26">
        <f>Mangochi!D84</f>
        <v>0</v>
      </c>
      <c r="E84" s="26">
        <f>'Monkey Bay'!D84</f>
        <v>0</v>
      </c>
      <c r="F84" s="26">
        <f>Namwera!D84</f>
        <v>0</v>
      </c>
      <c r="G84" s="128"/>
      <c r="H84" s="146">
        <f>SUM(D84:F84)</f>
        <v>0</v>
      </c>
    </row>
    <row r="85" spans="1:8" x14ac:dyDescent="0.3">
      <c r="A85" s="268"/>
      <c r="B85" s="37" t="s">
        <v>104</v>
      </c>
      <c r="C85" s="5" t="s">
        <v>3</v>
      </c>
      <c r="D85" s="26">
        <f>Mangochi!D85+Mangochi!E85+Mangochi!F85</f>
        <v>0</v>
      </c>
      <c r="E85" s="26">
        <f>'Monkey Bay'!D85+'Monkey Bay'!E85+'Monkey Bay'!F85</f>
        <v>0</v>
      </c>
      <c r="F85" s="26">
        <f>Namwera!D85+Namwera!E85+Namwera!F85</f>
        <v>0</v>
      </c>
      <c r="G85" s="128"/>
      <c r="H85" s="146">
        <f>SUM(D85:F85)</f>
        <v>0</v>
      </c>
    </row>
    <row r="86" spans="1:8" ht="27" x14ac:dyDescent="0.3">
      <c r="A86" s="268"/>
      <c r="B86" s="37" t="s">
        <v>103</v>
      </c>
      <c r="C86" s="5" t="s">
        <v>3</v>
      </c>
      <c r="D86" s="26">
        <f>Mangochi!D86+Mangochi!E86+Mangochi!F86</f>
        <v>0</v>
      </c>
      <c r="E86" s="26">
        <f>'Monkey Bay'!D86+'Monkey Bay'!E86+'Monkey Bay'!F86</f>
        <v>0</v>
      </c>
      <c r="F86" s="26">
        <f>Namwera!D86+Namwera!E86+Namwera!F86</f>
        <v>0</v>
      </c>
      <c r="G86" s="128"/>
      <c r="H86" s="146">
        <f>SUM(D86:F86)</f>
        <v>0</v>
      </c>
    </row>
    <row r="87" spans="1:8" s="2" customFormat="1" ht="27" x14ac:dyDescent="0.3">
      <c r="A87" s="268"/>
      <c r="B87" s="24" t="s">
        <v>102</v>
      </c>
      <c r="C87" s="11" t="s">
        <v>3</v>
      </c>
      <c r="D87" s="26">
        <f>Mangochi!D87+Mangochi!E87+Mangochi!F87</f>
        <v>0</v>
      </c>
      <c r="E87" s="26">
        <f>'Monkey Bay'!D87+'Monkey Bay'!E87+'Monkey Bay'!F87</f>
        <v>0</v>
      </c>
      <c r="F87" s="26">
        <f>Namwera!D87+Namwera!E87+Namwera!F87</f>
        <v>0</v>
      </c>
      <c r="G87" s="128"/>
      <c r="H87" s="147">
        <f>SUM(D87:F87)</f>
        <v>0</v>
      </c>
    </row>
    <row r="88" spans="1:8" s="2" customFormat="1" x14ac:dyDescent="0.3">
      <c r="A88" s="268"/>
      <c r="B88" s="24" t="s">
        <v>188</v>
      </c>
      <c r="C88" s="11" t="s">
        <v>3</v>
      </c>
      <c r="D88" s="4">
        <f>D87+D86</f>
        <v>0</v>
      </c>
      <c r="E88" s="4">
        <f t="shared" ref="E88:F88" si="23">E87+E86</f>
        <v>0</v>
      </c>
      <c r="F88" s="4">
        <f t="shared" si="23"/>
        <v>0</v>
      </c>
      <c r="G88" s="673"/>
      <c r="H88" s="147">
        <f>SUM(D88:F88)</f>
        <v>0</v>
      </c>
    </row>
    <row r="89" spans="1:8" x14ac:dyDescent="0.3">
      <c r="A89" s="269"/>
      <c r="B89" s="36" t="s">
        <v>81</v>
      </c>
      <c r="C89" s="5" t="s">
        <v>3</v>
      </c>
      <c r="D89" s="26">
        <f>D84+D85-D88</f>
        <v>0</v>
      </c>
      <c r="E89" s="26">
        <f t="shared" ref="E89:F89" si="24">E84+E85-E88</f>
        <v>0</v>
      </c>
      <c r="F89" s="26">
        <f t="shared" si="24"/>
        <v>0</v>
      </c>
      <c r="G89" s="128"/>
      <c r="H89" s="149">
        <f t="shared" ref="H89" si="25">H84+H85-H86-H87</f>
        <v>0</v>
      </c>
    </row>
    <row r="90" spans="1:8" x14ac:dyDescent="0.3">
      <c r="A90" s="270" t="s">
        <v>105</v>
      </c>
      <c r="B90" s="24" t="s">
        <v>85</v>
      </c>
      <c r="C90" s="11" t="s">
        <v>3</v>
      </c>
      <c r="D90" s="136">
        <f>D66+D72+D78+D84</f>
        <v>1069</v>
      </c>
      <c r="E90" s="136">
        <f t="shared" ref="E90:F90" si="26">E66+E72+E78+E84</f>
        <v>101</v>
      </c>
      <c r="F90" s="136">
        <f t="shared" si="26"/>
        <v>58</v>
      </c>
      <c r="G90" s="674"/>
      <c r="H90" s="146">
        <f>SUM(D90:F90)</f>
        <v>1228</v>
      </c>
    </row>
    <row r="91" spans="1:8" x14ac:dyDescent="0.3">
      <c r="A91" s="271"/>
      <c r="B91" s="24" t="s">
        <v>104</v>
      </c>
      <c r="C91" s="11" t="s">
        <v>3</v>
      </c>
      <c r="D91" s="136">
        <f t="shared" ref="D91:F93" si="27">D67+D73+D79+D85</f>
        <v>352</v>
      </c>
      <c r="E91" s="136">
        <f t="shared" si="27"/>
        <v>43</v>
      </c>
      <c r="F91" s="136">
        <f t="shared" si="27"/>
        <v>7</v>
      </c>
      <c r="G91" s="674"/>
      <c r="H91" s="146">
        <f>SUM(D91:F91)</f>
        <v>402</v>
      </c>
    </row>
    <row r="92" spans="1:8" ht="27" x14ac:dyDescent="0.3">
      <c r="A92" s="271"/>
      <c r="B92" s="24" t="s">
        <v>103</v>
      </c>
      <c r="C92" s="11" t="s">
        <v>3</v>
      </c>
      <c r="D92" s="136">
        <f t="shared" si="27"/>
        <v>7</v>
      </c>
      <c r="E92" s="136">
        <f t="shared" si="27"/>
        <v>0</v>
      </c>
      <c r="F92" s="136">
        <f t="shared" si="27"/>
        <v>0</v>
      </c>
      <c r="G92" s="674"/>
      <c r="H92" s="146">
        <f>SUM(D92:F92)</f>
        <v>7</v>
      </c>
    </row>
    <row r="93" spans="1:8" s="2" customFormat="1" ht="27" x14ac:dyDescent="0.3">
      <c r="A93" s="271"/>
      <c r="B93" s="24" t="s">
        <v>102</v>
      </c>
      <c r="C93" s="11"/>
      <c r="D93" s="136">
        <f t="shared" si="27"/>
        <v>82</v>
      </c>
      <c r="E93" s="136">
        <f t="shared" si="27"/>
        <v>31</v>
      </c>
      <c r="F93" s="136">
        <f t="shared" si="27"/>
        <v>18</v>
      </c>
      <c r="G93" s="674"/>
      <c r="H93" s="146">
        <f>SUM(D93:F93)</f>
        <v>131</v>
      </c>
    </row>
    <row r="94" spans="1:8" s="2" customFormat="1" x14ac:dyDescent="0.3">
      <c r="A94" s="271"/>
      <c r="B94" s="24" t="s">
        <v>188</v>
      </c>
      <c r="C94" s="11" t="s">
        <v>3</v>
      </c>
      <c r="D94" s="137">
        <f>D93+D92</f>
        <v>89</v>
      </c>
      <c r="E94" s="137">
        <f t="shared" ref="E94:F94" si="28">E93+E92</f>
        <v>31</v>
      </c>
      <c r="F94" s="137">
        <f t="shared" si="28"/>
        <v>18</v>
      </c>
      <c r="G94" s="675"/>
      <c r="H94" s="150">
        <f t="shared" ref="H94" si="29">H93+H92</f>
        <v>138</v>
      </c>
    </row>
    <row r="95" spans="1:8" ht="16.2" thickBot="1" x14ac:dyDescent="0.35">
      <c r="A95" s="272"/>
      <c r="B95" s="24" t="s">
        <v>81</v>
      </c>
      <c r="C95" s="11" t="s">
        <v>3</v>
      </c>
      <c r="D95" s="138">
        <f>D90+D91-D94</f>
        <v>1332</v>
      </c>
      <c r="E95" s="138">
        <f t="shared" ref="E95:F95" si="30">E90+E91-E94</f>
        <v>113</v>
      </c>
      <c r="F95" s="138">
        <f t="shared" si="30"/>
        <v>47</v>
      </c>
      <c r="G95" s="676"/>
      <c r="H95" s="151">
        <f t="shared" ref="H95" si="31">H90+H91-H94</f>
        <v>1492</v>
      </c>
    </row>
    <row r="96" spans="1:8" ht="16.2" customHeight="1" thickBot="1" x14ac:dyDescent="0.35">
      <c r="A96" s="276"/>
      <c r="B96" s="277"/>
      <c r="C96" s="277"/>
      <c r="D96" s="277"/>
      <c r="E96" s="277"/>
      <c r="F96" s="277"/>
      <c r="G96" s="277"/>
      <c r="H96" s="571"/>
    </row>
    <row r="97" spans="1:8" s="2" customFormat="1" ht="15.75" customHeight="1" thickBot="1" x14ac:dyDescent="0.35">
      <c r="A97" s="273" t="s">
        <v>189</v>
      </c>
      <c r="B97" s="274"/>
      <c r="C97" s="274"/>
      <c r="D97" s="274"/>
      <c r="E97" s="274"/>
      <c r="F97" s="274"/>
      <c r="G97" s="274"/>
      <c r="H97" s="572"/>
    </row>
    <row r="98" spans="1:8" x14ac:dyDescent="0.3">
      <c r="A98" s="88" t="s">
        <v>190</v>
      </c>
      <c r="B98" s="69"/>
      <c r="C98" s="11" t="s">
        <v>3</v>
      </c>
      <c r="D98" s="26">
        <f>Mangochi!D98+Mangochi!E98+Mangochi!F98</f>
        <v>84</v>
      </c>
      <c r="E98" s="26">
        <f>'Monkey Bay'!D98+'Monkey Bay'!E98+'Monkey Bay'!F98</f>
        <v>31</v>
      </c>
      <c r="F98" s="26">
        <f>Namwera!D98+Namwera!E98+Namwera!F98</f>
        <v>18</v>
      </c>
      <c r="G98" s="677"/>
      <c r="H98" s="108">
        <f>SUM(D98:F98)</f>
        <v>133</v>
      </c>
    </row>
    <row r="99" spans="1:8" x14ac:dyDescent="0.3">
      <c r="A99" s="88"/>
      <c r="B99" s="24"/>
      <c r="C99" s="11"/>
      <c r="D99" s="65"/>
      <c r="E99" s="65"/>
      <c r="F99" s="65"/>
      <c r="G99" s="66"/>
      <c r="H99" s="107"/>
    </row>
    <row r="100" spans="1:8" s="2" customFormat="1" x14ac:dyDescent="0.3">
      <c r="A100" s="278" t="s">
        <v>101</v>
      </c>
      <c r="B100" s="279"/>
      <c r="C100" s="279"/>
      <c r="D100" s="279"/>
      <c r="E100" s="279"/>
      <c r="F100" s="279"/>
      <c r="G100" s="279"/>
      <c r="H100" s="573"/>
    </row>
    <row r="101" spans="1:8" x14ac:dyDescent="0.3">
      <c r="A101" s="237" t="s">
        <v>100</v>
      </c>
      <c r="B101" s="238"/>
      <c r="C101" s="11" t="s">
        <v>3</v>
      </c>
      <c r="D101" s="26">
        <f>Mangochi!F101</f>
        <v>1855</v>
      </c>
      <c r="E101" s="26">
        <f>'Monkey Bay'!F101</f>
        <v>425</v>
      </c>
      <c r="F101" s="26">
        <f>Namwera!F101</f>
        <v>220</v>
      </c>
      <c r="G101" s="128"/>
      <c r="H101" s="55">
        <f>SUM(D101:F101)</f>
        <v>2500</v>
      </c>
    </row>
    <row r="102" spans="1:8" x14ac:dyDescent="0.3">
      <c r="A102" s="237" t="s">
        <v>99</v>
      </c>
      <c r="B102" s="238"/>
      <c r="C102" s="11" t="s">
        <v>3</v>
      </c>
      <c r="D102" s="26">
        <f>Mangochi!F102</f>
        <v>4</v>
      </c>
      <c r="E102" s="26">
        <f>'Monkey Bay'!F102</f>
        <v>0</v>
      </c>
      <c r="F102" s="26">
        <f>Namwera!F102</f>
        <v>7</v>
      </c>
      <c r="G102" s="128"/>
      <c r="H102" s="55">
        <f>SUM(D102:F102)</f>
        <v>11</v>
      </c>
    </row>
    <row r="103" spans="1:8" ht="15.6" customHeight="1" x14ac:dyDescent="0.3">
      <c r="A103" s="243" t="s">
        <v>98</v>
      </c>
      <c r="B103" s="244"/>
      <c r="C103" s="11" t="s">
        <v>3</v>
      </c>
      <c r="D103" s="26">
        <f>Mangochi!F103</f>
        <v>141</v>
      </c>
      <c r="E103" s="26">
        <f>'Monkey Bay'!F103</f>
        <v>0</v>
      </c>
      <c r="F103" s="26">
        <f>Namwera!F103</f>
        <v>2</v>
      </c>
      <c r="G103" s="128"/>
      <c r="H103" s="55">
        <f>SUM(D103:F103)</f>
        <v>143</v>
      </c>
    </row>
    <row r="104" spans="1:8" x14ac:dyDescent="0.3">
      <c r="A104" s="243" t="s">
        <v>97</v>
      </c>
      <c r="B104" s="244"/>
      <c r="C104" s="11" t="s">
        <v>3</v>
      </c>
      <c r="D104" s="26">
        <f>Mangochi!F104</f>
        <v>18</v>
      </c>
      <c r="E104" s="26">
        <f>'Monkey Bay'!F104</f>
        <v>0</v>
      </c>
      <c r="F104" s="26">
        <f>Namwera!F104</f>
        <v>5</v>
      </c>
      <c r="G104" s="128"/>
      <c r="H104" s="55">
        <f>SUM(D104:F104)</f>
        <v>23</v>
      </c>
    </row>
    <row r="105" spans="1:8" x14ac:dyDescent="0.3">
      <c r="A105" s="265" t="s">
        <v>96</v>
      </c>
      <c r="B105" s="266"/>
      <c r="C105" s="11" t="s">
        <v>3</v>
      </c>
      <c r="D105" s="33">
        <f>SUM(D101:D104)</f>
        <v>2018</v>
      </c>
      <c r="E105" s="33">
        <f t="shared" ref="E105:F105" si="32">SUM(E101:E104)</f>
        <v>425</v>
      </c>
      <c r="F105" s="33">
        <f t="shared" si="32"/>
        <v>234</v>
      </c>
      <c r="G105" s="33"/>
      <c r="H105" s="55">
        <f>SUM(D105:F105)</f>
        <v>2677</v>
      </c>
    </row>
    <row r="106" spans="1:8" s="2" customFormat="1" ht="15.6" customHeight="1" x14ac:dyDescent="0.3">
      <c r="A106" s="297" t="s">
        <v>210</v>
      </c>
      <c r="B106" s="298"/>
      <c r="C106" s="298"/>
      <c r="D106" s="298"/>
      <c r="E106" s="298"/>
      <c r="F106" s="298"/>
      <c r="G106" s="298"/>
      <c r="H106" s="574"/>
    </row>
    <row r="107" spans="1:8" x14ac:dyDescent="0.3">
      <c r="A107" s="237" t="s">
        <v>193</v>
      </c>
      <c r="B107" s="238"/>
      <c r="C107" s="11" t="s">
        <v>3</v>
      </c>
      <c r="D107" s="26">
        <f>Mangochi!F107</f>
        <v>4761</v>
      </c>
      <c r="E107" s="26">
        <f>'Monkey Bay'!F107</f>
        <v>1384</v>
      </c>
      <c r="F107" s="26">
        <f>Namwera!F107</f>
        <v>242</v>
      </c>
      <c r="G107" s="128"/>
      <c r="H107" s="55">
        <f>SUM(D107:F107)</f>
        <v>6387</v>
      </c>
    </row>
    <row r="108" spans="1:8" x14ac:dyDescent="0.3">
      <c r="A108" s="237" t="s">
        <v>194</v>
      </c>
      <c r="B108" s="238"/>
      <c r="C108" s="11" t="s">
        <v>3</v>
      </c>
      <c r="D108" s="26">
        <f>Mangochi!F108</f>
        <v>8</v>
      </c>
      <c r="E108" s="26">
        <f>'Monkey Bay'!F108</f>
        <v>19</v>
      </c>
      <c r="F108" s="26">
        <f>Namwera!F108</f>
        <v>1</v>
      </c>
      <c r="G108" s="128"/>
      <c r="H108" s="55">
        <f>SUM(D108:F108)</f>
        <v>28</v>
      </c>
    </row>
    <row r="109" spans="1:8" x14ac:dyDescent="0.3">
      <c r="A109" s="237" t="s">
        <v>195</v>
      </c>
      <c r="B109" s="238"/>
      <c r="C109" s="11" t="s">
        <v>3</v>
      </c>
      <c r="D109" s="26">
        <f>Mangochi!F109</f>
        <v>6</v>
      </c>
      <c r="E109" s="26">
        <f>'Monkey Bay'!F109</f>
        <v>10</v>
      </c>
      <c r="F109" s="26">
        <f>Namwera!F109</f>
        <v>0</v>
      </c>
      <c r="G109" s="128"/>
      <c r="H109" s="55">
        <f>SUM(D109:F109)</f>
        <v>16</v>
      </c>
    </row>
    <row r="110" spans="1:8" x14ac:dyDescent="0.3">
      <c r="A110" s="237" t="s">
        <v>196</v>
      </c>
      <c r="B110" s="238"/>
      <c r="C110" s="11" t="s">
        <v>3</v>
      </c>
      <c r="D110" s="26">
        <f>Mangochi!F110</f>
        <v>0</v>
      </c>
      <c r="E110" s="26">
        <f>'Monkey Bay'!F110</f>
        <v>0</v>
      </c>
      <c r="F110" s="26">
        <f>Namwera!F110</f>
        <v>0</v>
      </c>
      <c r="G110" s="128"/>
      <c r="H110" s="55">
        <f>SUM(D110:F110)</f>
        <v>0</v>
      </c>
    </row>
    <row r="111" spans="1:8" x14ac:dyDescent="0.3">
      <c r="A111" s="239" t="s">
        <v>95</v>
      </c>
      <c r="B111" s="240"/>
      <c r="C111" s="11" t="s">
        <v>3</v>
      </c>
      <c r="D111" s="33">
        <f>SUM(D107:D110)</f>
        <v>4775</v>
      </c>
      <c r="E111" s="33">
        <f t="shared" ref="E111:F111" si="33">SUM(E107:E110)</f>
        <v>1413</v>
      </c>
      <c r="F111" s="33">
        <f t="shared" si="33"/>
        <v>243</v>
      </c>
      <c r="G111" s="33"/>
      <c r="H111" s="55">
        <f>SUM(D111:F111)</f>
        <v>6431</v>
      </c>
    </row>
    <row r="112" spans="1:8" s="2" customFormat="1" ht="15.6" customHeight="1" x14ac:dyDescent="0.3">
      <c r="A112" s="278" t="s">
        <v>210</v>
      </c>
      <c r="B112" s="279"/>
      <c r="C112" s="279"/>
      <c r="D112" s="279"/>
      <c r="E112" s="279"/>
      <c r="F112" s="279"/>
      <c r="G112" s="279"/>
      <c r="H112" s="573"/>
    </row>
    <row r="113" spans="1:8" x14ac:dyDescent="0.3">
      <c r="A113" s="237" t="s">
        <v>197</v>
      </c>
      <c r="B113" s="238"/>
      <c r="C113" s="11" t="s">
        <v>3</v>
      </c>
      <c r="D113" s="26">
        <f>Mangochi!F113</f>
        <v>1027</v>
      </c>
      <c r="E113" s="26">
        <f>'Monkey Bay'!F113</f>
        <v>541</v>
      </c>
      <c r="F113" s="26">
        <f>Namwera!F113</f>
        <v>260</v>
      </c>
      <c r="G113" s="128"/>
      <c r="H113" s="55">
        <f t="shared" ref="H113:H119" si="34">SUM(D113:F113)</f>
        <v>1828</v>
      </c>
    </row>
    <row r="114" spans="1:8" x14ac:dyDescent="0.3">
      <c r="A114" s="237" t="s">
        <v>198</v>
      </c>
      <c r="B114" s="238"/>
      <c r="C114" s="11" t="s">
        <v>3</v>
      </c>
      <c r="D114" s="26">
        <f>Mangochi!F114</f>
        <v>0</v>
      </c>
      <c r="E114" s="26">
        <f>'Monkey Bay'!F114</f>
        <v>0</v>
      </c>
      <c r="F114" s="26">
        <f>Namwera!F114</f>
        <v>0</v>
      </c>
      <c r="G114" s="128"/>
      <c r="H114" s="55">
        <f t="shared" si="34"/>
        <v>0</v>
      </c>
    </row>
    <row r="115" spans="1:8" x14ac:dyDescent="0.3">
      <c r="A115" s="237" t="s">
        <v>199</v>
      </c>
      <c r="B115" s="238"/>
      <c r="C115" s="11" t="s">
        <v>3</v>
      </c>
      <c r="D115" s="26">
        <f>Mangochi!F115</f>
        <v>0</v>
      </c>
      <c r="E115" s="26">
        <f>'Monkey Bay'!F115</f>
        <v>0</v>
      </c>
      <c r="F115" s="26">
        <f>Namwera!F115</f>
        <v>0</v>
      </c>
      <c r="G115" s="128"/>
      <c r="H115" s="55">
        <f t="shared" si="34"/>
        <v>0</v>
      </c>
    </row>
    <row r="116" spans="1:8" x14ac:dyDescent="0.3">
      <c r="A116" s="237" t="s">
        <v>200</v>
      </c>
      <c r="B116" s="238"/>
      <c r="C116" s="11" t="s">
        <v>3</v>
      </c>
      <c r="D116" s="26">
        <f>Mangochi!F116</f>
        <v>0</v>
      </c>
      <c r="E116" s="26">
        <f>'Monkey Bay'!F116</f>
        <v>0</v>
      </c>
      <c r="F116" s="26">
        <f>Namwera!F116</f>
        <v>0</v>
      </c>
      <c r="G116" s="128"/>
      <c r="H116" s="55">
        <f t="shared" si="34"/>
        <v>0</v>
      </c>
    </row>
    <row r="117" spans="1:8" x14ac:dyDescent="0.3">
      <c r="A117" s="239" t="s">
        <v>94</v>
      </c>
      <c r="B117" s="240"/>
      <c r="C117" s="11" t="s">
        <v>3</v>
      </c>
      <c r="D117" s="33">
        <f>SUM(D113:D116)</f>
        <v>1027</v>
      </c>
      <c r="E117" s="33">
        <f t="shared" ref="E117:F117" si="35">SUM(E113:E116)</f>
        <v>541</v>
      </c>
      <c r="F117" s="33">
        <f t="shared" si="35"/>
        <v>260</v>
      </c>
      <c r="G117" s="33"/>
      <c r="H117" s="55">
        <f t="shared" si="34"/>
        <v>1828</v>
      </c>
    </row>
    <row r="118" spans="1:8" s="2" customFormat="1" x14ac:dyDescent="0.3">
      <c r="A118" s="225" t="s">
        <v>191</v>
      </c>
      <c r="B118" s="226"/>
      <c r="C118" s="11" t="s">
        <v>3</v>
      </c>
      <c r="D118" s="33">
        <f>D117+D111</f>
        <v>5802</v>
      </c>
      <c r="E118" s="33">
        <f t="shared" ref="E118:F118" si="36">E117+E111</f>
        <v>1954</v>
      </c>
      <c r="F118" s="33">
        <f t="shared" si="36"/>
        <v>503</v>
      </c>
      <c r="G118" s="33"/>
      <c r="H118" s="55">
        <f t="shared" si="34"/>
        <v>8259</v>
      </c>
    </row>
    <row r="119" spans="1:8" x14ac:dyDescent="0.3">
      <c r="A119" s="239" t="s">
        <v>192</v>
      </c>
      <c r="B119" s="240"/>
      <c r="C119" s="11" t="s">
        <v>3</v>
      </c>
      <c r="D119" s="33">
        <f>D118+D105</f>
        <v>7820</v>
      </c>
      <c r="E119" s="33">
        <f t="shared" ref="E119:F119" si="37">E118+E105</f>
        <v>2379</v>
      </c>
      <c r="F119" s="33">
        <f t="shared" si="37"/>
        <v>737</v>
      </c>
      <c r="G119" s="33"/>
      <c r="H119" s="55">
        <f t="shared" si="34"/>
        <v>10936</v>
      </c>
    </row>
    <row r="120" spans="1:8" x14ac:dyDescent="0.3">
      <c r="A120" s="282" t="s">
        <v>201</v>
      </c>
      <c r="B120" s="283"/>
      <c r="C120" s="283"/>
      <c r="D120" s="283"/>
      <c r="E120" s="283"/>
      <c r="F120" s="283"/>
      <c r="G120" s="283"/>
      <c r="H120" s="567"/>
    </row>
    <row r="121" spans="1:8" x14ac:dyDescent="0.3">
      <c r="A121" s="237" t="s">
        <v>93</v>
      </c>
      <c r="B121" s="238"/>
      <c r="C121" s="5" t="s">
        <v>3</v>
      </c>
      <c r="D121" s="26">
        <f>Mangochi!F121</f>
        <v>50556</v>
      </c>
      <c r="E121" s="26">
        <f>'Monkey Bay'!F121</f>
        <v>20593</v>
      </c>
      <c r="F121" s="26">
        <f>Namwera!F121</f>
        <v>8993</v>
      </c>
      <c r="G121" s="128"/>
      <c r="H121" s="55">
        <f>SUM(D121:F121)</f>
        <v>80142</v>
      </c>
    </row>
    <row r="122" spans="1:8" x14ac:dyDescent="0.3">
      <c r="A122" s="237" t="s">
        <v>92</v>
      </c>
      <c r="B122" s="238"/>
      <c r="C122" s="5" t="s">
        <v>3</v>
      </c>
      <c r="D122" s="26">
        <f>Mangochi!F122</f>
        <v>47139</v>
      </c>
      <c r="E122" s="26">
        <f>'Monkey Bay'!F122</f>
        <v>17442</v>
      </c>
      <c r="F122" s="26">
        <f>Namwera!F122</f>
        <v>6456</v>
      </c>
      <c r="G122" s="128"/>
      <c r="H122" s="55">
        <f>SUM(D122:F122)</f>
        <v>71037</v>
      </c>
    </row>
    <row r="123" spans="1:8" x14ac:dyDescent="0.3">
      <c r="A123" s="285" t="s">
        <v>91</v>
      </c>
      <c r="B123" s="286"/>
      <c r="C123" s="30" t="s">
        <v>6</v>
      </c>
      <c r="D123" s="29">
        <f t="shared" ref="D123:H123" si="38">D122/D121</f>
        <v>0.93241158319487305</v>
      </c>
      <c r="E123" s="29">
        <f t="shared" si="38"/>
        <v>0.84698684018841353</v>
      </c>
      <c r="F123" s="29">
        <f t="shared" si="38"/>
        <v>0.71789169353941951</v>
      </c>
      <c r="G123" s="678"/>
      <c r="H123" s="109">
        <f t="shared" si="38"/>
        <v>0.88638915924234485</v>
      </c>
    </row>
    <row r="124" spans="1:8" x14ac:dyDescent="0.3">
      <c r="A124" s="308" t="s">
        <v>90</v>
      </c>
      <c r="B124" s="309"/>
      <c r="C124" s="309"/>
      <c r="D124" s="309"/>
      <c r="E124" s="309"/>
      <c r="F124" s="309"/>
      <c r="G124" s="309"/>
      <c r="H124" s="575"/>
    </row>
    <row r="125" spans="1:8" x14ac:dyDescent="0.3">
      <c r="A125" s="247" t="s">
        <v>224</v>
      </c>
      <c r="B125" s="24" t="s">
        <v>85</v>
      </c>
      <c r="C125" s="11" t="s">
        <v>3</v>
      </c>
      <c r="D125" s="26">
        <f>Mangochi!D125</f>
        <v>2</v>
      </c>
      <c r="E125" s="26">
        <f>'Monkey Bay'!D125</f>
        <v>0</v>
      </c>
      <c r="F125" s="26">
        <f>Namwera!D125</f>
        <v>0</v>
      </c>
      <c r="G125" s="128"/>
      <c r="H125" s="32">
        <f>D125</f>
        <v>2</v>
      </c>
    </row>
    <row r="126" spans="1:8" x14ac:dyDescent="0.3">
      <c r="A126" s="281"/>
      <c r="B126" s="24" t="s">
        <v>84</v>
      </c>
      <c r="C126" s="11" t="s">
        <v>3</v>
      </c>
      <c r="D126" s="26">
        <f>Mangochi!D126+Mangochi!E126+Mangochi!F126</f>
        <v>0</v>
      </c>
      <c r="E126" s="26">
        <f>'Monkey Bay'!D126+'Monkey Bay'!E126+'Monkey Bay'!F126</f>
        <v>0</v>
      </c>
      <c r="F126" s="26">
        <f>Namwera!D126+Namwera!E126+Namwera!F126</f>
        <v>0</v>
      </c>
      <c r="G126" s="128"/>
      <c r="H126" s="55">
        <f>SUM(D126:F126)</f>
        <v>0</v>
      </c>
    </row>
    <row r="127" spans="1:8" x14ac:dyDescent="0.3">
      <c r="A127" s="281"/>
      <c r="B127" s="82" t="s">
        <v>88</v>
      </c>
      <c r="C127" s="11" t="s">
        <v>3</v>
      </c>
      <c r="D127" s="26">
        <f>Mangochi!D127+Mangochi!E127+Mangochi!F127</f>
        <v>0</v>
      </c>
      <c r="E127" s="26">
        <f>'Monkey Bay'!D127+'Monkey Bay'!E127+'Monkey Bay'!F127</f>
        <v>0</v>
      </c>
      <c r="F127" s="26">
        <f>Namwera!D127+Namwera!E127+Namwera!F127</f>
        <v>0</v>
      </c>
      <c r="G127" s="128"/>
      <c r="H127" s="55">
        <f>SUM(D127:F127)</f>
        <v>0</v>
      </c>
    </row>
    <row r="128" spans="1:8" x14ac:dyDescent="0.3">
      <c r="A128" s="281"/>
      <c r="B128" s="24" t="s">
        <v>82</v>
      </c>
      <c r="C128" s="11" t="s">
        <v>3</v>
      </c>
      <c r="D128" s="26">
        <f>Mangochi!D128+Mangochi!E128+Mangochi!F128</f>
        <v>0</v>
      </c>
      <c r="E128" s="26">
        <f>'Monkey Bay'!D128+'Monkey Bay'!E128+'Monkey Bay'!F128</f>
        <v>0</v>
      </c>
      <c r="F128" s="26">
        <f>Namwera!D128+Namwera!E128+Namwera!F128</f>
        <v>0</v>
      </c>
      <c r="G128" s="128"/>
      <c r="H128" s="55">
        <f>SUM(D128:F128)</f>
        <v>0</v>
      </c>
    </row>
    <row r="129" spans="1:8" x14ac:dyDescent="0.3">
      <c r="A129" s="248"/>
      <c r="B129" s="24" t="s">
        <v>81</v>
      </c>
      <c r="C129" s="11" t="s">
        <v>3</v>
      </c>
      <c r="D129" s="140">
        <f t="shared" ref="D129:H129" si="39">D125+D126-D127-D128</f>
        <v>2</v>
      </c>
      <c r="E129" s="140">
        <f t="shared" si="39"/>
        <v>0</v>
      </c>
      <c r="F129" s="140">
        <f t="shared" si="39"/>
        <v>0</v>
      </c>
      <c r="G129" s="679"/>
      <c r="H129" s="32">
        <f t="shared" si="39"/>
        <v>2</v>
      </c>
    </row>
    <row r="130" spans="1:8" x14ac:dyDescent="0.3">
      <c r="A130" s="247" t="s">
        <v>225</v>
      </c>
      <c r="B130" s="28" t="s">
        <v>85</v>
      </c>
      <c r="C130" s="27" t="s">
        <v>3</v>
      </c>
      <c r="D130" s="26">
        <f>Mangochi!D130</f>
        <v>0</v>
      </c>
      <c r="E130" s="26">
        <f>'Monkey Bay'!D130</f>
        <v>0</v>
      </c>
      <c r="F130" s="26">
        <f>Namwera!D130</f>
        <v>0</v>
      </c>
      <c r="G130" s="128"/>
      <c r="H130" s="32">
        <f>D130</f>
        <v>0</v>
      </c>
    </row>
    <row r="131" spans="1:8" x14ac:dyDescent="0.3">
      <c r="A131" s="281"/>
      <c r="B131" s="24" t="s">
        <v>84</v>
      </c>
      <c r="C131" s="11" t="s">
        <v>3</v>
      </c>
      <c r="D131" s="26">
        <f>Mangochi!D131+Mangochi!E131+Mangochi!F131</f>
        <v>0</v>
      </c>
      <c r="E131" s="26">
        <f>'Monkey Bay'!D131+'Monkey Bay'!E131+'Monkey Bay'!F131</f>
        <v>0</v>
      </c>
      <c r="F131" s="26">
        <f>Namwera!D131+Namwera!E131+Namwera!F131</f>
        <v>0</v>
      </c>
      <c r="G131" s="128"/>
      <c r="H131" s="55">
        <f>SUM(D131:F131)</f>
        <v>0</v>
      </c>
    </row>
    <row r="132" spans="1:8" x14ac:dyDescent="0.3">
      <c r="A132" s="281"/>
      <c r="B132" s="82" t="s">
        <v>88</v>
      </c>
      <c r="C132" s="11" t="s">
        <v>3</v>
      </c>
      <c r="D132" s="26">
        <f>Mangochi!D132+Mangochi!E132+Mangochi!F132</f>
        <v>0</v>
      </c>
      <c r="E132" s="26">
        <f>'Monkey Bay'!D132+'Monkey Bay'!E132+'Monkey Bay'!F132</f>
        <v>0</v>
      </c>
      <c r="F132" s="26">
        <f>Namwera!D132+Namwera!E132+Namwera!F132</f>
        <v>0</v>
      </c>
      <c r="G132" s="128"/>
      <c r="H132" s="55">
        <f>SUM(D132:F132)</f>
        <v>0</v>
      </c>
    </row>
    <row r="133" spans="1:8" x14ac:dyDescent="0.3">
      <c r="A133" s="281"/>
      <c r="B133" s="24" t="s">
        <v>82</v>
      </c>
      <c r="C133" s="11" t="s">
        <v>3</v>
      </c>
      <c r="D133" s="26">
        <f>Mangochi!D133+Mangochi!E133+Mangochi!F133</f>
        <v>0</v>
      </c>
      <c r="E133" s="26">
        <f>'Monkey Bay'!D133+'Monkey Bay'!E133+'Monkey Bay'!F133</f>
        <v>0</v>
      </c>
      <c r="F133" s="26">
        <f>Namwera!D133+Namwera!E133+Namwera!F133</f>
        <v>0</v>
      </c>
      <c r="G133" s="128"/>
      <c r="H133" s="55">
        <f>SUM(D133:F133)</f>
        <v>0</v>
      </c>
    </row>
    <row r="134" spans="1:8" x14ac:dyDescent="0.3">
      <c r="A134" s="248"/>
      <c r="B134" s="24" t="s">
        <v>81</v>
      </c>
      <c r="C134" s="11" t="s">
        <v>3</v>
      </c>
      <c r="D134" s="140">
        <f t="shared" ref="D134:H134" si="40">D130+D131-D132-D133</f>
        <v>0</v>
      </c>
      <c r="E134" s="140">
        <f t="shared" si="40"/>
        <v>0</v>
      </c>
      <c r="F134" s="140">
        <f t="shared" si="40"/>
        <v>0</v>
      </c>
      <c r="G134" s="679"/>
      <c r="H134" s="32">
        <f t="shared" si="40"/>
        <v>0</v>
      </c>
    </row>
    <row r="135" spans="1:8" x14ac:dyDescent="0.3">
      <c r="A135" s="247" t="s">
        <v>89</v>
      </c>
      <c r="B135" s="24" t="s">
        <v>85</v>
      </c>
      <c r="C135" s="11" t="s">
        <v>3</v>
      </c>
      <c r="D135" s="26">
        <f>Mangochi!D135</f>
        <v>3</v>
      </c>
      <c r="E135" s="26">
        <f>'Monkey Bay'!D135</f>
        <v>0</v>
      </c>
      <c r="F135" s="26">
        <f>Namwera!D135</f>
        <v>0</v>
      </c>
      <c r="G135" s="128"/>
      <c r="H135" s="32">
        <f>D135</f>
        <v>3</v>
      </c>
    </row>
    <row r="136" spans="1:8" x14ac:dyDescent="0.3">
      <c r="A136" s="281"/>
      <c r="B136" s="24" t="s">
        <v>84</v>
      </c>
      <c r="C136" s="11" t="s">
        <v>3</v>
      </c>
      <c r="D136" s="26">
        <f>Mangochi!D136+Mangochi!E136+Mangochi!F136</f>
        <v>0</v>
      </c>
      <c r="E136" s="26">
        <f>'Monkey Bay'!D136+'Monkey Bay'!E136+'Monkey Bay'!F136</f>
        <v>0</v>
      </c>
      <c r="F136" s="26">
        <f>Namwera!D136+Namwera!E136+Namwera!F136</f>
        <v>0</v>
      </c>
      <c r="G136" s="128"/>
      <c r="H136" s="55">
        <f>SUM(D136:F136)</f>
        <v>0</v>
      </c>
    </row>
    <row r="137" spans="1:8" x14ac:dyDescent="0.3">
      <c r="A137" s="281"/>
      <c r="B137" s="82" t="s">
        <v>88</v>
      </c>
      <c r="C137" s="11" t="s">
        <v>3</v>
      </c>
      <c r="D137" s="26">
        <f>Mangochi!D137+Mangochi!E137+Mangochi!F137</f>
        <v>0</v>
      </c>
      <c r="E137" s="26">
        <f>'Monkey Bay'!D137+'Monkey Bay'!E137+'Monkey Bay'!F137</f>
        <v>0</v>
      </c>
      <c r="F137" s="26">
        <f>Namwera!D137+Namwera!E137+Namwera!F137</f>
        <v>0</v>
      </c>
      <c r="G137" s="128"/>
      <c r="H137" s="55">
        <f>SUM(D137:F137)</f>
        <v>0</v>
      </c>
    </row>
    <row r="138" spans="1:8" x14ac:dyDescent="0.3">
      <c r="A138" s="281"/>
      <c r="B138" s="24" t="s">
        <v>82</v>
      </c>
      <c r="C138" s="11" t="s">
        <v>3</v>
      </c>
      <c r="D138" s="26">
        <f>Mangochi!D138+Mangochi!E138+Mangochi!F138</f>
        <v>0</v>
      </c>
      <c r="E138" s="26">
        <f>'Monkey Bay'!D138+'Monkey Bay'!E138+'Monkey Bay'!F138</f>
        <v>0</v>
      </c>
      <c r="F138" s="26">
        <f>Namwera!D138+Namwera!E138+Namwera!F138</f>
        <v>0</v>
      </c>
      <c r="G138" s="128"/>
      <c r="H138" s="55">
        <f>SUM(D138:F138)</f>
        <v>0</v>
      </c>
    </row>
    <row r="139" spans="1:8" x14ac:dyDescent="0.3">
      <c r="A139" s="248"/>
      <c r="B139" s="24" t="s">
        <v>81</v>
      </c>
      <c r="C139" s="11" t="s">
        <v>3</v>
      </c>
      <c r="D139" s="140">
        <f t="shared" ref="D139:H139" si="41">D135+D136-D137-D138</f>
        <v>3</v>
      </c>
      <c r="E139" s="140">
        <f t="shared" si="41"/>
        <v>0</v>
      </c>
      <c r="F139" s="140">
        <f t="shared" si="41"/>
        <v>0</v>
      </c>
      <c r="G139" s="679"/>
      <c r="H139" s="32">
        <f t="shared" si="41"/>
        <v>3</v>
      </c>
    </row>
    <row r="140" spans="1:8" x14ac:dyDescent="0.3">
      <c r="A140" s="247" t="s">
        <v>87</v>
      </c>
      <c r="B140" s="24" t="s">
        <v>85</v>
      </c>
      <c r="C140" s="11" t="s">
        <v>3</v>
      </c>
      <c r="D140" s="26">
        <f>Mangochi!D140</f>
        <v>1231</v>
      </c>
      <c r="E140" s="26">
        <f>'Monkey Bay'!D140</f>
        <v>60</v>
      </c>
      <c r="F140" s="26">
        <f>Namwera!D140</f>
        <v>1</v>
      </c>
      <c r="G140" s="128"/>
      <c r="H140" s="32">
        <f>D140</f>
        <v>1231</v>
      </c>
    </row>
    <row r="141" spans="1:8" x14ac:dyDescent="0.3">
      <c r="A141" s="281"/>
      <c r="B141" s="24" t="s">
        <v>84</v>
      </c>
      <c r="C141" s="11" t="s">
        <v>3</v>
      </c>
      <c r="D141" s="26">
        <f>Mangochi!D141+Mangochi!E141+Mangochi!F141</f>
        <v>0</v>
      </c>
      <c r="E141" s="26">
        <f>'Monkey Bay'!D141+'Monkey Bay'!E141+'Monkey Bay'!F141</f>
        <v>44</v>
      </c>
      <c r="F141" s="26">
        <f>Namwera!D141+Namwera!E141+Namwera!F141</f>
        <v>10</v>
      </c>
      <c r="G141" s="128"/>
      <c r="H141" s="55">
        <f>SUM(D141:F141)</f>
        <v>54</v>
      </c>
    </row>
    <row r="142" spans="1:8" x14ac:dyDescent="0.3">
      <c r="A142" s="281"/>
      <c r="B142" s="24" t="s">
        <v>83</v>
      </c>
      <c r="C142" s="11" t="s">
        <v>3</v>
      </c>
      <c r="D142" s="26">
        <f>Mangochi!D142+Mangochi!E142+Mangochi!F142</f>
        <v>0</v>
      </c>
      <c r="E142" s="26">
        <f>'Monkey Bay'!D142+'Monkey Bay'!E142+'Monkey Bay'!F142</f>
        <v>21</v>
      </c>
      <c r="F142" s="26">
        <f>Namwera!D142+Namwera!E142+Namwera!F142</f>
        <v>2</v>
      </c>
      <c r="G142" s="128"/>
      <c r="H142" s="55">
        <f>SUM(D142:F142)</f>
        <v>23</v>
      </c>
    </row>
    <row r="143" spans="1:8" x14ac:dyDescent="0.3">
      <c r="A143" s="281"/>
      <c r="B143" s="24" t="s">
        <v>82</v>
      </c>
      <c r="C143" s="11" t="s">
        <v>3</v>
      </c>
      <c r="D143" s="26">
        <f>Mangochi!D143+Mangochi!E143+Mangochi!F143</f>
        <v>0</v>
      </c>
      <c r="E143" s="26">
        <f>'Monkey Bay'!D143+'Monkey Bay'!E143+'Monkey Bay'!F143</f>
        <v>19</v>
      </c>
      <c r="F143" s="26">
        <f>Namwera!D143+Namwera!E143+Namwera!F143</f>
        <v>7</v>
      </c>
      <c r="G143" s="128"/>
      <c r="H143" s="55">
        <f>SUM(D143:F143)</f>
        <v>26</v>
      </c>
    </row>
    <row r="144" spans="1:8" x14ac:dyDescent="0.3">
      <c r="A144" s="248"/>
      <c r="B144" s="24" t="s">
        <v>81</v>
      </c>
      <c r="C144" s="11" t="s">
        <v>3</v>
      </c>
      <c r="D144" s="140">
        <f t="shared" ref="D144:H144" si="42">D140+D141-D142-D143</f>
        <v>1231</v>
      </c>
      <c r="E144" s="140">
        <f t="shared" si="42"/>
        <v>64</v>
      </c>
      <c r="F144" s="140">
        <f t="shared" si="42"/>
        <v>2</v>
      </c>
      <c r="G144" s="679"/>
      <c r="H144" s="32">
        <f t="shared" si="42"/>
        <v>1236</v>
      </c>
    </row>
    <row r="145" spans="1:8" s="2" customFormat="1" x14ac:dyDescent="0.3">
      <c r="A145" s="247" t="s">
        <v>86</v>
      </c>
      <c r="B145" s="24" t="s">
        <v>85</v>
      </c>
      <c r="C145" s="11" t="s">
        <v>3</v>
      </c>
      <c r="D145" s="141">
        <f>D125+D130+D135+D140</f>
        <v>1236</v>
      </c>
      <c r="E145" s="141">
        <f t="shared" ref="E145:F145" si="43">E125+E130+E135+E140</f>
        <v>60</v>
      </c>
      <c r="F145" s="141">
        <f t="shared" si="43"/>
        <v>1</v>
      </c>
      <c r="G145" s="135"/>
      <c r="H145" s="55">
        <f t="shared" ref="H145:H149" si="44">H125+H130+H135+H140</f>
        <v>1236</v>
      </c>
    </row>
    <row r="146" spans="1:8" x14ac:dyDescent="0.3">
      <c r="A146" s="281"/>
      <c r="B146" s="24" t="s">
        <v>84</v>
      </c>
      <c r="C146" s="11" t="s">
        <v>3</v>
      </c>
      <c r="D146" s="141">
        <f t="shared" ref="D146:F148" si="45">D126+D131+D136+D141</f>
        <v>0</v>
      </c>
      <c r="E146" s="141">
        <f t="shared" si="45"/>
        <v>44</v>
      </c>
      <c r="F146" s="141">
        <f t="shared" si="45"/>
        <v>10</v>
      </c>
      <c r="G146" s="135"/>
      <c r="H146" s="55">
        <f t="shared" si="44"/>
        <v>54</v>
      </c>
    </row>
    <row r="147" spans="1:8" x14ac:dyDescent="0.3">
      <c r="A147" s="281"/>
      <c r="B147" s="24" t="s">
        <v>83</v>
      </c>
      <c r="C147" s="11" t="s">
        <v>3</v>
      </c>
      <c r="D147" s="141">
        <f t="shared" si="45"/>
        <v>0</v>
      </c>
      <c r="E147" s="141">
        <f t="shared" si="45"/>
        <v>21</v>
      </c>
      <c r="F147" s="141">
        <f t="shared" si="45"/>
        <v>2</v>
      </c>
      <c r="G147" s="135"/>
      <c r="H147" s="55">
        <f t="shared" si="44"/>
        <v>23</v>
      </c>
    </row>
    <row r="148" spans="1:8" x14ac:dyDescent="0.3">
      <c r="A148" s="281"/>
      <c r="B148" s="24" t="s">
        <v>82</v>
      </c>
      <c r="C148" s="11" t="s">
        <v>3</v>
      </c>
      <c r="D148" s="141">
        <f t="shared" si="45"/>
        <v>0</v>
      </c>
      <c r="E148" s="141">
        <f t="shared" si="45"/>
        <v>19</v>
      </c>
      <c r="F148" s="141">
        <f t="shared" si="45"/>
        <v>7</v>
      </c>
      <c r="G148" s="135"/>
      <c r="H148" s="55">
        <f t="shared" si="44"/>
        <v>26</v>
      </c>
    </row>
    <row r="149" spans="1:8" x14ac:dyDescent="0.3">
      <c r="A149" s="248"/>
      <c r="B149" s="24" t="s">
        <v>81</v>
      </c>
      <c r="C149" s="11" t="s">
        <v>3</v>
      </c>
      <c r="D149" s="140">
        <f>D145+D146-D147-D148</f>
        <v>1236</v>
      </c>
      <c r="E149" s="140">
        <f t="shared" ref="E149:F149" si="46">E145+E146-E147-E148</f>
        <v>64</v>
      </c>
      <c r="F149" s="140">
        <f t="shared" si="46"/>
        <v>2</v>
      </c>
      <c r="G149" s="679"/>
      <c r="H149" s="55">
        <f t="shared" si="44"/>
        <v>1241</v>
      </c>
    </row>
    <row r="150" spans="1:8" x14ac:dyDescent="0.3">
      <c r="A150" s="282" t="s">
        <v>80</v>
      </c>
      <c r="B150" s="283"/>
      <c r="C150" s="283"/>
      <c r="D150" s="283"/>
      <c r="E150" s="283"/>
      <c r="F150" s="283"/>
      <c r="G150" s="283"/>
      <c r="H150" s="567"/>
    </row>
    <row r="151" spans="1:8" ht="15.6" customHeight="1" x14ac:dyDescent="0.3">
      <c r="A151" s="311" t="s">
        <v>79</v>
      </c>
      <c r="B151" s="312"/>
      <c r="C151" s="312"/>
      <c r="D151" s="312"/>
      <c r="E151" s="312"/>
      <c r="F151" s="312"/>
      <c r="G151" s="312"/>
      <c r="H151" s="576"/>
    </row>
    <row r="152" spans="1:8" x14ac:dyDescent="0.3">
      <c r="A152" s="292" t="s">
        <v>78</v>
      </c>
      <c r="B152" s="92" t="s">
        <v>63</v>
      </c>
      <c r="C152" s="11"/>
      <c r="D152" s="142"/>
      <c r="E152" s="142"/>
      <c r="F152" s="142"/>
      <c r="G152" s="134"/>
      <c r="H152" s="39"/>
    </row>
    <row r="153" spans="1:8" x14ac:dyDescent="0.3">
      <c r="A153" s="293"/>
      <c r="B153" s="19" t="s">
        <v>73</v>
      </c>
      <c r="C153" s="11" t="s">
        <v>57</v>
      </c>
      <c r="D153" s="142">
        <f>Mangochi!D153+Mangochi!E153+Mangochi!F153</f>
        <v>195</v>
      </c>
      <c r="E153" s="142">
        <f>'Monkey Bay'!D153+'Monkey Bay'!E153+'Monkey Bay'!F153</f>
        <v>39</v>
      </c>
      <c r="F153" s="142">
        <f>Namwera!D153+Namwera!E153+Namwera!F153</f>
        <v>82</v>
      </c>
      <c r="G153" s="134"/>
      <c r="H153" s="74">
        <f t="shared" ref="H153:H165" si="47">SUM(D153:F153)</f>
        <v>316</v>
      </c>
    </row>
    <row r="154" spans="1:8" x14ac:dyDescent="0.3">
      <c r="A154" s="293"/>
      <c r="B154" s="19" t="s">
        <v>72</v>
      </c>
      <c r="C154" s="11" t="s">
        <v>57</v>
      </c>
      <c r="D154" s="142">
        <f>Mangochi!D154+Mangochi!E154+Mangochi!F154</f>
        <v>145</v>
      </c>
      <c r="E154" s="142">
        <f>'Monkey Bay'!D154+'Monkey Bay'!E154+'Monkey Bay'!F154</f>
        <v>23</v>
      </c>
      <c r="F154" s="142">
        <f>Namwera!D154+Namwera!E154+Namwera!F154</f>
        <v>33</v>
      </c>
      <c r="G154" s="134"/>
      <c r="H154" s="74">
        <f t="shared" si="47"/>
        <v>201</v>
      </c>
    </row>
    <row r="155" spans="1:8" x14ac:dyDescent="0.3">
      <c r="A155" s="293"/>
      <c r="B155" s="19" t="s">
        <v>53</v>
      </c>
      <c r="C155" s="11" t="s">
        <v>57</v>
      </c>
      <c r="D155" s="142">
        <f>Mangochi!D155+Mangochi!E155+Mangochi!F155</f>
        <v>42</v>
      </c>
      <c r="E155" s="142">
        <f>'Monkey Bay'!D155+'Monkey Bay'!E155+'Monkey Bay'!F155</f>
        <v>11</v>
      </c>
      <c r="F155" s="142">
        <f>Namwera!D155+Namwera!E155+Namwera!F155</f>
        <v>6</v>
      </c>
      <c r="G155" s="134"/>
      <c r="H155" s="74">
        <f t="shared" si="47"/>
        <v>59</v>
      </c>
    </row>
    <row r="156" spans="1:8" x14ac:dyDescent="0.3">
      <c r="A156" s="293"/>
      <c r="B156" s="19" t="s">
        <v>71</v>
      </c>
      <c r="C156" s="11" t="s">
        <v>57</v>
      </c>
      <c r="D156" s="142">
        <f>Mangochi!D156+Mangochi!E156+Mangochi!F156</f>
        <v>29</v>
      </c>
      <c r="E156" s="142">
        <f>'Monkey Bay'!D156+'Monkey Bay'!E156+'Monkey Bay'!F156</f>
        <v>1</v>
      </c>
      <c r="F156" s="142">
        <f>Namwera!D156+Namwera!E156+Namwera!F156</f>
        <v>4</v>
      </c>
      <c r="G156" s="134"/>
      <c r="H156" s="74">
        <f t="shared" si="47"/>
        <v>34</v>
      </c>
    </row>
    <row r="157" spans="1:8" x14ac:dyDescent="0.3">
      <c r="A157" s="293"/>
      <c r="B157" s="19" t="s">
        <v>52</v>
      </c>
      <c r="C157" s="11" t="s">
        <v>57</v>
      </c>
      <c r="D157" s="142">
        <f>Mangochi!D157+Mangochi!E157+Mangochi!F157</f>
        <v>7</v>
      </c>
      <c r="E157" s="142">
        <f>'Monkey Bay'!D157+'Monkey Bay'!E157+'Monkey Bay'!F157</f>
        <v>1</v>
      </c>
      <c r="F157" s="142">
        <f>Namwera!D157+Namwera!E157+Namwera!F157</f>
        <v>1</v>
      </c>
      <c r="G157" s="134"/>
      <c r="H157" s="74">
        <f t="shared" si="47"/>
        <v>9</v>
      </c>
    </row>
    <row r="158" spans="1:8" x14ac:dyDescent="0.3">
      <c r="A158" s="293"/>
      <c r="B158" s="19" t="s">
        <v>51</v>
      </c>
      <c r="C158" s="11" t="s">
        <v>57</v>
      </c>
      <c r="D158" s="142">
        <f>Mangochi!D158+Mangochi!E158+Mangochi!F158</f>
        <v>4</v>
      </c>
      <c r="E158" s="142">
        <f>'Monkey Bay'!D158+'Monkey Bay'!E158+'Monkey Bay'!F158</f>
        <v>5</v>
      </c>
      <c r="F158" s="142">
        <f>Namwera!D158+Namwera!E158+Namwera!F158</f>
        <v>7</v>
      </c>
      <c r="G158" s="134"/>
      <c r="H158" s="74">
        <f t="shared" si="47"/>
        <v>16</v>
      </c>
    </row>
    <row r="159" spans="1:8" x14ac:dyDescent="0.3">
      <c r="A159" s="293"/>
      <c r="B159" s="19" t="s">
        <v>62</v>
      </c>
      <c r="C159" s="11" t="s">
        <v>57</v>
      </c>
      <c r="D159" s="142">
        <f>Mangochi!D159+Mangochi!E159+Mangochi!F159</f>
        <v>0</v>
      </c>
      <c r="E159" s="142">
        <f>'Monkey Bay'!D159+'Monkey Bay'!E159+'Monkey Bay'!F159</f>
        <v>0</v>
      </c>
      <c r="F159" s="142">
        <f>Namwera!D159+Namwera!E159+Namwera!F159</f>
        <v>0</v>
      </c>
      <c r="G159" s="134"/>
      <c r="H159" s="74">
        <f t="shared" si="47"/>
        <v>0</v>
      </c>
    </row>
    <row r="160" spans="1:8" x14ac:dyDescent="0.3">
      <c r="A160" s="293"/>
      <c r="B160" s="19" t="s">
        <v>50</v>
      </c>
      <c r="C160" s="11" t="s">
        <v>57</v>
      </c>
      <c r="D160" s="142">
        <f>Mangochi!D160+Mangochi!E160+Mangochi!F160</f>
        <v>1</v>
      </c>
      <c r="E160" s="142">
        <f>'Monkey Bay'!D160+'Monkey Bay'!E160+'Monkey Bay'!F160</f>
        <v>2</v>
      </c>
      <c r="F160" s="142">
        <f>Namwera!D160+Namwera!E160+Namwera!F160</f>
        <v>1</v>
      </c>
      <c r="G160" s="134"/>
      <c r="H160" s="74">
        <f t="shared" si="47"/>
        <v>4</v>
      </c>
    </row>
    <row r="161" spans="1:8" x14ac:dyDescent="0.3">
      <c r="A161" s="293"/>
      <c r="B161" s="19" t="s">
        <v>49</v>
      </c>
      <c r="C161" s="11" t="s">
        <v>57</v>
      </c>
      <c r="D161" s="142">
        <f>Mangochi!D161+Mangochi!E161+Mangochi!F161</f>
        <v>3</v>
      </c>
      <c r="E161" s="142">
        <f>'Monkey Bay'!D161+'Monkey Bay'!E161+'Monkey Bay'!F161</f>
        <v>5</v>
      </c>
      <c r="F161" s="142">
        <f>Namwera!D161+Namwera!E161+Namwera!F161</f>
        <v>0</v>
      </c>
      <c r="G161" s="134"/>
      <c r="H161" s="74">
        <f t="shared" si="47"/>
        <v>8</v>
      </c>
    </row>
    <row r="162" spans="1:8" x14ac:dyDescent="0.3">
      <c r="A162" s="293"/>
      <c r="B162" s="19" t="s">
        <v>77</v>
      </c>
      <c r="C162" s="11" t="s">
        <v>57</v>
      </c>
      <c r="D162" s="142">
        <f>Mangochi!D162+Mangochi!E162+Mangochi!F162</f>
        <v>1</v>
      </c>
      <c r="E162" s="142">
        <f>'Monkey Bay'!D162+'Monkey Bay'!E162+'Monkey Bay'!F162</f>
        <v>0</v>
      </c>
      <c r="F162" s="142">
        <f>Namwera!D162+Namwera!E162+Namwera!F162</f>
        <v>0</v>
      </c>
      <c r="G162" s="134"/>
      <c r="H162" s="74">
        <f t="shared" si="47"/>
        <v>1</v>
      </c>
    </row>
    <row r="163" spans="1:8" x14ac:dyDescent="0.3">
      <c r="A163" s="293"/>
      <c r="B163" s="19" t="s">
        <v>69</v>
      </c>
      <c r="C163" s="11" t="s">
        <v>57</v>
      </c>
      <c r="D163" s="142">
        <f>Mangochi!D163+Mangochi!E163+Mangochi!F163</f>
        <v>1</v>
      </c>
      <c r="E163" s="142">
        <f>'Monkey Bay'!D163+'Monkey Bay'!E163+'Monkey Bay'!F163</f>
        <v>0</v>
      </c>
      <c r="F163" s="142">
        <f>Namwera!D163+Namwera!E163+Namwera!F163</f>
        <v>0</v>
      </c>
      <c r="G163" s="134"/>
      <c r="H163" s="74">
        <f t="shared" si="47"/>
        <v>1</v>
      </c>
    </row>
    <row r="164" spans="1:8" x14ac:dyDescent="0.3">
      <c r="A164" s="293"/>
      <c r="B164" s="19" t="s">
        <v>68</v>
      </c>
      <c r="C164" s="11" t="s">
        <v>57</v>
      </c>
      <c r="D164" s="142">
        <f>Mangochi!D164+Mangochi!E164+Mangochi!F164</f>
        <v>0</v>
      </c>
      <c r="E164" s="142">
        <f>'Monkey Bay'!D164+'Monkey Bay'!E164+'Monkey Bay'!F164</f>
        <v>0</v>
      </c>
      <c r="F164" s="142">
        <f>Namwera!D164+Namwera!E164+Namwera!F164</f>
        <v>0</v>
      </c>
      <c r="G164" s="134"/>
      <c r="H164" s="74">
        <f t="shared" si="47"/>
        <v>0</v>
      </c>
    </row>
    <row r="165" spans="1:8" x14ac:dyDescent="0.3">
      <c r="A165" s="294"/>
      <c r="B165" s="19" t="s">
        <v>76</v>
      </c>
      <c r="C165" s="11" t="s">
        <v>57</v>
      </c>
      <c r="D165" s="142">
        <f>Mangochi!D165+Mangochi!E165+Mangochi!F165</f>
        <v>0</v>
      </c>
      <c r="E165" s="142">
        <f>'Monkey Bay'!D165+'Monkey Bay'!E165+'Monkey Bay'!F165</f>
        <v>0</v>
      </c>
      <c r="F165" s="142">
        <f>Namwera!D165+Namwera!E165+Namwera!F165</f>
        <v>0</v>
      </c>
      <c r="G165" s="134"/>
      <c r="H165" s="74">
        <f t="shared" si="47"/>
        <v>0</v>
      </c>
    </row>
    <row r="166" spans="1:8" x14ac:dyDescent="0.3">
      <c r="A166" s="292" t="s">
        <v>75</v>
      </c>
      <c r="B166" s="21" t="s">
        <v>63</v>
      </c>
      <c r="C166" s="11"/>
      <c r="D166" s="133"/>
      <c r="E166" s="133"/>
      <c r="F166" s="133"/>
      <c r="G166" s="680"/>
      <c r="H166" s="74"/>
    </row>
    <row r="167" spans="1:8" x14ac:dyDescent="0.3">
      <c r="A167" s="293"/>
      <c r="B167" s="19" t="s">
        <v>74</v>
      </c>
      <c r="C167" s="11" t="s">
        <v>57</v>
      </c>
      <c r="D167" s="142">
        <f>Mangochi!D167+Mangochi!E167+Mangochi!F167</f>
        <v>0</v>
      </c>
      <c r="E167" s="142">
        <f>'Monkey Bay'!D167+'Monkey Bay'!E167+'Monkey Bay'!F167</f>
        <v>2</v>
      </c>
      <c r="F167" s="142">
        <f>Namwera!D167+Namwera!E167+Namwera!F167</f>
        <v>0</v>
      </c>
      <c r="G167" s="134"/>
      <c r="H167" s="74">
        <f t="shared" ref="H167:H175" si="48">SUM(D167:F167)</f>
        <v>2</v>
      </c>
    </row>
    <row r="168" spans="1:8" x14ac:dyDescent="0.3">
      <c r="A168" s="293"/>
      <c r="B168" s="19" t="s">
        <v>73</v>
      </c>
      <c r="C168" s="11" t="s">
        <v>57</v>
      </c>
      <c r="D168" s="142">
        <f>Mangochi!D168+Mangochi!E168+Mangochi!F168</f>
        <v>0</v>
      </c>
      <c r="E168" s="142">
        <f>'Monkey Bay'!D168+'Monkey Bay'!E168+'Monkey Bay'!F168</f>
        <v>2</v>
      </c>
      <c r="F168" s="142">
        <f>Namwera!D168+Namwera!E168+Namwera!F168</f>
        <v>0</v>
      </c>
      <c r="G168" s="134"/>
      <c r="H168" s="74">
        <f t="shared" si="48"/>
        <v>2</v>
      </c>
    </row>
    <row r="169" spans="1:8" x14ac:dyDescent="0.3">
      <c r="A169" s="293"/>
      <c r="B169" s="19" t="s">
        <v>72</v>
      </c>
      <c r="C169" s="11" t="s">
        <v>57</v>
      </c>
      <c r="D169" s="142">
        <f>Mangochi!D169+Mangochi!E169+Mangochi!F169</f>
        <v>0</v>
      </c>
      <c r="E169" s="142">
        <f>'Monkey Bay'!D169+'Monkey Bay'!E169+'Monkey Bay'!F169</f>
        <v>0</v>
      </c>
      <c r="F169" s="142">
        <f>Namwera!D169+Namwera!E169+Namwera!F169</f>
        <v>0</v>
      </c>
      <c r="G169" s="134"/>
      <c r="H169" s="74">
        <f t="shared" si="48"/>
        <v>0</v>
      </c>
    </row>
    <row r="170" spans="1:8" x14ac:dyDescent="0.3">
      <c r="A170" s="293"/>
      <c r="B170" s="19" t="s">
        <v>71</v>
      </c>
      <c r="C170" s="11" t="s">
        <v>57</v>
      </c>
      <c r="D170" s="142">
        <f>Mangochi!D170+Mangochi!E170+Mangochi!F170</f>
        <v>0</v>
      </c>
      <c r="E170" s="142">
        <f>'Monkey Bay'!D170+'Monkey Bay'!E170+'Monkey Bay'!F170</f>
        <v>0</v>
      </c>
      <c r="F170" s="142">
        <f>Namwera!D170+Namwera!E170+Namwera!F170</f>
        <v>0</v>
      </c>
      <c r="G170" s="134"/>
      <c r="H170" s="74">
        <f t="shared" si="48"/>
        <v>0</v>
      </c>
    </row>
    <row r="171" spans="1:8" x14ac:dyDescent="0.3">
      <c r="A171" s="293"/>
      <c r="B171" s="19" t="s">
        <v>52</v>
      </c>
      <c r="C171" s="11" t="s">
        <v>57</v>
      </c>
      <c r="D171" s="142">
        <f>Mangochi!D171+Mangochi!E171+Mangochi!F171</f>
        <v>0</v>
      </c>
      <c r="E171" s="142">
        <f>'Monkey Bay'!D171+'Monkey Bay'!E171+'Monkey Bay'!F171</f>
        <v>0</v>
      </c>
      <c r="F171" s="142">
        <f>Namwera!D171+Namwera!E171+Namwera!F171</f>
        <v>0</v>
      </c>
      <c r="G171" s="134"/>
      <c r="H171" s="74">
        <f t="shared" si="48"/>
        <v>0</v>
      </c>
    </row>
    <row r="172" spans="1:8" x14ac:dyDescent="0.3">
      <c r="A172" s="293"/>
      <c r="B172" s="19" t="s">
        <v>62</v>
      </c>
      <c r="C172" s="11" t="s">
        <v>57</v>
      </c>
      <c r="D172" s="142">
        <f>Mangochi!D172+Mangochi!E172+Mangochi!F172</f>
        <v>0</v>
      </c>
      <c r="E172" s="142">
        <f>'Monkey Bay'!D172+'Monkey Bay'!E172+'Monkey Bay'!F172</f>
        <v>0</v>
      </c>
      <c r="F172" s="142">
        <f>Namwera!D172+Namwera!E172+Namwera!F172</f>
        <v>0</v>
      </c>
      <c r="G172" s="134"/>
      <c r="H172" s="74">
        <f t="shared" si="48"/>
        <v>0</v>
      </c>
    </row>
    <row r="173" spans="1:8" x14ac:dyDescent="0.3">
      <c r="A173" s="293"/>
      <c r="B173" s="19" t="s">
        <v>61</v>
      </c>
      <c r="C173" s="11" t="s">
        <v>57</v>
      </c>
      <c r="D173" s="142">
        <f>Mangochi!D173+Mangochi!E173+Mangochi!F173</f>
        <v>0</v>
      </c>
      <c r="E173" s="142">
        <f>'Monkey Bay'!D173+'Monkey Bay'!E173+'Monkey Bay'!F173</f>
        <v>0</v>
      </c>
      <c r="F173" s="142">
        <f>Namwera!D173+Namwera!E173+Namwera!F173</f>
        <v>0</v>
      </c>
      <c r="G173" s="134"/>
      <c r="H173" s="74">
        <f t="shared" si="48"/>
        <v>0</v>
      </c>
    </row>
    <row r="174" spans="1:8" x14ac:dyDescent="0.3">
      <c r="A174" s="293"/>
      <c r="B174" s="19" t="s">
        <v>60</v>
      </c>
      <c r="C174" s="11" t="s">
        <v>57</v>
      </c>
      <c r="D174" s="142">
        <f>Mangochi!D174+Mangochi!E174+Mangochi!F174</f>
        <v>0</v>
      </c>
      <c r="E174" s="142">
        <f>'Monkey Bay'!D174+'Monkey Bay'!E174+'Monkey Bay'!F174</f>
        <v>0</v>
      </c>
      <c r="F174" s="142">
        <f>Namwera!D174+Namwera!E174+Namwera!F174</f>
        <v>0</v>
      </c>
      <c r="G174" s="134"/>
      <c r="H174" s="74">
        <f t="shared" si="48"/>
        <v>0</v>
      </c>
    </row>
    <row r="175" spans="1:8" x14ac:dyDescent="0.3">
      <c r="A175" s="294"/>
      <c r="B175" s="19" t="s">
        <v>69</v>
      </c>
      <c r="C175" s="11" t="s">
        <v>57</v>
      </c>
      <c r="D175" s="142">
        <f>Mangochi!D175+Mangochi!E175+Mangochi!F175</f>
        <v>1</v>
      </c>
      <c r="E175" s="142">
        <f>'Monkey Bay'!D175+'Monkey Bay'!E175+'Monkey Bay'!F175</f>
        <v>0</v>
      </c>
      <c r="F175" s="142">
        <f>Namwera!D175+Namwera!E175+Namwera!F175</f>
        <v>0</v>
      </c>
      <c r="G175" s="134"/>
      <c r="H175" s="74">
        <f t="shared" si="48"/>
        <v>1</v>
      </c>
    </row>
    <row r="176" spans="1:8" x14ac:dyDescent="0.3">
      <c r="A176" s="292" t="s">
        <v>70</v>
      </c>
      <c r="B176" s="21" t="s">
        <v>63</v>
      </c>
      <c r="C176" s="11"/>
      <c r="D176" s="133"/>
      <c r="E176" s="133"/>
      <c r="F176" s="133"/>
      <c r="G176" s="680"/>
      <c r="H176" s="74"/>
    </row>
    <row r="177" spans="1:8" x14ac:dyDescent="0.3">
      <c r="A177" s="293"/>
      <c r="B177" s="19" t="s">
        <v>60</v>
      </c>
      <c r="C177" s="11" t="s">
        <v>57</v>
      </c>
      <c r="D177" s="142">
        <f>Mangochi!D177+Mangochi!E177+Mangochi!F177</f>
        <v>0</v>
      </c>
      <c r="E177" s="142">
        <f>'Monkey Bay'!D177+'Monkey Bay'!E177+'Monkey Bay'!F177</f>
        <v>0</v>
      </c>
      <c r="F177" s="142">
        <f>Namwera!D177+Namwera!E177+Namwera!F177</f>
        <v>0</v>
      </c>
      <c r="G177" s="134"/>
      <c r="H177" s="74">
        <f t="shared" ref="H177:H182" si="49">SUM(D177:F177)</f>
        <v>0</v>
      </c>
    </row>
    <row r="178" spans="1:8" x14ac:dyDescent="0.3">
      <c r="A178" s="293"/>
      <c r="B178" s="19" t="s">
        <v>69</v>
      </c>
      <c r="C178" s="11" t="s">
        <v>57</v>
      </c>
      <c r="D178" s="142">
        <f>Mangochi!D178+Mangochi!E178+Mangochi!F178</f>
        <v>0</v>
      </c>
      <c r="E178" s="142">
        <f>'Monkey Bay'!D178+'Monkey Bay'!E178+'Monkey Bay'!F178</f>
        <v>0</v>
      </c>
      <c r="F178" s="142">
        <f>Namwera!D178+Namwera!E178+Namwera!F178</f>
        <v>0</v>
      </c>
      <c r="G178" s="134"/>
      <c r="H178" s="74">
        <f t="shared" si="49"/>
        <v>0</v>
      </c>
    </row>
    <row r="179" spans="1:8" x14ac:dyDescent="0.3">
      <c r="A179" s="293"/>
      <c r="B179" s="19" t="s">
        <v>68</v>
      </c>
      <c r="C179" s="11" t="s">
        <v>57</v>
      </c>
      <c r="D179" s="142">
        <f>Mangochi!D179+Mangochi!E179+Mangochi!F179</f>
        <v>0</v>
      </c>
      <c r="E179" s="142">
        <f>'Monkey Bay'!D179+'Monkey Bay'!E179+'Monkey Bay'!F179</f>
        <v>0</v>
      </c>
      <c r="F179" s="142">
        <f>Namwera!D179+Namwera!E179+Namwera!F179</f>
        <v>0</v>
      </c>
      <c r="G179" s="134"/>
      <c r="H179" s="74">
        <f t="shared" si="49"/>
        <v>0</v>
      </c>
    </row>
    <row r="180" spans="1:8" x14ac:dyDescent="0.3">
      <c r="A180" s="293"/>
      <c r="B180" s="19" t="s">
        <v>67</v>
      </c>
      <c r="C180" s="11" t="s">
        <v>57</v>
      </c>
      <c r="D180" s="142">
        <f>Mangochi!D180+Mangochi!E180+Mangochi!F180</f>
        <v>0</v>
      </c>
      <c r="E180" s="142">
        <f>'Monkey Bay'!D180+'Monkey Bay'!E180+'Monkey Bay'!F180</f>
        <v>0</v>
      </c>
      <c r="F180" s="142">
        <f>Namwera!D180+Namwera!E180+Namwera!F180</f>
        <v>0</v>
      </c>
      <c r="G180" s="134"/>
      <c r="H180" s="74">
        <f t="shared" si="49"/>
        <v>0</v>
      </c>
    </row>
    <row r="181" spans="1:8" x14ac:dyDescent="0.3">
      <c r="A181" s="293"/>
      <c r="B181" s="19" t="s">
        <v>66</v>
      </c>
      <c r="C181" s="11" t="s">
        <v>57</v>
      </c>
      <c r="D181" s="142">
        <f>Mangochi!D181+Mangochi!E181+Mangochi!F181</f>
        <v>0</v>
      </c>
      <c r="E181" s="142">
        <f>'Monkey Bay'!D181+'Monkey Bay'!E181+'Monkey Bay'!F181</f>
        <v>0</v>
      </c>
      <c r="F181" s="142">
        <f>Namwera!D181+Namwera!E181+Namwera!F181</f>
        <v>0</v>
      </c>
      <c r="G181" s="134"/>
      <c r="H181" s="74">
        <f t="shared" si="49"/>
        <v>0</v>
      </c>
    </row>
    <row r="182" spans="1:8" x14ac:dyDescent="0.3">
      <c r="A182" s="294"/>
      <c r="B182" s="19" t="s">
        <v>65</v>
      </c>
      <c r="C182" s="11" t="s">
        <v>57</v>
      </c>
      <c r="D182" s="142">
        <f>Mangochi!D182+Mangochi!E182+Mangochi!F182</f>
        <v>0</v>
      </c>
      <c r="E182" s="142">
        <f>'Monkey Bay'!D182+'Monkey Bay'!E182+'Monkey Bay'!F182</f>
        <v>0</v>
      </c>
      <c r="F182" s="142">
        <f>Namwera!D182+Namwera!E182+Namwera!F182</f>
        <v>0</v>
      </c>
      <c r="G182" s="134"/>
      <c r="H182" s="74">
        <f t="shared" si="49"/>
        <v>0</v>
      </c>
    </row>
    <row r="183" spans="1:8" x14ac:dyDescent="0.3">
      <c r="A183" s="292" t="s">
        <v>209</v>
      </c>
      <c r="B183" s="21" t="s">
        <v>63</v>
      </c>
      <c r="C183" s="11"/>
      <c r="D183" s="133"/>
      <c r="E183" s="133"/>
      <c r="F183" s="133"/>
      <c r="G183" s="680"/>
      <c r="H183" s="74"/>
    </row>
    <row r="184" spans="1:8" x14ac:dyDescent="0.3">
      <c r="A184" s="293"/>
      <c r="B184" s="19" t="s">
        <v>73</v>
      </c>
      <c r="C184" s="11" t="s">
        <v>57</v>
      </c>
      <c r="D184" s="142">
        <f>Mangochi!D184+Mangochi!E184+Mangochi!F184</f>
        <v>0</v>
      </c>
      <c r="E184" s="142">
        <f>Mangochi!E184+Mangochi!F184+Mangochi!G184</f>
        <v>0</v>
      </c>
      <c r="F184" s="142">
        <f>Mangochi!F184+Mangochi!G184+Mangochi!H184</f>
        <v>0</v>
      </c>
      <c r="G184" s="134"/>
      <c r="H184" s="74">
        <f>SUM(D184:F184)</f>
        <v>0</v>
      </c>
    </row>
    <row r="185" spans="1:8" x14ac:dyDescent="0.3">
      <c r="A185" s="293"/>
      <c r="B185" s="19" t="s">
        <v>72</v>
      </c>
      <c r="C185" s="11" t="s">
        <v>57</v>
      </c>
      <c r="D185" s="142">
        <f>Mangochi!D185+Mangochi!E185+Mangochi!F185</f>
        <v>0</v>
      </c>
      <c r="E185" s="142">
        <f>Mangochi!E185+Mangochi!F185+Mangochi!G185</f>
        <v>0</v>
      </c>
      <c r="F185" s="142">
        <f>Mangochi!F185+Mangochi!G185+Mangochi!H185</f>
        <v>0</v>
      </c>
      <c r="G185" s="134"/>
      <c r="H185" s="74">
        <f>SUM(D185:F185)</f>
        <v>0</v>
      </c>
    </row>
    <row r="186" spans="1:8" x14ac:dyDescent="0.3">
      <c r="A186" s="293"/>
      <c r="B186" s="19" t="s">
        <v>53</v>
      </c>
      <c r="C186" s="11" t="s">
        <v>57</v>
      </c>
      <c r="D186" s="142">
        <f>Mangochi!D186+Mangochi!E186+Mangochi!F186</f>
        <v>0</v>
      </c>
      <c r="E186" s="142">
        <f>Mangochi!E186+Mangochi!F186+Mangochi!G186</f>
        <v>0</v>
      </c>
      <c r="F186" s="142">
        <f>Mangochi!F186+Mangochi!G186+Mangochi!H186</f>
        <v>0</v>
      </c>
      <c r="G186" s="134"/>
      <c r="H186" s="74">
        <f>SUM(D186:F186)</f>
        <v>0</v>
      </c>
    </row>
    <row r="187" spans="1:8" x14ac:dyDescent="0.3">
      <c r="A187" s="294"/>
      <c r="B187" s="19" t="s">
        <v>52</v>
      </c>
      <c r="C187" s="11" t="s">
        <v>57</v>
      </c>
      <c r="D187" s="142">
        <f>Mangochi!D187+Mangochi!E187+Mangochi!F187</f>
        <v>0</v>
      </c>
      <c r="E187" s="142">
        <f>Mangochi!E187+Mangochi!F187+Mangochi!G187</f>
        <v>0</v>
      </c>
      <c r="F187" s="142">
        <f>Mangochi!F187+Mangochi!G187+Mangochi!H187</f>
        <v>0</v>
      </c>
      <c r="G187" s="134"/>
      <c r="H187" s="74">
        <f>SUM(D187:F187)</f>
        <v>0</v>
      </c>
    </row>
    <row r="188" spans="1:8" x14ac:dyDescent="0.3">
      <c r="A188" s="292" t="s">
        <v>64</v>
      </c>
      <c r="B188" s="21" t="s">
        <v>63</v>
      </c>
      <c r="C188" s="11"/>
      <c r="D188" s="133"/>
      <c r="E188" s="133"/>
      <c r="F188" s="133"/>
      <c r="G188" s="680"/>
      <c r="H188" s="74"/>
    </row>
    <row r="189" spans="1:8" x14ac:dyDescent="0.3">
      <c r="A189" s="293"/>
      <c r="B189" s="20" t="s">
        <v>52</v>
      </c>
      <c r="C189" s="11" t="s">
        <v>57</v>
      </c>
      <c r="D189" s="142">
        <f>Mangochi!D189+Mangochi!E189+Mangochi!F189</f>
        <v>0</v>
      </c>
      <c r="E189" s="142">
        <f>'Monkey Bay'!D189+'Monkey Bay'!E189+'Monkey Bay'!F189</f>
        <v>0</v>
      </c>
      <c r="F189" s="142">
        <f>Namwera!D189+Namwera!E189+Namwera!F189</f>
        <v>0</v>
      </c>
      <c r="G189" s="134"/>
      <c r="H189" s="74">
        <f>SUM(D189:F189)</f>
        <v>0</v>
      </c>
    </row>
    <row r="190" spans="1:8" x14ac:dyDescent="0.3">
      <c r="A190" s="293"/>
      <c r="B190" s="19" t="s">
        <v>62</v>
      </c>
      <c r="C190" s="11" t="s">
        <v>57</v>
      </c>
      <c r="D190" s="142">
        <f>Mangochi!D190+Mangochi!E190+Mangochi!F190</f>
        <v>0</v>
      </c>
      <c r="E190" s="142">
        <f>'Monkey Bay'!D190+'Monkey Bay'!E190+'Monkey Bay'!F190</f>
        <v>0</v>
      </c>
      <c r="F190" s="142">
        <f>Namwera!D190+Namwera!E190+Namwera!F190</f>
        <v>0</v>
      </c>
      <c r="G190" s="134"/>
      <c r="H190" s="74">
        <f>SUM(D190:F190)</f>
        <v>0</v>
      </c>
    </row>
    <row r="191" spans="1:8" x14ac:dyDescent="0.3">
      <c r="A191" s="293"/>
      <c r="B191" s="19" t="s">
        <v>61</v>
      </c>
      <c r="C191" s="11" t="s">
        <v>57</v>
      </c>
      <c r="D191" s="142">
        <f>Mangochi!D191+Mangochi!E191+Mangochi!F191</f>
        <v>5</v>
      </c>
      <c r="E191" s="142">
        <f>'Monkey Bay'!D191+'Monkey Bay'!E191+'Monkey Bay'!F191</f>
        <v>0</v>
      </c>
      <c r="F191" s="142">
        <f>Namwera!D191+Namwera!E191+Namwera!F191</f>
        <v>0</v>
      </c>
      <c r="G191" s="134"/>
      <c r="H191" s="74">
        <f>SUM(D191:F191)</f>
        <v>5</v>
      </c>
    </row>
    <row r="192" spans="1:8" x14ac:dyDescent="0.3">
      <c r="A192" s="294"/>
      <c r="B192" s="19" t="s">
        <v>60</v>
      </c>
      <c r="C192" s="11" t="s">
        <v>57</v>
      </c>
      <c r="D192" s="142">
        <f>Mangochi!D192+Mangochi!E192+Mangochi!F192</f>
        <v>0</v>
      </c>
      <c r="E192" s="142">
        <f>'Monkey Bay'!D192+'Monkey Bay'!E192+'Monkey Bay'!F192</f>
        <v>0</v>
      </c>
      <c r="F192" s="142">
        <f>Namwera!D192+Namwera!E192+Namwera!F192</f>
        <v>0</v>
      </c>
      <c r="G192" s="134"/>
      <c r="H192" s="74">
        <f>SUM(D192:F192)</f>
        <v>0</v>
      </c>
    </row>
    <row r="193" spans="1:8" x14ac:dyDescent="0.3">
      <c r="A193" s="313" t="s">
        <v>59</v>
      </c>
      <c r="B193" s="314"/>
      <c r="C193" s="11"/>
      <c r="D193" s="141">
        <f>SUM(D153:D192)</f>
        <v>434</v>
      </c>
      <c r="E193" s="141">
        <f t="shared" ref="E193:F193" si="50">SUM(E153:E192)</f>
        <v>91</v>
      </c>
      <c r="F193" s="141">
        <f t="shared" si="50"/>
        <v>134</v>
      </c>
      <c r="G193" s="135"/>
      <c r="H193" s="55">
        <f>SUM(H153:H192)</f>
        <v>659</v>
      </c>
    </row>
    <row r="194" spans="1:8" x14ac:dyDescent="0.3">
      <c r="A194" s="287" t="s">
        <v>58</v>
      </c>
      <c r="B194" s="288"/>
      <c r="C194" s="11" t="s">
        <v>57</v>
      </c>
      <c r="D194" s="142">
        <f>Mangochi!D194+Mangochi!E194+Mangochi!F194</f>
        <v>9</v>
      </c>
      <c r="E194" s="142">
        <f>'Monkey Bay'!D194+'Monkey Bay'!E194+'Monkey Bay'!F194</f>
        <v>6</v>
      </c>
      <c r="F194" s="142">
        <f>Namwera!D194+Namwera!E194+Namwera!F194</f>
        <v>8</v>
      </c>
      <c r="G194" s="134"/>
      <c r="H194" s="166">
        <f>SUM(D194:F194)</f>
        <v>23</v>
      </c>
    </row>
    <row r="195" spans="1:8" x14ac:dyDescent="0.3">
      <c r="A195" s="289"/>
      <c r="B195" s="290"/>
      <c r="C195" s="16" t="s">
        <v>55</v>
      </c>
      <c r="D195" s="142">
        <f>Mangochi!D195+Mangochi!E195+Mangochi!F195</f>
        <v>0</v>
      </c>
      <c r="E195" s="142">
        <f>'Monkey Bay'!D195+'Monkey Bay'!E195+'Monkey Bay'!F195</f>
        <v>0</v>
      </c>
      <c r="F195" s="142">
        <f>Namwera!D195+Namwera!E195+Namwera!F195</f>
        <v>0</v>
      </c>
      <c r="G195" s="134"/>
      <c r="H195" s="166">
        <f>SUM(D195:F195)</f>
        <v>0</v>
      </c>
    </row>
    <row r="196" spans="1:8" x14ac:dyDescent="0.3">
      <c r="A196" s="232" t="s">
        <v>202</v>
      </c>
      <c r="B196" s="233"/>
      <c r="C196" s="16" t="s">
        <v>55</v>
      </c>
      <c r="D196" s="142">
        <f>Mangochi!F196</f>
        <v>697.25</v>
      </c>
      <c r="E196" s="142">
        <f>'Monkey Bay'!F196</f>
        <v>562</v>
      </c>
      <c r="F196" s="142">
        <f>Namwera!F196</f>
        <v>648</v>
      </c>
      <c r="G196" s="134"/>
      <c r="H196" s="166">
        <f>SUM(D196:F196)/10</f>
        <v>190.72499999999999</v>
      </c>
    </row>
    <row r="197" spans="1:8" x14ac:dyDescent="0.3">
      <c r="A197" s="237" t="s">
        <v>56</v>
      </c>
      <c r="B197" s="238"/>
      <c r="C197" s="16" t="s">
        <v>55</v>
      </c>
      <c r="D197" s="167">
        <f>Mangochi!D197+Mangochi!E197+Mangochi!F197</f>
        <v>91.25</v>
      </c>
      <c r="E197" s="167">
        <f>'Monkey Bay'!D197+'Monkey Bay'!E197+'Monkey Bay'!F197</f>
        <v>511</v>
      </c>
      <c r="F197" s="167">
        <f>Namwera!D197+Namwera!E197+Namwera!F197</f>
        <v>312</v>
      </c>
      <c r="G197" s="681"/>
      <c r="H197" s="166">
        <f>SUM(D197:F197)</f>
        <v>914.25</v>
      </c>
    </row>
    <row r="198" spans="1:8" x14ac:dyDescent="0.3">
      <c r="A198" s="282" t="s">
        <v>203</v>
      </c>
      <c r="B198" s="283"/>
      <c r="C198" s="283"/>
      <c r="D198" s="283"/>
      <c r="E198" s="283"/>
      <c r="F198" s="283"/>
      <c r="G198" s="283"/>
      <c r="H198" s="567"/>
    </row>
    <row r="199" spans="1:8" x14ac:dyDescent="0.3">
      <c r="A199" s="287" t="s">
        <v>54</v>
      </c>
      <c r="B199" s="224" t="s">
        <v>53</v>
      </c>
      <c r="C199" s="11" t="s">
        <v>47</v>
      </c>
      <c r="D199" s="142">
        <f>Mangochi!D199+Mangochi!E199+Mangochi!F199</f>
        <v>0</v>
      </c>
      <c r="E199" s="142">
        <f>'Monkey Bay'!D199+'Monkey Bay'!E199+'Monkey Bay'!F199</f>
        <v>0</v>
      </c>
      <c r="F199" s="142">
        <f>Namwera!D199+Namwera!E199+Namwera!F199</f>
        <v>0</v>
      </c>
      <c r="G199" s="134"/>
      <c r="H199" s="39">
        <f t="shared" ref="H199:H204" si="51">SUM(D199:F199)</f>
        <v>0</v>
      </c>
    </row>
    <row r="200" spans="1:8" x14ac:dyDescent="0.3">
      <c r="A200" s="291"/>
      <c r="B200" s="224" t="s">
        <v>52</v>
      </c>
      <c r="C200" s="11" t="s">
        <v>47</v>
      </c>
      <c r="D200" s="142">
        <f>Mangochi!D200+Mangochi!E200+Mangochi!F200</f>
        <v>0</v>
      </c>
      <c r="E200" s="142">
        <f>'Monkey Bay'!D200+'Monkey Bay'!E200+'Monkey Bay'!F200</f>
        <v>0</v>
      </c>
      <c r="F200" s="142">
        <f>Namwera!D200+Namwera!E200+Namwera!F200</f>
        <v>0</v>
      </c>
      <c r="G200" s="134"/>
      <c r="H200" s="39">
        <f t="shared" si="51"/>
        <v>0</v>
      </c>
    </row>
    <row r="201" spans="1:8" x14ac:dyDescent="0.3">
      <c r="A201" s="291"/>
      <c r="B201" s="224" t="s">
        <v>51</v>
      </c>
      <c r="C201" s="11" t="s">
        <v>47</v>
      </c>
      <c r="D201" s="142">
        <f>Mangochi!D201+Mangochi!E201+Mangochi!F201</f>
        <v>0</v>
      </c>
      <c r="E201" s="142">
        <f>'Monkey Bay'!D201+'Monkey Bay'!E201+'Monkey Bay'!F201</f>
        <v>240</v>
      </c>
      <c r="F201" s="142">
        <f>Namwera!D201+Namwera!E201+Namwera!F201</f>
        <v>0</v>
      </c>
      <c r="G201" s="134"/>
      <c r="H201" s="39">
        <f t="shared" si="51"/>
        <v>240</v>
      </c>
    </row>
    <row r="202" spans="1:8" x14ac:dyDescent="0.3">
      <c r="A202" s="291"/>
      <c r="B202" s="224" t="s">
        <v>50</v>
      </c>
      <c r="C202" s="11" t="s">
        <v>47</v>
      </c>
      <c r="D202" s="142">
        <f>Mangochi!D202+Mangochi!E202+Mangochi!F202</f>
        <v>0</v>
      </c>
      <c r="E202" s="142">
        <f>'Monkey Bay'!D202+'Monkey Bay'!E202+'Monkey Bay'!F202</f>
        <v>126</v>
      </c>
      <c r="F202" s="142">
        <f>Namwera!D202+Namwera!E202+Namwera!F202</f>
        <v>0</v>
      </c>
      <c r="G202" s="134"/>
      <c r="H202" s="39">
        <f t="shared" si="51"/>
        <v>126</v>
      </c>
    </row>
    <row r="203" spans="1:8" x14ac:dyDescent="0.3">
      <c r="A203" s="289"/>
      <c r="B203" s="224" t="s">
        <v>49</v>
      </c>
      <c r="C203" s="11" t="s">
        <v>47</v>
      </c>
      <c r="D203" s="142">
        <f>Mangochi!D203+Mangochi!E203+Mangochi!F203</f>
        <v>0</v>
      </c>
      <c r="E203" s="142">
        <f>'Monkey Bay'!D203+'Monkey Bay'!E203+'Monkey Bay'!F203</f>
        <v>240</v>
      </c>
      <c r="F203" s="142">
        <f>Namwera!D203+Namwera!E203+Namwera!F203</f>
        <v>0</v>
      </c>
      <c r="G203" s="134"/>
      <c r="H203" s="39">
        <f t="shared" si="51"/>
        <v>240</v>
      </c>
    </row>
    <row r="204" spans="1:8" x14ac:dyDescent="0.3">
      <c r="A204" s="83" t="s">
        <v>48</v>
      </c>
      <c r="B204" s="224"/>
      <c r="C204" s="11" t="s">
        <v>47</v>
      </c>
      <c r="D204" s="15">
        <f t="shared" ref="D204:F204" si="52">SUM(D199:D203)</f>
        <v>0</v>
      </c>
      <c r="E204" s="15">
        <f t="shared" si="52"/>
        <v>606</v>
      </c>
      <c r="F204" s="15">
        <f t="shared" si="52"/>
        <v>0</v>
      </c>
      <c r="G204" s="22"/>
      <c r="H204" s="111">
        <f t="shared" si="51"/>
        <v>606</v>
      </c>
    </row>
    <row r="205" spans="1:8" s="2" customFormat="1" x14ac:dyDescent="0.3">
      <c r="A205" s="282" t="s">
        <v>46</v>
      </c>
      <c r="B205" s="283"/>
      <c r="C205" s="283"/>
      <c r="D205" s="283"/>
      <c r="E205" s="283"/>
      <c r="F205" s="283"/>
      <c r="G205" s="283"/>
      <c r="H205" s="567"/>
    </row>
    <row r="206" spans="1:8" x14ac:dyDescent="0.3">
      <c r="A206" s="237" t="s">
        <v>43</v>
      </c>
      <c r="B206" s="238"/>
      <c r="C206" s="11" t="s">
        <v>31</v>
      </c>
      <c r="D206" s="15">
        <f>Mangochi!D206+Mangochi!E206+Mangochi!F206</f>
        <v>94710948</v>
      </c>
      <c r="E206" s="15">
        <f>'Monkey Bay'!D206+'Monkey Bay'!E206+'Monkey Bay'!F206</f>
        <v>25583946</v>
      </c>
      <c r="F206" s="15">
        <f>Namwera!D206+Namwera!E206+Namwera!F206</f>
        <v>2517993.62</v>
      </c>
      <c r="G206" s="22"/>
      <c r="H206" s="39">
        <f>SUM(D206:F206)</f>
        <v>122812887.62</v>
      </c>
    </row>
    <row r="207" spans="1:8" x14ac:dyDescent="0.3">
      <c r="A207" s="237" t="s">
        <v>42</v>
      </c>
      <c r="B207" s="238"/>
      <c r="C207" s="11" t="s">
        <v>31</v>
      </c>
      <c r="D207" s="15">
        <f>Mangochi!D207+Mangochi!E207+Mangochi!F207</f>
        <v>0</v>
      </c>
      <c r="E207" s="15">
        <f>'Monkey Bay'!D207+'Monkey Bay'!E207+'Monkey Bay'!F207</f>
        <v>0</v>
      </c>
      <c r="F207" s="15">
        <f>Namwera!D207+Namwera!E207+Namwera!F207</f>
        <v>0</v>
      </c>
      <c r="G207" s="22"/>
      <c r="H207" s="39">
        <f>SUM(D207:F207)</f>
        <v>0</v>
      </c>
    </row>
    <row r="208" spans="1:8" x14ac:dyDescent="0.3">
      <c r="A208" s="243" t="s">
        <v>41</v>
      </c>
      <c r="B208" s="244"/>
      <c r="C208" s="11" t="s">
        <v>31</v>
      </c>
      <c r="D208" s="15">
        <f>Mangochi!D208+Mangochi!E208+Mangochi!F208</f>
        <v>888000</v>
      </c>
      <c r="E208" s="15">
        <f>'Monkey Bay'!D208+'Monkey Bay'!E208+'Monkey Bay'!F208</f>
        <v>510144</v>
      </c>
      <c r="F208" s="15">
        <f>Namwera!D208+Namwera!E208+Namwera!F208</f>
        <v>0</v>
      </c>
      <c r="G208" s="22"/>
      <c r="H208" s="39">
        <f>SUM(D208:F208)</f>
        <v>1398144</v>
      </c>
    </row>
    <row r="209" spans="1:8" x14ac:dyDescent="0.3">
      <c r="A209" s="237" t="s">
        <v>40</v>
      </c>
      <c r="B209" s="238"/>
      <c r="C209" s="11" t="s">
        <v>31</v>
      </c>
      <c r="D209" s="15">
        <f>Mangochi!D209+Mangochi!E209+Mangochi!F209</f>
        <v>0</v>
      </c>
      <c r="E209" s="15">
        <f>'Monkey Bay'!D209+'Monkey Bay'!E209+'Monkey Bay'!F209</f>
        <v>460375400.5</v>
      </c>
      <c r="F209" s="15">
        <f>Namwera!D209+Namwera!E209+Namwera!F209</f>
        <v>0</v>
      </c>
      <c r="G209" s="22"/>
      <c r="H209" s="39">
        <f>SUM(D209:F209)</f>
        <v>460375400.5</v>
      </c>
    </row>
    <row r="210" spans="1:8" x14ac:dyDescent="0.3">
      <c r="A210" s="295" t="s">
        <v>45</v>
      </c>
      <c r="B210" s="296"/>
      <c r="C210" s="11" t="s">
        <v>31</v>
      </c>
      <c r="D210" s="10">
        <f t="shared" ref="D210:F210" si="53">SUM(D206:D209)</f>
        <v>95598948</v>
      </c>
      <c r="E210" s="10">
        <f t="shared" si="53"/>
        <v>486469490.5</v>
      </c>
      <c r="F210" s="10">
        <f t="shared" si="53"/>
        <v>2517993.62</v>
      </c>
      <c r="G210" s="14"/>
      <c r="H210" s="39">
        <f>SUM(D210:F210)</f>
        <v>584586432.12</v>
      </c>
    </row>
    <row r="211" spans="1:8" s="2" customFormat="1" x14ac:dyDescent="0.3">
      <c r="A211" s="282" t="s">
        <v>44</v>
      </c>
      <c r="B211" s="283"/>
      <c r="C211" s="283"/>
      <c r="D211" s="283"/>
      <c r="E211" s="283"/>
      <c r="F211" s="283"/>
      <c r="G211" s="283"/>
      <c r="H211" s="567"/>
    </row>
    <row r="212" spans="1:8" x14ac:dyDescent="0.3">
      <c r="A212" s="237" t="s">
        <v>43</v>
      </c>
      <c r="B212" s="238"/>
      <c r="C212" s="11" t="s">
        <v>31</v>
      </c>
      <c r="D212" s="15">
        <f>Mangochi!D212+Mangochi!E212+Mangochi!F212</f>
        <v>60673661.149999999</v>
      </c>
      <c r="E212" s="15">
        <f>'Monkey Bay'!D212+'Monkey Bay'!E212+'Monkey Bay'!F212</f>
        <v>44933574.420000002</v>
      </c>
      <c r="F212" s="15">
        <f>Namwera!D212+Namwera!E212+Namwera!F212</f>
        <v>4688465.82</v>
      </c>
      <c r="G212" s="22"/>
      <c r="H212" s="40">
        <f>SUM(D212:F212)</f>
        <v>110295701.38999999</v>
      </c>
    </row>
    <row r="213" spans="1:8" x14ac:dyDescent="0.3">
      <c r="A213" s="237" t="s">
        <v>42</v>
      </c>
      <c r="B213" s="238"/>
      <c r="C213" s="11" t="s">
        <v>31</v>
      </c>
      <c r="D213" s="15">
        <f>Mangochi!D213+Mangochi!E213+Mangochi!F213</f>
        <v>0</v>
      </c>
      <c r="E213" s="15">
        <f>'Monkey Bay'!D213+'Monkey Bay'!E213+'Monkey Bay'!F213</f>
        <v>0</v>
      </c>
      <c r="F213" s="15">
        <f>Namwera!D213+Namwera!E213+Namwera!F213</f>
        <v>0</v>
      </c>
      <c r="G213" s="22"/>
      <c r="H213" s="40">
        <f>SUM(D213:F213)</f>
        <v>0</v>
      </c>
    </row>
    <row r="214" spans="1:8" x14ac:dyDescent="0.3">
      <c r="A214" s="243" t="s">
        <v>41</v>
      </c>
      <c r="B214" s="244"/>
      <c r="C214" s="11" t="s">
        <v>31</v>
      </c>
      <c r="D214" s="15">
        <f>Mangochi!D214+Mangochi!E214+Mangochi!F214</f>
        <v>0</v>
      </c>
      <c r="E214" s="15">
        <f>'Monkey Bay'!D214+'Monkey Bay'!E214+'Monkey Bay'!F214</f>
        <v>0</v>
      </c>
      <c r="F214" s="15">
        <f>Namwera!D214+Namwera!E214+Namwera!F214</f>
        <v>0</v>
      </c>
      <c r="G214" s="22"/>
      <c r="H214" s="40">
        <f>SUM(D214:F214)</f>
        <v>0</v>
      </c>
    </row>
    <row r="215" spans="1:8" x14ac:dyDescent="0.3">
      <c r="A215" s="237" t="s">
        <v>40</v>
      </c>
      <c r="B215" s="238"/>
      <c r="C215" s="11" t="s">
        <v>31</v>
      </c>
      <c r="D215" s="15">
        <f>Mangochi!D215+Mangochi!E215+Mangochi!F215</f>
        <v>0</v>
      </c>
      <c r="E215" s="15">
        <f>'Monkey Bay'!D215+'Monkey Bay'!E215+'Monkey Bay'!F215</f>
        <v>0</v>
      </c>
      <c r="F215" s="15">
        <f>Namwera!D215+Namwera!E215+Namwera!F215</f>
        <v>0</v>
      </c>
      <c r="G215" s="22"/>
      <c r="H215" s="40">
        <f>SUM(D215:F215)</f>
        <v>0</v>
      </c>
    </row>
    <row r="216" spans="1:8" x14ac:dyDescent="0.3">
      <c r="A216" s="295" t="s">
        <v>39</v>
      </c>
      <c r="B216" s="296"/>
      <c r="C216" s="11" t="s">
        <v>31</v>
      </c>
      <c r="D216" s="10">
        <f t="shared" ref="D216:F216" si="54">SUM(D212:D215)</f>
        <v>60673661.149999999</v>
      </c>
      <c r="E216" s="10">
        <f t="shared" si="54"/>
        <v>44933574.420000002</v>
      </c>
      <c r="F216" s="10">
        <f t="shared" si="54"/>
        <v>4688465.82</v>
      </c>
      <c r="G216" s="14"/>
      <c r="H216" s="40">
        <f>SUM(D216:F216)</f>
        <v>110295701.38999999</v>
      </c>
    </row>
    <row r="217" spans="1:8" s="2" customFormat="1" x14ac:dyDescent="0.3">
      <c r="A217" s="234" t="s">
        <v>38</v>
      </c>
      <c r="B217" s="235"/>
      <c r="C217" s="11" t="s">
        <v>31</v>
      </c>
      <c r="D217" s="10">
        <f>D210+D216</f>
        <v>156272609.15000001</v>
      </c>
      <c r="E217" s="10">
        <f t="shared" ref="E217:H217" si="55">E210+E216</f>
        <v>531403064.92000002</v>
      </c>
      <c r="F217" s="10">
        <f t="shared" si="55"/>
        <v>7206459.4400000004</v>
      </c>
      <c r="G217" s="14"/>
      <c r="H217" s="40">
        <f t="shared" si="55"/>
        <v>694882133.50999999</v>
      </c>
    </row>
    <row r="218" spans="1:8" s="2" customFormat="1" x14ac:dyDescent="0.3">
      <c r="A218" s="282" t="s">
        <v>37</v>
      </c>
      <c r="B218" s="283"/>
      <c r="C218" s="283"/>
      <c r="D218" s="283"/>
      <c r="E218" s="283"/>
      <c r="F218" s="283"/>
      <c r="G218" s="283"/>
      <c r="H218" s="567"/>
    </row>
    <row r="219" spans="1:8" x14ac:dyDescent="0.3">
      <c r="A219" s="237" t="s">
        <v>35</v>
      </c>
      <c r="B219" s="238"/>
      <c r="C219" s="11" t="s">
        <v>31</v>
      </c>
      <c r="D219" s="15">
        <f>Mangochi!D219+Mangochi!E219+Mangochi!F219</f>
        <v>125070301.27000001</v>
      </c>
      <c r="E219" s="15">
        <f>'Monkey Bay'!D219+'Monkey Bay'!E219+'Monkey Bay'!F219</f>
        <v>39497885.5</v>
      </c>
      <c r="F219" s="15">
        <f>Namwera!D219+Namwera!E219+Namwera!F219</f>
        <v>4236832.21</v>
      </c>
      <c r="G219" s="22"/>
      <c r="H219" s="40">
        <f>SUM(D219:F219)</f>
        <v>168805018.98000002</v>
      </c>
    </row>
    <row r="220" spans="1:8" x14ac:dyDescent="0.3">
      <c r="A220" s="237" t="s">
        <v>34</v>
      </c>
      <c r="B220" s="238"/>
      <c r="C220" s="11" t="s">
        <v>31</v>
      </c>
      <c r="D220" s="15">
        <f>Mangochi!D220+Mangochi!E220+Mangochi!F220</f>
        <v>0</v>
      </c>
      <c r="E220" s="15">
        <f>'Monkey Bay'!D220+'Monkey Bay'!E220+'Monkey Bay'!F220</f>
        <v>0</v>
      </c>
      <c r="F220" s="15">
        <f>Namwera!D220+Namwera!E220+Namwera!F220</f>
        <v>0</v>
      </c>
      <c r="G220" s="22"/>
      <c r="H220" s="40">
        <f>SUM(D220:F220)</f>
        <v>0</v>
      </c>
    </row>
    <row r="221" spans="1:8" x14ac:dyDescent="0.3">
      <c r="A221" s="237" t="s">
        <v>33</v>
      </c>
      <c r="B221" s="238"/>
      <c r="C221" s="11" t="s">
        <v>31</v>
      </c>
      <c r="D221" s="15">
        <f>Mangochi!D221+Mangochi!E221+Mangochi!F221</f>
        <v>2373547</v>
      </c>
      <c r="E221" s="15">
        <f>'Monkey Bay'!D221+'Monkey Bay'!E221+'Monkey Bay'!F221</f>
        <v>171119505.24000001</v>
      </c>
      <c r="F221" s="15">
        <f>Namwera!D221+Namwera!E221+Namwera!F221</f>
        <v>82312.509999999995</v>
      </c>
      <c r="G221" s="22"/>
      <c r="H221" s="40">
        <f>SUM(D221:F221)</f>
        <v>173575364.75</v>
      </c>
    </row>
    <row r="222" spans="1:8" x14ac:dyDescent="0.3">
      <c r="A222" s="237" t="s">
        <v>32</v>
      </c>
      <c r="B222" s="238"/>
      <c r="C222" s="11" t="s">
        <v>31</v>
      </c>
      <c r="D222" s="15">
        <f>Mangochi!D222+Mangochi!E222+Mangochi!F222</f>
        <v>1746857.5</v>
      </c>
      <c r="E222" s="15">
        <f>'Monkey Bay'!D222+'Monkey Bay'!E222+'Monkey Bay'!F222</f>
        <v>40756147.030000001</v>
      </c>
      <c r="F222" s="15">
        <f>Namwera!D222+Namwera!E222+Namwera!F222</f>
        <v>0</v>
      </c>
      <c r="G222" s="22"/>
      <c r="H222" s="40">
        <f>SUM(D222:F222)</f>
        <v>42503004.530000001</v>
      </c>
    </row>
    <row r="223" spans="1:8" x14ac:dyDescent="0.3">
      <c r="A223" s="295" t="s">
        <v>36</v>
      </c>
      <c r="B223" s="296"/>
      <c r="C223" s="11" t="s">
        <v>31</v>
      </c>
      <c r="D223" s="12">
        <f t="shared" ref="D223:F223" si="56">SUM(D219:D222)</f>
        <v>129190705.77000001</v>
      </c>
      <c r="E223" s="10">
        <f t="shared" si="56"/>
        <v>251373537.77000001</v>
      </c>
      <c r="F223" s="10">
        <f t="shared" si="56"/>
        <v>4319144.72</v>
      </c>
      <c r="G223" s="14"/>
      <c r="H223" s="40">
        <f>SUM(D223:F223)</f>
        <v>384883388.26000005</v>
      </c>
    </row>
    <row r="224" spans="1:8" x14ac:dyDescent="0.3">
      <c r="A224" s="282" t="s">
        <v>211</v>
      </c>
      <c r="B224" s="283"/>
      <c r="C224" s="283"/>
      <c r="D224" s="283"/>
      <c r="E224" s="283"/>
      <c r="F224" s="283"/>
      <c r="G224" s="283"/>
      <c r="H224" s="567"/>
    </row>
    <row r="225" spans="1:8" x14ac:dyDescent="0.3">
      <c r="A225" s="237" t="s">
        <v>35</v>
      </c>
      <c r="B225" s="238"/>
      <c r="C225" s="11" t="s">
        <v>31</v>
      </c>
      <c r="D225" s="15">
        <f>Mangochi!D225+Mangochi!E225+Mangochi!F225</f>
        <v>58399880.480000004</v>
      </c>
      <c r="E225" s="15">
        <f>'Monkey Bay'!D225+'Monkey Bay'!E225+'Monkey Bay'!F225</f>
        <v>34661812.640000001</v>
      </c>
      <c r="F225" s="15">
        <f>Namwera!D225+Namwera!E225+Namwera!F225</f>
        <v>4306988.92</v>
      </c>
      <c r="G225" s="22"/>
      <c r="H225" s="39">
        <f t="shared" ref="H225:H230" si="57">SUM(D225:F225)</f>
        <v>97368682.040000007</v>
      </c>
    </row>
    <row r="226" spans="1:8" x14ac:dyDescent="0.3">
      <c r="A226" s="237" t="s">
        <v>34</v>
      </c>
      <c r="B226" s="238"/>
      <c r="C226" s="11" t="s">
        <v>31</v>
      </c>
      <c r="D226" s="15">
        <f>Mangochi!D226+Mangochi!E226+Mangochi!F226</f>
        <v>0</v>
      </c>
      <c r="E226" s="15">
        <f>'Monkey Bay'!D226+'Monkey Bay'!E226+'Monkey Bay'!F226</f>
        <v>0</v>
      </c>
      <c r="F226" s="15">
        <f>Namwera!D226+Namwera!E226+Namwera!F226</f>
        <v>0</v>
      </c>
      <c r="G226" s="22"/>
      <c r="H226" s="39">
        <f t="shared" si="57"/>
        <v>0</v>
      </c>
    </row>
    <row r="227" spans="1:8" x14ac:dyDescent="0.3">
      <c r="A227" s="237" t="s">
        <v>33</v>
      </c>
      <c r="B227" s="238"/>
      <c r="C227" s="11" t="s">
        <v>31</v>
      </c>
      <c r="D227" s="15">
        <f>Mangochi!D227+Mangochi!E227+Mangochi!F227</f>
        <v>0</v>
      </c>
      <c r="E227" s="15">
        <f>'Monkey Bay'!D227+'Monkey Bay'!E227+'Monkey Bay'!F227</f>
        <v>0</v>
      </c>
      <c r="F227" s="15">
        <f>Namwera!D227+Namwera!E227+Namwera!F227</f>
        <v>0</v>
      </c>
      <c r="G227" s="22"/>
      <c r="H227" s="39">
        <f t="shared" si="57"/>
        <v>0</v>
      </c>
    </row>
    <row r="228" spans="1:8" x14ac:dyDescent="0.3">
      <c r="A228" s="237" t="s">
        <v>32</v>
      </c>
      <c r="B228" s="238"/>
      <c r="C228" s="11" t="s">
        <v>31</v>
      </c>
      <c r="D228" s="15">
        <f>Mangochi!D228+Mangochi!E228+Mangochi!F228</f>
        <v>0</v>
      </c>
      <c r="E228" s="15">
        <f>'Monkey Bay'!D228+'Monkey Bay'!E228+'Monkey Bay'!F228</f>
        <v>0</v>
      </c>
      <c r="F228" s="15">
        <f>Namwera!D228+Namwera!E228+Namwera!F228</f>
        <v>0</v>
      </c>
      <c r="G228" s="22"/>
      <c r="H228" s="39">
        <f t="shared" si="57"/>
        <v>0</v>
      </c>
    </row>
    <row r="229" spans="1:8" x14ac:dyDescent="0.3">
      <c r="A229" s="295" t="s">
        <v>212</v>
      </c>
      <c r="B229" s="296"/>
      <c r="C229" s="11" t="s">
        <v>31</v>
      </c>
      <c r="D229" s="12">
        <f t="shared" ref="D229:F229" si="58">SUM(D225:D228)</f>
        <v>58399880.480000004</v>
      </c>
      <c r="E229" s="10">
        <f t="shared" si="58"/>
        <v>34661812.640000001</v>
      </c>
      <c r="F229" s="10">
        <f t="shared" si="58"/>
        <v>4306988.92</v>
      </c>
      <c r="G229" s="14"/>
      <c r="H229" s="39">
        <f t="shared" si="57"/>
        <v>97368682.040000007</v>
      </c>
    </row>
    <row r="230" spans="1:8" x14ac:dyDescent="0.3">
      <c r="A230" s="234" t="s">
        <v>213</v>
      </c>
      <c r="B230" s="120"/>
      <c r="C230" s="11" t="s">
        <v>31</v>
      </c>
      <c r="D230" s="12">
        <f>D223+D229</f>
        <v>187590586.25</v>
      </c>
      <c r="E230" s="12">
        <f t="shared" ref="E230:F230" si="59">E223+E229</f>
        <v>286035350.41000003</v>
      </c>
      <c r="F230" s="12">
        <f t="shared" si="59"/>
        <v>8626133.6400000006</v>
      </c>
      <c r="G230" s="682"/>
      <c r="H230" s="39">
        <f t="shared" si="57"/>
        <v>482252070.30000001</v>
      </c>
    </row>
    <row r="231" spans="1:8" x14ac:dyDescent="0.3">
      <c r="A231" s="282" t="s">
        <v>30</v>
      </c>
      <c r="B231" s="283"/>
      <c r="C231" s="283"/>
      <c r="D231" s="283"/>
      <c r="E231" s="283"/>
      <c r="F231" s="283"/>
      <c r="G231" s="283"/>
      <c r="H231" s="567"/>
    </row>
    <row r="232" spans="1:8" x14ac:dyDescent="0.3">
      <c r="A232" s="237" t="s">
        <v>29</v>
      </c>
      <c r="B232" s="238"/>
      <c r="C232" s="11" t="s">
        <v>18</v>
      </c>
      <c r="D232" s="15">
        <f>Mangochi!D232+Mangochi!E232+Mangochi!F232</f>
        <v>6248316.0800000001</v>
      </c>
      <c r="E232" s="15">
        <f>'Monkey Bay'!D232+'Monkey Bay'!E232+'Monkey Bay'!F232</f>
        <v>1666600.8599999999</v>
      </c>
      <c r="F232" s="15">
        <f>Namwera!D232+Namwera!E232+Namwera!F232</f>
        <v>323259.03999999998</v>
      </c>
      <c r="G232" s="22"/>
      <c r="H232" s="40">
        <f>SUM(D232:F232)</f>
        <v>8238175.9799999995</v>
      </c>
    </row>
    <row r="233" spans="1:8" x14ac:dyDescent="0.3">
      <c r="A233" s="237" t="s">
        <v>28</v>
      </c>
      <c r="B233" s="238"/>
      <c r="C233" s="11" t="s">
        <v>18</v>
      </c>
      <c r="D233" s="15">
        <f>Mangochi!D233+Mangochi!E233+Mangochi!F233</f>
        <v>0</v>
      </c>
      <c r="E233" s="15">
        <f>'Monkey Bay'!D233+'Monkey Bay'!E233+'Monkey Bay'!F233</f>
        <v>0</v>
      </c>
      <c r="F233" s="15">
        <f>Namwera!D233+Namwera!E233+Namwera!F233</f>
        <v>0</v>
      </c>
      <c r="G233" s="22"/>
      <c r="H233" s="40">
        <f>SUM(D233:F233)</f>
        <v>0</v>
      </c>
    </row>
    <row r="234" spans="1:8" x14ac:dyDescent="0.3">
      <c r="A234" s="237" t="s">
        <v>27</v>
      </c>
      <c r="B234" s="238"/>
      <c r="C234" s="11" t="s">
        <v>18</v>
      </c>
      <c r="D234" s="15">
        <f>Mangochi!D234+Mangochi!E234+Mangochi!F234</f>
        <v>67872.75</v>
      </c>
      <c r="E234" s="15">
        <f>'Monkey Bay'!D234+'Monkey Bay'!E234+'Monkey Bay'!F234</f>
        <v>156312.25</v>
      </c>
      <c r="F234" s="15">
        <f>Namwera!D234+Namwera!E234+Namwera!F234</f>
        <v>8224.75</v>
      </c>
      <c r="G234" s="22"/>
      <c r="H234" s="40">
        <f>SUM(D234:F234)</f>
        <v>232409.75</v>
      </c>
    </row>
    <row r="235" spans="1:8" x14ac:dyDescent="0.3">
      <c r="A235" s="237" t="s">
        <v>26</v>
      </c>
      <c r="B235" s="238"/>
      <c r="C235" s="11" t="s">
        <v>18</v>
      </c>
      <c r="D235" s="15">
        <f>Mangochi!D235+Mangochi!E235+Mangochi!F235</f>
        <v>75884</v>
      </c>
      <c r="E235" s="15">
        <f>'Monkey Bay'!D235+'Monkey Bay'!E235+'Monkey Bay'!F235</f>
        <v>115231.61</v>
      </c>
      <c r="F235" s="15">
        <f>Namwera!D235+Namwera!E235+Namwera!F235</f>
        <v>0</v>
      </c>
      <c r="G235" s="22"/>
      <c r="H235" s="40">
        <f>SUM(D235:F235)</f>
        <v>191115.61</v>
      </c>
    </row>
    <row r="236" spans="1:8" x14ac:dyDescent="0.3">
      <c r="A236" s="295" t="s">
        <v>25</v>
      </c>
      <c r="B236" s="296"/>
      <c r="C236" s="11" t="s">
        <v>18</v>
      </c>
      <c r="D236" s="12">
        <f t="shared" ref="D236:F236" si="60">SUM(D232:D235)</f>
        <v>6392072.8300000001</v>
      </c>
      <c r="E236" s="12">
        <f t="shared" si="60"/>
        <v>1938144.72</v>
      </c>
      <c r="F236" s="12">
        <f t="shared" si="60"/>
        <v>331483.78999999998</v>
      </c>
      <c r="G236" s="682"/>
      <c r="H236" s="40">
        <f>SUM(H232:H235)</f>
        <v>8661701.3399999999</v>
      </c>
    </row>
    <row r="237" spans="1:8" x14ac:dyDescent="0.3">
      <c r="A237" s="282" t="s">
        <v>24</v>
      </c>
      <c r="B237" s="283"/>
      <c r="C237" s="283"/>
      <c r="D237" s="283"/>
      <c r="E237" s="283"/>
      <c r="F237" s="283"/>
      <c r="G237" s="283"/>
      <c r="H237" s="567"/>
    </row>
    <row r="238" spans="1:8" x14ac:dyDescent="0.3">
      <c r="A238" s="237" t="s">
        <v>23</v>
      </c>
      <c r="B238" s="238"/>
      <c r="C238" s="11" t="s">
        <v>18</v>
      </c>
      <c r="D238" s="15">
        <f>Mangochi!D238+Mangochi!E238+Mangochi!F238</f>
        <v>12710069</v>
      </c>
      <c r="E238" s="15">
        <f>'Monkey Bay'!D238+'Monkey Bay'!E238+'Monkey Bay'!F238</f>
        <v>3660407</v>
      </c>
      <c r="F238" s="15">
        <f>Namwera!D238+Namwera!E238+Namwera!F238</f>
        <v>645639</v>
      </c>
      <c r="G238" s="22"/>
      <c r="H238" s="40">
        <f>SUM(D238:F238)</f>
        <v>17016115</v>
      </c>
    </row>
    <row r="239" spans="1:8" x14ac:dyDescent="0.3">
      <c r="A239" s="237" t="s">
        <v>22</v>
      </c>
      <c r="B239" s="238"/>
      <c r="C239" s="11" t="s">
        <v>18</v>
      </c>
      <c r="D239" s="15">
        <f>Mangochi!D239+Mangochi!E239+Mangochi!F239</f>
        <v>0</v>
      </c>
      <c r="E239" s="15">
        <f>'Monkey Bay'!D239+'Monkey Bay'!E239+'Monkey Bay'!F239</f>
        <v>0</v>
      </c>
      <c r="F239" s="15">
        <f>Namwera!D239+Namwera!E239+Namwera!F239</f>
        <v>0</v>
      </c>
      <c r="G239" s="22"/>
      <c r="H239" s="40">
        <f>SUM(D239:F239)</f>
        <v>0</v>
      </c>
    </row>
    <row r="240" spans="1:8" x14ac:dyDescent="0.3">
      <c r="A240" s="237" t="s">
        <v>21</v>
      </c>
      <c r="B240" s="238"/>
      <c r="C240" s="11" t="s">
        <v>18</v>
      </c>
      <c r="D240" s="15">
        <f>Mangochi!D240+Mangochi!E240+Mangochi!F240</f>
        <v>22325</v>
      </c>
      <c r="E240" s="15">
        <f>'Monkey Bay'!D240+'Monkey Bay'!E240+'Monkey Bay'!F240</f>
        <v>50901</v>
      </c>
      <c r="F240" s="15">
        <f>Namwera!D240+Namwera!E240+Namwera!F240</f>
        <v>2679</v>
      </c>
      <c r="G240" s="22"/>
      <c r="H240" s="40">
        <f>SUM(D240:F240)</f>
        <v>75905</v>
      </c>
    </row>
    <row r="241" spans="1:8" x14ac:dyDescent="0.3">
      <c r="A241" s="237" t="s">
        <v>20</v>
      </c>
      <c r="B241" s="238"/>
      <c r="C241" s="11" t="s">
        <v>18</v>
      </c>
      <c r="D241" s="15">
        <f>Mangochi!D241+Mangochi!E241+Mangochi!F241</f>
        <v>17860</v>
      </c>
      <c r="E241" s="15">
        <f>'Monkey Bay'!D241+'Monkey Bay'!E241+'Monkey Bay'!F241</f>
        <v>27683</v>
      </c>
      <c r="F241" s="15">
        <f>Namwera!D241+Namwera!E241+Namwera!F241</f>
        <v>0</v>
      </c>
      <c r="G241" s="22"/>
      <c r="H241" s="40">
        <f>SUM(D241:F241)</f>
        <v>45543</v>
      </c>
    </row>
    <row r="242" spans="1:8" x14ac:dyDescent="0.3">
      <c r="A242" s="295" t="s">
        <v>19</v>
      </c>
      <c r="B242" s="296"/>
      <c r="C242" s="11" t="s">
        <v>18</v>
      </c>
      <c r="D242" s="12">
        <f t="shared" ref="D242:H242" si="61">SUM(D238:D241)</f>
        <v>12750254</v>
      </c>
      <c r="E242" s="12">
        <f t="shared" si="61"/>
        <v>3738991</v>
      </c>
      <c r="F242" s="12">
        <f t="shared" si="61"/>
        <v>648318</v>
      </c>
      <c r="G242" s="682"/>
      <c r="H242" s="40">
        <f t="shared" si="61"/>
        <v>17137563</v>
      </c>
    </row>
    <row r="243" spans="1:8" x14ac:dyDescent="0.3">
      <c r="A243" s="295" t="s">
        <v>214</v>
      </c>
      <c r="B243" s="296"/>
      <c r="C243" s="11" t="s">
        <v>18</v>
      </c>
      <c r="D243" s="10">
        <f>D230+D236+D242</f>
        <v>206732913.08000001</v>
      </c>
      <c r="E243" s="10">
        <f t="shared" ref="E243:F243" si="62">E230+E236+E242</f>
        <v>291712486.13000005</v>
      </c>
      <c r="F243" s="10">
        <f t="shared" si="62"/>
        <v>9605935.4299999997</v>
      </c>
      <c r="G243" s="14"/>
      <c r="H243" s="40">
        <f t="shared" ref="H243" si="63">H216+H223+H236+H242</f>
        <v>520978353.99000001</v>
      </c>
    </row>
    <row r="244" spans="1:8" x14ac:dyDescent="0.3">
      <c r="A244" s="282" t="s">
        <v>204</v>
      </c>
      <c r="B244" s="283"/>
      <c r="C244" s="283"/>
      <c r="D244" s="283"/>
      <c r="E244" s="283"/>
      <c r="F244" s="283"/>
      <c r="G244" s="283"/>
      <c r="H244" s="567"/>
    </row>
    <row r="245" spans="1:8" x14ac:dyDescent="0.3">
      <c r="A245" s="315" t="s">
        <v>205</v>
      </c>
      <c r="B245" s="316"/>
      <c r="C245" s="11" t="s">
        <v>18</v>
      </c>
      <c r="D245" s="155">
        <f>Mangochi!F245</f>
        <v>337864667.02999896</v>
      </c>
      <c r="E245" s="155">
        <f>'Monkey Bay'!F245</f>
        <v>119601349.22000025</v>
      </c>
      <c r="F245" s="155">
        <f>Namwera!F245</f>
        <v>21161651.609999992</v>
      </c>
      <c r="G245" s="683"/>
      <c r="H245" s="40">
        <f>SUM(D245:F245)</f>
        <v>478627667.85999924</v>
      </c>
    </row>
    <row r="246" spans="1:8" x14ac:dyDescent="0.3">
      <c r="A246" s="315" t="s">
        <v>206</v>
      </c>
      <c r="B246" s="316"/>
      <c r="C246" s="11" t="s">
        <v>18</v>
      </c>
      <c r="D246" s="155">
        <f>Mangochi!F246</f>
        <v>304314572.08999914</v>
      </c>
      <c r="E246" s="155">
        <f>'Monkey Bay'!F246</f>
        <v>577786289.48000002</v>
      </c>
      <c r="F246" s="155">
        <f>Namwera!F246</f>
        <v>39469095.750000022</v>
      </c>
      <c r="G246" s="683"/>
      <c r="H246" s="40">
        <f>SUM(D246:F246)</f>
        <v>921569957.31999922</v>
      </c>
    </row>
    <row r="247" spans="1:8" x14ac:dyDescent="0.3">
      <c r="A247" s="317" t="s">
        <v>207</v>
      </c>
      <c r="B247" s="318"/>
      <c r="C247" s="11" t="s">
        <v>18</v>
      </c>
      <c r="D247" s="143">
        <f>D245+D246</f>
        <v>642179239.1199981</v>
      </c>
      <c r="E247" s="143">
        <f t="shared" ref="E247:H247" si="64">E245+E246</f>
        <v>697387638.70000029</v>
      </c>
      <c r="F247" s="143">
        <f t="shared" si="64"/>
        <v>60630747.360000014</v>
      </c>
      <c r="G247" s="684"/>
      <c r="H247" s="164">
        <f t="shared" si="64"/>
        <v>1400197625.1799984</v>
      </c>
    </row>
    <row r="248" spans="1:8" x14ac:dyDescent="0.3">
      <c r="A248" s="282" t="s">
        <v>17</v>
      </c>
      <c r="B248" s="283"/>
      <c r="C248" s="283"/>
      <c r="D248" s="283"/>
      <c r="E248" s="283"/>
      <c r="F248" s="283"/>
      <c r="G248" s="283"/>
      <c r="H248" s="567"/>
    </row>
    <row r="249" spans="1:8" x14ac:dyDescent="0.3">
      <c r="A249" s="256" t="s">
        <v>16</v>
      </c>
      <c r="B249" s="257"/>
      <c r="C249" s="5" t="s">
        <v>6</v>
      </c>
      <c r="D249" s="8">
        <f>D58/D243</f>
        <v>0.46924614336489473</v>
      </c>
      <c r="E249" s="8">
        <f t="shared" ref="E249:H249" si="65">E58/E243</f>
        <v>0.10165324484871405</v>
      </c>
      <c r="F249" s="8">
        <f t="shared" si="65"/>
        <v>1.0932541139306824</v>
      </c>
      <c r="G249" s="685"/>
      <c r="H249" s="112">
        <f t="shared" si="65"/>
        <v>0.26328132507596047</v>
      </c>
    </row>
    <row r="250" spans="1:8" x14ac:dyDescent="0.3">
      <c r="A250" s="256" t="s">
        <v>208</v>
      </c>
      <c r="B250" s="257"/>
      <c r="C250" s="5" t="s">
        <v>6</v>
      </c>
      <c r="D250" s="29">
        <f>D210/(D223+D245)</f>
        <v>0.20468439839774005</v>
      </c>
      <c r="E250" s="29">
        <f t="shared" ref="E250:H250" si="66">E210/(E223+E245)</f>
        <v>1.3113272826823799</v>
      </c>
      <c r="F250" s="29">
        <f t="shared" si="66"/>
        <v>9.8819267160635119E-2</v>
      </c>
      <c r="G250" s="678"/>
      <c r="H250" s="109">
        <f t="shared" si="66"/>
        <v>0.67698777911045294</v>
      </c>
    </row>
    <row r="251" spans="1:8" ht="16.2" thickBot="1" x14ac:dyDescent="0.35">
      <c r="A251" s="306" t="s">
        <v>15</v>
      </c>
      <c r="B251" s="307"/>
      <c r="C251" s="5" t="s">
        <v>6</v>
      </c>
      <c r="D251" s="7">
        <f>D210/D223</f>
        <v>0.73998317007568737</v>
      </c>
      <c r="E251" s="7">
        <f t="shared" ref="E251:H251" si="67">E210/E223</f>
        <v>1.9352454312239757</v>
      </c>
      <c r="F251" s="7">
        <f t="shared" si="67"/>
        <v>0.58298431361660885</v>
      </c>
      <c r="G251" s="686"/>
      <c r="H251" s="113">
        <f t="shared" si="67"/>
        <v>1.5188663630374577</v>
      </c>
    </row>
    <row r="252" spans="1:8" x14ac:dyDescent="0.3">
      <c r="A252" s="308" t="s">
        <v>14</v>
      </c>
      <c r="B252" s="309"/>
      <c r="C252" s="309"/>
      <c r="D252" s="309"/>
      <c r="E252" s="309"/>
      <c r="F252" s="309"/>
      <c r="G252" s="309"/>
      <c r="H252" s="575"/>
    </row>
    <row r="253" spans="1:8" s="2" customFormat="1" ht="15" customHeight="1" x14ac:dyDescent="0.3">
      <c r="A253" s="256" t="s">
        <v>13</v>
      </c>
      <c r="B253" s="257"/>
      <c r="C253" s="5" t="s">
        <v>3</v>
      </c>
      <c r="D253" s="142">
        <f>Mangochi!D253+Mangochi!E253+Mangochi!F253</f>
        <v>352</v>
      </c>
      <c r="E253" s="142">
        <f>'Monkey Bay'!D253+'Monkey Bay'!E253+'Monkey Bay'!F253</f>
        <v>43</v>
      </c>
      <c r="F253" s="142">
        <f>Namwera!D253+Namwera!E253+Namwera!F253</f>
        <v>50</v>
      </c>
      <c r="G253" s="134"/>
      <c r="H253" s="114">
        <f>SUM(D253:F253)</f>
        <v>445</v>
      </c>
    </row>
    <row r="254" spans="1:8" s="2" customFormat="1" x14ac:dyDescent="0.3">
      <c r="A254" s="256" t="s">
        <v>12</v>
      </c>
      <c r="B254" s="257"/>
      <c r="C254" s="5" t="s">
        <v>3</v>
      </c>
      <c r="D254" s="142">
        <f>Mangochi!D254+Mangochi!E254+Mangochi!F254</f>
        <v>4</v>
      </c>
      <c r="E254" s="142">
        <f>'Monkey Bay'!D254+'Monkey Bay'!E254+'Monkey Bay'!F254</f>
        <v>3</v>
      </c>
      <c r="F254" s="142">
        <f>Namwera!D254+Namwera!E254+Namwera!F254</f>
        <v>4</v>
      </c>
      <c r="G254" s="134"/>
      <c r="H254" s="114">
        <f>SUM(D254:F254)</f>
        <v>11</v>
      </c>
    </row>
    <row r="255" spans="1:8" ht="15.75" customHeight="1" x14ac:dyDescent="0.3">
      <c r="A255" s="256" t="s">
        <v>11</v>
      </c>
      <c r="B255" s="257"/>
      <c r="C255" s="5" t="s">
        <v>3</v>
      </c>
      <c r="D255" s="4">
        <f>D95</f>
        <v>1332</v>
      </c>
      <c r="E255" s="4">
        <f t="shared" ref="E255:F255" si="68">E95</f>
        <v>113</v>
      </c>
      <c r="F255" s="4">
        <f t="shared" si="68"/>
        <v>47</v>
      </c>
      <c r="G255" s="673"/>
      <c r="H255" s="114">
        <f>SUM(D255:F255)</f>
        <v>1492</v>
      </c>
    </row>
    <row r="256" spans="1:8" x14ac:dyDescent="0.3">
      <c r="A256" s="256" t="s">
        <v>10</v>
      </c>
      <c r="B256" s="257"/>
      <c r="C256" s="5" t="s">
        <v>3</v>
      </c>
      <c r="D256" s="4">
        <f>D91</f>
        <v>352</v>
      </c>
      <c r="E256" s="4">
        <f t="shared" ref="E256:F256" si="69">E91</f>
        <v>43</v>
      </c>
      <c r="F256" s="4">
        <f t="shared" si="69"/>
        <v>7</v>
      </c>
      <c r="G256" s="673"/>
      <c r="H256" s="114">
        <f>SUM(D256:F256)</f>
        <v>402</v>
      </c>
    </row>
    <row r="257" spans="1:8" ht="15.6" customHeight="1" x14ac:dyDescent="0.3">
      <c r="A257" s="256" t="s">
        <v>9</v>
      </c>
      <c r="B257" s="257"/>
      <c r="C257" s="5" t="s">
        <v>3</v>
      </c>
      <c r="D257" s="142">
        <f>Mangochi!D257+Mangochi!E257+Mangochi!F257</f>
        <v>13197</v>
      </c>
      <c r="E257" s="142">
        <f>'Monkey Bay'!D257+'Monkey Bay'!E257+'Monkey Bay'!F257</f>
        <v>4034</v>
      </c>
      <c r="F257" s="142">
        <f>Namwera!D257+Namwera!E257+Namwera!F257</f>
        <v>130</v>
      </c>
      <c r="G257" s="134"/>
      <c r="H257" s="114">
        <f>SUM(D257:F257)</f>
        <v>17361</v>
      </c>
    </row>
    <row r="258" spans="1:8" x14ac:dyDescent="0.3">
      <c r="A258" s="295" t="s">
        <v>8</v>
      </c>
      <c r="B258" s="296"/>
      <c r="C258" s="5" t="s">
        <v>3</v>
      </c>
      <c r="D258" s="1">
        <f t="shared" ref="D258:H258" si="70">D257/D256</f>
        <v>37.491477272727273</v>
      </c>
      <c r="E258" s="1">
        <f t="shared" si="70"/>
        <v>93.813953488372093</v>
      </c>
      <c r="F258" s="1">
        <f t="shared" si="70"/>
        <v>18.571428571428573</v>
      </c>
      <c r="G258" s="129"/>
      <c r="H258" s="114">
        <f t="shared" si="70"/>
        <v>43.186567164179102</v>
      </c>
    </row>
    <row r="259" spans="1:8" x14ac:dyDescent="0.3">
      <c r="A259" s="295" t="s">
        <v>7</v>
      </c>
      <c r="B259" s="296"/>
      <c r="C259" s="5" t="s">
        <v>6</v>
      </c>
      <c r="D259" s="1">
        <f t="shared" ref="D259:H259" si="71">D92/D255*100</f>
        <v>0.52552552552552556</v>
      </c>
      <c r="E259" s="1">
        <f t="shared" si="71"/>
        <v>0</v>
      </c>
      <c r="F259" s="1">
        <f t="shared" si="71"/>
        <v>0</v>
      </c>
      <c r="G259" s="129"/>
      <c r="H259" s="614">
        <f t="shared" si="71"/>
        <v>0.46916890080428952</v>
      </c>
    </row>
    <row r="260" spans="1:8" x14ac:dyDescent="0.3">
      <c r="A260" s="282" t="s">
        <v>5</v>
      </c>
      <c r="B260" s="283"/>
      <c r="C260" s="283"/>
      <c r="D260" s="283"/>
      <c r="E260" s="283"/>
      <c r="F260" s="283"/>
      <c r="G260" s="283"/>
      <c r="H260" s="567"/>
    </row>
    <row r="261" spans="1:8" s="2" customFormat="1" ht="15" customHeight="1" x14ac:dyDescent="0.3">
      <c r="A261" s="256" t="s">
        <v>4</v>
      </c>
      <c r="B261" s="257"/>
      <c r="C261" s="5" t="s">
        <v>3</v>
      </c>
      <c r="D261" s="142">
        <f>Mangochi!D261+Mangochi!E261+Mangochi!F261</f>
        <v>136</v>
      </c>
      <c r="E261" s="142">
        <f>'Monkey Bay'!D261+'Monkey Bay'!E261+'Monkey Bay'!F261</f>
        <v>109</v>
      </c>
      <c r="F261" s="142">
        <f>Namwera!D261+Namwera!E261+Namwera!F261</f>
        <v>27</v>
      </c>
      <c r="G261" s="134"/>
      <c r="H261" s="114">
        <f>SUM(D261:F261)</f>
        <v>272</v>
      </c>
    </row>
    <row r="262" spans="1:8" s="2" customFormat="1" ht="15.75" customHeight="1" x14ac:dyDescent="0.3">
      <c r="A262" s="256" t="s">
        <v>2</v>
      </c>
      <c r="B262" s="257"/>
      <c r="C262" s="5" t="s">
        <v>0</v>
      </c>
      <c r="D262" s="142">
        <f>Mangochi!D262+Mangochi!E262+Mangochi!F262</f>
        <v>5</v>
      </c>
      <c r="E262" s="142">
        <f>'Monkey Bay'!D262+'Monkey Bay'!E262+'Monkey Bay'!F262</f>
        <v>3</v>
      </c>
      <c r="F262" s="142">
        <f>Namwera!D262+Namwera!E262+Namwera!F262</f>
        <v>16</v>
      </c>
      <c r="G262" s="134"/>
      <c r="H262" s="114">
        <f>SUM(D262:F262)</f>
        <v>24</v>
      </c>
    </row>
    <row r="263" spans="1:8" ht="16.2" thickBot="1" x14ac:dyDescent="0.35">
      <c r="A263" s="300" t="s">
        <v>1</v>
      </c>
      <c r="B263" s="301"/>
      <c r="C263" s="116" t="s">
        <v>0</v>
      </c>
      <c r="D263" s="152">
        <f>D261/D262</f>
        <v>27.2</v>
      </c>
      <c r="E263" s="152">
        <f t="shared" ref="E263:H263" si="72">E261/E262</f>
        <v>36.333333333333336</v>
      </c>
      <c r="F263" s="152">
        <f t="shared" si="72"/>
        <v>1.6875</v>
      </c>
      <c r="G263" s="687"/>
      <c r="H263" s="165">
        <f t="shared" si="72"/>
        <v>11.333333333333334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2030-2CFB-4AE1-A2BB-62FC3EBB7E4E}">
  <sheetPr codeName="Sheet13"/>
  <dimension ref="A1:H263"/>
  <sheetViews>
    <sheetView workbookViewId="0">
      <selection activeCell="H7" sqref="H7"/>
    </sheetView>
  </sheetViews>
  <sheetFormatPr defaultRowHeight="14.4" x14ac:dyDescent="0.3"/>
  <cols>
    <col min="1" max="1" width="39" customWidth="1"/>
    <col min="2" max="2" width="16.88671875" customWidth="1"/>
    <col min="3" max="3" width="12.5546875" hidden="1" customWidth="1"/>
    <col min="4" max="4" width="21.44140625" bestFit="1" customWidth="1"/>
    <col min="5" max="5" width="20.109375" bestFit="1" customWidth="1"/>
    <col min="6" max="7" width="19.109375" customWidth="1"/>
    <col min="8" max="8" width="20.109375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21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123"/>
    </row>
    <row r="3" spans="1:8" ht="18" thickBot="1" x14ac:dyDescent="0.35">
      <c r="A3" s="89" t="s">
        <v>217</v>
      </c>
      <c r="B3" s="90"/>
      <c r="C3" s="90"/>
      <c r="D3" s="90"/>
      <c r="E3" s="90"/>
      <c r="F3" s="90"/>
      <c r="G3" s="320"/>
      <c r="H3" s="91"/>
    </row>
    <row r="4" spans="1:8" ht="18" thickBot="1" x14ac:dyDescent="0.35">
      <c r="A4" s="94" t="s">
        <v>221</v>
      </c>
      <c r="B4" s="124"/>
      <c r="C4" s="124"/>
      <c r="D4" s="124"/>
      <c r="E4" s="124"/>
      <c r="F4" s="124"/>
      <c r="G4" s="124"/>
      <c r="H4" s="125"/>
    </row>
    <row r="5" spans="1:8" ht="14.4" customHeight="1" x14ac:dyDescent="0.3">
      <c r="A5" s="95" t="s">
        <v>221</v>
      </c>
      <c r="B5" s="96"/>
      <c r="C5" s="96"/>
      <c r="D5" s="96"/>
      <c r="E5" s="96"/>
      <c r="F5" s="96"/>
      <c r="G5" s="96"/>
      <c r="H5" s="126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99"/>
    </row>
    <row r="7" spans="1:8" ht="16.2" thickBot="1" x14ac:dyDescent="0.35">
      <c r="A7" s="693" t="s">
        <v>174</v>
      </c>
      <c r="B7" s="694"/>
      <c r="C7" s="61" t="s">
        <v>173</v>
      </c>
      <c r="D7" s="60" t="s">
        <v>218</v>
      </c>
      <c r="E7" s="60" t="s">
        <v>219</v>
      </c>
      <c r="F7" s="60" t="s">
        <v>220</v>
      </c>
      <c r="G7" s="60" t="s">
        <v>222</v>
      </c>
      <c r="H7" s="59" t="s">
        <v>160</v>
      </c>
    </row>
    <row r="8" spans="1:8" ht="15" thickBot="1" x14ac:dyDescent="0.35">
      <c r="A8" s="704" t="s">
        <v>159</v>
      </c>
      <c r="B8" s="705"/>
      <c r="C8" s="705"/>
      <c r="D8" s="705"/>
      <c r="E8" s="705"/>
      <c r="F8" s="705"/>
      <c r="G8" s="705"/>
      <c r="H8" s="706"/>
    </row>
    <row r="9" spans="1:8" ht="15.6" x14ac:dyDescent="0.3">
      <c r="A9" s="707" t="s">
        <v>176</v>
      </c>
      <c r="B9" s="708"/>
      <c r="C9" s="58" t="s">
        <v>152</v>
      </c>
      <c r="D9" s="57">
        <f>Mangochi!G9+Mangochi!H9+Mangochi!I9</f>
        <v>376477</v>
      </c>
      <c r="E9" s="57">
        <f>'Monkey Bay'!G9+'Monkey Bay'!H9+'Monkey Bay'!I9</f>
        <v>187098</v>
      </c>
      <c r="F9" s="57">
        <f>Namwera!G9+Namwera!H9+Namwera!I9</f>
        <v>16262</v>
      </c>
      <c r="G9" s="668"/>
      <c r="H9" s="153">
        <f>SUM(D9:F9)</f>
        <v>579837</v>
      </c>
    </row>
    <row r="10" spans="1:8" x14ac:dyDescent="0.3">
      <c r="A10" s="699" t="s">
        <v>177</v>
      </c>
      <c r="B10" s="700"/>
      <c r="C10" s="700"/>
      <c r="D10" s="779"/>
      <c r="E10" s="779"/>
      <c r="F10" s="779"/>
      <c r="G10" s="779"/>
      <c r="H10" s="701"/>
    </row>
    <row r="11" spans="1:8" ht="15.6" x14ac:dyDescent="0.3">
      <c r="A11" s="702" t="s">
        <v>157</v>
      </c>
      <c r="B11" s="703"/>
      <c r="C11" s="11" t="s">
        <v>152</v>
      </c>
      <c r="D11" s="26">
        <f>Mangochi!G11+Mangochi!H11+Mangochi!I11</f>
        <v>177881</v>
      </c>
      <c r="E11" s="26">
        <f>'Monkey Bay'!G11+'Monkey Bay'!H11+'Monkey Bay'!I11</f>
        <v>59435</v>
      </c>
      <c r="F11" s="26">
        <f>Namwera!G11+Namwera!H11+Namwera!I11</f>
        <v>6108</v>
      </c>
      <c r="G11" s="128"/>
      <c r="H11" s="55">
        <f>SUM(D11:F11)</f>
        <v>243424</v>
      </c>
    </row>
    <row r="12" spans="1:8" ht="15.6" x14ac:dyDescent="0.3">
      <c r="A12" s="702" t="s">
        <v>156</v>
      </c>
      <c r="B12" s="703"/>
      <c r="C12" s="11" t="s">
        <v>152</v>
      </c>
      <c r="D12" s="26">
        <f>Mangochi!G12+Mangochi!H12+Mangochi!I12</f>
        <v>0</v>
      </c>
      <c r="E12" s="26">
        <f>'Monkey Bay'!G12+'Monkey Bay'!H12+'Monkey Bay'!I12</f>
        <v>0</v>
      </c>
      <c r="F12" s="26">
        <f>Namwera!G12+Namwera!H12+Namwera!I12</f>
        <v>0</v>
      </c>
      <c r="G12" s="128"/>
      <c r="H12" s="55">
        <f>SUM(D12:F12)</f>
        <v>0</v>
      </c>
    </row>
    <row r="13" spans="1:8" ht="15.6" x14ac:dyDescent="0.3">
      <c r="A13" s="702" t="s">
        <v>155</v>
      </c>
      <c r="B13" s="703"/>
      <c r="C13" s="11" t="s">
        <v>152</v>
      </c>
      <c r="D13" s="26">
        <f>Mangochi!G13+Mangochi!H13+Mangochi!I13</f>
        <v>847</v>
      </c>
      <c r="E13" s="26">
        <f>'Monkey Bay'!G13+'Monkey Bay'!H13+'Monkey Bay'!I13</f>
        <v>68803</v>
      </c>
      <c r="F13" s="26">
        <f>Namwera!G13+Namwera!H13+Namwera!I13</f>
        <v>44</v>
      </c>
      <c r="G13" s="128"/>
      <c r="H13" s="55">
        <f>SUM(D13:F13)</f>
        <v>69694</v>
      </c>
    </row>
    <row r="14" spans="1:8" ht="15.6" x14ac:dyDescent="0.3">
      <c r="A14" s="695" t="s">
        <v>154</v>
      </c>
      <c r="B14" s="696"/>
      <c r="C14" s="11" t="s">
        <v>152</v>
      </c>
      <c r="D14" s="26">
        <f>Mangochi!G14+Mangochi!H14+Mangochi!I14</f>
        <v>169</v>
      </c>
      <c r="E14" s="26">
        <f>'Monkey Bay'!G14+'Monkey Bay'!H14+'Monkey Bay'!I14</f>
        <v>1367</v>
      </c>
      <c r="F14" s="26">
        <f>Namwera!G14+Namwera!H14+Namwera!I14</f>
        <v>0</v>
      </c>
      <c r="G14" s="128"/>
      <c r="H14" s="55">
        <f>SUM(D14:F14)</f>
        <v>1536</v>
      </c>
    </row>
    <row r="15" spans="1:8" s="63" customFormat="1" ht="15.6" x14ac:dyDescent="0.3">
      <c r="A15" s="697" t="s">
        <v>158</v>
      </c>
      <c r="B15" s="698"/>
      <c r="C15" s="62" t="s">
        <v>152</v>
      </c>
      <c r="D15" s="34">
        <f t="shared" ref="D15:H15" si="0">SUM(D11:D14)</f>
        <v>178897</v>
      </c>
      <c r="E15" s="34">
        <f t="shared" si="0"/>
        <v>129605</v>
      </c>
      <c r="F15" s="34">
        <f t="shared" si="0"/>
        <v>6152</v>
      </c>
      <c r="G15" s="33"/>
      <c r="H15" s="55">
        <f t="shared" si="0"/>
        <v>314654</v>
      </c>
    </row>
    <row r="16" spans="1:8" s="2" customFormat="1" x14ac:dyDescent="0.3">
      <c r="A16" s="699" t="s">
        <v>178</v>
      </c>
      <c r="B16" s="700"/>
      <c r="C16" s="700"/>
      <c r="D16" s="700"/>
      <c r="E16" s="700"/>
      <c r="F16" s="700"/>
      <c r="G16" s="700"/>
      <c r="H16" s="701"/>
    </row>
    <row r="17" spans="1:8" s="2" customFormat="1" ht="15.6" x14ac:dyDescent="0.3">
      <c r="A17" s="702" t="s">
        <v>180</v>
      </c>
      <c r="B17" s="703"/>
      <c r="C17" s="11" t="s">
        <v>152</v>
      </c>
      <c r="D17" s="26">
        <f>Mangochi!G17+Mangochi!H17+Mangochi!I17</f>
        <v>46850.19999999967</v>
      </c>
      <c r="E17" s="26">
        <f>'Monkey Bay'!G17+'Monkey Bay'!H17+'Monkey Bay'!I17</f>
        <v>9185</v>
      </c>
      <c r="F17" s="26">
        <f>Namwera!G17+Namwera!H17+Namwera!I17</f>
        <v>3988</v>
      </c>
      <c r="G17" s="128"/>
      <c r="H17" s="55">
        <f>SUM(D17:F17)</f>
        <v>60023.19999999967</v>
      </c>
    </row>
    <row r="18" spans="1:8" s="2" customFormat="1" ht="15.6" x14ac:dyDescent="0.3">
      <c r="A18" s="702" t="s">
        <v>181</v>
      </c>
      <c r="B18" s="703"/>
      <c r="C18" s="11" t="s">
        <v>152</v>
      </c>
      <c r="D18" s="26">
        <f>Mangochi!G18+Mangochi!H18+Mangochi!I18</f>
        <v>0</v>
      </c>
      <c r="E18" s="26">
        <f>'Monkey Bay'!G18+'Monkey Bay'!H18+'Monkey Bay'!I18</f>
        <v>3787</v>
      </c>
      <c r="F18" s="26">
        <f>Namwera!G18+Namwera!H18+Namwera!I18</f>
        <v>7</v>
      </c>
      <c r="G18" s="128"/>
      <c r="H18" s="55">
        <f>SUM(D18:F18)</f>
        <v>3794</v>
      </c>
    </row>
    <row r="19" spans="1:8" s="2" customFormat="1" ht="15.6" x14ac:dyDescent="0.3">
      <c r="A19" s="702" t="s">
        <v>182</v>
      </c>
      <c r="B19" s="703"/>
      <c r="C19" s="11" t="s">
        <v>152</v>
      </c>
      <c r="D19" s="26">
        <f>Mangochi!G19+Mangochi!H19+Mangochi!I19</f>
        <v>0</v>
      </c>
      <c r="E19" s="26">
        <f>'Monkey Bay'!G19+'Monkey Bay'!H19+'Monkey Bay'!I19</f>
        <v>8795</v>
      </c>
      <c r="F19" s="26">
        <f>Namwera!G19+Namwera!H19+Namwera!I19</f>
        <v>1517</v>
      </c>
      <c r="G19" s="128"/>
      <c r="H19" s="55">
        <f>SUM(D19:F19)</f>
        <v>10312</v>
      </c>
    </row>
    <row r="20" spans="1:8" s="2" customFormat="1" ht="15.6" x14ac:dyDescent="0.3">
      <c r="A20" s="695" t="s">
        <v>183</v>
      </c>
      <c r="B20" s="696"/>
      <c r="C20" s="11" t="s">
        <v>152</v>
      </c>
      <c r="D20" s="26">
        <f>Mangochi!G20+Mangochi!H20+Mangochi!I20</f>
        <v>0</v>
      </c>
      <c r="E20" s="26">
        <f>'Monkey Bay'!G20+'Monkey Bay'!H20+'Monkey Bay'!I20</f>
        <v>1274</v>
      </c>
      <c r="F20" s="26">
        <f>Namwera!G20+Namwera!H20+Namwera!I20</f>
        <v>158</v>
      </c>
      <c r="G20" s="128"/>
      <c r="H20" s="55">
        <f>SUM(D20:F20)</f>
        <v>1432</v>
      </c>
    </row>
    <row r="21" spans="1:8" s="73" customFormat="1" ht="15.6" x14ac:dyDescent="0.3">
      <c r="A21" s="697" t="s">
        <v>184</v>
      </c>
      <c r="B21" s="698"/>
      <c r="C21" s="62" t="s">
        <v>152</v>
      </c>
      <c r="D21" s="34">
        <f>SUM(D17:D20)</f>
        <v>46850.19999999967</v>
      </c>
      <c r="E21" s="34">
        <f t="shared" ref="E21:H21" si="1">SUM(E17:E20)</f>
        <v>23041</v>
      </c>
      <c r="F21" s="34">
        <f t="shared" si="1"/>
        <v>5670</v>
      </c>
      <c r="G21" s="33"/>
      <c r="H21" s="55">
        <f t="shared" si="1"/>
        <v>75561.199999999662</v>
      </c>
    </row>
    <row r="22" spans="1:8" s="2" customFormat="1" ht="15.6" x14ac:dyDescent="0.3">
      <c r="A22" s="75" t="s">
        <v>185</v>
      </c>
      <c r="B22" s="79"/>
      <c r="C22" s="11" t="s">
        <v>152</v>
      </c>
      <c r="D22" s="34">
        <f>D21+D15</f>
        <v>225747.19999999966</v>
      </c>
      <c r="E22" s="34">
        <f t="shared" ref="E22:H22" si="2">E21+E15</f>
        <v>152646</v>
      </c>
      <c r="F22" s="34">
        <f t="shared" si="2"/>
        <v>11822</v>
      </c>
      <c r="G22" s="33"/>
      <c r="H22" s="55">
        <f t="shared" si="2"/>
        <v>390215.19999999966</v>
      </c>
    </row>
    <row r="23" spans="1:8" x14ac:dyDescent="0.3">
      <c r="A23" s="699" t="s">
        <v>215</v>
      </c>
      <c r="B23" s="700"/>
      <c r="C23" s="700"/>
      <c r="D23" s="700"/>
      <c r="E23" s="700"/>
      <c r="F23" s="700"/>
      <c r="G23" s="700"/>
      <c r="H23" s="701"/>
    </row>
    <row r="24" spans="1:8" ht="15.6" x14ac:dyDescent="0.3">
      <c r="A24" s="716" t="s">
        <v>179</v>
      </c>
      <c r="B24" s="37" t="s">
        <v>153</v>
      </c>
      <c r="C24" s="5" t="s">
        <v>152</v>
      </c>
      <c r="D24" s="54">
        <f>D9-D22</f>
        <v>150729.80000000034</v>
      </c>
      <c r="E24" s="54">
        <f t="shared" ref="E24:H24" si="3">E9-E22</f>
        <v>34452</v>
      </c>
      <c r="F24" s="54">
        <f t="shared" si="3"/>
        <v>4440</v>
      </c>
      <c r="G24" s="669"/>
      <c r="H24" s="100">
        <f t="shared" si="3"/>
        <v>189621.80000000034</v>
      </c>
    </row>
    <row r="25" spans="1:8" ht="15.6" x14ac:dyDescent="0.3">
      <c r="A25" s="717"/>
      <c r="B25" s="53" t="s">
        <v>151</v>
      </c>
      <c r="C25" s="52" t="s">
        <v>6</v>
      </c>
      <c r="D25" s="51">
        <f t="shared" ref="D25:H25" si="4">D24/D9</f>
        <v>0.40036921246185114</v>
      </c>
      <c r="E25" s="51">
        <f t="shared" si="4"/>
        <v>0.18413879357342142</v>
      </c>
      <c r="F25" s="51">
        <f t="shared" si="4"/>
        <v>0.27302914770630921</v>
      </c>
      <c r="G25" s="670"/>
      <c r="H25" s="154">
        <f t="shared" si="4"/>
        <v>0.32702604352602599</v>
      </c>
    </row>
    <row r="26" spans="1:8" x14ac:dyDescent="0.3">
      <c r="A26" s="699" t="s">
        <v>150</v>
      </c>
      <c r="B26" s="700"/>
      <c r="C26" s="700"/>
      <c r="D26" s="700"/>
      <c r="E26" s="700"/>
      <c r="F26" s="700"/>
      <c r="G26" s="700"/>
      <c r="H26" s="701"/>
    </row>
    <row r="27" spans="1:8" x14ac:dyDescent="0.3">
      <c r="A27" s="782" t="s">
        <v>149</v>
      </c>
      <c r="B27" s="783"/>
      <c r="C27" s="783"/>
      <c r="D27" s="783"/>
      <c r="E27" s="783"/>
      <c r="F27" s="783"/>
      <c r="G27" s="783"/>
      <c r="H27" s="784"/>
    </row>
    <row r="28" spans="1:8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8"/>
      <c r="H28" s="46"/>
    </row>
    <row r="29" spans="1:8" ht="15.6" x14ac:dyDescent="0.3">
      <c r="A29" s="709" t="s">
        <v>146</v>
      </c>
      <c r="B29" s="780">
        <v>7400</v>
      </c>
      <c r="C29" s="5" t="s">
        <v>140</v>
      </c>
      <c r="D29" s="26">
        <f>Mangochi!G29+Mangochi!H29+Mangochi!I29</f>
        <v>1556</v>
      </c>
      <c r="E29" s="26">
        <f>'Monkey Bay'!G29+'Monkey Bay'!H29+'Monkey Bay'!I29</f>
        <v>460</v>
      </c>
      <c r="F29" s="26">
        <f>Namwera!G29+Namwera!H29+Namwera!I29</f>
        <v>41</v>
      </c>
      <c r="G29" s="128"/>
      <c r="H29" s="45">
        <f>SUM(D29:F29)</f>
        <v>2057</v>
      </c>
    </row>
    <row r="30" spans="1:8" ht="15.6" x14ac:dyDescent="0.3">
      <c r="A30" s="710"/>
      <c r="B30" s="781"/>
      <c r="C30" s="42" t="s">
        <v>139</v>
      </c>
      <c r="D30" s="15">
        <f t="shared" ref="D30:H30" si="5">D29/(D9/1000)</f>
        <v>4.1330546089136924</v>
      </c>
      <c r="E30" s="15">
        <f t="shared" si="5"/>
        <v>2.4586045815561897</v>
      </c>
      <c r="F30" s="15">
        <f t="shared" si="5"/>
        <v>2.5212151026933958</v>
      </c>
      <c r="G30" s="22"/>
      <c r="H30" s="103">
        <f t="shared" si="5"/>
        <v>3.5475487076540477</v>
      </c>
    </row>
    <row r="31" spans="1:8" ht="15.6" x14ac:dyDescent="0.3">
      <c r="A31" s="711" t="s">
        <v>145</v>
      </c>
      <c r="B31" s="780">
        <v>1900</v>
      </c>
      <c r="C31" s="5" t="s">
        <v>140</v>
      </c>
      <c r="D31" s="26">
        <f>Mangochi!G31+Mangochi!H31+Mangochi!I31</f>
        <v>0</v>
      </c>
      <c r="E31" s="26">
        <f>'Monkey Bay'!G31+'Monkey Bay'!H31+'Monkey Bay'!I31</f>
        <v>0</v>
      </c>
      <c r="F31" s="26">
        <f>Namwera!G31+Namwera!H31+Namwera!I31</f>
        <v>0</v>
      </c>
      <c r="G31" s="128"/>
      <c r="H31" s="45">
        <f>SUM(D31:F31)</f>
        <v>0</v>
      </c>
    </row>
    <row r="32" spans="1:8" ht="15.6" x14ac:dyDescent="0.3">
      <c r="A32" s="712"/>
      <c r="B32" s="781"/>
      <c r="C32" s="42" t="s">
        <v>139</v>
      </c>
      <c r="D32" s="15">
        <f t="shared" ref="D32:H32" si="6">D31/(D9/1000)</f>
        <v>0</v>
      </c>
      <c r="E32" s="15">
        <f t="shared" si="6"/>
        <v>0</v>
      </c>
      <c r="F32" s="15">
        <f t="shared" si="6"/>
        <v>0</v>
      </c>
      <c r="G32" s="22"/>
      <c r="H32" s="103">
        <f t="shared" si="6"/>
        <v>0</v>
      </c>
    </row>
    <row r="33" spans="1:8" ht="15.6" x14ac:dyDescent="0.3">
      <c r="A33" s="711" t="s">
        <v>144</v>
      </c>
      <c r="B33" s="780">
        <v>1900</v>
      </c>
      <c r="C33" s="5" t="s">
        <v>140</v>
      </c>
      <c r="D33" s="26">
        <f>Mangochi!G33+Mangochi!H33+Mangochi!I33</f>
        <v>0</v>
      </c>
      <c r="E33" s="26">
        <f>'Monkey Bay'!G33+'Monkey Bay'!H33+'Monkey Bay'!I33</f>
        <v>0</v>
      </c>
      <c r="F33" s="26">
        <f>Namwera!G33+Namwera!H33+Namwera!I33</f>
        <v>0</v>
      </c>
      <c r="G33" s="128"/>
      <c r="H33" s="45">
        <f>SUM(D33:F33)</f>
        <v>0</v>
      </c>
    </row>
    <row r="34" spans="1:8" ht="15.6" x14ac:dyDescent="0.3">
      <c r="A34" s="712"/>
      <c r="B34" s="781"/>
      <c r="C34" s="42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22"/>
      <c r="H34" s="103">
        <f t="shared" si="7"/>
        <v>0</v>
      </c>
    </row>
    <row r="35" spans="1:8" ht="15.6" x14ac:dyDescent="0.3">
      <c r="A35" s="711" t="s">
        <v>143</v>
      </c>
      <c r="B35" s="780">
        <f>745345.16/200</f>
        <v>3726.7258000000002</v>
      </c>
      <c r="C35" s="5" t="s">
        <v>126</v>
      </c>
      <c r="D35" s="26">
        <f>Mangochi!G35+Mangochi!H35+Mangochi!I35</f>
        <v>0</v>
      </c>
      <c r="E35" s="26">
        <f>'Monkey Bay'!G35+'Monkey Bay'!H35+'Monkey Bay'!I35</f>
        <v>0</v>
      </c>
      <c r="F35" s="26">
        <f>Namwera!G35+Namwera!H35+Namwera!I35</f>
        <v>0</v>
      </c>
      <c r="G35" s="128"/>
      <c r="H35" s="103"/>
    </row>
    <row r="36" spans="1:8" ht="15.6" x14ac:dyDescent="0.3">
      <c r="A36" s="712"/>
      <c r="B36" s="781"/>
      <c r="C36" s="5" t="s">
        <v>142</v>
      </c>
      <c r="D36" s="13"/>
      <c r="E36" s="13"/>
      <c r="F36" s="13"/>
      <c r="G36" s="672"/>
      <c r="H36" s="103"/>
    </row>
    <row r="37" spans="1:8" ht="15.6" x14ac:dyDescent="0.3">
      <c r="A37" s="711" t="s">
        <v>186</v>
      </c>
      <c r="B37" s="780">
        <f>790318.72/200</f>
        <v>3951.5935999999997</v>
      </c>
      <c r="C37" s="5" t="s">
        <v>126</v>
      </c>
      <c r="D37" s="26">
        <f>Mangochi!G37+Mangochi!H37+Mangochi!I37</f>
        <v>0</v>
      </c>
      <c r="E37" s="26">
        <f>'Monkey Bay'!G37+'Monkey Bay'!H37+'Monkey Bay'!I37</f>
        <v>0</v>
      </c>
      <c r="F37" s="26">
        <f>Namwera!G37+Namwera!H37+Namwera!I37</f>
        <v>0</v>
      </c>
      <c r="G37" s="128"/>
      <c r="H37" s="45">
        <f>SUM(D37:F37)</f>
        <v>0</v>
      </c>
    </row>
    <row r="38" spans="1:8" ht="15.6" x14ac:dyDescent="0.3">
      <c r="A38" s="712"/>
      <c r="B38" s="781"/>
      <c r="C38" s="5" t="s">
        <v>142</v>
      </c>
      <c r="D38" s="15">
        <f t="shared" ref="D38:H38" si="8">D37/(D9/1000)</f>
        <v>0</v>
      </c>
      <c r="E38" s="15">
        <f t="shared" si="8"/>
        <v>0</v>
      </c>
      <c r="F38" s="15">
        <f t="shared" si="8"/>
        <v>0</v>
      </c>
      <c r="G38" s="22"/>
      <c r="H38" s="103">
        <f t="shared" si="8"/>
        <v>0</v>
      </c>
    </row>
    <row r="39" spans="1:8" ht="15.6" x14ac:dyDescent="0.3">
      <c r="A39" s="711" t="s">
        <v>141</v>
      </c>
      <c r="B39" s="780">
        <v>1950</v>
      </c>
      <c r="C39" s="5" t="s">
        <v>140</v>
      </c>
      <c r="D39" s="26">
        <f>Mangochi!G39+Mangochi!H39+Mangochi!I39</f>
        <v>0</v>
      </c>
      <c r="E39" s="26">
        <f>'Monkey Bay'!G39+'Monkey Bay'!H39+'Monkey Bay'!I39</f>
        <v>0</v>
      </c>
      <c r="F39" s="26">
        <f>Namwera!G39+Namwera!H39+Namwera!I39</f>
        <v>0</v>
      </c>
      <c r="G39" s="128"/>
      <c r="H39" s="45">
        <f>SUM(D39:F39)</f>
        <v>0</v>
      </c>
    </row>
    <row r="40" spans="1:8" ht="15.6" x14ac:dyDescent="0.3">
      <c r="A40" s="712"/>
      <c r="B40" s="781"/>
      <c r="C40" s="42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22"/>
      <c r="H40" s="103">
        <f t="shared" si="9"/>
        <v>0</v>
      </c>
    </row>
    <row r="41" spans="1:8" ht="15.6" x14ac:dyDescent="0.3">
      <c r="A41" s="695" t="s">
        <v>138</v>
      </c>
      <c r="B41" s="696"/>
      <c r="C41" s="11" t="s">
        <v>31</v>
      </c>
      <c r="D41" s="41">
        <f>(D29*$B29)+(D31*$B31)+(D33*$B33)+(D35*$B35)+(D37*$B37)+(D39*$B39)</f>
        <v>11514400</v>
      </c>
      <c r="E41" s="41">
        <f t="shared" ref="E41:F41" si="10">(E29*$B29)+(E31*$B31)+(E33*$B33)+(E35*$B35)+(E37*$B37)+(E39*$B39)</f>
        <v>3404000</v>
      </c>
      <c r="F41" s="41">
        <f t="shared" si="10"/>
        <v>303400</v>
      </c>
      <c r="G41" s="671"/>
      <c r="H41" s="39">
        <f>SUM(D41:F41)</f>
        <v>15221800</v>
      </c>
    </row>
    <row r="42" spans="1:8" ht="15.6" x14ac:dyDescent="0.3">
      <c r="A42" s="721" t="s">
        <v>137</v>
      </c>
      <c r="B42" s="722"/>
      <c r="C42" s="42" t="s">
        <v>115</v>
      </c>
      <c r="D42" s="15">
        <f t="shared" ref="D42:H42" si="11">D41/D9</f>
        <v>30.584604105961322</v>
      </c>
      <c r="E42" s="15">
        <f t="shared" si="11"/>
        <v>18.193673903515805</v>
      </c>
      <c r="F42" s="15">
        <f t="shared" si="11"/>
        <v>18.656991759931127</v>
      </c>
      <c r="G42" s="22"/>
      <c r="H42" s="44">
        <f t="shared" si="11"/>
        <v>26.251860436639952</v>
      </c>
    </row>
    <row r="43" spans="1:8" x14ac:dyDescent="0.3">
      <c r="A43" s="723" t="s">
        <v>136</v>
      </c>
      <c r="B43" s="724"/>
      <c r="C43" s="724"/>
      <c r="D43" s="724"/>
      <c r="E43" s="724"/>
      <c r="F43" s="724"/>
      <c r="G43" s="724"/>
      <c r="H43" s="725"/>
    </row>
    <row r="44" spans="1:8" ht="15.6" x14ac:dyDescent="0.3">
      <c r="A44" s="695" t="s">
        <v>135</v>
      </c>
      <c r="B44" s="696"/>
      <c r="C44" s="11" t="s">
        <v>134</v>
      </c>
      <c r="D44" s="26">
        <f>Mangochi!G44+Mangochi!H44+Mangochi!I44</f>
        <v>143423.22</v>
      </c>
      <c r="E44" s="26">
        <f>'Monkey Bay'!G44+'Monkey Bay'!H44+'Monkey Bay'!I44</f>
        <v>85746</v>
      </c>
      <c r="F44" s="26">
        <f>Namwera!G44+Namwera!H44+Namwera!I44</f>
        <v>12258</v>
      </c>
      <c r="G44" s="128"/>
      <c r="H44" s="39">
        <f>SUM(D44:F44)</f>
        <v>241427.22</v>
      </c>
    </row>
    <row r="45" spans="1:8" ht="15.6" x14ac:dyDescent="0.3">
      <c r="A45" s="721" t="s">
        <v>133</v>
      </c>
      <c r="B45" s="722"/>
      <c r="C45" s="42" t="s">
        <v>132</v>
      </c>
      <c r="D45" s="15">
        <f t="shared" ref="D45:H45" si="12">D44/D9</f>
        <v>0.38096143987547715</v>
      </c>
      <c r="E45" s="15">
        <f t="shared" si="12"/>
        <v>0.45829458358721098</v>
      </c>
      <c r="F45" s="15">
        <f t="shared" si="12"/>
        <v>0.75378182265404015</v>
      </c>
      <c r="G45" s="22"/>
      <c r="H45" s="103">
        <f t="shared" si="12"/>
        <v>0.41637084215046644</v>
      </c>
    </row>
    <row r="46" spans="1:8" ht="15.6" x14ac:dyDescent="0.3">
      <c r="A46" s="726" t="s">
        <v>131</v>
      </c>
      <c r="B46" s="727"/>
      <c r="C46" s="5" t="s">
        <v>31</v>
      </c>
      <c r="D46" s="26">
        <f>Mangochi!G46+Mangochi!H46+Mangochi!I46</f>
        <v>22796574.433250003</v>
      </c>
      <c r="E46" s="26">
        <f>'Monkey Bay'!G46+'Monkey Bay'!H46+'Monkey Bay'!I46</f>
        <v>13577462.909000002</v>
      </c>
      <c r="F46" s="26">
        <f>Namwera!G46+Namwera!H46+Namwera!I46</f>
        <v>1990747.5730000001</v>
      </c>
      <c r="G46" s="128"/>
      <c r="H46" s="39">
        <f>SUM(D46:F46)</f>
        <v>38364784.915250003</v>
      </c>
    </row>
    <row r="47" spans="1:8" s="2" customFormat="1" ht="15.6" x14ac:dyDescent="0.3">
      <c r="A47" s="695" t="s">
        <v>130</v>
      </c>
      <c r="B47" s="696"/>
      <c r="C47" s="11" t="s">
        <v>115</v>
      </c>
      <c r="D47" s="15">
        <f t="shared" ref="D47:H47" si="13">D46/D9</f>
        <v>60.552369555776323</v>
      </c>
      <c r="E47" s="15">
        <f t="shared" si="13"/>
        <v>72.568722856470956</v>
      </c>
      <c r="F47" s="15">
        <f t="shared" si="13"/>
        <v>122.41714260238594</v>
      </c>
      <c r="G47" s="22"/>
      <c r="H47" s="103">
        <f t="shared" si="13"/>
        <v>66.164775471813641</v>
      </c>
    </row>
    <row r="48" spans="1:8" x14ac:dyDescent="0.3">
      <c r="A48" s="723" t="s">
        <v>129</v>
      </c>
      <c r="B48" s="724"/>
      <c r="C48" s="724"/>
      <c r="D48" s="724"/>
      <c r="E48" s="724"/>
      <c r="F48" s="724"/>
      <c r="G48" s="724"/>
      <c r="H48" s="725"/>
    </row>
    <row r="49" spans="1:8" ht="15.6" x14ac:dyDescent="0.3">
      <c r="A49" s="695" t="s">
        <v>128</v>
      </c>
      <c r="B49" s="696"/>
      <c r="C49" s="5" t="s">
        <v>127</v>
      </c>
      <c r="D49" s="26">
        <f>Mangochi!G49+Mangochi!H49+Mangochi!I49</f>
        <v>19600</v>
      </c>
      <c r="E49" s="26">
        <f>'Monkey Bay'!G49+'Monkey Bay'!H49+'Monkey Bay'!I49</f>
        <v>10075</v>
      </c>
      <c r="F49" s="26">
        <f>Namwera!G49+Namwera!H49+Namwera!I49</f>
        <v>392</v>
      </c>
      <c r="G49" s="128"/>
      <c r="H49" s="39">
        <f>SUM(D49:F49)</f>
        <v>30067</v>
      </c>
    </row>
    <row r="50" spans="1:8" ht="15.6" x14ac:dyDescent="0.3">
      <c r="A50" s="695" t="s">
        <v>187</v>
      </c>
      <c r="B50" s="696"/>
      <c r="C50" s="5" t="s">
        <v>126</v>
      </c>
      <c r="D50" s="26">
        <f>Mangochi!G50+Mangochi!H50+Mangochi!I50</f>
        <v>2646.3</v>
      </c>
      <c r="E50" s="26">
        <f>'Monkey Bay'!G50+'Monkey Bay'!H50+'Monkey Bay'!I50</f>
        <v>689.9</v>
      </c>
      <c r="F50" s="26">
        <f>Namwera!G50+Namwera!H50+Namwera!I50</f>
        <v>180</v>
      </c>
      <c r="G50" s="128"/>
      <c r="H50" s="39">
        <f>SUM(D50:F50)</f>
        <v>3516.2000000000003</v>
      </c>
    </row>
    <row r="51" spans="1:8" ht="15.6" x14ac:dyDescent="0.3">
      <c r="A51" s="726" t="s">
        <v>125</v>
      </c>
      <c r="B51" s="727"/>
      <c r="C51" s="5" t="s">
        <v>31</v>
      </c>
      <c r="D51" s="26">
        <f>Mangochi!G51+Mangochi!H51+Mangochi!I51</f>
        <v>5082240</v>
      </c>
      <c r="E51" s="26">
        <f>'Monkey Bay'!G51+'Monkey Bay'!H51+'Monkey Bay'!I51</f>
        <v>1324996</v>
      </c>
      <c r="F51" s="26">
        <f>Namwera!G51+Namwera!H51+Namwera!I51</f>
        <v>342120</v>
      </c>
      <c r="G51" s="128"/>
      <c r="H51" s="40">
        <f>SUM(D51:F51)</f>
        <v>6749356</v>
      </c>
    </row>
    <row r="52" spans="1:8" ht="15.6" x14ac:dyDescent="0.3">
      <c r="A52" s="695" t="s">
        <v>124</v>
      </c>
      <c r="B52" s="696"/>
      <c r="C52" s="5" t="s">
        <v>31</v>
      </c>
      <c r="D52" s="26">
        <f>Mangochi!G52+Mangochi!H52+Mangochi!I52</f>
        <v>0</v>
      </c>
      <c r="E52" s="26">
        <f>'Monkey Bay'!G52+'Monkey Bay'!H52+'Monkey Bay'!I52</f>
        <v>0</v>
      </c>
      <c r="F52" s="26">
        <f>Namwera!G52+Namwera!H52+Namwera!I52</f>
        <v>10000</v>
      </c>
      <c r="G52" s="128"/>
      <c r="H52" s="40">
        <f>SUM(D52:F52)</f>
        <v>10000</v>
      </c>
    </row>
    <row r="53" spans="1:8" x14ac:dyDescent="0.3">
      <c r="A53" s="723" t="s">
        <v>123</v>
      </c>
      <c r="B53" s="724"/>
      <c r="C53" s="724"/>
      <c r="D53" s="724"/>
      <c r="E53" s="724"/>
      <c r="F53" s="724"/>
      <c r="G53" s="724"/>
      <c r="H53" s="725"/>
    </row>
    <row r="54" spans="1:8" ht="15.6" x14ac:dyDescent="0.3">
      <c r="A54" s="695" t="s">
        <v>122</v>
      </c>
      <c r="B54" s="696"/>
      <c r="C54" s="11" t="s">
        <v>18</v>
      </c>
      <c r="D54" s="26">
        <f>Mangochi!G54+Mangochi!H54+Mangochi!I54</f>
        <v>34703700.979999997</v>
      </c>
      <c r="E54" s="26">
        <f>'Monkey Bay'!G54+'Monkey Bay'!H54+'Monkey Bay'!I54</f>
        <v>10235317.780000001</v>
      </c>
      <c r="F54" s="26">
        <f>Namwera!G54+Namwera!H54+Namwera!I54</f>
        <v>5397266.2000000002</v>
      </c>
      <c r="G54" s="128"/>
      <c r="H54" s="39">
        <f>SUM(D54:F54)</f>
        <v>50336284.960000001</v>
      </c>
    </row>
    <row r="55" spans="1:8" ht="15.6" x14ac:dyDescent="0.3">
      <c r="A55" s="78" t="s">
        <v>121</v>
      </c>
      <c r="B55" s="79"/>
      <c r="C55" s="11" t="s">
        <v>18</v>
      </c>
      <c r="D55" s="26">
        <f>Mangochi!G55+Mangochi!H55+Mangochi!I55</f>
        <v>8053798.9499999993</v>
      </c>
      <c r="E55" s="26">
        <f>'Monkey Bay'!G55+'Monkey Bay'!H55+'Monkey Bay'!I55</f>
        <v>2221638.17</v>
      </c>
      <c r="F55" s="26">
        <f>Namwera!G55+Namwera!H55+Namwera!I55</f>
        <v>1140085.95</v>
      </c>
      <c r="G55" s="128"/>
      <c r="H55" s="39">
        <f>SUM(D55:F55)</f>
        <v>11415523.069999998</v>
      </c>
    </row>
    <row r="56" spans="1:8" ht="15.6" x14ac:dyDescent="0.3">
      <c r="A56" s="695" t="s">
        <v>120</v>
      </c>
      <c r="B56" s="696"/>
      <c r="C56" s="5" t="s">
        <v>18</v>
      </c>
      <c r="D56" s="26">
        <f>Mangochi!G56+Mangochi!H56+Mangochi!I56</f>
        <v>4622550</v>
      </c>
      <c r="E56" s="26">
        <f>'Monkey Bay'!G56+'Monkey Bay'!H56+'Monkey Bay'!I56</f>
        <v>1300150</v>
      </c>
      <c r="F56" s="26">
        <f>Namwera!G56+Namwera!H56+Namwera!I56</f>
        <v>363850</v>
      </c>
      <c r="G56" s="128"/>
      <c r="H56" s="39">
        <f>SUM(D56:F56)</f>
        <v>6286550</v>
      </c>
    </row>
    <row r="57" spans="1:8" x14ac:dyDescent="0.3">
      <c r="A57" s="723" t="s">
        <v>119</v>
      </c>
      <c r="B57" s="724"/>
      <c r="C57" s="724"/>
      <c r="D57" s="724"/>
      <c r="E57" s="724"/>
      <c r="F57" s="724"/>
      <c r="G57" s="724"/>
      <c r="H57" s="725"/>
    </row>
    <row r="58" spans="1:8" ht="15.6" x14ac:dyDescent="0.3">
      <c r="A58" s="726" t="s">
        <v>118</v>
      </c>
      <c r="B58" s="727"/>
      <c r="C58" s="5" t="s">
        <v>18</v>
      </c>
      <c r="D58" s="13">
        <f>D41+D46+D51+D52+D54+D55+D56</f>
        <v>86773264.363250002</v>
      </c>
      <c r="E58" s="13">
        <f t="shared" ref="E58:F58" si="14">E41+E46+E51+E52+E54+E55+E56</f>
        <v>32063564.859000005</v>
      </c>
      <c r="F58" s="13">
        <f t="shared" si="14"/>
        <v>9547469.7229999993</v>
      </c>
      <c r="G58" s="672"/>
      <c r="H58" s="39">
        <f>SUM(D58:F58)</f>
        <v>128384298.94525002</v>
      </c>
    </row>
    <row r="59" spans="1:8" ht="15.6" x14ac:dyDescent="0.3">
      <c r="A59" s="726" t="s">
        <v>117</v>
      </c>
      <c r="B59" s="727"/>
      <c r="C59" s="5" t="s">
        <v>115</v>
      </c>
      <c r="D59" s="15">
        <f t="shared" ref="D59:H59" si="15">D58/D9</f>
        <v>230.48755797366107</v>
      </c>
      <c r="E59" s="15">
        <f t="shared" si="15"/>
        <v>171.37310318122056</v>
      </c>
      <c r="F59" s="15">
        <f t="shared" si="15"/>
        <v>587.10304532037878</v>
      </c>
      <c r="G59" s="22"/>
      <c r="H59" s="40">
        <f t="shared" si="15"/>
        <v>221.41446466032698</v>
      </c>
    </row>
    <row r="60" spans="1:8" ht="15.6" x14ac:dyDescent="0.3">
      <c r="A60" s="726" t="s">
        <v>116</v>
      </c>
      <c r="B60" s="727"/>
      <c r="C60" s="5" t="s">
        <v>115</v>
      </c>
      <c r="D60" s="15">
        <f>D58/D22</f>
        <v>384.38246128080493</v>
      </c>
      <c r="E60" s="15">
        <f t="shared" ref="E60:F60" si="16">E58/E22</f>
        <v>210.05178556267447</v>
      </c>
      <c r="F60" s="15">
        <f t="shared" si="16"/>
        <v>807.60190517678893</v>
      </c>
      <c r="G60" s="22"/>
      <c r="H60" s="184">
        <f>H58/H22</f>
        <v>329.00896465655393</v>
      </c>
    </row>
    <row r="61" spans="1:8" ht="15.6" x14ac:dyDescent="0.3">
      <c r="A61" s="695" t="s">
        <v>114</v>
      </c>
      <c r="B61" s="696"/>
      <c r="C61" s="5" t="s">
        <v>3</v>
      </c>
      <c r="D61" s="26">
        <f>Mangochi!I61</f>
        <v>24</v>
      </c>
      <c r="E61" s="26">
        <f>'Monkey Bay'!I61</f>
        <v>7</v>
      </c>
      <c r="F61" s="26">
        <f>Namwera!I61</f>
        <v>3</v>
      </c>
      <c r="G61" s="128"/>
      <c r="H61" s="166">
        <f>SUM(D61:F61)</f>
        <v>34</v>
      </c>
    </row>
    <row r="62" spans="1:8" ht="15.6" customHeight="1" x14ac:dyDescent="0.3">
      <c r="A62" s="726" t="s">
        <v>113</v>
      </c>
      <c r="B62" s="727"/>
      <c r="C62" s="5" t="s">
        <v>112</v>
      </c>
      <c r="D62" s="15">
        <f t="shared" ref="D62:H62" si="17">(D61*1000*31)/D9</f>
        <v>1.9762163425654158</v>
      </c>
      <c r="E62" s="15">
        <f t="shared" si="17"/>
        <v>1.1598199873862896</v>
      </c>
      <c r="F62" s="15">
        <f t="shared" si="17"/>
        <v>5.7188537695240438</v>
      </c>
      <c r="G62" s="22"/>
      <c r="H62" s="40">
        <f t="shared" si="17"/>
        <v>1.8177522303681897</v>
      </c>
    </row>
    <row r="63" spans="1:8" ht="15.6" x14ac:dyDescent="0.3">
      <c r="A63" s="740" t="s">
        <v>111</v>
      </c>
      <c r="B63" s="741"/>
      <c r="C63" s="38" t="s">
        <v>3</v>
      </c>
      <c r="D63" s="26">
        <f>Mangochi!G63+Mangochi!H63+Mangochi!I63</f>
        <v>72</v>
      </c>
      <c r="E63" s="26">
        <f>'Monkey Bay'!G63+'Monkey Bay'!H63+'Monkey Bay'!I63</f>
        <v>27</v>
      </c>
      <c r="F63" s="26">
        <f>Namwera!G63+Namwera!H63+Namwera!I63</f>
        <v>18</v>
      </c>
      <c r="G63" s="128"/>
      <c r="H63" s="166">
        <f>SUM(D63:F63)</f>
        <v>117</v>
      </c>
    </row>
    <row r="64" spans="1:8" x14ac:dyDescent="0.3">
      <c r="A64" s="785"/>
      <c r="B64" s="786"/>
      <c r="C64" s="786"/>
      <c r="D64" s="786"/>
      <c r="E64" s="786"/>
      <c r="F64" s="786"/>
      <c r="G64" s="786"/>
      <c r="H64" s="787"/>
    </row>
    <row r="65" spans="1:8" ht="14.4" customHeight="1" x14ac:dyDescent="0.3">
      <c r="A65" s="723" t="s">
        <v>110</v>
      </c>
      <c r="B65" s="724"/>
      <c r="C65" s="724"/>
      <c r="D65" s="724"/>
      <c r="E65" s="724"/>
      <c r="F65" s="724"/>
      <c r="G65" s="724"/>
      <c r="H65" s="725"/>
    </row>
    <row r="66" spans="1:8" ht="15.6" x14ac:dyDescent="0.3">
      <c r="A66" s="728" t="s">
        <v>109</v>
      </c>
      <c r="B66" s="37" t="s">
        <v>85</v>
      </c>
      <c r="C66" s="5" t="s">
        <v>3</v>
      </c>
      <c r="D66" s="26">
        <f>Mangochi!G66</f>
        <v>1315</v>
      </c>
      <c r="E66" s="26">
        <f>'Monkey Bay'!G66</f>
        <v>66</v>
      </c>
      <c r="F66" s="26">
        <f>Namwera!G66</f>
        <v>59</v>
      </c>
      <c r="G66" s="128"/>
      <c r="H66" s="35">
        <f>SUM(D66:F66)</f>
        <v>1440</v>
      </c>
    </row>
    <row r="67" spans="1:8" ht="15.6" x14ac:dyDescent="0.3">
      <c r="A67" s="729"/>
      <c r="B67" s="24" t="s">
        <v>104</v>
      </c>
      <c r="C67" s="5" t="s">
        <v>3</v>
      </c>
      <c r="D67" s="26">
        <f>Mangochi!G67+Mangochi!H67+Mangochi!I67</f>
        <v>273</v>
      </c>
      <c r="E67" s="26">
        <f>'Monkey Bay'!G67+'Monkey Bay'!H67+'Monkey Bay'!I67</f>
        <v>49</v>
      </c>
      <c r="F67" s="26">
        <f>Namwera!G67+Namwera!H67+Namwera!I67</f>
        <v>29</v>
      </c>
      <c r="G67" s="128"/>
      <c r="H67" s="35">
        <f>SUM(D67:F67)</f>
        <v>351</v>
      </c>
    </row>
    <row r="68" spans="1:8" ht="27" x14ac:dyDescent="0.3">
      <c r="A68" s="729"/>
      <c r="B68" s="24" t="s">
        <v>103</v>
      </c>
      <c r="C68" s="5" t="s">
        <v>3</v>
      </c>
      <c r="D68" s="26">
        <f>Mangochi!G68+Mangochi!H68+Mangochi!I68</f>
        <v>0</v>
      </c>
      <c r="E68" s="26">
        <f>'Monkey Bay'!G68+'Monkey Bay'!H68+'Monkey Bay'!I68</f>
        <v>0</v>
      </c>
      <c r="F68" s="26">
        <f>Namwera!G68+Namwera!H68+Namwera!I68</f>
        <v>0</v>
      </c>
      <c r="G68" s="128"/>
      <c r="H68" s="35">
        <f>SUM(D68:F68)</f>
        <v>0</v>
      </c>
    </row>
    <row r="69" spans="1:8" s="2" customFormat="1" ht="27" x14ac:dyDescent="0.3">
      <c r="A69" s="729"/>
      <c r="B69" s="24" t="s">
        <v>102</v>
      </c>
      <c r="C69" s="11" t="s">
        <v>3</v>
      </c>
      <c r="D69" s="26">
        <f>Mangochi!G69+Mangochi!H69+Mangochi!I69</f>
        <v>143</v>
      </c>
      <c r="E69" s="26">
        <f>'Monkey Bay'!G69+'Monkey Bay'!H69+'Monkey Bay'!I69</f>
        <v>44</v>
      </c>
      <c r="F69" s="26">
        <f>Namwera!G69+Namwera!H69+Namwera!I69</f>
        <v>22</v>
      </c>
      <c r="G69" s="128"/>
      <c r="H69" s="74">
        <f>SUM(D69:F69)</f>
        <v>209</v>
      </c>
    </row>
    <row r="70" spans="1:8" s="2" customFormat="1" ht="15.6" x14ac:dyDescent="0.3">
      <c r="A70" s="729"/>
      <c r="B70" s="24" t="s">
        <v>188</v>
      </c>
      <c r="C70" s="11" t="s">
        <v>3</v>
      </c>
      <c r="D70" s="4">
        <f>D68+D69</f>
        <v>143</v>
      </c>
      <c r="E70" s="4">
        <f t="shared" ref="E70:H70" si="18">E68+E69</f>
        <v>44</v>
      </c>
      <c r="F70" s="4">
        <f t="shared" si="18"/>
        <v>22</v>
      </c>
      <c r="G70" s="673"/>
      <c r="H70" s="169">
        <f t="shared" si="18"/>
        <v>209</v>
      </c>
    </row>
    <row r="71" spans="1:8" ht="15.6" x14ac:dyDescent="0.3">
      <c r="A71" s="730"/>
      <c r="B71" s="37" t="s">
        <v>81</v>
      </c>
      <c r="C71" s="5" t="s">
        <v>3</v>
      </c>
      <c r="D71" s="26">
        <f>D66+D67-D70</f>
        <v>1445</v>
      </c>
      <c r="E71" s="26">
        <f t="shared" ref="E71:F71" si="19">E66+E67-E70</f>
        <v>71</v>
      </c>
      <c r="F71" s="26">
        <f t="shared" si="19"/>
        <v>66</v>
      </c>
      <c r="G71" s="128"/>
      <c r="H71" s="55">
        <f>H66+H67-H70</f>
        <v>1582</v>
      </c>
    </row>
    <row r="72" spans="1:8" ht="15.6" x14ac:dyDescent="0.3">
      <c r="A72" s="728" t="s">
        <v>108</v>
      </c>
      <c r="B72" s="37" t="s">
        <v>85</v>
      </c>
      <c r="C72" s="5" t="s">
        <v>3</v>
      </c>
      <c r="D72" s="26">
        <f>Mangochi!G72</f>
        <v>8</v>
      </c>
      <c r="E72" s="26">
        <f>'Monkey Bay'!G72</f>
        <v>0</v>
      </c>
      <c r="F72" s="26">
        <f>Namwera!G72</f>
        <v>4</v>
      </c>
      <c r="G72" s="128"/>
      <c r="H72" s="35">
        <f>SUM(D72:F72)</f>
        <v>12</v>
      </c>
    </row>
    <row r="73" spans="1:8" ht="15.6" x14ac:dyDescent="0.3">
      <c r="A73" s="729"/>
      <c r="B73" s="24" t="s">
        <v>104</v>
      </c>
      <c r="C73" s="5" t="s">
        <v>3</v>
      </c>
      <c r="D73" s="26">
        <f>Mangochi!G73+Mangochi!H73+Mangochi!I73</f>
        <v>0</v>
      </c>
      <c r="E73" s="26">
        <f>'Monkey Bay'!G73+'Monkey Bay'!H73+'Monkey Bay'!I73</f>
        <v>0</v>
      </c>
      <c r="F73" s="26">
        <f>Namwera!G73+Namwera!H73+Namwera!I73</f>
        <v>0</v>
      </c>
      <c r="G73" s="128"/>
      <c r="H73" s="35">
        <f>SUM(D73:F73)</f>
        <v>0</v>
      </c>
    </row>
    <row r="74" spans="1:8" ht="27" x14ac:dyDescent="0.3">
      <c r="A74" s="729"/>
      <c r="B74" s="24" t="s">
        <v>103</v>
      </c>
      <c r="C74" s="5" t="s">
        <v>3</v>
      </c>
      <c r="D74" s="26">
        <f>Mangochi!G74+Mangochi!H74+Mangochi!I74</f>
        <v>0</v>
      </c>
      <c r="E74" s="26">
        <f>'Monkey Bay'!G74+'Monkey Bay'!H74+'Monkey Bay'!I74</f>
        <v>0</v>
      </c>
      <c r="F74" s="26">
        <f>Namwera!G74+Namwera!H74+Namwera!I74</f>
        <v>0</v>
      </c>
      <c r="G74" s="128"/>
      <c r="H74" s="35">
        <f>SUM(D74:F74)</f>
        <v>0</v>
      </c>
    </row>
    <row r="75" spans="1:8" s="2" customFormat="1" ht="27" x14ac:dyDescent="0.3">
      <c r="A75" s="729"/>
      <c r="B75" s="24" t="s">
        <v>102</v>
      </c>
      <c r="C75" s="11" t="s">
        <v>3</v>
      </c>
      <c r="D75" s="26">
        <f>Mangochi!G75+Mangochi!H75+Mangochi!I75</f>
        <v>0</v>
      </c>
      <c r="E75" s="26">
        <f>'Monkey Bay'!G75+'Monkey Bay'!H75+'Monkey Bay'!I75</f>
        <v>0</v>
      </c>
      <c r="F75" s="26">
        <f>Namwera!G75+Namwera!H75+Namwera!I75</f>
        <v>0</v>
      </c>
      <c r="G75" s="128"/>
      <c r="H75" s="35">
        <f>SUM(D75:F75)</f>
        <v>0</v>
      </c>
    </row>
    <row r="76" spans="1:8" s="2" customFormat="1" ht="15.6" x14ac:dyDescent="0.3">
      <c r="A76" s="729"/>
      <c r="B76" s="24" t="s">
        <v>188</v>
      </c>
      <c r="C76" s="11" t="s">
        <v>3</v>
      </c>
      <c r="D76" s="4">
        <f>D74+D75</f>
        <v>0</v>
      </c>
      <c r="E76" s="4">
        <f t="shared" ref="E76:H76" si="20">E74+E75</f>
        <v>0</v>
      </c>
      <c r="F76" s="4">
        <f t="shared" si="20"/>
        <v>0</v>
      </c>
      <c r="G76" s="673"/>
      <c r="H76" s="169">
        <f t="shared" si="20"/>
        <v>0</v>
      </c>
    </row>
    <row r="77" spans="1:8" ht="15.6" x14ac:dyDescent="0.3">
      <c r="A77" s="730"/>
      <c r="B77" s="37" t="s">
        <v>81</v>
      </c>
      <c r="C77" s="5" t="s">
        <v>3</v>
      </c>
      <c r="D77" s="26">
        <f>D73+D74-D76</f>
        <v>0</v>
      </c>
      <c r="E77" s="26">
        <f t="shared" ref="E77:H77" si="21">E73+E74-E76</f>
        <v>0</v>
      </c>
      <c r="F77" s="26">
        <f t="shared" si="21"/>
        <v>0</v>
      </c>
      <c r="G77" s="128"/>
      <c r="H77" s="55">
        <f t="shared" si="21"/>
        <v>0</v>
      </c>
    </row>
    <row r="78" spans="1:8" ht="15.6" customHeight="1" x14ac:dyDescent="0.3">
      <c r="A78" s="728" t="s">
        <v>107</v>
      </c>
      <c r="B78" s="37" t="s">
        <v>85</v>
      </c>
      <c r="C78" s="5" t="s">
        <v>3</v>
      </c>
      <c r="D78" s="26">
        <f>Mangochi!G78</f>
        <v>9</v>
      </c>
      <c r="E78" s="26">
        <f>'Monkey Bay'!G78</f>
        <v>2</v>
      </c>
      <c r="F78" s="26">
        <f>Namwera!G78</f>
        <v>0</v>
      </c>
      <c r="G78" s="128"/>
      <c r="H78" s="35">
        <f>SUM(D78:F78)</f>
        <v>11</v>
      </c>
    </row>
    <row r="79" spans="1:8" ht="15.6" x14ac:dyDescent="0.3">
      <c r="A79" s="729"/>
      <c r="B79" s="24" t="s">
        <v>104</v>
      </c>
      <c r="C79" s="5" t="s">
        <v>3</v>
      </c>
      <c r="D79" s="26">
        <f>Mangochi!G79+Mangochi!H79+Mangochi!I79</f>
        <v>0</v>
      </c>
      <c r="E79" s="26">
        <f>'Monkey Bay'!G79+'Monkey Bay'!H79+'Monkey Bay'!I79</f>
        <v>0</v>
      </c>
      <c r="F79" s="26">
        <f>Namwera!G79+Namwera!H79+Namwera!I79</f>
        <v>0</v>
      </c>
      <c r="G79" s="128"/>
      <c r="H79" s="35">
        <f>SUM(D79:F79)</f>
        <v>0</v>
      </c>
    </row>
    <row r="80" spans="1:8" ht="27" x14ac:dyDescent="0.3">
      <c r="A80" s="729"/>
      <c r="B80" s="24" t="s">
        <v>103</v>
      </c>
      <c r="C80" s="5" t="s">
        <v>3</v>
      </c>
      <c r="D80" s="26">
        <f>Mangochi!G80+Mangochi!H80+Mangochi!I80</f>
        <v>0</v>
      </c>
      <c r="E80" s="26">
        <f>'Monkey Bay'!G80+'Monkey Bay'!H80+'Monkey Bay'!I80</f>
        <v>0</v>
      </c>
      <c r="F80" s="26">
        <f>Namwera!G80+Namwera!H80+Namwera!I80</f>
        <v>0</v>
      </c>
      <c r="G80" s="128"/>
      <c r="H80" s="35">
        <f>SUM(D80:F80)</f>
        <v>0</v>
      </c>
    </row>
    <row r="81" spans="1:8" s="2" customFormat="1" ht="27" x14ac:dyDescent="0.3">
      <c r="A81" s="729"/>
      <c r="B81" s="24" t="s">
        <v>102</v>
      </c>
      <c r="C81" s="11" t="s">
        <v>3</v>
      </c>
      <c r="D81" s="26">
        <f>Mangochi!G81+Mangochi!H81+Mangochi!I81</f>
        <v>0</v>
      </c>
      <c r="E81" s="26">
        <f>'Monkey Bay'!G81+'Monkey Bay'!H81+'Monkey Bay'!I81</f>
        <v>2</v>
      </c>
      <c r="F81" s="26">
        <f>Namwera!G81+Namwera!H81+Namwera!I81</f>
        <v>0</v>
      </c>
      <c r="G81" s="128"/>
      <c r="H81" s="74">
        <f>SUM(D81:F81)</f>
        <v>2</v>
      </c>
    </row>
    <row r="82" spans="1:8" s="2" customFormat="1" ht="15.6" x14ac:dyDescent="0.3">
      <c r="A82" s="729"/>
      <c r="B82" s="24" t="s">
        <v>188</v>
      </c>
      <c r="C82" s="11" t="s">
        <v>3</v>
      </c>
      <c r="D82" s="4">
        <f>D81+D80</f>
        <v>0</v>
      </c>
      <c r="E82" s="4">
        <f t="shared" ref="E82:H82" si="22">E81+E80</f>
        <v>2</v>
      </c>
      <c r="F82" s="4">
        <f t="shared" si="22"/>
        <v>0</v>
      </c>
      <c r="G82" s="673"/>
      <c r="H82" s="169">
        <f t="shared" si="22"/>
        <v>2</v>
      </c>
    </row>
    <row r="83" spans="1:8" ht="15.6" x14ac:dyDescent="0.3">
      <c r="A83" s="730"/>
      <c r="B83" s="37" t="s">
        <v>81</v>
      </c>
      <c r="C83" s="5" t="s">
        <v>3</v>
      </c>
      <c r="D83" s="26">
        <f>D78+D79-D82</f>
        <v>9</v>
      </c>
      <c r="E83" s="26">
        <f t="shared" ref="E83:H83" si="23">E78+E79-E82</f>
        <v>0</v>
      </c>
      <c r="F83" s="26">
        <f t="shared" si="23"/>
        <v>0</v>
      </c>
      <c r="G83" s="128"/>
      <c r="H83" s="55">
        <f t="shared" si="23"/>
        <v>9</v>
      </c>
    </row>
    <row r="84" spans="1:8" ht="15.6" x14ac:dyDescent="0.3">
      <c r="A84" s="731" t="s">
        <v>106</v>
      </c>
      <c r="B84" s="37" t="s">
        <v>85</v>
      </c>
      <c r="C84" s="5" t="s">
        <v>3</v>
      </c>
      <c r="D84" s="26">
        <f>Mangochi!G84</f>
        <v>0</v>
      </c>
      <c r="E84" s="26">
        <f>'Monkey Bay'!G84</f>
        <v>0</v>
      </c>
      <c r="F84" s="26">
        <f>Namwera!G84</f>
        <v>0</v>
      </c>
      <c r="G84" s="128"/>
      <c r="H84" s="35">
        <f>SUM(D84:F84)</f>
        <v>0</v>
      </c>
    </row>
    <row r="85" spans="1:8" ht="15.6" x14ac:dyDescent="0.3">
      <c r="A85" s="732"/>
      <c r="B85" s="37" t="s">
        <v>104</v>
      </c>
      <c r="C85" s="5" t="s">
        <v>3</v>
      </c>
      <c r="D85" s="26">
        <f>Mangochi!G85+Mangochi!H85+Mangochi!I85</f>
        <v>0</v>
      </c>
      <c r="E85" s="26">
        <f>'Monkey Bay'!G85+'Monkey Bay'!H85+'Monkey Bay'!I85</f>
        <v>0</v>
      </c>
      <c r="F85" s="26">
        <f>Namwera!G85+Namwera!H85+Namwera!I85</f>
        <v>0</v>
      </c>
      <c r="G85" s="128"/>
      <c r="H85" s="35">
        <f>SUM(D85:F85)</f>
        <v>0</v>
      </c>
    </row>
    <row r="86" spans="1:8" ht="27" x14ac:dyDescent="0.3">
      <c r="A86" s="732"/>
      <c r="B86" s="37" t="s">
        <v>103</v>
      </c>
      <c r="C86" s="5" t="s">
        <v>3</v>
      </c>
      <c r="D86" s="26">
        <f>Mangochi!G86+Mangochi!H86+Mangochi!I86</f>
        <v>0</v>
      </c>
      <c r="E86" s="26">
        <f>'Monkey Bay'!G86+'Monkey Bay'!H86+'Monkey Bay'!I86</f>
        <v>0</v>
      </c>
      <c r="F86" s="26">
        <f>Namwera!G86+Namwera!H86+Namwera!I86</f>
        <v>0</v>
      </c>
      <c r="G86" s="128"/>
      <c r="H86" s="35">
        <f>SUM(D86:F86)</f>
        <v>0</v>
      </c>
    </row>
    <row r="87" spans="1:8" s="2" customFormat="1" ht="27" x14ac:dyDescent="0.3">
      <c r="A87" s="732"/>
      <c r="B87" s="24" t="s">
        <v>102</v>
      </c>
      <c r="C87" s="11" t="s">
        <v>3</v>
      </c>
      <c r="D87" s="26">
        <f>Mangochi!G87+Mangochi!H87+Mangochi!I87</f>
        <v>0</v>
      </c>
      <c r="E87" s="26">
        <f>'Monkey Bay'!G87+'Monkey Bay'!H87+'Monkey Bay'!I87</f>
        <v>0</v>
      </c>
      <c r="F87" s="26">
        <f>Namwera!G87+Namwera!H87+Namwera!I87</f>
        <v>0</v>
      </c>
      <c r="G87" s="128"/>
      <c r="H87" s="74">
        <f>SUM(D87:F87)</f>
        <v>0</v>
      </c>
    </row>
    <row r="88" spans="1:8" s="2" customFormat="1" ht="15.6" x14ac:dyDescent="0.3">
      <c r="A88" s="732"/>
      <c r="B88" s="24" t="s">
        <v>188</v>
      </c>
      <c r="C88" s="11" t="s">
        <v>3</v>
      </c>
      <c r="D88" s="4">
        <f>D87+D86</f>
        <v>0</v>
      </c>
      <c r="E88" s="4">
        <f t="shared" ref="E88:F88" si="24">E87+E86</f>
        <v>0</v>
      </c>
      <c r="F88" s="4">
        <f t="shared" si="24"/>
        <v>0</v>
      </c>
      <c r="G88" s="673"/>
      <c r="H88" s="74"/>
    </row>
    <row r="89" spans="1:8" ht="15.6" x14ac:dyDescent="0.3">
      <c r="A89" s="733"/>
      <c r="B89" s="36" t="s">
        <v>81</v>
      </c>
      <c r="C89" s="5" t="s">
        <v>3</v>
      </c>
      <c r="D89" s="26">
        <f>D84+D85-D88</f>
        <v>0</v>
      </c>
      <c r="E89" s="26">
        <f t="shared" ref="E89:F89" si="25">E84+E85-E88</f>
        <v>0</v>
      </c>
      <c r="F89" s="26">
        <f t="shared" si="25"/>
        <v>0</v>
      </c>
      <c r="G89" s="128"/>
      <c r="H89" s="55">
        <f t="shared" ref="H89" si="26">H84+H85-H86-H87</f>
        <v>0</v>
      </c>
    </row>
    <row r="90" spans="1:8" ht="15.6" x14ac:dyDescent="0.3">
      <c r="A90" s="734" t="s">
        <v>105</v>
      </c>
      <c r="B90" s="24" t="s">
        <v>85</v>
      </c>
      <c r="C90" s="11" t="s">
        <v>3</v>
      </c>
      <c r="D90" s="136">
        <f>D66+D72+D78+D84</f>
        <v>1332</v>
      </c>
      <c r="E90" s="136">
        <f t="shared" ref="E90:F90" si="27">E66+E72+E78+E84</f>
        <v>68</v>
      </c>
      <c r="F90" s="136">
        <f t="shared" si="27"/>
        <v>63</v>
      </c>
      <c r="G90" s="674"/>
      <c r="H90" s="35">
        <f>SUM(D90:F90)</f>
        <v>1463</v>
      </c>
    </row>
    <row r="91" spans="1:8" ht="15.6" x14ac:dyDescent="0.3">
      <c r="A91" s="735"/>
      <c r="B91" s="24" t="s">
        <v>104</v>
      </c>
      <c r="C91" s="11" t="s">
        <v>3</v>
      </c>
      <c r="D91" s="136">
        <f t="shared" ref="D91:F93" si="28">D67+D73+D79+D85</f>
        <v>273</v>
      </c>
      <c r="E91" s="136">
        <f t="shared" si="28"/>
        <v>49</v>
      </c>
      <c r="F91" s="136">
        <f t="shared" si="28"/>
        <v>29</v>
      </c>
      <c r="G91" s="674"/>
      <c r="H91" s="35">
        <f>SUM(D91:F91)</f>
        <v>351</v>
      </c>
    </row>
    <row r="92" spans="1:8" ht="27" x14ac:dyDescent="0.3">
      <c r="A92" s="735"/>
      <c r="B92" s="24" t="s">
        <v>103</v>
      </c>
      <c r="C92" s="11" t="s">
        <v>3</v>
      </c>
      <c r="D92" s="136">
        <f t="shared" si="28"/>
        <v>0</v>
      </c>
      <c r="E92" s="136">
        <f t="shared" si="28"/>
        <v>0</v>
      </c>
      <c r="F92" s="136">
        <f t="shared" si="28"/>
        <v>0</v>
      </c>
      <c r="G92" s="674"/>
      <c r="H92" s="35">
        <f>SUM(D92:F92)</f>
        <v>0</v>
      </c>
    </row>
    <row r="93" spans="1:8" s="2" customFormat="1" ht="27" x14ac:dyDescent="0.3">
      <c r="A93" s="735"/>
      <c r="B93" s="24" t="s">
        <v>102</v>
      </c>
      <c r="C93" s="11"/>
      <c r="D93" s="136">
        <f t="shared" si="28"/>
        <v>143</v>
      </c>
      <c r="E93" s="136">
        <f t="shared" si="28"/>
        <v>46</v>
      </c>
      <c r="F93" s="136">
        <f t="shared" si="28"/>
        <v>22</v>
      </c>
      <c r="G93" s="674"/>
      <c r="H93" s="35">
        <f>SUM(D93:F93)</f>
        <v>211</v>
      </c>
    </row>
    <row r="94" spans="1:8" s="2" customFormat="1" ht="15.6" x14ac:dyDescent="0.3">
      <c r="A94" s="735"/>
      <c r="B94" s="24" t="s">
        <v>188</v>
      </c>
      <c r="C94" s="11" t="s">
        <v>3</v>
      </c>
      <c r="D94" s="137">
        <f>D93+D92</f>
        <v>143</v>
      </c>
      <c r="E94" s="137">
        <f t="shared" ref="E94:F94" si="29">E93+E92</f>
        <v>46</v>
      </c>
      <c r="F94" s="137">
        <f t="shared" si="29"/>
        <v>22</v>
      </c>
      <c r="G94" s="675"/>
      <c r="H94" s="144">
        <f t="shared" ref="H94" si="30">H93+H92</f>
        <v>211</v>
      </c>
    </row>
    <row r="95" spans="1:8" ht="16.2" thickBot="1" x14ac:dyDescent="0.35">
      <c r="A95" s="736"/>
      <c r="B95" s="24" t="s">
        <v>81</v>
      </c>
      <c r="C95" s="11" t="s">
        <v>3</v>
      </c>
      <c r="D95" s="138">
        <f>D90+D91-D94</f>
        <v>1462</v>
      </c>
      <c r="E95" s="138">
        <f t="shared" ref="E95:F95" si="31">E90+E91-E94</f>
        <v>71</v>
      </c>
      <c r="F95" s="138">
        <f t="shared" si="31"/>
        <v>70</v>
      </c>
      <c r="G95" s="676"/>
      <c r="H95" s="145">
        <f t="shared" ref="H95" si="32">H90+H91-H94</f>
        <v>1603</v>
      </c>
    </row>
    <row r="96" spans="1:8" ht="16.2" customHeight="1" thickBot="1" x14ac:dyDescent="0.35">
      <c r="A96" s="788"/>
      <c r="B96" s="789"/>
      <c r="C96" s="789"/>
      <c r="D96" s="789"/>
      <c r="E96" s="789"/>
      <c r="F96" s="789"/>
      <c r="G96" s="789"/>
      <c r="H96" s="790"/>
    </row>
    <row r="97" spans="1:8" s="2" customFormat="1" ht="15.75" customHeight="1" thickBot="1" x14ac:dyDescent="0.35">
      <c r="A97" s="737" t="s">
        <v>189</v>
      </c>
      <c r="B97" s="738"/>
      <c r="C97" s="738"/>
      <c r="D97" s="738"/>
      <c r="E97" s="738"/>
      <c r="F97" s="738"/>
      <c r="G97" s="738"/>
      <c r="H97" s="739"/>
    </row>
    <row r="98" spans="1:8" ht="15.6" x14ac:dyDescent="0.3">
      <c r="A98" s="88" t="s">
        <v>190</v>
      </c>
      <c r="B98" s="69"/>
      <c r="C98" s="11" t="s">
        <v>3</v>
      </c>
      <c r="D98" s="26">
        <f>Mangochi!G98+Mangochi!H98+Mangochi!I98</f>
        <v>152</v>
      </c>
      <c r="E98" s="26">
        <f>'Monkey Bay'!G98+'Monkey Bay'!H98+'Monkey Bay'!I98</f>
        <v>46</v>
      </c>
      <c r="F98" s="26">
        <f>Namwera!G98+Namwera!H98+Namwera!I98</f>
        <v>22</v>
      </c>
      <c r="G98" s="677"/>
      <c r="H98" s="170">
        <f>SUM(D98:F98)</f>
        <v>220</v>
      </c>
    </row>
    <row r="99" spans="1:8" ht="15.6" x14ac:dyDescent="0.3">
      <c r="A99" s="88"/>
      <c r="B99" s="24"/>
      <c r="C99" s="11"/>
      <c r="D99" s="65"/>
      <c r="E99" s="65"/>
      <c r="F99" s="65"/>
      <c r="G99" s="66"/>
      <c r="H99" s="107"/>
    </row>
    <row r="100" spans="1:8" s="2" customFormat="1" x14ac:dyDescent="0.3">
      <c r="A100" s="748" t="s">
        <v>101</v>
      </c>
      <c r="B100" s="749"/>
      <c r="C100" s="749"/>
      <c r="D100" s="749"/>
      <c r="E100" s="749"/>
      <c r="F100" s="749"/>
      <c r="G100" s="749"/>
      <c r="H100" s="750"/>
    </row>
    <row r="101" spans="1:8" ht="15.6" x14ac:dyDescent="0.3">
      <c r="A101" s="695" t="s">
        <v>100</v>
      </c>
      <c r="B101" s="696"/>
      <c r="C101" s="11" t="s">
        <v>3</v>
      </c>
      <c r="D101" s="26">
        <f>Mangochi!I101</f>
        <v>1796</v>
      </c>
      <c r="E101" s="26">
        <f>'Monkey Bay'!I101</f>
        <v>397</v>
      </c>
      <c r="F101" s="26">
        <f>Namwera!I101</f>
        <v>218</v>
      </c>
      <c r="G101" s="128"/>
      <c r="H101" s="35">
        <f>SUM(D101:F101)</f>
        <v>2411</v>
      </c>
    </row>
    <row r="102" spans="1:8" ht="15.6" x14ac:dyDescent="0.3">
      <c r="A102" s="695" t="s">
        <v>99</v>
      </c>
      <c r="B102" s="696"/>
      <c r="C102" s="11" t="s">
        <v>3</v>
      </c>
      <c r="D102" s="26">
        <f>Mangochi!I102</f>
        <v>5</v>
      </c>
      <c r="E102" s="26">
        <f>'Monkey Bay'!I102</f>
        <v>0</v>
      </c>
      <c r="F102" s="26">
        <f>Namwera!I102</f>
        <v>7</v>
      </c>
      <c r="G102" s="128"/>
      <c r="H102" s="35">
        <f>SUM(D102:F102)</f>
        <v>12</v>
      </c>
    </row>
    <row r="103" spans="1:8" ht="15.6" customHeight="1" x14ac:dyDescent="0.3">
      <c r="A103" s="702" t="s">
        <v>98</v>
      </c>
      <c r="B103" s="703"/>
      <c r="C103" s="11" t="s">
        <v>3</v>
      </c>
      <c r="D103" s="26">
        <f>Mangochi!I103</f>
        <v>142</v>
      </c>
      <c r="E103" s="26">
        <f>'Monkey Bay'!I103</f>
        <v>0</v>
      </c>
      <c r="F103" s="26">
        <f>Namwera!I103</f>
        <v>2</v>
      </c>
      <c r="G103" s="128"/>
      <c r="H103" s="35">
        <f>SUM(D103:F103)</f>
        <v>144</v>
      </c>
    </row>
    <row r="104" spans="1:8" ht="15.6" x14ac:dyDescent="0.3">
      <c r="A104" s="702" t="s">
        <v>97</v>
      </c>
      <c r="B104" s="703"/>
      <c r="C104" s="11" t="s">
        <v>3</v>
      </c>
      <c r="D104" s="26">
        <f>Mangochi!I104</f>
        <v>10</v>
      </c>
      <c r="E104" s="26">
        <f>'Monkey Bay'!I104</f>
        <v>0</v>
      </c>
      <c r="F104" s="26">
        <f>Namwera!I104</f>
        <v>5</v>
      </c>
      <c r="G104" s="128"/>
      <c r="H104" s="35">
        <f>SUM(D104:F104)</f>
        <v>15</v>
      </c>
    </row>
    <row r="105" spans="1:8" ht="15.6" x14ac:dyDescent="0.3">
      <c r="A105" s="751" t="s">
        <v>96</v>
      </c>
      <c r="B105" s="752"/>
      <c r="C105" s="11" t="s">
        <v>3</v>
      </c>
      <c r="D105" s="33">
        <f>SUM(D101:D104)</f>
        <v>1953</v>
      </c>
      <c r="E105" s="33">
        <f t="shared" ref="E105:F105" si="33">SUM(E101:E104)</f>
        <v>397</v>
      </c>
      <c r="F105" s="33">
        <f t="shared" si="33"/>
        <v>232</v>
      </c>
      <c r="G105" s="33"/>
      <c r="H105" s="35">
        <f>SUM(D105:F105)</f>
        <v>2582</v>
      </c>
    </row>
    <row r="106" spans="1:8" s="2" customFormat="1" ht="15.6" customHeight="1" x14ac:dyDescent="0.3">
      <c r="A106" s="745" t="s">
        <v>210</v>
      </c>
      <c r="B106" s="746"/>
      <c r="C106" s="746"/>
      <c r="D106" s="746"/>
      <c r="E106" s="746"/>
      <c r="F106" s="746"/>
      <c r="G106" s="746"/>
      <c r="H106" s="747"/>
    </row>
    <row r="107" spans="1:8" ht="15.6" x14ac:dyDescent="0.3">
      <c r="A107" s="695" t="s">
        <v>193</v>
      </c>
      <c r="B107" s="696"/>
      <c r="C107" s="11" t="s">
        <v>3</v>
      </c>
      <c r="D107" s="26">
        <f>Mangochi!I107</f>
        <v>4831</v>
      </c>
      <c r="E107" s="26">
        <f>'Monkey Bay'!I107</f>
        <v>1412</v>
      </c>
      <c r="F107" s="26">
        <f>Namwera!I107</f>
        <v>244</v>
      </c>
      <c r="G107" s="128"/>
      <c r="H107" s="35">
        <f>SUM(D107:F107)</f>
        <v>6487</v>
      </c>
    </row>
    <row r="108" spans="1:8" ht="15.6" x14ac:dyDescent="0.3">
      <c r="A108" s="695" t="s">
        <v>194</v>
      </c>
      <c r="B108" s="696"/>
      <c r="C108" s="11" t="s">
        <v>3</v>
      </c>
      <c r="D108" s="26">
        <f>Mangochi!I108</f>
        <v>7</v>
      </c>
      <c r="E108" s="26">
        <f>'Monkey Bay'!I108</f>
        <v>17</v>
      </c>
      <c r="F108" s="26">
        <f>Namwera!I108</f>
        <v>1</v>
      </c>
      <c r="G108" s="128"/>
      <c r="H108" s="35">
        <f>SUM(D108:F108)</f>
        <v>25</v>
      </c>
    </row>
    <row r="109" spans="1:8" ht="15.6" x14ac:dyDescent="0.3">
      <c r="A109" s="695" t="s">
        <v>195</v>
      </c>
      <c r="B109" s="696"/>
      <c r="C109" s="11" t="s">
        <v>3</v>
      </c>
      <c r="D109" s="26">
        <f>Mangochi!I109</f>
        <v>5</v>
      </c>
      <c r="E109" s="26">
        <f>'Monkey Bay'!I109</f>
        <v>12</v>
      </c>
      <c r="F109" s="26">
        <f>Namwera!I109</f>
        <v>0</v>
      </c>
      <c r="G109" s="128"/>
      <c r="H109" s="35">
        <f>SUM(D109:F109)</f>
        <v>17</v>
      </c>
    </row>
    <row r="110" spans="1:8" ht="15.6" x14ac:dyDescent="0.3">
      <c r="A110" s="695" t="s">
        <v>196</v>
      </c>
      <c r="B110" s="696"/>
      <c r="C110" s="11" t="s">
        <v>3</v>
      </c>
      <c r="D110" s="26">
        <f>Mangochi!I110</f>
        <v>0</v>
      </c>
      <c r="E110" s="26">
        <f>'Monkey Bay'!I110</f>
        <v>0</v>
      </c>
      <c r="F110" s="26">
        <f>Namwera!I110</f>
        <v>0</v>
      </c>
      <c r="G110" s="128"/>
      <c r="H110" s="35">
        <f>SUM(D110:F110)</f>
        <v>0</v>
      </c>
    </row>
    <row r="111" spans="1:8" ht="15.6" x14ac:dyDescent="0.3">
      <c r="A111" s="697" t="s">
        <v>95</v>
      </c>
      <c r="B111" s="698"/>
      <c r="C111" s="11" t="s">
        <v>3</v>
      </c>
      <c r="D111" s="33">
        <f>SUM(D107:D110)</f>
        <v>4843</v>
      </c>
      <c r="E111" s="33">
        <f t="shared" ref="E111:F111" si="34">SUM(E107:E110)</f>
        <v>1441</v>
      </c>
      <c r="F111" s="33">
        <f t="shared" si="34"/>
        <v>245</v>
      </c>
      <c r="G111" s="33"/>
      <c r="H111" s="35">
        <f>SUM(D111:F111)</f>
        <v>6529</v>
      </c>
    </row>
    <row r="112" spans="1:8" s="2" customFormat="1" ht="15.6" customHeight="1" x14ac:dyDescent="0.3">
      <c r="A112" s="748" t="s">
        <v>210</v>
      </c>
      <c r="B112" s="749"/>
      <c r="C112" s="749"/>
      <c r="D112" s="749"/>
      <c r="E112" s="749"/>
      <c r="F112" s="749"/>
      <c r="G112" s="749"/>
      <c r="H112" s="750"/>
    </row>
    <row r="113" spans="1:8" ht="15.6" x14ac:dyDescent="0.3">
      <c r="A113" s="695" t="s">
        <v>197</v>
      </c>
      <c r="B113" s="696"/>
      <c r="C113" s="11" t="s">
        <v>3</v>
      </c>
      <c r="D113" s="26">
        <f>Mangochi!I113</f>
        <v>1179</v>
      </c>
      <c r="E113" s="26">
        <f>'Monkey Bay'!I113</f>
        <v>587</v>
      </c>
      <c r="F113" s="26">
        <f>Namwera!I113</f>
        <v>249</v>
      </c>
      <c r="G113" s="128"/>
      <c r="H113" s="35">
        <f t="shared" ref="H113:H119" si="35">SUM(D113:F113)</f>
        <v>2015</v>
      </c>
    </row>
    <row r="114" spans="1:8" ht="15.6" x14ac:dyDescent="0.3">
      <c r="A114" s="695" t="s">
        <v>198</v>
      </c>
      <c r="B114" s="696"/>
      <c r="C114" s="11" t="s">
        <v>3</v>
      </c>
      <c r="D114" s="26">
        <f>Mangochi!I114</f>
        <v>0</v>
      </c>
      <c r="E114" s="26">
        <f>'Monkey Bay'!I114</f>
        <v>0</v>
      </c>
      <c r="F114" s="26">
        <f>Namwera!I114</f>
        <v>25</v>
      </c>
      <c r="G114" s="128"/>
      <c r="H114" s="35">
        <f t="shared" si="35"/>
        <v>25</v>
      </c>
    </row>
    <row r="115" spans="1:8" ht="15.6" x14ac:dyDescent="0.3">
      <c r="A115" s="695" t="s">
        <v>199</v>
      </c>
      <c r="B115" s="696"/>
      <c r="C115" s="11" t="s">
        <v>3</v>
      </c>
      <c r="D115" s="26">
        <f>Mangochi!I115</f>
        <v>0</v>
      </c>
      <c r="E115" s="26">
        <f>'Monkey Bay'!I115</f>
        <v>0</v>
      </c>
      <c r="F115" s="26">
        <f>Namwera!I115</f>
        <v>5</v>
      </c>
      <c r="G115" s="128"/>
      <c r="H115" s="35">
        <f t="shared" si="35"/>
        <v>5</v>
      </c>
    </row>
    <row r="116" spans="1:8" ht="15.6" x14ac:dyDescent="0.3">
      <c r="A116" s="695" t="s">
        <v>200</v>
      </c>
      <c r="B116" s="696"/>
      <c r="C116" s="11" t="s">
        <v>3</v>
      </c>
      <c r="D116" s="26">
        <f>Mangochi!I116</f>
        <v>0</v>
      </c>
      <c r="E116" s="26">
        <f>'Monkey Bay'!I116</f>
        <v>0</v>
      </c>
      <c r="F116" s="26">
        <f>Namwera!I116</f>
        <v>3</v>
      </c>
      <c r="G116" s="128"/>
      <c r="H116" s="35">
        <f t="shared" si="35"/>
        <v>3</v>
      </c>
    </row>
    <row r="117" spans="1:8" ht="15.6" x14ac:dyDescent="0.3">
      <c r="A117" s="697" t="s">
        <v>94</v>
      </c>
      <c r="B117" s="698"/>
      <c r="C117" s="11" t="s">
        <v>3</v>
      </c>
      <c r="D117" s="33">
        <f>SUM(D113:D116)</f>
        <v>1179</v>
      </c>
      <c r="E117" s="33">
        <f t="shared" ref="E117:F117" si="36">SUM(E113:E116)</f>
        <v>587</v>
      </c>
      <c r="F117" s="33">
        <f t="shared" si="36"/>
        <v>282</v>
      </c>
      <c r="G117" s="33"/>
      <c r="H117" s="35">
        <f t="shared" si="35"/>
        <v>2048</v>
      </c>
    </row>
    <row r="118" spans="1:8" s="2" customFormat="1" ht="15.6" x14ac:dyDescent="0.3">
      <c r="A118" s="80" t="s">
        <v>191</v>
      </c>
      <c r="B118" s="81"/>
      <c r="C118" s="11" t="s">
        <v>3</v>
      </c>
      <c r="D118" s="33">
        <f>D117+D111</f>
        <v>6022</v>
      </c>
      <c r="E118" s="33">
        <f t="shared" ref="E118:F118" si="37">E117+E111</f>
        <v>2028</v>
      </c>
      <c r="F118" s="33">
        <f t="shared" si="37"/>
        <v>527</v>
      </c>
      <c r="G118" s="33"/>
      <c r="H118" s="35">
        <f t="shared" si="35"/>
        <v>8577</v>
      </c>
    </row>
    <row r="119" spans="1:8" ht="15.6" x14ac:dyDescent="0.3">
      <c r="A119" s="697" t="s">
        <v>192</v>
      </c>
      <c r="B119" s="698"/>
      <c r="C119" s="11" t="s">
        <v>3</v>
      </c>
      <c r="D119" s="33">
        <f>D118+D105</f>
        <v>7975</v>
      </c>
      <c r="E119" s="33">
        <f t="shared" ref="E119:F119" si="38">E118+E105</f>
        <v>2425</v>
      </c>
      <c r="F119" s="33">
        <f t="shared" si="38"/>
        <v>759</v>
      </c>
      <c r="G119" s="33"/>
      <c r="H119" s="35">
        <f t="shared" si="35"/>
        <v>11159</v>
      </c>
    </row>
    <row r="120" spans="1:8" x14ac:dyDescent="0.3">
      <c r="A120" s="699" t="s">
        <v>201</v>
      </c>
      <c r="B120" s="700"/>
      <c r="C120" s="700"/>
      <c r="D120" s="700"/>
      <c r="E120" s="700"/>
      <c r="F120" s="700"/>
      <c r="G120" s="700"/>
      <c r="H120" s="701"/>
    </row>
    <row r="121" spans="1:8" ht="15.6" x14ac:dyDescent="0.3">
      <c r="A121" s="695" t="s">
        <v>93</v>
      </c>
      <c r="B121" s="696"/>
      <c r="C121" s="5" t="s">
        <v>3</v>
      </c>
      <c r="D121" s="26">
        <f>Mangochi!I121</f>
        <v>50781</v>
      </c>
      <c r="E121" s="26">
        <f>'Monkey Bay'!I121</f>
        <v>20698</v>
      </c>
      <c r="F121" s="26">
        <f>Namwera!I121</f>
        <v>9038</v>
      </c>
      <c r="G121" s="128"/>
      <c r="H121" s="35">
        <f>SUM(D121:F121)</f>
        <v>80517</v>
      </c>
    </row>
    <row r="122" spans="1:8" ht="15.6" x14ac:dyDescent="0.3">
      <c r="A122" s="695" t="s">
        <v>92</v>
      </c>
      <c r="B122" s="696"/>
      <c r="C122" s="5" t="s">
        <v>3</v>
      </c>
      <c r="D122" s="26">
        <f>Mangochi!I122</f>
        <v>47854</v>
      </c>
      <c r="E122" s="26">
        <f>'Monkey Bay'!I122</f>
        <v>17672</v>
      </c>
      <c r="F122" s="26">
        <f>Namwera!I122</f>
        <v>6606</v>
      </c>
      <c r="G122" s="128"/>
      <c r="H122" s="35">
        <f>SUM(D122:F122)</f>
        <v>72132</v>
      </c>
    </row>
    <row r="123" spans="1:8" ht="15.6" x14ac:dyDescent="0.3">
      <c r="A123" s="753" t="s">
        <v>91</v>
      </c>
      <c r="B123" s="754"/>
      <c r="C123" s="30" t="s">
        <v>6</v>
      </c>
      <c r="D123" s="29">
        <f t="shared" ref="D123:H123" si="39">D122/D121</f>
        <v>0.94236033162009414</v>
      </c>
      <c r="E123" s="29">
        <f t="shared" si="39"/>
        <v>0.85380229973910526</v>
      </c>
      <c r="F123" s="29">
        <f t="shared" si="39"/>
        <v>0.73091391900863023</v>
      </c>
      <c r="G123" s="678"/>
      <c r="H123" s="109">
        <f t="shared" si="39"/>
        <v>0.8958605015089981</v>
      </c>
    </row>
    <row r="124" spans="1:8" x14ac:dyDescent="0.3">
      <c r="A124" s="755" t="s">
        <v>90</v>
      </c>
      <c r="B124" s="756"/>
      <c r="C124" s="756"/>
      <c r="D124" s="756"/>
      <c r="E124" s="756"/>
      <c r="F124" s="756"/>
      <c r="G124" s="756"/>
      <c r="H124" s="757"/>
    </row>
    <row r="125" spans="1:8" ht="15.6" x14ac:dyDescent="0.3">
      <c r="A125" s="711" t="s">
        <v>224</v>
      </c>
      <c r="B125" s="24" t="s">
        <v>85</v>
      </c>
      <c r="C125" s="11" t="s">
        <v>3</v>
      </c>
      <c r="D125" s="26">
        <f>Mangochi!G125</f>
        <v>2</v>
      </c>
      <c r="E125" s="26">
        <f>'Monkey Bay'!G125</f>
        <v>0</v>
      </c>
      <c r="F125" s="26">
        <f>Namwera!G125</f>
        <v>0</v>
      </c>
      <c r="G125" s="128"/>
      <c r="H125" s="35">
        <f>SUM(D125:F125)</f>
        <v>2</v>
      </c>
    </row>
    <row r="126" spans="1:8" ht="15.6" x14ac:dyDescent="0.3">
      <c r="A126" s="761"/>
      <c r="B126" s="24" t="s">
        <v>84</v>
      </c>
      <c r="C126" s="11" t="s">
        <v>3</v>
      </c>
      <c r="D126" s="26">
        <f>Mangochi!G126+Mangochi!H126+Mangochi!I126</f>
        <v>0</v>
      </c>
      <c r="E126" s="26">
        <f>'Monkey Bay'!G126+'Monkey Bay'!H126+'Monkey Bay'!I126</f>
        <v>0</v>
      </c>
      <c r="F126" s="26">
        <f>Namwera!G126+Namwera!H126+Namwera!I126</f>
        <v>0</v>
      </c>
      <c r="G126" s="128"/>
      <c r="H126" s="35">
        <f>SUM(D126:F126)</f>
        <v>0</v>
      </c>
    </row>
    <row r="127" spans="1:8" ht="15.6" x14ac:dyDescent="0.3">
      <c r="A127" s="761"/>
      <c r="B127" s="82" t="s">
        <v>88</v>
      </c>
      <c r="C127" s="11" t="s">
        <v>3</v>
      </c>
      <c r="D127" s="26">
        <f>Mangochi!G127+Mangochi!H127+Mangochi!I127</f>
        <v>0</v>
      </c>
      <c r="E127" s="26">
        <f>'Monkey Bay'!G127+'Monkey Bay'!H127+'Monkey Bay'!I127</f>
        <v>0</v>
      </c>
      <c r="F127" s="26">
        <f>Namwera!G127+Namwera!H127+Namwera!I127</f>
        <v>0</v>
      </c>
      <c r="G127" s="128"/>
      <c r="H127" s="35">
        <f>SUM(D127:F127)</f>
        <v>0</v>
      </c>
    </row>
    <row r="128" spans="1:8" ht="15.6" x14ac:dyDescent="0.3">
      <c r="A128" s="761"/>
      <c r="B128" s="24" t="s">
        <v>82</v>
      </c>
      <c r="C128" s="11" t="s">
        <v>3</v>
      </c>
      <c r="D128" s="26">
        <f>Mangochi!G128+Mangochi!H128+Mangochi!I128</f>
        <v>0</v>
      </c>
      <c r="E128" s="26">
        <f>'Monkey Bay'!G128+'Monkey Bay'!H128+'Monkey Bay'!I128</f>
        <v>0</v>
      </c>
      <c r="F128" s="26">
        <f>Namwera!G128+Namwera!H128+Namwera!I128</f>
        <v>0</v>
      </c>
      <c r="G128" s="128"/>
      <c r="H128" s="35">
        <f>SUM(D128:F128)</f>
        <v>0</v>
      </c>
    </row>
    <row r="129" spans="1:8" ht="15.6" x14ac:dyDescent="0.3">
      <c r="A129" s="712"/>
      <c r="B129" s="24" t="s">
        <v>81</v>
      </c>
      <c r="C129" s="11" t="s">
        <v>3</v>
      </c>
      <c r="D129" s="140">
        <f t="shared" ref="D129:H129" si="40">D125+D126-D127-D128</f>
        <v>2</v>
      </c>
      <c r="E129" s="140">
        <f t="shared" si="40"/>
        <v>0</v>
      </c>
      <c r="F129" s="140">
        <f t="shared" si="40"/>
        <v>0</v>
      </c>
      <c r="G129" s="679"/>
      <c r="H129" s="32">
        <f t="shared" si="40"/>
        <v>2</v>
      </c>
    </row>
    <row r="130" spans="1:8" ht="15.6" x14ac:dyDescent="0.3">
      <c r="A130" s="711" t="s">
        <v>225</v>
      </c>
      <c r="B130" s="28" t="s">
        <v>85</v>
      </c>
      <c r="C130" s="27" t="s">
        <v>3</v>
      </c>
      <c r="D130" s="26">
        <f>Mangochi!G130</f>
        <v>0</v>
      </c>
      <c r="E130" s="26">
        <f>'Monkey Bay'!G130</f>
        <v>0</v>
      </c>
      <c r="F130" s="26">
        <f>Namwera!G130</f>
        <v>0</v>
      </c>
      <c r="G130" s="128"/>
      <c r="H130" s="35">
        <f>SUM(D130:F130)</f>
        <v>0</v>
      </c>
    </row>
    <row r="131" spans="1:8" ht="15.6" x14ac:dyDescent="0.3">
      <c r="A131" s="761"/>
      <c r="B131" s="24" t="s">
        <v>84</v>
      </c>
      <c r="C131" s="11" t="s">
        <v>3</v>
      </c>
      <c r="D131" s="26">
        <f>Mangochi!G131+Mangochi!H131+Mangochi!I131</f>
        <v>0</v>
      </c>
      <c r="E131" s="26">
        <f>'Monkey Bay'!G131+'Monkey Bay'!H131+'Monkey Bay'!I131</f>
        <v>0</v>
      </c>
      <c r="F131" s="26">
        <f>Namwera!G131+Namwera!H131+Namwera!I131</f>
        <v>0</v>
      </c>
      <c r="G131" s="128"/>
      <c r="H131" s="35">
        <f>SUM(D131:F131)</f>
        <v>0</v>
      </c>
    </row>
    <row r="132" spans="1:8" ht="15.6" x14ac:dyDescent="0.3">
      <c r="A132" s="761"/>
      <c r="B132" s="82" t="s">
        <v>88</v>
      </c>
      <c r="C132" s="11" t="s">
        <v>3</v>
      </c>
      <c r="D132" s="26">
        <f>Mangochi!G132+Mangochi!H132+Mangochi!I132</f>
        <v>0</v>
      </c>
      <c r="E132" s="26">
        <f>'Monkey Bay'!G132+'Monkey Bay'!H132+'Monkey Bay'!I132</f>
        <v>0</v>
      </c>
      <c r="F132" s="26">
        <f>Namwera!G132+Namwera!H132+Namwera!I132</f>
        <v>0</v>
      </c>
      <c r="G132" s="128"/>
      <c r="H132" s="35">
        <f>SUM(D132:F132)</f>
        <v>0</v>
      </c>
    </row>
    <row r="133" spans="1:8" ht="15.6" x14ac:dyDescent="0.3">
      <c r="A133" s="761"/>
      <c r="B133" s="24" t="s">
        <v>82</v>
      </c>
      <c r="C133" s="11" t="s">
        <v>3</v>
      </c>
      <c r="D133" s="26">
        <f>Mangochi!G133+Mangochi!H133+Mangochi!I133</f>
        <v>0</v>
      </c>
      <c r="E133" s="26">
        <f>'Monkey Bay'!G133+'Monkey Bay'!H133+'Monkey Bay'!I133</f>
        <v>0</v>
      </c>
      <c r="F133" s="26">
        <f>Namwera!G133+Namwera!H133+Namwera!I133</f>
        <v>0</v>
      </c>
      <c r="G133" s="128"/>
      <c r="H133" s="35">
        <f>SUM(D133:F133)</f>
        <v>0</v>
      </c>
    </row>
    <row r="134" spans="1:8" ht="15.6" x14ac:dyDescent="0.3">
      <c r="A134" s="712"/>
      <c r="B134" s="24" t="s">
        <v>81</v>
      </c>
      <c r="C134" s="11" t="s">
        <v>3</v>
      </c>
      <c r="D134" s="140">
        <f t="shared" ref="D134:H134" si="41">D130+D131-D132-D133</f>
        <v>0</v>
      </c>
      <c r="E134" s="140">
        <f t="shared" si="41"/>
        <v>0</v>
      </c>
      <c r="F134" s="140">
        <f t="shared" si="41"/>
        <v>0</v>
      </c>
      <c r="G134" s="679"/>
      <c r="H134" s="32">
        <f t="shared" si="41"/>
        <v>0</v>
      </c>
    </row>
    <row r="135" spans="1:8" ht="15.6" x14ac:dyDescent="0.3">
      <c r="A135" s="711" t="s">
        <v>89</v>
      </c>
      <c r="B135" s="24" t="s">
        <v>85</v>
      </c>
      <c r="C135" s="11" t="s">
        <v>3</v>
      </c>
      <c r="D135" s="26">
        <f>Mangochi!G135</f>
        <v>3</v>
      </c>
      <c r="E135" s="26">
        <f>'Monkey Bay'!G135</f>
        <v>0</v>
      </c>
      <c r="F135" s="26">
        <f>Namwera!G135</f>
        <v>0</v>
      </c>
      <c r="G135" s="128"/>
      <c r="H135" s="35">
        <f>SUM(D135:F135)</f>
        <v>3</v>
      </c>
    </row>
    <row r="136" spans="1:8" ht="15.6" x14ac:dyDescent="0.3">
      <c r="A136" s="761"/>
      <c r="B136" s="24" t="s">
        <v>84</v>
      </c>
      <c r="C136" s="11" t="s">
        <v>3</v>
      </c>
      <c r="D136" s="26">
        <f>Mangochi!G136+Mangochi!H136+Mangochi!I136</f>
        <v>0</v>
      </c>
      <c r="E136" s="26">
        <f>'Monkey Bay'!G136+'Monkey Bay'!H136+'Monkey Bay'!I136</f>
        <v>0</v>
      </c>
      <c r="F136" s="26">
        <f>Namwera!G136+Namwera!H136+Namwera!I136</f>
        <v>0</v>
      </c>
      <c r="G136" s="128"/>
      <c r="H136" s="35">
        <f>SUM(D136:F136)</f>
        <v>0</v>
      </c>
    </row>
    <row r="137" spans="1:8" ht="15.6" x14ac:dyDescent="0.3">
      <c r="A137" s="761"/>
      <c r="B137" s="82" t="s">
        <v>88</v>
      </c>
      <c r="C137" s="11" t="s">
        <v>3</v>
      </c>
      <c r="D137" s="26">
        <f>Mangochi!G137+Mangochi!H137+Mangochi!I137</f>
        <v>0</v>
      </c>
      <c r="E137" s="26">
        <f>'Monkey Bay'!G137+'Monkey Bay'!H137+'Monkey Bay'!I137</f>
        <v>0</v>
      </c>
      <c r="F137" s="26">
        <f>Namwera!G137+Namwera!H137+Namwera!I137</f>
        <v>0</v>
      </c>
      <c r="G137" s="128"/>
      <c r="H137" s="35">
        <f>SUM(D137:F137)</f>
        <v>0</v>
      </c>
    </row>
    <row r="138" spans="1:8" ht="15.6" x14ac:dyDescent="0.3">
      <c r="A138" s="761"/>
      <c r="B138" s="24" t="s">
        <v>82</v>
      </c>
      <c r="C138" s="11" t="s">
        <v>3</v>
      </c>
      <c r="D138" s="26">
        <f>Mangochi!G138+Mangochi!H138+Mangochi!I138</f>
        <v>0</v>
      </c>
      <c r="E138" s="26">
        <f>'Monkey Bay'!G138+'Monkey Bay'!H138+'Monkey Bay'!I138</f>
        <v>0</v>
      </c>
      <c r="F138" s="26">
        <f>Namwera!G138+Namwera!H138+Namwera!I138</f>
        <v>0</v>
      </c>
      <c r="G138" s="128"/>
      <c r="H138" s="35">
        <f>SUM(D138:F138)</f>
        <v>0</v>
      </c>
    </row>
    <row r="139" spans="1:8" ht="15.6" x14ac:dyDescent="0.3">
      <c r="A139" s="712"/>
      <c r="B139" s="24" t="s">
        <v>81</v>
      </c>
      <c r="C139" s="11" t="s">
        <v>3</v>
      </c>
      <c r="D139" s="140">
        <f t="shared" ref="D139:H139" si="42">D135+D136-D137-D138</f>
        <v>3</v>
      </c>
      <c r="E139" s="140">
        <f t="shared" si="42"/>
        <v>0</v>
      </c>
      <c r="F139" s="140">
        <f t="shared" si="42"/>
        <v>0</v>
      </c>
      <c r="G139" s="679"/>
      <c r="H139" s="32">
        <f t="shared" si="42"/>
        <v>3</v>
      </c>
    </row>
    <row r="140" spans="1:8" ht="15.6" x14ac:dyDescent="0.3">
      <c r="A140" s="711" t="s">
        <v>87</v>
      </c>
      <c r="B140" s="24" t="s">
        <v>85</v>
      </c>
      <c r="C140" s="11" t="s">
        <v>3</v>
      </c>
      <c r="D140" s="26">
        <f>Mangochi!G140</f>
        <v>1455</v>
      </c>
      <c r="E140" s="26">
        <f>'Monkey Bay'!G140</f>
        <v>82</v>
      </c>
      <c r="F140" s="26">
        <f>Namwera!G140</f>
        <v>101</v>
      </c>
      <c r="G140" s="128"/>
      <c r="H140" s="35">
        <f>SUM(D140:F140)</f>
        <v>1638</v>
      </c>
    </row>
    <row r="141" spans="1:8" ht="15.6" x14ac:dyDescent="0.3">
      <c r="A141" s="761"/>
      <c r="B141" s="24" t="s">
        <v>84</v>
      </c>
      <c r="C141" s="11" t="s">
        <v>3</v>
      </c>
      <c r="D141" s="26">
        <f>Mangochi!G141+Mangochi!H141+Mangochi!I141</f>
        <v>0</v>
      </c>
      <c r="E141" s="26">
        <f>'Monkey Bay'!G141+'Monkey Bay'!H141+'Monkey Bay'!I141</f>
        <v>79</v>
      </c>
      <c r="F141" s="26">
        <f>Namwera!G141+Namwera!H141+Namwera!I141</f>
        <v>23</v>
      </c>
      <c r="G141" s="128"/>
      <c r="H141" s="35">
        <f>SUM(D141:F141)</f>
        <v>102</v>
      </c>
    </row>
    <row r="142" spans="1:8" ht="15.6" x14ac:dyDescent="0.3">
      <c r="A142" s="761"/>
      <c r="B142" s="24" t="s">
        <v>83</v>
      </c>
      <c r="C142" s="11" t="s">
        <v>3</v>
      </c>
      <c r="D142" s="26">
        <f>Mangochi!G142+Mangochi!H142+Mangochi!I142</f>
        <v>0</v>
      </c>
      <c r="E142" s="26">
        <f>'Monkey Bay'!G142+'Monkey Bay'!H142+'Monkey Bay'!I142</f>
        <v>11</v>
      </c>
      <c r="F142" s="26">
        <f>Namwera!G142+Namwera!H142+Namwera!I142</f>
        <v>11</v>
      </c>
      <c r="G142" s="128"/>
      <c r="H142" s="35">
        <f>SUM(D142:F142)</f>
        <v>22</v>
      </c>
    </row>
    <row r="143" spans="1:8" ht="15.6" x14ac:dyDescent="0.3">
      <c r="A143" s="761"/>
      <c r="B143" s="24" t="s">
        <v>82</v>
      </c>
      <c r="C143" s="11" t="s">
        <v>3</v>
      </c>
      <c r="D143" s="26">
        <f>Mangochi!G143+Mangochi!H143+Mangochi!I143</f>
        <v>99</v>
      </c>
      <c r="E143" s="26">
        <f>'Monkey Bay'!G143+'Monkey Bay'!H143+'Monkey Bay'!I143</f>
        <v>13</v>
      </c>
      <c r="F143" s="26">
        <f>Namwera!G143+Namwera!H143+Namwera!I143</f>
        <v>7</v>
      </c>
      <c r="G143" s="128"/>
      <c r="H143" s="35">
        <f>SUM(D143:F143)</f>
        <v>119</v>
      </c>
    </row>
    <row r="144" spans="1:8" ht="15.6" x14ac:dyDescent="0.3">
      <c r="A144" s="712"/>
      <c r="B144" s="24" t="s">
        <v>81</v>
      </c>
      <c r="C144" s="11" t="s">
        <v>3</v>
      </c>
      <c r="D144" s="140">
        <f t="shared" ref="D144:H144" si="43">D140+D141-D142-D143</f>
        <v>1356</v>
      </c>
      <c r="E144" s="140">
        <f t="shared" si="43"/>
        <v>137</v>
      </c>
      <c r="F144" s="140">
        <f t="shared" si="43"/>
        <v>106</v>
      </c>
      <c r="G144" s="679"/>
      <c r="H144" s="32">
        <f t="shared" si="43"/>
        <v>1599</v>
      </c>
    </row>
    <row r="145" spans="1:8" s="2" customFormat="1" ht="15.6" x14ac:dyDescent="0.3">
      <c r="A145" s="711" t="s">
        <v>86</v>
      </c>
      <c r="B145" s="24" t="s">
        <v>85</v>
      </c>
      <c r="C145" s="11" t="s">
        <v>3</v>
      </c>
      <c r="D145" s="141">
        <f>D125+D130+D135+D140</f>
        <v>1460</v>
      </c>
      <c r="E145" s="141">
        <f t="shared" ref="E145:H149" si="44">E125+E130+E135+E140</f>
        <v>82</v>
      </c>
      <c r="F145" s="141">
        <f t="shared" si="44"/>
        <v>101</v>
      </c>
      <c r="G145" s="135"/>
      <c r="H145" s="55">
        <f t="shared" si="44"/>
        <v>1643</v>
      </c>
    </row>
    <row r="146" spans="1:8" ht="15.6" x14ac:dyDescent="0.3">
      <c r="A146" s="761"/>
      <c r="B146" s="24" t="s">
        <v>84</v>
      </c>
      <c r="C146" s="11" t="s">
        <v>3</v>
      </c>
      <c r="D146" s="141">
        <f t="shared" ref="D146:F148" si="45">D126+D131+D136+D141</f>
        <v>0</v>
      </c>
      <c r="E146" s="141">
        <f t="shared" si="45"/>
        <v>79</v>
      </c>
      <c r="F146" s="141">
        <f t="shared" si="45"/>
        <v>23</v>
      </c>
      <c r="G146" s="135"/>
      <c r="H146" s="55">
        <f t="shared" si="44"/>
        <v>102</v>
      </c>
    </row>
    <row r="147" spans="1:8" ht="15.6" x14ac:dyDescent="0.3">
      <c r="A147" s="761"/>
      <c r="B147" s="24" t="s">
        <v>83</v>
      </c>
      <c r="C147" s="11" t="s">
        <v>3</v>
      </c>
      <c r="D147" s="141">
        <f t="shared" si="45"/>
        <v>0</v>
      </c>
      <c r="E147" s="141">
        <f t="shared" si="45"/>
        <v>11</v>
      </c>
      <c r="F147" s="141">
        <f t="shared" si="45"/>
        <v>11</v>
      </c>
      <c r="G147" s="135"/>
      <c r="H147" s="55">
        <f t="shared" si="44"/>
        <v>22</v>
      </c>
    </row>
    <row r="148" spans="1:8" ht="15.6" x14ac:dyDescent="0.3">
      <c r="A148" s="761"/>
      <c r="B148" s="24" t="s">
        <v>82</v>
      </c>
      <c r="C148" s="11" t="s">
        <v>3</v>
      </c>
      <c r="D148" s="141">
        <f t="shared" si="45"/>
        <v>99</v>
      </c>
      <c r="E148" s="141">
        <f t="shared" si="45"/>
        <v>13</v>
      </c>
      <c r="F148" s="141">
        <f t="shared" si="45"/>
        <v>7</v>
      </c>
      <c r="G148" s="135"/>
      <c r="H148" s="55">
        <f t="shared" si="44"/>
        <v>119</v>
      </c>
    </row>
    <row r="149" spans="1:8" ht="15.6" x14ac:dyDescent="0.3">
      <c r="A149" s="712"/>
      <c r="B149" s="24" t="s">
        <v>81</v>
      </c>
      <c r="C149" s="11" t="s">
        <v>3</v>
      </c>
      <c r="D149" s="140">
        <f>D145+D146-D147-D148</f>
        <v>1361</v>
      </c>
      <c r="E149" s="140">
        <f t="shared" ref="E149:F149" si="46">E145+E146-E147-E148</f>
        <v>137</v>
      </c>
      <c r="F149" s="140">
        <f t="shared" si="46"/>
        <v>106</v>
      </c>
      <c r="G149" s="679"/>
      <c r="H149" s="55">
        <f t="shared" si="44"/>
        <v>1604</v>
      </c>
    </row>
    <row r="150" spans="1:8" x14ac:dyDescent="0.3">
      <c r="A150" s="699" t="s">
        <v>80</v>
      </c>
      <c r="B150" s="700"/>
      <c r="C150" s="700"/>
      <c r="D150" s="700"/>
      <c r="E150" s="700"/>
      <c r="F150" s="700"/>
      <c r="G150" s="700"/>
      <c r="H150" s="701"/>
    </row>
    <row r="151" spans="1:8" ht="15.6" customHeight="1" x14ac:dyDescent="0.3">
      <c r="A151" s="793" t="s">
        <v>79</v>
      </c>
      <c r="B151" s="794"/>
      <c r="C151" s="794"/>
      <c r="D151" s="794"/>
      <c r="E151" s="794"/>
      <c r="F151" s="794"/>
      <c r="G151" s="794"/>
      <c r="H151" s="795"/>
    </row>
    <row r="152" spans="1:8" ht="15.6" x14ac:dyDescent="0.3">
      <c r="A152" s="758" t="s">
        <v>78</v>
      </c>
      <c r="B152" s="92" t="s">
        <v>63</v>
      </c>
      <c r="C152" s="11"/>
      <c r="D152" s="15"/>
      <c r="E152" s="15"/>
      <c r="F152" s="15"/>
      <c r="G152" s="22"/>
      <c r="H152" s="9"/>
    </row>
    <row r="153" spans="1:8" ht="15.6" x14ac:dyDescent="0.3">
      <c r="A153" s="759"/>
      <c r="B153" s="19" t="s">
        <v>73</v>
      </c>
      <c r="C153" s="11" t="s">
        <v>57</v>
      </c>
      <c r="D153" s="26">
        <f>Mangochi!G153+Mangochi!H153+Mangochi!I153</f>
        <v>124</v>
      </c>
      <c r="E153" s="26">
        <f>'Monkey Bay'!G153+'Monkey Bay'!H153+'Monkey Bay'!I153</f>
        <v>67</v>
      </c>
      <c r="F153" s="26">
        <f>Namwera!G153+Namwera!H153+Namwera!I153</f>
        <v>74</v>
      </c>
      <c r="G153" s="128"/>
      <c r="H153" s="18">
        <f t="shared" ref="H153:H165" si="47">SUM(D153:F153)</f>
        <v>265</v>
      </c>
    </row>
    <row r="154" spans="1:8" ht="15.6" x14ac:dyDescent="0.3">
      <c r="A154" s="759"/>
      <c r="B154" s="19" t="s">
        <v>72</v>
      </c>
      <c r="C154" s="11" t="s">
        <v>57</v>
      </c>
      <c r="D154" s="26">
        <f>Mangochi!G154+Mangochi!H154+Mangochi!I154</f>
        <v>105</v>
      </c>
      <c r="E154" s="26">
        <f>'Monkey Bay'!G154+'Monkey Bay'!H154+'Monkey Bay'!I154</f>
        <v>35</v>
      </c>
      <c r="F154" s="26">
        <f>Namwera!G154+Namwera!H154+Namwera!I154</f>
        <v>27</v>
      </c>
      <c r="G154" s="128"/>
      <c r="H154" s="18">
        <f t="shared" si="47"/>
        <v>167</v>
      </c>
    </row>
    <row r="155" spans="1:8" ht="15.6" x14ac:dyDescent="0.3">
      <c r="A155" s="759"/>
      <c r="B155" s="19" t="s">
        <v>53</v>
      </c>
      <c r="C155" s="11" t="s">
        <v>57</v>
      </c>
      <c r="D155" s="26">
        <f>Mangochi!G155+Mangochi!H155+Mangochi!I155</f>
        <v>39</v>
      </c>
      <c r="E155" s="26">
        <f>'Monkey Bay'!G155+'Monkey Bay'!H155+'Monkey Bay'!I155</f>
        <v>11</v>
      </c>
      <c r="F155" s="26">
        <f>Namwera!G155+Namwera!H155+Namwera!I155</f>
        <v>7</v>
      </c>
      <c r="G155" s="128"/>
      <c r="H155" s="18">
        <f t="shared" si="47"/>
        <v>57</v>
      </c>
    </row>
    <row r="156" spans="1:8" ht="15.6" x14ac:dyDescent="0.3">
      <c r="A156" s="759"/>
      <c r="B156" s="19" t="s">
        <v>71</v>
      </c>
      <c r="C156" s="11" t="s">
        <v>57</v>
      </c>
      <c r="D156" s="26">
        <f>Mangochi!G156+Mangochi!H156+Mangochi!I156</f>
        <v>36</v>
      </c>
      <c r="E156" s="26">
        <f>'Monkey Bay'!G156+'Monkey Bay'!H156+'Monkey Bay'!I156</f>
        <v>2</v>
      </c>
      <c r="F156" s="26">
        <f>Namwera!G156+Namwera!H156+Namwera!I156</f>
        <v>4</v>
      </c>
      <c r="G156" s="128"/>
      <c r="H156" s="18">
        <f t="shared" si="47"/>
        <v>42</v>
      </c>
    </row>
    <row r="157" spans="1:8" ht="15.6" x14ac:dyDescent="0.3">
      <c r="A157" s="759"/>
      <c r="B157" s="19" t="s">
        <v>52</v>
      </c>
      <c r="C157" s="11" t="s">
        <v>57</v>
      </c>
      <c r="D157" s="26">
        <f>Mangochi!G157+Mangochi!H157+Mangochi!I157</f>
        <v>14</v>
      </c>
      <c r="E157" s="26">
        <f>'Monkey Bay'!G157+'Monkey Bay'!H157+'Monkey Bay'!I157</f>
        <v>3</v>
      </c>
      <c r="F157" s="26">
        <f>Namwera!G157+Namwera!H157+Namwera!I157</f>
        <v>5</v>
      </c>
      <c r="G157" s="128"/>
      <c r="H157" s="18">
        <f t="shared" si="47"/>
        <v>22</v>
      </c>
    </row>
    <row r="158" spans="1:8" ht="15.6" x14ac:dyDescent="0.3">
      <c r="A158" s="759"/>
      <c r="B158" s="19" t="s">
        <v>51</v>
      </c>
      <c r="C158" s="11" t="s">
        <v>57</v>
      </c>
      <c r="D158" s="26">
        <f>Mangochi!G158+Mangochi!H158+Mangochi!I158</f>
        <v>11</v>
      </c>
      <c r="E158" s="26">
        <f>'Monkey Bay'!G158+'Monkey Bay'!H158+'Monkey Bay'!I158</f>
        <v>5</v>
      </c>
      <c r="F158" s="26">
        <f>Namwera!G158+Namwera!H158+Namwera!I158</f>
        <v>9</v>
      </c>
      <c r="G158" s="128"/>
      <c r="H158" s="18">
        <f t="shared" si="47"/>
        <v>25</v>
      </c>
    </row>
    <row r="159" spans="1:8" ht="15.6" x14ac:dyDescent="0.3">
      <c r="A159" s="759"/>
      <c r="B159" s="19" t="s">
        <v>62</v>
      </c>
      <c r="C159" s="11" t="s">
        <v>57</v>
      </c>
      <c r="D159" s="26">
        <f>Mangochi!G159+Mangochi!H159+Mangochi!I159</f>
        <v>1</v>
      </c>
      <c r="E159" s="26">
        <f>'Monkey Bay'!G159+'Monkey Bay'!H159+'Monkey Bay'!I159</f>
        <v>0</v>
      </c>
      <c r="F159" s="26">
        <f>Namwera!G159+Namwera!H159+Namwera!I159</f>
        <v>3</v>
      </c>
      <c r="G159" s="128"/>
      <c r="H159" s="18">
        <f t="shared" si="47"/>
        <v>4</v>
      </c>
    </row>
    <row r="160" spans="1:8" ht="15.6" x14ac:dyDescent="0.3">
      <c r="A160" s="759"/>
      <c r="B160" s="19" t="s">
        <v>50</v>
      </c>
      <c r="C160" s="11" t="s">
        <v>57</v>
      </c>
      <c r="D160" s="26">
        <f>Mangochi!G160+Mangochi!H160+Mangochi!I160</f>
        <v>2</v>
      </c>
      <c r="E160" s="26">
        <f>'Monkey Bay'!G160+'Monkey Bay'!H160+'Monkey Bay'!I160</f>
        <v>2</v>
      </c>
      <c r="F160" s="26">
        <f>Namwera!G160+Namwera!H160+Namwera!I160</f>
        <v>0</v>
      </c>
      <c r="G160" s="128"/>
      <c r="H160" s="18">
        <f t="shared" si="47"/>
        <v>4</v>
      </c>
    </row>
    <row r="161" spans="1:8" ht="15.6" x14ac:dyDescent="0.3">
      <c r="A161" s="759"/>
      <c r="B161" s="19" t="s">
        <v>49</v>
      </c>
      <c r="C161" s="11" t="s">
        <v>57</v>
      </c>
      <c r="D161" s="26">
        <f>Mangochi!G161+Mangochi!H161+Mangochi!I161</f>
        <v>4</v>
      </c>
      <c r="E161" s="26">
        <f>'Monkey Bay'!G161+'Monkey Bay'!H161+'Monkey Bay'!I161</f>
        <v>4</v>
      </c>
      <c r="F161" s="26">
        <f>Namwera!G161+Namwera!H161+Namwera!I161</f>
        <v>2</v>
      </c>
      <c r="G161" s="128"/>
      <c r="H161" s="18">
        <f t="shared" si="47"/>
        <v>10</v>
      </c>
    </row>
    <row r="162" spans="1:8" ht="15.6" x14ac:dyDescent="0.3">
      <c r="A162" s="759"/>
      <c r="B162" s="19" t="s">
        <v>77</v>
      </c>
      <c r="C162" s="11" t="s">
        <v>57</v>
      </c>
      <c r="D162" s="26">
        <f>Mangochi!G162+Mangochi!H162+Mangochi!I162</f>
        <v>3</v>
      </c>
      <c r="E162" s="26">
        <f>'Monkey Bay'!G162+'Monkey Bay'!H162+'Monkey Bay'!I162</f>
        <v>0</v>
      </c>
      <c r="F162" s="26">
        <f>Namwera!G162+Namwera!H162+Namwera!I162</f>
        <v>0</v>
      </c>
      <c r="G162" s="128"/>
      <c r="H162" s="18">
        <f t="shared" si="47"/>
        <v>3</v>
      </c>
    </row>
    <row r="163" spans="1:8" ht="15.6" x14ac:dyDescent="0.3">
      <c r="A163" s="759"/>
      <c r="B163" s="19" t="s">
        <v>69</v>
      </c>
      <c r="C163" s="11" t="s">
        <v>57</v>
      </c>
      <c r="D163" s="26">
        <f>Mangochi!G163+Mangochi!H163+Mangochi!I163</f>
        <v>0</v>
      </c>
      <c r="E163" s="26">
        <f>'Monkey Bay'!G163+'Monkey Bay'!H163+'Monkey Bay'!I163</f>
        <v>0</v>
      </c>
      <c r="F163" s="26">
        <f>Namwera!G163+Namwera!H163+Namwera!I163</f>
        <v>0</v>
      </c>
      <c r="G163" s="128"/>
      <c r="H163" s="18">
        <f t="shared" si="47"/>
        <v>0</v>
      </c>
    </row>
    <row r="164" spans="1:8" ht="15.6" x14ac:dyDescent="0.3">
      <c r="A164" s="759"/>
      <c r="B164" s="19" t="s">
        <v>68</v>
      </c>
      <c r="C164" s="11" t="s">
        <v>57</v>
      </c>
      <c r="D164" s="26">
        <f>Mangochi!G164+Mangochi!H164+Mangochi!I164</f>
        <v>0</v>
      </c>
      <c r="E164" s="26">
        <f>'Monkey Bay'!G164+'Monkey Bay'!H164+'Monkey Bay'!I164</f>
        <v>0</v>
      </c>
      <c r="F164" s="26">
        <f>Namwera!G164+Namwera!H164+Namwera!I164</f>
        <v>0</v>
      </c>
      <c r="G164" s="128"/>
      <c r="H164" s="18">
        <f t="shared" si="47"/>
        <v>0</v>
      </c>
    </row>
    <row r="165" spans="1:8" ht="15.6" x14ac:dyDescent="0.3">
      <c r="A165" s="760"/>
      <c r="B165" s="19" t="s">
        <v>76</v>
      </c>
      <c r="C165" s="11" t="s">
        <v>57</v>
      </c>
      <c r="D165" s="26">
        <f>Mangochi!G165+Mangochi!H165+Mangochi!I165</f>
        <v>0</v>
      </c>
      <c r="E165" s="26">
        <f>'Monkey Bay'!G165+'Monkey Bay'!H165+'Monkey Bay'!I165</f>
        <v>0</v>
      </c>
      <c r="F165" s="26">
        <f>Namwera!G165+Namwera!H165+Namwera!I165</f>
        <v>0</v>
      </c>
      <c r="G165" s="128"/>
      <c r="H165" s="18">
        <f t="shared" si="47"/>
        <v>0</v>
      </c>
    </row>
    <row r="166" spans="1:8" ht="15.6" x14ac:dyDescent="0.3">
      <c r="A166" s="758" t="s">
        <v>75</v>
      </c>
      <c r="B166" s="21" t="s">
        <v>63</v>
      </c>
      <c r="C166" s="11"/>
      <c r="D166" s="4"/>
      <c r="E166" s="4"/>
      <c r="F166" s="4"/>
      <c r="G166" s="673"/>
      <c r="H166" s="18"/>
    </row>
    <row r="167" spans="1:8" ht="15.6" x14ac:dyDescent="0.3">
      <c r="A167" s="759"/>
      <c r="B167" s="19" t="s">
        <v>74</v>
      </c>
      <c r="C167" s="11" t="s">
        <v>57</v>
      </c>
      <c r="D167" s="26">
        <f>Mangochi!G167+Mangochi!H167+Mangochi!I167</f>
        <v>0</v>
      </c>
      <c r="E167" s="26">
        <f>'Monkey Bay'!G167+'Monkey Bay'!H167+'Monkey Bay'!I167</f>
        <v>8</v>
      </c>
      <c r="F167" s="26">
        <f>Namwera!G167+Namwera!H167+Namwera!I167</f>
        <v>0</v>
      </c>
      <c r="G167" s="128"/>
      <c r="H167" s="18">
        <f t="shared" ref="H167:H175" si="48">SUM(D167:F167)</f>
        <v>8</v>
      </c>
    </row>
    <row r="168" spans="1:8" ht="15.6" x14ac:dyDescent="0.3">
      <c r="A168" s="759"/>
      <c r="B168" s="19" t="s">
        <v>73</v>
      </c>
      <c r="C168" s="11" t="s">
        <v>57</v>
      </c>
      <c r="D168" s="26">
        <f>Mangochi!G168+Mangochi!H168+Mangochi!I168</f>
        <v>0</v>
      </c>
      <c r="E168" s="26">
        <f>'Monkey Bay'!G168+'Monkey Bay'!H168+'Monkey Bay'!I168</f>
        <v>3</v>
      </c>
      <c r="F168" s="26">
        <f>Namwera!G168+Namwera!H168+Namwera!I168</f>
        <v>0</v>
      </c>
      <c r="G168" s="128"/>
      <c r="H168" s="18">
        <f t="shared" si="48"/>
        <v>3</v>
      </c>
    </row>
    <row r="169" spans="1:8" ht="15.6" x14ac:dyDescent="0.3">
      <c r="A169" s="759"/>
      <c r="B169" s="19" t="s">
        <v>72</v>
      </c>
      <c r="C169" s="11" t="s">
        <v>57</v>
      </c>
      <c r="D169" s="26">
        <f>Mangochi!G169+Mangochi!H169+Mangochi!I169</f>
        <v>0</v>
      </c>
      <c r="E169" s="26">
        <f>'Monkey Bay'!G169+'Monkey Bay'!H169+'Monkey Bay'!I169</f>
        <v>2</v>
      </c>
      <c r="F169" s="26">
        <f>Namwera!G169+Namwera!H169+Namwera!I169</f>
        <v>0</v>
      </c>
      <c r="G169" s="128"/>
      <c r="H169" s="18">
        <f t="shared" si="48"/>
        <v>2</v>
      </c>
    </row>
    <row r="170" spans="1:8" ht="15.6" x14ac:dyDescent="0.3">
      <c r="A170" s="759"/>
      <c r="B170" s="19" t="s">
        <v>71</v>
      </c>
      <c r="C170" s="11" t="s">
        <v>57</v>
      </c>
      <c r="D170" s="26">
        <f>Mangochi!G170+Mangochi!H170+Mangochi!I170</f>
        <v>0</v>
      </c>
      <c r="E170" s="26">
        <f>'Monkey Bay'!G170+'Monkey Bay'!H170+'Monkey Bay'!I170</f>
        <v>0</v>
      </c>
      <c r="F170" s="26">
        <f>Namwera!G170+Namwera!H170+Namwera!I170</f>
        <v>0</v>
      </c>
      <c r="G170" s="128"/>
      <c r="H170" s="18">
        <f t="shared" si="48"/>
        <v>0</v>
      </c>
    </row>
    <row r="171" spans="1:8" ht="15.6" x14ac:dyDescent="0.3">
      <c r="A171" s="759"/>
      <c r="B171" s="19" t="s">
        <v>52</v>
      </c>
      <c r="C171" s="11" t="s">
        <v>57</v>
      </c>
      <c r="D171" s="26">
        <f>Mangochi!G171+Mangochi!H171+Mangochi!I171</f>
        <v>0</v>
      </c>
      <c r="E171" s="26">
        <f>'Monkey Bay'!G171+'Monkey Bay'!H171+'Monkey Bay'!I171</f>
        <v>0</v>
      </c>
      <c r="F171" s="26">
        <f>Namwera!G171+Namwera!H171+Namwera!I171</f>
        <v>0</v>
      </c>
      <c r="G171" s="128"/>
      <c r="H171" s="18">
        <f t="shared" si="48"/>
        <v>0</v>
      </c>
    </row>
    <row r="172" spans="1:8" ht="15.6" x14ac:dyDescent="0.3">
      <c r="A172" s="759"/>
      <c r="B172" s="19" t="s">
        <v>62</v>
      </c>
      <c r="C172" s="11" t="s">
        <v>57</v>
      </c>
      <c r="D172" s="26">
        <f>Mangochi!G172+Mangochi!H172+Mangochi!I172</f>
        <v>0</v>
      </c>
      <c r="E172" s="26">
        <f>'Monkey Bay'!G172+'Monkey Bay'!H172+'Monkey Bay'!I172</f>
        <v>0</v>
      </c>
      <c r="F172" s="26">
        <f>Namwera!G172+Namwera!H172+Namwera!I172</f>
        <v>0</v>
      </c>
      <c r="G172" s="128"/>
      <c r="H172" s="18">
        <f t="shared" si="48"/>
        <v>0</v>
      </c>
    </row>
    <row r="173" spans="1:8" ht="15.6" x14ac:dyDescent="0.3">
      <c r="A173" s="759"/>
      <c r="B173" s="19" t="s">
        <v>61</v>
      </c>
      <c r="C173" s="11" t="s">
        <v>57</v>
      </c>
      <c r="D173" s="26">
        <f>Mangochi!G173+Mangochi!H173+Mangochi!I173</f>
        <v>0</v>
      </c>
      <c r="E173" s="26">
        <f>'Monkey Bay'!G173+'Monkey Bay'!H173+'Monkey Bay'!I173</f>
        <v>0</v>
      </c>
      <c r="F173" s="26">
        <f>Namwera!G173+Namwera!H173+Namwera!I173</f>
        <v>0</v>
      </c>
      <c r="G173" s="128"/>
      <c r="H173" s="18">
        <f t="shared" si="48"/>
        <v>0</v>
      </c>
    </row>
    <row r="174" spans="1:8" ht="15.6" x14ac:dyDescent="0.3">
      <c r="A174" s="759"/>
      <c r="B174" s="19" t="s">
        <v>60</v>
      </c>
      <c r="C174" s="11" t="s">
        <v>57</v>
      </c>
      <c r="D174" s="26">
        <f>Mangochi!G174+Mangochi!H174+Mangochi!I174</f>
        <v>0</v>
      </c>
      <c r="E174" s="26">
        <f>'Monkey Bay'!G174+'Monkey Bay'!H174+'Monkey Bay'!I174</f>
        <v>0</v>
      </c>
      <c r="F174" s="26">
        <f>Namwera!G174+Namwera!H174+Namwera!I174</f>
        <v>0</v>
      </c>
      <c r="G174" s="128"/>
      <c r="H174" s="18">
        <f t="shared" si="48"/>
        <v>0</v>
      </c>
    </row>
    <row r="175" spans="1:8" ht="15.6" x14ac:dyDescent="0.3">
      <c r="A175" s="760"/>
      <c r="B175" s="19" t="s">
        <v>69</v>
      </c>
      <c r="C175" s="11" t="s">
        <v>57</v>
      </c>
      <c r="D175" s="26">
        <f>Mangochi!G175+Mangochi!H175+Mangochi!I175</f>
        <v>0</v>
      </c>
      <c r="E175" s="26">
        <f>'Monkey Bay'!G175+'Monkey Bay'!H175+'Monkey Bay'!I175</f>
        <v>0</v>
      </c>
      <c r="F175" s="26">
        <f>Namwera!G175+Namwera!H175+Namwera!I175</f>
        <v>0</v>
      </c>
      <c r="G175" s="128"/>
      <c r="H175" s="18">
        <f t="shared" si="48"/>
        <v>0</v>
      </c>
    </row>
    <row r="176" spans="1:8" ht="15.6" x14ac:dyDescent="0.3">
      <c r="A176" s="758" t="s">
        <v>70</v>
      </c>
      <c r="B176" s="21" t="s">
        <v>63</v>
      </c>
      <c r="C176" s="11"/>
      <c r="D176" s="4"/>
      <c r="E176" s="4"/>
      <c r="F176" s="4"/>
      <c r="G176" s="673"/>
      <c r="H176" s="18"/>
    </row>
    <row r="177" spans="1:8" ht="15.6" x14ac:dyDescent="0.3">
      <c r="A177" s="759"/>
      <c r="B177" s="19" t="s">
        <v>60</v>
      </c>
      <c r="C177" s="11" t="s">
        <v>57</v>
      </c>
      <c r="D177" s="26">
        <f>Mangochi!G177+Mangochi!H177+Mangochi!I177</f>
        <v>0</v>
      </c>
      <c r="E177" s="26">
        <f>'Monkey Bay'!G177+'Monkey Bay'!H177+'Monkey Bay'!I177</f>
        <v>0</v>
      </c>
      <c r="F177" s="26">
        <f>Namwera!G177+Namwera!H177+Namwera!I177</f>
        <v>0</v>
      </c>
      <c r="G177" s="128"/>
      <c r="H177" s="18">
        <f t="shared" ref="H177:H182" si="49">SUM(D177:F177)</f>
        <v>0</v>
      </c>
    </row>
    <row r="178" spans="1:8" ht="15.6" x14ac:dyDescent="0.3">
      <c r="A178" s="759"/>
      <c r="B178" s="19" t="s">
        <v>69</v>
      </c>
      <c r="C178" s="11" t="s">
        <v>57</v>
      </c>
      <c r="D178" s="26">
        <f>Mangochi!G178+Mangochi!H178+Mangochi!I178</f>
        <v>0</v>
      </c>
      <c r="E178" s="26">
        <f>'Monkey Bay'!G178+'Monkey Bay'!H178+'Monkey Bay'!I178</f>
        <v>0</v>
      </c>
      <c r="F178" s="26">
        <f>Namwera!G178+Namwera!H178+Namwera!I178</f>
        <v>0</v>
      </c>
      <c r="G178" s="128"/>
      <c r="H178" s="18">
        <f t="shared" si="49"/>
        <v>0</v>
      </c>
    </row>
    <row r="179" spans="1:8" ht="15.6" x14ac:dyDescent="0.3">
      <c r="A179" s="759"/>
      <c r="B179" s="19" t="s">
        <v>68</v>
      </c>
      <c r="C179" s="11" t="s">
        <v>57</v>
      </c>
      <c r="D179" s="26">
        <f>Mangochi!G179+Mangochi!H179+Mangochi!I179</f>
        <v>0</v>
      </c>
      <c r="E179" s="26">
        <f>'Monkey Bay'!G179+'Monkey Bay'!H179+'Monkey Bay'!I179</f>
        <v>0</v>
      </c>
      <c r="F179" s="26">
        <f>Namwera!G179+Namwera!H179+Namwera!I179</f>
        <v>0</v>
      </c>
      <c r="G179" s="128"/>
      <c r="H179" s="18">
        <f t="shared" si="49"/>
        <v>0</v>
      </c>
    </row>
    <row r="180" spans="1:8" ht="15.6" x14ac:dyDescent="0.3">
      <c r="A180" s="759"/>
      <c r="B180" s="19" t="s">
        <v>67</v>
      </c>
      <c r="C180" s="11" t="s">
        <v>57</v>
      </c>
      <c r="D180" s="26">
        <f>Mangochi!G180+Mangochi!H180+Mangochi!I180</f>
        <v>0</v>
      </c>
      <c r="E180" s="26">
        <f>'Monkey Bay'!G180+'Monkey Bay'!H180+'Monkey Bay'!I180</f>
        <v>0</v>
      </c>
      <c r="F180" s="26">
        <f>Namwera!G180+Namwera!H180+Namwera!I180</f>
        <v>0</v>
      </c>
      <c r="G180" s="128"/>
      <c r="H180" s="18">
        <f t="shared" si="49"/>
        <v>0</v>
      </c>
    </row>
    <row r="181" spans="1:8" ht="15.6" x14ac:dyDescent="0.3">
      <c r="A181" s="759"/>
      <c r="B181" s="19" t="s">
        <v>66</v>
      </c>
      <c r="C181" s="11" t="s">
        <v>57</v>
      </c>
      <c r="D181" s="26">
        <f>Mangochi!G181+Mangochi!H181+Mangochi!I181</f>
        <v>0</v>
      </c>
      <c r="E181" s="26">
        <f>'Monkey Bay'!G181+'Monkey Bay'!H181+'Monkey Bay'!I181</f>
        <v>0</v>
      </c>
      <c r="F181" s="26">
        <f>Namwera!G181+Namwera!H181+Namwera!I181</f>
        <v>0</v>
      </c>
      <c r="G181" s="128"/>
      <c r="H181" s="18">
        <f t="shared" si="49"/>
        <v>0</v>
      </c>
    </row>
    <row r="182" spans="1:8" ht="15.6" x14ac:dyDescent="0.3">
      <c r="A182" s="760"/>
      <c r="B182" s="19" t="s">
        <v>65</v>
      </c>
      <c r="C182" s="11" t="s">
        <v>57</v>
      </c>
      <c r="D182" s="26">
        <f>Mangochi!G182+Mangochi!H182+Mangochi!I182</f>
        <v>0</v>
      </c>
      <c r="E182" s="26">
        <f>'Monkey Bay'!G182+'Monkey Bay'!H182+'Monkey Bay'!I182</f>
        <v>0</v>
      </c>
      <c r="F182" s="26">
        <f>Namwera!G182+Namwera!H182+Namwera!I182</f>
        <v>0</v>
      </c>
      <c r="G182" s="128"/>
      <c r="H182" s="18">
        <f t="shared" si="49"/>
        <v>0</v>
      </c>
    </row>
    <row r="183" spans="1:8" ht="15.6" x14ac:dyDescent="0.3">
      <c r="A183" s="758" t="s">
        <v>209</v>
      </c>
      <c r="B183" s="21" t="s">
        <v>63</v>
      </c>
      <c r="C183" s="11"/>
      <c r="D183" s="4"/>
      <c r="E183" s="4"/>
      <c r="F183" s="4"/>
      <c r="G183" s="673"/>
      <c r="H183" s="18"/>
    </row>
    <row r="184" spans="1:8" ht="15.6" x14ac:dyDescent="0.3">
      <c r="A184" s="759"/>
      <c r="B184" s="19" t="s">
        <v>73</v>
      </c>
      <c r="C184" s="11"/>
      <c r="D184" s="26">
        <f>Mangochi!G184+Mangochi!H184+Mangochi!I184</f>
        <v>0</v>
      </c>
      <c r="E184" s="26">
        <f>'Monkey Bay'!G184+'Monkey Bay'!H184+'Monkey Bay'!I184</f>
        <v>0</v>
      </c>
      <c r="F184" s="26">
        <f>Namwera!G184+Namwera!H184+Namwera!I184</f>
        <v>0</v>
      </c>
      <c r="G184" s="128"/>
      <c r="H184" s="18">
        <f>SUM(D184:F184)</f>
        <v>0</v>
      </c>
    </row>
    <row r="185" spans="1:8" ht="15.6" x14ac:dyDescent="0.3">
      <c r="A185" s="759"/>
      <c r="B185" s="19" t="s">
        <v>72</v>
      </c>
      <c r="C185" s="11"/>
      <c r="D185" s="26">
        <f>Mangochi!G185+Mangochi!H185+Mangochi!I185</f>
        <v>0</v>
      </c>
      <c r="E185" s="26">
        <f>'Monkey Bay'!G185+'Monkey Bay'!H185+'Monkey Bay'!I185</f>
        <v>0</v>
      </c>
      <c r="F185" s="26">
        <f>Namwera!G185+Namwera!H185+Namwera!I185</f>
        <v>0</v>
      </c>
      <c r="G185" s="128"/>
      <c r="H185" s="18">
        <f>SUM(D185:F185)</f>
        <v>0</v>
      </c>
    </row>
    <row r="186" spans="1:8" ht="15.6" x14ac:dyDescent="0.3">
      <c r="A186" s="759"/>
      <c r="B186" s="19" t="s">
        <v>53</v>
      </c>
      <c r="C186" s="11"/>
      <c r="D186" s="26">
        <f>Mangochi!G186+Mangochi!H186+Mangochi!I186</f>
        <v>0</v>
      </c>
      <c r="E186" s="26">
        <f>'Monkey Bay'!G186+'Monkey Bay'!H186+'Monkey Bay'!I186</f>
        <v>0</v>
      </c>
      <c r="F186" s="26">
        <f>Namwera!G186+Namwera!H186+Namwera!I186</f>
        <v>0</v>
      </c>
      <c r="G186" s="128"/>
      <c r="H186" s="18">
        <f>SUM(D186:F186)</f>
        <v>0</v>
      </c>
    </row>
    <row r="187" spans="1:8" ht="15.6" x14ac:dyDescent="0.3">
      <c r="A187" s="760"/>
      <c r="B187" s="19" t="s">
        <v>52</v>
      </c>
      <c r="C187" s="11"/>
      <c r="D187" s="26">
        <f>Mangochi!G187+Mangochi!H187+Mangochi!I187</f>
        <v>0</v>
      </c>
      <c r="E187" s="26">
        <f>'Monkey Bay'!G187+'Monkey Bay'!H187+'Monkey Bay'!I187</f>
        <v>0</v>
      </c>
      <c r="F187" s="26">
        <f>Namwera!G187+Namwera!H187+Namwera!I187</f>
        <v>0</v>
      </c>
      <c r="G187" s="128"/>
      <c r="H187" s="18">
        <f>SUM(D187:F187)</f>
        <v>0</v>
      </c>
    </row>
    <row r="188" spans="1:8" ht="15.6" x14ac:dyDescent="0.3">
      <c r="A188" s="758" t="s">
        <v>64</v>
      </c>
      <c r="B188" s="21" t="s">
        <v>63</v>
      </c>
      <c r="C188" s="11"/>
      <c r="D188" s="4"/>
      <c r="E188" s="4"/>
      <c r="F188" s="4"/>
      <c r="G188" s="673"/>
      <c r="H188" s="18"/>
    </row>
    <row r="189" spans="1:8" ht="15.6" x14ac:dyDescent="0.3">
      <c r="A189" s="759"/>
      <c r="B189" s="20" t="s">
        <v>52</v>
      </c>
      <c r="C189" s="11" t="s">
        <v>57</v>
      </c>
      <c r="D189" s="26">
        <f>Mangochi!G189+Mangochi!H189+Mangochi!I189</f>
        <v>0</v>
      </c>
      <c r="E189" s="26">
        <f>'Monkey Bay'!G189+'Monkey Bay'!H189+'Monkey Bay'!I189</f>
        <v>0</v>
      </c>
      <c r="F189" s="26">
        <f>Namwera!G189+Namwera!H189+Namwera!I189</f>
        <v>0</v>
      </c>
      <c r="G189" s="128"/>
      <c r="H189" s="18">
        <f>SUM(D189:F189)</f>
        <v>0</v>
      </c>
    </row>
    <row r="190" spans="1:8" ht="15.6" x14ac:dyDescent="0.3">
      <c r="A190" s="759"/>
      <c r="B190" s="19" t="s">
        <v>62</v>
      </c>
      <c r="C190" s="11" t="s">
        <v>57</v>
      </c>
      <c r="D190" s="26">
        <f>Mangochi!G190+Mangochi!H190+Mangochi!I190</f>
        <v>1</v>
      </c>
      <c r="E190" s="26">
        <f>'Monkey Bay'!G190+'Monkey Bay'!H190+'Monkey Bay'!I190</f>
        <v>0</v>
      </c>
      <c r="F190" s="26">
        <f>Namwera!G190+Namwera!H190+Namwera!I190</f>
        <v>0</v>
      </c>
      <c r="G190" s="128"/>
      <c r="H190" s="18">
        <f>SUM(D190:F190)</f>
        <v>1</v>
      </c>
    </row>
    <row r="191" spans="1:8" ht="15.6" x14ac:dyDescent="0.3">
      <c r="A191" s="759"/>
      <c r="B191" s="19" t="s">
        <v>61</v>
      </c>
      <c r="C191" s="11" t="s">
        <v>57</v>
      </c>
      <c r="D191" s="26">
        <f>Mangochi!G191+Mangochi!H191+Mangochi!I191</f>
        <v>1</v>
      </c>
      <c r="E191" s="26">
        <f>'Monkey Bay'!G191+'Monkey Bay'!H191+'Monkey Bay'!I191</f>
        <v>0</v>
      </c>
      <c r="F191" s="26">
        <f>Namwera!G191+Namwera!H191+Namwera!I191</f>
        <v>0</v>
      </c>
      <c r="G191" s="128"/>
      <c r="H191" s="18">
        <f>SUM(D191:F191)</f>
        <v>1</v>
      </c>
    </row>
    <row r="192" spans="1:8" ht="15.6" x14ac:dyDescent="0.3">
      <c r="A192" s="760"/>
      <c r="B192" s="19" t="s">
        <v>60</v>
      </c>
      <c r="C192" s="11" t="s">
        <v>57</v>
      </c>
      <c r="D192" s="26">
        <f>Mangochi!G192+Mangochi!H192+Mangochi!I192</f>
        <v>0</v>
      </c>
      <c r="E192" s="26">
        <f>'Monkey Bay'!G192+'Monkey Bay'!H192+'Monkey Bay'!I192</f>
        <v>0</v>
      </c>
      <c r="F192" s="26">
        <f>Namwera!G192+Namwera!H192+Namwera!I192</f>
        <v>0</v>
      </c>
      <c r="G192" s="128"/>
      <c r="H192" s="18">
        <f>SUM(D192:F192)</f>
        <v>0</v>
      </c>
    </row>
    <row r="193" spans="1:8" ht="15.6" x14ac:dyDescent="0.3">
      <c r="A193" s="791" t="s">
        <v>59</v>
      </c>
      <c r="B193" s="792"/>
      <c r="C193" s="11"/>
      <c r="D193" s="10">
        <f>SUM(D153:D192)</f>
        <v>341</v>
      </c>
      <c r="E193" s="10">
        <f t="shared" ref="E193:H193" si="50">SUM(E153:E192)</f>
        <v>142</v>
      </c>
      <c r="F193" s="10">
        <f t="shared" si="50"/>
        <v>131</v>
      </c>
      <c r="G193" s="14"/>
      <c r="H193" s="103">
        <f t="shared" si="50"/>
        <v>614</v>
      </c>
    </row>
    <row r="194" spans="1:8" ht="15.6" x14ac:dyDescent="0.3">
      <c r="A194" s="764" t="s">
        <v>58</v>
      </c>
      <c r="B194" s="765"/>
      <c r="C194" s="11" t="s">
        <v>57</v>
      </c>
      <c r="D194" s="26">
        <f>Mangochi!G194+Mangochi!H194+Mangochi!I194</f>
        <v>8</v>
      </c>
      <c r="E194" s="26">
        <f>'Monkey Bay'!G194+'Monkey Bay'!H194+'Monkey Bay'!I194</f>
        <v>6</v>
      </c>
      <c r="F194" s="26">
        <f>Namwera!G194+Namwera!H194+Namwera!I194</f>
        <v>6</v>
      </c>
      <c r="G194" s="128"/>
      <c r="H194" s="9">
        <f>SUM(D194:F194)</f>
        <v>20</v>
      </c>
    </row>
    <row r="195" spans="1:8" ht="15.6" x14ac:dyDescent="0.3">
      <c r="A195" s="766"/>
      <c r="B195" s="767"/>
      <c r="C195" s="16" t="s">
        <v>55</v>
      </c>
      <c r="D195" s="26">
        <f>Mangochi!G195+Mangochi!H195+Mangochi!I195</f>
        <v>0</v>
      </c>
      <c r="E195" s="26">
        <f>'Monkey Bay'!G195+'Monkey Bay'!H195+'Monkey Bay'!I195</f>
        <v>0</v>
      </c>
      <c r="F195" s="26">
        <f>Namwera!G195+Namwera!H195+Namwera!I195</f>
        <v>0</v>
      </c>
      <c r="G195" s="128"/>
      <c r="H195" s="9">
        <f>SUM(D195:F195)</f>
        <v>0</v>
      </c>
    </row>
    <row r="196" spans="1:8" ht="15.6" x14ac:dyDescent="0.3">
      <c r="A196" s="85" t="s">
        <v>202</v>
      </c>
      <c r="B196" s="86"/>
      <c r="C196" s="16" t="s">
        <v>55</v>
      </c>
      <c r="D196" s="26">
        <f>Mangochi!G196+Mangochi!H196+Mangochi!I196</f>
        <v>1912</v>
      </c>
      <c r="E196" s="26">
        <f>'Monkey Bay'!G196+'Monkey Bay'!H196+'Monkey Bay'!I196</f>
        <v>1617</v>
      </c>
      <c r="F196" s="26">
        <f>Namwera!G196+Namwera!H196+Namwera!I196</f>
        <v>1800</v>
      </c>
      <c r="G196" s="128"/>
      <c r="H196" s="9">
        <f>SUM(D196:F196)</f>
        <v>5329</v>
      </c>
    </row>
    <row r="197" spans="1:8" ht="15.6" x14ac:dyDescent="0.3">
      <c r="A197" s="695" t="s">
        <v>56</v>
      </c>
      <c r="B197" s="696"/>
      <c r="C197" s="16" t="s">
        <v>55</v>
      </c>
      <c r="D197" s="26">
        <f>Mangochi!G197+Mangochi!H197+Mangochi!I197</f>
        <v>145.25</v>
      </c>
      <c r="E197" s="26">
        <f>'Monkey Bay'!G197+'Monkey Bay'!H197+'Monkey Bay'!I197</f>
        <v>615</v>
      </c>
      <c r="F197" s="26">
        <f>Namwera!G197+Namwera!H197+Namwera!I197</f>
        <v>393</v>
      </c>
      <c r="G197" s="128"/>
      <c r="H197" s="9">
        <f>SUM(D197:F197)</f>
        <v>1153.25</v>
      </c>
    </row>
    <row r="198" spans="1:8" x14ac:dyDescent="0.3">
      <c r="A198" s="699" t="s">
        <v>203</v>
      </c>
      <c r="B198" s="700"/>
      <c r="C198" s="700"/>
      <c r="D198" s="700"/>
      <c r="E198" s="700"/>
      <c r="F198" s="700"/>
      <c r="G198" s="700"/>
      <c r="H198" s="701"/>
    </row>
    <row r="199" spans="1:8" ht="15.6" x14ac:dyDescent="0.3">
      <c r="A199" s="764" t="s">
        <v>54</v>
      </c>
      <c r="B199" s="79" t="s">
        <v>53</v>
      </c>
      <c r="C199" s="11" t="s">
        <v>47</v>
      </c>
      <c r="D199" s="26">
        <f>Mangochi!G199+Mangochi!H199+Mangochi!I199</f>
        <v>0</v>
      </c>
      <c r="E199" s="26">
        <f>'Monkey Bay'!G199+'Monkey Bay'!H199+'Monkey Bay'!I199</f>
        <v>0</v>
      </c>
      <c r="F199" s="26">
        <f>Namwera!G199+Namwera!H199+Namwera!I199</f>
        <v>0</v>
      </c>
      <c r="G199" s="128"/>
      <c r="H199" s="9">
        <f t="shared" ref="H199:H204" si="51">SUM(D199:F199)</f>
        <v>0</v>
      </c>
    </row>
    <row r="200" spans="1:8" ht="15.6" x14ac:dyDescent="0.3">
      <c r="A200" s="768"/>
      <c r="B200" s="79" t="s">
        <v>52</v>
      </c>
      <c r="C200" s="11" t="s">
        <v>47</v>
      </c>
      <c r="D200" s="26">
        <f>Mangochi!G200+Mangochi!H200+Mangochi!I200</f>
        <v>0</v>
      </c>
      <c r="E200" s="26">
        <f>'Monkey Bay'!G200+'Monkey Bay'!H200+'Monkey Bay'!I200</f>
        <v>0</v>
      </c>
      <c r="F200" s="26">
        <f>Namwera!G200+Namwera!H200+Namwera!I200</f>
        <v>0</v>
      </c>
      <c r="G200" s="128"/>
      <c r="H200" s="9">
        <f t="shared" si="51"/>
        <v>0</v>
      </c>
    </row>
    <row r="201" spans="1:8" ht="15.6" x14ac:dyDescent="0.3">
      <c r="A201" s="768"/>
      <c r="B201" s="79" t="s">
        <v>51</v>
      </c>
      <c r="C201" s="11" t="s">
        <v>47</v>
      </c>
      <c r="D201" s="26">
        <f>Mangochi!G201+Mangochi!H201+Mangochi!I201</f>
        <v>330</v>
      </c>
      <c r="E201" s="26">
        <f>'Monkey Bay'!G201+'Monkey Bay'!H201+'Monkey Bay'!I201</f>
        <v>0</v>
      </c>
      <c r="F201" s="26">
        <f>Namwera!G201+Namwera!H201+Namwera!I201</f>
        <v>0</v>
      </c>
      <c r="G201" s="128"/>
      <c r="H201" s="9">
        <f t="shared" si="51"/>
        <v>330</v>
      </c>
    </row>
    <row r="202" spans="1:8" ht="15.6" x14ac:dyDescent="0.3">
      <c r="A202" s="768"/>
      <c r="B202" s="79" t="s">
        <v>50</v>
      </c>
      <c r="C202" s="11" t="s">
        <v>47</v>
      </c>
      <c r="D202" s="26">
        <f>Mangochi!G202+Mangochi!H202+Mangochi!I202</f>
        <v>0</v>
      </c>
      <c r="E202" s="26">
        <f>'Monkey Bay'!G202+'Monkey Bay'!H202+'Monkey Bay'!I202</f>
        <v>0</v>
      </c>
      <c r="F202" s="26">
        <f>Namwera!G202+Namwera!H202+Namwera!I202</f>
        <v>0</v>
      </c>
      <c r="G202" s="128"/>
      <c r="H202" s="9">
        <f t="shared" si="51"/>
        <v>0</v>
      </c>
    </row>
    <row r="203" spans="1:8" ht="15.6" x14ac:dyDescent="0.3">
      <c r="A203" s="766"/>
      <c r="B203" s="79" t="s">
        <v>49</v>
      </c>
      <c r="C203" s="11" t="s">
        <v>47</v>
      </c>
      <c r="D203" s="26">
        <f>Mangochi!G203+Mangochi!H203+Mangochi!I203</f>
        <v>0</v>
      </c>
      <c r="E203" s="26">
        <f>'Monkey Bay'!G203+'Monkey Bay'!H203+'Monkey Bay'!I203</f>
        <v>0</v>
      </c>
      <c r="F203" s="26">
        <f>Namwera!G203+Namwera!H203+Namwera!I203</f>
        <v>0</v>
      </c>
      <c r="G203" s="128"/>
      <c r="H203" s="9">
        <f t="shared" si="51"/>
        <v>0</v>
      </c>
    </row>
    <row r="204" spans="1:8" ht="15.6" x14ac:dyDescent="0.3">
      <c r="A204" s="83" t="s">
        <v>48</v>
      </c>
      <c r="B204" s="79"/>
      <c r="C204" s="11" t="s">
        <v>47</v>
      </c>
      <c r="D204" s="15">
        <f t="shared" ref="D204:F204" si="52">SUM(D199:D203)</f>
        <v>330</v>
      </c>
      <c r="E204" s="15">
        <f t="shared" si="52"/>
        <v>0</v>
      </c>
      <c r="F204" s="15">
        <f t="shared" si="52"/>
        <v>0</v>
      </c>
      <c r="G204" s="22"/>
      <c r="H204" s="111">
        <f t="shared" si="51"/>
        <v>330</v>
      </c>
    </row>
    <row r="205" spans="1:8" s="2" customFormat="1" x14ac:dyDescent="0.3">
      <c r="A205" s="699" t="s">
        <v>46</v>
      </c>
      <c r="B205" s="700"/>
      <c r="C205" s="700"/>
      <c r="D205" s="700"/>
      <c r="E205" s="700"/>
      <c r="F205" s="700"/>
      <c r="G205" s="700"/>
      <c r="H205" s="701"/>
    </row>
    <row r="206" spans="1:8" ht="15.6" x14ac:dyDescent="0.3">
      <c r="A206" s="695" t="s">
        <v>43</v>
      </c>
      <c r="B206" s="696"/>
      <c r="C206" s="11" t="s">
        <v>31</v>
      </c>
      <c r="D206" s="26">
        <f>Mangochi!G206+Mangochi!H206+Mangochi!I206</f>
        <v>126646767</v>
      </c>
      <c r="E206" s="26">
        <f>'Monkey Bay'!G206+'Monkey Bay'!H206+'Monkey Bay'!I206</f>
        <v>28219531</v>
      </c>
      <c r="F206" s="26">
        <f>Namwera!G206+Namwera!H206+Namwera!I206</f>
        <v>4038429</v>
      </c>
      <c r="G206" s="128"/>
      <c r="H206" s="9">
        <f>SUM(D206:F206)</f>
        <v>158904727</v>
      </c>
    </row>
    <row r="207" spans="1:8" ht="15.6" x14ac:dyDescent="0.3">
      <c r="A207" s="695" t="s">
        <v>42</v>
      </c>
      <c r="B207" s="696"/>
      <c r="C207" s="11" t="s">
        <v>31</v>
      </c>
      <c r="D207" s="26">
        <f>Mangochi!G207+Mangochi!H207+Mangochi!I207</f>
        <v>0</v>
      </c>
      <c r="E207" s="26">
        <f>'Monkey Bay'!G207+'Monkey Bay'!H207+'Monkey Bay'!I207</f>
        <v>0</v>
      </c>
      <c r="F207" s="26">
        <f>Namwera!G207+Namwera!H207+Namwera!I207</f>
        <v>0</v>
      </c>
      <c r="G207" s="128"/>
      <c r="H207" s="9">
        <f>SUM(D207:F207)</f>
        <v>0</v>
      </c>
    </row>
    <row r="208" spans="1:8" ht="15.6" x14ac:dyDescent="0.3">
      <c r="A208" s="702" t="s">
        <v>41</v>
      </c>
      <c r="B208" s="703"/>
      <c r="C208" s="11" t="s">
        <v>31</v>
      </c>
      <c r="D208" s="26">
        <f>Mangochi!G208+Mangochi!H208+Mangochi!I208</f>
        <v>216500</v>
      </c>
      <c r="E208" s="26">
        <f>'Monkey Bay'!G208+'Monkey Bay'!H208+'Monkey Bay'!I208</f>
        <v>276090</v>
      </c>
      <c r="F208" s="26">
        <f>Namwera!G208+Namwera!H208+Namwera!I208</f>
        <v>0</v>
      </c>
      <c r="G208" s="128"/>
      <c r="H208" s="9">
        <f>SUM(D208:F208)</f>
        <v>492590</v>
      </c>
    </row>
    <row r="209" spans="1:8" ht="15.6" x14ac:dyDescent="0.3">
      <c r="A209" s="695" t="s">
        <v>40</v>
      </c>
      <c r="B209" s="696"/>
      <c r="C209" s="11" t="s">
        <v>31</v>
      </c>
      <c r="D209" s="26">
        <f>Mangochi!G209+Mangochi!H209+Mangochi!I209</f>
        <v>2119955</v>
      </c>
      <c r="E209" s="26">
        <f>'Monkey Bay'!G209+'Monkey Bay'!H209+'Monkey Bay'!I209</f>
        <v>27214808</v>
      </c>
      <c r="F209" s="26">
        <f>Namwera!G209+Namwera!H209+Namwera!I209</f>
        <v>0</v>
      </c>
      <c r="G209" s="128"/>
      <c r="H209" s="9">
        <f>SUM(D209:F209)</f>
        <v>29334763</v>
      </c>
    </row>
    <row r="210" spans="1:8" ht="15.6" x14ac:dyDescent="0.3">
      <c r="A210" s="762" t="s">
        <v>45</v>
      </c>
      <c r="B210" s="763"/>
      <c r="C210" s="11" t="s">
        <v>31</v>
      </c>
      <c r="D210" s="10">
        <f t="shared" ref="D210:F210" si="53">SUM(D206:D209)</f>
        <v>128983222</v>
      </c>
      <c r="E210" s="10">
        <f t="shared" si="53"/>
        <v>55710429</v>
      </c>
      <c r="F210" s="10">
        <f t="shared" si="53"/>
        <v>4038429</v>
      </c>
      <c r="G210" s="14"/>
      <c r="H210" s="9">
        <f>SUM(D210:F210)</f>
        <v>188732080</v>
      </c>
    </row>
    <row r="211" spans="1:8" s="2" customFormat="1" x14ac:dyDescent="0.3">
      <c r="A211" s="699" t="s">
        <v>44</v>
      </c>
      <c r="B211" s="700"/>
      <c r="C211" s="700"/>
      <c r="D211" s="700"/>
      <c r="E211" s="700"/>
      <c r="F211" s="700"/>
      <c r="G211" s="700"/>
      <c r="H211" s="701"/>
    </row>
    <row r="212" spans="1:8" ht="15.6" x14ac:dyDescent="0.3">
      <c r="A212" s="695" t="s">
        <v>43</v>
      </c>
      <c r="B212" s="696"/>
      <c r="C212" s="11" t="s">
        <v>31</v>
      </c>
      <c r="D212" s="26">
        <f>Mangochi!G212+Mangochi!H212+Mangochi!I212</f>
        <v>80351813.680000007</v>
      </c>
      <c r="E212" s="26">
        <f>'Monkey Bay'!G212+'Monkey Bay'!H212+'Monkey Bay'!I212</f>
        <v>36872991.459999993</v>
      </c>
      <c r="F212" s="26">
        <f>Namwera!G212+Namwera!H212+Namwera!I212</f>
        <v>5096093.66</v>
      </c>
      <c r="G212" s="128"/>
      <c r="H212" s="9">
        <f>SUM(D212:F212)</f>
        <v>122320898.8</v>
      </c>
    </row>
    <row r="213" spans="1:8" ht="15.6" x14ac:dyDescent="0.3">
      <c r="A213" s="695" t="s">
        <v>42</v>
      </c>
      <c r="B213" s="696"/>
      <c r="C213" s="11" t="s">
        <v>31</v>
      </c>
      <c r="D213" s="26">
        <f>Mangochi!G213+Mangochi!H213+Mangochi!I213</f>
        <v>0</v>
      </c>
      <c r="E213" s="26">
        <f>'Monkey Bay'!G213+'Monkey Bay'!H213+'Monkey Bay'!I213</f>
        <v>0</v>
      </c>
      <c r="F213" s="26">
        <f>Namwera!G213+Namwera!H213+Namwera!I213</f>
        <v>0</v>
      </c>
      <c r="G213" s="128"/>
      <c r="H213" s="9">
        <f>SUM(D213:F213)</f>
        <v>0</v>
      </c>
    </row>
    <row r="214" spans="1:8" ht="15.6" x14ac:dyDescent="0.3">
      <c r="A214" s="702" t="s">
        <v>41</v>
      </c>
      <c r="B214" s="703"/>
      <c r="C214" s="11" t="s">
        <v>31</v>
      </c>
      <c r="D214" s="26">
        <f>Mangochi!G214+Mangochi!H214+Mangochi!I214</f>
        <v>0</v>
      </c>
      <c r="E214" s="26">
        <f>'Monkey Bay'!G214+'Monkey Bay'!H214+'Monkey Bay'!I214</f>
        <v>0</v>
      </c>
      <c r="F214" s="26">
        <f>Namwera!G214+Namwera!H214+Namwera!I214</f>
        <v>0</v>
      </c>
      <c r="G214" s="128"/>
      <c r="H214" s="9">
        <f>SUM(D214:F214)</f>
        <v>0</v>
      </c>
    </row>
    <row r="215" spans="1:8" ht="15.6" x14ac:dyDescent="0.3">
      <c r="A215" s="695" t="s">
        <v>40</v>
      </c>
      <c r="B215" s="696"/>
      <c r="C215" s="11" t="s">
        <v>31</v>
      </c>
      <c r="D215" s="26">
        <f>Mangochi!G215+Mangochi!H215+Mangochi!I215</f>
        <v>0</v>
      </c>
      <c r="E215" s="26">
        <f>'Monkey Bay'!G215+'Monkey Bay'!H215+'Monkey Bay'!I215</f>
        <v>0</v>
      </c>
      <c r="F215" s="26">
        <f>Namwera!G215+Namwera!H215+Namwera!I215</f>
        <v>0</v>
      </c>
      <c r="G215" s="128"/>
      <c r="H215" s="9">
        <f>SUM(D215:F215)</f>
        <v>0</v>
      </c>
    </row>
    <row r="216" spans="1:8" ht="15.6" x14ac:dyDescent="0.3">
      <c r="A216" s="762" t="s">
        <v>39</v>
      </c>
      <c r="B216" s="763"/>
      <c r="C216" s="11" t="s">
        <v>31</v>
      </c>
      <c r="D216" s="10">
        <f t="shared" ref="D216:F216" si="54">SUM(D212:D215)</f>
        <v>80351813.680000007</v>
      </c>
      <c r="E216" s="10">
        <f t="shared" si="54"/>
        <v>36872991.459999993</v>
      </c>
      <c r="F216" s="10">
        <f t="shared" si="54"/>
        <v>5096093.66</v>
      </c>
      <c r="G216" s="14"/>
      <c r="H216" s="9">
        <f>SUM(D216:F216)</f>
        <v>122320898.8</v>
      </c>
    </row>
    <row r="217" spans="1:8" s="2" customFormat="1" ht="15.6" x14ac:dyDescent="0.3">
      <c r="A217" s="76" t="s">
        <v>38</v>
      </c>
      <c r="B217" s="77"/>
      <c r="C217" s="11" t="s">
        <v>31</v>
      </c>
      <c r="D217" s="10">
        <f>D210+D216</f>
        <v>209335035.68000001</v>
      </c>
      <c r="E217" s="10">
        <f t="shared" ref="E217:H217" si="55">E210+E216</f>
        <v>92583420.459999993</v>
      </c>
      <c r="F217" s="10">
        <f t="shared" si="55"/>
        <v>9134522.6600000001</v>
      </c>
      <c r="G217" s="14"/>
      <c r="H217" s="40">
        <f t="shared" si="55"/>
        <v>311052978.80000001</v>
      </c>
    </row>
    <row r="218" spans="1:8" s="2" customFormat="1" x14ac:dyDescent="0.3">
      <c r="A218" s="699" t="s">
        <v>37</v>
      </c>
      <c r="B218" s="700"/>
      <c r="C218" s="700"/>
      <c r="D218" s="700"/>
      <c r="E218" s="700"/>
      <c r="F218" s="700"/>
      <c r="G218" s="700"/>
      <c r="H218" s="701"/>
    </row>
    <row r="219" spans="1:8" ht="15.6" x14ac:dyDescent="0.3">
      <c r="A219" s="695" t="s">
        <v>35</v>
      </c>
      <c r="B219" s="696"/>
      <c r="C219" s="11" t="s">
        <v>31</v>
      </c>
      <c r="D219" s="26">
        <f>Mangochi!G219+Mangochi!H219+Mangochi!I219</f>
        <v>147299408</v>
      </c>
      <c r="E219" s="26">
        <f>'Monkey Bay'!G219+'Monkey Bay'!H219+'Monkey Bay'!I219</f>
        <v>49727929</v>
      </c>
      <c r="F219" s="26">
        <f>Namwera!G219+Namwera!H219+Namwera!I219</f>
        <v>5148625</v>
      </c>
      <c r="G219" s="128"/>
      <c r="H219" s="9">
        <f>SUM(D219:F219)</f>
        <v>202175962</v>
      </c>
    </row>
    <row r="220" spans="1:8" ht="15.6" x14ac:dyDescent="0.3">
      <c r="A220" s="695" t="s">
        <v>34</v>
      </c>
      <c r="B220" s="696"/>
      <c r="C220" s="11" t="s">
        <v>31</v>
      </c>
      <c r="D220" s="26">
        <f>Mangochi!G220+Mangochi!H220+Mangochi!I220</f>
        <v>0</v>
      </c>
      <c r="E220" s="26">
        <f>'Monkey Bay'!G220+'Monkey Bay'!H220+'Monkey Bay'!I220</f>
        <v>0</v>
      </c>
      <c r="F220" s="26">
        <f>Namwera!G220+Namwera!H220+Namwera!I220</f>
        <v>0</v>
      </c>
      <c r="G220" s="128"/>
      <c r="H220" s="9">
        <f>SUM(D220:F220)</f>
        <v>0</v>
      </c>
    </row>
    <row r="221" spans="1:8" ht="15.6" x14ac:dyDescent="0.3">
      <c r="A221" s="695" t="s">
        <v>33</v>
      </c>
      <c r="B221" s="696"/>
      <c r="C221" s="11" t="s">
        <v>31</v>
      </c>
      <c r="D221" s="26">
        <f>Mangochi!G221+Mangochi!H221+Mangochi!I221</f>
        <v>2491757.37</v>
      </c>
      <c r="E221" s="26">
        <f>'Monkey Bay'!G221+'Monkey Bay'!H221+'Monkey Bay'!I221</f>
        <v>215918184</v>
      </c>
      <c r="F221" s="26">
        <f>Namwera!G221+Namwera!H221+Namwera!I221</f>
        <v>105198</v>
      </c>
      <c r="G221" s="128"/>
      <c r="H221" s="9">
        <f>SUM(D221:F221)</f>
        <v>218515139.37</v>
      </c>
    </row>
    <row r="222" spans="1:8" ht="15.6" x14ac:dyDescent="0.3">
      <c r="A222" s="695" t="s">
        <v>32</v>
      </c>
      <c r="B222" s="696"/>
      <c r="C222" s="11" t="s">
        <v>31</v>
      </c>
      <c r="D222" s="26">
        <f>Mangochi!G222+Mangochi!H222+Mangochi!I222</f>
        <v>564009.71</v>
      </c>
      <c r="E222" s="26">
        <f>'Monkey Bay'!G222+'Monkey Bay'!H222+'Monkey Bay'!I222</f>
        <v>5915237</v>
      </c>
      <c r="F222" s="26">
        <f>Namwera!G222+Namwera!H222+Namwera!I222</f>
        <v>0</v>
      </c>
      <c r="G222" s="128"/>
      <c r="H222" s="9">
        <f>SUM(D222:F222)</f>
        <v>6479246.71</v>
      </c>
    </row>
    <row r="223" spans="1:8" ht="15.6" x14ac:dyDescent="0.3">
      <c r="A223" s="762" t="s">
        <v>36</v>
      </c>
      <c r="B223" s="763"/>
      <c r="C223" s="11" t="s">
        <v>31</v>
      </c>
      <c r="D223" s="12">
        <f t="shared" ref="D223:F223" si="56">SUM(D219:D222)</f>
        <v>150355175.08000001</v>
      </c>
      <c r="E223" s="10">
        <f t="shared" si="56"/>
        <v>271561350</v>
      </c>
      <c r="F223" s="10">
        <f t="shared" si="56"/>
        <v>5253823</v>
      </c>
      <c r="G223" s="14"/>
      <c r="H223" s="9">
        <f>SUM(D223:F223)</f>
        <v>427170348.08000004</v>
      </c>
    </row>
    <row r="224" spans="1:8" x14ac:dyDescent="0.3">
      <c r="A224" s="699" t="s">
        <v>211</v>
      </c>
      <c r="B224" s="700"/>
      <c r="C224" s="700"/>
      <c r="D224" s="700"/>
      <c r="E224" s="700"/>
      <c r="F224" s="700"/>
      <c r="G224" s="700"/>
      <c r="H224" s="701"/>
    </row>
    <row r="225" spans="1:8" ht="15.6" x14ac:dyDescent="0.3">
      <c r="A225" s="695" t="s">
        <v>35</v>
      </c>
      <c r="B225" s="696"/>
      <c r="C225" s="11" t="s">
        <v>31</v>
      </c>
      <c r="D225" s="26">
        <f>Mangochi!G225+Mangochi!H225+Mangochi!I225</f>
        <v>77630327.969999999</v>
      </c>
      <c r="E225" s="26">
        <f>'Monkey Bay'!G225+'Monkey Bay'!H225+'Monkey Bay'!I225</f>
        <v>36094228.510000013</v>
      </c>
      <c r="F225" s="26">
        <f>Namwera!G225+Namwera!H225+Namwera!I225</f>
        <v>4737255.3900000006</v>
      </c>
      <c r="G225" s="128"/>
      <c r="H225" s="9">
        <f t="shared" ref="H225:H230" si="57">SUM(D225:F225)</f>
        <v>118461811.87000002</v>
      </c>
    </row>
    <row r="226" spans="1:8" ht="15.6" x14ac:dyDescent="0.3">
      <c r="A226" s="695" t="s">
        <v>34</v>
      </c>
      <c r="B226" s="696"/>
      <c r="C226" s="11" t="s">
        <v>31</v>
      </c>
      <c r="D226" s="26">
        <f>Mangochi!G226+Mangochi!H226+Mangochi!I226</f>
        <v>0</v>
      </c>
      <c r="E226" s="26">
        <f>'Monkey Bay'!G226+'Monkey Bay'!H226+'Monkey Bay'!I226</f>
        <v>0</v>
      </c>
      <c r="F226" s="26">
        <f>Namwera!G226+Namwera!H226+Namwera!I226</f>
        <v>0</v>
      </c>
      <c r="G226" s="128"/>
      <c r="H226" s="9">
        <f t="shared" si="57"/>
        <v>0</v>
      </c>
    </row>
    <row r="227" spans="1:8" ht="15.6" x14ac:dyDescent="0.3">
      <c r="A227" s="695" t="s">
        <v>33</v>
      </c>
      <c r="B227" s="696"/>
      <c r="C227" s="11" t="s">
        <v>31</v>
      </c>
      <c r="D227" s="26">
        <f>Mangochi!G227+Mangochi!H227+Mangochi!I227</f>
        <v>0</v>
      </c>
      <c r="E227" s="26">
        <f>'Monkey Bay'!G227+'Monkey Bay'!H227+'Monkey Bay'!I227</f>
        <v>0</v>
      </c>
      <c r="F227" s="26">
        <f>Namwera!G227+Namwera!H227+Namwera!I227</f>
        <v>0</v>
      </c>
      <c r="G227" s="128"/>
      <c r="H227" s="9">
        <f t="shared" si="57"/>
        <v>0</v>
      </c>
    </row>
    <row r="228" spans="1:8" ht="15.6" x14ac:dyDescent="0.3">
      <c r="A228" s="695" t="s">
        <v>32</v>
      </c>
      <c r="B228" s="696"/>
      <c r="C228" s="11" t="s">
        <v>31</v>
      </c>
      <c r="D228" s="26">
        <f>Mangochi!G228+Mangochi!H228+Mangochi!I228</f>
        <v>0</v>
      </c>
      <c r="E228" s="26">
        <f>'Monkey Bay'!G228+'Monkey Bay'!H228+'Monkey Bay'!I228</f>
        <v>0</v>
      </c>
      <c r="F228" s="26">
        <f>Namwera!G228+Namwera!H228+Namwera!I228</f>
        <v>0</v>
      </c>
      <c r="G228" s="128"/>
      <c r="H228" s="9">
        <f t="shared" si="57"/>
        <v>0</v>
      </c>
    </row>
    <row r="229" spans="1:8" ht="15.6" x14ac:dyDescent="0.3">
      <c r="A229" s="762" t="s">
        <v>212</v>
      </c>
      <c r="B229" s="763"/>
      <c r="C229" s="11" t="s">
        <v>31</v>
      </c>
      <c r="D229" s="12">
        <f t="shared" ref="D229:F229" si="58">SUM(D225:D228)</f>
        <v>77630327.969999999</v>
      </c>
      <c r="E229" s="10">
        <f t="shared" si="58"/>
        <v>36094228.510000013</v>
      </c>
      <c r="F229" s="10">
        <f t="shared" si="58"/>
        <v>4737255.3900000006</v>
      </c>
      <c r="G229" s="14"/>
      <c r="H229" s="9">
        <f t="shared" si="57"/>
        <v>118461811.87000002</v>
      </c>
    </row>
    <row r="230" spans="1:8" ht="15.6" x14ac:dyDescent="0.3">
      <c r="A230" s="76" t="s">
        <v>213</v>
      </c>
      <c r="B230" s="120"/>
      <c r="C230" s="11" t="s">
        <v>31</v>
      </c>
      <c r="D230" s="12">
        <f>D223+D229</f>
        <v>227985503.05000001</v>
      </c>
      <c r="E230" s="12">
        <f t="shared" ref="E230:F230" si="59">E223+E229</f>
        <v>307655578.50999999</v>
      </c>
      <c r="F230" s="12">
        <f t="shared" si="59"/>
        <v>9991078.3900000006</v>
      </c>
      <c r="G230" s="682"/>
      <c r="H230" s="9">
        <f t="shared" si="57"/>
        <v>545632159.95000005</v>
      </c>
    </row>
    <row r="231" spans="1:8" x14ac:dyDescent="0.3">
      <c r="A231" s="699" t="s">
        <v>30</v>
      </c>
      <c r="B231" s="700"/>
      <c r="C231" s="700"/>
      <c r="D231" s="700"/>
      <c r="E231" s="700"/>
      <c r="F231" s="700"/>
      <c r="G231" s="700"/>
      <c r="H231" s="701"/>
    </row>
    <row r="232" spans="1:8" ht="15.6" x14ac:dyDescent="0.3">
      <c r="A232" s="695" t="s">
        <v>29</v>
      </c>
      <c r="B232" s="696"/>
      <c r="C232" s="11" t="s">
        <v>18</v>
      </c>
      <c r="D232" s="26">
        <f>Mangochi!G232+Mangochi!H232+Mangochi!I232</f>
        <v>7117692</v>
      </c>
      <c r="E232" s="26">
        <f>'Monkey Bay'!G232+'Monkey Bay'!H232+'Monkey Bay'!I232</f>
        <v>1919178</v>
      </c>
      <c r="F232" s="26">
        <f>Namwera!G232+Namwera!H232+Namwera!I232</f>
        <v>365865</v>
      </c>
      <c r="G232" s="128"/>
      <c r="H232" s="9">
        <f>SUM(D232:F232)</f>
        <v>9402735</v>
      </c>
    </row>
    <row r="233" spans="1:8" ht="15.6" x14ac:dyDescent="0.3">
      <c r="A233" s="695" t="s">
        <v>28</v>
      </c>
      <c r="B233" s="696"/>
      <c r="C233" s="11" t="s">
        <v>18</v>
      </c>
      <c r="D233" s="26">
        <f>Mangochi!G233+Mangochi!H233+Mangochi!I233</f>
        <v>0</v>
      </c>
      <c r="E233" s="26">
        <f>'Monkey Bay'!G233+'Monkey Bay'!H233+'Monkey Bay'!I233</f>
        <v>0</v>
      </c>
      <c r="F233" s="26">
        <f>Namwera!G233+Namwera!H233+Namwera!I233</f>
        <v>0</v>
      </c>
      <c r="G233" s="128"/>
      <c r="H233" s="9">
        <f>SUM(D233:F233)</f>
        <v>0</v>
      </c>
    </row>
    <row r="234" spans="1:8" ht="15.6" x14ac:dyDescent="0.3">
      <c r="A234" s="695" t="s">
        <v>27</v>
      </c>
      <c r="B234" s="696"/>
      <c r="C234" s="11" t="s">
        <v>18</v>
      </c>
      <c r="D234" s="26">
        <f>Mangochi!G234+Mangochi!H234+Mangochi!I234</f>
        <v>64787.91</v>
      </c>
      <c r="E234" s="26">
        <f>'Monkey Bay'!G234+'Monkey Bay'!H234+'Monkey Bay'!I234</f>
        <v>163511</v>
      </c>
      <c r="F234" s="26">
        <f>Namwera!G234+Namwera!H234+Namwera!I234</f>
        <v>9255</v>
      </c>
      <c r="G234" s="128"/>
      <c r="H234" s="9">
        <f>SUM(D234:F234)</f>
        <v>237553.91</v>
      </c>
    </row>
    <row r="235" spans="1:8" ht="15.6" x14ac:dyDescent="0.3">
      <c r="A235" s="695" t="s">
        <v>26</v>
      </c>
      <c r="B235" s="696"/>
      <c r="C235" s="11" t="s">
        <v>18</v>
      </c>
      <c r="D235" s="26">
        <f>Mangochi!G235+Mangochi!H235+Mangochi!I235</f>
        <v>67452.62</v>
      </c>
      <c r="E235" s="26">
        <f>'Monkey Bay'!G235+'Monkey Bay'!H235+'Monkey Bay'!I235</f>
        <v>147551</v>
      </c>
      <c r="F235" s="26">
        <f>Namwera!G235+Namwera!H235+Namwera!I235</f>
        <v>0</v>
      </c>
      <c r="G235" s="128"/>
      <c r="H235" s="9">
        <f>SUM(D235:F235)</f>
        <v>215003.62</v>
      </c>
    </row>
    <row r="236" spans="1:8" ht="15.6" x14ac:dyDescent="0.3">
      <c r="A236" s="762" t="s">
        <v>25</v>
      </c>
      <c r="B236" s="763"/>
      <c r="C236" s="11" t="s">
        <v>18</v>
      </c>
      <c r="D236" s="12">
        <f t="shared" ref="D236:F236" si="60">SUM(D232:D235)</f>
        <v>7249932.5300000003</v>
      </c>
      <c r="E236" s="12">
        <f t="shared" si="60"/>
        <v>2230240</v>
      </c>
      <c r="F236" s="12">
        <f t="shared" si="60"/>
        <v>375120</v>
      </c>
      <c r="G236" s="682"/>
      <c r="H236" s="40">
        <f t="shared" ref="H236" si="61">SUM(H232:H235)</f>
        <v>9855292.5299999993</v>
      </c>
    </row>
    <row r="237" spans="1:8" x14ac:dyDescent="0.3">
      <c r="A237" s="699" t="s">
        <v>24</v>
      </c>
      <c r="B237" s="700"/>
      <c r="C237" s="700"/>
      <c r="D237" s="700"/>
      <c r="E237" s="700"/>
      <c r="F237" s="700"/>
      <c r="G237" s="700"/>
      <c r="H237" s="701"/>
    </row>
    <row r="238" spans="1:8" ht="15.6" x14ac:dyDescent="0.3">
      <c r="A238" s="695" t="s">
        <v>23</v>
      </c>
      <c r="B238" s="696"/>
      <c r="C238" s="11" t="s">
        <v>18</v>
      </c>
      <c r="D238" s="26">
        <f>Mangochi!G238+Mangochi!H238+Mangochi!I238</f>
        <v>12874381</v>
      </c>
      <c r="E238" s="26">
        <f>'Monkey Bay'!G238+'Monkey Bay'!H238+'Monkey Bay'!I238</f>
        <v>3747921</v>
      </c>
      <c r="F238" s="26">
        <f>Namwera!G238+Namwera!H238+Namwera!I238</f>
        <v>650104</v>
      </c>
      <c r="G238" s="128"/>
      <c r="H238" s="9">
        <f>SUM(D238:F238)</f>
        <v>17272406</v>
      </c>
    </row>
    <row r="239" spans="1:8" ht="15.6" x14ac:dyDescent="0.3">
      <c r="A239" s="695" t="s">
        <v>22</v>
      </c>
      <c r="B239" s="696"/>
      <c r="C239" s="11" t="s">
        <v>18</v>
      </c>
      <c r="D239" s="26">
        <f>Mangochi!G239+Mangochi!H239+Mangochi!I239</f>
        <v>0</v>
      </c>
      <c r="E239" s="26">
        <f>'Monkey Bay'!G239+'Monkey Bay'!H239+'Monkey Bay'!I239</f>
        <v>0</v>
      </c>
      <c r="F239" s="26">
        <f>Namwera!G239+Namwera!H239+Namwera!I239</f>
        <v>0</v>
      </c>
      <c r="G239" s="128"/>
      <c r="H239" s="9">
        <f>SUM(D239:F239)</f>
        <v>0</v>
      </c>
    </row>
    <row r="240" spans="1:8" ht="15.6" x14ac:dyDescent="0.3">
      <c r="A240" s="695" t="s">
        <v>21</v>
      </c>
      <c r="B240" s="696"/>
      <c r="C240" s="11" t="s">
        <v>18</v>
      </c>
      <c r="D240" s="26">
        <f>Mangochi!G240+Mangochi!H240+Mangochi!I240</f>
        <v>18753</v>
      </c>
      <c r="E240" s="26">
        <f>'Monkey Bay'!G240+'Monkey Bay'!H240+'Monkey Bay'!I240</f>
        <v>47329</v>
      </c>
      <c r="F240" s="26">
        <f>Namwera!G240+Namwera!H240+Namwera!I240</f>
        <v>2679</v>
      </c>
      <c r="G240" s="128"/>
      <c r="H240" s="9">
        <f>SUM(D240:F240)</f>
        <v>68761</v>
      </c>
    </row>
    <row r="241" spans="1:8" ht="15.6" x14ac:dyDescent="0.3">
      <c r="A241" s="695" t="s">
        <v>20</v>
      </c>
      <c r="B241" s="696"/>
      <c r="C241" s="11" t="s">
        <v>18</v>
      </c>
      <c r="D241" s="26">
        <f>Mangochi!G241+Mangochi!H241+Mangochi!I241</f>
        <v>14288</v>
      </c>
      <c r="E241" s="26">
        <f>'Monkey Bay'!G241+'Monkey Bay'!H241+'Monkey Bay'!I241</f>
        <v>31255</v>
      </c>
      <c r="F241" s="26">
        <f>Namwera!G241+Namwera!H241+Namwera!I241</f>
        <v>0</v>
      </c>
      <c r="G241" s="128"/>
      <c r="H241" s="9">
        <f>SUM(D241:F241)</f>
        <v>45543</v>
      </c>
    </row>
    <row r="242" spans="1:8" ht="15.6" x14ac:dyDescent="0.3">
      <c r="A242" s="762" t="s">
        <v>19</v>
      </c>
      <c r="B242" s="763"/>
      <c r="C242" s="11" t="s">
        <v>18</v>
      </c>
      <c r="D242" s="12">
        <f t="shared" ref="D242:H242" si="62">SUM(D238:D241)</f>
        <v>12907422</v>
      </c>
      <c r="E242" s="12">
        <f t="shared" si="62"/>
        <v>3826505</v>
      </c>
      <c r="F242" s="12">
        <f t="shared" si="62"/>
        <v>652783</v>
      </c>
      <c r="G242" s="682"/>
      <c r="H242" s="40">
        <f t="shared" si="62"/>
        <v>17386710</v>
      </c>
    </row>
    <row r="243" spans="1:8" ht="15.6" x14ac:dyDescent="0.3">
      <c r="A243" s="762" t="s">
        <v>214</v>
      </c>
      <c r="B243" s="763"/>
      <c r="C243" s="11" t="s">
        <v>18</v>
      </c>
      <c r="D243" s="10">
        <f>D230+D236+D242</f>
        <v>248142857.58000001</v>
      </c>
      <c r="E243" s="10">
        <f t="shared" ref="E243:F243" si="63">E230+E236+E242</f>
        <v>313712323.50999999</v>
      </c>
      <c r="F243" s="10">
        <f t="shared" si="63"/>
        <v>11018981.390000001</v>
      </c>
      <c r="G243" s="14"/>
      <c r="H243" s="40">
        <f t="shared" ref="H243" si="64">H216+H223+H236+H242</f>
        <v>576733249.40999997</v>
      </c>
    </row>
    <row r="244" spans="1:8" x14ac:dyDescent="0.3">
      <c r="A244" s="699" t="s">
        <v>204</v>
      </c>
      <c r="B244" s="700"/>
      <c r="C244" s="700"/>
      <c r="D244" s="700"/>
      <c r="E244" s="700"/>
      <c r="F244" s="700"/>
      <c r="G244" s="700"/>
      <c r="H244" s="701"/>
    </row>
    <row r="245" spans="1:8" ht="15.6" x14ac:dyDescent="0.3">
      <c r="A245" s="769" t="s">
        <v>205</v>
      </c>
      <c r="B245" s="770"/>
      <c r="C245" s="11" t="s">
        <v>18</v>
      </c>
      <c r="D245" s="15">
        <f>Mangochi!G245+Mangochi!H245+Mangochi!I245</f>
        <v>1151364422.8899956</v>
      </c>
      <c r="E245" s="15">
        <f>'Monkey Bay'!G245+'Monkey Bay'!H245+'Monkey Bay'!I245</f>
        <v>409425649.88000417</v>
      </c>
      <c r="F245" s="15">
        <f>Namwera!G245+Namwera!H245+Namwera!I245</f>
        <v>68292484.89000009</v>
      </c>
      <c r="G245" s="22"/>
      <c r="H245" s="40">
        <f t="shared" ref="H245" si="65">SUM(H241:H244)</f>
        <v>594165502.40999997</v>
      </c>
    </row>
    <row r="246" spans="1:8" ht="15.6" x14ac:dyDescent="0.3">
      <c r="A246" s="769" t="s">
        <v>206</v>
      </c>
      <c r="B246" s="770"/>
      <c r="C246" s="11" t="s">
        <v>18</v>
      </c>
      <c r="D246" s="15">
        <f>Mangochi!G246+Mangochi!H246+Mangochi!I246</f>
        <v>895248806.92999721</v>
      </c>
      <c r="E246" s="15">
        <f>'Monkey Bay'!G246+'Monkey Bay'!H246+'Monkey Bay'!I246</f>
        <v>2004193377.6499999</v>
      </c>
      <c r="F246" s="15">
        <f>Namwera!G246+Namwera!H246+Namwera!I246</f>
        <v>118464190.27000009</v>
      </c>
      <c r="G246" s="22"/>
      <c r="H246" s="40">
        <f t="shared" ref="H246" si="66">SUM(H242:H245)</f>
        <v>1188285461.8199999</v>
      </c>
    </row>
    <row r="247" spans="1:8" ht="15.6" x14ac:dyDescent="0.3">
      <c r="A247" s="798" t="s">
        <v>207</v>
      </c>
      <c r="B247" s="799"/>
      <c r="C247" s="11" t="s">
        <v>18</v>
      </c>
      <c r="D247" s="143">
        <f>D245+D246</f>
        <v>2046613229.8199928</v>
      </c>
      <c r="E247" s="143">
        <f t="shared" ref="E247:F247" si="67">E245+E246</f>
        <v>2413619027.530004</v>
      </c>
      <c r="F247" s="143">
        <f t="shared" si="67"/>
        <v>186756675.16000018</v>
      </c>
      <c r="G247" s="684"/>
      <c r="H247" s="40">
        <f t="shared" ref="H247" si="68">SUM(H243:H246)</f>
        <v>2359184213.6399999</v>
      </c>
    </row>
    <row r="248" spans="1:8" x14ac:dyDescent="0.3">
      <c r="A248" s="699" t="s">
        <v>17</v>
      </c>
      <c r="B248" s="700"/>
      <c r="C248" s="700"/>
      <c r="D248" s="700"/>
      <c r="E248" s="700"/>
      <c r="F248" s="700"/>
      <c r="G248" s="700"/>
      <c r="H248" s="701"/>
    </row>
    <row r="249" spans="1:8" ht="15.6" x14ac:dyDescent="0.3">
      <c r="A249" s="726" t="s">
        <v>16</v>
      </c>
      <c r="B249" s="727"/>
      <c r="C249" s="5" t="s">
        <v>6</v>
      </c>
      <c r="D249" s="8">
        <f>D58/D243%</f>
        <v>34.969075962734387</v>
      </c>
      <c r="E249" s="8">
        <f t="shared" ref="E249:H249" si="69">E58/E243%</f>
        <v>10.220690249032547</v>
      </c>
      <c r="F249" s="8">
        <f t="shared" si="69"/>
        <v>86.645665194285243</v>
      </c>
      <c r="G249" s="8"/>
      <c r="H249" s="8">
        <f t="shared" si="69"/>
        <v>22.260602987011339</v>
      </c>
    </row>
    <row r="250" spans="1:8" ht="15.6" x14ac:dyDescent="0.3">
      <c r="A250" s="726" t="s">
        <v>208</v>
      </c>
      <c r="B250" s="727"/>
      <c r="C250" s="5" t="s">
        <v>6</v>
      </c>
      <c r="D250" s="29">
        <f>D210/(D223+D245)%</f>
        <v>9.9086794269016654</v>
      </c>
      <c r="E250" s="29">
        <f t="shared" ref="E250:H250" si="70">E210/(E223+E245)%</f>
        <v>8.1808359057980056</v>
      </c>
      <c r="F250" s="29">
        <f t="shared" si="70"/>
        <v>5.4910016775282546</v>
      </c>
      <c r="G250" s="29"/>
      <c r="H250" s="29">
        <f t="shared" si="70"/>
        <v>18.478944013318749</v>
      </c>
    </row>
    <row r="251" spans="1:8" ht="16.2" thickBot="1" x14ac:dyDescent="0.35">
      <c r="A251" s="796" t="s">
        <v>15</v>
      </c>
      <c r="B251" s="797"/>
      <c r="C251" s="5" t="s">
        <v>6</v>
      </c>
      <c r="D251" s="7">
        <f>D210/D223%</f>
        <v>85.785688408377993</v>
      </c>
      <c r="E251" s="7">
        <f t="shared" ref="E251:H251" si="71">E210/E223%</f>
        <v>20.514859349461918</v>
      </c>
      <c r="F251" s="7">
        <f t="shared" si="71"/>
        <v>76.866483701487468</v>
      </c>
      <c r="G251" s="7"/>
      <c r="H251" s="7">
        <f t="shared" si="71"/>
        <v>44.18192434196169</v>
      </c>
    </row>
    <row r="252" spans="1:8" x14ac:dyDescent="0.3">
      <c r="A252" s="755" t="s">
        <v>14</v>
      </c>
      <c r="B252" s="756"/>
      <c r="C252" s="756"/>
      <c r="D252" s="756"/>
      <c r="E252" s="756"/>
      <c r="F252" s="756"/>
      <c r="G252" s="756"/>
      <c r="H252" s="757"/>
    </row>
    <row r="253" spans="1:8" s="2" customFormat="1" ht="15" customHeight="1" x14ac:dyDescent="0.3">
      <c r="A253" s="726" t="s">
        <v>13</v>
      </c>
      <c r="B253" s="727"/>
      <c r="C253" s="5" t="s">
        <v>3</v>
      </c>
      <c r="D253" s="26">
        <f>Mangochi!G253+Mangochi!H253+Mangochi!I253</f>
        <v>273</v>
      </c>
      <c r="E253" s="26">
        <f>'Monkey Bay'!G253+'Monkey Bay'!H253+'Monkey Bay'!I253</f>
        <v>46</v>
      </c>
      <c r="F253" s="26">
        <f>Namwera!G253+Namwera!H253+Namwera!I253</f>
        <v>20</v>
      </c>
      <c r="G253" s="128"/>
      <c r="H253" s="114">
        <f>SUM(D253:F253)</f>
        <v>339</v>
      </c>
    </row>
    <row r="254" spans="1:8" s="2" customFormat="1" ht="15.6" x14ac:dyDescent="0.3">
      <c r="A254" s="726" t="s">
        <v>12</v>
      </c>
      <c r="B254" s="727"/>
      <c r="C254" s="5" t="s">
        <v>3</v>
      </c>
      <c r="D254" s="26">
        <f>Mangochi!G254+Mangochi!H254+Mangochi!I254</f>
        <v>5</v>
      </c>
      <c r="E254" s="26">
        <f>'Monkey Bay'!G254+'Monkey Bay'!H254+'Monkey Bay'!I254</f>
        <v>2</v>
      </c>
      <c r="F254" s="26">
        <f>Namwera!G254+Namwera!H254+Namwera!I254</f>
        <v>11</v>
      </c>
      <c r="G254" s="128"/>
      <c r="H254" s="114">
        <f>SUM(D254:F254)</f>
        <v>18</v>
      </c>
    </row>
    <row r="255" spans="1:8" ht="15.75" customHeight="1" x14ac:dyDescent="0.3">
      <c r="A255" s="726" t="s">
        <v>11</v>
      </c>
      <c r="B255" s="727"/>
      <c r="C255" s="5" t="s">
        <v>3</v>
      </c>
      <c r="D255" s="26">
        <f>Mangochi!G255+Mangochi!H255+Mangochi!I255</f>
        <v>4125</v>
      </c>
      <c r="E255" s="26">
        <f>'Monkey Bay'!G255+'Monkey Bay'!H255+'Monkey Bay'!I255</f>
        <v>247</v>
      </c>
      <c r="F255" s="26">
        <f>Namwera!G255+Namwera!H255+Namwera!I255</f>
        <v>215</v>
      </c>
      <c r="G255" s="128"/>
      <c r="H255" s="114">
        <f>SUM(D255:F255)</f>
        <v>4587</v>
      </c>
    </row>
    <row r="256" spans="1:8" ht="15.6" x14ac:dyDescent="0.3">
      <c r="A256" s="726" t="s">
        <v>10</v>
      </c>
      <c r="B256" s="727"/>
      <c r="C256" s="5" t="s">
        <v>3</v>
      </c>
      <c r="D256" s="26">
        <f>Mangochi!G256+Mangochi!H256+Mangochi!I256</f>
        <v>273</v>
      </c>
      <c r="E256" s="26">
        <f>'Monkey Bay'!G256+'Monkey Bay'!H256+'Monkey Bay'!I256</f>
        <v>49</v>
      </c>
      <c r="F256" s="26">
        <f>Namwera!G256+Namwera!H256+Namwera!I256</f>
        <v>29</v>
      </c>
      <c r="G256" s="128"/>
      <c r="H256" s="114">
        <f>SUM(D256:F256)</f>
        <v>351</v>
      </c>
    </row>
    <row r="257" spans="1:8" ht="15.6" customHeight="1" x14ac:dyDescent="0.3">
      <c r="A257" s="726" t="s">
        <v>9</v>
      </c>
      <c r="B257" s="727"/>
      <c r="C257" s="5" t="s">
        <v>3</v>
      </c>
      <c r="D257" s="26">
        <f>Mangochi!G257+Mangochi!H257+Mangochi!I257</f>
        <v>13372</v>
      </c>
      <c r="E257" s="26">
        <f>'Monkey Bay'!G257+'Monkey Bay'!H257+'Monkey Bay'!I257</f>
        <v>5975</v>
      </c>
      <c r="F257" s="26">
        <f>Namwera!G257+Namwera!H257+Namwera!I257</f>
        <v>160</v>
      </c>
      <c r="G257" s="128"/>
      <c r="H257" s="114">
        <f>SUM(D257:F257)</f>
        <v>19507</v>
      </c>
    </row>
    <row r="258" spans="1:8" ht="15.6" x14ac:dyDescent="0.3">
      <c r="A258" s="762" t="s">
        <v>8</v>
      </c>
      <c r="B258" s="763"/>
      <c r="C258" s="5" t="s">
        <v>3</v>
      </c>
      <c r="D258" s="1">
        <f t="shared" ref="D258:H258" si="72">D257/D256</f>
        <v>48.981684981684978</v>
      </c>
      <c r="E258" s="1">
        <f t="shared" si="72"/>
        <v>121.93877551020408</v>
      </c>
      <c r="F258" s="1">
        <f t="shared" si="72"/>
        <v>5.5172413793103452</v>
      </c>
      <c r="G258" s="129"/>
      <c r="H258" s="114">
        <f t="shared" si="72"/>
        <v>55.575498575498578</v>
      </c>
    </row>
    <row r="259" spans="1:8" ht="15.6" x14ac:dyDescent="0.3">
      <c r="A259" s="762" t="s">
        <v>7</v>
      </c>
      <c r="B259" s="763"/>
      <c r="C259" s="5" t="s">
        <v>6</v>
      </c>
      <c r="D259" s="1">
        <f t="shared" ref="D259:H259" si="73">D92/D255*100</f>
        <v>0</v>
      </c>
      <c r="E259" s="1">
        <f t="shared" si="73"/>
        <v>0</v>
      </c>
      <c r="F259" s="1">
        <f t="shared" si="73"/>
        <v>0</v>
      </c>
      <c r="G259" s="129"/>
      <c r="H259" s="115">
        <f t="shared" si="73"/>
        <v>0</v>
      </c>
    </row>
    <row r="260" spans="1:8" x14ac:dyDescent="0.3">
      <c r="A260" s="699" t="s">
        <v>5</v>
      </c>
      <c r="B260" s="700"/>
      <c r="C260" s="700"/>
      <c r="D260" s="700"/>
      <c r="E260" s="700"/>
      <c r="F260" s="700"/>
      <c r="G260" s="700"/>
      <c r="H260" s="701"/>
    </row>
    <row r="261" spans="1:8" s="2" customFormat="1" ht="15" customHeight="1" x14ac:dyDescent="0.3">
      <c r="A261" s="726" t="s">
        <v>4</v>
      </c>
      <c r="B261" s="727"/>
      <c r="C261" s="5" t="s">
        <v>3</v>
      </c>
      <c r="D261" s="26">
        <f>Mangochi!G261+Mangochi!H261+Mangochi!I261</f>
        <v>138</v>
      </c>
      <c r="E261" s="26">
        <f>'Monkey Bay'!G261+'Monkey Bay'!H261+'Monkey Bay'!I261</f>
        <v>132</v>
      </c>
      <c r="F261" s="26">
        <f>Namwera!G261+Namwera!H261+Namwera!I261</f>
        <v>23</v>
      </c>
      <c r="G261" s="128"/>
      <c r="H261" s="114">
        <f>SUM(D261:F261)</f>
        <v>293</v>
      </c>
    </row>
    <row r="262" spans="1:8" s="2" customFormat="1" ht="15.75" customHeight="1" x14ac:dyDescent="0.3">
      <c r="A262" s="726" t="s">
        <v>2</v>
      </c>
      <c r="B262" s="727"/>
      <c r="C262" s="5" t="s">
        <v>0</v>
      </c>
      <c r="D262" s="26">
        <f>Mangochi!G262+Mangochi!H262+Mangochi!I262</f>
        <v>7</v>
      </c>
      <c r="E262" s="26">
        <f>'Monkey Bay'!G262+'Monkey Bay'!H262+'Monkey Bay'!I262</f>
        <v>4</v>
      </c>
      <c r="F262" s="26">
        <f>Namwera!G262+Namwera!H262+Namwera!I262</f>
        <v>23</v>
      </c>
      <c r="G262" s="128"/>
      <c r="H262" s="114">
        <f>SUM(D262:F262)</f>
        <v>34</v>
      </c>
    </row>
    <row r="263" spans="1:8" ht="16.2" thickBot="1" x14ac:dyDescent="0.35">
      <c r="A263" s="775" t="s">
        <v>1</v>
      </c>
      <c r="B263" s="776"/>
      <c r="C263" s="116" t="s">
        <v>0</v>
      </c>
      <c r="D263" s="152">
        <f>D261/D262</f>
        <v>19.714285714285715</v>
      </c>
      <c r="E263" s="152">
        <f t="shared" ref="E263:H263" si="74">E261/E262</f>
        <v>33</v>
      </c>
      <c r="F263" s="152">
        <f t="shared" si="74"/>
        <v>1</v>
      </c>
      <c r="G263" s="687"/>
      <c r="H263" s="165">
        <f t="shared" si="74"/>
        <v>8.617647058823529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CD87-6B05-4A99-A02C-AEB645275E63}">
  <sheetPr codeName="Sheet14"/>
  <dimension ref="A1:K263"/>
  <sheetViews>
    <sheetView workbookViewId="0">
      <pane ySplit="5" topLeftCell="A6" activePane="bottomLeft" state="frozen"/>
      <selection pane="bottomLeft" activeCell="H1" sqref="H1:H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0.109375" bestFit="1" customWidth="1"/>
    <col min="11" max="11" width="11.109375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21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123"/>
    </row>
    <row r="3" spans="1:8" ht="18" thickBot="1" x14ac:dyDescent="0.35">
      <c r="A3" s="172" t="s">
        <v>217</v>
      </c>
      <c r="B3" s="173"/>
      <c r="C3" s="173"/>
      <c r="D3" s="173"/>
      <c r="E3" s="173"/>
      <c r="F3" s="173"/>
      <c r="G3" s="320"/>
      <c r="H3" s="174"/>
    </row>
    <row r="4" spans="1:8" ht="18" thickBot="1" x14ac:dyDescent="0.35">
      <c r="A4" s="94" t="s">
        <v>221</v>
      </c>
      <c r="B4" s="124"/>
      <c r="C4" s="124"/>
      <c r="D4" s="124"/>
      <c r="E4" s="124"/>
      <c r="F4" s="124"/>
      <c r="G4" s="124"/>
      <c r="H4" s="125"/>
    </row>
    <row r="5" spans="1:8" ht="14.4" customHeight="1" x14ac:dyDescent="0.3">
      <c r="A5" s="95" t="s">
        <v>221</v>
      </c>
      <c r="B5" s="96"/>
      <c r="C5" s="96"/>
      <c r="D5" s="195"/>
      <c r="E5" s="96"/>
      <c r="F5" s="96"/>
      <c r="G5" s="96"/>
      <c r="H5" s="126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99"/>
    </row>
    <row r="7" spans="1:8" ht="16.2" thickBot="1" x14ac:dyDescent="0.35">
      <c r="A7" s="693" t="s">
        <v>174</v>
      </c>
      <c r="B7" s="694"/>
      <c r="C7" s="61" t="s">
        <v>173</v>
      </c>
      <c r="D7" s="60" t="s">
        <v>218</v>
      </c>
      <c r="E7" s="60" t="s">
        <v>219</v>
      </c>
      <c r="F7" s="60" t="s">
        <v>220</v>
      </c>
      <c r="G7" s="60" t="s">
        <v>222</v>
      </c>
      <c r="H7" s="59" t="s">
        <v>160</v>
      </c>
    </row>
    <row r="8" spans="1:8" ht="15" thickBot="1" x14ac:dyDescent="0.35">
      <c r="A8" s="704" t="s">
        <v>159</v>
      </c>
      <c r="B8" s="705"/>
      <c r="C8" s="705"/>
      <c r="D8" s="705"/>
      <c r="E8" s="705"/>
      <c r="F8" s="705"/>
      <c r="G8" s="705"/>
      <c r="H8" s="706"/>
    </row>
    <row r="9" spans="1:8" ht="15.6" x14ac:dyDescent="0.3">
      <c r="A9" s="707" t="s">
        <v>176</v>
      </c>
      <c r="B9" s="708"/>
      <c r="C9" s="58" t="s">
        <v>152</v>
      </c>
      <c r="D9" s="57">
        <f>Mangochi!D9+Mangochi!E9+Mangochi!F9+Mangochi!G9+Mangochi!H9+Mangochi!I9</f>
        <v>765153</v>
      </c>
      <c r="E9" s="57">
        <f>'Monkey Bay'!D9+'Monkey Bay'!E9+'Monkey Bay'!F9+'Monkey Bay'!G9+'Monkey Bay'!H9+'Monkey Bay'!I9</f>
        <v>367807</v>
      </c>
      <c r="F9" s="57">
        <f>Namwera!D9+Namwera!E9+Namwera!F9+Namwera!G9+Namwera!H9+Namwera!I9</f>
        <v>32154</v>
      </c>
      <c r="G9" s="668"/>
      <c r="H9" s="153">
        <f>SUM(D9:F9)</f>
        <v>1165114</v>
      </c>
    </row>
    <row r="10" spans="1:8" x14ac:dyDescent="0.3">
      <c r="A10" s="699" t="s">
        <v>177</v>
      </c>
      <c r="B10" s="700"/>
      <c r="C10" s="700"/>
      <c r="D10" s="779"/>
      <c r="E10" s="779"/>
      <c r="F10" s="779"/>
      <c r="G10" s="779"/>
      <c r="H10" s="800"/>
    </row>
    <row r="11" spans="1:8" ht="15.6" x14ac:dyDescent="0.3">
      <c r="A11" s="702" t="s">
        <v>157</v>
      </c>
      <c r="B11" s="703"/>
      <c r="C11" s="11" t="s">
        <v>152</v>
      </c>
      <c r="D11" s="26">
        <f>Mangochi!D11+Mangochi!E11+Mangochi!F11+Mangochi!G11+Mangochi!H11+Mangochi!I11</f>
        <v>346297</v>
      </c>
      <c r="E11" s="26">
        <f>'Monkey Bay'!D11+'Monkey Bay'!E11+'Monkey Bay'!F11+'Monkey Bay'!G11+'Monkey Bay'!H11+'Monkey Bay'!I11</f>
        <v>112336</v>
      </c>
      <c r="F11" s="26">
        <f>Namwera!D11+Namwera!E11+Namwera!F11+Namwera!G11+Namwera!H11+Namwera!I11</f>
        <v>11682</v>
      </c>
      <c r="G11" s="128"/>
      <c r="H11" s="55">
        <f>SUM(D11:F11)</f>
        <v>470315</v>
      </c>
    </row>
    <row r="12" spans="1:8" ht="15.6" x14ac:dyDescent="0.3">
      <c r="A12" s="702" t="s">
        <v>156</v>
      </c>
      <c r="B12" s="703"/>
      <c r="C12" s="11" t="s">
        <v>152</v>
      </c>
      <c r="D12" s="26">
        <f>Mangochi!D12+Mangochi!E12+Mangochi!F12+Mangochi!G12+Mangochi!H12+Mangochi!I12</f>
        <v>0</v>
      </c>
      <c r="E12" s="26">
        <f>'Monkey Bay'!D12+'Monkey Bay'!E12+'Monkey Bay'!F12+'Monkey Bay'!G12+'Monkey Bay'!H12+'Monkey Bay'!I12</f>
        <v>0</v>
      </c>
      <c r="F12" s="26">
        <f>Namwera!D12+Namwera!E12+Namwera!F12+Namwera!G12+Namwera!H12+Namwera!I12</f>
        <v>0</v>
      </c>
      <c r="G12" s="128"/>
      <c r="H12" s="55">
        <f>SUM(D12:F12)</f>
        <v>0</v>
      </c>
    </row>
    <row r="13" spans="1:8" ht="15.6" x14ac:dyDescent="0.3">
      <c r="A13" s="702" t="s">
        <v>155</v>
      </c>
      <c r="B13" s="703"/>
      <c r="C13" s="11" t="s">
        <v>152</v>
      </c>
      <c r="D13" s="26">
        <f>Mangochi!D13+Mangochi!E13+Mangochi!F13+Mangochi!G13+Mangochi!H13+Mangochi!I13</f>
        <v>1767</v>
      </c>
      <c r="E13" s="26">
        <f>'Monkey Bay'!D13+'Monkey Bay'!E13+'Monkey Bay'!F13+'Monkey Bay'!G13+'Monkey Bay'!H13+'Monkey Bay'!I13</f>
        <v>130055</v>
      </c>
      <c r="F13" s="26">
        <f>Namwera!D13+Namwera!E13+Namwera!F13+Namwera!G13+Namwera!H13+Namwera!I13</f>
        <v>83</v>
      </c>
      <c r="G13" s="128"/>
      <c r="H13" s="55">
        <f>SUM(D13:F13)</f>
        <v>131905</v>
      </c>
    </row>
    <row r="14" spans="1:8" ht="15.6" x14ac:dyDescent="0.3">
      <c r="A14" s="695" t="s">
        <v>154</v>
      </c>
      <c r="B14" s="696"/>
      <c r="C14" s="11" t="s">
        <v>152</v>
      </c>
      <c r="D14" s="26">
        <f>Mangochi!D14+Mangochi!E14+Mangochi!F14+Mangochi!G14+Mangochi!H14+Mangochi!I14</f>
        <v>681</v>
      </c>
      <c r="E14" s="26">
        <f>'Monkey Bay'!D14+'Monkey Bay'!E14+'Monkey Bay'!F14+'Monkey Bay'!G14+'Monkey Bay'!H14+'Monkey Bay'!I14</f>
        <v>10673</v>
      </c>
      <c r="F14" s="26">
        <f>Namwera!D14+Namwera!E14+Namwera!F14+Namwera!G14+Namwera!H14+Namwera!I14</f>
        <v>0</v>
      </c>
      <c r="G14" s="128"/>
      <c r="H14" s="55">
        <f>SUM(D14:F14)</f>
        <v>11354</v>
      </c>
    </row>
    <row r="15" spans="1:8" s="63" customFormat="1" ht="15.6" x14ac:dyDescent="0.3">
      <c r="A15" s="697" t="s">
        <v>158</v>
      </c>
      <c r="B15" s="698"/>
      <c r="C15" s="62" t="s">
        <v>152</v>
      </c>
      <c r="D15" s="34">
        <f t="shared" ref="D15:H15" si="0">SUM(D11:D14)</f>
        <v>348745</v>
      </c>
      <c r="E15" s="34">
        <f t="shared" si="0"/>
        <v>253064</v>
      </c>
      <c r="F15" s="34">
        <f t="shared" si="0"/>
        <v>11765</v>
      </c>
      <c r="G15" s="33"/>
      <c r="H15" s="55">
        <f t="shared" si="0"/>
        <v>613574</v>
      </c>
    </row>
    <row r="16" spans="1:8" s="2" customFormat="1" x14ac:dyDescent="0.3">
      <c r="A16" s="699" t="s">
        <v>178</v>
      </c>
      <c r="B16" s="700"/>
      <c r="C16" s="700"/>
      <c r="D16" s="700"/>
      <c r="E16" s="700"/>
      <c r="F16" s="700"/>
      <c r="G16" s="700"/>
      <c r="H16" s="701"/>
    </row>
    <row r="17" spans="1:11" s="2" customFormat="1" ht="15.6" x14ac:dyDescent="0.3">
      <c r="A17" s="702" t="s">
        <v>180</v>
      </c>
      <c r="B17" s="703"/>
      <c r="C17" s="11" t="s">
        <v>152</v>
      </c>
      <c r="D17" s="26">
        <f>Mangochi!D17+Mangochi!E17+Mangochi!F17+Mangochi!G17+Mangochi!H17+Mangochi!I17</f>
        <v>91025.499999999665</v>
      </c>
      <c r="E17" s="26">
        <f>'Monkey Bay'!D17+'Monkey Bay'!E17+'Monkey Bay'!F17+'Monkey Bay'!G17+'Monkey Bay'!H17+'Monkey Bay'!I17</f>
        <v>17151</v>
      </c>
      <c r="F17" s="26">
        <f>Namwera!D17+Namwera!E17+Namwera!F17+Namwera!G17+Namwera!H17+Namwera!I17</f>
        <v>7489</v>
      </c>
      <c r="G17" s="128"/>
      <c r="H17" s="55">
        <f>SUM(D17:F17)</f>
        <v>115665.49999999967</v>
      </c>
    </row>
    <row r="18" spans="1:11" s="2" customFormat="1" ht="15.6" x14ac:dyDescent="0.3">
      <c r="A18" s="702" t="s">
        <v>181</v>
      </c>
      <c r="B18" s="703"/>
      <c r="C18" s="11" t="s">
        <v>152</v>
      </c>
      <c r="D18" s="26">
        <f>Mangochi!D18+Mangochi!E18+Mangochi!F18+Mangochi!G18+Mangochi!H18+Mangochi!I18</f>
        <v>0</v>
      </c>
      <c r="E18" s="26">
        <f>'Monkey Bay'!D18+'Monkey Bay'!E18+'Monkey Bay'!F18+'Monkey Bay'!G18+'Monkey Bay'!H18+'Monkey Bay'!I18</f>
        <v>7309</v>
      </c>
      <c r="F18" s="26">
        <f>Namwera!D18+Namwera!E18+Namwera!F18+Namwera!G18+Namwera!H18+Namwera!I18</f>
        <v>7</v>
      </c>
      <c r="G18" s="128"/>
      <c r="H18" s="55">
        <f>SUM(D18:F18)</f>
        <v>7316</v>
      </c>
    </row>
    <row r="19" spans="1:11" s="2" customFormat="1" ht="15.6" x14ac:dyDescent="0.3">
      <c r="A19" s="702" t="s">
        <v>182</v>
      </c>
      <c r="B19" s="703"/>
      <c r="C19" s="11" t="s">
        <v>152</v>
      </c>
      <c r="D19" s="26">
        <f>Mangochi!D19+Mangochi!E19+Mangochi!F19+Mangochi!G19+Mangochi!H19+Mangochi!I19</f>
        <v>0</v>
      </c>
      <c r="E19" s="26">
        <f>'Monkey Bay'!D19+'Monkey Bay'!E19+'Monkey Bay'!F19+'Monkey Bay'!G19+'Monkey Bay'!H19+'Monkey Bay'!I19</f>
        <v>18110</v>
      </c>
      <c r="F19" s="26">
        <f>Namwera!D19+Namwera!E19+Namwera!F19+Namwera!G19+Namwera!H19+Namwera!I19</f>
        <v>2786</v>
      </c>
      <c r="G19" s="128"/>
      <c r="H19" s="55">
        <f>SUM(D19:F19)</f>
        <v>20896</v>
      </c>
    </row>
    <row r="20" spans="1:11" s="2" customFormat="1" ht="15.6" x14ac:dyDescent="0.3">
      <c r="A20" s="695" t="s">
        <v>183</v>
      </c>
      <c r="B20" s="696"/>
      <c r="C20" s="11" t="s">
        <v>152</v>
      </c>
      <c r="D20" s="26">
        <f>Mangochi!D20+Mangochi!E20+Mangochi!F20+Mangochi!G20+Mangochi!H20+Mangochi!I20</f>
        <v>0</v>
      </c>
      <c r="E20" s="26">
        <f>'Monkey Bay'!D20+'Monkey Bay'!E20+'Monkey Bay'!F20+'Monkey Bay'!G20+'Monkey Bay'!H20+'Monkey Bay'!I20</f>
        <v>2669</v>
      </c>
      <c r="F20" s="26">
        <f>Namwera!D20+Namwera!E20+Namwera!F20+Namwera!G20+Namwera!H20+Namwera!I20</f>
        <v>224</v>
      </c>
      <c r="G20" s="128"/>
      <c r="H20" s="55">
        <f>SUM(D20:F20)</f>
        <v>2893</v>
      </c>
    </row>
    <row r="21" spans="1:11" s="73" customFormat="1" ht="15.6" x14ac:dyDescent="0.3">
      <c r="A21" s="697" t="s">
        <v>184</v>
      </c>
      <c r="B21" s="698"/>
      <c r="C21" s="62" t="s">
        <v>152</v>
      </c>
      <c r="D21" s="34">
        <f>SUM(D17:D20)</f>
        <v>91025.499999999665</v>
      </c>
      <c r="E21" s="34">
        <f t="shared" ref="E21:H21" si="1">SUM(E17:E20)</f>
        <v>45239</v>
      </c>
      <c r="F21" s="34">
        <f t="shared" si="1"/>
        <v>10506</v>
      </c>
      <c r="G21" s="33"/>
      <c r="H21" s="55">
        <f t="shared" si="1"/>
        <v>146770.49999999965</v>
      </c>
    </row>
    <row r="22" spans="1:11" s="2" customFormat="1" ht="15.6" x14ac:dyDescent="0.3">
      <c r="A22" s="183" t="s">
        <v>185</v>
      </c>
      <c r="B22" s="176"/>
      <c r="C22" s="11" t="s">
        <v>152</v>
      </c>
      <c r="D22" s="34">
        <f>D21+D15</f>
        <v>439770.49999999965</v>
      </c>
      <c r="E22" s="34">
        <f t="shared" ref="E22:H22" si="2">E21+E15</f>
        <v>298303</v>
      </c>
      <c r="F22" s="34">
        <f t="shared" si="2"/>
        <v>22271</v>
      </c>
      <c r="G22" s="33"/>
      <c r="H22" s="55">
        <f t="shared" si="2"/>
        <v>760344.49999999965</v>
      </c>
      <c r="K22" s="171"/>
    </row>
    <row r="23" spans="1:11" x14ac:dyDescent="0.3">
      <c r="A23" s="699" t="s">
        <v>215</v>
      </c>
      <c r="B23" s="700"/>
      <c r="C23" s="700"/>
      <c r="D23" s="700"/>
      <c r="E23" s="700"/>
      <c r="F23" s="700"/>
      <c r="G23" s="700"/>
      <c r="H23" s="701"/>
    </row>
    <row r="24" spans="1:11" ht="15.6" x14ac:dyDescent="0.3">
      <c r="A24" s="716" t="s">
        <v>179</v>
      </c>
      <c r="B24" s="37" t="s">
        <v>153</v>
      </c>
      <c r="C24" s="5" t="s">
        <v>152</v>
      </c>
      <c r="D24" s="131">
        <f>D9-D22</f>
        <v>325382.50000000035</v>
      </c>
      <c r="E24" s="131">
        <f t="shared" ref="E24:F24" si="3">E9-E22</f>
        <v>69504</v>
      </c>
      <c r="F24" s="131">
        <f t="shared" si="3"/>
        <v>9883</v>
      </c>
      <c r="G24" s="688"/>
      <c r="H24" s="55">
        <f>SUM(D24:F24)</f>
        <v>404769.50000000035</v>
      </c>
    </row>
    <row r="25" spans="1:11" ht="15.6" x14ac:dyDescent="0.3">
      <c r="A25" s="717"/>
      <c r="B25" s="53" t="s">
        <v>151</v>
      </c>
      <c r="C25" s="52" t="s">
        <v>6</v>
      </c>
      <c r="D25" s="51">
        <f t="shared" ref="D25:H25" si="4">D24/D9</f>
        <v>0.42525155099699058</v>
      </c>
      <c r="E25" s="51">
        <f t="shared" si="4"/>
        <v>0.18896867106933798</v>
      </c>
      <c r="F25" s="51">
        <f t="shared" si="4"/>
        <v>0.30736455806431551</v>
      </c>
      <c r="G25" s="670"/>
      <c r="H25" s="154">
        <f t="shared" si="4"/>
        <v>0.34740763564767085</v>
      </c>
    </row>
    <row r="26" spans="1:11" x14ac:dyDescent="0.3">
      <c r="A26" s="699" t="s">
        <v>150</v>
      </c>
      <c r="B26" s="700"/>
      <c r="C26" s="700"/>
      <c r="D26" s="700"/>
      <c r="E26" s="700"/>
      <c r="F26" s="700"/>
      <c r="G26" s="700"/>
      <c r="H26" s="701"/>
    </row>
    <row r="27" spans="1:11" x14ac:dyDescent="0.3">
      <c r="A27" s="782" t="s">
        <v>149</v>
      </c>
      <c r="B27" s="783"/>
      <c r="C27" s="783"/>
      <c r="D27" s="783"/>
      <c r="E27" s="783"/>
      <c r="F27" s="783"/>
      <c r="G27" s="783"/>
      <c r="H27" s="784"/>
    </row>
    <row r="28" spans="1:11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8"/>
      <c r="H28" s="46"/>
    </row>
    <row r="29" spans="1:11" ht="15.6" x14ac:dyDescent="0.3">
      <c r="A29" s="709" t="s">
        <v>146</v>
      </c>
      <c r="B29" s="780">
        <v>7400</v>
      </c>
      <c r="C29" s="5" t="s">
        <v>140</v>
      </c>
      <c r="D29" s="26">
        <f>Mangochi!D29+Mangochi!E29+Mangochi!F29+Mangochi!G29+Mangochi!H29+Mangochi!I29</f>
        <v>3185</v>
      </c>
      <c r="E29" s="26">
        <f>'Monkey Bay'!D29+'Monkey Bay'!E29+'Monkey Bay'!F29+'Monkey Bay'!G29+'Monkey Bay'!H29+'Monkey Bay'!I29</f>
        <v>915</v>
      </c>
      <c r="F29" s="26">
        <f>Namwera!D29+Namwera!E29+Namwera!F29+Namwera!G29+Namwera!H29+Namwera!I29</f>
        <v>76.5</v>
      </c>
      <c r="G29" s="128"/>
      <c r="H29" s="45">
        <f>SUM(D29:F29)</f>
        <v>4176.5</v>
      </c>
    </row>
    <row r="30" spans="1:11" ht="15.6" x14ac:dyDescent="0.3">
      <c r="A30" s="710"/>
      <c r="B30" s="781"/>
      <c r="C30" s="42" t="s">
        <v>139</v>
      </c>
      <c r="D30" s="15">
        <f t="shared" ref="D30:H30" si="5">D29/(D9/1000)</f>
        <v>4.1625661795745428</v>
      </c>
      <c r="E30" s="15">
        <f t="shared" si="5"/>
        <v>2.4877177432729662</v>
      </c>
      <c r="F30" s="15">
        <f t="shared" si="5"/>
        <v>2.3791752192573239</v>
      </c>
      <c r="G30" s="22"/>
      <c r="H30" s="103">
        <f t="shared" si="5"/>
        <v>3.5846277703297704</v>
      </c>
    </row>
    <row r="31" spans="1:11" ht="15.6" x14ac:dyDescent="0.3">
      <c r="A31" s="711" t="s">
        <v>145</v>
      </c>
      <c r="B31" s="780">
        <v>1900</v>
      </c>
      <c r="C31" s="5" t="s">
        <v>140</v>
      </c>
      <c r="D31" s="26">
        <f>Mangochi!D31+Mangochi!E31+Mangochi!F31+Mangochi!G31+Mangochi!H31+Mangochi!I31</f>
        <v>800</v>
      </c>
      <c r="E31" s="26">
        <f>'Monkey Bay'!D31+'Monkey Bay'!E31+'Monkey Bay'!F31+'Monkey Bay'!G31+'Monkey Bay'!H31+'Monkey Bay'!I31</f>
        <v>0</v>
      </c>
      <c r="F31" s="26">
        <f>Namwera!D31+Namwera!E31+Namwera!F31+Namwera!G31+Namwera!H31+Namwera!I31</f>
        <v>0</v>
      </c>
      <c r="G31" s="128"/>
      <c r="H31" s="45">
        <f>SUM(D31:F31)</f>
        <v>800</v>
      </c>
    </row>
    <row r="32" spans="1:11" ht="15.6" x14ac:dyDescent="0.3">
      <c r="A32" s="712"/>
      <c r="B32" s="781"/>
      <c r="C32" s="42" t="s">
        <v>139</v>
      </c>
      <c r="D32" s="15">
        <f t="shared" ref="D32:F32" si="6">D31/(D9/1000)</f>
        <v>1.0455425254818318</v>
      </c>
      <c r="E32" s="15">
        <f t="shared" si="6"/>
        <v>0</v>
      </c>
      <c r="F32" s="15">
        <f t="shared" si="6"/>
        <v>0</v>
      </c>
      <c r="G32" s="22"/>
      <c r="H32" s="103">
        <f>H31/(H9/1000)</f>
        <v>0.68662808961183197</v>
      </c>
    </row>
    <row r="33" spans="1:8" ht="15.6" x14ac:dyDescent="0.3">
      <c r="A33" s="711" t="s">
        <v>144</v>
      </c>
      <c r="B33" s="780">
        <v>1900</v>
      </c>
      <c r="C33" s="5" t="s">
        <v>140</v>
      </c>
      <c r="D33" s="26">
        <f>Mangochi!D33+Mangochi!E33+Mangochi!F33+Mangochi!G33+Mangochi!H33+Mangochi!I33</f>
        <v>0</v>
      </c>
      <c r="E33" s="26">
        <f>'Monkey Bay'!D33+'Monkey Bay'!E33+'Monkey Bay'!F33+'Monkey Bay'!G33+'Monkey Bay'!H33+'Monkey Bay'!I33</f>
        <v>0</v>
      </c>
      <c r="F33" s="26">
        <f>Namwera!D33+Namwera!E33+Namwera!F33+Namwera!G33+Namwera!H33+Namwera!I33</f>
        <v>0</v>
      </c>
      <c r="G33" s="128"/>
      <c r="H33" s="45">
        <f>SUM(D33:F33)</f>
        <v>0</v>
      </c>
    </row>
    <row r="34" spans="1:8" ht="15.6" x14ac:dyDescent="0.3">
      <c r="A34" s="712"/>
      <c r="B34" s="781"/>
      <c r="C34" s="42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22"/>
      <c r="H34" s="103">
        <f t="shared" si="7"/>
        <v>0</v>
      </c>
    </row>
    <row r="35" spans="1:8" ht="15.6" x14ac:dyDescent="0.3">
      <c r="A35" s="711" t="s">
        <v>143</v>
      </c>
      <c r="B35" s="780">
        <f>745345.16/200</f>
        <v>3726.7258000000002</v>
      </c>
      <c r="C35" s="5" t="s">
        <v>126</v>
      </c>
      <c r="D35" s="26">
        <f>Mangochi!D35+Mangochi!E35+Mangochi!F35+Mangochi!G35+Mangochi!H35+Mangochi!I35</f>
        <v>0</v>
      </c>
      <c r="E35" s="26">
        <f>'Monkey Bay'!D35+'Monkey Bay'!E35+'Monkey Bay'!F35+'Monkey Bay'!G35+'Monkey Bay'!H35+'Monkey Bay'!I35</f>
        <v>0</v>
      </c>
      <c r="F35" s="26">
        <f>Namwera!D35+Namwera!E35+Namwera!F35+Namwera!G35+Namwera!H35+Namwera!I35</f>
        <v>0</v>
      </c>
      <c r="G35" s="128"/>
      <c r="H35" s="45">
        <f>SUM(D35:F35)</f>
        <v>0</v>
      </c>
    </row>
    <row r="36" spans="1:8" ht="15.6" x14ac:dyDescent="0.3">
      <c r="A36" s="712"/>
      <c r="B36" s="781"/>
      <c r="C36" s="5" t="s">
        <v>142</v>
      </c>
      <c r="D36" s="13"/>
      <c r="E36" s="13"/>
      <c r="F36" s="13"/>
      <c r="G36" s="672"/>
      <c r="H36" s="45">
        <f>SUM(D36:F36)</f>
        <v>0</v>
      </c>
    </row>
    <row r="37" spans="1:8" ht="15.6" x14ac:dyDescent="0.3">
      <c r="A37" s="711" t="s">
        <v>186</v>
      </c>
      <c r="B37" s="780">
        <f>790318.72/200</f>
        <v>3951.5935999999997</v>
      </c>
      <c r="C37" s="5" t="s">
        <v>126</v>
      </c>
      <c r="D37" s="26">
        <f>Mangochi!D37+Mangochi!E37+Mangochi!F37+Mangochi!G37+Mangochi!H37+Mangochi!I37</f>
        <v>0</v>
      </c>
      <c r="E37" s="26">
        <f>'Monkey Bay'!D37+'Monkey Bay'!E37+'Monkey Bay'!F37+'Monkey Bay'!G37+'Monkey Bay'!H37+'Monkey Bay'!I37</f>
        <v>0</v>
      </c>
      <c r="F37" s="26">
        <f>Namwera!D37+Namwera!E37+Namwera!F37+Namwera!G37+Namwera!H37+Namwera!I37</f>
        <v>0</v>
      </c>
      <c r="G37" s="128"/>
      <c r="H37" s="45">
        <f>SUM(D37:F37)</f>
        <v>0</v>
      </c>
    </row>
    <row r="38" spans="1:8" ht="15.6" x14ac:dyDescent="0.3">
      <c r="A38" s="712"/>
      <c r="B38" s="781"/>
      <c r="C38" s="5" t="s">
        <v>142</v>
      </c>
      <c r="D38" s="15">
        <f t="shared" ref="D38:H38" si="8">D37/(D9/1000)</f>
        <v>0</v>
      </c>
      <c r="E38" s="15">
        <f t="shared" si="8"/>
        <v>0</v>
      </c>
      <c r="F38" s="15">
        <f t="shared" si="8"/>
        <v>0</v>
      </c>
      <c r="G38" s="22"/>
      <c r="H38" s="103">
        <f t="shared" si="8"/>
        <v>0</v>
      </c>
    </row>
    <row r="39" spans="1:8" ht="15.6" x14ac:dyDescent="0.3">
      <c r="A39" s="711" t="s">
        <v>141</v>
      </c>
      <c r="B39" s="780">
        <v>1950</v>
      </c>
      <c r="C39" s="5" t="s">
        <v>140</v>
      </c>
      <c r="D39" s="26">
        <f>Mangochi!D39+Mangochi!E39+Mangochi!F39+Mangochi!G39+Mangochi!H39+Mangochi!I39</f>
        <v>0</v>
      </c>
      <c r="E39" s="26">
        <f>'Monkey Bay'!D39+'Monkey Bay'!E39+'Monkey Bay'!F39+'Monkey Bay'!G39+'Monkey Bay'!H39+'Monkey Bay'!I39</f>
        <v>0</v>
      </c>
      <c r="F39" s="26">
        <f>Namwera!D39+Namwera!E39+Namwera!F39+Namwera!G39+Namwera!H39+Namwera!I39</f>
        <v>0</v>
      </c>
      <c r="G39" s="128"/>
      <c r="H39" s="45">
        <f>SUM(D39:F39)</f>
        <v>0</v>
      </c>
    </row>
    <row r="40" spans="1:8" ht="15.6" x14ac:dyDescent="0.3">
      <c r="A40" s="712"/>
      <c r="B40" s="781"/>
      <c r="C40" s="42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22"/>
      <c r="H40" s="103">
        <f t="shared" si="9"/>
        <v>0</v>
      </c>
    </row>
    <row r="41" spans="1:8" ht="15.6" x14ac:dyDescent="0.3">
      <c r="A41" s="695" t="s">
        <v>138</v>
      </c>
      <c r="B41" s="696"/>
      <c r="C41" s="11" t="s">
        <v>31</v>
      </c>
      <c r="D41" s="41">
        <f>(D29*$B29)+(D31*$B31)+(D33*$B33)+(D35*$B35)+(D37*$B37)+(D39*$B39)</f>
        <v>25089000</v>
      </c>
      <c r="E41" s="41">
        <f t="shared" ref="E41:F41" si="10">(E29*$B29)+(E31*$B31)+(E33*$B33)+(E35*$B35)+(E37*$B37)+(E39*$B39)</f>
        <v>6771000</v>
      </c>
      <c r="F41" s="41">
        <f t="shared" si="10"/>
        <v>566100</v>
      </c>
      <c r="G41" s="671"/>
      <c r="H41" s="39">
        <f>SUM(D41:F41)</f>
        <v>32426100</v>
      </c>
    </row>
    <row r="42" spans="1:8" ht="15.6" x14ac:dyDescent="0.3">
      <c r="A42" s="721" t="s">
        <v>137</v>
      </c>
      <c r="B42" s="722"/>
      <c r="C42" s="42" t="s">
        <v>115</v>
      </c>
      <c r="D42" s="15">
        <f t="shared" ref="D42:H42" si="11">D41/D9</f>
        <v>32.789520527267094</v>
      </c>
      <c r="E42" s="15">
        <f t="shared" si="11"/>
        <v>18.409111300219951</v>
      </c>
      <c r="F42" s="15">
        <f t="shared" si="11"/>
        <v>17.605896622504197</v>
      </c>
      <c r="G42" s="22"/>
      <c r="H42" s="44">
        <f t="shared" si="11"/>
        <v>27.830838870702781</v>
      </c>
    </row>
    <row r="43" spans="1:8" x14ac:dyDescent="0.3">
      <c r="A43" s="723" t="s">
        <v>136</v>
      </c>
      <c r="B43" s="724"/>
      <c r="C43" s="724"/>
      <c r="D43" s="724"/>
      <c r="E43" s="724"/>
      <c r="F43" s="724"/>
      <c r="G43" s="724"/>
      <c r="H43" s="725"/>
    </row>
    <row r="44" spans="1:8" ht="15.6" x14ac:dyDescent="0.3">
      <c r="A44" s="695" t="s">
        <v>135</v>
      </c>
      <c r="B44" s="696"/>
      <c r="C44" s="11" t="s">
        <v>134</v>
      </c>
      <c r="D44" s="26">
        <f>Mangochi!D44+Mangochi!E44+Mangochi!F44+Mangochi!G44+Mangochi!H44+Mangochi!I44</f>
        <v>305296.14</v>
      </c>
      <c r="E44" s="26">
        <f>'Monkey Bay'!D44+'Monkey Bay'!E44+'Monkey Bay'!F44+'Monkey Bay'!G44+'Monkey Bay'!H44+'Monkey Bay'!I44</f>
        <v>166018</v>
      </c>
      <c r="F44" s="26">
        <f>Namwera!D44+Namwera!E44+Namwera!F44+Namwera!G44+Namwera!H44+Namwera!I44</f>
        <v>23576</v>
      </c>
      <c r="G44" s="128"/>
      <c r="H44" s="39">
        <f>SUM(D44:F44)</f>
        <v>494890.14</v>
      </c>
    </row>
    <row r="45" spans="1:8" ht="15.6" x14ac:dyDescent="0.3">
      <c r="A45" s="721" t="s">
        <v>133</v>
      </c>
      <c r="B45" s="722"/>
      <c r="C45" s="42" t="s">
        <v>132</v>
      </c>
      <c r="D45" s="15">
        <f t="shared" ref="D45:H45" si="12">D44/D9</f>
        <v>0.39900012154431863</v>
      </c>
      <c r="E45" s="15">
        <f t="shared" si="12"/>
        <v>0.45137259486632936</v>
      </c>
      <c r="F45" s="15">
        <f t="shared" si="12"/>
        <v>0.7332213721465447</v>
      </c>
      <c r="G45" s="22"/>
      <c r="H45" s="103">
        <f t="shared" si="12"/>
        <v>0.42475683924491509</v>
      </c>
    </row>
    <row r="46" spans="1:8" ht="15.6" x14ac:dyDescent="0.3">
      <c r="A46" s="726" t="s">
        <v>131</v>
      </c>
      <c r="B46" s="727"/>
      <c r="C46" s="5" t="s">
        <v>31</v>
      </c>
      <c r="D46" s="26">
        <f>Mangochi!D46+Mangochi!E46+Mangochi!F46+Mangochi!G46+Mangochi!H46+Mangochi!I46</f>
        <v>45305964.392630003</v>
      </c>
      <c r="E46" s="26">
        <f>'Monkey Bay'!D46+'Monkey Bay'!E46+'Monkey Bay'!F46+'Monkey Bay'!G46+'Monkey Bay'!H46+'Monkey Bay'!I46</f>
        <v>24764602.816999998</v>
      </c>
      <c r="F46" s="26">
        <f>Namwera!D46+Namwera!E46+Namwera!F46+Namwera!G46+Namwera!H46+Namwera!I46</f>
        <v>3610416.55</v>
      </c>
      <c r="G46" s="128"/>
      <c r="H46" s="39">
        <f>SUM(D46:F46)</f>
        <v>73680983.759629995</v>
      </c>
    </row>
    <row r="47" spans="1:8" s="2" customFormat="1" ht="15.6" x14ac:dyDescent="0.3">
      <c r="A47" s="695" t="s">
        <v>130</v>
      </c>
      <c r="B47" s="696"/>
      <c r="C47" s="11" t="s">
        <v>115</v>
      </c>
      <c r="D47" s="15">
        <f t="shared" ref="D47:H47" si="13">D46/D9</f>
        <v>59.211640538075393</v>
      </c>
      <c r="E47" s="15">
        <f t="shared" si="13"/>
        <v>67.330428232741625</v>
      </c>
      <c r="F47" s="15">
        <f t="shared" si="13"/>
        <v>112.28514492753622</v>
      </c>
      <c r="G47" s="22"/>
      <c r="H47" s="103">
        <f t="shared" si="13"/>
        <v>63.239291399493951</v>
      </c>
    </row>
    <row r="48" spans="1:8" x14ac:dyDescent="0.3">
      <c r="A48" s="723" t="s">
        <v>129</v>
      </c>
      <c r="B48" s="724"/>
      <c r="C48" s="724"/>
      <c r="D48" s="724"/>
      <c r="E48" s="724"/>
      <c r="F48" s="724"/>
      <c r="G48" s="724"/>
      <c r="H48" s="725"/>
    </row>
    <row r="49" spans="1:8" ht="15.6" x14ac:dyDescent="0.3">
      <c r="A49" s="695" t="s">
        <v>128</v>
      </c>
      <c r="B49" s="696"/>
      <c r="C49" s="5" t="s">
        <v>127</v>
      </c>
      <c r="D49" s="26">
        <f>Mangochi!D49+Mangochi!E49+Mangochi!F49+Mangochi!G49+Mangochi!H49+Mangochi!I49</f>
        <v>31680</v>
      </c>
      <c r="E49" s="26">
        <f>'Monkey Bay'!D49+'Monkey Bay'!E49+'Monkey Bay'!F49+'Monkey Bay'!G49+'Monkey Bay'!H49+'Monkey Bay'!I49</f>
        <v>14902</v>
      </c>
      <c r="F49" s="26">
        <f>Namwera!D49+Namwera!E49+Namwera!F49+Namwera!G49+Namwera!H49+Namwera!I49</f>
        <v>690</v>
      </c>
      <c r="G49" s="128"/>
      <c r="H49" s="39">
        <f>SUM(D49:F49)</f>
        <v>47272</v>
      </c>
    </row>
    <row r="50" spans="1:8" ht="15.6" x14ac:dyDescent="0.3">
      <c r="A50" s="695" t="s">
        <v>187</v>
      </c>
      <c r="B50" s="696"/>
      <c r="C50" s="5" t="s">
        <v>126</v>
      </c>
      <c r="D50" s="26">
        <f>Mangochi!D50+Mangochi!E50+Mangochi!F50+Mangochi!G50+Mangochi!H50+Mangochi!I50</f>
        <v>5447.4000000000005</v>
      </c>
      <c r="E50" s="26">
        <f>'Monkey Bay'!D50+'Monkey Bay'!E50+'Monkey Bay'!F50+'Monkey Bay'!G50+'Monkey Bay'!H50+'Monkey Bay'!I50</f>
        <v>1138.6999999999998</v>
      </c>
      <c r="F50" s="26">
        <f>Namwera!D50+Namwera!E50+Namwera!F50+Namwera!G50+Namwera!H50+Namwera!I50</f>
        <v>715</v>
      </c>
      <c r="G50" s="128"/>
      <c r="H50" s="39">
        <f>SUM(D50:F50)</f>
        <v>7301.1</v>
      </c>
    </row>
    <row r="51" spans="1:8" ht="15.6" x14ac:dyDescent="0.3">
      <c r="A51" s="726" t="s">
        <v>125</v>
      </c>
      <c r="B51" s="727"/>
      <c r="C51" s="5" t="s">
        <v>31</v>
      </c>
      <c r="D51" s="26">
        <f>Mangochi!D51+Mangochi!E51+Mangochi!F51+Mangochi!G51+Mangochi!H51+Mangochi!I51</f>
        <v>10460160</v>
      </c>
      <c r="E51" s="26">
        <f>'Monkey Bay'!D51+'Monkey Bay'!E51+'Monkey Bay'!F51+'Monkey Bay'!G51+'Monkey Bay'!H51+'Monkey Bay'!I51</f>
        <v>2186692</v>
      </c>
      <c r="F51" s="26">
        <f>Namwera!D51+Namwera!E51+Namwera!F51+Namwera!G51+Namwera!H51+Namwera!I51</f>
        <v>1366640</v>
      </c>
      <c r="G51" s="128"/>
      <c r="H51" s="40">
        <f>SUM(D51:F51)</f>
        <v>14013492</v>
      </c>
    </row>
    <row r="52" spans="1:8" ht="15.6" x14ac:dyDescent="0.3">
      <c r="A52" s="695" t="s">
        <v>124</v>
      </c>
      <c r="B52" s="696"/>
      <c r="C52" s="5" t="s">
        <v>31</v>
      </c>
      <c r="D52" s="13">
        <f>Mangochi!D52+Mangochi!E52+Mangochi!F52+Mangochi!G52+Mangochi!H52+Mangochi!I52</f>
        <v>0</v>
      </c>
      <c r="E52" s="13">
        <f>Mangochi!E52+Mangochi!F52+Mangochi!G52+Mangochi!H52+Mangochi!I52+Mangochi!J52</f>
        <v>0</v>
      </c>
      <c r="F52" s="13">
        <f>Mangochi!F52+Mangochi!G52+Mangochi!H52+Mangochi!I52+Mangochi!J52+Mangochi!K52</f>
        <v>0</v>
      </c>
      <c r="G52" s="672"/>
      <c r="H52" s="40">
        <f>SUM(D52:F52)</f>
        <v>0</v>
      </c>
    </row>
    <row r="53" spans="1:8" x14ac:dyDescent="0.3">
      <c r="A53" s="723" t="s">
        <v>123</v>
      </c>
      <c r="B53" s="724"/>
      <c r="C53" s="724"/>
      <c r="D53" s="724"/>
      <c r="E53" s="724"/>
      <c r="F53" s="724"/>
      <c r="G53" s="724"/>
      <c r="H53" s="725"/>
    </row>
    <row r="54" spans="1:8" ht="15.6" x14ac:dyDescent="0.3">
      <c r="A54" s="695" t="s">
        <v>122</v>
      </c>
      <c r="B54" s="696"/>
      <c r="C54" s="11" t="s">
        <v>18</v>
      </c>
      <c r="D54" s="26">
        <f>Mangochi!D54+Mangochi!E54+Mangochi!F54+Mangochi!G54+Mangochi!H54+Mangochi!I54</f>
        <v>80480295.25</v>
      </c>
      <c r="E54" s="26">
        <f>'Monkey Bay'!D54+'Monkey Bay'!E54+'Monkey Bay'!F54+'Monkey Bay'!G54+'Monkey Bay'!H54+'Monkey Bay'!I54</f>
        <v>21465982.569999997</v>
      </c>
      <c r="F54" s="26">
        <f>Namwera!D54+Namwera!E54+Namwera!F54+Namwera!G54+Namwera!H54+Namwera!I54</f>
        <v>11424666.75</v>
      </c>
      <c r="G54" s="128"/>
      <c r="H54" s="39">
        <f>SUM(D54:F54)</f>
        <v>113370944.56999999</v>
      </c>
    </row>
    <row r="55" spans="1:8" ht="15.6" x14ac:dyDescent="0.3">
      <c r="A55" s="175" t="s">
        <v>121</v>
      </c>
      <c r="B55" s="176"/>
      <c r="C55" s="11" t="s">
        <v>18</v>
      </c>
      <c r="D55" s="26">
        <f>Mangochi!D55+Mangochi!E55+Mangochi!F55+Mangochi!G55+Mangochi!H55+Mangochi!I55</f>
        <v>13259816.889999999</v>
      </c>
      <c r="E55" s="26">
        <f>'Monkey Bay'!D55+'Monkey Bay'!E55+'Monkey Bay'!F55+'Monkey Bay'!G55+'Monkey Bay'!H55+'Monkey Bay'!I55</f>
        <v>3951208.25</v>
      </c>
      <c r="F55" s="26">
        <f>Namwera!D55+Namwera!E55+Namwera!F55+Namwera!G55+Namwera!H55+Namwera!I55</f>
        <v>2350724.8499999996</v>
      </c>
      <c r="G55" s="128"/>
      <c r="H55" s="39">
        <f>SUM(D55:F55)</f>
        <v>19561749.990000002</v>
      </c>
    </row>
    <row r="56" spans="1:8" ht="15.6" x14ac:dyDescent="0.3">
      <c r="A56" s="695" t="s">
        <v>120</v>
      </c>
      <c r="B56" s="696"/>
      <c r="C56" s="5" t="s">
        <v>18</v>
      </c>
      <c r="D56" s="26">
        <f>Mangochi!D56+Mangochi!E56+Mangochi!F56+Mangochi!G56+Mangochi!H56+Mangochi!I56</f>
        <v>9186650</v>
      </c>
      <c r="E56" s="26">
        <f>'Monkey Bay'!D56+'Monkey Bay'!E56+'Monkey Bay'!F56+'Monkey Bay'!G56+'Monkey Bay'!H56+'Monkey Bay'!I56</f>
        <v>2577600</v>
      </c>
      <c r="F56" s="26">
        <f>Namwera!D56+Namwera!E56+Namwera!F56+Namwera!G56+Namwera!H56+Namwera!I56</f>
        <v>720650</v>
      </c>
      <c r="G56" s="128"/>
      <c r="H56" s="39">
        <f>SUM(D56:F56)</f>
        <v>12484900</v>
      </c>
    </row>
    <row r="57" spans="1:8" x14ac:dyDescent="0.3">
      <c r="A57" s="723" t="s">
        <v>119</v>
      </c>
      <c r="B57" s="724"/>
      <c r="C57" s="724"/>
      <c r="D57" s="724"/>
      <c r="E57" s="724"/>
      <c r="F57" s="724"/>
      <c r="G57" s="724"/>
      <c r="H57" s="725"/>
    </row>
    <row r="58" spans="1:8" ht="15.6" x14ac:dyDescent="0.3">
      <c r="A58" s="726" t="s">
        <v>118</v>
      </c>
      <c r="B58" s="727"/>
      <c r="C58" s="5" t="s">
        <v>18</v>
      </c>
      <c r="D58" s="13">
        <f>D41+D46+D51+D52+D54+D55+D56</f>
        <v>183781886.53263</v>
      </c>
      <c r="E58" s="13">
        <f t="shared" ref="E58:F58" si="14">E41+E46+E51+E52+E54+E55+E56</f>
        <v>61717085.636999995</v>
      </c>
      <c r="F58" s="13">
        <f t="shared" si="14"/>
        <v>20039198.149999999</v>
      </c>
      <c r="G58" s="672"/>
      <c r="H58" s="39">
        <f>SUM(D58:F58)</f>
        <v>265538170.31963</v>
      </c>
    </row>
    <row r="59" spans="1:8" ht="15.6" x14ac:dyDescent="0.3">
      <c r="A59" s="726" t="s">
        <v>117</v>
      </c>
      <c r="B59" s="727"/>
      <c r="C59" s="5" t="s">
        <v>115</v>
      </c>
      <c r="D59" s="15">
        <f t="shared" ref="D59:H59" si="15">D58/D9</f>
        <v>240.18972222892677</v>
      </c>
      <c r="E59" s="15">
        <f t="shared" si="15"/>
        <v>167.79747431941206</v>
      </c>
      <c r="F59" s="15">
        <f t="shared" si="15"/>
        <v>623.22566865708768</v>
      </c>
      <c r="G59" s="22"/>
      <c r="H59" s="40">
        <f t="shared" si="15"/>
        <v>227.90745825698602</v>
      </c>
    </row>
    <row r="60" spans="1:8" ht="15.6" x14ac:dyDescent="0.3">
      <c r="A60" s="726" t="s">
        <v>116</v>
      </c>
      <c r="B60" s="727"/>
      <c r="C60" s="5" t="s">
        <v>115</v>
      </c>
      <c r="D60" s="15">
        <f>D58/D22</f>
        <v>417.90408072535593</v>
      </c>
      <c r="E60" s="15">
        <f t="shared" ref="E60:F60" si="16">E58/E22</f>
        <v>206.89394889424509</v>
      </c>
      <c r="F60" s="15">
        <f t="shared" si="16"/>
        <v>899.78888015805296</v>
      </c>
      <c r="G60" s="22"/>
      <c r="H60" s="184">
        <f>H58/H22</f>
        <v>349.23402526043145</v>
      </c>
    </row>
    <row r="61" spans="1:8" ht="15.6" x14ac:dyDescent="0.3">
      <c r="A61" s="695" t="s">
        <v>114</v>
      </c>
      <c r="B61" s="696"/>
      <c r="C61" s="5" t="s">
        <v>3</v>
      </c>
      <c r="D61" s="26">
        <f>Mangochi!I61</f>
        <v>24</v>
      </c>
      <c r="E61" s="26">
        <f>'Monkey Bay'!I61</f>
        <v>7</v>
      </c>
      <c r="F61" s="26">
        <f>Namwera!I61</f>
        <v>3</v>
      </c>
      <c r="G61" s="128"/>
      <c r="H61" s="39">
        <f>SUM(D61:F61)</f>
        <v>34</v>
      </c>
    </row>
    <row r="62" spans="1:8" ht="15.6" customHeight="1" x14ac:dyDescent="0.3">
      <c r="A62" s="726" t="s">
        <v>113</v>
      </c>
      <c r="B62" s="727"/>
      <c r="C62" s="5" t="s">
        <v>112</v>
      </c>
      <c r="D62" s="15">
        <f t="shared" ref="D62:H62" si="17">(D61*1000*31)/D9</f>
        <v>0.97235454869810356</v>
      </c>
      <c r="E62" s="15">
        <f t="shared" si="17"/>
        <v>0.58998333365052869</v>
      </c>
      <c r="F62" s="15">
        <f t="shared" si="17"/>
        <v>2.8923306587049824</v>
      </c>
      <c r="G62" s="22"/>
      <c r="H62" s="40">
        <f t="shared" si="17"/>
        <v>0.90463250806358864</v>
      </c>
    </row>
    <row r="63" spans="1:8" ht="15.6" x14ac:dyDescent="0.3">
      <c r="A63" s="740" t="s">
        <v>111</v>
      </c>
      <c r="B63" s="741"/>
      <c r="C63" s="38" t="s">
        <v>3</v>
      </c>
      <c r="D63" s="26">
        <f>Mangochi!I63</f>
        <v>25</v>
      </c>
      <c r="E63" s="26">
        <f>'Monkey Bay'!I63</f>
        <v>9</v>
      </c>
      <c r="F63" s="26">
        <f>Namwera!I63</f>
        <v>6</v>
      </c>
      <c r="G63" s="128"/>
      <c r="H63" s="39">
        <f>SUM(D63:F63)</f>
        <v>40</v>
      </c>
    </row>
    <row r="64" spans="1:8" x14ac:dyDescent="0.3">
      <c r="A64" s="785"/>
      <c r="B64" s="786"/>
      <c r="C64" s="786"/>
      <c r="D64" s="786"/>
      <c r="E64" s="786"/>
      <c r="F64" s="786"/>
      <c r="G64" s="786"/>
      <c r="H64" s="787"/>
    </row>
    <row r="65" spans="1:8" ht="14.4" customHeight="1" x14ac:dyDescent="0.3">
      <c r="A65" s="723" t="s">
        <v>110</v>
      </c>
      <c r="B65" s="724"/>
      <c r="C65" s="724"/>
      <c r="D65" s="724"/>
      <c r="E65" s="724"/>
      <c r="F65" s="724"/>
      <c r="G65" s="724"/>
      <c r="H65" s="725"/>
    </row>
    <row r="66" spans="1:8" ht="15.6" x14ac:dyDescent="0.3">
      <c r="A66" s="728" t="s">
        <v>109</v>
      </c>
      <c r="B66" s="37" t="s">
        <v>85</v>
      </c>
      <c r="C66" s="5" t="s">
        <v>3</v>
      </c>
      <c r="D66" s="26">
        <f>Mangochi!D66</f>
        <v>1052</v>
      </c>
      <c r="E66" s="26">
        <f>'Monkey Bay'!D66</f>
        <v>99</v>
      </c>
      <c r="F66" s="26">
        <f>Namwera!D66</f>
        <v>55</v>
      </c>
      <c r="G66" s="128"/>
      <c r="H66" s="185">
        <f>SUM(D66:F66)</f>
        <v>1206</v>
      </c>
    </row>
    <row r="67" spans="1:8" ht="15.6" x14ac:dyDescent="0.3">
      <c r="A67" s="729"/>
      <c r="B67" s="24" t="s">
        <v>104</v>
      </c>
      <c r="C67" s="5" t="s">
        <v>3</v>
      </c>
      <c r="D67" s="26">
        <f>Mangochi!D67+Mangochi!E67+Mangochi!F67+Mangochi!G67+Mangochi!H67+Mangochi!I67</f>
        <v>625</v>
      </c>
      <c r="E67" s="26">
        <f>'Monkey Bay'!D67+'Monkey Bay'!E67+'Monkey Bay'!F67+'Monkey Bay'!G67+'Monkey Bay'!H67+'Monkey Bay'!I67</f>
        <v>90</v>
      </c>
      <c r="F67" s="26">
        <f>Namwera!D67+Namwera!E67+Namwera!F67+Namwera!G67+Namwera!H67+Namwera!I67</f>
        <v>36</v>
      </c>
      <c r="G67" s="128"/>
      <c r="H67" s="185">
        <f>SUM(D67:F67)</f>
        <v>751</v>
      </c>
    </row>
    <row r="68" spans="1:8" ht="27" x14ac:dyDescent="0.3">
      <c r="A68" s="729"/>
      <c r="B68" s="24" t="s">
        <v>103</v>
      </c>
      <c r="C68" s="5" t="s">
        <v>3</v>
      </c>
      <c r="D68" s="26">
        <f>Mangochi!D68+Mangochi!E68+Mangochi!F68+Mangochi!G68+Mangochi!H68+Mangochi!I68</f>
        <v>7</v>
      </c>
      <c r="E68" s="26">
        <f>'Monkey Bay'!D68+'Monkey Bay'!E68+'Monkey Bay'!F68+'Monkey Bay'!G68+'Monkey Bay'!H68+'Monkey Bay'!I68</f>
        <v>0</v>
      </c>
      <c r="F68" s="26">
        <f>Namwera!D68+Namwera!E68+Namwera!F68+Namwera!G68+Namwera!H68+Namwera!I68</f>
        <v>0</v>
      </c>
      <c r="G68" s="128"/>
      <c r="H68" s="185">
        <f>SUM(D68:F68)</f>
        <v>7</v>
      </c>
    </row>
    <row r="69" spans="1:8" s="2" customFormat="1" ht="27" x14ac:dyDescent="0.3">
      <c r="A69" s="729"/>
      <c r="B69" s="24" t="s">
        <v>102</v>
      </c>
      <c r="C69" s="11" t="s">
        <v>3</v>
      </c>
      <c r="D69" s="26">
        <f>Mangochi!D69+Mangochi!E69+Mangochi!F69+Mangochi!G69+Mangochi!H69+Mangochi!I69</f>
        <v>225</v>
      </c>
      <c r="E69" s="26">
        <f>'Monkey Bay'!D69+'Monkey Bay'!E69+'Monkey Bay'!F69+'Monkey Bay'!G69+'Monkey Bay'!H69+'Monkey Bay'!I69</f>
        <v>71</v>
      </c>
      <c r="F69" s="26">
        <f>Namwera!D69+Namwera!E69+Namwera!F69+Namwera!G69+Namwera!H69+Namwera!I69</f>
        <v>40</v>
      </c>
      <c r="G69" s="128"/>
      <c r="H69" s="185">
        <f>SUM(D69:F69)</f>
        <v>336</v>
      </c>
    </row>
    <row r="70" spans="1:8" s="2" customFormat="1" ht="15.6" x14ac:dyDescent="0.3">
      <c r="A70" s="729"/>
      <c r="B70" s="24" t="s">
        <v>188</v>
      </c>
      <c r="C70" s="11" t="s">
        <v>3</v>
      </c>
      <c r="D70" s="4">
        <f>D68+D69</f>
        <v>232</v>
      </c>
      <c r="E70" s="4">
        <f t="shared" ref="E70:H70" si="18">E68+E69</f>
        <v>71</v>
      </c>
      <c r="F70" s="4">
        <f t="shared" si="18"/>
        <v>40</v>
      </c>
      <c r="G70" s="673"/>
      <c r="H70" s="162">
        <f t="shared" si="18"/>
        <v>343</v>
      </c>
    </row>
    <row r="71" spans="1:8" ht="15.6" x14ac:dyDescent="0.3">
      <c r="A71" s="730"/>
      <c r="B71" s="37" t="s">
        <v>81</v>
      </c>
      <c r="C71" s="5" t="s">
        <v>3</v>
      </c>
      <c r="D71" s="26">
        <f>D66+D67-D70</f>
        <v>1445</v>
      </c>
      <c r="E71" s="26">
        <f t="shared" ref="E71:F71" si="19">E66+E67-E70</f>
        <v>118</v>
      </c>
      <c r="F71" s="26">
        <f t="shared" si="19"/>
        <v>51</v>
      </c>
      <c r="G71" s="128"/>
      <c r="H71" s="160">
        <f>H66+H67-H70</f>
        <v>1614</v>
      </c>
    </row>
    <row r="72" spans="1:8" ht="15.6" x14ac:dyDescent="0.3">
      <c r="A72" s="728" t="s">
        <v>108</v>
      </c>
      <c r="B72" s="37" t="s">
        <v>85</v>
      </c>
      <c r="C72" s="5" t="s">
        <v>3</v>
      </c>
      <c r="D72" s="26">
        <f>Mangochi!D72</f>
        <v>8</v>
      </c>
      <c r="E72" s="26">
        <f>'Monkey Bay'!D72</f>
        <v>0</v>
      </c>
      <c r="F72" s="26">
        <f>Namwera!D72</f>
        <v>3</v>
      </c>
      <c r="G72" s="128"/>
      <c r="H72" s="185">
        <f>SUM(D72:F72)</f>
        <v>11</v>
      </c>
    </row>
    <row r="73" spans="1:8" ht="15.6" x14ac:dyDescent="0.3">
      <c r="A73" s="729"/>
      <c r="B73" s="24" t="s">
        <v>104</v>
      </c>
      <c r="C73" s="5" t="s">
        <v>3</v>
      </c>
      <c r="D73" s="26">
        <f>Mangochi!D73+Mangochi!E73+Mangochi!F73+Mangochi!G73+Mangochi!H73+Mangochi!I73</f>
        <v>0</v>
      </c>
      <c r="E73" s="26">
        <f>'Monkey Bay'!D73+'Monkey Bay'!E73+'Monkey Bay'!F73+'Monkey Bay'!G73+'Monkey Bay'!H73+'Monkey Bay'!I73</f>
        <v>0</v>
      </c>
      <c r="F73" s="26">
        <f>Namwera!D73+Namwera!E73+Namwera!F73+Namwera!G73+Namwera!H73+Namwera!I73</f>
        <v>0</v>
      </c>
      <c r="G73" s="128"/>
      <c r="H73" s="185">
        <f>SUM(D73:F73)</f>
        <v>0</v>
      </c>
    </row>
    <row r="74" spans="1:8" ht="27" x14ac:dyDescent="0.3">
      <c r="A74" s="729"/>
      <c r="B74" s="24" t="s">
        <v>103</v>
      </c>
      <c r="C74" s="5" t="s">
        <v>3</v>
      </c>
      <c r="D74" s="26">
        <f>Mangochi!D74+Mangochi!E74+Mangochi!F74+Mangochi!G74+Mangochi!H74+Mangochi!I74</f>
        <v>0</v>
      </c>
      <c r="E74" s="26">
        <f>'Monkey Bay'!D74+'Monkey Bay'!E74+'Monkey Bay'!F74+'Monkey Bay'!G74+'Monkey Bay'!H74+'Monkey Bay'!I74</f>
        <v>0</v>
      </c>
      <c r="F74" s="26">
        <f>Namwera!D74+Namwera!E74+Namwera!F74+Namwera!G74+Namwera!H74+Namwera!I74</f>
        <v>0</v>
      </c>
      <c r="G74" s="128"/>
      <c r="H74" s="185">
        <f>SUM(D74:F74)</f>
        <v>0</v>
      </c>
    </row>
    <row r="75" spans="1:8" s="2" customFormat="1" ht="27" x14ac:dyDescent="0.3">
      <c r="A75" s="729"/>
      <c r="B75" s="24" t="s">
        <v>102</v>
      </c>
      <c r="C75" s="11" t="s">
        <v>3</v>
      </c>
      <c r="D75" s="26">
        <f>Mangochi!D75+Mangochi!E75+Mangochi!F75+Mangochi!G75+Mangochi!H75+Mangochi!I75</f>
        <v>0</v>
      </c>
      <c r="E75" s="26">
        <f>'Monkey Bay'!D75+'Monkey Bay'!E75+'Monkey Bay'!F75+'Monkey Bay'!G75+'Monkey Bay'!H75+'Monkey Bay'!I75</f>
        <v>0</v>
      </c>
      <c r="F75" s="26">
        <f>Namwera!D75+Namwera!E75+Namwera!F75+Namwera!G75+Namwera!H75+Namwera!I75</f>
        <v>0</v>
      </c>
      <c r="G75" s="128"/>
      <c r="H75" s="159"/>
    </row>
    <row r="76" spans="1:8" s="2" customFormat="1" ht="15.6" x14ac:dyDescent="0.3">
      <c r="A76" s="729"/>
      <c r="B76" s="24" t="s">
        <v>188</v>
      </c>
      <c r="C76" s="11" t="s">
        <v>3</v>
      </c>
      <c r="D76" s="4">
        <f>D74+D75</f>
        <v>0</v>
      </c>
      <c r="E76" s="4">
        <f t="shared" ref="E76:H76" si="20">E74+E75</f>
        <v>0</v>
      </c>
      <c r="F76" s="4">
        <f t="shared" si="20"/>
        <v>0</v>
      </c>
      <c r="G76" s="673"/>
      <c r="H76" s="162">
        <f t="shared" si="20"/>
        <v>0</v>
      </c>
    </row>
    <row r="77" spans="1:8" ht="15.6" x14ac:dyDescent="0.3">
      <c r="A77" s="730"/>
      <c r="B77" s="37" t="s">
        <v>81</v>
      </c>
      <c r="C77" s="5" t="s">
        <v>3</v>
      </c>
      <c r="D77" s="26">
        <f>D73+D74-D76</f>
        <v>0</v>
      </c>
      <c r="E77" s="26">
        <f t="shared" ref="E77:H77" si="21">E73+E74-E76</f>
        <v>0</v>
      </c>
      <c r="F77" s="26">
        <f t="shared" si="21"/>
        <v>0</v>
      </c>
      <c r="G77" s="128"/>
      <c r="H77" s="160">
        <f t="shared" si="21"/>
        <v>0</v>
      </c>
    </row>
    <row r="78" spans="1:8" ht="15.6" customHeight="1" x14ac:dyDescent="0.3">
      <c r="A78" s="728" t="s">
        <v>107</v>
      </c>
      <c r="B78" s="37" t="s">
        <v>85</v>
      </c>
      <c r="C78" s="5" t="s">
        <v>3</v>
      </c>
      <c r="D78" s="26">
        <f>Mangochi!D78</f>
        <v>9</v>
      </c>
      <c r="E78" s="26">
        <f>'Monkey Bay'!D78</f>
        <v>2</v>
      </c>
      <c r="F78" s="26">
        <f>Namwera!D78</f>
        <v>0</v>
      </c>
      <c r="G78" s="128"/>
      <c r="H78" s="185">
        <f>SUM(D78:F78)</f>
        <v>11</v>
      </c>
    </row>
    <row r="79" spans="1:8" ht="15.6" x14ac:dyDescent="0.3">
      <c r="A79" s="729"/>
      <c r="B79" s="24" t="s">
        <v>104</v>
      </c>
      <c r="C79" s="5" t="s">
        <v>3</v>
      </c>
      <c r="D79" s="26">
        <f>Mangochi!D79+Mangochi!E79+Mangochi!F79+Mangochi!G79+Mangochi!H79+Mangochi!I79</f>
        <v>0</v>
      </c>
      <c r="E79" s="26">
        <f>'Monkey Bay'!D79+'Monkey Bay'!E79+'Monkey Bay'!F79+'Monkey Bay'!G79+'Monkey Bay'!H79+'Monkey Bay'!I79</f>
        <v>2</v>
      </c>
      <c r="F79" s="26">
        <f>Namwera!D79+Namwera!E79+Namwera!F79+Namwera!G79+Namwera!H79+Namwera!I79</f>
        <v>0</v>
      </c>
      <c r="G79" s="128"/>
      <c r="H79" s="185">
        <f>SUM(D79:F79)</f>
        <v>2</v>
      </c>
    </row>
    <row r="80" spans="1:8" ht="27" x14ac:dyDescent="0.3">
      <c r="A80" s="729"/>
      <c r="B80" s="24" t="s">
        <v>103</v>
      </c>
      <c r="C80" s="5" t="s">
        <v>3</v>
      </c>
      <c r="D80" s="26">
        <f>Mangochi!D80+Mangochi!E80+Mangochi!F80+Mangochi!G80+Mangochi!H80+Mangochi!I80</f>
        <v>0</v>
      </c>
      <c r="E80" s="26">
        <f>'Monkey Bay'!D80+'Monkey Bay'!E80+'Monkey Bay'!F80+'Monkey Bay'!G80+'Monkey Bay'!H80+'Monkey Bay'!I80</f>
        <v>0</v>
      </c>
      <c r="F80" s="26">
        <f>Namwera!D80+Namwera!E80+Namwera!F80+Namwera!G80+Namwera!H80+Namwera!I80</f>
        <v>0</v>
      </c>
      <c r="G80" s="128"/>
      <c r="H80" s="185"/>
    </row>
    <row r="81" spans="1:8" s="2" customFormat="1" ht="27" x14ac:dyDescent="0.3">
      <c r="A81" s="729"/>
      <c r="B81" s="24" t="s">
        <v>102</v>
      </c>
      <c r="C81" s="11" t="s">
        <v>3</v>
      </c>
      <c r="D81" s="26">
        <f>Mangochi!D81+Mangochi!E81+Mangochi!F81+Mangochi!G81+Mangochi!H81+Mangochi!I81</f>
        <v>0</v>
      </c>
      <c r="E81" s="26">
        <f>'Monkey Bay'!D81+'Monkey Bay'!E81+'Monkey Bay'!F81+'Monkey Bay'!G81+'Monkey Bay'!H81+'Monkey Bay'!I81</f>
        <v>6</v>
      </c>
      <c r="F81" s="26">
        <f>Namwera!D81+Namwera!E81+Namwera!F81+Namwera!G81+Namwera!H81+Namwera!I81</f>
        <v>0</v>
      </c>
      <c r="G81" s="128"/>
      <c r="H81" s="159">
        <f>SUM(D81:F81)</f>
        <v>6</v>
      </c>
    </row>
    <row r="82" spans="1:8" s="2" customFormat="1" ht="15.6" x14ac:dyDescent="0.3">
      <c r="A82" s="729"/>
      <c r="B82" s="24" t="s">
        <v>188</v>
      </c>
      <c r="C82" s="11" t="s">
        <v>3</v>
      </c>
      <c r="D82" s="4">
        <f>D81+D80</f>
        <v>0</v>
      </c>
      <c r="E82" s="4">
        <f t="shared" ref="E82:H82" si="22">E81+E80</f>
        <v>6</v>
      </c>
      <c r="F82" s="4">
        <f t="shared" si="22"/>
        <v>0</v>
      </c>
      <c r="G82" s="673"/>
      <c r="H82" s="162">
        <f t="shared" si="22"/>
        <v>6</v>
      </c>
    </row>
    <row r="83" spans="1:8" ht="15.6" x14ac:dyDescent="0.3">
      <c r="A83" s="730"/>
      <c r="B83" s="37" t="s">
        <v>81</v>
      </c>
      <c r="C83" s="5" t="s">
        <v>3</v>
      </c>
      <c r="D83" s="26">
        <f>D78+D79-D82</f>
        <v>9</v>
      </c>
      <c r="E83" s="26">
        <f t="shared" ref="E83:H83" si="23">E78+E79-E82</f>
        <v>-2</v>
      </c>
      <c r="F83" s="26">
        <f t="shared" si="23"/>
        <v>0</v>
      </c>
      <c r="G83" s="128"/>
      <c r="H83" s="160">
        <f t="shared" si="23"/>
        <v>7</v>
      </c>
    </row>
    <row r="84" spans="1:8" ht="15.6" x14ac:dyDescent="0.3">
      <c r="A84" s="731" t="s">
        <v>106</v>
      </c>
      <c r="B84" s="37" t="s">
        <v>85</v>
      </c>
      <c r="C84" s="5" t="s">
        <v>3</v>
      </c>
      <c r="D84" s="26">
        <f>Mangochi!D84</f>
        <v>0</v>
      </c>
      <c r="E84" s="26">
        <f>'Monkey Bay'!D84</f>
        <v>0</v>
      </c>
      <c r="F84" s="26">
        <f>Namwera!D84</f>
        <v>0</v>
      </c>
      <c r="G84" s="128"/>
      <c r="H84" s="185">
        <f>SUM(D84:F84)</f>
        <v>0</v>
      </c>
    </row>
    <row r="85" spans="1:8" ht="15.6" x14ac:dyDescent="0.3">
      <c r="A85" s="732"/>
      <c r="B85" s="37" t="s">
        <v>104</v>
      </c>
      <c r="C85" s="5" t="s">
        <v>3</v>
      </c>
      <c r="D85" s="26">
        <f>Mangochi!D85+Mangochi!E85+Mangochi!F85+Mangochi!G85+Mangochi!H85+Mangochi!I85</f>
        <v>0</v>
      </c>
      <c r="E85" s="26">
        <f>'Monkey Bay'!D85+'Monkey Bay'!E85+'Monkey Bay'!F85+'Monkey Bay'!G85+'Monkey Bay'!H85+'Monkey Bay'!I85</f>
        <v>0</v>
      </c>
      <c r="F85" s="26">
        <f>Namwera!D85+Namwera!E85+Namwera!F85+Namwera!G85+Namwera!H85+Namwera!I85</f>
        <v>0</v>
      </c>
      <c r="G85" s="128"/>
      <c r="H85" s="185">
        <f>SUM(D85:F85)</f>
        <v>0</v>
      </c>
    </row>
    <row r="86" spans="1:8" ht="27" x14ac:dyDescent="0.3">
      <c r="A86" s="732"/>
      <c r="B86" s="37" t="s">
        <v>103</v>
      </c>
      <c r="C86" s="5" t="s">
        <v>3</v>
      </c>
      <c r="D86" s="26">
        <f>Mangochi!D86+Mangochi!E86+Mangochi!F86+Mangochi!G86+Mangochi!H86+Mangochi!I86</f>
        <v>0</v>
      </c>
      <c r="E86" s="26">
        <f>'Monkey Bay'!D86+'Monkey Bay'!E86+'Monkey Bay'!F86+'Monkey Bay'!G86+'Monkey Bay'!H86+'Monkey Bay'!I86</f>
        <v>0</v>
      </c>
      <c r="F86" s="26">
        <f>Namwera!D86+Namwera!E86+Namwera!F86+Namwera!G86+Namwera!H86+Namwera!I86</f>
        <v>0</v>
      </c>
      <c r="G86" s="128"/>
      <c r="H86" s="185"/>
    </row>
    <row r="87" spans="1:8" s="2" customFormat="1" ht="27" x14ac:dyDescent="0.3">
      <c r="A87" s="732"/>
      <c r="B87" s="24" t="s">
        <v>102</v>
      </c>
      <c r="C87" s="11" t="s">
        <v>3</v>
      </c>
      <c r="D87" s="26">
        <f>Mangochi!D87+Mangochi!E87+Mangochi!F87+Mangochi!G87+Mangochi!H87+Mangochi!I87</f>
        <v>0</v>
      </c>
      <c r="E87" s="26">
        <f>'Monkey Bay'!D87+'Monkey Bay'!E87+'Monkey Bay'!F87+'Monkey Bay'!G87+'Monkey Bay'!H87+'Monkey Bay'!I87</f>
        <v>0</v>
      </c>
      <c r="F87" s="26">
        <f>Namwera!D87+Namwera!E87+Namwera!F87+Namwera!G87+Namwera!H87+Namwera!I87</f>
        <v>0</v>
      </c>
      <c r="G87" s="128"/>
      <c r="H87" s="159">
        <f>SUM(D87:F87)</f>
        <v>0</v>
      </c>
    </row>
    <row r="88" spans="1:8" s="2" customFormat="1" ht="15.6" x14ac:dyDescent="0.3">
      <c r="A88" s="732"/>
      <c r="B88" s="24" t="s">
        <v>188</v>
      </c>
      <c r="C88" s="11" t="s">
        <v>3</v>
      </c>
      <c r="D88" s="4">
        <f>D87+D86</f>
        <v>0</v>
      </c>
      <c r="E88" s="4">
        <f t="shared" ref="E88:F88" si="24">E87+E86</f>
        <v>0</v>
      </c>
      <c r="F88" s="4">
        <f t="shared" si="24"/>
        <v>0</v>
      </c>
      <c r="G88" s="673"/>
      <c r="H88" s="159"/>
    </row>
    <row r="89" spans="1:8" ht="15.6" x14ac:dyDescent="0.3">
      <c r="A89" s="733"/>
      <c r="B89" s="36" t="s">
        <v>81</v>
      </c>
      <c r="C89" s="5" t="s">
        <v>3</v>
      </c>
      <c r="D89" s="26">
        <f>D84+D85-D88</f>
        <v>0</v>
      </c>
      <c r="E89" s="26">
        <f t="shared" ref="E89:F89" si="25">E84+E85-E88</f>
        <v>0</v>
      </c>
      <c r="F89" s="26">
        <f t="shared" si="25"/>
        <v>0</v>
      </c>
      <c r="G89" s="128"/>
      <c r="H89" s="160">
        <f t="shared" ref="H89" si="26">H84+H85-H86-H87</f>
        <v>0</v>
      </c>
    </row>
    <row r="90" spans="1:8" ht="15.6" x14ac:dyDescent="0.3">
      <c r="A90" s="734" t="s">
        <v>105</v>
      </c>
      <c r="B90" s="24" t="s">
        <v>85</v>
      </c>
      <c r="C90" s="11" t="s">
        <v>3</v>
      </c>
      <c r="D90" s="136">
        <f>D66+D72+D78+D84</f>
        <v>1069</v>
      </c>
      <c r="E90" s="136">
        <f t="shared" ref="E90:F90" si="27">E66+E72+E78+E84</f>
        <v>101</v>
      </c>
      <c r="F90" s="136">
        <f t="shared" si="27"/>
        <v>58</v>
      </c>
      <c r="G90" s="674"/>
      <c r="H90" s="185">
        <f>SUM(D90:F90)</f>
        <v>1228</v>
      </c>
    </row>
    <row r="91" spans="1:8" ht="15.6" x14ac:dyDescent="0.3">
      <c r="A91" s="735"/>
      <c r="B91" s="24" t="s">
        <v>104</v>
      </c>
      <c r="C91" s="11" t="s">
        <v>3</v>
      </c>
      <c r="D91" s="136">
        <f t="shared" ref="D91:F93" si="28">D67+D73+D79+D85</f>
        <v>625</v>
      </c>
      <c r="E91" s="136">
        <f t="shared" si="28"/>
        <v>92</v>
      </c>
      <c r="F91" s="136">
        <f t="shared" si="28"/>
        <v>36</v>
      </c>
      <c r="G91" s="674"/>
      <c r="H91" s="185">
        <f>SUM(D91:F91)</f>
        <v>753</v>
      </c>
    </row>
    <row r="92" spans="1:8" ht="27" x14ac:dyDescent="0.3">
      <c r="A92" s="735"/>
      <c r="B92" s="24" t="s">
        <v>103</v>
      </c>
      <c r="C92" s="11" t="s">
        <v>3</v>
      </c>
      <c r="D92" s="136">
        <f t="shared" si="28"/>
        <v>7</v>
      </c>
      <c r="E92" s="136">
        <f t="shared" si="28"/>
        <v>0</v>
      </c>
      <c r="F92" s="136">
        <f t="shared" si="28"/>
        <v>0</v>
      </c>
      <c r="G92" s="674"/>
      <c r="H92" s="185">
        <f>SUM(D92:F92)</f>
        <v>7</v>
      </c>
    </row>
    <row r="93" spans="1:8" s="2" customFormat="1" ht="27" x14ac:dyDescent="0.3">
      <c r="A93" s="735"/>
      <c r="B93" s="24" t="s">
        <v>102</v>
      </c>
      <c r="C93" s="11"/>
      <c r="D93" s="136">
        <f t="shared" si="28"/>
        <v>225</v>
      </c>
      <c r="E93" s="136">
        <f t="shared" si="28"/>
        <v>77</v>
      </c>
      <c r="F93" s="136">
        <f t="shared" si="28"/>
        <v>40</v>
      </c>
      <c r="G93" s="674"/>
      <c r="H93" s="185">
        <f>SUM(D93:F93)</f>
        <v>342</v>
      </c>
    </row>
    <row r="94" spans="1:8" s="2" customFormat="1" ht="15.6" x14ac:dyDescent="0.3">
      <c r="A94" s="735"/>
      <c r="B94" s="24" t="s">
        <v>188</v>
      </c>
      <c r="C94" s="11" t="s">
        <v>3</v>
      </c>
      <c r="D94" s="137">
        <f>D93+D92</f>
        <v>232</v>
      </c>
      <c r="E94" s="137">
        <f t="shared" ref="E94:H94" si="29">E93+E92</f>
        <v>77</v>
      </c>
      <c r="F94" s="137">
        <f t="shared" si="29"/>
        <v>40</v>
      </c>
      <c r="G94" s="675"/>
      <c r="H94" s="186">
        <f t="shared" si="29"/>
        <v>349</v>
      </c>
    </row>
    <row r="95" spans="1:8" ht="16.2" thickBot="1" x14ac:dyDescent="0.35">
      <c r="A95" s="736"/>
      <c r="B95" s="24" t="s">
        <v>81</v>
      </c>
      <c r="C95" s="11" t="s">
        <v>3</v>
      </c>
      <c r="D95" s="138">
        <f>D90+D91-D94</f>
        <v>1462</v>
      </c>
      <c r="E95" s="138">
        <f t="shared" ref="E95:H95" si="30">E90+E91-E94</f>
        <v>116</v>
      </c>
      <c r="F95" s="138">
        <f t="shared" si="30"/>
        <v>54</v>
      </c>
      <c r="G95" s="676"/>
      <c r="H95" s="187">
        <f t="shared" si="30"/>
        <v>1632</v>
      </c>
    </row>
    <row r="96" spans="1:8" ht="16.2" customHeight="1" thickBot="1" x14ac:dyDescent="0.35">
      <c r="A96" s="788"/>
      <c r="B96" s="789"/>
      <c r="C96" s="789"/>
      <c r="D96" s="789"/>
      <c r="E96" s="789"/>
      <c r="F96" s="789"/>
      <c r="G96" s="789"/>
      <c r="H96" s="790"/>
    </row>
    <row r="97" spans="1:8" s="2" customFormat="1" ht="15.75" customHeight="1" thickBot="1" x14ac:dyDescent="0.35">
      <c r="A97" s="737" t="s">
        <v>189</v>
      </c>
      <c r="B97" s="738"/>
      <c r="C97" s="738"/>
      <c r="D97" s="738"/>
      <c r="E97" s="738"/>
      <c r="F97" s="738"/>
      <c r="G97" s="738"/>
      <c r="H97" s="739"/>
    </row>
    <row r="98" spans="1:8" ht="15.6" x14ac:dyDescent="0.3">
      <c r="A98" s="88" t="s">
        <v>190</v>
      </c>
      <c r="B98" s="69"/>
      <c r="C98" s="11" t="s">
        <v>3</v>
      </c>
      <c r="D98" s="26">
        <f>Mangochi!D98+Mangochi!E98+Mangochi!F98+Mangochi!G98+Mangochi!H98+Mangochi!I98</f>
        <v>236</v>
      </c>
      <c r="E98" s="26">
        <f>'Monkey Bay'!D98+'Monkey Bay'!E98+'Monkey Bay'!F98+'Monkey Bay'!G98+'Monkey Bay'!H98+'Monkey Bay'!I98</f>
        <v>77</v>
      </c>
      <c r="F98" s="26">
        <f>Namwera!D98+Namwera!E98+Namwera!F98+Namwera!G98+Namwera!H98+Namwera!I98</f>
        <v>40</v>
      </c>
      <c r="G98" s="677"/>
      <c r="H98" s="170">
        <f>SUM(D98:F98)</f>
        <v>353</v>
      </c>
    </row>
    <row r="99" spans="1:8" ht="15.6" x14ac:dyDescent="0.3">
      <c r="A99" s="88"/>
      <c r="B99" s="24"/>
      <c r="C99" s="11"/>
      <c r="D99" s="65"/>
      <c r="E99" s="65"/>
      <c r="F99" s="65"/>
      <c r="G99" s="66"/>
      <c r="H99" s="107"/>
    </row>
    <row r="100" spans="1:8" s="2" customFormat="1" x14ac:dyDescent="0.3">
      <c r="A100" s="748" t="s">
        <v>101</v>
      </c>
      <c r="B100" s="749"/>
      <c r="C100" s="749"/>
      <c r="D100" s="749"/>
      <c r="E100" s="749"/>
      <c r="F100" s="749"/>
      <c r="G100" s="749"/>
      <c r="H100" s="750"/>
    </row>
    <row r="101" spans="1:8" ht="15.6" x14ac:dyDescent="0.3">
      <c r="A101" s="695" t="s">
        <v>100</v>
      </c>
      <c r="B101" s="696"/>
      <c r="C101" s="11" t="s">
        <v>3</v>
      </c>
      <c r="D101" s="26">
        <f>Mangochi!I101</f>
        <v>1796</v>
      </c>
      <c r="E101" s="26">
        <f>'Monkey Bay'!I101</f>
        <v>397</v>
      </c>
      <c r="F101" s="26">
        <f>Namwera!I101</f>
        <v>218</v>
      </c>
      <c r="G101" s="128"/>
      <c r="H101" s="32">
        <f>SUM(D101:F101)</f>
        <v>2411</v>
      </c>
    </row>
    <row r="102" spans="1:8" ht="15.6" x14ac:dyDescent="0.3">
      <c r="A102" s="695" t="s">
        <v>99</v>
      </c>
      <c r="B102" s="696"/>
      <c r="C102" s="11" t="s">
        <v>3</v>
      </c>
      <c r="D102" s="26">
        <f>Mangochi!I102</f>
        <v>5</v>
      </c>
      <c r="E102" s="26">
        <f>'Monkey Bay'!I102</f>
        <v>0</v>
      </c>
      <c r="F102" s="26">
        <f>Namwera!I102</f>
        <v>7</v>
      </c>
      <c r="G102" s="128"/>
      <c r="H102" s="32">
        <f>SUM(D102:F102)</f>
        <v>12</v>
      </c>
    </row>
    <row r="103" spans="1:8" ht="15.6" customHeight="1" x14ac:dyDescent="0.3">
      <c r="A103" s="702" t="s">
        <v>98</v>
      </c>
      <c r="B103" s="703"/>
      <c r="C103" s="11" t="s">
        <v>3</v>
      </c>
      <c r="D103" s="26">
        <f>Mangochi!I103</f>
        <v>142</v>
      </c>
      <c r="E103" s="26">
        <f>'Monkey Bay'!I103</f>
        <v>0</v>
      </c>
      <c r="F103" s="26">
        <f>Namwera!I103</f>
        <v>2</v>
      </c>
      <c r="G103" s="128"/>
      <c r="H103" s="32">
        <f>SUM(D103:F103)</f>
        <v>144</v>
      </c>
    </row>
    <row r="104" spans="1:8" ht="15.6" x14ac:dyDescent="0.3">
      <c r="A104" s="702" t="s">
        <v>97</v>
      </c>
      <c r="B104" s="703"/>
      <c r="C104" s="11" t="s">
        <v>3</v>
      </c>
      <c r="D104" s="26">
        <f>Mangochi!I104</f>
        <v>10</v>
      </c>
      <c r="E104" s="26">
        <f>'Monkey Bay'!I104</f>
        <v>0</v>
      </c>
      <c r="F104" s="26">
        <f>Namwera!I104</f>
        <v>5</v>
      </c>
      <c r="G104" s="128"/>
      <c r="H104" s="32">
        <f>SUM(D104:F104)</f>
        <v>15</v>
      </c>
    </row>
    <row r="105" spans="1:8" ht="15.6" x14ac:dyDescent="0.3">
      <c r="A105" s="751" t="s">
        <v>96</v>
      </c>
      <c r="B105" s="752"/>
      <c r="C105" s="11" t="s">
        <v>3</v>
      </c>
      <c r="D105" s="33">
        <f>SUM(D101:D104)</f>
        <v>1953</v>
      </c>
      <c r="E105" s="33">
        <f t="shared" ref="E105:H105" si="31">SUM(E101:E104)</f>
        <v>397</v>
      </c>
      <c r="F105" s="33">
        <f t="shared" si="31"/>
        <v>232</v>
      </c>
      <c r="G105" s="33"/>
      <c r="H105" s="55">
        <f t="shared" si="31"/>
        <v>2582</v>
      </c>
    </row>
    <row r="106" spans="1:8" s="2" customFormat="1" ht="15.6" customHeight="1" x14ac:dyDescent="0.3">
      <c r="A106" s="745" t="s">
        <v>210</v>
      </c>
      <c r="B106" s="746"/>
      <c r="C106" s="746"/>
      <c r="D106" s="746"/>
      <c r="E106" s="746"/>
      <c r="F106" s="746"/>
      <c r="G106" s="746"/>
      <c r="H106" s="747"/>
    </row>
    <row r="107" spans="1:8" ht="15.6" x14ac:dyDescent="0.3">
      <c r="A107" s="695" t="s">
        <v>193</v>
      </c>
      <c r="B107" s="696"/>
      <c r="C107" s="11" t="s">
        <v>3</v>
      </c>
      <c r="D107" s="26">
        <f>Mangochi!I107</f>
        <v>4831</v>
      </c>
      <c r="E107" s="26">
        <f>'Monkey Bay'!I107</f>
        <v>1412</v>
      </c>
      <c r="F107" s="26">
        <f>Namwera!I107</f>
        <v>244</v>
      </c>
      <c r="G107" s="128"/>
      <c r="H107" s="32">
        <f>SUM(D107:F107)</f>
        <v>6487</v>
      </c>
    </row>
    <row r="108" spans="1:8" ht="15.6" x14ac:dyDescent="0.3">
      <c r="A108" s="695" t="s">
        <v>194</v>
      </c>
      <c r="B108" s="696"/>
      <c r="C108" s="11" t="s">
        <v>3</v>
      </c>
      <c r="D108" s="26">
        <f>Mangochi!I108</f>
        <v>7</v>
      </c>
      <c r="E108" s="26">
        <f>'Monkey Bay'!I108</f>
        <v>17</v>
      </c>
      <c r="F108" s="26">
        <f>Namwera!I108</f>
        <v>1</v>
      </c>
      <c r="G108" s="128"/>
      <c r="H108" s="32">
        <f>SUM(D108:F108)</f>
        <v>25</v>
      </c>
    </row>
    <row r="109" spans="1:8" ht="15.6" x14ac:dyDescent="0.3">
      <c r="A109" s="695" t="s">
        <v>195</v>
      </c>
      <c r="B109" s="696"/>
      <c r="C109" s="11" t="s">
        <v>3</v>
      </c>
      <c r="D109" s="26">
        <f>Mangochi!I109</f>
        <v>5</v>
      </c>
      <c r="E109" s="26">
        <f>'Monkey Bay'!I109</f>
        <v>12</v>
      </c>
      <c r="F109" s="26">
        <f>Namwera!I109</f>
        <v>0</v>
      </c>
      <c r="G109" s="128"/>
      <c r="H109" s="32">
        <f>SUM(D109:F109)</f>
        <v>17</v>
      </c>
    </row>
    <row r="110" spans="1:8" ht="15.6" x14ac:dyDescent="0.3">
      <c r="A110" s="695" t="s">
        <v>196</v>
      </c>
      <c r="B110" s="696"/>
      <c r="C110" s="11" t="s">
        <v>3</v>
      </c>
      <c r="D110" s="26">
        <f>Mangochi!I110</f>
        <v>0</v>
      </c>
      <c r="E110" s="26">
        <f>'Monkey Bay'!I110</f>
        <v>0</v>
      </c>
      <c r="F110" s="26">
        <f>Namwera!I110</f>
        <v>0</v>
      </c>
      <c r="G110" s="128"/>
      <c r="H110" s="32">
        <f>SUM(D110:F110)</f>
        <v>0</v>
      </c>
    </row>
    <row r="111" spans="1:8" ht="15.6" x14ac:dyDescent="0.3">
      <c r="A111" s="697" t="s">
        <v>95</v>
      </c>
      <c r="B111" s="698"/>
      <c r="C111" s="11" t="s">
        <v>3</v>
      </c>
      <c r="D111" s="33">
        <f>SUM(D107:D110)</f>
        <v>4843</v>
      </c>
      <c r="E111" s="33">
        <f t="shared" ref="E111:H111" si="32">SUM(E107:E110)</f>
        <v>1441</v>
      </c>
      <c r="F111" s="33">
        <f t="shared" si="32"/>
        <v>245</v>
      </c>
      <c r="G111" s="33"/>
      <c r="H111" s="55">
        <f t="shared" si="32"/>
        <v>6529</v>
      </c>
    </row>
    <row r="112" spans="1:8" s="2" customFormat="1" ht="15.6" customHeight="1" x14ac:dyDescent="0.3">
      <c r="A112" s="748" t="s">
        <v>210</v>
      </c>
      <c r="B112" s="749"/>
      <c r="C112" s="749"/>
      <c r="D112" s="749"/>
      <c r="E112" s="749"/>
      <c r="F112" s="749"/>
      <c r="G112" s="749"/>
      <c r="H112" s="750"/>
    </row>
    <row r="113" spans="1:8" ht="15.6" x14ac:dyDescent="0.3">
      <c r="A113" s="695" t="s">
        <v>197</v>
      </c>
      <c r="B113" s="696"/>
      <c r="C113" s="11" t="s">
        <v>3</v>
      </c>
      <c r="D113" s="26">
        <f>Mangochi!I113</f>
        <v>1179</v>
      </c>
      <c r="E113" s="26">
        <f>'Monkey Bay'!I113</f>
        <v>587</v>
      </c>
      <c r="F113" s="26">
        <f>Namwera!I113</f>
        <v>249</v>
      </c>
      <c r="G113" s="128"/>
      <c r="H113" s="32">
        <f>SUM(D113:F113)</f>
        <v>2015</v>
      </c>
    </row>
    <row r="114" spans="1:8" ht="15.6" x14ac:dyDescent="0.3">
      <c r="A114" s="695" t="s">
        <v>198</v>
      </c>
      <c r="B114" s="696"/>
      <c r="C114" s="11" t="s">
        <v>3</v>
      </c>
      <c r="D114" s="26">
        <f>Mangochi!I114</f>
        <v>0</v>
      </c>
      <c r="E114" s="26">
        <f>'Monkey Bay'!I114</f>
        <v>0</v>
      </c>
      <c r="F114" s="26">
        <f>Namwera!I114</f>
        <v>25</v>
      </c>
      <c r="G114" s="128"/>
      <c r="H114" s="32">
        <f>SUM(D114:F114)</f>
        <v>25</v>
      </c>
    </row>
    <row r="115" spans="1:8" ht="15.6" x14ac:dyDescent="0.3">
      <c r="A115" s="695" t="s">
        <v>199</v>
      </c>
      <c r="B115" s="696"/>
      <c r="C115" s="11" t="s">
        <v>3</v>
      </c>
      <c r="D115" s="26">
        <f>Mangochi!I115</f>
        <v>0</v>
      </c>
      <c r="E115" s="26">
        <f>'Monkey Bay'!I115</f>
        <v>0</v>
      </c>
      <c r="F115" s="26">
        <f>Namwera!I115</f>
        <v>5</v>
      </c>
      <c r="G115" s="128"/>
      <c r="H115" s="32">
        <f>SUM(D115:F115)</f>
        <v>5</v>
      </c>
    </row>
    <row r="116" spans="1:8" ht="15.6" x14ac:dyDescent="0.3">
      <c r="A116" s="695" t="s">
        <v>200</v>
      </c>
      <c r="B116" s="696"/>
      <c r="C116" s="11" t="s">
        <v>3</v>
      </c>
      <c r="D116" s="26">
        <f>Mangochi!I116</f>
        <v>0</v>
      </c>
      <c r="E116" s="26">
        <f>'Monkey Bay'!I116</f>
        <v>0</v>
      </c>
      <c r="F116" s="26">
        <f>Namwera!I116</f>
        <v>3</v>
      </c>
      <c r="G116" s="128"/>
      <c r="H116" s="32">
        <f>SUM(D116:F116)</f>
        <v>3</v>
      </c>
    </row>
    <row r="117" spans="1:8" ht="15.6" x14ac:dyDescent="0.3">
      <c r="A117" s="697" t="s">
        <v>94</v>
      </c>
      <c r="B117" s="698"/>
      <c r="C117" s="11" t="s">
        <v>3</v>
      </c>
      <c r="D117" s="33">
        <f>SUM(D113:D116)</f>
        <v>1179</v>
      </c>
      <c r="E117" s="33">
        <f t="shared" ref="E117:F117" si="33">SUM(E113:E116)</f>
        <v>587</v>
      </c>
      <c r="F117" s="33">
        <f t="shared" si="33"/>
        <v>282</v>
      </c>
      <c r="G117" s="33"/>
      <c r="H117" s="55">
        <f>SUM(H113:H116)</f>
        <v>2048</v>
      </c>
    </row>
    <row r="118" spans="1:8" s="2" customFormat="1" ht="15.6" x14ac:dyDescent="0.3">
      <c r="A118" s="177" t="s">
        <v>191</v>
      </c>
      <c r="B118" s="178"/>
      <c r="C118" s="11" t="s">
        <v>3</v>
      </c>
      <c r="D118" s="33">
        <f>D111+D117</f>
        <v>6022</v>
      </c>
      <c r="E118" s="33">
        <f t="shared" ref="E118:H118" si="34">E111+E117</f>
        <v>2028</v>
      </c>
      <c r="F118" s="33">
        <f t="shared" si="34"/>
        <v>527</v>
      </c>
      <c r="G118" s="33"/>
      <c r="H118" s="55">
        <f t="shared" si="34"/>
        <v>8577</v>
      </c>
    </row>
    <row r="119" spans="1:8" ht="15.6" x14ac:dyDescent="0.3">
      <c r="A119" s="697" t="s">
        <v>192</v>
      </c>
      <c r="B119" s="698"/>
      <c r="C119" s="11" t="s">
        <v>3</v>
      </c>
      <c r="D119" s="33">
        <f>D118+D105</f>
        <v>7975</v>
      </c>
      <c r="E119" s="33">
        <f t="shared" ref="E119:F119" si="35">E118+E105</f>
        <v>2425</v>
      </c>
      <c r="F119" s="33">
        <f t="shared" si="35"/>
        <v>759</v>
      </c>
      <c r="G119" s="33"/>
      <c r="H119" s="55">
        <f>H118+H105</f>
        <v>11159</v>
      </c>
    </row>
    <row r="120" spans="1:8" x14ac:dyDescent="0.3">
      <c r="A120" s="699" t="s">
        <v>201</v>
      </c>
      <c r="B120" s="700"/>
      <c r="C120" s="700"/>
      <c r="D120" s="700"/>
      <c r="E120" s="700"/>
      <c r="F120" s="700"/>
      <c r="G120" s="700"/>
      <c r="H120" s="701"/>
    </row>
    <row r="121" spans="1:8" ht="15.6" x14ac:dyDescent="0.3">
      <c r="A121" s="695" t="s">
        <v>93</v>
      </c>
      <c r="B121" s="696"/>
      <c r="C121" s="5" t="s">
        <v>3</v>
      </c>
      <c r="D121" s="26">
        <f>Mangochi!I121</f>
        <v>50781</v>
      </c>
      <c r="E121" s="26">
        <f>'Monkey Bay'!I121</f>
        <v>20698</v>
      </c>
      <c r="F121" s="26">
        <f>Namwera!I121</f>
        <v>9038</v>
      </c>
      <c r="G121" s="128"/>
      <c r="H121" s="32">
        <f>SUM(D121:F121)</f>
        <v>80517</v>
      </c>
    </row>
    <row r="122" spans="1:8" ht="15.6" x14ac:dyDescent="0.3">
      <c r="A122" s="695" t="s">
        <v>92</v>
      </c>
      <c r="B122" s="696"/>
      <c r="C122" s="5" t="s">
        <v>3</v>
      </c>
      <c r="D122" s="26">
        <f>Mangochi!I122</f>
        <v>47854</v>
      </c>
      <c r="E122" s="26">
        <f>'Monkey Bay'!I122</f>
        <v>17672</v>
      </c>
      <c r="F122" s="26">
        <f>Namwera!I122</f>
        <v>6606</v>
      </c>
      <c r="G122" s="128"/>
      <c r="H122" s="32">
        <f>SUM(D122:F122)</f>
        <v>72132</v>
      </c>
    </row>
    <row r="123" spans="1:8" ht="15.6" x14ac:dyDescent="0.3">
      <c r="A123" s="753" t="s">
        <v>91</v>
      </c>
      <c r="B123" s="754"/>
      <c r="C123" s="30" t="s">
        <v>6</v>
      </c>
      <c r="D123" s="29">
        <f t="shared" ref="D123:H123" si="36">D122/D121</f>
        <v>0.94236033162009414</v>
      </c>
      <c r="E123" s="29">
        <f t="shared" si="36"/>
        <v>0.85380229973910526</v>
      </c>
      <c r="F123" s="29">
        <f t="shared" si="36"/>
        <v>0.73091391900863023</v>
      </c>
      <c r="G123" s="678"/>
      <c r="H123" s="109">
        <f t="shared" si="36"/>
        <v>0.8958605015089981</v>
      </c>
    </row>
    <row r="124" spans="1:8" x14ac:dyDescent="0.3">
      <c r="A124" s="755" t="s">
        <v>90</v>
      </c>
      <c r="B124" s="756"/>
      <c r="C124" s="756"/>
      <c r="D124" s="756"/>
      <c r="E124" s="756"/>
      <c r="F124" s="756"/>
      <c r="G124" s="756"/>
      <c r="H124" s="757"/>
    </row>
    <row r="125" spans="1:8" ht="15.6" x14ac:dyDescent="0.3">
      <c r="A125" s="711" t="s">
        <v>224</v>
      </c>
      <c r="B125" s="24" t="s">
        <v>85</v>
      </c>
      <c r="C125" s="11" t="s">
        <v>3</v>
      </c>
      <c r="D125" s="26">
        <f>Mangochi!D125</f>
        <v>2</v>
      </c>
      <c r="E125" s="26">
        <f>'Monkey Bay'!D125</f>
        <v>0</v>
      </c>
      <c r="F125" s="26">
        <f>Namwera!D125</f>
        <v>0</v>
      </c>
      <c r="G125" s="128"/>
      <c r="H125" s="185">
        <f>SUM(D125:F125)</f>
        <v>2</v>
      </c>
    </row>
    <row r="126" spans="1:8" ht="15.6" x14ac:dyDescent="0.3">
      <c r="A126" s="761"/>
      <c r="B126" s="24" t="s">
        <v>84</v>
      </c>
      <c r="C126" s="11" t="s">
        <v>3</v>
      </c>
      <c r="D126" s="26">
        <f>Mangochi!D126+Mangochi!E126+Mangochi!F126+Mangochi!G126+Mangochi!H126+Mangochi!I126</f>
        <v>0</v>
      </c>
      <c r="E126" s="26">
        <f>'Monkey Bay'!D126+'Monkey Bay'!E126+'Monkey Bay'!F126+'Monkey Bay'!G126+'Monkey Bay'!H126+'Monkey Bay'!I126</f>
        <v>0</v>
      </c>
      <c r="F126" s="26">
        <f>Namwera!D126+Namwera!E126+Namwera!F126+Namwera!G126+Namwera!H126+Namwera!I126</f>
        <v>0</v>
      </c>
      <c r="G126" s="128"/>
      <c r="H126" s="185">
        <f>SUM(D126:F126)</f>
        <v>0</v>
      </c>
    </row>
    <row r="127" spans="1:8" ht="15.6" x14ac:dyDescent="0.3">
      <c r="A127" s="761"/>
      <c r="B127" s="82" t="s">
        <v>88</v>
      </c>
      <c r="C127" s="11" t="s">
        <v>3</v>
      </c>
      <c r="D127" s="26">
        <f>Mangochi!D127+Mangochi!E127+Mangochi!F127+Mangochi!G127+Mangochi!H127+Mangochi!I127</f>
        <v>0</v>
      </c>
      <c r="E127" s="26">
        <f>'Monkey Bay'!D127+'Monkey Bay'!E127+'Monkey Bay'!F127+'Monkey Bay'!G127+'Monkey Bay'!H127+'Monkey Bay'!I127</f>
        <v>0</v>
      </c>
      <c r="F127" s="26">
        <f>Namwera!D127+Namwera!E127+Namwera!F127+Namwera!G127+Namwera!H127+Namwera!I127</f>
        <v>0</v>
      </c>
      <c r="G127" s="128"/>
      <c r="H127" s="185">
        <f>SUM(D127:F127)</f>
        <v>0</v>
      </c>
    </row>
    <row r="128" spans="1:8" ht="15.6" x14ac:dyDescent="0.3">
      <c r="A128" s="761"/>
      <c r="B128" s="24" t="s">
        <v>82</v>
      </c>
      <c r="C128" s="11" t="s">
        <v>3</v>
      </c>
      <c r="D128" s="26">
        <f>Mangochi!D128+Mangochi!E128+Mangochi!F128+Mangochi!G128+Mangochi!H128+Mangochi!I128</f>
        <v>0</v>
      </c>
      <c r="E128" s="26">
        <f>'Monkey Bay'!D128+'Monkey Bay'!E128+'Monkey Bay'!F128+'Monkey Bay'!G128+'Monkey Bay'!H128+'Monkey Bay'!I128</f>
        <v>0</v>
      </c>
      <c r="F128" s="26">
        <f>Namwera!D128+Namwera!E128+Namwera!F128+Namwera!G128+Namwera!H128+Namwera!I128</f>
        <v>0</v>
      </c>
      <c r="G128" s="128"/>
      <c r="H128" s="185">
        <f>SUM(D128:F128)</f>
        <v>0</v>
      </c>
    </row>
    <row r="129" spans="1:8" ht="15.6" x14ac:dyDescent="0.3">
      <c r="A129" s="712"/>
      <c r="B129" s="24" t="s">
        <v>81</v>
      </c>
      <c r="C129" s="11" t="s">
        <v>3</v>
      </c>
      <c r="D129" s="140">
        <f t="shared" ref="D129:H129" si="37">D125+D126-D127-D128</f>
        <v>2</v>
      </c>
      <c r="E129" s="140">
        <f t="shared" si="37"/>
        <v>0</v>
      </c>
      <c r="F129" s="140">
        <f t="shared" si="37"/>
        <v>0</v>
      </c>
      <c r="G129" s="679"/>
      <c r="H129" s="35">
        <f t="shared" si="37"/>
        <v>2</v>
      </c>
    </row>
    <row r="130" spans="1:8" ht="15.6" x14ac:dyDescent="0.3">
      <c r="A130" s="711" t="s">
        <v>225</v>
      </c>
      <c r="B130" s="28" t="s">
        <v>85</v>
      </c>
      <c r="C130" s="27" t="s">
        <v>3</v>
      </c>
      <c r="D130" s="26">
        <f>Mangochi!D130</f>
        <v>0</v>
      </c>
      <c r="E130" s="26">
        <f>'Monkey Bay'!D130</f>
        <v>0</v>
      </c>
      <c r="F130" s="26">
        <f>Namwera!D130</f>
        <v>0</v>
      </c>
      <c r="G130" s="128"/>
      <c r="H130" s="185">
        <f>SUM(D130:F130)</f>
        <v>0</v>
      </c>
    </row>
    <row r="131" spans="1:8" ht="15.6" x14ac:dyDescent="0.3">
      <c r="A131" s="761"/>
      <c r="B131" s="24" t="s">
        <v>84</v>
      </c>
      <c r="C131" s="11" t="s">
        <v>3</v>
      </c>
      <c r="D131" s="26">
        <f>Mangochi!D131+Mangochi!E131+Mangochi!F131+Mangochi!G131+Mangochi!H131+Mangochi!I131</f>
        <v>0</v>
      </c>
      <c r="E131" s="26">
        <f>'Monkey Bay'!D131+'Monkey Bay'!E131+'Monkey Bay'!F131+'Monkey Bay'!G131+'Monkey Bay'!H131+'Monkey Bay'!I131</f>
        <v>0</v>
      </c>
      <c r="F131" s="26">
        <f>Namwera!D131+Namwera!E131+Namwera!F131+Namwera!G131+Namwera!H131+Namwera!I131</f>
        <v>0</v>
      </c>
      <c r="G131" s="128"/>
      <c r="H131" s="185">
        <f>SUM(D131:F131)</f>
        <v>0</v>
      </c>
    </row>
    <row r="132" spans="1:8" ht="15.6" x14ac:dyDescent="0.3">
      <c r="A132" s="761"/>
      <c r="B132" s="82" t="s">
        <v>88</v>
      </c>
      <c r="C132" s="11" t="s">
        <v>3</v>
      </c>
      <c r="D132" s="26">
        <f>Mangochi!D132+Mangochi!E132+Mangochi!F132+Mangochi!G132+Mangochi!H132+Mangochi!I132</f>
        <v>0</v>
      </c>
      <c r="E132" s="26">
        <f>'Monkey Bay'!D132+'Monkey Bay'!E132+'Monkey Bay'!F132+'Monkey Bay'!G132+'Monkey Bay'!H132+'Monkey Bay'!I132</f>
        <v>0</v>
      </c>
      <c r="F132" s="26">
        <f>Namwera!D132+Namwera!E132+Namwera!F132+Namwera!G132+Namwera!H132+Namwera!I132</f>
        <v>0</v>
      </c>
      <c r="G132" s="128"/>
      <c r="H132" s="185">
        <f>SUM(D132:F132)</f>
        <v>0</v>
      </c>
    </row>
    <row r="133" spans="1:8" ht="15.6" x14ac:dyDescent="0.3">
      <c r="A133" s="761"/>
      <c r="B133" s="24" t="s">
        <v>82</v>
      </c>
      <c r="C133" s="11" t="s">
        <v>3</v>
      </c>
      <c r="D133" s="26">
        <f>Mangochi!D133+Mangochi!E133+Mangochi!F133+Mangochi!G133+Mangochi!H133+Mangochi!I133</f>
        <v>0</v>
      </c>
      <c r="E133" s="26">
        <f>'Monkey Bay'!D133+'Monkey Bay'!E133+'Monkey Bay'!F133+'Monkey Bay'!G133+'Monkey Bay'!H133+'Monkey Bay'!I133</f>
        <v>0</v>
      </c>
      <c r="F133" s="26">
        <f>Namwera!D133+Namwera!E133+Namwera!F133+Namwera!G133+Namwera!H133+Namwera!I133</f>
        <v>0</v>
      </c>
      <c r="G133" s="128"/>
      <c r="H133" s="185">
        <f>SUM(D133:F133)</f>
        <v>0</v>
      </c>
    </row>
    <row r="134" spans="1:8" ht="15.6" x14ac:dyDescent="0.3">
      <c r="A134" s="712"/>
      <c r="B134" s="24" t="s">
        <v>81</v>
      </c>
      <c r="C134" s="11" t="s">
        <v>3</v>
      </c>
      <c r="D134" s="140">
        <f t="shared" ref="D134:H134" si="38">D130+D131-D132-D133</f>
        <v>0</v>
      </c>
      <c r="E134" s="140">
        <f t="shared" si="38"/>
        <v>0</v>
      </c>
      <c r="F134" s="140">
        <f t="shared" si="38"/>
        <v>0</v>
      </c>
      <c r="G134" s="679"/>
      <c r="H134" s="35">
        <f t="shared" si="38"/>
        <v>0</v>
      </c>
    </row>
    <row r="135" spans="1:8" ht="15.6" x14ac:dyDescent="0.3">
      <c r="A135" s="711" t="s">
        <v>89</v>
      </c>
      <c r="B135" s="24" t="s">
        <v>85</v>
      </c>
      <c r="C135" s="11" t="s">
        <v>3</v>
      </c>
      <c r="D135" s="26">
        <f>Mangochi!D135</f>
        <v>3</v>
      </c>
      <c r="E135" s="26">
        <f>'Monkey Bay'!D135</f>
        <v>0</v>
      </c>
      <c r="F135" s="26">
        <f>Namwera!D135</f>
        <v>0</v>
      </c>
      <c r="G135" s="128"/>
      <c r="H135" s="185">
        <f>SUM(D135:F135)</f>
        <v>3</v>
      </c>
    </row>
    <row r="136" spans="1:8" ht="15.6" x14ac:dyDescent="0.3">
      <c r="A136" s="761"/>
      <c r="B136" s="24" t="s">
        <v>84</v>
      </c>
      <c r="C136" s="11" t="s">
        <v>3</v>
      </c>
      <c r="D136" s="26">
        <f>Mangochi!D136+Mangochi!E136+Mangochi!F136+Mangochi!G136+Mangochi!H136+Mangochi!I136</f>
        <v>0</v>
      </c>
      <c r="E136" s="26">
        <f>'Monkey Bay'!D136+'Monkey Bay'!E136+'Monkey Bay'!F136+'Monkey Bay'!G136+'Monkey Bay'!H136+'Monkey Bay'!I136</f>
        <v>0</v>
      </c>
      <c r="F136" s="26">
        <f>Namwera!D136+Namwera!E136+Namwera!F136+Namwera!G136+Namwera!H136+Namwera!I136</f>
        <v>0</v>
      </c>
      <c r="G136" s="128"/>
      <c r="H136" s="185">
        <f>SUM(D136:F136)</f>
        <v>0</v>
      </c>
    </row>
    <row r="137" spans="1:8" ht="15.6" x14ac:dyDescent="0.3">
      <c r="A137" s="761"/>
      <c r="B137" s="82" t="s">
        <v>88</v>
      </c>
      <c r="C137" s="11" t="s">
        <v>3</v>
      </c>
      <c r="D137" s="26">
        <f>Mangochi!D137+Mangochi!E137+Mangochi!F137+Mangochi!G137+Mangochi!H137+Mangochi!I137</f>
        <v>0</v>
      </c>
      <c r="E137" s="26">
        <f>'Monkey Bay'!D137+'Monkey Bay'!E137+'Monkey Bay'!F137+'Monkey Bay'!G137+'Monkey Bay'!H137+'Monkey Bay'!I137</f>
        <v>0</v>
      </c>
      <c r="F137" s="26">
        <f>Namwera!D137+Namwera!E137+Namwera!F137+Namwera!G137+Namwera!H137+Namwera!I137</f>
        <v>0</v>
      </c>
      <c r="G137" s="128"/>
      <c r="H137" s="185">
        <f>SUM(D137:F137)</f>
        <v>0</v>
      </c>
    </row>
    <row r="138" spans="1:8" ht="15.6" x14ac:dyDescent="0.3">
      <c r="A138" s="761"/>
      <c r="B138" s="24" t="s">
        <v>82</v>
      </c>
      <c r="C138" s="11" t="s">
        <v>3</v>
      </c>
      <c r="D138" s="26">
        <f>Mangochi!D138+Mangochi!E138+Mangochi!F138+Mangochi!G138+Mangochi!H138+Mangochi!I138</f>
        <v>0</v>
      </c>
      <c r="E138" s="26">
        <f>'Monkey Bay'!D138+'Monkey Bay'!E138+'Monkey Bay'!F138+'Monkey Bay'!G138+'Monkey Bay'!H138+'Monkey Bay'!I138</f>
        <v>0</v>
      </c>
      <c r="F138" s="26">
        <f>Namwera!D138+Namwera!E138+Namwera!F138+Namwera!G138+Namwera!H138+Namwera!I138</f>
        <v>0</v>
      </c>
      <c r="G138" s="128"/>
      <c r="H138" s="185">
        <f>SUM(D138:F138)</f>
        <v>0</v>
      </c>
    </row>
    <row r="139" spans="1:8" ht="15.6" x14ac:dyDescent="0.3">
      <c r="A139" s="712"/>
      <c r="B139" s="24" t="s">
        <v>81</v>
      </c>
      <c r="C139" s="11" t="s">
        <v>3</v>
      </c>
      <c r="D139" s="140">
        <f t="shared" ref="D139:H139" si="39">D135+D136-D137-D138</f>
        <v>3</v>
      </c>
      <c r="E139" s="140">
        <f t="shared" si="39"/>
        <v>0</v>
      </c>
      <c r="F139" s="140">
        <f t="shared" si="39"/>
        <v>0</v>
      </c>
      <c r="G139" s="679"/>
      <c r="H139" s="35">
        <f t="shared" si="39"/>
        <v>3</v>
      </c>
    </row>
    <row r="140" spans="1:8" ht="15.6" x14ac:dyDescent="0.3">
      <c r="A140" s="711" t="s">
        <v>87</v>
      </c>
      <c r="B140" s="24" t="s">
        <v>85</v>
      </c>
      <c r="C140" s="11" t="s">
        <v>3</v>
      </c>
      <c r="D140" s="26">
        <f>Mangochi!D140</f>
        <v>1231</v>
      </c>
      <c r="E140" s="26">
        <f>'Monkey Bay'!D140</f>
        <v>60</v>
      </c>
      <c r="F140" s="26">
        <f>Namwera!D140</f>
        <v>1</v>
      </c>
      <c r="G140" s="128"/>
      <c r="H140" s="185">
        <f>SUM(D140:F140)</f>
        <v>1292</v>
      </c>
    </row>
    <row r="141" spans="1:8" ht="15.6" x14ac:dyDescent="0.3">
      <c r="A141" s="761"/>
      <c r="B141" s="24" t="s">
        <v>84</v>
      </c>
      <c r="C141" s="11" t="s">
        <v>3</v>
      </c>
      <c r="D141" s="26">
        <f>Mangochi!D141+Mangochi!E141+Mangochi!F141+Mangochi!G141+Mangochi!H141+Mangochi!I141</f>
        <v>0</v>
      </c>
      <c r="E141" s="26">
        <f>'Monkey Bay'!D141+'Monkey Bay'!E141+'Monkey Bay'!F141+'Monkey Bay'!G141+'Monkey Bay'!H141+'Monkey Bay'!I141</f>
        <v>123</v>
      </c>
      <c r="F141" s="26">
        <f>Namwera!D141+Namwera!E141+Namwera!F141+Namwera!G141+Namwera!H141+Namwera!I141</f>
        <v>33</v>
      </c>
      <c r="G141" s="128"/>
      <c r="H141" s="185">
        <f>SUM(D141:F141)</f>
        <v>156</v>
      </c>
    </row>
    <row r="142" spans="1:8" ht="15.6" x14ac:dyDescent="0.3">
      <c r="A142" s="761"/>
      <c r="B142" s="24" t="s">
        <v>83</v>
      </c>
      <c r="C142" s="11" t="s">
        <v>3</v>
      </c>
      <c r="D142" s="26">
        <f>Mangochi!D142+Mangochi!E142+Mangochi!F142+Mangochi!G142+Mangochi!H142+Mangochi!I142</f>
        <v>0</v>
      </c>
      <c r="E142" s="26">
        <f>'Monkey Bay'!D142+'Monkey Bay'!E142+'Monkey Bay'!F142+'Monkey Bay'!G142+'Monkey Bay'!H142+'Monkey Bay'!I142</f>
        <v>32</v>
      </c>
      <c r="F142" s="26">
        <f>Namwera!D142+Namwera!E142+Namwera!F142+Namwera!G142+Namwera!H142+Namwera!I142</f>
        <v>13</v>
      </c>
      <c r="G142" s="128"/>
      <c r="H142" s="185">
        <f>SUM(D142:F142)</f>
        <v>45</v>
      </c>
    </row>
    <row r="143" spans="1:8" ht="15.6" x14ac:dyDescent="0.3">
      <c r="A143" s="761"/>
      <c r="B143" s="24" t="s">
        <v>82</v>
      </c>
      <c r="C143" s="11" t="s">
        <v>3</v>
      </c>
      <c r="D143" s="26">
        <f>Mangochi!D143+Mangochi!E143+Mangochi!F143+Mangochi!G143+Mangochi!H143+Mangochi!I143</f>
        <v>99</v>
      </c>
      <c r="E143" s="26">
        <f>'Monkey Bay'!D143+'Monkey Bay'!E143+'Monkey Bay'!F143+'Monkey Bay'!G143+'Monkey Bay'!H143+'Monkey Bay'!I143</f>
        <v>32</v>
      </c>
      <c r="F143" s="26">
        <f>Namwera!D143+Namwera!E143+Namwera!F143+Namwera!G143+Namwera!H143+Namwera!I143</f>
        <v>14</v>
      </c>
      <c r="G143" s="128"/>
      <c r="H143" s="185">
        <f>SUM(D143:F143)</f>
        <v>145</v>
      </c>
    </row>
    <row r="144" spans="1:8" ht="15.6" x14ac:dyDescent="0.3">
      <c r="A144" s="712"/>
      <c r="B144" s="24" t="s">
        <v>81</v>
      </c>
      <c r="C144" s="11" t="s">
        <v>3</v>
      </c>
      <c r="D144" s="140">
        <f t="shared" ref="D144:H144" si="40">D140+D141-D142-D143</f>
        <v>1132</v>
      </c>
      <c r="E144" s="140">
        <f t="shared" si="40"/>
        <v>119</v>
      </c>
      <c r="F144" s="140">
        <f t="shared" si="40"/>
        <v>7</v>
      </c>
      <c r="G144" s="679"/>
      <c r="H144" s="35">
        <f t="shared" si="40"/>
        <v>1258</v>
      </c>
    </row>
    <row r="145" spans="1:8" s="2" customFormat="1" ht="15.6" x14ac:dyDescent="0.3">
      <c r="A145" s="711" t="s">
        <v>86</v>
      </c>
      <c r="B145" s="24" t="s">
        <v>85</v>
      </c>
      <c r="C145" s="11" t="s">
        <v>3</v>
      </c>
      <c r="D145" s="141">
        <f t="shared" ref="D145:F145" si="41">D125+D130+D135+D140</f>
        <v>1236</v>
      </c>
      <c r="E145" s="141">
        <f t="shared" si="41"/>
        <v>60</v>
      </c>
      <c r="F145" s="141">
        <f t="shared" si="41"/>
        <v>1</v>
      </c>
      <c r="G145" s="135"/>
      <c r="H145" s="110">
        <f t="shared" ref="H145:H149" si="42">H125+H130+H135+H140</f>
        <v>1297</v>
      </c>
    </row>
    <row r="146" spans="1:8" ht="15.6" x14ac:dyDescent="0.3">
      <c r="A146" s="761"/>
      <c r="B146" s="24" t="s">
        <v>84</v>
      </c>
      <c r="C146" s="11" t="s">
        <v>3</v>
      </c>
      <c r="D146" s="141">
        <f t="shared" ref="D146:F148" si="43">D126+D131+D136+D141</f>
        <v>0</v>
      </c>
      <c r="E146" s="141">
        <f t="shared" si="43"/>
        <v>123</v>
      </c>
      <c r="F146" s="141">
        <f t="shared" si="43"/>
        <v>33</v>
      </c>
      <c r="G146" s="135"/>
      <c r="H146" s="110">
        <f t="shared" si="42"/>
        <v>156</v>
      </c>
    </row>
    <row r="147" spans="1:8" ht="15.6" x14ac:dyDescent="0.3">
      <c r="A147" s="761"/>
      <c r="B147" s="24" t="s">
        <v>83</v>
      </c>
      <c r="C147" s="11" t="s">
        <v>3</v>
      </c>
      <c r="D147" s="141">
        <f t="shared" si="43"/>
        <v>0</v>
      </c>
      <c r="E147" s="141">
        <f t="shared" si="43"/>
        <v>32</v>
      </c>
      <c r="F147" s="141">
        <f t="shared" si="43"/>
        <v>13</v>
      </c>
      <c r="G147" s="135"/>
      <c r="H147" s="110">
        <f t="shared" si="42"/>
        <v>45</v>
      </c>
    </row>
    <row r="148" spans="1:8" ht="15.6" x14ac:dyDescent="0.3">
      <c r="A148" s="761"/>
      <c r="B148" s="24" t="s">
        <v>82</v>
      </c>
      <c r="C148" s="11" t="s">
        <v>3</v>
      </c>
      <c r="D148" s="141">
        <f t="shared" si="43"/>
        <v>99</v>
      </c>
      <c r="E148" s="141">
        <f t="shared" si="43"/>
        <v>32</v>
      </c>
      <c r="F148" s="141">
        <f t="shared" si="43"/>
        <v>14</v>
      </c>
      <c r="G148" s="135"/>
      <c r="H148" s="110">
        <f t="shared" si="42"/>
        <v>145</v>
      </c>
    </row>
    <row r="149" spans="1:8" ht="15.6" x14ac:dyDescent="0.3">
      <c r="A149" s="712"/>
      <c r="B149" s="24" t="s">
        <v>81</v>
      </c>
      <c r="C149" s="11" t="s">
        <v>3</v>
      </c>
      <c r="D149" s="140">
        <f t="shared" ref="D149:F149" si="44">D145+D146-D147-D148</f>
        <v>1137</v>
      </c>
      <c r="E149" s="140">
        <f t="shared" si="44"/>
        <v>119</v>
      </c>
      <c r="F149" s="140">
        <f t="shared" si="44"/>
        <v>7</v>
      </c>
      <c r="G149" s="679"/>
      <c r="H149" s="110">
        <f t="shared" si="42"/>
        <v>1263</v>
      </c>
    </row>
    <row r="150" spans="1:8" x14ac:dyDescent="0.3">
      <c r="A150" s="699" t="s">
        <v>80</v>
      </c>
      <c r="B150" s="700"/>
      <c r="C150" s="700"/>
      <c r="D150" s="700"/>
      <c r="E150" s="700"/>
      <c r="F150" s="700"/>
      <c r="G150" s="700"/>
      <c r="H150" s="701"/>
    </row>
    <row r="151" spans="1:8" ht="15.6" customHeight="1" x14ac:dyDescent="0.3">
      <c r="A151" s="793" t="s">
        <v>79</v>
      </c>
      <c r="B151" s="794"/>
      <c r="C151" s="794"/>
      <c r="D151" s="794"/>
      <c r="E151" s="794"/>
      <c r="F151" s="794"/>
      <c r="G151" s="794"/>
      <c r="H151" s="795"/>
    </row>
    <row r="152" spans="1:8" ht="15.6" x14ac:dyDescent="0.3">
      <c r="A152" s="758" t="s">
        <v>78</v>
      </c>
      <c r="B152" s="92" t="s">
        <v>63</v>
      </c>
      <c r="C152" s="11"/>
      <c r="D152" s="15"/>
      <c r="E152" s="15"/>
      <c r="F152" s="15"/>
      <c r="G152" s="22"/>
      <c r="H152" s="9"/>
    </row>
    <row r="153" spans="1:8" ht="15.6" x14ac:dyDescent="0.3">
      <c r="A153" s="759"/>
      <c r="B153" s="19" t="s">
        <v>73</v>
      </c>
      <c r="C153" s="11" t="s">
        <v>57</v>
      </c>
      <c r="D153" s="26">
        <f>Mangochi!D153+Mangochi!E153+Mangochi!F153+Mangochi!G153+Mangochi!H153+Mangochi!I153</f>
        <v>319</v>
      </c>
      <c r="E153" s="26">
        <f>'Monkey Bay'!D153+'Monkey Bay'!E153+'Monkey Bay'!F153+'Monkey Bay'!G153+'Monkey Bay'!H153+'Monkey Bay'!I153</f>
        <v>106</v>
      </c>
      <c r="F153" s="26">
        <f>Namwera!D153+Namwera!E153+Namwera!F153+Namwera!G153+Namwera!H153+Namwera!I153</f>
        <v>156</v>
      </c>
      <c r="G153" s="128"/>
      <c r="H153" s="74">
        <f t="shared" ref="H153:H165" si="45">SUM(D153:F153)</f>
        <v>581</v>
      </c>
    </row>
    <row r="154" spans="1:8" ht="15.6" x14ac:dyDescent="0.3">
      <c r="A154" s="759"/>
      <c r="B154" s="19" t="s">
        <v>72</v>
      </c>
      <c r="C154" s="11" t="s">
        <v>57</v>
      </c>
      <c r="D154" s="26">
        <f>Mangochi!D154+Mangochi!E154+Mangochi!F154+Mangochi!G154+Mangochi!H154+Mangochi!I154</f>
        <v>250</v>
      </c>
      <c r="E154" s="26">
        <f>'Monkey Bay'!D154+'Monkey Bay'!E154+'Monkey Bay'!F154+'Monkey Bay'!G154+'Monkey Bay'!H154+'Monkey Bay'!I154</f>
        <v>58</v>
      </c>
      <c r="F154" s="26">
        <f>Namwera!D154+Namwera!E154+Namwera!F154+Namwera!G154+Namwera!H154+Namwera!I154</f>
        <v>60</v>
      </c>
      <c r="G154" s="128"/>
      <c r="H154" s="74">
        <f t="shared" si="45"/>
        <v>368</v>
      </c>
    </row>
    <row r="155" spans="1:8" ht="15.6" x14ac:dyDescent="0.3">
      <c r="A155" s="759"/>
      <c r="B155" s="19" t="s">
        <v>53</v>
      </c>
      <c r="C155" s="11" t="s">
        <v>57</v>
      </c>
      <c r="D155" s="26">
        <f>Mangochi!D155+Mangochi!E155+Mangochi!F155+Mangochi!G155+Mangochi!H155+Mangochi!I155</f>
        <v>81</v>
      </c>
      <c r="E155" s="26">
        <f>'Monkey Bay'!D155+'Monkey Bay'!E155+'Monkey Bay'!F155+'Monkey Bay'!G155+'Monkey Bay'!H155+'Monkey Bay'!I155</f>
        <v>22</v>
      </c>
      <c r="F155" s="26">
        <f>Namwera!D155+Namwera!E155+Namwera!F155+Namwera!G155+Namwera!H155+Namwera!I155</f>
        <v>13</v>
      </c>
      <c r="G155" s="128"/>
      <c r="H155" s="74">
        <f t="shared" si="45"/>
        <v>116</v>
      </c>
    </row>
    <row r="156" spans="1:8" ht="15.6" x14ac:dyDescent="0.3">
      <c r="A156" s="759"/>
      <c r="B156" s="19" t="s">
        <v>71</v>
      </c>
      <c r="C156" s="11" t="s">
        <v>57</v>
      </c>
      <c r="D156" s="26">
        <f>Mangochi!D156+Mangochi!E156+Mangochi!F156+Mangochi!G156+Mangochi!H156+Mangochi!I156</f>
        <v>65</v>
      </c>
      <c r="E156" s="26">
        <f>'Monkey Bay'!D156+'Monkey Bay'!E156+'Monkey Bay'!F156+'Monkey Bay'!G156+'Monkey Bay'!H156+'Monkey Bay'!I156</f>
        <v>3</v>
      </c>
      <c r="F156" s="26">
        <f>Namwera!D156+Namwera!E156+Namwera!F156+Namwera!G156+Namwera!H156+Namwera!I156</f>
        <v>8</v>
      </c>
      <c r="G156" s="128"/>
      <c r="H156" s="74">
        <f t="shared" si="45"/>
        <v>76</v>
      </c>
    </row>
    <row r="157" spans="1:8" ht="15.6" x14ac:dyDescent="0.3">
      <c r="A157" s="759"/>
      <c r="B157" s="19" t="s">
        <v>52</v>
      </c>
      <c r="C157" s="11" t="s">
        <v>57</v>
      </c>
      <c r="D157" s="26">
        <f>Mangochi!D157+Mangochi!E157+Mangochi!F157+Mangochi!G157+Mangochi!H157+Mangochi!I157</f>
        <v>21</v>
      </c>
      <c r="E157" s="26">
        <f>'Monkey Bay'!D157+'Monkey Bay'!E157+'Monkey Bay'!F157+'Monkey Bay'!G157+'Monkey Bay'!H157+'Monkey Bay'!I157</f>
        <v>4</v>
      </c>
      <c r="F157" s="26">
        <f>Namwera!D157+Namwera!E157+Namwera!F157+Namwera!G157+Namwera!H157+Namwera!I157</f>
        <v>6</v>
      </c>
      <c r="G157" s="128"/>
      <c r="H157" s="74">
        <f t="shared" si="45"/>
        <v>31</v>
      </c>
    </row>
    <row r="158" spans="1:8" ht="15.6" x14ac:dyDescent="0.3">
      <c r="A158" s="759"/>
      <c r="B158" s="19" t="s">
        <v>51</v>
      </c>
      <c r="C158" s="11" t="s">
        <v>57</v>
      </c>
      <c r="D158" s="26">
        <f>Mangochi!D158+Mangochi!E158+Mangochi!F158+Mangochi!G158+Mangochi!H158+Mangochi!I158</f>
        <v>15</v>
      </c>
      <c r="E158" s="26">
        <f>'Monkey Bay'!D158+'Monkey Bay'!E158+'Monkey Bay'!F158+'Monkey Bay'!G158+'Monkey Bay'!H158+'Monkey Bay'!I158</f>
        <v>10</v>
      </c>
      <c r="F158" s="26">
        <f>Namwera!D158+Namwera!E158+Namwera!F158+Namwera!G158+Namwera!H158+Namwera!I158</f>
        <v>16</v>
      </c>
      <c r="G158" s="128"/>
      <c r="H158" s="74">
        <f t="shared" si="45"/>
        <v>41</v>
      </c>
    </row>
    <row r="159" spans="1:8" ht="15.6" x14ac:dyDescent="0.3">
      <c r="A159" s="759"/>
      <c r="B159" s="19" t="s">
        <v>62</v>
      </c>
      <c r="C159" s="11" t="s">
        <v>57</v>
      </c>
      <c r="D159" s="26">
        <f>Mangochi!D159+Mangochi!E159+Mangochi!F159+Mangochi!G159+Mangochi!H159+Mangochi!I159</f>
        <v>1</v>
      </c>
      <c r="E159" s="26">
        <f>'Monkey Bay'!D159+'Monkey Bay'!E159+'Monkey Bay'!F159+'Monkey Bay'!G159+'Monkey Bay'!H159+'Monkey Bay'!I159</f>
        <v>0</v>
      </c>
      <c r="F159" s="26">
        <f>Namwera!D159+Namwera!E159+Namwera!F159+Namwera!G159+Namwera!H159+Namwera!I159</f>
        <v>3</v>
      </c>
      <c r="G159" s="128"/>
      <c r="H159" s="74">
        <f t="shared" si="45"/>
        <v>4</v>
      </c>
    </row>
    <row r="160" spans="1:8" ht="15.6" x14ac:dyDescent="0.3">
      <c r="A160" s="759"/>
      <c r="B160" s="19" t="s">
        <v>50</v>
      </c>
      <c r="C160" s="11" t="s">
        <v>57</v>
      </c>
      <c r="D160" s="26">
        <f>Mangochi!D160+Mangochi!E160+Mangochi!F160+Mangochi!G160+Mangochi!H160+Mangochi!I160</f>
        <v>3</v>
      </c>
      <c r="E160" s="26">
        <f>'Monkey Bay'!D160+'Monkey Bay'!E160+'Monkey Bay'!F160+'Monkey Bay'!G160+'Monkey Bay'!H160+'Monkey Bay'!I160</f>
        <v>4</v>
      </c>
      <c r="F160" s="26">
        <f>Namwera!D160+Namwera!E160+Namwera!F160+Namwera!G160+Namwera!H160+Namwera!I160</f>
        <v>1</v>
      </c>
      <c r="G160" s="128"/>
      <c r="H160" s="74">
        <f t="shared" si="45"/>
        <v>8</v>
      </c>
    </row>
    <row r="161" spans="1:8" ht="15.6" x14ac:dyDescent="0.3">
      <c r="A161" s="759"/>
      <c r="B161" s="19" t="s">
        <v>49</v>
      </c>
      <c r="C161" s="11" t="s">
        <v>57</v>
      </c>
      <c r="D161" s="26">
        <f>Mangochi!D161+Mangochi!E161+Mangochi!F161+Mangochi!G161+Mangochi!H161+Mangochi!I161</f>
        <v>7</v>
      </c>
      <c r="E161" s="26">
        <f>'Monkey Bay'!D161+'Monkey Bay'!E161+'Monkey Bay'!F161+'Monkey Bay'!G161+'Monkey Bay'!H161+'Monkey Bay'!I161</f>
        <v>9</v>
      </c>
      <c r="F161" s="26">
        <f>Namwera!D161+Namwera!E161+Namwera!F161+Namwera!G161+Namwera!H161+Namwera!I161</f>
        <v>2</v>
      </c>
      <c r="G161" s="128"/>
      <c r="H161" s="74">
        <f t="shared" si="45"/>
        <v>18</v>
      </c>
    </row>
    <row r="162" spans="1:8" ht="15.6" x14ac:dyDescent="0.3">
      <c r="A162" s="759"/>
      <c r="B162" s="19" t="s">
        <v>77</v>
      </c>
      <c r="C162" s="11" t="s">
        <v>57</v>
      </c>
      <c r="D162" s="26">
        <f>Mangochi!D162+Mangochi!E162+Mangochi!F162+Mangochi!G162+Mangochi!H162+Mangochi!I162</f>
        <v>4</v>
      </c>
      <c r="E162" s="26">
        <f>'Monkey Bay'!D162+'Monkey Bay'!E162+'Monkey Bay'!F162+'Monkey Bay'!G162+'Monkey Bay'!H162+'Monkey Bay'!I162</f>
        <v>0</v>
      </c>
      <c r="F162" s="26">
        <f>Namwera!D162+Namwera!E162+Namwera!F162+Namwera!G162+Namwera!H162+Namwera!I162</f>
        <v>0</v>
      </c>
      <c r="G162" s="128"/>
      <c r="H162" s="74">
        <f t="shared" si="45"/>
        <v>4</v>
      </c>
    </row>
    <row r="163" spans="1:8" ht="15.6" x14ac:dyDescent="0.3">
      <c r="A163" s="759"/>
      <c r="B163" s="19" t="s">
        <v>69</v>
      </c>
      <c r="C163" s="11" t="s">
        <v>57</v>
      </c>
      <c r="D163" s="26">
        <f>Mangochi!D163+Mangochi!E163+Mangochi!F163+Mangochi!G163+Mangochi!H163+Mangochi!I163</f>
        <v>1</v>
      </c>
      <c r="E163" s="26">
        <f>'Monkey Bay'!D163+'Monkey Bay'!E163+'Monkey Bay'!F163+'Monkey Bay'!G163+'Monkey Bay'!H163+'Monkey Bay'!I163</f>
        <v>0</v>
      </c>
      <c r="F163" s="26">
        <f>Namwera!D163+Namwera!E163+Namwera!F163+Namwera!G163+Namwera!H163+Namwera!I163</f>
        <v>0</v>
      </c>
      <c r="G163" s="128"/>
      <c r="H163" s="74">
        <f t="shared" si="45"/>
        <v>1</v>
      </c>
    </row>
    <row r="164" spans="1:8" ht="15.6" x14ac:dyDescent="0.3">
      <c r="A164" s="759"/>
      <c r="B164" s="19" t="s">
        <v>68</v>
      </c>
      <c r="C164" s="11" t="s">
        <v>57</v>
      </c>
      <c r="D164" s="26">
        <f>Mangochi!D164+Mangochi!E164+Mangochi!F164+Mangochi!G164+Mangochi!H164+Mangochi!I164</f>
        <v>0</v>
      </c>
      <c r="E164" s="26">
        <f>'Monkey Bay'!D164+'Monkey Bay'!E164+'Monkey Bay'!F164+'Monkey Bay'!G164+'Monkey Bay'!H164+'Monkey Bay'!I164</f>
        <v>0</v>
      </c>
      <c r="F164" s="26">
        <f>Namwera!D164+Namwera!E164+Namwera!F164+Namwera!G164+Namwera!H164+Namwera!I164</f>
        <v>0</v>
      </c>
      <c r="G164" s="128"/>
      <c r="H164" s="74">
        <f t="shared" si="45"/>
        <v>0</v>
      </c>
    </row>
    <row r="165" spans="1:8" ht="15.6" x14ac:dyDescent="0.3">
      <c r="A165" s="760"/>
      <c r="B165" s="19" t="s">
        <v>76</v>
      </c>
      <c r="C165" s="11" t="s">
        <v>57</v>
      </c>
      <c r="D165" s="26">
        <f>Mangochi!D165+Mangochi!E165+Mangochi!F165+Mangochi!G165+Mangochi!H165+Mangochi!I165</f>
        <v>0</v>
      </c>
      <c r="E165" s="26">
        <f>'Monkey Bay'!D165+'Monkey Bay'!E165+'Monkey Bay'!F165+'Monkey Bay'!G165+'Monkey Bay'!H165+'Monkey Bay'!I165</f>
        <v>0</v>
      </c>
      <c r="F165" s="26">
        <f>Namwera!D165+Namwera!E165+Namwera!F165+Namwera!G165+Namwera!H165+Namwera!I165</f>
        <v>0</v>
      </c>
      <c r="G165" s="128"/>
      <c r="H165" s="74">
        <f t="shared" si="45"/>
        <v>0</v>
      </c>
    </row>
    <row r="166" spans="1:8" ht="15.6" x14ac:dyDescent="0.3">
      <c r="A166" s="758" t="s">
        <v>75</v>
      </c>
      <c r="B166" s="21" t="s">
        <v>63</v>
      </c>
      <c r="C166" s="11"/>
      <c r="D166" s="4"/>
      <c r="E166" s="4"/>
      <c r="F166" s="4"/>
      <c r="G166" s="673"/>
      <c r="H166" s="74"/>
    </row>
    <row r="167" spans="1:8" ht="15.6" x14ac:dyDescent="0.3">
      <c r="A167" s="759"/>
      <c r="B167" s="19" t="s">
        <v>74</v>
      </c>
      <c r="C167" s="11" t="s">
        <v>57</v>
      </c>
      <c r="D167" s="26">
        <f>Mangochi!D167+Mangochi!E167+Mangochi!F167+Mangochi!G167+Mangochi!H167+Mangochi!I167</f>
        <v>0</v>
      </c>
      <c r="E167" s="26">
        <f>'Monkey Bay'!D167+'Monkey Bay'!E167+'Monkey Bay'!F167+'Monkey Bay'!G167+'Monkey Bay'!H167+'Monkey Bay'!I167</f>
        <v>10</v>
      </c>
      <c r="F167" s="26">
        <f>Namwera!D167+Namwera!E167+Namwera!F167+Namwera!G167+Namwera!H167+Namwera!I167</f>
        <v>0</v>
      </c>
      <c r="G167" s="128"/>
      <c r="H167" s="74">
        <f t="shared" ref="H167:H175" si="46">SUM(D167:F167)</f>
        <v>10</v>
      </c>
    </row>
    <row r="168" spans="1:8" ht="15.6" x14ac:dyDescent="0.3">
      <c r="A168" s="759"/>
      <c r="B168" s="19" t="s">
        <v>73</v>
      </c>
      <c r="C168" s="11" t="s">
        <v>57</v>
      </c>
      <c r="D168" s="26">
        <f>Mangochi!D168+Mangochi!E168+Mangochi!F168+Mangochi!G168+Mangochi!H168+Mangochi!I168</f>
        <v>0</v>
      </c>
      <c r="E168" s="26">
        <f>'Monkey Bay'!D168+'Monkey Bay'!E168+'Monkey Bay'!F168+'Monkey Bay'!G168+'Monkey Bay'!H168+'Monkey Bay'!I168</f>
        <v>5</v>
      </c>
      <c r="F168" s="26">
        <f>Namwera!D168+Namwera!E168+Namwera!F168+Namwera!G168+Namwera!H168+Namwera!I168</f>
        <v>0</v>
      </c>
      <c r="G168" s="128"/>
      <c r="H168" s="74">
        <f t="shared" si="46"/>
        <v>5</v>
      </c>
    </row>
    <row r="169" spans="1:8" ht="15.6" x14ac:dyDescent="0.3">
      <c r="A169" s="759"/>
      <c r="B169" s="19" t="s">
        <v>72</v>
      </c>
      <c r="C169" s="11" t="s">
        <v>57</v>
      </c>
      <c r="D169" s="26">
        <f>Mangochi!D169+Mangochi!E169+Mangochi!F169+Mangochi!G169+Mangochi!H169+Mangochi!I169</f>
        <v>0</v>
      </c>
      <c r="E169" s="26">
        <f>'Monkey Bay'!D169+'Monkey Bay'!E169+'Monkey Bay'!F169+'Monkey Bay'!G169+'Monkey Bay'!H169+'Monkey Bay'!I169</f>
        <v>2</v>
      </c>
      <c r="F169" s="26">
        <f>Namwera!D169+Namwera!E169+Namwera!F169+Namwera!G169+Namwera!H169+Namwera!I169</f>
        <v>0</v>
      </c>
      <c r="G169" s="128"/>
      <c r="H169" s="74">
        <f t="shared" si="46"/>
        <v>2</v>
      </c>
    </row>
    <row r="170" spans="1:8" ht="15.6" x14ac:dyDescent="0.3">
      <c r="A170" s="759"/>
      <c r="B170" s="19" t="s">
        <v>71</v>
      </c>
      <c r="C170" s="11" t="s">
        <v>57</v>
      </c>
      <c r="D170" s="26">
        <f>Mangochi!D170+Mangochi!E170+Mangochi!F170+Mangochi!G170+Mangochi!H170+Mangochi!I170</f>
        <v>0</v>
      </c>
      <c r="E170" s="26">
        <f>'Monkey Bay'!D170+'Monkey Bay'!E170+'Monkey Bay'!F170+'Monkey Bay'!G170+'Monkey Bay'!H170+'Monkey Bay'!I170</f>
        <v>0</v>
      </c>
      <c r="F170" s="26">
        <f>Namwera!D170+Namwera!E170+Namwera!F170+Namwera!G170+Namwera!H170+Namwera!I170</f>
        <v>0</v>
      </c>
      <c r="G170" s="128"/>
      <c r="H170" s="74">
        <f t="shared" si="46"/>
        <v>0</v>
      </c>
    </row>
    <row r="171" spans="1:8" ht="15.6" x14ac:dyDescent="0.3">
      <c r="A171" s="759"/>
      <c r="B171" s="19" t="s">
        <v>52</v>
      </c>
      <c r="C171" s="11" t="s">
        <v>57</v>
      </c>
      <c r="D171" s="26">
        <f>Mangochi!D171+Mangochi!E171+Mangochi!F171+Mangochi!G171+Mangochi!H171+Mangochi!I171</f>
        <v>0</v>
      </c>
      <c r="E171" s="26">
        <f>'Monkey Bay'!D171+'Monkey Bay'!E171+'Monkey Bay'!F171+'Monkey Bay'!G171+'Monkey Bay'!H171+'Monkey Bay'!I171</f>
        <v>0</v>
      </c>
      <c r="F171" s="26">
        <f>Namwera!D171+Namwera!E171+Namwera!F171+Namwera!G171+Namwera!H171+Namwera!I171</f>
        <v>0</v>
      </c>
      <c r="G171" s="128"/>
      <c r="H171" s="74">
        <f t="shared" si="46"/>
        <v>0</v>
      </c>
    </row>
    <row r="172" spans="1:8" ht="15.6" x14ac:dyDescent="0.3">
      <c r="A172" s="759"/>
      <c r="B172" s="19" t="s">
        <v>62</v>
      </c>
      <c r="C172" s="11" t="s">
        <v>57</v>
      </c>
      <c r="D172" s="26">
        <f>Mangochi!D172+Mangochi!E172+Mangochi!F172+Mangochi!G172+Mangochi!H172+Mangochi!I172</f>
        <v>0</v>
      </c>
      <c r="E172" s="26">
        <f>'Monkey Bay'!D172+'Monkey Bay'!E172+'Monkey Bay'!F172+'Monkey Bay'!G172+'Monkey Bay'!H172+'Monkey Bay'!I172</f>
        <v>0</v>
      </c>
      <c r="F172" s="26">
        <f>Namwera!D172+Namwera!E172+Namwera!F172+Namwera!G172+Namwera!H172+Namwera!I172</f>
        <v>0</v>
      </c>
      <c r="G172" s="128"/>
      <c r="H172" s="74">
        <f t="shared" si="46"/>
        <v>0</v>
      </c>
    </row>
    <row r="173" spans="1:8" ht="15.6" x14ac:dyDescent="0.3">
      <c r="A173" s="759"/>
      <c r="B173" s="19" t="s">
        <v>61</v>
      </c>
      <c r="C173" s="11" t="s">
        <v>57</v>
      </c>
      <c r="D173" s="26">
        <f>Mangochi!D173+Mangochi!E173+Mangochi!F173+Mangochi!G173+Mangochi!H173+Mangochi!I173</f>
        <v>0</v>
      </c>
      <c r="E173" s="26">
        <f>'Monkey Bay'!D173+'Monkey Bay'!E173+'Monkey Bay'!F173+'Monkey Bay'!G173+'Monkey Bay'!H173+'Monkey Bay'!I173</f>
        <v>0</v>
      </c>
      <c r="F173" s="26">
        <f>Namwera!D173+Namwera!E173+Namwera!F173+Namwera!G173+Namwera!H173+Namwera!I173</f>
        <v>0</v>
      </c>
      <c r="G173" s="128"/>
      <c r="H173" s="74">
        <f t="shared" si="46"/>
        <v>0</v>
      </c>
    </row>
    <row r="174" spans="1:8" ht="15.6" x14ac:dyDescent="0.3">
      <c r="A174" s="759"/>
      <c r="B174" s="19" t="s">
        <v>60</v>
      </c>
      <c r="C174" s="11" t="s">
        <v>57</v>
      </c>
      <c r="D174" s="26">
        <f>Mangochi!D174+Mangochi!E174+Mangochi!F174+Mangochi!G174+Mangochi!H174+Mangochi!I174</f>
        <v>0</v>
      </c>
      <c r="E174" s="26">
        <f>'Monkey Bay'!D174+'Monkey Bay'!E174+'Monkey Bay'!F174+'Monkey Bay'!G174+'Monkey Bay'!H174+'Monkey Bay'!I174</f>
        <v>0</v>
      </c>
      <c r="F174" s="26">
        <f>Namwera!D174+Namwera!E174+Namwera!F174+Namwera!G174+Namwera!H174+Namwera!I174</f>
        <v>0</v>
      </c>
      <c r="G174" s="128"/>
      <c r="H174" s="74">
        <f t="shared" si="46"/>
        <v>0</v>
      </c>
    </row>
    <row r="175" spans="1:8" ht="15.6" x14ac:dyDescent="0.3">
      <c r="A175" s="760"/>
      <c r="B175" s="19" t="s">
        <v>69</v>
      </c>
      <c r="C175" s="11" t="s">
        <v>57</v>
      </c>
      <c r="D175" s="26">
        <f>Mangochi!D175+Mangochi!E175+Mangochi!F175+Mangochi!G175+Mangochi!H175+Mangochi!I175</f>
        <v>1</v>
      </c>
      <c r="E175" s="26">
        <f>'Monkey Bay'!D175+'Monkey Bay'!E175+'Monkey Bay'!F175+'Monkey Bay'!G175+'Monkey Bay'!H175+'Monkey Bay'!I175</f>
        <v>0</v>
      </c>
      <c r="F175" s="26">
        <f>Namwera!D175+Namwera!E175+Namwera!F175+Namwera!G175+Namwera!H175+Namwera!I175</f>
        <v>0</v>
      </c>
      <c r="G175" s="128"/>
      <c r="H175" s="74">
        <f t="shared" si="46"/>
        <v>1</v>
      </c>
    </row>
    <row r="176" spans="1:8" ht="15.6" x14ac:dyDescent="0.3">
      <c r="A176" s="758" t="s">
        <v>70</v>
      </c>
      <c r="B176" s="21" t="s">
        <v>63</v>
      </c>
      <c r="C176" s="11"/>
      <c r="D176" s="4"/>
      <c r="E176" s="4"/>
      <c r="F176" s="4"/>
      <c r="G176" s="673"/>
      <c r="H176" s="74"/>
    </row>
    <row r="177" spans="1:8" ht="15.6" x14ac:dyDescent="0.3">
      <c r="A177" s="759"/>
      <c r="B177" s="19" t="s">
        <v>60</v>
      </c>
      <c r="C177" s="11" t="s">
        <v>57</v>
      </c>
      <c r="D177" s="26">
        <f>Mangochi!D177+Mangochi!E177+Mangochi!F177+Mangochi!G177+Mangochi!H177+Mangochi!I177</f>
        <v>0</v>
      </c>
      <c r="E177" s="26">
        <f>'Monkey Bay'!D177+'Monkey Bay'!E177+'Monkey Bay'!F177+'Monkey Bay'!G177+'Monkey Bay'!H177+'Monkey Bay'!I177</f>
        <v>0</v>
      </c>
      <c r="F177" s="26">
        <f>Namwera!D177+Namwera!E177+Namwera!F177+Namwera!G177+Namwera!H177+Namwera!I177</f>
        <v>0</v>
      </c>
      <c r="G177" s="128"/>
      <c r="H177" s="74">
        <f t="shared" ref="H177:H182" si="47">SUM(D177:F177)</f>
        <v>0</v>
      </c>
    </row>
    <row r="178" spans="1:8" ht="15.6" x14ac:dyDescent="0.3">
      <c r="A178" s="759"/>
      <c r="B178" s="19" t="s">
        <v>69</v>
      </c>
      <c r="C178" s="11" t="s">
        <v>57</v>
      </c>
      <c r="D178" s="26">
        <f>Mangochi!D178+Mangochi!E178+Mangochi!F178+Mangochi!G178+Mangochi!H178+Mangochi!I178</f>
        <v>0</v>
      </c>
      <c r="E178" s="26">
        <f>'Monkey Bay'!D178+'Monkey Bay'!E178+'Monkey Bay'!F178+'Monkey Bay'!G178+'Monkey Bay'!H178+'Monkey Bay'!I178</f>
        <v>0</v>
      </c>
      <c r="F178" s="26">
        <f>Namwera!D178+Namwera!E178+Namwera!F178+Namwera!G178+Namwera!H178+Namwera!I178</f>
        <v>0</v>
      </c>
      <c r="G178" s="128"/>
      <c r="H178" s="74">
        <f t="shared" si="47"/>
        <v>0</v>
      </c>
    </row>
    <row r="179" spans="1:8" ht="15.6" x14ac:dyDescent="0.3">
      <c r="A179" s="759"/>
      <c r="B179" s="19" t="s">
        <v>68</v>
      </c>
      <c r="C179" s="11" t="s">
        <v>57</v>
      </c>
      <c r="D179" s="26">
        <f>Mangochi!D179+Mangochi!E179+Mangochi!F179+Mangochi!G179+Mangochi!H179+Mangochi!I179</f>
        <v>0</v>
      </c>
      <c r="E179" s="26">
        <f>'Monkey Bay'!D179+'Monkey Bay'!E179+'Monkey Bay'!F179+'Monkey Bay'!G179+'Monkey Bay'!H179+'Monkey Bay'!I179</f>
        <v>0</v>
      </c>
      <c r="F179" s="26">
        <f>Namwera!D179+Namwera!E179+Namwera!F179+Namwera!G179+Namwera!H179+Namwera!I179</f>
        <v>0</v>
      </c>
      <c r="G179" s="128"/>
      <c r="H179" s="74">
        <f t="shared" si="47"/>
        <v>0</v>
      </c>
    </row>
    <row r="180" spans="1:8" ht="15.6" x14ac:dyDescent="0.3">
      <c r="A180" s="759"/>
      <c r="B180" s="19" t="s">
        <v>67</v>
      </c>
      <c r="C180" s="11" t="s">
        <v>57</v>
      </c>
      <c r="D180" s="26">
        <f>Mangochi!D180+Mangochi!E180+Mangochi!F180+Mangochi!G180+Mangochi!H180+Mangochi!I180</f>
        <v>0</v>
      </c>
      <c r="E180" s="26">
        <f>'Monkey Bay'!D180+'Monkey Bay'!E180+'Monkey Bay'!F180+'Monkey Bay'!G180+'Monkey Bay'!H180+'Monkey Bay'!I180</f>
        <v>0</v>
      </c>
      <c r="F180" s="26">
        <f>Namwera!D180+Namwera!E180+Namwera!F180+Namwera!G180+Namwera!H180+Namwera!I180</f>
        <v>0</v>
      </c>
      <c r="G180" s="128"/>
      <c r="H180" s="74">
        <f t="shared" si="47"/>
        <v>0</v>
      </c>
    </row>
    <row r="181" spans="1:8" ht="15.6" x14ac:dyDescent="0.3">
      <c r="A181" s="759"/>
      <c r="B181" s="19" t="s">
        <v>66</v>
      </c>
      <c r="C181" s="11" t="s">
        <v>57</v>
      </c>
      <c r="D181" s="26">
        <f>Mangochi!D181+Mangochi!E181+Mangochi!F181+Mangochi!G181+Mangochi!H181+Mangochi!I181</f>
        <v>0</v>
      </c>
      <c r="E181" s="26">
        <f>'Monkey Bay'!D181+'Monkey Bay'!E181+'Monkey Bay'!F181+'Monkey Bay'!G181+'Monkey Bay'!H181+'Monkey Bay'!I181</f>
        <v>0</v>
      </c>
      <c r="F181" s="26">
        <f>Namwera!D181+Namwera!E181+Namwera!F181+Namwera!G181+Namwera!H181+Namwera!I181</f>
        <v>0</v>
      </c>
      <c r="G181" s="128"/>
      <c r="H181" s="74">
        <f t="shared" si="47"/>
        <v>0</v>
      </c>
    </row>
    <row r="182" spans="1:8" ht="15.6" x14ac:dyDescent="0.3">
      <c r="A182" s="760"/>
      <c r="B182" s="19" t="s">
        <v>65</v>
      </c>
      <c r="C182" s="11" t="s">
        <v>57</v>
      </c>
      <c r="D182" s="26">
        <f>Mangochi!D182+Mangochi!E182+Mangochi!F182+Mangochi!G182+Mangochi!H182+Mangochi!I182</f>
        <v>0</v>
      </c>
      <c r="E182" s="26">
        <f>'Monkey Bay'!D182+'Monkey Bay'!E182+'Monkey Bay'!F182+'Monkey Bay'!G182+'Monkey Bay'!H182+'Monkey Bay'!I182</f>
        <v>0</v>
      </c>
      <c r="F182" s="26">
        <f>Namwera!D182+Namwera!E182+Namwera!F182+Namwera!G182+Namwera!H182+Namwera!I182</f>
        <v>0</v>
      </c>
      <c r="G182" s="128"/>
      <c r="H182" s="74">
        <f t="shared" si="47"/>
        <v>0</v>
      </c>
    </row>
    <row r="183" spans="1:8" ht="15.6" x14ac:dyDescent="0.3">
      <c r="A183" s="758" t="s">
        <v>209</v>
      </c>
      <c r="B183" s="21" t="s">
        <v>63</v>
      </c>
      <c r="C183" s="11"/>
      <c r="D183" s="4"/>
      <c r="E183" s="4"/>
      <c r="F183" s="4"/>
      <c r="G183" s="673"/>
      <c r="H183" s="74"/>
    </row>
    <row r="184" spans="1:8" ht="15.6" x14ac:dyDescent="0.3">
      <c r="A184" s="759"/>
      <c r="B184" s="19" t="s">
        <v>73</v>
      </c>
      <c r="C184" s="11" t="s">
        <v>57</v>
      </c>
      <c r="D184" s="26">
        <f>Mangochi!D184+Mangochi!E184+Mangochi!F184+Mangochi!G184+Mangochi!H184+Mangochi!I184</f>
        <v>0</v>
      </c>
      <c r="E184" s="26">
        <f>Mangochi!E184+Mangochi!F184+Mangochi!G184+Mangochi!H184+Mangochi!I184+Mangochi!J184</f>
        <v>0</v>
      </c>
      <c r="F184" s="26">
        <f>Mangochi!F184+Mangochi!G184+Mangochi!H184+Mangochi!I184+Mangochi!J184+Mangochi!K184</f>
        <v>0</v>
      </c>
      <c r="G184" s="128"/>
      <c r="H184" s="74">
        <f>SUM(D184:F184)</f>
        <v>0</v>
      </c>
    </row>
    <row r="185" spans="1:8" ht="15.6" x14ac:dyDescent="0.3">
      <c r="A185" s="759"/>
      <c r="B185" s="19" t="s">
        <v>72</v>
      </c>
      <c r="C185" s="11" t="s">
        <v>57</v>
      </c>
      <c r="D185" s="26">
        <f>Mangochi!D185+Mangochi!E185+Mangochi!F185+Mangochi!G185+Mangochi!H185+Mangochi!I185</f>
        <v>0</v>
      </c>
      <c r="E185" s="26">
        <f>Mangochi!E185+Mangochi!F185+Mangochi!G185+Mangochi!H185+Mangochi!I185+Mangochi!J185</f>
        <v>0</v>
      </c>
      <c r="F185" s="26">
        <f>Mangochi!F185+Mangochi!G185+Mangochi!H185+Mangochi!I185+Mangochi!J185+Mangochi!K185</f>
        <v>0</v>
      </c>
      <c r="G185" s="128"/>
      <c r="H185" s="74">
        <f>SUM(D185:F185)</f>
        <v>0</v>
      </c>
    </row>
    <row r="186" spans="1:8" ht="15.6" x14ac:dyDescent="0.3">
      <c r="A186" s="759"/>
      <c r="B186" s="19" t="s">
        <v>53</v>
      </c>
      <c r="C186" s="11" t="s">
        <v>57</v>
      </c>
      <c r="D186" s="26">
        <f>Mangochi!D186+Mangochi!E186+Mangochi!F186+Mangochi!G186+Mangochi!H186+Mangochi!I186</f>
        <v>0</v>
      </c>
      <c r="E186" s="26">
        <f>Mangochi!E186+Mangochi!F186+Mangochi!G186+Mangochi!H186+Mangochi!I186+Mangochi!J186</f>
        <v>0</v>
      </c>
      <c r="F186" s="26">
        <f>Mangochi!F186+Mangochi!G186+Mangochi!H186+Mangochi!I186+Mangochi!J186+Mangochi!K186</f>
        <v>0</v>
      </c>
      <c r="G186" s="128"/>
      <c r="H186" s="74">
        <f>SUM(D186:F186)</f>
        <v>0</v>
      </c>
    </row>
    <row r="187" spans="1:8" ht="15.6" x14ac:dyDescent="0.3">
      <c r="A187" s="760"/>
      <c r="B187" s="19" t="s">
        <v>52</v>
      </c>
      <c r="C187" s="11" t="s">
        <v>57</v>
      </c>
      <c r="D187" s="26">
        <f>Mangochi!D187+Mangochi!E187+Mangochi!F187+Mangochi!G187+Mangochi!H187+Mangochi!I187</f>
        <v>0</v>
      </c>
      <c r="E187" s="26">
        <f>Mangochi!E187+Mangochi!F187+Mangochi!G187+Mangochi!H187+Mangochi!I187+Mangochi!J187</f>
        <v>0</v>
      </c>
      <c r="F187" s="26">
        <f>Mangochi!F187+Mangochi!G187+Mangochi!H187+Mangochi!I187+Mangochi!J187+Mangochi!K187</f>
        <v>0</v>
      </c>
      <c r="G187" s="128"/>
      <c r="H187" s="74">
        <f>SUM(D187:F187)</f>
        <v>0</v>
      </c>
    </row>
    <row r="188" spans="1:8" ht="15.6" x14ac:dyDescent="0.3">
      <c r="A188" s="758" t="s">
        <v>64</v>
      </c>
      <c r="B188" s="21" t="s">
        <v>63</v>
      </c>
      <c r="C188" s="11"/>
      <c r="D188" s="4"/>
      <c r="E188" s="4"/>
      <c r="F188" s="4"/>
      <c r="G188" s="673"/>
      <c r="H188" s="74"/>
    </row>
    <row r="189" spans="1:8" ht="15.6" x14ac:dyDescent="0.3">
      <c r="A189" s="759"/>
      <c r="B189" s="20" t="s">
        <v>52</v>
      </c>
      <c r="C189" s="11" t="s">
        <v>57</v>
      </c>
      <c r="D189" s="26">
        <f>Mangochi!D189+Mangochi!E189+Mangochi!F189+Mangochi!G189+Mangochi!H189+Mangochi!I189</f>
        <v>0</v>
      </c>
      <c r="E189" s="26">
        <f>'Monkey Bay'!D189+'Monkey Bay'!E189+'Monkey Bay'!F189+'Monkey Bay'!G189+'Monkey Bay'!H189+'Monkey Bay'!I189</f>
        <v>0</v>
      </c>
      <c r="F189" s="26">
        <f>Namwera!D189+Namwera!E189+Namwera!F189+Namwera!G189+Namwera!H189+Namwera!I189</f>
        <v>0</v>
      </c>
      <c r="G189" s="128"/>
      <c r="H189" s="74">
        <f>SUM(D189:F189)</f>
        <v>0</v>
      </c>
    </row>
    <row r="190" spans="1:8" ht="15.6" x14ac:dyDescent="0.3">
      <c r="A190" s="759"/>
      <c r="B190" s="19" t="s">
        <v>62</v>
      </c>
      <c r="C190" s="11" t="s">
        <v>57</v>
      </c>
      <c r="D190" s="26">
        <f>Mangochi!D190+Mangochi!E190+Mangochi!F190+Mangochi!G190+Mangochi!H190+Mangochi!I190</f>
        <v>1</v>
      </c>
      <c r="E190" s="26">
        <f>'Monkey Bay'!D190+'Monkey Bay'!E190+'Monkey Bay'!F190+'Monkey Bay'!G190+'Monkey Bay'!H190+'Monkey Bay'!I190</f>
        <v>0</v>
      </c>
      <c r="F190" s="26">
        <f>Namwera!D190+Namwera!E190+Namwera!F190+Namwera!G190+Namwera!H190+Namwera!I190</f>
        <v>0</v>
      </c>
      <c r="G190" s="128"/>
      <c r="H190" s="74">
        <f>SUM(D190:F190)</f>
        <v>1</v>
      </c>
    </row>
    <row r="191" spans="1:8" ht="15.6" x14ac:dyDescent="0.3">
      <c r="A191" s="759"/>
      <c r="B191" s="19" t="s">
        <v>61</v>
      </c>
      <c r="C191" s="11" t="s">
        <v>57</v>
      </c>
      <c r="D191" s="26">
        <f>Mangochi!D191+Mangochi!E191+Mangochi!F191+Mangochi!G191+Mangochi!H191+Mangochi!I191</f>
        <v>6</v>
      </c>
      <c r="E191" s="26">
        <f>'Monkey Bay'!D191+'Monkey Bay'!E191+'Monkey Bay'!F191+'Monkey Bay'!G191+'Monkey Bay'!H191+'Monkey Bay'!I191</f>
        <v>0</v>
      </c>
      <c r="F191" s="26">
        <f>Namwera!D191+Namwera!E191+Namwera!F191+Namwera!G191+Namwera!H191+Namwera!I191</f>
        <v>0</v>
      </c>
      <c r="G191" s="128"/>
      <c r="H191" s="74">
        <f>SUM(D191:F191)</f>
        <v>6</v>
      </c>
    </row>
    <row r="192" spans="1:8" ht="15.6" x14ac:dyDescent="0.3">
      <c r="A192" s="760"/>
      <c r="B192" s="19" t="s">
        <v>60</v>
      </c>
      <c r="C192" s="11" t="s">
        <v>57</v>
      </c>
      <c r="D192" s="26">
        <f>Mangochi!D192+Mangochi!E192+Mangochi!F192+Mangochi!G192+Mangochi!H192+Mangochi!I192</f>
        <v>0</v>
      </c>
      <c r="E192" s="26">
        <f>'Monkey Bay'!D192+'Monkey Bay'!E192+'Monkey Bay'!F192+'Monkey Bay'!G192+'Monkey Bay'!H192+'Monkey Bay'!I192</f>
        <v>0</v>
      </c>
      <c r="F192" s="26">
        <f>Namwera!D192+Namwera!E192+Namwera!F192+Namwera!G192+Namwera!H192+Namwera!I192</f>
        <v>0</v>
      </c>
      <c r="G192" s="128"/>
      <c r="H192" s="74">
        <f>SUM(D192:F192)</f>
        <v>0</v>
      </c>
    </row>
    <row r="193" spans="1:8" ht="15.6" x14ac:dyDescent="0.3">
      <c r="A193" s="791" t="s">
        <v>59</v>
      </c>
      <c r="B193" s="792"/>
      <c r="C193" s="11"/>
      <c r="D193" s="10">
        <f>SUM(D153:D192)</f>
        <v>775</v>
      </c>
      <c r="E193" s="10">
        <f t="shared" ref="E193:H193" si="48">SUM(E153:E192)</f>
        <v>233</v>
      </c>
      <c r="F193" s="10">
        <f t="shared" si="48"/>
        <v>265</v>
      </c>
      <c r="G193" s="14"/>
      <c r="H193" s="160">
        <f t="shared" si="48"/>
        <v>1273</v>
      </c>
    </row>
    <row r="194" spans="1:8" ht="15.6" x14ac:dyDescent="0.3">
      <c r="A194" s="764" t="s">
        <v>58</v>
      </c>
      <c r="B194" s="765"/>
      <c r="C194" s="11" t="s">
        <v>57</v>
      </c>
      <c r="D194" s="26">
        <f>Mangochi!D194+Mangochi!E194+Mangochi!F194+Mangochi!G194+Mangochi!H194+Mangochi!I194</f>
        <v>17</v>
      </c>
      <c r="E194" s="26">
        <f>'Monkey Bay'!D194+'Monkey Bay'!E194+'Monkey Bay'!F194+'Monkey Bay'!G194+'Monkey Bay'!H194+'Monkey Bay'!I194</f>
        <v>12</v>
      </c>
      <c r="F194" s="26">
        <f>Namwera!D194+Namwera!E194+Namwera!F194+Namwera!G194+Namwera!H194+Namwera!I194</f>
        <v>14</v>
      </c>
      <c r="G194" s="128"/>
      <c r="H194" s="74">
        <f>SUM(D194:F194)</f>
        <v>43</v>
      </c>
    </row>
    <row r="195" spans="1:8" ht="15.6" x14ac:dyDescent="0.3">
      <c r="A195" s="766"/>
      <c r="B195" s="767"/>
      <c r="C195" s="16" t="s">
        <v>55</v>
      </c>
      <c r="D195" s="26">
        <f>Mangochi!D195+Mangochi!E195+Mangochi!F195+Mangochi!G195+Mangochi!H195+Mangochi!I195</f>
        <v>0</v>
      </c>
      <c r="E195" s="26">
        <f>'Monkey Bay'!D195+'Monkey Bay'!E195+'Monkey Bay'!F195+'Monkey Bay'!G195+'Monkey Bay'!H195+'Monkey Bay'!I195</f>
        <v>0</v>
      </c>
      <c r="F195" s="26">
        <f>Namwera!D195+Namwera!E195+Namwera!F195+Namwera!G195+Namwera!H195+Namwera!I195</f>
        <v>0</v>
      </c>
      <c r="G195" s="128"/>
      <c r="H195" s="74">
        <f>SUM(D195:F195)</f>
        <v>0</v>
      </c>
    </row>
    <row r="196" spans="1:8" ht="15.6" x14ac:dyDescent="0.3">
      <c r="A196" s="179" t="s">
        <v>202</v>
      </c>
      <c r="B196" s="180"/>
      <c r="C196" s="16" t="s">
        <v>55</v>
      </c>
      <c r="D196" s="26">
        <f>Mangochi!I196</f>
        <v>574</v>
      </c>
      <c r="E196" s="26">
        <f>'Monkey Bay'!I196</f>
        <v>575</v>
      </c>
      <c r="F196" s="26">
        <f>Namwera!I196</f>
        <v>576</v>
      </c>
      <c r="G196" s="128"/>
      <c r="H196" s="74">
        <f>SUM(D196:F196)/10</f>
        <v>172.5</v>
      </c>
    </row>
    <row r="197" spans="1:8" ht="15.6" x14ac:dyDescent="0.3">
      <c r="A197" s="695" t="s">
        <v>56</v>
      </c>
      <c r="B197" s="696"/>
      <c r="C197" s="16" t="s">
        <v>55</v>
      </c>
      <c r="D197" s="26">
        <f>Mangochi!D197+Mangochi!E197+Mangochi!F197+Mangochi!G197+Mangochi!H197+Mangochi!I197</f>
        <v>236.5</v>
      </c>
      <c r="E197" s="26">
        <f>'Monkey Bay'!D197+'Monkey Bay'!E197+'Monkey Bay'!F197+'Monkey Bay'!G197+'Monkey Bay'!H197+'Monkey Bay'!I197</f>
        <v>1126</v>
      </c>
      <c r="F197" s="26">
        <f>Namwera!D197+Namwera!E197+Namwera!F197+Namwera!G197+Namwera!H197+Namwera!I197</f>
        <v>705</v>
      </c>
      <c r="G197" s="128"/>
      <c r="H197" s="74">
        <f>SUM(D197:F197)</f>
        <v>2067.5</v>
      </c>
    </row>
    <row r="198" spans="1:8" x14ac:dyDescent="0.3">
      <c r="A198" s="699" t="s">
        <v>203</v>
      </c>
      <c r="B198" s="700"/>
      <c r="C198" s="700"/>
      <c r="D198" s="700"/>
      <c r="E198" s="700"/>
      <c r="F198" s="700"/>
      <c r="G198" s="700"/>
      <c r="H198" s="701"/>
    </row>
    <row r="199" spans="1:8" ht="15.6" x14ac:dyDescent="0.3">
      <c r="A199" s="764" t="s">
        <v>54</v>
      </c>
      <c r="B199" s="176" t="s">
        <v>53</v>
      </c>
      <c r="C199" s="11" t="s">
        <v>47</v>
      </c>
      <c r="D199" s="26">
        <f>Mangochi!D199+Mangochi!E199+Mangochi!F199+Mangochi!G199+Mangochi!H199+Mangochi!I199</f>
        <v>0</v>
      </c>
      <c r="E199" s="26">
        <f>'Monkey Bay'!D199+'Monkey Bay'!E199+'Monkey Bay'!F199+'Monkey Bay'!G199+'Monkey Bay'!H199+'Monkey Bay'!I199</f>
        <v>0</v>
      </c>
      <c r="F199" s="26">
        <f>Namwera!D199+Namwera!E199+Namwera!F199+Namwera!G199+Namwera!H199+Namwera!I199</f>
        <v>0</v>
      </c>
      <c r="G199" s="128"/>
      <c r="H199" s="166">
        <f t="shared" ref="H199:H204" si="49">SUM(D199:F199)</f>
        <v>0</v>
      </c>
    </row>
    <row r="200" spans="1:8" ht="15.6" x14ac:dyDescent="0.3">
      <c r="A200" s="768"/>
      <c r="B200" s="176" t="s">
        <v>52</v>
      </c>
      <c r="C200" s="11" t="s">
        <v>47</v>
      </c>
      <c r="D200" s="26">
        <f>Mangochi!D200+Mangochi!E200+Mangochi!F200+Mangochi!G200+Mangochi!H200+Mangochi!I200</f>
        <v>0</v>
      </c>
      <c r="E200" s="26">
        <f>'Monkey Bay'!D200+'Monkey Bay'!E200+'Monkey Bay'!F200+'Monkey Bay'!G200+'Monkey Bay'!H200+'Monkey Bay'!I200</f>
        <v>0</v>
      </c>
      <c r="F200" s="26">
        <f>Namwera!D200+Namwera!E200+Namwera!F200+Namwera!G200+Namwera!H200+Namwera!I200</f>
        <v>0</v>
      </c>
      <c r="G200" s="128"/>
      <c r="H200" s="166">
        <f t="shared" si="49"/>
        <v>0</v>
      </c>
    </row>
    <row r="201" spans="1:8" ht="15.6" x14ac:dyDescent="0.3">
      <c r="A201" s="768"/>
      <c r="B201" s="176" t="s">
        <v>51</v>
      </c>
      <c r="C201" s="11" t="s">
        <v>47</v>
      </c>
      <c r="D201" s="26">
        <f>Mangochi!D201+Mangochi!E201+Mangochi!F201+Mangochi!G201+Mangochi!H201+Mangochi!I201</f>
        <v>330</v>
      </c>
      <c r="E201" s="26">
        <f>'Monkey Bay'!D201+'Monkey Bay'!E201+'Monkey Bay'!F201+'Monkey Bay'!G201+'Monkey Bay'!H201+'Monkey Bay'!I201</f>
        <v>240</v>
      </c>
      <c r="F201" s="26">
        <f>Namwera!D201+Namwera!E201+Namwera!F201+Namwera!G201+Namwera!H201+Namwera!I201</f>
        <v>0</v>
      </c>
      <c r="G201" s="128"/>
      <c r="H201" s="166">
        <f t="shared" si="49"/>
        <v>570</v>
      </c>
    </row>
    <row r="202" spans="1:8" ht="15.6" x14ac:dyDescent="0.3">
      <c r="A202" s="768"/>
      <c r="B202" s="176" t="s">
        <v>50</v>
      </c>
      <c r="C202" s="11" t="s">
        <v>47</v>
      </c>
      <c r="D202" s="26">
        <f>Mangochi!D202+Mangochi!E202+Mangochi!F202+Mangochi!G202+Mangochi!H202+Mangochi!I202</f>
        <v>0</v>
      </c>
      <c r="E202" s="26">
        <f>'Monkey Bay'!D202+'Monkey Bay'!E202+'Monkey Bay'!F202+'Monkey Bay'!G202+'Monkey Bay'!H202+'Monkey Bay'!I202</f>
        <v>126</v>
      </c>
      <c r="F202" s="26">
        <f>Namwera!D202+Namwera!E202+Namwera!F202+Namwera!G202+Namwera!H202+Namwera!I202</f>
        <v>0</v>
      </c>
      <c r="G202" s="128"/>
      <c r="H202" s="166">
        <f t="shared" si="49"/>
        <v>126</v>
      </c>
    </row>
    <row r="203" spans="1:8" ht="15.6" x14ac:dyDescent="0.3">
      <c r="A203" s="766"/>
      <c r="B203" s="176" t="s">
        <v>49</v>
      </c>
      <c r="C203" s="11" t="s">
        <v>47</v>
      </c>
      <c r="D203" s="26">
        <f>Mangochi!D203+Mangochi!E203+Mangochi!F203+Mangochi!G203+Mangochi!H203+Mangochi!I203</f>
        <v>0</v>
      </c>
      <c r="E203" s="26">
        <f>'Monkey Bay'!D203+'Monkey Bay'!E203+'Monkey Bay'!F203+'Monkey Bay'!G203+'Monkey Bay'!H203+'Monkey Bay'!I203</f>
        <v>240</v>
      </c>
      <c r="F203" s="26">
        <f>Namwera!D203+Namwera!E203+Namwera!F203+Namwera!G203+Namwera!H203+Namwera!I203</f>
        <v>0</v>
      </c>
      <c r="G203" s="128"/>
      <c r="H203" s="166">
        <f t="shared" si="49"/>
        <v>240</v>
      </c>
    </row>
    <row r="204" spans="1:8" ht="15.6" x14ac:dyDescent="0.3">
      <c r="A204" s="83" t="s">
        <v>48</v>
      </c>
      <c r="B204" s="176"/>
      <c r="C204" s="11" t="s">
        <v>47</v>
      </c>
      <c r="D204" s="15">
        <f t="shared" ref="D204:F204" si="50">SUM(D199:D203)</f>
        <v>330</v>
      </c>
      <c r="E204" s="15">
        <f t="shared" si="50"/>
        <v>606</v>
      </c>
      <c r="F204" s="15">
        <f t="shared" si="50"/>
        <v>0</v>
      </c>
      <c r="G204" s="22"/>
      <c r="H204" s="166">
        <f t="shared" si="49"/>
        <v>936</v>
      </c>
    </row>
    <row r="205" spans="1:8" s="2" customFormat="1" x14ac:dyDescent="0.3">
      <c r="A205" s="699" t="s">
        <v>46</v>
      </c>
      <c r="B205" s="700"/>
      <c r="C205" s="700"/>
      <c r="D205" s="700"/>
      <c r="E205" s="700"/>
      <c r="F205" s="700"/>
      <c r="G205" s="700"/>
      <c r="H205" s="701"/>
    </row>
    <row r="206" spans="1:8" ht="15.6" x14ac:dyDescent="0.3">
      <c r="A206" s="695" t="s">
        <v>43</v>
      </c>
      <c r="B206" s="696"/>
      <c r="C206" s="11" t="s">
        <v>31</v>
      </c>
      <c r="D206" s="15">
        <f>Mangochi!D206+Mangochi!E206+Mangochi!F206+Mangochi!G206+Mangochi!H206+Mangochi!I206</f>
        <v>221357715</v>
      </c>
      <c r="E206" s="15">
        <f>'Monkey Bay'!D206+'Monkey Bay'!E206+'Monkey Bay'!F206+'Monkey Bay'!G206+'Monkey Bay'!H206+'Monkey Bay'!I206</f>
        <v>53803477</v>
      </c>
      <c r="F206" s="15">
        <f>Namwera!D206+Namwera!E206+Namwera!F206+Namwera!G206+Namwera!H206+Namwera!I206</f>
        <v>6556422.6200000001</v>
      </c>
      <c r="G206" s="22"/>
      <c r="H206" s="39">
        <f>SUM(D206:F206)</f>
        <v>281717614.62</v>
      </c>
    </row>
    <row r="207" spans="1:8" ht="15.6" x14ac:dyDescent="0.3">
      <c r="A207" s="695" t="s">
        <v>42</v>
      </c>
      <c r="B207" s="696"/>
      <c r="C207" s="11" t="s">
        <v>31</v>
      </c>
      <c r="D207" s="15">
        <f>Mangochi!D207+Mangochi!E207+Mangochi!F207+Mangochi!G207+Mangochi!H207+Mangochi!I207</f>
        <v>0</v>
      </c>
      <c r="E207" s="15">
        <f>'Monkey Bay'!D207+'Monkey Bay'!E207+'Monkey Bay'!F207+'Monkey Bay'!G207+'Monkey Bay'!H207+'Monkey Bay'!I207</f>
        <v>0</v>
      </c>
      <c r="F207" s="15">
        <f>Namwera!D207+Namwera!E207+Namwera!F207+Namwera!G207+Namwera!H207+Namwera!I207</f>
        <v>0</v>
      </c>
      <c r="G207" s="22"/>
      <c r="H207" s="39">
        <f>SUM(D207:F207)</f>
        <v>0</v>
      </c>
    </row>
    <row r="208" spans="1:8" ht="15.6" x14ac:dyDescent="0.3">
      <c r="A208" s="702" t="s">
        <v>41</v>
      </c>
      <c r="B208" s="703"/>
      <c r="C208" s="11" t="s">
        <v>31</v>
      </c>
      <c r="D208" s="15">
        <f>Mangochi!D208+Mangochi!E208+Mangochi!F208+Mangochi!G208+Mangochi!H208+Mangochi!I208</f>
        <v>1104500</v>
      </c>
      <c r="E208" s="15">
        <f>'Monkey Bay'!D208+'Monkey Bay'!E208+'Monkey Bay'!F208+'Monkey Bay'!G208+'Monkey Bay'!H208+'Monkey Bay'!I208</f>
        <v>786234</v>
      </c>
      <c r="F208" s="15">
        <f>Namwera!D208+Namwera!E208+Namwera!F208+Namwera!G208+Namwera!H208+Namwera!I208</f>
        <v>0</v>
      </c>
      <c r="G208" s="22"/>
      <c r="H208" s="39">
        <f>SUM(D208:F208)</f>
        <v>1890734</v>
      </c>
    </row>
    <row r="209" spans="1:8" ht="15.6" x14ac:dyDescent="0.3">
      <c r="A209" s="695" t="s">
        <v>40</v>
      </c>
      <c r="B209" s="696"/>
      <c r="C209" s="11" t="s">
        <v>31</v>
      </c>
      <c r="D209" s="15">
        <f>Mangochi!D209+Mangochi!E209+Mangochi!F209+Mangochi!G209+Mangochi!H209+Mangochi!I209</f>
        <v>2119955</v>
      </c>
      <c r="E209" s="15">
        <f>'Monkey Bay'!D209+'Monkey Bay'!E209+'Monkey Bay'!F209+'Monkey Bay'!G209+'Monkey Bay'!H209+'Monkey Bay'!I209</f>
        <v>487590208.5</v>
      </c>
      <c r="F209" s="15">
        <f>Namwera!D209+Namwera!E209+Namwera!F209+Namwera!G209+Namwera!H209+Namwera!I209</f>
        <v>0</v>
      </c>
      <c r="G209" s="22"/>
      <c r="H209" s="39">
        <f>SUM(D209:F209)</f>
        <v>489710163.5</v>
      </c>
    </row>
    <row r="210" spans="1:8" ht="15.6" x14ac:dyDescent="0.3">
      <c r="A210" s="762" t="s">
        <v>45</v>
      </c>
      <c r="B210" s="763"/>
      <c r="C210" s="11" t="s">
        <v>31</v>
      </c>
      <c r="D210" s="10">
        <f t="shared" ref="D210:F210" si="51">SUM(D206:D209)</f>
        <v>224582170</v>
      </c>
      <c r="E210" s="10">
        <f t="shared" si="51"/>
        <v>542179919.5</v>
      </c>
      <c r="F210" s="10">
        <f t="shared" si="51"/>
        <v>6556422.6200000001</v>
      </c>
      <c r="G210" s="14"/>
      <c r="H210" s="39">
        <f>SUM(D210:F210)</f>
        <v>773318512.12</v>
      </c>
    </row>
    <row r="211" spans="1:8" s="2" customFormat="1" x14ac:dyDescent="0.3">
      <c r="A211" s="699" t="s">
        <v>44</v>
      </c>
      <c r="B211" s="700"/>
      <c r="C211" s="700"/>
      <c r="D211" s="700"/>
      <c r="E211" s="700"/>
      <c r="F211" s="700"/>
      <c r="G211" s="700"/>
      <c r="H211" s="701"/>
    </row>
    <row r="212" spans="1:8" ht="15.6" x14ac:dyDescent="0.3">
      <c r="A212" s="695" t="s">
        <v>43</v>
      </c>
      <c r="B212" s="696"/>
      <c r="C212" s="11" t="s">
        <v>31</v>
      </c>
      <c r="D212" s="15">
        <f>Mangochi!D212+Mangochi!E212+Mangochi!F212+Mangochi!G212+Mangochi!H212+Mangochi!I212</f>
        <v>141025474.82999998</v>
      </c>
      <c r="E212" s="15">
        <f>'Monkey Bay'!D212+'Monkey Bay'!E212+'Monkey Bay'!F212+'Monkey Bay'!G212+'Monkey Bay'!H212+'Monkey Bay'!I212</f>
        <v>81806565.88000001</v>
      </c>
      <c r="F212" s="15">
        <f>Namwera!D212+Namwera!E212+Namwera!F212+Namwera!G212+Namwera!H212+Namwera!I212</f>
        <v>9784559.4800000004</v>
      </c>
      <c r="G212" s="22"/>
      <c r="H212" s="39">
        <f>SUM(D212:F212)</f>
        <v>232616600.18999997</v>
      </c>
    </row>
    <row r="213" spans="1:8" ht="15.6" x14ac:dyDescent="0.3">
      <c r="A213" s="695" t="s">
        <v>42</v>
      </c>
      <c r="B213" s="696"/>
      <c r="C213" s="11" t="s">
        <v>31</v>
      </c>
      <c r="D213" s="15">
        <f>Mangochi!D213+Mangochi!E213+Mangochi!F213+Mangochi!G213+Mangochi!H213+Mangochi!I213</f>
        <v>0</v>
      </c>
      <c r="E213" s="15">
        <f>'Monkey Bay'!D213+'Monkey Bay'!E213+'Monkey Bay'!F213+'Monkey Bay'!G213+'Monkey Bay'!H213+'Monkey Bay'!I213</f>
        <v>0</v>
      </c>
      <c r="F213" s="15">
        <f>Namwera!D213+Namwera!E213+Namwera!F213+Namwera!G213+Namwera!H213+Namwera!I213</f>
        <v>0</v>
      </c>
      <c r="G213" s="22"/>
      <c r="H213" s="39">
        <f>SUM(D213:F213)</f>
        <v>0</v>
      </c>
    </row>
    <row r="214" spans="1:8" ht="15.6" x14ac:dyDescent="0.3">
      <c r="A214" s="702" t="s">
        <v>41</v>
      </c>
      <c r="B214" s="703"/>
      <c r="C214" s="11" t="s">
        <v>31</v>
      </c>
      <c r="D214" s="15">
        <f>Mangochi!D214+Mangochi!E214+Mangochi!F214+Mangochi!G214+Mangochi!H214+Mangochi!I214</f>
        <v>0</v>
      </c>
      <c r="E214" s="15">
        <f>'Monkey Bay'!D214+'Monkey Bay'!E214+'Monkey Bay'!F214+'Monkey Bay'!G214+'Monkey Bay'!H214+'Monkey Bay'!I214</f>
        <v>0</v>
      </c>
      <c r="F214" s="15">
        <f>Namwera!D214+Namwera!E214+Namwera!F214+Namwera!G214+Namwera!H214+Namwera!I214</f>
        <v>0</v>
      </c>
      <c r="G214" s="22"/>
      <c r="H214" s="39">
        <f>SUM(D214:F214)</f>
        <v>0</v>
      </c>
    </row>
    <row r="215" spans="1:8" ht="15.6" x14ac:dyDescent="0.3">
      <c r="A215" s="695" t="s">
        <v>40</v>
      </c>
      <c r="B215" s="696"/>
      <c r="C215" s="11" t="s">
        <v>31</v>
      </c>
      <c r="D215" s="15">
        <f>Mangochi!D215+Mangochi!E215+Mangochi!F215+Mangochi!G215+Mangochi!H215+Mangochi!I215</f>
        <v>0</v>
      </c>
      <c r="E215" s="15">
        <f>'Monkey Bay'!D215+'Monkey Bay'!E215+'Monkey Bay'!F215+'Monkey Bay'!G215+'Monkey Bay'!H215+'Monkey Bay'!I215</f>
        <v>0</v>
      </c>
      <c r="F215" s="15">
        <f>Namwera!D215+Namwera!E215+Namwera!F215+Namwera!G215+Namwera!H215+Namwera!I215</f>
        <v>0</v>
      </c>
      <c r="G215" s="22"/>
      <c r="H215" s="39">
        <f>SUM(D215:F215)</f>
        <v>0</v>
      </c>
    </row>
    <row r="216" spans="1:8" ht="15.6" x14ac:dyDescent="0.3">
      <c r="A216" s="762" t="s">
        <v>39</v>
      </c>
      <c r="B216" s="763"/>
      <c r="C216" s="11" t="s">
        <v>31</v>
      </c>
      <c r="D216" s="10">
        <f t="shared" ref="D216:F216" si="52">SUM(D212:D215)</f>
        <v>141025474.82999998</v>
      </c>
      <c r="E216" s="10">
        <f t="shared" si="52"/>
        <v>81806565.88000001</v>
      </c>
      <c r="F216" s="10">
        <f t="shared" si="52"/>
        <v>9784559.4800000004</v>
      </c>
      <c r="G216" s="14"/>
      <c r="H216" s="39">
        <f>SUM(D216:F216)</f>
        <v>232616600.18999997</v>
      </c>
    </row>
    <row r="217" spans="1:8" s="2" customFormat="1" ht="15.6" x14ac:dyDescent="0.3">
      <c r="A217" s="181" t="s">
        <v>38</v>
      </c>
      <c r="B217" s="182"/>
      <c r="C217" s="11" t="s">
        <v>31</v>
      </c>
      <c r="D217" s="10">
        <f>D210+D216</f>
        <v>365607644.82999998</v>
      </c>
      <c r="E217" s="10">
        <f t="shared" ref="E217:H217" si="53">E210+E216</f>
        <v>623986485.38</v>
      </c>
      <c r="F217" s="10">
        <f t="shared" si="53"/>
        <v>16340982.100000001</v>
      </c>
      <c r="G217" s="14"/>
      <c r="H217" s="40">
        <f t="shared" si="53"/>
        <v>1005935112.3099999</v>
      </c>
    </row>
    <row r="218" spans="1:8" s="2" customFormat="1" x14ac:dyDescent="0.3">
      <c r="A218" s="699" t="s">
        <v>37</v>
      </c>
      <c r="B218" s="700"/>
      <c r="C218" s="700"/>
      <c r="D218" s="700"/>
      <c r="E218" s="700"/>
      <c r="F218" s="700"/>
      <c r="G218" s="700"/>
      <c r="H218" s="701"/>
    </row>
    <row r="219" spans="1:8" ht="15.6" x14ac:dyDescent="0.3">
      <c r="A219" s="695" t="s">
        <v>35</v>
      </c>
      <c r="B219" s="696"/>
      <c r="C219" s="11" t="s">
        <v>31</v>
      </c>
      <c r="D219" s="15">
        <f>Mangochi!D219+Mangochi!E219+Mangochi!F219+Mangochi!G219+Mangochi!H219+Mangochi!I219</f>
        <v>272369709.26999998</v>
      </c>
      <c r="E219" s="15">
        <f>'Monkey Bay'!D219+'Monkey Bay'!E219+'Monkey Bay'!F219+'Monkey Bay'!G219+'Monkey Bay'!H219+'Monkey Bay'!I219</f>
        <v>89225814.5</v>
      </c>
      <c r="F219" s="15">
        <f>Namwera!D219+Namwera!E219+Namwera!F219+Namwera!G219+Namwera!H219+Namwera!I219</f>
        <v>9385457.2100000009</v>
      </c>
      <c r="G219" s="22"/>
      <c r="H219" s="39">
        <f>SUM(D219:F219)</f>
        <v>370980980.97999996</v>
      </c>
    </row>
    <row r="220" spans="1:8" ht="15.6" x14ac:dyDescent="0.3">
      <c r="A220" s="695" t="s">
        <v>34</v>
      </c>
      <c r="B220" s="696"/>
      <c r="C220" s="11" t="s">
        <v>31</v>
      </c>
      <c r="D220" s="15">
        <f>Mangochi!D220+Mangochi!E220+Mangochi!F220+Mangochi!G220+Mangochi!H220+Mangochi!I220</f>
        <v>0</v>
      </c>
      <c r="E220" s="15">
        <f>'Monkey Bay'!D220+'Monkey Bay'!E220+'Monkey Bay'!F220+'Monkey Bay'!G220+'Monkey Bay'!H220+'Monkey Bay'!I220</f>
        <v>0</v>
      </c>
      <c r="F220" s="15">
        <f>Namwera!D220+Namwera!E220+Namwera!F220+Namwera!G220+Namwera!H220+Namwera!I220</f>
        <v>0</v>
      </c>
      <c r="G220" s="22"/>
      <c r="H220" s="39">
        <f>SUM(D220:F220)</f>
        <v>0</v>
      </c>
    </row>
    <row r="221" spans="1:8" ht="15.6" x14ac:dyDescent="0.3">
      <c r="A221" s="695" t="s">
        <v>33</v>
      </c>
      <c r="B221" s="696"/>
      <c r="C221" s="11" t="s">
        <v>31</v>
      </c>
      <c r="D221" s="15">
        <f>Mangochi!D221+Mangochi!E221+Mangochi!F221+Mangochi!G221+Mangochi!H221+Mangochi!I221</f>
        <v>4865304.37</v>
      </c>
      <c r="E221" s="15">
        <f>'Monkey Bay'!D221+'Monkey Bay'!E221+'Monkey Bay'!F221+'Monkey Bay'!G221+'Monkey Bay'!H221+'Monkey Bay'!I221</f>
        <v>387037689.24000001</v>
      </c>
      <c r="F221" s="15">
        <f>Namwera!D221+Namwera!E221+Namwera!F221+Namwera!G221+Namwera!H221+Namwera!I221</f>
        <v>187510.51</v>
      </c>
      <c r="G221" s="22"/>
      <c r="H221" s="39">
        <f>SUM(D221:F221)</f>
        <v>392090504.12</v>
      </c>
    </row>
    <row r="222" spans="1:8" ht="15.6" x14ac:dyDescent="0.3">
      <c r="A222" s="695" t="s">
        <v>32</v>
      </c>
      <c r="B222" s="696"/>
      <c r="C222" s="11" t="s">
        <v>31</v>
      </c>
      <c r="D222" s="15">
        <f>Mangochi!D222+Mangochi!E222+Mangochi!F222+Mangochi!G222+Mangochi!H222+Mangochi!I222</f>
        <v>2310867.21</v>
      </c>
      <c r="E222" s="15">
        <f>'Monkey Bay'!D222+'Monkey Bay'!E222+'Monkey Bay'!F222+'Monkey Bay'!G222+'Monkey Bay'!H222+'Monkey Bay'!I222</f>
        <v>46671384.030000001</v>
      </c>
      <c r="F222" s="15">
        <f>Namwera!D222+Namwera!E222+Namwera!F222+Namwera!G222+Namwera!H222+Namwera!I222</f>
        <v>0</v>
      </c>
      <c r="G222" s="22"/>
      <c r="H222" s="39">
        <f>SUM(D222:F222)</f>
        <v>48982251.240000002</v>
      </c>
    </row>
    <row r="223" spans="1:8" ht="15.6" x14ac:dyDescent="0.3">
      <c r="A223" s="762" t="s">
        <v>36</v>
      </c>
      <c r="B223" s="763"/>
      <c r="C223" s="11" t="s">
        <v>31</v>
      </c>
      <c r="D223" s="12">
        <f t="shared" ref="D223:F223" si="54">SUM(D219:D222)</f>
        <v>279545880.84999996</v>
      </c>
      <c r="E223" s="10">
        <f t="shared" si="54"/>
        <v>522934887.76999998</v>
      </c>
      <c r="F223" s="10">
        <f t="shared" si="54"/>
        <v>9572967.7200000007</v>
      </c>
      <c r="G223" s="14"/>
      <c r="H223" s="39">
        <f>SUM(D223:F223)</f>
        <v>812053736.33999991</v>
      </c>
    </row>
    <row r="224" spans="1:8" x14ac:dyDescent="0.3">
      <c r="A224" s="699" t="s">
        <v>211</v>
      </c>
      <c r="B224" s="700"/>
      <c r="C224" s="700"/>
      <c r="D224" s="700"/>
      <c r="E224" s="700"/>
      <c r="F224" s="700"/>
      <c r="G224" s="700"/>
      <c r="H224" s="701"/>
    </row>
    <row r="225" spans="1:8" ht="15.6" x14ac:dyDescent="0.3">
      <c r="A225" s="695" t="s">
        <v>35</v>
      </c>
      <c r="B225" s="696"/>
      <c r="C225" s="11" t="s">
        <v>31</v>
      </c>
      <c r="D225" s="15">
        <f>Mangochi!D225+Mangochi!E225+Mangochi!F225+Mangochi!G225+Mangochi!H225+Mangochi!I225</f>
        <v>136030208.44999999</v>
      </c>
      <c r="E225" s="15">
        <f>'Monkey Bay'!D225+'Monkey Bay'!E225+'Monkey Bay'!F225+'Monkey Bay'!G225+'Monkey Bay'!H225+'Monkey Bay'!I225</f>
        <v>70756041.150000006</v>
      </c>
      <c r="F225" s="15">
        <f>Namwera!D225+Namwera!E225+Namwera!F225+Namwera!G225+Namwera!H225+Namwera!I225</f>
        <v>9044244.3100000005</v>
      </c>
      <c r="G225" s="22"/>
      <c r="H225" s="39">
        <f t="shared" ref="H225:H230" si="55">SUM(D225:F225)</f>
        <v>215830493.91</v>
      </c>
    </row>
    <row r="226" spans="1:8" ht="15.6" x14ac:dyDescent="0.3">
      <c r="A226" s="695" t="s">
        <v>34</v>
      </c>
      <c r="B226" s="696"/>
      <c r="C226" s="11" t="s">
        <v>31</v>
      </c>
      <c r="D226" s="15">
        <f>Mangochi!D226+Mangochi!E226+Mangochi!F226+Mangochi!G226+Mangochi!H226+Mangochi!I226</f>
        <v>0</v>
      </c>
      <c r="E226" s="15">
        <f>'Monkey Bay'!D226+'Monkey Bay'!E226+'Monkey Bay'!F226+'Monkey Bay'!G226+'Monkey Bay'!H226+'Monkey Bay'!I226</f>
        <v>0</v>
      </c>
      <c r="F226" s="15">
        <f>Namwera!D226+Namwera!E226+Namwera!F226+Namwera!G226+Namwera!H226+Namwera!I226</f>
        <v>0</v>
      </c>
      <c r="G226" s="22"/>
      <c r="H226" s="39">
        <f t="shared" si="55"/>
        <v>0</v>
      </c>
    </row>
    <row r="227" spans="1:8" ht="15.6" x14ac:dyDescent="0.3">
      <c r="A227" s="695" t="s">
        <v>33</v>
      </c>
      <c r="B227" s="696"/>
      <c r="C227" s="11" t="s">
        <v>31</v>
      </c>
      <c r="D227" s="15">
        <f>Mangochi!D227+Mangochi!E227+Mangochi!F227+Mangochi!G227+Mangochi!H227+Mangochi!I227</f>
        <v>0</v>
      </c>
      <c r="E227" s="15">
        <f>'Monkey Bay'!D227+'Monkey Bay'!E227+'Monkey Bay'!F227+'Monkey Bay'!G227+'Monkey Bay'!H227+'Monkey Bay'!I227</f>
        <v>0</v>
      </c>
      <c r="F227" s="15">
        <f>Namwera!D227+Namwera!E227+Namwera!F227+Namwera!G227+Namwera!H227+Namwera!I227</f>
        <v>0</v>
      </c>
      <c r="G227" s="22"/>
      <c r="H227" s="39">
        <f t="shared" si="55"/>
        <v>0</v>
      </c>
    </row>
    <row r="228" spans="1:8" ht="15.6" x14ac:dyDescent="0.3">
      <c r="A228" s="695" t="s">
        <v>32</v>
      </c>
      <c r="B228" s="696"/>
      <c r="C228" s="11" t="s">
        <v>31</v>
      </c>
      <c r="D228" s="15">
        <f>Mangochi!D228+Mangochi!E228+Mangochi!F228+Mangochi!G228+Mangochi!H228+Mangochi!I228</f>
        <v>0</v>
      </c>
      <c r="E228" s="15">
        <f>'Monkey Bay'!D228+'Monkey Bay'!E228+'Monkey Bay'!F228+'Monkey Bay'!G228+'Monkey Bay'!H228+'Monkey Bay'!I228</f>
        <v>0</v>
      </c>
      <c r="F228" s="15">
        <f>Namwera!D228+Namwera!E228+Namwera!F228+Namwera!G228+Namwera!H228+Namwera!I228</f>
        <v>0</v>
      </c>
      <c r="G228" s="22"/>
      <c r="H228" s="39">
        <f t="shared" si="55"/>
        <v>0</v>
      </c>
    </row>
    <row r="229" spans="1:8" ht="15.6" x14ac:dyDescent="0.3">
      <c r="A229" s="762" t="s">
        <v>212</v>
      </c>
      <c r="B229" s="763"/>
      <c r="C229" s="11" t="s">
        <v>31</v>
      </c>
      <c r="D229" s="12">
        <f t="shared" ref="D229:F229" si="56">SUM(D225:D228)</f>
        <v>136030208.44999999</v>
      </c>
      <c r="E229" s="10">
        <f t="shared" si="56"/>
        <v>70756041.150000006</v>
      </c>
      <c r="F229" s="10">
        <f t="shared" si="56"/>
        <v>9044244.3100000005</v>
      </c>
      <c r="G229" s="14"/>
      <c r="H229" s="39">
        <f t="shared" si="55"/>
        <v>215830493.91</v>
      </c>
    </row>
    <row r="230" spans="1:8" ht="15.6" x14ac:dyDescent="0.3">
      <c r="A230" s="181" t="s">
        <v>213</v>
      </c>
      <c r="B230" s="120"/>
      <c r="C230" s="11" t="s">
        <v>31</v>
      </c>
      <c r="D230" s="12">
        <f>D223+D229</f>
        <v>415576089.29999995</v>
      </c>
      <c r="E230" s="12">
        <f t="shared" ref="E230:F230" si="57">E223+E229</f>
        <v>593690928.91999996</v>
      </c>
      <c r="F230" s="12">
        <f t="shared" si="57"/>
        <v>18617212.030000001</v>
      </c>
      <c r="G230" s="682"/>
      <c r="H230" s="39">
        <f t="shared" si="55"/>
        <v>1027884230.2499999</v>
      </c>
    </row>
    <row r="231" spans="1:8" x14ac:dyDescent="0.3">
      <c r="A231" s="699" t="s">
        <v>30</v>
      </c>
      <c r="B231" s="700"/>
      <c r="C231" s="700"/>
      <c r="D231" s="700"/>
      <c r="E231" s="700"/>
      <c r="F231" s="700"/>
      <c r="G231" s="700"/>
      <c r="H231" s="701"/>
    </row>
    <row r="232" spans="1:8" ht="15.6" x14ac:dyDescent="0.3">
      <c r="A232" s="695" t="s">
        <v>29</v>
      </c>
      <c r="B232" s="696"/>
      <c r="C232" s="11" t="s">
        <v>18</v>
      </c>
      <c r="D232" s="15">
        <f>Mangochi!D232+Mangochi!E232+Mangochi!F232+Mangochi!G232+Mangochi!H232+Mangochi!I232</f>
        <v>13366008.08</v>
      </c>
      <c r="E232" s="15">
        <f>'Monkey Bay'!D232+'Monkey Bay'!E232+'Monkey Bay'!F232+'Monkey Bay'!G232+'Monkey Bay'!H232+'Monkey Bay'!I232</f>
        <v>3585778.86</v>
      </c>
      <c r="F232" s="15">
        <f>Namwera!D232+Namwera!E232+Namwera!F232+Namwera!G232+Namwera!H232+Namwera!I232</f>
        <v>689124.04</v>
      </c>
      <c r="G232" s="22"/>
      <c r="H232" s="39">
        <f>SUM(D232:F232)</f>
        <v>17640910.98</v>
      </c>
    </row>
    <row r="233" spans="1:8" ht="15.6" x14ac:dyDescent="0.3">
      <c r="A233" s="695" t="s">
        <v>28</v>
      </c>
      <c r="B233" s="696"/>
      <c r="C233" s="11" t="s">
        <v>18</v>
      </c>
      <c r="D233" s="15">
        <f>Mangochi!D233+Mangochi!E233+Mangochi!F233+Mangochi!G233+Mangochi!H233+Mangochi!I233</f>
        <v>0</v>
      </c>
      <c r="E233" s="15">
        <f>'Monkey Bay'!D233+'Monkey Bay'!E233+'Monkey Bay'!F233+'Monkey Bay'!G233+'Monkey Bay'!H233+'Monkey Bay'!I233</f>
        <v>0</v>
      </c>
      <c r="F233" s="15">
        <f>Namwera!D233+Namwera!E233+Namwera!F233+Namwera!G233+Namwera!H233+Namwera!I233</f>
        <v>0</v>
      </c>
      <c r="G233" s="22"/>
      <c r="H233" s="39">
        <f>SUM(D233:F233)</f>
        <v>0</v>
      </c>
    </row>
    <row r="234" spans="1:8" ht="15.6" x14ac:dyDescent="0.3">
      <c r="A234" s="695" t="s">
        <v>27</v>
      </c>
      <c r="B234" s="696"/>
      <c r="C234" s="11" t="s">
        <v>18</v>
      </c>
      <c r="D234" s="15">
        <f>Mangochi!D234+Mangochi!E234+Mangochi!F234+Mangochi!G234+Mangochi!H234+Mangochi!I234</f>
        <v>132660.66</v>
      </c>
      <c r="E234" s="15">
        <f>'Monkey Bay'!D234+'Monkey Bay'!E234+'Monkey Bay'!F234+'Monkey Bay'!G234+'Monkey Bay'!H234+'Monkey Bay'!I234</f>
        <v>319823.25</v>
      </c>
      <c r="F234" s="15">
        <f>Namwera!D234+Namwera!E234+Namwera!F234+Namwera!G234+Namwera!H234+Namwera!I234</f>
        <v>17479.75</v>
      </c>
      <c r="G234" s="22"/>
      <c r="H234" s="39">
        <f>SUM(D234:F234)</f>
        <v>469963.66000000003</v>
      </c>
    </row>
    <row r="235" spans="1:8" ht="15.6" x14ac:dyDescent="0.3">
      <c r="A235" s="695" t="s">
        <v>26</v>
      </c>
      <c r="B235" s="696"/>
      <c r="C235" s="11" t="s">
        <v>18</v>
      </c>
      <c r="D235" s="15">
        <f>Mangochi!D235+Mangochi!E235+Mangochi!F235+Mangochi!G235+Mangochi!H235+Mangochi!I235</f>
        <v>143336.62</v>
      </c>
      <c r="E235" s="15">
        <f>'Monkey Bay'!D235+'Monkey Bay'!E235+'Monkey Bay'!F235+'Monkey Bay'!G235+'Monkey Bay'!H235+'Monkey Bay'!I235</f>
        <v>262782.61</v>
      </c>
      <c r="F235" s="15">
        <f>Namwera!D235+Namwera!E235+Namwera!F235+Namwera!G235+Namwera!H235+Namwera!I235</f>
        <v>0</v>
      </c>
      <c r="G235" s="22"/>
      <c r="H235" s="39">
        <f>SUM(D235:F235)</f>
        <v>406119.23</v>
      </c>
    </row>
    <row r="236" spans="1:8" ht="15.6" x14ac:dyDescent="0.3">
      <c r="A236" s="762" t="s">
        <v>25</v>
      </c>
      <c r="B236" s="763"/>
      <c r="C236" s="11" t="s">
        <v>18</v>
      </c>
      <c r="D236" s="12">
        <f t="shared" ref="D236:F236" si="58">SUM(D232:D235)</f>
        <v>13642005.359999999</v>
      </c>
      <c r="E236" s="10">
        <f t="shared" si="58"/>
        <v>4168384.7199999997</v>
      </c>
      <c r="F236" s="10">
        <f t="shared" si="58"/>
        <v>706603.79</v>
      </c>
      <c r="G236" s="14"/>
      <c r="H236" s="40">
        <f t="shared" ref="H236" si="59">SUM(H232:H235)</f>
        <v>18516993.870000001</v>
      </c>
    </row>
    <row r="237" spans="1:8" x14ac:dyDescent="0.3">
      <c r="A237" s="699" t="s">
        <v>24</v>
      </c>
      <c r="B237" s="700"/>
      <c r="C237" s="700"/>
      <c r="D237" s="700"/>
      <c r="E237" s="700"/>
      <c r="F237" s="700"/>
      <c r="G237" s="700"/>
      <c r="H237" s="701"/>
    </row>
    <row r="238" spans="1:8" ht="15.6" x14ac:dyDescent="0.3">
      <c r="A238" s="695" t="s">
        <v>23</v>
      </c>
      <c r="B238" s="696"/>
      <c r="C238" s="11" t="s">
        <v>18</v>
      </c>
      <c r="D238" s="15">
        <f>Mangochi!D238+Mangochi!E238+Mangochi!F238+Mangochi!G238+Mangochi!H238+Mangochi!I238</f>
        <v>25584450</v>
      </c>
      <c r="E238" s="15">
        <f>'Monkey Bay'!D238+'Monkey Bay'!E238+'Monkey Bay'!F238+'Monkey Bay'!G238+'Monkey Bay'!H238+'Monkey Bay'!I238</f>
        <v>7408328</v>
      </c>
      <c r="F238" s="15">
        <f>Namwera!D238+Namwera!E238+Namwera!F238+Namwera!G238+Namwera!H238+Namwera!I238</f>
        <v>1295743</v>
      </c>
      <c r="G238" s="22"/>
      <c r="H238" s="39">
        <f>SUM(D238:F238)</f>
        <v>34288521</v>
      </c>
    </row>
    <row r="239" spans="1:8" ht="15.6" x14ac:dyDescent="0.3">
      <c r="A239" s="695" t="s">
        <v>22</v>
      </c>
      <c r="B239" s="696"/>
      <c r="C239" s="11" t="s">
        <v>18</v>
      </c>
      <c r="D239" s="15">
        <f>Mangochi!D239+Mangochi!E239+Mangochi!F239+Mangochi!G239+Mangochi!H239+Mangochi!I239</f>
        <v>0</v>
      </c>
      <c r="E239" s="15">
        <f>'Monkey Bay'!D239+'Monkey Bay'!E239+'Monkey Bay'!F239+'Monkey Bay'!G239+'Monkey Bay'!H239+'Monkey Bay'!I239</f>
        <v>0</v>
      </c>
      <c r="F239" s="15">
        <f>Namwera!D239+Namwera!E239+Namwera!F239+Namwera!G239+Namwera!H239+Namwera!I239</f>
        <v>0</v>
      </c>
      <c r="G239" s="22"/>
      <c r="H239" s="39">
        <f>SUM(D239:F239)</f>
        <v>0</v>
      </c>
    </row>
    <row r="240" spans="1:8" ht="15.6" x14ac:dyDescent="0.3">
      <c r="A240" s="695" t="s">
        <v>21</v>
      </c>
      <c r="B240" s="696"/>
      <c r="C240" s="11" t="s">
        <v>18</v>
      </c>
      <c r="D240" s="15">
        <f>Mangochi!D240+Mangochi!E240+Mangochi!F240+Mangochi!G240+Mangochi!H240+Mangochi!I240</f>
        <v>41078</v>
      </c>
      <c r="E240" s="15">
        <f>'Monkey Bay'!D240+'Monkey Bay'!E240+'Monkey Bay'!F240+'Monkey Bay'!G240+'Monkey Bay'!H240+'Monkey Bay'!I240</f>
        <v>98230</v>
      </c>
      <c r="F240" s="15">
        <f>Namwera!D240+Namwera!E240+Namwera!F240+Namwera!G240+Namwera!H240+Namwera!I240</f>
        <v>5358</v>
      </c>
      <c r="G240" s="22"/>
      <c r="H240" s="39">
        <f>SUM(D240:F240)</f>
        <v>144666</v>
      </c>
    </row>
    <row r="241" spans="1:8" ht="15.6" x14ac:dyDescent="0.3">
      <c r="A241" s="695" t="s">
        <v>20</v>
      </c>
      <c r="B241" s="696"/>
      <c r="C241" s="11" t="s">
        <v>18</v>
      </c>
      <c r="D241" s="15">
        <f>Mangochi!D241+Mangochi!E241+Mangochi!F241+Mangochi!G241+Mangochi!H241+Mangochi!I241</f>
        <v>32148</v>
      </c>
      <c r="E241" s="15">
        <f>'Monkey Bay'!D241+'Monkey Bay'!E241+'Monkey Bay'!F241+'Monkey Bay'!G241+'Monkey Bay'!H241+'Monkey Bay'!I241</f>
        <v>58938</v>
      </c>
      <c r="F241" s="15">
        <f>Namwera!D241+Namwera!E241+Namwera!F241+Namwera!G241+Namwera!H241+Namwera!I241</f>
        <v>0</v>
      </c>
      <c r="G241" s="22"/>
      <c r="H241" s="39">
        <f>SUM(D241:F241)</f>
        <v>91086</v>
      </c>
    </row>
    <row r="242" spans="1:8" ht="15.6" x14ac:dyDescent="0.3">
      <c r="A242" s="762" t="s">
        <v>19</v>
      </c>
      <c r="B242" s="763"/>
      <c r="C242" s="11" t="s">
        <v>18</v>
      </c>
      <c r="D242" s="12">
        <f t="shared" ref="D242:H242" si="60">SUM(D238:D241)</f>
        <v>25657676</v>
      </c>
      <c r="E242" s="12">
        <f t="shared" si="60"/>
        <v>7565496</v>
      </c>
      <c r="F242" s="12">
        <f t="shared" si="60"/>
        <v>1301101</v>
      </c>
      <c r="G242" s="682"/>
      <c r="H242" s="40">
        <f t="shared" si="60"/>
        <v>34524273</v>
      </c>
    </row>
    <row r="243" spans="1:8" ht="15.6" x14ac:dyDescent="0.3">
      <c r="A243" s="762" t="s">
        <v>214</v>
      </c>
      <c r="B243" s="763"/>
      <c r="C243" s="11" t="s">
        <v>18</v>
      </c>
      <c r="D243" s="10">
        <f>D230+D236+D242</f>
        <v>454875770.65999997</v>
      </c>
      <c r="E243" s="10">
        <f t="shared" ref="E243:F243" si="61">E230+E236+E242</f>
        <v>605424809.63999999</v>
      </c>
      <c r="F243" s="10">
        <f t="shared" si="61"/>
        <v>20624916.82</v>
      </c>
      <c r="G243" s="14"/>
      <c r="H243" s="40">
        <f t="shared" ref="H243" si="62">H216+H223+H236+H242</f>
        <v>1097711603.3999999</v>
      </c>
    </row>
    <row r="244" spans="1:8" x14ac:dyDescent="0.3">
      <c r="A244" s="699" t="s">
        <v>204</v>
      </c>
      <c r="B244" s="700"/>
      <c r="C244" s="700"/>
      <c r="D244" s="700"/>
      <c r="E244" s="700"/>
      <c r="F244" s="700"/>
      <c r="G244" s="700"/>
      <c r="H244" s="701"/>
    </row>
    <row r="245" spans="1:8" ht="15.6" x14ac:dyDescent="0.3">
      <c r="A245" s="769" t="s">
        <v>205</v>
      </c>
      <c r="B245" s="770"/>
      <c r="C245" s="11" t="s">
        <v>18</v>
      </c>
      <c r="D245" s="26">
        <f>Mangochi!I245</f>
        <v>399829786.04999959</v>
      </c>
      <c r="E245" s="26">
        <f>'Monkey Bay'!I245</f>
        <v>148414341.70000136</v>
      </c>
      <c r="F245" s="26">
        <f>Namwera!I245</f>
        <v>23636953.32000003</v>
      </c>
      <c r="G245" s="128"/>
      <c r="H245" s="39">
        <f>SUM(D245:F245)</f>
        <v>571881081.07000101</v>
      </c>
    </row>
    <row r="246" spans="1:8" ht="15.6" x14ac:dyDescent="0.3">
      <c r="A246" s="769" t="s">
        <v>206</v>
      </c>
      <c r="B246" s="770"/>
      <c r="C246" s="11" t="s">
        <v>18</v>
      </c>
      <c r="D246" s="26">
        <f>Mangochi!I246</f>
        <v>295019270.00999904</v>
      </c>
      <c r="E246" s="26">
        <f>'Monkey Bay'!I246</f>
        <v>738303326.87999988</v>
      </c>
      <c r="F246" s="26">
        <f>Namwera!I246</f>
        <v>39443090.580000028</v>
      </c>
      <c r="G246" s="128"/>
      <c r="H246" s="39">
        <f>SUM(D246:F246)</f>
        <v>1072765687.469999</v>
      </c>
    </row>
    <row r="247" spans="1:8" ht="15.6" x14ac:dyDescent="0.3">
      <c r="A247" s="798" t="s">
        <v>207</v>
      </c>
      <c r="B247" s="799"/>
      <c r="C247" s="11" t="s">
        <v>18</v>
      </c>
      <c r="D247" s="72">
        <f>D245+D246</f>
        <v>694849056.05999863</v>
      </c>
      <c r="E247" s="72">
        <f t="shared" ref="E247:H247" si="63">E245+E246</f>
        <v>886717668.58000124</v>
      </c>
      <c r="F247" s="72">
        <f t="shared" si="63"/>
        <v>63080043.900000058</v>
      </c>
      <c r="G247" s="689"/>
      <c r="H247" s="164">
        <f t="shared" si="63"/>
        <v>1644646768.54</v>
      </c>
    </row>
    <row r="248" spans="1:8" x14ac:dyDescent="0.3">
      <c r="A248" s="699" t="s">
        <v>17</v>
      </c>
      <c r="B248" s="700"/>
      <c r="C248" s="700"/>
      <c r="D248" s="700"/>
      <c r="E248" s="700"/>
      <c r="F248" s="700"/>
      <c r="G248" s="700"/>
      <c r="H248" s="701"/>
    </row>
    <row r="249" spans="1:8" ht="15.6" x14ac:dyDescent="0.3">
      <c r="A249" s="726" t="s">
        <v>16</v>
      </c>
      <c r="B249" s="727"/>
      <c r="C249" s="5" t="s">
        <v>6</v>
      </c>
      <c r="D249" s="8">
        <f>D58/D243%</f>
        <v>40.402654611823465</v>
      </c>
      <c r="E249" s="8">
        <f t="shared" ref="E249:H249" si="64">E58/E243%</f>
        <v>10.194013303435391</v>
      </c>
      <c r="F249" s="8">
        <f t="shared" si="64"/>
        <v>97.160140449962782</v>
      </c>
      <c r="G249" s="685"/>
      <c r="H249" s="112">
        <f t="shared" si="64"/>
        <v>24.190157915536709</v>
      </c>
    </row>
    <row r="250" spans="1:8" ht="15.6" x14ac:dyDescent="0.3">
      <c r="A250" s="726" t="s">
        <v>208</v>
      </c>
      <c r="B250" s="727"/>
      <c r="C250" s="5" t="s">
        <v>6</v>
      </c>
      <c r="D250" s="29">
        <f>D210/(D223+D245)%</f>
        <v>33.057140686944457</v>
      </c>
      <c r="E250" s="29">
        <f t="shared" ref="E250:H250" si="65">E210/(E223+E245)%</f>
        <v>80.759744064654029</v>
      </c>
      <c r="F250" s="29">
        <f t="shared" si="65"/>
        <v>19.742361362747747</v>
      </c>
      <c r="G250" s="678"/>
      <c r="H250" s="109">
        <f t="shared" si="65"/>
        <v>55.878246749167431</v>
      </c>
    </row>
    <row r="251" spans="1:8" ht="16.2" thickBot="1" x14ac:dyDescent="0.35">
      <c r="A251" s="796" t="s">
        <v>15</v>
      </c>
      <c r="B251" s="797"/>
      <c r="C251" s="5" t="s">
        <v>6</v>
      </c>
      <c r="D251" s="7">
        <f>D210/D223%</f>
        <v>80.338214720648068</v>
      </c>
      <c r="E251" s="7">
        <f t="shared" ref="E251:H251" si="66">E210/E223%</f>
        <v>103.68019655603175</v>
      </c>
      <c r="F251" s="7">
        <f t="shared" si="66"/>
        <v>68.488924352081696</v>
      </c>
      <c r="G251" s="686"/>
      <c r="H251" s="113">
        <f t="shared" si="66"/>
        <v>95.229967859690774</v>
      </c>
    </row>
    <row r="252" spans="1:8" x14ac:dyDescent="0.3">
      <c r="A252" s="755" t="s">
        <v>14</v>
      </c>
      <c r="B252" s="756"/>
      <c r="C252" s="756"/>
      <c r="D252" s="756"/>
      <c r="E252" s="756"/>
      <c r="F252" s="756"/>
      <c r="G252" s="756"/>
      <c r="H252" s="757"/>
    </row>
    <row r="253" spans="1:8" s="2" customFormat="1" ht="15" customHeight="1" x14ac:dyDescent="0.3">
      <c r="A253" s="726" t="s">
        <v>13</v>
      </c>
      <c r="B253" s="727"/>
      <c r="C253" s="5" t="s">
        <v>3</v>
      </c>
      <c r="D253" s="15">
        <f>Mangochi!D253+Mangochi!E253+Mangochi!F253+Mangochi!G253+Mangochi!H253+Mangochi!I253</f>
        <v>625</v>
      </c>
      <c r="E253" s="15">
        <f>'Monkey Bay'!D253+'Monkey Bay'!E253+'Monkey Bay'!F253+'Monkey Bay'!G253+'Monkey Bay'!H253+'Monkey Bay'!I253</f>
        <v>89</v>
      </c>
      <c r="F253" s="15">
        <f>Namwera!D253+Namwera!E253+Namwera!F253+Namwera!G253+Namwera!H253+Namwera!I253</f>
        <v>70</v>
      </c>
      <c r="G253" s="22"/>
      <c r="H253" s="114">
        <f>SUM(D253:F253)</f>
        <v>784</v>
      </c>
    </row>
    <row r="254" spans="1:8" s="2" customFormat="1" ht="15.6" x14ac:dyDescent="0.3">
      <c r="A254" s="726" t="s">
        <v>12</v>
      </c>
      <c r="B254" s="727"/>
      <c r="C254" s="5" t="s">
        <v>3</v>
      </c>
      <c r="D254" s="15">
        <f>Mangochi!D254+Mangochi!E254+Mangochi!F254+Mangochi!G254+Mangochi!H254+Mangochi!I254</f>
        <v>9</v>
      </c>
      <c r="E254" s="15">
        <f>'Monkey Bay'!D254+'Monkey Bay'!E254+'Monkey Bay'!F254+'Monkey Bay'!G254+'Monkey Bay'!H254+'Monkey Bay'!I254</f>
        <v>5</v>
      </c>
      <c r="F254" s="15">
        <f>Namwera!D254+Namwera!E254+Namwera!F254+Namwera!G254+Namwera!H254+Namwera!I254</f>
        <v>15</v>
      </c>
      <c r="G254" s="22"/>
      <c r="H254" s="114">
        <f>SUM(D254:F254)</f>
        <v>29</v>
      </c>
    </row>
    <row r="255" spans="1:8" ht="15.75" customHeight="1" x14ac:dyDescent="0.3">
      <c r="A255" s="726" t="s">
        <v>11</v>
      </c>
      <c r="B255" s="727"/>
      <c r="C255" s="5" t="s">
        <v>3</v>
      </c>
      <c r="D255" s="4">
        <f>D95</f>
        <v>1462</v>
      </c>
      <c r="E255" s="4">
        <f t="shared" ref="E255:F255" si="67">E95</f>
        <v>116</v>
      </c>
      <c r="F255" s="4">
        <f t="shared" si="67"/>
        <v>54</v>
      </c>
      <c r="G255" s="673"/>
      <c r="H255" s="114">
        <f>SUM(D255:F255)</f>
        <v>1632</v>
      </c>
    </row>
    <row r="256" spans="1:8" ht="15.6" x14ac:dyDescent="0.3">
      <c r="A256" s="726" t="s">
        <v>10</v>
      </c>
      <c r="B256" s="727"/>
      <c r="C256" s="5" t="s">
        <v>3</v>
      </c>
      <c r="D256" s="4">
        <f>D91</f>
        <v>625</v>
      </c>
      <c r="E256" s="4">
        <f t="shared" ref="E256:F256" si="68">E91</f>
        <v>92</v>
      </c>
      <c r="F256" s="4">
        <f t="shared" si="68"/>
        <v>36</v>
      </c>
      <c r="G256" s="673"/>
      <c r="H256" s="114">
        <f>SUM(D256:F256)</f>
        <v>753</v>
      </c>
    </row>
    <row r="257" spans="1:8" ht="15.6" customHeight="1" x14ac:dyDescent="0.3">
      <c r="A257" s="726" t="s">
        <v>9</v>
      </c>
      <c r="B257" s="727"/>
      <c r="C257" s="5" t="s">
        <v>3</v>
      </c>
      <c r="D257" s="15">
        <f>Mangochi!D257+Mangochi!E257+Mangochi!F257+Mangochi!G257+Mangochi!H257+Mangochi!I257</f>
        <v>26569</v>
      </c>
      <c r="E257" s="15">
        <f>'Monkey Bay'!D257+'Monkey Bay'!E257+'Monkey Bay'!F257+'Monkey Bay'!G257+'Monkey Bay'!H257+'Monkey Bay'!I257</f>
        <v>10009</v>
      </c>
      <c r="F257" s="15">
        <f>Namwera!D257+Namwera!E257+Namwera!F257+Namwera!G257+Namwera!H257+Namwera!I257</f>
        <v>290</v>
      </c>
      <c r="G257" s="22"/>
      <c r="H257" s="114">
        <f>SUM(D257:F257)</f>
        <v>36868</v>
      </c>
    </row>
    <row r="258" spans="1:8" ht="15.6" x14ac:dyDescent="0.3">
      <c r="A258" s="762" t="s">
        <v>8</v>
      </c>
      <c r="B258" s="763"/>
      <c r="C258" s="5" t="s">
        <v>3</v>
      </c>
      <c r="D258" s="1">
        <f t="shared" ref="D258:H258" si="69">D257/D256</f>
        <v>42.510399999999997</v>
      </c>
      <c r="E258" s="1">
        <f t="shared" si="69"/>
        <v>108.79347826086956</v>
      </c>
      <c r="F258" s="1">
        <f t="shared" si="69"/>
        <v>8.0555555555555554</v>
      </c>
      <c r="G258" s="129"/>
      <c r="H258" s="114">
        <f t="shared" si="69"/>
        <v>48.961487383798143</v>
      </c>
    </row>
    <row r="259" spans="1:8" ht="15.6" x14ac:dyDescent="0.3">
      <c r="A259" s="762" t="s">
        <v>7</v>
      </c>
      <c r="B259" s="763"/>
      <c r="C259" s="5" t="s">
        <v>6</v>
      </c>
      <c r="D259" s="1">
        <f t="shared" ref="D259:H259" si="70">D92/D255*100</f>
        <v>0.47879616963064298</v>
      </c>
      <c r="E259" s="1">
        <f t="shared" si="70"/>
        <v>0</v>
      </c>
      <c r="F259" s="1">
        <f t="shared" si="70"/>
        <v>0</v>
      </c>
      <c r="G259" s="129"/>
      <c r="H259" s="115">
        <f t="shared" si="70"/>
        <v>0.42892156862745101</v>
      </c>
    </row>
    <row r="260" spans="1:8" x14ac:dyDescent="0.3">
      <c r="A260" s="699" t="s">
        <v>5</v>
      </c>
      <c r="B260" s="700"/>
      <c r="C260" s="700"/>
      <c r="D260" s="700"/>
      <c r="E260" s="700"/>
      <c r="F260" s="700"/>
      <c r="G260" s="700"/>
      <c r="H260" s="701"/>
    </row>
    <row r="261" spans="1:8" s="2" customFormat="1" ht="15" customHeight="1" x14ac:dyDescent="0.3">
      <c r="A261" s="726" t="s">
        <v>4</v>
      </c>
      <c r="B261" s="727"/>
      <c r="C261" s="5" t="s">
        <v>3</v>
      </c>
      <c r="D261" s="15">
        <f>Mangochi!D261+Mangochi!E261+Mangochi!F261+Mangochi!G261+Mangochi!H261+Mangochi!I261</f>
        <v>274</v>
      </c>
      <c r="E261" s="15">
        <f>'Monkey Bay'!D261+'Monkey Bay'!E261+'Monkey Bay'!F261+'Monkey Bay'!G261+'Monkey Bay'!H261+'Monkey Bay'!I261</f>
        <v>241</v>
      </c>
      <c r="F261" s="15">
        <f>Namwera!D261+Namwera!E261+Namwera!F261+Namwera!G261+Namwera!H261+Namwera!I261</f>
        <v>50</v>
      </c>
      <c r="G261" s="22"/>
      <c r="H261" s="114">
        <f>SUM(D261:F261)</f>
        <v>565</v>
      </c>
    </row>
    <row r="262" spans="1:8" s="2" customFormat="1" ht="15.75" customHeight="1" x14ac:dyDescent="0.3">
      <c r="A262" s="726" t="s">
        <v>2</v>
      </c>
      <c r="B262" s="727"/>
      <c r="C262" s="5" t="s">
        <v>0</v>
      </c>
      <c r="D262" s="15">
        <f>Mangochi!D262+Mangochi!E262+Mangochi!F262+Mangochi!G262+Mangochi!H262+Mangochi!I262</f>
        <v>12</v>
      </c>
      <c r="E262" s="15">
        <f>'Monkey Bay'!D262+'Monkey Bay'!E262+'Monkey Bay'!F262+'Monkey Bay'!G262+'Monkey Bay'!H262+'Monkey Bay'!I262</f>
        <v>7</v>
      </c>
      <c r="F262" s="15">
        <f>Namwera!D262+Namwera!E262+Namwera!F262+Namwera!G262+Namwera!H262+Namwera!I262</f>
        <v>39</v>
      </c>
      <c r="G262" s="22"/>
      <c r="H262" s="114">
        <f>SUM(D262:F262)</f>
        <v>58</v>
      </c>
    </row>
    <row r="263" spans="1:8" ht="16.2" thickBot="1" x14ac:dyDescent="0.35">
      <c r="A263" s="775" t="s">
        <v>1</v>
      </c>
      <c r="B263" s="776"/>
      <c r="C263" s="116" t="s">
        <v>0</v>
      </c>
      <c r="D263" s="117">
        <f>D261/D262</f>
        <v>22.833333333333332</v>
      </c>
      <c r="E263" s="117">
        <f t="shared" ref="E263:H263" si="71">E261/E262</f>
        <v>34.428571428571431</v>
      </c>
      <c r="F263" s="117">
        <f t="shared" si="71"/>
        <v>1.2820512820512822</v>
      </c>
      <c r="G263" s="690"/>
      <c r="H263" s="188">
        <f t="shared" si="71"/>
        <v>9.7413793103448274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F682-4A29-4F47-93B2-A47C18F0962C}">
  <sheetPr codeName="Sheet15"/>
  <dimension ref="A1:H263"/>
  <sheetViews>
    <sheetView workbookViewId="0">
      <pane xSplit="2" ySplit="8" topLeftCell="C108" activePane="bottomRight" state="frozen"/>
      <selection pane="topRight" activeCell="C1" sqref="C1"/>
      <selection pane="bottomLeft" activeCell="A9" sqref="A9"/>
      <selection pane="bottomRight" activeCell="H1" sqref="H1:H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5" width="20.109375" bestFit="1" customWidth="1"/>
    <col min="6" max="7" width="19.109375" customWidth="1"/>
    <col min="8" max="8" width="21.44140625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21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123"/>
    </row>
    <row r="3" spans="1:8" ht="18" thickBot="1" x14ac:dyDescent="0.35">
      <c r="A3" s="89" t="s">
        <v>217</v>
      </c>
      <c r="B3" s="90"/>
      <c r="C3" s="90"/>
      <c r="D3" s="90"/>
      <c r="E3" s="90"/>
      <c r="F3" s="90"/>
      <c r="G3" s="320"/>
      <c r="H3" s="91"/>
    </row>
    <row r="4" spans="1:8" ht="18" thickBot="1" x14ac:dyDescent="0.35">
      <c r="A4" s="94" t="s">
        <v>221</v>
      </c>
      <c r="B4" s="124"/>
      <c r="C4" s="124"/>
      <c r="D4" s="124"/>
      <c r="E4" s="124"/>
      <c r="F4" s="124"/>
      <c r="G4" s="124"/>
      <c r="H4" s="125"/>
    </row>
    <row r="5" spans="1:8" ht="14.4" customHeight="1" x14ac:dyDescent="0.3">
      <c r="A5" s="95" t="s">
        <v>221</v>
      </c>
      <c r="B5" s="96"/>
      <c r="C5" s="96"/>
      <c r="D5" s="96"/>
      <c r="E5" s="96"/>
      <c r="F5" s="96"/>
      <c r="G5" s="96"/>
      <c r="H5" s="126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99"/>
    </row>
    <row r="7" spans="1:8" ht="16.2" thickBot="1" x14ac:dyDescent="0.35">
      <c r="A7" s="693" t="s">
        <v>174</v>
      </c>
      <c r="B7" s="694"/>
      <c r="C7" s="61" t="s">
        <v>173</v>
      </c>
      <c r="D7" s="60" t="s">
        <v>218</v>
      </c>
      <c r="E7" s="60" t="s">
        <v>219</v>
      </c>
      <c r="F7" s="60" t="s">
        <v>220</v>
      </c>
      <c r="G7" s="60" t="s">
        <v>222</v>
      </c>
      <c r="H7" s="59" t="s">
        <v>160</v>
      </c>
    </row>
    <row r="8" spans="1:8" ht="15" thickBot="1" x14ac:dyDescent="0.35">
      <c r="A8" s="704" t="s">
        <v>159</v>
      </c>
      <c r="B8" s="705"/>
      <c r="C8" s="705"/>
      <c r="D8" s="705"/>
      <c r="E8" s="705"/>
      <c r="F8" s="705"/>
      <c r="G8" s="705"/>
      <c r="H8" s="706"/>
    </row>
    <row r="9" spans="1:8" ht="15.6" x14ac:dyDescent="0.3">
      <c r="A9" s="707" t="s">
        <v>176</v>
      </c>
      <c r="B9" s="708"/>
      <c r="C9" s="58" t="s">
        <v>152</v>
      </c>
      <c r="D9" s="57">
        <f>Mangochi!J9+Mangochi!K9+Mangochi!L9</f>
        <v>415428</v>
      </c>
      <c r="E9" s="57">
        <f>'Monkey Bay'!J9+'Monkey Bay'!K9+'Monkey Bay'!L9</f>
        <v>197172</v>
      </c>
      <c r="F9" s="57">
        <f>Namwera!J9+Namwera!K9+Namwera!L9</f>
        <v>14225</v>
      </c>
      <c r="G9" s="57">
        <f>Nkhudzi!J9+Nkhudzi!K9+Nkhudzi!L9</f>
        <v>10073.100000000024</v>
      </c>
      <c r="H9" s="56">
        <f>SUM(D9:F9)</f>
        <v>626825</v>
      </c>
    </row>
    <row r="10" spans="1:8" ht="15" thickBot="1" x14ac:dyDescent="0.35">
      <c r="A10" s="699" t="s">
        <v>177</v>
      </c>
      <c r="B10" s="700"/>
      <c r="C10" s="700"/>
      <c r="D10" s="779"/>
      <c r="E10" s="700"/>
      <c r="F10" s="700"/>
      <c r="G10" s="700"/>
      <c r="H10" s="701"/>
    </row>
    <row r="11" spans="1:8" ht="15.6" x14ac:dyDescent="0.3">
      <c r="A11" s="702" t="s">
        <v>157</v>
      </c>
      <c r="B11" s="703"/>
      <c r="C11" s="11" t="s">
        <v>152</v>
      </c>
      <c r="D11" s="26">
        <f>Mangochi!J11+Mangochi!K11+Mangochi!L11</f>
        <v>185065</v>
      </c>
      <c r="E11" s="190">
        <f>'Monkey Bay'!J11+'Monkey Bay'!K11+'Monkey Bay'!L11</f>
        <v>71616</v>
      </c>
      <c r="F11" s="190">
        <f>Namwera!J11+Namwera!K11+Namwera!L11</f>
        <v>5863</v>
      </c>
      <c r="G11" s="190">
        <f>Nkhudzi!J11+Nkhudzi!K11+Nkhudzi!L11</f>
        <v>0</v>
      </c>
      <c r="H11" s="55">
        <f>SUM(D11:F11)</f>
        <v>262544</v>
      </c>
    </row>
    <row r="12" spans="1:8" ht="15.6" x14ac:dyDescent="0.3">
      <c r="A12" s="702" t="s">
        <v>156</v>
      </c>
      <c r="B12" s="703"/>
      <c r="C12" s="11" t="s">
        <v>152</v>
      </c>
      <c r="D12" s="26">
        <f>Mangochi!J12+Mangochi!K12+Mangochi!L12</f>
        <v>0</v>
      </c>
      <c r="E12" s="26">
        <f>'Monkey Bay'!J12+'Monkey Bay'!K12+'Monkey Bay'!L12</f>
        <v>0</v>
      </c>
      <c r="F12" s="26">
        <f>Namwera!J12+Namwera!K12+Namwera!L12</f>
        <v>0</v>
      </c>
      <c r="G12" s="26">
        <f>Nkhudzi!J12+Nkhudzi!K12+Nkhudzi!L12</f>
        <v>0</v>
      </c>
      <c r="H12" s="55">
        <f>SUM(D12:F12)</f>
        <v>0</v>
      </c>
    </row>
    <row r="13" spans="1:8" ht="15.6" x14ac:dyDescent="0.3">
      <c r="A13" s="702" t="s">
        <v>155</v>
      </c>
      <c r="B13" s="703"/>
      <c r="C13" s="11" t="s">
        <v>152</v>
      </c>
      <c r="D13" s="26">
        <f>Mangochi!J13+Mangochi!K13+Mangochi!L13</f>
        <v>844</v>
      </c>
      <c r="E13" s="26">
        <f>'Monkey Bay'!J13+'Monkey Bay'!K13+'Monkey Bay'!L13</f>
        <v>57253</v>
      </c>
      <c r="F13" s="26">
        <f>Namwera!J13+Namwera!K13+Namwera!L13</f>
        <v>38</v>
      </c>
      <c r="G13" s="26">
        <f>Nkhudzi!J13+Nkhudzi!K13+Nkhudzi!L13</f>
        <v>0</v>
      </c>
      <c r="H13" s="55">
        <f>SUM(D13:F13)</f>
        <v>58135</v>
      </c>
    </row>
    <row r="14" spans="1:8" ht="15.6" x14ac:dyDescent="0.3">
      <c r="A14" s="695" t="s">
        <v>154</v>
      </c>
      <c r="B14" s="696"/>
      <c r="C14" s="11" t="s">
        <v>152</v>
      </c>
      <c r="D14" s="26">
        <f>Mangochi!J14+Mangochi!K14+Mangochi!L14</f>
        <v>230</v>
      </c>
      <c r="E14" s="4">
        <f>'Monkey Bay'!J14+'Monkey Bay'!K14+'Monkey Bay'!L14</f>
        <v>351</v>
      </c>
      <c r="F14" s="26">
        <f>Namwera!J14+Namwera!K14+Namwera!L14</f>
        <v>0</v>
      </c>
      <c r="G14" s="26">
        <f>Nkhudzi!J14+Nkhudzi!K14+Nkhudzi!L14</f>
        <v>0</v>
      </c>
      <c r="H14" s="55">
        <f>SUM(D14:F14)</f>
        <v>581</v>
      </c>
    </row>
    <row r="15" spans="1:8" s="63" customFormat="1" ht="15.6" x14ac:dyDescent="0.3">
      <c r="A15" s="697" t="s">
        <v>158</v>
      </c>
      <c r="B15" s="698"/>
      <c r="C15" s="62" t="s">
        <v>152</v>
      </c>
      <c r="D15" s="34">
        <f t="shared" ref="D15:F15" si="0">SUM(D11:D14)</f>
        <v>186139</v>
      </c>
      <c r="E15" s="34">
        <f t="shared" si="0"/>
        <v>129220</v>
      </c>
      <c r="F15" s="34">
        <f t="shared" si="0"/>
        <v>5901</v>
      </c>
      <c r="G15" s="34">
        <f t="shared" ref="G15:H15" si="1">SUM(G11:G14)</f>
        <v>0</v>
      </c>
      <c r="H15" s="55">
        <f t="shared" si="1"/>
        <v>321260</v>
      </c>
    </row>
    <row r="16" spans="1:8" s="2" customFormat="1" ht="15" thickBot="1" x14ac:dyDescent="0.35">
      <c r="A16" s="699" t="s">
        <v>178</v>
      </c>
      <c r="B16" s="700"/>
      <c r="C16" s="700"/>
      <c r="D16" s="700"/>
      <c r="E16" s="700"/>
      <c r="F16" s="700"/>
      <c r="G16" s="700"/>
      <c r="H16" s="701"/>
    </row>
    <row r="17" spans="1:8" s="2" customFormat="1" ht="15.6" x14ac:dyDescent="0.3">
      <c r="A17" s="702" t="s">
        <v>180</v>
      </c>
      <c r="B17" s="703"/>
      <c r="C17" s="11" t="s">
        <v>152</v>
      </c>
      <c r="D17" s="26">
        <f>Mangochi!J17+Mangochi!K17+Mangochi!L17</f>
        <v>52250.3</v>
      </c>
      <c r="E17" s="190">
        <f>'Monkey Bay'!J17+'Monkey Bay'!K17+'Monkey Bay'!L17</f>
        <v>17187</v>
      </c>
      <c r="F17" s="190">
        <f>Namwera!J17+Namwera!K17+Namwera!L17</f>
        <v>3553</v>
      </c>
      <c r="G17" s="190">
        <f>Nkhudzi!J17+Nkhudzi!K17+Nkhudzi!L17</f>
        <v>10073.100000000024</v>
      </c>
      <c r="H17" s="55">
        <f>SUM(D17:F17)</f>
        <v>72990.3</v>
      </c>
    </row>
    <row r="18" spans="1:8" s="2" customFormat="1" ht="15.6" x14ac:dyDescent="0.3">
      <c r="A18" s="702" t="s">
        <v>181</v>
      </c>
      <c r="B18" s="703"/>
      <c r="C18" s="11" t="s">
        <v>152</v>
      </c>
      <c r="D18" s="26">
        <f>Mangochi!J18+Mangochi!K18+Mangochi!L18</f>
        <v>0</v>
      </c>
      <c r="E18" s="26">
        <f>'Monkey Bay'!J18+'Monkey Bay'!K18+'Monkey Bay'!L18</f>
        <v>2240</v>
      </c>
      <c r="F18" s="26">
        <f>Namwera!J18+Namwera!K18+Namwera!L18</f>
        <v>0</v>
      </c>
      <c r="G18" s="26">
        <f>Nkhudzi!J18+Nkhudzi!K18+Nkhudzi!L18</f>
        <v>0</v>
      </c>
      <c r="H18" s="55">
        <f>SUM(D18:F18)</f>
        <v>2240</v>
      </c>
    </row>
    <row r="19" spans="1:8" s="2" customFormat="1" ht="15.6" x14ac:dyDescent="0.3">
      <c r="A19" s="702" t="s">
        <v>182</v>
      </c>
      <c r="B19" s="703"/>
      <c r="C19" s="11" t="s">
        <v>152</v>
      </c>
      <c r="D19" s="26">
        <f>Mangochi!J19+Mangochi!K19+Mangochi!L19</f>
        <v>0</v>
      </c>
      <c r="E19" s="26">
        <f>'Monkey Bay'!J19+'Monkey Bay'!K19+'Monkey Bay'!L19</f>
        <v>7580</v>
      </c>
      <c r="F19" s="26">
        <f>Namwera!J19+Namwera!K19+Namwera!L19</f>
        <v>1599</v>
      </c>
      <c r="G19" s="26">
        <f>Nkhudzi!J19+Nkhudzi!K19+Nkhudzi!L19</f>
        <v>0</v>
      </c>
      <c r="H19" s="55">
        <f>SUM(D19:F19)</f>
        <v>9179</v>
      </c>
    </row>
    <row r="20" spans="1:8" s="2" customFormat="1" ht="15.6" x14ac:dyDescent="0.3">
      <c r="A20" s="695" t="s">
        <v>183</v>
      </c>
      <c r="B20" s="696"/>
      <c r="C20" s="11" t="s">
        <v>152</v>
      </c>
      <c r="D20" s="26">
        <f>Mangochi!J20+Mangochi!K20+Mangochi!L20</f>
        <v>0</v>
      </c>
      <c r="E20" s="4">
        <f>'Monkey Bay'!J20+'Monkey Bay'!K20+'Monkey Bay'!L20</f>
        <v>886</v>
      </c>
      <c r="F20" s="26">
        <f>Namwera!J20+Namwera!K20+Namwera!L20</f>
        <v>138</v>
      </c>
      <c r="G20" s="26">
        <f>Nkhudzi!J20+Nkhudzi!K20+Nkhudzi!L20</f>
        <v>0</v>
      </c>
      <c r="H20" s="55">
        <f>SUM(D20:F20)</f>
        <v>1024</v>
      </c>
    </row>
    <row r="21" spans="1:8" s="73" customFormat="1" ht="15.6" x14ac:dyDescent="0.3">
      <c r="A21" s="697" t="s">
        <v>184</v>
      </c>
      <c r="B21" s="698"/>
      <c r="C21" s="62" t="s">
        <v>152</v>
      </c>
      <c r="D21" s="34">
        <f>SUM(D17:D20)</f>
        <v>52250.3</v>
      </c>
      <c r="E21" s="34">
        <f>SUM(E17:E20)</f>
        <v>27893</v>
      </c>
      <c r="F21" s="34">
        <f t="shared" ref="F21" si="2">SUM(F17:F20)</f>
        <v>5290</v>
      </c>
      <c r="G21" s="34">
        <f t="shared" ref="G21:H21" si="3">SUM(G17:G20)</f>
        <v>10073.100000000024</v>
      </c>
      <c r="H21" s="55">
        <f t="shared" si="3"/>
        <v>85433.3</v>
      </c>
    </row>
    <row r="22" spans="1:8" s="2" customFormat="1" ht="15.6" x14ac:dyDescent="0.3">
      <c r="A22" s="75" t="s">
        <v>185</v>
      </c>
      <c r="B22" s="79"/>
      <c r="C22" s="11" t="s">
        <v>152</v>
      </c>
      <c r="D22" s="34">
        <f>D21+D15</f>
        <v>238389.3</v>
      </c>
      <c r="E22" s="34">
        <f t="shared" ref="E22:F22" si="4">E21+E15</f>
        <v>157113</v>
      </c>
      <c r="F22" s="34">
        <f t="shared" si="4"/>
        <v>11191</v>
      </c>
      <c r="G22" s="34">
        <f t="shared" ref="G22:H22" si="5">G21+G15</f>
        <v>10073.100000000024</v>
      </c>
      <c r="H22" s="55">
        <f t="shared" si="5"/>
        <v>406693.3</v>
      </c>
    </row>
    <row r="23" spans="1:8" x14ac:dyDescent="0.3">
      <c r="A23" s="699" t="s">
        <v>215</v>
      </c>
      <c r="B23" s="700"/>
      <c r="C23" s="700"/>
      <c r="D23" s="700"/>
      <c r="E23" s="700"/>
      <c r="F23" s="700"/>
      <c r="G23" s="700"/>
      <c r="H23" s="701"/>
    </row>
    <row r="24" spans="1:8" ht="15.6" x14ac:dyDescent="0.3">
      <c r="A24" s="716" t="s">
        <v>179</v>
      </c>
      <c r="B24" s="37" t="s">
        <v>153</v>
      </c>
      <c r="C24" s="5" t="s">
        <v>152</v>
      </c>
      <c r="D24" s="54">
        <f>D9-D22</f>
        <v>177038.7</v>
      </c>
      <c r="E24" s="54">
        <f t="shared" ref="E24:F24" si="6">E9-E22</f>
        <v>40059</v>
      </c>
      <c r="F24" s="54">
        <f t="shared" si="6"/>
        <v>3034</v>
      </c>
      <c r="G24" s="54">
        <f t="shared" ref="G24:H24" si="7">G9-G22</f>
        <v>0</v>
      </c>
      <c r="H24" s="100">
        <f t="shared" si="7"/>
        <v>220131.7</v>
      </c>
    </row>
    <row r="25" spans="1:8" ht="15.6" x14ac:dyDescent="0.3">
      <c r="A25" s="717"/>
      <c r="B25" s="53" t="s">
        <v>151</v>
      </c>
      <c r="C25" s="52" t="s">
        <v>6</v>
      </c>
      <c r="D25" s="51">
        <f t="shared" ref="D25:F25" si="8">D24/D9</f>
        <v>0.42615976775758979</v>
      </c>
      <c r="E25" s="51">
        <f t="shared" si="8"/>
        <v>0.20316779258718276</v>
      </c>
      <c r="F25" s="51">
        <f t="shared" si="8"/>
        <v>0.21328646748681898</v>
      </c>
      <c r="G25" s="51">
        <f t="shared" ref="G25:H25" si="9">G24/G9</f>
        <v>0</v>
      </c>
      <c r="H25" s="101">
        <f t="shared" si="9"/>
        <v>0.35118525904359271</v>
      </c>
    </row>
    <row r="26" spans="1:8" x14ac:dyDescent="0.3">
      <c r="A26" s="699" t="s">
        <v>150</v>
      </c>
      <c r="B26" s="700"/>
      <c r="C26" s="700"/>
      <c r="D26" s="700"/>
      <c r="E26" s="700"/>
      <c r="F26" s="700"/>
      <c r="G26" s="700"/>
      <c r="H26" s="701"/>
    </row>
    <row r="27" spans="1:8" x14ac:dyDescent="0.3">
      <c r="A27" s="782" t="s">
        <v>149</v>
      </c>
      <c r="B27" s="783"/>
      <c r="C27" s="783"/>
      <c r="D27" s="783"/>
      <c r="E27" s="783"/>
      <c r="F27" s="783"/>
      <c r="G27" s="783"/>
      <c r="H27" s="784"/>
    </row>
    <row r="28" spans="1:8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6"/>
    </row>
    <row r="29" spans="1:8" ht="15.6" x14ac:dyDescent="0.3">
      <c r="A29" s="709" t="s">
        <v>146</v>
      </c>
      <c r="B29" s="780">
        <v>7400</v>
      </c>
      <c r="C29" s="5" t="s">
        <v>140</v>
      </c>
      <c r="D29" s="26">
        <f>Mangochi!J29+Mangochi!K29+Mangochi!L29</f>
        <v>1495</v>
      </c>
      <c r="E29" s="4">
        <f>'Monkey Bay'!J29+'Monkey Bay'!K29+'Monkey Bay'!L29</f>
        <v>465</v>
      </c>
      <c r="F29" s="4">
        <f>Namwera!J29+Namwera!K29+Namwera!L29</f>
        <v>46</v>
      </c>
      <c r="G29" s="4">
        <f>Nkhudzi!J29+Nkhudzi!K29+Nkhudzi!L29</f>
        <v>475</v>
      </c>
      <c r="H29" s="45">
        <f>SUM(D29:F29)</f>
        <v>2006</v>
      </c>
    </row>
    <row r="30" spans="1:8" ht="15.6" x14ac:dyDescent="0.3">
      <c r="A30" s="710"/>
      <c r="B30" s="781"/>
      <c r="C30" s="42" t="s">
        <v>139</v>
      </c>
      <c r="D30" s="15">
        <f t="shared" ref="D30:F30" si="10">D29/(D9/1000)</f>
        <v>3.5986982100388034</v>
      </c>
      <c r="E30" s="15">
        <f t="shared" si="10"/>
        <v>2.3583470269612317</v>
      </c>
      <c r="F30" s="15">
        <f t="shared" si="10"/>
        <v>3.2337434094903341</v>
      </c>
      <c r="G30" s="15">
        <f t="shared" ref="G30:H30" si="11">G29/(G9/1000)</f>
        <v>47.155294795048086</v>
      </c>
      <c r="H30" s="103">
        <f t="shared" si="11"/>
        <v>3.2002552546564029</v>
      </c>
    </row>
    <row r="31" spans="1:8" ht="15.6" x14ac:dyDescent="0.3">
      <c r="A31" s="711" t="s">
        <v>145</v>
      </c>
      <c r="B31" s="780">
        <v>1900</v>
      </c>
      <c r="C31" s="5" t="s">
        <v>140</v>
      </c>
      <c r="D31" s="26">
        <f>Mangochi!J31+Mangochi!K31+Mangochi!L31</f>
        <v>0</v>
      </c>
      <c r="E31" s="4">
        <f>'Monkey Bay'!J31+'Monkey Bay'!K31+'Monkey Bay'!L31</f>
        <v>0</v>
      </c>
      <c r="F31" s="4">
        <f>Namwera!J31+Namwera!K31+Namwera!L31</f>
        <v>0</v>
      </c>
      <c r="G31" s="4">
        <f>Nkhudzi!J31+Nkhudzi!K31+Nkhudzi!L31</f>
        <v>0</v>
      </c>
      <c r="H31" s="45">
        <f>SUM(D31:F31)</f>
        <v>0</v>
      </c>
    </row>
    <row r="32" spans="1:8" ht="15.6" x14ac:dyDescent="0.3">
      <c r="A32" s="712"/>
      <c r="B32" s="781"/>
      <c r="C32" s="42" t="s">
        <v>139</v>
      </c>
      <c r="D32" s="15">
        <f t="shared" ref="D32:F32" si="12">D31/(D9/1000)</f>
        <v>0</v>
      </c>
      <c r="E32" s="15">
        <f t="shared" si="12"/>
        <v>0</v>
      </c>
      <c r="F32" s="15">
        <f t="shared" si="12"/>
        <v>0</v>
      </c>
      <c r="G32" s="15">
        <f>Nkhudzi!J32+Nkhudzi!K32+Nkhudzi!L32</f>
        <v>0</v>
      </c>
      <c r="H32" s="103">
        <f t="shared" ref="H32" si="13">H31/(H9/1000)</f>
        <v>0</v>
      </c>
    </row>
    <row r="33" spans="1:8" ht="15.6" x14ac:dyDescent="0.3">
      <c r="A33" s="711" t="s">
        <v>144</v>
      </c>
      <c r="B33" s="780">
        <v>1900</v>
      </c>
      <c r="C33" s="5" t="s">
        <v>140</v>
      </c>
      <c r="D33" s="26">
        <f>Mangochi!J33+Mangochi!K33+Mangochi!L33</f>
        <v>0</v>
      </c>
      <c r="E33" s="4">
        <f>'Monkey Bay'!J33+'Monkey Bay'!K33+'Monkey Bay'!L33</f>
        <v>0</v>
      </c>
      <c r="F33" s="4">
        <f>Namwera!J33+Namwera!K33+Namwera!L33</f>
        <v>0</v>
      </c>
      <c r="G33" s="4">
        <f>Nkhudzi!J33+Nkhudzi!K33+Nkhudzi!L33</f>
        <v>0</v>
      </c>
      <c r="H33" s="45">
        <f>SUM(D33:F33)</f>
        <v>0</v>
      </c>
    </row>
    <row r="34" spans="1:8" ht="15.6" x14ac:dyDescent="0.3">
      <c r="A34" s="712"/>
      <c r="B34" s="781"/>
      <c r="C34" s="42" t="s">
        <v>139</v>
      </c>
      <c r="D34" s="15">
        <f t="shared" ref="D34:F34" si="14">D33/(D9/1000)</f>
        <v>0</v>
      </c>
      <c r="E34" s="15">
        <f t="shared" si="14"/>
        <v>0</v>
      </c>
      <c r="F34" s="15">
        <f t="shared" si="14"/>
        <v>0</v>
      </c>
      <c r="G34" s="15">
        <f>Nkhudzi!J34+Nkhudzi!K34+Nkhudzi!L34</f>
        <v>0</v>
      </c>
      <c r="H34" s="103">
        <f t="shared" ref="H34" si="15">H33/(H9/1000)</f>
        <v>0</v>
      </c>
    </row>
    <row r="35" spans="1:8" ht="15.6" x14ac:dyDescent="0.3">
      <c r="A35" s="711" t="s">
        <v>143</v>
      </c>
      <c r="B35" s="780">
        <f>745345.16/200</f>
        <v>3726.7258000000002</v>
      </c>
      <c r="C35" s="5" t="s">
        <v>126</v>
      </c>
      <c r="D35" s="26">
        <f>Mangochi!J35+Mangochi!K35+Mangochi!L35</f>
        <v>0</v>
      </c>
      <c r="E35" s="4">
        <f>'Monkey Bay'!J35+'Monkey Bay'!K35+'Monkey Bay'!L35</f>
        <v>0</v>
      </c>
      <c r="F35" s="4">
        <f>Namwera!J35+Namwera!K35+Namwera!L35</f>
        <v>0</v>
      </c>
      <c r="G35" s="4">
        <f>Nkhudzi!J35+Nkhudzi!K35+Nkhudzi!L35</f>
        <v>0</v>
      </c>
      <c r="H35" s="103"/>
    </row>
    <row r="36" spans="1:8" ht="15.6" x14ac:dyDescent="0.3">
      <c r="A36" s="712"/>
      <c r="B36" s="781"/>
      <c r="C36" s="5" t="s">
        <v>142</v>
      </c>
      <c r="D36" s="26"/>
      <c r="E36" s="15"/>
      <c r="F36" s="15"/>
      <c r="G36" s="15">
        <f>Nkhudzi!J36+Nkhudzi!K36+Nkhudzi!L36</f>
        <v>0</v>
      </c>
      <c r="H36" s="103"/>
    </row>
    <row r="37" spans="1:8" ht="15.6" x14ac:dyDescent="0.3">
      <c r="A37" s="711" t="s">
        <v>186</v>
      </c>
      <c r="B37" s="780">
        <f>790318.72/200</f>
        <v>3951.5935999999997</v>
      </c>
      <c r="C37" s="5" t="s">
        <v>126</v>
      </c>
      <c r="D37" s="26">
        <f>Mangochi!J37+Mangochi!K37+Mangochi!L37</f>
        <v>0</v>
      </c>
      <c r="E37" s="4">
        <f>'Monkey Bay'!J37+'Monkey Bay'!K37+'Monkey Bay'!L37</f>
        <v>0</v>
      </c>
      <c r="F37" s="4">
        <f>Namwera!J37+Namwera!K37+Namwera!L37</f>
        <v>0</v>
      </c>
      <c r="G37" s="4">
        <f>Nkhudzi!J37+Nkhudzi!K37+Nkhudzi!L37</f>
        <v>0</v>
      </c>
      <c r="H37" s="45">
        <f>SUM(D37:F37)</f>
        <v>0</v>
      </c>
    </row>
    <row r="38" spans="1:8" ht="15.6" x14ac:dyDescent="0.3">
      <c r="A38" s="712"/>
      <c r="B38" s="781"/>
      <c r="C38" s="5" t="s">
        <v>142</v>
      </c>
      <c r="D38" s="15">
        <f t="shared" ref="D38:F38" si="16">D37/(D9/1000)</f>
        <v>0</v>
      </c>
      <c r="E38" s="15">
        <f t="shared" si="16"/>
        <v>0</v>
      </c>
      <c r="F38" s="15">
        <f t="shared" si="16"/>
        <v>0</v>
      </c>
      <c r="G38" s="15">
        <f>Nkhudzi!J38+Nkhudzi!K38+Nkhudzi!L38</f>
        <v>0</v>
      </c>
      <c r="H38" s="103">
        <f t="shared" ref="H38" si="17">H37/(H9/1000)</f>
        <v>0</v>
      </c>
    </row>
    <row r="39" spans="1:8" ht="15.6" x14ac:dyDescent="0.3">
      <c r="A39" s="711" t="s">
        <v>141</v>
      </c>
      <c r="B39" s="780">
        <v>1950</v>
      </c>
      <c r="C39" s="5" t="s">
        <v>140</v>
      </c>
      <c r="D39" s="26">
        <f>Mangochi!J39+Mangochi!K39+Mangochi!L39</f>
        <v>0</v>
      </c>
      <c r="E39" s="4">
        <f>'Monkey Bay'!J39+'Monkey Bay'!K39+'Monkey Bay'!L39</f>
        <v>0</v>
      </c>
      <c r="F39" s="4">
        <f>Namwera!J39+Namwera!K39+Namwera!L39</f>
        <v>0</v>
      </c>
      <c r="G39" s="4">
        <f>Nkhudzi!J39+Nkhudzi!K39+Nkhudzi!L39</f>
        <v>0</v>
      </c>
      <c r="H39" s="45">
        <f>SUM(D39:F39)</f>
        <v>0</v>
      </c>
    </row>
    <row r="40" spans="1:8" ht="15.6" x14ac:dyDescent="0.3">
      <c r="A40" s="712"/>
      <c r="B40" s="781"/>
      <c r="C40" s="42" t="s">
        <v>139</v>
      </c>
      <c r="D40" s="15">
        <f t="shared" ref="D40:F40" si="18">D39/(D9/1000)</f>
        <v>0</v>
      </c>
      <c r="E40" s="15">
        <f t="shared" si="18"/>
        <v>0</v>
      </c>
      <c r="F40" s="15">
        <f t="shared" si="18"/>
        <v>0</v>
      </c>
      <c r="G40" s="15">
        <f>Nkhudzi!J40+Nkhudzi!K40+Nkhudzi!L40</f>
        <v>0</v>
      </c>
      <c r="H40" s="103">
        <f t="shared" ref="H40" si="19">H39/(H9/1000)</f>
        <v>0</v>
      </c>
    </row>
    <row r="41" spans="1:8" ht="15.6" x14ac:dyDescent="0.3">
      <c r="A41" s="695" t="s">
        <v>138</v>
      </c>
      <c r="B41" s="696"/>
      <c r="C41" s="11" t="s">
        <v>31</v>
      </c>
      <c r="D41" s="41">
        <f>(D29*$B29)+(D31*$B31)+(D33*$B33)+(D35*$B35)+(D37*$B37)+(D39*$B39)</f>
        <v>11063000</v>
      </c>
      <c r="E41" s="41">
        <f t="shared" ref="E41:F41" si="20">(E29*$B29)+(E31*$B31)+(E33*$B33)+(E35*$B35)+(E37*$B37)+(E39*$B39)</f>
        <v>3441000</v>
      </c>
      <c r="F41" s="41">
        <f t="shared" si="20"/>
        <v>340400</v>
      </c>
      <c r="G41" s="41">
        <f t="shared" ref="G41" si="21">(G29*$B29)+(G31*$B31)+(G33*$B33)+(G35*$B35)+(G37*$B37)+(G39*$B39)</f>
        <v>3515000</v>
      </c>
      <c r="H41" s="39">
        <f>SUM(D41:F41)</f>
        <v>14844400</v>
      </c>
    </row>
    <row r="42" spans="1:8" ht="15.6" x14ac:dyDescent="0.3">
      <c r="A42" s="721" t="s">
        <v>137</v>
      </c>
      <c r="B42" s="722"/>
      <c r="C42" s="42" t="s">
        <v>115</v>
      </c>
      <c r="D42" s="15">
        <f t="shared" ref="D42:F42" si="22">D41/D9</f>
        <v>26.630366754287145</v>
      </c>
      <c r="E42" s="15">
        <f t="shared" si="22"/>
        <v>17.451767999513116</v>
      </c>
      <c r="F42" s="15">
        <f t="shared" si="22"/>
        <v>23.929701230228471</v>
      </c>
      <c r="G42" s="15">
        <f t="shared" ref="G42:H42" si="23">G41/G9</f>
        <v>348.94918148335586</v>
      </c>
      <c r="H42" s="44">
        <f t="shared" si="23"/>
        <v>23.681888884457383</v>
      </c>
    </row>
    <row r="43" spans="1:8" ht="15" thickBot="1" x14ac:dyDescent="0.35">
      <c r="A43" s="723" t="s">
        <v>136</v>
      </c>
      <c r="B43" s="724"/>
      <c r="C43" s="724"/>
      <c r="D43" s="724"/>
      <c r="E43" s="724"/>
      <c r="F43" s="724"/>
      <c r="G43" s="724"/>
      <c r="H43" s="725"/>
    </row>
    <row r="44" spans="1:8" ht="15.6" x14ac:dyDescent="0.3">
      <c r="A44" s="695" t="s">
        <v>135</v>
      </c>
      <c r="B44" s="696"/>
      <c r="C44" s="11" t="s">
        <v>134</v>
      </c>
      <c r="D44" s="26">
        <f>Mangochi!J44+Mangochi!K44+Mangochi!L44</f>
        <v>148221.21000000002</v>
      </c>
      <c r="E44" s="190">
        <f>'Monkey Bay'!J44+'Monkey Bay'!K44+'Monkey Bay'!L44</f>
        <v>88907</v>
      </c>
      <c r="F44" s="4">
        <f>Namwera!J44+Namwera!K44+Namwera!L44</f>
        <v>14664</v>
      </c>
      <c r="G44" s="4">
        <f>Nkhudzi!J44+Nkhudzi!K44+Nkhudzi!L44</f>
        <v>37905</v>
      </c>
      <c r="H44" s="39">
        <f>SUM(D44:F44)</f>
        <v>251792.21000000002</v>
      </c>
    </row>
    <row r="45" spans="1:8" ht="15.6" x14ac:dyDescent="0.3">
      <c r="A45" s="721" t="s">
        <v>133</v>
      </c>
      <c r="B45" s="722"/>
      <c r="C45" s="42" t="s">
        <v>132</v>
      </c>
      <c r="D45" s="15">
        <f t="shared" ref="D45:F45" si="24">D44/D9</f>
        <v>0.35679157399116096</v>
      </c>
      <c r="E45" s="15">
        <f t="shared" si="24"/>
        <v>0.45091087984095107</v>
      </c>
      <c r="F45" s="15">
        <f t="shared" si="24"/>
        <v>1.0308611599297013</v>
      </c>
      <c r="G45" s="15">
        <f t="shared" ref="G45:H45" si="25">G44/G9</f>
        <v>3.762992524644837</v>
      </c>
      <c r="H45" s="103">
        <f t="shared" si="25"/>
        <v>0.4016945878036135</v>
      </c>
    </row>
    <row r="46" spans="1:8" ht="15.6" x14ac:dyDescent="0.3">
      <c r="A46" s="726" t="s">
        <v>131</v>
      </c>
      <c r="B46" s="727"/>
      <c r="C46" s="5" t="s">
        <v>31</v>
      </c>
      <c r="D46" s="26">
        <f>Mangochi!J46+Mangochi!K46+Mangochi!L46</f>
        <v>24837268.334775001</v>
      </c>
      <c r="E46" s="4">
        <f>'Monkey Bay'!J46+'Monkey Bay'!K46+'Monkey Bay'!L46</f>
        <v>14921266.992500002</v>
      </c>
      <c r="F46" s="4">
        <f>Namwera!J46+Namwera!K46+Namwera!L46</f>
        <v>2509507.8600000003</v>
      </c>
      <c r="G46" s="4">
        <f>Nkhudzi!J46+Nkhudzi!K46+Nkhudzi!L46</f>
        <v>84742066.769999996</v>
      </c>
      <c r="H46" s="39">
        <f>SUM(D46:F46)</f>
        <v>42268043.187275</v>
      </c>
    </row>
    <row r="47" spans="1:8" s="2" customFormat="1" ht="15.6" x14ac:dyDescent="0.3">
      <c r="A47" s="695" t="s">
        <v>130</v>
      </c>
      <c r="B47" s="696"/>
      <c r="C47" s="11" t="s">
        <v>115</v>
      </c>
      <c r="D47" s="15">
        <f t="shared" ref="D47:F47" si="26">D46/D9</f>
        <v>59.787179330172741</v>
      </c>
      <c r="E47" s="15">
        <f t="shared" si="26"/>
        <v>75.676399247864822</v>
      </c>
      <c r="F47" s="15">
        <f t="shared" si="26"/>
        <v>176.41531528998246</v>
      </c>
      <c r="G47" s="15">
        <f t="shared" ref="G47:H47" si="27">G46/G9</f>
        <v>8412.7097685915742</v>
      </c>
      <c r="H47" s="103">
        <f t="shared" si="27"/>
        <v>67.431967753798901</v>
      </c>
    </row>
    <row r="48" spans="1:8" ht="15" thickBot="1" x14ac:dyDescent="0.35">
      <c r="A48" s="723" t="s">
        <v>129</v>
      </c>
      <c r="B48" s="724"/>
      <c r="C48" s="724"/>
      <c r="D48" s="724"/>
      <c r="E48" s="724"/>
      <c r="F48" s="724"/>
      <c r="G48" s="724"/>
      <c r="H48" s="725"/>
    </row>
    <row r="49" spans="1:8" ht="15.6" x14ac:dyDescent="0.3">
      <c r="A49" s="695" t="s">
        <v>128</v>
      </c>
      <c r="B49" s="696"/>
      <c r="C49" s="5" t="s">
        <v>127</v>
      </c>
      <c r="D49" s="26">
        <f>Mangochi!J49+Mangochi!K49+Mangochi!L49</f>
        <v>16623</v>
      </c>
      <c r="E49" s="190">
        <f>'Monkey Bay'!J49+'Monkey Bay'!K49+'Monkey Bay'!L49</f>
        <v>15475</v>
      </c>
      <c r="F49" s="190">
        <f>Namwera!J49+Namwera!K49+Namwera!L49</f>
        <v>100</v>
      </c>
      <c r="G49" s="190">
        <f>Nkhudzi!J49+Nkhudzi!K49+Nkhudzi!L49</f>
        <v>0</v>
      </c>
      <c r="H49" s="39">
        <f>SUM(D49:F49)</f>
        <v>32198</v>
      </c>
    </row>
    <row r="50" spans="1:8" ht="15.6" x14ac:dyDescent="0.3">
      <c r="A50" s="695" t="s">
        <v>187</v>
      </c>
      <c r="B50" s="696"/>
      <c r="C50" s="5" t="s">
        <v>126</v>
      </c>
      <c r="D50" s="26">
        <f>Mangochi!J50+Mangochi!K50+Mangochi!L50</f>
        <v>3446.5200000000004</v>
      </c>
      <c r="E50" s="26">
        <f>'Monkey Bay'!J50+'Monkey Bay'!K50+'Monkey Bay'!L50</f>
        <v>1045.9000000000001</v>
      </c>
      <c r="F50" s="26">
        <f>Namwera!J50+Namwera!K50+Namwera!L50</f>
        <v>20</v>
      </c>
      <c r="G50" s="26">
        <f>Nkhudzi!J50+Nkhudzi!K50+Nkhudzi!L50</f>
        <v>0</v>
      </c>
      <c r="H50" s="39">
        <f>SUM(D50:F50)</f>
        <v>4512.42</v>
      </c>
    </row>
    <row r="51" spans="1:8" ht="15.6" x14ac:dyDescent="0.3">
      <c r="A51" s="726" t="s">
        <v>125</v>
      </c>
      <c r="B51" s="727"/>
      <c r="C51" s="5" t="s">
        <v>31</v>
      </c>
      <c r="D51" s="26">
        <f>Mangochi!J51+Mangochi!K51+Mangochi!L51</f>
        <v>8354512.5899999999</v>
      </c>
      <c r="E51" s="26">
        <f>'Monkey Bay'!J51+'Monkey Bay'!K51+'Monkey Bay'!L51</f>
        <v>1635885</v>
      </c>
      <c r="F51" s="26">
        <f>Namwera!J51+Namwera!K51+Namwera!L51</f>
        <v>34520</v>
      </c>
      <c r="G51" s="26">
        <f>Nkhudzi!J51+Nkhudzi!K51+Nkhudzi!L51</f>
        <v>0</v>
      </c>
      <c r="H51" s="40">
        <f>SUM(D51:F51)</f>
        <v>10024917.59</v>
      </c>
    </row>
    <row r="52" spans="1:8" ht="15.6" x14ac:dyDescent="0.3">
      <c r="A52" s="695" t="s">
        <v>124</v>
      </c>
      <c r="B52" s="696"/>
      <c r="C52" s="5" t="s">
        <v>31</v>
      </c>
      <c r="D52" s="26">
        <f>Mangochi!J52+Mangochi!K52+Mangochi!L52</f>
        <v>0</v>
      </c>
      <c r="E52" s="4">
        <f>'Monkey Bay'!J52+'Monkey Bay'!K52+'Monkey Bay'!L52</f>
        <v>0</v>
      </c>
      <c r="F52" s="26">
        <f>Namwera!J52+Namwera!K52+Namwera!L52</f>
        <v>0</v>
      </c>
      <c r="G52" s="26">
        <f>Nkhudzi!J52+Nkhudzi!K52+Nkhudzi!L52</f>
        <v>0</v>
      </c>
      <c r="H52" s="40">
        <f>SUM(D52:F52)</f>
        <v>0</v>
      </c>
    </row>
    <row r="53" spans="1:8" ht="15" thickBot="1" x14ac:dyDescent="0.35">
      <c r="A53" s="723" t="s">
        <v>123</v>
      </c>
      <c r="B53" s="724"/>
      <c r="C53" s="724"/>
      <c r="D53" s="724"/>
      <c r="E53" s="724"/>
      <c r="F53" s="724"/>
      <c r="G53" s="724"/>
      <c r="H53" s="725"/>
    </row>
    <row r="54" spans="1:8" ht="15.6" x14ac:dyDescent="0.3">
      <c r="A54" s="695" t="s">
        <v>122</v>
      </c>
      <c r="B54" s="696"/>
      <c r="C54" s="11" t="s">
        <v>18</v>
      </c>
      <c r="D54" s="26">
        <f>Mangochi!J54+Mangochi!K54+Mangochi!L54</f>
        <v>43902190.359999999</v>
      </c>
      <c r="E54" s="193">
        <f>'Monkey Bay'!J54+'Monkey Bay'!K54+'Monkey Bay'!L54</f>
        <v>8467045.4900000002</v>
      </c>
      <c r="F54" s="193">
        <f>Namwera!J54+Namwera!K54+Namwera!L54</f>
        <v>4508425.33</v>
      </c>
      <c r="G54" s="193">
        <f>Nkhudzi!J54+Nkhudzi!K54+Nkhudzi!L54</f>
        <v>13885852.419999998</v>
      </c>
      <c r="H54" s="39">
        <f>SUM(D54:F54)</f>
        <v>56877661.18</v>
      </c>
    </row>
    <row r="55" spans="1:8" ht="15.6" x14ac:dyDescent="0.3">
      <c r="A55" s="78" t="s">
        <v>121</v>
      </c>
      <c r="B55" s="79"/>
      <c r="C55" s="11" t="s">
        <v>18</v>
      </c>
      <c r="D55" s="26">
        <f>Mangochi!J55+Mangochi!K55+Mangochi!L55</f>
        <v>9981205.879999999</v>
      </c>
      <c r="E55" s="26">
        <f>'Monkey Bay'!J55+'Monkey Bay'!K55+'Monkey Bay'!L55</f>
        <v>7832224.0700000003</v>
      </c>
      <c r="F55" s="26">
        <f>Namwera!J55+Namwera!K55+Namwera!L55</f>
        <v>1147117.23</v>
      </c>
      <c r="G55" s="26">
        <f>Nkhudzi!J55+Nkhudzi!K55+Nkhudzi!L55</f>
        <v>0</v>
      </c>
      <c r="H55" s="39">
        <f>SUM(D55:F55)</f>
        <v>18960547.18</v>
      </c>
    </row>
    <row r="56" spans="1:8" ht="15.6" x14ac:dyDescent="0.3">
      <c r="A56" s="695" t="s">
        <v>120</v>
      </c>
      <c r="B56" s="696"/>
      <c r="C56" s="5" t="s">
        <v>18</v>
      </c>
      <c r="D56" s="26">
        <f>Mangochi!J56+Mangochi!K56+Mangochi!L56</f>
        <v>4684600</v>
      </c>
      <c r="E56" s="4">
        <f>'Monkey Bay'!J56+'Monkey Bay'!K56+'Monkey Bay'!L56</f>
        <v>1330350</v>
      </c>
      <c r="F56" s="4">
        <f>Namwera!J56+Namwera!K56+Namwera!L56</f>
        <v>376350</v>
      </c>
      <c r="G56" s="4">
        <f>Nkhudzi!J56+Nkhudzi!K56+Nkhudzi!L56</f>
        <v>0</v>
      </c>
      <c r="H56" s="39">
        <f>SUM(D56:F56)</f>
        <v>6391300</v>
      </c>
    </row>
    <row r="57" spans="1:8" x14ac:dyDescent="0.3">
      <c r="A57" s="723" t="s">
        <v>119</v>
      </c>
      <c r="B57" s="724"/>
      <c r="C57" s="724"/>
      <c r="D57" s="724"/>
      <c r="E57" s="724"/>
      <c r="F57" s="724"/>
      <c r="G57" s="724"/>
      <c r="H57" s="725"/>
    </row>
    <row r="58" spans="1:8" ht="15.6" x14ac:dyDescent="0.3">
      <c r="A58" s="726" t="s">
        <v>118</v>
      </c>
      <c r="B58" s="727"/>
      <c r="C58" s="5" t="s">
        <v>18</v>
      </c>
      <c r="D58" s="13">
        <f>D41+D46+D51+D52+D54+D55+D56</f>
        <v>102822777.164775</v>
      </c>
      <c r="E58" s="13">
        <f t="shared" ref="E58:F58" si="28">E41+E46+E51+E52+E54+E55+E56</f>
        <v>37627771.552500002</v>
      </c>
      <c r="F58" s="13">
        <f t="shared" si="28"/>
        <v>8916320.4199999999</v>
      </c>
      <c r="G58" s="13">
        <f t="shared" ref="G58" si="29">G41+G46+G51+G52+G54+G55+G56</f>
        <v>102142919.19</v>
      </c>
      <c r="H58" s="64">
        <f>SUM(D58:F58)</f>
        <v>149366869.13727498</v>
      </c>
    </row>
    <row r="59" spans="1:8" ht="15.6" x14ac:dyDescent="0.3">
      <c r="A59" s="726" t="s">
        <v>117</v>
      </c>
      <c r="B59" s="727"/>
      <c r="C59" s="5" t="s">
        <v>115</v>
      </c>
      <c r="D59" s="15">
        <f t="shared" ref="D59:F59" si="30">D58/D9</f>
        <v>247.51046430374217</v>
      </c>
      <c r="E59" s="15">
        <f t="shared" si="30"/>
        <v>190.83729714411783</v>
      </c>
      <c r="F59" s="15">
        <f t="shared" si="30"/>
        <v>626.80635641476272</v>
      </c>
      <c r="G59" s="15">
        <f t="shared" ref="G59:H59" si="31">G58/G9</f>
        <v>10140.167296065734</v>
      </c>
      <c r="H59" s="103">
        <f t="shared" si="31"/>
        <v>238.29118037295095</v>
      </c>
    </row>
    <row r="60" spans="1:8" ht="15.6" x14ac:dyDescent="0.3">
      <c r="A60" s="726" t="s">
        <v>116</v>
      </c>
      <c r="B60" s="727"/>
      <c r="C60" s="5" t="s">
        <v>115</v>
      </c>
      <c r="D60" s="15">
        <f>D58/D22</f>
        <v>431.3229543640382</v>
      </c>
      <c r="E60" s="15">
        <f t="shared" ref="E60:F60" si="32">E58/E22</f>
        <v>239.49495937637244</v>
      </c>
      <c r="F60" s="15">
        <f t="shared" si="32"/>
        <v>796.74027522115989</v>
      </c>
      <c r="G60" s="15">
        <f t="shared" ref="G60" si="33">G58/G22</f>
        <v>10140.167296065734</v>
      </c>
      <c r="H60" s="104">
        <f>H58/H22</f>
        <v>367.27152657119012</v>
      </c>
    </row>
    <row r="61" spans="1:8" ht="15.6" x14ac:dyDescent="0.3">
      <c r="A61" s="695" t="s">
        <v>114</v>
      </c>
      <c r="B61" s="696"/>
      <c r="C61" s="5" t="s">
        <v>3</v>
      </c>
      <c r="D61" s="26">
        <f>Mangochi!L61</f>
        <v>33</v>
      </c>
      <c r="E61" s="4">
        <f>'Monkey Bay'!L61</f>
        <v>6</v>
      </c>
      <c r="F61" s="4">
        <f>Namwera!L61</f>
        <v>3</v>
      </c>
      <c r="G61" s="4">
        <f>Nkhudzi!L61</f>
        <v>10</v>
      </c>
      <c r="H61" s="9">
        <f>SUM(D61:F61)</f>
        <v>42</v>
      </c>
    </row>
    <row r="62" spans="1:8" ht="15.6" customHeight="1" x14ac:dyDescent="0.3">
      <c r="A62" s="726" t="s">
        <v>113</v>
      </c>
      <c r="B62" s="727"/>
      <c r="C62" s="5" t="s">
        <v>112</v>
      </c>
      <c r="D62" s="15">
        <f t="shared" ref="D62:F62" si="34">(D61*1000*31)/D9</f>
        <v>2.462520581183743</v>
      </c>
      <c r="E62" s="15">
        <f t="shared" si="34"/>
        <v>0.94333881078449278</v>
      </c>
      <c r="F62" s="15">
        <f t="shared" si="34"/>
        <v>6.5377855887521967</v>
      </c>
      <c r="G62" s="15">
        <f t="shared" ref="G62:H62" si="35">(G61*1000*31)/G9</f>
        <v>30.775034497820855</v>
      </c>
      <c r="H62" s="103">
        <f t="shared" si="35"/>
        <v>2.0771347664818731</v>
      </c>
    </row>
    <row r="63" spans="1:8" ht="15.6" x14ac:dyDescent="0.3">
      <c r="A63" s="740" t="s">
        <v>111</v>
      </c>
      <c r="B63" s="741"/>
      <c r="C63" s="38" t="s">
        <v>3</v>
      </c>
      <c r="D63" s="26">
        <f>Mangochi!L63</f>
        <v>52</v>
      </c>
      <c r="E63" s="4">
        <f>'Monkey Bay'!L63</f>
        <v>38</v>
      </c>
      <c r="F63" s="4">
        <f>Namwera!L63</f>
        <v>6</v>
      </c>
      <c r="G63" s="4">
        <f>Nkhudzi!L63</f>
        <v>17</v>
      </c>
      <c r="H63" s="9">
        <f>SUM(D63:F63)</f>
        <v>96</v>
      </c>
    </row>
    <row r="64" spans="1:8" x14ac:dyDescent="0.3">
      <c r="A64" s="785"/>
      <c r="B64" s="786"/>
      <c r="C64" s="786"/>
      <c r="D64" s="786"/>
      <c r="E64" s="786"/>
      <c r="F64" s="786"/>
      <c r="G64" s="786"/>
      <c r="H64" s="787"/>
    </row>
    <row r="65" spans="1:8" ht="14.4" customHeight="1" x14ac:dyDescent="0.3">
      <c r="A65" s="723" t="s">
        <v>110</v>
      </c>
      <c r="B65" s="724"/>
      <c r="C65" s="724"/>
      <c r="D65" s="724"/>
      <c r="E65" s="801"/>
      <c r="F65" s="801"/>
      <c r="G65" s="801"/>
      <c r="H65" s="725"/>
    </row>
    <row r="66" spans="1:8" ht="15.6" x14ac:dyDescent="0.3">
      <c r="A66" s="728" t="s">
        <v>109</v>
      </c>
      <c r="B66" s="37" t="s">
        <v>85</v>
      </c>
      <c r="C66" s="5" t="s">
        <v>3</v>
      </c>
      <c r="D66" s="26">
        <f>Mangochi!J66</f>
        <v>1445</v>
      </c>
      <c r="E66" s="26">
        <f>'Monkey Bay'!J66</f>
        <v>70</v>
      </c>
      <c r="F66" s="26">
        <f>Namwera!J66</f>
        <v>81</v>
      </c>
      <c r="G66" s="26">
        <f>Nkhudzi!J66</f>
        <v>0</v>
      </c>
      <c r="H66" s="35">
        <f>SUM(D66:F66)</f>
        <v>1596</v>
      </c>
    </row>
    <row r="67" spans="1:8" ht="15.6" x14ac:dyDescent="0.3">
      <c r="A67" s="729"/>
      <c r="B67" s="24" t="s">
        <v>104</v>
      </c>
      <c r="C67" s="5" t="s">
        <v>3</v>
      </c>
      <c r="D67" s="26">
        <f>Mangochi!J67+Mangochi!K67+Mangochi!L67</f>
        <v>2392</v>
      </c>
      <c r="E67" s="26">
        <f>'Monkey Bay'!J67+'Monkey Bay'!K67+'Monkey Bay'!L67</f>
        <v>35</v>
      </c>
      <c r="F67" s="26">
        <f>Namwera!J67+Namwera!K67+Namwera!L67</f>
        <v>11</v>
      </c>
      <c r="G67" s="26">
        <f>Nkhudzi!J67+Nkhudzi!K67+Nkhudzi!L67</f>
        <v>25</v>
      </c>
      <c r="H67" s="35">
        <f>SUM(D67:F67)</f>
        <v>2438</v>
      </c>
    </row>
    <row r="68" spans="1:8" ht="27" x14ac:dyDescent="0.3">
      <c r="A68" s="729"/>
      <c r="B68" s="24" t="s">
        <v>103</v>
      </c>
      <c r="C68" s="5" t="s">
        <v>3</v>
      </c>
      <c r="D68" s="26">
        <f>Mangochi!J68+Mangochi!K68+Mangochi!L68</f>
        <v>0</v>
      </c>
      <c r="E68" s="26">
        <f>'Monkey Bay'!J68+'Monkey Bay'!K68+'Monkey Bay'!L68</f>
        <v>20</v>
      </c>
      <c r="F68" s="26">
        <f>Namwera!J68+Namwera!K68+Namwera!L68</f>
        <v>0</v>
      </c>
      <c r="G68" s="26">
        <f>Nkhudzi!J68+Nkhudzi!K68+Nkhudzi!L68</f>
        <v>1</v>
      </c>
      <c r="H68" s="35">
        <f>SUM(D68:F68)</f>
        <v>20</v>
      </c>
    </row>
    <row r="69" spans="1:8" s="2" customFormat="1" ht="27" x14ac:dyDescent="0.3">
      <c r="A69" s="729"/>
      <c r="B69" s="24" t="s">
        <v>102</v>
      </c>
      <c r="C69" s="11" t="s">
        <v>3</v>
      </c>
      <c r="D69" s="26">
        <f>Mangochi!J69+Mangochi!K69+Mangochi!L69</f>
        <v>36</v>
      </c>
      <c r="E69" s="26">
        <f>'Monkey Bay'!J69+'Monkey Bay'!K69+'Monkey Bay'!L69</f>
        <v>40</v>
      </c>
      <c r="F69" s="26">
        <f>Namwera!J69+Namwera!K69+Namwera!L69</f>
        <v>50</v>
      </c>
      <c r="G69" s="26">
        <f>Nkhudzi!J69+Nkhudzi!K69+Nkhudzi!L69</f>
        <v>1021</v>
      </c>
      <c r="H69" s="35">
        <f>SUM(D69:F69)</f>
        <v>126</v>
      </c>
    </row>
    <row r="70" spans="1:8" s="2" customFormat="1" ht="15.6" x14ac:dyDescent="0.3">
      <c r="A70" s="729"/>
      <c r="B70" s="24" t="s">
        <v>188</v>
      </c>
      <c r="C70" s="11" t="s">
        <v>3</v>
      </c>
      <c r="D70" s="4">
        <f>D68+D69</f>
        <v>36</v>
      </c>
      <c r="E70" s="26">
        <f t="shared" ref="E70:F70" si="36">E68+E69</f>
        <v>60</v>
      </c>
      <c r="F70" s="26">
        <f t="shared" si="36"/>
        <v>50</v>
      </c>
      <c r="G70" s="26">
        <f>Nkhudzi!J70+Nkhudzi!K70+Nkhudzi!L70</f>
        <v>1022</v>
      </c>
      <c r="H70" s="35">
        <f t="shared" ref="H70" si="37">H68+H69</f>
        <v>146</v>
      </c>
    </row>
    <row r="71" spans="1:8" ht="15.6" x14ac:dyDescent="0.3">
      <c r="A71" s="730"/>
      <c r="B71" s="37" t="s">
        <v>81</v>
      </c>
      <c r="C71" s="5" t="s">
        <v>3</v>
      </c>
      <c r="D71" s="26">
        <f>D66+D67-D70</f>
        <v>3801</v>
      </c>
      <c r="E71" s="26">
        <f t="shared" ref="E71:F71" si="38">E66+E67-E70</f>
        <v>45</v>
      </c>
      <c r="F71" s="26">
        <f t="shared" si="38"/>
        <v>42</v>
      </c>
      <c r="G71" s="26">
        <f t="shared" ref="G71" si="39">G66+G67-G70</f>
        <v>-997</v>
      </c>
      <c r="H71" s="55">
        <f>H66+H67-H70</f>
        <v>3888</v>
      </c>
    </row>
    <row r="72" spans="1:8" ht="15.6" x14ac:dyDescent="0.3">
      <c r="A72" s="728" t="s">
        <v>108</v>
      </c>
      <c r="B72" s="37" t="s">
        <v>85</v>
      </c>
      <c r="C72" s="5" t="s">
        <v>3</v>
      </c>
      <c r="D72" s="26">
        <f>Mangochi!J72</f>
        <v>8</v>
      </c>
      <c r="E72" s="26">
        <f>'Monkey Bay'!J72</f>
        <v>0</v>
      </c>
      <c r="F72" s="26">
        <f>Namwera!J72</f>
        <v>3</v>
      </c>
      <c r="G72" s="26">
        <f>Nkhudzi!J72+Nkhudzi!K72+Nkhudzi!L72</f>
        <v>4</v>
      </c>
      <c r="H72" s="35">
        <f>SUM(D72:F72)</f>
        <v>11</v>
      </c>
    </row>
    <row r="73" spans="1:8" ht="15.6" x14ac:dyDescent="0.3">
      <c r="A73" s="729"/>
      <c r="B73" s="24" t="s">
        <v>104</v>
      </c>
      <c r="C73" s="5" t="s">
        <v>3</v>
      </c>
      <c r="D73" s="26">
        <f>Mangochi!J73+Mangochi!K73+Mangochi!L73</f>
        <v>0</v>
      </c>
      <c r="E73" s="26">
        <f>'Monkey Bay'!J73+'Monkey Bay'!K73+'Monkey Bay'!L73</f>
        <v>0</v>
      </c>
      <c r="F73" s="26">
        <f>Namwera!J73+Namwera!K73+Namwera!L73</f>
        <v>0</v>
      </c>
      <c r="G73" s="26">
        <f>Nkhudzi!J73+Nkhudzi!K73+Nkhudzi!L73</f>
        <v>0</v>
      </c>
      <c r="H73" s="35">
        <f>SUM(D73:F73)</f>
        <v>0</v>
      </c>
    </row>
    <row r="74" spans="1:8" ht="27" x14ac:dyDescent="0.3">
      <c r="A74" s="729"/>
      <c r="B74" s="24" t="s">
        <v>103</v>
      </c>
      <c r="C74" s="5" t="s">
        <v>3</v>
      </c>
      <c r="D74" s="26">
        <f>Mangochi!J74+Mangochi!K74+Mangochi!L74</f>
        <v>0</v>
      </c>
      <c r="E74" s="26">
        <f>'Monkey Bay'!J74+'Monkey Bay'!K74+'Monkey Bay'!L74</f>
        <v>0</v>
      </c>
      <c r="F74" s="26">
        <f>Namwera!J74+Namwera!K74+Namwera!L74</f>
        <v>0</v>
      </c>
      <c r="G74" s="26">
        <f>Nkhudzi!J74+Nkhudzi!K74+Nkhudzi!L74</f>
        <v>0</v>
      </c>
      <c r="H74" s="35">
        <f>SUM(D74:F74)</f>
        <v>0</v>
      </c>
    </row>
    <row r="75" spans="1:8" s="2" customFormat="1" ht="27" x14ac:dyDescent="0.3">
      <c r="A75" s="729"/>
      <c r="B75" s="24" t="s">
        <v>102</v>
      </c>
      <c r="C75" s="11" t="s">
        <v>3</v>
      </c>
      <c r="D75" s="26">
        <f>Mangochi!J75+Mangochi!K75+Mangochi!L75</f>
        <v>0</v>
      </c>
      <c r="E75" s="26">
        <f>'Monkey Bay'!J75+'Monkey Bay'!K75+'Monkey Bay'!L75</f>
        <v>0</v>
      </c>
      <c r="F75" s="26">
        <f>Namwera!J75+Namwera!K75+Namwera!L75</f>
        <v>0</v>
      </c>
      <c r="G75" s="26">
        <f>Nkhudzi!J75+Nkhudzi!K75+Nkhudzi!L75</f>
        <v>0</v>
      </c>
      <c r="H75" s="35">
        <f>SUM(D75:F75)</f>
        <v>0</v>
      </c>
    </row>
    <row r="76" spans="1:8" s="2" customFormat="1" ht="15.6" x14ac:dyDescent="0.3">
      <c r="A76" s="729"/>
      <c r="B76" s="24" t="s">
        <v>188</v>
      </c>
      <c r="C76" s="11" t="s">
        <v>3</v>
      </c>
      <c r="D76" s="4">
        <f>D74+D75</f>
        <v>0</v>
      </c>
      <c r="E76" s="26">
        <f t="shared" ref="E76:F76" si="40">E74+E75</f>
        <v>0</v>
      </c>
      <c r="F76" s="26">
        <f t="shared" si="40"/>
        <v>0</v>
      </c>
      <c r="G76" s="26">
        <f>Nkhudzi!J76+Nkhudzi!K76+Nkhudzi!L76</f>
        <v>0</v>
      </c>
      <c r="H76" s="35">
        <f t="shared" ref="H76" si="41">H74+H75</f>
        <v>0</v>
      </c>
    </row>
    <row r="77" spans="1:8" ht="15.6" x14ac:dyDescent="0.3">
      <c r="A77" s="730"/>
      <c r="B77" s="37" t="s">
        <v>81</v>
      </c>
      <c r="C77" s="5" t="s">
        <v>3</v>
      </c>
      <c r="D77" s="26">
        <f>D73+D74-D76</f>
        <v>0</v>
      </c>
      <c r="E77" s="26">
        <f t="shared" ref="E77:F77" si="42">E73+E74-E76</f>
        <v>0</v>
      </c>
      <c r="F77" s="26">
        <f t="shared" si="42"/>
        <v>0</v>
      </c>
      <c r="G77" s="26">
        <f t="shared" ref="G77:H77" si="43">G73+G74-G76</f>
        <v>0</v>
      </c>
      <c r="H77" s="55">
        <f t="shared" si="43"/>
        <v>0</v>
      </c>
    </row>
    <row r="78" spans="1:8" ht="15.6" customHeight="1" x14ac:dyDescent="0.3">
      <c r="A78" s="728" t="s">
        <v>107</v>
      </c>
      <c r="B78" s="37" t="s">
        <v>85</v>
      </c>
      <c r="C78" s="5" t="s">
        <v>3</v>
      </c>
      <c r="D78" s="26">
        <f>Mangochi!J78</f>
        <v>9</v>
      </c>
      <c r="E78" s="26">
        <f>'Monkey Bay'!J78</f>
        <v>2</v>
      </c>
      <c r="F78" s="26">
        <f>Namwera!J78</f>
        <v>0</v>
      </c>
      <c r="G78" s="26">
        <f>Nkhudzi!J78+Nkhudzi!K78+Nkhudzi!L78</f>
        <v>2</v>
      </c>
      <c r="H78" s="35">
        <f>SUM(D78:F78)</f>
        <v>11</v>
      </c>
    </row>
    <row r="79" spans="1:8" ht="15.6" x14ac:dyDescent="0.3">
      <c r="A79" s="729"/>
      <c r="B79" s="24" t="s">
        <v>104</v>
      </c>
      <c r="C79" s="5" t="s">
        <v>3</v>
      </c>
      <c r="D79" s="26">
        <f>Mangochi!J79+Mangochi!K79+Mangochi!L79</f>
        <v>0</v>
      </c>
      <c r="E79" s="26">
        <f>'Monkey Bay'!J79+'Monkey Bay'!K79+'Monkey Bay'!L79</f>
        <v>3</v>
      </c>
      <c r="F79" s="26">
        <f>Namwera!J79+Namwera!K79+Namwera!L79</f>
        <v>0</v>
      </c>
      <c r="G79" s="26">
        <f>Nkhudzi!J79+Nkhudzi!K79+Nkhudzi!L79</f>
        <v>0</v>
      </c>
      <c r="H79" s="35">
        <f>SUM(D79:F79)</f>
        <v>3</v>
      </c>
    </row>
    <row r="80" spans="1:8" ht="27" x14ac:dyDescent="0.3">
      <c r="A80" s="729"/>
      <c r="B80" s="24" t="s">
        <v>103</v>
      </c>
      <c r="C80" s="5" t="s">
        <v>3</v>
      </c>
      <c r="D80" s="26">
        <f>Mangochi!J80+Mangochi!K80+Mangochi!L80</f>
        <v>0</v>
      </c>
      <c r="E80" s="26">
        <f>'Monkey Bay'!J80+'Monkey Bay'!K80+'Monkey Bay'!L80</f>
        <v>0</v>
      </c>
      <c r="F80" s="26">
        <f>Namwera!J80+Namwera!K80+Namwera!L80</f>
        <v>0</v>
      </c>
      <c r="G80" s="26">
        <f>Nkhudzi!J80+Nkhudzi!K80+Nkhudzi!L80</f>
        <v>0</v>
      </c>
      <c r="H80" s="35">
        <f>SUM(D80:F80)</f>
        <v>0</v>
      </c>
    </row>
    <row r="81" spans="1:8" s="2" customFormat="1" ht="27" x14ac:dyDescent="0.3">
      <c r="A81" s="729"/>
      <c r="B81" s="24" t="s">
        <v>102</v>
      </c>
      <c r="C81" s="11" t="s">
        <v>3</v>
      </c>
      <c r="D81" s="26">
        <f>Mangochi!J81+Mangochi!K81+Mangochi!L81</f>
        <v>0</v>
      </c>
      <c r="E81" s="26">
        <f>'Monkey Bay'!J81+'Monkey Bay'!K81+'Monkey Bay'!L81</f>
        <v>0</v>
      </c>
      <c r="F81" s="26">
        <f>Namwera!J81+Namwera!K81+Namwera!L81</f>
        <v>0</v>
      </c>
      <c r="G81" s="26">
        <f>Nkhudzi!J81+Nkhudzi!K81+Nkhudzi!L81</f>
        <v>0</v>
      </c>
      <c r="H81" s="35">
        <f>SUM(D81:F81)</f>
        <v>0</v>
      </c>
    </row>
    <row r="82" spans="1:8" s="2" customFormat="1" ht="15.6" x14ac:dyDescent="0.3">
      <c r="A82" s="729"/>
      <c r="B82" s="24" t="s">
        <v>188</v>
      </c>
      <c r="C82" s="11" t="s">
        <v>3</v>
      </c>
      <c r="D82" s="4">
        <f>D81+D80</f>
        <v>0</v>
      </c>
      <c r="E82" s="26">
        <f t="shared" ref="E82:F82" si="44">E81+E80</f>
        <v>0</v>
      </c>
      <c r="F82" s="26">
        <f t="shared" si="44"/>
        <v>0</v>
      </c>
      <c r="G82" s="26">
        <f>Nkhudzi!J82+Nkhudzi!K82+Nkhudzi!L82</f>
        <v>0</v>
      </c>
      <c r="H82" s="35">
        <f t="shared" ref="H82" si="45">H81+H80</f>
        <v>0</v>
      </c>
    </row>
    <row r="83" spans="1:8" ht="15.6" x14ac:dyDescent="0.3">
      <c r="A83" s="730"/>
      <c r="B83" s="37" t="s">
        <v>81</v>
      </c>
      <c r="C83" s="5" t="s">
        <v>3</v>
      </c>
      <c r="D83" s="26">
        <f>D78+D79-D82</f>
        <v>9</v>
      </c>
      <c r="E83" s="26">
        <f>'Monkey Bay'!J83+'Monkey Bay'!K83+'Monkey Bay'!L83</f>
        <v>9</v>
      </c>
      <c r="F83" s="26">
        <f t="shared" ref="F83:H83" si="46">F78+F79-F82</f>
        <v>0</v>
      </c>
      <c r="G83" s="26">
        <f t="shared" si="46"/>
        <v>2</v>
      </c>
      <c r="H83" s="55">
        <f t="shared" si="46"/>
        <v>14</v>
      </c>
    </row>
    <row r="84" spans="1:8" ht="15.6" x14ac:dyDescent="0.3">
      <c r="A84" s="731" t="s">
        <v>106</v>
      </c>
      <c r="B84" s="37" t="s">
        <v>85</v>
      </c>
      <c r="C84" s="5" t="s">
        <v>3</v>
      </c>
      <c r="D84" s="26">
        <f>Mangochi!J84</f>
        <v>0</v>
      </c>
      <c r="E84" s="26">
        <f>'Monkey Bay'!J84</f>
        <v>0</v>
      </c>
      <c r="F84" s="26">
        <f>Namwera!J84</f>
        <v>0</v>
      </c>
      <c r="G84" s="26">
        <f>Nkhudzi!J84+Nkhudzi!K84+Nkhudzi!L84</f>
        <v>0</v>
      </c>
      <c r="H84" s="35">
        <f>SUM(D84:F84)</f>
        <v>0</v>
      </c>
    </row>
    <row r="85" spans="1:8" ht="15.6" x14ac:dyDescent="0.3">
      <c r="A85" s="732"/>
      <c r="B85" s="37" t="s">
        <v>104</v>
      </c>
      <c r="C85" s="5" t="s">
        <v>3</v>
      </c>
      <c r="D85" s="26">
        <f>Mangochi!J85+Mangochi!K85+Mangochi!L85</f>
        <v>0</v>
      </c>
      <c r="E85" s="26">
        <f>'Monkey Bay'!J85+'Monkey Bay'!K85+'Monkey Bay'!L85</f>
        <v>0</v>
      </c>
      <c r="F85" s="26">
        <f>Namwera!J85+Namwera!K85+Namwera!L85</f>
        <v>0</v>
      </c>
      <c r="G85" s="26">
        <f>Nkhudzi!J85+Nkhudzi!K85+Nkhudzi!L85</f>
        <v>0</v>
      </c>
      <c r="H85" s="35">
        <f>SUM(D85:F85)</f>
        <v>0</v>
      </c>
    </row>
    <row r="86" spans="1:8" ht="27" x14ac:dyDescent="0.3">
      <c r="A86" s="732"/>
      <c r="B86" s="37" t="s">
        <v>103</v>
      </c>
      <c r="C86" s="5" t="s">
        <v>3</v>
      </c>
      <c r="D86" s="26">
        <f>Mangochi!J86+Mangochi!K86+Mangochi!L86</f>
        <v>0</v>
      </c>
      <c r="E86" s="26">
        <f>'Monkey Bay'!J86+'Monkey Bay'!K86+'Monkey Bay'!L86</f>
        <v>0</v>
      </c>
      <c r="F86" s="26">
        <f>Namwera!J86+Namwera!K86+Namwera!L86</f>
        <v>0</v>
      </c>
      <c r="G86" s="26">
        <f>Nkhudzi!J86+Nkhudzi!K86+Nkhudzi!L86</f>
        <v>0</v>
      </c>
      <c r="H86" s="35">
        <f>SUM(D86:F86)</f>
        <v>0</v>
      </c>
    </row>
    <row r="87" spans="1:8" s="2" customFormat="1" ht="27" x14ac:dyDescent="0.3">
      <c r="A87" s="732"/>
      <c r="B87" s="24" t="s">
        <v>102</v>
      </c>
      <c r="C87" s="11" t="s">
        <v>3</v>
      </c>
      <c r="D87" s="26">
        <f>Mangochi!J87+Mangochi!K87+Mangochi!L87</f>
        <v>0</v>
      </c>
      <c r="E87" s="26">
        <f>'Monkey Bay'!J87+'Monkey Bay'!K87+'Monkey Bay'!L87</f>
        <v>0</v>
      </c>
      <c r="F87" s="26">
        <f>Namwera!J87+Namwera!K87+Namwera!L87</f>
        <v>0</v>
      </c>
      <c r="G87" s="26">
        <f>Nkhudzi!J87+Nkhudzi!K87+Nkhudzi!L87</f>
        <v>0</v>
      </c>
      <c r="H87" s="35">
        <f>SUM(D87:F87)</f>
        <v>0</v>
      </c>
    </row>
    <row r="88" spans="1:8" s="2" customFormat="1" ht="15.6" x14ac:dyDescent="0.3">
      <c r="A88" s="732"/>
      <c r="B88" s="24" t="s">
        <v>188</v>
      </c>
      <c r="C88" s="11" t="s">
        <v>3</v>
      </c>
      <c r="D88" s="4">
        <f>D87+D86</f>
        <v>0</v>
      </c>
      <c r="E88" s="26">
        <f t="shared" ref="E88:F88" si="47">E87+E86</f>
        <v>0</v>
      </c>
      <c r="F88" s="26">
        <f t="shared" si="47"/>
        <v>0</v>
      </c>
      <c r="G88" s="26">
        <f>Nkhudzi!J88+Nkhudzi!K88+Nkhudzi!L88</f>
        <v>0</v>
      </c>
      <c r="H88" s="35"/>
    </row>
    <row r="89" spans="1:8" ht="15.6" x14ac:dyDescent="0.3">
      <c r="A89" s="733"/>
      <c r="B89" s="36" t="s">
        <v>81</v>
      </c>
      <c r="C89" s="5" t="s">
        <v>3</v>
      </c>
      <c r="D89" s="26">
        <f>D84+D85-D88</f>
        <v>0</v>
      </c>
      <c r="E89" s="26">
        <f t="shared" ref="E89:F89" si="48">E84+E85-E88</f>
        <v>0</v>
      </c>
      <c r="F89" s="26">
        <f t="shared" si="48"/>
        <v>0</v>
      </c>
      <c r="G89" s="26">
        <f t="shared" ref="G89" si="49">G84+G85-G88</f>
        <v>0</v>
      </c>
      <c r="H89" s="55">
        <f t="shared" ref="H89" si="50">H84+H85-H86-H87</f>
        <v>0</v>
      </c>
    </row>
    <row r="90" spans="1:8" ht="15.6" x14ac:dyDescent="0.3">
      <c r="A90" s="734" t="s">
        <v>105</v>
      </c>
      <c r="B90" s="24" t="s">
        <v>85</v>
      </c>
      <c r="C90" s="11" t="s">
        <v>3</v>
      </c>
      <c r="D90" s="136">
        <f t="shared" ref="D90:E93" si="51">D66+D72+D78+D84</f>
        <v>1462</v>
      </c>
      <c r="E90" s="136">
        <f t="shared" si="51"/>
        <v>72</v>
      </c>
      <c r="F90" s="136">
        <f t="shared" ref="F90:G90" si="52">F66+F72+F78+F84</f>
        <v>84</v>
      </c>
      <c r="G90" s="136">
        <f t="shared" si="52"/>
        <v>6</v>
      </c>
      <c r="H90" s="35">
        <f>SUM(D90:F90)</f>
        <v>1618</v>
      </c>
    </row>
    <row r="91" spans="1:8" ht="15.6" x14ac:dyDescent="0.3">
      <c r="A91" s="735"/>
      <c r="B91" s="24" t="s">
        <v>104</v>
      </c>
      <c r="C91" s="11" t="s">
        <v>3</v>
      </c>
      <c r="D91" s="136">
        <f t="shared" si="51"/>
        <v>2392</v>
      </c>
      <c r="E91" s="136">
        <f t="shared" si="51"/>
        <v>38</v>
      </c>
      <c r="F91" s="136">
        <f t="shared" ref="F91:G91" si="53">F67+F73+F79+F85</f>
        <v>11</v>
      </c>
      <c r="G91" s="136">
        <f t="shared" si="53"/>
        <v>25</v>
      </c>
      <c r="H91" s="35">
        <f>SUM(D91:F91)</f>
        <v>2441</v>
      </c>
    </row>
    <row r="92" spans="1:8" ht="27" x14ac:dyDescent="0.3">
      <c r="A92" s="735"/>
      <c r="B92" s="24" t="s">
        <v>103</v>
      </c>
      <c r="C92" s="11" t="s">
        <v>3</v>
      </c>
      <c r="D92" s="136">
        <f t="shared" si="51"/>
        <v>0</v>
      </c>
      <c r="E92" s="136">
        <f t="shared" si="51"/>
        <v>20</v>
      </c>
      <c r="F92" s="136">
        <f t="shared" ref="F92:G92" si="54">F68+F74+F80+F86</f>
        <v>0</v>
      </c>
      <c r="G92" s="136">
        <f t="shared" si="54"/>
        <v>1</v>
      </c>
      <c r="H92" s="35">
        <f>SUM(D92:F92)</f>
        <v>20</v>
      </c>
    </row>
    <row r="93" spans="1:8" s="2" customFormat="1" ht="27" x14ac:dyDescent="0.3">
      <c r="A93" s="735"/>
      <c r="B93" s="24" t="s">
        <v>102</v>
      </c>
      <c r="C93" s="11"/>
      <c r="D93" s="136">
        <f t="shared" si="51"/>
        <v>36</v>
      </c>
      <c r="E93" s="136">
        <f t="shared" si="51"/>
        <v>40</v>
      </c>
      <c r="F93" s="136">
        <f t="shared" ref="F93:G93" si="55">F69+F75+F81+F87</f>
        <v>50</v>
      </c>
      <c r="G93" s="136">
        <f t="shared" si="55"/>
        <v>1021</v>
      </c>
      <c r="H93" s="35">
        <f>SUM(D93:F93)</f>
        <v>126</v>
      </c>
    </row>
    <row r="94" spans="1:8" s="2" customFormat="1" ht="15.6" x14ac:dyDescent="0.3">
      <c r="A94" s="735"/>
      <c r="B94" s="24" t="s">
        <v>188</v>
      </c>
      <c r="C94" s="11" t="s">
        <v>3</v>
      </c>
      <c r="D94" s="137">
        <f t="shared" ref="D94:E94" si="56">D93+D92</f>
        <v>36</v>
      </c>
      <c r="E94" s="137">
        <f t="shared" si="56"/>
        <v>60</v>
      </c>
      <c r="F94" s="137">
        <f t="shared" ref="F94:H94" si="57">F93+F92</f>
        <v>50</v>
      </c>
      <c r="G94" s="137">
        <f t="shared" si="57"/>
        <v>1022</v>
      </c>
      <c r="H94" s="35">
        <f t="shared" si="57"/>
        <v>146</v>
      </c>
    </row>
    <row r="95" spans="1:8" ht="16.2" thickBot="1" x14ac:dyDescent="0.35">
      <c r="A95" s="736"/>
      <c r="B95" s="24" t="s">
        <v>81</v>
      </c>
      <c r="C95" s="11" t="s">
        <v>3</v>
      </c>
      <c r="D95" s="138">
        <f t="shared" ref="D95:E95" si="58">D90+D91-D94</f>
        <v>3818</v>
      </c>
      <c r="E95" s="138">
        <f t="shared" si="58"/>
        <v>50</v>
      </c>
      <c r="F95" s="138">
        <f t="shared" ref="F95:H95" si="59">F90+F91-F94</f>
        <v>45</v>
      </c>
      <c r="G95" s="138">
        <f t="shared" si="59"/>
        <v>-991</v>
      </c>
      <c r="H95" s="55">
        <f t="shared" si="59"/>
        <v>3913</v>
      </c>
    </row>
    <row r="96" spans="1:8" ht="16.2" customHeight="1" thickBot="1" x14ac:dyDescent="0.35">
      <c r="A96" s="788"/>
      <c r="B96" s="789"/>
      <c r="C96" s="789"/>
      <c r="D96" s="789"/>
      <c r="E96" s="789"/>
      <c r="F96" s="789"/>
      <c r="G96" s="789"/>
      <c r="H96" s="790"/>
    </row>
    <row r="97" spans="1:8" s="2" customFormat="1" ht="15.75" customHeight="1" thickBot="1" x14ac:dyDescent="0.35">
      <c r="A97" s="737" t="s">
        <v>189</v>
      </c>
      <c r="B97" s="738"/>
      <c r="C97" s="738"/>
      <c r="D97" s="738"/>
      <c r="E97" s="738"/>
      <c r="F97" s="738"/>
      <c r="G97" s="738"/>
      <c r="H97" s="739"/>
    </row>
    <row r="98" spans="1:8" ht="15.6" x14ac:dyDescent="0.3">
      <c r="A98" s="88" t="s">
        <v>190</v>
      </c>
      <c r="B98" s="69"/>
      <c r="C98" s="11" t="s">
        <v>3</v>
      </c>
      <c r="D98" s="26">
        <f>Mangochi!J98+Mangochi!K98+Mangochi!L98</f>
        <v>36</v>
      </c>
      <c r="E98" s="190">
        <f>'Monkey Bay'!J98+'Monkey Bay'!K98+'Monkey Bay'!L98</f>
        <v>143</v>
      </c>
      <c r="F98" s="190">
        <f>Namwera!J98+Namwera!K98+Namwera!L98</f>
        <v>50</v>
      </c>
      <c r="G98" s="190">
        <f>Nkhudzi!J98+Nkhudzi!K98+Nkhudzi!L98</f>
        <v>1143</v>
      </c>
      <c r="H98" s="108">
        <f>SUM(D98:F98)</f>
        <v>229</v>
      </c>
    </row>
    <row r="99" spans="1:8" ht="15.6" x14ac:dyDescent="0.3">
      <c r="A99" s="88"/>
      <c r="B99" s="24"/>
      <c r="C99" s="11"/>
      <c r="D99" s="65"/>
      <c r="E99" s="65"/>
      <c r="F99" s="65"/>
      <c r="G99" s="65"/>
      <c r="H99" s="107"/>
    </row>
    <row r="100" spans="1:8" s="2" customFormat="1" ht="15" thickBot="1" x14ac:dyDescent="0.35">
      <c r="A100" s="748" t="s">
        <v>101</v>
      </c>
      <c r="B100" s="749"/>
      <c r="C100" s="749"/>
      <c r="D100" s="749"/>
      <c r="E100" s="749"/>
      <c r="F100" s="749"/>
      <c r="G100" s="749"/>
      <c r="H100" s="750"/>
    </row>
    <row r="101" spans="1:8" ht="15.6" x14ac:dyDescent="0.3">
      <c r="A101" s="695" t="s">
        <v>100</v>
      </c>
      <c r="B101" s="696"/>
      <c r="C101" s="11" t="s">
        <v>3</v>
      </c>
      <c r="D101" s="194">
        <f>Mangochi!L101</f>
        <v>1745</v>
      </c>
      <c r="E101" s="193">
        <f>'Monkey Bay'!L101</f>
        <v>330</v>
      </c>
      <c r="F101" s="193">
        <f>Namwera!L101</f>
        <v>246</v>
      </c>
      <c r="G101" s="193">
        <f>Nkhudzi!L101</f>
        <v>0</v>
      </c>
      <c r="H101" s="32">
        <f>SUM(D101:F101)</f>
        <v>2321</v>
      </c>
    </row>
    <row r="102" spans="1:8" ht="15.6" x14ac:dyDescent="0.3">
      <c r="A102" s="695" t="s">
        <v>99</v>
      </c>
      <c r="B102" s="696"/>
      <c r="C102" s="11" t="s">
        <v>3</v>
      </c>
      <c r="D102" s="26">
        <f>Mangochi!L102</f>
        <v>3</v>
      </c>
      <c r="E102" s="26">
        <f>'Monkey Bay'!L102</f>
        <v>0</v>
      </c>
      <c r="F102" s="26">
        <f>Namwera!L102</f>
        <v>7</v>
      </c>
      <c r="G102" s="26">
        <f>Nkhudzi!L102</f>
        <v>0</v>
      </c>
      <c r="H102" s="32">
        <f>SUM(D102:F102)</f>
        <v>10</v>
      </c>
    </row>
    <row r="103" spans="1:8" ht="15.6" customHeight="1" x14ac:dyDescent="0.3">
      <c r="A103" s="702" t="s">
        <v>98</v>
      </c>
      <c r="B103" s="703"/>
      <c r="C103" s="11" t="s">
        <v>3</v>
      </c>
      <c r="D103" s="26">
        <f>Mangochi!L103</f>
        <v>141</v>
      </c>
      <c r="E103" s="26">
        <f>'Monkey Bay'!L103</f>
        <v>0</v>
      </c>
      <c r="F103" s="26">
        <f>Namwera!L103</f>
        <v>2</v>
      </c>
      <c r="G103" s="26">
        <f>Nkhudzi!L103</f>
        <v>0</v>
      </c>
      <c r="H103" s="32">
        <f>SUM(D103:F103)</f>
        <v>143</v>
      </c>
    </row>
    <row r="104" spans="1:8" ht="15.6" x14ac:dyDescent="0.3">
      <c r="A104" s="702" t="s">
        <v>97</v>
      </c>
      <c r="B104" s="703"/>
      <c r="C104" s="11" t="s">
        <v>3</v>
      </c>
      <c r="D104" s="26">
        <f>Mangochi!L104</f>
        <v>10</v>
      </c>
      <c r="E104" s="26">
        <f>'Monkey Bay'!L104</f>
        <v>0</v>
      </c>
      <c r="F104" s="26">
        <f>Namwera!L104</f>
        <v>5</v>
      </c>
      <c r="G104" s="26">
        <f>Nkhudzi!L104</f>
        <v>0</v>
      </c>
      <c r="H104" s="32">
        <f>SUM(D104:F104)</f>
        <v>15</v>
      </c>
    </row>
    <row r="105" spans="1:8" ht="15.6" x14ac:dyDescent="0.3">
      <c r="A105" s="751" t="s">
        <v>96</v>
      </c>
      <c r="B105" s="752"/>
      <c r="C105" s="11" t="s">
        <v>3</v>
      </c>
      <c r="D105" s="33">
        <f>SUM(D101:D104)</f>
        <v>1899</v>
      </c>
      <c r="E105" s="33">
        <f t="shared" ref="E105:F105" si="60">SUM(E101:E104)</f>
        <v>330</v>
      </c>
      <c r="F105" s="33">
        <f t="shared" si="60"/>
        <v>260</v>
      </c>
      <c r="G105" s="33">
        <f t="shared" ref="G105" si="61">SUM(G101:G104)</f>
        <v>0</v>
      </c>
      <c r="H105" s="33">
        <f>SUM(D105:F105)</f>
        <v>2489</v>
      </c>
    </row>
    <row r="106" spans="1:8" s="2" customFormat="1" ht="15.6" customHeight="1" thickBot="1" x14ac:dyDescent="0.35">
      <c r="A106" s="745" t="s">
        <v>210</v>
      </c>
      <c r="B106" s="746"/>
      <c r="C106" s="746"/>
      <c r="D106" s="746"/>
      <c r="E106" s="746"/>
      <c r="F106" s="746"/>
      <c r="G106" s="746"/>
      <c r="H106" s="747"/>
    </row>
    <row r="107" spans="1:8" ht="15.6" x14ac:dyDescent="0.3">
      <c r="A107" s="695" t="s">
        <v>193</v>
      </c>
      <c r="B107" s="696"/>
      <c r="C107" s="11" t="s">
        <v>3</v>
      </c>
      <c r="D107" s="194">
        <f>Mangochi!L107</f>
        <v>4882</v>
      </c>
      <c r="E107" s="193">
        <f>'Monkey Bay'!L107</f>
        <v>1480</v>
      </c>
      <c r="F107" s="193">
        <f>Namwera!L107</f>
        <v>246</v>
      </c>
      <c r="G107" s="193">
        <f>Nkhudzi!L107</f>
        <v>1</v>
      </c>
      <c r="H107" s="32">
        <f>SUM(D107:F107)</f>
        <v>6608</v>
      </c>
    </row>
    <row r="108" spans="1:8" ht="15.6" x14ac:dyDescent="0.3">
      <c r="A108" s="695" t="s">
        <v>194</v>
      </c>
      <c r="B108" s="696"/>
      <c r="C108" s="11" t="s">
        <v>3</v>
      </c>
      <c r="D108" s="26">
        <f>Mangochi!L108</f>
        <v>8</v>
      </c>
      <c r="E108" s="26">
        <f>'Monkey Bay'!L108</f>
        <v>15</v>
      </c>
      <c r="F108" s="26">
        <f>Namwera!L108</f>
        <v>1</v>
      </c>
      <c r="G108" s="26">
        <f>Nkhudzi!L108</f>
        <v>1</v>
      </c>
      <c r="H108" s="32">
        <f>SUM(D108:F108)</f>
        <v>24</v>
      </c>
    </row>
    <row r="109" spans="1:8" ht="15.6" x14ac:dyDescent="0.3">
      <c r="A109" s="695" t="s">
        <v>195</v>
      </c>
      <c r="B109" s="696"/>
      <c r="C109" s="11" t="s">
        <v>3</v>
      </c>
      <c r="D109" s="26">
        <f>Mangochi!L109</f>
        <v>7</v>
      </c>
      <c r="E109" s="26">
        <f>'Monkey Bay'!L109</f>
        <v>13</v>
      </c>
      <c r="F109" s="26">
        <f>Namwera!L109</f>
        <v>0</v>
      </c>
      <c r="G109" s="26">
        <f>Nkhudzi!L109</f>
        <v>0</v>
      </c>
      <c r="H109" s="32">
        <f>SUM(D109:F109)</f>
        <v>20</v>
      </c>
    </row>
    <row r="110" spans="1:8" ht="15.6" x14ac:dyDescent="0.3">
      <c r="A110" s="695" t="s">
        <v>196</v>
      </c>
      <c r="B110" s="696"/>
      <c r="C110" s="11" t="s">
        <v>3</v>
      </c>
      <c r="D110" s="26">
        <f>Mangochi!L110</f>
        <v>0</v>
      </c>
      <c r="E110" s="26">
        <f>'Monkey Bay'!L110</f>
        <v>0</v>
      </c>
      <c r="F110" s="26">
        <f>Namwera!L110</f>
        <v>0</v>
      </c>
      <c r="G110" s="26">
        <f>Nkhudzi!L110</f>
        <v>0</v>
      </c>
      <c r="H110" s="32">
        <f>SUM(D110:F110)</f>
        <v>0</v>
      </c>
    </row>
    <row r="111" spans="1:8" ht="15.6" x14ac:dyDescent="0.3">
      <c r="A111" s="697" t="s">
        <v>95</v>
      </c>
      <c r="B111" s="698"/>
      <c r="C111" s="11" t="s">
        <v>3</v>
      </c>
      <c r="D111" s="33">
        <f>SUM(D107:D110)</f>
        <v>4897</v>
      </c>
      <c r="E111" s="33">
        <f t="shared" ref="E111:F111" si="62">SUM(E107:E110)</f>
        <v>1508</v>
      </c>
      <c r="F111" s="33">
        <f t="shared" si="62"/>
        <v>247</v>
      </c>
      <c r="G111" s="33">
        <f t="shared" ref="G111" si="63">SUM(G107:G110)</f>
        <v>2</v>
      </c>
      <c r="H111" s="33">
        <f>SUM(D111:F111)</f>
        <v>6652</v>
      </c>
    </row>
    <row r="112" spans="1:8" s="2" customFormat="1" ht="15.6" customHeight="1" thickBot="1" x14ac:dyDescent="0.35">
      <c r="A112" s="748" t="s">
        <v>210</v>
      </c>
      <c r="B112" s="749"/>
      <c r="C112" s="749"/>
      <c r="D112" s="749"/>
      <c r="E112" s="749"/>
      <c r="F112" s="749"/>
      <c r="G112" s="749"/>
      <c r="H112" s="750"/>
    </row>
    <row r="113" spans="1:8" ht="15.6" x14ac:dyDescent="0.3">
      <c r="A113" s="695" t="s">
        <v>197</v>
      </c>
      <c r="B113" s="696"/>
      <c r="C113" s="11" t="s">
        <v>3</v>
      </c>
      <c r="D113" s="194">
        <f>Mangochi!L113</f>
        <v>2111</v>
      </c>
      <c r="E113" s="193">
        <f>'Monkey Bay'!L113</f>
        <v>948</v>
      </c>
      <c r="F113" s="193">
        <f>Namwera!L113</f>
        <v>281</v>
      </c>
      <c r="G113" s="193">
        <f>Nkhudzi!L113</f>
        <v>187</v>
      </c>
      <c r="H113" s="32">
        <f t="shared" ref="H113:H119" si="64">SUM(D113:F113)</f>
        <v>3340</v>
      </c>
    </row>
    <row r="114" spans="1:8" ht="15.6" x14ac:dyDescent="0.3">
      <c r="A114" s="695" t="s">
        <v>198</v>
      </c>
      <c r="B114" s="696"/>
      <c r="C114" s="11" t="s">
        <v>3</v>
      </c>
      <c r="D114" s="26">
        <f>Mangochi!L114</f>
        <v>0</v>
      </c>
      <c r="E114" s="26">
        <f>'Monkey Bay'!L114</f>
        <v>0</v>
      </c>
      <c r="F114" s="26">
        <f>Namwera!L114</f>
        <v>25</v>
      </c>
      <c r="G114" s="26">
        <f>Nkhudzi!L114</f>
        <v>4</v>
      </c>
      <c r="H114" s="32">
        <f t="shared" si="64"/>
        <v>25</v>
      </c>
    </row>
    <row r="115" spans="1:8" ht="15.6" x14ac:dyDescent="0.3">
      <c r="A115" s="695" t="s">
        <v>199</v>
      </c>
      <c r="B115" s="696"/>
      <c r="C115" s="11" t="s">
        <v>3</v>
      </c>
      <c r="D115" s="26">
        <f>Mangochi!L115</f>
        <v>0</v>
      </c>
      <c r="E115" s="26">
        <f>'Monkey Bay'!L115</f>
        <v>0</v>
      </c>
      <c r="F115" s="26">
        <f>Namwera!L115</f>
        <v>5</v>
      </c>
      <c r="G115" s="26">
        <f>Nkhudzi!L115</f>
        <v>8</v>
      </c>
      <c r="H115" s="32">
        <f t="shared" si="64"/>
        <v>5</v>
      </c>
    </row>
    <row r="116" spans="1:8" ht="15.6" x14ac:dyDescent="0.3">
      <c r="A116" s="695" t="s">
        <v>200</v>
      </c>
      <c r="B116" s="696"/>
      <c r="C116" s="11" t="s">
        <v>3</v>
      </c>
      <c r="D116" s="26">
        <f>Mangochi!L116</f>
        <v>0</v>
      </c>
      <c r="E116" s="26">
        <f>'Monkey Bay'!L116</f>
        <v>0</v>
      </c>
      <c r="F116" s="26">
        <f>Namwera!L116</f>
        <v>3</v>
      </c>
      <c r="G116" s="26">
        <f>Nkhudzi!L116</f>
        <v>1</v>
      </c>
      <c r="H116" s="32">
        <f t="shared" si="64"/>
        <v>3</v>
      </c>
    </row>
    <row r="117" spans="1:8" ht="15.6" x14ac:dyDescent="0.3">
      <c r="A117" s="697" t="s">
        <v>94</v>
      </c>
      <c r="B117" s="698"/>
      <c r="C117" s="11" t="s">
        <v>3</v>
      </c>
      <c r="D117" s="33">
        <f>SUM(D113:D116)</f>
        <v>2111</v>
      </c>
      <c r="E117" s="33">
        <f t="shared" ref="E117:F117" si="65">SUM(E113:E116)</f>
        <v>948</v>
      </c>
      <c r="F117" s="33">
        <f t="shared" si="65"/>
        <v>314</v>
      </c>
      <c r="G117" s="33">
        <f t="shared" ref="G117" si="66">SUM(G113:G116)</f>
        <v>200</v>
      </c>
      <c r="H117" s="33">
        <f t="shared" si="64"/>
        <v>3373</v>
      </c>
    </row>
    <row r="118" spans="1:8" s="2" customFormat="1" ht="15.6" x14ac:dyDescent="0.3">
      <c r="A118" s="80" t="s">
        <v>191</v>
      </c>
      <c r="B118" s="81"/>
      <c r="C118" s="11" t="s">
        <v>3</v>
      </c>
      <c r="D118" s="33">
        <f t="shared" ref="D118:F118" si="67">D117+D111</f>
        <v>7008</v>
      </c>
      <c r="E118" s="33">
        <f t="shared" si="67"/>
        <v>2456</v>
      </c>
      <c r="F118" s="33">
        <f t="shared" si="67"/>
        <v>561</v>
      </c>
      <c r="G118" s="33">
        <f t="shared" ref="G118" si="68">G117+G111</f>
        <v>202</v>
      </c>
      <c r="H118" s="55">
        <f t="shared" si="64"/>
        <v>10025</v>
      </c>
    </row>
    <row r="119" spans="1:8" ht="15.6" x14ac:dyDescent="0.3">
      <c r="A119" s="697" t="s">
        <v>192</v>
      </c>
      <c r="B119" s="698"/>
      <c r="C119" s="11" t="s">
        <v>3</v>
      </c>
      <c r="D119" s="33">
        <f>D118+D105</f>
        <v>8907</v>
      </c>
      <c r="E119" s="33">
        <f t="shared" ref="E119:F119" si="69">E118+E105</f>
        <v>2786</v>
      </c>
      <c r="F119" s="33">
        <f t="shared" si="69"/>
        <v>821</v>
      </c>
      <c r="G119" s="33">
        <f t="shared" ref="G119" si="70">G118+G105</f>
        <v>202</v>
      </c>
      <c r="H119" s="55">
        <f t="shared" si="64"/>
        <v>12514</v>
      </c>
    </row>
    <row r="120" spans="1:8" ht="15" thickBot="1" x14ac:dyDescent="0.35">
      <c r="A120" s="699" t="s">
        <v>201</v>
      </c>
      <c r="B120" s="700"/>
      <c r="C120" s="700"/>
      <c r="D120" s="700"/>
      <c r="E120" s="700"/>
      <c r="F120" s="700"/>
      <c r="G120" s="700"/>
      <c r="H120" s="701"/>
    </row>
    <row r="121" spans="1:8" ht="16.2" thickBot="1" x14ac:dyDescent="0.35">
      <c r="A121" s="695" t="s">
        <v>93</v>
      </c>
      <c r="B121" s="696"/>
      <c r="C121" s="5" t="s">
        <v>3</v>
      </c>
      <c r="D121" s="194">
        <f>Mangochi!L121</f>
        <v>51006</v>
      </c>
      <c r="E121" s="193">
        <f>'Monkey Bay'!L121</f>
        <v>20803</v>
      </c>
      <c r="F121" s="193">
        <f>Namwera!L121</f>
        <v>9083</v>
      </c>
      <c r="G121" s="193">
        <f>Nkhudzi!L121</f>
        <v>0</v>
      </c>
      <c r="H121" s="31">
        <f>SUM(D121:F121)</f>
        <v>80892</v>
      </c>
    </row>
    <row r="122" spans="1:8" ht="15.6" x14ac:dyDescent="0.3">
      <c r="A122" s="695" t="s">
        <v>92</v>
      </c>
      <c r="B122" s="696"/>
      <c r="C122" s="5" t="s">
        <v>3</v>
      </c>
      <c r="D122" s="194">
        <f>Mangochi!L122</f>
        <v>52514</v>
      </c>
      <c r="E122" s="193">
        <f>'Monkey Bay'!L122</f>
        <v>19477</v>
      </c>
      <c r="F122" s="193">
        <f>Namwera!L122</f>
        <v>6856</v>
      </c>
      <c r="G122" s="193">
        <f>Nkhudzi!L122</f>
        <v>0</v>
      </c>
      <c r="H122" s="31">
        <f>SUM(D122:F122)</f>
        <v>78847</v>
      </c>
    </row>
    <row r="123" spans="1:8" ht="15.6" x14ac:dyDescent="0.3">
      <c r="A123" s="753" t="s">
        <v>91</v>
      </c>
      <c r="B123" s="754"/>
      <c r="C123" s="30" t="s">
        <v>6</v>
      </c>
      <c r="D123" s="29">
        <f t="shared" ref="D123:F123" si="71">D122/D121</f>
        <v>1.0295651491981335</v>
      </c>
      <c r="E123" s="29">
        <f t="shared" si="71"/>
        <v>0.9362591933855694</v>
      </c>
      <c r="F123" s="29">
        <f t="shared" si="71"/>
        <v>0.75481669052075306</v>
      </c>
      <c r="G123" s="29" t="e">
        <f t="shared" ref="G123:H123" si="72">G122/G121</f>
        <v>#DIV/0!</v>
      </c>
      <c r="H123" s="109">
        <f t="shared" si="72"/>
        <v>0.97471937892498639</v>
      </c>
    </row>
    <row r="124" spans="1:8" x14ac:dyDescent="0.3">
      <c r="A124" s="755" t="s">
        <v>90</v>
      </c>
      <c r="B124" s="756"/>
      <c r="C124" s="756"/>
      <c r="D124" s="756"/>
      <c r="E124" s="756"/>
      <c r="F124" s="756"/>
      <c r="G124" s="756"/>
      <c r="H124" s="757"/>
    </row>
    <row r="125" spans="1:8" ht="15.6" x14ac:dyDescent="0.3">
      <c r="A125" s="711" t="s">
        <v>224</v>
      </c>
      <c r="B125" s="24" t="s">
        <v>85</v>
      </c>
      <c r="C125" s="11" t="s">
        <v>3</v>
      </c>
      <c r="D125" s="26">
        <f>Mangochi!J125</f>
        <v>2</v>
      </c>
      <c r="E125" s="26">
        <f>'Monkey Bay'!J125</f>
        <v>0</v>
      </c>
      <c r="F125" s="26">
        <f>Namwera!J125</f>
        <v>0</v>
      </c>
      <c r="G125" s="26">
        <f>Nkhudzi!J125</f>
        <v>0</v>
      </c>
      <c r="H125" s="25">
        <f>SUM(D125:F125)</f>
        <v>2</v>
      </c>
    </row>
    <row r="126" spans="1:8" ht="15.6" x14ac:dyDescent="0.3">
      <c r="A126" s="761"/>
      <c r="B126" s="24" t="s">
        <v>84</v>
      </c>
      <c r="C126" s="11" t="s">
        <v>3</v>
      </c>
      <c r="D126" s="26">
        <f>Mangochi!J126+Mangochi!K126+Mangochi!L126</f>
        <v>0</v>
      </c>
      <c r="E126" s="26">
        <f>'Monkey Bay'!J126+'Monkey Bay'!K126+'Monkey Bay'!L126</f>
        <v>0</v>
      </c>
      <c r="F126" s="26">
        <f>Namwera!J126+Namwera!K126+Namwera!L126</f>
        <v>1</v>
      </c>
      <c r="G126" s="26">
        <f>Nkhudzi!J126+Nkhudzi!K126+Nkhudzi!L126</f>
        <v>0</v>
      </c>
      <c r="H126" s="18">
        <f>SUM(D126:F126)</f>
        <v>1</v>
      </c>
    </row>
    <row r="127" spans="1:8" ht="15.6" x14ac:dyDescent="0.3">
      <c r="A127" s="761"/>
      <c r="B127" s="82" t="s">
        <v>88</v>
      </c>
      <c r="C127" s="11" t="s">
        <v>3</v>
      </c>
      <c r="D127" s="26">
        <f>Mangochi!J127+Mangochi!K127+Mangochi!L127</f>
        <v>0</v>
      </c>
      <c r="E127" s="26">
        <f>'Monkey Bay'!J127+'Monkey Bay'!K127+'Monkey Bay'!L127</f>
        <v>0</v>
      </c>
      <c r="F127" s="26">
        <f>Namwera!J127+Namwera!K127+Namwera!L127</f>
        <v>0</v>
      </c>
      <c r="G127" s="26">
        <f>Nkhudzi!J127+Nkhudzi!K127+Nkhudzi!L127</f>
        <v>0</v>
      </c>
      <c r="H127" s="18">
        <f>SUM(D127:F127)</f>
        <v>0</v>
      </c>
    </row>
    <row r="128" spans="1:8" ht="15.6" x14ac:dyDescent="0.3">
      <c r="A128" s="761"/>
      <c r="B128" s="24" t="s">
        <v>82</v>
      </c>
      <c r="C128" s="11" t="s">
        <v>3</v>
      </c>
      <c r="D128" s="26">
        <f>Mangochi!J128+Mangochi!K128+Mangochi!L128</f>
        <v>0</v>
      </c>
      <c r="E128" s="26">
        <f>'Monkey Bay'!J128+'Monkey Bay'!K128+'Monkey Bay'!L128</f>
        <v>0</v>
      </c>
      <c r="F128" s="26">
        <f>Namwera!J128+Namwera!K128+Namwera!L128</f>
        <v>1</v>
      </c>
      <c r="G128" s="26">
        <f>Nkhudzi!J128+Nkhudzi!K128+Nkhudzi!L128</f>
        <v>0</v>
      </c>
      <c r="H128" s="18">
        <f>SUM(D128:F128)</f>
        <v>1</v>
      </c>
    </row>
    <row r="129" spans="1:8" ht="15.6" x14ac:dyDescent="0.3">
      <c r="A129" s="712"/>
      <c r="B129" s="24" t="s">
        <v>81</v>
      </c>
      <c r="C129" s="11" t="s">
        <v>3</v>
      </c>
      <c r="D129" s="140">
        <f t="shared" ref="D129:F129" si="73">D125+D126-D127-D128</f>
        <v>2</v>
      </c>
      <c r="E129" s="141">
        <f t="shared" si="73"/>
        <v>0</v>
      </c>
      <c r="F129" s="141">
        <f t="shared" si="73"/>
        <v>0</v>
      </c>
      <c r="G129" s="141">
        <f t="shared" ref="G129:H129" si="74">G125+G126-G127-G128</f>
        <v>0</v>
      </c>
      <c r="H129" s="25">
        <f t="shared" si="74"/>
        <v>2</v>
      </c>
    </row>
    <row r="130" spans="1:8" ht="15.6" x14ac:dyDescent="0.3">
      <c r="A130" s="711" t="s">
        <v>225</v>
      </c>
      <c r="B130" s="28" t="s">
        <v>85</v>
      </c>
      <c r="C130" s="27" t="s">
        <v>3</v>
      </c>
      <c r="D130" s="26">
        <f>Mangochi!J130</f>
        <v>0</v>
      </c>
      <c r="E130" s="26">
        <f>'Monkey Bay'!J130</f>
        <v>0</v>
      </c>
      <c r="F130" s="26">
        <f>Namwera!J130</f>
        <v>0</v>
      </c>
      <c r="G130" s="26">
        <f>Nkhudzi!J130</f>
        <v>0</v>
      </c>
      <c r="H130" s="25">
        <f>SUM(D130:F130)</f>
        <v>0</v>
      </c>
    </row>
    <row r="131" spans="1:8" ht="15.6" x14ac:dyDescent="0.3">
      <c r="A131" s="761"/>
      <c r="B131" s="24" t="s">
        <v>84</v>
      </c>
      <c r="C131" s="11" t="s">
        <v>3</v>
      </c>
      <c r="D131" s="26">
        <f>Mangochi!J131+Mangochi!K131+Mangochi!L131</f>
        <v>0</v>
      </c>
      <c r="E131" s="26">
        <f>'Monkey Bay'!J131+'Monkey Bay'!K131+'Monkey Bay'!L131</f>
        <v>0</v>
      </c>
      <c r="F131" s="26">
        <f>Namwera!J131+Namwera!K131+Namwera!L131</f>
        <v>0</v>
      </c>
      <c r="G131" s="26">
        <f>Nkhudzi!J131+Nkhudzi!K131+Nkhudzi!L131</f>
        <v>0</v>
      </c>
      <c r="H131" s="18">
        <f>SUM(D131:F131)</f>
        <v>0</v>
      </c>
    </row>
    <row r="132" spans="1:8" ht="15.6" x14ac:dyDescent="0.3">
      <c r="A132" s="761"/>
      <c r="B132" s="82" t="s">
        <v>88</v>
      </c>
      <c r="C132" s="11" t="s">
        <v>3</v>
      </c>
      <c r="D132" s="26">
        <f>Mangochi!J132+Mangochi!K132+Mangochi!L132</f>
        <v>0</v>
      </c>
      <c r="E132" s="26">
        <f>'Monkey Bay'!J132+'Monkey Bay'!K132+'Monkey Bay'!L132</f>
        <v>0</v>
      </c>
      <c r="F132" s="26">
        <f>Namwera!J132+Namwera!K132+Namwera!L132</f>
        <v>0</v>
      </c>
      <c r="G132" s="26">
        <f>Nkhudzi!J132+Nkhudzi!K132+Nkhudzi!L132</f>
        <v>0</v>
      </c>
      <c r="H132" s="18">
        <f>SUM(D132:F132)</f>
        <v>0</v>
      </c>
    </row>
    <row r="133" spans="1:8" ht="15.6" x14ac:dyDescent="0.3">
      <c r="A133" s="761"/>
      <c r="B133" s="24" t="s">
        <v>82</v>
      </c>
      <c r="C133" s="11" t="s">
        <v>3</v>
      </c>
      <c r="D133" s="26">
        <f>Mangochi!J133+Mangochi!K133+Mangochi!L133</f>
        <v>0</v>
      </c>
      <c r="E133" s="26">
        <f>'Monkey Bay'!J133+'Monkey Bay'!K133+'Monkey Bay'!L133</f>
        <v>0</v>
      </c>
      <c r="F133" s="26">
        <f>Namwera!J133+Namwera!K133+Namwera!L133</f>
        <v>0</v>
      </c>
      <c r="G133" s="26">
        <f>Nkhudzi!J133+Nkhudzi!K133+Nkhudzi!L133</f>
        <v>0</v>
      </c>
      <c r="H133" s="18">
        <f>SUM(D133:F133)</f>
        <v>0</v>
      </c>
    </row>
    <row r="134" spans="1:8" ht="15.6" x14ac:dyDescent="0.3">
      <c r="A134" s="712"/>
      <c r="B134" s="24" t="s">
        <v>81</v>
      </c>
      <c r="C134" s="11" t="s">
        <v>3</v>
      </c>
      <c r="D134" s="140">
        <f t="shared" ref="D134:F134" si="75">D130+D131-D132-D133</f>
        <v>0</v>
      </c>
      <c r="E134" s="141">
        <f t="shared" si="75"/>
        <v>0</v>
      </c>
      <c r="F134" s="141">
        <f t="shared" si="75"/>
        <v>0</v>
      </c>
      <c r="G134" s="141">
        <f t="shared" ref="G134:H134" si="76">G130+G131-G132-G133</f>
        <v>0</v>
      </c>
      <c r="H134" s="25">
        <f t="shared" si="76"/>
        <v>0</v>
      </c>
    </row>
    <row r="135" spans="1:8" ht="15.6" x14ac:dyDescent="0.3">
      <c r="A135" s="711" t="s">
        <v>89</v>
      </c>
      <c r="B135" s="24" t="s">
        <v>85</v>
      </c>
      <c r="C135" s="11" t="s">
        <v>3</v>
      </c>
      <c r="D135" s="26">
        <f>Mangochi!J135</f>
        <v>3</v>
      </c>
      <c r="E135" s="26">
        <f>'Monkey Bay'!J135</f>
        <v>0</v>
      </c>
      <c r="F135" s="26">
        <f>Namwera!J135</f>
        <v>0</v>
      </c>
      <c r="G135" s="26">
        <f>Nkhudzi!J135</f>
        <v>0</v>
      </c>
      <c r="H135" s="25">
        <f>SUM(D135:F135)</f>
        <v>3</v>
      </c>
    </row>
    <row r="136" spans="1:8" ht="15.6" x14ac:dyDescent="0.3">
      <c r="A136" s="761"/>
      <c r="B136" s="24" t="s">
        <v>84</v>
      </c>
      <c r="C136" s="11" t="s">
        <v>3</v>
      </c>
      <c r="D136" s="26">
        <f>Mangochi!J136+Mangochi!K136+Mangochi!L136</f>
        <v>0</v>
      </c>
      <c r="E136" s="26">
        <f>'Monkey Bay'!J136+'Monkey Bay'!K136+'Monkey Bay'!L136</f>
        <v>0</v>
      </c>
      <c r="F136" s="26">
        <f>Namwera!J136+Namwera!K136+Namwera!L136</f>
        <v>0</v>
      </c>
      <c r="G136" s="26">
        <f>Nkhudzi!J136+Nkhudzi!K136+Nkhudzi!L136</f>
        <v>0</v>
      </c>
      <c r="H136" s="18">
        <f>SUM(D136:F136)</f>
        <v>0</v>
      </c>
    </row>
    <row r="137" spans="1:8" ht="15.6" x14ac:dyDescent="0.3">
      <c r="A137" s="761"/>
      <c r="B137" s="82" t="s">
        <v>88</v>
      </c>
      <c r="C137" s="11" t="s">
        <v>3</v>
      </c>
      <c r="D137" s="26">
        <f>Mangochi!J137+Mangochi!K137+Mangochi!L137</f>
        <v>0</v>
      </c>
      <c r="E137" s="26">
        <f>'Monkey Bay'!J137+'Monkey Bay'!K137+'Monkey Bay'!L137</f>
        <v>0</v>
      </c>
      <c r="F137" s="26">
        <f>Namwera!J137+Namwera!K137+Namwera!L137</f>
        <v>0</v>
      </c>
      <c r="G137" s="26">
        <f>Nkhudzi!J137+Nkhudzi!K137+Nkhudzi!L137</f>
        <v>0</v>
      </c>
      <c r="H137" s="18">
        <f>SUM(D137:F137)</f>
        <v>0</v>
      </c>
    </row>
    <row r="138" spans="1:8" ht="15.6" x14ac:dyDescent="0.3">
      <c r="A138" s="761"/>
      <c r="B138" s="24" t="s">
        <v>82</v>
      </c>
      <c r="C138" s="11" t="s">
        <v>3</v>
      </c>
      <c r="D138" s="26">
        <f>Mangochi!J138+Mangochi!K138+Mangochi!L138</f>
        <v>0</v>
      </c>
      <c r="E138" s="26">
        <f>'Monkey Bay'!J138+'Monkey Bay'!K138+'Monkey Bay'!L138</f>
        <v>0</v>
      </c>
      <c r="F138" s="26">
        <f>Namwera!J138+Namwera!K138+Namwera!L138</f>
        <v>0</v>
      </c>
      <c r="G138" s="26">
        <f>Nkhudzi!J138+Nkhudzi!K138+Nkhudzi!L138</f>
        <v>0</v>
      </c>
      <c r="H138" s="18">
        <f>SUM(D138:F138)</f>
        <v>0</v>
      </c>
    </row>
    <row r="139" spans="1:8" ht="15.6" x14ac:dyDescent="0.3">
      <c r="A139" s="712"/>
      <c r="B139" s="24" t="s">
        <v>81</v>
      </c>
      <c r="C139" s="11" t="s">
        <v>3</v>
      </c>
      <c r="D139" s="140">
        <f t="shared" ref="D139:F139" si="77">D135+D136-D137-D138</f>
        <v>3</v>
      </c>
      <c r="E139" s="141">
        <f t="shared" si="77"/>
        <v>0</v>
      </c>
      <c r="F139" s="141">
        <f t="shared" si="77"/>
        <v>0</v>
      </c>
      <c r="G139" s="141">
        <f t="shared" ref="G139:H139" si="78">G135+G136-G137-G138</f>
        <v>0</v>
      </c>
      <c r="H139" s="25">
        <f t="shared" si="78"/>
        <v>3</v>
      </c>
    </row>
    <row r="140" spans="1:8" ht="15.6" x14ac:dyDescent="0.3">
      <c r="A140" s="711" t="s">
        <v>87</v>
      </c>
      <c r="B140" s="24" t="s">
        <v>85</v>
      </c>
      <c r="C140" s="11" t="s">
        <v>3</v>
      </c>
      <c r="D140" s="26">
        <f>Mangochi!J140</f>
        <v>1449</v>
      </c>
      <c r="E140" s="26">
        <f>'Monkey Bay'!J140</f>
        <v>64</v>
      </c>
      <c r="F140" s="26">
        <f>Namwera!J140</f>
        <v>7</v>
      </c>
      <c r="G140" s="26">
        <f>Nkhudzi!J140</f>
        <v>0</v>
      </c>
      <c r="H140" s="25">
        <f>SUM(D140:F140)</f>
        <v>1520</v>
      </c>
    </row>
    <row r="141" spans="1:8" ht="15.6" x14ac:dyDescent="0.3">
      <c r="A141" s="761"/>
      <c r="B141" s="24" t="s">
        <v>84</v>
      </c>
      <c r="C141" s="11" t="s">
        <v>3</v>
      </c>
      <c r="D141" s="26">
        <f>Mangochi!J141+Mangochi!K141+Mangochi!L141</f>
        <v>0</v>
      </c>
      <c r="E141" s="26">
        <f>'Monkey Bay'!J141+'Monkey Bay'!K141+'Monkey Bay'!L141</f>
        <v>89</v>
      </c>
      <c r="F141" s="26">
        <f>Namwera!J141+Namwera!K141+Namwera!L141</f>
        <v>31</v>
      </c>
      <c r="G141" s="26">
        <f>Nkhudzi!J141+Nkhudzi!K141+Nkhudzi!L141</f>
        <v>0</v>
      </c>
      <c r="H141" s="18">
        <f>SUM(D141:F141)</f>
        <v>120</v>
      </c>
    </row>
    <row r="142" spans="1:8" ht="15.6" x14ac:dyDescent="0.3">
      <c r="A142" s="761"/>
      <c r="B142" s="24" t="s">
        <v>83</v>
      </c>
      <c r="C142" s="11" t="s">
        <v>3</v>
      </c>
      <c r="D142" s="26">
        <f>Mangochi!J142+Mangochi!K142+Mangochi!L142</f>
        <v>0</v>
      </c>
      <c r="E142" s="26">
        <f>'Monkey Bay'!J142+'Monkey Bay'!K142+'Monkey Bay'!L142</f>
        <v>14</v>
      </c>
      <c r="F142" s="26">
        <f>Namwera!J142+Namwera!K142+Namwera!L142</f>
        <v>5</v>
      </c>
      <c r="G142" s="26">
        <f>Nkhudzi!J142+Nkhudzi!K142+Nkhudzi!L142</f>
        <v>0</v>
      </c>
      <c r="H142" s="18">
        <f>SUM(D142:F142)</f>
        <v>19</v>
      </c>
    </row>
    <row r="143" spans="1:8" ht="15.6" x14ac:dyDescent="0.3">
      <c r="A143" s="761"/>
      <c r="B143" s="24" t="s">
        <v>82</v>
      </c>
      <c r="C143" s="11" t="s">
        <v>3</v>
      </c>
      <c r="D143" s="26">
        <f>Mangochi!J143+Mangochi!K143+Mangochi!L143</f>
        <v>115</v>
      </c>
      <c r="E143" s="26">
        <f>'Monkey Bay'!J143+'Monkey Bay'!K143+'Monkey Bay'!L143</f>
        <v>36</v>
      </c>
      <c r="F143" s="26">
        <f>Namwera!J143+Namwera!K143+Namwera!L143</f>
        <v>29</v>
      </c>
      <c r="G143" s="26">
        <f>Nkhudzi!J143+Nkhudzi!K143+Nkhudzi!L143</f>
        <v>0</v>
      </c>
      <c r="H143" s="18">
        <f>SUM(D143:F143)</f>
        <v>180</v>
      </c>
    </row>
    <row r="144" spans="1:8" ht="15.6" x14ac:dyDescent="0.3">
      <c r="A144" s="712"/>
      <c r="B144" s="24" t="s">
        <v>81</v>
      </c>
      <c r="C144" s="11" t="s">
        <v>3</v>
      </c>
      <c r="D144" s="140">
        <f t="shared" ref="D144:F144" si="79">D140+D141-D142-D143</f>
        <v>1334</v>
      </c>
      <c r="E144" s="141">
        <f t="shared" si="79"/>
        <v>103</v>
      </c>
      <c r="F144" s="141">
        <f t="shared" si="79"/>
        <v>4</v>
      </c>
      <c r="G144" s="141">
        <f t="shared" ref="G144:H144" si="80">G140+G141-G142-G143</f>
        <v>0</v>
      </c>
      <c r="H144" s="25">
        <f t="shared" si="80"/>
        <v>1441</v>
      </c>
    </row>
    <row r="145" spans="1:8" s="2" customFormat="1" ht="15.6" x14ac:dyDescent="0.3">
      <c r="A145" s="711" t="s">
        <v>86</v>
      </c>
      <c r="B145" s="24" t="s">
        <v>85</v>
      </c>
      <c r="C145" s="11" t="s">
        <v>3</v>
      </c>
      <c r="D145" s="139">
        <f t="shared" ref="D145:F148" si="81">D125+D130+D135+D140</f>
        <v>1454</v>
      </c>
      <c r="E145" s="139">
        <f t="shared" si="81"/>
        <v>64</v>
      </c>
      <c r="F145" s="139">
        <f t="shared" si="81"/>
        <v>7</v>
      </c>
      <c r="G145" s="139">
        <f t="shared" ref="G145:H149" si="82">G125+G130+G135+G140</f>
        <v>0</v>
      </c>
      <c r="H145" s="110">
        <f t="shared" si="82"/>
        <v>1525</v>
      </c>
    </row>
    <row r="146" spans="1:8" ht="15.6" x14ac:dyDescent="0.3">
      <c r="A146" s="761"/>
      <c r="B146" s="24" t="s">
        <v>84</v>
      </c>
      <c r="C146" s="11" t="s">
        <v>3</v>
      </c>
      <c r="D146" s="139">
        <f t="shared" si="81"/>
        <v>0</v>
      </c>
      <c r="E146" s="139">
        <f t="shared" si="81"/>
        <v>89</v>
      </c>
      <c r="F146" s="139">
        <f t="shared" si="81"/>
        <v>32</v>
      </c>
      <c r="G146" s="139">
        <f t="shared" ref="G146" si="83">G126+G131+G136+G141</f>
        <v>0</v>
      </c>
      <c r="H146" s="110">
        <f t="shared" si="82"/>
        <v>121</v>
      </c>
    </row>
    <row r="147" spans="1:8" ht="15.6" x14ac:dyDescent="0.3">
      <c r="A147" s="761"/>
      <c r="B147" s="24" t="s">
        <v>83</v>
      </c>
      <c r="C147" s="11" t="s">
        <v>3</v>
      </c>
      <c r="D147" s="139">
        <f t="shared" si="81"/>
        <v>0</v>
      </c>
      <c r="E147" s="139">
        <f t="shared" si="81"/>
        <v>14</v>
      </c>
      <c r="F147" s="139">
        <f t="shared" si="81"/>
        <v>5</v>
      </c>
      <c r="G147" s="139">
        <f t="shared" ref="G147" si="84">G127+G132+G137+G142</f>
        <v>0</v>
      </c>
      <c r="H147" s="110">
        <f t="shared" si="82"/>
        <v>19</v>
      </c>
    </row>
    <row r="148" spans="1:8" ht="15.6" x14ac:dyDescent="0.3">
      <c r="A148" s="761"/>
      <c r="B148" s="24" t="s">
        <v>82</v>
      </c>
      <c r="C148" s="11" t="s">
        <v>3</v>
      </c>
      <c r="D148" s="139">
        <f t="shared" si="81"/>
        <v>115</v>
      </c>
      <c r="E148" s="139">
        <f t="shared" si="81"/>
        <v>36</v>
      </c>
      <c r="F148" s="139">
        <f t="shared" si="81"/>
        <v>30</v>
      </c>
      <c r="G148" s="139">
        <f t="shared" ref="G148" si="85">G128+G133+G138+G143</f>
        <v>0</v>
      </c>
      <c r="H148" s="110">
        <f t="shared" si="82"/>
        <v>181</v>
      </c>
    </row>
    <row r="149" spans="1:8" ht="15.6" x14ac:dyDescent="0.3">
      <c r="A149" s="712"/>
      <c r="B149" s="24" t="s">
        <v>81</v>
      </c>
      <c r="C149" s="11" t="s">
        <v>3</v>
      </c>
      <c r="D149" s="140">
        <f t="shared" ref="D149:F149" si="86">D145+D146-D147-D148</f>
        <v>1339</v>
      </c>
      <c r="E149" s="141">
        <f t="shared" si="86"/>
        <v>103</v>
      </c>
      <c r="F149" s="141">
        <f t="shared" si="86"/>
        <v>4</v>
      </c>
      <c r="G149" s="141">
        <f t="shared" ref="G149" si="87">G145+G146-G147-G148</f>
        <v>0</v>
      </c>
      <c r="H149" s="110">
        <f t="shared" si="82"/>
        <v>1446</v>
      </c>
    </row>
    <row r="150" spans="1:8" x14ac:dyDescent="0.3">
      <c r="A150" s="699" t="s">
        <v>80</v>
      </c>
      <c r="B150" s="700"/>
      <c r="C150" s="700"/>
      <c r="D150" s="700"/>
      <c r="E150" s="700"/>
      <c r="F150" s="700"/>
      <c r="G150" s="700"/>
      <c r="H150" s="701"/>
    </row>
    <row r="151" spans="1:8" ht="15.6" customHeight="1" x14ac:dyDescent="0.3">
      <c r="A151" s="793" t="s">
        <v>79</v>
      </c>
      <c r="B151" s="794"/>
      <c r="C151" s="794"/>
      <c r="D151" s="794"/>
      <c r="E151" s="794"/>
      <c r="F151" s="794"/>
      <c r="G151" s="794"/>
      <c r="H151" s="795"/>
    </row>
    <row r="152" spans="1:8" ht="15.6" x14ac:dyDescent="0.3">
      <c r="A152" s="758" t="s">
        <v>78</v>
      </c>
      <c r="B152" s="92" t="s">
        <v>63</v>
      </c>
      <c r="C152" s="11"/>
      <c r="D152" s="191"/>
      <c r="E152" s="191"/>
      <c r="F152" s="191"/>
      <c r="G152" s="191"/>
      <c r="H152" s="9"/>
    </row>
    <row r="153" spans="1:8" ht="15.6" x14ac:dyDescent="0.3">
      <c r="A153" s="759"/>
      <c r="B153" s="19" t="s">
        <v>73</v>
      </c>
      <c r="C153" s="11" t="s">
        <v>57</v>
      </c>
      <c r="D153" s="26">
        <f>Mangochi!J153+Mangochi!K153+Mangochi!L153</f>
        <v>178</v>
      </c>
      <c r="E153" s="26">
        <f>'Monkey Bay'!J153+'Monkey Bay'!K153+'Monkey Bay'!L153</f>
        <v>75</v>
      </c>
      <c r="F153" s="26">
        <f>Namwera!J153+Namwera!K153+Namwera!L153</f>
        <v>58</v>
      </c>
      <c r="G153" s="26">
        <f>Nkhudzi!J153+Nkhudzi!K153+Nkhudzi!L153</f>
        <v>16</v>
      </c>
      <c r="H153" s="18">
        <f t="shared" ref="H153:H165" si="88">SUM(D153:F153)</f>
        <v>311</v>
      </c>
    </row>
    <row r="154" spans="1:8" ht="15.6" x14ac:dyDescent="0.3">
      <c r="A154" s="759"/>
      <c r="B154" s="19" t="s">
        <v>72</v>
      </c>
      <c r="C154" s="11" t="s">
        <v>57</v>
      </c>
      <c r="D154" s="26">
        <f>Mangochi!J154+Mangochi!K154+Mangochi!L154</f>
        <v>109</v>
      </c>
      <c r="E154" s="26">
        <f>'Monkey Bay'!J154+'Monkey Bay'!K154+'Monkey Bay'!L154</f>
        <v>39</v>
      </c>
      <c r="F154" s="26">
        <f>Namwera!J154+Namwera!K154+Namwera!L154</f>
        <v>27</v>
      </c>
      <c r="G154" s="26">
        <f>Nkhudzi!J154+Nkhudzi!K154+Nkhudzi!L154</f>
        <v>8</v>
      </c>
      <c r="H154" s="18">
        <f t="shared" si="88"/>
        <v>175</v>
      </c>
    </row>
    <row r="155" spans="1:8" ht="15.6" x14ac:dyDescent="0.3">
      <c r="A155" s="759"/>
      <c r="B155" s="19" t="s">
        <v>53</v>
      </c>
      <c r="C155" s="11" t="s">
        <v>57</v>
      </c>
      <c r="D155" s="26">
        <f>Mangochi!J155+Mangochi!K155+Mangochi!L155</f>
        <v>40</v>
      </c>
      <c r="E155" s="26">
        <f>'Monkey Bay'!J155+'Monkey Bay'!K155+'Monkey Bay'!L155</f>
        <v>8</v>
      </c>
      <c r="F155" s="26">
        <f>Namwera!J155+Namwera!K155+Namwera!L155</f>
        <v>6</v>
      </c>
      <c r="G155" s="26">
        <f>Nkhudzi!J155+Nkhudzi!K155+Nkhudzi!L155</f>
        <v>3</v>
      </c>
      <c r="H155" s="18">
        <f t="shared" si="88"/>
        <v>54</v>
      </c>
    </row>
    <row r="156" spans="1:8" ht="15.6" x14ac:dyDescent="0.3">
      <c r="A156" s="759"/>
      <c r="B156" s="19" t="s">
        <v>71</v>
      </c>
      <c r="C156" s="11" t="s">
        <v>57</v>
      </c>
      <c r="D156" s="26">
        <f>Mangochi!J156+Mangochi!K156+Mangochi!L156</f>
        <v>31</v>
      </c>
      <c r="E156" s="26">
        <f>'Monkey Bay'!J156+'Monkey Bay'!K156+'Monkey Bay'!L156</f>
        <v>4</v>
      </c>
      <c r="F156" s="26">
        <f>Namwera!J156+Namwera!K156+Namwera!L156</f>
        <v>2</v>
      </c>
      <c r="G156" s="26">
        <f>Nkhudzi!J156+Nkhudzi!K156+Nkhudzi!L156</f>
        <v>5</v>
      </c>
      <c r="H156" s="18">
        <f t="shared" si="88"/>
        <v>37</v>
      </c>
    </row>
    <row r="157" spans="1:8" ht="15.6" x14ac:dyDescent="0.3">
      <c r="A157" s="759"/>
      <c r="B157" s="19" t="s">
        <v>52</v>
      </c>
      <c r="C157" s="11" t="s">
        <v>57</v>
      </c>
      <c r="D157" s="26">
        <f>Mangochi!J157+Mangochi!K157+Mangochi!L157</f>
        <v>10</v>
      </c>
      <c r="E157" s="26">
        <f>'Monkey Bay'!J157+'Monkey Bay'!K157+'Monkey Bay'!L157</f>
        <v>6</v>
      </c>
      <c r="F157" s="26">
        <f>Namwera!J157+Namwera!K157+Namwera!L157</f>
        <v>3</v>
      </c>
      <c r="G157" s="26">
        <f>Nkhudzi!J157+Nkhudzi!K157+Nkhudzi!L157</f>
        <v>1</v>
      </c>
      <c r="H157" s="18">
        <f t="shared" si="88"/>
        <v>19</v>
      </c>
    </row>
    <row r="158" spans="1:8" ht="15.6" x14ac:dyDescent="0.3">
      <c r="A158" s="759"/>
      <c r="B158" s="19" t="s">
        <v>51</v>
      </c>
      <c r="C158" s="11" t="s">
        <v>57</v>
      </c>
      <c r="D158" s="26">
        <f>Mangochi!J158+Mangochi!K158+Mangochi!L158</f>
        <v>11</v>
      </c>
      <c r="E158" s="26">
        <f>'Monkey Bay'!J158+'Monkey Bay'!K158+'Monkey Bay'!L158</f>
        <v>9</v>
      </c>
      <c r="F158" s="26">
        <f>Namwera!J158+Namwera!K158+Namwera!L158</f>
        <v>8</v>
      </c>
      <c r="G158" s="26">
        <f>Nkhudzi!J158+Nkhudzi!K158+Nkhudzi!L158</f>
        <v>1</v>
      </c>
      <c r="H158" s="18">
        <f t="shared" si="88"/>
        <v>28</v>
      </c>
    </row>
    <row r="159" spans="1:8" ht="15.6" x14ac:dyDescent="0.3">
      <c r="A159" s="759"/>
      <c r="B159" s="19" t="s">
        <v>62</v>
      </c>
      <c r="C159" s="11" t="s">
        <v>57</v>
      </c>
      <c r="D159" s="26">
        <f>Mangochi!J159+Mangochi!K159+Mangochi!L159</f>
        <v>1</v>
      </c>
      <c r="E159" s="26">
        <f>'Monkey Bay'!J159+'Monkey Bay'!K159+'Monkey Bay'!L159</f>
        <v>1</v>
      </c>
      <c r="F159" s="26">
        <f>Namwera!J159+Namwera!K159+Namwera!L159</f>
        <v>0</v>
      </c>
      <c r="G159" s="26">
        <f>Nkhudzi!J159+Nkhudzi!K159+Nkhudzi!L159</f>
        <v>0</v>
      </c>
      <c r="H159" s="18">
        <f t="shared" si="88"/>
        <v>2</v>
      </c>
    </row>
    <row r="160" spans="1:8" ht="15.6" x14ac:dyDescent="0.3">
      <c r="A160" s="759"/>
      <c r="B160" s="19" t="s">
        <v>50</v>
      </c>
      <c r="C160" s="11" t="s">
        <v>57</v>
      </c>
      <c r="D160" s="26">
        <f>Mangochi!J160+Mangochi!K160+Mangochi!L160</f>
        <v>0</v>
      </c>
      <c r="E160" s="26">
        <f>'Monkey Bay'!J160+'Monkey Bay'!K160+'Monkey Bay'!L160</f>
        <v>2</v>
      </c>
      <c r="F160" s="26">
        <f>Namwera!J160+Namwera!K160+Namwera!L160</f>
        <v>1</v>
      </c>
      <c r="G160" s="26">
        <f>Nkhudzi!J160+Nkhudzi!K160+Nkhudzi!L160</f>
        <v>0</v>
      </c>
      <c r="H160" s="18">
        <f t="shared" si="88"/>
        <v>3</v>
      </c>
    </row>
    <row r="161" spans="1:8" ht="15.6" x14ac:dyDescent="0.3">
      <c r="A161" s="759"/>
      <c r="B161" s="19" t="s">
        <v>49</v>
      </c>
      <c r="C161" s="11" t="s">
        <v>57</v>
      </c>
      <c r="D161" s="26">
        <f>Mangochi!J161+Mangochi!K161+Mangochi!L161</f>
        <v>1</v>
      </c>
      <c r="E161" s="26">
        <f>'Monkey Bay'!J161+'Monkey Bay'!K161+'Monkey Bay'!L161</f>
        <v>0</v>
      </c>
      <c r="F161" s="26">
        <f>Namwera!J161+Namwera!K161+Namwera!L161</f>
        <v>1</v>
      </c>
      <c r="G161" s="26">
        <f>Nkhudzi!J161+Nkhudzi!K161+Nkhudzi!L161</f>
        <v>0</v>
      </c>
      <c r="H161" s="18">
        <f t="shared" si="88"/>
        <v>2</v>
      </c>
    </row>
    <row r="162" spans="1:8" ht="15.6" x14ac:dyDescent="0.3">
      <c r="A162" s="759"/>
      <c r="B162" s="19" t="s">
        <v>77</v>
      </c>
      <c r="C162" s="11" t="s">
        <v>57</v>
      </c>
      <c r="D162" s="26">
        <f>Mangochi!J162+Mangochi!K162+Mangochi!L162</f>
        <v>1</v>
      </c>
      <c r="E162" s="26">
        <f>'Monkey Bay'!J162+'Monkey Bay'!K162+'Monkey Bay'!L162</f>
        <v>0</v>
      </c>
      <c r="F162" s="26">
        <f>Namwera!J162+Namwera!K162+Namwera!L162</f>
        <v>0</v>
      </c>
      <c r="G162" s="26">
        <f>Nkhudzi!J162+Nkhudzi!K162+Nkhudzi!L162</f>
        <v>0</v>
      </c>
      <c r="H162" s="18">
        <f t="shared" si="88"/>
        <v>1</v>
      </c>
    </row>
    <row r="163" spans="1:8" ht="15.6" x14ac:dyDescent="0.3">
      <c r="A163" s="759"/>
      <c r="B163" s="19" t="s">
        <v>69</v>
      </c>
      <c r="C163" s="11" t="s">
        <v>57</v>
      </c>
      <c r="D163" s="26">
        <f>Mangochi!J163+Mangochi!K163+Mangochi!L163</f>
        <v>1</v>
      </c>
      <c r="E163" s="26">
        <f>'Monkey Bay'!J163+'Monkey Bay'!K163+'Monkey Bay'!L163</f>
        <v>0</v>
      </c>
      <c r="F163" s="26">
        <f>Namwera!J163+Namwera!K163+Namwera!L163</f>
        <v>0</v>
      </c>
      <c r="G163" s="26">
        <f>Nkhudzi!J163+Nkhudzi!K163+Nkhudzi!L163</f>
        <v>0</v>
      </c>
      <c r="H163" s="18">
        <f t="shared" si="88"/>
        <v>1</v>
      </c>
    </row>
    <row r="164" spans="1:8" ht="15.6" x14ac:dyDescent="0.3">
      <c r="A164" s="759"/>
      <c r="B164" s="19" t="s">
        <v>68</v>
      </c>
      <c r="C164" s="11" t="s">
        <v>57</v>
      </c>
      <c r="D164" s="26">
        <f>Mangochi!J164+Mangochi!K164+Mangochi!L164</f>
        <v>0</v>
      </c>
      <c r="E164" s="26">
        <f>'Monkey Bay'!J164+'Monkey Bay'!K164+'Monkey Bay'!L164</f>
        <v>0</v>
      </c>
      <c r="F164" s="26">
        <f>Namwera!J164+Namwera!K164+Namwera!L164</f>
        <v>0</v>
      </c>
      <c r="G164" s="26">
        <f>Nkhudzi!J164+Nkhudzi!K164+Nkhudzi!L164</f>
        <v>11</v>
      </c>
      <c r="H164" s="18">
        <f t="shared" si="88"/>
        <v>0</v>
      </c>
    </row>
    <row r="165" spans="1:8" ht="15.6" x14ac:dyDescent="0.3">
      <c r="A165" s="760"/>
      <c r="B165" s="19" t="s">
        <v>76</v>
      </c>
      <c r="C165" s="11" t="s">
        <v>57</v>
      </c>
      <c r="D165" s="26">
        <f>Mangochi!J165+Mangochi!K165+Mangochi!L165</f>
        <v>0</v>
      </c>
      <c r="E165" s="26">
        <f>'Monkey Bay'!J165+'Monkey Bay'!K165+'Monkey Bay'!L165</f>
        <v>0</v>
      </c>
      <c r="F165" s="26">
        <f>Namwera!J165+Namwera!K165+Namwera!L165</f>
        <v>0</v>
      </c>
      <c r="G165" s="26">
        <f>Nkhudzi!J165+Nkhudzi!K165+Nkhudzi!L165</f>
        <v>0</v>
      </c>
      <c r="H165" s="18">
        <f t="shared" si="88"/>
        <v>0</v>
      </c>
    </row>
    <row r="166" spans="1:8" ht="15.6" x14ac:dyDescent="0.3">
      <c r="A166" s="758" t="s">
        <v>75</v>
      </c>
      <c r="B166" s="21" t="s">
        <v>63</v>
      </c>
      <c r="C166" s="11"/>
      <c r="D166" s="4"/>
      <c r="E166" s="4"/>
      <c r="F166" s="4"/>
      <c r="G166" s="4">
        <f>Nkhudzi!J166+Nkhudzi!K166+Nkhudzi!L166</f>
        <v>0</v>
      </c>
      <c r="H166" s="18"/>
    </row>
    <row r="167" spans="1:8" ht="15.6" x14ac:dyDescent="0.3">
      <c r="A167" s="759"/>
      <c r="B167" s="19" t="s">
        <v>74</v>
      </c>
      <c r="C167" s="11" t="s">
        <v>57</v>
      </c>
      <c r="D167" s="26">
        <f>Mangochi!J167+Mangochi!K167+Mangochi!L167</f>
        <v>0</v>
      </c>
      <c r="E167" s="26">
        <f>'Monkey Bay'!J167+'Monkey Bay'!K167+'Monkey Bay'!L167</f>
        <v>8</v>
      </c>
      <c r="F167" s="26">
        <f>Namwera!J167+Namwera!K167+Namwera!L167</f>
        <v>0</v>
      </c>
      <c r="G167" s="26">
        <f>Nkhudzi!J167+Nkhudzi!K167+Nkhudzi!L167</f>
        <v>0</v>
      </c>
      <c r="H167" s="18">
        <f t="shared" ref="H167:H175" si="89">SUM(D167:F167)</f>
        <v>8</v>
      </c>
    </row>
    <row r="168" spans="1:8" ht="15.6" x14ac:dyDescent="0.3">
      <c r="A168" s="759"/>
      <c r="B168" s="19" t="s">
        <v>73</v>
      </c>
      <c r="C168" s="11" t="s">
        <v>57</v>
      </c>
      <c r="D168" s="26">
        <f>Mangochi!J168+Mangochi!K168+Mangochi!L168</f>
        <v>0</v>
      </c>
      <c r="E168" s="26">
        <f>'Monkey Bay'!J168+'Monkey Bay'!K168+'Monkey Bay'!L168</f>
        <v>3</v>
      </c>
      <c r="F168" s="26">
        <f>Namwera!J168+Namwera!K168+Namwera!L168</f>
        <v>0</v>
      </c>
      <c r="G168" s="26">
        <f>Nkhudzi!J168+Nkhudzi!K168+Nkhudzi!L168</f>
        <v>0</v>
      </c>
      <c r="H168" s="18">
        <f t="shared" si="89"/>
        <v>3</v>
      </c>
    </row>
    <row r="169" spans="1:8" ht="15.6" x14ac:dyDescent="0.3">
      <c r="A169" s="759"/>
      <c r="B169" s="19" t="s">
        <v>72</v>
      </c>
      <c r="C169" s="11" t="s">
        <v>57</v>
      </c>
      <c r="D169" s="26">
        <f>Mangochi!J169+Mangochi!K169+Mangochi!L169</f>
        <v>0</v>
      </c>
      <c r="E169" s="26">
        <f>'Monkey Bay'!J169+'Monkey Bay'!K169+'Monkey Bay'!L169</f>
        <v>0</v>
      </c>
      <c r="F169" s="26">
        <f>Namwera!J169+Namwera!K169+Namwera!L169</f>
        <v>0</v>
      </c>
      <c r="G169" s="26">
        <f>Nkhudzi!J169+Nkhudzi!K169+Nkhudzi!L169</f>
        <v>0</v>
      </c>
      <c r="H169" s="18">
        <f t="shared" si="89"/>
        <v>0</v>
      </c>
    </row>
    <row r="170" spans="1:8" ht="15.6" x14ac:dyDescent="0.3">
      <c r="A170" s="759"/>
      <c r="B170" s="19" t="s">
        <v>71</v>
      </c>
      <c r="C170" s="11" t="s">
        <v>57</v>
      </c>
      <c r="D170" s="26">
        <f>Mangochi!J170+Mangochi!K170+Mangochi!L170</f>
        <v>0</v>
      </c>
      <c r="E170" s="26">
        <f>'Monkey Bay'!J170+'Monkey Bay'!K170+'Monkey Bay'!L170</f>
        <v>0</v>
      </c>
      <c r="F170" s="26">
        <f>Namwera!J170+Namwera!K170+Namwera!L170</f>
        <v>0</v>
      </c>
      <c r="G170" s="26">
        <f>Nkhudzi!J170+Nkhudzi!K170+Nkhudzi!L170</f>
        <v>0</v>
      </c>
      <c r="H170" s="18">
        <f t="shared" si="89"/>
        <v>0</v>
      </c>
    </row>
    <row r="171" spans="1:8" ht="15.6" x14ac:dyDescent="0.3">
      <c r="A171" s="759"/>
      <c r="B171" s="19" t="s">
        <v>52</v>
      </c>
      <c r="C171" s="11" t="s">
        <v>57</v>
      </c>
      <c r="D171" s="26">
        <f>Mangochi!J171+Mangochi!K171+Mangochi!L171</f>
        <v>0</v>
      </c>
      <c r="E171" s="26">
        <f>'Monkey Bay'!J171+'Monkey Bay'!K171+'Monkey Bay'!L171</f>
        <v>0</v>
      </c>
      <c r="F171" s="26">
        <f>Namwera!J171+Namwera!K171+Namwera!L171</f>
        <v>0</v>
      </c>
      <c r="G171" s="26">
        <f>Nkhudzi!J171+Nkhudzi!K171+Nkhudzi!L171</f>
        <v>0</v>
      </c>
      <c r="H171" s="18">
        <f t="shared" si="89"/>
        <v>0</v>
      </c>
    </row>
    <row r="172" spans="1:8" ht="15.6" x14ac:dyDescent="0.3">
      <c r="A172" s="759"/>
      <c r="B172" s="19" t="s">
        <v>62</v>
      </c>
      <c r="C172" s="11" t="s">
        <v>57</v>
      </c>
      <c r="D172" s="26">
        <f>Mangochi!J172+Mangochi!K172+Mangochi!L172</f>
        <v>0</v>
      </c>
      <c r="E172" s="26">
        <f>'Monkey Bay'!J172+'Monkey Bay'!K172+'Monkey Bay'!L172</f>
        <v>0</v>
      </c>
      <c r="F172" s="26">
        <f>Namwera!J172+Namwera!K172+Namwera!L172</f>
        <v>0</v>
      </c>
      <c r="G172" s="26">
        <f>Nkhudzi!J172+Nkhudzi!K172+Nkhudzi!L172</f>
        <v>0</v>
      </c>
      <c r="H172" s="18">
        <f t="shared" si="89"/>
        <v>0</v>
      </c>
    </row>
    <row r="173" spans="1:8" ht="15.6" x14ac:dyDescent="0.3">
      <c r="A173" s="759"/>
      <c r="B173" s="19" t="s">
        <v>61</v>
      </c>
      <c r="C173" s="11" t="s">
        <v>57</v>
      </c>
      <c r="D173" s="26">
        <f>Mangochi!J173+Mangochi!K173+Mangochi!L173</f>
        <v>0</v>
      </c>
      <c r="E173" s="26">
        <f>'Monkey Bay'!J173+'Monkey Bay'!K173+'Monkey Bay'!L173</f>
        <v>0</v>
      </c>
      <c r="F173" s="26">
        <f>Namwera!J173+Namwera!K173+Namwera!L173</f>
        <v>0</v>
      </c>
      <c r="G173" s="26">
        <f>Nkhudzi!J173+Nkhudzi!K173+Nkhudzi!L173</f>
        <v>0</v>
      </c>
      <c r="H173" s="18">
        <f t="shared" si="89"/>
        <v>0</v>
      </c>
    </row>
    <row r="174" spans="1:8" ht="15.6" x14ac:dyDescent="0.3">
      <c r="A174" s="759"/>
      <c r="B174" s="19" t="s">
        <v>60</v>
      </c>
      <c r="C174" s="11" t="s">
        <v>57</v>
      </c>
      <c r="D174" s="26">
        <f>Mangochi!J174+Mangochi!K174+Mangochi!L174</f>
        <v>0</v>
      </c>
      <c r="E174" s="26">
        <f>'Monkey Bay'!J174+'Monkey Bay'!K174+'Monkey Bay'!L174</f>
        <v>0</v>
      </c>
      <c r="F174" s="26">
        <f>Namwera!J174+Namwera!K174+Namwera!L174</f>
        <v>0</v>
      </c>
      <c r="G174" s="26">
        <f>Nkhudzi!J174+Nkhudzi!K174+Nkhudzi!L174</f>
        <v>0</v>
      </c>
      <c r="H174" s="18">
        <f t="shared" si="89"/>
        <v>0</v>
      </c>
    </row>
    <row r="175" spans="1:8" ht="15.6" x14ac:dyDescent="0.3">
      <c r="A175" s="760"/>
      <c r="B175" s="19" t="s">
        <v>69</v>
      </c>
      <c r="C175" s="11" t="s">
        <v>57</v>
      </c>
      <c r="D175" s="26">
        <f>Mangochi!J175+Mangochi!K175+Mangochi!L175</f>
        <v>0</v>
      </c>
      <c r="E175" s="26">
        <f>'Monkey Bay'!J175+'Monkey Bay'!K175+'Monkey Bay'!L175</f>
        <v>0</v>
      </c>
      <c r="F175" s="26">
        <f>Namwera!J175+Namwera!K175+Namwera!L175</f>
        <v>0</v>
      </c>
      <c r="G175" s="26">
        <f>Nkhudzi!J175+Nkhudzi!K175+Nkhudzi!L175</f>
        <v>0</v>
      </c>
      <c r="H175" s="18">
        <f t="shared" si="89"/>
        <v>0</v>
      </c>
    </row>
    <row r="176" spans="1:8" ht="15.6" x14ac:dyDescent="0.3">
      <c r="A176" s="758" t="s">
        <v>70</v>
      </c>
      <c r="B176" s="21" t="s">
        <v>63</v>
      </c>
      <c r="C176" s="11"/>
      <c r="D176" s="4"/>
      <c r="E176" s="4"/>
      <c r="F176" s="4"/>
      <c r="G176" s="4">
        <f>Nkhudzi!J176+Nkhudzi!K176+Nkhudzi!L176</f>
        <v>0</v>
      </c>
      <c r="H176" s="18"/>
    </row>
    <row r="177" spans="1:8" ht="15.6" x14ac:dyDescent="0.3">
      <c r="A177" s="759"/>
      <c r="B177" s="19" t="s">
        <v>60</v>
      </c>
      <c r="C177" s="11" t="s">
        <v>57</v>
      </c>
      <c r="D177" s="26">
        <f>Mangochi!J177+Mangochi!K177+Mangochi!L177</f>
        <v>0</v>
      </c>
      <c r="E177" s="26">
        <f>'Monkey Bay'!J177+'Monkey Bay'!K177+'Monkey Bay'!L177</f>
        <v>0</v>
      </c>
      <c r="F177" s="26">
        <f>Namwera!J177+Namwera!K177+Namwera!L177</f>
        <v>0</v>
      </c>
      <c r="G177" s="26">
        <f>Nkhudzi!J177+Nkhudzi!K177+Nkhudzi!L177</f>
        <v>0</v>
      </c>
      <c r="H177" s="18">
        <f t="shared" ref="H177:H182" si="90">SUM(D177:F177)</f>
        <v>0</v>
      </c>
    </row>
    <row r="178" spans="1:8" ht="15.6" x14ac:dyDescent="0.3">
      <c r="A178" s="759"/>
      <c r="B178" s="19" t="s">
        <v>69</v>
      </c>
      <c r="C178" s="11" t="s">
        <v>57</v>
      </c>
      <c r="D178" s="26">
        <f>Mangochi!J178+Mangochi!K178+Mangochi!L178</f>
        <v>0</v>
      </c>
      <c r="E178" s="26">
        <f>'Monkey Bay'!J178+'Monkey Bay'!K178+'Monkey Bay'!L178</f>
        <v>0</v>
      </c>
      <c r="F178" s="26">
        <f>Namwera!J178+Namwera!K178+Namwera!L178</f>
        <v>0</v>
      </c>
      <c r="G178" s="26">
        <f>Nkhudzi!J178+Nkhudzi!K178+Nkhudzi!L178</f>
        <v>0</v>
      </c>
      <c r="H178" s="18">
        <f t="shared" si="90"/>
        <v>0</v>
      </c>
    </row>
    <row r="179" spans="1:8" ht="15.6" x14ac:dyDescent="0.3">
      <c r="A179" s="759"/>
      <c r="B179" s="19" t="s">
        <v>68</v>
      </c>
      <c r="C179" s="11" t="s">
        <v>57</v>
      </c>
      <c r="D179" s="26">
        <f>Mangochi!J179+Mangochi!K179+Mangochi!L179</f>
        <v>0</v>
      </c>
      <c r="E179" s="26">
        <f>'Monkey Bay'!J179+'Monkey Bay'!K179+'Monkey Bay'!L179</f>
        <v>0</v>
      </c>
      <c r="F179" s="26">
        <f>Namwera!J179+Namwera!K179+Namwera!L179</f>
        <v>0</v>
      </c>
      <c r="G179" s="26">
        <f>Nkhudzi!J179+Nkhudzi!K179+Nkhudzi!L179</f>
        <v>0</v>
      </c>
      <c r="H179" s="18">
        <f t="shared" si="90"/>
        <v>0</v>
      </c>
    </row>
    <row r="180" spans="1:8" ht="15.6" x14ac:dyDescent="0.3">
      <c r="A180" s="759"/>
      <c r="B180" s="19" t="s">
        <v>67</v>
      </c>
      <c r="C180" s="11" t="s">
        <v>57</v>
      </c>
      <c r="D180" s="26">
        <f>Mangochi!J180+Mangochi!K180+Mangochi!L180</f>
        <v>0</v>
      </c>
      <c r="E180" s="26">
        <f>'Monkey Bay'!J180+'Monkey Bay'!K180+'Monkey Bay'!L180</f>
        <v>0</v>
      </c>
      <c r="F180" s="26">
        <f>Namwera!J180+Namwera!K180+Namwera!L180</f>
        <v>0</v>
      </c>
      <c r="G180" s="26">
        <f>Nkhudzi!J180+Nkhudzi!K180+Nkhudzi!L180</f>
        <v>0</v>
      </c>
      <c r="H180" s="18">
        <f t="shared" si="90"/>
        <v>0</v>
      </c>
    </row>
    <row r="181" spans="1:8" ht="15.6" x14ac:dyDescent="0.3">
      <c r="A181" s="759"/>
      <c r="B181" s="19" t="s">
        <v>66</v>
      </c>
      <c r="C181" s="11" t="s">
        <v>57</v>
      </c>
      <c r="D181" s="26">
        <f>Mangochi!J181+Mangochi!K181+Mangochi!L181</f>
        <v>0</v>
      </c>
      <c r="E181" s="26">
        <f>'Monkey Bay'!J181+'Monkey Bay'!K181+'Monkey Bay'!L181</f>
        <v>0</v>
      </c>
      <c r="F181" s="26">
        <f>Namwera!J181+Namwera!K181+Namwera!L181</f>
        <v>0</v>
      </c>
      <c r="G181" s="26">
        <f>Nkhudzi!J181+Nkhudzi!K181+Nkhudzi!L181</f>
        <v>0</v>
      </c>
      <c r="H181" s="18">
        <f t="shared" si="90"/>
        <v>0</v>
      </c>
    </row>
    <row r="182" spans="1:8" ht="15.6" x14ac:dyDescent="0.3">
      <c r="A182" s="760"/>
      <c r="B182" s="19" t="s">
        <v>65</v>
      </c>
      <c r="C182" s="11" t="s">
        <v>57</v>
      </c>
      <c r="D182" s="26">
        <f>Mangochi!J182+Mangochi!K182+Mangochi!L182</f>
        <v>0</v>
      </c>
      <c r="E182" s="26">
        <f>'Monkey Bay'!J182+'Monkey Bay'!K182+'Monkey Bay'!L182</f>
        <v>0</v>
      </c>
      <c r="F182" s="26">
        <f>Namwera!J182+Namwera!K182+Namwera!L182</f>
        <v>0</v>
      </c>
      <c r="G182" s="26">
        <f>Nkhudzi!J182+Nkhudzi!K182+Nkhudzi!L182</f>
        <v>0</v>
      </c>
      <c r="H182" s="18">
        <f t="shared" si="90"/>
        <v>0</v>
      </c>
    </row>
    <row r="183" spans="1:8" ht="15.6" x14ac:dyDescent="0.3">
      <c r="A183" s="758" t="s">
        <v>209</v>
      </c>
      <c r="B183" s="21" t="s">
        <v>63</v>
      </c>
      <c r="C183" s="11"/>
      <c r="D183" s="4"/>
      <c r="E183" s="4"/>
      <c r="F183" s="4"/>
      <c r="G183" s="4">
        <f>Nkhudzi!J183+Nkhudzi!K183+Nkhudzi!L183</f>
        <v>0</v>
      </c>
      <c r="H183" s="18"/>
    </row>
    <row r="184" spans="1:8" ht="15.6" x14ac:dyDescent="0.3">
      <c r="A184" s="759"/>
      <c r="B184" s="19" t="s">
        <v>73</v>
      </c>
      <c r="C184" s="11"/>
      <c r="D184" s="26">
        <f>Mangochi!J184+Mangochi!K184+Mangochi!L184</f>
        <v>0</v>
      </c>
      <c r="E184" s="26">
        <f>Mangochi!K184+Mangochi!L184+Mangochi!M184</f>
        <v>0</v>
      </c>
      <c r="F184" s="26">
        <f>Mangochi!L184+Mangochi!M184+Mangochi!N184</f>
        <v>0</v>
      </c>
      <c r="G184" s="26">
        <f>Nkhudzi!J184+Nkhudzi!K184+Nkhudzi!L184</f>
        <v>0</v>
      </c>
      <c r="H184" s="18">
        <f>SUM(D184:F184)</f>
        <v>0</v>
      </c>
    </row>
    <row r="185" spans="1:8" ht="15.6" x14ac:dyDescent="0.3">
      <c r="A185" s="759"/>
      <c r="B185" s="19" t="s">
        <v>72</v>
      </c>
      <c r="C185" s="11"/>
      <c r="D185" s="26">
        <f>Mangochi!J185+Mangochi!K185+Mangochi!L185</f>
        <v>0</v>
      </c>
      <c r="E185" s="26">
        <f>Mangochi!K185+Mangochi!L185+Mangochi!M185</f>
        <v>0</v>
      </c>
      <c r="F185" s="26">
        <f>Mangochi!L185+Mangochi!M185+Mangochi!N185</f>
        <v>0</v>
      </c>
      <c r="G185" s="26">
        <f>Nkhudzi!J185+Nkhudzi!K185+Nkhudzi!L185</f>
        <v>0</v>
      </c>
      <c r="H185" s="18">
        <f>SUM(D185:F185)</f>
        <v>0</v>
      </c>
    </row>
    <row r="186" spans="1:8" ht="15.6" x14ac:dyDescent="0.3">
      <c r="A186" s="759"/>
      <c r="B186" s="19" t="s">
        <v>53</v>
      </c>
      <c r="C186" s="11"/>
      <c r="D186" s="26">
        <f>Mangochi!J186+Mangochi!K186+Mangochi!L186</f>
        <v>0</v>
      </c>
      <c r="E186" s="26">
        <f>Mangochi!K186+Mangochi!L186+Mangochi!M186</f>
        <v>0</v>
      </c>
      <c r="F186" s="26">
        <f>Mangochi!L186+Mangochi!M186+Mangochi!N186</f>
        <v>0</v>
      </c>
      <c r="G186" s="26">
        <f>Nkhudzi!J186+Nkhudzi!K186+Nkhudzi!L186</f>
        <v>0</v>
      </c>
      <c r="H186" s="18">
        <f>SUM(D186:F186)</f>
        <v>0</v>
      </c>
    </row>
    <row r="187" spans="1:8" ht="15.6" x14ac:dyDescent="0.3">
      <c r="A187" s="760"/>
      <c r="B187" s="19" t="s">
        <v>52</v>
      </c>
      <c r="C187" s="11"/>
      <c r="D187" s="26">
        <f>Mangochi!J187+Mangochi!K187+Mangochi!L187</f>
        <v>0</v>
      </c>
      <c r="E187" s="26">
        <f>Mangochi!K187+Mangochi!L187+Mangochi!M187</f>
        <v>0</v>
      </c>
      <c r="F187" s="26">
        <f>Mangochi!L187+Mangochi!M187+Mangochi!N187</f>
        <v>0</v>
      </c>
      <c r="G187" s="26">
        <f>Nkhudzi!J187+Nkhudzi!K187+Nkhudzi!L187</f>
        <v>0</v>
      </c>
      <c r="H187" s="18">
        <f>SUM(D187:F187)</f>
        <v>0</v>
      </c>
    </row>
    <row r="188" spans="1:8" ht="15.6" x14ac:dyDescent="0.3">
      <c r="A188" s="758" t="s">
        <v>64</v>
      </c>
      <c r="B188" s="21" t="s">
        <v>63</v>
      </c>
      <c r="C188" s="11"/>
      <c r="D188" s="4"/>
      <c r="E188" s="4"/>
      <c r="F188" s="4"/>
      <c r="G188" s="4">
        <f>Nkhudzi!J188+Nkhudzi!K188+Nkhudzi!L188</f>
        <v>0</v>
      </c>
      <c r="H188" s="18"/>
    </row>
    <row r="189" spans="1:8" ht="15.6" x14ac:dyDescent="0.3">
      <c r="A189" s="759"/>
      <c r="B189" s="20" t="s">
        <v>52</v>
      </c>
      <c r="C189" s="11" t="s">
        <v>57</v>
      </c>
      <c r="D189" s="26">
        <f>Mangochi!J189+Mangochi!K189+Mangochi!L189</f>
        <v>0</v>
      </c>
      <c r="E189" s="26">
        <f>'Monkey Bay'!J189+'Monkey Bay'!K189+'Monkey Bay'!L189</f>
        <v>0</v>
      </c>
      <c r="F189" s="26">
        <f>Namwera!J189+Namwera!K189+Namwera!L189</f>
        <v>0</v>
      </c>
      <c r="G189" s="26">
        <f>Nkhudzi!J189+Nkhudzi!K189+Nkhudzi!L189</f>
        <v>0</v>
      </c>
      <c r="H189" s="18">
        <f>SUM(D189:F189)</f>
        <v>0</v>
      </c>
    </row>
    <row r="190" spans="1:8" ht="15.6" x14ac:dyDescent="0.3">
      <c r="A190" s="759"/>
      <c r="B190" s="19" t="s">
        <v>62</v>
      </c>
      <c r="C190" s="11" t="s">
        <v>57</v>
      </c>
      <c r="D190" s="26">
        <f>Mangochi!J190+Mangochi!K190+Mangochi!L190</f>
        <v>0</v>
      </c>
      <c r="E190" s="26">
        <f>'Monkey Bay'!J190+'Monkey Bay'!K190+'Monkey Bay'!L190</f>
        <v>0</v>
      </c>
      <c r="F190" s="26">
        <f>Namwera!J190+Namwera!K190+Namwera!L190</f>
        <v>0</v>
      </c>
      <c r="G190" s="26">
        <f>Nkhudzi!J190+Nkhudzi!K190+Nkhudzi!L190</f>
        <v>0</v>
      </c>
      <c r="H190" s="18">
        <f>SUM(D190:F190)</f>
        <v>0</v>
      </c>
    </row>
    <row r="191" spans="1:8" ht="15.6" x14ac:dyDescent="0.3">
      <c r="A191" s="759"/>
      <c r="B191" s="19" t="s">
        <v>61</v>
      </c>
      <c r="C191" s="11" t="s">
        <v>57</v>
      </c>
      <c r="D191" s="26">
        <f>Mangochi!J191+Mangochi!K191+Mangochi!L191</f>
        <v>1</v>
      </c>
      <c r="E191" s="26">
        <f>'Monkey Bay'!J191+'Monkey Bay'!K191+'Monkey Bay'!L191</f>
        <v>0</v>
      </c>
      <c r="F191" s="26">
        <f>Namwera!J191+Namwera!K191+Namwera!L191</f>
        <v>0</v>
      </c>
      <c r="G191" s="26">
        <f>Nkhudzi!J191+Nkhudzi!K191+Nkhudzi!L191</f>
        <v>0</v>
      </c>
      <c r="H191" s="18">
        <f>SUM(D191:F191)</f>
        <v>1</v>
      </c>
    </row>
    <row r="192" spans="1:8" ht="15.6" x14ac:dyDescent="0.3">
      <c r="A192" s="760"/>
      <c r="B192" s="19" t="s">
        <v>60</v>
      </c>
      <c r="C192" s="11" t="s">
        <v>57</v>
      </c>
      <c r="D192" s="26">
        <f>Mangochi!J192+Mangochi!K192+Mangochi!L192</f>
        <v>1</v>
      </c>
      <c r="E192" s="26">
        <f>'Monkey Bay'!J192+'Monkey Bay'!K192+'Monkey Bay'!L192</f>
        <v>0</v>
      </c>
      <c r="F192" s="26">
        <f>Namwera!J192+Namwera!K192+Namwera!L192</f>
        <v>0</v>
      </c>
      <c r="G192" s="26">
        <f>Nkhudzi!J192+Nkhudzi!K192+Nkhudzi!L192</f>
        <v>0</v>
      </c>
      <c r="H192" s="18">
        <f>SUM(D192:F192)</f>
        <v>1</v>
      </c>
    </row>
    <row r="193" spans="1:8" ht="15.6" x14ac:dyDescent="0.3">
      <c r="A193" s="791" t="s">
        <v>59</v>
      </c>
      <c r="B193" s="792"/>
      <c r="C193" s="11"/>
      <c r="D193" s="10">
        <f>SUM(D153:D192)</f>
        <v>385</v>
      </c>
      <c r="E193" s="10">
        <f t="shared" ref="E193:F193" si="91">SUM(E153:E192)</f>
        <v>155</v>
      </c>
      <c r="F193" s="10">
        <f t="shared" si="91"/>
        <v>106</v>
      </c>
      <c r="G193" s="10">
        <f t="shared" ref="G193:H193" si="92">SUM(G153:G192)</f>
        <v>45</v>
      </c>
      <c r="H193" s="103">
        <f t="shared" si="92"/>
        <v>646</v>
      </c>
    </row>
    <row r="194" spans="1:8" ht="15.6" x14ac:dyDescent="0.3">
      <c r="A194" s="764" t="s">
        <v>58</v>
      </c>
      <c r="B194" s="765"/>
      <c r="C194" s="11" t="s">
        <v>57</v>
      </c>
      <c r="D194" s="26">
        <f>Mangochi!J194+Mangochi!K194+Mangochi!L194</f>
        <v>8</v>
      </c>
      <c r="E194" s="26">
        <f>'Monkey Bay'!J194+'Monkey Bay'!K194+'Monkey Bay'!L194</f>
        <v>6</v>
      </c>
      <c r="F194" s="26">
        <f>Namwera!J194+Namwera!K194+Namwera!L194</f>
        <v>7</v>
      </c>
      <c r="G194" s="26">
        <f>Nkhudzi!J194+Nkhudzi!K194+Nkhudzi!L194</f>
        <v>10</v>
      </c>
      <c r="H194" s="9">
        <f>SUM(D194:F194)</f>
        <v>21</v>
      </c>
    </row>
    <row r="195" spans="1:8" ht="15.6" x14ac:dyDescent="0.3">
      <c r="A195" s="766"/>
      <c r="B195" s="767"/>
      <c r="C195" s="16" t="s">
        <v>55</v>
      </c>
      <c r="D195" s="26">
        <f>Mangochi!J195+Mangochi!K195+Mangochi!L195</f>
        <v>0</v>
      </c>
      <c r="E195" s="26">
        <f>'Monkey Bay'!J195+'Monkey Bay'!K195+'Monkey Bay'!L195</f>
        <v>0</v>
      </c>
      <c r="F195" s="26">
        <f>Namwera!J195+Namwera!K195+Namwera!L195</f>
        <v>0</v>
      </c>
      <c r="G195" s="26">
        <f>Nkhudzi!J195+Nkhudzi!K195+Nkhudzi!L195</f>
        <v>175.91</v>
      </c>
      <c r="H195" s="9">
        <f>SUM(D195:F195)</f>
        <v>0</v>
      </c>
    </row>
    <row r="196" spans="1:8" ht="15.6" x14ac:dyDescent="0.3">
      <c r="A196" s="85" t="s">
        <v>202</v>
      </c>
      <c r="B196" s="86"/>
      <c r="C196" s="16" t="s">
        <v>55</v>
      </c>
      <c r="D196" s="26">
        <f>Mangochi!J196+Mangochi!K196+Mangochi!L196</f>
        <v>1752.75</v>
      </c>
      <c r="E196" s="26">
        <f>'Monkey Bay'!J196+'Monkey Bay'!K196+'Monkey Bay'!L196</f>
        <v>1663</v>
      </c>
      <c r="F196" s="26">
        <f>Namwera!J196+Namwera!K196+Namwera!L196</f>
        <v>1536</v>
      </c>
      <c r="G196" s="26">
        <f>Nkhudzi!J196+Nkhudzi!K196+Nkhudzi!L196</f>
        <v>744</v>
      </c>
      <c r="H196" s="9">
        <f>SUM(D196:F196)</f>
        <v>4951.75</v>
      </c>
    </row>
    <row r="197" spans="1:8" ht="15.6" x14ac:dyDescent="0.3">
      <c r="A197" s="695" t="s">
        <v>56</v>
      </c>
      <c r="B197" s="696"/>
      <c r="C197" s="16" t="s">
        <v>55</v>
      </c>
      <c r="D197" s="26">
        <f>Mangochi!J197+Mangochi!K197+Mangochi!L197</f>
        <v>218</v>
      </c>
      <c r="E197" s="26">
        <f>'Monkey Bay'!J197+'Monkey Bay'!K197+'Monkey Bay'!L197</f>
        <v>445</v>
      </c>
      <c r="F197" s="26">
        <f>Namwera!J197+Namwera!K197+Namwera!L197</f>
        <v>624</v>
      </c>
      <c r="G197" s="26">
        <f>Nkhudzi!J197+Nkhudzi!K197+Nkhudzi!L197</f>
        <v>0</v>
      </c>
      <c r="H197" s="9">
        <f>SUM(D197:F197)</f>
        <v>1287</v>
      </c>
    </row>
    <row r="198" spans="1:8" x14ac:dyDescent="0.3">
      <c r="A198" s="699" t="s">
        <v>203</v>
      </c>
      <c r="B198" s="700"/>
      <c r="C198" s="700"/>
      <c r="D198" s="700"/>
      <c r="E198" s="700"/>
      <c r="F198" s="700"/>
      <c r="G198" s="700"/>
      <c r="H198" s="701"/>
    </row>
    <row r="199" spans="1:8" ht="15.6" x14ac:dyDescent="0.3">
      <c r="A199" s="764" t="s">
        <v>54</v>
      </c>
      <c r="B199" s="79" t="s">
        <v>53</v>
      </c>
      <c r="C199" s="11" t="s">
        <v>47</v>
      </c>
      <c r="D199" s="26">
        <f>Mangochi!J199+Mangochi!K199+Mangochi!L199</f>
        <v>0</v>
      </c>
      <c r="E199" s="26">
        <f>'Monkey Bay'!J199+'Monkey Bay'!K199+'Monkey Bay'!L199</f>
        <v>0</v>
      </c>
      <c r="F199" s="26">
        <f>Namwera!J199+Namwera!K199+Namwera!L199</f>
        <v>0</v>
      </c>
      <c r="G199" s="26">
        <f>Nkhudzi!J199+Nkhudzi!K199+Nkhudzi!L199</f>
        <v>600</v>
      </c>
      <c r="H199" s="9">
        <f t="shared" ref="H199:H204" si="93">SUM(D199:F199)</f>
        <v>0</v>
      </c>
    </row>
    <row r="200" spans="1:8" ht="15.6" x14ac:dyDescent="0.3">
      <c r="A200" s="768"/>
      <c r="B200" s="79" t="s">
        <v>52</v>
      </c>
      <c r="C200" s="11" t="s">
        <v>47</v>
      </c>
      <c r="D200" s="26">
        <f>Mangochi!J200+Mangochi!K200+Mangochi!L200</f>
        <v>0</v>
      </c>
      <c r="E200" s="26">
        <f>'Monkey Bay'!J200+'Monkey Bay'!K200+'Monkey Bay'!L200</f>
        <v>330</v>
      </c>
      <c r="F200" s="26">
        <f>Namwera!J200+Namwera!K200+Namwera!L200</f>
        <v>0</v>
      </c>
      <c r="G200" s="26">
        <f>Nkhudzi!J200+Nkhudzi!K200+Nkhudzi!L200</f>
        <v>180</v>
      </c>
      <c r="H200" s="9">
        <f t="shared" si="93"/>
        <v>330</v>
      </c>
    </row>
    <row r="201" spans="1:8" ht="15.6" x14ac:dyDescent="0.3">
      <c r="A201" s="768"/>
      <c r="B201" s="79" t="s">
        <v>51</v>
      </c>
      <c r="C201" s="11" t="s">
        <v>47</v>
      </c>
      <c r="D201" s="26">
        <f>Mangochi!J201+Mangochi!K201+Mangochi!L201</f>
        <v>0</v>
      </c>
      <c r="E201" s="26">
        <f>'Monkey Bay'!J201+'Monkey Bay'!K201+'Monkey Bay'!L201</f>
        <v>0</v>
      </c>
      <c r="F201" s="26">
        <f>Namwera!J201+Namwera!K201+Namwera!L201</f>
        <v>0</v>
      </c>
      <c r="G201" s="26">
        <f>Nkhudzi!J201+Nkhudzi!K201+Nkhudzi!L201</f>
        <v>0</v>
      </c>
      <c r="H201" s="9">
        <f t="shared" si="93"/>
        <v>0</v>
      </c>
    </row>
    <row r="202" spans="1:8" ht="15.6" x14ac:dyDescent="0.3">
      <c r="A202" s="768"/>
      <c r="B202" s="79" t="s">
        <v>50</v>
      </c>
      <c r="C202" s="11" t="s">
        <v>47</v>
      </c>
      <c r="D202" s="26">
        <f>Mangochi!J202+Mangochi!K202+Mangochi!L202</f>
        <v>0</v>
      </c>
      <c r="E202" s="26">
        <f>'Monkey Bay'!J202+'Monkey Bay'!K202+'Monkey Bay'!L202</f>
        <v>0</v>
      </c>
      <c r="F202" s="26">
        <f>Namwera!J202+Namwera!K202+Namwera!L202</f>
        <v>0</v>
      </c>
      <c r="G202" s="26">
        <f>Nkhudzi!J202+Nkhudzi!K202+Nkhudzi!L202</f>
        <v>0</v>
      </c>
      <c r="H202" s="9">
        <f t="shared" si="93"/>
        <v>0</v>
      </c>
    </row>
    <row r="203" spans="1:8" ht="15.6" x14ac:dyDescent="0.3">
      <c r="A203" s="766"/>
      <c r="B203" s="79" t="s">
        <v>49</v>
      </c>
      <c r="C203" s="11" t="s">
        <v>47</v>
      </c>
      <c r="D203" s="26">
        <f>Mangochi!J203+Mangochi!K203+Mangochi!L203</f>
        <v>0</v>
      </c>
      <c r="E203" s="26">
        <f>'Monkey Bay'!J203+'Monkey Bay'!K203+'Monkey Bay'!L203</f>
        <v>0</v>
      </c>
      <c r="F203" s="26">
        <f>Namwera!J203+Namwera!K203+Namwera!L203</f>
        <v>0</v>
      </c>
      <c r="G203" s="26">
        <f>Nkhudzi!J203+Nkhudzi!K203+Nkhudzi!L203</f>
        <v>0</v>
      </c>
      <c r="H203" s="9">
        <f t="shared" si="93"/>
        <v>0</v>
      </c>
    </row>
    <row r="204" spans="1:8" ht="15.6" x14ac:dyDescent="0.3">
      <c r="A204" s="83" t="s">
        <v>48</v>
      </c>
      <c r="B204" s="79"/>
      <c r="C204" s="11" t="s">
        <v>47</v>
      </c>
      <c r="D204" s="15">
        <f t="shared" ref="D204:F204" si="94">SUM(D199:D203)</f>
        <v>0</v>
      </c>
      <c r="E204" s="15">
        <f t="shared" si="94"/>
        <v>330</v>
      </c>
      <c r="F204" s="15">
        <f t="shared" si="94"/>
        <v>0</v>
      </c>
      <c r="G204" s="15">
        <f t="shared" ref="G204" si="95">SUM(G199:G203)</f>
        <v>780</v>
      </c>
      <c r="H204" s="111">
        <f t="shared" si="93"/>
        <v>330</v>
      </c>
    </row>
    <row r="205" spans="1:8" s="2" customFormat="1" x14ac:dyDescent="0.3">
      <c r="A205" s="699" t="s">
        <v>46</v>
      </c>
      <c r="B205" s="700"/>
      <c r="C205" s="700"/>
      <c r="D205" s="700"/>
      <c r="E205" s="700"/>
      <c r="F205" s="700"/>
      <c r="G205" s="700"/>
      <c r="H205" s="701"/>
    </row>
    <row r="206" spans="1:8" ht="15.6" x14ac:dyDescent="0.3">
      <c r="A206" s="695" t="s">
        <v>43</v>
      </c>
      <c r="B206" s="696"/>
      <c r="C206" s="11" t="s">
        <v>31</v>
      </c>
      <c r="D206" s="15">
        <f>Mangochi!J206+Mangochi!K206+Mangochi!L206</f>
        <v>128269164</v>
      </c>
      <c r="E206" s="15">
        <f>'Monkey Bay'!J206+'Monkey Bay'!K206+'Monkey Bay'!L206</f>
        <v>89680508.019999996</v>
      </c>
      <c r="F206" s="15">
        <f>Namwera!J206+Namwera!K206+Namwera!L206</f>
        <v>3009040</v>
      </c>
      <c r="G206" s="15">
        <f>Nkhudzi!J206+Nkhudzi!K206+Nkhudzi!L206</f>
        <v>0</v>
      </c>
      <c r="H206" s="9">
        <f>SUM(D206:F206)</f>
        <v>220958712.01999998</v>
      </c>
    </row>
    <row r="207" spans="1:8" ht="15.6" x14ac:dyDescent="0.3">
      <c r="A207" s="695" t="s">
        <v>42</v>
      </c>
      <c r="B207" s="696"/>
      <c r="C207" s="11" t="s">
        <v>31</v>
      </c>
      <c r="D207" s="15">
        <f>Mangochi!J207+Mangochi!K207+Mangochi!L207</f>
        <v>0</v>
      </c>
      <c r="E207" s="15">
        <f>'Monkey Bay'!J207+'Monkey Bay'!K207+'Monkey Bay'!L207</f>
        <v>0</v>
      </c>
      <c r="F207" s="15">
        <f>Namwera!J207+Namwera!K207+Namwera!L207</f>
        <v>0</v>
      </c>
      <c r="G207" s="15">
        <f>Nkhudzi!J207+Nkhudzi!K207+Nkhudzi!L207</f>
        <v>0</v>
      </c>
      <c r="H207" s="9">
        <f>SUM(D207:F207)</f>
        <v>0</v>
      </c>
    </row>
    <row r="208" spans="1:8" ht="15.6" x14ac:dyDescent="0.3">
      <c r="A208" s="702" t="s">
        <v>41</v>
      </c>
      <c r="B208" s="703"/>
      <c r="C208" s="11" t="s">
        <v>31</v>
      </c>
      <c r="D208" s="15">
        <f>Mangochi!J208+Mangochi!K208+Mangochi!L208</f>
        <v>595546</v>
      </c>
      <c r="E208" s="15">
        <f>'Monkey Bay'!J208+'Monkey Bay'!K208+'Monkey Bay'!L208</f>
        <v>369085</v>
      </c>
      <c r="F208" s="15">
        <f>Namwera!J208+Namwera!K208+Namwera!L208</f>
        <v>0</v>
      </c>
      <c r="G208" s="15">
        <f>Nkhudzi!J208+Nkhudzi!K208+Nkhudzi!L208</f>
        <v>0</v>
      </c>
      <c r="H208" s="9">
        <f>SUM(D208:F208)</f>
        <v>964631</v>
      </c>
    </row>
    <row r="209" spans="1:8" ht="15.6" x14ac:dyDescent="0.3">
      <c r="A209" s="695" t="s">
        <v>40</v>
      </c>
      <c r="B209" s="696"/>
      <c r="C209" s="11" t="s">
        <v>31</v>
      </c>
      <c r="D209" s="15">
        <f>Mangochi!J209+Mangochi!K209+Mangochi!L209</f>
        <v>0</v>
      </c>
      <c r="E209" s="15">
        <f>'Monkey Bay'!J209+'Monkey Bay'!K209+'Monkey Bay'!L209</f>
        <v>12236003.92</v>
      </c>
      <c r="F209" s="15">
        <f>Namwera!J209+Namwera!K209+Namwera!L209</f>
        <v>0</v>
      </c>
      <c r="G209" s="15">
        <f>Nkhudzi!J209+Nkhudzi!K209+Nkhudzi!L209</f>
        <v>0</v>
      </c>
      <c r="H209" s="9">
        <f>SUM(D209:F209)</f>
        <v>12236003.92</v>
      </c>
    </row>
    <row r="210" spans="1:8" ht="15.6" x14ac:dyDescent="0.3">
      <c r="A210" s="762" t="s">
        <v>45</v>
      </c>
      <c r="B210" s="763"/>
      <c r="C210" s="11" t="s">
        <v>31</v>
      </c>
      <c r="D210" s="10">
        <f t="shared" ref="D210:F210" si="96">SUM(D206:D209)</f>
        <v>128864710</v>
      </c>
      <c r="E210" s="10">
        <f t="shared" si="96"/>
        <v>102285596.94</v>
      </c>
      <c r="F210" s="10">
        <f t="shared" si="96"/>
        <v>3009040</v>
      </c>
      <c r="G210" s="10">
        <f t="shared" ref="G210" si="97">SUM(G206:G209)</f>
        <v>0</v>
      </c>
      <c r="H210" s="9">
        <f>SUM(D210:F210)</f>
        <v>234159346.94</v>
      </c>
    </row>
    <row r="211" spans="1:8" s="2" customFormat="1" x14ac:dyDescent="0.3">
      <c r="A211" s="699" t="s">
        <v>44</v>
      </c>
      <c r="B211" s="700"/>
      <c r="C211" s="700"/>
      <c r="D211" s="700"/>
      <c r="E211" s="700"/>
      <c r="F211" s="700"/>
      <c r="G211" s="700"/>
      <c r="H211" s="701"/>
    </row>
    <row r="212" spans="1:8" ht="15.6" x14ac:dyDescent="0.3">
      <c r="A212" s="695" t="s">
        <v>43</v>
      </c>
      <c r="B212" s="696"/>
      <c r="C212" s="11" t="s">
        <v>31</v>
      </c>
      <c r="D212" s="15">
        <f>Mangochi!J212+Mangochi!K212+Mangochi!L212</f>
        <v>84864523.479999989</v>
      </c>
      <c r="E212" s="15">
        <f>'Monkey Bay'!J212+'Monkey Bay'!K212+'Monkey Bay'!L212</f>
        <v>63102919.180000007</v>
      </c>
      <c r="F212" s="15">
        <f>Namwera!J212+Namwera!K212+Namwera!L212</f>
        <v>4778223.5199999996</v>
      </c>
      <c r="G212" s="15">
        <f>Nkhudzi!J212+Nkhudzi!K212+Nkhudzi!L212</f>
        <v>12990376.669999998</v>
      </c>
      <c r="H212" s="9">
        <f>SUM(D212:F212)</f>
        <v>152745666.18000001</v>
      </c>
    </row>
    <row r="213" spans="1:8" ht="15.6" x14ac:dyDescent="0.3">
      <c r="A213" s="695" t="s">
        <v>42</v>
      </c>
      <c r="B213" s="696"/>
      <c r="C213" s="11" t="s">
        <v>31</v>
      </c>
      <c r="D213" s="15">
        <f>Mangochi!J213+Mangochi!K213+Mangochi!L213</f>
        <v>0</v>
      </c>
      <c r="E213" s="15">
        <f>'Monkey Bay'!J213+'Monkey Bay'!K213+'Monkey Bay'!L213</f>
        <v>0</v>
      </c>
      <c r="F213" s="15">
        <f>Namwera!J213+Namwera!K213+Namwera!L213</f>
        <v>0</v>
      </c>
      <c r="G213" s="15">
        <f>Nkhudzi!J213+Nkhudzi!K213+Nkhudzi!L213</f>
        <v>0</v>
      </c>
      <c r="H213" s="9">
        <f>SUM(D213:F213)</f>
        <v>0</v>
      </c>
    </row>
    <row r="214" spans="1:8" ht="15.6" x14ac:dyDescent="0.3">
      <c r="A214" s="702" t="s">
        <v>41</v>
      </c>
      <c r="B214" s="703"/>
      <c r="C214" s="11" t="s">
        <v>31</v>
      </c>
      <c r="D214" s="15">
        <f>Mangochi!J214+Mangochi!K214+Mangochi!L214</f>
        <v>0</v>
      </c>
      <c r="E214" s="15">
        <f>'Monkey Bay'!J214+'Monkey Bay'!K214+'Monkey Bay'!L214</f>
        <v>0</v>
      </c>
      <c r="F214" s="15">
        <f>Namwera!J214+Namwera!K214+Namwera!L214</f>
        <v>0</v>
      </c>
      <c r="G214" s="15">
        <f>Nkhudzi!J214+Nkhudzi!K214+Nkhudzi!L214</f>
        <v>0</v>
      </c>
      <c r="H214" s="9">
        <f>SUM(D214:F214)</f>
        <v>0</v>
      </c>
    </row>
    <row r="215" spans="1:8" ht="15.6" x14ac:dyDescent="0.3">
      <c r="A215" s="695" t="s">
        <v>40</v>
      </c>
      <c r="B215" s="696"/>
      <c r="C215" s="11" t="s">
        <v>31</v>
      </c>
      <c r="D215" s="15">
        <f>Mangochi!J215+Mangochi!K215+Mangochi!L215</f>
        <v>0</v>
      </c>
      <c r="E215" s="15">
        <f>'Monkey Bay'!J215+'Monkey Bay'!K215+'Monkey Bay'!L215</f>
        <v>0</v>
      </c>
      <c r="F215" s="15">
        <f>Namwera!J215+Namwera!K215+Namwera!L215</f>
        <v>0</v>
      </c>
      <c r="G215" s="15">
        <f>Nkhudzi!J215+Nkhudzi!K215+Nkhudzi!L215</f>
        <v>0</v>
      </c>
      <c r="H215" s="9">
        <f>SUM(D215:F215)</f>
        <v>0</v>
      </c>
    </row>
    <row r="216" spans="1:8" ht="15.6" x14ac:dyDescent="0.3">
      <c r="A216" s="762" t="s">
        <v>39</v>
      </c>
      <c r="B216" s="763"/>
      <c r="C216" s="11" t="s">
        <v>31</v>
      </c>
      <c r="D216" s="10">
        <f t="shared" ref="D216:F216" si="98">SUM(D212:D215)</f>
        <v>84864523.479999989</v>
      </c>
      <c r="E216" s="10">
        <f t="shared" si="98"/>
        <v>63102919.180000007</v>
      </c>
      <c r="F216" s="10">
        <f t="shared" si="98"/>
        <v>4778223.5199999996</v>
      </c>
      <c r="G216" s="10">
        <f t="shared" ref="G216" si="99">SUM(G212:G215)</f>
        <v>12990376.669999998</v>
      </c>
      <c r="H216" s="9">
        <f>SUM(D216:F216)</f>
        <v>152745666.18000001</v>
      </c>
    </row>
    <row r="217" spans="1:8" s="2" customFormat="1" ht="15.6" x14ac:dyDescent="0.3">
      <c r="A217" s="76" t="s">
        <v>38</v>
      </c>
      <c r="B217" s="77"/>
      <c r="C217" s="11" t="s">
        <v>31</v>
      </c>
      <c r="D217" s="10">
        <f>D210+D216</f>
        <v>213729233.47999999</v>
      </c>
      <c r="E217" s="10">
        <f t="shared" ref="E217:F217" si="100">E210+E216</f>
        <v>165388516.12</v>
      </c>
      <c r="F217" s="10">
        <f t="shared" si="100"/>
        <v>7787263.5199999996</v>
      </c>
      <c r="G217" s="10">
        <f t="shared" ref="G217:H217" si="101">G210+G216</f>
        <v>12990376.669999998</v>
      </c>
      <c r="H217" s="40">
        <f t="shared" si="101"/>
        <v>386905013.12</v>
      </c>
    </row>
    <row r="218" spans="1:8" s="2" customFormat="1" x14ac:dyDescent="0.3">
      <c r="A218" s="699" t="s">
        <v>37</v>
      </c>
      <c r="B218" s="700"/>
      <c r="C218" s="700"/>
      <c r="D218" s="700"/>
      <c r="E218" s="700"/>
      <c r="F218" s="700"/>
      <c r="G218" s="700"/>
      <c r="H218" s="701"/>
    </row>
    <row r="219" spans="1:8" ht="15.6" x14ac:dyDescent="0.3">
      <c r="A219" s="695" t="s">
        <v>35</v>
      </c>
      <c r="B219" s="696"/>
      <c r="C219" s="11" t="s">
        <v>31</v>
      </c>
      <c r="D219" s="15">
        <f>Mangochi!J219+Mangochi!K219+Mangochi!L219</f>
        <v>152853163</v>
      </c>
      <c r="E219" s="15">
        <f>'Monkey Bay'!J219+'Monkey Bay'!K219+'Monkey Bay'!L219</f>
        <v>60139820</v>
      </c>
      <c r="F219" s="15">
        <f>Namwera!J219+Namwera!K219+Namwera!L219</f>
        <v>4941157</v>
      </c>
      <c r="G219" s="15">
        <f>Nkhudzi!J219+Nkhudzi!K219+Nkhudzi!L219</f>
        <v>0</v>
      </c>
      <c r="H219" s="9">
        <f>SUM(D219:F219)</f>
        <v>217934140</v>
      </c>
    </row>
    <row r="220" spans="1:8" ht="15.6" x14ac:dyDescent="0.3">
      <c r="A220" s="695" t="s">
        <v>34</v>
      </c>
      <c r="B220" s="696"/>
      <c r="C220" s="11" t="s">
        <v>31</v>
      </c>
      <c r="D220" s="15">
        <f>Mangochi!J220+Mangochi!K220+Mangochi!L220</f>
        <v>0</v>
      </c>
      <c r="E220" s="15">
        <f>'Monkey Bay'!J220+'Monkey Bay'!K220+'Monkey Bay'!L220</f>
        <v>0</v>
      </c>
      <c r="F220" s="15">
        <f>Namwera!J220+Namwera!K221+Namwera!L220</f>
        <v>49804</v>
      </c>
      <c r="G220" s="15">
        <f>Nkhudzi!J220+Nkhudzi!K220+Nkhudzi!L220</f>
        <v>0</v>
      </c>
      <c r="H220" s="9">
        <f>SUM(D220:F220)</f>
        <v>49804</v>
      </c>
    </row>
    <row r="221" spans="1:8" ht="15.6" x14ac:dyDescent="0.3">
      <c r="A221" s="695" t="s">
        <v>33</v>
      </c>
      <c r="B221" s="696"/>
      <c r="C221" s="11" t="s">
        <v>31</v>
      </c>
      <c r="D221" s="15">
        <f>Mangochi!J221+Mangochi!K221+Mangochi!L221</f>
        <v>2480533</v>
      </c>
      <c r="E221" s="15">
        <f>'Monkey Bay'!J221+'Monkey Bay'!K221+'Monkey Bay'!L221</f>
        <v>179634433</v>
      </c>
      <c r="F221" s="15">
        <f>'Monkey Bay'!K221+'Monkey Bay'!L221+'Monkey Bay'!M221</f>
        <v>185730467</v>
      </c>
      <c r="G221" s="15">
        <f>Nkhudzi!J221+Nkhudzi!K221+Nkhudzi!L221</f>
        <v>0</v>
      </c>
      <c r="H221" s="9">
        <f>SUM(D221:F221)</f>
        <v>367845433</v>
      </c>
    </row>
    <row r="222" spans="1:8" ht="15.6" x14ac:dyDescent="0.3">
      <c r="A222" s="695" t="s">
        <v>32</v>
      </c>
      <c r="B222" s="696"/>
      <c r="C222" s="11" t="s">
        <v>31</v>
      </c>
      <c r="D222" s="15">
        <f>Mangochi!J222+Mangochi!K222+Mangochi!L222</f>
        <v>738743</v>
      </c>
      <c r="E222" s="15">
        <f>'Monkey Bay'!J222+'Monkey Bay'!K222+'Monkey Bay'!L222</f>
        <v>1136367</v>
      </c>
      <c r="F222" s="15">
        <f>Namwera!J222+Namwera!K222+Namwera!L222</f>
        <v>0</v>
      </c>
      <c r="G222" s="15">
        <f>Nkhudzi!J222+Nkhudzi!K222+Nkhudzi!L222</f>
        <v>0</v>
      </c>
      <c r="H222" s="9">
        <f>SUM(D222:F222)</f>
        <v>1875110</v>
      </c>
    </row>
    <row r="223" spans="1:8" ht="15.6" x14ac:dyDescent="0.3">
      <c r="A223" s="762" t="s">
        <v>36</v>
      </c>
      <c r="B223" s="763"/>
      <c r="C223" s="11" t="s">
        <v>31</v>
      </c>
      <c r="D223" s="12">
        <f t="shared" ref="D223:F223" si="102">SUM(D219:D222)</f>
        <v>156072439</v>
      </c>
      <c r="E223" s="10">
        <f t="shared" si="102"/>
        <v>240910620</v>
      </c>
      <c r="F223" s="10">
        <f t="shared" si="102"/>
        <v>190721428</v>
      </c>
      <c r="G223" s="10">
        <f t="shared" ref="G223" si="103">SUM(G219:G222)</f>
        <v>0</v>
      </c>
      <c r="H223" s="9">
        <f>SUM(D223:F223)</f>
        <v>587704487</v>
      </c>
    </row>
    <row r="224" spans="1:8" x14ac:dyDescent="0.3">
      <c r="A224" s="699" t="s">
        <v>211</v>
      </c>
      <c r="B224" s="700"/>
      <c r="C224" s="700"/>
      <c r="D224" s="700"/>
      <c r="E224" s="700"/>
      <c r="F224" s="700"/>
      <c r="G224" s="700"/>
      <c r="H224" s="701"/>
    </row>
    <row r="225" spans="1:8" ht="15.6" x14ac:dyDescent="0.3">
      <c r="A225" s="695" t="s">
        <v>35</v>
      </c>
      <c r="B225" s="696"/>
      <c r="C225" s="11" t="s">
        <v>31</v>
      </c>
      <c r="D225" s="15">
        <f>Mangochi!J225+Mangochi!K225+Mangochi!L225</f>
        <v>87060959.480000004</v>
      </c>
      <c r="E225" s="15">
        <f>'Monkey Bay'!J225+'Monkey Bay'!K225+'Monkey Bay'!L225</f>
        <v>62546358.640000001</v>
      </c>
      <c r="F225" s="15">
        <f>Namwera!J225+Namwera!K225+Namwera!L225</f>
        <v>4480222.4399999995</v>
      </c>
      <c r="G225" s="15">
        <f>Nkhudzi!J225+Nkhudzi!K225+Nkhudzi!L225</f>
        <v>12990376.669999998</v>
      </c>
      <c r="H225" s="9">
        <f t="shared" ref="H225:H230" si="104">SUM(D225:F225)</f>
        <v>154087540.56</v>
      </c>
    </row>
    <row r="226" spans="1:8" ht="15.6" x14ac:dyDescent="0.3">
      <c r="A226" s="695" t="s">
        <v>34</v>
      </c>
      <c r="B226" s="696"/>
      <c r="C226" s="11" t="s">
        <v>31</v>
      </c>
      <c r="D226" s="15">
        <f>Mangochi!J226+Mangochi!K226+Mangochi!L226</f>
        <v>0</v>
      </c>
      <c r="E226" s="15">
        <f>'Monkey Bay'!J226+'Monkey Bay'!K226+'Monkey Bay'!L226</f>
        <v>0</v>
      </c>
      <c r="F226" s="15">
        <f>Namwera!J226+Namwera!K226+Namwera!L226</f>
        <v>0</v>
      </c>
      <c r="G226" s="15">
        <f>Nkhudzi!J226+Nkhudzi!K226+Nkhudzi!L226</f>
        <v>0</v>
      </c>
      <c r="H226" s="9">
        <f t="shared" si="104"/>
        <v>0</v>
      </c>
    </row>
    <row r="227" spans="1:8" ht="15.6" x14ac:dyDescent="0.3">
      <c r="A227" s="695" t="s">
        <v>33</v>
      </c>
      <c r="B227" s="696"/>
      <c r="C227" s="11" t="s">
        <v>31</v>
      </c>
      <c r="D227" s="15">
        <f>Mangochi!J227+Mangochi!K227+Mangochi!L227</f>
        <v>0</v>
      </c>
      <c r="E227" s="15">
        <f>'Monkey Bay'!J227+'Monkey Bay'!K227+'Monkey Bay'!L227</f>
        <v>0</v>
      </c>
      <c r="F227" s="15">
        <f>Namwera!J227+Namwera!K227+Namwera!L227</f>
        <v>0</v>
      </c>
      <c r="G227" s="15">
        <f>Nkhudzi!J227+Nkhudzi!K227+Nkhudzi!L227</f>
        <v>0</v>
      </c>
      <c r="H227" s="9">
        <f t="shared" si="104"/>
        <v>0</v>
      </c>
    </row>
    <row r="228" spans="1:8" ht="15.6" x14ac:dyDescent="0.3">
      <c r="A228" s="695" t="s">
        <v>32</v>
      </c>
      <c r="B228" s="696"/>
      <c r="C228" s="11" t="s">
        <v>31</v>
      </c>
      <c r="D228" s="15">
        <f>Mangochi!J228+Mangochi!K228+Mangochi!L228</f>
        <v>0</v>
      </c>
      <c r="E228" s="15">
        <f>'Monkey Bay'!J228+'Monkey Bay'!K228+'Monkey Bay'!L228</f>
        <v>0</v>
      </c>
      <c r="F228" s="15">
        <f>Namwera!J228+Namwera!K228+Namwera!L228</f>
        <v>0</v>
      </c>
      <c r="G228" s="15">
        <f>Nkhudzi!J228+Nkhudzi!K228+Nkhudzi!L228</f>
        <v>0</v>
      </c>
      <c r="H228" s="9">
        <f t="shared" si="104"/>
        <v>0</v>
      </c>
    </row>
    <row r="229" spans="1:8" ht="15.6" x14ac:dyDescent="0.3">
      <c r="A229" s="762" t="s">
        <v>212</v>
      </c>
      <c r="B229" s="763"/>
      <c r="C229" s="11" t="s">
        <v>31</v>
      </c>
      <c r="D229" s="12">
        <f t="shared" ref="D229:F229" si="105">SUM(D225:D228)</f>
        <v>87060959.480000004</v>
      </c>
      <c r="E229" s="10">
        <f t="shared" si="105"/>
        <v>62546358.640000001</v>
      </c>
      <c r="F229" s="10">
        <f t="shared" si="105"/>
        <v>4480222.4399999995</v>
      </c>
      <c r="G229" s="10">
        <f t="shared" ref="G229" si="106">SUM(G225:G228)</f>
        <v>12990376.669999998</v>
      </c>
      <c r="H229" s="9">
        <f t="shared" si="104"/>
        <v>154087540.56</v>
      </c>
    </row>
    <row r="230" spans="1:8" ht="15.6" x14ac:dyDescent="0.3">
      <c r="A230" s="76" t="s">
        <v>213</v>
      </c>
      <c r="B230" s="120"/>
      <c r="C230" s="11" t="s">
        <v>31</v>
      </c>
      <c r="D230" s="12">
        <f>D223+D229</f>
        <v>243133398.48000002</v>
      </c>
      <c r="E230" s="12">
        <f t="shared" ref="E230:F230" si="107">E223+E229</f>
        <v>303456978.63999999</v>
      </c>
      <c r="F230" s="12">
        <f t="shared" si="107"/>
        <v>195201650.44</v>
      </c>
      <c r="G230" s="12">
        <f t="shared" ref="G230" si="108">G223+G229</f>
        <v>12990376.669999998</v>
      </c>
      <c r="H230" s="9">
        <f t="shared" si="104"/>
        <v>741792027.55999994</v>
      </c>
    </row>
    <row r="231" spans="1:8" x14ac:dyDescent="0.3">
      <c r="A231" s="699" t="s">
        <v>30</v>
      </c>
      <c r="B231" s="700"/>
      <c r="C231" s="700"/>
      <c r="D231" s="700"/>
      <c r="E231" s="700"/>
      <c r="F231" s="700"/>
      <c r="G231" s="700"/>
      <c r="H231" s="701"/>
    </row>
    <row r="232" spans="1:8" ht="15.6" x14ac:dyDescent="0.3">
      <c r="A232" s="695" t="s">
        <v>29</v>
      </c>
      <c r="B232" s="696"/>
      <c r="C232" s="11" t="s">
        <v>18</v>
      </c>
      <c r="D232" s="15">
        <f>Mangochi!J232+Mangochi!K232+Mangochi!L232</f>
        <v>7206350</v>
      </c>
      <c r="E232" s="15">
        <f>'Monkey Bay'!J232+'Monkey Bay'!K232+'Monkey Bay'!L232</f>
        <v>1998458</v>
      </c>
      <c r="F232" s="15">
        <f>Namwera!J232+Namwera!K232+Namwera!L232</f>
        <v>378779</v>
      </c>
      <c r="G232" s="15">
        <f>Nkhudzi!J232+Nkhudzi!K232+Nkhudzi!L232</f>
        <v>0</v>
      </c>
      <c r="H232" s="9">
        <f>SUM(D232:F232)</f>
        <v>9583587</v>
      </c>
    </row>
    <row r="233" spans="1:8" ht="15.6" x14ac:dyDescent="0.3">
      <c r="A233" s="695" t="s">
        <v>28</v>
      </c>
      <c r="B233" s="696"/>
      <c r="C233" s="11" t="s">
        <v>18</v>
      </c>
      <c r="D233" s="15">
        <f>Mangochi!J233+Mangochi!K233+Mangochi!L233</f>
        <v>0</v>
      </c>
      <c r="E233" s="15">
        <f>'Monkey Bay'!J233+'Monkey Bay'!K233+'Monkey Bay'!L233</f>
        <v>0</v>
      </c>
      <c r="F233" s="15">
        <f>Namwera!J233+Namwera!K233+Namwera!L233</f>
        <v>0</v>
      </c>
      <c r="G233" s="15">
        <f>Nkhudzi!J233+Nkhudzi!K233+Nkhudzi!L233</f>
        <v>0</v>
      </c>
      <c r="H233" s="9">
        <f>SUM(D233:F233)</f>
        <v>0</v>
      </c>
    </row>
    <row r="234" spans="1:8" ht="15.6" x14ac:dyDescent="0.3">
      <c r="A234" s="695" t="s">
        <v>27</v>
      </c>
      <c r="B234" s="696"/>
      <c r="C234" s="11" t="s">
        <v>18</v>
      </c>
      <c r="D234" s="15">
        <f>Mangochi!J234+Mangochi!K234+Mangochi!L234</f>
        <v>67873</v>
      </c>
      <c r="E234" s="15">
        <f>'Monkey Bay'!J234+'Monkey Bay'!K234+'Monkey Bay'!L234</f>
        <v>159729</v>
      </c>
      <c r="F234" s="15">
        <f>Namwera!J234+Namwera!K234+Namwera!L234</f>
        <v>9255</v>
      </c>
      <c r="G234" s="15">
        <f>Nkhudzi!J234+Nkhudzi!K234+Nkhudzi!L234</f>
        <v>0</v>
      </c>
      <c r="H234" s="9">
        <f>SUM(D234:F234)</f>
        <v>236857</v>
      </c>
    </row>
    <row r="235" spans="1:8" ht="15.6" x14ac:dyDescent="0.3">
      <c r="A235" s="695" t="s">
        <v>26</v>
      </c>
      <c r="B235" s="696"/>
      <c r="C235" s="11" t="s">
        <v>18</v>
      </c>
      <c r="D235" s="15">
        <f>Mangochi!J235+Mangochi!K235+Mangochi!L235</f>
        <v>80100</v>
      </c>
      <c r="E235" s="15">
        <f>'Monkey Bay'!J235+'Monkey Bay'!K235+'Monkey Bay'!L235</f>
        <v>158972</v>
      </c>
      <c r="F235" s="15">
        <f>Namwera!J235+Namwera!K235+Namwera!L235</f>
        <v>0</v>
      </c>
      <c r="G235" s="15">
        <f>Nkhudzi!J235+Nkhudzi!K235+Nkhudzi!L235</f>
        <v>0</v>
      </c>
      <c r="H235" s="9">
        <f>SUM(D235:F235)</f>
        <v>239072</v>
      </c>
    </row>
    <row r="236" spans="1:8" ht="15.6" x14ac:dyDescent="0.3">
      <c r="A236" s="762" t="s">
        <v>25</v>
      </c>
      <c r="B236" s="763"/>
      <c r="C236" s="11" t="s">
        <v>18</v>
      </c>
      <c r="D236" s="12"/>
      <c r="E236" s="12"/>
      <c r="F236" s="12"/>
      <c r="G236" s="12"/>
      <c r="H236" s="40">
        <f t="shared" ref="H236" si="109">SUM(H232:H235)</f>
        <v>10059516</v>
      </c>
    </row>
    <row r="237" spans="1:8" x14ac:dyDescent="0.3">
      <c r="A237" s="699" t="s">
        <v>24</v>
      </c>
      <c r="B237" s="700"/>
      <c r="C237" s="700"/>
      <c r="D237" s="700"/>
      <c r="E237" s="700"/>
      <c r="F237" s="700"/>
      <c r="G237" s="700"/>
      <c r="H237" s="701"/>
    </row>
    <row r="238" spans="1:8" ht="15.6" x14ac:dyDescent="0.3">
      <c r="A238" s="695" t="s">
        <v>23</v>
      </c>
      <c r="B238" s="696"/>
      <c r="C238" s="11" t="s">
        <v>18</v>
      </c>
      <c r="D238" s="15">
        <f>Mangochi!J238+Mangochi!K238+Mangochi!L238</f>
        <v>13033335</v>
      </c>
      <c r="E238" s="15">
        <f>'Monkey Bay'!J238+'Monkey Bay'!K238+'Monkey Bay'!L238</f>
        <v>3897945</v>
      </c>
      <c r="F238" s="15">
        <f>Namwera!J238+Namwera!K238+Namwera!L238</f>
        <v>656355</v>
      </c>
      <c r="G238" s="15">
        <f>Nkhudzi!J238+Nkhudzi!K238+Nkhudzi!L238</f>
        <v>0</v>
      </c>
      <c r="H238" s="39">
        <f>SUM(D238:F238)</f>
        <v>17587635</v>
      </c>
    </row>
    <row r="239" spans="1:8" ht="15.6" x14ac:dyDescent="0.3">
      <c r="A239" s="695" t="s">
        <v>22</v>
      </c>
      <c r="B239" s="696"/>
      <c r="C239" s="11" t="s">
        <v>18</v>
      </c>
      <c r="D239" s="15">
        <f>Mangochi!J239+Mangochi!K239+Mangochi!L239</f>
        <v>0</v>
      </c>
      <c r="E239" s="15">
        <f>'Monkey Bay'!J239+'Monkey Bay'!K239+'Monkey Bay'!L239</f>
        <v>0</v>
      </c>
      <c r="F239" s="15">
        <f>Namwera!J239+Namwera!K239+Namwera!L239</f>
        <v>0</v>
      </c>
      <c r="G239" s="15">
        <f>Nkhudzi!J239+Nkhudzi!K239+Nkhudzi!L239</f>
        <v>0</v>
      </c>
      <c r="H239" s="39">
        <f>SUM(D239:F239)</f>
        <v>0</v>
      </c>
    </row>
    <row r="240" spans="1:8" ht="15.6" x14ac:dyDescent="0.3">
      <c r="A240" s="695" t="s">
        <v>21</v>
      </c>
      <c r="B240" s="696"/>
      <c r="C240" s="11" t="s">
        <v>18</v>
      </c>
      <c r="D240" s="15">
        <f>Mangochi!J240+Mangochi!K240+Mangochi!L240</f>
        <v>19646</v>
      </c>
      <c r="E240" s="15">
        <f>'Monkey Bay'!J240+'Monkey Bay'!K240+'Monkey Bay'!L240</f>
        <v>181287</v>
      </c>
      <c r="F240" s="15">
        <f>Namwera!J240+Namwera!K240+Namwera!L240</f>
        <v>2679</v>
      </c>
      <c r="G240" s="15">
        <f>Nkhudzi!J240+Nkhudzi!K240+Nkhudzi!L240</f>
        <v>0</v>
      </c>
      <c r="H240" s="39">
        <f>SUM(D240:F240)</f>
        <v>203612</v>
      </c>
    </row>
    <row r="241" spans="1:8" ht="15.6" x14ac:dyDescent="0.3">
      <c r="A241" s="695" t="s">
        <v>20</v>
      </c>
      <c r="B241" s="696"/>
      <c r="C241" s="11" t="s">
        <v>18</v>
      </c>
      <c r="D241" s="15">
        <f>Mangochi!J241+Mangochi!K241+Mangochi!L241</f>
        <v>16967</v>
      </c>
      <c r="E241" s="15">
        <f>'Monkey Bay'!J241+'Monkey Bay'!K241+'Monkey Bay'!L241</f>
        <v>34827</v>
      </c>
      <c r="F241" s="15">
        <f>Namwera!J241+Namwera!K241+Namwera!L241</f>
        <v>0</v>
      </c>
      <c r="G241" s="15">
        <f>Nkhudzi!J241+Nkhudzi!K241+Nkhudzi!L241</f>
        <v>0</v>
      </c>
      <c r="H241" s="39">
        <f>SUM(D241:F241)</f>
        <v>51794</v>
      </c>
    </row>
    <row r="242" spans="1:8" ht="15.6" x14ac:dyDescent="0.3">
      <c r="A242" s="762" t="s">
        <v>19</v>
      </c>
      <c r="B242" s="763"/>
      <c r="C242" s="11" t="s">
        <v>18</v>
      </c>
      <c r="D242" s="12">
        <f t="shared" ref="D242:F242" si="110">SUM(D238:D241)</f>
        <v>13069948</v>
      </c>
      <c r="E242" s="12">
        <f t="shared" si="110"/>
        <v>4114059</v>
      </c>
      <c r="F242" s="12">
        <f t="shared" si="110"/>
        <v>659034</v>
      </c>
      <c r="G242" s="12">
        <f t="shared" ref="G242:H242" si="111">SUM(G238:G241)</f>
        <v>0</v>
      </c>
      <c r="H242" s="40">
        <f t="shared" si="111"/>
        <v>17843041</v>
      </c>
    </row>
    <row r="243" spans="1:8" ht="15.6" x14ac:dyDescent="0.3">
      <c r="A243" s="762" t="s">
        <v>214</v>
      </c>
      <c r="B243" s="763"/>
      <c r="C243" s="11" t="s">
        <v>18</v>
      </c>
      <c r="D243" s="10">
        <f>D230+D236+D242</f>
        <v>256203346.48000002</v>
      </c>
      <c r="E243" s="10">
        <f t="shared" ref="E243:F243" si="112">E230+E236+E242</f>
        <v>307571037.63999999</v>
      </c>
      <c r="F243" s="10">
        <f t="shared" si="112"/>
        <v>195860684.44</v>
      </c>
      <c r="G243" s="10">
        <f t="shared" ref="G243" si="113">G230+G236+G242</f>
        <v>12990376.669999998</v>
      </c>
      <c r="H243" s="40">
        <f t="shared" ref="H243" si="114">H216+H223+H236+H242</f>
        <v>768352710.18000007</v>
      </c>
    </row>
    <row r="244" spans="1:8" x14ac:dyDescent="0.3">
      <c r="A244" s="699" t="s">
        <v>204</v>
      </c>
      <c r="B244" s="700"/>
      <c r="C244" s="700"/>
      <c r="D244" s="700"/>
      <c r="E244" s="700"/>
      <c r="F244" s="700"/>
      <c r="G244" s="700"/>
      <c r="H244" s="701"/>
    </row>
    <row r="245" spans="1:8" ht="15.6" x14ac:dyDescent="0.3">
      <c r="A245" s="769" t="s">
        <v>205</v>
      </c>
      <c r="B245" s="770"/>
      <c r="C245" s="11" t="s">
        <v>18</v>
      </c>
      <c r="D245" s="15">
        <f>Mangochi!J245+Mangochi!K245+Mangochi!L245</f>
        <v>1277440562.7200041</v>
      </c>
      <c r="E245" s="15">
        <f>'Monkey Bay'!J245+'Monkey Bay'!K245+'Monkey Bay'!L245</f>
        <v>526990522.62000465</v>
      </c>
      <c r="F245" s="15">
        <f>Namwera!J245+Namwera!K245+Namwera!L245</f>
        <v>74958747.400000036</v>
      </c>
      <c r="G245" s="15">
        <f>Nkhudzi!J245+Nkhudzi!K245+Nkhudzi!L245</f>
        <v>0</v>
      </c>
      <c r="H245" s="40">
        <f t="shared" ref="H245:H246" si="115">SUM(H241:H244)</f>
        <v>786247545.18000007</v>
      </c>
    </row>
    <row r="246" spans="1:8" ht="15.6" x14ac:dyDescent="0.3">
      <c r="A246" s="769" t="s">
        <v>206</v>
      </c>
      <c r="B246" s="770"/>
      <c r="C246" s="11" t="s">
        <v>18</v>
      </c>
      <c r="D246" s="15">
        <f>Mangochi!J246+Mangochi!K246+Mangochi!L246</f>
        <v>872757386.6899972</v>
      </c>
      <c r="E246" s="15">
        <f>'Monkey Bay'!J246+'Monkey Bay'!K246+'Monkey Bay'!L246</f>
        <v>2584247831.7499995</v>
      </c>
      <c r="F246" s="15">
        <f>Namwera!J246+Namwera!K246+Namwera!L246</f>
        <v>118713159.25000006</v>
      </c>
      <c r="G246" s="15">
        <f>Nkhudzi!J246+Nkhudzi!K246+Nkhudzi!L246</f>
        <v>0</v>
      </c>
      <c r="H246" s="40">
        <f t="shared" si="115"/>
        <v>1572443296.3600001</v>
      </c>
    </row>
    <row r="247" spans="1:8" ht="15.6" x14ac:dyDescent="0.3">
      <c r="A247" s="798" t="s">
        <v>207</v>
      </c>
      <c r="B247" s="799"/>
      <c r="C247" s="11" t="s">
        <v>18</v>
      </c>
      <c r="D247" s="192">
        <f>D245+D246</f>
        <v>2150197949.4100013</v>
      </c>
      <c r="E247" s="192">
        <f t="shared" ref="E247:F247" si="116">E245+E246</f>
        <v>3111238354.3700042</v>
      </c>
      <c r="F247" s="192">
        <f t="shared" si="116"/>
        <v>193671906.6500001</v>
      </c>
      <c r="G247" s="192">
        <f t="shared" ref="G247" si="117">G245+G246</f>
        <v>0</v>
      </c>
      <c r="H247" s="164">
        <f t="shared" ref="H247" si="118">SUM(H243:H246)</f>
        <v>3127043551.7200003</v>
      </c>
    </row>
    <row r="248" spans="1:8" x14ac:dyDescent="0.3">
      <c r="A248" s="699" t="s">
        <v>17</v>
      </c>
      <c r="B248" s="700"/>
      <c r="C248" s="700"/>
      <c r="D248" s="700"/>
      <c r="E248" s="700"/>
      <c r="F248" s="700"/>
      <c r="G248" s="700"/>
      <c r="H248" s="701"/>
    </row>
    <row r="249" spans="1:8" ht="15.6" x14ac:dyDescent="0.3">
      <c r="A249" s="726" t="s">
        <v>16</v>
      </c>
      <c r="B249" s="727"/>
      <c r="C249" s="5" t="s">
        <v>6</v>
      </c>
      <c r="D249" s="8">
        <f>D58/D243%</f>
        <v>40.133268584296829</v>
      </c>
      <c r="E249" s="8">
        <f t="shared" ref="E249:F249" si="119">E58/E243%</f>
        <v>12.233847452354032</v>
      </c>
      <c r="F249" s="8">
        <f t="shared" si="119"/>
        <v>4.5523788735311133</v>
      </c>
      <c r="G249" s="8">
        <f t="shared" ref="G249:H249" si="120">G58/G243%</f>
        <v>786.29682406276231</v>
      </c>
      <c r="H249" s="8">
        <f t="shared" si="120"/>
        <v>19.439883162809849</v>
      </c>
    </row>
    <row r="250" spans="1:8" ht="15.6" x14ac:dyDescent="0.3">
      <c r="A250" s="726" t="s">
        <v>208</v>
      </c>
      <c r="B250" s="727"/>
      <c r="C250" s="5" t="s">
        <v>6</v>
      </c>
      <c r="D250" s="29">
        <f>D210/(D223+D245)%</f>
        <v>8.9894343368620557</v>
      </c>
      <c r="E250" s="29">
        <f t="shared" ref="E250:F250" si="121">E210/(E223+E245)%</f>
        <v>13.320151678770969</v>
      </c>
      <c r="F250" s="29">
        <f t="shared" si="121"/>
        <v>1.1325798003067713</v>
      </c>
      <c r="G250" s="29" t="e">
        <f t="shared" ref="G250:H250" si="122">G210/(G223+G245)%</f>
        <v>#DIV/0!</v>
      </c>
      <c r="H250" s="29">
        <f t="shared" si="122"/>
        <v>17.042759969463258</v>
      </c>
    </row>
    <row r="251" spans="1:8" ht="16.2" thickBot="1" x14ac:dyDescent="0.35">
      <c r="A251" s="796" t="s">
        <v>15</v>
      </c>
      <c r="B251" s="797"/>
      <c r="C251" s="5" t="s">
        <v>6</v>
      </c>
      <c r="D251" s="7">
        <f>D210/D223%</f>
        <v>82.567243022325044</v>
      </c>
      <c r="E251" s="7">
        <f t="shared" ref="E251:F251" si="123">E210/E223%</f>
        <v>42.457902827197898</v>
      </c>
      <c r="F251" s="7">
        <f t="shared" si="123"/>
        <v>1.5777146970606784</v>
      </c>
      <c r="G251" s="7" t="e">
        <f t="shared" ref="G251:H251" si="124">G210/G223%</f>
        <v>#DIV/0!</v>
      </c>
      <c r="H251" s="7">
        <f t="shared" si="124"/>
        <v>39.843042229487011</v>
      </c>
    </row>
    <row r="252" spans="1:8" x14ac:dyDescent="0.3">
      <c r="A252" s="755" t="s">
        <v>14</v>
      </c>
      <c r="B252" s="756"/>
      <c r="C252" s="756"/>
      <c r="D252" s="756"/>
      <c r="E252" s="756"/>
      <c r="F252" s="756"/>
      <c r="G252" s="756"/>
      <c r="H252" s="757"/>
    </row>
    <row r="253" spans="1:8" s="2" customFormat="1" ht="15" customHeight="1" x14ac:dyDescent="0.3">
      <c r="A253" s="726" t="s">
        <v>13</v>
      </c>
      <c r="B253" s="727"/>
      <c r="C253" s="5" t="s">
        <v>3</v>
      </c>
      <c r="D253" s="26">
        <f>Mangochi!J253+Mangochi!K253+Mangochi!L253</f>
        <v>2392</v>
      </c>
      <c r="E253" s="26">
        <f>'Monkey Bay'!J253+'Monkey Bay'!K253+'Monkey Bay'!L253</f>
        <v>1491</v>
      </c>
      <c r="F253" s="26">
        <f>Namwera!J253+Namwera!K253+Namwera!L253</f>
        <v>11</v>
      </c>
      <c r="G253" s="26">
        <f>Nkhudzi!J253+Nkhudzi!K253+Nkhudzi!L253</f>
        <v>15</v>
      </c>
      <c r="H253" s="114">
        <f>SUM(D253:F253)</f>
        <v>3894</v>
      </c>
    </row>
    <row r="254" spans="1:8" s="2" customFormat="1" ht="15.6" x14ac:dyDescent="0.3">
      <c r="A254" s="726" t="s">
        <v>12</v>
      </c>
      <c r="B254" s="727"/>
      <c r="C254" s="5" t="s">
        <v>3</v>
      </c>
      <c r="D254" s="26">
        <f>Mangochi!J254+Mangochi!K254+Mangochi!L254</f>
        <v>4</v>
      </c>
      <c r="E254" s="26">
        <f>'Monkey Bay'!J254+'Monkey Bay'!K254+'Monkey Bay'!L254</f>
        <v>3</v>
      </c>
      <c r="F254" s="26">
        <f>Namwera!J254+Namwera!K254+Namwera!L254</f>
        <v>2</v>
      </c>
      <c r="G254" s="26">
        <f>Nkhudzi!J254+Nkhudzi!K254+Nkhudzi!L254</f>
        <v>5</v>
      </c>
      <c r="H254" s="114">
        <f>SUM(D254:F254)</f>
        <v>9</v>
      </c>
    </row>
    <row r="255" spans="1:8" ht="15.75" customHeight="1" x14ac:dyDescent="0.3">
      <c r="A255" s="726" t="s">
        <v>11</v>
      </c>
      <c r="B255" s="727"/>
      <c r="C255" s="5" t="s">
        <v>3</v>
      </c>
      <c r="D255" s="26">
        <f>Mangochi!J255+Mangochi!K255+Mangochi!L255</f>
        <v>5496</v>
      </c>
      <c r="E255" s="26">
        <f>'Monkey Bay'!J255+'Monkey Bay'!K255+'Monkey Bay'!L255</f>
        <v>223</v>
      </c>
      <c r="F255" s="26">
        <f>Namwera!J255+Namwera!K255+Namwera!L255</f>
        <v>169</v>
      </c>
      <c r="G255" s="26">
        <f>Nkhudzi!J255+Nkhudzi!K255+Nkhudzi!L255</f>
        <v>312</v>
      </c>
      <c r="H255" s="114">
        <f>SUM(D255:F255)</f>
        <v>5888</v>
      </c>
    </row>
    <row r="256" spans="1:8" ht="15.6" x14ac:dyDescent="0.3">
      <c r="A256" s="726" t="s">
        <v>10</v>
      </c>
      <c r="B256" s="727"/>
      <c r="C256" s="5" t="s">
        <v>3</v>
      </c>
      <c r="D256" s="26">
        <f>Mangochi!J256+Mangochi!K256+Mangochi!L256</f>
        <v>2392</v>
      </c>
      <c r="E256" s="26">
        <f>'Monkey Bay'!J256+'Monkey Bay'!K256+'Monkey Bay'!L256</f>
        <v>38</v>
      </c>
      <c r="F256" s="26">
        <f>Namwera!J256+Namwera!K256+Namwera!L256</f>
        <v>11</v>
      </c>
      <c r="G256" s="26">
        <f>Nkhudzi!J256+Nkhudzi!K256+Nkhudzi!L256</f>
        <v>25</v>
      </c>
      <c r="H256" s="114">
        <f>SUM(D256:F256)</f>
        <v>2441</v>
      </c>
    </row>
    <row r="257" spans="1:8" ht="15.6" customHeight="1" x14ac:dyDescent="0.3">
      <c r="A257" s="726" t="s">
        <v>9</v>
      </c>
      <c r="B257" s="727"/>
      <c r="C257" s="5" t="s">
        <v>3</v>
      </c>
      <c r="D257" s="26">
        <f>Mangochi!J257+Mangochi!K257+Mangochi!L257</f>
        <v>210</v>
      </c>
      <c r="E257" s="26">
        <f>'Monkey Bay'!J257+'Monkey Bay'!K257+'Monkey Bay'!L257</f>
        <v>5317</v>
      </c>
      <c r="F257" s="26">
        <f>Namwera!J257+Namwera!K257+Namwera!L257</f>
        <v>0</v>
      </c>
      <c r="G257" s="26">
        <f>Nkhudzi!J257+Nkhudzi!K257+Nkhudzi!L257</f>
        <v>0</v>
      </c>
      <c r="H257" s="114">
        <f>SUM(D257:F257)</f>
        <v>5527</v>
      </c>
    </row>
    <row r="258" spans="1:8" ht="15.6" x14ac:dyDescent="0.3">
      <c r="A258" s="762" t="s">
        <v>8</v>
      </c>
      <c r="B258" s="763"/>
      <c r="C258" s="5" t="s">
        <v>3</v>
      </c>
      <c r="D258" s="1">
        <f t="shared" ref="D258:F258" si="125">D257/D256</f>
        <v>8.7792642140468224E-2</v>
      </c>
      <c r="E258" s="1">
        <f t="shared" si="125"/>
        <v>139.92105263157896</v>
      </c>
      <c r="F258" s="1">
        <f t="shared" si="125"/>
        <v>0</v>
      </c>
      <c r="G258" s="1">
        <f t="shared" ref="G258:H258" si="126">G257/G256</f>
        <v>0</v>
      </c>
      <c r="H258" s="114">
        <f t="shared" si="126"/>
        <v>2.2642359688652194</v>
      </c>
    </row>
    <row r="259" spans="1:8" ht="15.6" x14ac:dyDescent="0.3">
      <c r="A259" s="762" t="s">
        <v>7</v>
      </c>
      <c r="B259" s="763"/>
      <c r="C259" s="5" t="s">
        <v>6</v>
      </c>
      <c r="D259" s="1">
        <f t="shared" ref="D259:F259" si="127">D92/D255*100</f>
        <v>0</v>
      </c>
      <c r="E259" s="1">
        <f t="shared" si="127"/>
        <v>8.9686098654708513</v>
      </c>
      <c r="F259" s="1">
        <f t="shared" si="127"/>
        <v>0</v>
      </c>
      <c r="G259" s="1">
        <f t="shared" ref="G259:H259" si="128">G92/G255*100</f>
        <v>0.32051282051282048</v>
      </c>
      <c r="H259" s="115">
        <f t="shared" si="128"/>
        <v>0.33967391304347827</v>
      </c>
    </row>
    <row r="260" spans="1:8" x14ac:dyDescent="0.3">
      <c r="A260" s="699" t="s">
        <v>5</v>
      </c>
      <c r="B260" s="700"/>
      <c r="C260" s="700"/>
      <c r="D260" s="700"/>
      <c r="E260" s="700"/>
      <c r="F260" s="700"/>
      <c r="G260" s="700"/>
      <c r="H260" s="701"/>
    </row>
    <row r="261" spans="1:8" s="2" customFormat="1" ht="15" customHeight="1" x14ac:dyDescent="0.3">
      <c r="A261" s="726" t="s">
        <v>4</v>
      </c>
      <c r="B261" s="727"/>
      <c r="C261" s="5" t="s">
        <v>3</v>
      </c>
      <c r="D261" s="26">
        <f>Mangochi!J261+Mangochi!K261+Mangochi!L261</f>
        <v>93</v>
      </c>
      <c r="E261" s="26">
        <f>'Monkey Bay'!J261+'Monkey Bay'!K261+'Monkey Bay'!L261</f>
        <v>176</v>
      </c>
      <c r="F261" s="26">
        <f>Namwera!J261+Namwera!K261+Namwera!L261</f>
        <v>19</v>
      </c>
      <c r="G261" s="26">
        <f>Nkhudzi!J261+Nkhudzi!K261+Nkhudzi!L261</f>
        <v>5</v>
      </c>
      <c r="H261" s="114">
        <f>SUM(D261:F261)</f>
        <v>288</v>
      </c>
    </row>
    <row r="262" spans="1:8" s="2" customFormat="1" ht="15.75" customHeight="1" x14ac:dyDescent="0.3">
      <c r="A262" s="726" t="s">
        <v>2</v>
      </c>
      <c r="B262" s="727"/>
      <c r="C262" s="5" t="s">
        <v>0</v>
      </c>
      <c r="D262" s="26">
        <f>Mangochi!J262+Mangochi!K262+Mangochi!L262</f>
        <v>3</v>
      </c>
      <c r="E262" s="26">
        <f>'Monkey Bay'!J262+'Monkey Bay'!K262+'Monkey Bay'!L262</f>
        <v>3</v>
      </c>
      <c r="F262" s="26">
        <f>Namwera!J262+Namwera!K262+Namwera!L262</f>
        <v>5</v>
      </c>
      <c r="G262" s="26">
        <f>Nkhudzi!J262+Nkhudzi!K262+Nkhudzi!L262</f>
        <v>1</v>
      </c>
      <c r="H262" s="114">
        <f>SUM(D262:F262)</f>
        <v>11</v>
      </c>
    </row>
    <row r="263" spans="1:8" ht="16.2" thickBot="1" x14ac:dyDescent="0.35">
      <c r="A263" s="775" t="s">
        <v>1</v>
      </c>
      <c r="B263" s="776"/>
      <c r="C263" s="116" t="s">
        <v>0</v>
      </c>
      <c r="D263" s="117">
        <f t="shared" ref="D263:F263" si="129">D261/D262</f>
        <v>31</v>
      </c>
      <c r="E263" s="117">
        <f t="shared" si="129"/>
        <v>58.666666666666664</v>
      </c>
      <c r="F263" s="117">
        <f t="shared" si="129"/>
        <v>3.8</v>
      </c>
      <c r="G263" s="117">
        <f t="shared" ref="G263:H263" si="130">G261/G262</f>
        <v>5</v>
      </c>
      <c r="H263" s="117">
        <f t="shared" si="130"/>
        <v>26.181818181818183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0DFB-B2A7-46DF-877C-6F6A472533AF}">
  <sheetPr codeName="Sheet16"/>
  <dimension ref="A1:H263"/>
  <sheetViews>
    <sheetView workbookViewId="0">
      <selection activeCell="H1" sqref="H1:H1048576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style="127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560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561"/>
    </row>
    <row r="3" spans="1:8" ht="18" thickBot="1" x14ac:dyDescent="0.35">
      <c r="A3" s="219" t="s">
        <v>217</v>
      </c>
      <c r="B3" s="220"/>
      <c r="C3" s="220"/>
      <c r="D3" s="220"/>
      <c r="E3" s="220"/>
      <c r="F3" s="220"/>
      <c r="G3" s="320"/>
      <c r="H3" s="562"/>
    </row>
    <row r="4" spans="1:8" ht="18" thickBot="1" x14ac:dyDescent="0.35">
      <c r="A4" s="94" t="s">
        <v>221</v>
      </c>
      <c r="B4" s="124"/>
      <c r="C4" s="124"/>
      <c r="D4" s="124"/>
      <c r="E4" s="124"/>
      <c r="F4" s="124"/>
      <c r="G4" s="124"/>
      <c r="H4" s="563"/>
    </row>
    <row r="5" spans="1:8" ht="14.4" customHeight="1" x14ac:dyDescent="0.3">
      <c r="A5" s="95" t="s">
        <v>221</v>
      </c>
      <c r="B5" s="96"/>
      <c r="C5" s="96"/>
      <c r="D5" s="96"/>
      <c r="E5" s="96"/>
      <c r="F5" s="96"/>
      <c r="G5" s="96"/>
      <c r="H5" s="564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565"/>
    </row>
    <row r="7" spans="1:8" ht="16.2" thickBot="1" x14ac:dyDescent="0.35">
      <c r="A7" s="693" t="s">
        <v>174</v>
      </c>
      <c r="B7" s="694"/>
      <c r="C7" s="61" t="s">
        <v>173</v>
      </c>
      <c r="D7" s="60" t="s">
        <v>218</v>
      </c>
      <c r="E7" s="60" t="s">
        <v>219</v>
      </c>
      <c r="F7" s="60" t="s">
        <v>220</v>
      </c>
      <c r="G7" s="60" t="s">
        <v>222</v>
      </c>
      <c r="H7" s="59" t="s">
        <v>160</v>
      </c>
    </row>
    <row r="8" spans="1:8" ht="15" thickBot="1" x14ac:dyDescent="0.35">
      <c r="A8" s="704" t="s">
        <v>159</v>
      </c>
      <c r="B8" s="705"/>
      <c r="C8" s="705"/>
      <c r="D8" s="705"/>
      <c r="E8" s="705"/>
      <c r="F8" s="705"/>
      <c r="G8" s="705"/>
      <c r="H8" s="706"/>
    </row>
    <row r="9" spans="1:8" x14ac:dyDescent="0.3">
      <c r="A9" s="707" t="s">
        <v>176</v>
      </c>
      <c r="B9" s="708"/>
      <c r="C9" s="58" t="s">
        <v>152</v>
      </c>
      <c r="D9" s="57">
        <f>Mangochi!M9+Mangochi!N9+Mangochi!O9</f>
        <v>394815</v>
      </c>
      <c r="E9" s="57">
        <f>'Monkey Bay'!M9+'Monkey Bay'!N9+'Monkey Bay'!O9</f>
        <v>178099</v>
      </c>
      <c r="F9" s="57">
        <f>Namwera!M9+Namwera!N9+Namwera!O9</f>
        <v>12343</v>
      </c>
      <c r="G9" s="57">
        <f>Nkhudzi!M9+Nkhudzi!N9+Nkhudzi!O9</f>
        <v>11042.7</v>
      </c>
      <c r="H9" s="153">
        <f>SUM(D9:F9)</f>
        <v>585257</v>
      </c>
    </row>
    <row r="10" spans="1:8" ht="15" thickBot="1" x14ac:dyDescent="0.35">
      <c r="A10" s="699" t="s">
        <v>177</v>
      </c>
      <c r="B10" s="700"/>
      <c r="C10" s="700"/>
      <c r="D10" s="779"/>
      <c r="E10" s="779"/>
      <c r="F10" s="779"/>
      <c r="G10" s="779"/>
      <c r="H10" s="701"/>
    </row>
    <row r="11" spans="1:8" x14ac:dyDescent="0.3">
      <c r="A11" s="702" t="s">
        <v>157</v>
      </c>
      <c r="B11" s="703"/>
      <c r="C11" s="11" t="s">
        <v>152</v>
      </c>
      <c r="D11" s="26">
        <f>Mangochi!M11+Mangochi!N11+Mangochi!O11</f>
        <v>200200</v>
      </c>
      <c r="E11" s="26">
        <f>'Monkey Bay'!M11+'Monkey Bay'!N11+'Monkey Bay'!O11</f>
        <v>59410</v>
      </c>
      <c r="F11" s="26">
        <f>Namwera!M11+Namwera!N11+Namwera!O11</f>
        <v>5193</v>
      </c>
      <c r="G11" s="190">
        <f>Nkhudzi!M11+Nkhudzi!N11+Nkhudzi!O11</f>
        <v>8</v>
      </c>
      <c r="H11" s="55">
        <f>SUM(D11:F11)</f>
        <v>264803</v>
      </c>
    </row>
    <row r="12" spans="1:8" x14ac:dyDescent="0.3">
      <c r="A12" s="702" t="s">
        <v>156</v>
      </c>
      <c r="B12" s="703"/>
      <c r="C12" s="11" t="s">
        <v>152</v>
      </c>
      <c r="D12" s="26">
        <f>Mangochi!M12+Mangochi!N12+Mangochi!O12</f>
        <v>0</v>
      </c>
      <c r="E12" s="26">
        <f>'Monkey Bay'!M12+'Monkey Bay'!N12+'Monkey Bay'!O12</f>
        <v>0</v>
      </c>
      <c r="F12" s="26">
        <f>Namwera!M12+Namwera!N12+Namwera!O12</f>
        <v>0</v>
      </c>
      <c r="G12" s="26">
        <f>Nkhudzi!M12+Nkhudzi!N12+Nkhudzi!O12</f>
        <v>0</v>
      </c>
      <c r="H12" s="55">
        <f>SUM(D12:F12)</f>
        <v>0</v>
      </c>
    </row>
    <row r="13" spans="1:8" x14ac:dyDescent="0.3">
      <c r="A13" s="702" t="s">
        <v>155</v>
      </c>
      <c r="B13" s="703"/>
      <c r="C13" s="11" t="s">
        <v>152</v>
      </c>
      <c r="D13" s="26">
        <f>Mangochi!M13+Mangochi!N13+Mangochi!O13</f>
        <v>436</v>
      </c>
      <c r="E13" s="26">
        <f>'Monkey Bay'!M13+'Monkey Bay'!N13+'Monkey Bay'!O13</f>
        <v>67520</v>
      </c>
      <c r="F13" s="26">
        <f>Namwera!M13+Namwera!N13+Namwera!O13</f>
        <v>8</v>
      </c>
      <c r="G13" s="26">
        <f>Nkhudzi!M13+Nkhudzi!N13+Nkhudzi!O13</f>
        <v>0</v>
      </c>
      <c r="H13" s="55">
        <f>SUM(D13:F13)</f>
        <v>67964</v>
      </c>
    </row>
    <row r="14" spans="1:8" x14ac:dyDescent="0.3">
      <c r="A14" s="695" t="s">
        <v>154</v>
      </c>
      <c r="B14" s="696"/>
      <c r="C14" s="11" t="s">
        <v>152</v>
      </c>
      <c r="D14" s="26">
        <f>Mangochi!M14+Mangochi!N14+Mangochi!O14</f>
        <v>176</v>
      </c>
      <c r="E14" s="26">
        <f>'Monkey Bay'!M14+'Monkey Bay'!N14+'Monkey Bay'!O14</f>
        <v>274</v>
      </c>
      <c r="F14" s="26">
        <f>Namwera!M14+Namwera!N14+Namwera!O14</f>
        <v>0</v>
      </c>
      <c r="G14" s="26">
        <f>Nkhudzi!M14+Nkhudzi!N14+Nkhudzi!O14</f>
        <v>0</v>
      </c>
      <c r="H14" s="55">
        <f>SUM(D14:F14)</f>
        <v>450</v>
      </c>
    </row>
    <row r="15" spans="1:8" s="63" customFormat="1" x14ac:dyDescent="0.3">
      <c r="A15" s="697" t="s">
        <v>158</v>
      </c>
      <c r="B15" s="698"/>
      <c r="C15" s="62" t="s">
        <v>152</v>
      </c>
      <c r="D15" s="34">
        <f t="shared" ref="D15:G15" si="0">SUM(D11:D14)</f>
        <v>200812</v>
      </c>
      <c r="E15" s="34">
        <f t="shared" si="0"/>
        <v>127204</v>
      </c>
      <c r="F15" s="34">
        <f t="shared" si="0"/>
        <v>5201</v>
      </c>
      <c r="G15" s="34">
        <f t="shared" si="0"/>
        <v>8</v>
      </c>
      <c r="H15" s="55">
        <f t="shared" ref="H15" si="1">SUM(H11:H14)</f>
        <v>333217</v>
      </c>
    </row>
    <row r="16" spans="1:8" s="2" customFormat="1" ht="15" thickBot="1" x14ac:dyDescent="0.35">
      <c r="A16" s="699" t="s">
        <v>178</v>
      </c>
      <c r="B16" s="700"/>
      <c r="C16" s="700"/>
      <c r="D16" s="700"/>
      <c r="E16" s="779"/>
      <c r="F16" s="779"/>
      <c r="G16" s="779"/>
      <c r="H16" s="701"/>
    </row>
    <row r="17" spans="1:8" s="2" customFormat="1" x14ac:dyDescent="0.3">
      <c r="A17" s="702" t="s">
        <v>180</v>
      </c>
      <c r="B17" s="703"/>
      <c r="C17" s="11" t="s">
        <v>152</v>
      </c>
      <c r="D17" s="26">
        <f>Mangochi!M17+Mangochi!N17+Mangochi!O17</f>
        <v>58539.7</v>
      </c>
      <c r="E17" s="26">
        <f>'Monkey Bay'!M17+'Monkey Bay'!N17+'Monkey Bay'!O17</f>
        <v>9036</v>
      </c>
      <c r="F17" s="26">
        <f>Namwera!M17+Namwera!N17+Namwera!O17</f>
        <v>3332</v>
      </c>
      <c r="G17" s="190">
        <f>Nkhudzi!M17+Nkhudzi!N17+Nkhudzi!O17</f>
        <v>10833.6</v>
      </c>
      <c r="H17" s="55">
        <f>SUM(D17:F17)</f>
        <v>70907.7</v>
      </c>
    </row>
    <row r="18" spans="1:8" s="2" customFormat="1" x14ac:dyDescent="0.3">
      <c r="A18" s="702" t="s">
        <v>181</v>
      </c>
      <c r="B18" s="703"/>
      <c r="C18" s="11" t="s">
        <v>152</v>
      </c>
      <c r="D18" s="26">
        <f>Mangochi!M18+Mangochi!N18+Mangochi!O18</f>
        <v>0</v>
      </c>
      <c r="E18" s="26">
        <f>'Monkey Bay'!M18+'Monkey Bay'!N18+'Monkey Bay'!O18</f>
        <v>4453</v>
      </c>
      <c r="F18" s="26">
        <f>Namwera!M18+Namwera!N18+Namwera!O18</f>
        <v>9</v>
      </c>
      <c r="G18" s="26">
        <f>Nkhudzi!M18+Nkhudzi!N18+Nkhudzi!O18</f>
        <v>71</v>
      </c>
      <c r="H18" s="55">
        <f>SUM(D18:F18)</f>
        <v>4462</v>
      </c>
    </row>
    <row r="19" spans="1:8" s="2" customFormat="1" x14ac:dyDescent="0.3">
      <c r="A19" s="702" t="s">
        <v>182</v>
      </c>
      <c r="B19" s="703"/>
      <c r="C19" s="11" t="s">
        <v>152</v>
      </c>
      <c r="D19" s="26">
        <f>Mangochi!M19+Mangochi!N19+Mangochi!O19</f>
        <v>0</v>
      </c>
      <c r="E19" s="26">
        <f>'Monkey Bay'!M19+'Monkey Bay'!N19+'Monkey Bay'!O19</f>
        <v>13036</v>
      </c>
      <c r="F19" s="26">
        <f>Namwera!M19+Namwera!N19+Namwera!O19</f>
        <v>516</v>
      </c>
      <c r="G19" s="26">
        <f>Nkhudzi!M19+Nkhudzi!N19+Nkhudzi!O19</f>
        <v>30</v>
      </c>
      <c r="H19" s="55">
        <f>SUM(D19:F19)</f>
        <v>13552</v>
      </c>
    </row>
    <row r="20" spans="1:8" s="2" customFormat="1" x14ac:dyDescent="0.3">
      <c r="A20" s="695" t="s">
        <v>183</v>
      </c>
      <c r="B20" s="696"/>
      <c r="C20" s="11" t="s">
        <v>152</v>
      </c>
      <c r="D20" s="26">
        <f>Mangochi!M20+Mangochi!N20+Mangochi!O20</f>
        <v>0</v>
      </c>
      <c r="E20" s="26">
        <f>'Monkey Bay'!M20+'Monkey Bay'!N20+'Monkey Bay'!O20</f>
        <v>1385</v>
      </c>
      <c r="F20" s="26">
        <f>Namwera!M20+Namwera!N20+Namwera!O20</f>
        <v>170</v>
      </c>
      <c r="G20" s="26">
        <f>Nkhudzi!M20+Nkhudzi!N20+Nkhudzi!O20</f>
        <v>100</v>
      </c>
      <c r="H20" s="55">
        <f>SUM(D20:F20)</f>
        <v>1555</v>
      </c>
    </row>
    <row r="21" spans="1:8" s="73" customFormat="1" x14ac:dyDescent="0.3">
      <c r="A21" s="697" t="s">
        <v>184</v>
      </c>
      <c r="B21" s="698"/>
      <c r="C21" s="62" t="s">
        <v>152</v>
      </c>
      <c r="D21" s="34">
        <f>SUM(D17:D20)</f>
        <v>58539.7</v>
      </c>
      <c r="E21" s="34">
        <f t="shared" ref="E21:H21" si="2">SUM(E17:E20)</f>
        <v>27910</v>
      </c>
      <c r="F21" s="34">
        <f t="shared" si="2"/>
        <v>4027</v>
      </c>
      <c r="G21" s="34">
        <f t="shared" si="2"/>
        <v>11034.6</v>
      </c>
      <c r="H21" s="55">
        <f t="shared" si="2"/>
        <v>90476.7</v>
      </c>
    </row>
    <row r="22" spans="1:8" s="2" customFormat="1" x14ac:dyDescent="0.3">
      <c r="A22" s="217" t="s">
        <v>185</v>
      </c>
      <c r="B22" s="211"/>
      <c r="C22" s="11" t="s">
        <v>152</v>
      </c>
      <c r="D22" s="34">
        <f>D21+D15</f>
        <v>259351.7</v>
      </c>
      <c r="E22" s="34">
        <f t="shared" ref="E22:H22" si="3">E21+E15</f>
        <v>155114</v>
      </c>
      <c r="F22" s="34">
        <f t="shared" si="3"/>
        <v>9228</v>
      </c>
      <c r="G22" s="34">
        <f t="shared" si="3"/>
        <v>11042.6</v>
      </c>
      <c r="H22" s="55">
        <f t="shared" si="3"/>
        <v>423693.7</v>
      </c>
    </row>
    <row r="23" spans="1:8" ht="14.4" x14ac:dyDescent="0.3">
      <c r="A23" s="699" t="s">
        <v>215</v>
      </c>
      <c r="B23" s="700"/>
      <c r="C23" s="700"/>
      <c r="D23" s="700"/>
      <c r="E23" s="700"/>
      <c r="F23" s="700"/>
      <c r="G23" s="700"/>
      <c r="H23" s="701"/>
    </row>
    <row r="24" spans="1:8" x14ac:dyDescent="0.3">
      <c r="A24" s="716" t="s">
        <v>179</v>
      </c>
      <c r="B24" s="37" t="s">
        <v>153</v>
      </c>
      <c r="C24" s="5" t="s">
        <v>152</v>
      </c>
      <c r="D24" s="54">
        <f>D9-D22</f>
        <v>135463.29999999999</v>
      </c>
      <c r="E24" s="54">
        <f t="shared" ref="E24:H24" si="4">E9-E22</f>
        <v>22985</v>
      </c>
      <c r="F24" s="54">
        <f t="shared" si="4"/>
        <v>3115</v>
      </c>
      <c r="G24" s="54">
        <f t="shared" si="4"/>
        <v>0.1000000000003638</v>
      </c>
      <c r="H24" s="100">
        <f t="shared" si="4"/>
        <v>161563.29999999999</v>
      </c>
    </row>
    <row r="25" spans="1:8" x14ac:dyDescent="0.3">
      <c r="A25" s="717"/>
      <c r="B25" s="53" t="s">
        <v>151</v>
      </c>
      <c r="C25" s="52" t="s">
        <v>6</v>
      </c>
      <c r="D25" s="51">
        <f t="shared" ref="D25:H25" si="5">D24/D9</f>
        <v>0.34310575839317148</v>
      </c>
      <c r="E25" s="51">
        <f t="shared" si="5"/>
        <v>0.12905743434831191</v>
      </c>
      <c r="F25" s="51">
        <f t="shared" si="5"/>
        <v>0.25236976423883983</v>
      </c>
      <c r="G25" s="51">
        <f t="shared" si="5"/>
        <v>9.0557562915196282E-6</v>
      </c>
      <c r="H25" s="101">
        <f t="shared" si="5"/>
        <v>0.27605530561787384</v>
      </c>
    </row>
    <row r="26" spans="1:8" ht="14.4" x14ac:dyDescent="0.3">
      <c r="A26" s="699" t="s">
        <v>150</v>
      </c>
      <c r="B26" s="700"/>
      <c r="C26" s="700"/>
      <c r="D26" s="700"/>
      <c r="E26" s="700"/>
      <c r="F26" s="700"/>
      <c r="G26" s="700"/>
      <c r="H26" s="701"/>
    </row>
    <row r="27" spans="1:8" ht="14.4" x14ac:dyDescent="0.3">
      <c r="A27" s="782" t="s">
        <v>149</v>
      </c>
      <c r="B27" s="783"/>
      <c r="C27" s="783"/>
      <c r="D27" s="783"/>
      <c r="E27" s="783"/>
      <c r="F27" s="783"/>
      <c r="G27" s="783"/>
      <c r="H27" s="784"/>
    </row>
    <row r="28" spans="1:8" x14ac:dyDescent="0.3">
      <c r="A28" s="102" t="s">
        <v>148</v>
      </c>
      <c r="B28" s="50" t="s">
        <v>147</v>
      </c>
      <c r="C28" s="49"/>
      <c r="D28" s="209"/>
      <c r="E28" s="209"/>
      <c r="F28" s="209"/>
      <c r="G28" s="47"/>
      <c r="H28" s="46"/>
    </row>
    <row r="29" spans="1:8" x14ac:dyDescent="0.3">
      <c r="A29" s="709" t="s">
        <v>146</v>
      </c>
      <c r="B29" s="780">
        <v>7400</v>
      </c>
      <c r="C29" s="5" t="s">
        <v>140</v>
      </c>
      <c r="D29" s="26">
        <f>Mangochi!M29+Mangochi!N29+Mangochi!O29</f>
        <v>1556</v>
      </c>
      <c r="E29" s="26">
        <f>'Monkey Bay'!M29+'Monkey Bay'!N29+'Monkey Bay'!O29</f>
        <v>455</v>
      </c>
      <c r="F29" s="26">
        <f>Namwera!M29+Namwera!N29+Namwera!O29</f>
        <v>45.5</v>
      </c>
      <c r="G29" s="4">
        <f>Nkhudzi!M29+Nkhudzi!N29+Nkhudzi!O29</f>
        <v>400</v>
      </c>
      <c r="H29" s="45">
        <f>SUM(D29:F29)</f>
        <v>2056.5</v>
      </c>
    </row>
    <row r="30" spans="1:8" x14ac:dyDescent="0.3">
      <c r="A30" s="710"/>
      <c r="B30" s="781"/>
      <c r="C30" s="42" t="s">
        <v>139</v>
      </c>
      <c r="D30" s="15">
        <f t="shared" ref="D30:H30" si="6">D29/(D9/1000)</f>
        <v>3.9410863315730151</v>
      </c>
      <c r="E30" s="15">
        <f t="shared" si="6"/>
        <v>2.5547588700666486</v>
      </c>
      <c r="F30" s="15">
        <f t="shared" si="6"/>
        <v>3.6862999270841774</v>
      </c>
      <c r="G30" s="15">
        <f t="shared" si="6"/>
        <v>36.223025165946737</v>
      </c>
      <c r="H30" s="103">
        <f t="shared" si="6"/>
        <v>3.51384092800257</v>
      </c>
    </row>
    <row r="31" spans="1:8" x14ac:dyDescent="0.3">
      <c r="A31" s="711" t="s">
        <v>145</v>
      </c>
      <c r="B31" s="780">
        <v>1900</v>
      </c>
      <c r="C31" s="5" t="s">
        <v>140</v>
      </c>
      <c r="D31" s="26">
        <f>Mangochi!M31+Mangochi!N31+Mangochi!O31</f>
        <v>300</v>
      </c>
      <c r="E31" s="26">
        <f>'Monkey Bay'!M31+'Monkey Bay'!N31+'Monkey Bay'!O31</f>
        <v>0</v>
      </c>
      <c r="F31" s="26">
        <f>Namwera!M31+Namwera!N31+Namwera!O31</f>
        <v>0</v>
      </c>
      <c r="G31" s="4">
        <f>Nkhudzi!J31+Nkhudzi!K31+Nkhudzi!L31</f>
        <v>0</v>
      </c>
      <c r="H31" s="45">
        <f>SUM(D31:F31)</f>
        <v>300</v>
      </c>
    </row>
    <row r="32" spans="1:8" x14ac:dyDescent="0.3">
      <c r="A32" s="712"/>
      <c r="B32" s="781"/>
      <c r="C32" s="42" t="s">
        <v>139</v>
      </c>
      <c r="D32" s="15">
        <f t="shared" ref="D32:F32" si="7">D31/(D9/1000)</f>
        <v>0.75984954978914176</v>
      </c>
      <c r="E32" s="15">
        <f t="shared" si="7"/>
        <v>0</v>
      </c>
      <c r="F32" s="15">
        <f t="shared" si="7"/>
        <v>0</v>
      </c>
      <c r="G32" s="15">
        <f>Nkhudzi!J32+Nkhudzi!K32+Nkhudzi!L32</f>
        <v>0</v>
      </c>
      <c r="H32" s="103">
        <f t="shared" ref="H32" si="8">H31/(H9/1000)</f>
        <v>0.51259532137163677</v>
      </c>
    </row>
    <row r="33" spans="1:8" x14ac:dyDescent="0.3">
      <c r="A33" s="711" t="s">
        <v>144</v>
      </c>
      <c r="B33" s="780">
        <v>1900</v>
      </c>
      <c r="C33" s="5" t="s">
        <v>140</v>
      </c>
      <c r="D33" s="26">
        <f>Mangochi!M33+Mangochi!N33+Mangochi!O33</f>
        <v>0</v>
      </c>
      <c r="E33" s="26">
        <f>'Monkey Bay'!M33+'Monkey Bay'!N33+'Monkey Bay'!O33</f>
        <v>0</v>
      </c>
      <c r="F33" s="26">
        <f>Namwera!M33+Namwera!N33+Namwera!O33</f>
        <v>0</v>
      </c>
      <c r="G33" s="4">
        <f>Nkhudzi!J33+Nkhudzi!K33+Nkhudzi!L33</f>
        <v>0</v>
      </c>
      <c r="H33" s="45">
        <f>SUM(D33:F33)</f>
        <v>0</v>
      </c>
    </row>
    <row r="34" spans="1:8" x14ac:dyDescent="0.3">
      <c r="A34" s="712"/>
      <c r="B34" s="781"/>
      <c r="C34" s="42" t="s">
        <v>139</v>
      </c>
      <c r="D34" s="15">
        <f t="shared" ref="D34:F34" si="9">D33/(D9/1000)</f>
        <v>0</v>
      </c>
      <c r="E34" s="15">
        <f t="shared" si="9"/>
        <v>0</v>
      </c>
      <c r="F34" s="15">
        <f t="shared" si="9"/>
        <v>0</v>
      </c>
      <c r="G34" s="15">
        <f>Nkhudzi!J34+Nkhudzi!K34+Nkhudzi!L34</f>
        <v>0</v>
      </c>
      <c r="H34" s="103">
        <f t="shared" ref="H34" si="10">H33/(H9/1000)</f>
        <v>0</v>
      </c>
    </row>
    <row r="35" spans="1:8" x14ac:dyDescent="0.3">
      <c r="A35" s="711" t="s">
        <v>143</v>
      </c>
      <c r="B35" s="780">
        <f>745345.16/200</f>
        <v>3726.7258000000002</v>
      </c>
      <c r="C35" s="5" t="s">
        <v>126</v>
      </c>
      <c r="D35" s="4">
        <f>Mangochi!M35+Mangochi!N35+Mangochi!O35</f>
        <v>0</v>
      </c>
      <c r="E35" s="4">
        <f>'Monkey Bay'!M35+'Monkey Bay'!N35+'Monkey Bay'!O35</f>
        <v>0</v>
      </c>
      <c r="F35" s="4">
        <f>Namwera!M35+Namwera!N35+Namwera!O35</f>
        <v>0</v>
      </c>
      <c r="G35" s="4">
        <f>Nkhudzi!J35+Nkhudzi!K35+Nkhudzi!L35</f>
        <v>0</v>
      </c>
      <c r="H35" s="103"/>
    </row>
    <row r="36" spans="1:8" x14ac:dyDescent="0.3">
      <c r="A36" s="712"/>
      <c r="B36" s="781"/>
      <c r="C36" s="5" t="s">
        <v>142</v>
      </c>
      <c r="D36" s="13"/>
      <c r="E36" s="13"/>
      <c r="F36" s="13"/>
      <c r="G36" s="15">
        <f>Nkhudzi!J36+Nkhudzi!K36+Nkhudzi!L36</f>
        <v>0</v>
      </c>
      <c r="H36" s="103"/>
    </row>
    <row r="37" spans="1:8" x14ac:dyDescent="0.3">
      <c r="A37" s="711" t="s">
        <v>186</v>
      </c>
      <c r="B37" s="780">
        <f>790318.72/200</f>
        <v>3951.5935999999997</v>
      </c>
      <c r="C37" s="5" t="s">
        <v>126</v>
      </c>
      <c r="D37" s="43">
        <v>0</v>
      </c>
      <c r="E37" s="43">
        <v>0</v>
      </c>
      <c r="F37" s="43">
        <v>0</v>
      </c>
      <c r="G37" s="4">
        <f>Nkhudzi!J37+Nkhudzi!K37+Nkhudzi!L37</f>
        <v>0</v>
      </c>
      <c r="H37" s="45">
        <f>SUM(D37:F37)</f>
        <v>0</v>
      </c>
    </row>
    <row r="38" spans="1:8" x14ac:dyDescent="0.3">
      <c r="A38" s="712"/>
      <c r="B38" s="781"/>
      <c r="C38" s="5" t="s">
        <v>142</v>
      </c>
      <c r="D38" s="15">
        <f t="shared" ref="D38:F38" si="11">D37/(D9/1000)</f>
        <v>0</v>
      </c>
      <c r="E38" s="15">
        <f t="shared" si="11"/>
        <v>0</v>
      </c>
      <c r="F38" s="15">
        <f t="shared" si="11"/>
        <v>0</v>
      </c>
      <c r="G38" s="15">
        <f>Nkhudzi!J38+Nkhudzi!K38+Nkhudzi!L38</f>
        <v>0</v>
      </c>
      <c r="H38" s="103">
        <f t="shared" ref="H38" si="12">H37/(H9/1000)</f>
        <v>0</v>
      </c>
    </row>
    <row r="39" spans="1:8" x14ac:dyDescent="0.3">
      <c r="A39" s="711" t="s">
        <v>141</v>
      </c>
      <c r="B39" s="780">
        <v>1950</v>
      </c>
      <c r="C39" s="5" t="s">
        <v>140</v>
      </c>
      <c r="D39" s="43">
        <v>0</v>
      </c>
      <c r="E39" s="43">
        <v>0</v>
      </c>
      <c r="F39" s="43">
        <v>0</v>
      </c>
      <c r="G39" s="4">
        <f>Nkhudzi!J39+Nkhudzi!K39+Nkhudzi!L39</f>
        <v>0</v>
      </c>
      <c r="H39" s="45">
        <f>SUM(D39:F39)</f>
        <v>0</v>
      </c>
    </row>
    <row r="40" spans="1:8" x14ac:dyDescent="0.3">
      <c r="A40" s="712"/>
      <c r="B40" s="781"/>
      <c r="C40" s="42" t="s">
        <v>139</v>
      </c>
      <c r="D40" s="15">
        <f t="shared" ref="D40:F40" si="13">D39/(D9/1000)</f>
        <v>0</v>
      </c>
      <c r="E40" s="15">
        <f t="shared" si="13"/>
        <v>0</v>
      </c>
      <c r="F40" s="15">
        <f t="shared" si="13"/>
        <v>0</v>
      </c>
      <c r="G40" s="15">
        <f>Nkhudzi!J40+Nkhudzi!K40+Nkhudzi!L40</f>
        <v>0</v>
      </c>
      <c r="H40" s="103">
        <f t="shared" ref="H40" si="14">H39/(H9/1000)</f>
        <v>0</v>
      </c>
    </row>
    <row r="41" spans="1:8" x14ac:dyDescent="0.3">
      <c r="A41" s="695" t="s">
        <v>138</v>
      </c>
      <c r="B41" s="696"/>
      <c r="C41" s="11" t="s">
        <v>31</v>
      </c>
      <c r="D41" s="41">
        <f>(D29*$B29)+(D31*$B31)+(D33*$B33)+(D35*$B35)+(D37*$B37)+(D39*$B39)</f>
        <v>12084400</v>
      </c>
      <c r="E41" s="41">
        <f t="shared" ref="E41:G41" si="15">(E29*$B29)+(E31*$B31)+(E33*$B33)+(E35*$B35)+(E37*$B37)+(E39*$B39)</f>
        <v>3367000</v>
      </c>
      <c r="F41" s="41">
        <f t="shared" si="15"/>
        <v>336700</v>
      </c>
      <c r="G41" s="41">
        <f t="shared" si="15"/>
        <v>2960000</v>
      </c>
      <c r="H41" s="39">
        <f>SUM(D41:F41)</f>
        <v>15788100</v>
      </c>
    </row>
    <row r="42" spans="1:8" x14ac:dyDescent="0.3">
      <c r="A42" s="721" t="s">
        <v>137</v>
      </c>
      <c r="B42" s="722"/>
      <c r="C42" s="42" t="s">
        <v>115</v>
      </c>
      <c r="D42" s="15">
        <f t="shared" ref="D42:H42" si="16">D41/D9</f>
        <v>30.607752998239683</v>
      </c>
      <c r="E42" s="15">
        <f t="shared" si="16"/>
        <v>18.905215638493196</v>
      </c>
      <c r="F42" s="15">
        <f t="shared" si="16"/>
        <v>27.278619460422913</v>
      </c>
      <c r="G42" s="15">
        <f t="shared" si="16"/>
        <v>268.05038622800583</v>
      </c>
      <c r="H42" s="44">
        <f t="shared" si="16"/>
        <v>26.976353977825127</v>
      </c>
    </row>
    <row r="43" spans="1:8" ht="15" thickBot="1" x14ac:dyDescent="0.35">
      <c r="A43" s="723" t="s">
        <v>136</v>
      </c>
      <c r="B43" s="724"/>
      <c r="C43" s="724"/>
      <c r="D43" s="724"/>
      <c r="E43" s="724"/>
      <c r="F43" s="724"/>
      <c r="G43" s="724"/>
      <c r="H43" s="725"/>
    </row>
    <row r="44" spans="1:8" x14ac:dyDescent="0.3">
      <c r="A44" s="695" t="s">
        <v>135</v>
      </c>
      <c r="B44" s="696"/>
      <c r="C44" s="11" t="s">
        <v>134</v>
      </c>
      <c r="D44" s="190">
        <f>Mangochi!M44+Mangochi!N44+Mangochi!O44</f>
        <v>144478.29999999999</v>
      </c>
      <c r="E44" s="190">
        <f>'Monkey Bay'!M44+'Monkey Bay'!N44+'Monkey Bay'!O44</f>
        <v>80112</v>
      </c>
      <c r="F44" s="190">
        <f>Namwera!M44+Namwera!N44+Namwera!O44</f>
        <v>16959</v>
      </c>
      <c r="G44" s="4">
        <f>Nkhudzi!M44+Nkhudzi!N44+Nkhudzi!O44</f>
        <v>194431.2</v>
      </c>
      <c r="H44" s="39">
        <f>SUM(D44:F44)</f>
        <v>241549.3</v>
      </c>
    </row>
    <row r="45" spans="1:8" ht="16.2" thickBot="1" x14ac:dyDescent="0.35">
      <c r="A45" s="721" t="s">
        <v>133</v>
      </c>
      <c r="B45" s="722"/>
      <c r="C45" s="42" t="s">
        <v>132</v>
      </c>
      <c r="D45" s="15">
        <f t="shared" ref="D45:H45" si="17">D44/D9</f>
        <v>0.36593923736433515</v>
      </c>
      <c r="E45" s="15">
        <f t="shared" si="17"/>
        <v>0.44981723648083372</v>
      </c>
      <c r="F45" s="15">
        <f t="shared" si="17"/>
        <v>1.3739771530422102</v>
      </c>
      <c r="G45" s="15">
        <f t="shared" si="17"/>
        <v>17.607215626613055</v>
      </c>
      <c r="H45" s="103">
        <f t="shared" si="17"/>
        <v>0.41272347020197964</v>
      </c>
    </row>
    <row r="46" spans="1:8" x14ac:dyDescent="0.3">
      <c r="A46" s="726" t="s">
        <v>131</v>
      </c>
      <c r="B46" s="727"/>
      <c r="C46" s="5" t="s">
        <v>31</v>
      </c>
      <c r="D46" s="190">
        <f>Mangochi!M46+Mangochi!N46+Mangochi!O46</f>
        <v>24211537.99825</v>
      </c>
      <c r="E46" s="190">
        <f>'Monkey Bay'!M46+'Monkey Bay'!N46+'Monkey Bay'!O46</f>
        <v>13450940.880000001</v>
      </c>
      <c r="F46" s="190">
        <f>Namwera!M46+Namwera!N46+Namwera!O46</f>
        <v>2893180.2225000001</v>
      </c>
      <c r="G46" s="4">
        <f>Nkhudzi!M46+Nkhudzi!N46+Nkhudzi!O46</f>
        <v>127761112.59</v>
      </c>
      <c r="H46" s="39">
        <f>SUM(D46:F46)</f>
        <v>40555659.100749999</v>
      </c>
    </row>
    <row r="47" spans="1:8" s="2" customFormat="1" x14ac:dyDescent="0.3">
      <c r="A47" s="695" t="s">
        <v>130</v>
      </c>
      <c r="B47" s="696"/>
      <c r="C47" s="11" t="s">
        <v>115</v>
      </c>
      <c r="D47" s="15">
        <f t="shared" ref="D47:H47" si="18">D46/D9</f>
        <v>61.323754158909871</v>
      </c>
      <c r="E47" s="15">
        <f t="shared" si="18"/>
        <v>75.525078074554045</v>
      </c>
      <c r="F47" s="15">
        <f t="shared" si="18"/>
        <v>234.3984624888601</v>
      </c>
      <c r="G47" s="15">
        <f t="shared" si="18"/>
        <v>11569.73499144231</v>
      </c>
      <c r="H47" s="103">
        <f t="shared" si="18"/>
        <v>69.295470367291628</v>
      </c>
    </row>
    <row r="48" spans="1:8" ht="15" thickBot="1" x14ac:dyDescent="0.35">
      <c r="A48" s="723" t="s">
        <v>129</v>
      </c>
      <c r="B48" s="724"/>
      <c r="C48" s="724"/>
      <c r="D48" s="724"/>
      <c r="E48" s="724"/>
      <c r="F48" s="724"/>
      <c r="G48" s="724"/>
      <c r="H48" s="725"/>
    </row>
    <row r="49" spans="1:8" x14ac:dyDescent="0.3">
      <c r="A49" s="695" t="s">
        <v>128</v>
      </c>
      <c r="B49" s="696"/>
      <c r="C49" s="5" t="s">
        <v>127</v>
      </c>
      <c r="D49" s="193">
        <f>Mangochi!M49+Mangochi!N49+Mangochi!O49</f>
        <v>30747</v>
      </c>
      <c r="E49" s="193">
        <f>'Monkey Bay'!M49+'Monkey Bay'!N49+'Monkey Bay'!O49</f>
        <v>7201</v>
      </c>
      <c r="F49" s="193">
        <f>Namwera!M49+Namwera!N49+Namwera!O49</f>
        <v>0</v>
      </c>
      <c r="G49" s="190">
        <f>Nkhudzi!M49+Nkhudzi!N49+Nkhudzi!O49</f>
        <v>0</v>
      </c>
      <c r="H49" s="39">
        <f>SUM(D49:F49)</f>
        <v>37948</v>
      </c>
    </row>
    <row r="50" spans="1:8" x14ac:dyDescent="0.3">
      <c r="A50" s="695" t="s">
        <v>187</v>
      </c>
      <c r="B50" s="696"/>
      <c r="C50" s="5" t="s">
        <v>126</v>
      </c>
      <c r="D50" s="26">
        <f>Mangochi!M50+Mangochi!N50+Mangochi!O50</f>
        <v>3132.42</v>
      </c>
      <c r="E50" s="26">
        <f>'Monkey Bay'!M50+'Monkey Bay'!N50+'Monkey Bay'!O50</f>
        <v>665</v>
      </c>
      <c r="F50" s="26">
        <f>Namwera!M50+Namwera!N50+Namwera!O50</f>
        <v>0</v>
      </c>
      <c r="G50" s="26">
        <f>Nkhudzi!M50+Nkhudzi!N50+Nkhudzi!O50</f>
        <v>0</v>
      </c>
      <c r="H50" s="39">
        <f>SUM(D50:F50)</f>
        <v>3797.42</v>
      </c>
    </row>
    <row r="51" spans="1:8" x14ac:dyDescent="0.3">
      <c r="A51" s="726" t="s">
        <v>125</v>
      </c>
      <c r="B51" s="727"/>
      <c r="C51" s="5" t="s">
        <v>31</v>
      </c>
      <c r="D51" s="4">
        <f>Mangochi!M51+Mangochi!N51+Mangochi!O51</f>
        <v>8562760.4399999995</v>
      </c>
      <c r="E51" s="4">
        <f>'Monkey Bay'!M51+'Monkey Bay'!N51+'Monkey Bay'!O51</f>
        <v>1818110</v>
      </c>
      <c r="F51" s="4">
        <f>Namwera!M51+Namwera!N51+Namwera!O51</f>
        <v>0</v>
      </c>
      <c r="G51" s="26">
        <f>Nkhudzi!M51+Nkhudzi!N51+Nkhudzi!O51</f>
        <v>0</v>
      </c>
      <c r="H51" s="40">
        <f>SUM(D51:F51)</f>
        <v>10380870.439999999</v>
      </c>
    </row>
    <row r="52" spans="1:8" x14ac:dyDescent="0.3">
      <c r="A52" s="695" t="s">
        <v>124</v>
      </c>
      <c r="B52" s="696"/>
      <c r="C52" s="5" t="s">
        <v>31</v>
      </c>
      <c r="D52" s="13">
        <v>0</v>
      </c>
      <c r="E52" s="13">
        <v>0</v>
      </c>
      <c r="F52" s="13">
        <v>0</v>
      </c>
      <c r="G52" s="26">
        <f>Nkhudzi!M52+Nkhudzi!N52+Nkhudzi!O52</f>
        <v>0</v>
      </c>
      <c r="H52" s="40">
        <f>SUM(D52:F52)</f>
        <v>0</v>
      </c>
    </row>
    <row r="53" spans="1:8" ht="15" thickBot="1" x14ac:dyDescent="0.35">
      <c r="A53" s="723" t="s">
        <v>123</v>
      </c>
      <c r="B53" s="724"/>
      <c r="C53" s="724"/>
      <c r="D53" s="724"/>
      <c r="E53" s="724"/>
      <c r="F53" s="724"/>
      <c r="G53" s="724"/>
      <c r="H53" s="725"/>
    </row>
    <row r="54" spans="1:8" x14ac:dyDescent="0.3">
      <c r="A54" s="695" t="s">
        <v>122</v>
      </c>
      <c r="B54" s="696"/>
      <c r="C54" s="11" t="s">
        <v>18</v>
      </c>
      <c r="D54" s="26">
        <f>Mangochi!M54+Mangochi!N54+Mangochi!O54</f>
        <v>61927132.099999994</v>
      </c>
      <c r="E54" s="26">
        <f>'Monkey Bay'!M54+'Monkey Bay'!N54+'Monkey Bay'!O54</f>
        <v>10145417.93</v>
      </c>
      <c r="F54" s="26">
        <f>Namwera!M54+Namwera!N54+Namwera!O54</f>
        <v>5648835.7700000005</v>
      </c>
      <c r="G54" s="193">
        <f>Nkhudzi!M54+Nkhudzi!N54+Nkhudzi!O54</f>
        <v>21085369.02</v>
      </c>
      <c r="H54" s="39">
        <f>SUM(D54:F54)</f>
        <v>77721385.799999997</v>
      </c>
    </row>
    <row r="55" spans="1:8" x14ac:dyDescent="0.3">
      <c r="A55" s="210" t="s">
        <v>121</v>
      </c>
      <c r="B55" s="211"/>
      <c r="C55" s="11" t="s">
        <v>18</v>
      </c>
      <c r="D55" s="26">
        <f>Mangochi!M55+Mangochi!N55+Mangochi!O55</f>
        <v>23809931.93</v>
      </c>
      <c r="E55" s="26">
        <f>'Monkey Bay'!M55+'Monkey Bay'!N55+'Monkey Bay'!O55</f>
        <v>4520245.03</v>
      </c>
      <c r="F55" s="26">
        <f>Namwera!M55+Namwera!N55+Namwera!O55</f>
        <v>1710361.81</v>
      </c>
      <c r="G55" s="26">
        <f>Nkhudzi!M55+Nkhudzi!N55+Nkhudzi!O55</f>
        <v>6879161.71</v>
      </c>
      <c r="H55" s="39">
        <f>SUM(D55:F55)</f>
        <v>30040538.77</v>
      </c>
    </row>
    <row r="56" spans="1:8" x14ac:dyDescent="0.3">
      <c r="A56" s="695" t="s">
        <v>120</v>
      </c>
      <c r="B56" s="696"/>
      <c r="C56" s="5" t="s">
        <v>18</v>
      </c>
      <c r="D56" s="26">
        <f>Mangochi!M56+Mangochi!N56+Mangochi!O56</f>
        <v>4836100</v>
      </c>
      <c r="E56" s="26">
        <f>'Monkey Bay'!M56+'Monkey Bay'!N56+'Monkey Bay'!O56</f>
        <v>1364000</v>
      </c>
      <c r="F56" s="26">
        <f>Namwera!M56+Namwera!N56+Namwera!O56</f>
        <v>394050</v>
      </c>
      <c r="G56" s="4">
        <f>Nkhudzi!M56+Nkhudzi!N56+Nkhudzi!O56</f>
        <v>258000</v>
      </c>
      <c r="H56" s="39">
        <f>SUM(D56:F56)</f>
        <v>6594150</v>
      </c>
    </row>
    <row r="57" spans="1:8" ht="14.4" x14ac:dyDescent="0.3">
      <c r="A57" s="723" t="s">
        <v>119</v>
      </c>
      <c r="B57" s="724"/>
      <c r="C57" s="724"/>
      <c r="D57" s="724"/>
      <c r="E57" s="724"/>
      <c r="F57" s="724"/>
      <c r="G57" s="724"/>
      <c r="H57" s="725"/>
    </row>
    <row r="58" spans="1:8" x14ac:dyDescent="0.3">
      <c r="A58" s="726" t="s">
        <v>118</v>
      </c>
      <c r="B58" s="727"/>
      <c r="C58" s="5" t="s">
        <v>18</v>
      </c>
      <c r="D58" s="13">
        <f>D41+D46+D51+D52+D54+D55+D56</f>
        <v>135431862.46825001</v>
      </c>
      <c r="E58" s="13">
        <f t="shared" ref="E58:G58" si="19">E41+E46+E51+E52+E54+E55+E56</f>
        <v>34665713.840000004</v>
      </c>
      <c r="F58" s="13">
        <f t="shared" si="19"/>
        <v>10983127.8025</v>
      </c>
      <c r="G58" s="13">
        <f t="shared" si="19"/>
        <v>158943643.32000002</v>
      </c>
      <c r="H58" s="64">
        <f>SUM(D58:F58)</f>
        <v>181080704.11075002</v>
      </c>
    </row>
    <row r="59" spans="1:8" x14ac:dyDescent="0.3">
      <c r="A59" s="726" t="s">
        <v>117</v>
      </c>
      <c r="B59" s="727"/>
      <c r="C59" s="5" t="s">
        <v>115</v>
      </c>
      <c r="D59" s="15">
        <f t="shared" ref="D59:H59" si="20">D58/D9</f>
        <v>343.02613241201578</v>
      </c>
      <c r="E59" s="15">
        <f t="shared" si="20"/>
        <v>194.64294487897183</v>
      </c>
      <c r="F59" s="15">
        <f t="shared" si="20"/>
        <v>889.82644434092197</v>
      </c>
      <c r="G59" s="15">
        <f t="shared" si="20"/>
        <v>14393.548979869054</v>
      </c>
      <c r="H59" s="103">
        <f t="shared" si="20"/>
        <v>309.40373905950725</v>
      </c>
    </row>
    <row r="60" spans="1:8" x14ac:dyDescent="0.3">
      <c r="A60" s="726" t="s">
        <v>116</v>
      </c>
      <c r="B60" s="727"/>
      <c r="C60" s="5" t="s">
        <v>115</v>
      </c>
      <c r="D60" s="15">
        <f>D58/D22</f>
        <v>522.19384900214652</v>
      </c>
      <c r="E60" s="15">
        <f t="shared" ref="E60:G60" si="21">E58/E22</f>
        <v>223.48539680493059</v>
      </c>
      <c r="F60" s="15">
        <f t="shared" si="21"/>
        <v>1190.1959040420459</v>
      </c>
      <c r="G60" s="15">
        <f t="shared" si="21"/>
        <v>14393.679325521165</v>
      </c>
      <c r="H60" s="104">
        <f>H58/H22</f>
        <v>427.38587831433421</v>
      </c>
    </row>
    <row r="61" spans="1:8" x14ac:dyDescent="0.3">
      <c r="A61" s="695" t="s">
        <v>114</v>
      </c>
      <c r="B61" s="696"/>
      <c r="C61" s="5" t="s">
        <v>3</v>
      </c>
      <c r="D61" s="4"/>
      <c r="E61" s="4"/>
      <c r="F61" s="4"/>
      <c r="G61" s="4">
        <f>Nkhudzi!O61</f>
        <v>14</v>
      </c>
      <c r="H61" s="39">
        <f>SUM(D61:F61)</f>
        <v>0</v>
      </c>
    </row>
    <row r="62" spans="1:8" ht="15.6" customHeight="1" x14ac:dyDescent="0.3">
      <c r="A62" s="726" t="s">
        <v>113</v>
      </c>
      <c r="B62" s="727"/>
      <c r="C62" s="5" t="s">
        <v>112</v>
      </c>
      <c r="D62" s="15">
        <f t="shared" ref="D62:H62" si="22">(D61*1000*31)/D9</f>
        <v>0</v>
      </c>
      <c r="E62" s="15">
        <f t="shared" si="22"/>
        <v>0</v>
      </c>
      <c r="F62" s="15">
        <f t="shared" si="22"/>
        <v>0</v>
      </c>
      <c r="G62" s="15">
        <f t="shared" si="22"/>
        <v>39.301982305052206</v>
      </c>
      <c r="H62" s="103">
        <f t="shared" si="22"/>
        <v>0</v>
      </c>
    </row>
    <row r="63" spans="1:8" x14ac:dyDescent="0.3">
      <c r="A63" s="740" t="s">
        <v>111</v>
      </c>
      <c r="B63" s="741"/>
      <c r="C63" s="38" t="s">
        <v>3</v>
      </c>
      <c r="D63" s="4"/>
      <c r="E63" s="4"/>
      <c r="F63" s="4"/>
      <c r="G63" s="4">
        <f>Nkhudzi!O63</f>
        <v>56</v>
      </c>
      <c r="H63" s="39">
        <f>SUM(D63:F63)</f>
        <v>0</v>
      </c>
    </row>
    <row r="64" spans="1:8" ht="14.4" x14ac:dyDescent="0.3">
      <c r="A64" s="785"/>
      <c r="B64" s="786"/>
      <c r="C64" s="786"/>
      <c r="D64" s="786"/>
      <c r="E64" s="786"/>
      <c r="F64" s="786"/>
      <c r="G64" s="786"/>
      <c r="H64" s="787"/>
    </row>
    <row r="65" spans="1:8" ht="14.4" customHeight="1" x14ac:dyDescent="0.3">
      <c r="A65" s="723" t="s">
        <v>110</v>
      </c>
      <c r="B65" s="724"/>
      <c r="C65" s="724"/>
      <c r="D65" s="724"/>
      <c r="E65" s="724"/>
      <c r="F65" s="724"/>
      <c r="G65" s="724"/>
      <c r="H65" s="725"/>
    </row>
    <row r="66" spans="1:8" x14ac:dyDescent="0.3">
      <c r="A66" s="728" t="s">
        <v>109</v>
      </c>
      <c r="B66" s="37" t="s">
        <v>85</v>
      </c>
      <c r="C66" s="5" t="s">
        <v>3</v>
      </c>
      <c r="D66" s="34">
        <f>Mangochi!M66</f>
        <v>857</v>
      </c>
      <c r="E66" s="34">
        <f>'Monkey Bay'!M66</f>
        <v>90</v>
      </c>
      <c r="F66" s="34">
        <f>Namwera!M66</f>
        <v>41</v>
      </c>
      <c r="G66" s="26">
        <f>Nkhudzi!M66</f>
        <v>153</v>
      </c>
      <c r="H66" s="35">
        <f>SUM(D66:F66)</f>
        <v>988</v>
      </c>
    </row>
    <row r="67" spans="1:8" x14ac:dyDescent="0.3">
      <c r="A67" s="729"/>
      <c r="B67" s="24" t="s">
        <v>104</v>
      </c>
      <c r="C67" s="5" t="s">
        <v>3</v>
      </c>
      <c r="D67" s="26">
        <f>Mangochi!M67+Mangochi!N67+Mangochi!O67</f>
        <v>533</v>
      </c>
      <c r="E67" s="26">
        <f>'Monkey Bay'!M67+'Monkey Bay'!N67+'Monkey Bay'!O67</f>
        <v>50</v>
      </c>
      <c r="F67" s="26">
        <f>Namwera!M67+Namwera!N67+Namwera!O67</f>
        <v>19</v>
      </c>
      <c r="G67" s="26">
        <f>Nkhudzi!M67+Nkhudzi!N67+Nkhudzi!O67</f>
        <v>683</v>
      </c>
      <c r="H67" s="35">
        <f>SUM(D67:F67)</f>
        <v>602</v>
      </c>
    </row>
    <row r="68" spans="1:8" ht="27" x14ac:dyDescent="0.3">
      <c r="A68" s="729"/>
      <c r="B68" s="24" t="s">
        <v>103</v>
      </c>
      <c r="C68" s="5" t="s">
        <v>3</v>
      </c>
      <c r="D68" s="26">
        <f>Mangochi!M68+Mangochi!N68+Mangochi!O68</f>
        <v>0</v>
      </c>
      <c r="E68" s="26">
        <f>'Monkey Bay'!M68+'Monkey Bay'!N68+'Monkey Bay'!O68</f>
        <v>5</v>
      </c>
      <c r="F68" s="26">
        <f>Namwera!M68+Namwera!N68+Namwera!O68</f>
        <v>0</v>
      </c>
      <c r="G68" s="26">
        <f>Nkhudzi!M68+Nkhudzi!N68+Nkhudzi!O68</f>
        <v>0</v>
      </c>
      <c r="H68" s="35">
        <f>SUM(D68:F68)</f>
        <v>5</v>
      </c>
    </row>
    <row r="69" spans="1:8" s="2" customFormat="1" ht="27" x14ac:dyDescent="0.3">
      <c r="A69" s="729"/>
      <c r="B69" s="24" t="s">
        <v>102</v>
      </c>
      <c r="C69" s="11" t="s">
        <v>3</v>
      </c>
      <c r="D69" s="26">
        <f>Mangochi!M69+Mangochi!N69+Mangochi!O69</f>
        <v>474</v>
      </c>
      <c r="E69" s="26">
        <f>'Monkey Bay'!M69+'Monkey Bay'!N69+'Monkey Bay'!O69</f>
        <v>28</v>
      </c>
      <c r="F69" s="26">
        <f>Namwera!M69+Namwera!N69+Namwera!O69</f>
        <v>15</v>
      </c>
      <c r="G69" s="26">
        <f>Nkhudzi!M69+Nkhudzi!N69+Nkhudzi!O69</f>
        <v>230</v>
      </c>
      <c r="H69" s="74">
        <f>SUM(D69:F69)</f>
        <v>517</v>
      </c>
    </row>
    <row r="70" spans="1:8" s="2" customFormat="1" x14ac:dyDescent="0.3">
      <c r="A70" s="729"/>
      <c r="B70" s="24" t="s">
        <v>188</v>
      </c>
      <c r="C70" s="11" t="s">
        <v>3</v>
      </c>
      <c r="D70" s="4">
        <f>D68+D69</f>
        <v>474</v>
      </c>
      <c r="E70" s="4">
        <f t="shared" ref="E70:F70" si="23">E68+E69</f>
        <v>33</v>
      </c>
      <c r="F70" s="4">
        <f t="shared" si="23"/>
        <v>15</v>
      </c>
      <c r="G70" s="26">
        <f>Nkhudzi!M70+Nkhudzi!N70+Nkhudzi!O70</f>
        <v>230</v>
      </c>
      <c r="H70" s="105">
        <f t="shared" ref="H70" si="24">H68+H69</f>
        <v>522</v>
      </c>
    </row>
    <row r="71" spans="1:8" x14ac:dyDescent="0.3">
      <c r="A71" s="730"/>
      <c r="B71" s="37" t="s">
        <v>81</v>
      </c>
      <c r="C71" s="5" t="s">
        <v>3</v>
      </c>
      <c r="D71" s="34">
        <f>D66+D67-D70</f>
        <v>916</v>
      </c>
      <c r="E71" s="34">
        <f t="shared" ref="E71:G71" si="25">E66+E67-E70</f>
        <v>107</v>
      </c>
      <c r="F71" s="34">
        <f t="shared" si="25"/>
        <v>45</v>
      </c>
      <c r="G71" s="26">
        <f t="shared" si="25"/>
        <v>606</v>
      </c>
      <c r="H71" s="55">
        <f>H66+H67-H70</f>
        <v>1068</v>
      </c>
    </row>
    <row r="72" spans="1:8" x14ac:dyDescent="0.3">
      <c r="A72" s="728" t="s">
        <v>108</v>
      </c>
      <c r="B72" s="37" t="s">
        <v>85</v>
      </c>
      <c r="C72" s="5" t="s">
        <v>3</v>
      </c>
      <c r="D72" s="34">
        <f>Mangochi!M72</f>
        <v>0</v>
      </c>
      <c r="E72" s="34">
        <f>'Monkey Bay'!M72</f>
        <v>0</v>
      </c>
      <c r="F72" s="34">
        <f>Namwera!M72</f>
        <v>0</v>
      </c>
      <c r="G72" s="26">
        <f>Nkhudzi!M72+Nkhudzi!N72+Nkhudzi!O72</f>
        <v>0</v>
      </c>
      <c r="H72" s="35">
        <f>SUM(D72:F72)</f>
        <v>0</v>
      </c>
    </row>
    <row r="73" spans="1:8" x14ac:dyDescent="0.3">
      <c r="A73" s="729"/>
      <c r="B73" s="24" t="s">
        <v>104</v>
      </c>
      <c r="C73" s="5" t="s">
        <v>3</v>
      </c>
      <c r="D73" s="26">
        <f>Mangochi!M73+Mangochi!N73+Mangochi!O73</f>
        <v>4</v>
      </c>
      <c r="E73" s="26">
        <f>'Monkey Bay'!M73+'Monkey Bay'!N73+'Monkey Bay'!O73</f>
        <v>0</v>
      </c>
      <c r="F73" s="26">
        <f>Namwera!M73+Namwera!N73+Namwera!O73</f>
        <v>0</v>
      </c>
      <c r="G73" s="26">
        <f>Nkhudzi!M73+Nkhudzi!N73+Nkhudzi!O73</f>
        <v>0</v>
      </c>
      <c r="H73" s="35">
        <f>SUM(D73:F73)</f>
        <v>4</v>
      </c>
    </row>
    <row r="74" spans="1:8" ht="27" x14ac:dyDescent="0.3">
      <c r="A74" s="729"/>
      <c r="B74" s="24" t="s">
        <v>103</v>
      </c>
      <c r="C74" s="5" t="s">
        <v>3</v>
      </c>
      <c r="D74" s="26">
        <f>Mangochi!M74+Mangochi!N74+Mangochi!O74</f>
        <v>0</v>
      </c>
      <c r="E74" s="26">
        <f>'Monkey Bay'!M74+'Monkey Bay'!N74+'Monkey Bay'!O74</f>
        <v>0</v>
      </c>
      <c r="F74" s="26">
        <f>Namwera!M74+Namwera!N74+Namwera!O74</f>
        <v>0</v>
      </c>
      <c r="G74" s="26">
        <f>Nkhudzi!M74+Nkhudzi!N74+Nkhudzi!O74</f>
        <v>0</v>
      </c>
      <c r="H74" s="35">
        <f>SUM(D74:F74)</f>
        <v>0</v>
      </c>
    </row>
    <row r="75" spans="1:8" s="2" customFormat="1" ht="27" x14ac:dyDescent="0.3">
      <c r="A75" s="729"/>
      <c r="B75" s="24" t="s">
        <v>102</v>
      </c>
      <c r="C75" s="11" t="s">
        <v>3</v>
      </c>
      <c r="D75" s="26">
        <f>Mangochi!M75+Mangochi!N75+Mangochi!O75</f>
        <v>4</v>
      </c>
      <c r="E75" s="26">
        <f>'Monkey Bay'!M75+'Monkey Bay'!N75+'Monkey Bay'!O75</f>
        <v>0</v>
      </c>
      <c r="F75" s="26">
        <f>Namwera!M75+Namwera!N75+Namwera!O75</f>
        <v>0</v>
      </c>
      <c r="G75" s="26">
        <f>Nkhudzi!M75+Nkhudzi!N75+Nkhudzi!O75</f>
        <v>0</v>
      </c>
      <c r="H75" s="35">
        <f>SUM(D75:F75)</f>
        <v>4</v>
      </c>
    </row>
    <row r="76" spans="1:8" s="2" customFormat="1" x14ac:dyDescent="0.3">
      <c r="A76" s="729"/>
      <c r="B76" s="24" t="s">
        <v>188</v>
      </c>
      <c r="C76" s="11" t="s">
        <v>3</v>
      </c>
      <c r="D76" s="4">
        <f>D74+D75</f>
        <v>4</v>
      </c>
      <c r="E76" s="4">
        <f t="shared" ref="E76:F76" si="26">E74+E75</f>
        <v>0</v>
      </c>
      <c r="F76" s="4">
        <f t="shared" si="26"/>
        <v>0</v>
      </c>
      <c r="G76" s="26">
        <f>Nkhudzi!M76+Nkhudzi!N76+Nkhudzi!O76</f>
        <v>0</v>
      </c>
      <c r="H76" s="105">
        <f t="shared" ref="H76" si="27">H74+H75</f>
        <v>4</v>
      </c>
    </row>
    <row r="77" spans="1:8" x14ac:dyDescent="0.3">
      <c r="A77" s="730"/>
      <c r="B77" s="37" t="s">
        <v>81</v>
      </c>
      <c r="C77" s="5" t="s">
        <v>3</v>
      </c>
      <c r="D77" s="34">
        <f>D72+D73-D76</f>
        <v>0</v>
      </c>
      <c r="E77" s="34">
        <f t="shared" ref="E77:F77" si="28">E72+E73-E76</f>
        <v>0</v>
      </c>
      <c r="F77" s="34">
        <f t="shared" si="28"/>
        <v>0</v>
      </c>
      <c r="G77" s="26">
        <f t="shared" ref="G77:H77" si="29">G73+G74-G76</f>
        <v>0</v>
      </c>
      <c r="H77" s="106">
        <f t="shared" si="29"/>
        <v>0</v>
      </c>
    </row>
    <row r="78" spans="1:8" ht="15.6" customHeight="1" x14ac:dyDescent="0.3">
      <c r="A78" s="728" t="s">
        <v>107</v>
      </c>
      <c r="B78" s="37" t="s">
        <v>85</v>
      </c>
      <c r="C78" s="5" t="s">
        <v>3</v>
      </c>
      <c r="D78" s="34">
        <f>Mangochi!M78</f>
        <v>0</v>
      </c>
      <c r="E78" s="34">
        <f>'Monkey Bay'!M78</f>
        <v>0</v>
      </c>
      <c r="F78" s="34">
        <f>Namwera!M78</f>
        <v>0</v>
      </c>
      <c r="G78" s="26">
        <f>Nkhudzi!M78+Nkhudzi!N78+Nkhudzi!O78</f>
        <v>0</v>
      </c>
      <c r="H78" s="35">
        <f>SUM(D78:F78)</f>
        <v>0</v>
      </c>
    </row>
    <row r="79" spans="1:8" x14ac:dyDescent="0.3">
      <c r="A79" s="729"/>
      <c r="B79" s="24" t="s">
        <v>104</v>
      </c>
      <c r="C79" s="5" t="s">
        <v>3</v>
      </c>
      <c r="D79" s="26">
        <f>Mangochi!M79+Mangochi!N79+Mangochi!O79</f>
        <v>22</v>
      </c>
      <c r="E79" s="26">
        <f>'Monkey Bay'!M79+'Monkey Bay'!N79+'Monkey Bay'!O79</f>
        <v>0</v>
      </c>
      <c r="F79" s="26">
        <f>Namwera!M79+Namwera!N79+Namwera!O79</f>
        <v>0</v>
      </c>
      <c r="G79" s="26">
        <f>Nkhudzi!M79+Nkhudzi!N79+Nkhudzi!O79</f>
        <v>0</v>
      </c>
      <c r="H79" s="35">
        <f>SUM(D79:F79)</f>
        <v>22</v>
      </c>
    </row>
    <row r="80" spans="1:8" ht="27" x14ac:dyDescent="0.3">
      <c r="A80" s="729"/>
      <c r="B80" s="24" t="s">
        <v>103</v>
      </c>
      <c r="C80" s="5" t="s">
        <v>3</v>
      </c>
      <c r="D80" s="26">
        <f>Mangochi!M80+Mangochi!N80+Mangochi!O80</f>
        <v>0</v>
      </c>
      <c r="E80" s="26">
        <f>'Monkey Bay'!M80+'Monkey Bay'!N80+'Monkey Bay'!O80</f>
        <v>0</v>
      </c>
      <c r="F80" s="26">
        <f>Namwera!M80+Namwera!N80+Namwera!O80</f>
        <v>0</v>
      </c>
      <c r="G80" s="26">
        <f>Nkhudzi!M80+Nkhudzi!N80+Nkhudzi!O80</f>
        <v>0</v>
      </c>
      <c r="H80" s="35">
        <f>SUM(D80:F80)</f>
        <v>0</v>
      </c>
    </row>
    <row r="81" spans="1:8" s="2" customFormat="1" ht="27" x14ac:dyDescent="0.3">
      <c r="A81" s="729"/>
      <c r="B81" s="24" t="s">
        <v>102</v>
      </c>
      <c r="C81" s="11" t="s">
        <v>3</v>
      </c>
      <c r="D81" s="26">
        <f>Mangochi!M81+Mangochi!N81+Mangochi!O81</f>
        <v>21</v>
      </c>
      <c r="E81" s="26">
        <f>'Monkey Bay'!M81+'Monkey Bay'!N81+'Monkey Bay'!O81</f>
        <v>0</v>
      </c>
      <c r="F81" s="26">
        <f>Namwera!M81+Namwera!N81+Namwera!O81</f>
        <v>0</v>
      </c>
      <c r="G81" s="26">
        <f>Nkhudzi!M81+Nkhudzi!N81+Nkhudzi!O81</f>
        <v>0</v>
      </c>
      <c r="H81" s="74">
        <f>SUM(D81:F81)</f>
        <v>21</v>
      </c>
    </row>
    <row r="82" spans="1:8" s="2" customFormat="1" x14ac:dyDescent="0.3">
      <c r="A82" s="729"/>
      <c r="B82" s="24" t="s">
        <v>188</v>
      </c>
      <c r="C82" s="11" t="s">
        <v>3</v>
      </c>
      <c r="D82" s="4">
        <f>D80+D81</f>
        <v>21</v>
      </c>
      <c r="E82" s="4">
        <f t="shared" ref="E82:F82" si="30">E80+E81</f>
        <v>0</v>
      </c>
      <c r="F82" s="4">
        <f t="shared" si="30"/>
        <v>0</v>
      </c>
      <c r="G82" s="26">
        <f>Nkhudzi!M82+Nkhudzi!N82+Nkhudzi!O82</f>
        <v>0</v>
      </c>
      <c r="H82" s="105">
        <f t="shared" ref="H82" si="31">H81+H80</f>
        <v>21</v>
      </c>
    </row>
    <row r="83" spans="1:8" x14ac:dyDescent="0.3">
      <c r="A83" s="730"/>
      <c r="B83" s="37" t="s">
        <v>81</v>
      </c>
      <c r="C83" s="5" t="s">
        <v>3</v>
      </c>
      <c r="D83" s="34">
        <f>D78+D79-D82</f>
        <v>1</v>
      </c>
      <c r="E83" s="34">
        <f t="shared" ref="E83:F83" si="32">E78+E79-E82</f>
        <v>0</v>
      </c>
      <c r="F83" s="34">
        <f t="shared" si="32"/>
        <v>0</v>
      </c>
      <c r="G83" s="26">
        <f>Nkhudzi!M83+Nkhudzi!N83+Nkhudzi!O83</f>
        <v>0</v>
      </c>
      <c r="H83" s="106">
        <f t="shared" ref="H83" si="33">H78+H79-H82</f>
        <v>1</v>
      </c>
    </row>
    <row r="84" spans="1:8" x14ac:dyDescent="0.3">
      <c r="A84" s="731" t="s">
        <v>106</v>
      </c>
      <c r="B84" s="37" t="s">
        <v>85</v>
      </c>
      <c r="C84" s="5" t="s">
        <v>3</v>
      </c>
      <c r="D84" s="34">
        <f>Mangochi!M84</f>
        <v>0</v>
      </c>
      <c r="E84" s="34">
        <f>'Monkey Bay'!M84</f>
        <v>0</v>
      </c>
      <c r="F84" s="34">
        <f>Namwera!M84</f>
        <v>0</v>
      </c>
      <c r="G84" s="26">
        <f>Nkhudzi!M84+Nkhudzi!N84+Nkhudzi!O84</f>
        <v>0</v>
      </c>
      <c r="H84" s="35">
        <f>SUM(D84:F84)</f>
        <v>0</v>
      </c>
    </row>
    <row r="85" spans="1:8" x14ac:dyDescent="0.3">
      <c r="A85" s="732"/>
      <c r="B85" s="37" t="s">
        <v>104</v>
      </c>
      <c r="C85" s="5" t="s">
        <v>3</v>
      </c>
      <c r="D85" s="26">
        <f>Mangochi!M85+Mangochi!N85+Mangochi!O85</f>
        <v>0</v>
      </c>
      <c r="E85" s="26">
        <f>'Monkey Bay'!M85+'Monkey Bay'!N85+'Monkey Bay'!O85</f>
        <v>0</v>
      </c>
      <c r="F85" s="26">
        <f>Namwera!M85+Namwera!N85+Namwera!O85</f>
        <v>0</v>
      </c>
      <c r="G85" s="26">
        <f>Nkhudzi!M85+Nkhudzi!N85+Nkhudzi!O85</f>
        <v>0</v>
      </c>
      <c r="H85" s="35">
        <f>SUM(D85:F85)</f>
        <v>0</v>
      </c>
    </row>
    <row r="86" spans="1:8" ht="27" x14ac:dyDescent="0.3">
      <c r="A86" s="732"/>
      <c r="B86" s="37" t="s">
        <v>103</v>
      </c>
      <c r="C86" s="5" t="s">
        <v>3</v>
      </c>
      <c r="D86" s="26">
        <f>Mangochi!M86+Mangochi!N86+Mangochi!O86</f>
        <v>0</v>
      </c>
      <c r="E86" s="26">
        <f>'Monkey Bay'!M86+'Monkey Bay'!N86+'Monkey Bay'!O86</f>
        <v>0</v>
      </c>
      <c r="F86" s="26">
        <f>Namwera!M86+Namwera!N86+Namwera!O86</f>
        <v>0</v>
      </c>
      <c r="G86" s="26">
        <f>Nkhudzi!M86+Nkhudzi!N86+Nkhudzi!O86</f>
        <v>0</v>
      </c>
      <c r="H86" s="35">
        <f>SUM(D86:F86)</f>
        <v>0</v>
      </c>
    </row>
    <row r="87" spans="1:8" s="2" customFormat="1" ht="27" x14ac:dyDescent="0.3">
      <c r="A87" s="732"/>
      <c r="B87" s="24" t="s">
        <v>102</v>
      </c>
      <c r="C87" s="11" t="s">
        <v>3</v>
      </c>
      <c r="D87" s="26">
        <f>Mangochi!M87+Mangochi!N87+Mangochi!O87</f>
        <v>0</v>
      </c>
      <c r="E87" s="26">
        <f>'Monkey Bay'!M87+'Monkey Bay'!N87+'Monkey Bay'!O87</f>
        <v>0</v>
      </c>
      <c r="F87" s="26">
        <f>Namwera!M87+Namwera!N87+Namwera!O87</f>
        <v>0</v>
      </c>
      <c r="G87" s="26">
        <f>Nkhudzi!M87+Nkhudzi!N87+Nkhudzi!O87</f>
        <v>0</v>
      </c>
      <c r="H87" s="74">
        <f>SUM(D87:F87)</f>
        <v>0</v>
      </c>
    </row>
    <row r="88" spans="1:8" s="2" customFormat="1" x14ac:dyDescent="0.3">
      <c r="A88" s="732"/>
      <c r="B88" s="24" t="s">
        <v>188</v>
      </c>
      <c r="C88" s="11" t="s">
        <v>3</v>
      </c>
      <c r="D88" s="4">
        <f>D86+D87</f>
        <v>0</v>
      </c>
      <c r="E88" s="4">
        <f t="shared" ref="E88:F88" si="34">E86+E87</f>
        <v>0</v>
      </c>
      <c r="F88" s="4">
        <f t="shared" si="34"/>
        <v>0</v>
      </c>
      <c r="G88" s="26">
        <f>Nkhudzi!M88+Nkhudzi!N88+Nkhudzi!O88</f>
        <v>0</v>
      </c>
      <c r="H88" s="74"/>
    </row>
    <row r="89" spans="1:8" x14ac:dyDescent="0.3">
      <c r="A89" s="733"/>
      <c r="B89" s="36" t="s">
        <v>81</v>
      </c>
      <c r="C89" s="5" t="s">
        <v>3</v>
      </c>
      <c r="D89" s="34">
        <f>D84+D85-D88</f>
        <v>0</v>
      </c>
      <c r="E89" s="34">
        <f t="shared" ref="E89:F89" si="35">E84+E85-E88</f>
        <v>0</v>
      </c>
      <c r="F89" s="34">
        <f t="shared" si="35"/>
        <v>0</v>
      </c>
      <c r="G89" s="26">
        <f>Nkhudzi!M89+Nkhudzi!N89+Nkhudzi!O89</f>
        <v>0</v>
      </c>
      <c r="H89" s="106">
        <f t="shared" ref="H89" si="36">H84+H85-H86-H87</f>
        <v>0</v>
      </c>
    </row>
    <row r="90" spans="1:8" x14ac:dyDescent="0.3">
      <c r="A90" s="734" t="s">
        <v>105</v>
      </c>
      <c r="B90" s="24" t="s">
        <v>85</v>
      </c>
      <c r="C90" s="11" t="s">
        <v>3</v>
      </c>
      <c r="D90" s="136">
        <f>D66+D72+D78+D84</f>
        <v>857</v>
      </c>
      <c r="E90" s="136">
        <f t="shared" ref="E90:G93" si="37">E66+E72+E78+E84</f>
        <v>90</v>
      </c>
      <c r="F90" s="136">
        <f t="shared" si="37"/>
        <v>41</v>
      </c>
      <c r="G90" s="136">
        <f t="shared" si="37"/>
        <v>153</v>
      </c>
      <c r="H90" s="35">
        <f>SUM(D90:F90)</f>
        <v>988</v>
      </c>
    </row>
    <row r="91" spans="1:8" x14ac:dyDescent="0.3">
      <c r="A91" s="735"/>
      <c r="B91" s="24" t="s">
        <v>104</v>
      </c>
      <c r="C91" s="11" t="s">
        <v>3</v>
      </c>
      <c r="D91" s="136">
        <f t="shared" ref="D91:F93" si="38">D67+D73+D79+D85</f>
        <v>559</v>
      </c>
      <c r="E91" s="136">
        <f t="shared" si="38"/>
        <v>50</v>
      </c>
      <c r="F91" s="136">
        <f t="shared" si="38"/>
        <v>19</v>
      </c>
      <c r="G91" s="136">
        <f t="shared" si="37"/>
        <v>683</v>
      </c>
      <c r="H91" s="35">
        <f>SUM(D91:F91)</f>
        <v>628</v>
      </c>
    </row>
    <row r="92" spans="1:8" ht="27" x14ac:dyDescent="0.3">
      <c r="A92" s="735"/>
      <c r="B92" s="24" t="s">
        <v>103</v>
      </c>
      <c r="C92" s="11" t="s">
        <v>3</v>
      </c>
      <c r="D92" s="136">
        <f t="shared" si="38"/>
        <v>0</v>
      </c>
      <c r="E92" s="136">
        <f t="shared" si="38"/>
        <v>5</v>
      </c>
      <c r="F92" s="136">
        <f t="shared" si="38"/>
        <v>0</v>
      </c>
      <c r="G92" s="136">
        <f t="shared" si="37"/>
        <v>0</v>
      </c>
      <c r="H92" s="35">
        <f>SUM(D92:F92)</f>
        <v>5</v>
      </c>
    </row>
    <row r="93" spans="1:8" s="2" customFormat="1" ht="27" x14ac:dyDescent="0.3">
      <c r="A93" s="735"/>
      <c r="B93" s="24" t="s">
        <v>102</v>
      </c>
      <c r="C93" s="11"/>
      <c r="D93" s="136">
        <f t="shared" si="38"/>
        <v>499</v>
      </c>
      <c r="E93" s="136">
        <f t="shared" si="38"/>
        <v>28</v>
      </c>
      <c r="F93" s="136">
        <f t="shared" si="38"/>
        <v>15</v>
      </c>
      <c r="G93" s="136">
        <f t="shared" si="37"/>
        <v>230</v>
      </c>
      <c r="H93" s="35">
        <f>SUM(D93:F93)</f>
        <v>542</v>
      </c>
    </row>
    <row r="94" spans="1:8" s="2" customFormat="1" x14ac:dyDescent="0.3">
      <c r="A94" s="735"/>
      <c r="B94" s="24" t="s">
        <v>188</v>
      </c>
      <c r="C94" s="11" t="s">
        <v>3</v>
      </c>
      <c r="D94" s="137">
        <f>D93+D92</f>
        <v>499</v>
      </c>
      <c r="E94" s="137">
        <f t="shared" ref="E94:H94" si="39">E93+E92</f>
        <v>33</v>
      </c>
      <c r="F94" s="137">
        <f t="shared" si="39"/>
        <v>15</v>
      </c>
      <c r="G94" s="137">
        <f t="shared" si="39"/>
        <v>230</v>
      </c>
      <c r="H94" s="107">
        <f t="shared" si="39"/>
        <v>547</v>
      </c>
    </row>
    <row r="95" spans="1:8" ht="16.2" thickBot="1" x14ac:dyDescent="0.35">
      <c r="A95" s="736"/>
      <c r="B95" s="24" t="s">
        <v>81</v>
      </c>
      <c r="C95" s="11" t="s">
        <v>3</v>
      </c>
      <c r="D95" s="138">
        <f>D90+D91-D94</f>
        <v>917</v>
      </c>
      <c r="E95" s="138">
        <f t="shared" ref="E95:H95" si="40">E90+E91-E94</f>
        <v>107</v>
      </c>
      <c r="F95" s="138">
        <f t="shared" si="40"/>
        <v>45</v>
      </c>
      <c r="G95" s="138">
        <f t="shared" si="40"/>
        <v>606</v>
      </c>
      <c r="H95" s="145">
        <f t="shared" si="40"/>
        <v>1069</v>
      </c>
    </row>
    <row r="96" spans="1:8" ht="16.2" customHeight="1" thickBot="1" x14ac:dyDescent="0.35">
      <c r="A96" s="788"/>
      <c r="B96" s="789"/>
      <c r="C96" s="789"/>
      <c r="D96" s="789"/>
      <c r="E96" s="789"/>
      <c r="F96" s="789"/>
      <c r="G96" s="789"/>
      <c r="H96" s="790"/>
    </row>
    <row r="97" spans="1:8" s="2" customFormat="1" ht="15.75" customHeight="1" thickBot="1" x14ac:dyDescent="0.35">
      <c r="A97" s="737" t="s">
        <v>189</v>
      </c>
      <c r="B97" s="738"/>
      <c r="C97" s="738"/>
      <c r="D97" s="738"/>
      <c r="E97" s="738"/>
      <c r="F97" s="738"/>
      <c r="G97" s="738"/>
      <c r="H97" s="739"/>
    </row>
    <row r="98" spans="1:8" x14ac:dyDescent="0.3">
      <c r="A98" s="88" t="s">
        <v>190</v>
      </c>
      <c r="B98" s="69"/>
      <c r="C98" s="11" t="s">
        <v>3</v>
      </c>
      <c r="D98" s="26">
        <f>Mangochi!M98+Mangochi!N98+Mangochi!O98</f>
        <v>499</v>
      </c>
      <c r="E98" s="26">
        <f>'Monkey Bay'!M98+'Monkey Bay'!N98+'Monkey Bay'!O98</f>
        <v>28</v>
      </c>
      <c r="F98" s="26">
        <f>Namwera!M98+Namwera!N98+Namwera!O98</f>
        <v>15</v>
      </c>
      <c r="G98" s="190">
        <f>Nkhudzi!M98+Nkhudzi!N98+Nkhudzi!O98</f>
        <v>230</v>
      </c>
      <c r="H98" s="108">
        <f>SUM(D98:F98)</f>
        <v>542</v>
      </c>
    </row>
    <row r="99" spans="1:8" x14ac:dyDescent="0.3">
      <c r="A99" s="88"/>
      <c r="B99" s="24"/>
      <c r="C99" s="11"/>
      <c r="D99" s="65"/>
      <c r="E99" s="65"/>
      <c r="F99" s="65"/>
      <c r="G99" s="65"/>
      <c r="H99" s="107"/>
    </row>
    <row r="100" spans="1:8" s="2" customFormat="1" ht="15" thickBot="1" x14ac:dyDescent="0.35">
      <c r="A100" s="748" t="s">
        <v>101</v>
      </c>
      <c r="B100" s="749"/>
      <c r="C100" s="749"/>
      <c r="D100" s="749"/>
      <c r="E100" s="749"/>
      <c r="F100" s="749"/>
      <c r="G100" s="749"/>
      <c r="H100" s="750"/>
    </row>
    <row r="101" spans="1:8" x14ac:dyDescent="0.3">
      <c r="A101" s="695" t="s">
        <v>100</v>
      </c>
      <c r="B101" s="696"/>
      <c r="C101" s="11" t="s">
        <v>3</v>
      </c>
      <c r="D101" s="26">
        <f>Mangochi!O101</f>
        <v>1850</v>
      </c>
      <c r="E101" s="26">
        <f>'Monkey Bay'!O101</f>
        <v>328</v>
      </c>
      <c r="F101" s="26">
        <f>Namwera!O101</f>
        <v>292</v>
      </c>
      <c r="G101" s="193">
        <f>Nkhudzi!O101</f>
        <v>0</v>
      </c>
      <c r="H101" s="32">
        <f>SUM(D101:F101)</f>
        <v>2470</v>
      </c>
    </row>
    <row r="102" spans="1:8" x14ac:dyDescent="0.3">
      <c r="A102" s="695" t="s">
        <v>99</v>
      </c>
      <c r="B102" s="696"/>
      <c r="C102" s="11" t="s">
        <v>3</v>
      </c>
      <c r="D102" s="26">
        <f>Mangochi!O102</f>
        <v>2</v>
      </c>
      <c r="E102" s="26">
        <f>'Monkey Bay'!O102</f>
        <v>0</v>
      </c>
      <c r="F102" s="26">
        <f>Namwera!O102</f>
        <v>0</v>
      </c>
      <c r="G102" s="26">
        <f>Nkhudzi!O102</f>
        <v>0</v>
      </c>
      <c r="H102" s="32">
        <f>SUM(D102:F102)</f>
        <v>2</v>
      </c>
    </row>
    <row r="103" spans="1:8" ht="15.6" customHeight="1" x14ac:dyDescent="0.3">
      <c r="A103" s="702" t="s">
        <v>98</v>
      </c>
      <c r="B103" s="703"/>
      <c r="C103" s="11" t="s">
        <v>3</v>
      </c>
      <c r="D103" s="26">
        <f>Mangochi!O103</f>
        <v>142</v>
      </c>
      <c r="E103" s="26">
        <f>'Monkey Bay'!O103</f>
        <v>0</v>
      </c>
      <c r="F103" s="26">
        <f>Namwera!O103</f>
        <v>0</v>
      </c>
      <c r="G103" s="26">
        <f>Nkhudzi!O103</f>
        <v>0</v>
      </c>
      <c r="H103" s="32">
        <f>SUM(D103:F103)</f>
        <v>142</v>
      </c>
    </row>
    <row r="104" spans="1:8" x14ac:dyDescent="0.3">
      <c r="A104" s="702" t="s">
        <v>97</v>
      </c>
      <c r="B104" s="703"/>
      <c r="C104" s="11" t="s">
        <v>3</v>
      </c>
      <c r="D104" s="26">
        <f>Mangochi!O104</f>
        <v>10</v>
      </c>
      <c r="E104" s="26">
        <f>'Monkey Bay'!O104</f>
        <v>0</v>
      </c>
      <c r="F104" s="26">
        <f>Namwera!O104</f>
        <v>0</v>
      </c>
      <c r="G104" s="26">
        <f>Nkhudzi!O104</f>
        <v>0</v>
      </c>
      <c r="H104" s="32">
        <f>SUM(D104:F104)</f>
        <v>10</v>
      </c>
    </row>
    <row r="105" spans="1:8" x14ac:dyDescent="0.3">
      <c r="A105" s="751" t="s">
        <v>96</v>
      </c>
      <c r="B105" s="752"/>
      <c r="C105" s="11" t="s">
        <v>3</v>
      </c>
      <c r="D105" s="33">
        <f>SUM(D101:D104)</f>
        <v>2004</v>
      </c>
      <c r="E105" s="33">
        <f t="shared" ref="E105:G105" si="41">SUM(E101:E104)</f>
        <v>328</v>
      </c>
      <c r="F105" s="33">
        <f t="shared" si="41"/>
        <v>292</v>
      </c>
      <c r="G105" s="33">
        <f t="shared" si="41"/>
        <v>0</v>
      </c>
      <c r="H105" s="55">
        <f>SUM(D105:F105)</f>
        <v>2624</v>
      </c>
    </row>
    <row r="106" spans="1:8" s="2" customFormat="1" ht="15.6" customHeight="1" thickBot="1" x14ac:dyDescent="0.35">
      <c r="A106" s="745" t="s">
        <v>210</v>
      </c>
      <c r="B106" s="746"/>
      <c r="C106" s="746"/>
      <c r="D106" s="746"/>
      <c r="E106" s="746"/>
      <c r="F106" s="746"/>
      <c r="G106" s="746"/>
      <c r="H106" s="747"/>
    </row>
    <row r="107" spans="1:8" x14ac:dyDescent="0.3">
      <c r="A107" s="695" t="s">
        <v>193</v>
      </c>
      <c r="B107" s="696"/>
      <c r="C107" s="11" t="s">
        <v>3</v>
      </c>
      <c r="D107" s="26">
        <f>Mangochi!O107</f>
        <v>4778</v>
      </c>
      <c r="E107" s="26">
        <f>'Monkey Bay'!O107</f>
        <v>1481</v>
      </c>
      <c r="F107" s="26">
        <f>Namwera!O107</f>
        <v>232</v>
      </c>
      <c r="G107" s="193">
        <f>Nkhudzi!O107</f>
        <v>0</v>
      </c>
      <c r="H107" s="32">
        <f>SUM(D107:F107)</f>
        <v>6491</v>
      </c>
    </row>
    <row r="108" spans="1:8" x14ac:dyDescent="0.3">
      <c r="A108" s="695" t="s">
        <v>194</v>
      </c>
      <c r="B108" s="696"/>
      <c r="C108" s="11" t="s">
        <v>3</v>
      </c>
      <c r="D108" s="26">
        <f>Mangochi!O108</f>
        <v>7</v>
      </c>
      <c r="E108" s="26">
        <f>'Monkey Bay'!O108</f>
        <v>17</v>
      </c>
      <c r="F108" s="26">
        <f>Namwera!O108</f>
        <v>1</v>
      </c>
      <c r="G108" s="26">
        <f>Nkhudzi!O108</f>
        <v>0</v>
      </c>
      <c r="H108" s="32">
        <f>SUM(D108:F108)</f>
        <v>25</v>
      </c>
    </row>
    <row r="109" spans="1:8" x14ac:dyDescent="0.3">
      <c r="A109" s="695" t="s">
        <v>195</v>
      </c>
      <c r="B109" s="696"/>
      <c r="C109" s="11" t="s">
        <v>3</v>
      </c>
      <c r="D109" s="26">
        <f>Mangochi!O109</f>
        <v>6</v>
      </c>
      <c r="E109" s="26">
        <f>'Monkey Bay'!O109</f>
        <v>12</v>
      </c>
      <c r="F109" s="26">
        <f>Namwera!O109</f>
        <v>0</v>
      </c>
      <c r="G109" s="26">
        <f>Nkhudzi!O109</f>
        <v>0</v>
      </c>
      <c r="H109" s="32">
        <f>SUM(D109:F109)</f>
        <v>18</v>
      </c>
    </row>
    <row r="110" spans="1:8" x14ac:dyDescent="0.3">
      <c r="A110" s="695" t="s">
        <v>196</v>
      </c>
      <c r="B110" s="696"/>
      <c r="C110" s="11" t="s">
        <v>3</v>
      </c>
      <c r="D110" s="26">
        <f>Mangochi!O110</f>
        <v>0</v>
      </c>
      <c r="E110" s="26">
        <f>'Monkey Bay'!O110</f>
        <v>0</v>
      </c>
      <c r="F110" s="26">
        <f>Namwera!O110</f>
        <v>0</v>
      </c>
      <c r="G110" s="26">
        <f>Nkhudzi!O110</f>
        <v>0</v>
      </c>
      <c r="H110" s="32">
        <f>SUM(D110:F110)</f>
        <v>0</v>
      </c>
    </row>
    <row r="111" spans="1:8" x14ac:dyDescent="0.3">
      <c r="A111" s="697" t="s">
        <v>95</v>
      </c>
      <c r="B111" s="698"/>
      <c r="C111" s="11" t="s">
        <v>3</v>
      </c>
      <c r="D111" s="33">
        <f>SUM(D107:D110)</f>
        <v>4791</v>
      </c>
      <c r="E111" s="33">
        <f t="shared" ref="E111:G111" si="42">SUM(E107:E110)</f>
        <v>1510</v>
      </c>
      <c r="F111" s="33">
        <f t="shared" si="42"/>
        <v>233</v>
      </c>
      <c r="G111" s="33">
        <f t="shared" si="42"/>
        <v>0</v>
      </c>
      <c r="H111" s="55">
        <f>SUM(D111:F111)</f>
        <v>6534</v>
      </c>
    </row>
    <row r="112" spans="1:8" s="2" customFormat="1" ht="15.6" customHeight="1" thickBot="1" x14ac:dyDescent="0.35">
      <c r="A112" s="748" t="s">
        <v>210</v>
      </c>
      <c r="B112" s="749"/>
      <c r="C112" s="749"/>
      <c r="D112" s="749"/>
      <c r="E112" s="749"/>
      <c r="F112" s="749"/>
      <c r="G112" s="749"/>
      <c r="H112" s="750"/>
    </row>
    <row r="113" spans="1:8" x14ac:dyDescent="0.3">
      <c r="A113" s="695" t="s">
        <v>197</v>
      </c>
      <c r="B113" s="696"/>
      <c r="C113" s="11" t="s">
        <v>3</v>
      </c>
      <c r="D113" s="26">
        <f>Mangochi!O113</f>
        <v>2600</v>
      </c>
      <c r="E113" s="26">
        <f>'Monkey Bay'!O113</f>
        <v>976</v>
      </c>
      <c r="F113" s="26">
        <f>Namwera!O113</f>
        <v>281</v>
      </c>
      <c r="G113" s="193">
        <f>Nkhudzi!O113</f>
        <v>372</v>
      </c>
      <c r="H113" s="32">
        <f t="shared" ref="H113:H119" si="43">SUM(D113:F113)</f>
        <v>3857</v>
      </c>
    </row>
    <row r="114" spans="1:8" x14ac:dyDescent="0.3">
      <c r="A114" s="695" t="s">
        <v>198</v>
      </c>
      <c r="B114" s="696"/>
      <c r="C114" s="11" t="s">
        <v>3</v>
      </c>
      <c r="D114" s="26">
        <f>Mangochi!O114</f>
        <v>0</v>
      </c>
      <c r="E114" s="26">
        <f>'Monkey Bay'!O114</f>
        <v>0</v>
      </c>
      <c r="F114" s="26">
        <f>Namwera!O114</f>
        <v>27</v>
      </c>
      <c r="G114" s="26">
        <f>Nkhudzi!O114</f>
        <v>0</v>
      </c>
      <c r="H114" s="32">
        <f t="shared" si="43"/>
        <v>27</v>
      </c>
    </row>
    <row r="115" spans="1:8" x14ac:dyDescent="0.3">
      <c r="A115" s="695" t="s">
        <v>199</v>
      </c>
      <c r="B115" s="696"/>
      <c r="C115" s="11" t="s">
        <v>3</v>
      </c>
      <c r="D115" s="26">
        <f>Mangochi!O115</f>
        <v>0</v>
      </c>
      <c r="E115" s="26">
        <f>'Monkey Bay'!O115</f>
        <v>0</v>
      </c>
      <c r="F115" s="26">
        <f>Namwera!O115</f>
        <v>10</v>
      </c>
      <c r="G115" s="26">
        <f>Nkhudzi!O115</f>
        <v>0</v>
      </c>
      <c r="H115" s="32">
        <f t="shared" si="43"/>
        <v>10</v>
      </c>
    </row>
    <row r="116" spans="1:8" x14ac:dyDescent="0.3">
      <c r="A116" s="695" t="s">
        <v>200</v>
      </c>
      <c r="B116" s="696"/>
      <c r="C116" s="11" t="s">
        <v>3</v>
      </c>
      <c r="D116" s="26">
        <f>Mangochi!O116</f>
        <v>0</v>
      </c>
      <c r="E116" s="26">
        <f>'Monkey Bay'!O116</f>
        <v>0</v>
      </c>
      <c r="F116" s="26">
        <f>Namwera!O116</f>
        <v>3</v>
      </c>
      <c r="G116" s="26">
        <f>Nkhudzi!O116</f>
        <v>0</v>
      </c>
      <c r="H116" s="32">
        <f t="shared" si="43"/>
        <v>3</v>
      </c>
    </row>
    <row r="117" spans="1:8" x14ac:dyDescent="0.3">
      <c r="A117" s="697" t="s">
        <v>94</v>
      </c>
      <c r="B117" s="698"/>
      <c r="C117" s="11" t="s">
        <v>3</v>
      </c>
      <c r="D117" s="33">
        <f>SUM(D113:D116)</f>
        <v>2600</v>
      </c>
      <c r="E117" s="33">
        <f t="shared" ref="E117:G117" si="44">SUM(E113:E116)</f>
        <v>976</v>
      </c>
      <c r="F117" s="33">
        <f t="shared" si="44"/>
        <v>321</v>
      </c>
      <c r="G117" s="33">
        <f t="shared" si="44"/>
        <v>372</v>
      </c>
      <c r="H117" s="55">
        <f t="shared" si="43"/>
        <v>3897</v>
      </c>
    </row>
    <row r="118" spans="1:8" s="2" customFormat="1" x14ac:dyDescent="0.3">
      <c r="A118" s="215" t="s">
        <v>191</v>
      </c>
      <c r="B118" s="216"/>
      <c r="C118" s="11" t="s">
        <v>3</v>
      </c>
      <c r="D118" s="33">
        <f>D117+D111</f>
        <v>7391</v>
      </c>
      <c r="E118" s="33">
        <f t="shared" ref="E118:G118" si="45">E117+E111</f>
        <v>2486</v>
      </c>
      <c r="F118" s="33">
        <f t="shared" si="45"/>
        <v>554</v>
      </c>
      <c r="G118" s="33">
        <f t="shared" si="45"/>
        <v>372</v>
      </c>
      <c r="H118" s="55">
        <f t="shared" si="43"/>
        <v>10431</v>
      </c>
    </row>
    <row r="119" spans="1:8" x14ac:dyDescent="0.3">
      <c r="A119" s="697" t="s">
        <v>192</v>
      </c>
      <c r="B119" s="698"/>
      <c r="C119" s="11" t="s">
        <v>3</v>
      </c>
      <c r="D119" s="33">
        <f>D118+D105</f>
        <v>9395</v>
      </c>
      <c r="E119" s="33">
        <f t="shared" ref="E119:G119" si="46">E118+E105</f>
        <v>2814</v>
      </c>
      <c r="F119" s="33">
        <f t="shared" si="46"/>
        <v>846</v>
      </c>
      <c r="G119" s="33">
        <f t="shared" si="46"/>
        <v>372</v>
      </c>
      <c r="H119" s="55">
        <f t="shared" si="43"/>
        <v>13055</v>
      </c>
    </row>
    <row r="120" spans="1:8" ht="15" thickBot="1" x14ac:dyDescent="0.35">
      <c r="A120" s="699" t="s">
        <v>201</v>
      </c>
      <c r="B120" s="700"/>
      <c r="C120" s="700"/>
      <c r="D120" s="700"/>
      <c r="E120" s="700"/>
      <c r="F120" s="700"/>
      <c r="G120" s="700"/>
      <c r="H120" s="701"/>
    </row>
    <row r="121" spans="1:8" ht="16.2" thickBot="1" x14ac:dyDescent="0.35">
      <c r="A121" s="695" t="s">
        <v>93</v>
      </c>
      <c r="B121" s="696"/>
      <c r="C121" s="5" t="s">
        <v>3</v>
      </c>
      <c r="D121" s="26">
        <f>Mangochi!O121</f>
        <v>50331</v>
      </c>
      <c r="E121" s="26">
        <f>'Monkey Bay'!O121</f>
        <v>20908</v>
      </c>
      <c r="F121" s="26">
        <f>Namwera!O121</f>
        <v>9128</v>
      </c>
      <c r="G121" s="193">
        <f>Nkhudzi!O121</f>
        <v>0</v>
      </c>
      <c r="H121" s="31">
        <f>SUM(D121:F121)</f>
        <v>80367</v>
      </c>
    </row>
    <row r="122" spans="1:8" x14ac:dyDescent="0.3">
      <c r="A122" s="695" t="s">
        <v>92</v>
      </c>
      <c r="B122" s="696"/>
      <c r="C122" s="5" t="s">
        <v>3</v>
      </c>
      <c r="D122" s="26">
        <f>Mangochi!O122</f>
        <v>47684</v>
      </c>
      <c r="E122" s="26">
        <f>'Monkey Bay'!O122</f>
        <v>19642</v>
      </c>
      <c r="F122" s="26">
        <f>Namwera!O122</f>
        <v>6931</v>
      </c>
      <c r="G122" s="193">
        <f>Nkhudzi!O122</f>
        <v>0</v>
      </c>
      <c r="H122" s="31">
        <f>SUM(D122:F122)</f>
        <v>74257</v>
      </c>
    </row>
    <row r="123" spans="1:8" x14ac:dyDescent="0.3">
      <c r="A123" s="753" t="s">
        <v>91</v>
      </c>
      <c r="B123" s="754"/>
      <c r="C123" s="30" t="s">
        <v>6</v>
      </c>
      <c r="D123" s="29">
        <f t="shared" ref="D123:H123" si="47">D122/D121</f>
        <v>0.94740815799407918</v>
      </c>
      <c r="E123" s="29">
        <f t="shared" si="47"/>
        <v>0.93944901473120335</v>
      </c>
      <c r="F123" s="29">
        <f t="shared" si="47"/>
        <v>0.75931200701139356</v>
      </c>
      <c r="G123" s="29" t="e">
        <f t="shared" si="47"/>
        <v>#DIV/0!</v>
      </c>
      <c r="H123" s="109">
        <f t="shared" si="47"/>
        <v>0.92397377032861749</v>
      </c>
    </row>
    <row r="124" spans="1:8" ht="14.4" x14ac:dyDescent="0.3">
      <c r="A124" s="755" t="s">
        <v>90</v>
      </c>
      <c r="B124" s="756"/>
      <c r="C124" s="756"/>
      <c r="D124" s="756"/>
      <c r="E124" s="756"/>
      <c r="F124" s="756"/>
      <c r="G124" s="756"/>
      <c r="H124" s="757"/>
    </row>
    <row r="125" spans="1:8" x14ac:dyDescent="0.3">
      <c r="A125" s="711" t="s">
        <v>224</v>
      </c>
      <c r="B125" s="24" t="s">
        <v>85</v>
      </c>
      <c r="C125" s="11" t="s">
        <v>3</v>
      </c>
      <c r="D125" s="34">
        <f>Mangochi!M125</f>
        <v>2</v>
      </c>
      <c r="E125" s="34">
        <f>'Monkey Bay'!M125</f>
        <v>0</v>
      </c>
      <c r="F125" s="34">
        <f>Namwera!M125</f>
        <v>0</v>
      </c>
      <c r="G125" s="26">
        <f>Nkhudzi!M125</f>
        <v>0</v>
      </c>
      <c r="H125" s="74">
        <f>SUM(D125:F125)</f>
        <v>2</v>
      </c>
    </row>
    <row r="126" spans="1:8" x14ac:dyDescent="0.3">
      <c r="A126" s="761"/>
      <c r="B126" s="24" t="s">
        <v>84</v>
      </c>
      <c r="C126" s="11" t="s">
        <v>3</v>
      </c>
      <c r="D126" s="26">
        <f>Mangochi!M126+Mangochi!N126+Mangochi!O126</f>
        <v>0</v>
      </c>
      <c r="E126" s="26">
        <f>'Monkey Bay'!M126+'Monkey Bay'!N126+'Monkey Bay'!O126</f>
        <v>0</v>
      </c>
      <c r="F126" s="26">
        <f>Namwera!M126+Namwera!N126+Namwera!O126</f>
        <v>0</v>
      </c>
      <c r="G126" s="26">
        <f>Nkhudzi!M126+Nkhudzi!N126+Nkhudzi!O126</f>
        <v>0</v>
      </c>
      <c r="H126" s="74">
        <f>SUM(D126:F126)</f>
        <v>0</v>
      </c>
    </row>
    <row r="127" spans="1:8" x14ac:dyDescent="0.3">
      <c r="A127" s="761"/>
      <c r="B127" s="82" t="s">
        <v>88</v>
      </c>
      <c r="C127" s="11" t="s">
        <v>3</v>
      </c>
      <c r="D127" s="26">
        <f>Mangochi!M127+Mangochi!N127+Mangochi!O127</f>
        <v>0</v>
      </c>
      <c r="E127" s="26">
        <f>'Monkey Bay'!M127+'Monkey Bay'!N127+'Monkey Bay'!O127</f>
        <v>0</v>
      </c>
      <c r="F127" s="26">
        <f>Namwera!M127+Namwera!N127+Namwera!O127</f>
        <v>0</v>
      </c>
      <c r="G127" s="26">
        <f>Nkhudzi!M127+Nkhudzi!N127+Nkhudzi!O127</f>
        <v>0</v>
      </c>
      <c r="H127" s="74">
        <f>SUM(D127:F127)</f>
        <v>0</v>
      </c>
    </row>
    <row r="128" spans="1:8" x14ac:dyDescent="0.3">
      <c r="A128" s="761"/>
      <c r="B128" s="24" t="s">
        <v>82</v>
      </c>
      <c r="C128" s="11" t="s">
        <v>3</v>
      </c>
      <c r="D128" s="26">
        <f>Mangochi!M128+Mangochi!N128+Mangochi!O128</f>
        <v>2</v>
      </c>
      <c r="E128" s="26">
        <f>'Monkey Bay'!M128+'Monkey Bay'!N128+'Monkey Bay'!O128</f>
        <v>0</v>
      </c>
      <c r="F128" s="26">
        <f>Namwera!M128+Namwera!N128+Namwera!O128</f>
        <v>0</v>
      </c>
      <c r="G128" s="26">
        <f>Nkhudzi!M128+Nkhudzi!N128+Nkhudzi!O128</f>
        <v>0</v>
      </c>
      <c r="H128" s="74">
        <f>SUM(D128:F128)</f>
        <v>2</v>
      </c>
    </row>
    <row r="129" spans="1:8" x14ac:dyDescent="0.3">
      <c r="A129" s="712"/>
      <c r="B129" s="24" t="s">
        <v>81</v>
      </c>
      <c r="C129" s="11" t="s">
        <v>3</v>
      </c>
      <c r="D129" s="140">
        <f t="shared" ref="D129:H129" si="48">D125+D126-D127-D128</f>
        <v>0</v>
      </c>
      <c r="E129" s="141">
        <f t="shared" si="48"/>
        <v>0</v>
      </c>
      <c r="F129" s="141">
        <f t="shared" si="48"/>
        <v>0</v>
      </c>
      <c r="G129" s="141">
        <f t="shared" si="48"/>
        <v>0</v>
      </c>
      <c r="H129" s="35">
        <f t="shared" si="48"/>
        <v>0</v>
      </c>
    </row>
    <row r="130" spans="1:8" x14ac:dyDescent="0.3">
      <c r="A130" s="711" t="s">
        <v>225</v>
      </c>
      <c r="B130" s="28" t="s">
        <v>85</v>
      </c>
      <c r="C130" s="27" t="s">
        <v>3</v>
      </c>
      <c r="D130" s="34">
        <f>Mangochi!M130</f>
        <v>0</v>
      </c>
      <c r="E130" s="34">
        <f>'Monkey Bay'!M130</f>
        <v>0</v>
      </c>
      <c r="F130" s="34">
        <f>Namwera!M130</f>
        <v>0</v>
      </c>
      <c r="G130" s="26">
        <f>Nkhudzi!M130</f>
        <v>0</v>
      </c>
      <c r="H130" s="74">
        <f>SUM(D130:F130)</f>
        <v>0</v>
      </c>
    </row>
    <row r="131" spans="1:8" x14ac:dyDescent="0.3">
      <c r="A131" s="761"/>
      <c r="B131" s="24" t="s">
        <v>84</v>
      </c>
      <c r="C131" s="11" t="s">
        <v>3</v>
      </c>
      <c r="D131" s="26">
        <f>Mangochi!M131+Mangochi!N131+Mangochi!O131</f>
        <v>0</v>
      </c>
      <c r="E131" s="26">
        <f>'Monkey Bay'!M131+'Monkey Bay'!N131+'Monkey Bay'!O131</f>
        <v>0</v>
      </c>
      <c r="F131" s="26">
        <f>Namwera!M131+Namwera!N131+Namwera!O131</f>
        <v>0</v>
      </c>
      <c r="G131" s="26">
        <f>Nkhudzi!M131+Nkhudzi!N131+Nkhudzi!O131</f>
        <v>0</v>
      </c>
      <c r="H131" s="74">
        <f>SUM(D131:F131)</f>
        <v>0</v>
      </c>
    </row>
    <row r="132" spans="1:8" x14ac:dyDescent="0.3">
      <c r="A132" s="761"/>
      <c r="B132" s="82" t="s">
        <v>88</v>
      </c>
      <c r="C132" s="11" t="s">
        <v>3</v>
      </c>
      <c r="D132" s="26">
        <f>Mangochi!M132+Mangochi!N132+Mangochi!O132</f>
        <v>0</v>
      </c>
      <c r="E132" s="26">
        <f>'Monkey Bay'!M132+'Monkey Bay'!N132+'Monkey Bay'!O132</f>
        <v>0</v>
      </c>
      <c r="F132" s="26">
        <f>Namwera!M132+Namwera!N132+Namwera!O132</f>
        <v>0</v>
      </c>
      <c r="G132" s="26">
        <f>Nkhudzi!M132+Nkhudzi!N132+Nkhudzi!O132</f>
        <v>0</v>
      </c>
      <c r="H132" s="74">
        <f>SUM(D132:F132)</f>
        <v>0</v>
      </c>
    </row>
    <row r="133" spans="1:8" x14ac:dyDescent="0.3">
      <c r="A133" s="761"/>
      <c r="B133" s="24" t="s">
        <v>82</v>
      </c>
      <c r="C133" s="11" t="s">
        <v>3</v>
      </c>
      <c r="D133" s="26">
        <f>Mangochi!M133+Mangochi!N133+Mangochi!O133</f>
        <v>0</v>
      </c>
      <c r="E133" s="26">
        <f>'Monkey Bay'!M133+'Monkey Bay'!N133+'Monkey Bay'!O133</f>
        <v>0</v>
      </c>
      <c r="F133" s="26">
        <f>Namwera!M133+Namwera!N133+Namwera!O133</f>
        <v>0</v>
      </c>
      <c r="G133" s="26">
        <f>Nkhudzi!M133+Nkhudzi!N133+Nkhudzi!O133</f>
        <v>0</v>
      </c>
      <c r="H133" s="74">
        <f>SUM(D133:F133)</f>
        <v>0</v>
      </c>
    </row>
    <row r="134" spans="1:8" x14ac:dyDescent="0.3">
      <c r="A134" s="712"/>
      <c r="B134" s="24" t="s">
        <v>81</v>
      </c>
      <c r="C134" s="11" t="s">
        <v>3</v>
      </c>
      <c r="D134" s="140">
        <f t="shared" ref="D134:H134" si="49">D130+D131-D132-D133</f>
        <v>0</v>
      </c>
      <c r="E134" s="141">
        <f t="shared" si="49"/>
        <v>0</v>
      </c>
      <c r="F134" s="141">
        <f t="shared" si="49"/>
        <v>0</v>
      </c>
      <c r="G134" s="141">
        <f t="shared" si="49"/>
        <v>0</v>
      </c>
      <c r="H134" s="35">
        <f t="shared" si="49"/>
        <v>0</v>
      </c>
    </row>
    <row r="135" spans="1:8" x14ac:dyDescent="0.3">
      <c r="A135" s="711" t="s">
        <v>89</v>
      </c>
      <c r="B135" s="24" t="s">
        <v>85</v>
      </c>
      <c r="C135" s="11" t="s">
        <v>3</v>
      </c>
      <c r="D135" s="34">
        <f>Mangochi!M135</f>
        <v>3</v>
      </c>
      <c r="E135" s="34">
        <f>'Monkey Bay'!M135</f>
        <v>0</v>
      </c>
      <c r="F135" s="34">
        <f>Namwera!M135</f>
        <v>0</v>
      </c>
      <c r="G135" s="26">
        <f>Nkhudzi!M135</f>
        <v>0</v>
      </c>
      <c r="H135" s="74">
        <f>SUM(D135:F135)</f>
        <v>3</v>
      </c>
    </row>
    <row r="136" spans="1:8" x14ac:dyDescent="0.3">
      <c r="A136" s="761"/>
      <c r="B136" s="24" t="s">
        <v>84</v>
      </c>
      <c r="C136" s="11" t="s">
        <v>3</v>
      </c>
      <c r="D136" s="26">
        <f>Mangochi!M136+Mangochi!N136+Mangochi!O136</f>
        <v>0</v>
      </c>
      <c r="E136" s="26">
        <f>'Monkey Bay'!M136+'Monkey Bay'!N136+'Monkey Bay'!O136</f>
        <v>0</v>
      </c>
      <c r="F136" s="26">
        <f>Namwera!M136+Namwera!N136+Namwera!O136</f>
        <v>0</v>
      </c>
      <c r="G136" s="26">
        <f>Nkhudzi!M136+Nkhudzi!N136+Nkhudzi!O136</f>
        <v>0</v>
      </c>
      <c r="H136" s="74">
        <f>SUM(D136:F136)</f>
        <v>0</v>
      </c>
    </row>
    <row r="137" spans="1:8" x14ac:dyDescent="0.3">
      <c r="A137" s="761"/>
      <c r="B137" s="82" t="s">
        <v>88</v>
      </c>
      <c r="C137" s="11" t="s">
        <v>3</v>
      </c>
      <c r="D137" s="26">
        <f>Mangochi!M137+Mangochi!N137+Mangochi!O137</f>
        <v>0</v>
      </c>
      <c r="E137" s="26">
        <f>'Monkey Bay'!M137+'Monkey Bay'!N137+'Monkey Bay'!O137</f>
        <v>0</v>
      </c>
      <c r="F137" s="26">
        <f>Namwera!M137+Namwera!N137+Namwera!O137</f>
        <v>0</v>
      </c>
      <c r="G137" s="26">
        <f>Nkhudzi!M137+Nkhudzi!N137+Nkhudzi!O137</f>
        <v>0</v>
      </c>
      <c r="H137" s="74">
        <f>SUM(D137:F137)</f>
        <v>0</v>
      </c>
    </row>
    <row r="138" spans="1:8" x14ac:dyDescent="0.3">
      <c r="A138" s="761"/>
      <c r="B138" s="24" t="s">
        <v>82</v>
      </c>
      <c r="C138" s="11" t="s">
        <v>3</v>
      </c>
      <c r="D138" s="26">
        <f>Mangochi!M138+Mangochi!N138+Mangochi!O138</f>
        <v>3</v>
      </c>
      <c r="E138" s="26">
        <f>'Monkey Bay'!M138+'Monkey Bay'!N138+'Monkey Bay'!O138</f>
        <v>0</v>
      </c>
      <c r="F138" s="26">
        <f>Namwera!M138+Namwera!N138+Namwera!O138</f>
        <v>0</v>
      </c>
      <c r="G138" s="26">
        <f>Nkhudzi!M138+Nkhudzi!N138+Nkhudzi!O138</f>
        <v>0</v>
      </c>
      <c r="H138" s="74">
        <f>SUM(D138:F138)</f>
        <v>3</v>
      </c>
    </row>
    <row r="139" spans="1:8" x14ac:dyDescent="0.3">
      <c r="A139" s="712"/>
      <c r="B139" s="24" t="s">
        <v>81</v>
      </c>
      <c r="C139" s="11" t="s">
        <v>3</v>
      </c>
      <c r="D139" s="140">
        <f t="shared" ref="D139:H139" si="50">D135+D136-D137-D138</f>
        <v>0</v>
      </c>
      <c r="E139" s="141">
        <f t="shared" si="50"/>
        <v>0</v>
      </c>
      <c r="F139" s="141">
        <f t="shared" si="50"/>
        <v>0</v>
      </c>
      <c r="G139" s="141">
        <f t="shared" si="50"/>
        <v>0</v>
      </c>
      <c r="H139" s="35">
        <f t="shared" si="50"/>
        <v>0</v>
      </c>
    </row>
    <row r="140" spans="1:8" x14ac:dyDescent="0.3">
      <c r="A140" s="711" t="s">
        <v>87</v>
      </c>
      <c r="B140" s="24" t="s">
        <v>85</v>
      </c>
      <c r="C140" s="11" t="s">
        <v>3</v>
      </c>
      <c r="D140" s="34">
        <f>Mangochi!M140</f>
        <v>1254</v>
      </c>
      <c r="E140" s="34">
        <f>'Monkey Bay'!M140</f>
        <v>87</v>
      </c>
      <c r="F140" s="34">
        <f>Namwera!M140</f>
        <v>5</v>
      </c>
      <c r="G140" s="26">
        <f>Nkhudzi!M140</f>
        <v>0</v>
      </c>
      <c r="H140" s="74">
        <f>SUM(D140:F140)</f>
        <v>1346</v>
      </c>
    </row>
    <row r="141" spans="1:8" x14ac:dyDescent="0.3">
      <c r="A141" s="761"/>
      <c r="B141" s="24" t="s">
        <v>84</v>
      </c>
      <c r="C141" s="11" t="s">
        <v>3</v>
      </c>
      <c r="D141" s="26">
        <f>Mangochi!M141+Mangochi!N141+Mangochi!O141</f>
        <v>371</v>
      </c>
      <c r="E141" s="26">
        <f>'Monkey Bay'!M141+'Monkey Bay'!N141+'Monkey Bay'!O141</f>
        <v>56</v>
      </c>
      <c r="F141" s="26">
        <f>Namwera!M141+Namwera!N141+Namwera!O141</f>
        <v>14</v>
      </c>
      <c r="G141" s="26">
        <f>Nkhudzi!M141+Nkhudzi!N141+Nkhudzi!O141</f>
        <v>0</v>
      </c>
      <c r="H141" s="74">
        <f>SUM(D141:F141)</f>
        <v>441</v>
      </c>
    </row>
    <row r="142" spans="1:8" x14ac:dyDescent="0.3">
      <c r="A142" s="761"/>
      <c r="B142" s="24" t="s">
        <v>83</v>
      </c>
      <c r="C142" s="11" t="s">
        <v>3</v>
      </c>
      <c r="D142" s="26">
        <f>Mangochi!M142+Mangochi!N142+Mangochi!O142</f>
        <v>0</v>
      </c>
      <c r="E142" s="26">
        <f>'Monkey Bay'!M142+'Monkey Bay'!N142+'Monkey Bay'!O142</f>
        <v>5</v>
      </c>
      <c r="F142" s="26">
        <f>Namwera!M142+Namwera!N142+Namwera!O142</f>
        <v>0</v>
      </c>
      <c r="G142" s="26">
        <f>Nkhudzi!M142+Nkhudzi!N142+Nkhudzi!O142</f>
        <v>0</v>
      </c>
      <c r="H142" s="74">
        <f>SUM(D142:F142)</f>
        <v>5</v>
      </c>
    </row>
    <row r="143" spans="1:8" x14ac:dyDescent="0.3">
      <c r="A143" s="761"/>
      <c r="B143" s="24" t="s">
        <v>82</v>
      </c>
      <c r="C143" s="11" t="s">
        <v>3</v>
      </c>
      <c r="D143" s="26">
        <f>Mangochi!M143+Mangochi!N143+Mangochi!O143</f>
        <v>1293</v>
      </c>
      <c r="E143" s="26">
        <f>'Monkey Bay'!M143+'Monkey Bay'!N143+'Monkey Bay'!O143</f>
        <v>98</v>
      </c>
      <c r="F143" s="26">
        <f>Namwera!M143+Namwera!N143+Namwera!O143</f>
        <v>19</v>
      </c>
      <c r="G143" s="26">
        <f>Nkhudzi!M143+Nkhudzi!N143+Nkhudzi!O143</f>
        <v>0</v>
      </c>
      <c r="H143" s="74">
        <f>SUM(D143:F143)</f>
        <v>1410</v>
      </c>
    </row>
    <row r="144" spans="1:8" x14ac:dyDescent="0.3">
      <c r="A144" s="712"/>
      <c r="B144" s="24" t="s">
        <v>81</v>
      </c>
      <c r="C144" s="11" t="s">
        <v>3</v>
      </c>
      <c r="D144" s="140">
        <f t="shared" ref="D144:H144" si="51">D140+D141-D142-D143</f>
        <v>332</v>
      </c>
      <c r="E144" s="140">
        <f t="shared" si="51"/>
        <v>40</v>
      </c>
      <c r="F144" s="140">
        <f t="shared" si="51"/>
        <v>0</v>
      </c>
      <c r="G144" s="141">
        <f t="shared" si="51"/>
        <v>0</v>
      </c>
      <c r="H144" s="35">
        <f t="shared" si="51"/>
        <v>372</v>
      </c>
    </row>
    <row r="145" spans="1:8" s="2" customFormat="1" x14ac:dyDescent="0.3">
      <c r="A145" s="711" t="s">
        <v>86</v>
      </c>
      <c r="B145" s="24" t="s">
        <v>85</v>
      </c>
      <c r="C145" s="11" t="s">
        <v>3</v>
      </c>
      <c r="D145" s="139">
        <f t="shared" ref="D145:H149" si="52">D125+D130+D135+D140</f>
        <v>1259</v>
      </c>
      <c r="E145" s="139">
        <f t="shared" si="52"/>
        <v>87</v>
      </c>
      <c r="F145" s="139">
        <f t="shared" si="52"/>
        <v>5</v>
      </c>
      <c r="G145" s="139">
        <f t="shared" si="52"/>
        <v>0</v>
      </c>
      <c r="H145" s="110">
        <f t="shared" si="52"/>
        <v>1351</v>
      </c>
    </row>
    <row r="146" spans="1:8" x14ac:dyDescent="0.3">
      <c r="A146" s="761"/>
      <c r="B146" s="24" t="s">
        <v>84</v>
      </c>
      <c r="C146" s="11" t="s">
        <v>3</v>
      </c>
      <c r="D146" s="139">
        <f t="shared" si="52"/>
        <v>371</v>
      </c>
      <c r="E146" s="139">
        <f t="shared" si="52"/>
        <v>56</v>
      </c>
      <c r="F146" s="139">
        <f t="shared" si="52"/>
        <v>14</v>
      </c>
      <c r="G146" s="139">
        <f t="shared" si="52"/>
        <v>0</v>
      </c>
      <c r="H146" s="110">
        <f t="shared" si="52"/>
        <v>441</v>
      </c>
    </row>
    <row r="147" spans="1:8" x14ac:dyDescent="0.3">
      <c r="A147" s="761"/>
      <c r="B147" s="24" t="s">
        <v>83</v>
      </c>
      <c r="C147" s="11" t="s">
        <v>3</v>
      </c>
      <c r="D147" s="139">
        <f t="shared" si="52"/>
        <v>0</v>
      </c>
      <c r="E147" s="139">
        <f t="shared" si="52"/>
        <v>5</v>
      </c>
      <c r="F147" s="139">
        <f t="shared" si="52"/>
        <v>0</v>
      </c>
      <c r="G147" s="139">
        <f t="shared" si="52"/>
        <v>0</v>
      </c>
      <c r="H147" s="110">
        <f t="shared" si="52"/>
        <v>5</v>
      </c>
    </row>
    <row r="148" spans="1:8" x14ac:dyDescent="0.3">
      <c r="A148" s="761"/>
      <c r="B148" s="24" t="s">
        <v>82</v>
      </c>
      <c r="C148" s="11" t="s">
        <v>3</v>
      </c>
      <c r="D148" s="139">
        <f t="shared" si="52"/>
        <v>1298</v>
      </c>
      <c r="E148" s="139">
        <f t="shared" si="52"/>
        <v>98</v>
      </c>
      <c r="F148" s="139">
        <f t="shared" si="52"/>
        <v>19</v>
      </c>
      <c r="G148" s="139">
        <f t="shared" si="52"/>
        <v>0</v>
      </c>
      <c r="H148" s="110">
        <f t="shared" si="52"/>
        <v>1415</v>
      </c>
    </row>
    <row r="149" spans="1:8" x14ac:dyDescent="0.3">
      <c r="A149" s="712"/>
      <c r="B149" s="24" t="s">
        <v>81</v>
      </c>
      <c r="C149" s="11" t="s">
        <v>3</v>
      </c>
      <c r="D149" s="140">
        <f t="shared" ref="D149:G149" si="53">D145+D146-D147-D148</f>
        <v>332</v>
      </c>
      <c r="E149" s="141">
        <f t="shared" si="53"/>
        <v>40</v>
      </c>
      <c r="F149" s="141">
        <f t="shared" si="53"/>
        <v>0</v>
      </c>
      <c r="G149" s="141">
        <f t="shared" si="53"/>
        <v>0</v>
      </c>
      <c r="H149" s="110">
        <f t="shared" si="52"/>
        <v>372</v>
      </c>
    </row>
    <row r="150" spans="1:8" ht="14.4" x14ac:dyDescent="0.3">
      <c r="A150" s="699" t="s">
        <v>80</v>
      </c>
      <c r="B150" s="700"/>
      <c r="C150" s="700"/>
      <c r="D150" s="700"/>
      <c r="E150" s="700"/>
      <c r="F150" s="700"/>
      <c r="G150" s="700"/>
      <c r="H150" s="701"/>
    </row>
    <row r="151" spans="1:8" ht="15.6" customHeight="1" x14ac:dyDescent="0.3">
      <c r="A151" s="793" t="s">
        <v>79</v>
      </c>
      <c r="B151" s="794"/>
      <c r="C151" s="794"/>
      <c r="D151" s="794"/>
      <c r="E151" s="794"/>
      <c r="F151" s="794"/>
      <c r="G151" s="794"/>
      <c r="H151" s="795"/>
    </row>
    <row r="152" spans="1:8" x14ac:dyDescent="0.3">
      <c r="A152" s="758" t="s">
        <v>78</v>
      </c>
      <c r="B152" s="92" t="s">
        <v>63</v>
      </c>
      <c r="C152" s="11"/>
      <c r="D152" s="15"/>
      <c r="E152" s="15"/>
      <c r="F152" s="15"/>
      <c r="G152" s="191"/>
      <c r="H152" s="39"/>
    </row>
    <row r="153" spans="1:8" x14ac:dyDescent="0.3">
      <c r="A153" s="759"/>
      <c r="B153" s="19" t="s">
        <v>73</v>
      </c>
      <c r="C153" s="11" t="s">
        <v>57</v>
      </c>
      <c r="D153" s="26">
        <f>Mangochi!M153+Mangochi!N153+Mangochi!O153</f>
        <v>385</v>
      </c>
      <c r="E153" s="26">
        <f>'Monkey Bay'!M153+'Monkey Bay'!N153+'Monkey Bay'!O153</f>
        <v>81</v>
      </c>
      <c r="F153" s="26">
        <f>Namwera!M153+Namwera!N153+Namwera!O153</f>
        <v>54</v>
      </c>
      <c r="G153" s="26">
        <f>Nkhudzi!M153+Nkhudzi!N153+Nkhudzi!O153</f>
        <v>19</v>
      </c>
      <c r="H153" s="74">
        <f t="shared" ref="H153:H165" si="54">SUM(D153:F153)</f>
        <v>520</v>
      </c>
    </row>
    <row r="154" spans="1:8" x14ac:dyDescent="0.3">
      <c r="A154" s="759"/>
      <c r="B154" s="19" t="s">
        <v>72</v>
      </c>
      <c r="C154" s="11" t="s">
        <v>57</v>
      </c>
      <c r="D154" s="26">
        <f>Mangochi!M154+Mangochi!N154+Mangochi!O154</f>
        <v>252</v>
      </c>
      <c r="E154" s="26">
        <f>'Monkey Bay'!M154+'Monkey Bay'!N154+'Monkey Bay'!O154</f>
        <v>57</v>
      </c>
      <c r="F154" s="26">
        <f>Namwera!M154+Namwera!N154+Namwera!O154</f>
        <v>24</v>
      </c>
      <c r="G154" s="26">
        <f>Nkhudzi!M154+Nkhudzi!N154+Nkhudzi!O154</f>
        <v>13</v>
      </c>
      <c r="H154" s="74">
        <f t="shared" si="54"/>
        <v>333</v>
      </c>
    </row>
    <row r="155" spans="1:8" x14ac:dyDescent="0.3">
      <c r="A155" s="759"/>
      <c r="B155" s="19" t="s">
        <v>53</v>
      </c>
      <c r="C155" s="11" t="s">
        <v>57</v>
      </c>
      <c r="D155" s="26">
        <f>Mangochi!M155+Mangochi!N155+Mangochi!O155</f>
        <v>100</v>
      </c>
      <c r="E155" s="26">
        <f>'Monkey Bay'!M155+'Monkey Bay'!N155+'Monkey Bay'!O155</f>
        <v>6</v>
      </c>
      <c r="F155" s="26">
        <f>Namwera!M155+Namwera!N155+Namwera!O155</f>
        <v>8</v>
      </c>
      <c r="G155" s="26">
        <f>Nkhudzi!M155+Nkhudzi!N155+Nkhudzi!O155</f>
        <v>10</v>
      </c>
      <c r="H155" s="74">
        <f t="shared" si="54"/>
        <v>114</v>
      </c>
    </row>
    <row r="156" spans="1:8" x14ac:dyDescent="0.3">
      <c r="A156" s="759"/>
      <c r="B156" s="19" t="s">
        <v>71</v>
      </c>
      <c r="C156" s="11" t="s">
        <v>57</v>
      </c>
      <c r="D156" s="26">
        <f>Mangochi!M156+Mangochi!N156+Mangochi!O156</f>
        <v>67</v>
      </c>
      <c r="E156" s="26">
        <f>'Monkey Bay'!M156+'Monkey Bay'!N156+'Monkey Bay'!O156</f>
        <v>8</v>
      </c>
      <c r="F156" s="26">
        <f>Namwera!M156+Namwera!N156+Namwera!O156</f>
        <v>1</v>
      </c>
      <c r="G156" s="26">
        <f>Nkhudzi!M156+Nkhudzi!N156+Nkhudzi!O156</f>
        <v>6</v>
      </c>
      <c r="H156" s="74">
        <f t="shared" si="54"/>
        <v>76</v>
      </c>
    </row>
    <row r="157" spans="1:8" x14ac:dyDescent="0.3">
      <c r="A157" s="759"/>
      <c r="B157" s="19" t="s">
        <v>52</v>
      </c>
      <c r="C157" s="11" t="s">
        <v>57</v>
      </c>
      <c r="D157" s="26">
        <f>Mangochi!M157+Mangochi!N157+Mangochi!O157</f>
        <v>33</v>
      </c>
      <c r="E157" s="26">
        <f>'Monkey Bay'!M157+'Monkey Bay'!N157+'Monkey Bay'!O157</f>
        <v>7</v>
      </c>
      <c r="F157" s="26">
        <f>Namwera!M157+Namwera!N157+Namwera!O157</f>
        <v>1</v>
      </c>
      <c r="G157" s="26">
        <f>Nkhudzi!M157+Nkhudzi!N157+Nkhudzi!O157</f>
        <v>2</v>
      </c>
      <c r="H157" s="74">
        <f t="shared" si="54"/>
        <v>41</v>
      </c>
    </row>
    <row r="158" spans="1:8" x14ac:dyDescent="0.3">
      <c r="A158" s="759"/>
      <c r="B158" s="19" t="s">
        <v>51</v>
      </c>
      <c r="C158" s="11" t="s">
        <v>57</v>
      </c>
      <c r="D158" s="26">
        <f>Mangochi!M158+Mangochi!N158+Mangochi!O158</f>
        <v>47</v>
      </c>
      <c r="E158" s="26">
        <f>'Monkey Bay'!M158+'Monkey Bay'!N158+'Monkey Bay'!O158</f>
        <v>9</v>
      </c>
      <c r="F158" s="26">
        <f>Namwera!M158+Namwera!N158+Namwera!O158</f>
        <v>6</v>
      </c>
      <c r="G158" s="26">
        <f>Nkhudzi!M158+Nkhudzi!N158+Nkhudzi!O158</f>
        <v>0</v>
      </c>
      <c r="H158" s="74">
        <f t="shared" si="54"/>
        <v>62</v>
      </c>
    </row>
    <row r="159" spans="1:8" x14ac:dyDescent="0.3">
      <c r="A159" s="759"/>
      <c r="B159" s="19" t="s">
        <v>62</v>
      </c>
      <c r="C159" s="11" t="s">
        <v>57</v>
      </c>
      <c r="D159" s="26">
        <f>Mangochi!M159+Mangochi!N159+Mangochi!O159</f>
        <v>3</v>
      </c>
      <c r="E159" s="26">
        <f>'Monkey Bay'!M159+'Monkey Bay'!N159+'Monkey Bay'!O159</f>
        <v>0</v>
      </c>
      <c r="F159" s="26">
        <f>Namwera!M159+Namwera!N159+Namwera!O159</f>
        <v>3</v>
      </c>
      <c r="G159" s="26">
        <f>Nkhudzi!M159+Nkhudzi!N159+Nkhudzi!O159</f>
        <v>0</v>
      </c>
      <c r="H159" s="74">
        <f t="shared" si="54"/>
        <v>6</v>
      </c>
    </row>
    <row r="160" spans="1:8" x14ac:dyDescent="0.3">
      <c r="A160" s="759"/>
      <c r="B160" s="19" t="s">
        <v>50</v>
      </c>
      <c r="C160" s="11" t="s">
        <v>57</v>
      </c>
      <c r="D160" s="26">
        <f>Mangochi!M160+Mangochi!N160+Mangochi!O160</f>
        <v>8</v>
      </c>
      <c r="E160" s="26">
        <f>'Monkey Bay'!M160+'Monkey Bay'!N160+'Monkey Bay'!O160</f>
        <v>2</v>
      </c>
      <c r="F160" s="26">
        <f>Namwera!M160+Namwera!N160+Namwera!O160</f>
        <v>4</v>
      </c>
      <c r="G160" s="26">
        <f>Nkhudzi!M160+Nkhudzi!N160+Nkhudzi!O160</f>
        <v>0</v>
      </c>
      <c r="H160" s="74">
        <f t="shared" si="54"/>
        <v>14</v>
      </c>
    </row>
    <row r="161" spans="1:8" x14ac:dyDescent="0.3">
      <c r="A161" s="759"/>
      <c r="B161" s="19" t="s">
        <v>49</v>
      </c>
      <c r="C161" s="11" t="s">
        <v>57</v>
      </c>
      <c r="D161" s="26">
        <f>Mangochi!M161+Mangochi!N161+Mangochi!O161</f>
        <v>14</v>
      </c>
      <c r="E161" s="26">
        <f>'Monkey Bay'!M161+'Monkey Bay'!N161+'Monkey Bay'!O161</f>
        <v>3</v>
      </c>
      <c r="F161" s="26">
        <f>Namwera!M161+Namwera!N161+Namwera!O161</f>
        <v>0</v>
      </c>
      <c r="G161" s="26">
        <f>Nkhudzi!M161+Nkhudzi!N161+Nkhudzi!O161</f>
        <v>2</v>
      </c>
      <c r="H161" s="74">
        <f t="shared" si="54"/>
        <v>17</v>
      </c>
    </row>
    <row r="162" spans="1:8" x14ac:dyDescent="0.3">
      <c r="A162" s="759"/>
      <c r="B162" s="19" t="s">
        <v>77</v>
      </c>
      <c r="C162" s="11" t="s">
        <v>57</v>
      </c>
      <c r="D162" s="26">
        <f>Mangochi!M162+Mangochi!N162+Mangochi!O162</f>
        <v>7</v>
      </c>
      <c r="E162" s="26">
        <f>'Monkey Bay'!M162+'Monkey Bay'!N162+'Monkey Bay'!O162</f>
        <v>0</v>
      </c>
      <c r="F162" s="26">
        <f>Namwera!M162+Namwera!N162+Namwera!O162</f>
        <v>0</v>
      </c>
      <c r="G162" s="26">
        <f>Nkhudzi!M162+Nkhudzi!N162+Nkhudzi!O162</f>
        <v>0</v>
      </c>
      <c r="H162" s="74">
        <f t="shared" si="54"/>
        <v>7</v>
      </c>
    </row>
    <row r="163" spans="1:8" x14ac:dyDescent="0.3">
      <c r="A163" s="759"/>
      <c r="B163" s="19" t="s">
        <v>69</v>
      </c>
      <c r="C163" s="11" t="s">
        <v>57</v>
      </c>
      <c r="D163" s="26">
        <f>Mangochi!M163+Mangochi!N163+Mangochi!O163</f>
        <v>0</v>
      </c>
      <c r="E163" s="26">
        <f>'Monkey Bay'!M163+'Monkey Bay'!N163+'Monkey Bay'!O163</f>
        <v>0</v>
      </c>
      <c r="F163" s="26">
        <f>Namwera!M163+Namwera!N163+Namwera!O163</f>
        <v>0</v>
      </c>
      <c r="G163" s="26">
        <f>Nkhudzi!M163+Nkhudzi!N163+Nkhudzi!O163</f>
        <v>0</v>
      </c>
      <c r="H163" s="74">
        <f t="shared" si="54"/>
        <v>0</v>
      </c>
    </row>
    <row r="164" spans="1:8" x14ac:dyDescent="0.3">
      <c r="A164" s="759"/>
      <c r="B164" s="19" t="s">
        <v>68</v>
      </c>
      <c r="C164" s="11" t="s">
        <v>57</v>
      </c>
      <c r="D164" s="26">
        <f>Mangochi!M164+Mangochi!N164+Mangochi!O164</f>
        <v>0</v>
      </c>
      <c r="E164" s="26">
        <f>'Monkey Bay'!M164+'Monkey Bay'!N164+'Monkey Bay'!O164</f>
        <v>0</v>
      </c>
      <c r="F164" s="26">
        <f>Namwera!M164+Namwera!N164+Namwera!O164</f>
        <v>0</v>
      </c>
      <c r="G164" s="26">
        <f>Nkhudzi!M164+Nkhudzi!N164+Nkhudzi!O164</f>
        <v>0</v>
      </c>
      <c r="H164" s="74">
        <f t="shared" si="54"/>
        <v>0</v>
      </c>
    </row>
    <row r="165" spans="1:8" x14ac:dyDescent="0.3">
      <c r="A165" s="760"/>
      <c r="B165" s="19" t="s">
        <v>76</v>
      </c>
      <c r="C165" s="11" t="s">
        <v>57</v>
      </c>
      <c r="D165" s="26">
        <f>Mangochi!M165+Mangochi!N165+Mangochi!O165</f>
        <v>0</v>
      </c>
      <c r="E165" s="26">
        <f>'Monkey Bay'!M165+'Monkey Bay'!N165+'Monkey Bay'!O165</f>
        <v>0</v>
      </c>
      <c r="F165" s="26">
        <f>Namwera!M165+Namwera!N165+Namwera!O165</f>
        <v>0</v>
      </c>
      <c r="G165" s="26">
        <f>Nkhudzi!M165+Nkhudzi!N165+Nkhudzi!O165</f>
        <v>2</v>
      </c>
      <c r="H165" s="74">
        <f t="shared" si="54"/>
        <v>0</v>
      </c>
    </row>
    <row r="166" spans="1:8" x14ac:dyDescent="0.3">
      <c r="A166" s="758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74"/>
    </row>
    <row r="167" spans="1:8" x14ac:dyDescent="0.3">
      <c r="A167" s="759"/>
      <c r="B167" s="19" t="s">
        <v>74</v>
      </c>
      <c r="C167" s="11" t="s">
        <v>57</v>
      </c>
      <c r="D167" s="26">
        <f>Mangochi!M167+Mangochi!N167+Mangochi!O167</f>
        <v>32</v>
      </c>
      <c r="E167" s="26">
        <f>'Monkey Bay'!M167+'Monkey Bay'!N167+'Monkey Bay'!O167</f>
        <v>10</v>
      </c>
      <c r="F167" s="26">
        <f>Namwera!M167+Namwera!N167+Namwera!O167</f>
        <v>5</v>
      </c>
      <c r="G167" s="26">
        <f>Nkhudzi!M167+Nkhudzi!N167+Nkhudzi!O167</f>
        <v>0</v>
      </c>
      <c r="H167" s="74">
        <f t="shared" ref="H167:H175" si="55">SUM(D167:F167)</f>
        <v>47</v>
      </c>
    </row>
    <row r="168" spans="1:8" x14ac:dyDescent="0.3">
      <c r="A168" s="759"/>
      <c r="B168" s="19" t="s">
        <v>73</v>
      </c>
      <c r="C168" s="11" t="s">
        <v>57</v>
      </c>
      <c r="D168" s="26">
        <f>Mangochi!M168+Mangochi!N168+Mangochi!O168</f>
        <v>25</v>
      </c>
      <c r="E168" s="26">
        <f>'Monkey Bay'!M168+'Monkey Bay'!N168+'Monkey Bay'!O168</f>
        <v>6</v>
      </c>
      <c r="F168" s="26">
        <f>Namwera!M168+Namwera!N168+Namwera!O168</f>
        <v>0</v>
      </c>
      <c r="G168" s="26">
        <f>Nkhudzi!M168+Nkhudzi!N168+Nkhudzi!O168</f>
        <v>0</v>
      </c>
      <c r="H168" s="74">
        <f t="shared" si="55"/>
        <v>31</v>
      </c>
    </row>
    <row r="169" spans="1:8" x14ac:dyDescent="0.3">
      <c r="A169" s="759"/>
      <c r="B169" s="19" t="s">
        <v>72</v>
      </c>
      <c r="C169" s="11" t="s">
        <v>57</v>
      </c>
      <c r="D169" s="26">
        <f>Mangochi!M169+Mangochi!N169+Mangochi!O169</f>
        <v>7</v>
      </c>
      <c r="E169" s="26">
        <f>'Monkey Bay'!M169+'Monkey Bay'!N169+'Monkey Bay'!O169</f>
        <v>0</v>
      </c>
      <c r="F169" s="26">
        <f>Namwera!M169+Namwera!N169+Namwera!O169</f>
        <v>0</v>
      </c>
      <c r="G169" s="26">
        <f>Nkhudzi!M169+Nkhudzi!N169+Nkhudzi!O169</f>
        <v>0</v>
      </c>
      <c r="H169" s="74">
        <f t="shared" si="55"/>
        <v>7</v>
      </c>
    </row>
    <row r="170" spans="1:8" x14ac:dyDescent="0.3">
      <c r="A170" s="759"/>
      <c r="B170" s="19" t="s">
        <v>71</v>
      </c>
      <c r="C170" s="11" t="s">
        <v>57</v>
      </c>
      <c r="D170" s="26">
        <f>Mangochi!M170+Mangochi!N170+Mangochi!O170</f>
        <v>0</v>
      </c>
      <c r="E170" s="26">
        <f>'Monkey Bay'!M170+'Monkey Bay'!N170+'Monkey Bay'!O170</f>
        <v>0</v>
      </c>
      <c r="F170" s="26">
        <f>Namwera!M170+Namwera!N170+Namwera!O170</f>
        <v>0</v>
      </c>
      <c r="G170" s="26">
        <f>Nkhudzi!M170+Nkhudzi!N170+Nkhudzi!O170</f>
        <v>0</v>
      </c>
      <c r="H170" s="74">
        <f t="shared" si="55"/>
        <v>0</v>
      </c>
    </row>
    <row r="171" spans="1:8" x14ac:dyDescent="0.3">
      <c r="A171" s="759"/>
      <c r="B171" s="19" t="s">
        <v>52</v>
      </c>
      <c r="C171" s="11" t="s">
        <v>57</v>
      </c>
      <c r="D171" s="26">
        <f>Mangochi!M171+Mangochi!N171+Mangochi!O171</f>
        <v>0</v>
      </c>
      <c r="E171" s="26">
        <f>'Monkey Bay'!M171+'Monkey Bay'!N171+'Monkey Bay'!O171</f>
        <v>0</v>
      </c>
      <c r="F171" s="26">
        <f>Namwera!M171+Namwera!N171+Namwera!O171</f>
        <v>0</v>
      </c>
      <c r="G171" s="26">
        <f>Nkhudzi!M171+Nkhudzi!N171+Nkhudzi!O171</f>
        <v>0</v>
      </c>
      <c r="H171" s="74">
        <f t="shared" si="55"/>
        <v>0</v>
      </c>
    </row>
    <row r="172" spans="1:8" x14ac:dyDescent="0.3">
      <c r="A172" s="759"/>
      <c r="B172" s="19" t="s">
        <v>62</v>
      </c>
      <c r="C172" s="11" t="s">
        <v>57</v>
      </c>
      <c r="D172" s="26">
        <f>Mangochi!M172+Mangochi!N172+Mangochi!O172</f>
        <v>0</v>
      </c>
      <c r="E172" s="26">
        <f>'Monkey Bay'!M172+'Monkey Bay'!N172+'Monkey Bay'!O172</f>
        <v>0</v>
      </c>
      <c r="F172" s="26">
        <f>Namwera!M172+Namwera!N172+Namwera!O172</f>
        <v>0</v>
      </c>
      <c r="G172" s="26">
        <f>Nkhudzi!M172+Nkhudzi!N172+Nkhudzi!O172</f>
        <v>0</v>
      </c>
      <c r="H172" s="74">
        <f t="shared" si="55"/>
        <v>0</v>
      </c>
    </row>
    <row r="173" spans="1:8" x14ac:dyDescent="0.3">
      <c r="A173" s="759"/>
      <c r="B173" s="19" t="s">
        <v>61</v>
      </c>
      <c r="C173" s="11" t="s">
        <v>57</v>
      </c>
      <c r="D173" s="26">
        <f>Mangochi!M173+Mangochi!N173+Mangochi!O173</f>
        <v>0</v>
      </c>
      <c r="E173" s="26">
        <f>'Monkey Bay'!M173+'Monkey Bay'!N173+'Monkey Bay'!O173</f>
        <v>0</v>
      </c>
      <c r="F173" s="26">
        <f>Namwera!M173+Namwera!N173+Namwera!O173</f>
        <v>0</v>
      </c>
      <c r="G173" s="26">
        <f>Nkhudzi!M173+Nkhudzi!N173+Nkhudzi!O173</f>
        <v>0</v>
      </c>
      <c r="H173" s="74">
        <f t="shared" si="55"/>
        <v>0</v>
      </c>
    </row>
    <row r="174" spans="1:8" x14ac:dyDescent="0.3">
      <c r="A174" s="759"/>
      <c r="B174" s="19" t="s">
        <v>60</v>
      </c>
      <c r="C174" s="11" t="s">
        <v>57</v>
      </c>
      <c r="D174" s="26">
        <f>Mangochi!M174+Mangochi!N174+Mangochi!O174</f>
        <v>0</v>
      </c>
      <c r="E174" s="26">
        <f>'Monkey Bay'!M174+'Monkey Bay'!N174+'Monkey Bay'!O174</f>
        <v>0</v>
      </c>
      <c r="F174" s="26">
        <f>Namwera!M174+Namwera!N174+Namwera!O174</f>
        <v>0</v>
      </c>
      <c r="G174" s="26">
        <f>Nkhudzi!M174+Nkhudzi!N174+Nkhudzi!O174</f>
        <v>0</v>
      </c>
      <c r="H174" s="74">
        <f t="shared" si="55"/>
        <v>0</v>
      </c>
    </row>
    <row r="175" spans="1:8" x14ac:dyDescent="0.3">
      <c r="A175" s="760"/>
      <c r="B175" s="19" t="s">
        <v>69</v>
      </c>
      <c r="C175" s="11" t="s">
        <v>57</v>
      </c>
      <c r="D175" s="26">
        <f>Mangochi!M175+Mangochi!N175+Mangochi!O175</f>
        <v>0</v>
      </c>
      <c r="E175" s="26">
        <f>'Monkey Bay'!M175+'Monkey Bay'!N175+'Monkey Bay'!O175</f>
        <v>0</v>
      </c>
      <c r="F175" s="26">
        <f>Namwera!M175+Namwera!N175+Namwera!O175</f>
        <v>0</v>
      </c>
      <c r="G175" s="26">
        <f>Nkhudzi!M175+Nkhudzi!N175+Nkhudzi!O175</f>
        <v>0</v>
      </c>
      <c r="H175" s="74">
        <f t="shared" si="55"/>
        <v>0</v>
      </c>
    </row>
    <row r="176" spans="1:8" x14ac:dyDescent="0.3">
      <c r="A176" s="758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74"/>
    </row>
    <row r="177" spans="1:8" x14ac:dyDescent="0.3">
      <c r="A177" s="759"/>
      <c r="B177" s="19" t="s">
        <v>60</v>
      </c>
      <c r="C177" s="11" t="s">
        <v>57</v>
      </c>
      <c r="D177" s="26">
        <f>Mangochi!M177+Mangochi!N177+Mangochi!O177</f>
        <v>0</v>
      </c>
      <c r="E177" s="26">
        <f>'Monkey Bay'!M177+'Monkey Bay'!N177+'Monkey Bay'!O177</f>
        <v>0</v>
      </c>
      <c r="F177" s="26">
        <f>Namwera!M177+Namwera!N177+Namwera!O177</f>
        <v>0</v>
      </c>
      <c r="G177" s="26">
        <f>Nkhudzi!M177+Nkhudzi!N177+Nkhudzi!O177</f>
        <v>0</v>
      </c>
      <c r="H177" s="74">
        <f t="shared" ref="H177:H182" si="56">SUM(D177:F177)</f>
        <v>0</v>
      </c>
    </row>
    <row r="178" spans="1:8" x14ac:dyDescent="0.3">
      <c r="A178" s="759"/>
      <c r="B178" s="19" t="s">
        <v>69</v>
      </c>
      <c r="C178" s="11" t="s">
        <v>57</v>
      </c>
      <c r="D178" s="26">
        <f>Mangochi!M178+Mangochi!N178+Mangochi!O178</f>
        <v>0</v>
      </c>
      <c r="E178" s="26">
        <f>'Monkey Bay'!M178+'Monkey Bay'!N178+'Monkey Bay'!O178</f>
        <v>0</v>
      </c>
      <c r="F178" s="26">
        <f>Namwera!M178+Namwera!N178+Namwera!O178</f>
        <v>0</v>
      </c>
      <c r="G178" s="26">
        <f>Nkhudzi!M178+Nkhudzi!N178+Nkhudzi!O178</f>
        <v>0</v>
      </c>
      <c r="H178" s="74">
        <f t="shared" si="56"/>
        <v>0</v>
      </c>
    </row>
    <row r="179" spans="1:8" x14ac:dyDescent="0.3">
      <c r="A179" s="759"/>
      <c r="B179" s="19" t="s">
        <v>68</v>
      </c>
      <c r="C179" s="11" t="s">
        <v>57</v>
      </c>
      <c r="D179" s="26">
        <f>Mangochi!M179+Mangochi!N179+Mangochi!O179</f>
        <v>0</v>
      </c>
      <c r="E179" s="26">
        <f>'Monkey Bay'!M179+'Monkey Bay'!N179+'Monkey Bay'!O179</f>
        <v>0</v>
      </c>
      <c r="F179" s="26">
        <f>Namwera!M179+Namwera!N179+Namwera!O179</f>
        <v>0</v>
      </c>
      <c r="G179" s="26">
        <f>Nkhudzi!M179+Nkhudzi!N179+Nkhudzi!O179</f>
        <v>0</v>
      </c>
      <c r="H179" s="74">
        <f t="shared" si="56"/>
        <v>0</v>
      </c>
    </row>
    <row r="180" spans="1:8" x14ac:dyDescent="0.3">
      <c r="A180" s="759"/>
      <c r="B180" s="19" t="s">
        <v>67</v>
      </c>
      <c r="C180" s="11" t="s">
        <v>57</v>
      </c>
      <c r="D180" s="26">
        <f>Mangochi!M180+Mangochi!N180+Mangochi!O180</f>
        <v>0</v>
      </c>
      <c r="E180" s="26">
        <f>'Monkey Bay'!M180+'Monkey Bay'!N180+'Monkey Bay'!O180</f>
        <v>0</v>
      </c>
      <c r="F180" s="26">
        <f>Namwera!M180+Namwera!N180+Namwera!O180</f>
        <v>0</v>
      </c>
      <c r="G180" s="26">
        <f>Nkhudzi!M180+Nkhudzi!N180+Nkhudzi!O180</f>
        <v>0</v>
      </c>
      <c r="H180" s="74">
        <f t="shared" si="56"/>
        <v>0</v>
      </c>
    </row>
    <row r="181" spans="1:8" x14ac:dyDescent="0.3">
      <c r="A181" s="759"/>
      <c r="B181" s="19" t="s">
        <v>66</v>
      </c>
      <c r="C181" s="11" t="s">
        <v>57</v>
      </c>
      <c r="D181" s="26">
        <f>Mangochi!M181+Mangochi!N181+Mangochi!O181</f>
        <v>0</v>
      </c>
      <c r="E181" s="26">
        <f>'Monkey Bay'!M181+'Monkey Bay'!N181+'Monkey Bay'!O181</f>
        <v>0</v>
      </c>
      <c r="F181" s="26">
        <f>Namwera!M181+Namwera!N181+Namwera!O181</f>
        <v>0</v>
      </c>
      <c r="G181" s="26">
        <f>Nkhudzi!M181+Nkhudzi!N181+Nkhudzi!O181</f>
        <v>0</v>
      </c>
      <c r="H181" s="74">
        <f t="shared" si="56"/>
        <v>0</v>
      </c>
    </row>
    <row r="182" spans="1:8" x14ac:dyDescent="0.3">
      <c r="A182" s="760"/>
      <c r="B182" s="19" t="s">
        <v>65</v>
      </c>
      <c r="C182" s="11" t="s">
        <v>57</v>
      </c>
      <c r="D182" s="26">
        <f>Mangochi!M182+Mangochi!N182+Mangochi!O182</f>
        <v>0</v>
      </c>
      <c r="E182" s="26">
        <f>'Monkey Bay'!M182+'Monkey Bay'!N182+'Monkey Bay'!O182</f>
        <v>0</v>
      </c>
      <c r="F182" s="26">
        <f>Namwera!M182+Namwera!N182+Namwera!O182</f>
        <v>0</v>
      </c>
      <c r="G182" s="26">
        <f>Nkhudzi!M182+Nkhudzi!N182+Nkhudzi!O182</f>
        <v>0</v>
      </c>
      <c r="H182" s="74">
        <f t="shared" si="56"/>
        <v>0</v>
      </c>
    </row>
    <row r="183" spans="1:8" x14ac:dyDescent="0.3">
      <c r="A183" s="758" t="s">
        <v>209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74"/>
    </row>
    <row r="184" spans="1:8" x14ac:dyDescent="0.3">
      <c r="A184" s="759"/>
      <c r="B184" s="19" t="s">
        <v>73</v>
      </c>
      <c r="C184" s="11"/>
      <c r="D184" s="26">
        <f>Mangochi!J184+Mangochi!K184+Mangochi!L184</f>
        <v>0</v>
      </c>
      <c r="E184" s="26">
        <f>Mangochi!K184+Mangochi!L184+Mangochi!M184</f>
        <v>0</v>
      </c>
      <c r="F184" s="26">
        <f>Mangochi!L184+Mangochi!M184+Mangochi!N184</f>
        <v>0</v>
      </c>
      <c r="G184" s="26">
        <f>Nkhudzi!M184+Nkhudzi!N184+Nkhudzi!O184</f>
        <v>0</v>
      </c>
      <c r="H184" s="74">
        <f>SUM(D184:F184)</f>
        <v>0</v>
      </c>
    </row>
    <row r="185" spans="1:8" x14ac:dyDescent="0.3">
      <c r="A185" s="759"/>
      <c r="B185" s="19" t="s">
        <v>72</v>
      </c>
      <c r="C185" s="11"/>
      <c r="D185" s="26">
        <f>Mangochi!J185+Mangochi!K185+Mangochi!L185</f>
        <v>0</v>
      </c>
      <c r="E185" s="26">
        <f>Mangochi!K185+Mangochi!L185+Mangochi!M185</f>
        <v>0</v>
      </c>
      <c r="F185" s="26">
        <f>Mangochi!L185+Mangochi!M185+Mangochi!N185</f>
        <v>0</v>
      </c>
      <c r="G185" s="26">
        <f>Nkhudzi!M185+Nkhudzi!N185+Nkhudzi!O185</f>
        <v>0</v>
      </c>
      <c r="H185" s="74">
        <f>SUM(D185:F185)</f>
        <v>0</v>
      </c>
    </row>
    <row r="186" spans="1:8" x14ac:dyDescent="0.3">
      <c r="A186" s="759"/>
      <c r="B186" s="19" t="s">
        <v>53</v>
      </c>
      <c r="C186" s="11"/>
      <c r="D186" s="26">
        <f>Mangochi!J186+Mangochi!K186+Mangochi!L186</f>
        <v>0</v>
      </c>
      <c r="E186" s="26">
        <f>Mangochi!K186+Mangochi!L186+Mangochi!M186</f>
        <v>0</v>
      </c>
      <c r="F186" s="26">
        <f>Mangochi!L186+Mangochi!M186+Mangochi!N186</f>
        <v>0</v>
      </c>
      <c r="G186" s="26">
        <f>Nkhudzi!M186+Nkhudzi!N186+Nkhudzi!O186</f>
        <v>0</v>
      </c>
      <c r="H186" s="74">
        <f>SUM(D186:F186)</f>
        <v>0</v>
      </c>
    </row>
    <row r="187" spans="1:8" x14ac:dyDescent="0.3">
      <c r="A187" s="760"/>
      <c r="B187" s="19" t="s">
        <v>52</v>
      </c>
      <c r="C187" s="11"/>
      <c r="D187" s="26">
        <f>Mangochi!J187+Mangochi!K187+Mangochi!L187</f>
        <v>0</v>
      </c>
      <c r="E187" s="26">
        <f>Mangochi!K187+Mangochi!L187+Mangochi!M187</f>
        <v>0</v>
      </c>
      <c r="F187" s="26">
        <f>Mangochi!L187+Mangochi!M187+Mangochi!N187</f>
        <v>0</v>
      </c>
      <c r="G187" s="26">
        <f>Nkhudzi!M187+Nkhudzi!N187+Nkhudzi!O187</f>
        <v>0</v>
      </c>
      <c r="H187" s="74">
        <f>SUM(D187:F187)</f>
        <v>0</v>
      </c>
    </row>
    <row r="188" spans="1:8" x14ac:dyDescent="0.3">
      <c r="A188" s="758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74"/>
    </row>
    <row r="189" spans="1:8" x14ac:dyDescent="0.3">
      <c r="A189" s="759"/>
      <c r="B189" s="20" t="s">
        <v>52</v>
      </c>
      <c r="C189" s="11" t="s">
        <v>57</v>
      </c>
      <c r="D189" s="4">
        <f>Mangochi!J189+Mangochi!K189+Mangochi!L189</f>
        <v>0</v>
      </c>
      <c r="E189" s="4">
        <f>Mangochi!K189+Mangochi!L189+Mangochi!M189</f>
        <v>0</v>
      </c>
      <c r="F189" s="4">
        <f>Mangochi!L189+Mangochi!M189+Mangochi!N189</f>
        <v>0</v>
      </c>
      <c r="G189" s="26">
        <f>Nkhudzi!M189+Nkhudzi!N189+Nkhudzi!O189</f>
        <v>0</v>
      </c>
      <c r="H189" s="74">
        <f>SUM(D189:F189)</f>
        <v>0</v>
      </c>
    </row>
    <row r="190" spans="1:8" x14ac:dyDescent="0.3">
      <c r="A190" s="759"/>
      <c r="B190" s="19" t="s">
        <v>62</v>
      </c>
      <c r="C190" s="11" t="s">
        <v>57</v>
      </c>
      <c r="D190" s="4">
        <f>Mangochi!J190+Mangochi!K190+Mangochi!L190</f>
        <v>0</v>
      </c>
      <c r="E190" s="4">
        <f>Mangochi!K190+Mangochi!L190+Mangochi!M190</f>
        <v>0</v>
      </c>
      <c r="F190" s="4">
        <f>Mangochi!L190+Mangochi!M190+Mangochi!N190</f>
        <v>0</v>
      </c>
      <c r="G190" s="26">
        <f>Nkhudzi!M190+Nkhudzi!N190+Nkhudzi!O190</f>
        <v>0</v>
      </c>
      <c r="H190" s="74">
        <f>SUM(D190:F190)</f>
        <v>0</v>
      </c>
    </row>
    <row r="191" spans="1:8" x14ac:dyDescent="0.3">
      <c r="A191" s="759"/>
      <c r="B191" s="19" t="s">
        <v>61</v>
      </c>
      <c r="C191" s="11" t="s">
        <v>57</v>
      </c>
      <c r="D191" s="4">
        <f>Mangochi!J191+Mangochi!K191+Mangochi!L191</f>
        <v>1</v>
      </c>
      <c r="E191" s="4">
        <f>Mangochi!K191+Mangochi!L191+Mangochi!M191</f>
        <v>0</v>
      </c>
      <c r="F191" s="4">
        <f>Mangochi!L191+Mangochi!M191+Mangochi!N191</f>
        <v>0</v>
      </c>
      <c r="G191" s="26">
        <f>Nkhudzi!M191+Nkhudzi!N191+Nkhudzi!O191</f>
        <v>0</v>
      </c>
      <c r="H191" s="74">
        <f>SUM(D191:F191)</f>
        <v>1</v>
      </c>
    </row>
    <row r="192" spans="1:8" x14ac:dyDescent="0.3">
      <c r="A192" s="760"/>
      <c r="B192" s="19" t="s">
        <v>60</v>
      </c>
      <c r="C192" s="11" t="s">
        <v>57</v>
      </c>
      <c r="D192" s="4">
        <f>Mangochi!J192+Mangochi!K192+Mangochi!L192</f>
        <v>1</v>
      </c>
      <c r="E192" s="4">
        <f>Mangochi!K192+Mangochi!L192+Mangochi!M192</f>
        <v>1</v>
      </c>
      <c r="F192" s="4">
        <f>Mangochi!L192+Mangochi!M192+Mangochi!N192</f>
        <v>2</v>
      </c>
      <c r="G192" s="26">
        <f>Nkhudzi!M192+Nkhudzi!N192+Nkhudzi!O192</f>
        <v>0</v>
      </c>
      <c r="H192" s="74">
        <f>SUM(D192:F192)</f>
        <v>4</v>
      </c>
    </row>
    <row r="193" spans="1:8" x14ac:dyDescent="0.3">
      <c r="A193" s="791" t="s">
        <v>59</v>
      </c>
      <c r="B193" s="792"/>
      <c r="C193" s="11"/>
      <c r="D193" s="10">
        <f>SUM(D153:D192)</f>
        <v>982</v>
      </c>
      <c r="E193" s="10">
        <f t="shared" ref="E193:H193" si="57">SUM(E153:E192)</f>
        <v>190</v>
      </c>
      <c r="F193" s="10">
        <f t="shared" si="57"/>
        <v>108</v>
      </c>
      <c r="G193" s="10">
        <f t="shared" si="57"/>
        <v>54</v>
      </c>
      <c r="H193" s="103">
        <f t="shared" si="57"/>
        <v>1280</v>
      </c>
    </row>
    <row r="194" spans="1:8" x14ac:dyDescent="0.3">
      <c r="A194" s="764" t="s">
        <v>58</v>
      </c>
      <c r="B194" s="765"/>
      <c r="C194" s="11" t="s">
        <v>57</v>
      </c>
      <c r="D194" s="26">
        <f>Mangochi!M194+Mangochi!N194+Mangochi!O194</f>
        <v>9</v>
      </c>
      <c r="E194" s="26">
        <f>'Monkey Bay'!M194+'Monkey Bay'!N194+'Monkey Bay'!O194</f>
        <v>6</v>
      </c>
      <c r="F194" s="26">
        <f>Namwera!M194+Namwera!N194+Namwera!O194</f>
        <v>9</v>
      </c>
      <c r="G194" s="26">
        <f>Nkhudzi!M194+Nkhudzi!N194+Nkhudzi!O194</f>
        <v>0</v>
      </c>
      <c r="H194" s="39">
        <f>SUM(D194:F194)</f>
        <v>24</v>
      </c>
    </row>
    <row r="195" spans="1:8" x14ac:dyDescent="0.3">
      <c r="A195" s="766"/>
      <c r="B195" s="767"/>
      <c r="C195" s="16" t="s">
        <v>55</v>
      </c>
      <c r="D195" s="26">
        <f>Mangochi!M195+Mangochi!N195+Mangochi!O195</f>
        <v>0</v>
      </c>
      <c r="E195" s="26">
        <f>'Monkey Bay'!M195+'Monkey Bay'!N195+'Monkey Bay'!O195</f>
        <v>0</v>
      </c>
      <c r="F195" s="26">
        <f>Namwera!M195+Namwera!N195+Namwera!O195</f>
        <v>0</v>
      </c>
      <c r="G195" s="26">
        <f>Nkhudzi!M195+Nkhudzi!N195+Nkhudzi!O195</f>
        <v>0</v>
      </c>
      <c r="H195" s="39">
        <f>SUM(D195:F195)</f>
        <v>0</v>
      </c>
    </row>
    <row r="196" spans="1:8" x14ac:dyDescent="0.3">
      <c r="A196" s="214" t="s">
        <v>202</v>
      </c>
      <c r="B196" s="218"/>
      <c r="C196" s="16" t="s">
        <v>55</v>
      </c>
      <c r="D196" s="26">
        <f>Mangochi!M196+Mangochi!N196+Mangochi!O196</f>
        <v>1819.75</v>
      </c>
      <c r="E196" s="26">
        <f>'Monkey Bay'!M196+'Monkey Bay'!N196+'Monkey Bay'!O196</f>
        <v>1498</v>
      </c>
      <c r="F196" s="26">
        <f>Namwera!M196+Namwera!N196+Namwera!O196</f>
        <v>1656</v>
      </c>
      <c r="G196" s="26">
        <f>Nkhudzi!M196+Nkhudzi!N196+Nkhudzi!O196</f>
        <v>633.13</v>
      </c>
      <c r="H196" s="39">
        <f>SUM(D196:F196)</f>
        <v>4973.75</v>
      </c>
    </row>
    <row r="197" spans="1:8" x14ac:dyDescent="0.3">
      <c r="A197" s="695" t="s">
        <v>56</v>
      </c>
      <c r="B197" s="696"/>
      <c r="C197" s="16" t="s">
        <v>55</v>
      </c>
      <c r="D197" s="26">
        <f>Mangochi!M197+Mangochi!N197+Mangochi!O197</f>
        <v>158.75</v>
      </c>
      <c r="E197" s="26">
        <f>'Monkey Bay'!M197+'Monkey Bay'!N197+'Monkey Bay'!O197</f>
        <v>654</v>
      </c>
      <c r="F197" s="26">
        <f>Namwera!M197+Namwera!N197+Namwera!O197</f>
        <v>504</v>
      </c>
      <c r="G197" s="26">
        <f>Nkhudzi!M197+Nkhudzi!N197+Nkhudzi!O197</f>
        <v>58.08</v>
      </c>
      <c r="H197" s="39">
        <f>SUM(D197:F197)</f>
        <v>1316.75</v>
      </c>
    </row>
    <row r="198" spans="1:8" ht="14.4" x14ac:dyDescent="0.3">
      <c r="A198" s="699" t="s">
        <v>203</v>
      </c>
      <c r="B198" s="700"/>
      <c r="C198" s="700"/>
      <c r="D198" s="700"/>
      <c r="E198" s="700"/>
      <c r="F198" s="700"/>
      <c r="G198" s="700"/>
      <c r="H198" s="701"/>
    </row>
    <row r="199" spans="1:8" x14ac:dyDescent="0.3">
      <c r="A199" s="764" t="s">
        <v>54</v>
      </c>
      <c r="B199" s="211" t="s">
        <v>53</v>
      </c>
      <c r="C199" s="11" t="s">
        <v>47</v>
      </c>
      <c r="D199" s="26">
        <f>Mangochi!M199+Mangochi!N199+Mangochi!O199</f>
        <v>500</v>
      </c>
      <c r="E199" s="26">
        <f>'Monkey Bay'!M199+'Monkey Bay'!N199+'Monkey Bay'!O199</f>
        <v>0</v>
      </c>
      <c r="F199" s="26">
        <f>Namwera!M199+Namwera!N199+Namwera!O199</f>
        <v>0</v>
      </c>
      <c r="G199" s="26">
        <f>Nkhudzi!M199+Nkhudzi!N199+Nkhudzi!O199</f>
        <v>480</v>
      </c>
      <c r="H199" s="39">
        <f t="shared" ref="H199:H204" si="58">SUM(D199:F199)</f>
        <v>500</v>
      </c>
    </row>
    <row r="200" spans="1:8" x14ac:dyDescent="0.3">
      <c r="A200" s="768"/>
      <c r="B200" s="211" t="s">
        <v>52</v>
      </c>
      <c r="C200" s="11" t="s">
        <v>47</v>
      </c>
      <c r="D200" s="26">
        <f>Mangochi!M200+Mangochi!N200+Mangochi!O200</f>
        <v>830</v>
      </c>
      <c r="E200" s="26">
        <f>'Monkey Bay'!M200+'Monkey Bay'!N200+'Monkey Bay'!O200</f>
        <v>0</v>
      </c>
      <c r="F200" s="26">
        <f>Namwera!M200+Namwera!N200+Namwera!O200</f>
        <v>0</v>
      </c>
      <c r="G200" s="26">
        <f>Nkhudzi!M200+Nkhudzi!N200+Nkhudzi!O200</f>
        <v>342</v>
      </c>
      <c r="H200" s="39">
        <f t="shared" si="58"/>
        <v>830</v>
      </c>
    </row>
    <row r="201" spans="1:8" x14ac:dyDescent="0.3">
      <c r="A201" s="768"/>
      <c r="B201" s="211" t="s">
        <v>51</v>
      </c>
      <c r="C201" s="11" t="s">
        <v>47</v>
      </c>
      <c r="D201" s="26">
        <f>Mangochi!M201+Mangochi!N201+Mangochi!O201</f>
        <v>0</v>
      </c>
      <c r="E201" s="26">
        <f>'Monkey Bay'!M201+'Monkey Bay'!N201+'Monkey Bay'!O201</f>
        <v>0</v>
      </c>
      <c r="F201" s="26">
        <f>Namwera!M201+Namwera!N201+Namwera!O201</f>
        <v>0</v>
      </c>
      <c r="G201" s="26">
        <f>Nkhudzi!M201+Nkhudzi!N201+Nkhudzi!O201</f>
        <v>0</v>
      </c>
      <c r="H201" s="39">
        <f t="shared" si="58"/>
        <v>0</v>
      </c>
    </row>
    <row r="202" spans="1:8" x14ac:dyDescent="0.3">
      <c r="A202" s="768"/>
      <c r="B202" s="211" t="s">
        <v>50</v>
      </c>
      <c r="C202" s="11" t="s">
        <v>47</v>
      </c>
      <c r="D202" s="26">
        <f>Mangochi!M202+Mangochi!N202+Mangochi!O202</f>
        <v>0</v>
      </c>
      <c r="E202" s="26">
        <f>'Monkey Bay'!M202+'Monkey Bay'!N202+'Monkey Bay'!O202</f>
        <v>0</v>
      </c>
      <c r="F202" s="26">
        <f>Namwera!M202+Namwera!N202+Namwera!O202</f>
        <v>0</v>
      </c>
      <c r="G202" s="26">
        <f>Nkhudzi!M202+Nkhudzi!N202+Nkhudzi!O202</f>
        <v>0</v>
      </c>
      <c r="H202" s="39">
        <f t="shared" si="58"/>
        <v>0</v>
      </c>
    </row>
    <row r="203" spans="1:8" x14ac:dyDescent="0.3">
      <c r="A203" s="766"/>
      <c r="B203" s="211" t="s">
        <v>49</v>
      </c>
      <c r="C203" s="11" t="s">
        <v>47</v>
      </c>
      <c r="D203" s="26">
        <f>Mangochi!M203+Mangochi!N203+Mangochi!O203</f>
        <v>320</v>
      </c>
      <c r="E203" s="26">
        <f>'Monkey Bay'!M203+'Monkey Bay'!N203+'Monkey Bay'!O203</f>
        <v>0</v>
      </c>
      <c r="F203" s="26">
        <f>Namwera!M203+Namwera!N203+Namwera!O203</f>
        <v>0</v>
      </c>
      <c r="G203" s="26">
        <f>Nkhudzi!M203+Nkhudzi!N203+Nkhudzi!O203</f>
        <v>4152</v>
      </c>
      <c r="H203" s="39">
        <f t="shared" si="58"/>
        <v>320</v>
      </c>
    </row>
    <row r="204" spans="1:8" x14ac:dyDescent="0.3">
      <c r="A204" s="83" t="s">
        <v>48</v>
      </c>
      <c r="B204" s="211"/>
      <c r="C204" s="11" t="s">
        <v>47</v>
      </c>
      <c r="D204" s="15">
        <f t="shared" ref="D204:F204" si="59">SUM(D199:D203)</f>
        <v>1650</v>
      </c>
      <c r="E204" s="15">
        <f t="shared" si="59"/>
        <v>0</v>
      </c>
      <c r="F204" s="15">
        <f t="shared" si="59"/>
        <v>0</v>
      </c>
      <c r="G204" s="15">
        <f t="shared" ref="G204" si="60">SUM(G199:G203)</f>
        <v>4974</v>
      </c>
      <c r="H204" s="111">
        <f t="shared" si="58"/>
        <v>1650</v>
      </c>
    </row>
    <row r="205" spans="1:8" s="2" customFormat="1" ht="14.4" x14ac:dyDescent="0.3">
      <c r="A205" s="699" t="s">
        <v>46</v>
      </c>
      <c r="B205" s="700"/>
      <c r="C205" s="700"/>
      <c r="D205" s="700"/>
      <c r="E205" s="700"/>
      <c r="F205" s="700"/>
      <c r="G205" s="700"/>
      <c r="H205" s="701"/>
    </row>
    <row r="206" spans="1:8" x14ac:dyDescent="0.3">
      <c r="A206" s="695" t="s">
        <v>43</v>
      </c>
      <c r="B206" s="696"/>
      <c r="C206" s="11" t="s">
        <v>31</v>
      </c>
      <c r="D206" s="15">
        <f>Mangochi!M206+Mangochi!N206+Mangochi!O206</f>
        <v>104474896</v>
      </c>
      <c r="E206" s="15">
        <f>'Monkey Bay'!M206+'Monkey Bay'!N206+'Monkey Bay'!O206</f>
        <v>78119495</v>
      </c>
      <c r="F206" s="15">
        <f>Namwera!M206+Namwera!N206+Namwera!O206</f>
        <v>3205100</v>
      </c>
      <c r="G206" s="15">
        <f>Nkhudzi!M206+Nkhudzi!N206+Nkhudzi!O206</f>
        <v>0</v>
      </c>
      <c r="H206" s="39">
        <f>SUM(D206:F206)</f>
        <v>185799491</v>
      </c>
    </row>
    <row r="207" spans="1:8" x14ac:dyDescent="0.3">
      <c r="A207" s="695" t="s">
        <v>42</v>
      </c>
      <c r="B207" s="696"/>
      <c r="C207" s="11" t="s">
        <v>31</v>
      </c>
      <c r="D207" s="15">
        <f>Mangochi!M207+Mangochi!N207+Mangochi!O207</f>
        <v>0</v>
      </c>
      <c r="E207" s="15">
        <f>'Monkey Bay'!M207+'Monkey Bay'!N207+'Monkey Bay'!O207</f>
        <v>0</v>
      </c>
      <c r="F207" s="15">
        <f>Namwera!M207+Namwera!N207+Namwera!O207</f>
        <v>0</v>
      </c>
      <c r="G207" s="15">
        <f>Nkhudzi!M207+Nkhudzi!N207+Nkhudzi!O207</f>
        <v>0</v>
      </c>
      <c r="H207" s="39">
        <f>SUM(D207:F207)</f>
        <v>0</v>
      </c>
    </row>
    <row r="208" spans="1:8" x14ac:dyDescent="0.3">
      <c r="A208" s="702" t="s">
        <v>41</v>
      </c>
      <c r="B208" s="703"/>
      <c r="C208" s="11" t="s">
        <v>31</v>
      </c>
      <c r="D208" s="15">
        <f>Mangochi!M208+Mangochi!N208+Mangochi!O208</f>
        <v>1678438</v>
      </c>
      <c r="E208" s="15">
        <f>'Monkey Bay'!M208+'Monkey Bay'!N208+'Monkey Bay'!O208</f>
        <v>170243</v>
      </c>
      <c r="F208" s="15">
        <f>Namwera!M208+Namwera!N208+Namwera!O208</f>
        <v>0</v>
      </c>
      <c r="G208" s="15">
        <f>Nkhudzi!M208+Nkhudzi!N208+Nkhudzi!O208</f>
        <v>0</v>
      </c>
      <c r="H208" s="39">
        <f>SUM(D208:F208)</f>
        <v>1848681</v>
      </c>
    </row>
    <row r="209" spans="1:8" x14ac:dyDescent="0.3">
      <c r="A209" s="695" t="s">
        <v>40</v>
      </c>
      <c r="B209" s="696"/>
      <c r="C209" s="11" t="s">
        <v>31</v>
      </c>
      <c r="D209" s="15">
        <f>Mangochi!M209+Mangochi!N209+Mangochi!O209</f>
        <v>4812034</v>
      </c>
      <c r="E209" s="15">
        <f>'Monkey Bay'!M209+'Monkey Bay'!N209+'Monkey Bay'!O209</f>
        <v>362081589</v>
      </c>
      <c r="F209" s="15">
        <f>Namwera!M209+Namwera!N209+Namwera!O209</f>
        <v>0</v>
      </c>
      <c r="G209" s="15">
        <f>Nkhudzi!M209+Nkhudzi!N209+Nkhudzi!O209</f>
        <v>0</v>
      </c>
      <c r="H209" s="39">
        <f>SUM(D209:F209)</f>
        <v>366893623</v>
      </c>
    </row>
    <row r="210" spans="1:8" x14ac:dyDescent="0.3">
      <c r="A210" s="762" t="s">
        <v>45</v>
      </c>
      <c r="B210" s="763"/>
      <c r="C210" s="11" t="s">
        <v>31</v>
      </c>
      <c r="D210" s="10">
        <f t="shared" ref="D210:G210" si="61">SUM(D206:D209)</f>
        <v>110965368</v>
      </c>
      <c r="E210" s="10">
        <f t="shared" si="61"/>
        <v>440371327</v>
      </c>
      <c r="F210" s="10">
        <f t="shared" si="61"/>
        <v>3205100</v>
      </c>
      <c r="G210" s="10">
        <f t="shared" si="61"/>
        <v>0</v>
      </c>
      <c r="H210" s="39">
        <f>SUM(D210:F210)</f>
        <v>554541795</v>
      </c>
    </row>
    <row r="211" spans="1:8" s="2" customFormat="1" ht="14.4" x14ac:dyDescent="0.3">
      <c r="A211" s="699" t="s">
        <v>44</v>
      </c>
      <c r="B211" s="700"/>
      <c r="C211" s="700"/>
      <c r="D211" s="700"/>
      <c r="E211" s="700"/>
      <c r="F211" s="700"/>
      <c r="G211" s="700"/>
      <c r="H211" s="701"/>
    </row>
    <row r="212" spans="1:8" x14ac:dyDescent="0.3">
      <c r="A212" s="695" t="s">
        <v>43</v>
      </c>
      <c r="B212" s="696"/>
      <c r="C212" s="11" t="s">
        <v>31</v>
      </c>
      <c r="D212" s="15">
        <f>Mangochi!M212+Mangochi!N212+Mangochi!O212</f>
        <v>99870408.569999993</v>
      </c>
      <c r="E212" s="15">
        <f>'Monkey Bay'!M212+'Monkey Bay'!N212+'Monkey Bay'!O212</f>
        <v>44732438</v>
      </c>
      <c r="F212" s="15">
        <f>Namwera!M212+Namwera!N212+Namwera!O212</f>
        <v>7365100.6500000004</v>
      </c>
      <c r="G212" s="15">
        <f>Nkhudzi!M212+Nkhudzi!N212+Nkhudzi!O212</f>
        <v>16980523.539999999</v>
      </c>
      <c r="H212" s="39">
        <f>SUM(D212:F212)</f>
        <v>151967947.22</v>
      </c>
    </row>
    <row r="213" spans="1:8" x14ac:dyDescent="0.3">
      <c r="A213" s="695" t="s">
        <v>42</v>
      </c>
      <c r="B213" s="696"/>
      <c r="C213" s="11" t="s">
        <v>31</v>
      </c>
      <c r="D213" s="15">
        <f>Mangochi!M213+Mangochi!N213+Mangochi!O213</f>
        <v>0</v>
      </c>
      <c r="E213" s="15">
        <f>'Monkey Bay'!M213+'Monkey Bay'!N213+'Monkey Bay'!O213</f>
        <v>0</v>
      </c>
      <c r="F213" s="15">
        <f>Namwera!M213+Namwera!N213+Namwera!O213</f>
        <v>0</v>
      </c>
      <c r="G213" s="15">
        <f>Nkhudzi!M213+Nkhudzi!N213+Nkhudzi!O213</f>
        <v>0</v>
      </c>
      <c r="H213" s="39">
        <f>SUM(D213:F213)</f>
        <v>0</v>
      </c>
    </row>
    <row r="214" spans="1:8" x14ac:dyDescent="0.3">
      <c r="A214" s="702" t="s">
        <v>41</v>
      </c>
      <c r="B214" s="703"/>
      <c r="C214" s="11" t="s">
        <v>31</v>
      </c>
      <c r="D214" s="15">
        <f>Mangochi!M214+Mangochi!N214+Mangochi!O214</f>
        <v>0</v>
      </c>
      <c r="E214" s="15">
        <f>'Monkey Bay'!M214+'Monkey Bay'!N214+'Monkey Bay'!O214</f>
        <v>0</v>
      </c>
      <c r="F214" s="15">
        <f>Namwera!M214+Namwera!N214+Namwera!O214</f>
        <v>0</v>
      </c>
      <c r="G214" s="15">
        <f>Nkhudzi!M214+Nkhudzi!N214+Nkhudzi!O214</f>
        <v>0</v>
      </c>
      <c r="H214" s="39">
        <f>SUM(D214:F214)</f>
        <v>0</v>
      </c>
    </row>
    <row r="215" spans="1:8" x14ac:dyDescent="0.3">
      <c r="A215" s="695" t="s">
        <v>40</v>
      </c>
      <c r="B215" s="696"/>
      <c r="C215" s="11" t="s">
        <v>31</v>
      </c>
      <c r="D215" s="15">
        <f>Mangochi!M215+Mangochi!N215+Mangochi!O215</f>
        <v>0</v>
      </c>
      <c r="E215" s="15">
        <f>'Monkey Bay'!M215+'Monkey Bay'!N215+'Monkey Bay'!O215</f>
        <v>0</v>
      </c>
      <c r="F215" s="15">
        <f>Namwera!M215+Namwera!N215+Namwera!O215</f>
        <v>0</v>
      </c>
      <c r="G215" s="15">
        <f>Nkhudzi!M215+Nkhudzi!N215+Nkhudzi!O215</f>
        <v>0</v>
      </c>
      <c r="H215" s="39">
        <f>SUM(D215:F215)</f>
        <v>0</v>
      </c>
    </row>
    <row r="216" spans="1:8" x14ac:dyDescent="0.3">
      <c r="A216" s="762" t="s">
        <v>39</v>
      </c>
      <c r="B216" s="763"/>
      <c r="C216" s="11" t="s">
        <v>31</v>
      </c>
      <c r="D216" s="10">
        <f t="shared" ref="D216:G216" si="62">SUM(D212:D215)</f>
        <v>99870408.569999993</v>
      </c>
      <c r="E216" s="10">
        <f t="shared" si="62"/>
        <v>44732438</v>
      </c>
      <c r="F216" s="10">
        <f t="shared" si="62"/>
        <v>7365100.6500000004</v>
      </c>
      <c r="G216" s="10">
        <f t="shared" si="62"/>
        <v>16980523.539999999</v>
      </c>
      <c r="H216" s="39">
        <f>SUM(D216:F216)</f>
        <v>151967947.22</v>
      </c>
    </row>
    <row r="217" spans="1:8" s="2" customFormat="1" x14ac:dyDescent="0.3">
      <c r="A217" s="212" t="s">
        <v>38</v>
      </c>
      <c r="B217" s="213"/>
      <c r="C217" s="11" t="s">
        <v>31</v>
      </c>
      <c r="D217" s="10">
        <f>D210+D216</f>
        <v>210835776.56999999</v>
      </c>
      <c r="E217" s="10">
        <f t="shared" ref="E217:H217" si="63">E210+E216</f>
        <v>485103765</v>
      </c>
      <c r="F217" s="10">
        <f t="shared" si="63"/>
        <v>10570200.65</v>
      </c>
      <c r="G217" s="10">
        <f t="shared" si="63"/>
        <v>16980523.539999999</v>
      </c>
      <c r="H217" s="40">
        <f t="shared" si="63"/>
        <v>706509742.22000003</v>
      </c>
    </row>
    <row r="218" spans="1:8" s="2" customFormat="1" ht="14.4" x14ac:dyDescent="0.3">
      <c r="A218" s="699" t="s">
        <v>37</v>
      </c>
      <c r="B218" s="700"/>
      <c r="C218" s="700"/>
      <c r="D218" s="700"/>
      <c r="E218" s="700"/>
      <c r="F218" s="700"/>
      <c r="G218" s="700"/>
      <c r="H218" s="701"/>
    </row>
    <row r="219" spans="1:8" x14ac:dyDescent="0.3">
      <c r="A219" s="695" t="s">
        <v>35</v>
      </c>
      <c r="B219" s="696"/>
      <c r="C219" s="11" t="s">
        <v>31</v>
      </c>
      <c r="D219" s="15">
        <f>Mangochi!M219+Mangochi!N219+Mangochi!O219</f>
        <v>167374820</v>
      </c>
      <c r="E219" s="15">
        <f>'Monkey Bay'!M219+'Monkey Bay'!N219+'Monkey Bay'!O219</f>
        <v>47158272</v>
      </c>
      <c r="F219" s="15">
        <f>Namwera!M219+Namwera!N219+Namwera!O219</f>
        <v>2911543</v>
      </c>
      <c r="G219" s="15">
        <f>Nkhudzi!M219+Nkhudzi!N219+Nkhudzi!O219</f>
        <v>0</v>
      </c>
      <c r="H219" s="39">
        <f>SUM(D219:F219)</f>
        <v>217444635</v>
      </c>
    </row>
    <row r="220" spans="1:8" x14ac:dyDescent="0.3">
      <c r="A220" s="695" t="s">
        <v>34</v>
      </c>
      <c r="B220" s="696"/>
      <c r="C220" s="11" t="s">
        <v>31</v>
      </c>
      <c r="D220" s="15">
        <f>Mangochi!M220+Mangochi!N220+Mangochi!O220</f>
        <v>0</v>
      </c>
      <c r="E220" s="15">
        <f>'Monkey Bay'!M220+'Monkey Bay'!N220+'Monkey Bay'!O220</f>
        <v>0</v>
      </c>
      <c r="F220" s="15">
        <f>Namwera!M220+Namwera!N220+Namwera!O220</f>
        <v>0</v>
      </c>
      <c r="G220" s="15">
        <f>Nkhudzi!M220+Nkhudzi!N220+Nkhudzi!O220</f>
        <v>0</v>
      </c>
      <c r="H220" s="39">
        <f>SUM(D220:F220)</f>
        <v>0</v>
      </c>
    </row>
    <row r="221" spans="1:8" x14ac:dyDescent="0.3">
      <c r="A221" s="695" t="s">
        <v>33</v>
      </c>
      <c r="B221" s="696"/>
      <c r="C221" s="11" t="s">
        <v>31</v>
      </c>
      <c r="D221" s="15">
        <f>Mangochi!M221+Mangochi!N221+Mangochi!O221</f>
        <v>1268446</v>
      </c>
      <c r="E221" s="15">
        <f>'Monkey Bay'!M221+'Monkey Bay'!N221+'Monkey Bay'!O221</f>
        <v>212220185</v>
      </c>
      <c r="F221" s="15">
        <f>Namwera!M221+Namwera!N221+Namwera!O221</f>
        <v>22938</v>
      </c>
      <c r="G221" s="15">
        <f>Nkhudzi!M221+Nkhudzi!N221+Nkhudzi!O221</f>
        <v>0</v>
      </c>
      <c r="H221" s="39">
        <f>SUM(D221:F221)</f>
        <v>213511569</v>
      </c>
    </row>
    <row r="222" spans="1:8" x14ac:dyDescent="0.3">
      <c r="A222" s="695" t="s">
        <v>32</v>
      </c>
      <c r="B222" s="696"/>
      <c r="C222" s="11" t="s">
        <v>31</v>
      </c>
      <c r="D222" s="15">
        <f>Mangochi!M222+Mangochi!N222+Mangochi!O222</f>
        <v>541897</v>
      </c>
      <c r="E222" s="15">
        <f>'Monkey Bay'!M222+'Monkey Bay'!N222+'Monkey Bay'!O222</f>
        <v>907073</v>
      </c>
      <c r="F222" s="15">
        <f>Namwera!M222+Namwera!N222+Namwera!O222</f>
        <v>0</v>
      </c>
      <c r="G222" s="15">
        <f>Nkhudzi!M222+Nkhudzi!N222+Nkhudzi!O222</f>
        <v>0</v>
      </c>
      <c r="H222" s="39">
        <f>SUM(D222:F222)</f>
        <v>1448970</v>
      </c>
    </row>
    <row r="223" spans="1:8" x14ac:dyDescent="0.3">
      <c r="A223" s="762" t="s">
        <v>36</v>
      </c>
      <c r="B223" s="763"/>
      <c r="C223" s="11" t="s">
        <v>31</v>
      </c>
      <c r="D223" s="12">
        <f t="shared" ref="D223:G223" si="64">SUM(D219:D222)</f>
        <v>169185163</v>
      </c>
      <c r="E223" s="10">
        <f t="shared" si="64"/>
        <v>260285530</v>
      </c>
      <c r="F223" s="10">
        <f t="shared" si="64"/>
        <v>2934481</v>
      </c>
      <c r="G223" s="10">
        <f t="shared" si="64"/>
        <v>0</v>
      </c>
      <c r="H223" s="39">
        <f>SUM(D223:F223)</f>
        <v>432405174</v>
      </c>
    </row>
    <row r="224" spans="1:8" ht="14.4" x14ac:dyDescent="0.3">
      <c r="A224" s="699" t="s">
        <v>211</v>
      </c>
      <c r="B224" s="700"/>
      <c r="C224" s="700"/>
      <c r="D224" s="700"/>
      <c r="E224" s="700"/>
      <c r="F224" s="700"/>
      <c r="G224" s="700"/>
      <c r="H224" s="701"/>
    </row>
    <row r="225" spans="1:8" x14ac:dyDescent="0.3">
      <c r="A225" s="695" t="s">
        <v>35</v>
      </c>
      <c r="B225" s="696"/>
      <c r="C225" s="11" t="s">
        <v>31</v>
      </c>
      <c r="D225" s="15">
        <f>Mangochi!M225+Mangochi!N225+Mangochi!O225</f>
        <v>99020605.340000004</v>
      </c>
      <c r="E225" s="15">
        <f>'Monkey Bay'!M225+'Monkey Bay'!N225+'Monkey Bay'!O225</f>
        <v>41949906.780000001</v>
      </c>
      <c r="F225" s="15">
        <f>Namwera!M225+Namwera!N225+Namwera!O225</f>
        <v>7108141.6899999995</v>
      </c>
      <c r="G225" s="15">
        <f>Nkhudzi!M225+Nkhudzi!N225+Nkhudzi!O225</f>
        <v>16980523.539999999</v>
      </c>
      <c r="H225" s="39">
        <f t="shared" ref="H225:H230" si="65">SUM(D225:F225)</f>
        <v>148078653.81</v>
      </c>
    </row>
    <row r="226" spans="1:8" x14ac:dyDescent="0.3">
      <c r="A226" s="695" t="s">
        <v>34</v>
      </c>
      <c r="B226" s="696"/>
      <c r="C226" s="11" t="s">
        <v>31</v>
      </c>
      <c r="D226" s="15">
        <f>Mangochi!M226+Mangochi!N226+Mangochi!O226</f>
        <v>0</v>
      </c>
      <c r="E226" s="15">
        <f>'Monkey Bay'!M226+'Monkey Bay'!N226+'Monkey Bay'!O226</f>
        <v>0</v>
      </c>
      <c r="F226" s="15">
        <f>Namwera!M226+Namwera!N226+Namwera!O226</f>
        <v>0</v>
      </c>
      <c r="G226" s="15">
        <f>Nkhudzi!M226+Nkhudzi!N226+Nkhudzi!O226</f>
        <v>0</v>
      </c>
      <c r="H226" s="39">
        <f t="shared" si="65"/>
        <v>0</v>
      </c>
    </row>
    <row r="227" spans="1:8" x14ac:dyDescent="0.3">
      <c r="A227" s="695" t="s">
        <v>33</v>
      </c>
      <c r="B227" s="696"/>
      <c r="C227" s="11" t="s">
        <v>31</v>
      </c>
      <c r="D227" s="15">
        <f>Mangochi!M227+Mangochi!N227+Mangochi!O227</f>
        <v>0</v>
      </c>
      <c r="E227" s="15">
        <f>'Monkey Bay'!M227+'Monkey Bay'!N227+'Monkey Bay'!O227</f>
        <v>0</v>
      </c>
      <c r="F227" s="15">
        <f>Namwera!M227+Namwera!N227+Namwera!O227</f>
        <v>0</v>
      </c>
      <c r="G227" s="15">
        <f>Nkhudzi!M227+Nkhudzi!N227+Nkhudzi!O227</f>
        <v>0</v>
      </c>
      <c r="H227" s="39">
        <f t="shared" si="65"/>
        <v>0</v>
      </c>
    </row>
    <row r="228" spans="1:8" x14ac:dyDescent="0.3">
      <c r="A228" s="695" t="s">
        <v>32</v>
      </c>
      <c r="B228" s="696"/>
      <c r="C228" s="11" t="s">
        <v>31</v>
      </c>
      <c r="D228" s="15">
        <f>Mangochi!M228+Mangochi!N228+Mangochi!O228</f>
        <v>0</v>
      </c>
      <c r="E228" s="15">
        <f>'Monkey Bay'!M228+'Monkey Bay'!N228+'Monkey Bay'!O228</f>
        <v>0</v>
      </c>
      <c r="F228" s="15">
        <f>Namwera!M228+Namwera!N228+Namwera!O228</f>
        <v>0</v>
      </c>
      <c r="G228" s="15">
        <f>Nkhudzi!M228+Nkhudzi!N228+Nkhudzi!O228</f>
        <v>0</v>
      </c>
      <c r="H228" s="39">
        <f t="shared" si="65"/>
        <v>0</v>
      </c>
    </row>
    <row r="229" spans="1:8" x14ac:dyDescent="0.3">
      <c r="A229" s="762" t="s">
        <v>212</v>
      </c>
      <c r="B229" s="763"/>
      <c r="C229" s="11" t="s">
        <v>31</v>
      </c>
      <c r="D229" s="12">
        <f t="shared" ref="D229:F229" si="66">SUM(D225:D228)</f>
        <v>99020605.340000004</v>
      </c>
      <c r="E229" s="10">
        <f t="shared" si="66"/>
        <v>41949906.780000001</v>
      </c>
      <c r="F229" s="10">
        <f t="shared" si="66"/>
        <v>7108141.6899999995</v>
      </c>
      <c r="G229" s="10">
        <f t="shared" ref="G229" si="67">SUM(G225:G228)</f>
        <v>16980523.539999999</v>
      </c>
      <c r="H229" s="39">
        <f t="shared" si="65"/>
        <v>148078653.81</v>
      </c>
    </row>
    <row r="230" spans="1:8" x14ac:dyDescent="0.3">
      <c r="A230" s="212" t="s">
        <v>213</v>
      </c>
      <c r="B230" s="120"/>
      <c r="C230" s="11" t="s">
        <v>31</v>
      </c>
      <c r="D230" s="12">
        <f>D223+D229</f>
        <v>268205768.34</v>
      </c>
      <c r="E230" s="12">
        <f t="shared" ref="E230:G230" si="68">E223+E229</f>
        <v>302235436.77999997</v>
      </c>
      <c r="F230" s="12">
        <f t="shared" si="68"/>
        <v>10042622.689999999</v>
      </c>
      <c r="G230" s="12">
        <f t="shared" si="68"/>
        <v>16980523.539999999</v>
      </c>
      <c r="H230" s="39">
        <f t="shared" si="65"/>
        <v>580483827.81000006</v>
      </c>
    </row>
    <row r="231" spans="1:8" ht="14.4" x14ac:dyDescent="0.3">
      <c r="A231" s="699" t="s">
        <v>30</v>
      </c>
      <c r="B231" s="700"/>
      <c r="C231" s="700"/>
      <c r="D231" s="700"/>
      <c r="E231" s="700"/>
      <c r="F231" s="700"/>
      <c r="G231" s="700"/>
      <c r="H231" s="701"/>
    </row>
    <row r="232" spans="1:8" x14ac:dyDescent="0.3">
      <c r="A232" s="695" t="s">
        <v>29</v>
      </c>
      <c r="B232" s="696"/>
      <c r="C232" s="11" t="s">
        <v>18</v>
      </c>
      <c r="D232" s="15">
        <f>Mangochi!M232+Mangochi!N232+Mangochi!O232</f>
        <v>7060154</v>
      </c>
      <c r="E232" s="15">
        <f>'Monkey Bay'!M232+'Monkey Bay'!N232+'Monkey Bay'!O232</f>
        <v>2043656</v>
      </c>
      <c r="F232" s="15">
        <f>Namwera!M232+Namwera!N232+Namwera!O232</f>
        <v>350503</v>
      </c>
      <c r="G232" s="15">
        <f>Nkhudzi!M232+Nkhudzi!N232+Nkhudzi!O232</f>
        <v>0</v>
      </c>
      <c r="H232" s="39">
        <f>SUM(D232:F232)</f>
        <v>9454313</v>
      </c>
    </row>
    <row r="233" spans="1:8" x14ac:dyDescent="0.3">
      <c r="A233" s="695" t="s">
        <v>28</v>
      </c>
      <c r="B233" s="696"/>
      <c r="C233" s="11" t="s">
        <v>18</v>
      </c>
      <c r="D233" s="15">
        <f>Mangochi!M233+Mangochi!N233+Mangochi!O233</f>
        <v>0</v>
      </c>
      <c r="E233" s="15">
        <f>'Monkey Bay'!M233+'Monkey Bay'!N233+'Monkey Bay'!O233</f>
        <v>0</v>
      </c>
      <c r="F233" s="15">
        <f>Namwera!M233+Namwera!N233+Namwera!O233</f>
        <v>0</v>
      </c>
      <c r="G233" s="15">
        <f>Nkhudzi!M233+Nkhudzi!N233+Nkhudzi!O233</f>
        <v>0</v>
      </c>
      <c r="H233" s="39">
        <f>SUM(D233:F233)</f>
        <v>0</v>
      </c>
    </row>
    <row r="234" spans="1:8" x14ac:dyDescent="0.3">
      <c r="A234" s="695" t="s">
        <v>27</v>
      </c>
      <c r="B234" s="696"/>
      <c r="C234" s="11" t="s">
        <v>18</v>
      </c>
      <c r="D234" s="15">
        <f>Mangochi!M234+Mangochi!N234+Mangochi!O234</f>
        <v>64788</v>
      </c>
      <c r="E234" s="15">
        <f>'Monkey Bay'!M234+'Monkey Bay'!N234+'Monkey Bay'!O234</f>
        <v>154182</v>
      </c>
      <c r="F234" s="15">
        <f>Namwera!M234+Namwera!N234+Namwera!O234</f>
        <v>9255</v>
      </c>
      <c r="G234" s="15">
        <f>Nkhudzi!M234+Nkhudzi!N234+Nkhudzi!O234</f>
        <v>0</v>
      </c>
      <c r="H234" s="39">
        <f>SUM(D234:F234)</f>
        <v>228225</v>
      </c>
    </row>
    <row r="235" spans="1:8" x14ac:dyDescent="0.3">
      <c r="A235" s="695" t="s">
        <v>26</v>
      </c>
      <c r="B235" s="696"/>
      <c r="C235" s="11" t="s">
        <v>18</v>
      </c>
      <c r="D235" s="15">
        <f>Mangochi!M235+Mangochi!N235+Mangochi!O235</f>
        <v>80100</v>
      </c>
      <c r="E235" s="15">
        <f>'Monkey Bay'!M235+'Monkey Bay'!N235+'Monkey Bay'!O235</f>
        <v>151767</v>
      </c>
      <c r="F235" s="15">
        <f>Namwera!M235+Namwera!N235+Namwera!O235</f>
        <v>0</v>
      </c>
      <c r="G235" s="15">
        <f>Nkhudzi!M235+Nkhudzi!N235+Nkhudzi!O235</f>
        <v>0</v>
      </c>
      <c r="H235" s="39">
        <f>SUM(D235:F235)</f>
        <v>231867</v>
      </c>
    </row>
    <row r="236" spans="1:8" x14ac:dyDescent="0.3">
      <c r="A236" s="762" t="s">
        <v>25</v>
      </c>
      <c r="B236" s="763"/>
      <c r="C236" s="11" t="s">
        <v>18</v>
      </c>
      <c r="D236" s="12">
        <f>SUM(D232:D235)</f>
        <v>7205042</v>
      </c>
      <c r="E236" s="12">
        <f t="shared" ref="E236:F236" si="69">SUM(E232:E235)</f>
        <v>2349605</v>
      </c>
      <c r="F236" s="12">
        <f t="shared" si="69"/>
        <v>359758</v>
      </c>
      <c r="G236" s="12"/>
      <c r="H236" s="40">
        <f t="shared" ref="H236" si="70">SUM(H232:H235)</f>
        <v>9914405</v>
      </c>
    </row>
    <row r="237" spans="1:8" ht="14.4" x14ac:dyDescent="0.3">
      <c r="A237" s="699" t="s">
        <v>24</v>
      </c>
      <c r="B237" s="700"/>
      <c r="C237" s="700"/>
      <c r="D237" s="700"/>
      <c r="E237" s="700"/>
      <c r="F237" s="700"/>
      <c r="G237" s="700"/>
      <c r="H237" s="701"/>
    </row>
    <row r="238" spans="1:8" x14ac:dyDescent="0.3">
      <c r="A238" s="695" t="s">
        <v>23</v>
      </c>
      <c r="B238" s="696"/>
      <c r="C238" s="11" t="s">
        <v>18</v>
      </c>
      <c r="D238" s="15">
        <f>Mangochi!M238+Mangochi!N238+Mangochi!O238</f>
        <v>12768114</v>
      </c>
      <c r="E238" s="15">
        <f>'Monkey Bay'!M238+'Monkey Bay'!N238+'Monkey Bay'!O238</f>
        <v>3976529</v>
      </c>
      <c r="F238" s="15">
        <f>Namwera!M238+Namwera!N238+Namwera!O238</f>
        <v>623314</v>
      </c>
      <c r="G238" s="15">
        <f>Nkhudzi!M238+Nkhudzi!N238+Nkhudzi!O238</f>
        <v>0</v>
      </c>
      <c r="H238" s="39">
        <f>SUM(D238:F238)</f>
        <v>17367957</v>
      </c>
    </row>
    <row r="239" spans="1:8" x14ac:dyDescent="0.3">
      <c r="A239" s="695" t="s">
        <v>22</v>
      </c>
      <c r="B239" s="696"/>
      <c r="C239" s="11" t="s">
        <v>18</v>
      </c>
      <c r="D239" s="15">
        <f>Mangochi!M239+Mangochi!N239+Mangochi!O239</f>
        <v>0</v>
      </c>
      <c r="E239" s="15">
        <f>'Monkey Bay'!M239+'Monkey Bay'!N239+'Monkey Bay'!O239</f>
        <v>0</v>
      </c>
      <c r="F239" s="15">
        <f>Namwera!M239+Namwera!N239+Namwera!O239</f>
        <v>0</v>
      </c>
      <c r="G239" s="15">
        <f>Nkhudzi!M239+Nkhudzi!N239+Nkhudzi!O239</f>
        <v>0</v>
      </c>
      <c r="H239" s="39">
        <f>SUM(D239:F239)</f>
        <v>0</v>
      </c>
    </row>
    <row r="240" spans="1:8" x14ac:dyDescent="0.3">
      <c r="A240" s="695" t="s">
        <v>21</v>
      </c>
      <c r="B240" s="696"/>
      <c r="C240" s="11" t="s">
        <v>18</v>
      </c>
      <c r="D240" s="15">
        <f>Mangochi!M240+Mangochi!N240+Mangochi!O240</f>
        <v>18753</v>
      </c>
      <c r="E240" s="15">
        <f>'Monkey Bay'!M240+'Monkey Bay'!N240+'Monkey Bay'!O240</f>
        <v>44650</v>
      </c>
      <c r="F240" s="15">
        <f>Namwera!M240+Namwera!N240+Namwera!O240</f>
        <v>2679</v>
      </c>
      <c r="G240" s="15">
        <f>Nkhudzi!M240+Nkhudzi!N240+Nkhudzi!O240</f>
        <v>0</v>
      </c>
      <c r="H240" s="39">
        <f>SUM(D240:F240)</f>
        <v>66082</v>
      </c>
    </row>
    <row r="241" spans="1:8" x14ac:dyDescent="0.3">
      <c r="A241" s="695" t="s">
        <v>20</v>
      </c>
      <c r="B241" s="696"/>
      <c r="C241" s="11" t="s">
        <v>18</v>
      </c>
      <c r="D241" s="15">
        <f>Mangochi!M241+Mangochi!N241+Mangochi!O241</f>
        <v>16967</v>
      </c>
      <c r="E241" s="15">
        <f>'Monkey Bay'!M241+'Monkey Bay'!N241+'Monkey Bay'!O241</f>
        <v>32148</v>
      </c>
      <c r="F241" s="15">
        <f>Namwera!M241+Namwera!N241+Namwera!O241</f>
        <v>0</v>
      </c>
      <c r="G241" s="15">
        <f>Nkhudzi!M241+Nkhudzi!N241+Nkhudzi!O241</f>
        <v>0</v>
      </c>
      <c r="H241" s="39">
        <f>SUM(D241:F241)</f>
        <v>49115</v>
      </c>
    </row>
    <row r="242" spans="1:8" x14ac:dyDescent="0.3">
      <c r="A242" s="762" t="s">
        <v>19</v>
      </c>
      <c r="B242" s="763"/>
      <c r="C242" s="11" t="s">
        <v>18</v>
      </c>
      <c r="D242" s="12">
        <f t="shared" ref="D242:G242" si="71">SUM(D238:D241)</f>
        <v>12803834</v>
      </c>
      <c r="E242" s="12">
        <f t="shared" si="71"/>
        <v>4053327</v>
      </c>
      <c r="F242" s="12">
        <f t="shared" si="71"/>
        <v>625993</v>
      </c>
      <c r="G242" s="12">
        <f t="shared" si="71"/>
        <v>0</v>
      </c>
      <c r="H242" s="40">
        <f t="shared" ref="H242" si="72">SUM(H238:H241)</f>
        <v>17483154</v>
      </c>
    </row>
    <row r="243" spans="1:8" x14ac:dyDescent="0.3">
      <c r="A243" s="762" t="s">
        <v>214</v>
      </c>
      <c r="B243" s="763"/>
      <c r="C243" s="11" t="s">
        <v>18</v>
      </c>
      <c r="D243" s="10">
        <f>D230+D236+D242</f>
        <v>288214644.34000003</v>
      </c>
      <c r="E243" s="10">
        <f t="shared" ref="E243:G243" si="73">E230+E236+E242</f>
        <v>308638368.77999997</v>
      </c>
      <c r="F243" s="10">
        <f t="shared" si="73"/>
        <v>11028373.689999999</v>
      </c>
      <c r="G243" s="10">
        <f t="shared" si="73"/>
        <v>16980523.539999999</v>
      </c>
      <c r="H243" s="40">
        <f t="shared" ref="H243" si="74">H216+H223+H236+H242</f>
        <v>611770680.22000003</v>
      </c>
    </row>
    <row r="244" spans="1:8" ht="14.4" x14ac:dyDescent="0.3">
      <c r="A244" s="699" t="s">
        <v>204</v>
      </c>
      <c r="B244" s="700"/>
      <c r="C244" s="700"/>
      <c r="D244" s="700"/>
      <c r="E244" s="700"/>
      <c r="F244" s="700"/>
      <c r="G244" s="700"/>
      <c r="H244" s="701"/>
    </row>
    <row r="245" spans="1:8" x14ac:dyDescent="0.3">
      <c r="A245" s="769" t="s">
        <v>205</v>
      </c>
      <c r="B245" s="770"/>
      <c r="C245" s="11" t="s">
        <v>18</v>
      </c>
      <c r="D245" s="15">
        <f>Mangochi!O245</f>
        <v>485256080.49000096</v>
      </c>
      <c r="E245" s="15">
        <f>'Monkey Bay'!O245</f>
        <v>186798395.52000099</v>
      </c>
      <c r="F245" s="15">
        <f>Namwera!O245</f>
        <v>25601237.400000066</v>
      </c>
      <c r="G245" s="15">
        <f>Nkhudzi!M245+Nkhudzi!N245+Nkhudzi!O245</f>
        <v>0</v>
      </c>
      <c r="H245" s="40">
        <f t="shared" ref="H245:H246" si="75">SUM(H241:H244)</f>
        <v>629302949.22000003</v>
      </c>
    </row>
    <row r="246" spans="1:8" x14ac:dyDescent="0.3">
      <c r="A246" s="769" t="s">
        <v>206</v>
      </c>
      <c r="B246" s="770"/>
      <c r="C246" s="11" t="s">
        <v>18</v>
      </c>
      <c r="D246" s="15">
        <f>Mangochi!O246</f>
        <v>313009311.90999901</v>
      </c>
      <c r="E246" s="15">
        <f>'Monkey Bay'!O246</f>
        <v>736296093.79999995</v>
      </c>
      <c r="F246" s="15">
        <f>Namwera!O246</f>
        <v>41716641.730000004</v>
      </c>
      <c r="G246" s="15">
        <f>Nkhudzi!M246+Nkhudzi!N246+Nkhudzi!O246</f>
        <v>0</v>
      </c>
      <c r="H246" s="40">
        <f t="shared" si="75"/>
        <v>1258556783.4400001</v>
      </c>
    </row>
    <row r="247" spans="1:8" x14ac:dyDescent="0.3">
      <c r="A247" s="798" t="s">
        <v>207</v>
      </c>
      <c r="B247" s="799"/>
      <c r="C247" s="11" t="s">
        <v>18</v>
      </c>
      <c r="D247" s="143">
        <f>D245+D246</f>
        <v>798265392.39999998</v>
      </c>
      <c r="E247" s="143">
        <f t="shared" ref="E247:G247" si="76">E245+E246</f>
        <v>923094489.32000089</v>
      </c>
      <c r="F247" s="143">
        <f t="shared" si="76"/>
        <v>67317879.13000007</v>
      </c>
      <c r="G247" s="192">
        <f t="shared" si="76"/>
        <v>0</v>
      </c>
      <c r="H247" s="164">
        <f t="shared" ref="H247" si="77">SUM(H243:H246)</f>
        <v>2499630412.8800001</v>
      </c>
    </row>
    <row r="248" spans="1:8" ht="14.4" x14ac:dyDescent="0.3">
      <c r="A248" s="699" t="s">
        <v>17</v>
      </c>
      <c r="B248" s="700"/>
      <c r="C248" s="700"/>
      <c r="D248" s="700"/>
      <c r="E248" s="700"/>
      <c r="F248" s="700"/>
      <c r="G248" s="700"/>
      <c r="H248" s="701"/>
    </row>
    <row r="249" spans="1:8" x14ac:dyDescent="0.3">
      <c r="A249" s="726" t="s">
        <v>16</v>
      </c>
      <c r="B249" s="727"/>
      <c r="C249" s="5" t="s">
        <v>6</v>
      </c>
      <c r="D249" s="8">
        <f>D58/D243%</f>
        <v>46.989930986464458</v>
      </c>
      <c r="E249" s="8">
        <f t="shared" ref="E249:H249" si="78">E58/E243%</f>
        <v>11.231822529722486</v>
      </c>
      <c r="F249" s="8">
        <f t="shared" si="78"/>
        <v>99.589732006079686</v>
      </c>
      <c r="G249" s="8">
        <f t="shared" si="78"/>
        <v>936.03499883608424</v>
      </c>
      <c r="H249" s="112">
        <f t="shared" si="78"/>
        <v>29.599441419067553</v>
      </c>
    </row>
    <row r="250" spans="1:8" x14ac:dyDescent="0.3">
      <c r="A250" s="726" t="s">
        <v>208</v>
      </c>
      <c r="B250" s="727"/>
      <c r="C250" s="5" t="s">
        <v>6</v>
      </c>
      <c r="D250" s="29">
        <f>D210/(D223+D245)%</f>
        <v>16.955741879629169</v>
      </c>
      <c r="E250" s="29">
        <f t="shared" ref="E250:H250" si="79">E210/(E223+E245)%</f>
        <v>98.498582002877072</v>
      </c>
      <c r="F250" s="29">
        <f t="shared" si="79"/>
        <v>11.231888242911706</v>
      </c>
      <c r="G250" s="29" t="e">
        <f t="shared" si="79"/>
        <v>#DIV/0!</v>
      </c>
      <c r="H250" s="109">
        <f t="shared" si="79"/>
        <v>52.231096557701626</v>
      </c>
    </row>
    <row r="251" spans="1:8" ht="16.2" thickBot="1" x14ac:dyDescent="0.35">
      <c r="A251" s="796" t="s">
        <v>15</v>
      </c>
      <c r="B251" s="797"/>
      <c r="C251" s="5" t="s">
        <v>6</v>
      </c>
      <c r="D251" s="7">
        <f>D210/D223%</f>
        <v>65.588120159212778</v>
      </c>
      <c r="E251" s="7">
        <f t="shared" ref="E251:H251" si="80">E210/E223%</f>
        <v>169.18778658191258</v>
      </c>
      <c r="F251" s="7">
        <f t="shared" si="80"/>
        <v>109.22203960427755</v>
      </c>
      <c r="G251" s="7" t="e">
        <f t="shared" si="80"/>
        <v>#DIV/0!</v>
      </c>
      <c r="H251" s="113">
        <f t="shared" si="80"/>
        <v>128.24587408845389</v>
      </c>
    </row>
    <row r="252" spans="1:8" ht="14.4" x14ac:dyDescent="0.3">
      <c r="A252" s="755" t="s">
        <v>14</v>
      </c>
      <c r="B252" s="756"/>
      <c r="C252" s="756"/>
      <c r="D252" s="756"/>
      <c r="E252" s="756"/>
      <c r="F252" s="756"/>
      <c r="G252" s="756"/>
      <c r="H252" s="757"/>
    </row>
    <row r="253" spans="1:8" s="2" customFormat="1" ht="15" customHeight="1" x14ac:dyDescent="0.3">
      <c r="A253" s="726" t="s">
        <v>13</v>
      </c>
      <c r="B253" s="727"/>
      <c r="C253" s="5" t="s">
        <v>3</v>
      </c>
      <c r="D253" s="26">
        <f>Mangochi!M253+Mangochi!N253+Mangochi!O253</f>
        <v>1883</v>
      </c>
      <c r="E253" s="26">
        <f>'Monkey Bay'!M253+'Monkey Bay'!N253+'Monkey Bay'!O253</f>
        <v>119</v>
      </c>
      <c r="F253" s="26">
        <f>Namwera!M253+Namwera!N253+Namwera!O253</f>
        <v>92</v>
      </c>
      <c r="G253" s="26">
        <f>Nkhudzi!M253+Nkhudzi!N253+Nkhudzi!O253</f>
        <v>720</v>
      </c>
      <c r="H253" s="114">
        <f>SUM(D253:F253)</f>
        <v>2094</v>
      </c>
    </row>
    <row r="254" spans="1:8" s="2" customFormat="1" x14ac:dyDescent="0.3">
      <c r="A254" s="726" t="s">
        <v>12</v>
      </c>
      <c r="B254" s="727"/>
      <c r="C254" s="5" t="s">
        <v>3</v>
      </c>
      <c r="D254" s="26">
        <f>Mangochi!M254+Mangochi!N254+Mangochi!O254</f>
        <v>3</v>
      </c>
      <c r="E254" s="26">
        <f>'Monkey Bay'!M254+'Monkey Bay'!N254+'Monkey Bay'!O254</f>
        <v>2</v>
      </c>
      <c r="F254" s="26">
        <f>Namwera!M254+Namwera!N254+Namwera!O254</f>
        <v>2</v>
      </c>
      <c r="G254" s="26">
        <f>Nkhudzi!M254+Nkhudzi!N254+Nkhudzi!O254</f>
        <v>1</v>
      </c>
      <c r="H254" s="114">
        <f>SUM(D254:F254)</f>
        <v>7</v>
      </c>
    </row>
    <row r="255" spans="1:8" ht="15.75" customHeight="1" x14ac:dyDescent="0.3">
      <c r="A255" s="726" t="s">
        <v>11</v>
      </c>
      <c r="B255" s="727"/>
      <c r="C255" s="5" t="s">
        <v>3</v>
      </c>
      <c r="D255" s="26">
        <f>Mangochi!M255+Mangochi!N255+Mangochi!O255</f>
        <v>2702</v>
      </c>
      <c r="E255" s="26">
        <f>'Monkey Bay'!M255+'Monkey Bay'!N255+'Monkey Bay'!O255</f>
        <v>275</v>
      </c>
      <c r="F255" s="26">
        <f>Namwera!M255+Namwera!N255+Namwera!O255</f>
        <v>137</v>
      </c>
      <c r="G255" s="26">
        <f>Nkhudzi!M255+Nkhudzi!N255+Nkhudzi!O255</f>
        <v>658</v>
      </c>
      <c r="H255" s="114">
        <f>SUM(D255:F255)</f>
        <v>3114</v>
      </c>
    </row>
    <row r="256" spans="1:8" x14ac:dyDescent="0.3">
      <c r="A256" s="726" t="s">
        <v>10</v>
      </c>
      <c r="B256" s="727"/>
      <c r="C256" s="5" t="s">
        <v>3</v>
      </c>
      <c r="D256" s="26">
        <f>Mangochi!M256+Mangochi!N256+Mangochi!O256</f>
        <v>559</v>
      </c>
      <c r="E256" s="26">
        <f>'Monkey Bay'!M256+'Monkey Bay'!N256+'Monkey Bay'!O256</f>
        <v>50</v>
      </c>
      <c r="F256" s="26">
        <f>Namwera!M256+Namwera!N256+Namwera!O256</f>
        <v>19</v>
      </c>
      <c r="G256" s="26">
        <f>Nkhudzi!M256+Nkhudzi!N256+Nkhudzi!O256</f>
        <v>1442</v>
      </c>
      <c r="H256" s="114">
        <f>SUM(D256:F256)</f>
        <v>628</v>
      </c>
    </row>
    <row r="257" spans="1:8" ht="15.6" customHeight="1" x14ac:dyDescent="0.3">
      <c r="A257" s="726" t="s">
        <v>9</v>
      </c>
      <c r="B257" s="727"/>
      <c r="C257" s="5" t="s">
        <v>3</v>
      </c>
      <c r="D257" s="26">
        <f>Mangochi!M257+Mangochi!N257+Mangochi!O257</f>
        <v>10274</v>
      </c>
      <c r="E257" s="26">
        <f>'Monkey Bay'!M257+'Monkey Bay'!N257+'Monkey Bay'!O257</f>
        <v>1765</v>
      </c>
      <c r="F257" s="26">
        <f>Namwera!M257+Namwera!N257+Namwera!O257</f>
        <v>0</v>
      </c>
      <c r="G257" s="26">
        <f>Nkhudzi!M257+Nkhudzi!N257+Nkhudzi!O257</f>
        <v>0</v>
      </c>
      <c r="H257" s="114">
        <f>SUM(D257:F257)</f>
        <v>12039</v>
      </c>
    </row>
    <row r="258" spans="1:8" x14ac:dyDescent="0.3">
      <c r="A258" s="762" t="s">
        <v>8</v>
      </c>
      <c r="B258" s="763"/>
      <c r="C258" s="5" t="s">
        <v>3</v>
      </c>
      <c r="D258" s="1">
        <f t="shared" ref="D258:F258" si="81">D257/D256</f>
        <v>18.379248658318424</v>
      </c>
      <c r="E258" s="1">
        <f t="shared" si="81"/>
        <v>35.299999999999997</v>
      </c>
      <c r="F258" s="1">
        <f t="shared" si="81"/>
        <v>0</v>
      </c>
      <c r="G258" s="1" t="e">
        <f>Nkhudzi!M258+Nkhudzi!N258+Nkhudzi!O258</f>
        <v>#DIV/0!</v>
      </c>
      <c r="H258" s="114">
        <f t="shared" ref="H258" si="82">H257/H256</f>
        <v>19.170382165605094</v>
      </c>
    </row>
    <row r="259" spans="1:8" x14ac:dyDescent="0.3">
      <c r="A259" s="762" t="s">
        <v>7</v>
      </c>
      <c r="B259" s="763"/>
      <c r="C259" s="5" t="s">
        <v>6</v>
      </c>
      <c r="D259" s="1">
        <f t="shared" ref="D259:F259" si="83">D92/D255*100</f>
        <v>0</v>
      </c>
      <c r="E259" s="1">
        <f t="shared" si="83"/>
        <v>1.8181818181818181</v>
      </c>
      <c r="F259" s="1">
        <f t="shared" si="83"/>
        <v>0</v>
      </c>
      <c r="G259" s="1" t="e">
        <f>Nkhudzi!M259+Nkhudzi!N259+Nkhudzi!O259</f>
        <v>#DIV/0!</v>
      </c>
      <c r="H259" s="115">
        <f t="shared" ref="H259" si="84">H92/H255*100</f>
        <v>0.16056518946692355</v>
      </c>
    </row>
    <row r="260" spans="1:8" ht="14.4" x14ac:dyDescent="0.3">
      <c r="A260" s="699" t="s">
        <v>5</v>
      </c>
      <c r="B260" s="700"/>
      <c r="C260" s="700"/>
      <c r="D260" s="700"/>
      <c r="E260" s="700"/>
      <c r="F260" s="700"/>
      <c r="G260" s="700"/>
      <c r="H260" s="701"/>
    </row>
    <row r="261" spans="1:8" s="2" customFormat="1" ht="15" customHeight="1" x14ac:dyDescent="0.3">
      <c r="A261" s="726" t="s">
        <v>4</v>
      </c>
      <c r="B261" s="727"/>
      <c r="C261" s="5" t="s">
        <v>3</v>
      </c>
      <c r="D261" s="26">
        <f>Mangochi!M261+Mangochi!N261+Mangochi!O261</f>
        <v>107</v>
      </c>
      <c r="E261" s="26">
        <f>'Monkey Bay'!M261+'Monkey Bay'!N261+'Monkey Bay'!O261</f>
        <v>91</v>
      </c>
      <c r="F261" s="26">
        <f>Namwera!M261+Namwera!N261+Namwera!O261</f>
        <v>21</v>
      </c>
      <c r="G261" s="26">
        <f>Nkhudzi!M261+Nkhudzi!N261+Nkhudzi!O261</f>
        <v>46</v>
      </c>
      <c r="H261" s="114">
        <f>SUM(D261:F261)</f>
        <v>219</v>
      </c>
    </row>
    <row r="262" spans="1:8" s="2" customFormat="1" ht="15.75" customHeight="1" x14ac:dyDescent="0.3">
      <c r="A262" s="726" t="s">
        <v>2</v>
      </c>
      <c r="B262" s="727"/>
      <c r="C262" s="5" t="s">
        <v>0</v>
      </c>
      <c r="D262" s="26">
        <f>Mangochi!M262+Mangochi!N262+Mangochi!O262</f>
        <v>3</v>
      </c>
      <c r="E262" s="26">
        <f>'Monkey Bay'!M262+'Monkey Bay'!N262+'Monkey Bay'!O262</f>
        <v>3</v>
      </c>
      <c r="F262" s="26">
        <f>Namwera!M262+Namwera!N262+Namwera!O262</f>
        <v>17</v>
      </c>
      <c r="G262" s="26">
        <f>Nkhudzi!M262+Nkhudzi!N262+Nkhudzi!O262</f>
        <v>1.5</v>
      </c>
      <c r="H262" s="114">
        <f>SUM(D262:F262)</f>
        <v>23</v>
      </c>
    </row>
    <row r="263" spans="1:8" ht="16.2" thickBot="1" x14ac:dyDescent="0.35">
      <c r="A263" s="775" t="s">
        <v>1</v>
      </c>
      <c r="B263" s="776"/>
      <c r="C263" s="116" t="s">
        <v>0</v>
      </c>
      <c r="D263" s="117">
        <f t="shared" ref="D263:H263" si="85">D261/D262</f>
        <v>35.666666666666664</v>
      </c>
      <c r="E263" s="117">
        <f t="shared" si="85"/>
        <v>30.333333333333332</v>
      </c>
      <c r="F263" s="117">
        <f t="shared" si="85"/>
        <v>1.2352941176470589</v>
      </c>
      <c r="G263" s="117">
        <f t="shared" si="85"/>
        <v>30.666666666666668</v>
      </c>
      <c r="H263" s="188">
        <f t="shared" si="85"/>
        <v>9.5217391304347831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DE13-409F-437E-A5E1-6A42334FE730}">
  <sheetPr codeName="Sheet17"/>
  <dimension ref="A1:H265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13" sqref="A13:B1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5" width="20.109375" style="577" bestFit="1" customWidth="1"/>
    <col min="6" max="7" width="19.109375" style="577" customWidth="1"/>
    <col min="8" max="8" width="21.109375" style="577" bestFit="1" customWidth="1"/>
  </cols>
  <sheetData>
    <row r="1" spans="1:8" ht="18" thickBot="1" x14ac:dyDescent="0.35">
      <c r="A1" s="118" t="s">
        <v>175</v>
      </c>
      <c r="B1" s="119"/>
      <c r="C1" s="119"/>
      <c r="D1" s="656"/>
      <c r="E1" s="656"/>
      <c r="F1" s="656"/>
      <c r="G1" s="656"/>
      <c r="H1" s="560"/>
    </row>
    <row r="2" spans="1:8" ht="18" thickBot="1" x14ac:dyDescent="0.35">
      <c r="A2" s="93"/>
      <c r="B2" s="122"/>
      <c r="C2" s="122"/>
      <c r="D2" s="657"/>
      <c r="E2" s="657"/>
      <c r="F2" s="657"/>
      <c r="G2" s="657"/>
      <c r="H2" s="561"/>
    </row>
    <row r="3" spans="1:8" ht="18" thickBot="1" x14ac:dyDescent="0.35">
      <c r="A3" s="197" t="s">
        <v>217</v>
      </c>
      <c r="B3" s="198"/>
      <c r="C3" s="198"/>
      <c r="D3" s="658"/>
      <c r="E3" s="658"/>
      <c r="F3" s="658"/>
      <c r="G3" s="658"/>
      <c r="H3" s="562"/>
    </row>
    <row r="4" spans="1:8" ht="18" thickBot="1" x14ac:dyDescent="0.35">
      <c r="A4" s="94" t="s">
        <v>221</v>
      </c>
      <c r="B4" s="124"/>
      <c r="C4" s="124"/>
      <c r="D4" s="659"/>
      <c r="E4" s="659"/>
      <c r="F4" s="659"/>
      <c r="G4" s="659"/>
      <c r="H4" s="563"/>
    </row>
    <row r="5" spans="1:8" ht="14.4" customHeight="1" x14ac:dyDescent="0.3">
      <c r="A5" s="95" t="s">
        <v>221</v>
      </c>
      <c r="B5" s="96"/>
      <c r="C5" s="96"/>
      <c r="D5" s="660"/>
      <c r="E5" s="660"/>
      <c r="F5" s="660"/>
      <c r="G5" s="660"/>
      <c r="H5" s="564"/>
    </row>
    <row r="6" spans="1:8" ht="15" customHeight="1" thickBot="1" x14ac:dyDescent="0.35">
      <c r="A6" s="97"/>
      <c r="B6" s="98"/>
      <c r="C6" s="98"/>
      <c r="D6" s="661"/>
      <c r="E6" s="661"/>
      <c r="F6" s="661"/>
      <c r="G6" s="661"/>
      <c r="H6" s="565"/>
    </row>
    <row r="7" spans="1:8" ht="18" thickBot="1" x14ac:dyDescent="0.35">
      <c r="A7" s="693" t="s">
        <v>174</v>
      </c>
      <c r="B7" s="694"/>
      <c r="C7" s="61" t="s">
        <v>173</v>
      </c>
      <c r="D7" s="663" t="s">
        <v>218</v>
      </c>
      <c r="E7" s="663" t="s">
        <v>219</v>
      </c>
      <c r="F7" s="663" t="s">
        <v>220</v>
      </c>
      <c r="G7" s="663" t="s">
        <v>222</v>
      </c>
      <c r="H7" s="664" t="s">
        <v>160</v>
      </c>
    </row>
    <row r="8" spans="1:8" ht="15" thickBot="1" x14ac:dyDescent="0.35">
      <c r="A8" s="704" t="s">
        <v>159</v>
      </c>
      <c r="B8" s="705"/>
      <c r="C8" s="705"/>
      <c r="D8" s="705"/>
      <c r="E8" s="705"/>
      <c r="F8" s="705"/>
      <c r="G8" s="705"/>
      <c r="H8" s="706"/>
    </row>
    <row r="9" spans="1:8" x14ac:dyDescent="0.3">
      <c r="A9" s="707" t="s">
        <v>176</v>
      </c>
      <c r="B9" s="708"/>
      <c r="C9" s="58" t="s">
        <v>152</v>
      </c>
      <c r="D9" s="57">
        <f>Mangochi!P9</f>
        <v>1575396</v>
      </c>
      <c r="E9" s="57">
        <f>'Monkey Bay'!P9</f>
        <v>743078</v>
      </c>
      <c r="F9" s="57">
        <f>Namwera!P9</f>
        <v>58722</v>
      </c>
      <c r="G9" s="57">
        <f>Nkhudzi!P9</f>
        <v>21115.800000000025</v>
      </c>
      <c r="H9" s="153">
        <f>SUM(D9:F9)</f>
        <v>2377196</v>
      </c>
    </row>
    <row r="10" spans="1:8" ht="14.4" x14ac:dyDescent="0.3">
      <c r="A10" s="699" t="s">
        <v>177</v>
      </c>
      <c r="B10" s="700"/>
      <c r="C10" s="700"/>
      <c r="D10" s="779"/>
      <c r="E10" s="779"/>
      <c r="F10" s="779"/>
      <c r="G10" s="779"/>
      <c r="H10" s="701"/>
    </row>
    <row r="11" spans="1:8" x14ac:dyDescent="0.3">
      <c r="A11" s="702" t="s">
        <v>157</v>
      </c>
      <c r="B11" s="703"/>
      <c r="C11" s="11" t="s">
        <v>152</v>
      </c>
      <c r="D11" s="26">
        <f>Mangochi!P11</f>
        <v>731562</v>
      </c>
      <c r="E11" s="26">
        <f>'Monkey Bay'!P11</f>
        <v>243362</v>
      </c>
      <c r="F11" s="26">
        <f>Namwera!P11</f>
        <v>22738</v>
      </c>
      <c r="G11" s="26">
        <f>Nkhudzi!P11</f>
        <v>8</v>
      </c>
      <c r="H11" s="55">
        <f>SUM(D11:F11)</f>
        <v>997662</v>
      </c>
    </row>
    <row r="12" spans="1:8" x14ac:dyDescent="0.3">
      <c r="A12" s="702" t="s">
        <v>156</v>
      </c>
      <c r="B12" s="703"/>
      <c r="C12" s="11" t="s">
        <v>152</v>
      </c>
      <c r="D12" s="26">
        <f>Mangochi!P12</f>
        <v>0</v>
      </c>
      <c r="E12" s="26">
        <f>'Monkey Bay'!P12</f>
        <v>0</v>
      </c>
      <c r="F12" s="26">
        <f>Namwera!P12</f>
        <v>0</v>
      </c>
      <c r="G12" s="26">
        <f>Nkhudzi!P12</f>
        <v>0</v>
      </c>
      <c r="H12" s="55">
        <f>SUM(D12:F12)</f>
        <v>0</v>
      </c>
    </row>
    <row r="13" spans="1:8" x14ac:dyDescent="0.3">
      <c r="A13" s="702" t="s">
        <v>155</v>
      </c>
      <c r="B13" s="703"/>
      <c r="C13" s="11" t="s">
        <v>152</v>
      </c>
      <c r="D13" s="26">
        <f>Mangochi!P13</f>
        <v>3047</v>
      </c>
      <c r="E13" s="26">
        <f>'Monkey Bay'!P13</f>
        <v>254828</v>
      </c>
      <c r="F13" s="26">
        <f>Namwera!P13</f>
        <v>129</v>
      </c>
      <c r="G13" s="26">
        <f>Nkhudzi!P13</f>
        <v>0</v>
      </c>
      <c r="H13" s="55">
        <f>SUM(D13:F13)</f>
        <v>258004</v>
      </c>
    </row>
    <row r="14" spans="1:8" x14ac:dyDescent="0.3">
      <c r="A14" s="695" t="s">
        <v>154</v>
      </c>
      <c r="B14" s="696"/>
      <c r="C14" s="11" t="s">
        <v>152</v>
      </c>
      <c r="D14" s="26">
        <f>Mangochi!P14</f>
        <v>1087</v>
      </c>
      <c r="E14" s="26">
        <f>'Monkey Bay'!P14</f>
        <v>11298</v>
      </c>
      <c r="F14" s="26">
        <f>Namwera!P14</f>
        <v>0</v>
      </c>
      <c r="G14" s="26">
        <f>Nkhudzi!P14</f>
        <v>0</v>
      </c>
      <c r="H14" s="55">
        <f>SUM(D14:F14)</f>
        <v>12385</v>
      </c>
    </row>
    <row r="15" spans="1:8" s="63" customFormat="1" x14ac:dyDescent="0.3">
      <c r="A15" s="697" t="s">
        <v>158</v>
      </c>
      <c r="B15" s="698"/>
      <c r="C15" s="62" t="s">
        <v>152</v>
      </c>
      <c r="D15" s="34">
        <f t="shared" ref="D15:F15" si="0">SUM(D11:D14)</f>
        <v>735696</v>
      </c>
      <c r="E15" s="34">
        <f t="shared" si="0"/>
        <v>509488</v>
      </c>
      <c r="F15" s="34">
        <f t="shared" si="0"/>
        <v>22867</v>
      </c>
      <c r="G15" s="34">
        <f t="shared" ref="G15:H15" si="1">SUM(G11:G14)</f>
        <v>8</v>
      </c>
      <c r="H15" s="55">
        <f t="shared" si="1"/>
        <v>1268051</v>
      </c>
    </row>
    <row r="16" spans="1:8" s="2" customFormat="1" ht="14.4" x14ac:dyDescent="0.3">
      <c r="A16" s="699" t="s">
        <v>178</v>
      </c>
      <c r="B16" s="700"/>
      <c r="C16" s="700"/>
      <c r="D16" s="700"/>
      <c r="E16" s="700"/>
      <c r="F16" s="700"/>
      <c r="G16" s="700"/>
      <c r="H16" s="701"/>
    </row>
    <row r="17" spans="1:8" s="2" customFormat="1" x14ac:dyDescent="0.3">
      <c r="A17" s="702" t="s">
        <v>180</v>
      </c>
      <c r="B17" s="703"/>
      <c r="C17" s="11" t="s">
        <v>152</v>
      </c>
      <c r="D17" s="26">
        <f>Mangochi!P17</f>
        <v>201815.49999999968</v>
      </c>
      <c r="E17" s="26">
        <f>'Monkey Bay'!P17</f>
        <v>43374</v>
      </c>
      <c r="F17" s="26">
        <f>Namwera!P17</f>
        <v>14374</v>
      </c>
      <c r="G17" s="26">
        <f>Nkhudzi!P17</f>
        <v>20906.700000000023</v>
      </c>
      <c r="H17" s="55">
        <f>SUM(D17:F17)</f>
        <v>259563.49999999968</v>
      </c>
    </row>
    <row r="18" spans="1:8" s="2" customFormat="1" x14ac:dyDescent="0.3">
      <c r="A18" s="702" t="s">
        <v>181</v>
      </c>
      <c r="B18" s="703"/>
      <c r="C18" s="11" t="s">
        <v>152</v>
      </c>
      <c r="D18" s="26">
        <f>Mangochi!P18</f>
        <v>0</v>
      </c>
      <c r="E18" s="26">
        <f>'Monkey Bay'!P18</f>
        <v>14002</v>
      </c>
      <c r="F18" s="26">
        <f>Namwera!P18</f>
        <v>16</v>
      </c>
      <c r="G18" s="26">
        <f>Nkhudzi!P18</f>
        <v>71</v>
      </c>
      <c r="H18" s="55">
        <f>SUM(D18:F18)</f>
        <v>14018</v>
      </c>
    </row>
    <row r="19" spans="1:8" s="2" customFormat="1" x14ac:dyDescent="0.3">
      <c r="A19" s="702" t="s">
        <v>182</v>
      </c>
      <c r="B19" s="703"/>
      <c r="C19" s="11" t="s">
        <v>152</v>
      </c>
      <c r="D19" s="26">
        <f>Mangochi!P19</f>
        <v>0</v>
      </c>
      <c r="E19" s="26">
        <f>'Monkey Bay'!P19</f>
        <v>38726</v>
      </c>
      <c r="F19" s="26">
        <f>Namwera!P19</f>
        <v>4901</v>
      </c>
      <c r="G19" s="26">
        <f>Nkhudzi!P19</f>
        <v>30</v>
      </c>
      <c r="H19" s="55">
        <f>SUM(D19:F19)</f>
        <v>43627</v>
      </c>
    </row>
    <row r="20" spans="1:8" s="2" customFormat="1" x14ac:dyDescent="0.3">
      <c r="A20" s="695" t="s">
        <v>183</v>
      </c>
      <c r="B20" s="696"/>
      <c r="C20" s="11" t="s">
        <v>152</v>
      </c>
      <c r="D20" s="26">
        <f>Mangochi!P20</f>
        <v>0</v>
      </c>
      <c r="E20" s="26">
        <f>'Monkey Bay'!P20</f>
        <v>4940</v>
      </c>
      <c r="F20" s="26">
        <f>Namwera!P20</f>
        <v>532</v>
      </c>
      <c r="G20" s="26">
        <f>Nkhudzi!P20</f>
        <v>100</v>
      </c>
      <c r="H20" s="55">
        <f>SUM(D20:F20)</f>
        <v>5472</v>
      </c>
    </row>
    <row r="21" spans="1:8" s="73" customFormat="1" x14ac:dyDescent="0.3">
      <c r="A21" s="697" t="s">
        <v>184</v>
      </c>
      <c r="B21" s="698"/>
      <c r="C21" s="62" t="s">
        <v>152</v>
      </c>
      <c r="D21" s="34">
        <f>SUM(D17:D20)</f>
        <v>201815.49999999968</v>
      </c>
      <c r="E21" s="34">
        <f t="shared" ref="E21:F21" si="2">SUM(E17:E20)</f>
        <v>101042</v>
      </c>
      <c r="F21" s="34">
        <f t="shared" si="2"/>
        <v>19823</v>
      </c>
      <c r="G21" s="34">
        <f t="shared" ref="G21:H21" si="3">SUM(G17:G20)</f>
        <v>21107.700000000023</v>
      </c>
      <c r="H21" s="55">
        <f t="shared" si="3"/>
        <v>322680.49999999965</v>
      </c>
    </row>
    <row r="22" spans="1:8" s="2" customFormat="1" x14ac:dyDescent="0.3">
      <c r="A22" s="207" t="s">
        <v>185</v>
      </c>
      <c r="B22" s="200"/>
      <c r="C22" s="11" t="s">
        <v>152</v>
      </c>
      <c r="D22" s="34">
        <f>D21+D15</f>
        <v>937511.49999999965</v>
      </c>
      <c r="E22" s="34">
        <f t="shared" ref="E22:F22" si="4">E21+E15</f>
        <v>610530</v>
      </c>
      <c r="F22" s="34">
        <f t="shared" si="4"/>
        <v>42690</v>
      </c>
      <c r="G22" s="34">
        <f t="shared" ref="G22:H22" si="5">G21+G15</f>
        <v>21115.700000000023</v>
      </c>
      <c r="H22" s="55">
        <f t="shared" si="5"/>
        <v>1590731.4999999995</v>
      </c>
    </row>
    <row r="23" spans="1:8" ht="14.4" x14ac:dyDescent="0.3">
      <c r="A23" s="699" t="s">
        <v>215</v>
      </c>
      <c r="B23" s="700"/>
      <c r="C23" s="700"/>
      <c r="D23" s="700"/>
      <c r="E23" s="700"/>
      <c r="F23" s="700"/>
      <c r="G23" s="700"/>
      <c r="H23" s="701"/>
    </row>
    <row r="24" spans="1:8" x14ac:dyDescent="0.3">
      <c r="A24" s="716" t="s">
        <v>179</v>
      </c>
      <c r="B24" s="37" t="s">
        <v>153</v>
      </c>
      <c r="C24" s="5" t="s">
        <v>152</v>
      </c>
      <c r="D24" s="54">
        <f>D9-D22</f>
        <v>637884.50000000035</v>
      </c>
      <c r="E24" s="54">
        <f t="shared" ref="E24:F24" si="6">E9-E22</f>
        <v>132548</v>
      </c>
      <c r="F24" s="54">
        <f t="shared" si="6"/>
        <v>16032</v>
      </c>
      <c r="G24" s="54">
        <f t="shared" ref="G24:H24" si="7">G9-G22</f>
        <v>0.10000000000218279</v>
      </c>
      <c r="H24" s="100">
        <f t="shared" si="7"/>
        <v>786464.50000000047</v>
      </c>
    </row>
    <row r="25" spans="1:8" x14ac:dyDescent="0.3">
      <c r="A25" s="717"/>
      <c r="B25" s="53" t="s">
        <v>151</v>
      </c>
      <c r="C25" s="52" t="s">
        <v>6</v>
      </c>
      <c r="D25" s="51">
        <f t="shared" ref="D25:F25" si="8">D24/D9</f>
        <v>0.40490422725460795</v>
      </c>
      <c r="E25" s="51">
        <f t="shared" si="8"/>
        <v>0.17837696715553414</v>
      </c>
      <c r="F25" s="51">
        <f t="shared" si="8"/>
        <v>0.27301522427710229</v>
      </c>
      <c r="G25" s="51">
        <f t="shared" ref="G25:H25" si="9">G24/G9</f>
        <v>4.7357902614242735E-6</v>
      </c>
      <c r="H25" s="154">
        <f t="shared" si="9"/>
        <v>0.33083704498913868</v>
      </c>
    </row>
    <row r="26" spans="1:8" ht="14.4" x14ac:dyDescent="0.3">
      <c r="A26" s="699" t="s">
        <v>150</v>
      </c>
      <c r="B26" s="700"/>
      <c r="C26" s="700"/>
      <c r="D26" s="700"/>
      <c r="E26" s="700"/>
      <c r="F26" s="700"/>
      <c r="G26" s="700"/>
      <c r="H26" s="701"/>
    </row>
    <row r="27" spans="1:8" ht="14.4" x14ac:dyDescent="0.3">
      <c r="A27" s="782" t="s">
        <v>149</v>
      </c>
      <c r="B27" s="783"/>
      <c r="C27" s="783"/>
      <c r="D27" s="783"/>
      <c r="E27" s="783"/>
      <c r="F27" s="783"/>
      <c r="G27" s="783"/>
      <c r="H27" s="784"/>
    </row>
    <row r="28" spans="1:8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6"/>
    </row>
    <row r="29" spans="1:8" x14ac:dyDescent="0.3">
      <c r="A29" s="709" t="s">
        <v>146</v>
      </c>
      <c r="B29" s="780">
        <v>7400</v>
      </c>
      <c r="C29" s="5" t="s">
        <v>140</v>
      </c>
      <c r="D29" s="26">
        <f>Mangochi!P29</f>
        <v>6236</v>
      </c>
      <c r="E29" s="26">
        <f>'Monkey Bay'!P29</f>
        <v>1835</v>
      </c>
      <c r="F29" s="26">
        <f>Namwera!P29</f>
        <v>168</v>
      </c>
      <c r="G29" s="26">
        <f>Nkhudzi!P29</f>
        <v>875</v>
      </c>
      <c r="H29" s="45">
        <f>SUM(D29:F29)</f>
        <v>8239</v>
      </c>
    </row>
    <row r="30" spans="1:8" x14ac:dyDescent="0.3">
      <c r="A30" s="710"/>
      <c r="B30" s="781"/>
      <c r="C30" s="42" t="s">
        <v>139</v>
      </c>
      <c r="D30" s="15">
        <f t="shared" ref="D30:F30" si="10">D29/(D9/1000)</f>
        <v>3.9583698320930103</v>
      </c>
      <c r="E30" s="15">
        <f t="shared" si="10"/>
        <v>2.4694581187977573</v>
      </c>
      <c r="F30" s="15">
        <f t="shared" si="10"/>
        <v>2.8609379789516707</v>
      </c>
      <c r="G30" s="15">
        <f t="shared" ref="G30:H30" si="11">G29/(G9/1000)</f>
        <v>41.438164786557884</v>
      </c>
      <c r="H30" s="103">
        <f t="shared" si="11"/>
        <v>3.4658479990711748</v>
      </c>
    </row>
    <row r="31" spans="1:8" x14ac:dyDescent="0.3">
      <c r="A31" s="711" t="s">
        <v>145</v>
      </c>
      <c r="B31" s="780">
        <v>1900</v>
      </c>
      <c r="C31" s="5" t="s">
        <v>140</v>
      </c>
      <c r="D31" s="26">
        <f>Mangochi!P31</f>
        <v>1100</v>
      </c>
      <c r="E31" s="26">
        <f>'Monkey Bay'!P31</f>
        <v>0</v>
      </c>
      <c r="F31" s="26">
        <f>Namwera!P31</f>
        <v>0</v>
      </c>
      <c r="G31" s="26">
        <f>Nkhudzi!Q31</f>
        <v>0</v>
      </c>
      <c r="H31" s="45">
        <f>SUM(D31:F31)</f>
        <v>1100</v>
      </c>
    </row>
    <row r="32" spans="1:8" x14ac:dyDescent="0.3">
      <c r="A32" s="712"/>
      <c r="B32" s="781"/>
      <c r="C32" s="42" t="s">
        <v>139</v>
      </c>
      <c r="D32" s="15">
        <f t="shared" ref="D32:F32" si="12">D31/(D9/1000)</f>
        <v>0.69823714164565609</v>
      </c>
      <c r="E32" s="15">
        <f t="shared" si="12"/>
        <v>0</v>
      </c>
      <c r="F32" s="15">
        <f t="shared" si="12"/>
        <v>0</v>
      </c>
      <c r="G32" s="15">
        <f>Nkhudzi!Q32</f>
        <v>0</v>
      </c>
      <c r="H32" s="103">
        <f t="shared" ref="H32" si="13">H31/(H9/1000)</f>
        <v>0.46273003992939582</v>
      </c>
    </row>
    <row r="33" spans="1:8" x14ac:dyDescent="0.3">
      <c r="A33" s="711" t="s">
        <v>144</v>
      </c>
      <c r="B33" s="780">
        <v>1900</v>
      </c>
      <c r="C33" s="5" t="s">
        <v>140</v>
      </c>
      <c r="D33" s="26">
        <f>Mangochi!P33</f>
        <v>0</v>
      </c>
      <c r="E33" s="26">
        <f>'Monkey Bay'!P33</f>
        <v>0</v>
      </c>
      <c r="F33" s="26">
        <f>Namwera!P33</f>
        <v>0</v>
      </c>
      <c r="G33" s="26">
        <f>Nkhudzi!Q33</f>
        <v>0</v>
      </c>
      <c r="H33" s="45">
        <f>SUM(D33:F33)</f>
        <v>0</v>
      </c>
    </row>
    <row r="34" spans="1:8" x14ac:dyDescent="0.3">
      <c r="A34" s="712"/>
      <c r="B34" s="781"/>
      <c r="C34" s="42" t="s">
        <v>139</v>
      </c>
      <c r="D34" s="15">
        <f t="shared" ref="D34:F34" si="14">D33/(D9/1000)</f>
        <v>0</v>
      </c>
      <c r="E34" s="15">
        <f t="shared" si="14"/>
        <v>0</v>
      </c>
      <c r="F34" s="15">
        <f t="shared" si="14"/>
        <v>0</v>
      </c>
      <c r="G34" s="15">
        <f>Nkhudzi!Q34</f>
        <v>0</v>
      </c>
      <c r="H34" s="103">
        <f t="shared" ref="H34" si="15">H33/(H9/1000)</f>
        <v>0</v>
      </c>
    </row>
    <row r="35" spans="1:8" x14ac:dyDescent="0.3">
      <c r="A35" s="711" t="s">
        <v>143</v>
      </c>
      <c r="B35" s="780">
        <f>745345.16/200</f>
        <v>3726.7258000000002</v>
      </c>
      <c r="C35" s="5" t="s">
        <v>126</v>
      </c>
      <c r="D35" s="26">
        <f>Mangochi!P35</f>
        <v>0</v>
      </c>
      <c r="E35" s="26">
        <f>'Monkey Bay'!P35</f>
        <v>0</v>
      </c>
      <c r="F35" s="26">
        <f>Namwera!P35</f>
        <v>0</v>
      </c>
      <c r="G35" s="26">
        <f>Nkhudzi!Q35</f>
        <v>0</v>
      </c>
      <c r="H35" s="103"/>
    </row>
    <row r="36" spans="1:8" x14ac:dyDescent="0.3">
      <c r="A36" s="712"/>
      <c r="B36" s="781"/>
      <c r="C36" s="5" t="s">
        <v>142</v>
      </c>
      <c r="D36" s="13"/>
      <c r="E36" s="13"/>
      <c r="F36" s="13"/>
      <c r="G36" s="13">
        <f>Nkhudzi!Q36</f>
        <v>0</v>
      </c>
      <c r="H36" s="103"/>
    </row>
    <row r="37" spans="1:8" x14ac:dyDescent="0.3">
      <c r="A37" s="711" t="s">
        <v>186</v>
      </c>
      <c r="B37" s="780">
        <f>790318.72/200</f>
        <v>3951.5935999999997</v>
      </c>
      <c r="C37" s="5" t="s">
        <v>126</v>
      </c>
      <c r="D37" s="26">
        <f>Mangochi!P37</f>
        <v>0</v>
      </c>
      <c r="E37" s="26">
        <f>'Monkey Bay'!P37</f>
        <v>0</v>
      </c>
      <c r="F37" s="26">
        <f>Namwera!P37</f>
        <v>0</v>
      </c>
      <c r="G37" s="26">
        <f>Nkhudzi!Q37</f>
        <v>0</v>
      </c>
      <c r="H37" s="45">
        <f>SUM(D37:F37)</f>
        <v>0</v>
      </c>
    </row>
    <row r="38" spans="1:8" x14ac:dyDescent="0.3">
      <c r="A38" s="712"/>
      <c r="B38" s="781"/>
      <c r="C38" s="5" t="s">
        <v>142</v>
      </c>
      <c r="D38" s="15">
        <f t="shared" ref="D38:F38" si="16">D37/(D9/1000)</f>
        <v>0</v>
      </c>
      <c r="E38" s="15">
        <f t="shared" si="16"/>
        <v>0</v>
      </c>
      <c r="F38" s="15">
        <f t="shared" si="16"/>
        <v>0</v>
      </c>
      <c r="G38" s="15">
        <f>Nkhudzi!Q38</f>
        <v>0</v>
      </c>
      <c r="H38" s="103">
        <f t="shared" ref="H38" si="17">H37/(H9/1000)</f>
        <v>0</v>
      </c>
    </row>
    <row r="39" spans="1:8" x14ac:dyDescent="0.3">
      <c r="A39" s="711" t="s">
        <v>141</v>
      </c>
      <c r="B39" s="780">
        <v>1950</v>
      </c>
      <c r="C39" s="5" t="s">
        <v>140</v>
      </c>
      <c r="D39" s="26">
        <f>Mangochi!P39</f>
        <v>0</v>
      </c>
      <c r="E39" s="26">
        <f>'Monkey Bay'!P39</f>
        <v>0</v>
      </c>
      <c r="F39" s="26">
        <f>Namwera!P39</f>
        <v>0</v>
      </c>
      <c r="G39" s="26">
        <f>Nkhudzi!Q39</f>
        <v>0</v>
      </c>
      <c r="H39" s="45">
        <f>SUM(D39:F39)</f>
        <v>0</v>
      </c>
    </row>
    <row r="40" spans="1:8" x14ac:dyDescent="0.3">
      <c r="A40" s="712"/>
      <c r="B40" s="781"/>
      <c r="C40" s="42" t="s">
        <v>139</v>
      </c>
      <c r="D40" s="15">
        <f t="shared" ref="D40:F40" si="18">D39/(D9/1000)</f>
        <v>0</v>
      </c>
      <c r="E40" s="15">
        <f t="shared" si="18"/>
        <v>0</v>
      </c>
      <c r="F40" s="15">
        <f t="shared" si="18"/>
        <v>0</v>
      </c>
      <c r="G40" s="15">
        <f>Nkhudzi!Q40</f>
        <v>0</v>
      </c>
      <c r="H40" s="103">
        <f t="shared" ref="H40" si="19">H39/(H9/1000)</f>
        <v>0</v>
      </c>
    </row>
    <row r="41" spans="1:8" x14ac:dyDescent="0.3">
      <c r="A41" s="695" t="s">
        <v>138</v>
      </c>
      <c r="B41" s="696"/>
      <c r="C41" s="11" t="s">
        <v>31</v>
      </c>
      <c r="D41" s="41">
        <f>(D29*$B29)+(D31*$B31)+(D33*$B33)+(D35*$B35)+(D37*$B37)+(D39*$B39)</f>
        <v>48236400</v>
      </c>
      <c r="E41" s="41">
        <f t="shared" ref="E41:F41" si="20">(E29*$B29)+(E31*$B31)+(E33*$B33)+(E35*$B35)+(E37*$B37)+(E39*$B39)</f>
        <v>13579000</v>
      </c>
      <c r="F41" s="41">
        <f t="shared" si="20"/>
        <v>1243200</v>
      </c>
      <c r="G41" s="41">
        <f t="shared" ref="G41" si="21">(G29*$B29)+(G31*$B31)+(G33*$B33)+(G35*$B35)+(G37*$B37)+(G39*$B39)</f>
        <v>6475000</v>
      </c>
      <c r="H41" s="39">
        <f>SUM(D41:F41)</f>
        <v>63058600</v>
      </c>
    </row>
    <row r="42" spans="1:8" x14ac:dyDescent="0.3">
      <c r="A42" s="721" t="s">
        <v>137</v>
      </c>
      <c r="B42" s="722"/>
      <c r="C42" s="42" t="s">
        <v>115</v>
      </c>
      <c r="D42" s="15">
        <f t="shared" ref="D42:F42" si="22">D41/D9</f>
        <v>30.618587326615021</v>
      </c>
      <c r="E42" s="15">
        <f t="shared" si="22"/>
        <v>18.273990079103406</v>
      </c>
      <c r="F42" s="15">
        <f t="shared" si="22"/>
        <v>21.170941044242362</v>
      </c>
      <c r="G42" s="15">
        <f t="shared" ref="G42:H42" si="23">G41/G9</f>
        <v>306.64241942052837</v>
      </c>
      <c r="H42" s="44">
        <f t="shared" si="23"/>
        <v>26.526462268992542</v>
      </c>
    </row>
    <row r="43" spans="1:8" ht="14.4" x14ac:dyDescent="0.3">
      <c r="A43" s="723" t="s">
        <v>136</v>
      </c>
      <c r="B43" s="724"/>
      <c r="C43" s="724"/>
      <c r="D43" s="724"/>
      <c r="E43" s="724"/>
      <c r="F43" s="724"/>
      <c r="G43" s="724"/>
      <c r="H43" s="725"/>
    </row>
    <row r="44" spans="1:8" x14ac:dyDescent="0.3">
      <c r="A44" s="695" t="s">
        <v>135</v>
      </c>
      <c r="B44" s="696"/>
      <c r="C44" s="11" t="s">
        <v>134</v>
      </c>
      <c r="D44" s="26">
        <f>Mangochi!P44</f>
        <v>597995.65</v>
      </c>
      <c r="E44" s="26">
        <f>'Monkey Bay'!P44</f>
        <v>335037</v>
      </c>
      <c r="F44" s="26">
        <f>Namwera!P44</f>
        <v>55199</v>
      </c>
      <c r="G44" s="26">
        <f>Nkhudzi!P44</f>
        <v>232336.2</v>
      </c>
      <c r="H44" s="39">
        <f>SUM(D44:F44)</f>
        <v>988231.65</v>
      </c>
    </row>
    <row r="45" spans="1:8" x14ac:dyDescent="0.3">
      <c r="A45" s="721" t="s">
        <v>133</v>
      </c>
      <c r="B45" s="722"/>
      <c r="C45" s="42" t="s">
        <v>132</v>
      </c>
      <c r="D45" s="15">
        <f t="shared" ref="D45:F45" si="24">D44/D9</f>
        <v>0.37958433942957837</v>
      </c>
      <c r="E45" s="15">
        <f t="shared" si="24"/>
        <v>0.45087729686520123</v>
      </c>
      <c r="F45" s="15">
        <f t="shared" si="24"/>
        <v>0.94000544940567421</v>
      </c>
      <c r="G45" s="15">
        <f t="shared" ref="G45:H45" si="25">G44/G9</f>
        <v>11.002955133123052</v>
      </c>
      <c r="H45" s="103">
        <f t="shared" si="25"/>
        <v>0.41571315533090247</v>
      </c>
    </row>
    <row r="46" spans="1:8" x14ac:dyDescent="0.3">
      <c r="A46" s="726" t="s">
        <v>131</v>
      </c>
      <c r="B46" s="727"/>
      <c r="C46" s="5" t="s">
        <v>31</v>
      </c>
      <c r="D46" s="26">
        <f>Mangochi!P46</f>
        <v>94354770.725655004</v>
      </c>
      <c r="E46" s="26">
        <f>'Monkey Bay'!P46</f>
        <v>53136810.689499997</v>
      </c>
      <c r="F46" s="26">
        <f>Namwera!P46</f>
        <v>9013104.6325000003</v>
      </c>
      <c r="G46" s="26">
        <f>Nkhudzi!P46</f>
        <v>212503179.35999998</v>
      </c>
      <c r="H46" s="39">
        <f>SUM(D46:F46)</f>
        <v>156504686.04765499</v>
      </c>
    </row>
    <row r="47" spans="1:8" s="2" customFormat="1" x14ac:dyDescent="0.3">
      <c r="A47" s="695" t="s">
        <v>130</v>
      </c>
      <c r="B47" s="696"/>
      <c r="C47" s="11" t="s">
        <v>115</v>
      </c>
      <c r="D47" s="15">
        <f t="shared" ref="D47:F47" si="26">D46/D9</f>
        <v>59.892732192829612</v>
      </c>
      <c r="E47" s="15">
        <f t="shared" si="26"/>
        <v>71.509061887850265</v>
      </c>
      <c r="F47" s="15">
        <f t="shared" si="26"/>
        <v>153.48769852014578</v>
      </c>
      <c r="G47" s="15">
        <f t="shared" ref="G47:H47" si="27">G46/G9</f>
        <v>10063.704873128167</v>
      </c>
      <c r="H47" s="103">
        <f t="shared" si="27"/>
        <v>65.835836021789959</v>
      </c>
    </row>
    <row r="48" spans="1:8" ht="14.4" x14ac:dyDescent="0.3">
      <c r="A48" s="723" t="s">
        <v>129</v>
      </c>
      <c r="B48" s="724"/>
      <c r="C48" s="724"/>
      <c r="D48" s="724"/>
      <c r="E48" s="724"/>
      <c r="F48" s="724"/>
      <c r="G48" s="724"/>
      <c r="H48" s="725"/>
    </row>
    <row r="49" spans="1:8" x14ac:dyDescent="0.3">
      <c r="A49" s="695" t="s">
        <v>128</v>
      </c>
      <c r="B49" s="696"/>
      <c r="C49" s="5" t="s">
        <v>127</v>
      </c>
      <c r="D49" s="26">
        <f>Mangochi!P49</f>
        <v>79050</v>
      </c>
      <c r="E49" s="26">
        <f>'Monkey Bay'!P49</f>
        <v>37578</v>
      </c>
      <c r="F49" s="26">
        <f>Namwera!P49</f>
        <v>790</v>
      </c>
      <c r="G49" s="26">
        <f>Nkhudzi!P49</f>
        <v>0</v>
      </c>
      <c r="H49" s="39">
        <f>SUM(D49:F49)</f>
        <v>117418</v>
      </c>
    </row>
    <row r="50" spans="1:8" x14ac:dyDescent="0.3">
      <c r="A50" s="695" t="s">
        <v>187</v>
      </c>
      <c r="B50" s="696"/>
      <c r="C50" s="5" t="s">
        <v>126</v>
      </c>
      <c r="D50" s="26">
        <f>Mangochi!P50</f>
        <v>12026.340000000002</v>
      </c>
      <c r="E50" s="26">
        <f>'Monkey Bay'!P50</f>
        <v>2849.6</v>
      </c>
      <c r="F50" s="26">
        <f>Namwera!P50</f>
        <v>735</v>
      </c>
      <c r="G50" s="26">
        <f>Nkhudzi!P50</f>
        <v>0</v>
      </c>
      <c r="H50" s="39">
        <f>SUM(D50:F50)</f>
        <v>15610.940000000002</v>
      </c>
    </row>
    <row r="51" spans="1:8" x14ac:dyDescent="0.3">
      <c r="A51" s="726" t="s">
        <v>125</v>
      </c>
      <c r="B51" s="727"/>
      <c r="C51" s="5" t="s">
        <v>31</v>
      </c>
      <c r="D51" s="26">
        <f>Mangochi!P51</f>
        <v>27377433.030000001</v>
      </c>
      <c r="E51" s="26">
        <f>'Monkey Bay'!P51</f>
        <v>5640687</v>
      </c>
      <c r="F51" s="26">
        <f>Namwera!P51</f>
        <v>1401160</v>
      </c>
      <c r="G51" s="26">
        <f>Nkhudzi!P51</f>
        <v>0</v>
      </c>
      <c r="H51" s="40">
        <f>SUM(D51:F51)</f>
        <v>34419280.030000001</v>
      </c>
    </row>
    <row r="52" spans="1:8" x14ac:dyDescent="0.3">
      <c r="A52" s="695" t="s">
        <v>124</v>
      </c>
      <c r="B52" s="696"/>
      <c r="C52" s="5" t="s">
        <v>31</v>
      </c>
      <c r="D52" s="26">
        <f>Mangochi!P52</f>
        <v>0</v>
      </c>
      <c r="E52" s="26">
        <f>'Monkey Bay'!P52</f>
        <v>0</v>
      </c>
      <c r="F52" s="26">
        <f>Namwera!P52</f>
        <v>10000</v>
      </c>
      <c r="G52" s="26">
        <f>Nkhudzi!P52</f>
        <v>0</v>
      </c>
      <c r="H52" s="40">
        <f>SUM(D52:F52)</f>
        <v>10000</v>
      </c>
    </row>
    <row r="53" spans="1:8" ht="14.4" x14ac:dyDescent="0.3">
      <c r="A53" s="723" t="s">
        <v>123</v>
      </c>
      <c r="B53" s="724"/>
      <c r="C53" s="724"/>
      <c r="D53" s="724"/>
      <c r="E53" s="724"/>
      <c r="F53" s="724"/>
      <c r="G53" s="724"/>
      <c r="H53" s="725"/>
    </row>
    <row r="54" spans="1:8" x14ac:dyDescent="0.3">
      <c r="A54" s="695" t="s">
        <v>122</v>
      </c>
      <c r="B54" s="696"/>
      <c r="C54" s="11" t="s">
        <v>18</v>
      </c>
      <c r="D54" s="26">
        <f>Mangochi!P54</f>
        <v>186309617.70999998</v>
      </c>
      <c r="E54" s="26">
        <f>'Monkey Bay'!P54</f>
        <v>40078445.990000002</v>
      </c>
      <c r="F54" s="26">
        <f>Namwera!P54</f>
        <v>21581927.850000001</v>
      </c>
      <c r="G54" s="26">
        <f>Nkhudzi!P54</f>
        <v>34971221.439999998</v>
      </c>
      <c r="H54" s="39">
        <f>SUM(D54:F54)</f>
        <v>247969991.54999998</v>
      </c>
    </row>
    <row r="55" spans="1:8" x14ac:dyDescent="0.3">
      <c r="A55" s="199" t="s">
        <v>121</v>
      </c>
      <c r="B55" s="200"/>
      <c r="C55" s="11" t="s">
        <v>18</v>
      </c>
      <c r="D55" s="26">
        <f>Mangochi!P55</f>
        <v>47050954.700000003</v>
      </c>
      <c r="E55" s="26">
        <f>'Monkey Bay'!P55</f>
        <v>16303677.35</v>
      </c>
      <c r="F55" s="26">
        <f>Namwera!P55</f>
        <v>5208203.8899999987</v>
      </c>
      <c r="G55" s="26">
        <f>Nkhudzi!P55</f>
        <v>6879161.71</v>
      </c>
      <c r="H55" s="39">
        <f>SUM(D55:F55)</f>
        <v>68562835.939999998</v>
      </c>
    </row>
    <row r="56" spans="1:8" x14ac:dyDescent="0.3">
      <c r="A56" s="695" t="s">
        <v>120</v>
      </c>
      <c r="B56" s="696"/>
      <c r="C56" s="5" t="s">
        <v>18</v>
      </c>
      <c r="D56" s="26">
        <f>Mangochi!P56</f>
        <v>18707350</v>
      </c>
      <c r="E56" s="26">
        <f>'Monkey Bay'!P56</f>
        <v>5271950</v>
      </c>
      <c r="F56" s="26">
        <f>Namwera!P56</f>
        <v>1491050</v>
      </c>
      <c r="G56" s="26">
        <f>Nkhudzi!P56</f>
        <v>258000</v>
      </c>
      <c r="H56" s="39">
        <f>SUM(D56:F56)</f>
        <v>25470350</v>
      </c>
    </row>
    <row r="57" spans="1:8" ht="14.4" x14ac:dyDescent="0.3">
      <c r="A57" s="723" t="s">
        <v>119</v>
      </c>
      <c r="B57" s="724"/>
      <c r="C57" s="724"/>
      <c r="D57" s="724"/>
      <c r="E57" s="724"/>
      <c r="F57" s="724"/>
      <c r="G57" s="724"/>
      <c r="H57" s="725"/>
    </row>
    <row r="58" spans="1:8" x14ac:dyDescent="0.3">
      <c r="A58" s="726" t="s">
        <v>118</v>
      </c>
      <c r="B58" s="727"/>
      <c r="C58" s="5" t="s">
        <v>18</v>
      </c>
      <c r="D58" s="13">
        <f>D41+D46+D51+D52+D54+D55+D56</f>
        <v>422036526.16565496</v>
      </c>
      <c r="E58" s="13">
        <f t="shared" ref="E58:F58" si="28">E41+E46+E51+E52+E54+E55+E56</f>
        <v>134010571.02950001</v>
      </c>
      <c r="F58" s="13">
        <f t="shared" si="28"/>
        <v>39948646.372500002</v>
      </c>
      <c r="G58" s="13">
        <f t="shared" ref="G58" si="29">G41+G46+G51+G52+G54+G55+G56</f>
        <v>261086562.50999999</v>
      </c>
      <c r="H58" s="64">
        <f>SUM(D58:F58)</f>
        <v>595995743.56765485</v>
      </c>
    </row>
    <row r="59" spans="1:8" x14ac:dyDescent="0.3">
      <c r="A59" s="726" t="s">
        <v>117</v>
      </c>
      <c r="B59" s="727"/>
      <c r="C59" s="5" t="s">
        <v>115</v>
      </c>
      <c r="D59" s="15">
        <f t="shared" ref="D59:F59" si="30">D58/D9</f>
        <v>267.89234336360823</v>
      </c>
      <c r="E59" s="15">
        <f t="shared" si="30"/>
        <v>180.34522759320018</v>
      </c>
      <c r="F59" s="15">
        <f t="shared" si="30"/>
        <v>680.30118818330448</v>
      </c>
      <c r="G59" s="15">
        <f t="shared" ref="G59:H59" si="31">G58/G9</f>
        <v>12364.512000966086</v>
      </c>
      <c r="H59" s="103">
        <f t="shared" si="31"/>
        <v>250.71375838073715</v>
      </c>
    </row>
    <row r="60" spans="1:8" x14ac:dyDescent="0.3">
      <c r="A60" s="726" t="s">
        <v>116</v>
      </c>
      <c r="B60" s="727"/>
      <c r="C60" s="5" t="s">
        <v>115</v>
      </c>
      <c r="D60" s="15">
        <f>D58/D22</f>
        <v>450.16677253095577</v>
      </c>
      <c r="E60" s="15">
        <f t="shared" ref="E60:F60" si="32">E58/E22</f>
        <v>219.49874867655973</v>
      </c>
      <c r="F60" s="15">
        <f t="shared" si="32"/>
        <v>935.7846421293043</v>
      </c>
      <c r="G60" s="15">
        <f t="shared" ref="G60" si="33">G58/G22</f>
        <v>12364.570556978917</v>
      </c>
      <c r="H60" s="104">
        <f>H58/H22</f>
        <v>374.66771957910873</v>
      </c>
    </row>
    <row r="61" spans="1:8" x14ac:dyDescent="0.3">
      <c r="A61" s="695" t="s">
        <v>114</v>
      </c>
      <c r="B61" s="696"/>
      <c r="C61" s="5" t="s">
        <v>3</v>
      </c>
      <c r="D61" s="26">
        <f>Mangochi!P61</f>
        <v>33</v>
      </c>
      <c r="E61" s="26">
        <f>'Monkey Bay'!P61</f>
        <v>6</v>
      </c>
      <c r="F61" s="26">
        <f>Namwera!P61</f>
        <v>3</v>
      </c>
      <c r="G61" s="26">
        <f>Nkhudzi!P61</f>
        <v>14</v>
      </c>
      <c r="H61" s="39">
        <f>SUM(D61:F61)</f>
        <v>42</v>
      </c>
    </row>
    <row r="62" spans="1:8" ht="15.6" customHeight="1" x14ac:dyDescent="0.3">
      <c r="A62" s="726" t="s">
        <v>113</v>
      </c>
      <c r="B62" s="727"/>
      <c r="C62" s="5" t="s">
        <v>112</v>
      </c>
      <c r="D62" s="15">
        <f t="shared" ref="D62:F62" si="34">(D61*1000*31)/D9</f>
        <v>0.64936054173046021</v>
      </c>
      <c r="E62" s="15">
        <f t="shared" si="34"/>
        <v>0.25031019623781081</v>
      </c>
      <c r="F62" s="15">
        <f t="shared" si="34"/>
        <v>1.5837335240625319</v>
      </c>
      <c r="G62" s="15">
        <f t="shared" ref="G62:H62" si="35">(G61*1000*31)/G9</f>
        <v>20.55332973413271</v>
      </c>
      <c r="H62" s="103">
        <f t="shared" si="35"/>
        <v>0.54770410180733942</v>
      </c>
    </row>
    <row r="63" spans="1:8" x14ac:dyDescent="0.3">
      <c r="A63" s="740" t="s">
        <v>111</v>
      </c>
      <c r="B63" s="741"/>
      <c r="C63" s="38" t="s">
        <v>3</v>
      </c>
      <c r="D63" s="26">
        <f>Mangochi!P63</f>
        <v>712</v>
      </c>
      <c r="E63" s="26">
        <f>'Monkey Bay'!P63</f>
        <v>165</v>
      </c>
      <c r="F63" s="26">
        <f>Namwera!P63</f>
        <v>72</v>
      </c>
      <c r="G63" s="26">
        <f>Nkhudzi!P63</f>
        <v>204</v>
      </c>
      <c r="H63" s="39">
        <f>SUM(D63:F63)</f>
        <v>949</v>
      </c>
    </row>
    <row r="64" spans="1:8" ht="14.4" x14ac:dyDescent="0.3">
      <c r="A64" s="785"/>
      <c r="B64" s="786"/>
      <c r="C64" s="786"/>
      <c r="D64" s="786"/>
      <c r="E64" s="786"/>
      <c r="F64" s="786"/>
      <c r="G64" s="786"/>
      <c r="H64" s="787"/>
    </row>
    <row r="65" spans="1:8" ht="14.4" customHeight="1" x14ac:dyDescent="0.3">
      <c r="A65" s="723" t="s">
        <v>110</v>
      </c>
      <c r="B65" s="724"/>
      <c r="C65" s="724"/>
      <c r="D65" s="724"/>
      <c r="E65" s="724"/>
      <c r="F65" s="724"/>
      <c r="G65" s="724"/>
      <c r="H65" s="725"/>
    </row>
    <row r="66" spans="1:8" x14ac:dyDescent="0.3">
      <c r="A66" s="728" t="s">
        <v>109</v>
      </c>
      <c r="B66" s="37" t="s">
        <v>85</v>
      </c>
      <c r="C66" s="5" t="s">
        <v>3</v>
      </c>
      <c r="D66" s="26">
        <f>Mangochi!D66</f>
        <v>1052</v>
      </c>
      <c r="E66" s="26">
        <f>'Monkey Bay'!D66</f>
        <v>99</v>
      </c>
      <c r="F66" s="26">
        <f>Namwera!P66</f>
        <v>55</v>
      </c>
      <c r="G66" s="26">
        <v>1128</v>
      </c>
      <c r="H66" s="35">
        <f>SUM(D66:F66)</f>
        <v>1206</v>
      </c>
    </row>
    <row r="67" spans="1:8" x14ac:dyDescent="0.3">
      <c r="A67" s="729"/>
      <c r="B67" s="24" t="s">
        <v>104</v>
      </c>
      <c r="C67" s="5" t="s">
        <v>3</v>
      </c>
      <c r="D67" s="26">
        <f>Mangochi!P67</f>
        <v>3550</v>
      </c>
      <c r="E67" s="26">
        <f>'Monkey Bay'!P67</f>
        <v>175</v>
      </c>
      <c r="F67" s="26">
        <f>Namwera!P67</f>
        <v>66</v>
      </c>
      <c r="G67" s="26">
        <f>Nkhudzi!P67</f>
        <v>708</v>
      </c>
      <c r="H67" s="35">
        <f>SUM(D67:F67)</f>
        <v>3791</v>
      </c>
    </row>
    <row r="68" spans="1:8" ht="27" x14ac:dyDescent="0.3">
      <c r="A68" s="729"/>
      <c r="B68" s="24" t="s">
        <v>103</v>
      </c>
      <c r="C68" s="5" t="s">
        <v>3</v>
      </c>
      <c r="D68" s="26">
        <f>Mangochi!P68</f>
        <v>7</v>
      </c>
      <c r="E68" s="26">
        <f>'Monkey Bay'!P68</f>
        <v>25</v>
      </c>
      <c r="F68" s="26">
        <f>Namwera!P68</f>
        <v>0</v>
      </c>
      <c r="G68" s="26">
        <f>Nkhudzi!P68</f>
        <v>1</v>
      </c>
      <c r="H68" s="35">
        <f>SUM(D68:F68)</f>
        <v>32</v>
      </c>
    </row>
    <row r="69" spans="1:8" s="2" customFormat="1" ht="27" x14ac:dyDescent="0.3">
      <c r="A69" s="729"/>
      <c r="B69" s="24" t="s">
        <v>102</v>
      </c>
      <c r="C69" s="11" t="s">
        <v>3</v>
      </c>
      <c r="D69" s="26">
        <f>Mangochi!P69</f>
        <v>735</v>
      </c>
      <c r="E69" s="26">
        <f>'Monkey Bay'!P69</f>
        <v>139</v>
      </c>
      <c r="F69" s="26">
        <f>Namwera!P69</f>
        <v>105</v>
      </c>
      <c r="G69" s="26">
        <f>Nkhudzi!P69</f>
        <v>1251</v>
      </c>
      <c r="H69" s="74">
        <f>SUM(D69:F69)</f>
        <v>979</v>
      </c>
    </row>
    <row r="70" spans="1:8" s="2" customFormat="1" x14ac:dyDescent="0.3">
      <c r="A70" s="729"/>
      <c r="B70" s="24" t="s">
        <v>188</v>
      </c>
      <c r="C70" s="11" t="s">
        <v>3</v>
      </c>
      <c r="D70" s="4">
        <f>D68+D69</f>
        <v>742</v>
      </c>
      <c r="E70" s="4">
        <f t="shared" ref="E70:H70" si="36">E68+E69</f>
        <v>164</v>
      </c>
      <c r="F70" s="4">
        <f t="shared" si="36"/>
        <v>105</v>
      </c>
      <c r="G70" s="4">
        <f t="shared" si="36"/>
        <v>1252</v>
      </c>
      <c r="H70" s="105">
        <f t="shared" si="36"/>
        <v>1011</v>
      </c>
    </row>
    <row r="71" spans="1:8" x14ac:dyDescent="0.3">
      <c r="A71" s="730"/>
      <c r="B71" s="37" t="s">
        <v>81</v>
      </c>
      <c r="C71" s="5" t="s">
        <v>3</v>
      </c>
      <c r="D71" s="26">
        <f>D66+D67-D70</f>
        <v>3860</v>
      </c>
      <c r="E71" s="26">
        <f t="shared" ref="E71:G71" si="37">E66+E67-E70</f>
        <v>110</v>
      </c>
      <c r="F71" s="26">
        <f t="shared" si="37"/>
        <v>16</v>
      </c>
      <c r="G71" s="26">
        <f t="shared" si="37"/>
        <v>584</v>
      </c>
      <c r="H71" s="106">
        <f>H66+H67-H70</f>
        <v>3986</v>
      </c>
    </row>
    <row r="72" spans="1:8" x14ac:dyDescent="0.3">
      <c r="A72" s="728" t="s">
        <v>108</v>
      </c>
      <c r="B72" s="37" t="s">
        <v>85</v>
      </c>
      <c r="C72" s="5" t="s">
        <v>3</v>
      </c>
      <c r="D72" s="26">
        <f>Mangochi!D72</f>
        <v>8</v>
      </c>
      <c r="E72" s="26">
        <f>'Monkey Bay'!D72</f>
        <v>0</v>
      </c>
      <c r="F72" s="26">
        <f>Namwera!P72</f>
        <v>3</v>
      </c>
      <c r="G72" s="26">
        <f>Nkhudzi!P72</f>
        <v>0</v>
      </c>
      <c r="H72" s="35">
        <f>SUM(D72:F72)</f>
        <v>11</v>
      </c>
    </row>
    <row r="73" spans="1:8" x14ac:dyDescent="0.3">
      <c r="A73" s="729"/>
      <c r="B73" s="24" t="s">
        <v>104</v>
      </c>
      <c r="C73" s="5" t="s">
        <v>3</v>
      </c>
      <c r="D73" s="26">
        <f>Mangochi!P73</f>
        <v>4</v>
      </c>
      <c r="E73" s="26">
        <f>'Monkey Bay'!P73</f>
        <v>0</v>
      </c>
      <c r="F73" s="26">
        <f>Namwera!P73</f>
        <v>0</v>
      </c>
      <c r="G73" s="26"/>
      <c r="H73" s="35">
        <f>SUM(D73:F73)</f>
        <v>4</v>
      </c>
    </row>
    <row r="74" spans="1:8" ht="27" x14ac:dyDescent="0.3">
      <c r="A74" s="729"/>
      <c r="B74" s="24" t="s">
        <v>103</v>
      </c>
      <c r="C74" s="5" t="s">
        <v>3</v>
      </c>
      <c r="D74" s="26">
        <f>Mangochi!P74</f>
        <v>0</v>
      </c>
      <c r="E74" s="26">
        <f>'Monkey Bay'!P74</f>
        <v>0</v>
      </c>
      <c r="F74" s="26">
        <f>Namwera!P74</f>
        <v>0</v>
      </c>
      <c r="G74" s="26">
        <f>Nkhudzi!P74</f>
        <v>0</v>
      </c>
      <c r="H74" s="35">
        <f>SUM(D74:F74)</f>
        <v>0</v>
      </c>
    </row>
    <row r="75" spans="1:8" s="2" customFormat="1" ht="27" x14ac:dyDescent="0.3">
      <c r="A75" s="729"/>
      <c r="B75" s="24" t="s">
        <v>102</v>
      </c>
      <c r="C75" s="11" t="s">
        <v>3</v>
      </c>
      <c r="D75" s="26">
        <f>Mangochi!P75</f>
        <v>4</v>
      </c>
      <c r="E75" s="26">
        <f>'Monkey Bay'!P75</f>
        <v>0</v>
      </c>
      <c r="F75" s="26">
        <f>Namwera!P75</f>
        <v>0</v>
      </c>
      <c r="G75" s="26">
        <f>Nkhudzi!P75</f>
        <v>0</v>
      </c>
      <c r="H75" s="74">
        <f>SUM(D75:F75)</f>
        <v>4</v>
      </c>
    </row>
    <row r="76" spans="1:8" s="2" customFormat="1" x14ac:dyDescent="0.3">
      <c r="A76" s="729"/>
      <c r="B76" s="24" t="s">
        <v>188</v>
      </c>
      <c r="C76" s="11" t="s">
        <v>3</v>
      </c>
      <c r="D76" s="4">
        <f>D74+D75</f>
        <v>4</v>
      </c>
      <c r="E76" s="4">
        <f t="shared" ref="E76:F76" si="38">E74+E75</f>
        <v>0</v>
      </c>
      <c r="F76" s="4">
        <f t="shared" si="38"/>
        <v>0</v>
      </c>
      <c r="G76" s="4">
        <f t="shared" ref="G76:H76" si="39">G74+G75</f>
        <v>0</v>
      </c>
      <c r="H76" s="105">
        <f t="shared" si="39"/>
        <v>4</v>
      </c>
    </row>
    <row r="77" spans="1:8" x14ac:dyDescent="0.3">
      <c r="A77" s="730"/>
      <c r="B77" s="37" t="s">
        <v>81</v>
      </c>
      <c r="C77" s="5" t="s">
        <v>3</v>
      </c>
      <c r="D77" s="26">
        <f>D73+D74-D76</f>
        <v>0</v>
      </c>
      <c r="E77" s="26">
        <f t="shared" ref="E77:F77" si="40">E73+E74-E76</f>
        <v>0</v>
      </c>
      <c r="F77" s="26">
        <f t="shared" si="40"/>
        <v>0</v>
      </c>
      <c r="G77" s="26">
        <f t="shared" ref="G77:H77" si="41">G73+G74-G76</f>
        <v>0</v>
      </c>
      <c r="H77" s="106">
        <f t="shared" si="41"/>
        <v>0</v>
      </c>
    </row>
    <row r="78" spans="1:8" ht="15.6" customHeight="1" x14ac:dyDescent="0.3">
      <c r="A78" s="728" t="s">
        <v>107</v>
      </c>
      <c r="B78" s="37" t="s">
        <v>85</v>
      </c>
      <c r="C78" s="5" t="s">
        <v>3</v>
      </c>
      <c r="D78" s="26">
        <f>Mangochi!D78</f>
        <v>9</v>
      </c>
      <c r="E78" s="26">
        <f>'Monkey Bay'!D78</f>
        <v>2</v>
      </c>
      <c r="F78" s="26">
        <f>Namwera!P78</f>
        <v>0</v>
      </c>
      <c r="G78" s="26">
        <f>Nkhudzi!P78</f>
        <v>0</v>
      </c>
      <c r="H78" s="35">
        <f>SUM(D78:F78)</f>
        <v>11</v>
      </c>
    </row>
    <row r="79" spans="1:8" x14ac:dyDescent="0.3">
      <c r="A79" s="729"/>
      <c r="B79" s="24" t="s">
        <v>104</v>
      </c>
      <c r="C79" s="5" t="s">
        <v>3</v>
      </c>
      <c r="D79" s="26">
        <f>Mangochi!P79</f>
        <v>22</v>
      </c>
      <c r="E79" s="26">
        <f>'Monkey Bay'!P79</f>
        <v>5</v>
      </c>
      <c r="F79" s="26">
        <f>Namwera!P79</f>
        <v>0</v>
      </c>
      <c r="G79" s="26">
        <f>Nkhudzi!P79</f>
        <v>0</v>
      </c>
      <c r="H79" s="35">
        <f>SUM(D79:F79)</f>
        <v>27</v>
      </c>
    </row>
    <row r="80" spans="1:8" ht="27" x14ac:dyDescent="0.3">
      <c r="A80" s="729"/>
      <c r="B80" s="24" t="s">
        <v>103</v>
      </c>
      <c r="C80" s="5" t="s">
        <v>3</v>
      </c>
      <c r="D80" s="26">
        <f>Mangochi!P80</f>
        <v>0</v>
      </c>
      <c r="E80" s="26">
        <f>'Monkey Bay'!P80</f>
        <v>0</v>
      </c>
      <c r="F80" s="26">
        <f>Namwera!P80</f>
        <v>0</v>
      </c>
      <c r="G80" s="26">
        <f>Nkhudzi!P80</f>
        <v>0</v>
      </c>
      <c r="H80" s="35">
        <f>SUM(D80:F80)</f>
        <v>0</v>
      </c>
    </row>
    <row r="81" spans="1:8" s="2" customFormat="1" ht="27" x14ac:dyDescent="0.3">
      <c r="A81" s="729"/>
      <c r="B81" s="24" t="s">
        <v>102</v>
      </c>
      <c r="C81" s="11" t="s">
        <v>3</v>
      </c>
      <c r="D81" s="26">
        <f>Mangochi!P81</f>
        <v>21</v>
      </c>
      <c r="E81" s="26">
        <f>'Monkey Bay'!P81</f>
        <v>6</v>
      </c>
      <c r="F81" s="26">
        <f>Namwera!P81</f>
        <v>0</v>
      </c>
      <c r="G81" s="26">
        <f>Nkhudzi!P81</f>
        <v>0</v>
      </c>
      <c r="H81" s="74">
        <f>SUM(D81:F81)</f>
        <v>27</v>
      </c>
    </row>
    <row r="82" spans="1:8" s="2" customFormat="1" x14ac:dyDescent="0.3">
      <c r="A82" s="729"/>
      <c r="B82" s="24" t="s">
        <v>188</v>
      </c>
      <c r="C82" s="11" t="s">
        <v>3</v>
      </c>
      <c r="D82" s="4">
        <f>D80+D81</f>
        <v>21</v>
      </c>
      <c r="E82" s="4">
        <f t="shared" ref="E82:F82" si="42">E80+E81</f>
        <v>6</v>
      </c>
      <c r="F82" s="4">
        <f t="shared" si="42"/>
        <v>0</v>
      </c>
      <c r="G82" s="4">
        <f t="shared" ref="G82" si="43">G80+G81</f>
        <v>0</v>
      </c>
      <c r="H82" s="105">
        <f t="shared" ref="H82" si="44">H81+H80</f>
        <v>27</v>
      </c>
    </row>
    <row r="83" spans="1:8" x14ac:dyDescent="0.3">
      <c r="A83" s="730"/>
      <c r="B83" s="37" t="s">
        <v>81</v>
      </c>
      <c r="C83" s="5" t="s">
        <v>3</v>
      </c>
      <c r="D83" s="26">
        <f>D78+D79-D82</f>
        <v>10</v>
      </c>
      <c r="E83" s="26">
        <f t="shared" ref="E83:F83" si="45">E78+E79-E82</f>
        <v>1</v>
      </c>
      <c r="F83" s="26">
        <f t="shared" si="45"/>
        <v>0</v>
      </c>
      <c r="G83" s="26">
        <f t="shared" ref="G83:H83" si="46">G78+G79-G82</f>
        <v>0</v>
      </c>
      <c r="H83" s="106">
        <f t="shared" si="46"/>
        <v>11</v>
      </c>
    </row>
    <row r="84" spans="1:8" x14ac:dyDescent="0.3">
      <c r="A84" s="731" t="s">
        <v>106</v>
      </c>
      <c r="B84" s="37" t="s">
        <v>85</v>
      </c>
      <c r="C84" s="5" t="s">
        <v>3</v>
      </c>
      <c r="D84" s="26">
        <f>Mangochi!D84</f>
        <v>0</v>
      </c>
      <c r="E84" s="26">
        <f>'Monkey Bay'!D84</f>
        <v>0</v>
      </c>
      <c r="F84" s="26">
        <f>Namwera!P84</f>
        <v>0</v>
      </c>
      <c r="G84" s="26">
        <f>Nkhudzi!P84</f>
        <v>0</v>
      </c>
      <c r="H84" s="35">
        <f>SUM(D84:F84)</f>
        <v>0</v>
      </c>
    </row>
    <row r="85" spans="1:8" x14ac:dyDescent="0.3">
      <c r="A85" s="732"/>
      <c r="B85" s="37" t="s">
        <v>104</v>
      </c>
      <c r="C85" s="5" t="s">
        <v>3</v>
      </c>
      <c r="D85" s="26">
        <f>Mangochi!P85</f>
        <v>0</v>
      </c>
      <c r="E85" s="26">
        <f>'Monkey Bay'!P85</f>
        <v>0</v>
      </c>
      <c r="F85" s="26">
        <f>Namwera!P85</f>
        <v>0</v>
      </c>
      <c r="G85" s="26">
        <f>Nkhudzi!P85</f>
        <v>0</v>
      </c>
      <c r="H85" s="35">
        <f>SUM(D85:F85)</f>
        <v>0</v>
      </c>
    </row>
    <row r="86" spans="1:8" ht="27" x14ac:dyDescent="0.3">
      <c r="A86" s="732"/>
      <c r="B86" s="37" t="s">
        <v>103</v>
      </c>
      <c r="C86" s="5" t="s">
        <v>3</v>
      </c>
      <c r="D86" s="26">
        <f>Mangochi!P86</f>
        <v>0</v>
      </c>
      <c r="E86" s="26">
        <f>'Monkey Bay'!P86</f>
        <v>0</v>
      </c>
      <c r="F86" s="26">
        <f>Namwera!P86</f>
        <v>0</v>
      </c>
      <c r="G86" s="26">
        <f>Nkhudzi!P86</f>
        <v>0</v>
      </c>
      <c r="H86" s="35">
        <f>SUM(D86:F86)</f>
        <v>0</v>
      </c>
    </row>
    <row r="87" spans="1:8" s="2" customFormat="1" ht="27" x14ac:dyDescent="0.3">
      <c r="A87" s="732"/>
      <c r="B87" s="24" t="s">
        <v>102</v>
      </c>
      <c r="C87" s="11" t="s">
        <v>3</v>
      </c>
      <c r="D87" s="26">
        <f>Mangochi!P87</f>
        <v>0</v>
      </c>
      <c r="E87" s="26">
        <f>'Monkey Bay'!P87</f>
        <v>0</v>
      </c>
      <c r="F87" s="26">
        <f>Namwera!P87</f>
        <v>0</v>
      </c>
      <c r="G87" s="26">
        <f>Nkhudzi!P87</f>
        <v>0</v>
      </c>
      <c r="H87" s="74">
        <f>SUM(D87:F87)</f>
        <v>0</v>
      </c>
    </row>
    <row r="88" spans="1:8" s="2" customFormat="1" x14ac:dyDescent="0.3">
      <c r="A88" s="732"/>
      <c r="B88" s="24" t="s">
        <v>188</v>
      </c>
      <c r="C88" s="11" t="s">
        <v>3</v>
      </c>
      <c r="D88" s="4">
        <f>D86+D87</f>
        <v>0</v>
      </c>
      <c r="E88" s="4">
        <f t="shared" ref="E88:F88" si="47">E86+E87</f>
        <v>0</v>
      </c>
      <c r="F88" s="4">
        <f t="shared" si="47"/>
        <v>0</v>
      </c>
      <c r="G88" s="4">
        <f t="shared" ref="G88" si="48">G86+G87</f>
        <v>0</v>
      </c>
      <c r="H88" s="74"/>
    </row>
    <row r="89" spans="1:8" x14ac:dyDescent="0.3">
      <c r="A89" s="733"/>
      <c r="B89" s="36" t="s">
        <v>81</v>
      </c>
      <c r="C89" s="5" t="s">
        <v>3</v>
      </c>
      <c r="D89" s="26">
        <f>D84+D85-D88</f>
        <v>0</v>
      </c>
      <c r="E89" s="26"/>
      <c r="F89" s="26"/>
      <c r="G89" s="26"/>
      <c r="H89" s="106">
        <f t="shared" ref="H89" si="49">H84+H85-H86-H87</f>
        <v>0</v>
      </c>
    </row>
    <row r="90" spans="1:8" x14ac:dyDescent="0.3">
      <c r="A90" s="734" t="s">
        <v>105</v>
      </c>
      <c r="B90" s="24" t="s">
        <v>85</v>
      </c>
      <c r="C90" s="11" t="s">
        <v>3</v>
      </c>
      <c r="D90" s="136">
        <f>D66+D72+D78+D84</f>
        <v>1069</v>
      </c>
      <c r="E90" s="136">
        <f t="shared" ref="E90:F90" si="50">E66+E72+E78+E84</f>
        <v>101</v>
      </c>
      <c r="F90" s="136">
        <f t="shared" si="50"/>
        <v>58</v>
      </c>
      <c r="G90" s="136">
        <f t="shared" ref="G90" si="51">G66+G72+G78+G84</f>
        <v>1128</v>
      </c>
      <c r="H90" s="35">
        <f>SUM(D90:F90)</f>
        <v>1228</v>
      </c>
    </row>
    <row r="91" spans="1:8" x14ac:dyDescent="0.3">
      <c r="A91" s="735"/>
      <c r="B91" s="24" t="s">
        <v>104</v>
      </c>
      <c r="C91" s="11" t="s">
        <v>3</v>
      </c>
      <c r="D91" s="136">
        <f t="shared" ref="D91:F93" si="52">D67+D73+D79+D85</f>
        <v>3576</v>
      </c>
      <c r="E91" s="136">
        <f t="shared" si="52"/>
        <v>180</v>
      </c>
      <c r="F91" s="136">
        <f t="shared" si="52"/>
        <v>66</v>
      </c>
      <c r="G91" s="136">
        <f t="shared" ref="G91" si="53">G67+G73+G79+G85</f>
        <v>708</v>
      </c>
      <c r="H91" s="35">
        <f>SUM(D91:F91)</f>
        <v>3822</v>
      </c>
    </row>
    <row r="92" spans="1:8" ht="27" x14ac:dyDescent="0.3">
      <c r="A92" s="735"/>
      <c r="B92" s="24" t="s">
        <v>103</v>
      </c>
      <c r="C92" s="11" t="s">
        <v>3</v>
      </c>
      <c r="D92" s="136">
        <f t="shared" si="52"/>
        <v>7</v>
      </c>
      <c r="E92" s="136">
        <f t="shared" si="52"/>
        <v>25</v>
      </c>
      <c r="F92" s="136">
        <f t="shared" si="52"/>
        <v>0</v>
      </c>
      <c r="G92" s="136">
        <f t="shared" ref="G92" si="54">G68+G74+G80+G86</f>
        <v>1</v>
      </c>
      <c r="H92" s="35">
        <f>SUM(D92:F92)</f>
        <v>32</v>
      </c>
    </row>
    <row r="93" spans="1:8" s="2" customFormat="1" ht="27" x14ac:dyDescent="0.3">
      <c r="A93" s="735"/>
      <c r="B93" s="24" t="s">
        <v>102</v>
      </c>
      <c r="C93" s="11"/>
      <c r="D93" s="136">
        <f t="shared" si="52"/>
        <v>760</v>
      </c>
      <c r="E93" s="136">
        <f t="shared" si="52"/>
        <v>145</v>
      </c>
      <c r="F93" s="136">
        <f t="shared" si="52"/>
        <v>105</v>
      </c>
      <c r="G93" s="136">
        <f t="shared" ref="G93" si="55">G69+G75+G81+G87</f>
        <v>1251</v>
      </c>
      <c r="H93" s="35">
        <f>SUM(D93:F93)</f>
        <v>1010</v>
      </c>
    </row>
    <row r="94" spans="1:8" s="2" customFormat="1" x14ac:dyDescent="0.3">
      <c r="A94" s="735"/>
      <c r="B94" s="24" t="s">
        <v>188</v>
      </c>
      <c r="C94" s="11" t="s">
        <v>3</v>
      </c>
      <c r="D94" s="137">
        <f>D93+D92</f>
        <v>767</v>
      </c>
      <c r="E94" s="137">
        <f t="shared" ref="E94:F94" si="56">E93+E92</f>
        <v>170</v>
      </c>
      <c r="F94" s="137">
        <f t="shared" si="56"/>
        <v>105</v>
      </c>
      <c r="G94" s="137">
        <f t="shared" ref="G94:H94" si="57">G93+G92</f>
        <v>1252</v>
      </c>
      <c r="H94" s="144">
        <f t="shared" si="57"/>
        <v>1042</v>
      </c>
    </row>
    <row r="95" spans="1:8" ht="16.2" thickBot="1" x14ac:dyDescent="0.35">
      <c r="A95" s="736"/>
      <c r="B95" s="24" t="s">
        <v>81</v>
      </c>
      <c r="C95" s="11" t="s">
        <v>3</v>
      </c>
      <c r="D95" s="138">
        <f>D90+D91-D94</f>
        <v>3878</v>
      </c>
      <c r="E95" s="138">
        <f t="shared" ref="E95:F95" si="58">E90+E91-E94</f>
        <v>111</v>
      </c>
      <c r="F95" s="138">
        <f t="shared" si="58"/>
        <v>19</v>
      </c>
      <c r="G95" s="138">
        <f t="shared" ref="G95:H95" si="59">G90+G91-G94</f>
        <v>584</v>
      </c>
      <c r="H95" s="145">
        <f t="shared" si="59"/>
        <v>4008</v>
      </c>
    </row>
    <row r="96" spans="1:8" ht="16.2" customHeight="1" thickBot="1" x14ac:dyDescent="0.35">
      <c r="A96" s="788"/>
      <c r="B96" s="789"/>
      <c r="C96" s="789"/>
      <c r="D96" s="789"/>
      <c r="E96" s="789"/>
      <c r="F96" s="789"/>
      <c r="G96" s="789"/>
      <c r="H96" s="790"/>
    </row>
    <row r="97" spans="1:8" s="2" customFormat="1" ht="15.75" customHeight="1" thickBot="1" x14ac:dyDescent="0.35">
      <c r="A97" s="737" t="s">
        <v>189</v>
      </c>
      <c r="B97" s="738"/>
      <c r="C97" s="738"/>
      <c r="D97" s="738"/>
      <c r="E97" s="738"/>
      <c r="F97" s="738"/>
      <c r="G97" s="738"/>
      <c r="H97" s="739"/>
    </row>
    <row r="98" spans="1:8" x14ac:dyDescent="0.3">
      <c r="A98" s="88" t="s">
        <v>190</v>
      </c>
      <c r="B98" s="69"/>
      <c r="C98" s="11" t="s">
        <v>3</v>
      </c>
      <c r="D98" s="26">
        <f>Mangochi!P98</f>
        <v>771</v>
      </c>
      <c r="E98" s="26">
        <f>'Monkey Bay'!P98</f>
        <v>248</v>
      </c>
      <c r="F98" s="26">
        <f>Namwera!P98</f>
        <v>105</v>
      </c>
      <c r="G98" s="26">
        <f>Nkhudzi!P98</f>
        <v>1373</v>
      </c>
      <c r="H98" s="108">
        <f>SUM(D98:F98)</f>
        <v>1124</v>
      </c>
    </row>
    <row r="99" spans="1:8" x14ac:dyDescent="0.3">
      <c r="A99" s="88"/>
      <c r="B99" s="24"/>
      <c r="C99" s="11"/>
      <c r="D99" s="65">
        <f>D94/3269*400</f>
        <v>93.851330682165795</v>
      </c>
      <c r="E99" s="65">
        <f t="shared" ref="E99:F99" si="60">E94/3269*400</f>
        <v>20.801468338941572</v>
      </c>
      <c r="F99" s="65">
        <f t="shared" si="60"/>
        <v>12.847965738758029</v>
      </c>
      <c r="G99" s="65">
        <f t="shared" ref="G99" si="61">G94/3269*400</f>
        <v>153.19669623738145</v>
      </c>
      <c r="H99" s="107"/>
    </row>
    <row r="100" spans="1:8" s="2" customFormat="1" ht="14.4" x14ac:dyDescent="0.3">
      <c r="A100" s="748" t="s">
        <v>101</v>
      </c>
      <c r="B100" s="749"/>
      <c r="C100" s="749"/>
      <c r="D100" s="749"/>
      <c r="E100" s="749"/>
      <c r="F100" s="749"/>
      <c r="G100" s="749"/>
      <c r="H100" s="750"/>
    </row>
    <row r="101" spans="1:8" x14ac:dyDescent="0.3">
      <c r="A101" s="695" t="s">
        <v>100</v>
      </c>
      <c r="B101" s="696"/>
      <c r="C101" s="11" t="s">
        <v>3</v>
      </c>
      <c r="D101" s="26">
        <f>Mangochi!P101</f>
        <v>1850</v>
      </c>
      <c r="E101" s="26">
        <f>'Monkey Bay'!P101</f>
        <v>328</v>
      </c>
      <c r="F101" s="26">
        <f>Namwera!P101</f>
        <v>292</v>
      </c>
      <c r="G101" s="26">
        <f>Nkhudzi!P101</f>
        <v>0</v>
      </c>
      <c r="H101" s="170">
        <f>SUM(D101:F101)</f>
        <v>2470</v>
      </c>
    </row>
    <row r="102" spans="1:8" x14ac:dyDescent="0.3">
      <c r="A102" s="695" t="s">
        <v>99</v>
      </c>
      <c r="B102" s="696"/>
      <c r="C102" s="11" t="s">
        <v>3</v>
      </c>
      <c r="D102" s="26">
        <f>Mangochi!P102</f>
        <v>2</v>
      </c>
      <c r="E102" s="26">
        <f>'Monkey Bay'!P102</f>
        <v>0</v>
      </c>
      <c r="F102" s="26">
        <f>Namwera!P102</f>
        <v>0</v>
      </c>
      <c r="G102" s="26">
        <f>Nkhudzi!P102</f>
        <v>0</v>
      </c>
      <c r="H102" s="170">
        <f>SUM(D102:F102)</f>
        <v>2</v>
      </c>
    </row>
    <row r="103" spans="1:8" ht="15.6" customHeight="1" x14ac:dyDescent="0.3">
      <c r="A103" s="702" t="s">
        <v>98</v>
      </c>
      <c r="B103" s="703"/>
      <c r="C103" s="11" t="s">
        <v>3</v>
      </c>
      <c r="D103" s="26">
        <f>Mangochi!P103</f>
        <v>142</v>
      </c>
      <c r="E103" s="26">
        <f>'Monkey Bay'!P103</f>
        <v>0</v>
      </c>
      <c r="F103" s="26">
        <f>Namwera!P103</f>
        <v>0</v>
      </c>
      <c r="G103" s="26">
        <f>Nkhudzi!P103</f>
        <v>0</v>
      </c>
      <c r="H103" s="170">
        <f>SUM(D103:F103)</f>
        <v>142</v>
      </c>
    </row>
    <row r="104" spans="1:8" x14ac:dyDescent="0.3">
      <c r="A104" s="702" t="s">
        <v>97</v>
      </c>
      <c r="B104" s="703"/>
      <c r="C104" s="11" t="s">
        <v>3</v>
      </c>
      <c r="D104" s="26">
        <f>Mangochi!P104</f>
        <v>10</v>
      </c>
      <c r="E104" s="26">
        <f>'Monkey Bay'!P104</f>
        <v>0</v>
      </c>
      <c r="F104" s="26">
        <f>Namwera!P104</f>
        <v>0</v>
      </c>
      <c r="G104" s="26">
        <f>Nkhudzi!P104</f>
        <v>0</v>
      </c>
      <c r="H104" s="170">
        <f>SUM(D104:F104)</f>
        <v>10</v>
      </c>
    </row>
    <row r="105" spans="1:8" x14ac:dyDescent="0.3">
      <c r="A105" s="751" t="s">
        <v>96</v>
      </c>
      <c r="B105" s="752"/>
      <c r="C105" s="11" t="s">
        <v>3</v>
      </c>
      <c r="D105" s="33">
        <f>SUM(D101:D104)</f>
        <v>2004</v>
      </c>
      <c r="E105" s="33">
        <f t="shared" ref="E105:F105" si="62">SUM(E101:E104)</f>
        <v>328</v>
      </c>
      <c r="F105" s="33">
        <f t="shared" si="62"/>
        <v>292</v>
      </c>
      <c r="G105" s="33">
        <f t="shared" ref="G105" si="63">SUM(G101:G104)</f>
        <v>0</v>
      </c>
      <c r="H105" s="55">
        <f>SUM(D105:F105)</f>
        <v>2624</v>
      </c>
    </row>
    <row r="106" spans="1:8" s="2" customFormat="1" ht="15.6" customHeight="1" x14ac:dyDescent="0.3">
      <c r="A106" s="745" t="s">
        <v>210</v>
      </c>
      <c r="B106" s="746"/>
      <c r="C106" s="746"/>
      <c r="D106" s="746"/>
      <c r="E106" s="746"/>
      <c r="F106" s="746"/>
      <c r="G106" s="746"/>
      <c r="H106" s="747"/>
    </row>
    <row r="107" spans="1:8" x14ac:dyDescent="0.3">
      <c r="A107" s="695" t="s">
        <v>193</v>
      </c>
      <c r="B107" s="696"/>
      <c r="C107" s="11" t="s">
        <v>3</v>
      </c>
      <c r="D107" s="26">
        <f>Mangochi!P107</f>
        <v>4778</v>
      </c>
      <c r="E107" s="26">
        <f>'Monkey Bay'!P107</f>
        <v>1481</v>
      </c>
      <c r="F107" s="26">
        <f>Namwera!P107</f>
        <v>232</v>
      </c>
      <c r="G107" s="26">
        <f>Nkhudzi!P107</f>
        <v>0</v>
      </c>
      <c r="H107" s="170">
        <f>SUM(D107:F107)</f>
        <v>6491</v>
      </c>
    </row>
    <row r="108" spans="1:8" x14ac:dyDescent="0.3">
      <c r="A108" s="695" t="s">
        <v>194</v>
      </c>
      <c r="B108" s="696"/>
      <c r="C108" s="11" t="s">
        <v>3</v>
      </c>
      <c r="D108" s="26">
        <f>Mangochi!P108</f>
        <v>7</v>
      </c>
      <c r="E108" s="26">
        <f>'Monkey Bay'!P108</f>
        <v>17</v>
      </c>
      <c r="F108" s="26">
        <f>Namwera!P108</f>
        <v>1</v>
      </c>
      <c r="G108" s="26">
        <f>Nkhudzi!P108</f>
        <v>0</v>
      </c>
      <c r="H108" s="170">
        <f>SUM(D108:F108)</f>
        <v>25</v>
      </c>
    </row>
    <row r="109" spans="1:8" x14ac:dyDescent="0.3">
      <c r="A109" s="695" t="s">
        <v>195</v>
      </c>
      <c r="B109" s="696"/>
      <c r="C109" s="11" t="s">
        <v>3</v>
      </c>
      <c r="D109" s="26">
        <f>Mangochi!P109</f>
        <v>6</v>
      </c>
      <c r="E109" s="26">
        <f>'Monkey Bay'!P109</f>
        <v>12</v>
      </c>
      <c r="F109" s="26">
        <f>Namwera!P109</f>
        <v>0</v>
      </c>
      <c r="G109" s="26">
        <f>Nkhudzi!P109</f>
        <v>0</v>
      </c>
      <c r="H109" s="170">
        <f>SUM(D109:F109)</f>
        <v>18</v>
      </c>
    </row>
    <row r="110" spans="1:8" x14ac:dyDescent="0.3">
      <c r="A110" s="695" t="s">
        <v>196</v>
      </c>
      <c r="B110" s="696"/>
      <c r="C110" s="11" t="s">
        <v>3</v>
      </c>
      <c r="D110" s="26">
        <f>Mangochi!P110</f>
        <v>0</v>
      </c>
      <c r="E110" s="26">
        <f>'Monkey Bay'!P110</f>
        <v>0</v>
      </c>
      <c r="F110" s="26">
        <f>Namwera!P110</f>
        <v>0</v>
      </c>
      <c r="G110" s="26">
        <f>Nkhudzi!P110</f>
        <v>0</v>
      </c>
      <c r="H110" s="170">
        <f>SUM(D110:F110)</f>
        <v>0</v>
      </c>
    </row>
    <row r="111" spans="1:8" x14ac:dyDescent="0.3">
      <c r="A111" s="697" t="s">
        <v>95</v>
      </c>
      <c r="B111" s="698"/>
      <c r="C111" s="11" t="s">
        <v>3</v>
      </c>
      <c r="D111" s="33">
        <f>SUM(D107:D110)</f>
        <v>4791</v>
      </c>
      <c r="E111" s="33">
        <f t="shared" ref="E111:F111" si="64">SUM(E107:E110)</f>
        <v>1510</v>
      </c>
      <c r="F111" s="33">
        <f t="shared" si="64"/>
        <v>233</v>
      </c>
      <c r="G111" s="33">
        <f t="shared" ref="G111" si="65">SUM(G107:G110)</f>
        <v>0</v>
      </c>
      <c r="H111" s="55">
        <f>SUM(D111:F111)</f>
        <v>6534</v>
      </c>
    </row>
    <row r="112" spans="1:8" s="2" customFormat="1" ht="15.6" customHeight="1" x14ac:dyDescent="0.3">
      <c r="A112" s="748" t="s">
        <v>210</v>
      </c>
      <c r="B112" s="749"/>
      <c r="C112" s="749"/>
      <c r="D112" s="749"/>
      <c r="E112" s="749"/>
      <c r="F112" s="749"/>
      <c r="G112" s="749"/>
      <c r="H112" s="750"/>
    </row>
    <row r="113" spans="1:8" x14ac:dyDescent="0.3">
      <c r="A113" s="695" t="s">
        <v>197</v>
      </c>
      <c r="B113" s="696"/>
      <c r="C113" s="11" t="s">
        <v>3</v>
      </c>
      <c r="D113" s="26">
        <f>Mangochi!P113</f>
        <v>2600</v>
      </c>
      <c r="E113" s="26">
        <f>'Monkey Bay'!P113</f>
        <v>976</v>
      </c>
      <c r="F113" s="26">
        <f>Namwera!P113</f>
        <v>281</v>
      </c>
      <c r="G113" s="26">
        <f>Nkhudzi!P113</f>
        <v>372</v>
      </c>
      <c r="H113" s="170">
        <f t="shared" ref="H113:H119" si="66">SUM(D113:F113)</f>
        <v>3857</v>
      </c>
    </row>
    <row r="114" spans="1:8" x14ac:dyDescent="0.3">
      <c r="A114" s="695" t="s">
        <v>198</v>
      </c>
      <c r="B114" s="696"/>
      <c r="C114" s="11" t="s">
        <v>3</v>
      </c>
      <c r="D114" s="26">
        <f>Mangochi!P114</f>
        <v>0</v>
      </c>
      <c r="E114" s="26">
        <f>'Monkey Bay'!P114</f>
        <v>0</v>
      </c>
      <c r="F114" s="26">
        <f>Namwera!P114</f>
        <v>27</v>
      </c>
      <c r="G114" s="26">
        <f>Nkhudzi!P114</f>
        <v>0</v>
      </c>
      <c r="H114" s="170">
        <f t="shared" si="66"/>
        <v>27</v>
      </c>
    </row>
    <row r="115" spans="1:8" x14ac:dyDescent="0.3">
      <c r="A115" s="695" t="s">
        <v>199</v>
      </c>
      <c r="B115" s="696"/>
      <c r="C115" s="11" t="s">
        <v>3</v>
      </c>
      <c r="D115" s="26">
        <f>Mangochi!P115</f>
        <v>0</v>
      </c>
      <c r="E115" s="26">
        <f>'Monkey Bay'!P115</f>
        <v>0</v>
      </c>
      <c r="F115" s="26">
        <f>Namwera!P115</f>
        <v>10</v>
      </c>
      <c r="G115" s="26">
        <f>Nkhudzi!P115</f>
        <v>0</v>
      </c>
      <c r="H115" s="170">
        <f t="shared" si="66"/>
        <v>10</v>
      </c>
    </row>
    <row r="116" spans="1:8" x14ac:dyDescent="0.3">
      <c r="A116" s="695" t="s">
        <v>200</v>
      </c>
      <c r="B116" s="696"/>
      <c r="C116" s="11" t="s">
        <v>3</v>
      </c>
      <c r="D116" s="26">
        <f>Mangochi!P116</f>
        <v>0</v>
      </c>
      <c r="E116" s="26">
        <f>'Monkey Bay'!P116</f>
        <v>0</v>
      </c>
      <c r="F116" s="26">
        <f>Namwera!P116</f>
        <v>3</v>
      </c>
      <c r="G116" s="26">
        <f>Nkhudzi!P116</f>
        <v>0</v>
      </c>
      <c r="H116" s="170">
        <f t="shared" si="66"/>
        <v>3</v>
      </c>
    </row>
    <row r="117" spans="1:8" x14ac:dyDescent="0.3">
      <c r="A117" s="697" t="s">
        <v>94</v>
      </c>
      <c r="B117" s="698"/>
      <c r="C117" s="11" t="s">
        <v>3</v>
      </c>
      <c r="D117" s="33">
        <f>SUM(D113:D116)</f>
        <v>2600</v>
      </c>
      <c r="E117" s="33">
        <f t="shared" ref="E117:F117" si="67">SUM(E113:E116)</f>
        <v>976</v>
      </c>
      <c r="F117" s="33">
        <f t="shared" si="67"/>
        <v>321</v>
      </c>
      <c r="G117" s="33">
        <f t="shared" ref="G117" si="68">SUM(G113:G116)</f>
        <v>372</v>
      </c>
      <c r="H117" s="55">
        <f t="shared" si="66"/>
        <v>3897</v>
      </c>
    </row>
    <row r="118" spans="1:8" s="2" customFormat="1" x14ac:dyDescent="0.3">
      <c r="A118" s="201" t="s">
        <v>191</v>
      </c>
      <c r="B118" s="202"/>
      <c r="C118" s="11" t="s">
        <v>3</v>
      </c>
      <c r="D118" s="33">
        <f>D111+D117</f>
        <v>7391</v>
      </c>
      <c r="E118" s="33">
        <f t="shared" ref="E118:F118" si="69">E111+E117</f>
        <v>2486</v>
      </c>
      <c r="F118" s="33">
        <f t="shared" si="69"/>
        <v>554</v>
      </c>
      <c r="G118" s="33">
        <f t="shared" ref="G118" si="70">G111+G117</f>
        <v>372</v>
      </c>
      <c r="H118" s="55">
        <f t="shared" si="66"/>
        <v>10431</v>
      </c>
    </row>
    <row r="119" spans="1:8" x14ac:dyDescent="0.3">
      <c r="A119" s="697" t="s">
        <v>192</v>
      </c>
      <c r="B119" s="698"/>
      <c r="C119" s="11" t="s">
        <v>3</v>
      </c>
      <c r="D119" s="33">
        <f>D118+D105</f>
        <v>9395</v>
      </c>
      <c r="E119" s="33">
        <f t="shared" ref="E119:F119" si="71">E118+E105</f>
        <v>2814</v>
      </c>
      <c r="F119" s="33">
        <f t="shared" si="71"/>
        <v>846</v>
      </c>
      <c r="G119" s="33">
        <f t="shared" ref="G119" si="72">G118+G105</f>
        <v>372</v>
      </c>
      <c r="H119" s="55">
        <f t="shared" si="66"/>
        <v>13055</v>
      </c>
    </row>
    <row r="120" spans="1:8" ht="14.4" x14ac:dyDescent="0.3">
      <c r="A120" s="699" t="s">
        <v>201</v>
      </c>
      <c r="B120" s="700"/>
      <c r="C120" s="700"/>
      <c r="D120" s="700"/>
      <c r="E120" s="700"/>
      <c r="F120" s="700"/>
      <c r="G120" s="700"/>
      <c r="H120" s="701"/>
    </row>
    <row r="121" spans="1:8" x14ac:dyDescent="0.3">
      <c r="A121" s="695" t="s">
        <v>93</v>
      </c>
      <c r="B121" s="696"/>
      <c r="C121" s="5" t="s">
        <v>3</v>
      </c>
      <c r="D121" s="26">
        <f>Mangochi!P121</f>
        <v>50331</v>
      </c>
      <c r="E121" s="26">
        <f>'Monkey Bay'!P121</f>
        <v>20908</v>
      </c>
      <c r="F121" s="26">
        <f>Namwera!P121</f>
        <v>9128</v>
      </c>
      <c r="G121" s="26">
        <f>Nkhudzi!P121</f>
        <v>0</v>
      </c>
      <c r="H121" s="31">
        <f>SUM(D121:F121)</f>
        <v>80367</v>
      </c>
    </row>
    <row r="122" spans="1:8" x14ac:dyDescent="0.3">
      <c r="A122" s="695" t="s">
        <v>92</v>
      </c>
      <c r="B122" s="696"/>
      <c r="C122" s="5" t="s">
        <v>3</v>
      </c>
      <c r="D122" s="26">
        <f>Mangochi!P122</f>
        <v>47684</v>
      </c>
      <c r="E122" s="26">
        <f>'Monkey Bay'!P122</f>
        <v>19642</v>
      </c>
      <c r="F122" s="26">
        <f>Namwera!P122</f>
        <v>6931</v>
      </c>
      <c r="G122" s="26">
        <f>Nkhudzi!P122</f>
        <v>0</v>
      </c>
      <c r="H122" s="31">
        <f>SUM(D122:F122)</f>
        <v>74257</v>
      </c>
    </row>
    <row r="123" spans="1:8" x14ac:dyDescent="0.3">
      <c r="A123" s="753" t="s">
        <v>91</v>
      </c>
      <c r="B123" s="754"/>
      <c r="C123" s="30" t="s">
        <v>6</v>
      </c>
      <c r="D123" s="29">
        <f t="shared" ref="D123:F123" si="73">D122/D121</f>
        <v>0.94740815799407918</v>
      </c>
      <c r="E123" s="29">
        <f t="shared" si="73"/>
        <v>0.93944901473120335</v>
      </c>
      <c r="F123" s="29">
        <f t="shared" si="73"/>
        <v>0.75931200701139356</v>
      </c>
      <c r="G123" s="29" t="e">
        <f t="shared" ref="G123:H123" si="74">G122/G121</f>
        <v>#DIV/0!</v>
      </c>
      <c r="H123" s="109">
        <f t="shared" si="74"/>
        <v>0.92397377032861749</v>
      </c>
    </row>
    <row r="124" spans="1:8" ht="14.4" x14ac:dyDescent="0.3">
      <c r="A124" s="755" t="s">
        <v>90</v>
      </c>
      <c r="B124" s="756"/>
      <c r="C124" s="756"/>
      <c r="D124" s="756"/>
      <c r="E124" s="756"/>
      <c r="F124" s="756"/>
      <c r="G124" s="756"/>
      <c r="H124" s="757"/>
    </row>
    <row r="125" spans="1:8" x14ac:dyDescent="0.3">
      <c r="A125" s="711" t="s">
        <v>224</v>
      </c>
      <c r="B125" s="24" t="s">
        <v>85</v>
      </c>
      <c r="C125" s="11" t="s">
        <v>3</v>
      </c>
      <c r="D125" s="26">
        <f>Mangochi!P125</f>
        <v>2</v>
      </c>
      <c r="E125" s="26">
        <f>'Monkey Bay'!P125</f>
        <v>0</v>
      </c>
      <c r="F125" s="26">
        <f>Namwera!P125</f>
        <v>0</v>
      </c>
      <c r="G125" s="26">
        <f>Nkhudzi!P125</f>
        <v>0</v>
      </c>
      <c r="H125" s="74">
        <f>SUM(D125:F125)</f>
        <v>2</v>
      </c>
    </row>
    <row r="126" spans="1:8" x14ac:dyDescent="0.3">
      <c r="A126" s="761"/>
      <c r="B126" s="24" t="s">
        <v>84</v>
      </c>
      <c r="C126" s="11" t="s">
        <v>3</v>
      </c>
      <c r="D126" s="26">
        <f>Mangochi!P126</f>
        <v>0</v>
      </c>
      <c r="E126" s="26">
        <f>'Monkey Bay'!P126</f>
        <v>0</v>
      </c>
      <c r="F126" s="26">
        <f>Namwera!P126</f>
        <v>1</v>
      </c>
      <c r="G126" s="26">
        <f>Nkhudzi!P126</f>
        <v>0</v>
      </c>
      <c r="H126" s="74">
        <f>SUM(D126:F126)</f>
        <v>1</v>
      </c>
    </row>
    <row r="127" spans="1:8" x14ac:dyDescent="0.3">
      <c r="A127" s="761"/>
      <c r="B127" s="82" t="s">
        <v>88</v>
      </c>
      <c r="C127" s="11" t="s">
        <v>3</v>
      </c>
      <c r="D127" s="26">
        <f>Mangochi!P127</f>
        <v>0</v>
      </c>
      <c r="E127" s="26">
        <f>'Monkey Bay'!P127</f>
        <v>0</v>
      </c>
      <c r="F127" s="26">
        <f>Namwera!P127</f>
        <v>0</v>
      </c>
      <c r="G127" s="26">
        <f>Nkhudzi!P127</f>
        <v>0</v>
      </c>
      <c r="H127" s="74">
        <f>SUM(D127:F127)</f>
        <v>0</v>
      </c>
    </row>
    <row r="128" spans="1:8" x14ac:dyDescent="0.3">
      <c r="A128" s="761"/>
      <c r="B128" s="24" t="s">
        <v>82</v>
      </c>
      <c r="C128" s="11" t="s">
        <v>3</v>
      </c>
      <c r="D128" s="26">
        <f>Mangochi!P128</f>
        <v>2</v>
      </c>
      <c r="E128" s="26">
        <f>'Monkey Bay'!P128</f>
        <v>0</v>
      </c>
      <c r="F128" s="26">
        <f>Namwera!P128</f>
        <v>1</v>
      </c>
      <c r="G128" s="26">
        <f>Nkhudzi!P128</f>
        <v>0</v>
      </c>
      <c r="H128" s="74">
        <f>SUM(D128:F128)</f>
        <v>3</v>
      </c>
    </row>
    <row r="129" spans="1:8" x14ac:dyDescent="0.3">
      <c r="A129" s="712"/>
      <c r="B129" s="24" t="s">
        <v>81</v>
      </c>
      <c r="C129" s="11" t="s">
        <v>3</v>
      </c>
      <c r="D129" s="140">
        <f t="shared" ref="D129:F129" si="75">D125+D126-D127-D128</f>
        <v>0</v>
      </c>
      <c r="E129" s="140">
        <f t="shared" si="75"/>
        <v>0</v>
      </c>
      <c r="F129" s="140">
        <f t="shared" si="75"/>
        <v>0</v>
      </c>
      <c r="G129" s="140">
        <f t="shared" ref="G129:H129" si="76">G125+G126-G127-G128</f>
        <v>0</v>
      </c>
      <c r="H129" s="35">
        <f t="shared" si="76"/>
        <v>0</v>
      </c>
    </row>
    <row r="130" spans="1:8" x14ac:dyDescent="0.3">
      <c r="A130" s="711" t="s">
        <v>225</v>
      </c>
      <c r="B130" s="28" t="s">
        <v>85</v>
      </c>
      <c r="C130" s="27" t="s">
        <v>3</v>
      </c>
      <c r="D130" s="26">
        <f>Mangochi!P130</f>
        <v>0</v>
      </c>
      <c r="E130" s="26">
        <f>'Monkey Bay'!P130</f>
        <v>0</v>
      </c>
      <c r="F130" s="26">
        <f>Namwera!P130</f>
        <v>0</v>
      </c>
      <c r="G130" s="26">
        <f>Nkhudzi!P130</f>
        <v>0</v>
      </c>
      <c r="H130" s="74">
        <f>SUM(D130:F130)</f>
        <v>0</v>
      </c>
    </row>
    <row r="131" spans="1:8" x14ac:dyDescent="0.3">
      <c r="A131" s="761"/>
      <c r="B131" s="24" t="s">
        <v>84</v>
      </c>
      <c r="C131" s="11" t="s">
        <v>3</v>
      </c>
      <c r="D131" s="26">
        <f>Mangochi!P131</f>
        <v>0</v>
      </c>
      <c r="E131" s="26">
        <f>'Monkey Bay'!P131</f>
        <v>0</v>
      </c>
      <c r="F131" s="26">
        <f>Namwera!P131</f>
        <v>0</v>
      </c>
      <c r="G131" s="26">
        <f>Nkhudzi!P131</f>
        <v>0</v>
      </c>
      <c r="H131" s="74">
        <f>SUM(D131:F131)</f>
        <v>0</v>
      </c>
    </row>
    <row r="132" spans="1:8" x14ac:dyDescent="0.3">
      <c r="A132" s="761"/>
      <c r="B132" s="82" t="s">
        <v>88</v>
      </c>
      <c r="C132" s="11" t="s">
        <v>3</v>
      </c>
      <c r="D132" s="26">
        <f>Mangochi!P132</f>
        <v>0</v>
      </c>
      <c r="E132" s="26">
        <f>'Monkey Bay'!P132</f>
        <v>0</v>
      </c>
      <c r="F132" s="26">
        <f>Namwera!P132</f>
        <v>0</v>
      </c>
      <c r="G132" s="26">
        <f>Nkhudzi!P132</f>
        <v>0</v>
      </c>
      <c r="H132" s="74">
        <f>SUM(D132:F132)</f>
        <v>0</v>
      </c>
    </row>
    <row r="133" spans="1:8" x14ac:dyDescent="0.3">
      <c r="A133" s="761"/>
      <c r="B133" s="24" t="s">
        <v>82</v>
      </c>
      <c r="C133" s="11" t="s">
        <v>3</v>
      </c>
      <c r="D133" s="26">
        <f>Mangochi!P133</f>
        <v>0</v>
      </c>
      <c r="E133" s="26">
        <f>'Monkey Bay'!P133</f>
        <v>0</v>
      </c>
      <c r="F133" s="26">
        <f>Namwera!P133</f>
        <v>0</v>
      </c>
      <c r="G133" s="26">
        <f>Nkhudzi!P133</f>
        <v>0</v>
      </c>
      <c r="H133" s="74">
        <f>SUM(D133:F133)</f>
        <v>0</v>
      </c>
    </row>
    <row r="134" spans="1:8" x14ac:dyDescent="0.3">
      <c r="A134" s="712"/>
      <c r="B134" s="24" t="s">
        <v>81</v>
      </c>
      <c r="C134" s="11" t="s">
        <v>3</v>
      </c>
      <c r="D134" s="140">
        <f t="shared" ref="D134:F134" si="77">D130+D131-D132-D133</f>
        <v>0</v>
      </c>
      <c r="E134" s="140">
        <f t="shared" si="77"/>
        <v>0</v>
      </c>
      <c r="F134" s="140">
        <f t="shared" si="77"/>
        <v>0</v>
      </c>
      <c r="G134" s="140">
        <f t="shared" ref="G134:H134" si="78">G130+G131-G132-G133</f>
        <v>0</v>
      </c>
      <c r="H134" s="35">
        <f t="shared" si="78"/>
        <v>0</v>
      </c>
    </row>
    <row r="135" spans="1:8" x14ac:dyDescent="0.3">
      <c r="A135" s="711" t="s">
        <v>89</v>
      </c>
      <c r="B135" s="24" t="s">
        <v>85</v>
      </c>
      <c r="C135" s="11" t="s">
        <v>3</v>
      </c>
      <c r="D135" s="26">
        <f>Mangochi!P135</f>
        <v>3</v>
      </c>
      <c r="E135" s="26">
        <f>'Monkey Bay'!P135</f>
        <v>0</v>
      </c>
      <c r="F135" s="26">
        <f>Namwera!P135</f>
        <v>0</v>
      </c>
      <c r="G135" s="26">
        <f>Nkhudzi!P135</f>
        <v>0</v>
      </c>
      <c r="H135" s="74">
        <f>SUM(D135:F135)</f>
        <v>3</v>
      </c>
    </row>
    <row r="136" spans="1:8" x14ac:dyDescent="0.3">
      <c r="A136" s="761"/>
      <c r="B136" s="24" t="s">
        <v>84</v>
      </c>
      <c r="C136" s="11" t="s">
        <v>3</v>
      </c>
      <c r="D136" s="26">
        <f>Mangochi!P136</f>
        <v>0</v>
      </c>
      <c r="E136" s="26">
        <f>'Monkey Bay'!P136</f>
        <v>0</v>
      </c>
      <c r="F136" s="26">
        <f>Namwera!P136</f>
        <v>0</v>
      </c>
      <c r="G136" s="26">
        <f>Nkhudzi!P136</f>
        <v>0</v>
      </c>
      <c r="H136" s="74">
        <f>SUM(D136:F136)</f>
        <v>0</v>
      </c>
    </row>
    <row r="137" spans="1:8" x14ac:dyDescent="0.3">
      <c r="A137" s="761"/>
      <c r="B137" s="82" t="s">
        <v>88</v>
      </c>
      <c r="C137" s="11" t="s">
        <v>3</v>
      </c>
      <c r="D137" s="26">
        <f>Mangochi!P137</f>
        <v>0</v>
      </c>
      <c r="E137" s="26">
        <f>'Monkey Bay'!P137</f>
        <v>0</v>
      </c>
      <c r="F137" s="26">
        <f>Namwera!P137</f>
        <v>0</v>
      </c>
      <c r="G137" s="26">
        <f>Nkhudzi!P137</f>
        <v>0</v>
      </c>
      <c r="H137" s="74">
        <f>SUM(D137:F137)</f>
        <v>0</v>
      </c>
    </row>
    <row r="138" spans="1:8" x14ac:dyDescent="0.3">
      <c r="A138" s="761"/>
      <c r="B138" s="24" t="s">
        <v>82</v>
      </c>
      <c r="C138" s="11" t="s">
        <v>3</v>
      </c>
      <c r="D138" s="26">
        <f>Mangochi!P138</f>
        <v>3</v>
      </c>
      <c r="E138" s="26">
        <f>'Monkey Bay'!P138</f>
        <v>0</v>
      </c>
      <c r="F138" s="26">
        <f>Namwera!P138</f>
        <v>0</v>
      </c>
      <c r="G138" s="26">
        <f>Nkhudzi!P138</f>
        <v>0</v>
      </c>
      <c r="H138" s="74">
        <f>SUM(D138:F138)</f>
        <v>3</v>
      </c>
    </row>
    <row r="139" spans="1:8" x14ac:dyDescent="0.3">
      <c r="A139" s="712"/>
      <c r="B139" s="24" t="s">
        <v>81</v>
      </c>
      <c r="C139" s="11" t="s">
        <v>3</v>
      </c>
      <c r="D139" s="140">
        <f t="shared" ref="D139:F139" si="79">D135+D136-D137-D138</f>
        <v>0</v>
      </c>
      <c r="E139" s="140">
        <f t="shared" si="79"/>
        <v>0</v>
      </c>
      <c r="F139" s="140">
        <f t="shared" si="79"/>
        <v>0</v>
      </c>
      <c r="G139" s="140">
        <f t="shared" ref="G139:H139" si="80">G135+G136-G137-G138</f>
        <v>0</v>
      </c>
      <c r="H139" s="35">
        <f t="shared" si="80"/>
        <v>0</v>
      </c>
    </row>
    <row r="140" spans="1:8" x14ac:dyDescent="0.3">
      <c r="A140" s="711" t="s">
        <v>87</v>
      </c>
      <c r="B140" s="24" t="s">
        <v>85</v>
      </c>
      <c r="C140" s="11" t="s">
        <v>3</v>
      </c>
      <c r="D140" s="26">
        <f>Mangochi!P140</f>
        <v>1231</v>
      </c>
      <c r="E140" s="26">
        <f>'Monkey Bay'!P140</f>
        <v>60</v>
      </c>
      <c r="F140" s="26">
        <f>Namwera!P140</f>
        <v>1</v>
      </c>
      <c r="G140" s="26">
        <f>Nkhudzi!P140</f>
        <v>0</v>
      </c>
      <c r="H140" s="74">
        <f>SUM(D140:F140)</f>
        <v>1292</v>
      </c>
    </row>
    <row r="141" spans="1:8" x14ac:dyDescent="0.3">
      <c r="A141" s="761"/>
      <c r="B141" s="24" t="s">
        <v>84</v>
      </c>
      <c r="C141" s="11" t="s">
        <v>3</v>
      </c>
      <c r="D141" s="26">
        <f>Mangochi!P141</f>
        <v>371</v>
      </c>
      <c r="E141" s="26">
        <f>'Monkey Bay'!P141</f>
        <v>268</v>
      </c>
      <c r="F141" s="26">
        <f>Namwera!P141</f>
        <v>78</v>
      </c>
      <c r="G141" s="26">
        <f>Nkhudzi!P141</f>
        <v>0</v>
      </c>
      <c r="H141" s="74">
        <f>SUM(D141:F141)</f>
        <v>717</v>
      </c>
    </row>
    <row r="142" spans="1:8" x14ac:dyDescent="0.3">
      <c r="A142" s="761"/>
      <c r="B142" s="24" t="s">
        <v>83</v>
      </c>
      <c r="C142" s="11" t="s">
        <v>3</v>
      </c>
      <c r="D142" s="26">
        <f>Mangochi!P142</f>
        <v>0</v>
      </c>
      <c r="E142" s="26">
        <f>'Monkey Bay'!P142</f>
        <v>51</v>
      </c>
      <c r="F142" s="26">
        <f>Namwera!P142</f>
        <v>18</v>
      </c>
      <c r="G142" s="26">
        <f>Nkhudzi!P142</f>
        <v>0</v>
      </c>
      <c r="H142" s="74">
        <f>SUM(D142:F142)</f>
        <v>69</v>
      </c>
    </row>
    <row r="143" spans="1:8" x14ac:dyDescent="0.3">
      <c r="A143" s="761"/>
      <c r="B143" s="24" t="s">
        <v>82</v>
      </c>
      <c r="C143" s="11" t="s">
        <v>3</v>
      </c>
      <c r="D143" s="26">
        <f>Mangochi!P143</f>
        <v>1507</v>
      </c>
      <c r="E143" s="26">
        <f>'Monkey Bay'!P143</f>
        <v>166</v>
      </c>
      <c r="F143" s="26">
        <f>Namwera!P143</f>
        <v>62</v>
      </c>
      <c r="G143" s="26">
        <f>Nkhudzi!P143</f>
        <v>0</v>
      </c>
      <c r="H143" s="74">
        <f>SUM(D143:F143)</f>
        <v>1735</v>
      </c>
    </row>
    <row r="144" spans="1:8" x14ac:dyDescent="0.3">
      <c r="A144" s="712"/>
      <c r="B144" s="24" t="s">
        <v>81</v>
      </c>
      <c r="C144" s="11" t="s">
        <v>3</v>
      </c>
      <c r="D144" s="140">
        <f t="shared" ref="D144:F144" si="81">D140+D141-D142-D143</f>
        <v>95</v>
      </c>
      <c r="E144" s="140">
        <f t="shared" si="81"/>
        <v>111</v>
      </c>
      <c r="F144" s="140">
        <f t="shared" si="81"/>
        <v>-1</v>
      </c>
      <c r="G144" s="140">
        <f t="shared" ref="G144:H144" si="82">G140+G141-G142-G143</f>
        <v>0</v>
      </c>
      <c r="H144" s="35">
        <f t="shared" si="82"/>
        <v>205</v>
      </c>
    </row>
    <row r="145" spans="1:8" s="2" customFormat="1" x14ac:dyDescent="0.3">
      <c r="A145" s="711" t="s">
        <v>86</v>
      </c>
      <c r="B145" s="24" t="s">
        <v>85</v>
      </c>
      <c r="C145" s="11" t="s">
        <v>3</v>
      </c>
      <c r="D145" s="141">
        <f t="shared" ref="D145:F145" si="83">D125+D130+D135+D140</f>
        <v>1236</v>
      </c>
      <c r="E145" s="141">
        <f t="shared" si="83"/>
        <v>60</v>
      </c>
      <c r="F145" s="141">
        <f t="shared" si="83"/>
        <v>1</v>
      </c>
      <c r="G145" s="141">
        <f t="shared" ref="G145:H149" si="84">G125+G130+G135+G140</f>
        <v>0</v>
      </c>
      <c r="H145" s="110">
        <f t="shared" si="84"/>
        <v>1297</v>
      </c>
    </row>
    <row r="146" spans="1:8" x14ac:dyDescent="0.3">
      <c r="A146" s="761"/>
      <c r="B146" s="24" t="s">
        <v>84</v>
      </c>
      <c r="C146" s="11" t="s">
        <v>3</v>
      </c>
      <c r="D146" s="141">
        <f t="shared" ref="D146:F148" si="85">D126+D131+D136+D141</f>
        <v>371</v>
      </c>
      <c r="E146" s="141">
        <f t="shared" si="85"/>
        <v>268</v>
      </c>
      <c r="F146" s="141">
        <f t="shared" si="85"/>
        <v>79</v>
      </c>
      <c r="G146" s="141">
        <f t="shared" ref="G146" si="86">G126+G131+G136+G141</f>
        <v>0</v>
      </c>
      <c r="H146" s="110">
        <f t="shared" si="84"/>
        <v>718</v>
      </c>
    </row>
    <row r="147" spans="1:8" x14ac:dyDescent="0.3">
      <c r="A147" s="761"/>
      <c r="B147" s="24" t="s">
        <v>83</v>
      </c>
      <c r="C147" s="11" t="s">
        <v>3</v>
      </c>
      <c r="D147" s="141">
        <f t="shared" si="85"/>
        <v>0</v>
      </c>
      <c r="E147" s="141">
        <f t="shared" si="85"/>
        <v>51</v>
      </c>
      <c r="F147" s="141">
        <f t="shared" si="85"/>
        <v>18</v>
      </c>
      <c r="G147" s="141">
        <f t="shared" ref="G147" si="87">G127+G132+G137+G142</f>
        <v>0</v>
      </c>
      <c r="H147" s="110">
        <f t="shared" si="84"/>
        <v>69</v>
      </c>
    </row>
    <row r="148" spans="1:8" x14ac:dyDescent="0.3">
      <c r="A148" s="761"/>
      <c r="B148" s="24" t="s">
        <v>82</v>
      </c>
      <c r="C148" s="11" t="s">
        <v>3</v>
      </c>
      <c r="D148" s="141">
        <f t="shared" si="85"/>
        <v>1512</v>
      </c>
      <c r="E148" s="141">
        <f t="shared" si="85"/>
        <v>166</v>
      </c>
      <c r="F148" s="141">
        <f t="shared" si="85"/>
        <v>63</v>
      </c>
      <c r="G148" s="141">
        <f t="shared" ref="G148" si="88">G128+G133+G138+G143</f>
        <v>0</v>
      </c>
      <c r="H148" s="110">
        <f t="shared" si="84"/>
        <v>1741</v>
      </c>
    </row>
    <row r="149" spans="1:8" x14ac:dyDescent="0.3">
      <c r="A149" s="712"/>
      <c r="B149" s="24" t="s">
        <v>81</v>
      </c>
      <c r="C149" s="11" t="s">
        <v>3</v>
      </c>
      <c r="D149" s="140">
        <f t="shared" ref="D149:F149" si="89">D145+D146-D147-D148</f>
        <v>95</v>
      </c>
      <c r="E149" s="140">
        <f t="shared" si="89"/>
        <v>111</v>
      </c>
      <c r="F149" s="140">
        <f t="shared" si="89"/>
        <v>-1</v>
      </c>
      <c r="G149" s="140">
        <f t="shared" ref="G149" si="90">G145+G146-G147-G148</f>
        <v>0</v>
      </c>
      <c r="H149" s="110">
        <f t="shared" si="84"/>
        <v>205</v>
      </c>
    </row>
    <row r="150" spans="1:8" ht="14.4" x14ac:dyDescent="0.3">
      <c r="A150" s="699" t="s">
        <v>80</v>
      </c>
      <c r="B150" s="700"/>
      <c r="C150" s="700"/>
      <c r="D150" s="700"/>
      <c r="E150" s="700"/>
      <c r="F150" s="700"/>
      <c r="G150" s="700"/>
      <c r="H150" s="701"/>
    </row>
    <row r="151" spans="1:8" ht="15.6" customHeight="1" x14ac:dyDescent="0.3">
      <c r="A151" s="793" t="s">
        <v>79</v>
      </c>
      <c r="B151" s="794"/>
      <c r="C151" s="794"/>
      <c r="D151" s="794"/>
      <c r="E151" s="794"/>
      <c r="F151" s="794"/>
      <c r="G151" s="794"/>
      <c r="H151" s="795"/>
    </row>
    <row r="152" spans="1:8" x14ac:dyDescent="0.3">
      <c r="A152" s="758" t="s">
        <v>78</v>
      </c>
      <c r="B152" s="92" t="s">
        <v>63</v>
      </c>
      <c r="C152" s="11"/>
      <c r="D152" s="15"/>
      <c r="E152" s="15"/>
      <c r="F152" s="15"/>
      <c r="G152" s="15"/>
      <c r="H152" s="39"/>
    </row>
    <row r="153" spans="1:8" x14ac:dyDescent="0.3">
      <c r="A153" s="759"/>
      <c r="B153" s="19" t="s">
        <v>73</v>
      </c>
      <c r="C153" s="11" t="s">
        <v>57</v>
      </c>
      <c r="D153" s="26">
        <f>Mangochi!P153</f>
        <v>882</v>
      </c>
      <c r="E153" s="26">
        <f>'Monkey Bay'!P153</f>
        <v>262</v>
      </c>
      <c r="F153" s="26">
        <f>Namwera!P153</f>
        <v>268</v>
      </c>
      <c r="G153" s="26">
        <f>Nkhudzi!P153</f>
        <v>35</v>
      </c>
      <c r="H153" s="74">
        <f t="shared" ref="H153:H165" si="91">SUM(D153:F153)</f>
        <v>1412</v>
      </c>
    </row>
    <row r="154" spans="1:8" x14ac:dyDescent="0.3">
      <c r="A154" s="759"/>
      <c r="B154" s="19" t="s">
        <v>72</v>
      </c>
      <c r="C154" s="11" t="s">
        <v>57</v>
      </c>
      <c r="D154" s="26">
        <f>Mangochi!P154</f>
        <v>611</v>
      </c>
      <c r="E154" s="26">
        <f>'Monkey Bay'!P154</f>
        <v>154</v>
      </c>
      <c r="F154" s="26">
        <f>Namwera!P154</f>
        <v>111</v>
      </c>
      <c r="G154" s="26">
        <f>Nkhudzi!P154</f>
        <v>21</v>
      </c>
      <c r="H154" s="74">
        <f t="shared" si="91"/>
        <v>876</v>
      </c>
    </row>
    <row r="155" spans="1:8" x14ac:dyDescent="0.3">
      <c r="A155" s="759"/>
      <c r="B155" s="19" t="s">
        <v>53</v>
      </c>
      <c r="C155" s="11" t="s">
        <v>57</v>
      </c>
      <c r="D155" s="26">
        <f>Mangochi!P155</f>
        <v>221</v>
      </c>
      <c r="E155" s="26">
        <f>'Monkey Bay'!P155</f>
        <v>36</v>
      </c>
      <c r="F155" s="26">
        <f>Namwera!P155</f>
        <v>27</v>
      </c>
      <c r="G155" s="26">
        <f>Nkhudzi!P155</f>
        <v>13</v>
      </c>
      <c r="H155" s="74">
        <f t="shared" si="91"/>
        <v>284</v>
      </c>
    </row>
    <row r="156" spans="1:8" x14ac:dyDescent="0.3">
      <c r="A156" s="759"/>
      <c r="B156" s="19" t="s">
        <v>71</v>
      </c>
      <c r="C156" s="11" t="s">
        <v>57</v>
      </c>
      <c r="D156" s="26">
        <f>Mangochi!P156</f>
        <v>163</v>
      </c>
      <c r="E156" s="26">
        <f>'Monkey Bay'!P156</f>
        <v>15</v>
      </c>
      <c r="F156" s="26">
        <f>Namwera!P156</f>
        <v>11</v>
      </c>
      <c r="G156" s="26">
        <f>Nkhudzi!P156</f>
        <v>11</v>
      </c>
      <c r="H156" s="74">
        <f t="shared" si="91"/>
        <v>189</v>
      </c>
    </row>
    <row r="157" spans="1:8" x14ac:dyDescent="0.3">
      <c r="A157" s="759"/>
      <c r="B157" s="19" t="s">
        <v>52</v>
      </c>
      <c r="C157" s="11" t="s">
        <v>57</v>
      </c>
      <c r="D157" s="26">
        <f>Mangochi!P157</f>
        <v>64</v>
      </c>
      <c r="E157" s="26">
        <f>'Monkey Bay'!P157</f>
        <v>17</v>
      </c>
      <c r="F157" s="26">
        <f>Namwera!P157</f>
        <v>10</v>
      </c>
      <c r="G157" s="26">
        <f>Nkhudzi!P157</f>
        <v>3</v>
      </c>
      <c r="H157" s="74">
        <f t="shared" si="91"/>
        <v>91</v>
      </c>
    </row>
    <row r="158" spans="1:8" x14ac:dyDescent="0.3">
      <c r="A158" s="759"/>
      <c r="B158" s="19" t="s">
        <v>51</v>
      </c>
      <c r="C158" s="11" t="s">
        <v>57</v>
      </c>
      <c r="D158" s="26">
        <f>Mangochi!P158</f>
        <v>73</v>
      </c>
      <c r="E158" s="26">
        <f>'Monkey Bay'!P158</f>
        <v>28</v>
      </c>
      <c r="F158" s="26">
        <f>Namwera!P158</f>
        <v>30</v>
      </c>
      <c r="G158" s="26">
        <f>Nkhudzi!P158</f>
        <v>1</v>
      </c>
      <c r="H158" s="74">
        <f t="shared" si="91"/>
        <v>131</v>
      </c>
    </row>
    <row r="159" spans="1:8" x14ac:dyDescent="0.3">
      <c r="A159" s="759"/>
      <c r="B159" s="19" t="s">
        <v>62</v>
      </c>
      <c r="C159" s="11" t="s">
        <v>57</v>
      </c>
      <c r="D159" s="26">
        <f>Mangochi!P159</f>
        <v>5</v>
      </c>
      <c r="E159" s="26">
        <f>'Monkey Bay'!P159</f>
        <v>1</v>
      </c>
      <c r="F159" s="26">
        <f>Namwera!P159</f>
        <v>6</v>
      </c>
      <c r="G159" s="26">
        <f>Nkhudzi!P159</f>
        <v>0</v>
      </c>
      <c r="H159" s="74">
        <f t="shared" si="91"/>
        <v>12</v>
      </c>
    </row>
    <row r="160" spans="1:8" x14ac:dyDescent="0.3">
      <c r="A160" s="759"/>
      <c r="B160" s="19" t="s">
        <v>50</v>
      </c>
      <c r="C160" s="11" t="s">
        <v>57</v>
      </c>
      <c r="D160" s="26">
        <f>Mangochi!P160</f>
        <v>11</v>
      </c>
      <c r="E160" s="26">
        <f>'Monkey Bay'!P160</f>
        <v>8</v>
      </c>
      <c r="F160" s="26">
        <f>Namwera!P160</f>
        <v>6</v>
      </c>
      <c r="G160" s="26">
        <f>Nkhudzi!P160</f>
        <v>0</v>
      </c>
      <c r="H160" s="74">
        <f t="shared" si="91"/>
        <v>25</v>
      </c>
    </row>
    <row r="161" spans="1:8" x14ac:dyDescent="0.3">
      <c r="A161" s="759"/>
      <c r="B161" s="19" t="s">
        <v>49</v>
      </c>
      <c r="C161" s="11" t="s">
        <v>57</v>
      </c>
      <c r="D161" s="26">
        <f>Mangochi!P161</f>
        <v>22</v>
      </c>
      <c r="E161" s="26">
        <f>'Monkey Bay'!P161</f>
        <v>12</v>
      </c>
      <c r="F161" s="26">
        <f>Namwera!P161</f>
        <v>3</v>
      </c>
      <c r="G161" s="26">
        <f>Nkhudzi!P161</f>
        <v>2</v>
      </c>
      <c r="H161" s="74">
        <f t="shared" si="91"/>
        <v>37</v>
      </c>
    </row>
    <row r="162" spans="1:8" x14ac:dyDescent="0.3">
      <c r="A162" s="759"/>
      <c r="B162" s="19" t="s">
        <v>77</v>
      </c>
      <c r="C162" s="11" t="s">
        <v>57</v>
      </c>
      <c r="D162" s="26">
        <f>Mangochi!P162</f>
        <v>12</v>
      </c>
      <c r="E162" s="26">
        <f>'Monkey Bay'!P162</f>
        <v>0</v>
      </c>
      <c r="F162" s="26">
        <f>Namwera!P162</f>
        <v>0</v>
      </c>
      <c r="G162" s="26">
        <f>Nkhudzi!P162</f>
        <v>0</v>
      </c>
      <c r="H162" s="74">
        <f t="shared" si="91"/>
        <v>12</v>
      </c>
    </row>
    <row r="163" spans="1:8" x14ac:dyDescent="0.3">
      <c r="A163" s="759"/>
      <c r="B163" s="19" t="s">
        <v>69</v>
      </c>
      <c r="C163" s="11" t="s">
        <v>57</v>
      </c>
      <c r="D163" s="26">
        <f>Mangochi!P163</f>
        <v>2</v>
      </c>
      <c r="E163" s="26">
        <f>'Monkey Bay'!P163</f>
        <v>0</v>
      </c>
      <c r="F163" s="26">
        <f>Namwera!P163</f>
        <v>0</v>
      </c>
      <c r="G163" s="26">
        <f>Nkhudzi!P163</f>
        <v>0</v>
      </c>
      <c r="H163" s="74">
        <f t="shared" si="91"/>
        <v>2</v>
      </c>
    </row>
    <row r="164" spans="1:8" x14ac:dyDescent="0.3">
      <c r="A164" s="759"/>
      <c r="B164" s="19" t="s">
        <v>68</v>
      </c>
      <c r="C164" s="11" t="s">
        <v>57</v>
      </c>
      <c r="D164" s="26">
        <f>Mangochi!P164</f>
        <v>0</v>
      </c>
      <c r="E164" s="26">
        <f>'Monkey Bay'!P164</f>
        <v>0</v>
      </c>
      <c r="F164" s="26">
        <f>Namwera!P164</f>
        <v>0</v>
      </c>
      <c r="G164" s="26">
        <f>Nkhudzi!P164</f>
        <v>11</v>
      </c>
      <c r="H164" s="74">
        <f t="shared" si="91"/>
        <v>0</v>
      </c>
    </row>
    <row r="165" spans="1:8" x14ac:dyDescent="0.3">
      <c r="A165" s="760"/>
      <c r="B165" s="19" t="s">
        <v>76</v>
      </c>
      <c r="C165" s="11" t="s">
        <v>57</v>
      </c>
      <c r="D165" s="26">
        <f>Mangochi!P165</f>
        <v>0</v>
      </c>
      <c r="E165" s="26">
        <f>'Monkey Bay'!P165</f>
        <v>0</v>
      </c>
      <c r="F165" s="26">
        <f>Namwera!P165</f>
        <v>0</v>
      </c>
      <c r="G165" s="26">
        <f>Nkhudzi!P165</f>
        <v>2</v>
      </c>
      <c r="H165" s="74">
        <f t="shared" si="91"/>
        <v>0</v>
      </c>
    </row>
    <row r="166" spans="1:8" x14ac:dyDescent="0.3">
      <c r="A166" s="758" t="s">
        <v>75</v>
      </c>
      <c r="B166" s="21" t="s">
        <v>63</v>
      </c>
      <c r="C166" s="11"/>
      <c r="D166" s="4"/>
      <c r="E166" s="4"/>
      <c r="F166" s="4"/>
      <c r="G166" s="4">
        <f>Nkhudzi!P166</f>
        <v>0</v>
      </c>
      <c r="H166" s="74"/>
    </row>
    <row r="167" spans="1:8" x14ac:dyDescent="0.3">
      <c r="A167" s="759"/>
      <c r="B167" s="19" t="s">
        <v>74</v>
      </c>
      <c r="C167" s="11" t="s">
        <v>57</v>
      </c>
      <c r="D167" s="26">
        <f>Mangochi!P167</f>
        <v>32</v>
      </c>
      <c r="E167" s="26">
        <f>'Monkey Bay'!P167</f>
        <v>28</v>
      </c>
      <c r="F167" s="26">
        <f>Namwera!P167</f>
        <v>5</v>
      </c>
      <c r="G167" s="26">
        <f>Nkhudzi!P167</f>
        <v>0</v>
      </c>
      <c r="H167" s="74">
        <f t="shared" ref="H167:H175" si="92">SUM(D167:F167)</f>
        <v>65</v>
      </c>
    </row>
    <row r="168" spans="1:8" x14ac:dyDescent="0.3">
      <c r="A168" s="759"/>
      <c r="B168" s="19" t="s">
        <v>73</v>
      </c>
      <c r="C168" s="11" t="s">
        <v>57</v>
      </c>
      <c r="D168" s="26">
        <f>Mangochi!P168</f>
        <v>25</v>
      </c>
      <c r="E168" s="26">
        <f>'Monkey Bay'!P168</f>
        <v>14</v>
      </c>
      <c r="F168" s="26">
        <f>Namwera!P168</f>
        <v>0</v>
      </c>
      <c r="G168" s="26">
        <f>Nkhudzi!P168</f>
        <v>0</v>
      </c>
      <c r="H168" s="74">
        <f t="shared" si="92"/>
        <v>39</v>
      </c>
    </row>
    <row r="169" spans="1:8" x14ac:dyDescent="0.3">
      <c r="A169" s="759"/>
      <c r="B169" s="19" t="s">
        <v>72</v>
      </c>
      <c r="C169" s="11" t="s">
        <v>57</v>
      </c>
      <c r="D169" s="26">
        <f>Mangochi!P169</f>
        <v>7</v>
      </c>
      <c r="E169" s="26">
        <f>'Monkey Bay'!P169</f>
        <v>2</v>
      </c>
      <c r="F169" s="26">
        <f>Namwera!P169</f>
        <v>0</v>
      </c>
      <c r="G169" s="26">
        <f>Nkhudzi!P169</f>
        <v>0</v>
      </c>
      <c r="H169" s="74">
        <f t="shared" si="92"/>
        <v>9</v>
      </c>
    </row>
    <row r="170" spans="1:8" x14ac:dyDescent="0.3">
      <c r="A170" s="759"/>
      <c r="B170" s="19" t="s">
        <v>71</v>
      </c>
      <c r="C170" s="11" t="s">
        <v>57</v>
      </c>
      <c r="D170" s="26">
        <f>Mangochi!P170</f>
        <v>0</v>
      </c>
      <c r="E170" s="26">
        <f>'Monkey Bay'!P170</f>
        <v>0</v>
      </c>
      <c r="F170" s="26">
        <f>Namwera!P170</f>
        <v>0</v>
      </c>
      <c r="G170" s="26">
        <f>Nkhudzi!P170</f>
        <v>0</v>
      </c>
      <c r="H170" s="74">
        <f t="shared" si="92"/>
        <v>0</v>
      </c>
    </row>
    <row r="171" spans="1:8" x14ac:dyDescent="0.3">
      <c r="A171" s="759"/>
      <c r="B171" s="19" t="s">
        <v>52</v>
      </c>
      <c r="C171" s="11" t="s">
        <v>57</v>
      </c>
      <c r="D171" s="26">
        <f>Mangochi!P171</f>
        <v>0</v>
      </c>
      <c r="E171" s="26">
        <f>'Monkey Bay'!P171</f>
        <v>0</v>
      </c>
      <c r="F171" s="26">
        <f>Namwera!P171</f>
        <v>0</v>
      </c>
      <c r="G171" s="26">
        <f>Nkhudzi!P171</f>
        <v>0</v>
      </c>
      <c r="H171" s="74">
        <f t="shared" si="92"/>
        <v>0</v>
      </c>
    </row>
    <row r="172" spans="1:8" x14ac:dyDescent="0.3">
      <c r="A172" s="759"/>
      <c r="B172" s="19" t="s">
        <v>62</v>
      </c>
      <c r="C172" s="11" t="s">
        <v>57</v>
      </c>
      <c r="D172" s="26">
        <f>Mangochi!P172</f>
        <v>0</v>
      </c>
      <c r="E172" s="26">
        <f>'Monkey Bay'!P172</f>
        <v>0</v>
      </c>
      <c r="F172" s="26">
        <f>Namwera!P172</f>
        <v>0</v>
      </c>
      <c r="G172" s="26">
        <f>Nkhudzi!P172</f>
        <v>0</v>
      </c>
      <c r="H172" s="74">
        <f t="shared" si="92"/>
        <v>0</v>
      </c>
    </row>
    <row r="173" spans="1:8" x14ac:dyDescent="0.3">
      <c r="A173" s="759"/>
      <c r="B173" s="19" t="s">
        <v>61</v>
      </c>
      <c r="C173" s="11" t="s">
        <v>57</v>
      </c>
      <c r="D173" s="26">
        <f>Mangochi!P173</f>
        <v>0</v>
      </c>
      <c r="E173" s="26">
        <f>'Monkey Bay'!P173</f>
        <v>0</v>
      </c>
      <c r="F173" s="26">
        <f>Namwera!P173</f>
        <v>0</v>
      </c>
      <c r="G173" s="26">
        <f>Nkhudzi!P173</f>
        <v>0</v>
      </c>
      <c r="H173" s="74">
        <f t="shared" si="92"/>
        <v>0</v>
      </c>
    </row>
    <row r="174" spans="1:8" x14ac:dyDescent="0.3">
      <c r="A174" s="759"/>
      <c r="B174" s="19" t="s">
        <v>60</v>
      </c>
      <c r="C174" s="11" t="s">
        <v>57</v>
      </c>
      <c r="D174" s="26">
        <f>Mangochi!P174</f>
        <v>0</v>
      </c>
      <c r="E174" s="26">
        <f>'Monkey Bay'!P174</f>
        <v>0</v>
      </c>
      <c r="F174" s="26">
        <f>Namwera!P174</f>
        <v>0</v>
      </c>
      <c r="G174" s="26">
        <f>Nkhudzi!P174</f>
        <v>0</v>
      </c>
      <c r="H174" s="74">
        <f t="shared" si="92"/>
        <v>0</v>
      </c>
    </row>
    <row r="175" spans="1:8" x14ac:dyDescent="0.3">
      <c r="A175" s="760"/>
      <c r="B175" s="19" t="s">
        <v>69</v>
      </c>
      <c r="C175" s="11" t="s">
        <v>57</v>
      </c>
      <c r="D175" s="26">
        <f>Mangochi!P175</f>
        <v>1</v>
      </c>
      <c r="E175" s="26">
        <f>'Monkey Bay'!P175</f>
        <v>0</v>
      </c>
      <c r="F175" s="26">
        <f>Namwera!P175</f>
        <v>0</v>
      </c>
      <c r="G175" s="26">
        <f>Nkhudzi!P175</f>
        <v>0</v>
      </c>
      <c r="H175" s="74">
        <f t="shared" si="92"/>
        <v>1</v>
      </c>
    </row>
    <row r="176" spans="1:8" x14ac:dyDescent="0.3">
      <c r="A176" s="758" t="s">
        <v>70</v>
      </c>
      <c r="B176" s="21" t="s">
        <v>63</v>
      </c>
      <c r="C176" s="11"/>
      <c r="D176" s="4"/>
      <c r="E176" s="4"/>
      <c r="F176" s="4"/>
      <c r="G176" s="4">
        <f>Nkhudzi!P176</f>
        <v>0</v>
      </c>
      <c r="H176" s="74"/>
    </row>
    <row r="177" spans="1:8" x14ac:dyDescent="0.3">
      <c r="A177" s="759"/>
      <c r="B177" s="19" t="s">
        <v>60</v>
      </c>
      <c r="C177" s="11" t="s">
        <v>57</v>
      </c>
      <c r="D177" s="26">
        <f>Mangochi!P177</f>
        <v>0</v>
      </c>
      <c r="E177" s="26">
        <f>'Monkey Bay'!P177</f>
        <v>0</v>
      </c>
      <c r="F177" s="26">
        <f>Namwera!P177</f>
        <v>0</v>
      </c>
      <c r="G177" s="26">
        <f>Nkhudzi!P177</f>
        <v>0</v>
      </c>
      <c r="H177" s="74">
        <f t="shared" ref="H177:H182" si="93">SUM(D177:F177)</f>
        <v>0</v>
      </c>
    </row>
    <row r="178" spans="1:8" x14ac:dyDescent="0.3">
      <c r="A178" s="759"/>
      <c r="B178" s="19" t="s">
        <v>69</v>
      </c>
      <c r="C178" s="11" t="s">
        <v>57</v>
      </c>
      <c r="D178" s="26">
        <f>Mangochi!P178</f>
        <v>0</v>
      </c>
      <c r="E178" s="26">
        <f>'Monkey Bay'!P178</f>
        <v>0</v>
      </c>
      <c r="F178" s="26">
        <f>Namwera!P178</f>
        <v>0</v>
      </c>
      <c r="G178" s="26">
        <f>Nkhudzi!P178</f>
        <v>0</v>
      </c>
      <c r="H178" s="74">
        <f t="shared" si="93"/>
        <v>0</v>
      </c>
    </row>
    <row r="179" spans="1:8" x14ac:dyDescent="0.3">
      <c r="A179" s="759"/>
      <c r="B179" s="19" t="s">
        <v>68</v>
      </c>
      <c r="C179" s="11" t="s">
        <v>57</v>
      </c>
      <c r="D179" s="26">
        <f>Mangochi!P179</f>
        <v>0</v>
      </c>
      <c r="E179" s="26">
        <f>'Monkey Bay'!P179</f>
        <v>0</v>
      </c>
      <c r="F179" s="26">
        <f>Namwera!P179</f>
        <v>0</v>
      </c>
      <c r="G179" s="26">
        <f>Nkhudzi!P179</f>
        <v>0</v>
      </c>
      <c r="H179" s="74">
        <f t="shared" si="93"/>
        <v>0</v>
      </c>
    </row>
    <row r="180" spans="1:8" x14ac:dyDescent="0.3">
      <c r="A180" s="759"/>
      <c r="B180" s="19" t="s">
        <v>67</v>
      </c>
      <c r="C180" s="11" t="s">
        <v>57</v>
      </c>
      <c r="D180" s="26">
        <f>Mangochi!P180</f>
        <v>0</v>
      </c>
      <c r="E180" s="26">
        <f>'Monkey Bay'!P180</f>
        <v>0</v>
      </c>
      <c r="F180" s="26">
        <f>Namwera!P180</f>
        <v>0</v>
      </c>
      <c r="G180" s="26">
        <f>Nkhudzi!P180</f>
        <v>0</v>
      </c>
      <c r="H180" s="74">
        <f t="shared" si="93"/>
        <v>0</v>
      </c>
    </row>
    <row r="181" spans="1:8" x14ac:dyDescent="0.3">
      <c r="A181" s="759"/>
      <c r="B181" s="19" t="s">
        <v>66</v>
      </c>
      <c r="C181" s="11" t="s">
        <v>57</v>
      </c>
      <c r="D181" s="26">
        <f>Mangochi!P181</f>
        <v>0</v>
      </c>
      <c r="E181" s="26">
        <f>'Monkey Bay'!P181</f>
        <v>0</v>
      </c>
      <c r="F181" s="26">
        <f>Namwera!P181</f>
        <v>0</v>
      </c>
      <c r="G181" s="26">
        <f>Nkhudzi!P181</f>
        <v>0</v>
      </c>
      <c r="H181" s="74">
        <f t="shared" si="93"/>
        <v>0</v>
      </c>
    </row>
    <row r="182" spans="1:8" x14ac:dyDescent="0.3">
      <c r="A182" s="760"/>
      <c r="B182" s="19" t="s">
        <v>65</v>
      </c>
      <c r="C182" s="11" t="s">
        <v>57</v>
      </c>
      <c r="D182" s="26">
        <f>Mangochi!P182</f>
        <v>0</v>
      </c>
      <c r="E182" s="26">
        <f>'Monkey Bay'!P182</f>
        <v>0</v>
      </c>
      <c r="F182" s="26">
        <f>Namwera!P182</f>
        <v>0</v>
      </c>
      <c r="G182" s="26">
        <f>Nkhudzi!P182</f>
        <v>0</v>
      </c>
      <c r="H182" s="74">
        <f t="shared" si="93"/>
        <v>0</v>
      </c>
    </row>
    <row r="183" spans="1:8" x14ac:dyDescent="0.3">
      <c r="A183" s="758" t="s">
        <v>209</v>
      </c>
      <c r="B183" s="21" t="s">
        <v>63</v>
      </c>
      <c r="C183" s="11"/>
      <c r="D183" s="4"/>
      <c r="E183" s="4"/>
      <c r="F183" s="4"/>
      <c r="G183" s="4"/>
      <c r="H183" s="74"/>
    </row>
    <row r="184" spans="1:8" x14ac:dyDescent="0.3">
      <c r="A184" s="759"/>
      <c r="B184" s="19" t="s">
        <v>73</v>
      </c>
      <c r="C184" s="11" t="s">
        <v>57</v>
      </c>
      <c r="D184" s="26">
        <f>Mangochi!P184</f>
        <v>0</v>
      </c>
      <c r="E184" s="26">
        <f>'Monkey Bay'!P184</f>
        <v>0</v>
      </c>
      <c r="F184" s="26">
        <f>Namwera!P184</f>
        <v>0</v>
      </c>
      <c r="G184" s="26">
        <f>Nkhudzi!P184</f>
        <v>0</v>
      </c>
      <c r="H184" s="74">
        <f>SUM(D184:F184)</f>
        <v>0</v>
      </c>
    </row>
    <row r="185" spans="1:8" x14ac:dyDescent="0.3">
      <c r="A185" s="759"/>
      <c r="B185" s="19" t="s">
        <v>72</v>
      </c>
      <c r="C185" s="11" t="s">
        <v>57</v>
      </c>
      <c r="D185" s="26">
        <f>Mangochi!P185</f>
        <v>0</v>
      </c>
      <c r="E185" s="26">
        <f>'Monkey Bay'!P185</f>
        <v>0</v>
      </c>
      <c r="F185" s="26">
        <f>Namwera!P185</f>
        <v>0</v>
      </c>
      <c r="G185" s="26">
        <f>Nkhudzi!P185</f>
        <v>0</v>
      </c>
      <c r="H185" s="74">
        <f>SUM(D185:F185)</f>
        <v>0</v>
      </c>
    </row>
    <row r="186" spans="1:8" x14ac:dyDescent="0.3">
      <c r="A186" s="759"/>
      <c r="B186" s="19" t="s">
        <v>53</v>
      </c>
      <c r="C186" s="11" t="s">
        <v>57</v>
      </c>
      <c r="D186" s="26">
        <f>Mangochi!P186</f>
        <v>0</v>
      </c>
      <c r="E186" s="26">
        <f>'Monkey Bay'!P186</f>
        <v>0</v>
      </c>
      <c r="F186" s="26">
        <f>Namwera!P186</f>
        <v>0</v>
      </c>
      <c r="G186" s="26">
        <f>Nkhudzi!P186</f>
        <v>0</v>
      </c>
      <c r="H186" s="74">
        <f>SUM(D186:F186)</f>
        <v>0</v>
      </c>
    </row>
    <row r="187" spans="1:8" x14ac:dyDescent="0.3">
      <c r="A187" s="760"/>
      <c r="B187" s="19" t="s">
        <v>52</v>
      </c>
      <c r="C187" s="11" t="s">
        <v>57</v>
      </c>
      <c r="D187" s="26">
        <f>Mangochi!P187</f>
        <v>0</v>
      </c>
      <c r="E187" s="26">
        <f>'Monkey Bay'!P187</f>
        <v>0</v>
      </c>
      <c r="F187" s="26">
        <f>Namwera!P187</f>
        <v>0</v>
      </c>
      <c r="G187" s="26">
        <f>Nkhudzi!P187</f>
        <v>0</v>
      </c>
      <c r="H187" s="74">
        <f>SUM(D187:F187)</f>
        <v>0</v>
      </c>
    </row>
    <row r="188" spans="1:8" x14ac:dyDescent="0.3">
      <c r="A188" s="758" t="s">
        <v>64</v>
      </c>
      <c r="B188" s="21" t="s">
        <v>63</v>
      </c>
      <c r="C188" s="11"/>
      <c r="D188" s="4"/>
      <c r="E188" s="4"/>
      <c r="F188" s="4"/>
      <c r="G188" s="4"/>
      <c r="H188" s="74"/>
    </row>
    <row r="189" spans="1:8" x14ac:dyDescent="0.3">
      <c r="A189" s="759"/>
      <c r="B189" s="20" t="s">
        <v>52</v>
      </c>
      <c r="C189" s="11" t="s">
        <v>57</v>
      </c>
      <c r="D189" s="26">
        <f>Mangochi!P189</f>
        <v>0</v>
      </c>
      <c r="E189" s="26">
        <f>'Monkey Bay'!P189</f>
        <v>0</v>
      </c>
      <c r="F189" s="26">
        <f>Namwera!P189</f>
        <v>0</v>
      </c>
      <c r="G189" s="26">
        <f>Nkhudzi!P189</f>
        <v>0</v>
      </c>
      <c r="H189" s="74">
        <f>SUM(D189:F189)</f>
        <v>0</v>
      </c>
    </row>
    <row r="190" spans="1:8" x14ac:dyDescent="0.3">
      <c r="A190" s="759"/>
      <c r="B190" s="19" t="s">
        <v>62</v>
      </c>
      <c r="C190" s="11" t="s">
        <v>57</v>
      </c>
      <c r="D190" s="26">
        <f>Mangochi!P190</f>
        <v>1</v>
      </c>
      <c r="E190" s="26">
        <f>'Monkey Bay'!P190</f>
        <v>0</v>
      </c>
      <c r="F190" s="26">
        <f>Namwera!P190</f>
        <v>0</v>
      </c>
      <c r="G190" s="26">
        <f>Nkhudzi!P190</f>
        <v>0</v>
      </c>
      <c r="H190" s="74">
        <f>SUM(D190:F190)</f>
        <v>1</v>
      </c>
    </row>
    <row r="191" spans="1:8" x14ac:dyDescent="0.3">
      <c r="A191" s="759"/>
      <c r="B191" s="19" t="s">
        <v>61</v>
      </c>
      <c r="C191" s="11" t="s">
        <v>57</v>
      </c>
      <c r="D191" s="26">
        <f>Mangochi!P191</f>
        <v>7</v>
      </c>
      <c r="E191" s="26">
        <f>'Monkey Bay'!P191</f>
        <v>0</v>
      </c>
      <c r="F191" s="26">
        <f>Namwera!P191</f>
        <v>0</v>
      </c>
      <c r="G191" s="26">
        <f>Nkhudzi!P191</f>
        <v>0</v>
      </c>
      <c r="H191" s="74">
        <f>SUM(D191:F191)</f>
        <v>7</v>
      </c>
    </row>
    <row r="192" spans="1:8" x14ac:dyDescent="0.3">
      <c r="A192" s="760"/>
      <c r="B192" s="19" t="s">
        <v>60</v>
      </c>
      <c r="C192" s="11" t="s">
        <v>57</v>
      </c>
      <c r="D192" s="26">
        <f>Mangochi!P192</f>
        <v>2</v>
      </c>
      <c r="E192" s="26">
        <f>'Monkey Bay'!P192</f>
        <v>0</v>
      </c>
      <c r="F192" s="26">
        <f>Namwera!P192</f>
        <v>0</v>
      </c>
      <c r="G192" s="26">
        <f>Nkhudzi!P192</f>
        <v>0</v>
      </c>
      <c r="H192" s="74">
        <f>SUM(D192:F192)</f>
        <v>2</v>
      </c>
    </row>
    <row r="193" spans="1:8" x14ac:dyDescent="0.3">
      <c r="A193" s="791" t="s">
        <v>59</v>
      </c>
      <c r="B193" s="792"/>
      <c r="C193" s="11"/>
      <c r="D193" s="10">
        <f>SUM(D153:D192)</f>
        <v>2141</v>
      </c>
      <c r="E193" s="10">
        <f t="shared" ref="E193:F193" si="94">SUM(E153:E192)</f>
        <v>577</v>
      </c>
      <c r="F193" s="10">
        <f t="shared" si="94"/>
        <v>477</v>
      </c>
      <c r="G193" s="10">
        <f t="shared" ref="G193" si="95">SUM(G153:G192)</f>
        <v>99</v>
      </c>
      <c r="H193" s="103">
        <f t="shared" ref="H193" si="96">SUM(H153:H192)</f>
        <v>3195</v>
      </c>
    </row>
    <row r="194" spans="1:8" x14ac:dyDescent="0.3">
      <c r="A194" s="764" t="s">
        <v>58</v>
      </c>
      <c r="B194" s="765"/>
      <c r="C194" s="11" t="s">
        <v>57</v>
      </c>
      <c r="D194" s="26">
        <f>Mangochi!P194</f>
        <v>34</v>
      </c>
      <c r="E194" s="26">
        <f>'Monkey Bay'!P194</f>
        <v>24</v>
      </c>
      <c r="F194" s="26">
        <f>Namwera!P194</f>
        <v>30</v>
      </c>
      <c r="G194" s="26">
        <f>Nkhudzi!P194</f>
        <v>10</v>
      </c>
      <c r="H194" s="39">
        <f>SUM(D194:F194)</f>
        <v>88</v>
      </c>
    </row>
    <row r="195" spans="1:8" x14ac:dyDescent="0.3">
      <c r="A195" s="766"/>
      <c r="B195" s="767"/>
      <c r="C195" s="16" t="s">
        <v>55</v>
      </c>
      <c r="D195" s="26">
        <f>Mangochi!P195</f>
        <v>0</v>
      </c>
      <c r="E195" s="26">
        <f>'Monkey Bay'!P195</f>
        <v>0</v>
      </c>
      <c r="F195" s="26">
        <f>Namwera!P195</f>
        <v>0</v>
      </c>
      <c r="G195" s="26">
        <f>Nkhudzi!P195</f>
        <v>175.91</v>
      </c>
      <c r="H195" s="39">
        <f>SUM(D195:F195)</f>
        <v>0</v>
      </c>
    </row>
    <row r="196" spans="1:8" x14ac:dyDescent="0.3">
      <c r="A196" s="203" t="s">
        <v>202</v>
      </c>
      <c r="B196" s="204"/>
      <c r="C196" s="16" t="s">
        <v>55</v>
      </c>
      <c r="D196" s="26">
        <f>Mangochi!P196</f>
        <v>619.47916666666663</v>
      </c>
      <c r="E196" s="26">
        <f>'Monkey Bay'!P196</f>
        <v>538.08333333333337</v>
      </c>
      <c r="F196" s="26">
        <f>Namwera!P196</f>
        <v>570</v>
      </c>
      <c r="G196" s="26">
        <f>Nkhudzi!P196</f>
        <v>114.76083333333334</v>
      </c>
      <c r="H196" s="39">
        <f>SUM(D196:F196)</f>
        <v>1727.5625</v>
      </c>
    </row>
    <row r="197" spans="1:8" x14ac:dyDescent="0.3">
      <c r="A197" s="695" t="s">
        <v>56</v>
      </c>
      <c r="B197" s="696"/>
      <c r="C197" s="16" t="s">
        <v>55</v>
      </c>
      <c r="D197" s="26">
        <f>Mangochi!P197</f>
        <v>613.25</v>
      </c>
      <c r="E197" s="26">
        <f>'Monkey Bay'!P197</f>
        <v>2225</v>
      </c>
      <c r="F197" s="26">
        <f>Namwera!P197</f>
        <v>1833</v>
      </c>
      <c r="G197" s="26">
        <f>Nkhudzi!P197</f>
        <v>58.08</v>
      </c>
      <c r="H197" s="39">
        <f>SUM(D197:F197)</f>
        <v>4671.25</v>
      </c>
    </row>
    <row r="198" spans="1:8" ht="14.4" x14ac:dyDescent="0.3">
      <c r="A198" s="699" t="s">
        <v>203</v>
      </c>
      <c r="B198" s="700"/>
      <c r="C198" s="700"/>
      <c r="D198" s="700"/>
      <c r="E198" s="700"/>
      <c r="F198" s="700"/>
      <c r="G198" s="700"/>
      <c r="H198" s="701"/>
    </row>
    <row r="199" spans="1:8" x14ac:dyDescent="0.3">
      <c r="A199" s="764" t="s">
        <v>54</v>
      </c>
      <c r="B199" s="200" t="s">
        <v>53</v>
      </c>
      <c r="C199" s="11" t="s">
        <v>47</v>
      </c>
      <c r="D199" s="26">
        <f>Mangochi!P199</f>
        <v>500</v>
      </c>
      <c r="E199" s="26">
        <f>'Monkey Bay'!P199</f>
        <v>0</v>
      </c>
      <c r="F199" s="26">
        <f>Namwera!P199</f>
        <v>0</v>
      </c>
      <c r="G199" s="26">
        <f>Nkhudzi!P199</f>
        <v>1080</v>
      </c>
      <c r="H199" s="39">
        <f t="shared" ref="H199:H204" si="97">SUM(D199:F199)</f>
        <v>500</v>
      </c>
    </row>
    <row r="200" spans="1:8" x14ac:dyDescent="0.3">
      <c r="A200" s="768"/>
      <c r="B200" s="200" t="s">
        <v>52</v>
      </c>
      <c r="C200" s="11" t="s">
        <v>47</v>
      </c>
      <c r="D200" s="26">
        <f>Mangochi!P200</f>
        <v>830</v>
      </c>
      <c r="E200" s="26">
        <f>'Monkey Bay'!P200</f>
        <v>330</v>
      </c>
      <c r="F200" s="26">
        <f>Namwera!P200</f>
        <v>0</v>
      </c>
      <c r="G200" s="26">
        <f>Nkhudzi!P200</f>
        <v>522</v>
      </c>
      <c r="H200" s="39">
        <f t="shared" si="97"/>
        <v>1160</v>
      </c>
    </row>
    <row r="201" spans="1:8" x14ac:dyDescent="0.3">
      <c r="A201" s="768"/>
      <c r="B201" s="200" t="s">
        <v>51</v>
      </c>
      <c r="C201" s="11" t="s">
        <v>47</v>
      </c>
      <c r="D201" s="26">
        <f>Mangochi!P201</f>
        <v>330</v>
      </c>
      <c r="E201" s="26">
        <f>'Monkey Bay'!P201</f>
        <v>240</v>
      </c>
      <c r="F201" s="26">
        <f>Namwera!P201</f>
        <v>0</v>
      </c>
      <c r="G201" s="26">
        <f>Nkhudzi!P201</f>
        <v>0</v>
      </c>
      <c r="H201" s="39">
        <f t="shared" si="97"/>
        <v>570</v>
      </c>
    </row>
    <row r="202" spans="1:8" x14ac:dyDescent="0.3">
      <c r="A202" s="768"/>
      <c r="B202" s="200" t="s">
        <v>50</v>
      </c>
      <c r="C202" s="11" t="s">
        <v>47</v>
      </c>
      <c r="D202" s="26">
        <f>Mangochi!P202</f>
        <v>0</v>
      </c>
      <c r="E202" s="26">
        <f>'Monkey Bay'!P202</f>
        <v>126</v>
      </c>
      <c r="F202" s="26">
        <f>Namwera!P202</f>
        <v>0</v>
      </c>
      <c r="G202" s="26">
        <f>Nkhudzi!P202</f>
        <v>0</v>
      </c>
      <c r="H202" s="39">
        <f t="shared" si="97"/>
        <v>126</v>
      </c>
    </row>
    <row r="203" spans="1:8" x14ac:dyDescent="0.3">
      <c r="A203" s="766"/>
      <c r="B203" s="200" t="s">
        <v>49</v>
      </c>
      <c r="C203" s="11" t="s">
        <v>47</v>
      </c>
      <c r="D203" s="26">
        <f>Mangochi!P203</f>
        <v>320</v>
      </c>
      <c r="E203" s="26">
        <f>'Monkey Bay'!P203</f>
        <v>240</v>
      </c>
      <c r="F203" s="26">
        <f>Namwera!P203</f>
        <v>0</v>
      </c>
      <c r="G203" s="26">
        <f>Nkhudzi!P203</f>
        <v>4152</v>
      </c>
      <c r="H203" s="39">
        <f t="shared" si="97"/>
        <v>560</v>
      </c>
    </row>
    <row r="204" spans="1:8" x14ac:dyDescent="0.3">
      <c r="A204" s="83" t="s">
        <v>48</v>
      </c>
      <c r="B204" s="200"/>
      <c r="C204" s="11" t="s">
        <v>47</v>
      </c>
      <c r="D204" s="15">
        <f t="shared" ref="D204:F204" si="98">SUM(D199:D203)</f>
        <v>1980</v>
      </c>
      <c r="E204" s="15">
        <f t="shared" si="98"/>
        <v>936</v>
      </c>
      <c r="F204" s="15">
        <f t="shared" si="98"/>
        <v>0</v>
      </c>
      <c r="G204" s="15">
        <f t="shared" ref="G204" si="99">SUM(G199:G203)</f>
        <v>5754</v>
      </c>
      <c r="H204" s="111">
        <f t="shared" si="97"/>
        <v>2916</v>
      </c>
    </row>
    <row r="205" spans="1:8" s="2" customFormat="1" ht="14.4" x14ac:dyDescent="0.3">
      <c r="A205" s="699" t="s">
        <v>46</v>
      </c>
      <c r="B205" s="700"/>
      <c r="C205" s="700"/>
      <c r="D205" s="700"/>
      <c r="E205" s="700"/>
      <c r="F205" s="700"/>
      <c r="G205" s="700"/>
      <c r="H205" s="701"/>
    </row>
    <row r="206" spans="1:8" x14ac:dyDescent="0.3">
      <c r="A206" s="695" t="s">
        <v>43</v>
      </c>
      <c r="B206" s="696"/>
      <c r="C206" s="11" t="s">
        <v>31</v>
      </c>
      <c r="D206" s="15">
        <f>Mangochi!P206</f>
        <v>454101775</v>
      </c>
      <c r="E206" s="15">
        <f>'Monkey Bay'!P206</f>
        <v>221603480.01999998</v>
      </c>
      <c r="F206" s="15">
        <f>Namwera!P206</f>
        <v>12770562.620000001</v>
      </c>
      <c r="G206" s="15">
        <f>Nkhudzi!P206</f>
        <v>0</v>
      </c>
      <c r="H206" s="39">
        <f>SUM(D206:F206)</f>
        <v>688475817.63999999</v>
      </c>
    </row>
    <row r="207" spans="1:8" x14ac:dyDescent="0.3">
      <c r="A207" s="695" t="s">
        <v>42</v>
      </c>
      <c r="B207" s="696"/>
      <c r="C207" s="11" t="s">
        <v>31</v>
      </c>
      <c r="D207" s="15">
        <f>Mangochi!P207</f>
        <v>0</v>
      </c>
      <c r="E207" s="15">
        <f>'Monkey Bay'!P207</f>
        <v>0</v>
      </c>
      <c r="F207" s="15">
        <f>Namwera!P207</f>
        <v>0</v>
      </c>
      <c r="G207" s="15">
        <f>Nkhudzi!P207</f>
        <v>0</v>
      </c>
      <c r="H207" s="39">
        <f>SUM(D207:F207)</f>
        <v>0</v>
      </c>
    </row>
    <row r="208" spans="1:8" x14ac:dyDescent="0.3">
      <c r="A208" s="702" t="s">
        <v>41</v>
      </c>
      <c r="B208" s="703"/>
      <c r="C208" s="11" t="s">
        <v>31</v>
      </c>
      <c r="D208" s="15">
        <f>Mangochi!P208</f>
        <v>3378484</v>
      </c>
      <c r="E208" s="15">
        <f>'Monkey Bay'!P208</f>
        <v>1325562</v>
      </c>
      <c r="F208" s="15">
        <f>Namwera!P208</f>
        <v>0</v>
      </c>
      <c r="G208" s="15">
        <f>Nkhudzi!P208</f>
        <v>0</v>
      </c>
      <c r="H208" s="39">
        <f>SUM(D208:F208)</f>
        <v>4704046</v>
      </c>
    </row>
    <row r="209" spans="1:8" x14ac:dyDescent="0.3">
      <c r="A209" s="695" t="s">
        <v>40</v>
      </c>
      <c r="B209" s="696"/>
      <c r="C209" s="11" t="s">
        <v>31</v>
      </c>
      <c r="D209" s="15">
        <f>Mangochi!P209</f>
        <v>6931989</v>
      </c>
      <c r="E209" s="15">
        <f>'Monkey Bay'!P209</f>
        <v>861907801.42000008</v>
      </c>
      <c r="F209" s="15">
        <f>Namwera!P209</f>
        <v>0</v>
      </c>
      <c r="G209" s="15">
        <f>Nkhudzi!P209</f>
        <v>0</v>
      </c>
      <c r="H209" s="39">
        <f>SUM(D209:F209)</f>
        <v>868839790.42000008</v>
      </c>
    </row>
    <row r="210" spans="1:8" x14ac:dyDescent="0.3">
      <c r="A210" s="762" t="s">
        <v>45</v>
      </c>
      <c r="B210" s="763"/>
      <c r="C210" s="11" t="s">
        <v>31</v>
      </c>
      <c r="D210" s="10">
        <f t="shared" ref="D210:F210" si="100">SUM(D206:D209)</f>
        <v>464412248</v>
      </c>
      <c r="E210" s="10">
        <f t="shared" si="100"/>
        <v>1084836843.4400001</v>
      </c>
      <c r="F210" s="10">
        <f t="shared" si="100"/>
        <v>12770562.620000001</v>
      </c>
      <c r="G210" s="10">
        <f t="shared" ref="G210" si="101">SUM(G206:G209)</f>
        <v>0</v>
      </c>
      <c r="H210" s="39">
        <f>SUM(D210:F210)</f>
        <v>1562019654.0599999</v>
      </c>
    </row>
    <row r="211" spans="1:8" s="2" customFormat="1" ht="14.4" x14ac:dyDescent="0.3">
      <c r="A211" s="699" t="s">
        <v>44</v>
      </c>
      <c r="B211" s="700"/>
      <c r="C211" s="700"/>
      <c r="D211" s="700"/>
      <c r="E211" s="700"/>
      <c r="F211" s="700"/>
      <c r="G211" s="700"/>
      <c r="H211" s="701"/>
    </row>
    <row r="212" spans="1:8" x14ac:dyDescent="0.3">
      <c r="A212" s="695" t="s">
        <v>43</v>
      </c>
      <c r="B212" s="696"/>
      <c r="C212" s="11" t="s">
        <v>31</v>
      </c>
      <c r="D212" s="15">
        <f>Mangochi!P212</f>
        <v>325760406.88</v>
      </c>
      <c r="E212" s="15">
        <f>'Monkey Bay'!P212</f>
        <v>189641923.06</v>
      </c>
      <c r="F212" s="15">
        <f>Namwera!P212</f>
        <v>21927883.650000002</v>
      </c>
      <c r="G212" s="15">
        <f>Nkhudzi!P212</f>
        <v>29970900.209999993</v>
      </c>
      <c r="H212" s="39">
        <f>SUM(D212:F212)</f>
        <v>537330213.59000003</v>
      </c>
    </row>
    <row r="213" spans="1:8" x14ac:dyDescent="0.3">
      <c r="A213" s="695" t="s">
        <v>42</v>
      </c>
      <c r="B213" s="696"/>
      <c r="C213" s="11" t="s">
        <v>31</v>
      </c>
      <c r="D213" s="15">
        <f>Mangochi!P213</f>
        <v>0</v>
      </c>
      <c r="E213" s="15">
        <f>'Monkey Bay'!P213</f>
        <v>0</v>
      </c>
      <c r="F213" s="15">
        <f>Namwera!P213</f>
        <v>0</v>
      </c>
      <c r="G213" s="15">
        <f>Nkhudzi!P213</f>
        <v>0</v>
      </c>
      <c r="H213" s="39">
        <f>SUM(D213:F213)</f>
        <v>0</v>
      </c>
    </row>
    <row r="214" spans="1:8" x14ac:dyDescent="0.3">
      <c r="A214" s="702" t="s">
        <v>41</v>
      </c>
      <c r="B214" s="703"/>
      <c r="C214" s="11" t="s">
        <v>31</v>
      </c>
      <c r="D214" s="15">
        <f>Mangochi!P214</f>
        <v>0</v>
      </c>
      <c r="E214" s="15">
        <f>'Monkey Bay'!P214</f>
        <v>0</v>
      </c>
      <c r="F214" s="15">
        <f>Namwera!P214</f>
        <v>0</v>
      </c>
      <c r="G214" s="15">
        <f>Nkhudzi!P214</f>
        <v>0</v>
      </c>
      <c r="H214" s="39">
        <f>SUM(D214:F214)</f>
        <v>0</v>
      </c>
    </row>
    <row r="215" spans="1:8" x14ac:dyDescent="0.3">
      <c r="A215" s="695" t="s">
        <v>40</v>
      </c>
      <c r="B215" s="696"/>
      <c r="C215" s="11" t="s">
        <v>31</v>
      </c>
      <c r="D215" s="15">
        <f>Mangochi!P215</f>
        <v>0</v>
      </c>
      <c r="E215" s="15">
        <f>'Monkey Bay'!P215</f>
        <v>0</v>
      </c>
      <c r="F215" s="15">
        <f>Namwera!P215</f>
        <v>0</v>
      </c>
      <c r="G215" s="15">
        <f>Nkhudzi!P215</f>
        <v>0</v>
      </c>
      <c r="H215" s="39">
        <f>SUM(D215:F215)</f>
        <v>0</v>
      </c>
    </row>
    <row r="216" spans="1:8" x14ac:dyDescent="0.3">
      <c r="A216" s="762" t="s">
        <v>39</v>
      </c>
      <c r="B216" s="763"/>
      <c r="C216" s="11" t="s">
        <v>31</v>
      </c>
      <c r="D216" s="10">
        <f t="shared" ref="D216:F216" si="102">SUM(D212:D215)</f>
        <v>325760406.88</v>
      </c>
      <c r="E216" s="10">
        <f t="shared" si="102"/>
        <v>189641923.06</v>
      </c>
      <c r="F216" s="10">
        <f t="shared" si="102"/>
        <v>21927883.650000002</v>
      </c>
      <c r="G216" s="10">
        <f t="shared" ref="G216" si="103">SUM(G212:G215)</f>
        <v>29970900.209999993</v>
      </c>
      <c r="H216" s="39">
        <f>SUM(D216:F216)</f>
        <v>537330213.59000003</v>
      </c>
    </row>
    <row r="217" spans="1:8" s="2" customFormat="1" x14ac:dyDescent="0.3">
      <c r="A217" s="205" t="s">
        <v>38</v>
      </c>
      <c r="B217" s="206"/>
      <c r="C217" s="11" t="s">
        <v>31</v>
      </c>
      <c r="D217" s="10">
        <f>D210+D216</f>
        <v>790172654.88</v>
      </c>
      <c r="E217" s="10">
        <f t="shared" ref="E217:F217" si="104">E210+E216</f>
        <v>1274478766.5</v>
      </c>
      <c r="F217" s="10">
        <f t="shared" si="104"/>
        <v>34698446.270000003</v>
      </c>
      <c r="G217" s="10">
        <f t="shared" ref="G217:H217" si="105">G210+G216</f>
        <v>29970900.209999993</v>
      </c>
      <c r="H217" s="40">
        <f t="shared" si="105"/>
        <v>2099349867.6500001</v>
      </c>
    </row>
    <row r="218" spans="1:8" s="2" customFormat="1" ht="14.4" x14ac:dyDescent="0.3">
      <c r="A218" s="699" t="s">
        <v>37</v>
      </c>
      <c r="B218" s="700"/>
      <c r="C218" s="700"/>
      <c r="D218" s="700"/>
      <c r="E218" s="700"/>
      <c r="F218" s="700"/>
      <c r="G218" s="700"/>
      <c r="H218" s="701"/>
    </row>
    <row r="219" spans="1:8" x14ac:dyDescent="0.3">
      <c r="A219" s="695" t="s">
        <v>35</v>
      </c>
      <c r="B219" s="696"/>
      <c r="C219" s="11" t="s">
        <v>31</v>
      </c>
      <c r="D219" s="15">
        <f>Mangochi!P219</f>
        <v>592597692.26999998</v>
      </c>
      <c r="E219" s="15">
        <f>'Monkey Bay'!P219</f>
        <v>196523906.5</v>
      </c>
      <c r="F219" s="15">
        <f>Namwera!P219</f>
        <v>17238157.210000001</v>
      </c>
      <c r="G219" s="15">
        <f>Nkhudzi!P219</f>
        <v>0</v>
      </c>
      <c r="H219" s="39">
        <f>SUM(D219:F219)</f>
        <v>806359755.98000002</v>
      </c>
    </row>
    <row r="220" spans="1:8" x14ac:dyDescent="0.3">
      <c r="A220" s="695" t="s">
        <v>34</v>
      </c>
      <c r="B220" s="696"/>
      <c r="C220" s="11" t="s">
        <v>31</v>
      </c>
      <c r="D220" s="15">
        <f>Mangochi!P220</f>
        <v>0</v>
      </c>
      <c r="E220" s="15">
        <f>'Monkey Bay'!P220</f>
        <v>0</v>
      </c>
      <c r="F220" s="15">
        <f>Namwera!P220</f>
        <v>24902</v>
      </c>
      <c r="G220" s="15">
        <f>Nkhudzi!P220</f>
        <v>0</v>
      </c>
      <c r="H220" s="39">
        <f>SUM(D220:F220)</f>
        <v>24902</v>
      </c>
    </row>
    <row r="221" spans="1:8" x14ac:dyDescent="0.3">
      <c r="A221" s="695" t="s">
        <v>33</v>
      </c>
      <c r="B221" s="696"/>
      <c r="C221" s="11" t="s">
        <v>31</v>
      </c>
      <c r="D221" s="15">
        <f>Mangochi!P221</f>
        <v>8614283.370000001</v>
      </c>
      <c r="E221" s="15">
        <f>'Monkey Bay'!P221</f>
        <v>778892307.24000001</v>
      </c>
      <c r="F221" s="15">
        <f>Namwera!P221</f>
        <v>274336.51</v>
      </c>
      <c r="G221" s="15">
        <f>Nkhudzi!P221</f>
        <v>0</v>
      </c>
      <c r="H221" s="39">
        <f>SUM(D221:F221)</f>
        <v>787780927.12</v>
      </c>
    </row>
    <row r="222" spans="1:8" x14ac:dyDescent="0.3">
      <c r="A222" s="695" t="s">
        <v>32</v>
      </c>
      <c r="B222" s="696"/>
      <c r="C222" s="11" t="s">
        <v>31</v>
      </c>
      <c r="D222" s="15">
        <f>Mangochi!P222</f>
        <v>3591507.21</v>
      </c>
      <c r="E222" s="15">
        <f>'Monkey Bay'!P222</f>
        <v>48714824.030000001</v>
      </c>
      <c r="F222" s="15">
        <f>Namwera!P222</f>
        <v>0</v>
      </c>
      <c r="G222" s="15">
        <f>Nkhudzi!P222</f>
        <v>0</v>
      </c>
      <c r="H222" s="39">
        <f>SUM(D222:F222)</f>
        <v>52306331.240000002</v>
      </c>
    </row>
    <row r="223" spans="1:8" x14ac:dyDescent="0.3">
      <c r="A223" s="762" t="s">
        <v>36</v>
      </c>
      <c r="B223" s="763"/>
      <c r="C223" s="11" t="s">
        <v>31</v>
      </c>
      <c r="D223" s="10">
        <f t="shared" ref="D223:F223" si="106">SUM(D219:D222)</f>
        <v>604803482.85000002</v>
      </c>
      <c r="E223" s="10">
        <f t="shared" si="106"/>
        <v>1024131037.77</v>
      </c>
      <c r="F223" s="10">
        <f t="shared" si="106"/>
        <v>17537395.720000003</v>
      </c>
      <c r="G223" s="10">
        <f t="shared" ref="G223" si="107">SUM(G219:G222)</f>
        <v>0</v>
      </c>
      <c r="H223" s="39">
        <f>SUM(D223:F223)</f>
        <v>1646471916.3399999</v>
      </c>
    </row>
    <row r="224" spans="1:8" ht="14.4" x14ac:dyDescent="0.3">
      <c r="A224" s="699" t="s">
        <v>211</v>
      </c>
      <c r="B224" s="700"/>
      <c r="C224" s="700"/>
      <c r="D224" s="700"/>
      <c r="E224" s="700"/>
      <c r="F224" s="700"/>
      <c r="G224" s="700"/>
      <c r="H224" s="701"/>
    </row>
    <row r="225" spans="1:8" x14ac:dyDescent="0.3">
      <c r="A225" s="695" t="s">
        <v>35</v>
      </c>
      <c r="B225" s="696"/>
      <c r="C225" s="11" t="s">
        <v>31</v>
      </c>
      <c r="D225" s="15">
        <f>Mangochi!P225</f>
        <v>322111773.26999998</v>
      </c>
      <c r="E225" s="15">
        <f>'Monkey Bay'!P225</f>
        <v>175252306.56999999</v>
      </c>
      <c r="F225" s="15">
        <f>Namwera!P225</f>
        <v>20632608.440000001</v>
      </c>
      <c r="G225" s="15">
        <f>Nkhudzi!P225</f>
        <v>29970900.209999993</v>
      </c>
      <c r="H225" s="39">
        <f t="shared" ref="H225:H230" si="108">SUM(D225:F225)</f>
        <v>517996688.27999997</v>
      </c>
    </row>
    <row r="226" spans="1:8" x14ac:dyDescent="0.3">
      <c r="A226" s="695" t="s">
        <v>34</v>
      </c>
      <c r="B226" s="696"/>
      <c r="C226" s="11" t="s">
        <v>31</v>
      </c>
      <c r="D226" s="15">
        <f>Mangochi!P226</f>
        <v>0</v>
      </c>
      <c r="E226" s="15">
        <f>'Monkey Bay'!P226</f>
        <v>0</v>
      </c>
      <c r="F226" s="15">
        <f>Namwera!P226</f>
        <v>0</v>
      </c>
      <c r="G226" s="15">
        <f>Nkhudzi!P226</f>
        <v>0</v>
      </c>
      <c r="H226" s="39">
        <f t="shared" si="108"/>
        <v>0</v>
      </c>
    </row>
    <row r="227" spans="1:8" x14ac:dyDescent="0.3">
      <c r="A227" s="695" t="s">
        <v>33</v>
      </c>
      <c r="B227" s="696"/>
      <c r="C227" s="11" t="s">
        <v>31</v>
      </c>
      <c r="D227" s="15">
        <f>Mangochi!P227</f>
        <v>0</v>
      </c>
      <c r="E227" s="15">
        <f>'Monkey Bay'!P227</f>
        <v>0</v>
      </c>
      <c r="F227" s="15">
        <f>Namwera!P227</f>
        <v>0</v>
      </c>
      <c r="G227" s="15">
        <f>Nkhudzi!P227</f>
        <v>0</v>
      </c>
      <c r="H227" s="39">
        <f t="shared" si="108"/>
        <v>0</v>
      </c>
    </row>
    <row r="228" spans="1:8" x14ac:dyDescent="0.3">
      <c r="A228" s="695" t="s">
        <v>32</v>
      </c>
      <c r="B228" s="696"/>
      <c r="C228" s="11" t="s">
        <v>31</v>
      </c>
      <c r="D228" s="15">
        <f>Mangochi!P228</f>
        <v>0</v>
      </c>
      <c r="E228" s="15">
        <f>'Monkey Bay'!P228</f>
        <v>0</v>
      </c>
      <c r="F228" s="15">
        <f>Namwera!P228</f>
        <v>0</v>
      </c>
      <c r="G228" s="15">
        <f>Nkhudzi!P228</f>
        <v>0</v>
      </c>
      <c r="H228" s="39">
        <f t="shared" si="108"/>
        <v>0</v>
      </c>
    </row>
    <row r="229" spans="1:8" x14ac:dyDescent="0.3">
      <c r="A229" s="762" t="s">
        <v>212</v>
      </c>
      <c r="B229" s="763"/>
      <c r="C229" s="11" t="s">
        <v>31</v>
      </c>
      <c r="D229" s="10">
        <f t="shared" ref="D229:F229" si="109">SUM(D225:D228)</f>
        <v>322111773.26999998</v>
      </c>
      <c r="E229" s="10">
        <f t="shared" si="109"/>
        <v>175252306.56999999</v>
      </c>
      <c r="F229" s="10">
        <f t="shared" si="109"/>
        <v>20632608.440000001</v>
      </c>
      <c r="G229" s="10">
        <f t="shared" ref="G229" si="110">SUM(G225:G228)</f>
        <v>29970900.209999993</v>
      </c>
      <c r="H229" s="39">
        <f t="shared" si="108"/>
        <v>517996688.27999997</v>
      </c>
    </row>
    <row r="230" spans="1:8" x14ac:dyDescent="0.3">
      <c r="A230" s="205" t="s">
        <v>213</v>
      </c>
      <c r="B230" s="120"/>
      <c r="C230" s="11" t="s">
        <v>31</v>
      </c>
      <c r="D230" s="12">
        <f>D223+D229</f>
        <v>926915256.12</v>
      </c>
      <c r="E230" s="12">
        <f t="shared" ref="E230:F230" si="111">E223+E229</f>
        <v>1199383344.3399999</v>
      </c>
      <c r="F230" s="12">
        <f t="shared" si="111"/>
        <v>38170004.160000004</v>
      </c>
      <c r="G230" s="12">
        <f t="shared" ref="G230" si="112">G223+G229</f>
        <v>29970900.209999993</v>
      </c>
      <c r="H230" s="39">
        <f t="shared" si="108"/>
        <v>2164468604.6199999</v>
      </c>
    </row>
    <row r="231" spans="1:8" ht="14.4" x14ac:dyDescent="0.3">
      <c r="A231" s="699" t="s">
        <v>30</v>
      </c>
      <c r="B231" s="700"/>
      <c r="C231" s="700"/>
      <c r="D231" s="700"/>
      <c r="E231" s="700"/>
      <c r="F231" s="700"/>
      <c r="G231" s="700"/>
      <c r="H231" s="701"/>
    </row>
    <row r="232" spans="1:8" x14ac:dyDescent="0.3">
      <c r="A232" s="695" t="s">
        <v>29</v>
      </c>
      <c r="B232" s="696"/>
      <c r="C232" s="11" t="s">
        <v>18</v>
      </c>
      <c r="D232" s="15">
        <f>Mangochi!P232</f>
        <v>27632512.079999998</v>
      </c>
      <c r="E232" s="15">
        <f>'Monkey Bay'!P232</f>
        <v>7627892.8599999994</v>
      </c>
      <c r="F232" s="15">
        <f>Namwera!P232</f>
        <v>1418406.04</v>
      </c>
      <c r="G232" s="15">
        <f>Nkhudzi!P232</f>
        <v>0</v>
      </c>
      <c r="H232" s="39">
        <f>SUM(D232:F232)</f>
        <v>36678810.979999997</v>
      </c>
    </row>
    <row r="233" spans="1:8" x14ac:dyDescent="0.3">
      <c r="A233" s="695" t="s">
        <v>28</v>
      </c>
      <c r="B233" s="696"/>
      <c r="C233" s="11" t="s">
        <v>18</v>
      </c>
      <c r="D233" s="15">
        <f>Mangochi!P233</f>
        <v>0</v>
      </c>
      <c r="E233" s="15">
        <f>'Monkey Bay'!P233</f>
        <v>0</v>
      </c>
      <c r="F233" s="15">
        <f>Namwera!P233</f>
        <v>0</v>
      </c>
      <c r="G233" s="15">
        <f>Nkhudzi!P233</f>
        <v>0</v>
      </c>
      <c r="H233" s="39">
        <f>SUM(D233:F233)</f>
        <v>0</v>
      </c>
    </row>
    <row r="234" spans="1:8" x14ac:dyDescent="0.3">
      <c r="A234" s="695" t="s">
        <v>27</v>
      </c>
      <c r="B234" s="696"/>
      <c r="C234" s="11" t="s">
        <v>18</v>
      </c>
      <c r="D234" s="15">
        <f>Mangochi!P234</f>
        <v>265321.66000000003</v>
      </c>
      <c r="E234" s="15">
        <f>'Monkey Bay'!P234</f>
        <v>633734.25</v>
      </c>
      <c r="F234" s="15">
        <f>Namwera!P234</f>
        <v>35989.75</v>
      </c>
      <c r="G234" s="15">
        <f>Nkhudzi!P234</f>
        <v>0</v>
      </c>
      <c r="H234" s="39">
        <f>SUM(D234:F234)</f>
        <v>935045.66</v>
      </c>
    </row>
    <row r="235" spans="1:8" x14ac:dyDescent="0.3">
      <c r="A235" s="695" t="s">
        <v>26</v>
      </c>
      <c r="B235" s="696"/>
      <c r="C235" s="11" t="s">
        <v>18</v>
      </c>
      <c r="D235" s="15">
        <f>Mangochi!P235</f>
        <v>303536.62</v>
      </c>
      <c r="E235" s="15">
        <f>'Monkey Bay'!P235</f>
        <v>573521.61</v>
      </c>
      <c r="F235" s="15">
        <f>Namwera!P235</f>
        <v>0</v>
      </c>
      <c r="G235" s="15">
        <f>Nkhudzi!P235</f>
        <v>0</v>
      </c>
      <c r="H235" s="39">
        <f>SUM(D235:F235)</f>
        <v>877058.23</v>
      </c>
    </row>
    <row r="236" spans="1:8" x14ac:dyDescent="0.3">
      <c r="A236" s="762" t="s">
        <v>25</v>
      </c>
      <c r="B236" s="763"/>
      <c r="C236" s="11" t="s">
        <v>18</v>
      </c>
      <c r="D236" s="10">
        <f t="shared" ref="D236:F236" si="113">SUM(D232:D235)</f>
        <v>28201370.359999999</v>
      </c>
      <c r="E236" s="10">
        <f t="shared" si="113"/>
        <v>8835148.7199999988</v>
      </c>
      <c r="F236" s="10">
        <f t="shared" si="113"/>
        <v>1454395.79</v>
      </c>
      <c r="G236" s="10">
        <f t="shared" ref="G236" si="114">SUM(G232:G235)</f>
        <v>0</v>
      </c>
      <c r="H236" s="40">
        <f t="shared" ref="H236" si="115">SUM(H232:H235)</f>
        <v>38490914.86999999</v>
      </c>
    </row>
    <row r="237" spans="1:8" ht="14.4" x14ac:dyDescent="0.3">
      <c r="A237" s="699" t="s">
        <v>24</v>
      </c>
      <c r="B237" s="700"/>
      <c r="C237" s="700"/>
      <c r="D237" s="700"/>
      <c r="E237" s="700"/>
      <c r="F237" s="700"/>
      <c r="G237" s="700"/>
      <c r="H237" s="701"/>
    </row>
    <row r="238" spans="1:8" x14ac:dyDescent="0.3">
      <c r="A238" s="695" t="s">
        <v>23</v>
      </c>
      <c r="B238" s="696"/>
      <c r="C238" s="11" t="s">
        <v>18</v>
      </c>
      <c r="D238" s="15">
        <f>Mangochi!P238</f>
        <v>51385899</v>
      </c>
      <c r="E238" s="15">
        <f>'Monkey Bay'!P238</f>
        <v>15282802</v>
      </c>
      <c r="F238" s="15">
        <f>Namwera!P238</f>
        <v>2575412</v>
      </c>
      <c r="G238" s="15">
        <f>Nkhudzi!P238</f>
        <v>0</v>
      </c>
      <c r="H238" s="39">
        <f>SUM(D238:F238)</f>
        <v>69244113</v>
      </c>
    </row>
    <row r="239" spans="1:8" x14ac:dyDescent="0.3">
      <c r="A239" s="695" t="s">
        <v>22</v>
      </c>
      <c r="B239" s="696"/>
      <c r="C239" s="11" t="s">
        <v>18</v>
      </c>
      <c r="D239" s="15">
        <f>Mangochi!P239</f>
        <v>0</v>
      </c>
      <c r="E239" s="15">
        <f>'Monkey Bay'!P239</f>
        <v>0</v>
      </c>
      <c r="F239" s="15">
        <f>Namwera!P239</f>
        <v>0</v>
      </c>
      <c r="G239" s="15">
        <f>Nkhudzi!P239</f>
        <v>0</v>
      </c>
      <c r="H239" s="39">
        <f>SUM(D239:F239)</f>
        <v>0</v>
      </c>
    </row>
    <row r="240" spans="1:8" x14ac:dyDescent="0.3">
      <c r="A240" s="695" t="s">
        <v>21</v>
      </c>
      <c r="B240" s="696"/>
      <c r="C240" s="11" t="s">
        <v>18</v>
      </c>
      <c r="D240" s="15">
        <f>Mangochi!P240</f>
        <v>79477</v>
      </c>
      <c r="E240" s="15">
        <f>'Monkey Bay'!P240</f>
        <v>324167</v>
      </c>
      <c r="F240" s="15">
        <f>Namwera!P240</f>
        <v>10716</v>
      </c>
      <c r="G240" s="15">
        <f>Nkhudzi!P240</f>
        <v>0</v>
      </c>
      <c r="H240" s="39">
        <f>SUM(D240:F240)</f>
        <v>414360</v>
      </c>
    </row>
    <row r="241" spans="1:8" x14ac:dyDescent="0.3">
      <c r="A241" s="695" t="s">
        <v>20</v>
      </c>
      <c r="B241" s="696"/>
      <c r="C241" s="11" t="s">
        <v>18</v>
      </c>
      <c r="D241" s="15">
        <f>Mangochi!P241</f>
        <v>66082</v>
      </c>
      <c r="E241" s="15">
        <f>'Monkey Bay'!P241</f>
        <v>125913</v>
      </c>
      <c r="F241" s="15">
        <f>Namwera!P241</f>
        <v>0</v>
      </c>
      <c r="G241" s="15">
        <f>Nkhudzi!P241</f>
        <v>0</v>
      </c>
      <c r="H241" s="39">
        <f>SUM(D241:F241)</f>
        <v>191995</v>
      </c>
    </row>
    <row r="242" spans="1:8" x14ac:dyDescent="0.3">
      <c r="A242" s="762" t="s">
        <v>19</v>
      </c>
      <c r="B242" s="763"/>
      <c r="C242" s="11" t="s">
        <v>18</v>
      </c>
      <c r="D242" s="10">
        <f t="shared" ref="D242:F242" si="116">SUM(D238:D241)</f>
        <v>51531458</v>
      </c>
      <c r="E242" s="10">
        <f t="shared" si="116"/>
        <v>15732882</v>
      </c>
      <c r="F242" s="10">
        <f t="shared" si="116"/>
        <v>2586128</v>
      </c>
      <c r="G242" s="10">
        <f t="shared" ref="G242" si="117">SUM(G238:G241)</f>
        <v>0</v>
      </c>
      <c r="H242" s="40">
        <f t="shared" ref="H242" si="118">SUM(H238:H241)</f>
        <v>69850468</v>
      </c>
    </row>
    <row r="243" spans="1:8" x14ac:dyDescent="0.3">
      <c r="A243" s="762" t="s">
        <v>214</v>
      </c>
      <c r="B243" s="763"/>
      <c r="C243" s="11" t="s">
        <v>18</v>
      </c>
      <c r="D243" s="10">
        <f>D230+D236+D242</f>
        <v>1006648084.48</v>
      </c>
      <c r="E243" s="10">
        <f t="shared" ref="E243:F243" si="119">E230+E236+E242</f>
        <v>1223951375.0599999</v>
      </c>
      <c r="F243" s="10">
        <f t="shared" si="119"/>
        <v>42210527.950000003</v>
      </c>
      <c r="G243" s="10">
        <f t="shared" ref="G243" si="120">G230+G236+G242</f>
        <v>29970900.209999993</v>
      </c>
      <c r="H243" s="40">
        <f t="shared" ref="H243" si="121">H216+H223+H236+H242</f>
        <v>2292143512.7999997</v>
      </c>
    </row>
    <row r="244" spans="1:8" ht="14.4" x14ac:dyDescent="0.3">
      <c r="A244" s="699" t="s">
        <v>204</v>
      </c>
      <c r="B244" s="700"/>
      <c r="C244" s="700"/>
      <c r="D244" s="700"/>
      <c r="E244" s="700"/>
      <c r="F244" s="700"/>
      <c r="G244" s="700"/>
      <c r="H244" s="701"/>
    </row>
    <row r="245" spans="1:8" x14ac:dyDescent="0.3">
      <c r="A245" s="769" t="s">
        <v>205</v>
      </c>
      <c r="B245" s="770"/>
      <c r="C245" s="11" t="s">
        <v>18</v>
      </c>
      <c r="D245" s="15">
        <f>Mangochi!P245</f>
        <v>485256080.49000096</v>
      </c>
      <c r="E245" s="15">
        <f>'Monkey Bay'!P245</f>
        <v>186798395.52000099</v>
      </c>
      <c r="F245" s="15">
        <f>Namwera!P245</f>
        <v>25601237.400000066</v>
      </c>
      <c r="G245" s="15">
        <f>Nkhudzi!P245</f>
        <v>0</v>
      </c>
      <c r="H245" s="40">
        <f t="shared" ref="H245:H246" si="122">SUM(H241:H244)</f>
        <v>2362185975.7999997</v>
      </c>
    </row>
    <row r="246" spans="1:8" x14ac:dyDescent="0.3">
      <c r="A246" s="769" t="s">
        <v>206</v>
      </c>
      <c r="B246" s="770"/>
      <c r="C246" s="11" t="s">
        <v>18</v>
      </c>
      <c r="D246" s="15">
        <f>Mangochi!P246</f>
        <v>313009311.90999901</v>
      </c>
      <c r="E246" s="15">
        <f>'Monkey Bay'!P246</f>
        <v>736296093.79999995</v>
      </c>
      <c r="F246" s="15">
        <f>Namwera!P246</f>
        <v>41716641.730000004</v>
      </c>
      <c r="G246" s="15">
        <f>Nkhudzi!P246</f>
        <v>0</v>
      </c>
      <c r="H246" s="40">
        <f t="shared" si="122"/>
        <v>4724179956.5999994</v>
      </c>
    </row>
    <row r="247" spans="1:8" x14ac:dyDescent="0.3">
      <c r="A247" s="798" t="s">
        <v>207</v>
      </c>
      <c r="B247" s="799"/>
      <c r="C247" s="11" t="s">
        <v>18</v>
      </c>
      <c r="D247" s="143">
        <f>D245+D246</f>
        <v>798265392.39999998</v>
      </c>
      <c r="E247" s="143">
        <f t="shared" ref="E247:F247" si="123">E245+E246</f>
        <v>923094489.32000089</v>
      </c>
      <c r="F247" s="143">
        <f t="shared" si="123"/>
        <v>67317879.13000007</v>
      </c>
      <c r="G247" s="143">
        <f t="shared" ref="G247" si="124">G245+G246</f>
        <v>0</v>
      </c>
      <c r="H247" s="164">
        <f t="shared" ref="H247" si="125">SUM(H243:H246)</f>
        <v>9378509445.1999989</v>
      </c>
    </row>
    <row r="248" spans="1:8" ht="14.4" x14ac:dyDescent="0.3">
      <c r="A248" s="699" t="s">
        <v>17</v>
      </c>
      <c r="B248" s="700"/>
      <c r="C248" s="700"/>
      <c r="D248" s="700"/>
      <c r="E248" s="700"/>
      <c r="F248" s="700"/>
      <c r="G248" s="700"/>
      <c r="H248" s="701"/>
    </row>
    <row r="249" spans="1:8" x14ac:dyDescent="0.3">
      <c r="A249" s="726" t="s">
        <v>16</v>
      </c>
      <c r="B249" s="727"/>
      <c r="C249" s="5" t="s">
        <v>6</v>
      </c>
      <c r="D249" s="8">
        <f>D58/D243</f>
        <v>0.41924932125973757</v>
      </c>
      <c r="E249" s="8">
        <f t="shared" ref="E249:F249" si="126">E58/E243</f>
        <v>0.10949011027740428</v>
      </c>
      <c r="F249" s="8">
        <f t="shared" si="126"/>
        <v>0.94641427891687857</v>
      </c>
      <c r="G249" s="8">
        <f t="shared" ref="G249" si="127">G58/G243</f>
        <v>8.7113353513114262</v>
      </c>
      <c r="H249" s="112">
        <f t="shared" ref="H249" si="128">H58/H243%</f>
        <v>26.001676607046647</v>
      </c>
    </row>
    <row r="250" spans="1:8" x14ac:dyDescent="0.3">
      <c r="A250" s="726" t="s">
        <v>208</v>
      </c>
      <c r="B250" s="727"/>
      <c r="C250" s="5" t="s">
        <v>6</v>
      </c>
      <c r="D250" s="29">
        <f>D210/(D223+D245)</f>
        <v>0.42604300133564804</v>
      </c>
      <c r="E250" s="29">
        <f t="shared" ref="E250:F250" si="129">E210/(E223+E245)</f>
        <v>0.89587123214321651</v>
      </c>
      <c r="F250" s="29">
        <f t="shared" si="129"/>
        <v>0.29603540252366672</v>
      </c>
      <c r="G250" s="29" t="e">
        <f t="shared" ref="G250" si="130">G210/(G223+G245)</f>
        <v>#DIV/0!</v>
      </c>
      <c r="H250" s="109">
        <f t="shared" ref="H250" si="131">H210/(H223+H245)%</f>
        <v>38.966150170178892</v>
      </c>
    </row>
    <row r="251" spans="1:8" ht="16.2" thickBot="1" x14ac:dyDescent="0.35">
      <c r="A251" s="796" t="s">
        <v>15</v>
      </c>
      <c r="B251" s="797"/>
      <c r="C251" s="5" t="s">
        <v>6</v>
      </c>
      <c r="D251" s="7">
        <f>D210/D223</f>
        <v>0.76787297224473972</v>
      </c>
      <c r="E251" s="7">
        <f t="shared" ref="E251:F251" si="132">E210/E223</f>
        <v>1.0592754280762589</v>
      </c>
      <c r="F251" s="7">
        <f t="shared" si="132"/>
        <v>0.72819036668233428</v>
      </c>
      <c r="G251" s="7" t="e">
        <f t="shared" ref="G251" si="133">G210/G223</f>
        <v>#DIV/0!</v>
      </c>
      <c r="H251" s="113">
        <f t="shared" ref="H251" si="134">H210/H223%</f>
        <v>94.87071346666319</v>
      </c>
    </row>
    <row r="252" spans="1:8" ht="14.4" x14ac:dyDescent="0.3">
      <c r="A252" s="755" t="s">
        <v>14</v>
      </c>
      <c r="B252" s="756"/>
      <c r="C252" s="756"/>
      <c r="D252" s="756"/>
      <c r="E252" s="756"/>
      <c r="F252" s="756"/>
      <c r="G252" s="756"/>
      <c r="H252" s="757"/>
    </row>
    <row r="253" spans="1:8" s="2" customFormat="1" ht="15" customHeight="1" x14ac:dyDescent="0.3">
      <c r="A253" s="726" t="s">
        <v>13</v>
      </c>
      <c r="B253" s="727"/>
      <c r="C253" s="5" t="s">
        <v>3</v>
      </c>
      <c r="D253" s="26">
        <f>Mangochi!P253</f>
        <v>4900</v>
      </c>
      <c r="E253" s="26">
        <f>'Monkey Bay'!P253</f>
        <v>1699</v>
      </c>
      <c r="F253" s="26">
        <f>Namwera!P253</f>
        <v>173</v>
      </c>
      <c r="G253" s="26">
        <f>Nkhudzi!P253</f>
        <v>735</v>
      </c>
      <c r="H253" s="114">
        <f>SUM(D253:F253)</f>
        <v>6772</v>
      </c>
    </row>
    <row r="254" spans="1:8" s="2" customFormat="1" x14ac:dyDescent="0.3">
      <c r="A254" s="726" t="s">
        <v>12</v>
      </c>
      <c r="B254" s="727"/>
      <c r="C254" s="5" t="s">
        <v>3</v>
      </c>
      <c r="D254" s="26">
        <f>Mangochi!P254</f>
        <v>16</v>
      </c>
      <c r="E254" s="26">
        <f>'Monkey Bay'!P254</f>
        <v>10</v>
      </c>
      <c r="F254" s="26">
        <f>Namwera!P254</f>
        <v>19</v>
      </c>
      <c r="G254" s="26">
        <f>Nkhudzi!P254</f>
        <v>6</v>
      </c>
      <c r="H254" s="114">
        <f>SUM(D254:F254)</f>
        <v>45</v>
      </c>
    </row>
    <row r="255" spans="1:8" ht="15.75" customHeight="1" x14ac:dyDescent="0.3">
      <c r="A255" s="726" t="s">
        <v>11</v>
      </c>
      <c r="B255" s="727"/>
      <c r="C255" s="5" t="s">
        <v>3</v>
      </c>
      <c r="D255" s="4">
        <f>D95</f>
        <v>3878</v>
      </c>
      <c r="E255" s="4">
        <f t="shared" ref="E255:F255" si="135">E95</f>
        <v>111</v>
      </c>
      <c r="F255" s="4">
        <f t="shared" si="135"/>
        <v>19</v>
      </c>
      <c r="G255" s="4">
        <f t="shared" ref="G255" si="136">G95</f>
        <v>584</v>
      </c>
      <c r="H255" s="114">
        <f>SUM(D255:F255)</f>
        <v>4008</v>
      </c>
    </row>
    <row r="256" spans="1:8" x14ac:dyDescent="0.3">
      <c r="A256" s="726" t="s">
        <v>10</v>
      </c>
      <c r="B256" s="727"/>
      <c r="C256" s="5" t="s">
        <v>3</v>
      </c>
      <c r="D256" s="4">
        <f>D91</f>
        <v>3576</v>
      </c>
      <c r="E256" s="4">
        <f t="shared" ref="E256:F256" si="137">E91</f>
        <v>180</v>
      </c>
      <c r="F256" s="4">
        <f t="shared" si="137"/>
        <v>66</v>
      </c>
      <c r="G256" s="4">
        <f t="shared" ref="G256" si="138">G91</f>
        <v>708</v>
      </c>
      <c r="H256" s="114">
        <f>SUM(D256:F256)</f>
        <v>3822</v>
      </c>
    </row>
    <row r="257" spans="1:8" ht="15.6" customHeight="1" x14ac:dyDescent="0.3">
      <c r="A257" s="726" t="s">
        <v>9</v>
      </c>
      <c r="B257" s="727"/>
      <c r="C257" s="5" t="s">
        <v>3</v>
      </c>
      <c r="D257" s="26">
        <f>Mangochi!P257</f>
        <v>37053</v>
      </c>
      <c r="E257" s="26">
        <f>'Monkey Bay'!P257</f>
        <v>17091</v>
      </c>
      <c r="F257" s="26">
        <f>Namwera!P257</f>
        <v>290</v>
      </c>
      <c r="G257" s="26">
        <f>Nkhudzi!P257</f>
        <v>0</v>
      </c>
      <c r="H257" s="114">
        <f>SUM(D257:F257)</f>
        <v>54434</v>
      </c>
    </row>
    <row r="258" spans="1:8" x14ac:dyDescent="0.3">
      <c r="A258" s="762" t="s">
        <v>8</v>
      </c>
      <c r="B258" s="763"/>
      <c r="C258" s="5" t="s">
        <v>3</v>
      </c>
      <c r="D258" s="1">
        <f t="shared" ref="D258:F258" si="139">D257/D256</f>
        <v>10.361577181208053</v>
      </c>
      <c r="E258" s="1">
        <f t="shared" si="139"/>
        <v>94.95</v>
      </c>
      <c r="F258" s="1">
        <f t="shared" si="139"/>
        <v>4.3939393939393936</v>
      </c>
      <c r="G258" s="1">
        <f t="shared" ref="G258:H258" si="140">G257/G256</f>
        <v>0</v>
      </c>
      <c r="H258" s="114">
        <f t="shared" si="140"/>
        <v>14.242281527995814</v>
      </c>
    </row>
    <row r="259" spans="1:8" x14ac:dyDescent="0.3">
      <c r="A259" s="762" t="s">
        <v>7</v>
      </c>
      <c r="B259" s="763"/>
      <c r="C259" s="5" t="s">
        <v>6</v>
      </c>
      <c r="D259" s="1">
        <f t="shared" ref="D259:F259" si="141">D92/D255*100</f>
        <v>0.18050541516245489</v>
      </c>
      <c r="E259" s="1">
        <f t="shared" si="141"/>
        <v>22.522522522522522</v>
      </c>
      <c r="F259" s="1">
        <f t="shared" si="141"/>
        <v>0</v>
      </c>
      <c r="G259" s="1">
        <f t="shared" ref="G259:H259" si="142">G92/G255*100</f>
        <v>0.17123287671232876</v>
      </c>
      <c r="H259" s="196">
        <f t="shared" si="142"/>
        <v>0.79840319361277434</v>
      </c>
    </row>
    <row r="260" spans="1:8" ht="14.4" x14ac:dyDescent="0.3">
      <c r="A260" s="699" t="s">
        <v>5</v>
      </c>
      <c r="B260" s="700"/>
      <c r="C260" s="700"/>
      <c r="D260" s="700"/>
      <c r="E260" s="700"/>
      <c r="F260" s="700"/>
      <c r="G260" s="700"/>
      <c r="H260" s="701"/>
    </row>
    <row r="261" spans="1:8" s="2" customFormat="1" ht="15" customHeight="1" x14ac:dyDescent="0.3">
      <c r="A261" s="726" t="s">
        <v>4</v>
      </c>
      <c r="B261" s="727"/>
      <c r="C261" s="5" t="s">
        <v>3</v>
      </c>
      <c r="D261" s="26">
        <f>Mangochi!P261</f>
        <v>474</v>
      </c>
      <c r="E261" s="26">
        <f>'Monkey Bay'!P261</f>
        <v>508</v>
      </c>
      <c r="F261" s="26">
        <f>Namwera!P261</f>
        <v>90</v>
      </c>
      <c r="G261" s="26">
        <f>Nkhudzi!P261</f>
        <v>51</v>
      </c>
      <c r="H261" s="40">
        <f>SUM(D261:F261)</f>
        <v>1072</v>
      </c>
    </row>
    <row r="262" spans="1:8" s="2" customFormat="1" ht="15.75" customHeight="1" x14ac:dyDescent="0.3">
      <c r="A262" s="726" t="s">
        <v>2</v>
      </c>
      <c r="B262" s="727"/>
      <c r="C262" s="5" t="s">
        <v>0</v>
      </c>
      <c r="D262" s="26">
        <f>Mangochi!P262</f>
        <v>18</v>
      </c>
      <c r="E262" s="26">
        <f>'Monkey Bay'!P262</f>
        <v>13</v>
      </c>
      <c r="F262" s="26">
        <f>Namwera!P262</f>
        <v>61</v>
      </c>
      <c r="G262" s="26">
        <f>Nkhudzi!P262</f>
        <v>2.5</v>
      </c>
      <c r="H262" s="40">
        <f>SUM(D262:F262)</f>
        <v>92</v>
      </c>
    </row>
    <row r="263" spans="1:8" ht="16.2" thickBot="1" x14ac:dyDescent="0.35">
      <c r="A263" s="775" t="s">
        <v>1</v>
      </c>
      <c r="B263" s="776"/>
      <c r="C263" s="116" t="s">
        <v>0</v>
      </c>
      <c r="D263" s="117">
        <f>D261/D262</f>
        <v>26.333333333333332</v>
      </c>
      <c r="E263" s="117">
        <f t="shared" ref="E263:F263" si="143">E261/E262</f>
        <v>39.07692307692308</v>
      </c>
      <c r="F263" s="117">
        <f t="shared" si="143"/>
        <v>1.4754098360655739</v>
      </c>
      <c r="G263" s="117">
        <f t="shared" ref="G263:H263" si="144">G261/G262</f>
        <v>20.399999999999999</v>
      </c>
      <c r="H263" s="655">
        <f t="shared" si="144"/>
        <v>11.652173913043478</v>
      </c>
    </row>
    <row r="265" spans="1:8" x14ac:dyDescent="0.3">
      <c r="D265" s="662"/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  <ignoredErrors>
    <ignoredError sqref="G32:G4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Mangochi</vt:lpstr>
      <vt:lpstr>Monkey Bay</vt:lpstr>
      <vt:lpstr>Namwera</vt:lpstr>
      <vt:lpstr>Nkhudzi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2026-06-12T10:12:48Z</dcterms:modified>
</cp:coreProperties>
</file>